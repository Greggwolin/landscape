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5150east/landscape/reference/multifam/chadron/"/>
    </mc:Choice>
  </mc:AlternateContent>
  <xr:revisionPtr revIDLastSave="0" documentId="13_ncr:1_{35E81637-97D3-4E49-908D-A2167B0F3D62}" xr6:coauthVersionLast="47" xr6:coauthVersionMax="47" xr10:uidLastSave="{00000000-0000-0000-0000-000000000000}"/>
  <bookViews>
    <workbookView xWindow="1380" yWindow="4740" windowWidth="24780" windowHeight="15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3" i="1" l="1"/>
  <c r="J122" i="1"/>
  <c r="J120" i="1"/>
  <c r="J119" i="1"/>
  <c r="J118" i="1"/>
  <c r="J115" i="1"/>
  <c r="J114" i="1"/>
  <c r="J111" i="1"/>
  <c r="J107" i="1"/>
  <c r="J103" i="1"/>
  <c r="J102" i="1"/>
  <c r="J100" i="1"/>
  <c r="J98" i="1"/>
  <c r="J96" i="1"/>
  <c r="J92" i="1"/>
  <c r="J89" i="1"/>
  <c r="J86" i="1"/>
  <c r="J85" i="1"/>
  <c r="J84" i="1"/>
  <c r="J83" i="1"/>
  <c r="J78" i="1"/>
  <c r="J76" i="1"/>
  <c r="J69" i="1"/>
  <c r="J67" i="1"/>
  <c r="J66" i="1"/>
  <c r="J59" i="1"/>
  <c r="J57" i="1"/>
  <c r="J55" i="1"/>
  <c r="J54" i="1"/>
  <c r="J53" i="1"/>
  <c r="J52" i="1"/>
  <c r="J50" i="1"/>
  <c r="J46" i="1"/>
  <c r="J42" i="1"/>
  <c r="J39" i="1"/>
  <c r="J37" i="1"/>
  <c r="J36" i="1"/>
  <c r="J34" i="1"/>
  <c r="J32" i="1"/>
  <c r="J30" i="1"/>
  <c r="J21" i="1"/>
  <c r="J20" i="1"/>
  <c r="J19" i="1"/>
  <c r="J17" i="1"/>
  <c r="J16" i="1"/>
  <c r="G123" i="1"/>
  <c r="J123" i="1" l="1"/>
</calcChain>
</file>

<file path=xl/sharedStrings.xml><?xml version="1.0" encoding="utf-8"?>
<sst xmlns="http://schemas.openxmlformats.org/spreadsheetml/2006/main" count="611" uniqueCount="272">
  <si>
    <t>Rent Roll</t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</si>
  <si>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chadron - 14105 - 14137 Chadron Ave Hawthorne, CA 90250</t>
    </r>
  </si>
  <si>
    <t>Unit</t>
  </si>
  <si>
    <t>Tags</t>
  </si>
  <si>
    <t>BD/BA</t>
  </si>
  <si>
    <t>Tenant</t>
  </si>
  <si>
    <t>Status</t>
  </si>
  <si>
    <t>Sqft</t>
  </si>
  <si>
    <t>Rent</t>
  </si>
  <si>
    <t>Lease From</t>
  </si>
  <si>
    <t>Lease To</t>
  </si>
  <si>
    <t>100</t>
  </si>
  <si>
    <t>retail</t>
  </si>
  <si>
    <t>--/--</t>
  </si>
  <si>
    <t>Current</t>
  </si>
  <si>
    <t>101</t>
  </si>
  <si>
    <t>102</t>
  </si>
  <si>
    <t>Office</t>
  </si>
  <si>
    <t>103</t>
  </si>
  <si>
    <t>Vacant-Unrented</t>
  </si>
  <si>
    <t>104</t>
  </si>
  <si>
    <t>Beyond Mini Market LLC</t>
  </si>
  <si>
    <t>201</t>
  </si>
  <si>
    <t>Sec. 8, Residential Unit</t>
  </si>
  <si>
    <t>3/2.00</t>
  </si>
  <si>
    <t>202</t>
  </si>
  <si>
    <t>Residential Unit</t>
  </si>
  <si>
    <t>Crystal Clayton</t>
  </si>
  <si>
    <t>203</t>
  </si>
  <si>
    <t>1/1.00</t>
  </si>
  <si>
    <t>Cumari P. Perkins</t>
  </si>
  <si>
    <t>204</t>
  </si>
  <si>
    <t>2/2.00</t>
  </si>
  <si>
    <t>Alana J. Sims</t>
  </si>
  <si>
    <t>205</t>
  </si>
  <si>
    <t>Porsha  R. McPhearson</t>
  </si>
  <si>
    <t>206</t>
  </si>
  <si>
    <t>Maria F. Gonzalez Prada</t>
  </si>
  <si>
    <t>207</t>
  </si>
  <si>
    <t>Breeshon D. Ashley</t>
  </si>
  <si>
    <t>208</t>
  </si>
  <si>
    <t>Dania C. Wooley</t>
  </si>
  <si>
    <t>209</t>
  </si>
  <si>
    <t>Latoya M. Pennewell</t>
  </si>
  <si>
    <t>210</t>
  </si>
  <si>
    <t>Miesha M. Hurrel</t>
  </si>
  <si>
    <t>211</t>
  </si>
  <si>
    <t>Archanel N. Jennings</t>
  </si>
  <si>
    <t>212</t>
  </si>
  <si>
    <t>destyn A. rickman</t>
  </si>
  <si>
    <t>213</t>
  </si>
  <si>
    <t>Sharon Rena Deese</t>
  </si>
  <si>
    <t>214</t>
  </si>
  <si>
    <t>Daniel Kevin Hebert</t>
  </si>
  <si>
    <t>215</t>
  </si>
  <si>
    <t>Dannie R. Harden</t>
  </si>
  <si>
    <t>216</t>
  </si>
  <si>
    <t>Raynice Moreland</t>
  </si>
  <si>
    <t>217</t>
  </si>
  <si>
    <t>Abdul R. khan</t>
  </si>
  <si>
    <t>218</t>
  </si>
  <si>
    <t>Tamika Shauntae Lane</t>
  </si>
  <si>
    <t>219</t>
  </si>
  <si>
    <t>Sherrie Lynn Cox</t>
  </si>
  <si>
    <t>220</t>
  </si>
  <si>
    <t>Roland  E. Makoge</t>
  </si>
  <si>
    <t>221</t>
  </si>
  <si>
    <t>Bridgette Monroe</t>
  </si>
  <si>
    <t>222</t>
  </si>
  <si>
    <t>Linda Wright Jenkins</t>
  </si>
  <si>
    <t>223</t>
  </si>
  <si>
    <t>Residential Unit, Sec. 8</t>
  </si>
  <si>
    <t>Charles Garfield Peterson</t>
  </si>
  <si>
    <t>224</t>
  </si>
  <si>
    <t>Miesha S. Domio</t>
  </si>
  <si>
    <t>225</t>
  </si>
  <si>
    <t>Yolanda Rennia White</t>
  </si>
  <si>
    <t>226</t>
  </si>
  <si>
    <t>Michelle Smith</t>
  </si>
  <si>
    <t>227</t>
  </si>
  <si>
    <t>Homa Maleqazghar</t>
  </si>
  <si>
    <t>228</t>
  </si>
  <si>
    <t>Jeleah D. Ashley</t>
  </si>
  <si>
    <t>229</t>
  </si>
  <si>
    <t>Ebony Nicole King</t>
  </si>
  <si>
    <t>230</t>
  </si>
  <si>
    <t>Brittany S. Fontenot</t>
  </si>
  <si>
    <t>231</t>
  </si>
  <si>
    <t>Chelsea  L. Weeks</t>
  </si>
  <si>
    <t>232</t>
  </si>
  <si>
    <t>Deshawn Kathleen Sheffield</t>
  </si>
  <si>
    <t>233</t>
  </si>
  <si>
    <t>Tanasha A. Parker</t>
  </si>
  <si>
    <t>234</t>
  </si>
  <si>
    <t>Tyrea Nadia  Pratt</t>
  </si>
  <si>
    <t>235</t>
  </si>
  <si>
    <t>Alexander B. Okenwa</t>
  </si>
  <si>
    <t>236</t>
  </si>
  <si>
    <t>Reginald Li Roy Tanner</t>
  </si>
  <si>
    <t>301</t>
  </si>
  <si>
    <t>OBADAH  A. ELABHARI</t>
  </si>
  <si>
    <t>302</t>
  </si>
  <si>
    <t>Michelle  Marie Walton</t>
  </si>
  <si>
    <t>303</t>
  </si>
  <si>
    <t>Stifanos Tekeste</t>
  </si>
  <si>
    <t>304</t>
  </si>
  <si>
    <t>Moiesha  Cooper</t>
  </si>
  <si>
    <t>305</t>
  </si>
  <si>
    <t>Tekalign Abiyo Garkabo</t>
  </si>
  <si>
    <t>306</t>
  </si>
  <si>
    <t>David McKinney</t>
  </si>
  <si>
    <t>307</t>
  </si>
  <si>
    <t>Felicia Deyon Meredith</t>
  </si>
  <si>
    <t>308</t>
  </si>
  <si>
    <t>Andrea  M. Rodriguez</t>
  </si>
  <si>
    <t>309</t>
  </si>
  <si>
    <t>Sheila Marie Coleman</t>
  </si>
  <si>
    <t>310</t>
  </si>
  <si>
    <t>Anthony Gilberto McKenzie</t>
  </si>
  <si>
    <t>311</t>
  </si>
  <si>
    <t>Precious Y. Obi</t>
  </si>
  <si>
    <t>312</t>
  </si>
  <si>
    <t>Chyna C. Drew</t>
  </si>
  <si>
    <t>313</t>
  </si>
  <si>
    <t>The Church of Jesus Christ of Latter-Day Saints, A Utah Corporation Sole</t>
  </si>
  <si>
    <t>314</t>
  </si>
  <si>
    <t>315</t>
  </si>
  <si>
    <t>Resident Manager Unit</t>
  </si>
  <si>
    <t>316</t>
  </si>
  <si>
    <t>Phyllis B Bailey</t>
  </si>
  <si>
    <t>317</t>
  </si>
  <si>
    <t>Sharetta  Michele Wallace</t>
  </si>
  <si>
    <t>318</t>
  </si>
  <si>
    <t>Crystal Shameca Kelly Clayton</t>
  </si>
  <si>
    <t>319</t>
  </si>
  <si>
    <t>Moses Chukwuemeka Dike</t>
  </si>
  <si>
    <t>320</t>
  </si>
  <si>
    <t>Shanai  M. Thurman</t>
  </si>
  <si>
    <t>321</t>
  </si>
  <si>
    <t>Rozalind  Moody</t>
  </si>
  <si>
    <t>322</t>
  </si>
  <si>
    <t>323</t>
  </si>
  <si>
    <t>Jason Elliott Montgomery</t>
  </si>
  <si>
    <t>324</t>
  </si>
  <si>
    <t>Shiniki Ninette Johnson</t>
  </si>
  <si>
    <t>325</t>
  </si>
  <si>
    <t>Josalyn C. Greenwood</t>
  </si>
  <si>
    <t>326</t>
  </si>
  <si>
    <t>Brenda Martinez</t>
  </si>
  <si>
    <t>327</t>
  </si>
  <si>
    <t>Troy C Lewis</t>
  </si>
  <si>
    <t>328</t>
  </si>
  <si>
    <t>Barbara Louise Floyd</t>
  </si>
  <si>
    <t>329</t>
  </si>
  <si>
    <t>330</t>
  </si>
  <si>
    <t>Sherry K. Moorehead</t>
  </si>
  <si>
    <t>331</t>
  </si>
  <si>
    <t>Brandon T. Harris</t>
  </si>
  <si>
    <t>332</t>
  </si>
  <si>
    <t>Tamanika Onita Worline</t>
  </si>
  <si>
    <t>333</t>
  </si>
  <si>
    <t>Charday L. Tolley</t>
  </si>
  <si>
    <t>334</t>
  </si>
  <si>
    <t>Toni Shyette Johnson</t>
  </si>
  <si>
    <t>335</t>
  </si>
  <si>
    <t>Ashley Patrice Williams</t>
  </si>
  <si>
    <t>336</t>
  </si>
  <si>
    <t>James Edward Knox</t>
  </si>
  <si>
    <t>401</t>
  </si>
  <si>
    <t>402</t>
  </si>
  <si>
    <t>Wade Benjamin</t>
  </si>
  <si>
    <t>403</t>
  </si>
  <si>
    <t>Pamela Denise Hutchins</t>
  </si>
  <si>
    <t>404</t>
  </si>
  <si>
    <t>Christopher  A. Ntung</t>
  </si>
  <si>
    <t>405</t>
  </si>
  <si>
    <t>fahmi A. omer</t>
  </si>
  <si>
    <t>406</t>
  </si>
  <si>
    <t>Yolanda Ornette Johnson</t>
  </si>
  <si>
    <t>407</t>
  </si>
  <si>
    <t>Mark Henderson Cox</t>
  </si>
  <si>
    <t>408</t>
  </si>
  <si>
    <t>Michelle C. Hall</t>
  </si>
  <si>
    <t>409</t>
  </si>
  <si>
    <t>Russel Lowell Cook</t>
  </si>
  <si>
    <t>410</t>
  </si>
  <si>
    <t>Janae Latoya Bellamy</t>
  </si>
  <si>
    <t>411</t>
  </si>
  <si>
    <t>412</t>
  </si>
  <si>
    <t>Shirley Ann  Washington</t>
  </si>
  <si>
    <t>413</t>
  </si>
  <si>
    <t>Kenneth  L. Rowe</t>
  </si>
  <si>
    <t>414</t>
  </si>
  <si>
    <t>Eloise Lashon Gibson</t>
  </si>
  <si>
    <t>415</t>
  </si>
  <si>
    <t>Cedrick D. Sledge</t>
  </si>
  <si>
    <t>416</t>
  </si>
  <si>
    <t>Charde M. Crenshaw</t>
  </si>
  <si>
    <t>417</t>
  </si>
  <si>
    <t>Sonia Elizabeth  Norris</t>
  </si>
  <si>
    <t>418</t>
  </si>
  <si>
    <t>Anthony Emeka Chukwura</t>
  </si>
  <si>
    <t>419</t>
  </si>
  <si>
    <t>Ian S. Masterson</t>
  </si>
  <si>
    <t>420</t>
  </si>
  <si>
    <t>Kenneth  J. Savage</t>
  </si>
  <si>
    <t>421</t>
  </si>
  <si>
    <t>Regina Gail  Moody</t>
  </si>
  <si>
    <t>422</t>
  </si>
  <si>
    <t>Janisha Lashay Sterling</t>
  </si>
  <si>
    <t>423</t>
  </si>
  <si>
    <t>Lakecia L. Towery</t>
  </si>
  <si>
    <t>424</t>
  </si>
  <si>
    <t>425</t>
  </si>
  <si>
    <t>Charlene Sherry Carrell</t>
  </si>
  <si>
    <t>426</t>
  </si>
  <si>
    <t>427</t>
  </si>
  <si>
    <t>Jameelaah Janique Robinson</t>
  </si>
  <si>
    <t>428</t>
  </si>
  <si>
    <t>Quinisha Deloney</t>
  </si>
  <si>
    <t>429</t>
  </si>
  <si>
    <t>Robyn  T. Smith</t>
  </si>
  <si>
    <t>430</t>
  </si>
  <si>
    <t>Sheena M. Amos</t>
  </si>
  <si>
    <t>431</t>
  </si>
  <si>
    <t>Saheed O Inawo</t>
  </si>
  <si>
    <t>432</t>
  </si>
  <si>
    <t>Di ana Monet Edwards</t>
  </si>
  <si>
    <t>433</t>
  </si>
  <si>
    <t>Patricia Ann Guillory</t>
  </si>
  <si>
    <t>434</t>
  </si>
  <si>
    <t>Rachel Lashon Bragg</t>
  </si>
  <si>
    <t>435</t>
  </si>
  <si>
    <t>Dorothy Jean Carter-Clayton</t>
  </si>
  <si>
    <t>436</t>
  </si>
  <si>
    <t>Latommia Regine Banks</t>
  </si>
  <si>
    <t>113 Units</t>
  </si>
  <si>
    <t>90.27% Occupied</t>
  </si>
  <si>
    <t>Residential Unit, under Downtown Women</t>
  </si>
  <si>
    <t>UD Mirage</t>
  </si>
  <si>
    <t>January-recertification</t>
  </si>
  <si>
    <t>Oct-recertification</t>
  </si>
  <si>
    <t>Additional Tags</t>
  </si>
  <si>
    <t>April-recertification</t>
  </si>
  <si>
    <t>Sept-recertification</t>
  </si>
  <si>
    <t>May-recertification</t>
  </si>
  <si>
    <t>June-recertification</t>
  </si>
  <si>
    <t>July-recertification</t>
  </si>
  <si>
    <t>January-recertification, Abated since Dec 2021, UD Mirage</t>
  </si>
  <si>
    <t>Sept. Total Rent Received</t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</si>
  <si>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09/30/2025</t>
    </r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</si>
  <si>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10/01/2025 11:50 PM</t>
    </r>
  </si>
  <si>
    <r>
      <rPr>
        <b/>
        <sz val="11"/>
        <rFont val="Arial"/>
        <family val="2"/>
      </rPr>
      <t xml:space="preserve">Receipt Date Range: </t>
    </r>
    <r>
      <rPr>
        <sz val="11"/>
        <rFont val="Arial"/>
        <family val="2"/>
      </rPr>
      <t>09/01/2025 to 09/30/2025</t>
    </r>
  </si>
  <si>
    <t>Delinquency (As Of)</t>
  </si>
  <si>
    <r>
      <rPr>
        <b/>
        <sz val="11"/>
        <rFont val="Arial"/>
        <family val="2"/>
      </rPr>
      <t xml:space="preserve">Tenant Status: </t>
    </r>
    <r>
      <rPr>
        <sz val="11"/>
        <rFont val="Arial"/>
        <family val="2"/>
      </rPr>
      <t>All</t>
    </r>
  </si>
  <si>
    <t>Delinquent Rent as of 9/30/2025</t>
  </si>
  <si>
    <r>
      <rPr>
        <sz val="12"/>
        <color rgb="FF303030"/>
        <rFont val="Arial"/>
        <family val="2"/>
      </rPr>
      <t xml:space="preserve">Sec. 8, Residential Unit, </t>
    </r>
    <r>
      <rPr>
        <b/>
        <sz val="12"/>
        <color rgb="FF303030"/>
        <rFont val="Arial"/>
        <family val="1"/>
      </rPr>
      <t>under payment plan</t>
    </r>
  </si>
  <si>
    <r>
      <rPr>
        <sz val="12"/>
        <color rgb="FF303030"/>
        <rFont val="Arial"/>
        <family val="2"/>
      </rPr>
      <t>Sec. 8, Residential Unit,</t>
    </r>
    <r>
      <rPr>
        <b/>
        <sz val="12"/>
        <color rgb="FF303030"/>
        <rFont val="Arial"/>
        <family val="1"/>
      </rPr>
      <t xml:space="preserve"> under payment plan</t>
    </r>
  </si>
  <si>
    <r>
      <rPr>
        <sz val="12"/>
        <color rgb="FF303030"/>
        <rFont val="Arial"/>
        <family val="2"/>
      </rPr>
      <t>Residential Unit,</t>
    </r>
    <r>
      <rPr>
        <b/>
        <sz val="12"/>
        <color rgb="FF303030"/>
        <rFont val="Arial"/>
        <family val="1"/>
      </rPr>
      <t xml:space="preserve"> under payment plan</t>
    </r>
  </si>
  <si>
    <r>
      <rPr>
        <sz val="12"/>
        <color rgb="FF303030"/>
        <rFont val="Arial"/>
        <family val="2"/>
      </rPr>
      <t xml:space="preserve">Residential Unit, </t>
    </r>
    <r>
      <rPr>
        <b/>
        <sz val="12"/>
        <color rgb="FF303030"/>
        <rFont val="Arial"/>
        <family val="1"/>
      </rPr>
      <t>under payment plan</t>
    </r>
  </si>
  <si>
    <t>Indicates:</t>
  </si>
  <si>
    <t>Downtown Women</t>
  </si>
  <si>
    <t># of Units:</t>
  </si>
  <si>
    <t>Sec. 8</t>
  </si>
  <si>
    <t>under payment plan</t>
  </si>
  <si>
    <t>Under Payment Plan</t>
  </si>
  <si>
    <t>Label:</t>
  </si>
  <si>
    <t>Excel Legend</t>
  </si>
  <si>
    <t>Recertification</t>
  </si>
  <si>
    <t>Section 8 abated for the period of 06/01/2023 to 9/01/2023</t>
  </si>
  <si>
    <t>Terminated from Section 8 on 04/20/2025</t>
  </si>
  <si>
    <t>UD (unlawful detainer) Mirage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</si>
</sst>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[Red]\-#,##0"/>
    <numFmt numFmtId="165" formatCode="#,##0.00;[Red]\-#,##0.00"/>
    <numFmt numFmtId="166" formatCode="mm/dd/yyyy"/>
  </numFmts>
  <fonts count="22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1"/>
    </font>
    <font>
      <sz val="8"/>
      <name val="Arial"/>
      <family val="1"/>
    </font>
    <font>
      <b/>
      <sz val="11"/>
      <name val="Arial"/>
      <family val="2"/>
    </font>
    <font>
      <sz val="12"/>
      <color rgb="FF303030"/>
      <name val="Arial"/>
      <family val="2"/>
    </font>
    <font>
      <b/>
      <sz val="12"/>
      <color rgb="FF30303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8BF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6" fontId="11" fillId="0" borderId="0" xfId="0" applyNumberFormat="1" applyFont="1"/>
    <xf numFmtId="166" fontId="1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3" fillId="4" borderId="0" xfId="0" applyFont="1" applyFill="1" applyAlignment="1">
      <alignment horizontal="left" vertical="top" wrapText="1"/>
    </xf>
    <xf numFmtId="2" fontId="0" fillId="0" borderId="0" xfId="0" applyNumberFormat="1"/>
    <xf numFmtId="0" fontId="1" fillId="2" borderId="0" xfId="0" applyFont="1" applyFill="1" applyAlignment="1">
      <alignment horizontal="center"/>
    </xf>
    <xf numFmtId="43" fontId="19" fillId="0" borderId="0" xfId="1" applyFont="1"/>
    <xf numFmtId="43" fontId="0" fillId="0" borderId="0" xfId="1" applyFont="1"/>
    <xf numFmtId="0" fontId="5" fillId="6" borderId="0" xfId="0" applyFont="1" applyFill="1"/>
    <xf numFmtId="0" fontId="0" fillId="7" borderId="0" xfId="0" applyFill="1"/>
    <xf numFmtId="0" fontId="5" fillId="8" borderId="0" xfId="0" applyFont="1" applyFill="1"/>
    <xf numFmtId="0" fontId="5" fillId="9" borderId="0" xfId="0" applyFont="1" applyFill="1"/>
    <xf numFmtId="0" fontId="21" fillId="8" borderId="0" xfId="0" applyFont="1" applyFill="1"/>
    <xf numFmtId="0" fontId="21" fillId="0" borderId="0" xfId="0" applyFont="1"/>
    <xf numFmtId="0" fontId="0" fillId="8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5" fillId="0" borderId="0" xfId="0" applyFont="1" applyAlignment="1">
      <alignment horizontal="left"/>
    </xf>
    <xf numFmtId="0" fontId="0" fillId="7" borderId="2" xfId="0" applyFill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10" borderId="0" xfId="0" applyFill="1"/>
    <xf numFmtId="0" fontId="2" fillId="3" borderId="0" xfId="0" applyFont="1" applyFill="1"/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16" fillId="4" borderId="0" xfId="0" applyFont="1" applyFill="1" applyAlignment="1">
      <alignment vertical="top"/>
    </xf>
    <xf numFmtId="0" fontId="15" fillId="4" borderId="0" xfId="0" applyFont="1" applyFill="1" applyAlignment="1">
      <alignment vertical="top"/>
    </xf>
    <xf numFmtId="0" fontId="3" fillId="4" borderId="0" xfId="0" applyFont="1" applyFill="1" applyAlignment="1">
      <alignment horizontal="left" vertical="top" wrapText="1"/>
    </xf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D8B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4"/>
  <sheetViews>
    <sheetView tabSelected="1" showWhiteSpace="0" zoomScale="110" zoomScaleNormal="110" workbookViewId="0">
      <selection activeCell="G7" sqref="G7"/>
    </sheetView>
  </sheetViews>
  <sheetFormatPr baseColWidth="10" defaultColWidth="8.83203125" defaultRowHeight="14" x14ac:dyDescent="0.15"/>
  <cols>
    <col min="1" max="1" width="10" customWidth="1"/>
    <col min="2" max="2" width="38.6640625" customWidth="1"/>
    <col min="3" max="3" width="11" customWidth="1"/>
    <col min="4" max="4" width="29.83203125" customWidth="1"/>
    <col min="5" max="5" width="25.33203125" customWidth="1"/>
    <col min="6" max="6" width="10.6640625" customWidth="1"/>
    <col min="7" max="7" width="15.6640625" customWidth="1"/>
    <col min="8" max="8" width="12.83203125" customWidth="1"/>
    <col min="9" max="9" width="13.33203125" customWidth="1"/>
    <col min="10" max="10" width="28.5" customWidth="1"/>
    <col min="11" max="11" width="33.5" bestFit="1" customWidth="1"/>
    <col min="12" max="12" width="16.33203125" bestFit="1" customWidth="1"/>
  </cols>
  <sheetData>
    <row r="1" spans="1:18" ht="23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44"/>
      <c r="K1" s="44"/>
      <c r="L1" s="44"/>
      <c r="M1" s="44"/>
      <c r="N1" s="44"/>
      <c r="O1" s="44"/>
      <c r="P1" s="44"/>
      <c r="Q1" s="44"/>
      <c r="R1" s="44"/>
    </row>
    <row r="2" spans="1:18" ht="14" customHeight="1" x14ac:dyDescent="0.15">
      <c r="A2" s="39" t="s">
        <v>251</v>
      </c>
      <c r="B2" s="38"/>
      <c r="C2" s="38"/>
      <c r="D2" s="38"/>
      <c r="E2" s="38"/>
      <c r="F2" s="38"/>
      <c r="G2" s="38"/>
      <c r="H2" s="38"/>
      <c r="I2" s="38"/>
      <c r="J2" s="45"/>
      <c r="K2" s="45"/>
      <c r="L2" s="45"/>
      <c r="M2" s="45"/>
      <c r="N2" s="45"/>
      <c r="O2" s="45"/>
      <c r="P2" s="45"/>
      <c r="Q2" s="45"/>
      <c r="R2" s="45"/>
    </row>
    <row r="3" spans="1:18" ht="17" customHeight="1" x14ac:dyDescent="0.15">
      <c r="A3" s="40" t="s">
        <v>1</v>
      </c>
      <c r="B3" s="37"/>
      <c r="C3" s="37"/>
      <c r="D3" s="37"/>
      <c r="E3" s="37"/>
      <c r="F3" s="37"/>
      <c r="G3" s="37"/>
      <c r="H3" s="37"/>
      <c r="I3" s="37"/>
      <c r="J3" s="43"/>
      <c r="K3" s="43"/>
      <c r="L3" s="43"/>
      <c r="M3" s="43"/>
      <c r="N3" s="43"/>
      <c r="O3" s="43"/>
      <c r="P3" s="43"/>
      <c r="Q3" s="43"/>
      <c r="R3" s="43"/>
    </row>
    <row r="4" spans="1:18" ht="16.25" customHeight="1" x14ac:dyDescent="0.15">
      <c r="A4" s="41" t="s">
        <v>250</v>
      </c>
      <c r="B4" s="37"/>
      <c r="C4" s="37"/>
      <c r="D4" s="37"/>
      <c r="E4" s="37"/>
      <c r="F4" s="37"/>
      <c r="G4" s="37"/>
      <c r="H4" s="37"/>
      <c r="I4" s="37"/>
      <c r="J4" s="43"/>
      <c r="K4" s="43"/>
      <c r="L4" s="43"/>
      <c r="M4" s="43"/>
      <c r="N4" s="43"/>
      <c r="O4" s="43"/>
      <c r="P4" s="43"/>
      <c r="Q4" s="43"/>
      <c r="R4" s="43"/>
    </row>
    <row r="5" spans="1:18" ht="17" customHeight="1" x14ac:dyDescent="0.15">
      <c r="A5" s="41" t="s">
        <v>252</v>
      </c>
      <c r="B5" s="37"/>
      <c r="C5" s="37"/>
      <c r="D5" s="37"/>
      <c r="E5" s="37"/>
      <c r="F5" s="37"/>
      <c r="G5" s="37"/>
      <c r="H5" s="37"/>
      <c r="I5" s="37"/>
      <c r="J5" s="43"/>
      <c r="K5" s="43"/>
      <c r="L5" s="43"/>
      <c r="M5" s="43"/>
      <c r="N5" s="43"/>
      <c r="O5" s="43"/>
      <c r="P5" s="43"/>
      <c r="Q5" s="43"/>
      <c r="R5" s="43"/>
    </row>
    <row r="6" spans="1:18" ht="17" customHeight="1" x14ac:dyDescent="0.15">
      <c r="A6" s="42" t="s">
        <v>253</v>
      </c>
      <c r="B6" s="37"/>
      <c r="C6" s="37"/>
      <c r="D6" s="37"/>
      <c r="E6" s="37"/>
      <c r="F6" s="37"/>
      <c r="G6" s="37"/>
      <c r="H6" s="37"/>
      <c r="I6" s="37"/>
      <c r="J6" s="43"/>
      <c r="K6" s="43"/>
      <c r="L6" s="43"/>
      <c r="M6" s="43"/>
      <c r="N6" s="43"/>
      <c r="O6" s="43"/>
      <c r="P6" s="43"/>
      <c r="Q6" s="43"/>
      <c r="R6" s="43"/>
    </row>
    <row r="7" spans="1:18" ht="17" customHeight="1" x14ac:dyDescent="0.15">
      <c r="A7" s="41" t="s">
        <v>250</v>
      </c>
      <c r="B7" s="37"/>
      <c r="C7" s="37"/>
      <c r="D7" s="37"/>
      <c r="E7" s="37"/>
      <c r="F7" s="37"/>
      <c r="G7" s="37"/>
      <c r="H7" s="37"/>
      <c r="I7" s="37"/>
      <c r="J7" s="10"/>
      <c r="K7" s="10"/>
      <c r="L7" s="10"/>
      <c r="M7" s="10"/>
      <c r="N7" s="10"/>
      <c r="O7" s="10"/>
      <c r="P7" s="10"/>
      <c r="Q7" s="10"/>
      <c r="R7" s="10"/>
    </row>
    <row r="8" spans="1:18" ht="17" customHeight="1" x14ac:dyDescent="0.15">
      <c r="A8" s="41" t="s">
        <v>254</v>
      </c>
      <c r="B8" s="37"/>
      <c r="C8" s="37"/>
      <c r="D8" s="37"/>
      <c r="E8" s="37"/>
      <c r="F8" s="37"/>
      <c r="G8" s="37"/>
      <c r="H8" s="37"/>
      <c r="I8" s="37"/>
      <c r="J8" s="43"/>
      <c r="K8" s="43"/>
      <c r="L8" s="43"/>
      <c r="M8" s="43"/>
      <c r="N8" s="43"/>
      <c r="O8" s="43"/>
      <c r="P8" s="43"/>
      <c r="Q8" s="43"/>
      <c r="R8" s="43"/>
    </row>
    <row r="9" spans="1:18" ht="17" x14ac:dyDescent="0.2">
      <c r="A9" s="9" t="s">
        <v>2</v>
      </c>
      <c r="B9" s="9" t="s">
        <v>3</v>
      </c>
      <c r="C9" s="9" t="s">
        <v>4</v>
      </c>
      <c r="D9" s="9" t="s">
        <v>5</v>
      </c>
      <c r="E9" s="9" t="s">
        <v>6</v>
      </c>
      <c r="F9" s="9" t="s">
        <v>7</v>
      </c>
      <c r="G9" s="9" t="s">
        <v>8</v>
      </c>
      <c r="H9" s="9" t="s">
        <v>9</v>
      </c>
      <c r="I9" s="9" t="s">
        <v>10</v>
      </c>
      <c r="J9" s="9" t="s">
        <v>249</v>
      </c>
      <c r="K9" s="12" t="s">
        <v>255</v>
      </c>
      <c r="L9" s="12" t="s">
        <v>242</v>
      </c>
    </row>
    <row r="10" spans="1:18" ht="16" x14ac:dyDescent="0.2">
      <c r="A10" s="1" t="s">
        <v>11</v>
      </c>
      <c r="B10" s="1" t="s">
        <v>12</v>
      </c>
      <c r="C10" s="1" t="s">
        <v>13</v>
      </c>
      <c r="D10" s="1"/>
      <c r="E10" s="15" t="s">
        <v>19</v>
      </c>
      <c r="F10" s="3">
        <v>1101</v>
      </c>
      <c r="G10" s="5"/>
      <c r="H10" s="7"/>
      <c r="I10" s="7"/>
      <c r="J10" s="14"/>
      <c r="K10" s="11"/>
      <c r="L10" s="1"/>
    </row>
    <row r="11" spans="1:18" ht="16" x14ac:dyDescent="0.2">
      <c r="A11" s="1" t="s">
        <v>15</v>
      </c>
      <c r="B11" s="1" t="s">
        <v>12</v>
      </c>
      <c r="C11" s="1" t="s">
        <v>13</v>
      </c>
      <c r="D11" s="1"/>
      <c r="E11" s="15" t="s">
        <v>19</v>
      </c>
      <c r="F11" s="3">
        <v>903</v>
      </c>
      <c r="G11" s="5"/>
      <c r="H11" s="7"/>
      <c r="I11" s="7"/>
      <c r="J11" s="14"/>
      <c r="K11" s="11"/>
      <c r="L11" s="1"/>
    </row>
    <row r="12" spans="1:18" ht="16" x14ac:dyDescent="0.2">
      <c r="A12" s="1" t="s">
        <v>16</v>
      </c>
      <c r="B12" s="1" t="s">
        <v>17</v>
      </c>
      <c r="C12" s="1" t="s">
        <v>13</v>
      </c>
      <c r="D12" s="1" t="s">
        <v>17</v>
      </c>
      <c r="E12" s="1" t="s">
        <v>14</v>
      </c>
      <c r="F12" s="3">
        <v>446</v>
      </c>
      <c r="G12" s="5">
        <v>0</v>
      </c>
      <c r="H12" s="7">
        <v>42767</v>
      </c>
      <c r="I12" s="7"/>
      <c r="J12" s="14"/>
      <c r="K12" s="11"/>
    </row>
    <row r="13" spans="1:18" ht="16" x14ac:dyDescent="0.2">
      <c r="A13" s="1" t="s">
        <v>18</v>
      </c>
      <c r="B13" s="1" t="s">
        <v>12</v>
      </c>
      <c r="C13" s="1" t="s">
        <v>13</v>
      </c>
      <c r="D13" s="1"/>
      <c r="E13" s="15" t="s">
        <v>19</v>
      </c>
      <c r="F13" s="3">
        <v>1305</v>
      </c>
      <c r="G13" s="5"/>
      <c r="H13" s="7"/>
      <c r="I13" s="7"/>
      <c r="J13" s="14"/>
      <c r="K13" s="11"/>
      <c r="L13" s="1"/>
    </row>
    <row r="14" spans="1:18" ht="16" x14ac:dyDescent="0.2">
      <c r="A14" s="1" t="s">
        <v>20</v>
      </c>
      <c r="B14" s="1" t="s">
        <v>12</v>
      </c>
      <c r="C14" s="1" t="s">
        <v>13</v>
      </c>
      <c r="D14" s="1" t="s">
        <v>21</v>
      </c>
      <c r="E14" s="1" t="s">
        <v>14</v>
      </c>
      <c r="F14" s="3">
        <v>1355</v>
      </c>
      <c r="G14" s="5">
        <v>4396.7</v>
      </c>
      <c r="H14" s="7">
        <v>45170</v>
      </c>
      <c r="I14" s="7">
        <v>46265</v>
      </c>
      <c r="J14" s="14">
        <v>4396.7</v>
      </c>
      <c r="K14" s="14">
        <v>0</v>
      </c>
    </row>
    <row r="15" spans="1:18" ht="16" x14ac:dyDescent="0.2">
      <c r="A15" s="1" t="s">
        <v>22</v>
      </c>
      <c r="B15" s="1" t="s">
        <v>26</v>
      </c>
      <c r="C15" s="1" t="s">
        <v>24</v>
      </c>
      <c r="D15" s="1"/>
      <c r="E15" s="15" t="s">
        <v>19</v>
      </c>
      <c r="F15" s="3">
        <v>1307</v>
      </c>
      <c r="G15" s="5"/>
      <c r="H15" s="7"/>
      <c r="I15" s="7"/>
      <c r="J15" s="14"/>
      <c r="K15" s="14"/>
      <c r="L15" s="1"/>
    </row>
    <row r="16" spans="1:18" ht="16" x14ac:dyDescent="0.2">
      <c r="A16" s="1" t="s">
        <v>25</v>
      </c>
      <c r="B16" s="1" t="s">
        <v>26</v>
      </c>
      <c r="C16" s="1" t="s">
        <v>24</v>
      </c>
      <c r="D16" s="1" t="s">
        <v>27</v>
      </c>
      <c r="E16" s="1" t="s">
        <v>14</v>
      </c>
      <c r="F16" s="3">
        <v>1280</v>
      </c>
      <c r="G16" s="5">
        <v>2790</v>
      </c>
      <c r="H16" s="7">
        <v>45809</v>
      </c>
      <c r="I16" s="7">
        <v>46203</v>
      </c>
      <c r="J16" s="14">
        <f>1395+837</f>
        <v>2232</v>
      </c>
      <c r="K16" s="14">
        <v>0</v>
      </c>
      <c r="L16" s="1"/>
    </row>
    <row r="17" spans="1:12" ht="16" x14ac:dyDescent="0.2">
      <c r="A17" s="1" t="s">
        <v>28</v>
      </c>
      <c r="B17" s="1" t="s">
        <v>26</v>
      </c>
      <c r="C17" s="1" t="s">
        <v>29</v>
      </c>
      <c r="D17" s="1" t="s">
        <v>30</v>
      </c>
      <c r="E17" s="1" t="s">
        <v>14</v>
      </c>
      <c r="F17" s="3">
        <v>750</v>
      </c>
      <c r="G17" s="5">
        <v>1700</v>
      </c>
      <c r="H17" s="7">
        <v>44562</v>
      </c>
      <c r="I17" s="7">
        <v>44926</v>
      </c>
      <c r="J17" s="14">
        <f>725+1861</f>
        <v>2586</v>
      </c>
      <c r="K17" s="14">
        <v>0</v>
      </c>
    </row>
    <row r="18" spans="1:12" ht="16" x14ac:dyDescent="0.2">
      <c r="A18" s="1" t="s">
        <v>31</v>
      </c>
      <c r="B18" s="20" t="s">
        <v>258</v>
      </c>
      <c r="C18" s="1" t="s">
        <v>32</v>
      </c>
      <c r="D18" s="1" t="s">
        <v>33</v>
      </c>
      <c r="E18" s="1" t="s">
        <v>14</v>
      </c>
      <c r="F18" s="3">
        <v>1035</v>
      </c>
      <c r="G18" s="5">
        <v>2200</v>
      </c>
      <c r="H18" s="7">
        <v>45505</v>
      </c>
      <c r="I18" s="7">
        <v>45869</v>
      </c>
      <c r="J18" s="14">
        <v>2300</v>
      </c>
      <c r="K18" s="14">
        <v>800</v>
      </c>
    </row>
    <row r="19" spans="1:12" ht="16" x14ac:dyDescent="0.2">
      <c r="A19" s="1" t="s">
        <v>34</v>
      </c>
      <c r="B19" s="19" t="s">
        <v>257</v>
      </c>
      <c r="C19" s="1" t="s">
        <v>24</v>
      </c>
      <c r="D19" s="1" t="s">
        <v>35</v>
      </c>
      <c r="E19" s="1" t="s">
        <v>14</v>
      </c>
      <c r="F19" s="3">
        <v>1280</v>
      </c>
      <c r="G19" s="5">
        <v>3000</v>
      </c>
      <c r="H19" s="7">
        <v>45689</v>
      </c>
      <c r="I19" s="7">
        <v>46053</v>
      </c>
      <c r="J19" s="14">
        <f>2741+259</f>
        <v>3000</v>
      </c>
      <c r="K19" s="14">
        <v>0</v>
      </c>
    </row>
    <row r="20" spans="1:12" ht="16" x14ac:dyDescent="0.2">
      <c r="A20" s="1" t="s">
        <v>36</v>
      </c>
      <c r="B20" s="1" t="s">
        <v>26</v>
      </c>
      <c r="C20" s="1" t="s">
        <v>29</v>
      </c>
      <c r="D20" s="1" t="s">
        <v>37</v>
      </c>
      <c r="E20" s="1" t="s">
        <v>14</v>
      </c>
      <c r="F20" s="3">
        <v>750</v>
      </c>
      <c r="G20" s="5">
        <v>2000</v>
      </c>
      <c r="H20" s="7">
        <v>45570</v>
      </c>
      <c r="I20" s="7">
        <v>45961</v>
      </c>
      <c r="J20" s="14">
        <f>0</f>
        <v>0</v>
      </c>
      <c r="K20" s="14">
        <v>0</v>
      </c>
    </row>
    <row r="21" spans="1:12" ht="16" x14ac:dyDescent="0.2">
      <c r="A21" s="1" t="s">
        <v>38</v>
      </c>
      <c r="B21" s="18" t="s">
        <v>238</v>
      </c>
      <c r="C21" s="1" t="s">
        <v>32</v>
      </c>
      <c r="D21" s="1" t="s">
        <v>39</v>
      </c>
      <c r="E21" s="1" t="s">
        <v>14</v>
      </c>
      <c r="F21" s="3">
        <v>1035</v>
      </c>
      <c r="G21" s="5">
        <v>2200</v>
      </c>
      <c r="H21" s="7">
        <v>45505</v>
      </c>
      <c r="I21" s="7">
        <v>45869</v>
      </c>
      <c r="J21" s="14">
        <f>900+1000+440</f>
        <v>2340</v>
      </c>
      <c r="K21" s="14">
        <v>0</v>
      </c>
    </row>
    <row r="22" spans="1:12" ht="16" x14ac:dyDescent="0.2">
      <c r="A22" s="1" t="s">
        <v>40</v>
      </c>
      <c r="B22" s="1" t="s">
        <v>26</v>
      </c>
      <c r="C22" s="1" t="s">
        <v>24</v>
      </c>
      <c r="D22" s="1" t="s">
        <v>41</v>
      </c>
      <c r="E22" s="1" t="s">
        <v>14</v>
      </c>
      <c r="F22" s="3">
        <v>1280</v>
      </c>
      <c r="G22" s="5">
        <v>2790</v>
      </c>
      <c r="H22" s="7">
        <v>45536</v>
      </c>
      <c r="I22" s="7">
        <v>45900</v>
      </c>
      <c r="J22" s="14">
        <v>0</v>
      </c>
      <c r="K22" s="14">
        <v>5577</v>
      </c>
      <c r="L22" s="16" t="s">
        <v>239</v>
      </c>
    </row>
    <row r="23" spans="1:12" ht="17.25" customHeight="1" x14ac:dyDescent="0.2">
      <c r="A23" s="1" t="s">
        <v>42</v>
      </c>
      <c r="B23" s="1" t="s">
        <v>26</v>
      </c>
      <c r="C23" s="1" t="s">
        <v>32</v>
      </c>
      <c r="D23" s="1" t="s">
        <v>43</v>
      </c>
      <c r="E23" s="1" t="s">
        <v>14</v>
      </c>
      <c r="F23" s="3">
        <v>1035</v>
      </c>
      <c r="G23" s="5">
        <v>2200</v>
      </c>
      <c r="H23" s="7">
        <v>45240</v>
      </c>
      <c r="I23" s="7">
        <v>45626</v>
      </c>
      <c r="J23" s="14">
        <v>0</v>
      </c>
      <c r="K23" s="14">
        <v>21000</v>
      </c>
      <c r="L23" s="16" t="s">
        <v>239</v>
      </c>
    </row>
    <row r="24" spans="1:12" ht="16" x14ac:dyDescent="0.2">
      <c r="A24" s="1" t="s">
        <v>44</v>
      </c>
      <c r="B24" s="1" t="s">
        <v>26</v>
      </c>
      <c r="C24" s="1" t="s">
        <v>32</v>
      </c>
      <c r="D24" s="1" t="s">
        <v>45</v>
      </c>
      <c r="E24" s="1" t="s">
        <v>14</v>
      </c>
      <c r="F24" s="3">
        <v>1035</v>
      </c>
      <c r="G24" s="5">
        <v>2500</v>
      </c>
      <c r="H24" s="7">
        <v>45627</v>
      </c>
      <c r="I24" s="7">
        <v>45991</v>
      </c>
      <c r="J24" s="14">
        <v>2375</v>
      </c>
      <c r="K24" s="14">
        <v>0</v>
      </c>
    </row>
    <row r="25" spans="1:12" ht="16" x14ac:dyDescent="0.2">
      <c r="A25" s="1" t="s">
        <v>46</v>
      </c>
      <c r="B25" s="1" t="s">
        <v>26</v>
      </c>
      <c r="C25" s="1" t="s">
        <v>32</v>
      </c>
      <c r="D25" s="1" t="s">
        <v>47</v>
      </c>
      <c r="E25" s="1" t="s">
        <v>14</v>
      </c>
      <c r="F25" s="3">
        <v>1035</v>
      </c>
      <c r="G25" s="5">
        <v>2200</v>
      </c>
      <c r="H25" s="7">
        <v>45205</v>
      </c>
      <c r="I25" s="7">
        <v>45596</v>
      </c>
      <c r="J25" s="14">
        <v>0</v>
      </c>
      <c r="K25" s="14">
        <v>39450</v>
      </c>
      <c r="L25" s="16" t="s">
        <v>239</v>
      </c>
    </row>
    <row r="26" spans="1:12" ht="16" x14ac:dyDescent="0.2">
      <c r="A26" s="1" t="s">
        <v>48</v>
      </c>
      <c r="B26" s="1" t="s">
        <v>26</v>
      </c>
      <c r="C26" s="1" t="s">
        <v>32</v>
      </c>
      <c r="D26" s="1" t="s">
        <v>49</v>
      </c>
      <c r="E26" s="1" t="s">
        <v>14</v>
      </c>
      <c r="F26" s="3">
        <v>1035</v>
      </c>
      <c r="G26" s="5">
        <v>2800</v>
      </c>
      <c r="H26" s="7">
        <v>44826</v>
      </c>
      <c r="I26" s="7">
        <v>45199</v>
      </c>
      <c r="J26" s="14">
        <v>2900</v>
      </c>
      <c r="K26" s="14">
        <v>0</v>
      </c>
    </row>
    <row r="27" spans="1:12" ht="16" x14ac:dyDescent="0.2">
      <c r="A27" s="1" t="s">
        <v>50</v>
      </c>
      <c r="B27" s="17" t="s">
        <v>23</v>
      </c>
      <c r="C27" s="1" t="s">
        <v>32</v>
      </c>
      <c r="D27" s="1" t="s">
        <v>51</v>
      </c>
      <c r="E27" s="1" t="s">
        <v>14</v>
      </c>
      <c r="F27" s="3">
        <v>1035</v>
      </c>
      <c r="G27" s="5">
        <v>1870</v>
      </c>
      <c r="H27" s="7">
        <v>42797</v>
      </c>
      <c r="I27" s="7">
        <v>43190</v>
      </c>
      <c r="J27" s="14">
        <v>1870</v>
      </c>
      <c r="K27" s="14">
        <v>1680</v>
      </c>
      <c r="L27" s="35" t="s">
        <v>240</v>
      </c>
    </row>
    <row r="28" spans="1:12" ht="16" x14ac:dyDescent="0.2">
      <c r="A28" s="1" t="s">
        <v>52</v>
      </c>
      <c r="B28" s="20" t="s">
        <v>259</v>
      </c>
      <c r="C28" s="1" t="s">
        <v>29</v>
      </c>
      <c r="D28" s="1" t="s">
        <v>53</v>
      </c>
      <c r="E28" s="1" t="s">
        <v>14</v>
      </c>
      <c r="F28" s="3">
        <v>750</v>
      </c>
      <c r="G28" s="5">
        <v>2062.5</v>
      </c>
      <c r="H28" s="7">
        <v>43586</v>
      </c>
      <c r="I28" s="7">
        <v>43951</v>
      </c>
      <c r="J28" s="14">
        <v>1200</v>
      </c>
      <c r="K28" s="14">
        <v>4810</v>
      </c>
    </row>
    <row r="29" spans="1:12" ht="16" x14ac:dyDescent="0.2">
      <c r="A29" s="1" t="s">
        <v>54</v>
      </c>
      <c r="B29" s="1" t="s">
        <v>26</v>
      </c>
      <c r="C29" s="1" t="s">
        <v>29</v>
      </c>
      <c r="D29" s="1" t="s">
        <v>55</v>
      </c>
      <c r="E29" s="1" t="s">
        <v>14</v>
      </c>
      <c r="F29" s="3">
        <v>750</v>
      </c>
      <c r="G29" s="5">
        <v>1950</v>
      </c>
      <c r="H29" s="7">
        <v>44632</v>
      </c>
      <c r="I29" s="7">
        <v>45016</v>
      </c>
      <c r="J29" s="14">
        <v>0</v>
      </c>
      <c r="K29" s="14">
        <v>0</v>
      </c>
    </row>
    <row r="30" spans="1:12" ht="16" x14ac:dyDescent="0.2">
      <c r="A30" s="1" t="s">
        <v>56</v>
      </c>
      <c r="B30" s="17" t="s">
        <v>23</v>
      </c>
      <c r="C30" s="1" t="s">
        <v>32</v>
      </c>
      <c r="D30" s="1" t="s">
        <v>57</v>
      </c>
      <c r="E30" s="1" t="s">
        <v>14</v>
      </c>
      <c r="F30" s="3">
        <v>1035</v>
      </c>
      <c r="G30" s="5">
        <v>1700</v>
      </c>
      <c r="H30" s="7">
        <v>42887</v>
      </c>
      <c r="I30" s="7">
        <v>43251</v>
      </c>
      <c r="J30" s="14">
        <f>1288+447</f>
        <v>1735</v>
      </c>
      <c r="K30" s="14">
        <v>10412</v>
      </c>
      <c r="L30" s="35" t="s">
        <v>241</v>
      </c>
    </row>
    <row r="31" spans="1:12" ht="16" x14ac:dyDescent="0.2">
      <c r="A31" s="1" t="s">
        <v>58</v>
      </c>
      <c r="B31" s="1" t="s">
        <v>26</v>
      </c>
      <c r="C31" s="1" t="s">
        <v>24</v>
      </c>
      <c r="D31" s="1" t="s">
        <v>59</v>
      </c>
      <c r="E31" s="1" t="s">
        <v>14</v>
      </c>
      <c r="F31" s="3">
        <v>1280</v>
      </c>
      <c r="G31" s="5">
        <v>3000</v>
      </c>
      <c r="H31" s="7">
        <v>45627</v>
      </c>
      <c r="I31" s="7">
        <v>45991</v>
      </c>
      <c r="J31" s="14">
        <v>0</v>
      </c>
      <c r="K31" s="14">
        <v>157.85</v>
      </c>
    </row>
    <row r="32" spans="1:12" ht="16" x14ac:dyDescent="0.2">
      <c r="A32" s="1" t="s">
        <v>60</v>
      </c>
      <c r="B32" s="19" t="s">
        <v>257</v>
      </c>
      <c r="C32" s="1" t="s">
        <v>24</v>
      </c>
      <c r="D32" s="1" t="s">
        <v>61</v>
      </c>
      <c r="E32" s="1" t="s">
        <v>14</v>
      </c>
      <c r="F32" s="3">
        <v>1280</v>
      </c>
      <c r="G32" s="5">
        <v>2339</v>
      </c>
      <c r="H32" s="7">
        <v>43763</v>
      </c>
      <c r="I32" s="7">
        <v>44135</v>
      </c>
      <c r="J32" s="14">
        <f>757+1632+600+600</f>
        <v>3589</v>
      </c>
      <c r="K32" s="14">
        <v>1513.99</v>
      </c>
    </row>
    <row r="33" spans="1:12" ht="16" x14ac:dyDescent="0.2">
      <c r="A33" s="1" t="s">
        <v>62</v>
      </c>
      <c r="B33" s="1" t="s">
        <v>26</v>
      </c>
      <c r="C33" s="1" t="s">
        <v>32</v>
      </c>
      <c r="D33" s="1" t="s">
        <v>63</v>
      </c>
      <c r="E33" s="1" t="s">
        <v>14</v>
      </c>
      <c r="F33" s="3">
        <v>1035</v>
      </c>
      <c r="G33" s="5">
        <v>1791</v>
      </c>
      <c r="H33" s="7">
        <v>43647</v>
      </c>
      <c r="I33" s="7">
        <v>44012</v>
      </c>
      <c r="J33" s="14">
        <v>0</v>
      </c>
      <c r="K33" s="14">
        <v>40216</v>
      </c>
      <c r="L33" s="16" t="s">
        <v>239</v>
      </c>
    </row>
    <row r="34" spans="1:12" ht="16" x14ac:dyDescent="0.2">
      <c r="A34" s="1" t="s">
        <v>64</v>
      </c>
      <c r="B34" s="20" t="s">
        <v>258</v>
      </c>
      <c r="C34" s="1" t="s">
        <v>32</v>
      </c>
      <c r="D34" s="1" t="s">
        <v>65</v>
      </c>
      <c r="E34" s="1" t="s">
        <v>14</v>
      </c>
      <c r="F34" s="3">
        <v>1035</v>
      </c>
      <c r="G34" s="5">
        <v>2200</v>
      </c>
      <c r="H34" s="7">
        <v>45231</v>
      </c>
      <c r="I34" s="7">
        <v>45596</v>
      </c>
      <c r="J34" s="14">
        <f>1800+1100</f>
        <v>2900</v>
      </c>
      <c r="K34" s="14">
        <v>6400</v>
      </c>
    </row>
    <row r="35" spans="1:12" ht="16" x14ac:dyDescent="0.2">
      <c r="A35" s="1" t="s">
        <v>66</v>
      </c>
      <c r="B35" s="17" t="s">
        <v>23</v>
      </c>
      <c r="C35" s="1" t="s">
        <v>29</v>
      </c>
      <c r="D35" s="1" t="s">
        <v>67</v>
      </c>
      <c r="E35" s="1" t="s">
        <v>14</v>
      </c>
      <c r="F35" s="3">
        <v>750</v>
      </c>
      <c r="G35" s="5">
        <v>1571</v>
      </c>
      <c r="H35" s="7">
        <v>44427</v>
      </c>
      <c r="I35" s="7">
        <v>44804</v>
      </c>
      <c r="J35" s="14">
        <v>584</v>
      </c>
      <c r="K35" s="14">
        <v>26145.24</v>
      </c>
      <c r="L35" s="16" t="s">
        <v>239</v>
      </c>
    </row>
    <row r="36" spans="1:12" ht="16" x14ac:dyDescent="0.2">
      <c r="A36" s="1" t="s">
        <v>68</v>
      </c>
      <c r="B36" s="17" t="s">
        <v>23</v>
      </c>
      <c r="C36" s="1" t="s">
        <v>29</v>
      </c>
      <c r="D36" s="1" t="s">
        <v>69</v>
      </c>
      <c r="E36" s="1" t="s">
        <v>14</v>
      </c>
      <c r="F36" s="3">
        <v>750</v>
      </c>
      <c r="G36" s="5">
        <v>1384</v>
      </c>
      <c r="H36" s="7">
        <v>43556</v>
      </c>
      <c r="I36" s="7">
        <v>43921</v>
      </c>
      <c r="J36" s="14">
        <f>1215+219</f>
        <v>1434</v>
      </c>
      <c r="K36" s="14">
        <v>2190</v>
      </c>
    </row>
    <row r="37" spans="1:12" ht="16" x14ac:dyDescent="0.2">
      <c r="A37" s="1" t="s">
        <v>70</v>
      </c>
      <c r="B37" s="17" t="s">
        <v>71</v>
      </c>
      <c r="C37" s="1" t="s">
        <v>32</v>
      </c>
      <c r="D37" s="1" t="s">
        <v>72</v>
      </c>
      <c r="E37" s="1" t="s">
        <v>14</v>
      </c>
      <c r="F37" s="3">
        <v>1035</v>
      </c>
      <c r="G37" s="5">
        <v>1956</v>
      </c>
      <c r="H37" s="7">
        <v>44174</v>
      </c>
      <c r="I37" s="7">
        <v>44561</v>
      </c>
      <c r="J37" s="14">
        <f>1496+440</f>
        <v>1936</v>
      </c>
      <c r="K37" s="14">
        <v>4130</v>
      </c>
    </row>
    <row r="38" spans="1:12" ht="16" x14ac:dyDescent="0.2">
      <c r="A38" s="1" t="s">
        <v>73</v>
      </c>
      <c r="B38" s="1" t="s">
        <v>26</v>
      </c>
      <c r="C38" s="1" t="s">
        <v>32</v>
      </c>
      <c r="D38" s="1" t="s">
        <v>74</v>
      </c>
      <c r="E38" s="1" t="s">
        <v>14</v>
      </c>
      <c r="F38" s="3">
        <v>1035</v>
      </c>
      <c r="G38" s="5">
        <v>2200</v>
      </c>
      <c r="H38" s="7">
        <v>45261</v>
      </c>
      <c r="I38" s="7">
        <v>45626</v>
      </c>
      <c r="J38" s="14">
        <v>2300</v>
      </c>
      <c r="K38" s="14">
        <v>0</v>
      </c>
    </row>
    <row r="39" spans="1:12" ht="16" x14ac:dyDescent="0.2">
      <c r="A39" s="1" t="s">
        <v>75</v>
      </c>
      <c r="B39" s="17" t="s">
        <v>23</v>
      </c>
      <c r="C39" s="1" t="s">
        <v>32</v>
      </c>
      <c r="D39" s="1" t="s">
        <v>76</v>
      </c>
      <c r="E39" s="1" t="s">
        <v>14</v>
      </c>
      <c r="F39" s="3">
        <v>1035</v>
      </c>
      <c r="G39" s="5">
        <v>1970</v>
      </c>
      <c r="H39" s="7">
        <v>43777</v>
      </c>
      <c r="I39" s="7">
        <v>44165</v>
      </c>
      <c r="J39" s="14">
        <f>1672+331</f>
        <v>2003</v>
      </c>
      <c r="K39" s="14">
        <v>28213.22</v>
      </c>
    </row>
    <row r="40" spans="1:12" ht="16" x14ac:dyDescent="0.2">
      <c r="A40" s="1" t="s">
        <v>77</v>
      </c>
      <c r="B40" s="17" t="s">
        <v>23</v>
      </c>
      <c r="C40" s="1" t="s">
        <v>32</v>
      </c>
      <c r="D40" s="1" t="s">
        <v>78</v>
      </c>
      <c r="E40" s="1" t="s">
        <v>14</v>
      </c>
      <c r="F40" s="3">
        <v>1035</v>
      </c>
      <c r="G40" s="5">
        <v>1700</v>
      </c>
      <c r="H40" s="7">
        <v>42826</v>
      </c>
      <c r="I40" s="7">
        <v>43190</v>
      </c>
      <c r="J40" s="14">
        <v>571</v>
      </c>
      <c r="K40" s="14">
        <v>4186</v>
      </c>
      <c r="L40" s="35" t="s">
        <v>243</v>
      </c>
    </row>
    <row r="41" spans="1:12" ht="16" x14ac:dyDescent="0.2">
      <c r="A41" s="1" t="s">
        <v>79</v>
      </c>
      <c r="B41" s="1" t="s">
        <v>26</v>
      </c>
      <c r="C41" s="1" t="s">
        <v>32</v>
      </c>
      <c r="D41" s="1" t="s">
        <v>80</v>
      </c>
      <c r="E41" s="1" t="s">
        <v>14</v>
      </c>
      <c r="F41" s="3">
        <v>1035</v>
      </c>
      <c r="G41" s="5">
        <v>2750</v>
      </c>
      <c r="H41" s="7">
        <v>45047</v>
      </c>
      <c r="I41" s="7">
        <v>45412</v>
      </c>
      <c r="J41" s="14">
        <v>2875</v>
      </c>
      <c r="K41" s="14">
        <v>0</v>
      </c>
    </row>
    <row r="42" spans="1:12" ht="16" x14ac:dyDescent="0.2">
      <c r="A42" s="1" t="s">
        <v>81</v>
      </c>
      <c r="B42" s="1" t="s">
        <v>26</v>
      </c>
      <c r="C42" s="1" t="s">
        <v>32</v>
      </c>
      <c r="D42" s="1" t="s">
        <v>82</v>
      </c>
      <c r="E42" s="1" t="s">
        <v>14</v>
      </c>
      <c r="F42" s="3">
        <v>1035</v>
      </c>
      <c r="G42" s="5">
        <v>2200</v>
      </c>
      <c r="H42" s="7">
        <v>45509</v>
      </c>
      <c r="I42" s="7">
        <v>45900</v>
      </c>
      <c r="J42" s="14">
        <f>1860+440+880</f>
        <v>3180</v>
      </c>
      <c r="K42" s="14">
        <v>250</v>
      </c>
    </row>
    <row r="43" spans="1:12" ht="16" x14ac:dyDescent="0.2">
      <c r="A43" s="1" t="s">
        <v>83</v>
      </c>
      <c r="B43" s="1" t="s">
        <v>26</v>
      </c>
      <c r="C43" s="1" t="s">
        <v>32</v>
      </c>
      <c r="D43" s="1" t="s">
        <v>84</v>
      </c>
      <c r="E43" s="1" t="s">
        <v>14</v>
      </c>
      <c r="F43" s="3">
        <v>1035</v>
      </c>
      <c r="G43" s="5">
        <v>1768</v>
      </c>
      <c r="H43" s="7">
        <v>42856</v>
      </c>
      <c r="I43" s="7">
        <v>43220</v>
      </c>
      <c r="J43" s="14">
        <v>2000</v>
      </c>
      <c r="K43" s="14">
        <v>0</v>
      </c>
      <c r="L43" s="35" t="s">
        <v>244</v>
      </c>
    </row>
    <row r="44" spans="1:12" ht="16" x14ac:dyDescent="0.2">
      <c r="A44" s="1" t="s">
        <v>85</v>
      </c>
      <c r="B44" s="1" t="s">
        <v>26</v>
      </c>
      <c r="C44" s="1" t="s">
        <v>24</v>
      </c>
      <c r="D44" s="1" t="s">
        <v>86</v>
      </c>
      <c r="E44" s="1" t="s">
        <v>14</v>
      </c>
      <c r="F44" s="3">
        <v>1280</v>
      </c>
      <c r="G44" s="5">
        <v>2790</v>
      </c>
      <c r="H44" s="7">
        <v>45536</v>
      </c>
      <c r="I44" s="7">
        <v>45900</v>
      </c>
      <c r="J44" s="14">
        <v>0</v>
      </c>
      <c r="K44" s="14">
        <v>10818.888000000001</v>
      </c>
    </row>
    <row r="45" spans="1:12" ht="16" x14ac:dyDescent="0.2">
      <c r="A45" s="1" t="s">
        <v>87</v>
      </c>
      <c r="B45" s="17" t="s">
        <v>23</v>
      </c>
      <c r="C45" s="1" t="s">
        <v>24</v>
      </c>
      <c r="D45" s="1" t="s">
        <v>88</v>
      </c>
      <c r="E45" s="1" t="s">
        <v>14</v>
      </c>
      <c r="F45" s="3">
        <v>1280</v>
      </c>
      <c r="G45" s="5">
        <v>3000</v>
      </c>
      <c r="H45" s="7">
        <v>45901</v>
      </c>
      <c r="I45" s="7">
        <v>46265</v>
      </c>
      <c r="J45" s="14">
        <v>0</v>
      </c>
      <c r="K45" s="14">
        <v>0</v>
      </c>
    </row>
    <row r="46" spans="1:12" ht="16" x14ac:dyDescent="0.2">
      <c r="A46" s="1" t="s">
        <v>89</v>
      </c>
      <c r="B46" s="17" t="s">
        <v>23</v>
      </c>
      <c r="C46" s="1" t="s">
        <v>24</v>
      </c>
      <c r="D46" s="1" t="s">
        <v>90</v>
      </c>
      <c r="E46" s="1" t="s">
        <v>14</v>
      </c>
      <c r="F46" s="3">
        <v>1280</v>
      </c>
      <c r="G46" s="5">
        <v>2287</v>
      </c>
      <c r="H46" s="7">
        <v>42863</v>
      </c>
      <c r="I46" s="7">
        <v>43251</v>
      </c>
      <c r="J46" s="14">
        <f>1011+1276</f>
        <v>2287</v>
      </c>
      <c r="K46" s="14">
        <v>17455</v>
      </c>
      <c r="L46" s="35" t="s">
        <v>245</v>
      </c>
    </row>
    <row r="47" spans="1:12" ht="16" x14ac:dyDescent="0.2">
      <c r="A47" s="1" t="s">
        <v>91</v>
      </c>
      <c r="B47" s="1" t="s">
        <v>26</v>
      </c>
      <c r="C47" s="1" t="s">
        <v>24</v>
      </c>
      <c r="D47" s="1" t="s">
        <v>92</v>
      </c>
      <c r="E47" s="1" t="s">
        <v>14</v>
      </c>
      <c r="F47" s="3">
        <v>1280</v>
      </c>
      <c r="G47" s="5">
        <v>2500</v>
      </c>
      <c r="H47" s="7">
        <v>45536</v>
      </c>
      <c r="I47" s="7">
        <v>45900</v>
      </c>
      <c r="J47" s="14">
        <v>2500</v>
      </c>
      <c r="K47" s="14">
        <v>0</v>
      </c>
    </row>
    <row r="48" spans="1:12" ht="16" x14ac:dyDescent="0.2">
      <c r="A48" s="1" t="s">
        <v>93</v>
      </c>
      <c r="B48" s="1" t="s">
        <v>26</v>
      </c>
      <c r="C48" s="1" t="s">
        <v>32</v>
      </c>
      <c r="D48" s="1" t="s">
        <v>94</v>
      </c>
      <c r="E48" s="1" t="s">
        <v>14</v>
      </c>
      <c r="F48" s="3">
        <v>1035</v>
      </c>
      <c r="G48" s="5">
        <v>2500</v>
      </c>
      <c r="H48" s="7">
        <v>45778</v>
      </c>
      <c r="I48" s="7">
        <v>46142</v>
      </c>
      <c r="J48" s="14">
        <v>625</v>
      </c>
      <c r="K48" s="14">
        <v>0</v>
      </c>
    </row>
    <row r="49" spans="1:12" ht="16" x14ac:dyDescent="0.2">
      <c r="A49" s="1" t="s">
        <v>95</v>
      </c>
      <c r="B49" s="1" t="s">
        <v>26</v>
      </c>
      <c r="C49" s="1" t="s">
        <v>24</v>
      </c>
      <c r="D49" s="1" t="s">
        <v>96</v>
      </c>
      <c r="E49" s="1" t="s">
        <v>14</v>
      </c>
      <c r="F49" s="3">
        <v>1307</v>
      </c>
      <c r="G49" s="5">
        <v>3294.5</v>
      </c>
      <c r="H49" s="7">
        <v>44348</v>
      </c>
      <c r="I49" s="7">
        <v>44742</v>
      </c>
      <c r="J49" s="14">
        <v>3000</v>
      </c>
      <c r="K49" s="14">
        <v>6887.82</v>
      </c>
    </row>
    <row r="50" spans="1:12" ht="16" x14ac:dyDescent="0.2">
      <c r="A50" s="1" t="s">
        <v>97</v>
      </c>
      <c r="B50" s="17" t="s">
        <v>23</v>
      </c>
      <c r="C50" s="1" t="s">
        <v>29</v>
      </c>
      <c r="D50" s="1" t="s">
        <v>98</v>
      </c>
      <c r="E50" s="1" t="s">
        <v>14</v>
      </c>
      <c r="F50" s="3">
        <v>850</v>
      </c>
      <c r="G50" s="5">
        <v>1668.7</v>
      </c>
      <c r="H50" s="7">
        <v>44105</v>
      </c>
      <c r="I50" s="7">
        <v>44500</v>
      </c>
      <c r="J50" s="14">
        <f>1451+218</f>
        <v>1669</v>
      </c>
      <c r="K50" s="14">
        <v>0</v>
      </c>
    </row>
    <row r="51" spans="1:12" ht="16" x14ac:dyDescent="0.2">
      <c r="A51" s="1" t="s">
        <v>99</v>
      </c>
      <c r="B51" s="1" t="s">
        <v>26</v>
      </c>
      <c r="C51" s="1" t="s">
        <v>24</v>
      </c>
      <c r="D51" s="1" t="s">
        <v>100</v>
      </c>
      <c r="E51" s="1" t="s">
        <v>14</v>
      </c>
      <c r="F51" s="3">
        <v>1307</v>
      </c>
      <c r="G51" s="5">
        <v>2640</v>
      </c>
      <c r="H51" s="7">
        <v>45200</v>
      </c>
      <c r="I51" s="7">
        <v>45565</v>
      </c>
      <c r="J51" s="14">
        <v>0</v>
      </c>
      <c r="K51" s="14">
        <v>0</v>
      </c>
    </row>
    <row r="52" spans="1:12" ht="16" x14ac:dyDescent="0.2">
      <c r="A52" s="1" t="s">
        <v>101</v>
      </c>
      <c r="B52" s="17" t="s">
        <v>23</v>
      </c>
      <c r="C52" s="1" t="s">
        <v>24</v>
      </c>
      <c r="D52" s="1" t="s">
        <v>102</v>
      </c>
      <c r="E52" s="1" t="s">
        <v>14</v>
      </c>
      <c r="F52" s="3">
        <v>1280</v>
      </c>
      <c r="G52" s="5">
        <v>2339</v>
      </c>
      <c r="H52" s="7">
        <v>43497</v>
      </c>
      <c r="I52" s="7">
        <v>43861</v>
      </c>
      <c r="J52" s="14">
        <f>1123+1123+1123+1123</f>
        <v>4492</v>
      </c>
      <c r="K52" s="14">
        <v>17219</v>
      </c>
    </row>
    <row r="53" spans="1:12" ht="16" x14ac:dyDescent="0.2">
      <c r="A53" s="1" t="s">
        <v>103</v>
      </c>
      <c r="B53" s="17" t="s">
        <v>23</v>
      </c>
      <c r="C53" s="1" t="s">
        <v>29</v>
      </c>
      <c r="D53" s="1" t="s">
        <v>104</v>
      </c>
      <c r="E53" s="1" t="s">
        <v>14</v>
      </c>
      <c r="F53" s="3">
        <v>750</v>
      </c>
      <c r="G53" s="5">
        <v>1522.4</v>
      </c>
      <c r="H53" s="7">
        <v>43745</v>
      </c>
      <c r="I53" s="7">
        <v>44135</v>
      </c>
      <c r="J53" s="14">
        <f>1223+200+299</f>
        <v>1722</v>
      </c>
      <c r="K53" s="14">
        <v>0</v>
      </c>
    </row>
    <row r="54" spans="1:12" ht="16" x14ac:dyDescent="0.2">
      <c r="A54" s="1" t="s">
        <v>105</v>
      </c>
      <c r="B54" s="20" t="s">
        <v>259</v>
      </c>
      <c r="C54" s="1" t="s">
        <v>32</v>
      </c>
      <c r="D54" s="1" t="s">
        <v>106</v>
      </c>
      <c r="E54" s="1" t="s">
        <v>14</v>
      </c>
      <c r="F54" s="3">
        <v>1035</v>
      </c>
      <c r="G54" s="5">
        <v>2200</v>
      </c>
      <c r="H54" s="7">
        <v>45240</v>
      </c>
      <c r="I54" s="7">
        <v>45596</v>
      </c>
      <c r="J54" s="14">
        <f>220+250+300</f>
        <v>770</v>
      </c>
      <c r="K54" s="14">
        <v>3789</v>
      </c>
    </row>
    <row r="55" spans="1:12" ht="16" x14ac:dyDescent="0.2">
      <c r="A55" s="1" t="s">
        <v>107</v>
      </c>
      <c r="B55" s="17" t="s">
        <v>71</v>
      </c>
      <c r="C55" s="1" t="s">
        <v>24</v>
      </c>
      <c r="D55" s="1" t="s">
        <v>108</v>
      </c>
      <c r="E55" s="1" t="s">
        <v>14</v>
      </c>
      <c r="F55" s="3">
        <v>1280</v>
      </c>
      <c r="G55" s="5">
        <v>2735</v>
      </c>
      <c r="H55" s="7">
        <v>44340</v>
      </c>
      <c r="I55" s="7">
        <v>44742</v>
      </c>
      <c r="J55" s="14">
        <f>2576+259</f>
        <v>2835</v>
      </c>
      <c r="K55" s="14">
        <v>2704.81</v>
      </c>
    </row>
    <row r="56" spans="1:12" ht="16" x14ac:dyDescent="0.2">
      <c r="A56" s="1" t="s">
        <v>109</v>
      </c>
      <c r="B56" s="1" t="s">
        <v>26</v>
      </c>
      <c r="C56" s="1" t="s">
        <v>29</v>
      </c>
      <c r="D56" s="1" t="s">
        <v>110</v>
      </c>
      <c r="E56" s="1" t="s">
        <v>14</v>
      </c>
      <c r="F56" s="3">
        <v>750</v>
      </c>
      <c r="G56" s="5">
        <v>1815</v>
      </c>
      <c r="H56" s="7">
        <v>42786</v>
      </c>
      <c r="I56" s="7">
        <v>43159</v>
      </c>
      <c r="J56" s="14">
        <v>1865</v>
      </c>
      <c r="K56" s="14">
        <v>0</v>
      </c>
    </row>
    <row r="57" spans="1:12" ht="16" x14ac:dyDescent="0.2">
      <c r="A57" s="1" t="s">
        <v>111</v>
      </c>
      <c r="B57" s="17" t="s">
        <v>23</v>
      </c>
      <c r="C57" s="1" t="s">
        <v>32</v>
      </c>
      <c r="D57" s="1" t="s">
        <v>112</v>
      </c>
      <c r="E57" s="1" t="s">
        <v>14</v>
      </c>
      <c r="F57" s="3">
        <v>1035</v>
      </c>
      <c r="G57" s="5">
        <v>1870</v>
      </c>
      <c r="H57" s="7">
        <v>42887</v>
      </c>
      <c r="I57" s="7">
        <v>43251</v>
      </c>
      <c r="J57" s="14">
        <f>1691+9</f>
        <v>1700</v>
      </c>
      <c r="K57" s="14">
        <v>0</v>
      </c>
      <c r="L57" s="35" t="s">
        <v>246</v>
      </c>
    </row>
    <row r="58" spans="1:12" ht="16" x14ac:dyDescent="0.2">
      <c r="A58" s="1" t="s">
        <v>113</v>
      </c>
      <c r="B58" s="1" t="s">
        <v>26</v>
      </c>
      <c r="C58" s="1" t="s">
        <v>24</v>
      </c>
      <c r="D58" s="1" t="s">
        <v>114</v>
      </c>
      <c r="E58" s="1" t="s">
        <v>14</v>
      </c>
      <c r="F58" s="3">
        <v>1280</v>
      </c>
      <c r="G58" s="5">
        <v>2640</v>
      </c>
      <c r="H58" s="7">
        <v>45231</v>
      </c>
      <c r="I58" s="7">
        <v>45596</v>
      </c>
      <c r="J58" s="14">
        <v>2790</v>
      </c>
      <c r="K58" s="14">
        <v>0</v>
      </c>
    </row>
    <row r="59" spans="1:12" ht="16" x14ac:dyDescent="0.2">
      <c r="A59" s="1" t="s">
        <v>115</v>
      </c>
      <c r="B59" s="17" t="s">
        <v>23</v>
      </c>
      <c r="C59" s="1" t="s">
        <v>32</v>
      </c>
      <c r="D59" s="1" t="s">
        <v>116</v>
      </c>
      <c r="E59" s="1" t="s">
        <v>14</v>
      </c>
      <c r="F59" s="3">
        <v>1035</v>
      </c>
      <c r="G59" s="5">
        <v>1970</v>
      </c>
      <c r="H59" s="7">
        <v>43435</v>
      </c>
      <c r="I59" s="7">
        <v>43799</v>
      </c>
      <c r="J59" s="14">
        <f>1336+354</f>
        <v>1690</v>
      </c>
      <c r="K59" s="14">
        <v>9876.75</v>
      </c>
    </row>
    <row r="60" spans="1:12" ht="16" x14ac:dyDescent="0.2">
      <c r="A60" s="1" t="s">
        <v>117</v>
      </c>
      <c r="B60" s="17" t="s">
        <v>23</v>
      </c>
      <c r="C60" s="1" t="s">
        <v>32</v>
      </c>
      <c r="D60" s="1" t="s">
        <v>118</v>
      </c>
      <c r="E60" s="1" t="s">
        <v>14</v>
      </c>
      <c r="F60" s="3">
        <v>1035</v>
      </c>
      <c r="G60" s="5">
        <v>1700</v>
      </c>
      <c r="H60" s="7">
        <v>42924</v>
      </c>
      <c r="I60" s="7">
        <v>43312</v>
      </c>
      <c r="J60" s="14">
        <v>0</v>
      </c>
      <c r="K60" s="14">
        <v>0</v>
      </c>
      <c r="L60" s="35" t="s">
        <v>246</v>
      </c>
    </row>
    <row r="61" spans="1:12" ht="16" x14ac:dyDescent="0.2">
      <c r="A61" s="1" t="s">
        <v>119</v>
      </c>
      <c r="B61" s="1" t="s">
        <v>26</v>
      </c>
      <c r="C61" s="1" t="s">
        <v>32</v>
      </c>
      <c r="D61" s="1" t="s">
        <v>120</v>
      </c>
      <c r="E61" s="1" t="s">
        <v>14</v>
      </c>
      <c r="F61" s="3">
        <v>1035</v>
      </c>
      <c r="G61" s="5">
        <v>2300</v>
      </c>
      <c r="H61" s="7">
        <v>45536</v>
      </c>
      <c r="I61" s="7">
        <v>45900</v>
      </c>
      <c r="J61" s="14">
        <v>0</v>
      </c>
      <c r="K61" s="14">
        <v>0</v>
      </c>
    </row>
    <row r="62" spans="1:12" ht="16" x14ac:dyDescent="0.2">
      <c r="A62" s="1" t="s">
        <v>121</v>
      </c>
      <c r="B62" s="1" t="s">
        <v>26</v>
      </c>
      <c r="C62" s="1" t="s">
        <v>32</v>
      </c>
      <c r="D62" s="1" t="s">
        <v>122</v>
      </c>
      <c r="E62" s="1" t="s">
        <v>14</v>
      </c>
      <c r="F62" s="3">
        <v>1035</v>
      </c>
      <c r="G62" s="5">
        <v>2200</v>
      </c>
      <c r="H62" s="7">
        <v>45231</v>
      </c>
      <c r="I62" s="7">
        <v>45596</v>
      </c>
      <c r="J62" s="14">
        <v>2300</v>
      </c>
      <c r="K62" s="14">
        <v>0</v>
      </c>
    </row>
    <row r="63" spans="1:12" ht="16" x14ac:dyDescent="0.2">
      <c r="A63" s="1" t="s">
        <v>123</v>
      </c>
      <c r="B63" s="1" t="s">
        <v>26</v>
      </c>
      <c r="C63" s="1" t="s">
        <v>32</v>
      </c>
      <c r="D63" s="1" t="s">
        <v>124</v>
      </c>
      <c r="E63" s="1" t="s">
        <v>14</v>
      </c>
      <c r="F63" s="3">
        <v>1035</v>
      </c>
      <c r="G63" s="5">
        <v>2400</v>
      </c>
      <c r="H63" s="7">
        <v>44105</v>
      </c>
      <c r="I63" s="7">
        <v>44469</v>
      </c>
      <c r="J63" s="14">
        <v>0</v>
      </c>
      <c r="K63" s="14">
        <v>0</v>
      </c>
    </row>
    <row r="64" spans="1:12" ht="16" x14ac:dyDescent="0.2">
      <c r="A64" s="1" t="s">
        <v>125</v>
      </c>
      <c r="B64" s="1" t="s">
        <v>26</v>
      </c>
      <c r="C64" s="1" t="s">
        <v>29</v>
      </c>
      <c r="D64" s="1"/>
      <c r="E64" s="15" t="s">
        <v>19</v>
      </c>
      <c r="F64" s="3">
        <v>750</v>
      </c>
      <c r="G64" s="5"/>
      <c r="H64" s="7"/>
      <c r="I64" s="7"/>
      <c r="J64" s="14"/>
      <c r="K64" s="14"/>
      <c r="L64" s="1"/>
    </row>
    <row r="65" spans="1:16" ht="16" x14ac:dyDescent="0.2">
      <c r="A65" s="1" t="s">
        <v>126</v>
      </c>
      <c r="B65" s="1" t="s">
        <v>26</v>
      </c>
      <c r="C65" s="1" t="s">
        <v>29</v>
      </c>
      <c r="D65" s="1" t="s">
        <v>127</v>
      </c>
      <c r="E65" s="1" t="s">
        <v>14</v>
      </c>
      <c r="F65" s="3">
        <v>750</v>
      </c>
      <c r="G65" s="5">
        <v>0</v>
      </c>
      <c r="H65" s="7">
        <v>45017</v>
      </c>
      <c r="I65" s="7"/>
      <c r="J65" s="14"/>
      <c r="K65" s="14"/>
      <c r="L65" s="1"/>
    </row>
    <row r="66" spans="1:16" ht="16" x14ac:dyDescent="0.2">
      <c r="A66" s="1" t="s">
        <v>128</v>
      </c>
      <c r="B66" s="17" t="s">
        <v>23</v>
      </c>
      <c r="C66" s="1" t="s">
        <v>32</v>
      </c>
      <c r="D66" s="1" t="s">
        <v>129</v>
      </c>
      <c r="E66" s="1" t="s">
        <v>14</v>
      </c>
      <c r="F66" s="3">
        <v>1035</v>
      </c>
      <c r="G66" s="5">
        <v>1775</v>
      </c>
      <c r="H66" s="7">
        <v>43802</v>
      </c>
      <c r="I66" s="7">
        <v>44196</v>
      </c>
      <c r="J66" s="14">
        <f>1643+176</f>
        <v>1819</v>
      </c>
      <c r="K66" s="14">
        <v>340</v>
      </c>
    </row>
    <row r="67" spans="1:16" ht="16" x14ac:dyDescent="0.2">
      <c r="A67" s="1" t="s">
        <v>130</v>
      </c>
      <c r="B67" s="19" t="s">
        <v>256</v>
      </c>
      <c r="C67" s="1" t="s">
        <v>24</v>
      </c>
      <c r="D67" s="1" t="s">
        <v>131</v>
      </c>
      <c r="E67" s="1" t="s">
        <v>14</v>
      </c>
      <c r="F67" s="3">
        <v>1280</v>
      </c>
      <c r="G67" s="5">
        <v>2516</v>
      </c>
      <c r="H67" s="7">
        <v>42979</v>
      </c>
      <c r="I67" s="7">
        <v>43343</v>
      </c>
      <c r="J67" s="14">
        <f>1800+100</f>
        <v>1900</v>
      </c>
      <c r="K67" s="14">
        <v>1977.67</v>
      </c>
      <c r="L67" s="35" t="s">
        <v>244</v>
      </c>
    </row>
    <row r="68" spans="1:16" ht="16" x14ac:dyDescent="0.2">
      <c r="A68" s="1" t="s">
        <v>132</v>
      </c>
      <c r="B68" s="17" t="s">
        <v>23</v>
      </c>
      <c r="C68" s="1" t="s">
        <v>24</v>
      </c>
      <c r="D68" s="1" t="s">
        <v>133</v>
      </c>
      <c r="E68" s="1" t="s">
        <v>14</v>
      </c>
      <c r="F68" s="3">
        <v>1280</v>
      </c>
      <c r="G68" s="5">
        <v>2573</v>
      </c>
      <c r="H68" s="7">
        <v>43739</v>
      </c>
      <c r="I68" s="7">
        <v>44104</v>
      </c>
      <c r="J68" s="14">
        <v>0</v>
      </c>
      <c r="K68" s="14">
        <v>0</v>
      </c>
    </row>
    <row r="69" spans="1:16" ht="16" x14ac:dyDescent="0.2">
      <c r="A69" s="1" t="s">
        <v>134</v>
      </c>
      <c r="B69" s="17" t="s">
        <v>23</v>
      </c>
      <c r="C69" s="1" t="s">
        <v>32</v>
      </c>
      <c r="D69" s="1" t="s">
        <v>135</v>
      </c>
      <c r="E69" s="1" t="s">
        <v>14</v>
      </c>
      <c r="F69" s="3">
        <v>1035</v>
      </c>
      <c r="G69" s="5">
        <v>1700</v>
      </c>
      <c r="H69" s="7">
        <v>42979</v>
      </c>
      <c r="I69" s="7">
        <v>43343</v>
      </c>
      <c r="J69" s="14">
        <f>1382</f>
        <v>1382</v>
      </c>
      <c r="K69" s="14">
        <v>0</v>
      </c>
      <c r="L69" s="35" t="s">
        <v>247</v>
      </c>
    </row>
    <row r="70" spans="1:16" ht="16" x14ac:dyDescent="0.2">
      <c r="A70" s="1" t="s">
        <v>136</v>
      </c>
      <c r="B70" s="1" t="s">
        <v>26</v>
      </c>
      <c r="C70" s="1" t="s">
        <v>32</v>
      </c>
      <c r="D70" s="1" t="s">
        <v>137</v>
      </c>
      <c r="E70" s="1" t="s">
        <v>14</v>
      </c>
      <c r="F70" s="3">
        <v>1035</v>
      </c>
      <c r="G70" s="5">
        <v>2200</v>
      </c>
      <c r="H70" s="7">
        <v>45205</v>
      </c>
      <c r="I70" s="7">
        <v>45596</v>
      </c>
      <c r="J70" s="14">
        <v>5000</v>
      </c>
      <c r="K70" s="14">
        <v>2350</v>
      </c>
    </row>
    <row r="71" spans="1:16" ht="16" x14ac:dyDescent="0.2">
      <c r="A71" s="1" t="s">
        <v>138</v>
      </c>
      <c r="B71" s="17" t="s">
        <v>23</v>
      </c>
      <c r="C71" s="1" t="s">
        <v>29</v>
      </c>
      <c r="D71" s="1" t="s">
        <v>139</v>
      </c>
      <c r="E71" s="1" t="s">
        <v>14</v>
      </c>
      <c r="F71" s="3">
        <v>750</v>
      </c>
      <c r="G71" s="5">
        <v>1517</v>
      </c>
      <c r="H71" s="7">
        <v>43871</v>
      </c>
      <c r="I71" s="7">
        <v>44255</v>
      </c>
      <c r="J71" s="14">
        <v>1517</v>
      </c>
      <c r="K71" s="14">
        <v>497.1</v>
      </c>
    </row>
    <row r="72" spans="1:16" ht="16" x14ac:dyDescent="0.2">
      <c r="A72" s="1" t="s">
        <v>140</v>
      </c>
      <c r="B72" s="1" t="s">
        <v>26</v>
      </c>
      <c r="C72" s="1" t="s">
        <v>29</v>
      </c>
      <c r="D72" s="1"/>
      <c r="E72" s="15" t="s">
        <v>19</v>
      </c>
      <c r="F72" s="3">
        <v>750</v>
      </c>
      <c r="G72" s="5"/>
      <c r="H72" s="7"/>
      <c r="I72" s="7"/>
      <c r="J72" s="14"/>
      <c r="K72" s="14"/>
      <c r="L72" s="1"/>
    </row>
    <row r="73" spans="1:16" ht="16" x14ac:dyDescent="0.2">
      <c r="A73" s="1" t="s">
        <v>141</v>
      </c>
      <c r="B73" s="1" t="s">
        <v>26</v>
      </c>
      <c r="C73" s="1" t="s">
        <v>32</v>
      </c>
      <c r="D73" s="1" t="s">
        <v>142</v>
      </c>
      <c r="E73" s="1" t="s">
        <v>14</v>
      </c>
      <c r="F73" s="3">
        <v>1035</v>
      </c>
      <c r="G73" s="5">
        <v>2587</v>
      </c>
      <c r="H73" s="7">
        <v>43252</v>
      </c>
      <c r="I73" s="7">
        <v>43616</v>
      </c>
      <c r="J73" s="14">
        <v>2622</v>
      </c>
      <c r="K73" s="14">
        <v>0</v>
      </c>
    </row>
    <row r="74" spans="1:16" ht="16" x14ac:dyDescent="0.2">
      <c r="A74" s="1" t="s">
        <v>143</v>
      </c>
      <c r="B74" s="17" t="s">
        <v>23</v>
      </c>
      <c r="C74" s="1" t="s">
        <v>32</v>
      </c>
      <c r="D74" s="1" t="s">
        <v>144</v>
      </c>
      <c r="E74" s="1" t="s">
        <v>14</v>
      </c>
      <c r="F74" s="3">
        <v>1035</v>
      </c>
      <c r="G74" s="5">
        <v>1791</v>
      </c>
      <c r="H74" s="7">
        <v>43739</v>
      </c>
      <c r="I74" s="7">
        <v>44104</v>
      </c>
      <c r="J74" s="14">
        <v>0</v>
      </c>
      <c r="K74" s="14">
        <v>22368</v>
      </c>
    </row>
    <row r="75" spans="1:16" ht="16" x14ac:dyDescent="0.2">
      <c r="A75" s="1" t="s">
        <v>145</v>
      </c>
      <c r="B75" s="1" t="s">
        <v>26</v>
      </c>
      <c r="C75" s="1" t="s">
        <v>32</v>
      </c>
      <c r="D75" s="1" t="s">
        <v>146</v>
      </c>
      <c r="E75" s="1" t="s">
        <v>14</v>
      </c>
      <c r="F75" s="3">
        <v>1035</v>
      </c>
      <c r="G75" s="5">
        <v>2500</v>
      </c>
      <c r="H75" s="7">
        <v>45717</v>
      </c>
      <c r="I75" s="7">
        <v>46081</v>
      </c>
      <c r="J75" s="14">
        <v>2500</v>
      </c>
      <c r="K75" s="14">
        <v>0</v>
      </c>
    </row>
    <row r="76" spans="1:16" ht="16" x14ac:dyDescent="0.2">
      <c r="A76" s="1" t="s">
        <v>147</v>
      </c>
      <c r="B76" s="17" t="s">
        <v>23</v>
      </c>
      <c r="C76" s="1" t="s">
        <v>32</v>
      </c>
      <c r="D76" s="1" t="s">
        <v>148</v>
      </c>
      <c r="E76" s="1" t="s">
        <v>14</v>
      </c>
      <c r="F76" s="3">
        <v>1035</v>
      </c>
      <c r="G76" s="5">
        <v>1870</v>
      </c>
      <c r="H76" s="7">
        <v>42838</v>
      </c>
      <c r="I76" s="7">
        <v>43220</v>
      </c>
      <c r="J76" s="14">
        <f>286+400+400</f>
        <v>1086</v>
      </c>
      <c r="K76" s="14">
        <v>0</v>
      </c>
      <c r="L76" s="35" t="s">
        <v>243</v>
      </c>
    </row>
    <row r="77" spans="1:16" ht="16" x14ac:dyDescent="0.2">
      <c r="A77" s="1" t="s">
        <v>149</v>
      </c>
      <c r="B77" s="17" t="s">
        <v>71</v>
      </c>
      <c r="C77" s="1" t="s">
        <v>29</v>
      </c>
      <c r="D77" s="1" t="s">
        <v>150</v>
      </c>
      <c r="E77" s="1" t="s">
        <v>14</v>
      </c>
      <c r="F77" s="3">
        <v>750</v>
      </c>
      <c r="G77" s="5">
        <v>1768</v>
      </c>
      <c r="H77" s="7">
        <v>42867</v>
      </c>
      <c r="I77" s="7">
        <v>43677</v>
      </c>
      <c r="J77" s="14">
        <v>0</v>
      </c>
      <c r="K77" s="14">
        <v>75876</v>
      </c>
      <c r="L77" s="16" t="s">
        <v>248</v>
      </c>
      <c r="M77" s="16"/>
      <c r="N77" s="16"/>
      <c r="O77" s="16"/>
      <c r="P77" s="16"/>
    </row>
    <row r="78" spans="1:16" ht="16" x14ac:dyDescent="0.2">
      <c r="A78" s="1" t="s">
        <v>151</v>
      </c>
      <c r="B78" s="17" t="s">
        <v>23</v>
      </c>
      <c r="C78" s="1" t="s">
        <v>32</v>
      </c>
      <c r="D78" s="1" t="s">
        <v>152</v>
      </c>
      <c r="E78" s="1" t="s">
        <v>14</v>
      </c>
      <c r="F78" s="3">
        <v>1035</v>
      </c>
      <c r="G78" s="5">
        <v>2238</v>
      </c>
      <c r="H78" s="7">
        <v>43435</v>
      </c>
      <c r="I78" s="7">
        <v>43799</v>
      </c>
      <c r="J78" s="14">
        <f>1661+70+209</f>
        <v>1940</v>
      </c>
      <c r="K78" s="14">
        <v>2673</v>
      </c>
    </row>
    <row r="79" spans="1:16" ht="16" x14ac:dyDescent="0.2">
      <c r="A79" s="1" t="s">
        <v>153</v>
      </c>
      <c r="B79" s="1" t="s">
        <v>26</v>
      </c>
      <c r="C79" s="1" t="s">
        <v>32</v>
      </c>
      <c r="D79" s="1"/>
      <c r="E79" s="15" t="s">
        <v>19</v>
      </c>
      <c r="F79" s="3">
        <v>1035</v>
      </c>
      <c r="G79" s="5"/>
      <c r="H79" s="7"/>
      <c r="I79" s="7"/>
      <c r="J79" s="14"/>
      <c r="K79" s="14"/>
      <c r="L79" s="1"/>
    </row>
    <row r="80" spans="1:16" ht="16" x14ac:dyDescent="0.2">
      <c r="A80" s="1" t="s">
        <v>154</v>
      </c>
      <c r="B80" s="1" t="s">
        <v>26</v>
      </c>
      <c r="C80" s="1" t="s">
        <v>24</v>
      </c>
      <c r="D80" s="1" t="s">
        <v>155</v>
      </c>
      <c r="E80" s="1" t="s">
        <v>14</v>
      </c>
      <c r="F80" s="3">
        <v>1280</v>
      </c>
      <c r="G80" s="5">
        <v>3000</v>
      </c>
      <c r="H80" s="7">
        <v>45660</v>
      </c>
      <c r="I80" s="7">
        <v>46053</v>
      </c>
      <c r="J80" s="14">
        <v>3000</v>
      </c>
      <c r="K80" s="14">
        <v>0</v>
      </c>
    </row>
    <row r="81" spans="1:12" ht="16" x14ac:dyDescent="0.2">
      <c r="A81" s="1" t="s">
        <v>156</v>
      </c>
      <c r="B81" s="20" t="s">
        <v>259</v>
      </c>
      <c r="C81" s="1" t="s">
        <v>24</v>
      </c>
      <c r="D81" s="1" t="s">
        <v>157</v>
      </c>
      <c r="E81" s="1" t="s">
        <v>14</v>
      </c>
      <c r="F81" s="3">
        <v>1280</v>
      </c>
      <c r="G81" s="5">
        <v>2640</v>
      </c>
      <c r="H81" s="7">
        <v>45292</v>
      </c>
      <c r="I81" s="7">
        <v>45657</v>
      </c>
      <c r="J81" s="14">
        <v>0</v>
      </c>
      <c r="K81" s="14">
        <v>9399.32</v>
      </c>
      <c r="L81" s="16" t="s">
        <v>239</v>
      </c>
    </row>
    <row r="82" spans="1:12" ht="16" x14ac:dyDescent="0.2">
      <c r="A82" s="1" t="s">
        <v>158</v>
      </c>
      <c r="B82" s="17" t="s">
        <v>23</v>
      </c>
      <c r="C82" s="1" t="s">
        <v>24</v>
      </c>
      <c r="D82" s="1" t="s">
        <v>159</v>
      </c>
      <c r="E82" s="1" t="s">
        <v>14</v>
      </c>
      <c r="F82" s="3">
        <v>1280</v>
      </c>
      <c r="G82" s="5">
        <v>2339</v>
      </c>
      <c r="H82" s="7">
        <v>43586</v>
      </c>
      <c r="I82" s="7">
        <v>43951</v>
      </c>
      <c r="J82" s="14">
        <v>2339</v>
      </c>
      <c r="K82" s="14">
        <v>5090</v>
      </c>
    </row>
    <row r="83" spans="1:12" ht="16" x14ac:dyDescent="0.2">
      <c r="A83" s="1" t="s">
        <v>160</v>
      </c>
      <c r="B83" s="1" t="s">
        <v>26</v>
      </c>
      <c r="C83" s="1" t="s">
        <v>24</v>
      </c>
      <c r="D83" s="1" t="s">
        <v>161</v>
      </c>
      <c r="E83" s="1" t="s">
        <v>14</v>
      </c>
      <c r="F83" s="3">
        <v>1280</v>
      </c>
      <c r="G83" s="5">
        <v>3000</v>
      </c>
      <c r="H83" s="7">
        <v>45658</v>
      </c>
      <c r="I83" s="7">
        <v>46022</v>
      </c>
      <c r="J83" s="14">
        <f>1000+600</f>
        <v>1600</v>
      </c>
      <c r="K83" s="14">
        <v>0</v>
      </c>
    </row>
    <row r="84" spans="1:12" ht="16" x14ac:dyDescent="0.2">
      <c r="A84" s="1" t="s">
        <v>162</v>
      </c>
      <c r="B84" s="17" t="s">
        <v>23</v>
      </c>
      <c r="C84" s="1" t="s">
        <v>32</v>
      </c>
      <c r="D84" s="1" t="s">
        <v>163</v>
      </c>
      <c r="E84" s="1" t="s">
        <v>14</v>
      </c>
      <c r="F84" s="3">
        <v>1035</v>
      </c>
      <c r="G84" s="5">
        <v>1700</v>
      </c>
      <c r="H84" s="7">
        <v>42887</v>
      </c>
      <c r="I84" s="7">
        <v>43251</v>
      </c>
      <c r="J84" s="14">
        <f>1032+701</f>
        <v>1733</v>
      </c>
      <c r="K84" s="14">
        <v>0</v>
      </c>
      <c r="L84" s="35" t="s">
        <v>245</v>
      </c>
    </row>
    <row r="85" spans="1:12" ht="16" x14ac:dyDescent="0.2">
      <c r="A85" s="1" t="s">
        <v>164</v>
      </c>
      <c r="B85" s="17" t="s">
        <v>23</v>
      </c>
      <c r="C85" s="1" t="s">
        <v>24</v>
      </c>
      <c r="D85" s="1" t="s">
        <v>165</v>
      </c>
      <c r="E85" s="1" t="s">
        <v>14</v>
      </c>
      <c r="F85" s="3">
        <v>1307</v>
      </c>
      <c r="G85" s="5">
        <v>2875</v>
      </c>
      <c r="H85" s="7">
        <v>44105</v>
      </c>
      <c r="I85" s="7">
        <v>44500</v>
      </c>
      <c r="J85" s="14">
        <f>526+1150+1000</f>
        <v>2676</v>
      </c>
      <c r="K85" s="14">
        <v>1398</v>
      </c>
    </row>
    <row r="86" spans="1:12" ht="16" x14ac:dyDescent="0.2">
      <c r="A86" s="1" t="s">
        <v>166</v>
      </c>
      <c r="B86" s="17" t="s">
        <v>23</v>
      </c>
      <c r="C86" s="1" t="s">
        <v>29</v>
      </c>
      <c r="D86" s="1" t="s">
        <v>167</v>
      </c>
      <c r="E86" s="1" t="s">
        <v>14</v>
      </c>
      <c r="F86" s="3">
        <v>850</v>
      </c>
      <c r="G86" s="5">
        <v>1384</v>
      </c>
      <c r="H86" s="7">
        <v>43481</v>
      </c>
      <c r="I86" s="7">
        <v>43861</v>
      </c>
      <c r="J86" s="14">
        <f>37+1000+311</f>
        <v>1348</v>
      </c>
      <c r="K86" s="14">
        <v>443</v>
      </c>
    </row>
    <row r="87" spans="1:12" ht="16" x14ac:dyDescent="0.2">
      <c r="A87" s="1" t="s">
        <v>168</v>
      </c>
      <c r="B87" s="1" t="s">
        <v>26</v>
      </c>
      <c r="C87" s="1" t="s">
        <v>24</v>
      </c>
      <c r="D87" s="1"/>
      <c r="E87" s="15" t="s">
        <v>19</v>
      </c>
      <c r="F87" s="3">
        <v>1307</v>
      </c>
      <c r="G87" s="5"/>
      <c r="H87" s="7"/>
      <c r="I87" s="7"/>
      <c r="J87" s="14"/>
      <c r="K87" s="14"/>
      <c r="L87" s="1"/>
    </row>
    <row r="88" spans="1:12" ht="16" x14ac:dyDescent="0.2">
      <c r="A88" s="1" t="s">
        <v>169</v>
      </c>
      <c r="B88" s="1" t="s">
        <v>26</v>
      </c>
      <c r="C88" s="1" t="s">
        <v>24</v>
      </c>
      <c r="D88" s="1" t="s">
        <v>170</v>
      </c>
      <c r="E88" s="1" t="s">
        <v>14</v>
      </c>
      <c r="F88" s="3">
        <v>1280</v>
      </c>
      <c r="G88" s="5">
        <v>2926</v>
      </c>
      <c r="H88" s="7">
        <v>42859</v>
      </c>
      <c r="I88" s="7">
        <v>43251</v>
      </c>
      <c r="J88" s="14">
        <v>0</v>
      </c>
      <c r="K88" s="14">
        <v>96558</v>
      </c>
      <c r="L88" s="16" t="s">
        <v>239</v>
      </c>
    </row>
    <row r="89" spans="1:12" ht="16" x14ac:dyDescent="0.2">
      <c r="A89" s="1" t="s">
        <v>171</v>
      </c>
      <c r="B89" s="17" t="s">
        <v>23</v>
      </c>
      <c r="C89" s="1" t="s">
        <v>29</v>
      </c>
      <c r="D89" s="1" t="s">
        <v>172</v>
      </c>
      <c r="E89" s="1" t="s">
        <v>14</v>
      </c>
      <c r="F89" s="3">
        <v>750</v>
      </c>
      <c r="G89" s="5">
        <v>1384</v>
      </c>
      <c r="H89" s="7">
        <v>43745</v>
      </c>
      <c r="I89" s="7">
        <v>44135</v>
      </c>
      <c r="J89" s="14">
        <f>1118+291</f>
        <v>1409</v>
      </c>
      <c r="K89" s="14">
        <v>0</v>
      </c>
    </row>
    <row r="90" spans="1:12" ht="16" x14ac:dyDescent="0.2">
      <c r="A90" s="1" t="s">
        <v>173</v>
      </c>
      <c r="B90" s="1" t="s">
        <v>26</v>
      </c>
      <c r="C90" s="1" t="s">
        <v>32</v>
      </c>
      <c r="D90" s="1" t="s">
        <v>174</v>
      </c>
      <c r="E90" s="1" t="s">
        <v>14</v>
      </c>
      <c r="F90" s="3">
        <v>1035</v>
      </c>
      <c r="G90" s="5">
        <v>2300</v>
      </c>
      <c r="H90" s="7">
        <v>45545</v>
      </c>
      <c r="I90" s="7">
        <v>45930</v>
      </c>
      <c r="J90" s="14">
        <v>0</v>
      </c>
      <c r="K90" s="14">
        <v>10910</v>
      </c>
      <c r="L90" s="16" t="s">
        <v>239</v>
      </c>
    </row>
    <row r="91" spans="1:12" ht="16" x14ac:dyDescent="0.2">
      <c r="A91" s="1" t="s">
        <v>175</v>
      </c>
      <c r="B91" s="1" t="s">
        <v>26</v>
      </c>
      <c r="C91" s="1" t="s">
        <v>24</v>
      </c>
      <c r="D91" s="1" t="s">
        <v>176</v>
      </c>
      <c r="E91" s="1" t="s">
        <v>14</v>
      </c>
      <c r="F91" s="3">
        <v>1280</v>
      </c>
      <c r="G91" s="5">
        <v>2640</v>
      </c>
      <c r="H91" s="7">
        <v>45275</v>
      </c>
      <c r="I91" s="7">
        <v>45657</v>
      </c>
      <c r="J91" s="14">
        <v>2790</v>
      </c>
      <c r="K91" s="14">
        <v>0</v>
      </c>
    </row>
    <row r="92" spans="1:12" ht="16" x14ac:dyDescent="0.2">
      <c r="A92" s="1" t="s">
        <v>177</v>
      </c>
      <c r="B92" s="19" t="s">
        <v>257</v>
      </c>
      <c r="C92" s="1" t="s">
        <v>29</v>
      </c>
      <c r="D92" s="1" t="s">
        <v>178</v>
      </c>
      <c r="E92" s="1" t="s">
        <v>14</v>
      </c>
      <c r="F92" s="3">
        <v>750</v>
      </c>
      <c r="G92" s="5">
        <v>1384</v>
      </c>
      <c r="H92" s="7">
        <v>43586</v>
      </c>
      <c r="I92" s="7">
        <v>43951</v>
      </c>
      <c r="J92" s="14">
        <f>1185+1200</f>
        <v>2385</v>
      </c>
      <c r="K92" s="14">
        <v>517</v>
      </c>
    </row>
    <row r="93" spans="1:12" ht="16" x14ac:dyDescent="0.2">
      <c r="A93" s="1" t="s">
        <v>179</v>
      </c>
      <c r="B93" s="1" t="s">
        <v>26</v>
      </c>
      <c r="C93" s="1" t="s">
        <v>32</v>
      </c>
      <c r="D93" s="1" t="s">
        <v>180</v>
      </c>
      <c r="E93" s="1" t="s">
        <v>14</v>
      </c>
      <c r="F93" s="3">
        <v>1035</v>
      </c>
      <c r="G93" s="5">
        <v>2170</v>
      </c>
      <c r="H93" s="7">
        <v>43084</v>
      </c>
      <c r="I93" s="7">
        <v>43465</v>
      </c>
      <c r="J93" s="14">
        <v>0</v>
      </c>
      <c r="K93" s="14">
        <v>0</v>
      </c>
    </row>
    <row r="94" spans="1:12" ht="16" x14ac:dyDescent="0.2">
      <c r="A94" s="1" t="s">
        <v>181</v>
      </c>
      <c r="B94" s="17" t="s">
        <v>71</v>
      </c>
      <c r="C94" s="1" t="s">
        <v>24</v>
      </c>
      <c r="D94" s="1" t="s">
        <v>182</v>
      </c>
      <c r="E94" s="1" t="s">
        <v>14</v>
      </c>
      <c r="F94" s="3">
        <v>1280</v>
      </c>
      <c r="G94" s="5">
        <v>2706</v>
      </c>
      <c r="H94" s="7">
        <v>44582</v>
      </c>
      <c r="I94" s="7">
        <v>44957</v>
      </c>
      <c r="J94" s="14">
        <v>0</v>
      </c>
      <c r="K94" s="14">
        <v>30762.19</v>
      </c>
    </row>
    <row r="95" spans="1:12" ht="16" x14ac:dyDescent="0.2">
      <c r="A95" s="1" t="s">
        <v>183</v>
      </c>
      <c r="B95" s="1" t="s">
        <v>26</v>
      </c>
      <c r="C95" s="1" t="s">
        <v>32</v>
      </c>
      <c r="D95" s="1" t="s">
        <v>184</v>
      </c>
      <c r="E95" s="1" t="s">
        <v>14</v>
      </c>
      <c r="F95" s="3">
        <v>1035</v>
      </c>
      <c r="G95" s="5">
        <v>1791</v>
      </c>
      <c r="H95" s="7">
        <v>43739</v>
      </c>
      <c r="I95" s="7">
        <v>44104</v>
      </c>
      <c r="J95" s="14">
        <v>0</v>
      </c>
      <c r="K95" s="14">
        <v>0</v>
      </c>
    </row>
    <row r="96" spans="1:12" ht="16" x14ac:dyDescent="0.2">
      <c r="A96" s="1" t="s">
        <v>185</v>
      </c>
      <c r="B96" s="17" t="s">
        <v>71</v>
      </c>
      <c r="C96" s="1" t="s">
        <v>32</v>
      </c>
      <c r="D96" s="1" t="s">
        <v>186</v>
      </c>
      <c r="E96" s="1" t="s">
        <v>14</v>
      </c>
      <c r="F96" s="3">
        <v>1035</v>
      </c>
      <c r="G96" s="5">
        <v>1956</v>
      </c>
      <c r="H96" s="7">
        <v>44256</v>
      </c>
      <c r="I96" s="7">
        <v>44620</v>
      </c>
      <c r="J96" s="14">
        <f>1361+600</f>
        <v>1961</v>
      </c>
      <c r="K96" s="14">
        <v>1994</v>
      </c>
    </row>
    <row r="97" spans="1:12" ht="16" x14ac:dyDescent="0.2">
      <c r="A97" s="1" t="s">
        <v>187</v>
      </c>
      <c r="B97" s="1" t="s">
        <v>26</v>
      </c>
      <c r="C97" s="1" t="s">
        <v>32</v>
      </c>
      <c r="D97" s="1"/>
      <c r="E97" s="15" t="s">
        <v>19</v>
      </c>
      <c r="F97" s="3">
        <v>1035</v>
      </c>
      <c r="G97" s="5"/>
      <c r="H97" s="7"/>
      <c r="I97" s="7"/>
      <c r="J97" s="14"/>
      <c r="K97" s="14"/>
      <c r="L97" s="1"/>
    </row>
    <row r="98" spans="1:12" ht="16" x14ac:dyDescent="0.2">
      <c r="A98" s="1" t="s">
        <v>188</v>
      </c>
      <c r="B98" s="17" t="s">
        <v>23</v>
      </c>
      <c r="C98" s="1" t="s">
        <v>32</v>
      </c>
      <c r="D98" s="1" t="s">
        <v>189</v>
      </c>
      <c r="E98" s="1" t="s">
        <v>14</v>
      </c>
      <c r="F98" s="3">
        <v>1035</v>
      </c>
      <c r="G98" s="5">
        <v>1700</v>
      </c>
      <c r="H98" s="7">
        <v>43525</v>
      </c>
      <c r="I98" s="7">
        <v>43890</v>
      </c>
      <c r="J98" s="14">
        <f>1700+70</f>
        <v>1770</v>
      </c>
      <c r="K98" s="14">
        <v>0</v>
      </c>
    </row>
    <row r="99" spans="1:12" ht="16" x14ac:dyDescent="0.2">
      <c r="A99" s="1" t="s">
        <v>190</v>
      </c>
      <c r="B99" s="1" t="s">
        <v>26</v>
      </c>
      <c r="C99" s="1" t="s">
        <v>32</v>
      </c>
      <c r="D99" s="1" t="s">
        <v>191</v>
      </c>
      <c r="E99" s="1" t="s">
        <v>14</v>
      </c>
      <c r="F99" s="3">
        <v>1035</v>
      </c>
      <c r="G99" s="5">
        <v>2500</v>
      </c>
      <c r="H99" s="7">
        <v>45717</v>
      </c>
      <c r="I99" s="7">
        <v>46081</v>
      </c>
      <c r="J99" s="14">
        <v>0</v>
      </c>
      <c r="K99" s="14">
        <v>12900</v>
      </c>
      <c r="L99" s="16" t="s">
        <v>239</v>
      </c>
    </row>
    <row r="100" spans="1:12" ht="16" x14ac:dyDescent="0.2">
      <c r="A100" s="1" t="s">
        <v>192</v>
      </c>
      <c r="B100" s="17" t="s">
        <v>23</v>
      </c>
      <c r="C100" s="1" t="s">
        <v>29</v>
      </c>
      <c r="D100" s="1" t="s">
        <v>193</v>
      </c>
      <c r="E100" s="1" t="s">
        <v>14</v>
      </c>
      <c r="F100" s="3">
        <v>750</v>
      </c>
      <c r="G100" s="5">
        <v>1384</v>
      </c>
      <c r="H100" s="7">
        <v>43739</v>
      </c>
      <c r="I100" s="7">
        <v>44104</v>
      </c>
      <c r="J100" s="14">
        <f>1136+273</f>
        <v>1409</v>
      </c>
      <c r="K100" s="14">
        <v>5017</v>
      </c>
      <c r="L100" t="s">
        <v>269</v>
      </c>
    </row>
    <row r="101" spans="1:12" ht="16" x14ac:dyDescent="0.2">
      <c r="A101" s="1" t="s">
        <v>194</v>
      </c>
      <c r="B101" s="1" t="s">
        <v>26</v>
      </c>
      <c r="C101" s="1" t="s">
        <v>29</v>
      </c>
      <c r="D101" s="1" t="s">
        <v>195</v>
      </c>
      <c r="E101" s="1" t="s">
        <v>14</v>
      </c>
      <c r="F101" s="3">
        <v>750</v>
      </c>
      <c r="G101" s="5">
        <v>2000</v>
      </c>
      <c r="H101" s="7">
        <v>45636</v>
      </c>
      <c r="I101" s="7">
        <v>46022</v>
      </c>
      <c r="J101" s="14">
        <v>2000</v>
      </c>
      <c r="K101" s="14">
        <v>0</v>
      </c>
    </row>
    <row r="102" spans="1:12" ht="16" x14ac:dyDescent="0.2">
      <c r="A102" s="1" t="s">
        <v>196</v>
      </c>
      <c r="B102" s="1" t="s">
        <v>26</v>
      </c>
      <c r="C102" s="1" t="s">
        <v>32</v>
      </c>
      <c r="D102" s="1" t="s">
        <v>197</v>
      </c>
      <c r="E102" s="1" t="s">
        <v>14</v>
      </c>
      <c r="F102" s="3">
        <v>1035</v>
      </c>
      <c r="G102" s="5">
        <v>2500</v>
      </c>
      <c r="H102" s="7">
        <v>45689</v>
      </c>
      <c r="I102" s="7">
        <v>46053</v>
      </c>
      <c r="J102" s="14">
        <f>2500+2500</f>
        <v>5000</v>
      </c>
      <c r="K102" s="14">
        <v>0</v>
      </c>
    </row>
    <row r="103" spans="1:12" ht="16" x14ac:dyDescent="0.2">
      <c r="A103" s="1" t="s">
        <v>198</v>
      </c>
      <c r="B103" s="1" t="s">
        <v>26</v>
      </c>
      <c r="C103" s="1" t="s">
        <v>24</v>
      </c>
      <c r="D103" s="1" t="s">
        <v>199</v>
      </c>
      <c r="E103" s="1" t="s">
        <v>14</v>
      </c>
      <c r="F103" s="3">
        <v>1280</v>
      </c>
      <c r="G103" s="5">
        <v>2460</v>
      </c>
      <c r="H103" s="7">
        <v>43077</v>
      </c>
      <c r="I103" s="7">
        <v>43465</v>
      </c>
      <c r="J103" s="14">
        <f>2585+2585</f>
        <v>5170</v>
      </c>
      <c r="K103" s="14">
        <v>0</v>
      </c>
    </row>
    <row r="104" spans="1:12" ht="16" x14ac:dyDescent="0.2">
      <c r="A104" s="1" t="s">
        <v>200</v>
      </c>
      <c r="B104" s="1" t="s">
        <v>26</v>
      </c>
      <c r="C104" s="1" t="s">
        <v>24</v>
      </c>
      <c r="D104" s="1" t="s">
        <v>201</v>
      </c>
      <c r="E104" s="1" t="s">
        <v>14</v>
      </c>
      <c r="F104" s="3">
        <v>1280</v>
      </c>
      <c r="G104" s="5">
        <v>2706</v>
      </c>
      <c r="H104" s="7">
        <v>43089</v>
      </c>
      <c r="I104" s="7">
        <v>43465</v>
      </c>
      <c r="J104" s="14">
        <v>2806</v>
      </c>
      <c r="K104" s="14">
        <v>0</v>
      </c>
    </row>
    <row r="105" spans="1:12" ht="16" x14ac:dyDescent="0.2">
      <c r="A105" s="1" t="s">
        <v>202</v>
      </c>
      <c r="B105" s="1" t="s">
        <v>26</v>
      </c>
      <c r="C105" s="1" t="s">
        <v>32</v>
      </c>
      <c r="D105" s="1" t="s">
        <v>203</v>
      </c>
      <c r="E105" s="1" t="s">
        <v>14</v>
      </c>
      <c r="F105" s="3">
        <v>1035</v>
      </c>
      <c r="G105" s="5">
        <v>2200</v>
      </c>
      <c r="H105" s="7">
        <v>45231</v>
      </c>
      <c r="I105" s="7">
        <v>45596</v>
      </c>
      <c r="J105" s="14">
        <v>2350</v>
      </c>
      <c r="K105" s="14">
        <v>0</v>
      </c>
    </row>
    <row r="106" spans="1:12" ht="16" x14ac:dyDescent="0.2">
      <c r="A106" s="1" t="s">
        <v>204</v>
      </c>
      <c r="B106" s="20" t="s">
        <v>258</v>
      </c>
      <c r="C106" s="1" t="s">
        <v>32</v>
      </c>
      <c r="D106" s="1" t="s">
        <v>205</v>
      </c>
      <c r="E106" s="1" t="s">
        <v>14</v>
      </c>
      <c r="F106" s="3">
        <v>1035</v>
      </c>
      <c r="G106" s="5">
        <v>2500</v>
      </c>
      <c r="H106" s="7">
        <v>45717</v>
      </c>
      <c r="I106" s="7">
        <v>46081</v>
      </c>
      <c r="J106" s="14">
        <v>0</v>
      </c>
      <c r="K106" s="14">
        <v>990</v>
      </c>
    </row>
    <row r="107" spans="1:12" ht="16" x14ac:dyDescent="0.2">
      <c r="A107" s="1" t="s">
        <v>206</v>
      </c>
      <c r="B107" s="17" t="s">
        <v>23</v>
      </c>
      <c r="C107" s="1" t="s">
        <v>29</v>
      </c>
      <c r="D107" s="1" t="s">
        <v>207</v>
      </c>
      <c r="E107" s="1" t="s">
        <v>14</v>
      </c>
      <c r="F107" s="3">
        <v>750</v>
      </c>
      <c r="G107" s="5">
        <v>1384</v>
      </c>
      <c r="H107" s="7">
        <v>43481</v>
      </c>
      <c r="I107" s="7">
        <v>43861</v>
      </c>
      <c r="J107" s="14">
        <f>1384+27</f>
        <v>1411</v>
      </c>
      <c r="K107" s="14">
        <v>211.9</v>
      </c>
    </row>
    <row r="108" spans="1:12" ht="16" x14ac:dyDescent="0.2">
      <c r="A108" s="1" t="s">
        <v>208</v>
      </c>
      <c r="B108" s="1" t="s">
        <v>26</v>
      </c>
      <c r="C108" s="1" t="s">
        <v>29</v>
      </c>
      <c r="D108" s="1" t="s">
        <v>209</v>
      </c>
      <c r="E108" s="1" t="s">
        <v>14</v>
      </c>
      <c r="F108" s="3">
        <v>750</v>
      </c>
      <c r="G108" s="5">
        <v>1600</v>
      </c>
      <c r="H108" s="7">
        <v>43160</v>
      </c>
      <c r="I108" s="7">
        <v>43524</v>
      </c>
      <c r="J108" s="14">
        <v>1625</v>
      </c>
      <c r="K108" s="14">
        <v>0</v>
      </c>
    </row>
    <row r="109" spans="1:12" ht="16" x14ac:dyDescent="0.2">
      <c r="A109" s="1" t="s">
        <v>210</v>
      </c>
      <c r="B109" s="1" t="s">
        <v>26</v>
      </c>
      <c r="C109" s="1" t="s">
        <v>32</v>
      </c>
      <c r="D109" s="1" t="s">
        <v>211</v>
      </c>
      <c r="E109" s="1" t="s">
        <v>14</v>
      </c>
      <c r="F109" s="3">
        <v>1035</v>
      </c>
      <c r="G109" s="5">
        <v>2500</v>
      </c>
      <c r="H109" s="7">
        <v>45597</v>
      </c>
      <c r="I109" s="7">
        <v>45961</v>
      </c>
      <c r="J109" s="14">
        <v>0</v>
      </c>
      <c r="K109" s="14">
        <v>12675</v>
      </c>
      <c r="L109" s="16" t="s">
        <v>239</v>
      </c>
    </row>
    <row r="110" spans="1:12" ht="16" x14ac:dyDescent="0.2">
      <c r="A110" s="1" t="s">
        <v>212</v>
      </c>
      <c r="B110" s="1" t="s">
        <v>26</v>
      </c>
      <c r="C110" s="1" t="s">
        <v>32</v>
      </c>
      <c r="D110" s="1"/>
      <c r="E110" s="15" t="s">
        <v>19</v>
      </c>
      <c r="F110" s="3">
        <v>1035</v>
      </c>
      <c r="G110" s="5"/>
      <c r="H110" s="7"/>
      <c r="I110" s="7"/>
      <c r="J110" s="14"/>
      <c r="K110" s="14"/>
      <c r="L110" s="1"/>
    </row>
    <row r="111" spans="1:12" ht="16" x14ac:dyDescent="0.2">
      <c r="A111" s="1" t="s">
        <v>213</v>
      </c>
      <c r="B111" s="17" t="s">
        <v>23</v>
      </c>
      <c r="C111" s="1" t="s">
        <v>32</v>
      </c>
      <c r="D111" s="1" t="s">
        <v>214</v>
      </c>
      <c r="E111" s="1" t="s">
        <v>14</v>
      </c>
      <c r="F111" s="3">
        <v>1035</v>
      </c>
      <c r="G111" s="5">
        <v>2264</v>
      </c>
      <c r="H111" s="7">
        <v>44426</v>
      </c>
      <c r="I111" s="7">
        <v>44804</v>
      </c>
      <c r="J111" s="14">
        <f>1512+1032+1032+1032+1232</f>
        <v>5840</v>
      </c>
      <c r="K111" s="14">
        <v>7768</v>
      </c>
    </row>
    <row r="112" spans="1:12" ht="16" x14ac:dyDescent="0.2">
      <c r="A112" s="1" t="s">
        <v>215</v>
      </c>
      <c r="B112" s="1" t="s">
        <v>26</v>
      </c>
      <c r="C112" s="1" t="s">
        <v>32</v>
      </c>
      <c r="D112" s="1"/>
      <c r="E112" s="15" t="s">
        <v>19</v>
      </c>
      <c r="F112" s="3">
        <v>1035</v>
      </c>
      <c r="G112" s="5"/>
      <c r="H112" s="7"/>
      <c r="I112" s="7"/>
      <c r="J112" s="14"/>
      <c r="K112" s="14"/>
      <c r="L112" s="1"/>
    </row>
    <row r="113" spans="1:12" ht="15.5" customHeight="1" x14ac:dyDescent="0.2">
      <c r="A113" s="1" t="s">
        <v>216</v>
      </c>
      <c r="B113" s="1" t="s">
        <v>26</v>
      </c>
      <c r="C113" s="1" t="s">
        <v>32</v>
      </c>
      <c r="D113" s="1" t="s">
        <v>217</v>
      </c>
      <c r="E113" s="1" t="s">
        <v>14</v>
      </c>
      <c r="F113" s="3">
        <v>1035</v>
      </c>
      <c r="G113" s="5">
        <v>1791</v>
      </c>
      <c r="H113" s="7">
        <v>43748</v>
      </c>
      <c r="I113" s="7">
        <v>44135</v>
      </c>
      <c r="J113" s="14">
        <v>427</v>
      </c>
      <c r="K113" s="14">
        <v>22687.86</v>
      </c>
      <c r="L113" t="s">
        <v>270</v>
      </c>
    </row>
    <row r="114" spans="1:12" ht="16" x14ac:dyDescent="0.2">
      <c r="A114" s="1" t="s">
        <v>218</v>
      </c>
      <c r="B114" s="18" t="s">
        <v>238</v>
      </c>
      <c r="C114" s="1" t="s">
        <v>32</v>
      </c>
      <c r="D114" s="1" t="s">
        <v>219</v>
      </c>
      <c r="E114" s="1" t="s">
        <v>14</v>
      </c>
      <c r="F114" s="3">
        <v>1035</v>
      </c>
      <c r="G114" s="5">
        <v>2500</v>
      </c>
      <c r="H114" s="7">
        <v>45597</v>
      </c>
      <c r="I114" s="7">
        <v>45961</v>
      </c>
      <c r="J114" s="14">
        <f>1500+1000+500</f>
        <v>3000</v>
      </c>
      <c r="K114" s="14">
        <v>0</v>
      </c>
    </row>
    <row r="115" spans="1:12" ht="16" x14ac:dyDescent="0.2">
      <c r="A115" s="1" t="s">
        <v>220</v>
      </c>
      <c r="B115" s="1" t="s">
        <v>26</v>
      </c>
      <c r="C115" s="1" t="s">
        <v>32</v>
      </c>
      <c r="D115" s="1" t="s">
        <v>221</v>
      </c>
      <c r="E115" s="1" t="s">
        <v>14</v>
      </c>
      <c r="F115" s="3">
        <v>1035</v>
      </c>
      <c r="G115" s="5">
        <v>2500</v>
      </c>
      <c r="H115" s="7">
        <v>45660</v>
      </c>
      <c r="I115" s="7">
        <v>46053</v>
      </c>
      <c r="J115" s="14">
        <f>2500+2500</f>
        <v>5000</v>
      </c>
      <c r="K115" s="14">
        <v>0</v>
      </c>
    </row>
    <row r="116" spans="1:12" ht="16" x14ac:dyDescent="0.2">
      <c r="A116" s="1" t="s">
        <v>222</v>
      </c>
      <c r="B116" s="1" t="s">
        <v>26</v>
      </c>
      <c r="C116" s="1" t="s">
        <v>24</v>
      </c>
      <c r="D116" s="1" t="s">
        <v>223</v>
      </c>
      <c r="E116" s="1" t="s">
        <v>14</v>
      </c>
      <c r="F116" s="3">
        <v>1280</v>
      </c>
      <c r="G116" s="5">
        <v>3000</v>
      </c>
      <c r="H116" s="7">
        <v>45901</v>
      </c>
      <c r="I116" s="7">
        <v>46265</v>
      </c>
      <c r="J116" s="14">
        <v>0</v>
      </c>
      <c r="K116" s="14">
        <v>0</v>
      </c>
    </row>
    <row r="117" spans="1:12" ht="16" x14ac:dyDescent="0.2">
      <c r="A117" s="1" t="s">
        <v>224</v>
      </c>
      <c r="B117" s="1" t="s">
        <v>26</v>
      </c>
      <c r="C117" s="1" t="s">
        <v>24</v>
      </c>
      <c r="D117" s="1" t="s">
        <v>225</v>
      </c>
      <c r="E117" s="1" t="s">
        <v>14</v>
      </c>
      <c r="F117" s="3">
        <v>1280</v>
      </c>
      <c r="G117" s="5">
        <v>2660</v>
      </c>
      <c r="H117" s="7">
        <v>43138</v>
      </c>
      <c r="I117" s="7">
        <v>43524</v>
      </c>
      <c r="J117" s="14">
        <v>2710</v>
      </c>
      <c r="K117" s="14">
        <v>0</v>
      </c>
    </row>
    <row r="118" spans="1:12" ht="16" x14ac:dyDescent="0.2">
      <c r="A118" s="1" t="s">
        <v>226</v>
      </c>
      <c r="B118" s="19" t="s">
        <v>257</v>
      </c>
      <c r="C118" s="1" t="s">
        <v>24</v>
      </c>
      <c r="D118" s="1" t="s">
        <v>227</v>
      </c>
      <c r="E118" s="1" t="s">
        <v>14</v>
      </c>
      <c r="F118" s="3">
        <v>1280</v>
      </c>
      <c r="G118" s="5">
        <v>2339</v>
      </c>
      <c r="H118" s="7">
        <v>43497</v>
      </c>
      <c r="I118" s="7">
        <v>43861</v>
      </c>
      <c r="J118" s="14">
        <f>635+640</f>
        <v>1275</v>
      </c>
      <c r="K118" s="14">
        <v>0</v>
      </c>
    </row>
    <row r="119" spans="1:12" ht="16" x14ac:dyDescent="0.2">
      <c r="A119" s="1" t="s">
        <v>228</v>
      </c>
      <c r="B119" s="1" t="s">
        <v>26</v>
      </c>
      <c r="C119" s="1" t="s">
        <v>24</v>
      </c>
      <c r="D119" s="1" t="s">
        <v>229</v>
      </c>
      <c r="E119" s="1" t="s">
        <v>14</v>
      </c>
      <c r="F119" s="3">
        <v>1280</v>
      </c>
      <c r="G119" s="5">
        <v>3000</v>
      </c>
      <c r="H119" s="7">
        <v>45717</v>
      </c>
      <c r="I119" s="7">
        <v>46081</v>
      </c>
      <c r="J119" s="14">
        <f>6000+3000</f>
        <v>9000</v>
      </c>
      <c r="K119" s="14">
        <v>0</v>
      </c>
    </row>
    <row r="120" spans="1:12" ht="16" x14ac:dyDescent="0.2">
      <c r="A120" s="1" t="s">
        <v>230</v>
      </c>
      <c r="B120" s="17" t="s">
        <v>71</v>
      </c>
      <c r="C120" s="1" t="s">
        <v>32</v>
      </c>
      <c r="D120" s="1" t="s">
        <v>231</v>
      </c>
      <c r="E120" s="1" t="s">
        <v>14</v>
      </c>
      <c r="F120" s="3">
        <v>1035</v>
      </c>
      <c r="G120" s="5">
        <v>1791</v>
      </c>
      <c r="H120" s="7">
        <v>43815</v>
      </c>
      <c r="I120" s="7">
        <v>44196</v>
      </c>
      <c r="J120" s="14">
        <f>1621+240</f>
        <v>1861</v>
      </c>
      <c r="K120" s="14">
        <v>0</v>
      </c>
    </row>
    <row r="121" spans="1:12" ht="16" x14ac:dyDescent="0.2">
      <c r="A121" s="1" t="s">
        <v>232</v>
      </c>
      <c r="B121" s="1" t="s">
        <v>26</v>
      </c>
      <c r="C121" s="1" t="s">
        <v>24</v>
      </c>
      <c r="D121" s="1" t="s">
        <v>233</v>
      </c>
      <c r="E121" s="1" t="s">
        <v>14</v>
      </c>
      <c r="F121" s="3">
        <v>1307</v>
      </c>
      <c r="G121" s="5">
        <v>2985.4</v>
      </c>
      <c r="H121" s="7">
        <v>42880</v>
      </c>
      <c r="I121" s="7">
        <v>43251</v>
      </c>
      <c r="J121" s="14">
        <v>3274.23</v>
      </c>
      <c r="K121" s="14">
        <v>0</v>
      </c>
    </row>
    <row r="122" spans="1:12" ht="16" x14ac:dyDescent="0.2">
      <c r="A122" s="1" t="s">
        <v>234</v>
      </c>
      <c r="B122" s="19" t="s">
        <v>256</v>
      </c>
      <c r="C122" s="1" t="s">
        <v>29</v>
      </c>
      <c r="D122" s="1" t="s">
        <v>235</v>
      </c>
      <c r="E122" s="1" t="s">
        <v>14</v>
      </c>
      <c r="F122" s="3">
        <v>850</v>
      </c>
      <c r="G122" s="5">
        <v>1384</v>
      </c>
      <c r="H122" s="7">
        <v>43497</v>
      </c>
      <c r="I122" s="7">
        <v>43861</v>
      </c>
      <c r="J122" s="14">
        <f>737+600</f>
        <v>1337</v>
      </c>
      <c r="K122" s="14">
        <v>1537</v>
      </c>
    </row>
    <row r="123" spans="1:12" ht="16" x14ac:dyDescent="0.2">
      <c r="A123" s="2" t="s">
        <v>236</v>
      </c>
      <c r="B123" s="2"/>
      <c r="C123" s="2"/>
      <c r="D123" s="2"/>
      <c r="E123" s="2" t="s">
        <v>237</v>
      </c>
      <c r="F123" s="4">
        <v>119167</v>
      </c>
      <c r="G123" s="6">
        <f>SUM(G10:G122)</f>
        <v>224438.19999999998</v>
      </c>
      <c r="H123" s="8"/>
      <c r="I123" s="8"/>
      <c r="J123" s="13">
        <f>SUM(J10:J122)</f>
        <v>178823.93000000002</v>
      </c>
      <c r="K123" s="13">
        <f>SUM(K10:K122)</f>
        <v>592822.60800000001</v>
      </c>
    </row>
    <row r="124" spans="1:12" x14ac:dyDescent="0.15">
      <c r="K124" s="11"/>
    </row>
    <row r="125" spans="1:12" x14ac:dyDescent="0.15">
      <c r="K125" s="11"/>
    </row>
    <row r="127" spans="1:12" x14ac:dyDescent="0.15">
      <c r="D127" t="s">
        <v>267</v>
      </c>
    </row>
    <row r="128" spans="1:12" x14ac:dyDescent="0.15">
      <c r="D128" s="31" t="s">
        <v>266</v>
      </c>
      <c r="E128" s="32" t="s">
        <v>260</v>
      </c>
      <c r="F128" s="33" t="s">
        <v>262</v>
      </c>
    </row>
    <row r="129" spans="4:6" x14ac:dyDescent="0.15">
      <c r="D129" s="21"/>
      <c r="E129" s="22" t="s">
        <v>263</v>
      </c>
      <c r="F129" s="23">
        <v>42</v>
      </c>
    </row>
    <row r="130" spans="4:6" x14ac:dyDescent="0.15">
      <c r="D130" s="24"/>
      <c r="E130" s="22" t="s">
        <v>261</v>
      </c>
      <c r="F130" s="23">
        <v>2</v>
      </c>
    </row>
    <row r="131" spans="4:6" ht="16" x14ac:dyDescent="0.2">
      <c r="D131" s="25"/>
      <c r="E131" s="26" t="s">
        <v>19</v>
      </c>
      <c r="F131" s="23">
        <v>11</v>
      </c>
    </row>
    <row r="132" spans="4:6" x14ac:dyDescent="0.15">
      <c r="D132" s="27"/>
      <c r="E132" s="22" t="s">
        <v>271</v>
      </c>
      <c r="F132" s="23">
        <v>11</v>
      </c>
    </row>
    <row r="133" spans="4:6" x14ac:dyDescent="0.15">
      <c r="D133" s="34"/>
      <c r="E133" s="22" t="s">
        <v>268</v>
      </c>
      <c r="F133" s="23">
        <v>12</v>
      </c>
    </row>
    <row r="134" spans="4:6" x14ac:dyDescent="0.15">
      <c r="D134" s="28" t="s">
        <v>264</v>
      </c>
      <c r="E134" s="29" t="s">
        <v>265</v>
      </c>
      <c r="F134" s="30">
        <v>12</v>
      </c>
    </row>
  </sheetData>
  <mergeCells count="7">
    <mergeCell ref="J8:R8"/>
    <mergeCell ref="J4:R4"/>
    <mergeCell ref="J1:R1"/>
    <mergeCell ref="J2:R2"/>
    <mergeCell ref="J3:R3"/>
    <mergeCell ref="J5:R5"/>
    <mergeCell ref="J6:R6"/>
  </mergeCells>
  <phoneticPr fontId="18" type="noConversion"/>
  <pageMargins left="0.7" right="0.7" top="0.75" bottom="0.75" header="0.3" footer="0.3"/>
  <pageSetup paperSize="5" scale="65" orientation="landscape" r:id="rId1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Gregg Wolin</cp:lastModifiedBy>
  <cp:revision>0</cp:revision>
  <cp:lastPrinted>2025-09-17T22:43:43Z</cp:lastPrinted>
  <dcterms:created xsi:type="dcterms:W3CDTF">2025-09-17T22:31:03Z</dcterms:created>
  <dcterms:modified xsi:type="dcterms:W3CDTF">2026-02-18T17:40:25Z</dcterms:modified>
</cp:coreProperties>
</file>