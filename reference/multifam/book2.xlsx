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5150east/landscape/reference/multifam/"/>
    </mc:Choice>
  </mc:AlternateContent>
  <xr:revisionPtr revIDLastSave="0" documentId="13_ncr:1_{21D73C94-9B70-E747-B799-55AFD7944A94}" xr6:coauthVersionLast="47" xr6:coauthVersionMax="47" xr10:uidLastSave="{00000000-0000-0000-0000-000000000000}"/>
  <bookViews>
    <workbookView xWindow="13280" yWindow="5940" windowWidth="21080" windowHeight="19860" activeTab="1" xr2:uid="{48663933-9FC3-4DAF-A137-55C3184A040B}"/>
  </bookViews>
  <sheets>
    <sheet name="MF" sheetId="3" r:id="rId1"/>
    <sheet name="iProperty" sheetId="4" r:id="rId2"/>
  </sheets>
  <externalReferences>
    <externalReference r:id="rId3"/>
  </externalReferences>
  <definedNames>
    <definedName name="headr_projDescr" localSheetId="1">[1]ADMIN!$D$13</definedName>
    <definedName name="headr_projDescr">#REF!</definedName>
    <definedName name="headr_projectName" localSheetId="1">IF([1]ADMIN!XEX1&gt;0,"Q"&amp;ROUNDUP(MONTH([1]ADMIN!XEV1)/3,0)&amp;"-"&amp;YEAR([1]ADMIN!XEV1)-2000,"")</definedName>
    <definedName name="headr_projectName">IF(#REF!&gt;0,"Q"&amp;ROUNDUP(MONTH(#REF!)/3,0)&amp;"-"&amp;YEAR(#REF!)-2000,"")</definedName>
    <definedName name="i_dateStart" localSheetId="1">[1]ADMIN!$D$16</definedName>
    <definedName name="i_dateStart">#REF!</definedName>
    <definedName name="i_durationMax" localSheetId="1">[1]ADMIN!$D$17</definedName>
    <definedName name="i_durationMax">#REF!</definedName>
    <definedName name="i_projectDescr" localSheetId="1">[1]ADMIN!$D$8</definedName>
    <definedName name="i_projectDescr">#REF!</definedName>
    <definedName name="i_projectLocation">#REF!</definedName>
    <definedName name="i_projectName" localSheetId="1">[1]ADMIN!$D$7</definedName>
    <definedName name="i_projectName">#REF!</definedName>
    <definedName name="list_datesMo" localSheetId="1">EDATE(iProperty!i_dateStart,_xlfn.SEQUENCE(iProperty!i_durationMax,1,0))</definedName>
    <definedName name="list_datesMo">EDATE(i_dateStart,_xlfn.SEQUENCE(i_durationMax,1,0))</definedName>
    <definedName name="list_datesQtr" localSheetId="1">IF(_xlfn.ANCHORARRAY([1]ADMIN!XFB1)&gt;0,"Q"&amp;ROUNDUP(MONTH(_xlfn.ANCHORARRAY([1]ADMIN!XFD1))/3,0)&amp;"-"&amp;YEAR(_xlfn.ANCHORARRAY([1]ADMIN!XFD1))-2000,0)</definedName>
    <definedName name="list_datesQtr">IF(_xlfn.ANCHORARRAY(#REF!)&gt;0,"Q"&amp;ROUNDUP(MONTH(_xlfn.ANCHORARRAY(#REF!))/3,0)&amp;"-"&amp;YEAR(_xlfn.ANCHORARRAY(#REF!))-2000,0)</definedName>
    <definedName name="list_datesYr" localSheetId="1">YEAR(EDATE(iProperty!i_dateStart,_xlfn.SEQUENCE(iProperty!i_durationMax,1,0)))</definedName>
    <definedName name="list_datesYr">YEAR(EDATE(i_dateStart,_xlfn.SEQUENCE(i_durationMax,1,0)))</definedName>
    <definedName name="list_MonthNames">TEXT(_xlfn.SEQUENCE(12,,1,1)&amp;"/1", "MMM")</definedName>
    <definedName name="list_periodsMo" localSheetId="1">_xlfn.SEQUENCE(iProperty!i_durationMax)</definedName>
    <definedName name="list_periodsMo">_xlfn.SEQUENCE(i_durationMax)</definedName>
    <definedName name="list_periodsQtr" localSheetId="1">ROUNDUP(_xlfn.SEQUENCE(MAX(iProperty!list_periodsMo),,1,1)/3,0)</definedName>
    <definedName name="list_periodsQtr">ROUNDUP(_xlfn.SEQUENCE(MAX(list_periodsMo),,1,1)/3,0)</definedName>
    <definedName name="list_periodsYr" localSheetId="1">_xlfn._xlws.FILTER([1]ADMIN!$H$9:$H$374,[1]ADMIN!$H$9:$H$374&lt;&gt;0)</definedName>
    <definedName name="list_periodsYr">_xlfn._xlws.FILTER(#REF!,#REF!&lt;&gt;0)</definedName>
    <definedName name="list_years" localSheetId="1">_xlfn.UNIQUE(iProperty!list_datesYr)</definedName>
    <definedName name="list_years">_xlfn.UNIQUE(list_datesYr)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0" i="4" l="1"/>
  <c r="G22" i="4"/>
  <c r="G24" i="4"/>
  <c r="G38" i="3"/>
  <c r="H38" i="3" s="1"/>
  <c r="H40" i="3" s="1"/>
  <c r="E38" i="3"/>
  <c r="E40" i="3" s="1"/>
  <c r="D38" i="3"/>
  <c r="D40" i="3" s="1"/>
  <c r="H33" i="3"/>
  <c r="F33" i="3"/>
  <c r="H32" i="3"/>
  <c r="F32" i="3"/>
  <c r="H31" i="3"/>
  <c r="F31" i="3"/>
  <c r="H26" i="3"/>
  <c r="F26" i="3"/>
  <c r="H25" i="3"/>
  <c r="F25" i="3"/>
  <c r="H24" i="3"/>
  <c r="F24" i="3"/>
  <c r="H19" i="3"/>
  <c r="H18" i="3"/>
  <c r="G16" i="3"/>
  <c r="F16" i="3"/>
  <c r="E16" i="3"/>
  <c r="H15" i="3"/>
  <c r="H14" i="3"/>
  <c r="H13" i="3"/>
  <c r="H12" i="3"/>
  <c r="H11" i="3"/>
  <c r="H10" i="3"/>
  <c r="H16" i="3" l="1"/>
  <c r="H21" i="3" s="1"/>
  <c r="H28" i="3" s="1"/>
  <c r="F38" i="3"/>
  <c r="F40" i="3" s="1"/>
  <c r="G40" i="3"/>
  <c r="B1" i="3"/>
  <c r="C1" i="3" s="1"/>
  <c r="D1" i="3" s="1"/>
  <c r="E1" i="3" s="1"/>
  <c r="F1" i="3" s="1"/>
  <c r="G1" i="3" s="1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AN1" i="3" s="1"/>
  <c r="AO1" i="3" s="1"/>
  <c r="AP1" i="3" s="1"/>
  <c r="AQ1" i="3" s="1"/>
  <c r="AR1" i="3" s="1"/>
  <c r="AS1" i="3" s="1"/>
  <c r="AT1" i="3" s="1"/>
  <c r="AU1" i="3" s="1"/>
  <c r="AV1" i="3" s="1"/>
  <c r="AW1" i="3" s="1"/>
  <c r="AX1" i="3" s="1"/>
  <c r="AY1" i="3" s="1"/>
  <c r="AZ1" i="3" s="1"/>
  <c r="BA1" i="3" s="1"/>
  <c r="BB1" i="3" s="1"/>
  <c r="BC1" i="3" s="1"/>
  <c r="BD1" i="3" s="1"/>
  <c r="BE1" i="3" s="1"/>
  <c r="BF1" i="3" s="1"/>
  <c r="BG1" i="3" s="1"/>
  <c r="BH1" i="3" s="1"/>
  <c r="BI1" i="3" s="1"/>
  <c r="BJ1" i="3" s="1"/>
  <c r="BK1" i="3" s="1"/>
  <c r="BL1" i="3" s="1"/>
  <c r="BM1" i="3" s="1"/>
  <c r="BN1" i="3" s="1"/>
  <c r="BO1" i="3" s="1"/>
  <c r="BP1" i="3" s="1"/>
  <c r="BQ1" i="3" s="1"/>
  <c r="BR1" i="3" s="1"/>
  <c r="BS1" i="3" s="1"/>
  <c r="BT1" i="3" s="1"/>
  <c r="BU1" i="3" s="1"/>
  <c r="BV1" i="3" s="1"/>
  <c r="BW1" i="3" s="1"/>
  <c r="BX1" i="3" s="1"/>
  <c r="BY1" i="3" s="1"/>
  <c r="BZ1" i="3" s="1"/>
  <c r="CA1" i="3" s="1"/>
  <c r="CB1" i="3" s="1"/>
  <c r="CC1" i="3" s="1"/>
  <c r="CD1" i="3" s="1"/>
  <c r="CE1" i="3" s="1"/>
  <c r="CF1" i="3" s="1"/>
  <c r="CG1" i="3" s="1"/>
  <c r="CH1" i="3" s="1"/>
  <c r="CI1" i="3" s="1"/>
  <c r="CJ1" i="3" s="1"/>
  <c r="CK1" i="3" s="1"/>
  <c r="CL1" i="3" s="1"/>
  <c r="CM1" i="3" s="1"/>
  <c r="CN1" i="3" s="1"/>
  <c r="CO1" i="3" s="1"/>
  <c r="CP1" i="3" s="1"/>
  <c r="CQ1" i="3" s="1"/>
  <c r="CR1" i="3" s="1"/>
  <c r="CS1" i="3" s="1"/>
  <c r="CT1" i="3" s="1"/>
  <c r="CU1" i="3" s="1"/>
  <c r="CV1" i="3" s="1"/>
  <c r="CW1" i="3" s="1"/>
  <c r="CX1" i="3" s="1"/>
  <c r="CY1" i="3" s="1"/>
  <c r="CZ1" i="3" s="1"/>
  <c r="DA1" i="3" s="1"/>
  <c r="DB1" i="3" s="1"/>
  <c r="DC1" i="3" s="1"/>
  <c r="DD1" i="3" s="1"/>
  <c r="DE1" i="3" s="1"/>
  <c r="DF1" i="3" s="1"/>
  <c r="DG1" i="3" s="1"/>
  <c r="DH1" i="3" s="1"/>
  <c r="DI1" i="3" s="1"/>
  <c r="DJ1" i="3" s="1"/>
  <c r="DK1" i="3" s="1"/>
  <c r="DL1" i="3" s="1"/>
  <c r="DM1" i="3" s="1"/>
  <c r="DN1" i="3" s="1"/>
  <c r="DO1" i="3" s="1"/>
  <c r="DP1" i="3" s="1"/>
  <c r="DQ1" i="3" s="1"/>
  <c r="DR1" i="3" s="1"/>
  <c r="DS1" i="3" s="1"/>
  <c r="DT1" i="3" s="1"/>
  <c r="DU1" i="3" s="1"/>
</calcChain>
</file>

<file path=xl/sharedStrings.xml><?xml version="1.0" encoding="utf-8"?>
<sst xmlns="http://schemas.openxmlformats.org/spreadsheetml/2006/main" count="53" uniqueCount="42">
  <si>
    <t>Rental Rates</t>
  </si>
  <si>
    <t>Landscape</t>
  </si>
  <si>
    <t>Plan</t>
  </si>
  <si>
    <t>SF</t>
  </si>
  <si>
    <t>Units</t>
  </si>
  <si>
    <t>Current</t>
  </si>
  <si>
    <t>Proforma</t>
  </si>
  <si>
    <t>1BR/1.75BA+Den</t>
  </si>
  <si>
    <t>1BR/1BA</t>
  </si>
  <si>
    <t>2BR/1.75BA</t>
  </si>
  <si>
    <t>2BR/1BA</t>
  </si>
  <si>
    <t>Studio</t>
  </si>
  <si>
    <t>Potential Rental Income</t>
  </si>
  <si>
    <t xml:space="preserve">Less: Physical Vacancy </t>
  </si>
  <si>
    <t>Less: Manager Unit</t>
  </si>
  <si>
    <t>&lt; Other User-input items&gt;</t>
  </si>
  <si>
    <t>Net Rental Income</t>
  </si>
  <si>
    <t>Other Income</t>
  </si>
  <si>
    <t>Actual T-12</t>
  </si>
  <si>
    <t>$/Unit</t>
  </si>
  <si>
    <t>RUBS</t>
  </si>
  <si>
    <t>Laundry</t>
  </si>
  <si>
    <t>Late Charges</t>
  </si>
  <si>
    <t>Effective Gross Income</t>
  </si>
  <si>
    <t>Expenses</t>
  </si>
  <si>
    <t>Total</t>
  </si>
  <si>
    <t>Taxes</t>
  </si>
  <si>
    <t>Repairs &amp; Maint</t>
  </si>
  <si>
    <t>Utilities</t>
  </si>
  <si>
    <t>Operating Expenses</t>
  </si>
  <si>
    <t>Net Income</t>
  </si>
  <si>
    <t>** the premium should be applied to the pre-reno market rent for each unit type.</t>
  </si>
  <si>
    <t>Post-Renovation</t>
  </si>
  <si>
    <t>Relet Months</t>
  </si>
  <si>
    <t>Renovation Rent Premium</t>
  </si>
  <si>
    <t>Relocation Incentive / Unit</t>
  </si>
  <si>
    <t>SF / Unit</t>
  </si>
  <si>
    <t>Renovation Cost</t>
  </si>
  <si>
    <t>Mos to Complete</t>
  </si>
  <si>
    <t>Reno Starts / Mo</t>
  </si>
  <si>
    <t>Renovation Start Mo</t>
  </si>
  <si>
    <t>assume 50 units, 50,000 rentable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</si>
</sst>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_);[Red]\(&quot;$&quot;#,##0\)"/>
    <numFmt numFmtId="43" formatCode="_(* #,##0.00_);_(* \(#,##0.00\);_(* &quot;-&quot;??_);_(@_)"/>
    <numFmt numFmtId="164" formatCode="_(#,##0_);\(#,##0\);_(&quot;-&quot;_)"/>
    <numFmt numFmtId="165" formatCode="0%;;&quot;-&quot;"/>
    <numFmt numFmtId="166" formatCode="m/d/yy_;;&quot;-&quot;"/>
    <numFmt numFmtId="167" formatCode="mmm\-yy_;"/>
    <numFmt numFmtId="168" formatCode="###0_);\(###0\);&quot;-&quot;"/>
    <numFmt numFmtId="169" formatCode="_(&quot;$&quot;#,##0_);\(&quot;$&quot;#,##0\);_(&quot;-&quot;_)"/>
    <numFmt numFmtId="170" formatCode="0.0%"/>
    <numFmt numFmtId="171" formatCode="_(* #,##0_);_(* \(#,##0\);_(* &quot;-&quot;??_);_(@_)"/>
    <numFmt numFmtId="172" formatCode="&quot;$&quot;#,##0.00"/>
    <numFmt numFmtId="173" formatCode="&quot;$&quot;#,##0"/>
  </numFmts>
  <fonts count="25" x14ac:knownFonts="1">
    <font>
      <sz val="11"/>
      <color theme="1"/>
      <name val="Univers"/>
      <family val="2"/>
    </font>
    <font>
      <sz val="11"/>
      <color theme="0"/>
      <name val="Univers"/>
      <family val="2"/>
    </font>
    <font>
      <sz val="11"/>
      <name val="Univers"/>
      <family val="2"/>
    </font>
    <font>
      <sz val="11"/>
      <color rgb="FF0000FF"/>
      <name val="Univers"/>
      <family val="2"/>
    </font>
    <font>
      <sz val="11"/>
      <color rgb="FF006100"/>
      <name val="Univers"/>
      <family val="2"/>
    </font>
    <font>
      <sz val="11"/>
      <color rgb="FF9C0006"/>
      <name val="Univers"/>
      <family val="2"/>
    </font>
    <font>
      <sz val="11"/>
      <color rgb="FF9C5700"/>
      <name val="Univers"/>
      <family val="2"/>
    </font>
    <font>
      <b/>
      <sz val="11"/>
      <color rgb="FFFA7D00"/>
      <name val="Univers"/>
      <family val="2"/>
    </font>
    <font>
      <b/>
      <sz val="11"/>
      <color theme="0"/>
      <name val="Univers"/>
      <family val="2"/>
    </font>
    <font>
      <sz val="12"/>
      <color rgb="FFFF0000"/>
      <name val="Aptos"/>
      <family val="2"/>
    </font>
    <font>
      <sz val="11"/>
      <color theme="1"/>
      <name val="Univers"/>
      <family val="2"/>
    </font>
    <font>
      <sz val="10"/>
      <name val="Helvetica"/>
      <family val="2"/>
    </font>
    <font>
      <b/>
      <sz val="10"/>
      <name val="Helvetica"/>
      <family val="2"/>
    </font>
    <font>
      <sz val="10"/>
      <color rgb="FF475569"/>
      <name val="Helvetica"/>
      <family val="2"/>
    </font>
    <font>
      <sz val="10"/>
      <color rgb="FF111827"/>
      <name val="Helvetica"/>
      <family val="2"/>
    </font>
    <font>
      <sz val="10"/>
      <color rgb="FF374151"/>
      <name val="Helvetica"/>
      <family val="2"/>
    </font>
    <font>
      <b/>
      <sz val="10"/>
      <color rgb="FF0432FF"/>
      <name val="Helvetica"/>
      <family val="2"/>
    </font>
    <font>
      <b/>
      <sz val="10"/>
      <color rgb="FF111827"/>
      <name val="Helvetica"/>
      <family val="2"/>
    </font>
    <font>
      <sz val="10"/>
      <color theme="1"/>
      <name val="Helvetica"/>
      <family val="2"/>
    </font>
    <font>
      <sz val="11"/>
      <color rgb="FF000000"/>
      <name val="Aptos Display"/>
      <family val="2"/>
    </font>
    <font>
      <b/>
      <sz val="11"/>
      <color rgb="FF000000"/>
      <name val="Aptos Display"/>
      <family val="2"/>
    </font>
    <font>
      <b/>
      <sz val="11"/>
      <color rgb="FF000000"/>
      <name val="Aptos Display"/>
    </font>
    <font>
      <sz val="14"/>
      <color theme="1"/>
      <name val="Univers"/>
    </font>
    <font>
      <b/>
      <sz val="14"/>
      <color rgb="FF0000FF"/>
      <name val="Univers"/>
    </font>
    <font>
      <b/>
      <sz val="14"/>
      <color theme="1"/>
      <name val="Univers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0F0F0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rgb="FFE1E1E1"/>
      </left>
      <right style="thick">
        <color rgb="FFE1E1E1"/>
      </right>
      <top style="thin">
        <color theme="2" tint="-0.499984740745262"/>
      </top>
      <bottom style="thick">
        <color rgb="FFE1E1E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164" fontId="2" fillId="10" borderId="1">
      <alignment horizontal="left" vertical="top" indent="1" shrinkToFit="1"/>
    </xf>
    <xf numFmtId="164" fontId="2" fillId="4" borderId="2">
      <alignment horizontal="left" vertical="center"/>
    </xf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0" fontId="6" fillId="7" borderId="0" applyNumberFormat="0" applyBorder="0" applyAlignment="0" applyProtection="0"/>
    <xf numFmtId="0" fontId="7" fillId="8" borderId="3" applyNumberFormat="0" applyAlignment="0" applyProtection="0"/>
    <xf numFmtId="0" fontId="8" fillId="9" borderId="4" applyNumberFormat="0" applyAlignment="0" applyProtection="0"/>
    <xf numFmtId="165" fontId="3" fillId="11" borderId="0">
      <alignment horizontal="right" vertical="top" indent="1" shrinkToFit="1"/>
    </xf>
    <xf numFmtId="0" fontId="3" fillId="11" borderId="0">
      <alignment horizontal="left" vertical="top" indent="1" shrinkToFit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69" fontId="3" fillId="11" borderId="1" applyProtection="0">
      <alignment horizontal="right" vertical="top" indent="1" shrinkToFit="1"/>
    </xf>
    <xf numFmtId="168" fontId="3" fillId="11" borderId="1">
      <alignment horizontal="right" vertical="top" indent="1" shrinkToFit="1"/>
    </xf>
    <xf numFmtId="166" fontId="3" fillId="11" borderId="1">
      <alignment horizontal="right" vertical="center" indent="1"/>
    </xf>
    <xf numFmtId="167" fontId="3" fillId="11" borderId="1">
      <alignment horizontal="right" vertical="center" indent="1"/>
    </xf>
    <xf numFmtId="43" fontId="10" fillId="0" borderId="0" applyFont="0" applyFill="0" applyBorder="0" applyAlignment="0" applyProtection="0"/>
  </cellStyleXfs>
  <cellXfs count="4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1" xfId="0" applyBorder="1"/>
    <xf numFmtId="0" fontId="0" fillId="0" borderId="5" xfId="0" applyBorder="1"/>
    <xf numFmtId="0" fontId="11" fillId="0" borderId="0" xfId="0" applyFont="1"/>
    <xf numFmtId="0" fontId="12" fillId="0" borderId="0" xfId="0" applyFont="1" applyAlignment="1">
      <alignment horizontal="right"/>
    </xf>
    <xf numFmtId="0" fontId="13" fillId="0" borderId="6" xfId="0" applyFont="1" applyBorder="1"/>
    <xf numFmtId="0" fontId="13" fillId="0" borderId="6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4" fillId="0" borderId="0" xfId="0" applyFont="1" applyAlignment="1">
      <alignment horizontal="left" indent="1"/>
    </xf>
    <xf numFmtId="3" fontId="15" fillId="0" borderId="0" xfId="0" applyNumberFormat="1" applyFont="1" applyAlignment="1">
      <alignment horizontal="right"/>
    </xf>
    <xf numFmtId="0" fontId="15" fillId="0" borderId="0" xfId="0" applyFont="1" applyAlignment="1">
      <alignment horizontal="right"/>
    </xf>
    <xf numFmtId="6" fontId="15" fillId="0" borderId="0" xfId="0" applyNumberFormat="1" applyFont="1" applyAlignment="1">
      <alignment horizontal="right"/>
    </xf>
    <xf numFmtId="6" fontId="16" fillId="0" borderId="0" xfId="0" applyNumberFormat="1" applyFont="1" applyAlignment="1">
      <alignment horizontal="right"/>
    </xf>
    <xf numFmtId="0" fontId="14" fillId="0" borderId="6" xfId="0" applyFont="1" applyBorder="1" applyAlignment="1">
      <alignment horizontal="left" indent="1"/>
    </xf>
    <xf numFmtId="0" fontId="15" fillId="0" borderId="6" xfId="0" applyFont="1" applyBorder="1" applyAlignment="1">
      <alignment horizontal="right"/>
    </xf>
    <xf numFmtId="6" fontId="15" fillId="0" borderId="6" xfId="0" applyNumberFormat="1" applyFont="1" applyBorder="1" applyAlignment="1">
      <alignment horizontal="right"/>
    </xf>
    <xf numFmtId="6" fontId="16" fillId="0" borderId="6" xfId="0" applyNumberFormat="1" applyFont="1" applyBorder="1" applyAlignment="1">
      <alignment horizontal="right"/>
    </xf>
    <xf numFmtId="0" fontId="17" fillId="0" borderId="0" xfId="0" applyFont="1" applyAlignment="1">
      <alignment horizontal="left" indent="2"/>
    </xf>
    <xf numFmtId="6" fontId="11" fillId="0" borderId="0" xfId="0" applyNumberFormat="1" applyFont="1"/>
    <xf numFmtId="6" fontId="12" fillId="0" borderId="0" xfId="0" applyNumberFormat="1" applyFont="1"/>
    <xf numFmtId="170" fontId="18" fillId="0" borderId="0" xfId="0" applyNumberFormat="1" applyFont="1"/>
    <xf numFmtId="170" fontId="16" fillId="0" borderId="0" xfId="0" applyNumberFormat="1" applyFont="1"/>
    <xf numFmtId="6" fontId="18" fillId="0" borderId="0" xfId="0" applyNumberFormat="1" applyFont="1"/>
    <xf numFmtId="0" fontId="13" fillId="0" borderId="6" xfId="0" applyFont="1" applyBorder="1" applyAlignment="1">
      <alignment horizontal="left"/>
    </xf>
    <xf numFmtId="6" fontId="15" fillId="0" borderId="0" xfId="0" applyNumberFormat="1" applyFont="1" applyAlignment="1">
      <alignment horizontal="left" indent="1"/>
    </xf>
    <xf numFmtId="0" fontId="11" fillId="0" borderId="0" xfId="0" applyFont="1" applyAlignment="1">
      <alignment horizontal="left" indent="1"/>
    </xf>
    <xf numFmtId="171" fontId="19" fillId="12" borderId="0" xfId="17" applyNumberFormat="1" applyFont="1" applyFill="1" applyBorder="1" applyAlignment="1">
      <alignment horizontal="right" vertical="center" indent="1"/>
    </xf>
    <xf numFmtId="0" fontId="0" fillId="0" borderId="0" xfId="0" applyAlignment="1">
      <alignment horizontal="left" indent="1"/>
    </xf>
    <xf numFmtId="171" fontId="20" fillId="12" borderId="0" xfId="17" applyNumberFormat="1" applyFont="1" applyFill="1" applyBorder="1" applyAlignment="1">
      <alignment horizontal="right" vertical="center" indent="1"/>
    </xf>
    <xf numFmtId="171" fontId="21" fillId="12" borderId="0" xfId="17" applyNumberFormat="1" applyFont="1" applyFill="1" applyBorder="1" applyAlignment="1">
      <alignment horizontal="right" vertical="center" inden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172" fontId="22" fillId="0" borderId="0" xfId="0" applyNumberFormat="1" applyFont="1"/>
    <xf numFmtId="0" fontId="22" fillId="0" borderId="0" xfId="0" applyFont="1"/>
    <xf numFmtId="173" fontId="22" fillId="0" borderId="0" xfId="0" applyNumberFormat="1" applyFont="1"/>
    <xf numFmtId="0" fontId="23" fillId="0" borderId="7" xfId="0" applyFont="1" applyBorder="1" applyAlignment="1">
      <alignment horizontal="center"/>
    </xf>
    <xf numFmtId="0" fontId="24" fillId="0" borderId="0" xfId="0" applyFont="1"/>
    <xf numFmtId="9" fontId="23" fillId="0" borderId="7" xfId="0" applyNumberFormat="1" applyFont="1" applyBorder="1" applyAlignment="1">
      <alignment horizontal="center"/>
    </xf>
    <xf numFmtId="173" fontId="23" fillId="0" borderId="7" xfId="0" applyNumberFormat="1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13" borderId="0" xfId="0" applyFont="1" applyFill="1"/>
    <xf numFmtId="14" fontId="22" fillId="0" borderId="0" xfId="0" applyNumberFormat="1" applyFont="1"/>
  </cellXfs>
  <cellStyles count="18">
    <cellStyle name="Bad" xfId="4" builtinId="27" hidden="1"/>
    <cellStyle name="Calculation" xfId="6" builtinId="22" hidden="1"/>
    <cellStyle name="Check Cell" xfId="7" builtinId="23" hidden="1"/>
    <cellStyle name="Comma" xfId="17" builtinId="3"/>
    <cellStyle name="Followed Hyperlink" xfId="11" builtinId="9" customBuiltin="1"/>
    <cellStyle name="Good" xfId="3" builtinId="26" hidden="1"/>
    <cellStyle name="Hyperlink" xfId="10" builtinId="8" customBuiltin="1"/>
    <cellStyle name="Input Date mmm-yr" xfId="16" xr:uid="{9D2E88B4-C890-AA44-8607-8AC6BAF0B38C}"/>
    <cellStyle name="Input m/d/y" xfId="15" xr:uid="{F65084D3-AE49-2B4E-838B-9BB835414C53}"/>
    <cellStyle name="Input Number" xfId="13" xr:uid="{4156CF33-409C-3C46-8A47-20AE6E294113}"/>
    <cellStyle name="Input Text" xfId="9" xr:uid="{44E96E4C-3AE0-7141-8D90-71922CEA0980}"/>
    <cellStyle name="Input Year" xfId="14" xr:uid="{2527BA92-52DC-BD4E-A4A3-9830E991CD37}"/>
    <cellStyle name="Label: Input" xfId="1" xr:uid="{4FE3C1FC-201A-4288-A1BB-074B80405F9B}"/>
    <cellStyle name="Neutral" xfId="5" builtinId="28" hidden="1"/>
    <cellStyle name="Normal" xfId="0" builtinId="0"/>
    <cellStyle name="Style 1" xfId="8" xr:uid="{96B6189A-A4F0-8C47-BCA0-2EFE2ADF6254}"/>
    <cellStyle name="Total: Bottom" xfId="2" xr:uid="{7A302A34-1980-4763-A2F0-2877CA778871}"/>
    <cellStyle name="Warning Text" xfId="12" builtinId="11" hidden="1"/>
  </cellStyles>
  <dxfs count="0"/>
  <tableStyles count="0" defaultTableStyle="TableStyleMedium2" defaultPivotStyle="PivotStyleLight16"/>
  <colors>
    <mruColors>
      <color rgb="FF0000FF"/>
      <color rgb="FFFFCCFF"/>
      <color rgb="FFFFB8A7"/>
      <color rgb="FFFFFFCD"/>
      <color rgb="FF77BDFB"/>
      <color rgb="FFFFF0E1"/>
      <color rgb="FFFFF0FF"/>
      <color rgb="FFFFE6FF"/>
      <color rgb="FFF0F0F0"/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185614</xdr:colOff>
      <xdr:row>1</xdr:row>
      <xdr:rowOff>68384</xdr:rowOff>
    </xdr:from>
    <xdr:to>
      <xdr:col>10</xdr:col>
      <xdr:colOff>97692</xdr:colOff>
      <xdr:row>14</xdr:row>
      <xdr:rowOff>87923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CCD295EB-CD36-A944-B956-2ACEC1F00A90}"/>
            </a:ext>
          </a:extLst>
        </xdr:cNvPr>
        <xdr:cNvSpPr/>
      </xdr:nvSpPr>
      <xdr:spPr>
        <a:xfrm>
          <a:off x="13825414" y="1312984"/>
          <a:ext cx="2401278" cy="2330939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Value</a:t>
          </a:r>
          <a:r>
            <a:rPr lang="en-US" sz="1100" b="1" baseline="0"/>
            <a:t>-Add Renovations</a:t>
          </a:r>
          <a:br>
            <a:rPr lang="en-US" sz="1100" b="1" baseline="0"/>
          </a:br>
          <a:endParaRPr lang="en-US" sz="1100" b="1" baseline="0"/>
        </a:p>
        <a:p>
          <a:pPr algn="l"/>
          <a:r>
            <a:rPr lang="en-US" sz="1100" b="0" baseline="0"/>
            <a:t>show line item cost calcs</a:t>
          </a:r>
          <a:endParaRPr lang="en-US" sz="1100" b="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</sheetNames>
    <sheetDataSet>
      <sheetData sheetId="0">
        <row r="7">
          <cell r="D7" t="str">
            <v>VTS</v>
          </cell>
        </row>
        <row r="8">
          <cell r="D8" t="str">
            <v>Mezz Loan</v>
          </cell>
        </row>
        <row r="9">
          <cell r="H9">
            <v>1</v>
          </cell>
        </row>
        <row r="10">
          <cell r="H10">
            <v>1</v>
          </cell>
        </row>
        <row r="11">
          <cell r="H11">
            <v>1</v>
          </cell>
        </row>
        <row r="12">
          <cell r="H12">
            <v>1</v>
          </cell>
        </row>
        <row r="13">
          <cell r="D13" t="str">
            <v>Mezz Loan</v>
          </cell>
          <cell r="H13">
            <v>1</v>
          </cell>
        </row>
        <row r="14">
          <cell r="H14">
            <v>1</v>
          </cell>
        </row>
        <row r="15">
          <cell r="H15">
            <v>1</v>
          </cell>
        </row>
        <row r="16">
          <cell r="D16">
            <v>45748</v>
          </cell>
          <cell r="H16">
            <v>1</v>
          </cell>
        </row>
        <row r="17">
          <cell r="D17">
            <v>360</v>
          </cell>
          <cell r="H17">
            <v>1</v>
          </cell>
        </row>
        <row r="18">
          <cell r="H18">
            <v>1</v>
          </cell>
        </row>
        <row r="19">
          <cell r="H19">
            <v>1</v>
          </cell>
        </row>
        <row r="20">
          <cell r="H20">
            <v>1</v>
          </cell>
        </row>
        <row r="21">
          <cell r="H21">
            <v>2</v>
          </cell>
        </row>
        <row r="22">
          <cell r="H22">
            <v>2</v>
          </cell>
        </row>
        <row r="23">
          <cell r="H23">
            <v>2</v>
          </cell>
        </row>
        <row r="24">
          <cell r="H24">
            <v>2</v>
          </cell>
        </row>
        <row r="25">
          <cell r="H25">
            <v>2</v>
          </cell>
        </row>
        <row r="26">
          <cell r="H26">
            <v>2</v>
          </cell>
        </row>
        <row r="27">
          <cell r="H27">
            <v>2</v>
          </cell>
        </row>
        <row r="28">
          <cell r="H28">
            <v>2</v>
          </cell>
        </row>
        <row r="29">
          <cell r="H29">
            <v>2</v>
          </cell>
        </row>
        <row r="30">
          <cell r="H30">
            <v>2</v>
          </cell>
        </row>
        <row r="31">
          <cell r="H31">
            <v>2</v>
          </cell>
        </row>
        <row r="32">
          <cell r="H32">
            <v>2</v>
          </cell>
        </row>
        <row r="33">
          <cell r="H33">
            <v>3</v>
          </cell>
        </row>
        <row r="34">
          <cell r="H34">
            <v>3</v>
          </cell>
        </row>
        <row r="35">
          <cell r="H35">
            <v>3</v>
          </cell>
        </row>
        <row r="36">
          <cell r="H36">
            <v>3</v>
          </cell>
        </row>
        <row r="37">
          <cell r="H37">
            <v>3</v>
          </cell>
        </row>
        <row r="38">
          <cell r="H38">
            <v>3</v>
          </cell>
        </row>
        <row r="39">
          <cell r="H39">
            <v>3</v>
          </cell>
        </row>
        <row r="40">
          <cell r="H40">
            <v>3</v>
          </cell>
        </row>
        <row r="41">
          <cell r="H41">
            <v>3</v>
          </cell>
        </row>
        <row r="42">
          <cell r="H42">
            <v>3</v>
          </cell>
        </row>
        <row r="43">
          <cell r="H43">
            <v>3</v>
          </cell>
        </row>
        <row r="44">
          <cell r="H44">
            <v>3</v>
          </cell>
        </row>
        <row r="45">
          <cell r="H45">
            <v>4</v>
          </cell>
        </row>
        <row r="46">
          <cell r="H46">
            <v>4</v>
          </cell>
        </row>
        <row r="47">
          <cell r="H47">
            <v>4</v>
          </cell>
        </row>
        <row r="48">
          <cell r="H48">
            <v>4</v>
          </cell>
        </row>
        <row r="49">
          <cell r="H49">
            <v>4</v>
          </cell>
        </row>
        <row r="50">
          <cell r="H50">
            <v>4</v>
          </cell>
        </row>
        <row r="51">
          <cell r="H51">
            <v>4</v>
          </cell>
        </row>
        <row r="52">
          <cell r="H52">
            <v>4</v>
          </cell>
        </row>
        <row r="53">
          <cell r="H53">
            <v>4</v>
          </cell>
        </row>
        <row r="54">
          <cell r="H54">
            <v>4</v>
          </cell>
        </row>
        <row r="55">
          <cell r="H55">
            <v>4</v>
          </cell>
        </row>
        <row r="56">
          <cell r="H56">
            <v>4</v>
          </cell>
        </row>
        <row r="57">
          <cell r="H57">
            <v>5</v>
          </cell>
        </row>
        <row r="58">
          <cell r="H58">
            <v>5</v>
          </cell>
        </row>
        <row r="59">
          <cell r="H59">
            <v>5</v>
          </cell>
        </row>
        <row r="60">
          <cell r="H60">
            <v>5</v>
          </cell>
        </row>
        <row r="61">
          <cell r="H61">
            <v>5</v>
          </cell>
        </row>
        <row r="62">
          <cell r="H62">
            <v>5</v>
          </cell>
        </row>
        <row r="63">
          <cell r="H63">
            <v>5</v>
          </cell>
        </row>
        <row r="64">
          <cell r="H64">
            <v>5</v>
          </cell>
        </row>
        <row r="65">
          <cell r="H65">
            <v>5</v>
          </cell>
        </row>
        <row r="66">
          <cell r="H66">
            <v>5</v>
          </cell>
        </row>
        <row r="67">
          <cell r="H67">
            <v>5</v>
          </cell>
        </row>
        <row r="68">
          <cell r="H68">
            <v>5</v>
          </cell>
        </row>
        <row r="69">
          <cell r="H69">
            <v>6</v>
          </cell>
        </row>
        <row r="70">
          <cell r="H70">
            <v>6</v>
          </cell>
        </row>
        <row r="71">
          <cell r="H71">
            <v>6</v>
          </cell>
        </row>
        <row r="72">
          <cell r="H72">
            <v>6</v>
          </cell>
        </row>
        <row r="73">
          <cell r="H73">
            <v>6</v>
          </cell>
        </row>
        <row r="74">
          <cell r="H74">
            <v>6</v>
          </cell>
        </row>
        <row r="75">
          <cell r="H75">
            <v>6</v>
          </cell>
        </row>
        <row r="76">
          <cell r="H76">
            <v>6</v>
          </cell>
        </row>
        <row r="77">
          <cell r="H77">
            <v>6</v>
          </cell>
        </row>
        <row r="78">
          <cell r="H78">
            <v>6</v>
          </cell>
        </row>
        <row r="79">
          <cell r="H79">
            <v>6</v>
          </cell>
        </row>
        <row r="80">
          <cell r="H80">
            <v>6</v>
          </cell>
        </row>
        <row r="81">
          <cell r="H81">
            <v>7</v>
          </cell>
        </row>
        <row r="82">
          <cell r="H82">
            <v>7</v>
          </cell>
        </row>
        <row r="83">
          <cell r="H83">
            <v>7</v>
          </cell>
        </row>
        <row r="84">
          <cell r="H84">
            <v>7</v>
          </cell>
        </row>
        <row r="85">
          <cell r="H85">
            <v>7</v>
          </cell>
        </row>
        <row r="86">
          <cell r="H86">
            <v>7</v>
          </cell>
        </row>
        <row r="87">
          <cell r="H87">
            <v>7</v>
          </cell>
        </row>
        <row r="88">
          <cell r="H88">
            <v>7</v>
          </cell>
        </row>
        <row r="89">
          <cell r="H89">
            <v>7</v>
          </cell>
        </row>
        <row r="90">
          <cell r="H90">
            <v>7</v>
          </cell>
        </row>
        <row r="91">
          <cell r="H91">
            <v>7</v>
          </cell>
        </row>
        <row r="92">
          <cell r="H92">
            <v>7</v>
          </cell>
        </row>
        <row r="93">
          <cell r="H93">
            <v>8</v>
          </cell>
        </row>
        <row r="94">
          <cell r="H94">
            <v>8</v>
          </cell>
        </row>
        <row r="95">
          <cell r="H95">
            <v>8</v>
          </cell>
        </row>
        <row r="96">
          <cell r="H96">
            <v>8</v>
          </cell>
        </row>
        <row r="97">
          <cell r="H97">
            <v>8</v>
          </cell>
        </row>
        <row r="98">
          <cell r="H98">
            <v>8</v>
          </cell>
        </row>
        <row r="99">
          <cell r="H99">
            <v>8</v>
          </cell>
        </row>
        <row r="100">
          <cell r="H100">
            <v>8</v>
          </cell>
        </row>
        <row r="101">
          <cell r="H101">
            <v>8</v>
          </cell>
        </row>
        <row r="102">
          <cell r="H102">
            <v>8</v>
          </cell>
        </row>
        <row r="103">
          <cell r="H103">
            <v>8</v>
          </cell>
        </row>
        <row r="104">
          <cell r="H104">
            <v>8</v>
          </cell>
        </row>
        <row r="105">
          <cell r="H105">
            <v>9</v>
          </cell>
        </row>
        <row r="106">
          <cell r="H106">
            <v>9</v>
          </cell>
        </row>
        <row r="107">
          <cell r="H107">
            <v>9</v>
          </cell>
        </row>
        <row r="108">
          <cell r="H108">
            <v>9</v>
          </cell>
        </row>
        <row r="109">
          <cell r="H109">
            <v>9</v>
          </cell>
        </row>
        <row r="110">
          <cell r="H110">
            <v>9</v>
          </cell>
        </row>
        <row r="111">
          <cell r="H111">
            <v>9</v>
          </cell>
        </row>
        <row r="112">
          <cell r="H112">
            <v>9</v>
          </cell>
        </row>
        <row r="113">
          <cell r="H113">
            <v>9</v>
          </cell>
        </row>
        <row r="114">
          <cell r="H114">
            <v>9</v>
          </cell>
        </row>
        <row r="115">
          <cell r="H115">
            <v>9</v>
          </cell>
        </row>
        <row r="116">
          <cell r="H116">
            <v>9</v>
          </cell>
        </row>
        <row r="117">
          <cell r="H117">
            <v>10</v>
          </cell>
        </row>
        <row r="118">
          <cell r="H118">
            <v>10</v>
          </cell>
        </row>
        <row r="119">
          <cell r="H119">
            <v>10</v>
          </cell>
        </row>
        <row r="120">
          <cell r="H120">
            <v>10</v>
          </cell>
        </row>
        <row r="121">
          <cell r="H121">
            <v>10</v>
          </cell>
        </row>
        <row r="122">
          <cell r="H122">
            <v>10</v>
          </cell>
        </row>
        <row r="123">
          <cell r="H123">
            <v>10</v>
          </cell>
        </row>
        <row r="124">
          <cell r="H124">
            <v>10</v>
          </cell>
        </row>
        <row r="125">
          <cell r="H125">
            <v>10</v>
          </cell>
        </row>
        <row r="126">
          <cell r="H126">
            <v>10</v>
          </cell>
        </row>
        <row r="127">
          <cell r="H127">
            <v>10</v>
          </cell>
        </row>
        <row r="128">
          <cell r="H128">
            <v>10</v>
          </cell>
        </row>
        <row r="129">
          <cell r="H129">
            <v>11</v>
          </cell>
        </row>
        <row r="130">
          <cell r="H130">
            <v>11</v>
          </cell>
        </row>
        <row r="131">
          <cell r="H131">
            <v>11</v>
          </cell>
        </row>
        <row r="132">
          <cell r="H132">
            <v>11</v>
          </cell>
        </row>
        <row r="133">
          <cell r="H133">
            <v>11</v>
          </cell>
        </row>
        <row r="134">
          <cell r="H134">
            <v>11</v>
          </cell>
        </row>
        <row r="135">
          <cell r="H135">
            <v>11</v>
          </cell>
        </row>
        <row r="136">
          <cell r="H136">
            <v>11</v>
          </cell>
        </row>
        <row r="137">
          <cell r="H137">
            <v>11</v>
          </cell>
        </row>
        <row r="138">
          <cell r="H138">
            <v>11</v>
          </cell>
        </row>
        <row r="139">
          <cell r="H139">
            <v>11</v>
          </cell>
        </row>
        <row r="140">
          <cell r="H140">
            <v>11</v>
          </cell>
        </row>
        <row r="141">
          <cell r="H141">
            <v>12</v>
          </cell>
        </row>
        <row r="142">
          <cell r="H142">
            <v>12</v>
          </cell>
        </row>
        <row r="143">
          <cell r="H143">
            <v>12</v>
          </cell>
        </row>
        <row r="144">
          <cell r="H144">
            <v>12</v>
          </cell>
        </row>
        <row r="145">
          <cell r="H145">
            <v>12</v>
          </cell>
        </row>
        <row r="146">
          <cell r="H146">
            <v>12</v>
          </cell>
        </row>
        <row r="147">
          <cell r="H147">
            <v>12</v>
          </cell>
        </row>
        <row r="148">
          <cell r="H148">
            <v>12</v>
          </cell>
        </row>
        <row r="149">
          <cell r="H149">
            <v>12</v>
          </cell>
        </row>
        <row r="150">
          <cell r="H150">
            <v>12</v>
          </cell>
        </row>
        <row r="151">
          <cell r="H151">
            <v>12</v>
          </cell>
        </row>
        <row r="152">
          <cell r="H152">
            <v>12</v>
          </cell>
        </row>
        <row r="153">
          <cell r="H153">
            <v>13</v>
          </cell>
        </row>
        <row r="154">
          <cell r="H154">
            <v>13</v>
          </cell>
        </row>
        <row r="155">
          <cell r="H155">
            <v>13</v>
          </cell>
        </row>
        <row r="156">
          <cell r="H156">
            <v>13</v>
          </cell>
        </row>
        <row r="157">
          <cell r="H157">
            <v>13</v>
          </cell>
        </row>
        <row r="158">
          <cell r="H158">
            <v>13</v>
          </cell>
        </row>
        <row r="159">
          <cell r="H159">
            <v>13</v>
          </cell>
        </row>
        <row r="160">
          <cell r="H160">
            <v>13</v>
          </cell>
        </row>
        <row r="161">
          <cell r="H161">
            <v>13</v>
          </cell>
        </row>
        <row r="162">
          <cell r="H162">
            <v>13</v>
          </cell>
        </row>
        <row r="163">
          <cell r="H163">
            <v>13</v>
          </cell>
        </row>
        <row r="164">
          <cell r="H164">
            <v>13</v>
          </cell>
        </row>
        <row r="165">
          <cell r="H165">
            <v>14</v>
          </cell>
        </row>
        <row r="166">
          <cell r="H166">
            <v>14</v>
          </cell>
        </row>
        <row r="167">
          <cell r="H167">
            <v>14</v>
          </cell>
        </row>
        <row r="168">
          <cell r="H168">
            <v>14</v>
          </cell>
        </row>
        <row r="169">
          <cell r="H169">
            <v>14</v>
          </cell>
        </row>
        <row r="170">
          <cell r="H170">
            <v>14</v>
          </cell>
        </row>
        <row r="171">
          <cell r="H171">
            <v>14</v>
          </cell>
        </row>
        <row r="172">
          <cell r="H172">
            <v>14</v>
          </cell>
        </row>
        <row r="173">
          <cell r="H173">
            <v>14</v>
          </cell>
        </row>
        <row r="174">
          <cell r="H174">
            <v>14</v>
          </cell>
        </row>
        <row r="175">
          <cell r="H175">
            <v>14</v>
          </cell>
        </row>
        <row r="176">
          <cell r="H176">
            <v>14</v>
          </cell>
        </row>
        <row r="177">
          <cell r="H177">
            <v>15</v>
          </cell>
        </row>
        <row r="178">
          <cell r="H178">
            <v>15</v>
          </cell>
        </row>
        <row r="179">
          <cell r="H179">
            <v>15</v>
          </cell>
        </row>
        <row r="180">
          <cell r="H180">
            <v>15</v>
          </cell>
        </row>
        <row r="181">
          <cell r="H181">
            <v>15</v>
          </cell>
        </row>
        <row r="182">
          <cell r="H182">
            <v>15</v>
          </cell>
        </row>
        <row r="183">
          <cell r="H183">
            <v>15</v>
          </cell>
        </row>
        <row r="184">
          <cell r="H184">
            <v>15</v>
          </cell>
        </row>
        <row r="185">
          <cell r="H185">
            <v>15</v>
          </cell>
        </row>
        <row r="186">
          <cell r="H186">
            <v>15</v>
          </cell>
        </row>
        <row r="187">
          <cell r="H187">
            <v>15</v>
          </cell>
        </row>
        <row r="188">
          <cell r="H188">
            <v>15</v>
          </cell>
        </row>
        <row r="189">
          <cell r="H189">
            <v>16</v>
          </cell>
        </row>
        <row r="190">
          <cell r="H190">
            <v>16</v>
          </cell>
        </row>
        <row r="191">
          <cell r="H191">
            <v>16</v>
          </cell>
        </row>
        <row r="192">
          <cell r="H192">
            <v>16</v>
          </cell>
        </row>
        <row r="193">
          <cell r="H193">
            <v>16</v>
          </cell>
        </row>
        <row r="194">
          <cell r="H194">
            <v>16</v>
          </cell>
        </row>
        <row r="195">
          <cell r="H195">
            <v>16</v>
          </cell>
        </row>
        <row r="196">
          <cell r="H196">
            <v>16</v>
          </cell>
        </row>
        <row r="197">
          <cell r="H197">
            <v>16</v>
          </cell>
        </row>
        <row r="198">
          <cell r="H198">
            <v>16</v>
          </cell>
        </row>
        <row r="199">
          <cell r="H199">
            <v>16</v>
          </cell>
        </row>
        <row r="200">
          <cell r="H200">
            <v>16</v>
          </cell>
        </row>
        <row r="201">
          <cell r="H201">
            <v>17</v>
          </cell>
        </row>
        <row r="202">
          <cell r="H202">
            <v>17</v>
          </cell>
        </row>
        <row r="203">
          <cell r="H203">
            <v>17</v>
          </cell>
        </row>
        <row r="204">
          <cell r="H204">
            <v>17</v>
          </cell>
        </row>
        <row r="205">
          <cell r="H205">
            <v>17</v>
          </cell>
        </row>
        <row r="206">
          <cell r="H206">
            <v>17</v>
          </cell>
        </row>
        <row r="207">
          <cell r="H207">
            <v>17</v>
          </cell>
        </row>
        <row r="208">
          <cell r="H208">
            <v>17</v>
          </cell>
        </row>
        <row r="209">
          <cell r="H209">
            <v>17</v>
          </cell>
        </row>
        <row r="210">
          <cell r="H210">
            <v>17</v>
          </cell>
        </row>
        <row r="211">
          <cell r="H211">
            <v>17</v>
          </cell>
        </row>
        <row r="212">
          <cell r="H212">
            <v>17</v>
          </cell>
        </row>
        <row r="213">
          <cell r="H213">
            <v>18</v>
          </cell>
        </row>
        <row r="214">
          <cell r="H214">
            <v>18</v>
          </cell>
        </row>
        <row r="215">
          <cell r="H215">
            <v>18</v>
          </cell>
        </row>
        <row r="216">
          <cell r="H216">
            <v>18</v>
          </cell>
        </row>
        <row r="217">
          <cell r="H217">
            <v>18</v>
          </cell>
        </row>
        <row r="218">
          <cell r="H218">
            <v>18</v>
          </cell>
        </row>
        <row r="219">
          <cell r="H219">
            <v>18</v>
          </cell>
        </row>
        <row r="220">
          <cell r="H220">
            <v>18</v>
          </cell>
        </row>
        <row r="221">
          <cell r="H221">
            <v>18</v>
          </cell>
        </row>
        <row r="222">
          <cell r="H222">
            <v>18</v>
          </cell>
        </row>
        <row r="223">
          <cell r="H223">
            <v>18</v>
          </cell>
        </row>
        <row r="224">
          <cell r="H224">
            <v>18</v>
          </cell>
        </row>
        <row r="225">
          <cell r="H225">
            <v>19</v>
          </cell>
        </row>
        <row r="226">
          <cell r="H226">
            <v>19</v>
          </cell>
        </row>
        <row r="227">
          <cell r="H227">
            <v>19</v>
          </cell>
        </row>
        <row r="228">
          <cell r="H228">
            <v>19</v>
          </cell>
        </row>
        <row r="229">
          <cell r="H229">
            <v>19</v>
          </cell>
        </row>
        <row r="230">
          <cell r="H230">
            <v>19</v>
          </cell>
        </row>
        <row r="231">
          <cell r="H231">
            <v>19</v>
          </cell>
        </row>
        <row r="232">
          <cell r="H232">
            <v>19</v>
          </cell>
        </row>
        <row r="233">
          <cell r="H233">
            <v>19</v>
          </cell>
        </row>
        <row r="234">
          <cell r="H234">
            <v>19</v>
          </cell>
        </row>
        <row r="235">
          <cell r="H235">
            <v>19</v>
          </cell>
        </row>
        <row r="236">
          <cell r="H236">
            <v>19</v>
          </cell>
        </row>
        <row r="237">
          <cell r="H237">
            <v>20</v>
          </cell>
        </row>
        <row r="238">
          <cell r="H238">
            <v>20</v>
          </cell>
        </row>
        <row r="239">
          <cell r="H239">
            <v>20</v>
          </cell>
        </row>
        <row r="240">
          <cell r="H240">
            <v>20</v>
          </cell>
        </row>
        <row r="241">
          <cell r="H241">
            <v>20</v>
          </cell>
        </row>
        <row r="242">
          <cell r="H242">
            <v>20</v>
          </cell>
        </row>
        <row r="243">
          <cell r="H243">
            <v>20</v>
          </cell>
        </row>
        <row r="244">
          <cell r="H244">
            <v>20</v>
          </cell>
        </row>
        <row r="245">
          <cell r="H245">
            <v>20</v>
          </cell>
        </row>
        <row r="246">
          <cell r="H246">
            <v>20</v>
          </cell>
        </row>
        <row r="247">
          <cell r="H247">
            <v>20</v>
          </cell>
        </row>
        <row r="248">
          <cell r="H248">
            <v>20</v>
          </cell>
        </row>
        <row r="249">
          <cell r="H249">
            <v>21</v>
          </cell>
        </row>
        <row r="250">
          <cell r="H250">
            <v>21</v>
          </cell>
        </row>
        <row r="251">
          <cell r="H251">
            <v>21</v>
          </cell>
        </row>
        <row r="252">
          <cell r="H252">
            <v>21</v>
          </cell>
        </row>
        <row r="253">
          <cell r="H253">
            <v>21</v>
          </cell>
        </row>
        <row r="254">
          <cell r="H254">
            <v>21</v>
          </cell>
        </row>
        <row r="255">
          <cell r="H255">
            <v>21</v>
          </cell>
        </row>
        <row r="256">
          <cell r="H256">
            <v>21</v>
          </cell>
        </row>
        <row r="257">
          <cell r="H257">
            <v>21</v>
          </cell>
        </row>
        <row r="258">
          <cell r="H258">
            <v>21</v>
          </cell>
        </row>
        <row r="259">
          <cell r="H259">
            <v>21</v>
          </cell>
        </row>
        <row r="260">
          <cell r="H260">
            <v>21</v>
          </cell>
        </row>
        <row r="261">
          <cell r="H261">
            <v>22</v>
          </cell>
        </row>
        <row r="262">
          <cell r="H262">
            <v>22</v>
          </cell>
        </row>
        <row r="263">
          <cell r="H263">
            <v>22</v>
          </cell>
        </row>
        <row r="264">
          <cell r="H264">
            <v>22</v>
          </cell>
        </row>
        <row r="265">
          <cell r="H265">
            <v>22</v>
          </cell>
        </row>
        <row r="266">
          <cell r="H266">
            <v>22</v>
          </cell>
        </row>
        <row r="267">
          <cell r="H267">
            <v>22</v>
          </cell>
        </row>
        <row r="268">
          <cell r="H268">
            <v>22</v>
          </cell>
        </row>
        <row r="269">
          <cell r="H269">
            <v>22</v>
          </cell>
        </row>
        <row r="270">
          <cell r="H270">
            <v>22</v>
          </cell>
        </row>
        <row r="271">
          <cell r="H271">
            <v>22</v>
          </cell>
        </row>
        <row r="272">
          <cell r="H272">
            <v>22</v>
          </cell>
        </row>
        <row r="273">
          <cell r="H273">
            <v>23</v>
          </cell>
        </row>
        <row r="274">
          <cell r="H274">
            <v>23</v>
          </cell>
        </row>
        <row r="275">
          <cell r="H275">
            <v>23</v>
          </cell>
        </row>
        <row r="276">
          <cell r="H276">
            <v>23</v>
          </cell>
        </row>
        <row r="277">
          <cell r="H277">
            <v>23</v>
          </cell>
        </row>
        <row r="278">
          <cell r="H278">
            <v>23</v>
          </cell>
        </row>
        <row r="279">
          <cell r="H279">
            <v>23</v>
          </cell>
        </row>
        <row r="280">
          <cell r="H280">
            <v>23</v>
          </cell>
        </row>
        <row r="281">
          <cell r="H281">
            <v>23</v>
          </cell>
        </row>
        <row r="282">
          <cell r="H282">
            <v>23</v>
          </cell>
        </row>
        <row r="283">
          <cell r="H283">
            <v>23</v>
          </cell>
        </row>
        <row r="284">
          <cell r="H284">
            <v>23</v>
          </cell>
        </row>
        <row r="285">
          <cell r="H285">
            <v>24</v>
          </cell>
        </row>
        <row r="286">
          <cell r="H286">
            <v>24</v>
          </cell>
        </row>
        <row r="287">
          <cell r="H287">
            <v>24</v>
          </cell>
        </row>
        <row r="288">
          <cell r="H288">
            <v>24</v>
          </cell>
        </row>
        <row r="289">
          <cell r="H289">
            <v>24</v>
          </cell>
        </row>
        <row r="290">
          <cell r="H290">
            <v>24</v>
          </cell>
        </row>
        <row r="291">
          <cell r="H291">
            <v>24</v>
          </cell>
        </row>
        <row r="292">
          <cell r="H292">
            <v>24</v>
          </cell>
        </row>
        <row r="293">
          <cell r="H293">
            <v>24</v>
          </cell>
        </row>
        <row r="294">
          <cell r="H294">
            <v>24</v>
          </cell>
        </row>
        <row r="295">
          <cell r="H295">
            <v>24</v>
          </cell>
        </row>
        <row r="296">
          <cell r="H296">
            <v>24</v>
          </cell>
        </row>
        <row r="297">
          <cell r="H297">
            <v>25</v>
          </cell>
        </row>
        <row r="298">
          <cell r="H298">
            <v>25</v>
          </cell>
        </row>
        <row r="299">
          <cell r="H299">
            <v>25</v>
          </cell>
        </row>
        <row r="300">
          <cell r="H300">
            <v>25</v>
          </cell>
        </row>
        <row r="301">
          <cell r="H301">
            <v>25</v>
          </cell>
        </row>
        <row r="302">
          <cell r="H302">
            <v>25</v>
          </cell>
        </row>
        <row r="303">
          <cell r="H303">
            <v>25</v>
          </cell>
        </row>
        <row r="304">
          <cell r="H304">
            <v>25</v>
          </cell>
        </row>
        <row r="305">
          <cell r="H305">
            <v>25</v>
          </cell>
        </row>
        <row r="306">
          <cell r="H306">
            <v>25</v>
          </cell>
        </row>
        <row r="307">
          <cell r="H307">
            <v>25</v>
          </cell>
        </row>
        <row r="308">
          <cell r="H308">
            <v>25</v>
          </cell>
        </row>
        <row r="309">
          <cell r="H309">
            <v>26</v>
          </cell>
        </row>
        <row r="310">
          <cell r="H310">
            <v>26</v>
          </cell>
        </row>
        <row r="311">
          <cell r="H311">
            <v>26</v>
          </cell>
        </row>
        <row r="312">
          <cell r="H312">
            <v>26</v>
          </cell>
        </row>
        <row r="313">
          <cell r="H313">
            <v>26</v>
          </cell>
        </row>
        <row r="314">
          <cell r="H314">
            <v>26</v>
          </cell>
        </row>
        <row r="315">
          <cell r="H315">
            <v>26</v>
          </cell>
        </row>
        <row r="316">
          <cell r="H316">
            <v>26</v>
          </cell>
        </row>
        <row r="317">
          <cell r="H317">
            <v>26</v>
          </cell>
        </row>
        <row r="318">
          <cell r="H318">
            <v>26</v>
          </cell>
        </row>
        <row r="319">
          <cell r="H319">
            <v>26</v>
          </cell>
        </row>
        <row r="320">
          <cell r="H320">
            <v>26</v>
          </cell>
        </row>
        <row r="321">
          <cell r="H321">
            <v>27</v>
          </cell>
        </row>
        <row r="322">
          <cell r="H322">
            <v>27</v>
          </cell>
        </row>
        <row r="323">
          <cell r="H323">
            <v>27</v>
          </cell>
        </row>
        <row r="324">
          <cell r="H324">
            <v>27</v>
          </cell>
        </row>
        <row r="325">
          <cell r="H325">
            <v>27</v>
          </cell>
        </row>
        <row r="326">
          <cell r="H326">
            <v>27</v>
          </cell>
        </row>
        <row r="327">
          <cell r="H327">
            <v>27</v>
          </cell>
        </row>
        <row r="328">
          <cell r="H328">
            <v>27</v>
          </cell>
        </row>
        <row r="329">
          <cell r="H329">
            <v>27</v>
          </cell>
        </row>
        <row r="330">
          <cell r="H330">
            <v>27</v>
          </cell>
        </row>
        <row r="331">
          <cell r="H331">
            <v>27</v>
          </cell>
        </row>
        <row r="332">
          <cell r="H332">
            <v>27</v>
          </cell>
        </row>
        <row r="333">
          <cell r="H333">
            <v>28</v>
          </cell>
        </row>
        <row r="334">
          <cell r="H334">
            <v>28</v>
          </cell>
        </row>
        <row r="335">
          <cell r="H335">
            <v>28</v>
          </cell>
        </row>
        <row r="336">
          <cell r="H336">
            <v>28</v>
          </cell>
        </row>
        <row r="337">
          <cell r="H337">
            <v>28</v>
          </cell>
        </row>
        <row r="338">
          <cell r="H338">
            <v>28</v>
          </cell>
        </row>
        <row r="339">
          <cell r="H339">
            <v>28</v>
          </cell>
        </row>
        <row r="340">
          <cell r="H340">
            <v>28</v>
          </cell>
        </row>
        <row r="341">
          <cell r="H341">
            <v>28</v>
          </cell>
        </row>
        <row r="342">
          <cell r="H342">
            <v>28</v>
          </cell>
        </row>
        <row r="343">
          <cell r="H343">
            <v>28</v>
          </cell>
        </row>
        <row r="344">
          <cell r="H344">
            <v>28</v>
          </cell>
        </row>
        <row r="345">
          <cell r="H345">
            <v>29</v>
          </cell>
        </row>
        <row r="346">
          <cell r="H346">
            <v>29</v>
          </cell>
        </row>
        <row r="347">
          <cell r="H347">
            <v>29</v>
          </cell>
        </row>
        <row r="348">
          <cell r="H348">
            <v>29</v>
          </cell>
        </row>
        <row r="349">
          <cell r="H349">
            <v>29</v>
          </cell>
        </row>
        <row r="350">
          <cell r="H350">
            <v>29</v>
          </cell>
        </row>
        <row r="351">
          <cell r="H351">
            <v>29</v>
          </cell>
        </row>
        <row r="352">
          <cell r="H352">
            <v>29</v>
          </cell>
        </row>
        <row r="353">
          <cell r="H353">
            <v>29</v>
          </cell>
        </row>
        <row r="354">
          <cell r="H354">
            <v>29</v>
          </cell>
        </row>
        <row r="355">
          <cell r="H355">
            <v>29</v>
          </cell>
        </row>
        <row r="356">
          <cell r="H356">
            <v>29</v>
          </cell>
        </row>
        <row r="357">
          <cell r="H357">
            <v>30</v>
          </cell>
        </row>
        <row r="358">
          <cell r="H358">
            <v>30</v>
          </cell>
        </row>
        <row r="359">
          <cell r="H359">
            <v>30</v>
          </cell>
        </row>
        <row r="360">
          <cell r="H360">
            <v>30</v>
          </cell>
        </row>
        <row r="361">
          <cell r="H361">
            <v>30</v>
          </cell>
        </row>
        <row r="362">
          <cell r="H362">
            <v>30</v>
          </cell>
        </row>
        <row r="363">
          <cell r="H363">
            <v>30</v>
          </cell>
        </row>
        <row r="364">
          <cell r="H364">
            <v>30</v>
          </cell>
        </row>
        <row r="365">
          <cell r="H365">
            <v>30</v>
          </cell>
        </row>
        <row r="366">
          <cell r="H366">
            <v>30</v>
          </cell>
        </row>
        <row r="367">
          <cell r="H367">
            <v>30</v>
          </cell>
        </row>
        <row r="368">
          <cell r="H368">
            <v>30</v>
          </cell>
        </row>
        <row r="369">
          <cell r="H369">
            <v>0</v>
          </cell>
        </row>
        <row r="370">
          <cell r="H370">
            <v>0</v>
          </cell>
        </row>
        <row r="371">
          <cell r="H371">
            <v>0</v>
          </cell>
        </row>
        <row r="372">
          <cell r="H372">
            <v>0</v>
          </cell>
        </row>
        <row r="373">
          <cell r="H373">
            <v>0</v>
          </cell>
        </row>
        <row r="374">
          <cell r="H37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2E85-275C-4255-9D94-EA91A56D5874}">
  <sheetPr codeName="Sheet1">
    <tabColor rgb="FF7CE38B"/>
  </sheetPr>
  <dimension ref="A1:DZ505"/>
  <sheetViews>
    <sheetView showGridLines="0" topLeftCell="B2" workbookViewId="0">
      <selection activeCell="C12" sqref="C12"/>
    </sheetView>
  </sheetViews>
  <sheetFormatPr baseColWidth="10" defaultColWidth="0" defaultRowHeight="14" zeroHeight="1" x14ac:dyDescent="0.2"/>
  <cols>
    <col min="1" max="1" width="3.5" hidden="1" customWidth="1"/>
    <col min="2" max="2" width="4.1640625" customWidth="1"/>
    <col min="3" max="3" width="23.83203125" bestFit="1" customWidth="1"/>
    <col min="4" max="5" width="10.1640625" bestFit="1" customWidth="1"/>
    <col min="6" max="6" width="8.1640625" bestFit="1" customWidth="1"/>
    <col min="7" max="7" width="8.6640625" bestFit="1" customWidth="1"/>
    <col min="8" max="8" width="10.6640625" bestFit="1" customWidth="1"/>
    <col min="9" max="12" width="9" customWidth="1"/>
    <col min="13" max="13" width="17.5" customWidth="1"/>
    <col min="14" max="20" width="9" customWidth="1"/>
    <col min="21" max="125" width="1.5" customWidth="1"/>
    <col min="126" max="130" width="0" hidden="1" customWidth="1"/>
    <col min="131" max="16384" width="9" hidden="1"/>
  </cols>
  <sheetData>
    <row r="1" spans="1:125" hidden="1" x14ac:dyDescent="0.2">
      <c r="A1" s="3"/>
      <c r="B1" s="4" t="e">
        <f>#REF!+1</f>
        <v>#REF!</v>
      </c>
      <c r="C1" s="4" t="e">
        <f t="shared" ref="C1:BK1" si="0">B1+1</f>
        <v>#REF!</v>
      </c>
      <c r="D1" s="4" t="e">
        <f t="shared" si="0"/>
        <v>#REF!</v>
      </c>
      <c r="E1" s="4" t="e">
        <f t="shared" si="0"/>
        <v>#REF!</v>
      </c>
      <c r="F1" s="4" t="e">
        <f t="shared" si="0"/>
        <v>#REF!</v>
      </c>
      <c r="G1" s="4" t="e">
        <f t="shared" si="0"/>
        <v>#REF!</v>
      </c>
      <c r="H1" s="4" t="e">
        <f t="shared" si="0"/>
        <v>#REF!</v>
      </c>
      <c r="I1" s="4" t="e">
        <f t="shared" si="0"/>
        <v>#REF!</v>
      </c>
      <c r="J1" s="4" t="e">
        <f t="shared" si="0"/>
        <v>#REF!</v>
      </c>
      <c r="K1" s="4" t="e">
        <f t="shared" si="0"/>
        <v>#REF!</v>
      </c>
      <c r="L1" s="4" t="e">
        <f t="shared" si="0"/>
        <v>#REF!</v>
      </c>
      <c r="M1" s="4" t="e">
        <f t="shared" si="0"/>
        <v>#REF!</v>
      </c>
      <c r="N1" s="4" t="e">
        <f t="shared" si="0"/>
        <v>#REF!</v>
      </c>
      <c r="O1" s="4" t="e">
        <f t="shared" si="0"/>
        <v>#REF!</v>
      </c>
      <c r="P1" s="4" t="e">
        <f t="shared" si="0"/>
        <v>#REF!</v>
      </c>
      <c r="Q1" s="4" t="e">
        <f t="shared" si="0"/>
        <v>#REF!</v>
      </c>
      <c r="R1" s="4" t="e">
        <f t="shared" si="0"/>
        <v>#REF!</v>
      </c>
      <c r="S1" s="4" t="e">
        <f t="shared" si="0"/>
        <v>#REF!</v>
      </c>
      <c r="T1" s="4" t="e">
        <f t="shared" si="0"/>
        <v>#REF!</v>
      </c>
      <c r="U1" s="4" t="e">
        <f t="shared" si="0"/>
        <v>#REF!</v>
      </c>
      <c r="V1" s="4" t="e">
        <f t="shared" si="0"/>
        <v>#REF!</v>
      </c>
      <c r="W1" s="4" t="e">
        <f t="shared" si="0"/>
        <v>#REF!</v>
      </c>
      <c r="X1" s="4" t="e">
        <f t="shared" si="0"/>
        <v>#REF!</v>
      </c>
      <c r="Y1" s="4" t="e">
        <f t="shared" si="0"/>
        <v>#REF!</v>
      </c>
      <c r="Z1" s="4" t="e">
        <f t="shared" si="0"/>
        <v>#REF!</v>
      </c>
      <c r="AA1" s="4" t="e">
        <f t="shared" si="0"/>
        <v>#REF!</v>
      </c>
      <c r="AB1" s="4" t="e">
        <f t="shared" si="0"/>
        <v>#REF!</v>
      </c>
      <c r="AC1" s="4" t="e">
        <f t="shared" si="0"/>
        <v>#REF!</v>
      </c>
      <c r="AD1" s="4" t="e">
        <f t="shared" si="0"/>
        <v>#REF!</v>
      </c>
      <c r="AE1" s="4" t="e">
        <f t="shared" si="0"/>
        <v>#REF!</v>
      </c>
      <c r="AF1" s="4" t="e">
        <f t="shared" si="0"/>
        <v>#REF!</v>
      </c>
      <c r="AG1" s="4" t="e">
        <f t="shared" si="0"/>
        <v>#REF!</v>
      </c>
      <c r="AH1" s="4" t="e">
        <f t="shared" si="0"/>
        <v>#REF!</v>
      </c>
      <c r="AI1" s="4" t="e">
        <f t="shared" si="0"/>
        <v>#REF!</v>
      </c>
      <c r="AJ1" s="4" t="e">
        <f t="shared" si="0"/>
        <v>#REF!</v>
      </c>
      <c r="AK1" s="4" t="e">
        <f t="shared" si="0"/>
        <v>#REF!</v>
      </c>
      <c r="AL1" s="4" t="e">
        <f t="shared" si="0"/>
        <v>#REF!</v>
      </c>
      <c r="AM1" s="4" t="e">
        <f t="shared" si="0"/>
        <v>#REF!</v>
      </c>
      <c r="AN1" s="4" t="e">
        <f t="shared" si="0"/>
        <v>#REF!</v>
      </c>
      <c r="AO1" s="4" t="e">
        <f t="shared" si="0"/>
        <v>#REF!</v>
      </c>
      <c r="AP1" s="4" t="e">
        <f t="shared" si="0"/>
        <v>#REF!</v>
      </c>
      <c r="AQ1" s="4" t="e">
        <f t="shared" si="0"/>
        <v>#REF!</v>
      </c>
      <c r="AR1" s="4" t="e">
        <f t="shared" si="0"/>
        <v>#REF!</v>
      </c>
      <c r="AS1" s="4" t="e">
        <f t="shared" si="0"/>
        <v>#REF!</v>
      </c>
      <c r="AT1" s="4" t="e">
        <f t="shared" si="0"/>
        <v>#REF!</v>
      </c>
      <c r="AU1" s="4" t="e">
        <f t="shared" si="0"/>
        <v>#REF!</v>
      </c>
      <c r="AV1" s="4" t="e">
        <f t="shared" si="0"/>
        <v>#REF!</v>
      </c>
      <c r="AW1" s="4" t="e">
        <f t="shared" si="0"/>
        <v>#REF!</v>
      </c>
      <c r="AX1" s="4" t="e">
        <f t="shared" si="0"/>
        <v>#REF!</v>
      </c>
      <c r="AY1" s="4" t="e">
        <f t="shared" si="0"/>
        <v>#REF!</v>
      </c>
      <c r="AZ1" s="4" t="e">
        <f t="shared" si="0"/>
        <v>#REF!</v>
      </c>
      <c r="BA1" s="4" t="e">
        <f t="shared" si="0"/>
        <v>#REF!</v>
      </c>
      <c r="BB1" s="4" t="e">
        <f t="shared" si="0"/>
        <v>#REF!</v>
      </c>
      <c r="BC1" s="4" t="e">
        <f t="shared" si="0"/>
        <v>#REF!</v>
      </c>
      <c r="BD1" s="4" t="e">
        <f t="shared" si="0"/>
        <v>#REF!</v>
      </c>
      <c r="BE1" s="4" t="e">
        <f t="shared" si="0"/>
        <v>#REF!</v>
      </c>
      <c r="BF1" s="4" t="e">
        <f t="shared" si="0"/>
        <v>#REF!</v>
      </c>
      <c r="BG1" s="4" t="e">
        <f t="shared" si="0"/>
        <v>#REF!</v>
      </c>
      <c r="BH1" s="4" t="e">
        <f t="shared" si="0"/>
        <v>#REF!</v>
      </c>
      <c r="BI1" s="4" t="e">
        <f t="shared" si="0"/>
        <v>#REF!</v>
      </c>
      <c r="BJ1" s="4" t="e">
        <f t="shared" si="0"/>
        <v>#REF!</v>
      </c>
      <c r="BK1" s="4" t="e">
        <f t="shared" si="0"/>
        <v>#REF!</v>
      </c>
      <c r="BL1" s="4" t="e">
        <f t="shared" ref="BL1:DU1" si="1">BK1+1</f>
        <v>#REF!</v>
      </c>
      <c r="BM1" s="4" t="e">
        <f t="shared" si="1"/>
        <v>#REF!</v>
      </c>
      <c r="BN1" s="4" t="e">
        <f t="shared" si="1"/>
        <v>#REF!</v>
      </c>
      <c r="BO1" s="4" t="e">
        <f t="shared" si="1"/>
        <v>#REF!</v>
      </c>
      <c r="BP1" s="4" t="e">
        <f t="shared" si="1"/>
        <v>#REF!</v>
      </c>
      <c r="BQ1" s="4" t="e">
        <f t="shared" si="1"/>
        <v>#REF!</v>
      </c>
      <c r="BR1" s="4" t="e">
        <f t="shared" si="1"/>
        <v>#REF!</v>
      </c>
      <c r="BS1" s="4" t="e">
        <f t="shared" si="1"/>
        <v>#REF!</v>
      </c>
      <c r="BT1" s="4" t="e">
        <f t="shared" si="1"/>
        <v>#REF!</v>
      </c>
      <c r="BU1" s="4" t="e">
        <f t="shared" si="1"/>
        <v>#REF!</v>
      </c>
      <c r="BV1" s="4" t="e">
        <f t="shared" si="1"/>
        <v>#REF!</v>
      </c>
      <c r="BW1" s="4" t="e">
        <f t="shared" si="1"/>
        <v>#REF!</v>
      </c>
      <c r="BX1" s="4" t="e">
        <f t="shared" si="1"/>
        <v>#REF!</v>
      </c>
      <c r="BY1" s="4" t="e">
        <f t="shared" si="1"/>
        <v>#REF!</v>
      </c>
      <c r="BZ1" s="4" t="e">
        <f t="shared" si="1"/>
        <v>#REF!</v>
      </c>
      <c r="CA1" s="4" t="e">
        <f t="shared" si="1"/>
        <v>#REF!</v>
      </c>
      <c r="CB1" s="4" t="e">
        <f t="shared" si="1"/>
        <v>#REF!</v>
      </c>
      <c r="CC1" s="4" t="e">
        <f t="shared" si="1"/>
        <v>#REF!</v>
      </c>
      <c r="CD1" s="4" t="e">
        <f t="shared" si="1"/>
        <v>#REF!</v>
      </c>
      <c r="CE1" s="4" t="e">
        <f t="shared" si="1"/>
        <v>#REF!</v>
      </c>
      <c r="CF1" s="4" t="e">
        <f t="shared" si="1"/>
        <v>#REF!</v>
      </c>
      <c r="CG1" s="4" t="e">
        <f t="shared" si="1"/>
        <v>#REF!</v>
      </c>
      <c r="CH1" s="4" t="e">
        <f t="shared" si="1"/>
        <v>#REF!</v>
      </c>
      <c r="CI1" s="4" t="e">
        <f t="shared" si="1"/>
        <v>#REF!</v>
      </c>
      <c r="CJ1" s="4" t="e">
        <f t="shared" si="1"/>
        <v>#REF!</v>
      </c>
      <c r="CK1" s="4" t="e">
        <f t="shared" si="1"/>
        <v>#REF!</v>
      </c>
      <c r="CL1" s="4" t="e">
        <f t="shared" si="1"/>
        <v>#REF!</v>
      </c>
      <c r="CM1" s="4" t="e">
        <f t="shared" si="1"/>
        <v>#REF!</v>
      </c>
      <c r="CN1" s="4" t="e">
        <f t="shared" si="1"/>
        <v>#REF!</v>
      </c>
      <c r="CO1" s="4" t="e">
        <f t="shared" si="1"/>
        <v>#REF!</v>
      </c>
      <c r="CP1" s="4" t="e">
        <f t="shared" si="1"/>
        <v>#REF!</v>
      </c>
      <c r="CQ1" s="4" t="e">
        <f t="shared" si="1"/>
        <v>#REF!</v>
      </c>
      <c r="CR1" s="4" t="e">
        <f t="shared" si="1"/>
        <v>#REF!</v>
      </c>
      <c r="CS1" s="4" t="e">
        <f t="shared" si="1"/>
        <v>#REF!</v>
      </c>
      <c r="CT1" s="4" t="e">
        <f t="shared" si="1"/>
        <v>#REF!</v>
      </c>
      <c r="CU1" s="4" t="e">
        <f t="shared" si="1"/>
        <v>#REF!</v>
      </c>
      <c r="CV1" s="4" t="e">
        <f t="shared" si="1"/>
        <v>#REF!</v>
      </c>
      <c r="CW1" s="4" t="e">
        <f t="shared" si="1"/>
        <v>#REF!</v>
      </c>
      <c r="CX1" s="4" t="e">
        <f t="shared" si="1"/>
        <v>#REF!</v>
      </c>
      <c r="CY1" s="4" t="e">
        <f t="shared" si="1"/>
        <v>#REF!</v>
      </c>
      <c r="CZ1" s="4" t="e">
        <f t="shared" si="1"/>
        <v>#REF!</v>
      </c>
      <c r="DA1" s="4" t="e">
        <f t="shared" si="1"/>
        <v>#REF!</v>
      </c>
      <c r="DB1" s="4" t="e">
        <f t="shared" si="1"/>
        <v>#REF!</v>
      </c>
      <c r="DC1" s="4" t="e">
        <f t="shared" si="1"/>
        <v>#REF!</v>
      </c>
      <c r="DD1" s="4" t="e">
        <f t="shared" si="1"/>
        <v>#REF!</v>
      </c>
      <c r="DE1" s="4" t="e">
        <f t="shared" si="1"/>
        <v>#REF!</v>
      </c>
      <c r="DF1" s="4" t="e">
        <f t="shared" si="1"/>
        <v>#REF!</v>
      </c>
      <c r="DG1" s="4" t="e">
        <f t="shared" si="1"/>
        <v>#REF!</v>
      </c>
      <c r="DH1" s="4" t="e">
        <f t="shared" si="1"/>
        <v>#REF!</v>
      </c>
      <c r="DI1" s="4" t="e">
        <f t="shared" si="1"/>
        <v>#REF!</v>
      </c>
      <c r="DJ1" s="4" t="e">
        <f t="shared" si="1"/>
        <v>#REF!</v>
      </c>
      <c r="DK1" s="4" t="e">
        <f t="shared" si="1"/>
        <v>#REF!</v>
      </c>
      <c r="DL1" s="4" t="e">
        <f t="shared" si="1"/>
        <v>#REF!</v>
      </c>
      <c r="DM1" s="4" t="e">
        <f t="shared" si="1"/>
        <v>#REF!</v>
      </c>
      <c r="DN1" s="4" t="e">
        <f t="shared" si="1"/>
        <v>#REF!</v>
      </c>
      <c r="DO1" s="4" t="e">
        <f t="shared" si="1"/>
        <v>#REF!</v>
      </c>
      <c r="DP1" s="4" t="e">
        <f t="shared" si="1"/>
        <v>#REF!</v>
      </c>
      <c r="DQ1" s="4" t="e">
        <f t="shared" si="1"/>
        <v>#REF!</v>
      </c>
      <c r="DR1" s="4" t="e">
        <f t="shared" si="1"/>
        <v>#REF!</v>
      </c>
      <c r="DS1" s="4" t="e">
        <f t="shared" si="1"/>
        <v>#REF!</v>
      </c>
      <c r="DT1" s="4" t="e">
        <f t="shared" si="1"/>
        <v>#REF!</v>
      </c>
      <c r="DU1" s="4" t="e">
        <f t="shared" si="1"/>
        <v>#REF!</v>
      </c>
    </row>
    <row r="2" spans="1:125" x14ac:dyDescent="0.2">
      <c r="A2" s="3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</row>
    <row r="3" spans="1:125" x14ac:dyDescent="0.2">
      <c r="A3" s="3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</row>
    <row r="4" spans="1:125" ht="21.75" customHeight="1" x14ac:dyDescent="0.2">
      <c r="A4" s="3"/>
      <c r="B4" s="1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</row>
    <row r="5" spans="1:125" x14ac:dyDescent="0.2"/>
    <row r="6" spans="1:125" ht="21.75" customHeight="1" x14ac:dyDescent="0.2"/>
    <row r="7" spans="1:125" ht="20.25" customHeight="1" x14ac:dyDescent="0.2">
      <c r="C7" s="7"/>
      <c r="D7" s="7"/>
      <c r="E7" s="7"/>
      <c r="F7" s="7"/>
      <c r="G7" s="7"/>
    </row>
    <row r="8" spans="1:125" ht="20.25" customHeight="1" x14ac:dyDescent="0.2">
      <c r="C8" s="7"/>
      <c r="D8" s="7"/>
      <c r="E8" s="7"/>
      <c r="F8" s="34" t="s">
        <v>0</v>
      </c>
      <c r="G8" s="34"/>
      <c r="H8" s="8" t="s">
        <v>1</v>
      </c>
    </row>
    <row r="9" spans="1:125" ht="20.25" customHeight="1" x14ac:dyDescent="0.2">
      <c r="C9" s="9" t="s">
        <v>2</v>
      </c>
      <c r="D9" s="10" t="s">
        <v>3</v>
      </c>
      <c r="E9" s="10" t="s">
        <v>4</v>
      </c>
      <c r="F9" s="10" t="s">
        <v>5</v>
      </c>
      <c r="G9" s="11" t="s">
        <v>6</v>
      </c>
      <c r="H9" s="10" t="s">
        <v>6</v>
      </c>
    </row>
    <row r="10" spans="1:125" ht="20.25" customHeight="1" x14ac:dyDescent="0.2">
      <c r="C10" s="12" t="s">
        <v>7</v>
      </c>
      <c r="D10" s="13">
        <v>1071</v>
      </c>
      <c r="E10" s="14">
        <v>17</v>
      </c>
      <c r="F10" s="15">
        <v>2975</v>
      </c>
      <c r="G10" s="16">
        <v>3000</v>
      </c>
      <c r="H10" s="15">
        <f>G10*E10*12</f>
        <v>612000</v>
      </c>
    </row>
    <row r="11" spans="1:125" ht="18" customHeight="1" x14ac:dyDescent="0.2">
      <c r="C11" s="12" t="s">
        <v>8</v>
      </c>
      <c r="D11" s="14">
        <v>813</v>
      </c>
      <c r="E11" s="14">
        <v>34</v>
      </c>
      <c r="F11" s="15">
        <v>2800</v>
      </c>
      <c r="G11" s="16">
        <v>2850</v>
      </c>
      <c r="H11" s="15">
        <f t="shared" ref="H11:H15" si="2">G11*E11*12</f>
        <v>1162800</v>
      </c>
    </row>
    <row r="12" spans="1:125" ht="18" customHeight="1" x14ac:dyDescent="0.2">
      <c r="C12" s="12" t="s">
        <v>10</v>
      </c>
      <c r="D12" s="13">
        <v>1010</v>
      </c>
      <c r="E12" s="14">
        <v>9</v>
      </c>
      <c r="F12" s="15">
        <v>2925</v>
      </c>
      <c r="G12" s="16">
        <v>3000</v>
      </c>
      <c r="H12" s="15">
        <f t="shared" si="2"/>
        <v>324000</v>
      </c>
    </row>
    <row r="13" spans="1:125" ht="18" customHeight="1" x14ac:dyDescent="0.2">
      <c r="C13" s="12" t="s">
        <v>9</v>
      </c>
      <c r="D13" s="13">
        <v>1137</v>
      </c>
      <c r="E13" s="14">
        <v>22</v>
      </c>
      <c r="F13" s="15">
        <v>3100</v>
      </c>
      <c r="G13" s="16">
        <v>3150</v>
      </c>
      <c r="H13" s="15">
        <f t="shared" si="2"/>
        <v>831600</v>
      </c>
    </row>
    <row r="14" spans="1:125" ht="18" customHeight="1" x14ac:dyDescent="0.2">
      <c r="C14" s="12" t="s">
        <v>10</v>
      </c>
      <c r="D14" s="14">
        <v>926</v>
      </c>
      <c r="E14" s="14">
        <v>1</v>
      </c>
      <c r="F14" s="15">
        <v>2900</v>
      </c>
      <c r="G14" s="16">
        <v>3000</v>
      </c>
      <c r="H14" s="15">
        <f t="shared" si="2"/>
        <v>36000</v>
      </c>
    </row>
    <row r="15" spans="1:125" ht="18" customHeight="1" x14ac:dyDescent="0.2">
      <c r="C15" s="17" t="s">
        <v>11</v>
      </c>
      <c r="D15" s="18">
        <v>496</v>
      </c>
      <c r="E15" s="18">
        <v>6</v>
      </c>
      <c r="F15" s="19">
        <v>2100</v>
      </c>
      <c r="G15" s="20">
        <v>2250</v>
      </c>
      <c r="H15" s="19">
        <f t="shared" si="2"/>
        <v>162000</v>
      </c>
    </row>
    <row r="16" spans="1:125" ht="18" customHeight="1" x14ac:dyDescent="0.2">
      <c r="C16" s="21" t="s">
        <v>12</v>
      </c>
      <c r="D16" s="7"/>
      <c r="E16" s="7">
        <f>SUM(E10:E15)</f>
        <v>89</v>
      </c>
      <c r="F16" s="22">
        <f>SUMPRODUCT($Z10:$Z15,F10:F15)</f>
        <v>0</v>
      </c>
      <c r="G16" s="22">
        <f>SUMPRODUCT($Z10:$Z15,G10:G15)</f>
        <v>0</v>
      </c>
      <c r="H16" s="23">
        <f>SUM(H10:H15)</f>
        <v>3128400</v>
      </c>
    </row>
    <row r="17" spans="3:8" ht="18" customHeight="1" x14ac:dyDescent="0.2">
      <c r="C17" s="7"/>
      <c r="D17" s="7"/>
      <c r="E17" s="7"/>
      <c r="F17" s="7"/>
      <c r="G17" s="7"/>
      <c r="H17" s="7"/>
    </row>
    <row r="18" spans="3:8" ht="18" customHeight="1" x14ac:dyDescent="0.2">
      <c r="C18" s="12" t="s">
        <v>13</v>
      </c>
      <c r="D18" s="7"/>
      <c r="F18" s="24">
        <v>0.03</v>
      </c>
      <c r="G18" s="25">
        <v>0.03</v>
      </c>
      <c r="H18" s="26">
        <f>-G18*$AC$49</f>
        <v>0</v>
      </c>
    </row>
    <row r="19" spans="3:8" ht="18" customHeight="1" x14ac:dyDescent="0.2">
      <c r="C19" s="12" t="s">
        <v>14</v>
      </c>
      <c r="D19" s="7"/>
      <c r="F19" s="24">
        <v>1.4E-2</v>
      </c>
      <c r="G19" s="25">
        <v>1.4E-2</v>
      </c>
      <c r="H19" s="26">
        <f>-G19*$AC$49</f>
        <v>0</v>
      </c>
    </row>
    <row r="20" spans="3:8" ht="18" customHeight="1" x14ac:dyDescent="0.2">
      <c r="C20" s="17" t="s">
        <v>15</v>
      </c>
      <c r="D20" s="18"/>
      <c r="E20" s="18"/>
      <c r="F20" s="19"/>
      <c r="G20" s="20"/>
      <c r="H20" s="19">
        <v>0</v>
      </c>
    </row>
    <row r="21" spans="3:8" ht="18" customHeight="1" x14ac:dyDescent="0.2">
      <c r="C21" s="21" t="s">
        <v>16</v>
      </c>
      <c r="D21" s="7"/>
      <c r="E21" s="7"/>
      <c r="F21" s="22"/>
      <c r="G21" s="22"/>
      <c r="H21" s="23">
        <f>SUM(H16:H20)</f>
        <v>3128400</v>
      </c>
    </row>
    <row r="22" spans="3:8" ht="18" customHeight="1" x14ac:dyDescent="0.2"/>
    <row r="23" spans="3:8" ht="18" customHeight="1" x14ac:dyDescent="0.2">
      <c r="C23" s="27" t="s">
        <v>17</v>
      </c>
      <c r="D23" s="10" t="s">
        <v>18</v>
      </c>
      <c r="E23" s="10" t="s">
        <v>5</v>
      </c>
      <c r="F23" s="10" t="s">
        <v>19</v>
      </c>
      <c r="G23" s="11" t="s">
        <v>6</v>
      </c>
      <c r="H23" s="10" t="s">
        <v>6</v>
      </c>
    </row>
    <row r="24" spans="3:8" ht="18" customHeight="1" x14ac:dyDescent="0.2">
      <c r="C24" s="28" t="s">
        <v>20</v>
      </c>
      <c r="D24" s="15">
        <v>0</v>
      </c>
      <c r="E24" s="15">
        <v>144539</v>
      </c>
      <c r="F24" s="15">
        <f>E24/89</f>
        <v>1624.0337078651685</v>
      </c>
      <c r="G24" s="16">
        <v>150</v>
      </c>
      <c r="H24" s="15">
        <f>G24*12*89</f>
        <v>160200</v>
      </c>
    </row>
    <row r="25" spans="3:8" ht="18" customHeight="1" x14ac:dyDescent="0.2">
      <c r="C25" s="29" t="s">
        <v>21</v>
      </c>
      <c r="D25" s="30">
        <v>16608</v>
      </c>
      <c r="E25" s="30">
        <v>23158</v>
      </c>
      <c r="F25" s="30">
        <f t="shared" ref="F25:F26" si="3">E25/89</f>
        <v>260.20224719101122</v>
      </c>
      <c r="G25" s="16">
        <v>260</v>
      </c>
      <c r="H25" s="15">
        <f t="shared" ref="H25:H26" si="4">G25*12*89</f>
        <v>277680</v>
      </c>
    </row>
    <row r="26" spans="3:8" ht="18" customHeight="1" x14ac:dyDescent="0.2">
      <c r="C26" s="29" t="s">
        <v>22</v>
      </c>
      <c r="D26" s="30">
        <v>0</v>
      </c>
      <c r="E26" s="30">
        <v>800</v>
      </c>
      <c r="F26" s="30">
        <f t="shared" si="3"/>
        <v>8.9887640449438209</v>
      </c>
      <c r="G26" s="16">
        <v>10</v>
      </c>
      <c r="H26" s="15">
        <f t="shared" si="4"/>
        <v>10680</v>
      </c>
    </row>
    <row r="27" spans="3:8" ht="18" customHeight="1" x14ac:dyDescent="0.2">
      <c r="C27" s="17" t="s">
        <v>15</v>
      </c>
      <c r="D27" s="18"/>
      <c r="E27" s="18"/>
      <c r="F27" s="19"/>
      <c r="G27" s="20"/>
      <c r="H27" s="19">
        <v>0</v>
      </c>
    </row>
    <row r="28" spans="3:8" ht="18" customHeight="1" x14ac:dyDescent="0.2">
      <c r="C28" s="21" t="s">
        <v>23</v>
      </c>
      <c r="D28" s="7"/>
      <c r="E28" s="7"/>
      <c r="F28" s="22"/>
      <c r="G28" s="22"/>
      <c r="H28" s="23">
        <f>H21-SUM(H24:H27)</f>
        <v>2679840</v>
      </c>
    </row>
    <row r="29" spans="3:8" ht="18" customHeight="1" x14ac:dyDescent="0.2"/>
    <row r="30" spans="3:8" ht="18" customHeight="1" x14ac:dyDescent="0.2">
      <c r="C30" s="27" t="s">
        <v>24</v>
      </c>
      <c r="D30" s="10" t="s">
        <v>18</v>
      </c>
      <c r="E30" s="10" t="s">
        <v>6</v>
      </c>
      <c r="F30" s="10" t="s">
        <v>19</v>
      </c>
      <c r="G30" s="11" t="s">
        <v>19</v>
      </c>
      <c r="H30" s="10" t="s">
        <v>25</v>
      </c>
    </row>
    <row r="31" spans="3:8" ht="18" customHeight="1" x14ac:dyDescent="0.2">
      <c r="C31" s="28" t="s">
        <v>26</v>
      </c>
      <c r="D31" s="15">
        <v>75000</v>
      </c>
      <c r="E31" s="15">
        <v>77000</v>
      </c>
      <c r="F31" s="15">
        <f>E31/50</f>
        <v>1540</v>
      </c>
      <c r="G31" s="16">
        <v>1550</v>
      </c>
      <c r="H31" s="15">
        <f>G31*50</f>
        <v>77500</v>
      </c>
    </row>
    <row r="32" spans="3:8" ht="18" customHeight="1" x14ac:dyDescent="0.2">
      <c r="C32" s="31" t="s">
        <v>27</v>
      </c>
      <c r="D32" s="30">
        <v>200000</v>
      </c>
      <c r="E32" s="30">
        <v>185000</v>
      </c>
      <c r="F32" s="30">
        <f>E32/50</f>
        <v>3700</v>
      </c>
      <c r="G32" s="16">
        <v>3500</v>
      </c>
      <c r="H32" s="32">
        <f>G32*50</f>
        <v>175000</v>
      </c>
    </row>
    <row r="33" spans="3:8" ht="18" customHeight="1" x14ac:dyDescent="0.2">
      <c r="C33" s="29" t="s">
        <v>28</v>
      </c>
      <c r="D33" s="30">
        <v>150000</v>
      </c>
      <c r="E33" s="30">
        <v>155000</v>
      </c>
      <c r="F33" s="30">
        <f>E33/50</f>
        <v>3100</v>
      </c>
      <c r="G33" s="16">
        <v>3250</v>
      </c>
      <c r="H33" s="15">
        <f>G33*50</f>
        <v>162500</v>
      </c>
    </row>
    <row r="34" spans="3:8" ht="18" customHeight="1" x14ac:dyDescent="0.2"/>
    <row r="35" spans="3:8" ht="18" customHeight="1" x14ac:dyDescent="0.2"/>
    <row r="36" spans="3:8" ht="18" customHeight="1" x14ac:dyDescent="0.2"/>
    <row r="37" spans="3:8" ht="18" customHeight="1" x14ac:dyDescent="0.2">
      <c r="C37" s="17" t="s">
        <v>15</v>
      </c>
      <c r="D37" s="18"/>
      <c r="E37" s="18"/>
      <c r="F37" s="19"/>
      <c r="G37" s="20"/>
      <c r="H37" s="19"/>
    </row>
    <row r="38" spans="3:8" ht="18" customHeight="1" x14ac:dyDescent="0.2">
      <c r="C38" s="21" t="s">
        <v>29</v>
      </c>
      <c r="D38" s="7">
        <f>SUM(D31:D33)</f>
        <v>425000</v>
      </c>
      <c r="E38" s="7">
        <f>SUM(E31:E33)</f>
        <v>417000</v>
      </c>
      <c r="F38" s="22">
        <f>SUM(F31:F33)</f>
        <v>8340</v>
      </c>
      <c r="G38" s="22">
        <f>SUM(G31:G33)</f>
        <v>8300</v>
      </c>
      <c r="H38" s="23">
        <f>G38*50</f>
        <v>415000</v>
      </c>
    </row>
    <row r="39" spans="3:8" ht="18" customHeight="1" x14ac:dyDescent="0.2">
      <c r="D39" s="30"/>
      <c r="E39" s="30"/>
      <c r="F39" s="30"/>
      <c r="G39" s="30"/>
      <c r="H39" s="30"/>
    </row>
    <row r="40" spans="3:8" ht="18" customHeight="1" x14ac:dyDescent="0.2">
      <c r="C40" s="31" t="s">
        <v>30</v>
      </c>
      <c r="D40" s="30" t="e">
        <f>#REF!-D38</f>
        <v>#REF!</v>
      </c>
      <c r="E40" s="30" t="e">
        <f>#REF!-E38</f>
        <v>#REF!</v>
      </c>
      <c r="F40" s="30" t="e">
        <f>#REF!-F38</f>
        <v>#REF!</v>
      </c>
      <c r="G40" s="30" t="e">
        <f>#REF!-G38</f>
        <v>#REF!</v>
      </c>
      <c r="H40" s="33" t="e">
        <f>#REF!-H38</f>
        <v>#REF!</v>
      </c>
    </row>
    <row r="41" spans="3:8" ht="18" customHeight="1" x14ac:dyDescent="0.2"/>
    <row r="42" spans="3:8" ht="18" customHeight="1" x14ac:dyDescent="0.2"/>
    <row r="43" spans="3:8" x14ac:dyDescent="0.2"/>
    <row r="44" spans="3:8" x14ac:dyDescent="0.2"/>
    <row r="45" spans="3:8" x14ac:dyDescent="0.2"/>
    <row r="46" spans="3:8" x14ac:dyDescent="0.2"/>
    <row r="47" spans="3:8" x14ac:dyDescent="0.2"/>
    <row r="48" spans="3: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spans="2:46" x14ac:dyDescent="0.2"/>
    <row r="386" spans="2:46" x14ac:dyDescent="0.2"/>
    <row r="387" spans="2:46" x14ac:dyDescent="0.2"/>
    <row r="388" spans="2:46" x14ac:dyDescent="0.2"/>
    <row r="389" spans="2:46" x14ac:dyDescent="0.2"/>
    <row r="390" spans="2:46" x14ac:dyDescent="0.2"/>
    <row r="391" spans="2:46" x14ac:dyDescent="0.2"/>
    <row r="392" spans="2:46" x14ac:dyDescent="0.2"/>
    <row r="393" spans="2:46" x14ac:dyDescent="0.2"/>
    <row r="394" spans="2:46" x14ac:dyDescent="0.2"/>
    <row r="395" spans="2:46" x14ac:dyDescent="0.2"/>
    <row r="396" spans="2:46" x14ac:dyDescent="0.2"/>
    <row r="397" spans="2:46" x14ac:dyDescent="0.2"/>
    <row r="398" spans="2:46" x14ac:dyDescent="0.2"/>
    <row r="399" spans="2:46" ht="16" hidden="1" thickTop="1" thickBot="1" x14ac:dyDescent="0.25">
      <c r="B399" s="6"/>
      <c r="C399" s="6"/>
      <c r="D399" s="5"/>
      <c r="E399" s="5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</row>
    <row r="400" spans="2:46" ht="16" hidden="1" thickTop="1" thickBot="1" x14ac:dyDescent="0.25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</row>
    <row r="401" spans="1:46" ht="16" hidden="1" thickTop="1" thickBot="1" x14ac:dyDescent="0.25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</row>
    <row r="402" spans="1:46" ht="16" hidden="1" thickTop="1" thickBot="1" x14ac:dyDescent="0.25">
      <c r="A402" s="3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</row>
    <row r="403" spans="1:46" ht="16" hidden="1" thickTop="1" thickBot="1" x14ac:dyDescent="0.25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</row>
    <row r="404" spans="1:46" ht="16" hidden="1" thickTop="1" thickBot="1" x14ac:dyDescent="0.25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</row>
    <row r="405" spans="1:46" ht="16" hidden="1" thickTop="1" thickBot="1" x14ac:dyDescent="0.25">
      <c r="B405" s="5"/>
      <c r="C405" s="5"/>
      <c r="D405" s="6"/>
      <c r="E405" s="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</row>
    <row r="406" spans="1:46" ht="16" hidden="1" thickTop="1" thickBot="1" x14ac:dyDescent="0.25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</row>
    <row r="407" spans="1:46" ht="16" hidden="1" thickTop="1" thickBot="1" x14ac:dyDescent="0.25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</row>
    <row r="408" spans="1:46" ht="16" hidden="1" thickTop="1" thickBot="1" x14ac:dyDescent="0.25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</row>
    <row r="409" spans="1:46" ht="16" hidden="1" thickTop="1" thickBot="1" x14ac:dyDescent="0.25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</row>
    <row r="410" spans="1:46" ht="16" hidden="1" thickTop="1" thickBot="1" x14ac:dyDescent="0.25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</row>
    <row r="411" spans="1:46" ht="16" hidden="1" thickTop="1" thickBot="1" x14ac:dyDescent="0.25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</row>
    <row r="412" spans="1:46" ht="16" hidden="1" thickTop="1" thickBot="1" x14ac:dyDescent="0.25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</row>
    <row r="413" spans="1:46" ht="16" hidden="1" thickTop="1" thickBot="1" x14ac:dyDescent="0.25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</row>
    <row r="414" spans="1:46" ht="16" hidden="1" thickTop="1" thickBot="1" x14ac:dyDescent="0.25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</row>
    <row r="415" spans="1:46" ht="16" hidden="1" thickTop="1" thickBot="1" x14ac:dyDescent="0.25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</row>
    <row r="416" spans="1:46" ht="16" hidden="1" thickTop="1" thickBot="1" x14ac:dyDescent="0.25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</row>
    <row r="417" spans="2:46" ht="16" hidden="1" thickTop="1" thickBot="1" x14ac:dyDescent="0.25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</row>
    <row r="418" spans="2:46" ht="16" hidden="1" thickTop="1" thickBot="1" x14ac:dyDescent="0.25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</row>
    <row r="419" spans="2:46" ht="16" hidden="1" thickTop="1" thickBot="1" x14ac:dyDescent="0.25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</row>
    <row r="420" spans="2:46" ht="16" hidden="1" thickTop="1" thickBot="1" x14ac:dyDescent="0.25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</row>
    <row r="421" spans="2:46" ht="16" hidden="1" thickTop="1" thickBot="1" x14ac:dyDescent="0.25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</row>
    <row r="422" spans="2:46" ht="16" hidden="1" thickTop="1" thickBot="1" x14ac:dyDescent="0.25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</row>
    <row r="423" spans="2:46" ht="16" hidden="1" thickTop="1" thickBot="1" x14ac:dyDescent="0.25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</row>
    <row r="424" spans="2:46" ht="16" hidden="1" thickTop="1" thickBot="1" x14ac:dyDescent="0.25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</row>
    <row r="425" spans="2:46" ht="16" hidden="1" thickTop="1" thickBot="1" x14ac:dyDescent="0.25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</row>
    <row r="426" spans="2:46" ht="16" hidden="1" thickTop="1" thickBot="1" x14ac:dyDescent="0.25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</row>
    <row r="427" spans="2:46" ht="16" hidden="1" thickTop="1" thickBot="1" x14ac:dyDescent="0.25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</row>
    <row r="428" spans="2:46" ht="16" hidden="1" thickTop="1" thickBot="1" x14ac:dyDescent="0.25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</row>
    <row r="429" spans="2:46" ht="16" hidden="1" thickTop="1" thickBot="1" x14ac:dyDescent="0.25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</row>
    <row r="430" spans="2:46" ht="16" hidden="1" thickTop="1" thickBot="1" x14ac:dyDescent="0.25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</row>
    <row r="431" spans="2:46" ht="16" hidden="1" thickTop="1" thickBot="1" x14ac:dyDescent="0.25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</row>
    <row r="432" spans="2:46" ht="16" hidden="1" thickTop="1" thickBot="1" x14ac:dyDescent="0.25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</row>
    <row r="433" spans="2:46" ht="16" hidden="1" thickTop="1" thickBot="1" x14ac:dyDescent="0.25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</row>
    <row r="434" spans="2:46" ht="16" hidden="1" thickTop="1" thickBot="1" x14ac:dyDescent="0.25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</row>
    <row r="435" spans="2:46" ht="16" hidden="1" thickTop="1" thickBot="1" x14ac:dyDescent="0.25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</row>
    <row r="436" spans="2:46" ht="16" hidden="1" thickTop="1" thickBot="1" x14ac:dyDescent="0.25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</row>
    <row r="437" spans="2:46" ht="16" hidden="1" thickTop="1" thickBot="1" x14ac:dyDescent="0.25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</row>
    <row r="438" spans="2:46" ht="16" hidden="1" thickTop="1" thickBot="1" x14ac:dyDescent="0.25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</row>
    <row r="439" spans="2:46" ht="16" hidden="1" thickTop="1" thickBot="1" x14ac:dyDescent="0.25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</row>
    <row r="440" spans="2:46" ht="16" hidden="1" thickTop="1" thickBot="1" x14ac:dyDescent="0.25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</row>
    <row r="441" spans="2:46" ht="16" hidden="1" thickTop="1" thickBot="1" x14ac:dyDescent="0.25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</row>
    <row r="442" spans="2:46" ht="16" hidden="1" thickTop="1" thickBot="1" x14ac:dyDescent="0.25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</row>
    <row r="443" spans="2:46" ht="16" hidden="1" thickTop="1" thickBot="1" x14ac:dyDescent="0.25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</row>
    <row r="444" spans="2:46" ht="16" hidden="1" thickTop="1" thickBot="1" x14ac:dyDescent="0.25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</row>
    <row r="445" spans="2:46" ht="16" hidden="1" thickTop="1" thickBot="1" x14ac:dyDescent="0.25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</row>
    <row r="446" spans="2:46" ht="16" hidden="1" thickTop="1" thickBot="1" x14ac:dyDescent="0.25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</row>
    <row r="447" spans="2:46" ht="16" hidden="1" thickTop="1" thickBot="1" x14ac:dyDescent="0.25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</row>
    <row r="448" spans="2:46" ht="16" hidden="1" thickTop="1" thickBot="1" x14ac:dyDescent="0.25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</row>
    <row r="449" spans="2:46" ht="16" hidden="1" thickTop="1" thickBot="1" x14ac:dyDescent="0.25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</row>
    <row r="450" spans="2:46" ht="16" hidden="1" thickTop="1" thickBot="1" x14ac:dyDescent="0.25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</row>
    <row r="451" spans="2:46" ht="16" hidden="1" thickTop="1" thickBot="1" x14ac:dyDescent="0.25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</row>
    <row r="452" spans="2:46" ht="16" hidden="1" thickTop="1" thickBot="1" x14ac:dyDescent="0.25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</row>
    <row r="453" spans="2:46" ht="16" hidden="1" thickTop="1" thickBot="1" x14ac:dyDescent="0.25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</row>
    <row r="454" spans="2:46" ht="16" hidden="1" thickTop="1" thickBot="1" x14ac:dyDescent="0.25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</row>
    <row r="455" spans="2:46" ht="16" hidden="1" thickTop="1" thickBot="1" x14ac:dyDescent="0.25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</row>
    <row r="456" spans="2:46" ht="16" hidden="1" thickTop="1" thickBot="1" x14ac:dyDescent="0.25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</row>
    <row r="457" spans="2:46" ht="16" hidden="1" thickTop="1" thickBot="1" x14ac:dyDescent="0.25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</row>
    <row r="458" spans="2:46" ht="16" hidden="1" thickTop="1" thickBot="1" x14ac:dyDescent="0.25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</row>
    <row r="459" spans="2:46" ht="16" hidden="1" thickTop="1" thickBot="1" x14ac:dyDescent="0.25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</row>
    <row r="460" spans="2:46" ht="16" hidden="1" thickTop="1" thickBot="1" x14ac:dyDescent="0.25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</row>
    <row r="461" spans="2:46" ht="16" hidden="1" thickTop="1" thickBot="1" x14ac:dyDescent="0.25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</row>
    <row r="462" spans="2:46" ht="16" hidden="1" thickTop="1" thickBot="1" x14ac:dyDescent="0.25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</row>
    <row r="463" spans="2:46" ht="16" hidden="1" thickTop="1" thickBot="1" x14ac:dyDescent="0.25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</row>
    <row r="464" spans="2:46" ht="16" hidden="1" thickTop="1" thickBot="1" x14ac:dyDescent="0.25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</row>
    <row r="465" spans="2:46" ht="16" hidden="1" thickTop="1" thickBot="1" x14ac:dyDescent="0.25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</row>
    <row r="466" spans="2:46" ht="16" hidden="1" thickTop="1" thickBot="1" x14ac:dyDescent="0.25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</row>
    <row r="467" spans="2:46" ht="16" hidden="1" thickTop="1" thickBot="1" x14ac:dyDescent="0.25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</row>
    <row r="468" spans="2:46" ht="16" hidden="1" thickTop="1" thickBot="1" x14ac:dyDescent="0.25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</row>
    <row r="469" spans="2:46" ht="16" hidden="1" thickTop="1" thickBot="1" x14ac:dyDescent="0.25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</row>
    <row r="470" spans="2:46" ht="16" hidden="1" thickTop="1" thickBot="1" x14ac:dyDescent="0.25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</row>
    <row r="471" spans="2:46" ht="16" hidden="1" thickTop="1" thickBot="1" x14ac:dyDescent="0.25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</row>
    <row r="472" spans="2:46" ht="16" hidden="1" thickTop="1" thickBot="1" x14ac:dyDescent="0.25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</row>
    <row r="473" spans="2:46" ht="16" hidden="1" thickTop="1" thickBot="1" x14ac:dyDescent="0.25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</row>
    <row r="474" spans="2:46" ht="16" hidden="1" thickTop="1" thickBot="1" x14ac:dyDescent="0.25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</row>
    <row r="475" spans="2:46" ht="16" hidden="1" thickTop="1" thickBot="1" x14ac:dyDescent="0.25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</row>
    <row r="476" spans="2:46" ht="16" hidden="1" thickTop="1" thickBot="1" x14ac:dyDescent="0.25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</row>
    <row r="477" spans="2:46" ht="16" hidden="1" thickTop="1" thickBot="1" x14ac:dyDescent="0.25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</row>
    <row r="478" spans="2:46" ht="16" hidden="1" thickTop="1" thickBot="1" x14ac:dyDescent="0.25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</row>
    <row r="479" spans="2:46" ht="16" hidden="1" thickTop="1" thickBot="1" x14ac:dyDescent="0.25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</row>
    <row r="480" spans="2:46" ht="16" hidden="1" thickTop="1" thickBot="1" x14ac:dyDescent="0.25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</row>
    <row r="481" spans="2:46" ht="16" hidden="1" thickTop="1" thickBot="1" x14ac:dyDescent="0.25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</row>
    <row r="482" spans="2:46" ht="16" hidden="1" thickTop="1" thickBot="1" x14ac:dyDescent="0.25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</row>
    <row r="483" spans="2:46" ht="16" hidden="1" thickTop="1" thickBot="1" x14ac:dyDescent="0.25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</row>
    <row r="484" spans="2:46" ht="16" hidden="1" thickTop="1" thickBot="1" x14ac:dyDescent="0.25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</row>
    <row r="485" spans="2:46" ht="16" hidden="1" thickTop="1" thickBot="1" x14ac:dyDescent="0.25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</row>
    <row r="486" spans="2:46" ht="16" hidden="1" thickTop="1" thickBot="1" x14ac:dyDescent="0.25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</row>
    <row r="487" spans="2:46" ht="16" hidden="1" thickTop="1" thickBot="1" x14ac:dyDescent="0.25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</row>
    <row r="488" spans="2:46" ht="16" hidden="1" thickTop="1" thickBot="1" x14ac:dyDescent="0.25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</row>
    <row r="489" spans="2:46" ht="16" hidden="1" thickTop="1" thickBot="1" x14ac:dyDescent="0.25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</row>
    <row r="490" spans="2:46" ht="16" hidden="1" thickTop="1" thickBot="1" x14ac:dyDescent="0.25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</row>
    <row r="491" spans="2:46" ht="16" hidden="1" thickTop="1" thickBot="1" x14ac:dyDescent="0.25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</row>
    <row r="492" spans="2:46" ht="16" hidden="1" thickTop="1" thickBot="1" x14ac:dyDescent="0.25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</row>
    <row r="493" spans="2:46" ht="16" hidden="1" thickTop="1" thickBot="1" x14ac:dyDescent="0.25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</row>
    <row r="494" spans="2:46" ht="16" hidden="1" thickTop="1" thickBot="1" x14ac:dyDescent="0.25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</row>
    <row r="495" spans="2:46" ht="16" hidden="1" thickTop="1" thickBot="1" x14ac:dyDescent="0.25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</row>
    <row r="496" spans="2:46" ht="16" hidden="1" thickTop="1" thickBot="1" x14ac:dyDescent="0.25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</row>
    <row r="497" spans="2:46" ht="16" hidden="1" thickTop="1" thickBot="1" x14ac:dyDescent="0.25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</row>
    <row r="498" spans="2:46" ht="16" hidden="1" thickTop="1" thickBot="1" x14ac:dyDescent="0.25">
      <c r="D498" s="5"/>
      <c r="E498" s="5"/>
    </row>
    <row r="499" spans="2:46" ht="16" hidden="1" thickTop="1" thickBot="1" x14ac:dyDescent="0.25">
      <c r="D499" s="5"/>
      <c r="E499" s="5"/>
    </row>
    <row r="500" spans="2:46" ht="16" hidden="1" thickTop="1" thickBot="1" x14ac:dyDescent="0.25">
      <c r="D500" s="5"/>
      <c r="E500" s="5"/>
    </row>
    <row r="501" spans="2:46" ht="16" hidden="1" thickTop="1" thickBot="1" x14ac:dyDescent="0.25">
      <c r="D501" s="5"/>
      <c r="E501" s="5"/>
    </row>
    <row r="502" spans="2:46" ht="16" hidden="1" thickTop="1" thickBot="1" x14ac:dyDescent="0.25">
      <c r="D502" s="5"/>
      <c r="E502" s="5"/>
    </row>
    <row r="503" spans="2:46" ht="16" hidden="1" thickTop="1" thickBot="1" x14ac:dyDescent="0.25">
      <c r="D503" s="5"/>
      <c r="E503" s="5"/>
    </row>
    <row r="505" spans="2:46" x14ac:dyDescent="0.2"/>
  </sheetData>
  <mergeCells count="1">
    <mergeCell ref="F8:G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2BB69-11E5-B649-9119-DAAEAA33A535}">
  <sheetPr>
    <tabColor rgb="FF7CE38B"/>
  </sheetPr>
  <dimension ref="A1:DZ511"/>
  <sheetViews>
    <sheetView showGridLines="0" tabSelected="1" zoomScale="130" zoomScaleNormal="130" workbookViewId="0">
      <selection activeCell="A6" sqref="A1:XFD6"/>
    </sheetView>
  </sheetViews>
  <sheetFormatPr baseColWidth="10" defaultColWidth="0" defaultRowHeight="14" zeroHeight="1" x14ac:dyDescent="0.2"/>
  <cols>
    <col min="1" max="1" width="9" customWidth="1"/>
    <col min="2" max="2" width="32" bestFit="1" customWidth="1"/>
    <col min="3" max="3" width="11.1640625" customWidth="1"/>
    <col min="4" max="4" width="4" customWidth="1"/>
    <col min="5" max="5" width="11.83203125" bestFit="1" customWidth="1"/>
    <col min="6" max="6" width="5.6640625" customWidth="1"/>
    <col min="7" max="7" width="1.83203125" customWidth="1"/>
    <col min="8" max="8" width="6.1640625" bestFit="1" customWidth="1"/>
    <col min="9" max="9" width="17.5" customWidth="1"/>
    <col min="10" max="16" width="9" customWidth="1"/>
    <col min="17" max="121" width="1.5" customWidth="1"/>
    <col min="122" max="122" width="0" hidden="1" customWidth="1"/>
    <col min="131" max="16384" width="9" hidden="1"/>
  </cols>
  <sheetData>
    <row r="1" spans="1:8" ht="20.25" customHeight="1" x14ac:dyDescent="0.2">
      <c r="B1" t="s">
        <v>41</v>
      </c>
    </row>
    <row r="2" spans="1:8" ht="20.25" customHeight="1" x14ac:dyDescent="0.2"/>
    <row r="3" spans="1:8" ht="20.25" customHeight="1" x14ac:dyDescent="0.2">
      <c r="A3" s="37"/>
      <c r="B3" s="40" t="s">
        <v>40</v>
      </c>
      <c r="C3" s="37"/>
      <c r="E3" s="39">
        <v>3</v>
      </c>
      <c r="F3" s="37"/>
      <c r="G3" s="45"/>
      <c r="H3" s="37"/>
    </row>
    <row r="4" spans="1:8" ht="20.25" customHeight="1" x14ac:dyDescent="0.2">
      <c r="A4" s="37"/>
      <c r="B4" s="37"/>
      <c r="C4" s="37"/>
      <c r="D4" s="37"/>
      <c r="E4" s="43"/>
      <c r="F4" s="37"/>
      <c r="G4" s="37"/>
      <c r="H4" s="37"/>
    </row>
    <row r="5" spans="1:8" ht="18" customHeight="1" x14ac:dyDescent="0.2">
      <c r="A5" s="37"/>
      <c r="B5" s="40" t="s">
        <v>39</v>
      </c>
      <c r="C5" s="37"/>
      <c r="D5" s="37"/>
      <c r="E5" s="39">
        <v>2</v>
      </c>
      <c r="F5" s="37"/>
      <c r="G5" s="38"/>
      <c r="H5" s="37"/>
    </row>
    <row r="6" spans="1:8" ht="18" customHeight="1" x14ac:dyDescent="0.2">
      <c r="A6" s="37"/>
      <c r="E6" s="35"/>
      <c r="H6" s="37"/>
    </row>
    <row r="7" spans="1:8" ht="18" customHeight="1" x14ac:dyDescent="0.2">
      <c r="A7" s="37"/>
      <c r="B7" s="40" t="s">
        <v>38</v>
      </c>
      <c r="C7" s="37"/>
      <c r="E7" s="39">
        <v>3</v>
      </c>
      <c r="F7" s="37"/>
      <c r="G7" s="45"/>
      <c r="H7" s="37"/>
    </row>
    <row r="8" spans="1:8" ht="18" customHeight="1" x14ac:dyDescent="0.2">
      <c r="A8" s="37"/>
      <c r="H8" s="37"/>
    </row>
    <row r="9" spans="1:8" ht="18" customHeight="1" x14ac:dyDescent="0.2">
      <c r="A9" s="37"/>
      <c r="B9" s="40" t="s">
        <v>37</v>
      </c>
      <c r="C9" s="44" t="s">
        <v>36</v>
      </c>
      <c r="E9" s="42">
        <v>25</v>
      </c>
      <c r="F9" s="37"/>
      <c r="H9" s="37"/>
    </row>
    <row r="10" spans="1:8" ht="18" customHeight="1" x14ac:dyDescent="0.2">
      <c r="B10" s="40"/>
      <c r="C10" s="37"/>
      <c r="D10" s="37"/>
      <c r="E10" s="43"/>
      <c r="F10" s="37"/>
    </row>
    <row r="11" spans="1:8" ht="18" customHeight="1" x14ac:dyDescent="0.2">
      <c r="B11" s="40" t="s">
        <v>35</v>
      </c>
      <c r="C11" s="37"/>
      <c r="D11" s="37"/>
      <c r="E11" s="42">
        <v>3500</v>
      </c>
      <c r="F11" s="37"/>
    </row>
    <row r="12" spans="1:8" ht="18" customHeight="1" x14ac:dyDescent="0.2">
      <c r="B12" s="40"/>
      <c r="C12" s="37"/>
      <c r="D12" s="37"/>
      <c r="E12" s="37"/>
      <c r="F12" s="37"/>
    </row>
    <row r="13" spans="1:8" ht="18" customHeight="1" x14ac:dyDescent="0.2">
      <c r="B13" s="40" t="s">
        <v>34</v>
      </c>
      <c r="C13" s="37"/>
      <c r="E13" s="41">
        <v>0.4</v>
      </c>
    </row>
    <row r="14" spans="1:8" ht="18" customHeight="1" x14ac:dyDescent="0.2">
      <c r="B14" s="40"/>
    </row>
    <row r="15" spans="1:8" ht="18" customHeight="1" x14ac:dyDescent="0.2">
      <c r="B15" s="40" t="s">
        <v>33</v>
      </c>
      <c r="C15" s="37"/>
      <c r="D15" s="37"/>
      <c r="E15" s="39">
        <v>2</v>
      </c>
      <c r="F15" s="37"/>
      <c r="G15" s="38"/>
    </row>
    <row r="16" spans="1:8" ht="18" customHeight="1" x14ac:dyDescent="0.2">
      <c r="B16" s="40"/>
    </row>
    <row r="17" spans="2:9" ht="18" customHeight="1" x14ac:dyDescent="0.2">
      <c r="B17" s="40" t="s">
        <v>32</v>
      </c>
      <c r="C17" s="37"/>
      <c r="D17" s="37"/>
      <c r="E17" s="39">
        <v>2</v>
      </c>
    </row>
    <row r="18" spans="2:9" ht="18" customHeight="1" x14ac:dyDescent="0.2">
      <c r="I18" t="s">
        <v>31</v>
      </c>
    </row>
    <row r="19" spans="2:9" ht="18" customHeight="1" x14ac:dyDescent="0.2"/>
    <row r="20" spans="2:9" ht="18" customHeight="1" x14ac:dyDescent="0.2">
      <c r="G20" s="38">
        <f>E9*50000</f>
        <v>1250000</v>
      </c>
    </row>
    <row r="21" spans="2:9" ht="18" customHeight="1" x14ac:dyDescent="0.2">
      <c r="G21" s="37"/>
    </row>
    <row r="22" spans="2:9" ht="18" customHeight="1" x14ac:dyDescent="0.2">
      <c r="G22" s="38">
        <f>E11*50</f>
        <v>175000</v>
      </c>
    </row>
    <row r="23" spans="2:9" ht="18" customHeight="1" x14ac:dyDescent="0.2">
      <c r="G23" s="37"/>
    </row>
    <row r="24" spans="2:9" ht="18" customHeight="1" x14ac:dyDescent="0.2">
      <c r="G24" s="36">
        <f>C13*1+E13</f>
        <v>0.4</v>
      </c>
    </row>
    <row r="25" spans="2:9" ht="18" customHeight="1" x14ac:dyDescent="0.2"/>
    <row r="26" spans="2:9" ht="18" customHeight="1" x14ac:dyDescent="0.2"/>
    <row r="27" spans="2:9" ht="18" customHeight="1" x14ac:dyDescent="0.2"/>
    <row r="28" spans="2:9" ht="18" customHeight="1" x14ac:dyDescent="0.2"/>
    <row r="29" spans="2:9" ht="18" customHeight="1" x14ac:dyDescent="0.2"/>
    <row r="30" spans="2:9" ht="18" customHeight="1" x14ac:dyDescent="0.2"/>
    <row r="31" spans="2:9" ht="18" customHeight="1" x14ac:dyDescent="0.2"/>
    <row r="32" spans="2:9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spans="1:42" x14ac:dyDescent="0.2"/>
    <row r="386" spans="1:42" x14ac:dyDescent="0.2"/>
    <row r="387" spans="1:42" x14ac:dyDescent="0.2"/>
    <row r="388" spans="1:42" x14ac:dyDescent="0.2"/>
    <row r="389" spans="1:42" x14ac:dyDescent="0.2"/>
    <row r="390" spans="1:42" x14ac:dyDescent="0.2"/>
    <row r="391" spans="1:42" x14ac:dyDescent="0.2"/>
    <row r="392" spans="1:42" x14ac:dyDescent="0.2"/>
    <row r="393" spans="1:42" ht="16" hidden="1" thickTop="1" thickBot="1" x14ac:dyDescent="0.25">
      <c r="A393" s="5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</row>
    <row r="394" spans="1:42" ht="16" hidden="1" thickTop="1" thickBo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ht="16" hidden="1" thickTop="1" thickBo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ht="16" hidden="1" thickTop="1" thickBo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ht="16" hidden="1" thickTop="1" thickBo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ht="16" hidden="1" thickTop="1" thickBo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ht="16" hidden="1" thickTop="1" thickBot="1" x14ac:dyDescent="0.25">
      <c r="A399" s="6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ht="16" hidden="1" thickTop="1" thickBo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ht="16" hidden="1" thickTop="1" thickBo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ht="16" hidden="1" thickTop="1" thickBo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ht="16" hidden="1" thickTop="1" thickBo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ht="16" hidden="1" thickTop="1" thickBo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ht="16" hidden="1" thickTop="1" thickBo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ht="16" hidden="1" thickTop="1" thickBo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ht="16" hidden="1" thickTop="1" thickBo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ht="16" hidden="1" thickTop="1" thickBo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ht="16" hidden="1" thickTop="1" thickBo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ht="16" hidden="1" thickTop="1" thickBo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ht="16" hidden="1" thickTop="1" thickBo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ht="16" hidden="1" thickTop="1" thickBo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ht="16" hidden="1" thickTop="1" thickBo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ht="16" hidden="1" thickTop="1" thickBo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ht="16" hidden="1" thickTop="1" thickBo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ht="16" hidden="1" thickTop="1" thickBo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ht="16" hidden="1" thickTop="1" thickBo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ht="16" hidden="1" thickTop="1" thickBo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ht="16" hidden="1" thickTop="1" thickBo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ht="16" hidden="1" thickTop="1" thickBo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ht="16" hidden="1" thickTop="1" thickBo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ht="16" hidden="1" thickTop="1" thickBo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ht="16" hidden="1" thickTop="1" thickBo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ht="16" hidden="1" thickTop="1" thickBo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ht="16" hidden="1" thickTop="1" thickBo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ht="16" hidden="1" thickTop="1" thickBo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ht="16" hidden="1" thickTop="1" thickBo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ht="16" hidden="1" thickTop="1" thickBo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ht="16" hidden="1" thickTop="1" thickBo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ht="16" hidden="1" thickTop="1" thickBo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ht="16" hidden="1" thickTop="1" thickBo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ht="16" hidden="1" thickTop="1" thickBo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ht="16" hidden="1" thickTop="1" thickBo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ht="16" hidden="1" thickTop="1" thickBo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ht="16" hidden="1" thickTop="1" thickBo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ht="16" hidden="1" thickTop="1" thickBo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ht="16" hidden="1" thickTop="1" thickBo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ht="16" hidden="1" thickTop="1" thickBo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ht="16" hidden="1" thickTop="1" thickBo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ht="16" hidden="1" thickTop="1" thickBo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ht="16" hidden="1" thickTop="1" thickBo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ht="16" hidden="1" thickTop="1" thickBo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ht="16" hidden="1" thickTop="1" thickBo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ht="16" hidden="1" thickTop="1" thickBo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ht="16" hidden="1" thickTop="1" thickBo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ht="16" hidden="1" thickTop="1" thickBo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ht="16" hidden="1" thickTop="1" thickBo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ht="16" hidden="1" thickTop="1" thickBo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ht="16" hidden="1" thickTop="1" thickBo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ht="16" hidden="1" thickTop="1" thickBo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ht="16" hidden="1" thickTop="1" thickBo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ht="16" hidden="1" thickTop="1" thickBo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ht="16" hidden="1" thickTop="1" thickBo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ht="16" hidden="1" thickTop="1" thickBo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ht="16" hidden="1" thickTop="1" thickBo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ht="16" hidden="1" thickTop="1" thickBo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ht="16" hidden="1" thickTop="1" thickBo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ht="16" hidden="1" thickTop="1" thickBo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ht="16" hidden="1" thickTop="1" thickBo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ht="16" hidden="1" thickTop="1" thickBo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ht="16" hidden="1" thickTop="1" thickBo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ht="16" hidden="1" thickTop="1" thickBo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ht="16" hidden="1" thickTop="1" thickBo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ht="16" hidden="1" thickTop="1" thickBo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ht="16" hidden="1" thickTop="1" thickBo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ht="16" hidden="1" thickTop="1" thickBo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ht="16" hidden="1" thickTop="1" thickBo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ht="16" hidden="1" thickTop="1" thickBo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ht="16" hidden="1" thickTop="1" thickBo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ht="16" hidden="1" thickTop="1" thickBo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ht="16" hidden="1" thickTop="1" thickBo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ht="16" hidden="1" thickTop="1" thickBo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ht="16" hidden="1" thickTop="1" thickBo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ht="16" hidden="1" thickTop="1" thickBo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ht="16" hidden="1" thickTop="1" thickBo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ht="16" hidden="1" thickTop="1" thickBo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ht="16" hidden="1" thickTop="1" thickBo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ht="16" hidden="1" thickTop="1" thickBo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ht="16" hidden="1" thickTop="1" thickBo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ht="16" hidden="1" thickTop="1" thickBo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ht="16" hidden="1" thickTop="1" thickBo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ht="16" hidden="1" thickTop="1" thickBo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ht="16" hidden="1" thickTop="1" thickBo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ht="16" hidden="1" thickTop="1" thickBo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ht="16" hidden="1" thickTop="1" thickBo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ht="16" hidden="1" thickTop="1" thickBo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ht="16" hidden="1" thickTop="1" thickBo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ht="16" hidden="1" thickTop="1" thickBo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ht="16" hidden="1" thickTop="1" thickBo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ht="16" hidden="1" thickTop="1" thickBo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ht="16" hidden="1" thickTop="1" thickBo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ht="16" hidden="1" thickTop="1" thickBot="1" x14ac:dyDescent="0.25">
      <c r="A492" s="5"/>
    </row>
    <row r="493" spans="1:42" ht="16" hidden="1" thickTop="1" thickBot="1" x14ac:dyDescent="0.25">
      <c r="A493" s="5"/>
    </row>
    <row r="494" spans="1:42" ht="16" hidden="1" thickTop="1" thickBot="1" x14ac:dyDescent="0.25">
      <c r="A494" s="5"/>
    </row>
    <row r="495" spans="1:42" ht="16" hidden="1" thickTop="1" thickBot="1" x14ac:dyDescent="0.25">
      <c r="A495" s="5"/>
    </row>
    <row r="496" spans="1:42" ht="16" hidden="1" thickTop="1" thickBot="1" x14ac:dyDescent="0.25">
      <c r="A496" s="5"/>
    </row>
    <row r="497" spans="1:1" ht="16" hidden="1" thickTop="1" thickBot="1" x14ac:dyDescent="0.25">
      <c r="A497" s="5"/>
    </row>
    <row r="499" spans="1:1" x14ac:dyDescent="0.2"/>
    <row r="506" spans="1:1" x14ac:dyDescent="0.2"/>
    <row r="507" spans="1:1" x14ac:dyDescent="0.2"/>
    <row r="508" spans="1:1" x14ac:dyDescent="0.2"/>
    <row r="509" spans="1:1" x14ac:dyDescent="0.2"/>
    <row r="510" spans="1:1" x14ac:dyDescent="0.2"/>
    <row r="511" spans="1: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MF</vt:lpstr>
      <vt:lpstr>iProperty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Gregg Wolin</dc:creator>
  <cp:keywords/>
  <dc:description/>
  <cp:lastModifiedBy>Gregg Wolin</cp:lastModifiedBy>
  <cp:lastPrinted>2022-09-14T19:17:10Z</cp:lastPrinted>
  <dcterms:created xsi:type="dcterms:W3CDTF">2021-08-12T14:58:48Z</dcterms:created>
  <dcterms:modified xsi:type="dcterms:W3CDTF">2026-01-15T20:51:04Z</dcterms:modified>
  <cp:category/>
</cp:coreProperties>
</file>