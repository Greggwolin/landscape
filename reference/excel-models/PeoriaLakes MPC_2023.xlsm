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0a8bef154aef494a" Type="http://schemas.microsoft.com/office/2007/relationships/ui/extensibility" Target="customUI/customUI14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5150east/landscape/LocalFiles/"/>
    </mc:Choice>
  </mc:AlternateContent>
  <xr:revisionPtr revIDLastSave="0" documentId="13_ncr:1_{E0BAE188-FE6D-C349-94EF-DB89361D8307}" xr6:coauthVersionLast="47" xr6:coauthVersionMax="47" xr10:uidLastSave="{00000000-0000-0000-0000-000000000000}"/>
  <bookViews>
    <workbookView xWindow="2540" yWindow="3660" windowWidth="31220" windowHeight="23860" tabRatio="793" xr2:uid="{C0B32E0C-482A-7046-B463-A7372A898F64}"/>
  </bookViews>
  <sheets>
    <sheet name="NOTES" sheetId="34" r:id="rId1"/>
    <sheet name="CHECKS" sheetId="58" r:id="rId2"/>
    <sheet name="i.General" sheetId="65" r:id="rId3"/>
    <sheet name="i.LandAcq" sheetId="29" r:id="rId4"/>
    <sheet name="i.Planning" sheetId="7" r:id="rId5"/>
    <sheet name="iProject" sheetId="31" r:id="rId6"/>
    <sheet name="iFinance" sheetId="62" r:id="rId7"/>
    <sheet name="ADMIN" sheetId="13" r:id="rId8"/>
    <sheet name="DATABASE" sheetId="42" r:id="rId9"/>
    <sheet name="mProject" sheetId="66" r:id="rId10"/>
    <sheet name="mFinance" sheetId="63" r:id="rId11"/>
    <sheet name="mAssets" sheetId="44" r:id="rId12"/>
    <sheet name="mWaterfall" sheetId="56" r:id="rId13"/>
    <sheet name="r.ParcelTable" sheetId="64" r:id="rId14"/>
    <sheet name="r.Sales" sheetId="45" r:id="rId15"/>
    <sheet name="r.Costs" sheetId="60" r:id="rId16"/>
    <sheet name="r.CFm" sheetId="26" r:id="rId17"/>
    <sheet name="r.CFa" sheetId="47" r:id="rId18"/>
    <sheet name="r.Project_by_Phase" sheetId="50" r:id="rId19"/>
    <sheet name="r.CF by Phase" sheetId="57" r:id="rId20"/>
    <sheet name="r.Gantt" sheetId="55" r:id="rId21"/>
    <sheet name="r.Demand" sheetId="21" r:id="rId22"/>
    <sheet name="r.Assumptions-Static" sheetId="53" r:id="rId23"/>
    <sheet name="r.Summary" sheetId="51" r:id="rId24"/>
  </sheets>
  <functionGroups builtInGroupCount="19"/>
  <definedNames>
    <definedName name="_xlnm._FilterDatabase" localSheetId="5" hidden="1">iProject!$A$36:$A$55</definedName>
    <definedName name="_xlnm._FilterDatabase" localSheetId="9" hidden="1">mProject!$B$9:$B$369</definedName>
    <definedName name="_xlnm._FilterDatabase" localSheetId="12" hidden="1">mWaterfall!$A$42:$A$443</definedName>
    <definedName name="_xlnm._FilterDatabase" localSheetId="17" hidden="1">'r.CFa'!$A$21:$A$45</definedName>
    <definedName name="_xlnm._FilterDatabase" localSheetId="16" hidden="1">'r.CFm'!$A$18:$A$250</definedName>
    <definedName name="_xlnm._FilterDatabase" localSheetId="15" hidden="1">'r.Costs'!$A$9:$A$37</definedName>
    <definedName name="_xlnm._FilterDatabase" localSheetId="21" hidden="1">'r.Demand'!$A$14:$A$38</definedName>
    <definedName name="_xlnm._FilterDatabase" localSheetId="13" hidden="1">'r.ParcelTable'!$A$9:$A$75</definedName>
    <definedName name="_xlnm._FilterDatabase" localSheetId="14" hidden="1">'r.Sales'!$A$10:$A$63</definedName>
    <definedName name="_Order1" hidden="1">0</definedName>
    <definedName name="_xlcn.WorksheetConnection_T9A2C161" localSheetId="1" hidden="1">#REF!</definedName>
    <definedName name="_xlcn.WorksheetConnection_T9A2C161" localSheetId="2" hidden="1">#REF!</definedName>
    <definedName name="_xlcn.WorksheetConnection_T9A2C161" localSheetId="4" hidden="1">#REF!</definedName>
    <definedName name="_xlcn.WorksheetConnection_T9A2C161" localSheetId="6" hidden="1">#REF!</definedName>
    <definedName name="_xlcn.WorksheetConnection_T9A2C161" localSheetId="5" hidden="1">#REF!</definedName>
    <definedName name="_xlcn.WorksheetConnection_T9A2C161" localSheetId="11" hidden="1">#REF!</definedName>
    <definedName name="_xlcn.WorksheetConnection_T9A2C161" localSheetId="10" hidden="1">#REF!</definedName>
    <definedName name="_xlcn.WorksheetConnection_T9A2C161" localSheetId="0" hidden="1">#REF!</definedName>
    <definedName name="_xlcn.WorksheetConnection_T9A2C161" localSheetId="22" hidden="1">#REF!</definedName>
    <definedName name="_xlcn.WorksheetConnection_T9A2C161" localSheetId="19" hidden="1">#REF!</definedName>
    <definedName name="_xlcn.WorksheetConnection_T9A2C161" localSheetId="17" hidden="1">#REF!</definedName>
    <definedName name="_xlcn.WorksheetConnection_T9A2C161" localSheetId="16" hidden="1">#REF!</definedName>
    <definedName name="_xlcn.WorksheetConnection_T9A2C161" localSheetId="15" hidden="1">#REF!</definedName>
    <definedName name="_xlcn.WorksheetConnection_T9A2C161" localSheetId="21" hidden="1">#REF!</definedName>
    <definedName name="_xlcn.WorksheetConnection_T9A2C161" localSheetId="18" hidden="1">#REF!</definedName>
    <definedName name="_xlcn.WorksheetConnection_T9A2C161" localSheetId="14" hidden="1">#REF!</definedName>
    <definedName name="_xlcn.WorksheetConnection_T9A2C161" localSheetId="23" hidden="1">#REF!</definedName>
    <definedName name="_xlcn.WorksheetConnection_T9A2C161" hidden="1">#REF!</definedName>
    <definedName name="c_Acres.Total">SUM(tbl_Planning[Acres])</definedName>
    <definedName name="c_Date.Costs_Final">ADMIN!$K$12</definedName>
    <definedName name="c_Date.End">ADMIN!$K$19</definedName>
    <definedName name="c_equity.LPshare">1-i_equity.GPshare</definedName>
    <definedName name="c_FrontFeet">SUM(tbl_Planning.Help[Feet])</definedName>
    <definedName name="c_Hurdle1.Share_GP">mWaterfall!$I$17</definedName>
    <definedName name="c_Hurdle2.Share_GP">mWaterfall!$I$18</definedName>
    <definedName name="c_Hurdle3.Share_GP">mWaterfall!$I$19</definedName>
    <definedName name="c_Period.Cost_Final">ADMIN!$K$11</definedName>
    <definedName name="c_Period.Revenue_Final">ADMIN!$K$9</definedName>
    <definedName name="c_Periods.Final">ADMIN!$K$13</definedName>
    <definedName name="c_rate.Hurdle1.MO">(1+i_rate.Hurdle1)^(1/12)-1</definedName>
    <definedName name="c_rate.Hurdle2.MO">(1+i_rate.Hurdle2)^(1/12)-1</definedName>
    <definedName name="c_rate.Hurdle3.MO">(1+i_rate.Hurdle3)^(1/12)-1</definedName>
    <definedName name="c_rate.Pref.MO">(((i_rate.Pref/1+1)^(1/12))-1)</definedName>
    <definedName name="c_Units.Total">SUM(tbl_Planning[Units])</definedName>
    <definedName name="cv_budgetDev">iProject!$H$16:$L$19</definedName>
    <definedName name="cv_budgetDev.Mkt">iProject!$H$74:$L$77</definedName>
    <definedName name="cv_budgetTemp">iProject!$H$80:$L$83</definedName>
    <definedName name="cv_Sale.Parcels">_xlfn.ANCHORARRAY(iProject!$P$10)</definedName>
    <definedName name="cv_Sale.Prices">iProject!$X$10:$X$29</definedName>
    <definedName name="i_ActiveArea">iProject!$F$7</definedName>
    <definedName name="i_Cost.Commisions">i.General!$E$18</definedName>
    <definedName name="i_Cost.Conting">i.General!$E$21</definedName>
    <definedName name="i_Cost.Engineer">i.General!$E$26</definedName>
    <definedName name="i_Cost.Entitlemt">i.General!$E$25</definedName>
    <definedName name="i_cost.Offsite">i.General!$E$28</definedName>
    <definedName name="i_Cost.Onsite">i.General!$E$29</definedName>
    <definedName name="i_Cost.OtherCOS">i.General!$E$19</definedName>
    <definedName name="i_Cost.Subd">i.General!$E$30</definedName>
    <definedName name="i_Date.Start">i.General!$D$11</definedName>
    <definedName name="i_Demand.Annual">i.General!$E$20</definedName>
    <definedName name="i_equity.GPshare">i.General!$P$8</definedName>
    <definedName name="i_factorDUA">i.Planning!$S$19</definedName>
    <definedName name="i_Header.ModelDescr">ADMIN!$D$13</definedName>
    <definedName name="i_Header.ProjectName">ADMIN!$D$12</definedName>
    <definedName name="i_Inflate.Cost">i.General!$E$16</definedName>
    <definedName name="i_Inflate.Price">i.General!$E$15</definedName>
    <definedName name="i_Inventory.Offset">i.General!#REF!</definedName>
    <definedName name="i_LandVal.NonRes">i.Planning!$S$8</definedName>
    <definedName name="i_price.SFDlots">i.Planning!$S$10</definedName>
    <definedName name="i_Project.Acres">i.LandAcq!$F$21</definedName>
    <definedName name="i_Project.Descr">i.General!$D$9</definedName>
    <definedName name="i_Project.Location">i.General!$D$10</definedName>
    <definedName name="i_Project.Name">i.General!$D$8</definedName>
    <definedName name="i_Promote.Hurdle1">i.General!$P$13</definedName>
    <definedName name="i_Promote.Hurdle2">i.General!$P$14</definedName>
    <definedName name="i_Promote.Hurdle3">i.General!$P$15</definedName>
    <definedName name="i_rate.Hurdle1">i.General!$O$13</definedName>
    <definedName name="i_rate.Hurdle2">i.General!$O$14</definedName>
    <definedName name="i_rate.Hurdle3">i.General!$O$15</definedName>
    <definedName name="i_rate.Pref">i.General!$O$12</definedName>
    <definedName name="i_rateProfit">i.General!#REF!</definedName>
    <definedName name="i_residualGP">i.General!$P$16</definedName>
    <definedName name="i_topRow.Heights">ADMIN!$D$24:$D$27</definedName>
    <definedName name="inputRange_Bonds">iFinance!$P$2:$AD$39</definedName>
    <definedName name="inputRange_DevelopSales">iProject!$D$3:$AH$72</definedName>
    <definedName name="inputRange_General">i.General!$B$2:$W$50</definedName>
    <definedName name="inputRange_LandAcq">i.LandAcq!$B$2:$Q$25</definedName>
    <definedName name="inputRange_Loans">iFinance!$B$2:$O$39</definedName>
    <definedName name="inputRange_Planning">i.Planning!$C$2:$AM$53</definedName>
    <definedName name="IntroPrintArea" hidden="1">#REF!</definedName>
    <definedName name="iv_dates.DevCompletion">iProject!$H$14:$L$14</definedName>
    <definedName name="iv_DevBudget">iProject!$H$16:$L$20</definedName>
    <definedName name="iv_DevSchedule">iProject!$H$12:$L$13</definedName>
    <definedName name="iv_PriceOverride">iProject!#REF!</definedName>
    <definedName name="iv_Sale.Months">iProject!$U$10:$U$29</definedName>
    <definedName name="iv_Sale.Years">iProject!$V$10:$V$29</definedName>
    <definedName name="list_costSubdivByPhase">-SUMIF(_xlfn.ANCHORARRAY(DATABASE!AG17),list_Phases,DATABASE!$X$32:$X$84)</definedName>
    <definedName name="list_Dates.ALL">EDATE(i_Date.Start, _xlfn.SEQUENCE(c_Periods.Final,1,0))</definedName>
    <definedName name="list_Dates.Qtr">"Q"&amp;ROUNDUP(MONTH(list_Dates.ALL)/3,0)&amp;"-"&amp;list_Years.Calendar-2000</definedName>
    <definedName name="list_Dates.Yr">_xlfn.ANCHORARRAY(ADMIN!$U$9)</definedName>
    <definedName name="list_landuse.Type">ADMIN!$AN$10:$AN$18</definedName>
    <definedName name="list_LandUses">_xlfn.UNIQUE(_xlfn._xlws.FILTER(tbl_Planning[Code],tbl_Planning[Code]&lt;&gt;""))</definedName>
    <definedName name="list_Measures">ADMIN!$AD$9:$AD$12</definedName>
    <definedName name="list_MonthNames">TEXT(DATE(2023, _xlfn.SEQUENCE(12, 1, 1), 1), "mmm")</definedName>
    <definedName name="list_Parcels">tbl_Planning[Parcel ID]</definedName>
    <definedName name="list_Periods.ALL">_xlfn.SEQUENCE(c_Periods.Final,1)</definedName>
    <definedName name="list_Periods.Qtr">INT(INT(list_Periods.ALL+2)/3)</definedName>
    <definedName name="list_Periods.Yr">TRANSPOSE(INT((_xlfn.SEQUENCE(1, MATCH(9^9, list_Periods.ALL)) - 1)/12) + 1)</definedName>
    <definedName name="list_PhaseID">OFFSET(i.Planning!$B$8,1,,COUNTA(i.Planning!$B$8:$B$76)-1,1)</definedName>
    <definedName name="list_Phases">_xlfn.UNIQUE(tbl_Planning.Help[Phase])</definedName>
    <definedName name="list_PlanArea">_xlfn.UNIQUE(tbl_Planning[Area])</definedName>
    <definedName name="list_Term.Years">_xlfn.SEQUENCE((COUNT(_xlfn.ANCHORARRAY(ADMIN!$U$9))))</definedName>
    <definedName name="list_Years.2XXX">_xlfn.UNIQUE(YEAR(list_Dates.ALL))</definedName>
    <definedName name="list_Years.Calendar">YEAR(EDATE(i_Date.Start,_xlfn.SEQUENCE(c_Periods.Final,1,0)))</definedName>
    <definedName name="Max_Row" hidden="1">MATCH(MAX(#REF!),#REF!,0)+9</definedName>
    <definedName name="periodEnd">i.Planning!$J$92</definedName>
    <definedName name="_xlnm.Print_Area" localSheetId="17">'r.CFa'!$C$6:$N$66</definedName>
    <definedName name="_xlnm.Print_Area" localSheetId="16">'r.CFm'!$C$6:$EG$63</definedName>
    <definedName name="_xlnm.Print_Area" localSheetId="13">'r.ParcelTable'!$C$6:$J$75</definedName>
    <definedName name="_xlnm.Print_Area" localSheetId="18">'r.Project_by_Phase'!$C$6:$M$53</definedName>
    <definedName name="_xlnm.Print_Area" localSheetId="14">'r.Sales'!$C$7:$U$63</definedName>
    <definedName name="_xlnm.Print_Titles" localSheetId="16">'r.CFm'!$C:$E</definedName>
    <definedName name="rng_AcquisitionTbl">tbl_LandAcq[[Seller]:[$/AC]],i.LandAcq!$J$8:$J$20</definedName>
    <definedName name="rng_costDatabase">DATABASE!$D$16:$N$43</definedName>
    <definedName name="rng_costHelper">DATABASE!$D$9:$N$13</definedName>
    <definedName name="rng_Databases">DATABASE!$E$16:$N$43,DATABASE!$S$32:$W$84</definedName>
    <definedName name="rng_General">i.General!$B$2:$T$50</definedName>
    <definedName name="rng_ParcelTable">i.Planning!$D$9:$F$100,i.Planning!$H$9:$K$100</definedName>
    <definedName name="rng_pmtsLand">OFFSET(tbl_LandAcq[[#Headers],[Payment]],1,,COUNTA(tbl_LandAcq[[#All],[Payment]])-1,1)</definedName>
    <definedName name="rng_saleDatabase">DATABASE!$R$32:$W$84</definedName>
    <definedName name="rng_saleHelper">DATABASE!$R$9:$W$28</definedName>
    <definedName name="rpt_costDev">'r.Costs'!$C$7:$Q$38</definedName>
    <definedName name="rpt_LandSaleDatabase">'r.Sales'!$C$7:$U$63</definedName>
    <definedName name="rpt_ParcelTable">'r.ParcelTable'!$C$6:$J$75</definedName>
    <definedName name="rpt_Rev3">'r.CFm'!$AJ:$BF</definedName>
    <definedName name="rpt_Sales">'r.Sales'!$C$7:$U$63</definedName>
    <definedName name="tbl_ActiveAreaBudgetT">DATABASE!$F$54:$J$58</definedName>
    <definedName name="tbl_ActiveAreaScheduleT">DATABASE!$F$50:$J$51</definedName>
    <definedName name="tbl_ParcelSaleMonthT">DATABASE!$S$91:$S$111</definedName>
    <definedName name="tbl_PriceOverrideT">DATABASE!$T$91:$T$111</definedName>
    <definedName name="TOC_Hdg_1" localSheetId="3" hidden="1">#REF!</definedName>
    <definedName name="TOC_Hdg_1" hidden="1">#REF!</definedName>
    <definedName name="TOC_Hdg_10" localSheetId="3" hidden="1">#REF!</definedName>
    <definedName name="TOC_Hdg_10" hidden="1">#REF!</definedName>
    <definedName name="TOC_Hdg_11" localSheetId="3" hidden="1">#REF!</definedName>
    <definedName name="TOC_Hdg_11" hidden="1">#REF!</definedName>
    <definedName name="TOC_Hdg_12" hidden="1">#REF!</definedName>
    <definedName name="TOC_Hdg_13" hidden="1">#REF!</definedName>
    <definedName name="TOC_Hdg_15" hidden="1">#REF!</definedName>
    <definedName name="TOC_Hdg_16" hidden="1">#REF!</definedName>
    <definedName name="TOC_Hdg_17" hidden="1">#REF!</definedName>
    <definedName name="TOC_Hdg_2" hidden="1">#REF!</definedName>
    <definedName name="TOC_Hdg_21" hidden="1">#REF!</definedName>
    <definedName name="TOC_Hdg_24" hidden="1">#REF!</definedName>
    <definedName name="TOC_Hdg_3" hidden="1">#REF!</definedName>
    <definedName name="TOC_Hdg_32" hidden="1">#REF!</definedName>
    <definedName name="TOC_Hdg_5" hidden="1">#REF!</definedName>
    <definedName name="TOC_Hdg_6" hidden="1">#REF!</definedName>
    <definedName name="TOC_Hdg_7" hidden="1">#REF!</definedName>
    <definedName name="TOC_Hdg_8" hidden="1">#REF!</definedName>
    <definedName name="TOC_Hdg_9" hidden="1">#REF!</definedName>
    <definedName name="valuevx">42.314159</definedName>
    <definedName name="vertex42_copyright" hidden="1">"© 2017 Vertex42 LLC"</definedName>
    <definedName name="vertex42_id" hidden="1">"construction-schedule.xlsx"</definedName>
    <definedName name="vertex42_title" hidden="1">"Construction Schedule Template"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4" i="34" l="1"/>
  <c r="AL6" i="34"/>
  <c r="AL5" i="34"/>
  <c r="AL4" i="34"/>
  <c r="Y29" i="34"/>
  <c r="X29" i="34"/>
  <c r="Y7" i="34"/>
  <c r="X7" i="34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58" i="7"/>
  <c r="A47" i="45"/>
  <c r="A48" i="45"/>
  <c r="A49" i="45"/>
  <c r="A50" i="45"/>
  <c r="A51" i="45"/>
  <c r="A52" i="45"/>
  <c r="A53" i="45"/>
  <c r="A54" i="45"/>
  <c r="A55" i="45"/>
  <c r="A56" i="45"/>
  <c r="A57" i="45"/>
  <c r="A58" i="45"/>
  <c r="A59" i="45"/>
  <c r="A60" i="45"/>
  <c r="A61" i="45"/>
  <c r="A62" i="45"/>
  <c r="C8" i="60"/>
  <c r="P8" i="60"/>
  <c r="F9" i="60" a="1"/>
  <c r="F9" i="60" s="1"/>
  <c r="F38" i="60" s="1"/>
  <c r="G9" i="60" a="1"/>
  <c r="G9" i="60" s="1"/>
  <c r="H9" i="60" a="1"/>
  <c r="H9" i="60" s="1"/>
  <c r="H38" i="60" s="1"/>
  <c r="I9" i="60" a="1"/>
  <c r="I9" i="60" s="1"/>
  <c r="I38" i="60" s="1"/>
  <c r="J9" i="60" a="1"/>
  <c r="J9" i="60" s="1"/>
  <c r="J38" i="60" s="1"/>
  <c r="K9" i="60" a="1"/>
  <c r="K9" i="60" s="1"/>
  <c r="K38" i="60" s="1"/>
  <c r="L9" i="60" a="1"/>
  <c r="L9" i="60" s="1"/>
  <c r="L38" i="60" s="1"/>
  <c r="M9" i="60" a="1"/>
  <c r="M9" i="60" s="1"/>
  <c r="M38" i="60" s="1"/>
  <c r="N9" i="60" a="1"/>
  <c r="N9" i="60" s="1"/>
  <c r="N38" i="60" s="1"/>
  <c r="O9" i="60" a="1"/>
  <c r="O9" i="60" s="1"/>
  <c r="O38" i="60" s="1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BU375" i="66"/>
  <c r="BT375" i="66"/>
  <c r="BR375" i="66"/>
  <c r="A51" i="64"/>
  <c r="A52" i="64"/>
  <c r="A53" i="64"/>
  <c r="A54" i="64"/>
  <c r="A55" i="64"/>
  <c r="A56" i="64"/>
  <c r="A57" i="64"/>
  <c r="A58" i="64"/>
  <c r="A59" i="64"/>
  <c r="A60" i="64"/>
  <c r="A61" i="64"/>
  <c r="A62" i="64"/>
  <c r="A63" i="64"/>
  <c r="A64" i="64"/>
  <c r="A65" i="64"/>
  <c r="A66" i="64"/>
  <c r="A67" i="64"/>
  <c r="A68" i="64"/>
  <c r="A69" i="64"/>
  <c r="A70" i="64"/>
  <c r="A71" i="64"/>
  <c r="A72" i="64"/>
  <c r="A73" i="64"/>
  <c r="A74" i="64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26" i="31"/>
  <c r="A27" i="31"/>
  <c r="A28" i="31"/>
  <c r="A29" i="31"/>
  <c r="AC39" i="7"/>
  <c r="AC38" i="7"/>
  <c r="AC37" i="7"/>
  <c r="AC36" i="7"/>
  <c r="AC35" i="7"/>
  <c r="AC34" i="7"/>
  <c r="AD34" i="7"/>
  <c r="AD35" i="7"/>
  <c r="AD36" i="7"/>
  <c r="AD37" i="7"/>
  <c r="AD38" i="7"/>
  <c r="AD39" i="7"/>
  <c r="AD1" i="47"/>
  <c r="X1" i="47"/>
  <c r="Y1" i="47"/>
  <c r="Z1" i="47"/>
  <c r="AA1" i="47"/>
  <c r="AB1" i="47"/>
  <c r="AC1" i="47"/>
  <c r="R1" i="47"/>
  <c r="S1" i="47"/>
  <c r="T1" i="47"/>
  <c r="U1" i="47"/>
  <c r="V1" i="47"/>
  <c r="W1" i="47"/>
  <c r="C62" i="47"/>
  <c r="C53" i="26"/>
  <c r="A20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52" i="26"/>
  <c r="A63" i="26"/>
  <c r="A19" i="26"/>
  <c r="A18" i="26"/>
  <c r="C47" i="26"/>
  <c r="A47" i="26" s="1"/>
  <c r="C10" i="26" a="1"/>
  <c r="C10" i="26" s="1"/>
  <c r="C9" i="47" s="1" a="1"/>
  <c r="C9" i="47" s="1"/>
  <c r="H13" i="65" s="1"/>
  <c r="Q8" i="65" a="1"/>
  <c r="Q8" i="65" s="1"/>
  <c r="R8" i="65" s="1"/>
  <c r="A49" i="31"/>
  <c r="A50" i="31"/>
  <c r="A51" i="31"/>
  <c r="A52" i="31"/>
  <c r="A53" i="31"/>
  <c r="A54" i="31"/>
  <c r="A55" i="31"/>
  <c r="AZ8" i="66" a="1"/>
  <c r="AZ8" i="66" s="1"/>
  <c r="AZ375" i="66" s="1"/>
  <c r="BF8" i="66"/>
  <c r="BG8" i="66"/>
  <c r="BH8" i="66"/>
  <c r="BI8" i="66"/>
  <c r="BK8" i="66"/>
  <c r="B169" i="66"/>
  <c r="B170" i="66"/>
  <c r="B171" i="66"/>
  <c r="B172" i="66"/>
  <c r="B173" i="66"/>
  <c r="B174" i="66"/>
  <c r="B175" i="66"/>
  <c r="B176" i="66"/>
  <c r="B177" i="66"/>
  <c r="B178" i="66"/>
  <c r="B179" i="66"/>
  <c r="B180" i="66"/>
  <c r="B181" i="66"/>
  <c r="B182" i="66"/>
  <c r="B183" i="66"/>
  <c r="B184" i="66"/>
  <c r="B185" i="66"/>
  <c r="B186" i="66"/>
  <c r="B187" i="66"/>
  <c r="B188" i="66"/>
  <c r="B189" i="66"/>
  <c r="B190" i="66"/>
  <c r="B191" i="66"/>
  <c r="B192" i="66"/>
  <c r="B193" i="66"/>
  <c r="B194" i="66"/>
  <c r="B195" i="66"/>
  <c r="B196" i="66"/>
  <c r="B197" i="66"/>
  <c r="B198" i="66"/>
  <c r="B199" i="66"/>
  <c r="B200" i="66"/>
  <c r="B201" i="66"/>
  <c r="B202" i="66"/>
  <c r="B203" i="66"/>
  <c r="B204" i="66"/>
  <c r="B205" i="66"/>
  <c r="B206" i="66"/>
  <c r="B207" i="66"/>
  <c r="B208" i="66"/>
  <c r="B209" i="66"/>
  <c r="B210" i="66"/>
  <c r="B211" i="66"/>
  <c r="B212" i="66"/>
  <c r="B213" i="66"/>
  <c r="B214" i="66"/>
  <c r="B215" i="66"/>
  <c r="B216" i="66"/>
  <c r="B217" i="66"/>
  <c r="B218" i="66"/>
  <c r="B219" i="66"/>
  <c r="B220" i="66"/>
  <c r="B221" i="66"/>
  <c r="B222" i="66"/>
  <c r="B223" i="66"/>
  <c r="B224" i="66"/>
  <c r="B225" i="66"/>
  <c r="B226" i="66"/>
  <c r="B227" i="66"/>
  <c r="B228" i="66"/>
  <c r="B229" i="66"/>
  <c r="B230" i="66"/>
  <c r="B231" i="66"/>
  <c r="B232" i="66"/>
  <c r="B233" i="66"/>
  <c r="B234" i="66"/>
  <c r="B235" i="66"/>
  <c r="B236" i="66"/>
  <c r="B237" i="66"/>
  <c r="B238" i="66"/>
  <c r="B239" i="66"/>
  <c r="B240" i="66"/>
  <c r="B241" i="66"/>
  <c r="B242" i="66"/>
  <c r="B243" i="66"/>
  <c r="B244" i="66"/>
  <c r="B245" i="66"/>
  <c r="B246" i="66"/>
  <c r="B247" i="66"/>
  <c r="B248" i="66"/>
  <c r="B249" i="66"/>
  <c r="B250" i="66"/>
  <c r="B251" i="66"/>
  <c r="B252" i="66"/>
  <c r="B253" i="66"/>
  <c r="B254" i="66"/>
  <c r="B255" i="66"/>
  <c r="B256" i="66"/>
  <c r="B257" i="66"/>
  <c r="B258" i="66"/>
  <c r="B259" i="66"/>
  <c r="B260" i="66"/>
  <c r="B261" i="66"/>
  <c r="B262" i="66"/>
  <c r="B263" i="66"/>
  <c r="B264" i="66"/>
  <c r="B265" i="66"/>
  <c r="B266" i="66"/>
  <c r="B267" i="66"/>
  <c r="B268" i="66"/>
  <c r="B269" i="66"/>
  <c r="B270" i="66"/>
  <c r="B271" i="66"/>
  <c r="B272" i="66"/>
  <c r="B273" i="66"/>
  <c r="B274" i="66"/>
  <c r="B275" i="66"/>
  <c r="B276" i="66"/>
  <c r="B277" i="66"/>
  <c r="B278" i="66"/>
  <c r="B279" i="66"/>
  <c r="B280" i="66"/>
  <c r="B281" i="66"/>
  <c r="B282" i="66"/>
  <c r="B283" i="66"/>
  <c r="B284" i="66"/>
  <c r="B285" i="66"/>
  <c r="B286" i="66"/>
  <c r="B287" i="66"/>
  <c r="B288" i="66"/>
  <c r="B289" i="66"/>
  <c r="B290" i="66"/>
  <c r="B291" i="66"/>
  <c r="B292" i="66"/>
  <c r="B293" i="66"/>
  <c r="B294" i="66"/>
  <c r="B295" i="66"/>
  <c r="B296" i="66"/>
  <c r="B297" i="66"/>
  <c r="B298" i="66"/>
  <c r="B299" i="66"/>
  <c r="B300" i="66"/>
  <c r="B301" i="66"/>
  <c r="B302" i="66"/>
  <c r="B303" i="66"/>
  <c r="B304" i="66"/>
  <c r="B305" i="66"/>
  <c r="B306" i="66"/>
  <c r="B307" i="66"/>
  <c r="B308" i="66"/>
  <c r="B309" i="66"/>
  <c r="B310" i="66"/>
  <c r="B311" i="66"/>
  <c r="B312" i="66"/>
  <c r="B313" i="66"/>
  <c r="B314" i="66"/>
  <c r="B315" i="66"/>
  <c r="B316" i="66"/>
  <c r="B317" i="66"/>
  <c r="B318" i="66"/>
  <c r="B319" i="66"/>
  <c r="B320" i="66"/>
  <c r="B321" i="66"/>
  <c r="B322" i="66"/>
  <c r="B323" i="66"/>
  <c r="B324" i="66"/>
  <c r="B325" i="66"/>
  <c r="B326" i="66"/>
  <c r="B327" i="66"/>
  <c r="B328" i="66"/>
  <c r="B329" i="66"/>
  <c r="B330" i="66"/>
  <c r="B331" i="66"/>
  <c r="B332" i="66"/>
  <c r="B333" i="66"/>
  <c r="B334" i="66"/>
  <c r="B335" i="66"/>
  <c r="B336" i="66"/>
  <c r="B337" i="66"/>
  <c r="B338" i="66"/>
  <c r="B339" i="66"/>
  <c r="B340" i="66"/>
  <c r="B341" i="66"/>
  <c r="B342" i="66"/>
  <c r="B343" i="66"/>
  <c r="B344" i="66"/>
  <c r="B345" i="66"/>
  <c r="B346" i="66"/>
  <c r="B347" i="66"/>
  <c r="B348" i="66"/>
  <c r="B349" i="66"/>
  <c r="B350" i="66"/>
  <c r="B351" i="66"/>
  <c r="B352" i="66"/>
  <c r="B353" i="66"/>
  <c r="B354" i="66"/>
  <c r="B355" i="66"/>
  <c r="B356" i="66"/>
  <c r="B357" i="66"/>
  <c r="B358" i="66"/>
  <c r="B359" i="66"/>
  <c r="B360" i="66"/>
  <c r="B361" i="66"/>
  <c r="B362" i="66"/>
  <c r="B363" i="66"/>
  <c r="B364" i="66"/>
  <c r="B365" i="66"/>
  <c r="B366" i="66"/>
  <c r="B367" i="66"/>
  <c r="B368" i="66"/>
  <c r="F375" i="66"/>
  <c r="G375" i="66"/>
  <c r="H375" i="66"/>
  <c r="I375" i="66"/>
  <c r="J375" i="66"/>
  <c r="K375" i="66"/>
  <c r="L375" i="66"/>
  <c r="S375" i="66"/>
  <c r="T375" i="66"/>
  <c r="U375" i="66"/>
  <c r="V375" i="66"/>
  <c r="W375" i="66"/>
  <c r="X375" i="66"/>
  <c r="AH375" i="66"/>
  <c r="AI375" i="66"/>
  <c r="AJ375" i="66"/>
  <c r="AK375" i="66"/>
  <c r="AL375" i="66"/>
  <c r="AM375" i="66"/>
  <c r="AN375" i="66"/>
  <c r="AO375" i="66"/>
  <c r="AP375" i="66"/>
  <c r="AQ375" i="66"/>
  <c r="AR375" i="66"/>
  <c r="AS375" i="66"/>
  <c r="AT375" i="66"/>
  <c r="AU375" i="66"/>
  <c r="AV375" i="66"/>
  <c r="AW375" i="66"/>
  <c r="AX375" i="66"/>
  <c r="BD375" i="66"/>
  <c r="BF375" i="66" a="1"/>
  <c r="BF375" i="66" s="1"/>
  <c r="BN375" i="66"/>
  <c r="BP375" i="66"/>
  <c r="C3" i="66"/>
  <c r="C2" i="66"/>
  <c r="M65" i="21"/>
  <c r="N65" i="21"/>
  <c r="O65" i="21"/>
  <c r="P65" i="21"/>
  <c r="Q65" i="21"/>
  <c r="R65" i="21"/>
  <c r="S65" i="21"/>
  <c r="T65" i="21"/>
  <c r="U65" i="21"/>
  <c r="V65" i="21"/>
  <c r="W65" i="21"/>
  <c r="X65" i="21"/>
  <c r="Y65" i="21"/>
  <c r="Z65" i="21"/>
  <c r="AA65" i="21"/>
  <c r="AB65" i="21"/>
  <c r="AC65" i="21"/>
  <c r="AD65" i="21"/>
  <c r="N28" i="65" a="1"/>
  <c r="N28" i="65" s="1"/>
  <c r="AC22" i="65"/>
  <c r="Y22" i="65" a="1"/>
  <c r="Y22" i="65" s="1"/>
  <c r="Z22" i="65" s="1"/>
  <c r="AC21" i="65"/>
  <c r="Y21" i="65" a="1"/>
  <c r="Y21" i="65" s="1"/>
  <c r="Z21" i="65" s="1"/>
  <c r="AC20" i="65"/>
  <c r="Y20" i="65" a="1"/>
  <c r="Y20" i="65" s="1"/>
  <c r="Z20" i="65" s="1"/>
  <c r="AC19" i="65"/>
  <c r="Y19" i="65" a="1"/>
  <c r="Y19" i="65" s="1"/>
  <c r="Z19" i="65" s="1"/>
  <c r="AC18" i="65"/>
  <c r="Y18" i="65" a="1"/>
  <c r="Y18" i="65" s="1"/>
  <c r="Z18" i="65" s="1"/>
  <c r="AB37" i="65" a="1"/>
  <c r="AB37" i="65" s="1"/>
  <c r="AC17" i="65"/>
  <c r="Y17" i="65" a="1"/>
  <c r="Y17" i="65" s="1"/>
  <c r="Z17" i="65" s="1"/>
  <c r="AC16" i="65"/>
  <c r="Y16" i="65" a="1"/>
  <c r="Y16" i="65" s="1"/>
  <c r="Z16" i="65" s="1"/>
  <c r="Q16" i="65"/>
  <c r="R16" i="65" s="1"/>
  <c r="AC15" i="65"/>
  <c r="Y15" i="65" a="1"/>
  <c r="Y15" i="65" s="1"/>
  <c r="Z15" i="65" s="1"/>
  <c r="Q15" i="65" a="1"/>
  <c r="Q15" i="65" s="1"/>
  <c r="R15" i="65" s="1"/>
  <c r="AB34" i="65"/>
  <c r="AC14" i="65"/>
  <c r="Y14" i="65" a="1"/>
  <c r="Y14" i="65" s="1"/>
  <c r="Z14" i="65" s="1"/>
  <c r="Q14" i="65" a="1"/>
  <c r="Q14" i="65" s="1"/>
  <c r="R14" i="65" s="1"/>
  <c r="Q13" i="65" a="1"/>
  <c r="Q13" i="65" s="1"/>
  <c r="R13" i="65" s="1"/>
  <c r="R12" i="65" a="1"/>
  <c r="R12" i="65" s="1"/>
  <c r="Q12" i="65"/>
  <c r="AB29" i="65" a="1"/>
  <c r="AB29" i="65" s="1"/>
  <c r="H14" i="65" a="1"/>
  <c r="H14" i="65" s="1"/>
  <c r="AB28" i="65" a="1"/>
  <c r="AB28" i="65" s="1"/>
  <c r="B3" i="65"/>
  <c r="B2" i="65"/>
  <c r="J23" i="58"/>
  <c r="K23" i="58"/>
  <c r="L23" i="58"/>
  <c r="M23" i="58"/>
  <c r="N23" i="58"/>
  <c r="O23" i="58"/>
  <c r="P23" i="58"/>
  <c r="Q23" i="58"/>
  <c r="R23" i="58"/>
  <c r="J24" i="58"/>
  <c r="K24" i="58"/>
  <c r="L24" i="58"/>
  <c r="M24" i="58"/>
  <c r="N24" i="58"/>
  <c r="O24" i="58"/>
  <c r="P24" i="58"/>
  <c r="Q24" i="58"/>
  <c r="R24" i="58"/>
  <c r="J25" i="58"/>
  <c r="K25" i="58"/>
  <c r="L25" i="58"/>
  <c r="M25" i="58"/>
  <c r="N25" i="58"/>
  <c r="O25" i="58"/>
  <c r="P25" i="58"/>
  <c r="Q25" i="58"/>
  <c r="R25" i="58"/>
  <c r="J26" i="58"/>
  <c r="K26" i="58"/>
  <c r="L26" i="58"/>
  <c r="M26" i="58"/>
  <c r="N26" i="58"/>
  <c r="O26" i="58"/>
  <c r="P26" i="58"/>
  <c r="Q26" i="58"/>
  <c r="R26" i="58"/>
  <c r="J27" i="58"/>
  <c r="K27" i="58"/>
  <c r="L27" i="58"/>
  <c r="M27" i="58"/>
  <c r="N27" i="58"/>
  <c r="O27" i="58"/>
  <c r="P27" i="58"/>
  <c r="Q27" i="58"/>
  <c r="R27" i="58"/>
  <c r="J28" i="58"/>
  <c r="K28" i="58"/>
  <c r="L28" i="58"/>
  <c r="M28" i="58"/>
  <c r="N28" i="58"/>
  <c r="O28" i="58"/>
  <c r="P28" i="58"/>
  <c r="Q28" i="58"/>
  <c r="R28" i="58"/>
  <c r="K29" i="58"/>
  <c r="L29" i="58"/>
  <c r="M29" i="58"/>
  <c r="N29" i="58"/>
  <c r="O29" i="58"/>
  <c r="P29" i="58"/>
  <c r="Q29" i="58"/>
  <c r="R29" i="58"/>
  <c r="H30" i="58"/>
  <c r="I30" i="58"/>
  <c r="K30" i="58"/>
  <c r="M30" i="58"/>
  <c r="N30" i="58"/>
  <c r="O30" i="58"/>
  <c r="P30" i="58"/>
  <c r="Q30" i="58"/>
  <c r="R30" i="58"/>
  <c r="I31" i="58"/>
  <c r="J31" i="58"/>
  <c r="K31" i="58"/>
  <c r="L31" i="58"/>
  <c r="M31" i="58"/>
  <c r="N31" i="58"/>
  <c r="P31" i="58"/>
  <c r="H32" i="58"/>
  <c r="I32" i="58"/>
  <c r="J32" i="58"/>
  <c r="K32" i="58"/>
  <c r="L32" i="58"/>
  <c r="M32" i="58"/>
  <c r="N32" i="58"/>
  <c r="O32" i="58"/>
  <c r="P32" i="58"/>
  <c r="Q32" i="58"/>
  <c r="R32" i="58"/>
  <c r="H33" i="58"/>
  <c r="I33" i="58"/>
  <c r="J33" i="58"/>
  <c r="K33" i="58"/>
  <c r="L33" i="58"/>
  <c r="M33" i="58"/>
  <c r="N33" i="58"/>
  <c r="O33" i="58"/>
  <c r="P33" i="58"/>
  <c r="Q33" i="58"/>
  <c r="R33" i="58"/>
  <c r="H34" i="58"/>
  <c r="I34" i="58"/>
  <c r="J34" i="58"/>
  <c r="M34" i="58"/>
  <c r="N34" i="58"/>
  <c r="O34" i="58"/>
  <c r="P34" i="58"/>
  <c r="Q34" i="58"/>
  <c r="R34" i="58"/>
  <c r="AE84" i="42"/>
  <c r="AE83" i="42"/>
  <c r="AE82" i="42"/>
  <c r="AE81" i="42"/>
  <c r="AE80" i="42"/>
  <c r="AE79" i="42"/>
  <c r="AE78" i="42"/>
  <c r="AE77" i="42"/>
  <c r="AE76" i="42"/>
  <c r="AE75" i="42"/>
  <c r="AE74" i="42"/>
  <c r="Y84" i="42"/>
  <c r="Y83" i="42"/>
  <c r="Y82" i="42"/>
  <c r="Y81" i="42"/>
  <c r="Y80" i="42"/>
  <c r="Y79" i="42"/>
  <c r="Y78" i="42"/>
  <c r="Y77" i="42"/>
  <c r="Y76" i="42"/>
  <c r="Y75" i="42"/>
  <c r="Y74" i="42"/>
  <c r="C54" i="26" l="1" a="1"/>
  <c r="C54" i="26" s="1"/>
  <c r="C48" i="26" a="1"/>
  <c r="C48" i="26" s="1"/>
  <c r="BC375" i="66"/>
  <c r="BA375" i="66"/>
  <c r="BB375" i="66"/>
  <c r="W85" i="42"/>
  <c r="AL32" i="42" a="1"/>
  <c r="AL32" i="42" s="1"/>
  <c r="AK32" i="42" a="1"/>
  <c r="AK32" i="42" s="1"/>
  <c r="B3" i="58"/>
  <c r="B2" i="58"/>
  <c r="C9" i="64" a="1"/>
  <c r="A50" i="64" s="1"/>
  <c r="B3" i="64"/>
  <c r="B2" i="64"/>
  <c r="P8" i="7" a="1"/>
  <c r="AJ8" i="13" a="1"/>
  <c r="AJ8" i="13" s="1"/>
  <c r="AF9" i="13" a="1"/>
  <c r="AF9" i="13" s="1"/>
  <c r="AG9" i="13" l="1" a="1"/>
  <c r="AG9" i="13" s="1"/>
  <c r="C9" i="64"/>
  <c r="A10" i="64"/>
  <c r="A18" i="64"/>
  <c r="A26" i="64"/>
  <c r="A34" i="64"/>
  <c r="A42" i="64"/>
  <c r="A19" i="64"/>
  <c r="A27" i="64"/>
  <c r="A35" i="64"/>
  <c r="A43" i="64"/>
  <c r="A20" i="64"/>
  <c r="A28" i="64"/>
  <c r="A36" i="64"/>
  <c r="A44" i="64"/>
  <c r="A21" i="64"/>
  <c r="A29" i="64"/>
  <c r="A37" i="64"/>
  <c r="A45" i="64"/>
  <c r="A22" i="64"/>
  <c r="A38" i="64"/>
  <c r="A46" i="64"/>
  <c r="A31" i="64"/>
  <c r="A39" i="64"/>
  <c r="A11" i="64"/>
  <c r="A30" i="64"/>
  <c r="A15" i="64"/>
  <c r="A47" i="64"/>
  <c r="A12" i="64"/>
  <c r="A13" i="64"/>
  <c r="A14" i="64"/>
  <c r="A16" i="64"/>
  <c r="A24" i="64"/>
  <c r="A32" i="64"/>
  <c r="A40" i="64"/>
  <c r="A48" i="64"/>
  <c r="A17" i="64"/>
  <c r="A25" i="64"/>
  <c r="A33" i="64"/>
  <c r="A41" i="64"/>
  <c r="A49" i="64"/>
  <c r="A23" i="64"/>
  <c r="A50" i="26"/>
  <c r="A59" i="26"/>
  <c r="A58" i="26"/>
  <c r="A51" i="26"/>
  <c r="A49" i="26"/>
  <c r="A48" i="26"/>
  <c r="P8" i="7"/>
  <c r="AH9" i="13" a="1"/>
  <c r="AH9" i="13" s="1"/>
  <c r="AO18" i="13"/>
  <c r="AO17" i="13"/>
  <c r="AO16" i="13"/>
  <c r="AO15" i="13"/>
  <c r="AO14" i="13"/>
  <c r="AO13" i="13"/>
  <c r="AO12" i="13"/>
  <c r="AO11" i="13"/>
  <c r="AO10" i="13"/>
  <c r="AM22" i="13" a="1"/>
  <c r="AM22" i="13" s="1"/>
  <c r="Y26" i="31"/>
  <c r="Y27" i="31"/>
  <c r="Y28" i="31"/>
  <c r="Y29" i="31"/>
  <c r="AI9" i="13" l="1" a="1"/>
  <c r="AI9" i="13" s="1"/>
  <c r="AJ9" i="13" s="1" a="1"/>
  <c r="AJ9" i="13" s="1"/>
  <c r="C75" i="64"/>
  <c r="A9" i="64"/>
  <c r="Z9" i="13" a="1"/>
  <c r="A53" i="7"/>
  <c r="L46" i="7" l="1" a="1"/>
  <c r="L46" i="7" s="1"/>
  <c r="Z9" i="13"/>
  <c r="L12" i="7" a="1"/>
  <c r="L12" i="7" s="1"/>
  <c r="L31" i="7" a="1"/>
  <c r="L31" i="7" s="1"/>
  <c r="L45" i="7" a="1"/>
  <c r="L45" i="7" s="1"/>
  <c r="L38" i="7" a="1"/>
  <c r="L38" i="7" s="1"/>
  <c r="L29" i="7" a="1"/>
  <c r="L29" i="7" s="1"/>
  <c r="L41" i="7" a="1"/>
  <c r="L41" i="7" s="1"/>
  <c r="L16" i="7" a="1"/>
  <c r="L16" i="7" s="1"/>
  <c r="L14" i="7" a="1"/>
  <c r="L14" i="7" s="1"/>
  <c r="L23" i="7" a="1"/>
  <c r="L23" i="7" s="1"/>
  <c r="L22" i="7" a="1"/>
  <c r="L22" i="7" s="1"/>
  <c r="L33" i="7" a="1"/>
  <c r="L33" i="7" s="1"/>
  <c r="L10" i="7" a="1"/>
  <c r="L10" i="7" s="1"/>
  <c r="L15" i="7" a="1"/>
  <c r="L15" i="7" s="1"/>
  <c r="L48" i="7" a="1"/>
  <c r="L48" i="7" s="1"/>
  <c r="L30" i="7" a="1"/>
  <c r="L30" i="7" s="1"/>
  <c r="L39" i="7" a="1"/>
  <c r="L39" i="7" s="1"/>
  <c r="L9" i="7" a="1"/>
  <c r="L9" i="7" s="1"/>
  <c r="L36" i="7" a="1"/>
  <c r="L36" i="7" s="1"/>
  <c r="L24" i="7" a="1"/>
  <c r="L24" i="7" s="1"/>
  <c r="L32" i="7" a="1"/>
  <c r="L32" i="7" s="1"/>
  <c r="L27" i="7" a="1"/>
  <c r="L27" i="7" s="1"/>
  <c r="L42" i="7" a="1"/>
  <c r="L42" i="7" s="1"/>
  <c r="L17" i="7" a="1"/>
  <c r="L17" i="7" s="1"/>
  <c r="L34" i="7" a="1"/>
  <c r="L34" i="7" s="1"/>
  <c r="L11" i="7" a="1"/>
  <c r="L11" i="7" s="1"/>
  <c r="L18" i="7" a="1"/>
  <c r="L18" i="7" s="1"/>
  <c r="L37" i="7" a="1"/>
  <c r="L37" i="7" s="1"/>
  <c r="L20" i="7" a="1"/>
  <c r="L20" i="7" s="1"/>
  <c r="L13" i="7" a="1"/>
  <c r="L13" i="7" s="1"/>
  <c r="L25" i="7" a="1"/>
  <c r="L25" i="7" s="1"/>
  <c r="L26" i="7" a="1"/>
  <c r="L26" i="7" s="1"/>
  <c r="L40" i="7" a="1"/>
  <c r="L40" i="7" s="1"/>
  <c r="L49" i="7" a="1"/>
  <c r="L49" i="7" s="1"/>
  <c r="L43" i="7" a="1"/>
  <c r="L43" i="7" s="1"/>
  <c r="L50" i="7" a="1"/>
  <c r="L50" i="7" s="1"/>
  <c r="L44" i="7" a="1"/>
  <c r="L44" i="7" s="1"/>
  <c r="L21" i="7" a="1"/>
  <c r="L21" i="7" s="1"/>
  <c r="L35" i="7" a="1"/>
  <c r="L35" i="7" s="1"/>
  <c r="L28" i="7" a="1"/>
  <c r="L28" i="7" s="1"/>
  <c r="L47" i="7" a="1"/>
  <c r="L47" i="7" s="1"/>
  <c r="L19" i="7" a="1"/>
  <c r="L19" i="7" s="1"/>
  <c r="AC8" i="7" a="1"/>
  <c r="AC8" i="7" s="1"/>
  <c r="V25" i="7" s="1" a="1"/>
  <c r="V25" i="7" s="1"/>
  <c r="W21" i="7"/>
  <c r="W20" i="7"/>
  <c r="W19" i="7"/>
  <c r="W18" i="7"/>
  <c r="W17" i="7"/>
  <c r="W16" i="7"/>
  <c r="W15" i="7"/>
  <c r="W14" i="7"/>
  <c r="W13" i="7"/>
  <c r="V21" i="7" a="1"/>
  <c r="V21" i="7" s="1"/>
  <c r="V20" i="7" a="1"/>
  <c r="V20" i="7" s="1"/>
  <c r="V19" i="7" a="1"/>
  <c r="V19" i="7" s="1"/>
  <c r="V18" i="7" a="1"/>
  <c r="V18" i="7" s="1"/>
  <c r="V17" i="7" a="1"/>
  <c r="V17" i="7" s="1"/>
  <c r="V16" i="7" a="1"/>
  <c r="V16" i="7" s="1"/>
  <c r="V15" i="7" a="1"/>
  <c r="V15" i="7" s="1"/>
  <c r="V14" i="7" a="1"/>
  <c r="V14" i="7" s="1"/>
  <c r="V13" i="7" a="1"/>
  <c r="V13" i="7" s="1"/>
  <c r="U8" i="7" a="1"/>
  <c r="U407" i="56" a="1"/>
  <c r="U407" i="56" s="1"/>
  <c r="U406" i="56" a="1"/>
  <c r="U406" i="56" s="1"/>
  <c r="U405" i="56" a="1"/>
  <c r="U405" i="56" s="1"/>
  <c r="U404" i="56" a="1"/>
  <c r="U404" i="56" s="1"/>
  <c r="U403" i="56" a="1"/>
  <c r="U403" i="56" s="1"/>
  <c r="U402" i="56" a="1"/>
  <c r="U402" i="56" s="1"/>
  <c r="U401" i="56" a="1"/>
  <c r="U401" i="56" s="1"/>
  <c r="U400" i="56" a="1"/>
  <c r="U400" i="56" s="1"/>
  <c r="U399" i="56" a="1"/>
  <c r="U399" i="56" s="1"/>
  <c r="U398" i="56" a="1"/>
  <c r="U398" i="56" s="1"/>
  <c r="U397" i="56" a="1"/>
  <c r="U397" i="56" s="1"/>
  <c r="U396" i="56" a="1"/>
  <c r="U396" i="56" s="1"/>
  <c r="U395" i="56" a="1"/>
  <c r="U395" i="56" s="1"/>
  <c r="U394" i="56" a="1"/>
  <c r="U394" i="56" s="1"/>
  <c r="U393" i="56" a="1"/>
  <c r="U393" i="56" s="1"/>
  <c r="U392" i="56" a="1"/>
  <c r="U392" i="56" s="1"/>
  <c r="U391" i="56" a="1"/>
  <c r="U391" i="56" s="1"/>
  <c r="U390" i="56" a="1"/>
  <c r="U390" i="56" s="1"/>
  <c r="U389" i="56" a="1"/>
  <c r="U389" i="56" s="1"/>
  <c r="U388" i="56" a="1"/>
  <c r="U388" i="56" s="1"/>
  <c r="U387" i="56" a="1"/>
  <c r="U387" i="56" s="1"/>
  <c r="U386" i="56" a="1"/>
  <c r="U386" i="56" s="1"/>
  <c r="U385" i="56" a="1"/>
  <c r="U385" i="56" s="1"/>
  <c r="U384" i="56" a="1"/>
  <c r="U384" i="56" s="1"/>
  <c r="U383" i="56" a="1"/>
  <c r="U383" i="56" s="1"/>
  <c r="U382" i="56" a="1"/>
  <c r="U382" i="56" s="1"/>
  <c r="U381" i="56" a="1"/>
  <c r="U381" i="56" s="1"/>
  <c r="U380" i="56" a="1"/>
  <c r="U380" i="56" s="1"/>
  <c r="U379" i="56" a="1"/>
  <c r="U379" i="56" s="1"/>
  <c r="U378" i="56" a="1"/>
  <c r="U378" i="56" s="1"/>
  <c r="U377" i="56" a="1"/>
  <c r="U377" i="56" s="1"/>
  <c r="U376" i="56" a="1"/>
  <c r="U376" i="56" s="1"/>
  <c r="U375" i="56" a="1"/>
  <c r="U375" i="56" s="1"/>
  <c r="U374" i="56" a="1"/>
  <c r="U374" i="56" s="1"/>
  <c r="U373" i="56" a="1"/>
  <c r="U373" i="56" s="1"/>
  <c r="U372" i="56" a="1"/>
  <c r="U372" i="56" s="1"/>
  <c r="U371" i="56" a="1"/>
  <c r="U371" i="56" s="1"/>
  <c r="U370" i="56" a="1"/>
  <c r="U370" i="56" s="1"/>
  <c r="U369" i="56" a="1"/>
  <c r="U369" i="56" s="1"/>
  <c r="U368" i="56" a="1"/>
  <c r="U368" i="56" s="1"/>
  <c r="U367" i="56" a="1"/>
  <c r="U367" i="56" s="1"/>
  <c r="U366" i="56" a="1"/>
  <c r="U366" i="56" s="1"/>
  <c r="U365" i="56" a="1"/>
  <c r="U365" i="56" s="1"/>
  <c r="U364" i="56" a="1"/>
  <c r="U364" i="56" s="1"/>
  <c r="U363" i="56" a="1"/>
  <c r="U363" i="56" s="1"/>
  <c r="U362" i="56" a="1"/>
  <c r="U362" i="56" s="1"/>
  <c r="U361" i="56" a="1"/>
  <c r="U361" i="56" s="1"/>
  <c r="U360" i="56" a="1"/>
  <c r="U360" i="56" s="1"/>
  <c r="U359" i="56" a="1"/>
  <c r="U359" i="56" s="1"/>
  <c r="U358" i="56" a="1"/>
  <c r="U358" i="56" s="1"/>
  <c r="U357" i="56" a="1"/>
  <c r="U357" i="56" s="1"/>
  <c r="U356" i="56" a="1"/>
  <c r="U356" i="56" s="1"/>
  <c r="U355" i="56" a="1"/>
  <c r="U355" i="56" s="1"/>
  <c r="U354" i="56" a="1"/>
  <c r="U354" i="56" s="1"/>
  <c r="U353" i="56" a="1"/>
  <c r="U353" i="56" s="1"/>
  <c r="U352" i="56" a="1"/>
  <c r="U352" i="56" s="1"/>
  <c r="U351" i="56" a="1"/>
  <c r="U351" i="56" s="1"/>
  <c r="U350" i="56" a="1"/>
  <c r="U350" i="56" s="1"/>
  <c r="U349" i="56" a="1"/>
  <c r="U349" i="56" s="1"/>
  <c r="U348" i="56" a="1"/>
  <c r="U348" i="56" s="1"/>
  <c r="U347" i="56" a="1"/>
  <c r="U347" i="56" s="1"/>
  <c r="U346" i="56" a="1"/>
  <c r="U346" i="56" s="1"/>
  <c r="U345" i="56" a="1"/>
  <c r="U345" i="56" s="1"/>
  <c r="U344" i="56" a="1"/>
  <c r="U344" i="56" s="1"/>
  <c r="U343" i="56" a="1"/>
  <c r="U343" i="56" s="1"/>
  <c r="U342" i="56" a="1"/>
  <c r="U342" i="56" s="1"/>
  <c r="U341" i="56" a="1"/>
  <c r="U341" i="56" s="1"/>
  <c r="U340" i="56" a="1"/>
  <c r="U340" i="56" s="1"/>
  <c r="U339" i="56" a="1"/>
  <c r="U339" i="56" s="1"/>
  <c r="U338" i="56" a="1"/>
  <c r="U338" i="56" s="1"/>
  <c r="U337" i="56" a="1"/>
  <c r="U337" i="56" s="1"/>
  <c r="U336" i="56" a="1"/>
  <c r="U336" i="56" s="1"/>
  <c r="U335" i="56" a="1"/>
  <c r="U335" i="56" s="1"/>
  <c r="U334" i="56" a="1"/>
  <c r="U334" i="56" s="1"/>
  <c r="U333" i="56" a="1"/>
  <c r="U333" i="56" s="1"/>
  <c r="U332" i="56" a="1"/>
  <c r="U332" i="56" s="1"/>
  <c r="U331" i="56" a="1"/>
  <c r="U331" i="56" s="1"/>
  <c r="U330" i="56" a="1"/>
  <c r="U330" i="56" s="1"/>
  <c r="U329" i="56" a="1"/>
  <c r="U329" i="56" s="1"/>
  <c r="U328" i="56" a="1"/>
  <c r="U328" i="56" s="1"/>
  <c r="U327" i="56" a="1"/>
  <c r="U327" i="56" s="1"/>
  <c r="U326" i="56" a="1"/>
  <c r="U326" i="56" s="1"/>
  <c r="U325" i="56" a="1"/>
  <c r="U325" i="56" s="1"/>
  <c r="U324" i="56" a="1"/>
  <c r="U324" i="56" s="1"/>
  <c r="U323" i="56" a="1"/>
  <c r="U323" i="56" s="1"/>
  <c r="U322" i="56" a="1"/>
  <c r="U322" i="56" s="1"/>
  <c r="U321" i="56" a="1"/>
  <c r="U321" i="56" s="1"/>
  <c r="U320" i="56" a="1"/>
  <c r="U320" i="56" s="1"/>
  <c r="U319" i="56" a="1"/>
  <c r="U319" i="56" s="1"/>
  <c r="U318" i="56" a="1"/>
  <c r="U318" i="56" s="1"/>
  <c r="U317" i="56" a="1"/>
  <c r="U317" i="56" s="1"/>
  <c r="U316" i="56" a="1"/>
  <c r="U316" i="56" s="1"/>
  <c r="U315" i="56" a="1"/>
  <c r="U315" i="56" s="1"/>
  <c r="U314" i="56" a="1"/>
  <c r="U314" i="56" s="1"/>
  <c r="U313" i="56" a="1"/>
  <c r="U313" i="56" s="1"/>
  <c r="U312" i="56" a="1"/>
  <c r="U312" i="56" s="1"/>
  <c r="U311" i="56" a="1"/>
  <c r="U311" i="56" s="1"/>
  <c r="U310" i="56" a="1"/>
  <c r="U310" i="56" s="1"/>
  <c r="U309" i="56" a="1"/>
  <c r="U309" i="56" s="1"/>
  <c r="U308" i="56" a="1"/>
  <c r="U308" i="56" s="1"/>
  <c r="U307" i="56" a="1"/>
  <c r="U307" i="56" s="1"/>
  <c r="U306" i="56" a="1"/>
  <c r="U306" i="56" s="1"/>
  <c r="U305" i="56" a="1"/>
  <c r="U305" i="56" s="1"/>
  <c r="U304" i="56" a="1"/>
  <c r="U304" i="56" s="1"/>
  <c r="U303" i="56" a="1"/>
  <c r="U303" i="56" s="1"/>
  <c r="U302" i="56" a="1"/>
  <c r="U302" i="56" s="1"/>
  <c r="U301" i="56" a="1"/>
  <c r="U301" i="56" s="1"/>
  <c r="U300" i="56" a="1"/>
  <c r="U300" i="56" s="1"/>
  <c r="U299" i="56" a="1"/>
  <c r="U299" i="56" s="1"/>
  <c r="U298" i="56" a="1"/>
  <c r="U298" i="56" s="1"/>
  <c r="U297" i="56" a="1"/>
  <c r="U297" i="56" s="1"/>
  <c r="U296" i="56" a="1"/>
  <c r="U296" i="56" s="1"/>
  <c r="U295" i="56" a="1"/>
  <c r="U295" i="56" s="1"/>
  <c r="U294" i="56" a="1"/>
  <c r="U294" i="56" s="1"/>
  <c r="U293" i="56" a="1"/>
  <c r="U293" i="56" s="1"/>
  <c r="U292" i="56" a="1"/>
  <c r="U292" i="56" s="1"/>
  <c r="U291" i="56" a="1"/>
  <c r="U291" i="56" s="1"/>
  <c r="U290" i="56" a="1"/>
  <c r="U290" i="56" s="1"/>
  <c r="U289" i="56" a="1"/>
  <c r="U289" i="56" s="1"/>
  <c r="U288" i="56" a="1"/>
  <c r="U288" i="56" s="1"/>
  <c r="U287" i="56" a="1"/>
  <c r="U287" i="56" s="1"/>
  <c r="U286" i="56" a="1"/>
  <c r="U286" i="56" s="1"/>
  <c r="U285" i="56" a="1"/>
  <c r="U285" i="56" s="1"/>
  <c r="U284" i="56" a="1"/>
  <c r="U284" i="56" s="1"/>
  <c r="U283" i="56" a="1"/>
  <c r="U283" i="56" s="1"/>
  <c r="U282" i="56" a="1"/>
  <c r="U282" i="56" s="1"/>
  <c r="U281" i="56" a="1"/>
  <c r="U281" i="56" s="1"/>
  <c r="U280" i="56" a="1"/>
  <c r="U280" i="56" s="1"/>
  <c r="U279" i="56" a="1"/>
  <c r="U279" i="56" s="1"/>
  <c r="U278" i="56" a="1"/>
  <c r="U278" i="56" s="1"/>
  <c r="U277" i="56" a="1"/>
  <c r="U277" i="56" s="1"/>
  <c r="U276" i="56" a="1"/>
  <c r="U276" i="56" s="1"/>
  <c r="U275" i="56" a="1"/>
  <c r="U275" i="56" s="1"/>
  <c r="U274" i="56" a="1"/>
  <c r="U274" i="56" s="1"/>
  <c r="U273" i="56" a="1"/>
  <c r="U273" i="56" s="1"/>
  <c r="U272" i="56" a="1"/>
  <c r="U272" i="56" s="1"/>
  <c r="U271" i="56" a="1"/>
  <c r="U271" i="56" s="1"/>
  <c r="U270" i="56" a="1"/>
  <c r="U270" i="56" s="1"/>
  <c r="U269" i="56" a="1"/>
  <c r="U269" i="56" s="1"/>
  <c r="U268" i="56" a="1"/>
  <c r="U268" i="56" s="1"/>
  <c r="U267" i="56" a="1"/>
  <c r="U267" i="56" s="1"/>
  <c r="U266" i="56" a="1"/>
  <c r="U266" i="56" s="1"/>
  <c r="U265" i="56" a="1"/>
  <c r="U265" i="56" s="1"/>
  <c r="U264" i="56" a="1"/>
  <c r="U264" i="56" s="1"/>
  <c r="U263" i="56" a="1"/>
  <c r="U263" i="56" s="1"/>
  <c r="U262" i="56" a="1"/>
  <c r="U262" i="56" s="1"/>
  <c r="U261" i="56" a="1"/>
  <c r="U261" i="56" s="1"/>
  <c r="U260" i="56" a="1"/>
  <c r="U260" i="56" s="1"/>
  <c r="U259" i="56" a="1"/>
  <c r="U259" i="56" s="1"/>
  <c r="U258" i="56" a="1"/>
  <c r="U258" i="56" s="1"/>
  <c r="U257" i="56" a="1"/>
  <c r="U257" i="56" s="1"/>
  <c r="U256" i="56" a="1"/>
  <c r="U256" i="56" s="1"/>
  <c r="U255" i="56" a="1"/>
  <c r="U255" i="56" s="1"/>
  <c r="U254" i="56" a="1"/>
  <c r="U254" i="56" s="1"/>
  <c r="U253" i="56" a="1"/>
  <c r="U253" i="56" s="1"/>
  <c r="U252" i="56" a="1"/>
  <c r="U252" i="56" s="1"/>
  <c r="U251" i="56" a="1"/>
  <c r="U251" i="56" s="1"/>
  <c r="U250" i="56" a="1"/>
  <c r="U250" i="56" s="1"/>
  <c r="U249" i="56" a="1"/>
  <c r="U249" i="56" s="1"/>
  <c r="U248" i="56" a="1"/>
  <c r="U248" i="56" s="1"/>
  <c r="U247" i="56" a="1"/>
  <c r="U247" i="56" s="1"/>
  <c r="U246" i="56" a="1"/>
  <c r="U246" i="56" s="1"/>
  <c r="U245" i="56" a="1"/>
  <c r="U245" i="56" s="1"/>
  <c r="U244" i="56" a="1"/>
  <c r="U244" i="56" s="1"/>
  <c r="U243" i="56" a="1"/>
  <c r="U243" i="56" s="1"/>
  <c r="U242" i="56" a="1"/>
  <c r="U242" i="56" s="1"/>
  <c r="U241" i="56" a="1"/>
  <c r="U241" i="56" s="1"/>
  <c r="U240" i="56" a="1"/>
  <c r="U240" i="56" s="1"/>
  <c r="U239" i="56" a="1"/>
  <c r="U239" i="56" s="1"/>
  <c r="U238" i="56" a="1"/>
  <c r="U238" i="56" s="1"/>
  <c r="U237" i="56" a="1"/>
  <c r="U237" i="56" s="1"/>
  <c r="U236" i="56" a="1"/>
  <c r="U236" i="56" s="1"/>
  <c r="U235" i="56" a="1"/>
  <c r="U235" i="56" s="1"/>
  <c r="U234" i="56" a="1"/>
  <c r="U234" i="56" s="1"/>
  <c r="U233" i="56" a="1"/>
  <c r="U233" i="56" s="1"/>
  <c r="U232" i="56" a="1"/>
  <c r="U232" i="56" s="1"/>
  <c r="U231" i="56" a="1"/>
  <c r="U231" i="56" s="1"/>
  <c r="U230" i="56" a="1"/>
  <c r="U230" i="56" s="1"/>
  <c r="U229" i="56" a="1"/>
  <c r="U229" i="56" s="1"/>
  <c r="U228" i="56" a="1"/>
  <c r="U228" i="56" s="1"/>
  <c r="U227" i="56" a="1"/>
  <c r="U227" i="56" s="1"/>
  <c r="U226" i="56" a="1"/>
  <c r="U226" i="56" s="1"/>
  <c r="U225" i="56" a="1"/>
  <c r="U225" i="56" s="1"/>
  <c r="U224" i="56" a="1"/>
  <c r="U224" i="56" s="1"/>
  <c r="U223" i="56" a="1"/>
  <c r="U223" i="56" s="1"/>
  <c r="U222" i="56" a="1"/>
  <c r="U222" i="56" s="1"/>
  <c r="U221" i="56" a="1"/>
  <c r="U221" i="56" s="1"/>
  <c r="U220" i="56" a="1"/>
  <c r="U220" i="56" s="1"/>
  <c r="U219" i="56" a="1"/>
  <c r="U219" i="56" s="1"/>
  <c r="U218" i="56" a="1"/>
  <c r="U218" i="56" s="1"/>
  <c r="U217" i="56" a="1"/>
  <c r="U217" i="56" s="1"/>
  <c r="U216" i="56" a="1"/>
  <c r="U216" i="56" s="1"/>
  <c r="U215" i="56" a="1"/>
  <c r="U215" i="56" s="1"/>
  <c r="U214" i="56" a="1"/>
  <c r="U214" i="56" s="1"/>
  <c r="U213" i="56" a="1"/>
  <c r="U213" i="56" s="1"/>
  <c r="U212" i="56" a="1"/>
  <c r="U212" i="56" s="1"/>
  <c r="U211" i="56" a="1"/>
  <c r="U211" i="56" s="1"/>
  <c r="U210" i="56" a="1"/>
  <c r="U210" i="56" s="1"/>
  <c r="I407" i="56"/>
  <c r="K407" i="56" s="1" a="1"/>
  <c r="K407" i="56" s="1"/>
  <c r="I406" i="56"/>
  <c r="K406" i="56" s="1" a="1"/>
  <c r="K406" i="56" s="1"/>
  <c r="I405" i="56"/>
  <c r="K405" i="56" s="1" a="1"/>
  <c r="K405" i="56" s="1"/>
  <c r="I404" i="56"/>
  <c r="K404" i="56" s="1" a="1"/>
  <c r="K404" i="56" s="1"/>
  <c r="I403" i="56"/>
  <c r="I402" i="56"/>
  <c r="K402" i="56" s="1" a="1"/>
  <c r="K402" i="56" s="1"/>
  <c r="I401" i="56"/>
  <c r="I400" i="56"/>
  <c r="I399" i="56"/>
  <c r="K399" i="56" s="1" a="1"/>
  <c r="K399" i="56" s="1"/>
  <c r="I398" i="56"/>
  <c r="K398" i="56" s="1" a="1"/>
  <c r="K398" i="56" s="1"/>
  <c r="I397" i="56"/>
  <c r="K397" i="56" s="1" a="1"/>
  <c r="K397" i="56" s="1"/>
  <c r="I396" i="56"/>
  <c r="K396" i="56" s="1" a="1"/>
  <c r="K396" i="56" s="1"/>
  <c r="I395" i="56"/>
  <c r="I394" i="56"/>
  <c r="I393" i="56"/>
  <c r="I392" i="56"/>
  <c r="I391" i="56"/>
  <c r="I390" i="56"/>
  <c r="K390" i="56" s="1" a="1"/>
  <c r="K390" i="56" s="1"/>
  <c r="I389" i="56"/>
  <c r="K389" i="56" s="1" a="1"/>
  <c r="K389" i="56" s="1"/>
  <c r="I388" i="56"/>
  <c r="K388" i="56" s="1" a="1"/>
  <c r="K388" i="56" s="1"/>
  <c r="I387" i="56"/>
  <c r="I386" i="56"/>
  <c r="K386" i="56" s="1" a="1"/>
  <c r="K386" i="56" s="1"/>
  <c r="I385" i="56"/>
  <c r="I384" i="56"/>
  <c r="I383" i="56"/>
  <c r="I382" i="56"/>
  <c r="I381" i="56"/>
  <c r="K381" i="56" s="1" a="1"/>
  <c r="K381" i="56" s="1"/>
  <c r="I380" i="56"/>
  <c r="K380" i="56" s="1" a="1"/>
  <c r="K380" i="56" s="1"/>
  <c r="I379" i="56"/>
  <c r="I378" i="56"/>
  <c r="K378" i="56" s="1" a="1"/>
  <c r="K378" i="56" s="1"/>
  <c r="I377" i="56"/>
  <c r="I376" i="56"/>
  <c r="K376" i="56" s="1" a="1"/>
  <c r="K376" i="56" s="1"/>
  <c r="I375" i="56"/>
  <c r="K375" i="56" s="1" a="1"/>
  <c r="K375" i="56" s="1"/>
  <c r="I374" i="56"/>
  <c r="K374" i="56" s="1" a="1"/>
  <c r="K374" i="56" s="1"/>
  <c r="I373" i="56"/>
  <c r="K373" i="56" s="1" a="1"/>
  <c r="K373" i="56" s="1"/>
  <c r="I372" i="56"/>
  <c r="K372" i="56" s="1" a="1"/>
  <c r="K372" i="56" s="1"/>
  <c r="I371" i="56"/>
  <c r="I370" i="56"/>
  <c r="K370" i="56" s="1" a="1"/>
  <c r="K370" i="56" s="1"/>
  <c r="I369" i="56"/>
  <c r="I368" i="56"/>
  <c r="K368" i="56" s="1" a="1"/>
  <c r="K368" i="56" s="1"/>
  <c r="I367" i="56"/>
  <c r="I366" i="56"/>
  <c r="K366" i="56" s="1" a="1"/>
  <c r="K366" i="56" s="1"/>
  <c r="I365" i="56"/>
  <c r="K365" i="56" s="1" a="1"/>
  <c r="K365" i="56" s="1"/>
  <c r="I364" i="56"/>
  <c r="K364" i="56" s="1" a="1"/>
  <c r="K364" i="56" s="1"/>
  <c r="I363" i="56"/>
  <c r="I362" i="56"/>
  <c r="K362" i="56" s="1" a="1"/>
  <c r="K362" i="56" s="1"/>
  <c r="I361" i="56"/>
  <c r="I360" i="56"/>
  <c r="I359" i="56"/>
  <c r="I358" i="56"/>
  <c r="K358" i="56" s="1" a="1"/>
  <c r="K358" i="56" s="1"/>
  <c r="I357" i="56"/>
  <c r="K357" i="56" s="1" a="1"/>
  <c r="K357" i="56" s="1"/>
  <c r="I356" i="56"/>
  <c r="K356" i="56" s="1" a="1"/>
  <c r="K356" i="56" s="1"/>
  <c r="I355" i="56"/>
  <c r="I354" i="56"/>
  <c r="K354" i="56" s="1" a="1"/>
  <c r="K354" i="56" s="1"/>
  <c r="I353" i="56"/>
  <c r="I352" i="56"/>
  <c r="K352" i="56" s="1" a="1"/>
  <c r="K352" i="56" s="1"/>
  <c r="I351" i="56"/>
  <c r="K351" i="56" s="1" a="1"/>
  <c r="K351" i="56" s="1"/>
  <c r="I350" i="56"/>
  <c r="K350" i="56" s="1" a="1"/>
  <c r="K350" i="56" s="1"/>
  <c r="I349" i="56"/>
  <c r="K349" i="56" s="1" a="1"/>
  <c r="K349" i="56" s="1"/>
  <c r="I348" i="56"/>
  <c r="K348" i="56" s="1" a="1"/>
  <c r="K348" i="56" s="1"/>
  <c r="I347" i="56"/>
  <c r="I346" i="56"/>
  <c r="K346" i="56" s="1" a="1"/>
  <c r="K346" i="56" s="1"/>
  <c r="I345" i="56"/>
  <c r="I344" i="56"/>
  <c r="I343" i="56"/>
  <c r="K343" i="56" s="1" a="1"/>
  <c r="K343" i="56" s="1"/>
  <c r="I342" i="56"/>
  <c r="K342" i="56" s="1" a="1"/>
  <c r="K342" i="56" s="1"/>
  <c r="I341" i="56"/>
  <c r="K341" i="56" s="1" a="1"/>
  <c r="K341" i="56" s="1"/>
  <c r="I340" i="56"/>
  <c r="K340" i="56" s="1" a="1"/>
  <c r="K340" i="56" s="1"/>
  <c r="I339" i="56"/>
  <c r="I338" i="56"/>
  <c r="K338" i="56" s="1" a="1"/>
  <c r="K338" i="56" s="1"/>
  <c r="I337" i="56"/>
  <c r="I336" i="56"/>
  <c r="I335" i="56"/>
  <c r="K335" i="56" s="1" a="1"/>
  <c r="K335" i="56" s="1"/>
  <c r="I334" i="56"/>
  <c r="K334" i="56" s="1" a="1"/>
  <c r="K334" i="56" s="1"/>
  <c r="I333" i="56"/>
  <c r="K333" i="56" s="1" a="1"/>
  <c r="K333" i="56" s="1"/>
  <c r="I332" i="56"/>
  <c r="K332" i="56" s="1" a="1"/>
  <c r="K332" i="56" s="1"/>
  <c r="I331" i="56"/>
  <c r="I330" i="56"/>
  <c r="K330" i="56" s="1" a="1"/>
  <c r="K330" i="56" s="1"/>
  <c r="I329" i="56"/>
  <c r="K329" i="56" s="1" a="1"/>
  <c r="K329" i="56" s="1"/>
  <c r="I328" i="56"/>
  <c r="K328" i="56" s="1" a="1"/>
  <c r="K328" i="56" s="1"/>
  <c r="I327" i="56"/>
  <c r="K327" i="56" s="1" a="1"/>
  <c r="K327" i="56" s="1"/>
  <c r="I326" i="56"/>
  <c r="K326" i="56" s="1" a="1"/>
  <c r="K326" i="56" s="1"/>
  <c r="I325" i="56"/>
  <c r="K325" i="56" s="1" a="1"/>
  <c r="K325" i="56" s="1"/>
  <c r="I324" i="56"/>
  <c r="K324" i="56" s="1" a="1"/>
  <c r="K324" i="56" s="1"/>
  <c r="I323" i="56"/>
  <c r="I322" i="56"/>
  <c r="K322" i="56" s="1" a="1"/>
  <c r="K322" i="56" s="1"/>
  <c r="I321" i="56"/>
  <c r="K321" i="56" s="1" a="1"/>
  <c r="K321" i="56" s="1"/>
  <c r="I320" i="56"/>
  <c r="K320" i="56" s="1" a="1"/>
  <c r="K320" i="56" s="1"/>
  <c r="I319" i="56"/>
  <c r="K319" i="56" s="1" a="1"/>
  <c r="K319" i="56" s="1"/>
  <c r="I318" i="56"/>
  <c r="I317" i="56"/>
  <c r="K317" i="56" s="1" a="1"/>
  <c r="K317" i="56" s="1"/>
  <c r="I316" i="56"/>
  <c r="I315" i="56"/>
  <c r="K315" i="56" s="1" a="1"/>
  <c r="K315" i="56" s="1"/>
  <c r="I314" i="56"/>
  <c r="I313" i="56"/>
  <c r="K313" i="56" s="1" a="1"/>
  <c r="K313" i="56" s="1"/>
  <c r="I312" i="56"/>
  <c r="K312" i="56" s="1" a="1"/>
  <c r="K312" i="56" s="1"/>
  <c r="I311" i="56"/>
  <c r="K311" i="56" s="1" a="1"/>
  <c r="K311" i="56" s="1"/>
  <c r="I310" i="56"/>
  <c r="K310" i="56" s="1" a="1"/>
  <c r="K310" i="56" s="1"/>
  <c r="I309" i="56"/>
  <c r="I308" i="56"/>
  <c r="I307" i="56"/>
  <c r="K307" i="56" s="1" a="1"/>
  <c r="K307" i="56" s="1"/>
  <c r="I306" i="56"/>
  <c r="I305" i="56"/>
  <c r="K305" i="56" s="1" a="1"/>
  <c r="K305" i="56" s="1"/>
  <c r="I304" i="56"/>
  <c r="I303" i="56"/>
  <c r="K303" i="56" s="1" a="1"/>
  <c r="K303" i="56" s="1"/>
  <c r="I302" i="56"/>
  <c r="K302" i="56" s="1" a="1"/>
  <c r="K302" i="56" s="1"/>
  <c r="I301" i="56"/>
  <c r="I300" i="56"/>
  <c r="I299" i="56"/>
  <c r="I298" i="56"/>
  <c r="I297" i="56"/>
  <c r="K297" i="56" s="1" a="1"/>
  <c r="K297" i="56" s="1"/>
  <c r="I296" i="56"/>
  <c r="I295" i="56"/>
  <c r="K295" i="56" s="1" a="1"/>
  <c r="K295" i="56" s="1"/>
  <c r="I294" i="56"/>
  <c r="K294" i="56" s="1" a="1"/>
  <c r="K294" i="56" s="1"/>
  <c r="I293" i="56"/>
  <c r="K293" i="56" s="1" a="1"/>
  <c r="K293" i="56" s="1"/>
  <c r="I292" i="56"/>
  <c r="I291" i="56"/>
  <c r="I290" i="56"/>
  <c r="K290" i="56" s="1" a="1"/>
  <c r="K290" i="56" s="1"/>
  <c r="I289" i="56"/>
  <c r="K289" i="56" s="1" a="1"/>
  <c r="K289" i="56" s="1"/>
  <c r="I288" i="56"/>
  <c r="I287" i="56"/>
  <c r="K287" i="56" s="1" a="1"/>
  <c r="K287" i="56" s="1"/>
  <c r="I286" i="56"/>
  <c r="K286" i="56" s="1" a="1"/>
  <c r="K286" i="56" s="1"/>
  <c r="I285" i="56"/>
  <c r="K285" i="56" s="1" a="1"/>
  <c r="K285" i="56" s="1"/>
  <c r="I284" i="56"/>
  <c r="K284" i="56" s="1" a="1"/>
  <c r="K284" i="56" s="1"/>
  <c r="I283" i="56"/>
  <c r="K283" i="56" s="1" a="1"/>
  <c r="K283" i="56" s="1"/>
  <c r="I282" i="56"/>
  <c r="I281" i="56"/>
  <c r="K281" i="56" s="1" a="1"/>
  <c r="K281" i="56" s="1"/>
  <c r="I280" i="56"/>
  <c r="I279" i="56"/>
  <c r="K279" i="56" s="1" a="1"/>
  <c r="K279" i="56" s="1"/>
  <c r="I278" i="56"/>
  <c r="K278" i="56" s="1" a="1"/>
  <c r="K278" i="56" s="1"/>
  <c r="I277" i="56"/>
  <c r="K277" i="56" s="1" a="1"/>
  <c r="K277" i="56" s="1"/>
  <c r="I276" i="56"/>
  <c r="K276" i="56" s="1" a="1"/>
  <c r="K276" i="56" s="1"/>
  <c r="I275" i="56"/>
  <c r="I274" i="56"/>
  <c r="K274" i="56" s="1" a="1"/>
  <c r="K274" i="56" s="1"/>
  <c r="I273" i="56"/>
  <c r="K273" i="56" s="1" a="1"/>
  <c r="K273" i="56" s="1"/>
  <c r="I272" i="56"/>
  <c r="I271" i="56"/>
  <c r="K271" i="56" s="1" a="1"/>
  <c r="K271" i="56" s="1"/>
  <c r="I270" i="56"/>
  <c r="K270" i="56" s="1" a="1"/>
  <c r="K270" i="56" s="1"/>
  <c r="I269" i="56"/>
  <c r="I268" i="56"/>
  <c r="I267" i="56"/>
  <c r="K267" i="56" s="1" a="1"/>
  <c r="K267" i="56" s="1"/>
  <c r="I266" i="56"/>
  <c r="K266" i="56" s="1" a="1"/>
  <c r="K266" i="56" s="1"/>
  <c r="I265" i="56"/>
  <c r="K265" i="56" s="1" a="1"/>
  <c r="K265" i="56" s="1"/>
  <c r="I264" i="56"/>
  <c r="I263" i="56"/>
  <c r="K263" i="56" s="1" a="1"/>
  <c r="K263" i="56" s="1"/>
  <c r="I262" i="56"/>
  <c r="K262" i="56" s="1" a="1"/>
  <c r="K262" i="56" s="1"/>
  <c r="I261" i="56"/>
  <c r="I260" i="56"/>
  <c r="I259" i="56"/>
  <c r="I258" i="56"/>
  <c r="K258" i="56" s="1" a="1"/>
  <c r="K258" i="56" s="1"/>
  <c r="I257" i="56"/>
  <c r="K257" i="56" s="1" a="1"/>
  <c r="K257" i="56" s="1"/>
  <c r="I256" i="56"/>
  <c r="I255" i="56"/>
  <c r="I254" i="56"/>
  <c r="K254" i="56" s="1" a="1"/>
  <c r="K254" i="56" s="1"/>
  <c r="I253" i="56"/>
  <c r="I252" i="56"/>
  <c r="K252" i="56" s="1" a="1"/>
  <c r="K252" i="56" s="1"/>
  <c r="I251" i="56"/>
  <c r="K251" i="56" s="1" a="1"/>
  <c r="K251" i="56" s="1"/>
  <c r="I250" i="56"/>
  <c r="K250" i="56" s="1" a="1"/>
  <c r="K250" i="56" s="1"/>
  <c r="I249" i="56"/>
  <c r="K249" i="56" s="1" a="1"/>
  <c r="K249" i="56" s="1"/>
  <c r="I248" i="56"/>
  <c r="I247" i="56"/>
  <c r="I246" i="56"/>
  <c r="K246" i="56" s="1" a="1"/>
  <c r="K246" i="56" s="1"/>
  <c r="I245" i="56"/>
  <c r="K245" i="56" s="1" a="1"/>
  <c r="K245" i="56" s="1"/>
  <c r="I244" i="56"/>
  <c r="K244" i="56" s="1" a="1"/>
  <c r="K244" i="56" s="1"/>
  <c r="I243" i="56"/>
  <c r="K243" i="56" s="1" a="1"/>
  <c r="K243" i="56" s="1"/>
  <c r="I242" i="56"/>
  <c r="K242" i="56" s="1" a="1"/>
  <c r="K242" i="56" s="1"/>
  <c r="I241" i="56"/>
  <c r="K241" i="56" s="1" a="1"/>
  <c r="K241" i="56" s="1"/>
  <c r="I240" i="56"/>
  <c r="I239" i="56"/>
  <c r="I238" i="56"/>
  <c r="K238" i="56" s="1" a="1"/>
  <c r="K238" i="56" s="1"/>
  <c r="I237" i="56"/>
  <c r="K237" i="56" s="1" a="1"/>
  <c r="K237" i="56" s="1"/>
  <c r="I236" i="56"/>
  <c r="K236" i="56" s="1" a="1"/>
  <c r="K236" i="56" s="1"/>
  <c r="I235" i="56"/>
  <c r="K235" i="56" s="1" a="1"/>
  <c r="K235" i="56" s="1"/>
  <c r="I234" i="56"/>
  <c r="K234" i="56" s="1" a="1"/>
  <c r="K234" i="56" s="1"/>
  <c r="I233" i="56"/>
  <c r="K233" i="56" s="1" a="1"/>
  <c r="K233" i="56" s="1"/>
  <c r="I232" i="56"/>
  <c r="I231" i="56"/>
  <c r="I230" i="56"/>
  <c r="K230" i="56" s="1" a="1"/>
  <c r="K230" i="56" s="1"/>
  <c r="I229" i="56"/>
  <c r="K229" i="56" s="1" a="1"/>
  <c r="K229" i="56" s="1"/>
  <c r="I228" i="56"/>
  <c r="K228" i="56" s="1" a="1"/>
  <c r="K228" i="56" s="1"/>
  <c r="I227" i="56"/>
  <c r="K227" i="56" s="1" a="1"/>
  <c r="K227" i="56" s="1"/>
  <c r="I226" i="56"/>
  <c r="K226" i="56" s="1" a="1"/>
  <c r="K226" i="56" s="1"/>
  <c r="I225" i="56"/>
  <c r="K225" i="56" s="1" a="1"/>
  <c r="K225" i="56" s="1"/>
  <c r="I224" i="56"/>
  <c r="I223" i="56"/>
  <c r="K223" i="56" s="1" a="1"/>
  <c r="K223" i="56" s="1"/>
  <c r="I222" i="56"/>
  <c r="K222" i="56" s="1" a="1"/>
  <c r="K222" i="56" s="1"/>
  <c r="I221" i="56"/>
  <c r="K221" i="56" s="1" a="1"/>
  <c r="K221" i="56" s="1"/>
  <c r="I220" i="56"/>
  <c r="K220" i="56" s="1" a="1"/>
  <c r="K220" i="56" s="1"/>
  <c r="I219" i="56"/>
  <c r="K219" i="56" s="1" a="1"/>
  <c r="K219" i="56" s="1"/>
  <c r="I218" i="56"/>
  <c r="K218" i="56" s="1" a="1"/>
  <c r="K218" i="56" s="1"/>
  <c r="I217" i="56"/>
  <c r="K217" i="56" s="1" a="1"/>
  <c r="K217" i="56" s="1"/>
  <c r="I216" i="56"/>
  <c r="I215" i="56"/>
  <c r="K215" i="56" s="1" a="1"/>
  <c r="K215" i="56" s="1"/>
  <c r="I214" i="56"/>
  <c r="K214" i="56" s="1" a="1"/>
  <c r="K214" i="56" s="1"/>
  <c r="I213" i="56"/>
  <c r="K213" i="56" s="1" a="1"/>
  <c r="K213" i="56" s="1"/>
  <c r="I212" i="56"/>
  <c r="K212" i="56" s="1" a="1"/>
  <c r="K212" i="56" s="1"/>
  <c r="I211" i="56"/>
  <c r="K211" i="56" s="1" a="1"/>
  <c r="K211" i="56" s="1"/>
  <c r="I210" i="56"/>
  <c r="K210" i="56" s="1" a="1"/>
  <c r="K210" i="56" s="1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D10" i="45" l="1" a="1"/>
  <c r="AB36" i="65"/>
  <c r="U8" i="7"/>
  <c r="X9" i="65" s="1" a="1"/>
  <c r="Y13" i="65" s="1" a="1"/>
  <c r="Y13" i="65" s="1"/>
  <c r="Z13" i="65" s="1"/>
  <c r="V12" i="7" a="1"/>
  <c r="V12" i="7" s="1"/>
  <c r="W12" i="7"/>
  <c r="W11" i="7"/>
  <c r="V11" i="7" a="1"/>
  <c r="V11" i="7" s="1"/>
  <c r="W10" i="7"/>
  <c r="V10" i="7" a="1"/>
  <c r="V10" i="7" s="1"/>
  <c r="W9" i="7"/>
  <c r="V9" i="7" a="1"/>
  <c r="V9" i="7" s="1"/>
  <c r="K282" i="56" a="1"/>
  <c r="K282" i="56" s="1"/>
  <c r="K394" i="56" a="1"/>
  <c r="K394" i="56" s="1"/>
  <c r="K382" i="56" a="1"/>
  <c r="K382" i="56" s="1"/>
  <c r="K298" i="56" a="1"/>
  <c r="K298" i="56" s="1"/>
  <c r="K318" i="56" a="1"/>
  <c r="K318" i="56" s="1"/>
  <c r="K240" i="56" a="1"/>
  <c r="K240" i="56" s="1"/>
  <c r="K231" i="56" a="1"/>
  <c r="K231" i="56" s="1"/>
  <c r="K239" i="56" a="1"/>
  <c r="K239" i="56" s="1"/>
  <c r="K247" i="56" a="1"/>
  <c r="K247" i="56" s="1"/>
  <c r="K269" i="56" a="1"/>
  <c r="K269" i="56" s="1"/>
  <c r="K316" i="56" a="1"/>
  <c r="K316" i="56" s="1"/>
  <c r="K232" i="56" a="1"/>
  <c r="K232" i="56" s="1"/>
  <c r="K261" i="56" a="1"/>
  <c r="K261" i="56" s="1"/>
  <c r="K300" i="56" a="1"/>
  <c r="K300" i="56" s="1"/>
  <c r="K224" i="56" a="1"/>
  <c r="K224" i="56" s="1"/>
  <c r="K253" i="56" a="1"/>
  <c r="K253" i="56" s="1"/>
  <c r="K256" i="56" a="1"/>
  <c r="K256" i="56" s="1"/>
  <c r="K255" i="56" a="1"/>
  <c r="K255" i="56" s="1"/>
  <c r="K260" i="56" a="1"/>
  <c r="K260" i="56" s="1"/>
  <c r="K309" i="56" a="1"/>
  <c r="K309" i="56" s="1"/>
  <c r="K272" i="56" a="1"/>
  <c r="K272" i="56" s="1"/>
  <c r="K301" i="56" a="1"/>
  <c r="K301" i="56" s="1"/>
  <c r="K304" i="56" a="1"/>
  <c r="K304" i="56" s="1"/>
  <c r="K391" i="56" a="1"/>
  <c r="K391" i="56" s="1"/>
  <c r="K216" i="56" a="1"/>
  <c r="K216" i="56" s="1"/>
  <c r="K248" i="56" a="1"/>
  <c r="K248" i="56" s="1"/>
  <c r="K259" i="56" a="1"/>
  <c r="K259" i="56" s="1"/>
  <c r="K268" i="56" a="1"/>
  <c r="K268" i="56" s="1"/>
  <c r="K275" i="56" a="1"/>
  <c r="K275" i="56" s="1"/>
  <c r="K344" i="56" a="1"/>
  <c r="K344" i="56" s="1"/>
  <c r="K359" i="56" a="1"/>
  <c r="K359" i="56" s="1"/>
  <c r="K384" i="56" a="1"/>
  <c r="K384" i="56" s="1"/>
  <c r="K264" i="56" a="1"/>
  <c r="K264" i="56" s="1"/>
  <c r="K296" i="56" a="1"/>
  <c r="K296" i="56" s="1"/>
  <c r="K308" i="56" a="1"/>
  <c r="K308" i="56" s="1"/>
  <c r="K323" i="56" a="1"/>
  <c r="K323" i="56" s="1"/>
  <c r="K367" i="56" a="1"/>
  <c r="K367" i="56" s="1"/>
  <c r="K355" i="56" a="1"/>
  <c r="K355" i="56" s="1"/>
  <c r="K288" i="56" a="1"/>
  <c r="K288" i="56" s="1"/>
  <c r="K299" i="56" a="1"/>
  <c r="K299" i="56" s="1"/>
  <c r="K345" i="56" a="1"/>
  <c r="K345" i="56" s="1"/>
  <c r="K385" i="56" a="1"/>
  <c r="K385" i="56" s="1"/>
  <c r="K280" i="56" a="1"/>
  <c r="K280" i="56" s="1"/>
  <c r="K292" i="56" a="1"/>
  <c r="K292" i="56" s="1"/>
  <c r="K314" i="56" a="1"/>
  <c r="K314" i="56" s="1"/>
  <c r="K363" i="56" a="1"/>
  <c r="K363" i="56" s="1"/>
  <c r="K387" i="56" a="1"/>
  <c r="K387" i="56" s="1"/>
  <c r="K291" i="56" a="1"/>
  <c r="K291" i="56" s="1"/>
  <c r="K306" i="56" a="1"/>
  <c r="K306" i="56" s="1"/>
  <c r="K347" i="56" a="1"/>
  <c r="K347" i="56" s="1"/>
  <c r="K369" i="56" a="1"/>
  <c r="K369" i="56" s="1"/>
  <c r="K339" i="56" a="1"/>
  <c r="K339" i="56" s="1"/>
  <c r="K361" i="56" a="1"/>
  <c r="K361" i="56" s="1"/>
  <c r="K337" i="56" a="1"/>
  <c r="K337" i="56" s="1"/>
  <c r="K379" i="56" a="1"/>
  <c r="K379" i="56" s="1"/>
  <c r="K401" i="56" a="1"/>
  <c r="K401" i="56" s="1"/>
  <c r="K377" i="56" a="1"/>
  <c r="K377" i="56" s="1"/>
  <c r="K400" i="56" a="1"/>
  <c r="K400" i="56" s="1"/>
  <c r="K331" i="56" a="1"/>
  <c r="K331" i="56" s="1"/>
  <c r="K353" i="56" a="1"/>
  <c r="K353" i="56" s="1"/>
  <c r="K360" i="56" a="1"/>
  <c r="K360" i="56" s="1"/>
  <c r="K383" i="56" a="1"/>
  <c r="K383" i="56" s="1"/>
  <c r="K393" i="56" a="1"/>
  <c r="K393" i="56" s="1"/>
  <c r="K336" i="56" a="1"/>
  <c r="K336" i="56" s="1"/>
  <c r="K371" i="56" a="1"/>
  <c r="K371" i="56" s="1"/>
  <c r="K392" i="56" a="1"/>
  <c r="K392" i="56" s="1"/>
  <c r="K395" i="56" a="1"/>
  <c r="K395" i="56" s="1"/>
  <c r="K403" i="56" a="1"/>
  <c r="K403" i="56" s="1"/>
  <c r="H14" i="31"/>
  <c r="E8" i="63"/>
  <c r="D8" i="63"/>
  <c r="L8" i="63"/>
  <c r="I8" i="63" a="1"/>
  <c r="I8" i="63" s="1"/>
  <c r="O370" i="44"/>
  <c r="O369" i="44"/>
  <c r="W38" i="63"/>
  <c r="W37" i="63"/>
  <c r="W36" i="63"/>
  <c r="W35" i="63"/>
  <c r="W34" i="63"/>
  <c r="W33" i="63"/>
  <c r="W32" i="63"/>
  <c r="W31" i="63"/>
  <c r="W30" i="63"/>
  <c r="W29" i="63"/>
  <c r="W28" i="63"/>
  <c r="W27" i="63"/>
  <c r="W26" i="63"/>
  <c r="W25" i="63"/>
  <c r="W24" i="63"/>
  <c r="W23" i="63"/>
  <c r="B3" i="63"/>
  <c r="B2" i="63"/>
  <c r="B3" i="62"/>
  <c r="B2" i="62"/>
  <c r="R7" i="29" a="1"/>
  <c r="R7" i="29" s="1"/>
  <c r="A14" i="45" l="1"/>
  <c r="A13" i="45"/>
  <c r="A19" i="45"/>
  <c r="A23" i="45"/>
  <c r="A27" i="45"/>
  <c r="A31" i="45"/>
  <c r="A35" i="45"/>
  <c r="A39" i="45"/>
  <c r="A43" i="45"/>
  <c r="A15" i="45"/>
  <c r="A20" i="45"/>
  <c r="A24" i="45"/>
  <c r="A28" i="45"/>
  <c r="A32" i="45"/>
  <c r="A36" i="45"/>
  <c r="A40" i="45"/>
  <c r="A44" i="45"/>
  <c r="A16" i="45"/>
  <c r="A21" i="45"/>
  <c r="A25" i="45"/>
  <c r="A29" i="45"/>
  <c r="A33" i="45"/>
  <c r="A37" i="45"/>
  <c r="A41" i="45"/>
  <c r="A45" i="45"/>
  <c r="A11" i="45"/>
  <c r="A17" i="45"/>
  <c r="A22" i="45"/>
  <c r="A26" i="45"/>
  <c r="A30" i="45"/>
  <c r="A34" i="45"/>
  <c r="A38" i="45"/>
  <c r="A42" i="45"/>
  <c r="A46" i="45"/>
  <c r="A12" i="45"/>
  <c r="D10" i="45"/>
  <c r="A18" i="45"/>
  <c r="V8" i="7" a="1"/>
  <c r="V8" i="7" s="1"/>
  <c r="W8" i="7"/>
  <c r="X9" i="65"/>
  <c r="Y12" i="65" a="1"/>
  <c r="Y12" i="65" s="1"/>
  <c r="Z12" i="65" s="1"/>
  <c r="Y11" i="65" a="1"/>
  <c r="Y11" i="65" s="1"/>
  <c r="Z11" i="65" s="1"/>
  <c r="Y10" i="65" a="1"/>
  <c r="Y10" i="65" s="1"/>
  <c r="Z10" i="65" s="1"/>
  <c r="N28" i="56"/>
  <c r="N23" i="56"/>
  <c r="N18" i="56"/>
  <c r="O14" i="56"/>
  <c r="A10" i="45" l="1"/>
  <c r="E10" i="45" a="1"/>
  <c r="E10" i="45" s="1"/>
  <c r="F10" i="45" a="1"/>
  <c r="F10" i="45" s="1"/>
  <c r="G10" i="45" a="1"/>
  <c r="G10" i="45" s="1"/>
  <c r="G63" i="45" s="1"/>
  <c r="Y9" i="65" a="1"/>
  <c r="Y9" i="65" s="1"/>
  <c r="X73" i="42"/>
  <c r="Y73" i="42" s="1"/>
  <c r="X72" i="42"/>
  <c r="Y72" i="42" s="1"/>
  <c r="X71" i="42"/>
  <c r="Y71" i="42" s="1"/>
  <c r="X70" i="42"/>
  <c r="Y70" i="42" s="1"/>
  <c r="X69" i="42"/>
  <c r="Y69" i="42" s="1"/>
  <c r="X68" i="42"/>
  <c r="Y68" i="42" s="1"/>
  <c r="X67" i="42"/>
  <c r="Y67" i="42" s="1"/>
  <c r="X66" i="42"/>
  <c r="Y66" i="42" s="1"/>
  <c r="X65" i="42"/>
  <c r="Y65" i="42" s="1"/>
  <c r="X64" i="42"/>
  <c r="Y64" i="42" s="1"/>
  <c r="X63" i="42"/>
  <c r="Y63" i="42" s="1"/>
  <c r="X62" i="42"/>
  <c r="Y62" i="42" s="1"/>
  <c r="X61" i="42"/>
  <c r="Y61" i="42" s="1"/>
  <c r="X60" i="42"/>
  <c r="Y60" i="42" s="1"/>
  <c r="X59" i="42"/>
  <c r="Y59" i="42" s="1"/>
  <c r="X58" i="42"/>
  <c r="Y58" i="42" s="1"/>
  <c r="X57" i="42"/>
  <c r="Y57" i="42" s="1"/>
  <c r="X56" i="42"/>
  <c r="Y56" i="42" s="1"/>
  <c r="X55" i="42"/>
  <c r="Y55" i="42" s="1"/>
  <c r="X54" i="42"/>
  <c r="Y54" i="42" s="1"/>
  <c r="X53" i="42"/>
  <c r="Y53" i="42" s="1"/>
  <c r="X52" i="42"/>
  <c r="Y52" i="42" s="1"/>
  <c r="X51" i="42"/>
  <c r="Y51" i="42" s="1"/>
  <c r="X50" i="42"/>
  <c r="Y50" i="42" s="1"/>
  <c r="X49" i="42"/>
  <c r="Y49" i="42" s="1"/>
  <c r="X48" i="42"/>
  <c r="Y48" i="42" s="1"/>
  <c r="X47" i="42"/>
  <c r="Y47" i="42" s="1"/>
  <c r="X46" i="42"/>
  <c r="Y46" i="42" s="1"/>
  <c r="X45" i="42"/>
  <c r="Y45" i="42" s="1"/>
  <c r="X44" i="42"/>
  <c r="Y44" i="42" s="1"/>
  <c r="X43" i="42"/>
  <c r="Y43" i="42" s="1"/>
  <c r="X42" i="42"/>
  <c r="Y42" i="42" s="1"/>
  <c r="X41" i="42"/>
  <c r="Y41" i="42" s="1"/>
  <c r="X40" i="42"/>
  <c r="Y40" i="42" s="1"/>
  <c r="X39" i="42"/>
  <c r="Y39" i="42" s="1"/>
  <c r="X38" i="42"/>
  <c r="Y38" i="42" s="1"/>
  <c r="X37" i="42"/>
  <c r="Y37" i="42" s="1"/>
  <c r="X36" i="42"/>
  <c r="Y36" i="42" s="1"/>
  <c r="X35" i="42"/>
  <c r="Y35" i="42" s="1"/>
  <c r="X34" i="42"/>
  <c r="Y34" i="42" s="1"/>
  <c r="X33" i="42"/>
  <c r="Y33" i="42" s="1"/>
  <c r="X32" i="42"/>
  <c r="V8" i="29" a="1"/>
  <c r="V8" i="29" s="1"/>
  <c r="U8" i="29" a="1"/>
  <c r="U8" i="29" s="1"/>
  <c r="T8" i="29" a="1"/>
  <c r="T8" i="29" s="1"/>
  <c r="S8" i="29" a="1"/>
  <c r="S8" i="29" s="1"/>
  <c r="R8" i="29" a="1"/>
  <c r="R8" i="29" s="1"/>
  <c r="N8" i="66" s="1" a="1"/>
  <c r="Q375" i="66" l="1"/>
  <c r="N8" i="66"/>
  <c r="N375" i="66" s="1"/>
  <c r="R375" i="66"/>
  <c r="O375" i="66"/>
  <c r="P375" i="66"/>
  <c r="Y32" i="42"/>
  <c r="Y23" i="65"/>
  <c r="Z9" i="65"/>
  <c r="Z23" i="65" s="1"/>
  <c r="AM10" i="13" a="1"/>
  <c r="AM10" i="13" s="1"/>
  <c r="AS17" i="13" a="1"/>
  <c r="AS17" i="13" s="1"/>
  <c r="AS18" i="13" a="1"/>
  <c r="AS18" i="13" s="1"/>
  <c r="F68" i="31"/>
  <c r="F67" i="31"/>
  <c r="F85" i="31"/>
  <c r="O17" i="42"/>
  <c r="O18" i="42"/>
  <c r="O19" i="42"/>
  <c r="O20" i="42"/>
  <c r="O21" i="42"/>
  <c r="O22" i="42"/>
  <c r="O23" i="42"/>
  <c r="O24" i="42"/>
  <c r="O25" i="42"/>
  <c r="O26" i="42"/>
  <c r="O27" i="42"/>
  <c r="O28" i="42"/>
  <c r="O29" i="42"/>
  <c r="O30" i="42"/>
  <c r="O31" i="42"/>
  <c r="O32" i="42"/>
  <c r="O33" i="42"/>
  <c r="O34" i="42"/>
  <c r="O35" i="42"/>
  <c r="O36" i="42"/>
  <c r="O37" i="42"/>
  <c r="O38" i="42"/>
  <c r="O39" i="42"/>
  <c r="O40" i="42"/>
  <c r="O41" i="42"/>
  <c r="O42" i="42"/>
  <c r="O43" i="42"/>
  <c r="O16" i="42"/>
  <c r="T85" i="42"/>
  <c r="AJ32" i="42" a="1"/>
  <c r="AJ32" i="42" s="1"/>
  <c r="C34" i="58"/>
  <c r="C30" i="58"/>
  <c r="C31" i="58"/>
  <c r="C32" i="58"/>
  <c r="C33" i="58"/>
  <c r="B3" i="60"/>
  <c r="B4" i="60"/>
  <c r="B2" i="60"/>
  <c r="C8" i="58" a="1"/>
  <c r="C8" i="58" s="1"/>
  <c r="C23" i="58" s="1"/>
  <c r="X9" i="13" a="1"/>
  <c r="X9" i="13" s="1"/>
  <c r="A443" i="56"/>
  <c r="A442" i="56"/>
  <c r="A441" i="56"/>
  <c r="A440" i="56"/>
  <c r="A439" i="56"/>
  <c r="A438" i="56"/>
  <c r="A437" i="56"/>
  <c r="A436" i="56"/>
  <c r="A435" i="56"/>
  <c r="A434" i="56"/>
  <c r="A433" i="56"/>
  <c r="A432" i="56"/>
  <c r="A431" i="56"/>
  <c r="A430" i="56"/>
  <c r="A429" i="56"/>
  <c r="A428" i="56"/>
  <c r="A427" i="56"/>
  <c r="A426" i="56"/>
  <c r="A407" i="56"/>
  <c r="A406" i="56"/>
  <c r="A405" i="56"/>
  <c r="A404" i="56"/>
  <c r="A403" i="56"/>
  <c r="A402" i="56"/>
  <c r="A401" i="56"/>
  <c r="A400" i="56"/>
  <c r="A399" i="56"/>
  <c r="A398" i="56"/>
  <c r="A397" i="56"/>
  <c r="A396" i="56"/>
  <c r="A395" i="56"/>
  <c r="A394" i="56"/>
  <c r="A393" i="56"/>
  <c r="A392" i="56"/>
  <c r="A391" i="56"/>
  <c r="A390" i="56"/>
  <c r="A389" i="56"/>
  <c r="A388" i="56"/>
  <c r="A387" i="56"/>
  <c r="A386" i="56"/>
  <c r="A385" i="56"/>
  <c r="A384" i="56"/>
  <c r="A383" i="56"/>
  <c r="A382" i="56"/>
  <c r="A381" i="56"/>
  <c r="A380" i="56"/>
  <c r="A379" i="56"/>
  <c r="A378" i="56"/>
  <c r="A377" i="56"/>
  <c r="A376" i="56"/>
  <c r="A375" i="56"/>
  <c r="A374" i="56"/>
  <c r="A373" i="56"/>
  <c r="A372" i="56"/>
  <c r="A371" i="56"/>
  <c r="A370" i="56"/>
  <c r="A369" i="56"/>
  <c r="A368" i="56"/>
  <c r="A367" i="56"/>
  <c r="A366" i="56"/>
  <c r="A365" i="56"/>
  <c r="A364" i="56"/>
  <c r="A363" i="56"/>
  <c r="A362" i="56"/>
  <c r="A361" i="56"/>
  <c r="A360" i="56"/>
  <c r="A359" i="56"/>
  <c r="A358" i="56"/>
  <c r="A357" i="56"/>
  <c r="A356" i="56"/>
  <c r="A355" i="56"/>
  <c r="A354" i="56"/>
  <c r="A353" i="56"/>
  <c r="A352" i="56"/>
  <c r="A351" i="56"/>
  <c r="A350" i="56"/>
  <c r="A349" i="56"/>
  <c r="A348" i="56"/>
  <c r="A347" i="56"/>
  <c r="A346" i="56"/>
  <c r="A345" i="56"/>
  <c r="A344" i="56"/>
  <c r="A343" i="56"/>
  <c r="A342" i="56"/>
  <c r="A341" i="56"/>
  <c r="A340" i="56"/>
  <c r="A339" i="56"/>
  <c r="A338" i="56"/>
  <c r="A337" i="56"/>
  <c r="A336" i="56"/>
  <c r="A335" i="56"/>
  <c r="A334" i="56"/>
  <c r="A333" i="56"/>
  <c r="A332" i="56"/>
  <c r="A331" i="56"/>
  <c r="A330" i="56"/>
  <c r="A329" i="56"/>
  <c r="A328" i="56"/>
  <c r="A327" i="56"/>
  <c r="A326" i="56"/>
  <c r="A325" i="56"/>
  <c r="A324" i="56"/>
  <c r="A323" i="56"/>
  <c r="A322" i="56"/>
  <c r="A321" i="56"/>
  <c r="A320" i="56"/>
  <c r="A319" i="56"/>
  <c r="A318" i="56"/>
  <c r="A317" i="56"/>
  <c r="A316" i="56"/>
  <c r="A315" i="56"/>
  <c r="A314" i="56"/>
  <c r="A313" i="56"/>
  <c r="A312" i="56"/>
  <c r="A311" i="56"/>
  <c r="A310" i="56"/>
  <c r="A309" i="56"/>
  <c r="A308" i="56"/>
  <c r="A307" i="56"/>
  <c r="A306" i="56"/>
  <c r="A305" i="56"/>
  <c r="A304" i="56"/>
  <c r="A303" i="56"/>
  <c r="A302" i="56"/>
  <c r="A301" i="56"/>
  <c r="A300" i="56"/>
  <c r="A299" i="56"/>
  <c r="A298" i="56"/>
  <c r="A297" i="56"/>
  <c r="A296" i="56"/>
  <c r="A295" i="56"/>
  <c r="A294" i="56"/>
  <c r="A293" i="56"/>
  <c r="A292" i="56"/>
  <c r="A291" i="56"/>
  <c r="A290" i="56"/>
  <c r="A289" i="56"/>
  <c r="A288" i="56"/>
  <c r="A287" i="56"/>
  <c r="A286" i="56"/>
  <c r="A285" i="56"/>
  <c r="A284" i="56"/>
  <c r="A283" i="56"/>
  <c r="A282" i="56"/>
  <c r="A281" i="56"/>
  <c r="A280" i="56"/>
  <c r="A279" i="56"/>
  <c r="A278" i="56"/>
  <c r="A277" i="56"/>
  <c r="A276" i="56"/>
  <c r="A275" i="56"/>
  <c r="A274" i="56"/>
  <c r="A273" i="56"/>
  <c r="A272" i="56"/>
  <c r="A271" i="56"/>
  <c r="A270" i="56"/>
  <c r="A269" i="56"/>
  <c r="A268" i="56"/>
  <c r="A267" i="56"/>
  <c r="A266" i="56"/>
  <c r="A265" i="56"/>
  <c r="A264" i="56"/>
  <c r="A263" i="56"/>
  <c r="A262" i="56"/>
  <c r="A261" i="56"/>
  <c r="A260" i="56"/>
  <c r="A259" i="56"/>
  <c r="A258" i="56"/>
  <c r="A257" i="56"/>
  <c r="A256" i="56"/>
  <c r="A255" i="56"/>
  <c r="A254" i="56"/>
  <c r="A253" i="56"/>
  <c r="A252" i="56"/>
  <c r="A251" i="56"/>
  <c r="A250" i="56"/>
  <c r="A249" i="56"/>
  <c r="A248" i="56"/>
  <c r="A247" i="56"/>
  <c r="A246" i="56"/>
  <c r="A245" i="56"/>
  <c r="A244" i="56"/>
  <c r="A243" i="56"/>
  <c r="A242" i="56"/>
  <c r="A241" i="56"/>
  <c r="A240" i="56"/>
  <c r="A239" i="56"/>
  <c r="A238" i="56"/>
  <c r="A237" i="56"/>
  <c r="A236" i="56"/>
  <c r="A235" i="56"/>
  <c r="A234" i="56"/>
  <c r="A233" i="56"/>
  <c r="A232" i="56"/>
  <c r="A231" i="56"/>
  <c r="A230" i="56"/>
  <c r="A229" i="56"/>
  <c r="A228" i="56"/>
  <c r="A227" i="56"/>
  <c r="A226" i="56"/>
  <c r="A225" i="56"/>
  <c r="A224" i="56"/>
  <c r="A223" i="56"/>
  <c r="A222" i="56"/>
  <c r="A221" i="56"/>
  <c r="B3" i="29"/>
  <c r="P9" i="60" l="1" a="1"/>
  <c r="P9" i="60" s="1"/>
  <c r="P38" i="60" s="1"/>
  <c r="AR10" i="13" a="1"/>
  <c r="AS16" i="13" s="1" a="1"/>
  <c r="AS16" i="13" s="1"/>
  <c r="C27" i="58"/>
  <c r="C26" i="58"/>
  <c r="C25" i="58"/>
  <c r="C24" i="58"/>
  <c r="C29" i="58"/>
  <c r="C28" i="58"/>
  <c r="AB9" i="31"/>
  <c r="AA9" i="31"/>
  <c r="K9" i="13"/>
  <c r="Z1" i="57"/>
  <c r="AA1" i="57"/>
  <c r="AB1" i="57"/>
  <c r="AC1" i="57"/>
  <c r="AD1" i="57"/>
  <c r="AE1" i="57"/>
  <c r="AF1" i="57"/>
  <c r="AG1" i="57"/>
  <c r="AH1" i="57"/>
  <c r="AI1" i="57"/>
  <c r="AJ1" i="57"/>
  <c r="AK1" i="57"/>
  <c r="AL1" i="57"/>
  <c r="AM1" i="57"/>
  <c r="AN1" i="57"/>
  <c r="AO1" i="57"/>
  <c r="AP1" i="57"/>
  <c r="AQ1" i="57"/>
  <c r="AR1" i="57"/>
  <c r="AS1" i="57"/>
  <c r="AT1" i="57"/>
  <c r="AU1" i="57"/>
  <c r="AV1" i="57"/>
  <c r="AW1" i="57"/>
  <c r="AX1" i="57"/>
  <c r="AY1" i="57"/>
  <c r="F11" i="57" a="1"/>
  <c r="F11" i="57" s="1"/>
  <c r="F16" i="57" a="1"/>
  <c r="F16" i="57" s="1"/>
  <c r="E16" i="57" s="1"/>
  <c r="C3" i="57"/>
  <c r="C2" i="57"/>
  <c r="I19" i="53"/>
  <c r="J19" i="53" s="1" a="1"/>
  <c r="J19" i="53" s="1"/>
  <c r="K19" i="53" s="1"/>
  <c r="I18" i="53"/>
  <c r="J18" i="53" s="1" a="1"/>
  <c r="J18" i="53" s="1"/>
  <c r="K18" i="53" s="1"/>
  <c r="H18" i="53"/>
  <c r="I17" i="53"/>
  <c r="J17" i="53" s="1" a="1"/>
  <c r="J17" i="53" s="1"/>
  <c r="K17" i="53" s="1"/>
  <c r="H17" i="53"/>
  <c r="I16" i="53"/>
  <c r="J16" i="53" s="1" a="1"/>
  <c r="J16" i="53" s="1"/>
  <c r="K16" i="53" s="1"/>
  <c r="H16" i="53"/>
  <c r="J15" i="53" a="1"/>
  <c r="J15" i="53" s="1"/>
  <c r="H15" i="53"/>
  <c r="K10" i="53" a="1"/>
  <c r="K10" i="53" s="1"/>
  <c r="K14" i="53" s="1"/>
  <c r="K15" i="53" s="1"/>
  <c r="J10" i="53"/>
  <c r="BV443" i="56"/>
  <c r="BW443" i="56"/>
  <c r="BA443" i="56"/>
  <c r="BD443" i="56"/>
  <c r="X443" i="56"/>
  <c r="AR407" i="56" a="1"/>
  <c r="AR407" i="56" s="1"/>
  <c r="AF407" i="56" a="1"/>
  <c r="AF407" i="56" s="1"/>
  <c r="Q407" i="56"/>
  <c r="AR406" i="56" a="1"/>
  <c r="AR406" i="56" s="1"/>
  <c r="AF406" i="56" a="1"/>
  <c r="AF406" i="56" s="1"/>
  <c r="Q406" i="56"/>
  <c r="AR405" i="56" a="1"/>
  <c r="AR405" i="56" s="1"/>
  <c r="AF405" i="56" a="1"/>
  <c r="AF405" i="56" s="1"/>
  <c r="Q405" i="56"/>
  <c r="AR404" i="56" a="1"/>
  <c r="AR404" i="56" s="1"/>
  <c r="AF404" i="56" a="1"/>
  <c r="AF404" i="56" s="1"/>
  <c r="Q404" i="56"/>
  <c r="AR403" i="56" a="1"/>
  <c r="AR403" i="56" s="1"/>
  <c r="AF403" i="56" a="1"/>
  <c r="AF403" i="56" s="1"/>
  <c r="Q403" i="56"/>
  <c r="AR402" i="56" a="1"/>
  <c r="AR402" i="56" s="1"/>
  <c r="AF402" i="56" a="1"/>
  <c r="AF402" i="56" s="1"/>
  <c r="Q402" i="56"/>
  <c r="AR401" i="56" a="1"/>
  <c r="AR401" i="56" s="1"/>
  <c r="AF401" i="56" a="1"/>
  <c r="AF401" i="56" s="1"/>
  <c r="Q401" i="56"/>
  <c r="AR400" i="56" a="1"/>
  <c r="AR400" i="56" s="1"/>
  <c r="AF400" i="56" a="1"/>
  <c r="AF400" i="56" s="1"/>
  <c r="Q400" i="56"/>
  <c r="AR399" i="56" a="1"/>
  <c r="AR399" i="56" s="1"/>
  <c r="AF399" i="56" a="1"/>
  <c r="AF399" i="56" s="1"/>
  <c r="Q399" i="56"/>
  <c r="AR398" i="56" a="1"/>
  <c r="AR398" i="56" s="1"/>
  <c r="AF398" i="56" a="1"/>
  <c r="AF398" i="56" s="1"/>
  <c r="Q398" i="56"/>
  <c r="AR397" i="56" a="1"/>
  <c r="AR397" i="56" s="1"/>
  <c r="AF397" i="56" a="1"/>
  <c r="AF397" i="56" s="1"/>
  <c r="Q397" i="56"/>
  <c r="AR396" i="56" a="1"/>
  <c r="AR396" i="56" s="1"/>
  <c r="AF396" i="56" a="1"/>
  <c r="AF396" i="56" s="1"/>
  <c r="Q396" i="56"/>
  <c r="AR395" i="56" a="1"/>
  <c r="AR395" i="56" s="1"/>
  <c r="AF395" i="56" a="1"/>
  <c r="AF395" i="56" s="1"/>
  <c r="Q395" i="56"/>
  <c r="AR394" i="56" a="1"/>
  <c r="AR394" i="56" s="1"/>
  <c r="AF394" i="56" a="1"/>
  <c r="AF394" i="56" s="1"/>
  <c r="Q394" i="56"/>
  <c r="AR393" i="56" a="1"/>
  <c r="AR393" i="56" s="1"/>
  <c r="AF393" i="56" a="1"/>
  <c r="AF393" i="56" s="1"/>
  <c r="Q393" i="56"/>
  <c r="AR392" i="56" a="1"/>
  <c r="AR392" i="56" s="1"/>
  <c r="AF392" i="56" a="1"/>
  <c r="AF392" i="56" s="1"/>
  <c r="Q392" i="56"/>
  <c r="AR391" i="56" a="1"/>
  <c r="AR391" i="56" s="1"/>
  <c r="AF391" i="56" a="1"/>
  <c r="AF391" i="56" s="1"/>
  <c r="Q391" i="56"/>
  <c r="AR390" i="56" a="1"/>
  <c r="AR390" i="56" s="1"/>
  <c r="AF390" i="56" a="1"/>
  <c r="AF390" i="56" s="1"/>
  <c r="Q390" i="56"/>
  <c r="AR389" i="56" a="1"/>
  <c r="AR389" i="56" s="1"/>
  <c r="AF389" i="56" a="1"/>
  <c r="AF389" i="56" s="1"/>
  <c r="Q389" i="56"/>
  <c r="AR388" i="56" a="1"/>
  <c r="AR388" i="56" s="1"/>
  <c r="AF388" i="56" a="1"/>
  <c r="AF388" i="56" s="1"/>
  <c r="Q388" i="56"/>
  <c r="AR387" i="56" a="1"/>
  <c r="AR387" i="56" s="1"/>
  <c r="AF387" i="56" a="1"/>
  <c r="AF387" i="56" s="1"/>
  <c r="Q387" i="56"/>
  <c r="AR386" i="56" a="1"/>
  <c r="AR386" i="56" s="1"/>
  <c r="AF386" i="56" a="1"/>
  <c r="AF386" i="56" s="1"/>
  <c r="Q386" i="56"/>
  <c r="AR385" i="56" a="1"/>
  <c r="AR385" i="56" s="1"/>
  <c r="AF385" i="56" a="1"/>
  <c r="AF385" i="56" s="1"/>
  <c r="Q385" i="56"/>
  <c r="AR384" i="56" a="1"/>
  <c r="AR384" i="56" s="1"/>
  <c r="AF384" i="56" a="1"/>
  <c r="AF384" i="56" s="1"/>
  <c r="Q384" i="56"/>
  <c r="AR383" i="56" a="1"/>
  <c r="AR383" i="56" s="1"/>
  <c r="AF383" i="56" a="1"/>
  <c r="AF383" i="56" s="1"/>
  <c r="Q383" i="56"/>
  <c r="AR382" i="56" a="1"/>
  <c r="AR382" i="56" s="1"/>
  <c r="AF382" i="56" a="1"/>
  <c r="AF382" i="56" s="1"/>
  <c r="Q382" i="56"/>
  <c r="AR381" i="56" a="1"/>
  <c r="AR381" i="56" s="1"/>
  <c r="AF381" i="56" a="1"/>
  <c r="AF381" i="56" s="1"/>
  <c r="Q381" i="56"/>
  <c r="AR380" i="56" a="1"/>
  <c r="AR380" i="56" s="1"/>
  <c r="AF380" i="56" a="1"/>
  <c r="AF380" i="56" s="1"/>
  <c r="Q380" i="56"/>
  <c r="AR379" i="56" a="1"/>
  <c r="AR379" i="56" s="1"/>
  <c r="AF379" i="56" a="1"/>
  <c r="AF379" i="56" s="1"/>
  <c r="Q379" i="56"/>
  <c r="AR378" i="56" a="1"/>
  <c r="AR378" i="56" s="1"/>
  <c r="AF378" i="56" a="1"/>
  <c r="AF378" i="56" s="1"/>
  <c r="Q378" i="56"/>
  <c r="AR377" i="56" a="1"/>
  <c r="AR377" i="56" s="1"/>
  <c r="AF377" i="56" a="1"/>
  <c r="AF377" i="56" s="1"/>
  <c r="Q377" i="56"/>
  <c r="AR376" i="56" a="1"/>
  <c r="AR376" i="56" s="1"/>
  <c r="AF376" i="56" a="1"/>
  <c r="AF376" i="56" s="1"/>
  <c r="Q376" i="56"/>
  <c r="AR375" i="56" a="1"/>
  <c r="AR375" i="56" s="1"/>
  <c r="AF375" i="56" a="1"/>
  <c r="AF375" i="56" s="1"/>
  <c r="Q375" i="56"/>
  <c r="AR374" i="56" a="1"/>
  <c r="AR374" i="56" s="1"/>
  <c r="AF374" i="56" a="1"/>
  <c r="AF374" i="56" s="1"/>
  <c r="Q374" i="56"/>
  <c r="AR373" i="56" a="1"/>
  <c r="AR373" i="56" s="1"/>
  <c r="AF373" i="56" a="1"/>
  <c r="AF373" i="56" s="1"/>
  <c r="Q373" i="56"/>
  <c r="AR372" i="56" a="1"/>
  <c r="AR372" i="56" s="1"/>
  <c r="AF372" i="56" a="1"/>
  <c r="AF372" i="56" s="1"/>
  <c r="Q372" i="56"/>
  <c r="AR371" i="56" a="1"/>
  <c r="AR371" i="56" s="1"/>
  <c r="AF371" i="56" a="1"/>
  <c r="AF371" i="56" s="1"/>
  <c r="Q371" i="56"/>
  <c r="AR370" i="56" a="1"/>
  <c r="AR370" i="56" s="1"/>
  <c r="AF370" i="56" a="1"/>
  <c r="AF370" i="56" s="1"/>
  <c r="Q370" i="56"/>
  <c r="AR369" i="56" a="1"/>
  <c r="AR369" i="56" s="1"/>
  <c r="AF369" i="56" a="1"/>
  <c r="AF369" i="56" s="1"/>
  <c r="Q369" i="56"/>
  <c r="AR368" i="56" a="1"/>
  <c r="AR368" i="56" s="1"/>
  <c r="AF368" i="56" a="1"/>
  <c r="AF368" i="56" s="1"/>
  <c r="Q368" i="56"/>
  <c r="AR367" i="56" a="1"/>
  <c r="AR367" i="56" s="1"/>
  <c r="AF367" i="56" a="1"/>
  <c r="AF367" i="56" s="1"/>
  <c r="Q367" i="56"/>
  <c r="AR366" i="56" a="1"/>
  <c r="AR366" i="56" s="1"/>
  <c r="AF366" i="56" a="1"/>
  <c r="AF366" i="56" s="1"/>
  <c r="Q366" i="56"/>
  <c r="AR365" i="56" a="1"/>
  <c r="AR365" i="56" s="1"/>
  <c r="AF365" i="56" a="1"/>
  <c r="AF365" i="56" s="1"/>
  <c r="Q365" i="56"/>
  <c r="AR364" i="56" a="1"/>
  <c r="AR364" i="56" s="1"/>
  <c r="AF364" i="56" a="1"/>
  <c r="AF364" i="56" s="1"/>
  <c r="Q364" i="56"/>
  <c r="AR363" i="56" a="1"/>
  <c r="AR363" i="56" s="1"/>
  <c r="AF363" i="56" a="1"/>
  <c r="AF363" i="56" s="1"/>
  <c r="Q363" i="56"/>
  <c r="AR362" i="56" a="1"/>
  <c r="AR362" i="56" s="1"/>
  <c r="AF362" i="56" a="1"/>
  <c r="AF362" i="56" s="1"/>
  <c r="Q362" i="56"/>
  <c r="AR361" i="56" a="1"/>
  <c r="AR361" i="56" s="1"/>
  <c r="AF361" i="56" a="1"/>
  <c r="AF361" i="56" s="1"/>
  <c r="Q361" i="56"/>
  <c r="AR360" i="56" a="1"/>
  <c r="AR360" i="56" s="1"/>
  <c r="AF360" i="56" a="1"/>
  <c r="AF360" i="56" s="1"/>
  <c r="Q360" i="56"/>
  <c r="AR359" i="56" a="1"/>
  <c r="AR359" i="56" s="1"/>
  <c r="AF359" i="56" a="1"/>
  <c r="AF359" i="56" s="1"/>
  <c r="Q359" i="56"/>
  <c r="AR358" i="56" a="1"/>
  <c r="AR358" i="56" s="1"/>
  <c r="AF358" i="56" a="1"/>
  <c r="AF358" i="56" s="1"/>
  <c r="Q358" i="56"/>
  <c r="AR357" i="56" a="1"/>
  <c r="AR357" i="56" s="1"/>
  <c r="AF357" i="56" a="1"/>
  <c r="AF357" i="56" s="1"/>
  <c r="Q357" i="56"/>
  <c r="AR356" i="56" a="1"/>
  <c r="AR356" i="56" s="1"/>
  <c r="AF356" i="56" a="1"/>
  <c r="AF356" i="56" s="1"/>
  <c r="Q356" i="56"/>
  <c r="AR355" i="56" a="1"/>
  <c r="AR355" i="56" s="1"/>
  <c r="AF355" i="56" a="1"/>
  <c r="AF355" i="56" s="1"/>
  <c r="Q355" i="56"/>
  <c r="AR354" i="56" a="1"/>
  <c r="AR354" i="56" s="1"/>
  <c r="AF354" i="56" a="1"/>
  <c r="AF354" i="56" s="1"/>
  <c r="Q354" i="56"/>
  <c r="AR353" i="56" a="1"/>
  <c r="AR353" i="56" s="1"/>
  <c r="AF353" i="56" a="1"/>
  <c r="AF353" i="56" s="1"/>
  <c r="Q353" i="56"/>
  <c r="AR352" i="56" a="1"/>
  <c r="AR352" i="56" s="1"/>
  <c r="AF352" i="56" a="1"/>
  <c r="AF352" i="56" s="1"/>
  <c r="Q352" i="56"/>
  <c r="AR351" i="56" a="1"/>
  <c r="AR351" i="56" s="1"/>
  <c r="AF351" i="56" a="1"/>
  <c r="AF351" i="56" s="1"/>
  <c r="Q351" i="56"/>
  <c r="AR350" i="56" a="1"/>
  <c r="AR350" i="56" s="1"/>
  <c r="AF350" i="56" a="1"/>
  <c r="AF350" i="56" s="1"/>
  <c r="Q350" i="56"/>
  <c r="AR349" i="56" a="1"/>
  <c r="AR349" i="56" s="1"/>
  <c r="AF349" i="56" a="1"/>
  <c r="AF349" i="56" s="1"/>
  <c r="Q349" i="56"/>
  <c r="AR348" i="56" a="1"/>
  <c r="AR348" i="56" s="1"/>
  <c r="AF348" i="56" a="1"/>
  <c r="AF348" i="56" s="1"/>
  <c r="Q348" i="56"/>
  <c r="AR347" i="56" a="1"/>
  <c r="AR347" i="56" s="1"/>
  <c r="AF347" i="56" a="1"/>
  <c r="AF347" i="56" s="1"/>
  <c r="Q347" i="56"/>
  <c r="AR346" i="56" a="1"/>
  <c r="AR346" i="56" s="1"/>
  <c r="AF346" i="56" a="1"/>
  <c r="AF346" i="56" s="1"/>
  <c r="Q346" i="56"/>
  <c r="AR345" i="56" a="1"/>
  <c r="AR345" i="56" s="1"/>
  <c r="AF345" i="56" a="1"/>
  <c r="AF345" i="56" s="1"/>
  <c r="Q345" i="56"/>
  <c r="AR344" i="56" a="1"/>
  <c r="AR344" i="56" s="1"/>
  <c r="AF344" i="56" a="1"/>
  <c r="AF344" i="56" s="1"/>
  <c r="Q344" i="56"/>
  <c r="AR343" i="56" a="1"/>
  <c r="AR343" i="56" s="1"/>
  <c r="AF343" i="56" a="1"/>
  <c r="AF343" i="56" s="1"/>
  <c r="Q343" i="56"/>
  <c r="AR342" i="56" a="1"/>
  <c r="AR342" i="56" s="1"/>
  <c r="AF342" i="56" a="1"/>
  <c r="AF342" i="56" s="1"/>
  <c r="Q342" i="56"/>
  <c r="AR341" i="56" a="1"/>
  <c r="AR341" i="56" s="1"/>
  <c r="AF341" i="56" a="1"/>
  <c r="AF341" i="56" s="1"/>
  <c r="Q341" i="56"/>
  <c r="AR340" i="56" a="1"/>
  <c r="AR340" i="56" s="1"/>
  <c r="AF340" i="56" a="1"/>
  <c r="AF340" i="56" s="1"/>
  <c r="Q340" i="56"/>
  <c r="AR339" i="56" a="1"/>
  <c r="AR339" i="56" s="1"/>
  <c r="AF339" i="56" a="1"/>
  <c r="AF339" i="56" s="1"/>
  <c r="Q339" i="56"/>
  <c r="AR338" i="56" a="1"/>
  <c r="AR338" i="56" s="1"/>
  <c r="AF338" i="56" a="1"/>
  <c r="AF338" i="56" s="1"/>
  <c r="Q338" i="56"/>
  <c r="AR337" i="56" a="1"/>
  <c r="AR337" i="56" s="1"/>
  <c r="AF337" i="56" a="1"/>
  <c r="AF337" i="56" s="1"/>
  <c r="Q337" i="56"/>
  <c r="AR336" i="56" a="1"/>
  <c r="AR336" i="56" s="1"/>
  <c r="AF336" i="56" a="1"/>
  <c r="AF336" i="56" s="1"/>
  <c r="Q336" i="56"/>
  <c r="AR335" i="56" a="1"/>
  <c r="AR335" i="56" s="1"/>
  <c r="AF335" i="56" a="1"/>
  <c r="AF335" i="56" s="1"/>
  <c r="Q335" i="56"/>
  <c r="AR334" i="56" a="1"/>
  <c r="AR334" i="56" s="1"/>
  <c r="AF334" i="56" a="1"/>
  <c r="AF334" i="56" s="1"/>
  <c r="Q334" i="56"/>
  <c r="AR333" i="56" a="1"/>
  <c r="AR333" i="56" s="1"/>
  <c r="AF333" i="56" a="1"/>
  <c r="AF333" i="56" s="1"/>
  <c r="Q333" i="56"/>
  <c r="AR332" i="56" a="1"/>
  <c r="AR332" i="56" s="1"/>
  <c r="AF332" i="56" a="1"/>
  <c r="AF332" i="56" s="1"/>
  <c r="Q332" i="56"/>
  <c r="AR331" i="56" a="1"/>
  <c r="AR331" i="56" s="1"/>
  <c r="AF331" i="56" a="1"/>
  <c r="AF331" i="56" s="1"/>
  <c r="Q331" i="56"/>
  <c r="AR330" i="56" a="1"/>
  <c r="AR330" i="56" s="1"/>
  <c r="AF330" i="56" a="1"/>
  <c r="AF330" i="56" s="1"/>
  <c r="Q330" i="56"/>
  <c r="AR329" i="56" a="1"/>
  <c r="AR329" i="56" s="1"/>
  <c r="AF329" i="56" a="1"/>
  <c r="AF329" i="56" s="1"/>
  <c r="Q329" i="56"/>
  <c r="AR328" i="56" a="1"/>
  <c r="AR328" i="56" s="1"/>
  <c r="AF328" i="56" a="1"/>
  <c r="AF328" i="56" s="1"/>
  <c r="Q328" i="56"/>
  <c r="AR327" i="56" a="1"/>
  <c r="AR327" i="56" s="1"/>
  <c r="AF327" i="56" a="1"/>
  <c r="AF327" i="56" s="1"/>
  <c r="Q327" i="56"/>
  <c r="AR326" i="56" a="1"/>
  <c r="AR326" i="56" s="1"/>
  <c r="AF326" i="56" a="1"/>
  <c r="AF326" i="56" s="1"/>
  <c r="Q326" i="56"/>
  <c r="AR325" i="56" a="1"/>
  <c r="AR325" i="56" s="1"/>
  <c r="AF325" i="56" a="1"/>
  <c r="AF325" i="56" s="1"/>
  <c r="Q325" i="56"/>
  <c r="AR324" i="56" a="1"/>
  <c r="AR324" i="56" s="1"/>
  <c r="AF324" i="56" a="1"/>
  <c r="AF324" i="56" s="1"/>
  <c r="Q324" i="56"/>
  <c r="AR323" i="56" a="1"/>
  <c r="AR323" i="56" s="1"/>
  <c r="AF323" i="56" a="1"/>
  <c r="AF323" i="56" s="1"/>
  <c r="Q323" i="56"/>
  <c r="AR322" i="56" a="1"/>
  <c r="AR322" i="56" s="1"/>
  <c r="AF322" i="56" a="1"/>
  <c r="AF322" i="56" s="1"/>
  <c r="Q322" i="56"/>
  <c r="AR321" i="56" a="1"/>
  <c r="AR321" i="56" s="1"/>
  <c r="AF321" i="56" a="1"/>
  <c r="AF321" i="56" s="1"/>
  <c r="Q321" i="56"/>
  <c r="AR320" i="56" a="1"/>
  <c r="AR320" i="56" s="1"/>
  <c r="AF320" i="56" a="1"/>
  <c r="AF320" i="56" s="1"/>
  <c r="Q320" i="56"/>
  <c r="AR319" i="56" a="1"/>
  <c r="AR319" i="56" s="1"/>
  <c r="AF319" i="56" a="1"/>
  <c r="AF319" i="56" s="1"/>
  <c r="Q319" i="56"/>
  <c r="AR318" i="56" a="1"/>
  <c r="AR318" i="56" s="1"/>
  <c r="AF318" i="56" a="1"/>
  <c r="AF318" i="56" s="1"/>
  <c r="Q318" i="56"/>
  <c r="AR317" i="56" a="1"/>
  <c r="AR317" i="56" s="1"/>
  <c r="AF317" i="56" a="1"/>
  <c r="AF317" i="56" s="1"/>
  <c r="Q317" i="56"/>
  <c r="AR316" i="56" a="1"/>
  <c r="AR316" i="56" s="1"/>
  <c r="AF316" i="56" a="1"/>
  <c r="AF316" i="56" s="1"/>
  <c r="Q316" i="56"/>
  <c r="AR315" i="56" a="1"/>
  <c r="AR315" i="56" s="1"/>
  <c r="AF315" i="56" a="1"/>
  <c r="AF315" i="56" s="1"/>
  <c r="Q315" i="56"/>
  <c r="AR314" i="56" a="1"/>
  <c r="AR314" i="56" s="1"/>
  <c r="AF314" i="56" a="1"/>
  <c r="AF314" i="56" s="1"/>
  <c r="Q314" i="56"/>
  <c r="AR313" i="56" a="1"/>
  <c r="AR313" i="56" s="1"/>
  <c r="AF313" i="56" a="1"/>
  <c r="AF313" i="56" s="1"/>
  <c r="Q313" i="56"/>
  <c r="AR312" i="56" a="1"/>
  <c r="AR312" i="56" s="1"/>
  <c r="AF312" i="56" a="1"/>
  <c r="AF312" i="56" s="1"/>
  <c r="Q312" i="56"/>
  <c r="AR311" i="56" a="1"/>
  <c r="AR311" i="56" s="1"/>
  <c r="AF311" i="56" a="1"/>
  <c r="AF311" i="56" s="1"/>
  <c r="Q311" i="56"/>
  <c r="AR310" i="56" a="1"/>
  <c r="AR310" i="56" s="1"/>
  <c r="AF310" i="56" a="1"/>
  <c r="AF310" i="56" s="1"/>
  <c r="Q310" i="56"/>
  <c r="AR309" i="56" a="1"/>
  <c r="AR309" i="56" s="1"/>
  <c r="AF309" i="56" a="1"/>
  <c r="AF309" i="56" s="1"/>
  <c r="Q309" i="56"/>
  <c r="AR308" i="56" a="1"/>
  <c r="AR308" i="56" s="1"/>
  <c r="AF308" i="56" a="1"/>
  <c r="AF308" i="56" s="1"/>
  <c r="Q308" i="56"/>
  <c r="AR307" i="56" a="1"/>
  <c r="AR307" i="56" s="1"/>
  <c r="AF307" i="56" a="1"/>
  <c r="AF307" i="56" s="1"/>
  <c r="Q307" i="56"/>
  <c r="AR306" i="56" a="1"/>
  <c r="AR306" i="56" s="1"/>
  <c r="AF306" i="56" a="1"/>
  <c r="AF306" i="56" s="1"/>
  <c r="Q306" i="56"/>
  <c r="AR305" i="56" a="1"/>
  <c r="AR305" i="56" s="1"/>
  <c r="AF305" i="56" a="1"/>
  <c r="AF305" i="56" s="1"/>
  <c r="Q305" i="56"/>
  <c r="AR304" i="56" a="1"/>
  <c r="AR304" i="56" s="1"/>
  <c r="AF304" i="56" a="1"/>
  <c r="AF304" i="56" s="1"/>
  <c r="Q304" i="56"/>
  <c r="AR303" i="56" a="1"/>
  <c r="AR303" i="56" s="1"/>
  <c r="AF303" i="56" a="1"/>
  <c r="AF303" i="56" s="1"/>
  <c r="Q303" i="56"/>
  <c r="AR302" i="56" a="1"/>
  <c r="AR302" i="56" s="1"/>
  <c r="AF302" i="56" a="1"/>
  <c r="AF302" i="56" s="1"/>
  <c r="Q302" i="56"/>
  <c r="AR301" i="56" a="1"/>
  <c r="AR301" i="56" s="1"/>
  <c r="AF301" i="56" a="1"/>
  <c r="AF301" i="56" s="1"/>
  <c r="Q301" i="56"/>
  <c r="AR300" i="56" a="1"/>
  <c r="AR300" i="56" s="1"/>
  <c r="AF300" i="56" a="1"/>
  <c r="AF300" i="56" s="1"/>
  <c r="Q300" i="56"/>
  <c r="AR299" i="56" a="1"/>
  <c r="AR299" i="56" s="1"/>
  <c r="AF299" i="56" a="1"/>
  <c r="AF299" i="56" s="1"/>
  <c r="Q299" i="56"/>
  <c r="AR298" i="56" a="1"/>
  <c r="AR298" i="56" s="1"/>
  <c r="AF298" i="56" a="1"/>
  <c r="AF298" i="56" s="1"/>
  <c r="Q298" i="56"/>
  <c r="AR297" i="56" a="1"/>
  <c r="AR297" i="56" s="1"/>
  <c r="AF297" i="56" a="1"/>
  <c r="AF297" i="56" s="1"/>
  <c r="Q297" i="56"/>
  <c r="AR296" i="56" a="1"/>
  <c r="AR296" i="56" s="1"/>
  <c r="AF296" i="56" a="1"/>
  <c r="AF296" i="56" s="1"/>
  <c r="Q296" i="56"/>
  <c r="AR295" i="56" a="1"/>
  <c r="AR295" i="56" s="1"/>
  <c r="AF295" i="56" a="1"/>
  <c r="AF295" i="56" s="1"/>
  <c r="Q295" i="56"/>
  <c r="AR294" i="56" a="1"/>
  <c r="AR294" i="56" s="1"/>
  <c r="AF294" i="56" a="1"/>
  <c r="AF294" i="56" s="1"/>
  <c r="Q294" i="56"/>
  <c r="AR293" i="56" a="1"/>
  <c r="AR293" i="56" s="1"/>
  <c r="AF293" i="56" a="1"/>
  <c r="AF293" i="56" s="1"/>
  <c r="Q293" i="56"/>
  <c r="AR292" i="56" a="1"/>
  <c r="AR292" i="56" s="1"/>
  <c r="AF292" i="56" a="1"/>
  <c r="AF292" i="56" s="1"/>
  <c r="Q292" i="56"/>
  <c r="AR291" i="56" a="1"/>
  <c r="AR291" i="56" s="1"/>
  <c r="AF291" i="56" a="1"/>
  <c r="AF291" i="56" s="1"/>
  <c r="Q291" i="56"/>
  <c r="AR290" i="56" a="1"/>
  <c r="AR290" i="56" s="1"/>
  <c r="AF290" i="56" a="1"/>
  <c r="AF290" i="56" s="1"/>
  <c r="Q290" i="56"/>
  <c r="AR289" i="56" a="1"/>
  <c r="AR289" i="56" s="1"/>
  <c r="AF289" i="56" a="1"/>
  <c r="AF289" i="56" s="1"/>
  <c r="Q289" i="56"/>
  <c r="AR288" i="56" a="1"/>
  <c r="AR288" i="56" s="1"/>
  <c r="AF288" i="56" a="1"/>
  <c r="AF288" i="56" s="1"/>
  <c r="Q288" i="56"/>
  <c r="AR287" i="56" a="1"/>
  <c r="AR287" i="56" s="1"/>
  <c r="AF287" i="56" a="1"/>
  <c r="AF287" i="56" s="1"/>
  <c r="Q287" i="56"/>
  <c r="AR286" i="56" a="1"/>
  <c r="AR286" i="56" s="1"/>
  <c r="AF286" i="56" a="1"/>
  <c r="AF286" i="56" s="1"/>
  <c r="Q286" i="56"/>
  <c r="AR285" i="56" a="1"/>
  <c r="AR285" i="56" s="1"/>
  <c r="AF285" i="56" a="1"/>
  <c r="AF285" i="56" s="1"/>
  <c r="Q285" i="56"/>
  <c r="AR284" i="56" a="1"/>
  <c r="AR284" i="56" s="1"/>
  <c r="AF284" i="56" a="1"/>
  <c r="AF284" i="56" s="1"/>
  <c r="Q284" i="56"/>
  <c r="AR283" i="56" a="1"/>
  <c r="AR283" i="56" s="1"/>
  <c r="AF283" i="56" a="1"/>
  <c r="AF283" i="56" s="1"/>
  <c r="Q283" i="56"/>
  <c r="AR282" i="56" a="1"/>
  <c r="AR282" i="56" s="1"/>
  <c r="AF282" i="56" a="1"/>
  <c r="AF282" i="56" s="1"/>
  <c r="Q282" i="56"/>
  <c r="AR281" i="56" a="1"/>
  <c r="AR281" i="56" s="1"/>
  <c r="AF281" i="56" a="1"/>
  <c r="AF281" i="56" s="1"/>
  <c r="Q281" i="56"/>
  <c r="AR280" i="56" a="1"/>
  <c r="AR280" i="56" s="1"/>
  <c r="AF280" i="56" a="1"/>
  <c r="AF280" i="56" s="1"/>
  <c r="Q280" i="56"/>
  <c r="AR279" i="56" a="1"/>
  <c r="AR279" i="56" s="1"/>
  <c r="AF279" i="56" a="1"/>
  <c r="AF279" i="56" s="1"/>
  <c r="Q279" i="56"/>
  <c r="AR278" i="56" a="1"/>
  <c r="AR278" i="56" s="1"/>
  <c r="AF278" i="56" a="1"/>
  <c r="AF278" i="56" s="1"/>
  <c r="Q278" i="56"/>
  <c r="AR277" i="56" a="1"/>
  <c r="AR277" i="56" s="1"/>
  <c r="AF277" i="56" a="1"/>
  <c r="AF277" i="56" s="1"/>
  <c r="Q277" i="56"/>
  <c r="AR276" i="56" a="1"/>
  <c r="AR276" i="56" s="1"/>
  <c r="AF276" i="56" a="1"/>
  <c r="AF276" i="56" s="1"/>
  <c r="Q276" i="56"/>
  <c r="AR275" i="56" a="1"/>
  <c r="AR275" i="56" s="1"/>
  <c r="AF275" i="56" a="1"/>
  <c r="AF275" i="56" s="1"/>
  <c r="Q275" i="56"/>
  <c r="AR274" i="56" a="1"/>
  <c r="AR274" i="56" s="1"/>
  <c r="AF274" i="56" a="1"/>
  <c r="AF274" i="56" s="1"/>
  <c r="Q274" i="56"/>
  <c r="AR273" i="56" a="1"/>
  <c r="AR273" i="56" s="1"/>
  <c r="AF273" i="56" a="1"/>
  <c r="AF273" i="56" s="1"/>
  <c r="Q273" i="56"/>
  <c r="AR272" i="56" a="1"/>
  <c r="AR272" i="56" s="1"/>
  <c r="AF272" i="56" a="1"/>
  <c r="AF272" i="56" s="1"/>
  <c r="Q272" i="56"/>
  <c r="AR271" i="56" a="1"/>
  <c r="AR271" i="56" s="1"/>
  <c r="AF271" i="56" a="1"/>
  <c r="AF271" i="56" s="1"/>
  <c r="Q271" i="56"/>
  <c r="AR270" i="56" a="1"/>
  <c r="AR270" i="56" s="1"/>
  <c r="AF270" i="56" a="1"/>
  <c r="AF270" i="56" s="1"/>
  <c r="Q270" i="56"/>
  <c r="AR269" i="56" a="1"/>
  <c r="AR269" i="56" s="1"/>
  <c r="AF269" i="56" a="1"/>
  <c r="AF269" i="56" s="1"/>
  <c r="Q269" i="56"/>
  <c r="AR268" i="56" a="1"/>
  <c r="AR268" i="56" s="1"/>
  <c r="AF268" i="56" a="1"/>
  <c r="AF268" i="56" s="1"/>
  <c r="Q268" i="56"/>
  <c r="AR267" i="56" a="1"/>
  <c r="AR267" i="56" s="1"/>
  <c r="AF267" i="56" a="1"/>
  <c r="AF267" i="56" s="1"/>
  <c r="Q267" i="56"/>
  <c r="AR266" i="56" a="1"/>
  <c r="AR266" i="56" s="1"/>
  <c r="AF266" i="56" a="1"/>
  <c r="AF266" i="56" s="1"/>
  <c r="Q266" i="56"/>
  <c r="AR265" i="56" a="1"/>
  <c r="AR265" i="56" s="1"/>
  <c r="AF265" i="56" a="1"/>
  <c r="AF265" i="56" s="1"/>
  <c r="Q265" i="56"/>
  <c r="AR264" i="56" a="1"/>
  <c r="AR264" i="56" s="1"/>
  <c r="AF264" i="56" a="1"/>
  <c r="AF264" i="56" s="1"/>
  <c r="Q264" i="56"/>
  <c r="AR263" i="56" a="1"/>
  <c r="AR263" i="56" s="1"/>
  <c r="AF263" i="56" a="1"/>
  <c r="AF263" i="56" s="1"/>
  <c r="Q263" i="56"/>
  <c r="AR262" i="56" a="1"/>
  <c r="AR262" i="56" s="1"/>
  <c r="AF262" i="56" a="1"/>
  <c r="AF262" i="56" s="1"/>
  <c r="Q262" i="56"/>
  <c r="AR261" i="56" a="1"/>
  <c r="AR261" i="56" s="1"/>
  <c r="AF261" i="56" a="1"/>
  <c r="AF261" i="56" s="1"/>
  <c r="Q261" i="56"/>
  <c r="AR260" i="56" a="1"/>
  <c r="AR260" i="56" s="1"/>
  <c r="AF260" i="56" a="1"/>
  <c r="AF260" i="56" s="1"/>
  <c r="Q260" i="56"/>
  <c r="AR259" i="56" a="1"/>
  <c r="AR259" i="56" s="1"/>
  <c r="AF259" i="56" a="1"/>
  <c r="AF259" i="56" s="1"/>
  <c r="Q259" i="56"/>
  <c r="AR258" i="56" a="1"/>
  <c r="AR258" i="56" s="1"/>
  <c r="AF258" i="56" a="1"/>
  <c r="AF258" i="56" s="1"/>
  <c r="Q258" i="56"/>
  <c r="AR257" i="56" a="1"/>
  <c r="AR257" i="56" s="1"/>
  <c r="AF257" i="56" a="1"/>
  <c r="AF257" i="56" s="1"/>
  <c r="Q257" i="56"/>
  <c r="AR256" i="56" a="1"/>
  <c r="AR256" i="56" s="1"/>
  <c r="AF256" i="56" a="1"/>
  <c r="AF256" i="56" s="1"/>
  <c r="Q256" i="56"/>
  <c r="AR255" i="56" a="1"/>
  <c r="AR255" i="56" s="1"/>
  <c r="AF255" i="56" a="1"/>
  <c r="AF255" i="56" s="1"/>
  <c r="Q255" i="56"/>
  <c r="AR254" i="56" a="1"/>
  <c r="AR254" i="56" s="1"/>
  <c r="AF254" i="56" a="1"/>
  <c r="AF254" i="56" s="1"/>
  <c r="Q254" i="56"/>
  <c r="AR253" i="56" a="1"/>
  <c r="AR253" i="56" s="1"/>
  <c r="AF253" i="56" a="1"/>
  <c r="AF253" i="56" s="1"/>
  <c r="Q253" i="56"/>
  <c r="AR252" i="56" a="1"/>
  <c r="AR252" i="56" s="1"/>
  <c r="AF252" i="56" a="1"/>
  <c r="AF252" i="56" s="1"/>
  <c r="Q252" i="56"/>
  <c r="AR251" i="56" a="1"/>
  <c r="AR251" i="56" s="1"/>
  <c r="AF251" i="56" a="1"/>
  <c r="AF251" i="56" s="1"/>
  <c r="Q251" i="56"/>
  <c r="AR250" i="56" a="1"/>
  <c r="AR250" i="56" s="1"/>
  <c r="AF250" i="56" a="1"/>
  <c r="AF250" i="56" s="1"/>
  <c r="Q250" i="56"/>
  <c r="AR249" i="56" a="1"/>
  <c r="AR249" i="56" s="1"/>
  <c r="AF249" i="56" a="1"/>
  <c r="AF249" i="56" s="1"/>
  <c r="Q249" i="56"/>
  <c r="AR248" i="56" a="1"/>
  <c r="AR248" i="56" s="1"/>
  <c r="AF248" i="56" a="1"/>
  <c r="AF248" i="56" s="1"/>
  <c r="Q248" i="56"/>
  <c r="AR247" i="56" a="1"/>
  <c r="AR247" i="56" s="1"/>
  <c r="AF247" i="56" a="1"/>
  <c r="AF247" i="56" s="1"/>
  <c r="Q247" i="56"/>
  <c r="AR246" i="56" a="1"/>
  <c r="AR246" i="56" s="1"/>
  <c r="AF246" i="56" a="1"/>
  <c r="AF246" i="56" s="1"/>
  <c r="Q246" i="56"/>
  <c r="AR245" i="56" a="1"/>
  <c r="AR245" i="56" s="1"/>
  <c r="AF245" i="56" a="1"/>
  <c r="AF245" i="56" s="1"/>
  <c r="Q245" i="56"/>
  <c r="AR244" i="56" a="1"/>
  <c r="AR244" i="56" s="1"/>
  <c r="AF244" i="56" a="1"/>
  <c r="AF244" i="56" s="1"/>
  <c r="Q244" i="56"/>
  <c r="AR243" i="56" a="1"/>
  <c r="AR243" i="56" s="1"/>
  <c r="AF243" i="56" a="1"/>
  <c r="AF243" i="56" s="1"/>
  <c r="Q243" i="56"/>
  <c r="AR242" i="56" a="1"/>
  <c r="AR242" i="56" s="1"/>
  <c r="AF242" i="56" a="1"/>
  <c r="AF242" i="56" s="1"/>
  <c r="Q242" i="56"/>
  <c r="AR241" i="56" a="1"/>
  <c r="AR241" i="56" s="1"/>
  <c r="AF241" i="56" a="1"/>
  <c r="AF241" i="56" s="1"/>
  <c r="Q241" i="56"/>
  <c r="AR240" i="56" a="1"/>
  <c r="AR240" i="56" s="1"/>
  <c r="AF240" i="56" a="1"/>
  <c r="AF240" i="56" s="1"/>
  <c r="Q240" i="56"/>
  <c r="AR239" i="56" a="1"/>
  <c r="AR239" i="56" s="1"/>
  <c r="AF239" i="56" a="1"/>
  <c r="AF239" i="56" s="1"/>
  <c r="Q239" i="56"/>
  <c r="AR238" i="56" a="1"/>
  <c r="AR238" i="56" s="1"/>
  <c r="AF238" i="56" a="1"/>
  <c r="AF238" i="56" s="1"/>
  <c r="Q238" i="56"/>
  <c r="AR237" i="56" a="1"/>
  <c r="AR237" i="56" s="1"/>
  <c r="AF237" i="56" a="1"/>
  <c r="AF237" i="56" s="1"/>
  <c r="Q237" i="56"/>
  <c r="AR236" i="56" a="1"/>
  <c r="AR236" i="56" s="1"/>
  <c r="AF236" i="56" a="1"/>
  <c r="AF236" i="56" s="1"/>
  <c r="Q236" i="56"/>
  <c r="AR235" i="56" a="1"/>
  <c r="AR235" i="56" s="1"/>
  <c r="AF235" i="56" a="1"/>
  <c r="AF235" i="56" s="1"/>
  <c r="Q235" i="56"/>
  <c r="AR234" i="56" a="1"/>
  <c r="AR234" i="56" s="1"/>
  <c r="AF234" i="56" a="1"/>
  <c r="AF234" i="56" s="1"/>
  <c r="Q234" i="56"/>
  <c r="AR233" i="56" a="1"/>
  <c r="AR233" i="56" s="1"/>
  <c r="AF233" i="56" a="1"/>
  <c r="AF233" i="56" s="1"/>
  <c r="Q233" i="56"/>
  <c r="AR232" i="56" a="1"/>
  <c r="AR232" i="56" s="1"/>
  <c r="AF232" i="56" a="1"/>
  <c r="AF232" i="56" s="1"/>
  <c r="Q232" i="56"/>
  <c r="AR231" i="56" a="1"/>
  <c r="AR231" i="56" s="1"/>
  <c r="AF231" i="56" a="1"/>
  <c r="AF231" i="56" s="1"/>
  <c r="Q231" i="56"/>
  <c r="AR230" i="56" a="1"/>
  <c r="AR230" i="56" s="1"/>
  <c r="AF230" i="56" a="1"/>
  <c r="AF230" i="56" s="1"/>
  <c r="Q230" i="56"/>
  <c r="AR229" i="56" a="1"/>
  <c r="AR229" i="56" s="1"/>
  <c r="AF229" i="56" a="1"/>
  <c r="AF229" i="56" s="1"/>
  <c r="Q229" i="56"/>
  <c r="AR228" i="56" a="1"/>
  <c r="AR228" i="56" s="1"/>
  <c r="AF228" i="56" a="1"/>
  <c r="AF228" i="56" s="1"/>
  <c r="Q228" i="56"/>
  <c r="AR227" i="56" a="1"/>
  <c r="AR227" i="56" s="1"/>
  <c r="AF227" i="56" a="1"/>
  <c r="AF227" i="56" s="1"/>
  <c r="Q227" i="56"/>
  <c r="AR226" i="56" a="1"/>
  <c r="AR226" i="56" s="1"/>
  <c r="AF226" i="56" a="1"/>
  <c r="AF226" i="56" s="1"/>
  <c r="Q226" i="56"/>
  <c r="AR225" i="56" a="1"/>
  <c r="AR225" i="56" s="1"/>
  <c r="AF225" i="56" a="1"/>
  <c r="AF225" i="56" s="1"/>
  <c r="Q225" i="56"/>
  <c r="AR224" i="56" a="1"/>
  <c r="AR224" i="56" s="1"/>
  <c r="AF224" i="56" a="1"/>
  <c r="AF224" i="56" s="1"/>
  <c r="Q224" i="56"/>
  <c r="AR223" i="56" a="1"/>
  <c r="AR223" i="56" s="1"/>
  <c r="AF223" i="56" a="1"/>
  <c r="AF223" i="56" s="1"/>
  <c r="Q223" i="56"/>
  <c r="AR222" i="56" a="1"/>
  <c r="AR222" i="56" s="1"/>
  <c r="AF222" i="56" a="1"/>
  <c r="AF222" i="56" s="1"/>
  <c r="Q222" i="56"/>
  <c r="AR221" i="56" a="1"/>
  <c r="AR221" i="56" s="1"/>
  <c r="AF221" i="56" a="1"/>
  <c r="AF221" i="56" s="1"/>
  <c r="Q221" i="56"/>
  <c r="AF42" i="56"/>
  <c r="AF43" i="56" a="1"/>
  <c r="AF43" i="56" s="1"/>
  <c r="V43" i="56"/>
  <c r="AG43" i="56" s="1"/>
  <c r="AS43" i="56" s="1"/>
  <c r="V42" i="56"/>
  <c r="AG42" i="56" s="1"/>
  <c r="AS42" i="56" s="1"/>
  <c r="AR43" i="56" a="1"/>
  <c r="AR43" i="56" s="1"/>
  <c r="U43" i="56" a="1"/>
  <c r="U43" i="56" s="1"/>
  <c r="K43" i="56" a="1"/>
  <c r="K43" i="56" s="1"/>
  <c r="B3" i="56"/>
  <c r="B2" i="56"/>
  <c r="H19" i="56"/>
  <c r="O29" i="56" s="1"/>
  <c r="H18" i="56"/>
  <c r="O24" i="56" s="1"/>
  <c r="H17" i="56"/>
  <c r="G19" i="56"/>
  <c r="G18" i="56"/>
  <c r="G17" i="56"/>
  <c r="G16" i="56"/>
  <c r="BC48" i="56"/>
  <c r="R16" i="58" l="1"/>
  <c r="AS13" i="13" a="1"/>
  <c r="AS13" i="13" s="1"/>
  <c r="AS12" i="13" a="1"/>
  <c r="AS12" i="13" s="1"/>
  <c r="AR10" i="13"/>
  <c r="AS14" i="13" a="1"/>
  <c r="AS14" i="13" s="1"/>
  <c r="AS11" i="13" a="1"/>
  <c r="AS11" i="13" s="1"/>
  <c r="AS15" i="13" a="1"/>
  <c r="AS15" i="13" s="1"/>
  <c r="E17" i="57"/>
  <c r="E19" i="57"/>
  <c r="E18" i="57"/>
  <c r="E23" i="57"/>
  <c r="E22" i="57"/>
  <c r="E21" i="57"/>
  <c r="E20" i="57"/>
  <c r="E13" i="57"/>
  <c r="I10" i="53"/>
  <c r="J14" i="53"/>
  <c r="I19" i="56" a="1"/>
  <c r="I19" i="56" s="1"/>
  <c r="O31" i="56" s="1"/>
  <c r="I18" i="56" a="1"/>
  <c r="I18" i="56" s="1"/>
  <c r="O26" i="56" s="1"/>
  <c r="I17" i="56" a="1"/>
  <c r="I17" i="56" s="1"/>
  <c r="I16" i="56" a="1"/>
  <c r="I16" i="56" s="1"/>
  <c r="O16" i="56" s="1"/>
  <c r="I11" i="56" a="1"/>
  <c r="I11" i="56" s="1"/>
  <c r="H20" i="56"/>
  <c r="N34" i="56" s="1"/>
  <c r="H11" i="56"/>
  <c r="G7" i="56"/>
  <c r="I48" i="56"/>
  <c r="I410" i="56" s="1"/>
  <c r="CB46" i="56"/>
  <c r="CA46" i="56"/>
  <c r="BZ46" i="56"/>
  <c r="BY46" i="56"/>
  <c r="BM45" i="56"/>
  <c r="BO45" i="56" s="1"/>
  <c r="BQ45" i="56" s="1"/>
  <c r="BS45" i="56" s="1"/>
  <c r="BL44" i="56"/>
  <c r="BE44" i="56"/>
  <c r="AG44" i="56"/>
  <c r="AR42" i="56"/>
  <c r="U42" i="56"/>
  <c r="W45" i="56" s="1"/>
  <c r="K42" i="56"/>
  <c r="O19" i="56" l="1"/>
  <c r="O21" i="56"/>
  <c r="AS10" i="13" a="1"/>
  <c r="AS10" i="13" s="1"/>
  <c r="AR19" i="13"/>
  <c r="E37" i="57"/>
  <c r="G16" i="58"/>
  <c r="J18" i="56"/>
  <c r="J17" i="56"/>
  <c r="J19" i="56"/>
  <c r="J11" i="56"/>
  <c r="I15" i="56"/>
  <c r="I20" i="56" a="1"/>
  <c r="I20" i="56" s="1"/>
  <c r="BJ46" i="56"/>
  <c r="BK46" i="56" s="1"/>
  <c r="J15" i="56"/>
  <c r="J16" i="56" s="1"/>
  <c r="O15" i="56" s="1"/>
  <c r="I46" i="56"/>
  <c r="K48" i="56"/>
  <c r="AP46" i="56" l="1"/>
  <c r="O30" i="56"/>
  <c r="J20" i="56"/>
  <c r="O35" i="56" s="1"/>
  <c r="O36" i="56"/>
  <c r="AD46" i="56"/>
  <c r="O25" i="56"/>
  <c r="S46" i="56"/>
  <c r="BL46" i="56" s="1"/>
  <c r="BM46" i="56" s="1"/>
  <c r="O20" i="56"/>
  <c r="BP46" i="56"/>
  <c r="BQ46" i="56" s="1"/>
  <c r="BN46" i="56"/>
  <c r="BO46" i="56" s="1"/>
  <c r="BB48" i="56"/>
  <c r="K410" i="56"/>
  <c r="BR46" i="56" l="1"/>
  <c r="BS46" i="56" s="1"/>
  <c r="H18" i="55"/>
  <c r="H25" i="55" s="1"/>
  <c r="H19" i="55"/>
  <c r="H26" i="55" s="1"/>
  <c r="H20" i="55"/>
  <c r="H27" i="55" s="1"/>
  <c r="H21" i="55"/>
  <c r="H28" i="55" s="1"/>
  <c r="H22" i="55"/>
  <c r="H29" i="55" s="1"/>
  <c r="H23" i="55"/>
  <c r="H17" i="55"/>
  <c r="H24" i="55" s="1"/>
  <c r="B4" i="55"/>
  <c r="B3" i="55"/>
  <c r="HD8" i="55"/>
  <c r="HC8" i="55"/>
  <c r="HB8" i="55"/>
  <c r="HA8" i="55"/>
  <c r="GZ8" i="55"/>
  <c r="GY8" i="55"/>
  <c r="GX8" i="55"/>
  <c r="GW8" i="55"/>
  <c r="GV8" i="55"/>
  <c r="GU8" i="55"/>
  <c r="GT8" i="55"/>
  <c r="GS8" i="55"/>
  <c r="GR8" i="55"/>
  <c r="GQ8" i="55"/>
  <c r="GP8" i="55"/>
  <c r="GO8" i="55"/>
  <c r="GN8" i="55"/>
  <c r="GM8" i="55"/>
  <c r="GL8" i="55"/>
  <c r="GK8" i="55"/>
  <c r="GJ8" i="55"/>
  <c r="GI8" i="55"/>
  <c r="GH8" i="55"/>
  <c r="GG8" i="55"/>
  <c r="GF8" i="55"/>
  <c r="GE8" i="55"/>
  <c r="GD8" i="55"/>
  <c r="GC8" i="55"/>
  <c r="GB8" i="55"/>
  <c r="GA8" i="55"/>
  <c r="FZ8" i="55"/>
  <c r="GS7" i="55"/>
  <c r="GG7" i="55"/>
  <c r="I7" i="55"/>
  <c r="P10" i="31" l="1" a="1"/>
  <c r="D46" i="53"/>
  <c r="D45" i="53"/>
  <c r="D44" i="53"/>
  <c r="D43" i="53"/>
  <c r="D42" i="53"/>
  <c r="D39" i="53"/>
  <c r="D38" i="53"/>
  <c r="D37" i="53"/>
  <c r="D36" i="53"/>
  <c r="D34" i="53"/>
  <c r="D32" i="53"/>
  <c r="D31" i="53"/>
  <c r="D21" i="53"/>
  <c r="D19" i="53"/>
  <c r="D11" i="53"/>
  <c r="D10" i="53"/>
  <c r="D9" i="53"/>
  <c r="D8" i="53"/>
  <c r="B3" i="53"/>
  <c r="B2" i="53"/>
  <c r="P10" i="31" l="1"/>
  <c r="R9" i="42" s="1" a="1"/>
  <c r="R9" i="42" l="1"/>
  <c r="Q10" i="31" a="1"/>
  <c r="T10" i="31" a="1"/>
  <c r="S10" i="31" a="1"/>
  <c r="AO16" i="7"/>
  <c r="AO17" i="7"/>
  <c r="H15" i="29"/>
  <c r="H16" i="29"/>
  <c r="H17" i="29"/>
  <c r="H18" i="29"/>
  <c r="H19" i="29"/>
  <c r="K73" i="31"/>
  <c r="K79" i="31" s="1"/>
  <c r="L73" i="31"/>
  <c r="L79" i="31" s="1"/>
  <c r="Y9" i="13" a="1"/>
  <c r="Y9" i="13" s="1"/>
  <c r="Q10" i="31" l="1"/>
  <c r="C10" i="31" s="1" a="1"/>
  <c r="S10" i="31"/>
  <c r="T10" i="31"/>
  <c r="V9" i="42" s="1" a="1"/>
  <c r="V9" i="42" s="1"/>
  <c r="B3" i="51"/>
  <c r="B2" i="51"/>
  <c r="C10" i="31" l="1"/>
  <c r="A10" i="31" a="1"/>
  <c r="H20" i="51" a="1"/>
  <c r="H20" i="51" s="1"/>
  <c r="G20" i="51" s="1"/>
  <c r="Q16" i="58" s="1"/>
  <c r="F11" i="51"/>
  <c r="F8" i="51"/>
  <c r="F12" i="51"/>
  <c r="D49" i="51"/>
  <c r="D48" i="51"/>
  <c r="D47" i="51"/>
  <c r="D46" i="51"/>
  <c r="D45" i="51"/>
  <c r="D42" i="51"/>
  <c r="D41" i="51"/>
  <c r="D40" i="51"/>
  <c r="D39" i="51"/>
  <c r="D37" i="51"/>
  <c r="D36" i="51"/>
  <c r="D34" i="51"/>
  <c r="D33" i="51"/>
  <c r="D23" i="51"/>
  <c r="D21" i="51"/>
  <c r="D12" i="51"/>
  <c r="D11" i="51"/>
  <c r="D10" i="51"/>
  <c r="D9" i="51"/>
  <c r="J52" i="42"/>
  <c r="I52" i="42"/>
  <c r="AM32" i="42" a="1"/>
  <c r="AM32" i="42" s="1"/>
  <c r="A10" i="31" l="1"/>
  <c r="A30" i="31" s="1"/>
  <c r="Y21" i="31"/>
  <c r="Y24" i="31"/>
  <c r="Y25" i="31"/>
  <c r="AI21" i="51"/>
  <c r="AF21" i="51"/>
  <c r="AE21" i="51"/>
  <c r="AH21" i="51"/>
  <c r="AG21" i="51"/>
  <c r="AD21" i="51"/>
  <c r="AC21" i="51"/>
  <c r="AB21" i="51"/>
  <c r="A8" i="29" a="1"/>
  <c r="A8" i="29" s="1"/>
  <c r="M8" i="29" s="1" a="1"/>
  <c r="M8" i="29" s="1"/>
  <c r="AH1" i="50"/>
  <c r="AI1" i="50"/>
  <c r="AJ1" i="50"/>
  <c r="AK1" i="50"/>
  <c r="AL1" i="50"/>
  <c r="AM1" i="50"/>
  <c r="AN1" i="50"/>
  <c r="AO1" i="50"/>
  <c r="AP1" i="50"/>
  <c r="AQ1" i="50"/>
  <c r="AR1" i="50"/>
  <c r="AS1" i="50"/>
  <c r="AT1" i="50"/>
  <c r="AU1" i="50"/>
  <c r="AV1" i="50"/>
  <c r="AW1" i="50"/>
  <c r="AX1" i="50"/>
  <c r="AY1" i="50"/>
  <c r="AZ1" i="50"/>
  <c r="B3" i="50"/>
  <c r="B2" i="50"/>
  <c r="F30" i="50" l="1" a="1"/>
  <c r="F30" i="50" s="1"/>
  <c r="D30" i="50" s="1"/>
  <c r="F37" i="50" a="1"/>
  <c r="F37" i="50" s="1"/>
  <c r="D37" i="50" s="1"/>
  <c r="H16" i="58" s="1"/>
  <c r="F36" i="50" a="1"/>
  <c r="F36" i="50" s="1"/>
  <c r="D36" i="50" s="1"/>
  <c r="F35" i="50" a="1"/>
  <c r="F35" i="50" s="1"/>
  <c r="D35" i="50" s="1"/>
  <c r="F34" i="50" a="1"/>
  <c r="F34" i="50" s="1"/>
  <c r="D34" i="50" s="1"/>
  <c r="F33" i="50" a="1"/>
  <c r="F33" i="50" s="1"/>
  <c r="D33" i="50" s="1"/>
  <c r="F32" i="50" a="1"/>
  <c r="F32" i="50" s="1"/>
  <c r="D32" i="50" s="1"/>
  <c r="F31" i="50" a="1"/>
  <c r="F31" i="50" s="1"/>
  <c r="D31" i="50" s="1"/>
  <c r="F28" i="50" a="1"/>
  <c r="F28" i="50" s="1"/>
  <c r="F27" i="50" a="1"/>
  <c r="F27" i="50" s="1"/>
  <c r="H16" i="51" s="1" a="1"/>
  <c r="H16" i="51" s="1"/>
  <c r="F26" i="50" a="1"/>
  <c r="F26" i="50" s="1"/>
  <c r="C10" i="50"/>
  <c r="F10" i="51" s="1"/>
  <c r="C25" i="50"/>
  <c r="F14" i="51" s="1"/>
  <c r="C26" i="50"/>
  <c r="F15" i="51" s="1"/>
  <c r="C27" i="50"/>
  <c r="F16" i="51" s="1"/>
  <c r="C28" i="50"/>
  <c r="F17" i="51" s="1"/>
  <c r="C29" i="50"/>
  <c r="C37" i="50" s="1"/>
  <c r="C30" i="50"/>
  <c r="C31" i="50"/>
  <c r="C32" i="50"/>
  <c r="C33" i="50"/>
  <c r="C34" i="50"/>
  <c r="C35" i="50"/>
  <c r="C36" i="50"/>
  <c r="D26" i="50" l="1"/>
  <c r="G15" i="51" s="1"/>
  <c r="H15" i="51" a="1"/>
  <c r="H15" i="51" s="1"/>
  <c r="D28" i="50"/>
  <c r="G17" i="51" s="1"/>
  <c r="H17" i="51" a="1"/>
  <c r="H17" i="51" s="1"/>
  <c r="C39" i="50"/>
  <c r="C38" i="50"/>
  <c r="B3" i="26"/>
  <c r="B3" i="47"/>
  <c r="B3" i="42"/>
  <c r="B2" i="47"/>
  <c r="F21" i="29"/>
  <c r="H20" i="29"/>
  <c r="J8" i="44"/>
  <c r="D101" i="42" a="1"/>
  <c r="D101" i="42" s="1"/>
  <c r="AJ85" i="42"/>
  <c r="B2" i="45"/>
  <c r="B3" i="44"/>
  <c r="B2" i="44"/>
  <c r="X31" i="42"/>
  <c r="Y31" i="42"/>
  <c r="AB31" i="42"/>
  <c r="AC31" i="42"/>
  <c r="S9" i="45" s="1"/>
  <c r="AD31" i="42"/>
  <c r="AE31" i="42"/>
  <c r="U9" i="45" s="1"/>
  <c r="AA42" i="42"/>
  <c r="Z41" i="42"/>
  <c r="Z39" i="42"/>
  <c r="Z37" i="42"/>
  <c r="AA34" i="42"/>
  <c r="AE30" i="42"/>
  <c r="AD30" i="42"/>
  <c r="AC30" i="42"/>
  <c r="AB30" i="42"/>
  <c r="AX30" i="42"/>
  <c r="Y30" i="42"/>
  <c r="X30" i="42"/>
  <c r="K17" i="13"/>
  <c r="D12" i="13"/>
  <c r="K11" i="13"/>
  <c r="K13" i="13" s="1"/>
  <c r="I14" i="31"/>
  <c r="J14" i="31"/>
  <c r="K14" i="31"/>
  <c r="L14" i="31"/>
  <c r="H8" i="42" a="1"/>
  <c r="H8" i="42" s="1"/>
  <c r="H15" i="42" s="1"/>
  <c r="I8" i="60" s="1"/>
  <c r="E8" i="42"/>
  <c r="E15" i="42" s="1"/>
  <c r="F8" i="60" s="1"/>
  <c r="F8" i="42"/>
  <c r="F15" i="42" s="1"/>
  <c r="G8" i="60" s="1"/>
  <c r="G8" i="42"/>
  <c r="G15" i="42" s="1"/>
  <c r="H8" i="60" s="1"/>
  <c r="F70" i="31"/>
  <c r="A10" i="34" a="1"/>
  <c r="AB30" i="65" l="1"/>
  <c r="J8" i="65"/>
  <c r="E9" i="66" a="1"/>
  <c r="D376" i="66" a="1"/>
  <c r="D376" i="66" s="1"/>
  <c r="A9" i="66" a="1"/>
  <c r="A9" i="66" s="1"/>
  <c r="D9" i="66" a="1"/>
  <c r="AQ9" i="66" a="1"/>
  <c r="AQ9" i="66" s="1"/>
  <c r="F39" i="26" s="1" a="1"/>
  <c r="F39" i="26" s="1"/>
  <c r="D39" i="26" s="1"/>
  <c r="AL9" i="66" a="1"/>
  <c r="AL9" i="66" s="1"/>
  <c r="F33" i="26" s="1" a="1"/>
  <c r="F33" i="26" s="1"/>
  <c r="D33" i="26" s="1"/>
  <c r="AO9" i="66" a="1"/>
  <c r="AO9" i="66" s="1"/>
  <c r="F36" i="26" s="1" a="1"/>
  <c r="F36" i="26" s="1"/>
  <c r="D36" i="26" s="1"/>
  <c r="AT9" i="66" a="1"/>
  <c r="AT9" i="66" s="1"/>
  <c r="F42" i="26" s="1" a="1"/>
  <c r="F42" i="26" s="1"/>
  <c r="D42" i="26" s="1"/>
  <c r="AR9" i="66" a="1"/>
  <c r="AR9" i="66" s="1"/>
  <c r="F40" i="26" s="1" a="1"/>
  <c r="F40" i="26" s="1"/>
  <c r="D40" i="26" s="1"/>
  <c r="AB9" i="66" a="1"/>
  <c r="AB9" i="66" s="1"/>
  <c r="F23" i="26" s="1" a="1"/>
  <c r="F23" i="26" s="1"/>
  <c r="D23" i="26" s="1"/>
  <c r="AW9" i="66" a="1"/>
  <c r="AW9" i="66" s="1"/>
  <c r="F45" i="26" s="1" a="1"/>
  <c r="F45" i="26" s="1"/>
  <c r="D45" i="26" s="1"/>
  <c r="AJ9" i="66" a="1"/>
  <c r="AJ9" i="66" s="1"/>
  <c r="F31" i="26" s="1" a="1"/>
  <c r="F31" i="26" s="1"/>
  <c r="D31" i="26" s="1"/>
  <c r="AS9" i="66" a="1"/>
  <c r="AE9" i="66" a="1"/>
  <c r="AE9" i="66" s="1"/>
  <c r="F26" i="26" s="1" a="1"/>
  <c r="F26" i="26" s="1"/>
  <c r="D26" i="26" s="1"/>
  <c r="AF9" i="66" a="1"/>
  <c r="AF9" i="66" s="1"/>
  <c r="F27" i="26" s="1" a="1"/>
  <c r="F27" i="26" s="1"/>
  <c r="D27" i="26" s="1"/>
  <c r="AI9" i="66" a="1"/>
  <c r="AI9" i="66" s="1"/>
  <c r="F30" i="26" s="1" a="1"/>
  <c r="F30" i="26" s="1"/>
  <c r="D30" i="26" s="1"/>
  <c r="AD9" i="66" a="1"/>
  <c r="AD9" i="66" s="1"/>
  <c r="F25" i="26" s="1" a="1"/>
  <c r="F25" i="26" s="1"/>
  <c r="D25" i="26" s="1"/>
  <c r="AK9" i="66" a="1"/>
  <c r="AK9" i="66" s="1"/>
  <c r="AU9" i="66" a="1"/>
  <c r="AU9" i="66" s="1"/>
  <c r="F43" i="26" s="1" a="1"/>
  <c r="F43" i="26" s="1"/>
  <c r="D43" i="26" s="1"/>
  <c r="AP9" i="66" a="1"/>
  <c r="AP9" i="66" s="1"/>
  <c r="F38" i="26" s="1" a="1"/>
  <c r="F38" i="26" s="1"/>
  <c r="D38" i="26" s="1"/>
  <c r="AN9" i="66" a="1"/>
  <c r="AN9" i="66" s="1"/>
  <c r="F35" i="26" s="1" a="1"/>
  <c r="F35" i="26" s="1"/>
  <c r="D35" i="26" s="1"/>
  <c r="AA9" i="66" a="1"/>
  <c r="AA9" i="66" s="1"/>
  <c r="F22" i="26" s="1" a="1"/>
  <c r="F22" i="26" s="1"/>
  <c r="D22" i="26" s="1"/>
  <c r="AG9" i="66" a="1"/>
  <c r="AG9" i="66" s="1"/>
  <c r="F28" i="26" s="1" a="1"/>
  <c r="F28" i="26" s="1"/>
  <c r="D28" i="26" s="1"/>
  <c r="AM9" i="66" a="1"/>
  <c r="AM9" i="66" s="1"/>
  <c r="F34" i="26" s="1" a="1"/>
  <c r="F34" i="26" s="1"/>
  <c r="D34" i="26" s="1"/>
  <c r="AH9" i="66" a="1"/>
  <c r="AH9" i="66" s="1"/>
  <c r="F29" i="26" s="1" a="1"/>
  <c r="F29" i="26" s="1"/>
  <c r="D29" i="26" s="1"/>
  <c r="Z9" i="66" a="1"/>
  <c r="Z9" i="66" s="1"/>
  <c r="F21" i="26" s="1" a="1"/>
  <c r="F21" i="26" s="1"/>
  <c r="D21" i="26" s="1"/>
  <c r="AC9" i="66" a="1"/>
  <c r="AC9" i="66" s="1"/>
  <c r="F24" i="26" s="1" a="1"/>
  <c r="F24" i="26" s="1"/>
  <c r="D24" i="26" s="1"/>
  <c r="AV9" i="66" a="1"/>
  <c r="AV9" i="66" s="1"/>
  <c r="F44" i="26" s="1" a="1"/>
  <c r="F44" i="26" s="1"/>
  <c r="D44" i="26" s="1"/>
  <c r="Q9" i="56" a="1"/>
  <c r="Q9" i="56" s="1"/>
  <c r="U9" i="63" a="1"/>
  <c r="G9" i="63" a="1"/>
  <c r="G9" i="63" s="1"/>
  <c r="H9" i="63" a="1"/>
  <c r="H9" i="63" s="1"/>
  <c r="AW30" i="42"/>
  <c r="AZ30" i="42"/>
  <c r="BA31" i="42"/>
  <c r="AZ31" i="42"/>
  <c r="AW31" i="42"/>
  <c r="AV31" i="42"/>
  <c r="AV30" i="42"/>
  <c r="D11" i="57" a="1"/>
  <c r="D11" i="57" s="1"/>
  <c r="E9" i="42" a="1"/>
  <c r="E9" i="42" s="1"/>
  <c r="E10" i="42" a="1"/>
  <c r="E10" i="42" s="1"/>
  <c r="D27" i="50"/>
  <c r="G16" i="51" s="1"/>
  <c r="E12" i="42" a="1"/>
  <c r="E12" i="42" s="1"/>
  <c r="E11" i="42" a="1"/>
  <c r="E11" i="42" s="1"/>
  <c r="E13" i="42" a="1"/>
  <c r="E13" i="42" s="1"/>
  <c r="X85" i="42"/>
  <c r="AG18" i="7"/>
  <c r="AG20" i="7"/>
  <c r="AG16" i="7"/>
  <c r="AG21" i="7"/>
  <c r="AG17" i="7"/>
  <c r="AG19" i="7"/>
  <c r="AG15" i="7"/>
  <c r="Y8" i="7" a="1"/>
  <c r="K19" i="13"/>
  <c r="Z73" i="42"/>
  <c r="AA73" i="42"/>
  <c r="Z69" i="42"/>
  <c r="AA69" i="42"/>
  <c r="Z65" i="42"/>
  <c r="AA65" i="42"/>
  <c r="Z61" i="42"/>
  <c r="AA61" i="42"/>
  <c r="Z57" i="42"/>
  <c r="AA57" i="42"/>
  <c r="Z72" i="42"/>
  <c r="AA72" i="42"/>
  <c r="Z60" i="42"/>
  <c r="AA60" i="42"/>
  <c r="Z68" i="42"/>
  <c r="AA68" i="42"/>
  <c r="Z59" i="42"/>
  <c r="AA59" i="42"/>
  <c r="Z64" i="42"/>
  <c r="AA64" i="42"/>
  <c r="Z56" i="42"/>
  <c r="AA56" i="42"/>
  <c r="Z71" i="42"/>
  <c r="AA71" i="42"/>
  <c r="Z67" i="42"/>
  <c r="AA67" i="42"/>
  <c r="Z63" i="42"/>
  <c r="AA63" i="42"/>
  <c r="Z55" i="42"/>
  <c r="AA55" i="42"/>
  <c r="Z70" i="42"/>
  <c r="AA70" i="42"/>
  <c r="Z66" i="42"/>
  <c r="AA66" i="42"/>
  <c r="Z62" i="42"/>
  <c r="AA62" i="42"/>
  <c r="Z54" i="42"/>
  <c r="AA54" i="42"/>
  <c r="Z45" i="42"/>
  <c r="AA45" i="42"/>
  <c r="Z44" i="42"/>
  <c r="AA44" i="42"/>
  <c r="Z38" i="42"/>
  <c r="AA38" i="42"/>
  <c r="AA37" i="42"/>
  <c r="AB37" i="42" s="1"/>
  <c r="AE37" i="42" s="1"/>
  <c r="Z36" i="42"/>
  <c r="AA36" i="42"/>
  <c r="Z40" i="42"/>
  <c r="AA40" i="42"/>
  <c r="AA41" i="42"/>
  <c r="AB41" i="42" s="1"/>
  <c r="AE41" i="42" s="1"/>
  <c r="AA39" i="42"/>
  <c r="AB39" i="42" s="1"/>
  <c r="AE39" i="42" s="1"/>
  <c r="Z32" i="42"/>
  <c r="AA32" i="42"/>
  <c r="AA43" i="42"/>
  <c r="Z42" i="42"/>
  <c r="AB42" i="42" s="1"/>
  <c r="AE42" i="42" s="1"/>
  <c r="AA35" i="42"/>
  <c r="Z34" i="42"/>
  <c r="AB34" i="42" s="1"/>
  <c r="AE34" i="42" s="1"/>
  <c r="Z43" i="42"/>
  <c r="Z35" i="42"/>
  <c r="J15" i="42"/>
  <c r="K8" i="60" s="1"/>
  <c r="I15" i="42"/>
  <c r="J8" i="60" s="1"/>
  <c r="K15" i="42"/>
  <c r="L8" i="60" s="1"/>
  <c r="L15" i="42"/>
  <c r="M8" i="60" s="1"/>
  <c r="M15" i="42"/>
  <c r="N8" i="60" s="1"/>
  <c r="N15" i="42"/>
  <c r="A10" i="34"/>
  <c r="H33" i="31" a="1"/>
  <c r="H33" i="31" s="1"/>
  <c r="F37" i="26" l="1" a="1"/>
  <c r="F37" i="26" s="1"/>
  <c r="D37" i="26" s="1"/>
  <c r="F32" i="26" a="1"/>
  <c r="F32" i="26" s="1"/>
  <c r="D32" i="26" s="1"/>
  <c r="B154" i="66"/>
  <c r="B158" i="66"/>
  <c r="B162" i="66"/>
  <c r="B166" i="66"/>
  <c r="B157" i="66"/>
  <c r="B165" i="66"/>
  <c r="B155" i="66"/>
  <c r="B159" i="66"/>
  <c r="B163" i="66"/>
  <c r="B167" i="66"/>
  <c r="B152" i="66"/>
  <c r="B156" i="66"/>
  <c r="B160" i="66"/>
  <c r="B164" i="66"/>
  <c r="B168" i="66"/>
  <c r="B153" i="66"/>
  <c r="B161" i="66"/>
  <c r="B119" i="66"/>
  <c r="B123" i="66"/>
  <c r="B127" i="66"/>
  <c r="B131" i="66"/>
  <c r="B135" i="66"/>
  <c r="B139" i="66"/>
  <c r="B143" i="66"/>
  <c r="B147" i="66"/>
  <c r="B151" i="66"/>
  <c r="B120" i="66"/>
  <c r="B124" i="66"/>
  <c r="B128" i="66"/>
  <c r="B132" i="66"/>
  <c r="B136" i="66"/>
  <c r="B140" i="66"/>
  <c r="B144" i="66"/>
  <c r="B148" i="66"/>
  <c r="B122" i="66"/>
  <c r="B130" i="66"/>
  <c r="B138" i="66"/>
  <c r="B146" i="66"/>
  <c r="B117" i="66"/>
  <c r="B121" i="66"/>
  <c r="B125" i="66"/>
  <c r="B129" i="66"/>
  <c r="B133" i="66"/>
  <c r="B137" i="66"/>
  <c r="B141" i="66"/>
  <c r="B145" i="66"/>
  <c r="B149" i="66"/>
  <c r="B118" i="66"/>
  <c r="B126" i="66"/>
  <c r="B134" i="66"/>
  <c r="B142" i="66"/>
  <c r="B150" i="66"/>
  <c r="B108" i="66"/>
  <c r="B112" i="66"/>
  <c r="B116" i="66"/>
  <c r="B107" i="66"/>
  <c r="B115" i="66"/>
  <c r="B105" i="66"/>
  <c r="B109" i="66"/>
  <c r="B113" i="66"/>
  <c r="B111" i="66"/>
  <c r="B106" i="66"/>
  <c r="B110" i="66"/>
  <c r="B114" i="66"/>
  <c r="AS9" i="66"/>
  <c r="E9" i="66"/>
  <c r="AV7" i="66"/>
  <c r="AV369" i="66"/>
  <c r="AI369" i="66"/>
  <c r="AI7" i="66"/>
  <c r="AT7" i="66"/>
  <c r="AT369" i="66"/>
  <c r="AA7" i="66"/>
  <c r="AA369" i="66"/>
  <c r="AK7" i="66"/>
  <c r="AK369" i="66"/>
  <c r="AL369" i="66"/>
  <c r="AL7" i="66"/>
  <c r="AM369" i="66"/>
  <c r="AM7" i="66"/>
  <c r="AP7" i="66"/>
  <c r="AP369" i="66"/>
  <c r="AJ7" i="66"/>
  <c r="AJ369" i="66"/>
  <c r="D9" i="66"/>
  <c r="B26" i="66"/>
  <c r="B47" i="66"/>
  <c r="B68" i="66"/>
  <c r="B90" i="66"/>
  <c r="B10" i="66"/>
  <c r="B31" i="66"/>
  <c r="B52" i="66"/>
  <c r="B74" i="66"/>
  <c r="B95" i="66"/>
  <c r="B20" i="66"/>
  <c r="B42" i="66"/>
  <c r="B84" i="66"/>
  <c r="B15" i="66"/>
  <c r="B36" i="66"/>
  <c r="B58" i="66"/>
  <c r="B79" i="66"/>
  <c r="B100" i="66"/>
  <c r="B63" i="66"/>
  <c r="B94" i="66"/>
  <c r="B72" i="66"/>
  <c r="B51" i="66"/>
  <c r="B30" i="66"/>
  <c r="B87" i="66"/>
  <c r="B66" i="66"/>
  <c r="B44" i="66"/>
  <c r="B23" i="66"/>
  <c r="B102" i="66"/>
  <c r="B80" i="66"/>
  <c r="B59" i="66"/>
  <c r="B38" i="66"/>
  <c r="B16" i="66"/>
  <c r="B21" i="66"/>
  <c r="B37" i="66"/>
  <c r="B53" i="66"/>
  <c r="B69" i="66"/>
  <c r="B85" i="66"/>
  <c r="B101" i="66"/>
  <c r="B88" i="66"/>
  <c r="B67" i="66"/>
  <c r="B46" i="66"/>
  <c r="B24" i="66"/>
  <c r="B103" i="66"/>
  <c r="B82" i="66"/>
  <c r="B60" i="66"/>
  <c r="B39" i="66"/>
  <c r="B18" i="66"/>
  <c r="B96" i="66"/>
  <c r="B75" i="66"/>
  <c r="B54" i="66"/>
  <c r="B32" i="66"/>
  <c r="B11" i="66"/>
  <c r="B25" i="66"/>
  <c r="B41" i="66"/>
  <c r="B57" i="66"/>
  <c r="B73" i="66"/>
  <c r="B89" i="66"/>
  <c r="B104" i="66"/>
  <c r="B83" i="66"/>
  <c r="B62" i="66"/>
  <c r="B40" i="66"/>
  <c r="B19" i="66"/>
  <c r="B98" i="66"/>
  <c r="B76" i="66"/>
  <c r="B55" i="66"/>
  <c r="B34" i="66"/>
  <c r="B12" i="66"/>
  <c r="B91" i="66"/>
  <c r="B70" i="66"/>
  <c r="B48" i="66"/>
  <c r="B27" i="66"/>
  <c r="B13" i="66"/>
  <c r="B29" i="66"/>
  <c r="B45" i="66"/>
  <c r="B61" i="66"/>
  <c r="B77" i="66"/>
  <c r="B93" i="66"/>
  <c r="B99" i="66"/>
  <c r="B78" i="66"/>
  <c r="B56" i="66"/>
  <c r="B35" i="66"/>
  <c r="B14" i="66"/>
  <c r="B92" i="66"/>
  <c r="B71" i="66"/>
  <c r="B50" i="66"/>
  <c r="B28" i="66"/>
  <c r="B43" i="66"/>
  <c r="B49" i="66"/>
  <c r="B22" i="66"/>
  <c r="B65" i="66"/>
  <c r="B86" i="66"/>
  <c r="B17" i="66"/>
  <c r="B81" i="66"/>
  <c r="B64" i="66"/>
  <c r="B33" i="66"/>
  <c r="B97" i="66"/>
  <c r="AC369" i="66"/>
  <c r="AC7" i="66"/>
  <c r="AG7" i="66"/>
  <c r="AG369" i="66"/>
  <c r="AU7" i="66"/>
  <c r="AU369" i="66"/>
  <c r="AF7" i="66"/>
  <c r="AF369" i="66"/>
  <c r="AW369" i="66"/>
  <c r="AW7" i="66"/>
  <c r="AO7" i="66"/>
  <c r="AO369" i="66"/>
  <c r="AQ376" i="66" a="1"/>
  <c r="AQ376" i="66" s="1"/>
  <c r="AQ373" i="66" s="1"/>
  <c r="Z376" i="66" a="1"/>
  <c r="Z376" i="66" s="1"/>
  <c r="Z373" i="66" s="1"/>
  <c r="AP376" i="66" a="1"/>
  <c r="AP376" i="66" s="1"/>
  <c r="AP373" i="66" s="1"/>
  <c r="AH376" i="66" a="1"/>
  <c r="AH376" i="66" s="1"/>
  <c r="AH373" i="66" s="1"/>
  <c r="AU376" i="66" a="1"/>
  <c r="AU376" i="66" s="1"/>
  <c r="AU373" i="66" s="1"/>
  <c r="AW376" i="66" a="1"/>
  <c r="AW376" i="66" s="1"/>
  <c r="AW373" i="66" s="1"/>
  <c r="AG376" i="66" a="1"/>
  <c r="AG376" i="66" s="1"/>
  <c r="AG373" i="66" s="1"/>
  <c r="AC376" i="66" a="1"/>
  <c r="AC376" i="66" s="1"/>
  <c r="AC373" i="66" s="1"/>
  <c r="AJ376" i="66" a="1"/>
  <c r="AJ376" i="66" s="1"/>
  <c r="AJ373" i="66" s="1"/>
  <c r="AE376" i="66" a="1"/>
  <c r="AE376" i="66" s="1"/>
  <c r="AE373" i="66" s="1"/>
  <c r="AO376" i="66" a="1"/>
  <c r="AO376" i="66" s="1"/>
  <c r="AO373" i="66" s="1"/>
  <c r="AI376" i="66" a="1"/>
  <c r="AI376" i="66" s="1"/>
  <c r="AI373" i="66" s="1"/>
  <c r="AT376" i="66" a="1"/>
  <c r="AT376" i="66" s="1"/>
  <c r="AT373" i="66" s="1"/>
  <c r="AF376" i="66" a="1"/>
  <c r="AF376" i="66" s="1"/>
  <c r="AF373" i="66" s="1"/>
  <c r="AM376" i="66" a="1"/>
  <c r="AM376" i="66" s="1"/>
  <c r="AM373" i="66" s="1"/>
  <c r="AB376" i="66" a="1"/>
  <c r="AB376" i="66" s="1"/>
  <c r="AB373" i="66" s="1"/>
  <c r="AL376" i="66" a="1"/>
  <c r="AL376" i="66" s="1"/>
  <c r="AL373" i="66" s="1"/>
  <c r="AV376" i="66" a="1"/>
  <c r="AV376" i="66" s="1"/>
  <c r="AV373" i="66" s="1"/>
  <c r="AN376" i="66" a="1"/>
  <c r="AN376" i="66" s="1"/>
  <c r="AN373" i="66" s="1"/>
  <c r="AA376" i="66" a="1"/>
  <c r="AA376" i="66" s="1"/>
  <c r="AA373" i="66" s="1"/>
  <c r="AK376" i="66" a="1"/>
  <c r="AK376" i="66" s="1"/>
  <c r="AK373" i="66" s="1"/>
  <c r="AR376" i="66" a="1"/>
  <c r="AR376" i="66" s="1"/>
  <c r="AR373" i="66" s="1"/>
  <c r="AD376" i="66" a="1"/>
  <c r="AD376" i="66" s="1"/>
  <c r="AD373" i="66" s="1"/>
  <c r="Z7" i="66"/>
  <c r="Z374" i="66" s="1"/>
  <c r="Z369" i="66"/>
  <c r="AE7" i="66"/>
  <c r="AE369" i="66"/>
  <c r="AB369" i="66"/>
  <c r="AB7" i="66"/>
  <c r="AH369" i="66"/>
  <c r="AH7" i="66"/>
  <c r="AN7" i="66"/>
  <c r="AN369" i="66"/>
  <c r="AD7" i="66"/>
  <c r="AD369" i="66"/>
  <c r="AR7" i="66"/>
  <c r="AR369" i="66"/>
  <c r="AQ7" i="66"/>
  <c r="AQ369" i="66"/>
  <c r="C54" i="21" a="1"/>
  <c r="C54" i="21" s="1"/>
  <c r="U9" i="63"/>
  <c r="AM47" i="31" a="1"/>
  <c r="AM47" i="31" s="1"/>
  <c r="AM48" i="31" a="1"/>
  <c r="AM48" i="31" s="1"/>
  <c r="I18" i="29"/>
  <c r="I19" i="29"/>
  <c r="I20" i="29"/>
  <c r="I9" i="29"/>
  <c r="I8" i="29"/>
  <c r="I10" i="29"/>
  <c r="I11" i="29"/>
  <c r="I12" i="29"/>
  <c r="I13" i="29"/>
  <c r="I17" i="29"/>
  <c r="I14" i="29"/>
  <c r="I15" i="29"/>
  <c r="I16" i="29"/>
  <c r="R9" i="13" a="1"/>
  <c r="R9" i="13" s="1"/>
  <c r="S9" i="13" a="1"/>
  <c r="S9" i="13" s="1"/>
  <c r="Q9" i="13" a="1"/>
  <c r="Q9" i="13" s="1"/>
  <c r="D16" i="57" a="1"/>
  <c r="D16" i="57" s="1"/>
  <c r="E411" i="56" a="1"/>
  <c r="E411" i="56" s="1"/>
  <c r="F48" i="56" a="1"/>
  <c r="E48" i="56" a="1"/>
  <c r="D48" i="56" a="1"/>
  <c r="I1" i="55" a="1"/>
  <c r="P9" i="13" a="1"/>
  <c r="P9" i="13" s="1"/>
  <c r="A9" i="63" s="1" a="1"/>
  <c r="A9" i="63" s="1"/>
  <c r="O9" i="13" a="1"/>
  <c r="O9" i="13" s="1"/>
  <c r="U9" i="13" a="1"/>
  <c r="U9" i="13" s="1"/>
  <c r="E376" i="66" s="1" a="1"/>
  <c r="E376" i="66" s="1"/>
  <c r="T9" i="13" a="1"/>
  <c r="T9" i="13" s="1"/>
  <c r="AD8" i="7" a="1"/>
  <c r="AD8" i="7" s="1"/>
  <c r="AD22" i="7" s="1"/>
  <c r="AF8" i="7" a="1"/>
  <c r="AD42" i="42"/>
  <c r="AC42" i="42"/>
  <c r="AD37" i="42"/>
  <c r="AC37" i="42"/>
  <c r="AD34" i="42"/>
  <c r="AC34" i="42"/>
  <c r="AC41" i="42"/>
  <c r="AD41" i="42"/>
  <c r="AC39" i="42"/>
  <c r="AD39" i="42"/>
  <c r="AC22" i="7"/>
  <c r="Y8" i="7"/>
  <c r="AB9" i="65" s="1" a="1"/>
  <c r="W22" i="7"/>
  <c r="V22" i="7"/>
  <c r="AB40" i="42"/>
  <c r="AE40" i="42" s="1"/>
  <c r="AB66" i="42"/>
  <c r="AE66" i="42" s="1"/>
  <c r="AB56" i="42"/>
  <c r="AE56" i="42" s="1"/>
  <c r="AB65" i="42"/>
  <c r="AE65" i="42" s="1"/>
  <c r="AB32" i="42"/>
  <c r="AB71" i="42"/>
  <c r="AE71" i="42" s="1"/>
  <c r="AB62" i="42"/>
  <c r="AE62" i="42" s="1"/>
  <c r="AB64" i="42"/>
  <c r="AE64" i="42" s="1"/>
  <c r="AB72" i="42"/>
  <c r="AE72" i="42" s="1"/>
  <c r="AB69" i="42"/>
  <c r="AE69" i="42" s="1"/>
  <c r="AB67" i="42"/>
  <c r="AE67" i="42" s="1"/>
  <c r="AB59" i="42"/>
  <c r="AE59" i="42" s="1"/>
  <c r="AB35" i="42"/>
  <c r="AE35" i="42" s="1"/>
  <c r="AB54" i="42"/>
  <c r="AE54" i="42" s="1"/>
  <c r="AB44" i="42"/>
  <c r="AE44" i="42" s="1"/>
  <c r="AB60" i="42"/>
  <c r="AE60" i="42" s="1"/>
  <c r="AB43" i="42"/>
  <c r="AE43" i="42" s="1"/>
  <c r="AB63" i="42"/>
  <c r="AE63" i="42" s="1"/>
  <c r="AB70" i="42"/>
  <c r="AE70" i="42" s="1"/>
  <c r="AB73" i="42"/>
  <c r="AE73" i="42" s="1"/>
  <c r="AB68" i="42"/>
  <c r="AE68" i="42" s="1"/>
  <c r="AB55" i="42"/>
  <c r="AE55" i="42" s="1"/>
  <c r="AB61" i="42"/>
  <c r="AE61" i="42" s="1"/>
  <c r="AB36" i="42"/>
  <c r="AE36" i="42" s="1"/>
  <c r="AB57" i="42"/>
  <c r="AE57" i="42" s="1"/>
  <c r="AB45" i="42"/>
  <c r="AE45" i="42" s="1"/>
  <c r="AB38" i="42"/>
  <c r="AE38" i="42" s="1"/>
  <c r="G60" i="31"/>
  <c r="G59" i="31"/>
  <c r="AX9" i="66" l="1" a="1"/>
  <c r="AX9" i="66" s="1"/>
  <c r="F46" i="26" s="1" a="1"/>
  <c r="F46" i="26" s="1"/>
  <c r="D46" i="26" s="1"/>
  <c r="F41" i="26" a="1"/>
  <c r="F41" i="26" s="1"/>
  <c r="D41" i="26" s="1"/>
  <c r="AS369" i="66"/>
  <c r="AS376" i="66" a="1"/>
  <c r="AS376" i="66" s="1"/>
  <c r="AS373" i="66" s="1"/>
  <c r="AS7" i="66"/>
  <c r="U9" i="66" a="1"/>
  <c r="U9" i="66" s="1"/>
  <c r="O9" i="66" a="1"/>
  <c r="O9" i="66" s="1"/>
  <c r="G9" i="66" a="1"/>
  <c r="G9" i="66" s="1"/>
  <c r="V9" i="66" a="1"/>
  <c r="V9" i="66" s="1"/>
  <c r="Q9" i="66" a="1"/>
  <c r="Q9" i="66" s="1"/>
  <c r="S9" i="66" a="1"/>
  <c r="S9" i="66" s="1"/>
  <c r="BG9" i="66" a="1"/>
  <c r="BG9" i="66" s="1"/>
  <c r="F55" i="26" s="1" a="1"/>
  <c r="F55" i="26" s="1"/>
  <c r="P9" i="66" a="1"/>
  <c r="P9" i="66" s="1"/>
  <c r="B9" i="66"/>
  <c r="BH9" i="66" a="1"/>
  <c r="BH9" i="66" s="1"/>
  <c r="F56" i="26" s="1" a="1"/>
  <c r="F56" i="26" s="1"/>
  <c r="D56" i="26" s="1"/>
  <c r="BF9" i="66" a="1"/>
  <c r="R9" i="66" a="1"/>
  <c r="R9" i="66" s="1"/>
  <c r="W9" i="66" a="1"/>
  <c r="W9" i="66" s="1"/>
  <c r="BI9" i="66" a="1"/>
  <c r="BI9" i="66" s="1"/>
  <c r="T9" i="66" a="1"/>
  <c r="T9" i="66" s="1"/>
  <c r="H9" i="66" a="1"/>
  <c r="H9" i="66" s="1"/>
  <c r="F12" i="26" s="1" a="1"/>
  <c r="F12" i="26" s="1"/>
  <c r="D12" i="26" s="1"/>
  <c r="I9" i="66" a="1"/>
  <c r="I9" i="66" s="1"/>
  <c r="F13" i="26" s="1" a="1"/>
  <c r="F13" i="26" s="1"/>
  <c r="D13" i="26" s="1"/>
  <c r="AE32" i="42"/>
  <c r="AB9" i="65"/>
  <c r="Q8" i="56" a="1"/>
  <c r="Q8" i="56" s="1"/>
  <c r="V9" i="63" a="1"/>
  <c r="V9" i="63" s="1"/>
  <c r="FW8" i="55"/>
  <c r="FO8" i="55"/>
  <c r="FG8" i="55"/>
  <c r="FU7" i="55"/>
  <c r="FN8" i="55"/>
  <c r="FF8" i="55"/>
  <c r="FI7" i="55"/>
  <c r="FU8" i="55"/>
  <c r="FM8" i="55"/>
  <c r="FT8" i="55"/>
  <c r="FD8" i="55"/>
  <c r="FK8" i="55"/>
  <c r="FV8" i="55"/>
  <c r="FE8" i="55"/>
  <c r="FL8" i="55"/>
  <c r="FS8" i="55"/>
  <c r="FC8" i="55"/>
  <c r="FR8" i="55"/>
  <c r="FJ8" i="55"/>
  <c r="FB8" i="55"/>
  <c r="FY8" i="55"/>
  <c r="FQ8" i="55"/>
  <c r="FI8" i="55"/>
  <c r="FX8" i="55"/>
  <c r="FP8" i="55"/>
  <c r="FH8" i="55"/>
  <c r="A215" i="56"/>
  <c r="A207" i="56"/>
  <c r="A199" i="56"/>
  <c r="A214" i="56"/>
  <c r="A206" i="56"/>
  <c r="A198" i="56"/>
  <c r="A218" i="56"/>
  <c r="A210" i="56"/>
  <c r="A202" i="56"/>
  <c r="A217" i="56"/>
  <c r="A209" i="56"/>
  <c r="A201" i="56"/>
  <c r="A208" i="56"/>
  <c r="A213" i="56"/>
  <c r="A205" i="56"/>
  <c r="A197" i="56"/>
  <c r="A220" i="56"/>
  <c r="A212" i="56"/>
  <c r="A204" i="56"/>
  <c r="A219" i="56"/>
  <c r="A211" i="56"/>
  <c r="A203" i="56"/>
  <c r="A216" i="56"/>
  <c r="A200" i="56"/>
  <c r="EY8" i="55"/>
  <c r="EW7" i="55"/>
  <c r="EX8" i="55"/>
  <c r="EW8" i="55"/>
  <c r="EV8" i="55"/>
  <c r="FA8" i="55"/>
  <c r="EZ8" i="55"/>
  <c r="A195" i="56"/>
  <c r="A194" i="56"/>
  <c r="A192" i="56"/>
  <c r="A191" i="56"/>
  <c r="A196" i="56"/>
  <c r="A193" i="56"/>
  <c r="EU8" i="55"/>
  <c r="ET8" i="55"/>
  <c r="ES8" i="55"/>
  <c r="ER8" i="55"/>
  <c r="A189" i="56"/>
  <c r="A187" i="56"/>
  <c r="A190" i="56"/>
  <c r="A188" i="56"/>
  <c r="X8" i="29" a="1"/>
  <c r="EP8" i="55"/>
  <c r="EL8" i="55"/>
  <c r="EO8" i="55"/>
  <c r="EN8" i="55"/>
  <c r="EQ8" i="55"/>
  <c r="EM8" i="55"/>
  <c r="A184" i="56"/>
  <c r="A183" i="56"/>
  <c r="A186" i="56"/>
  <c r="A182" i="56"/>
  <c r="A185" i="56"/>
  <c r="A181" i="56"/>
  <c r="EH8" i="55"/>
  <c r="ED8" i="55"/>
  <c r="DZ8" i="55"/>
  <c r="EJ8" i="55"/>
  <c r="EB8" i="55"/>
  <c r="EI8" i="55"/>
  <c r="EA8" i="55"/>
  <c r="EK8" i="55"/>
  <c r="EG8" i="55"/>
  <c r="EC8" i="55"/>
  <c r="EF8" i="55"/>
  <c r="EK7" i="55"/>
  <c r="EE8" i="55"/>
  <c r="A178" i="56"/>
  <c r="A174" i="56"/>
  <c r="A170" i="56"/>
  <c r="A166" i="56"/>
  <c r="A162" i="56"/>
  <c r="A158" i="56"/>
  <c r="A164" i="56"/>
  <c r="A156" i="56"/>
  <c r="A171" i="56"/>
  <c r="A177" i="56"/>
  <c r="A173" i="56"/>
  <c r="A169" i="56"/>
  <c r="A165" i="56"/>
  <c r="A161" i="56"/>
  <c r="A157" i="56"/>
  <c r="A175" i="56"/>
  <c r="A159" i="56"/>
  <c r="A180" i="56"/>
  <c r="A176" i="56"/>
  <c r="A172" i="56"/>
  <c r="A168" i="56"/>
  <c r="A160" i="56"/>
  <c r="A179" i="56"/>
  <c r="A167" i="56"/>
  <c r="A163" i="56"/>
  <c r="D48" i="56"/>
  <c r="A48" i="56" s="1"/>
  <c r="A152" i="56"/>
  <c r="A136" i="56"/>
  <c r="A104" i="56"/>
  <c r="A88" i="56"/>
  <c r="A56" i="56"/>
  <c r="A151" i="56"/>
  <c r="A135" i="56"/>
  <c r="A119" i="56"/>
  <c r="A103" i="56"/>
  <c r="A87" i="56"/>
  <c r="A71" i="56"/>
  <c r="A55" i="56"/>
  <c r="A150" i="56"/>
  <c r="A134" i="56"/>
  <c r="A118" i="56"/>
  <c r="A102" i="56"/>
  <c r="A86" i="56"/>
  <c r="A70" i="56"/>
  <c r="A54" i="56"/>
  <c r="A140" i="56"/>
  <c r="A60" i="56"/>
  <c r="A139" i="56"/>
  <c r="A59" i="56"/>
  <c r="A149" i="56"/>
  <c r="A133" i="56"/>
  <c r="A117" i="56"/>
  <c r="A101" i="56"/>
  <c r="A85" i="56"/>
  <c r="A69" i="56"/>
  <c r="A53" i="56"/>
  <c r="A63" i="56"/>
  <c r="A108" i="56"/>
  <c r="A148" i="56"/>
  <c r="A132" i="56"/>
  <c r="A116" i="56"/>
  <c r="A100" i="56"/>
  <c r="A84" i="56"/>
  <c r="A68" i="56"/>
  <c r="A52" i="56"/>
  <c r="A95" i="56"/>
  <c r="A155" i="56"/>
  <c r="A75" i="56"/>
  <c r="A147" i="56"/>
  <c r="A131" i="56"/>
  <c r="A115" i="56"/>
  <c r="A99" i="56"/>
  <c r="A83" i="56"/>
  <c r="A67" i="56"/>
  <c r="A51" i="56"/>
  <c r="A111" i="56"/>
  <c r="A146" i="56"/>
  <c r="A130" i="56"/>
  <c r="A114" i="56"/>
  <c r="A98" i="56"/>
  <c r="A82" i="56"/>
  <c r="A66" i="56"/>
  <c r="A50" i="56"/>
  <c r="A127" i="56"/>
  <c r="A92" i="56"/>
  <c r="A91" i="56"/>
  <c r="A145" i="56"/>
  <c r="A129" i="56"/>
  <c r="A113" i="56"/>
  <c r="A97" i="56"/>
  <c r="A81" i="56"/>
  <c r="A65" i="56"/>
  <c r="A49" i="56"/>
  <c r="A79" i="56"/>
  <c r="A76" i="56"/>
  <c r="A107" i="56"/>
  <c r="A144" i="56"/>
  <c r="A128" i="56"/>
  <c r="A112" i="56"/>
  <c r="A96" i="56"/>
  <c r="A80" i="56"/>
  <c r="A64" i="56"/>
  <c r="A143" i="56"/>
  <c r="A124" i="56"/>
  <c r="A123" i="56"/>
  <c r="A142" i="56"/>
  <c r="A126" i="56"/>
  <c r="A110" i="56"/>
  <c r="A94" i="56"/>
  <c r="A78" i="56"/>
  <c r="A62" i="56"/>
  <c r="A141" i="56"/>
  <c r="A125" i="56"/>
  <c r="A109" i="56"/>
  <c r="A93" i="56"/>
  <c r="A77" i="56"/>
  <c r="A61" i="56"/>
  <c r="A154" i="56"/>
  <c r="A138" i="56"/>
  <c r="A122" i="56"/>
  <c r="A106" i="56"/>
  <c r="A90" i="56"/>
  <c r="A74" i="56"/>
  <c r="A58" i="56"/>
  <c r="A153" i="56"/>
  <c r="A137" i="56"/>
  <c r="A121" i="56"/>
  <c r="A105" i="56"/>
  <c r="A89" i="56"/>
  <c r="A73" i="56"/>
  <c r="A57" i="56"/>
  <c r="A120" i="56"/>
  <c r="A72" i="56"/>
  <c r="DX8" i="55"/>
  <c r="DY7" i="55"/>
  <c r="DY8" i="55"/>
  <c r="E48" i="56"/>
  <c r="DW8" i="55"/>
  <c r="DV8" i="55"/>
  <c r="DU8" i="55"/>
  <c r="DT8" i="55"/>
  <c r="F411" i="56" a="1"/>
  <c r="F411" i="56" s="1"/>
  <c r="D411" i="56" a="1"/>
  <c r="BR440" i="56"/>
  <c r="BB440" i="56"/>
  <c r="BM440" i="56"/>
  <c r="AZ440" i="56"/>
  <c r="BJ440" i="56"/>
  <c r="AV440" i="56"/>
  <c r="AY440" i="56"/>
  <c r="F48" i="56"/>
  <c r="AW440" i="56"/>
  <c r="CA440" i="56"/>
  <c r="BT440" i="56"/>
  <c r="CD440" i="56"/>
  <c r="CB440" i="56"/>
  <c r="BP440" i="56"/>
  <c r="BO440" i="56"/>
  <c r="BS440" i="56"/>
  <c r="BQ440" i="56"/>
  <c r="BZ440" i="56"/>
  <c r="BC440" i="56"/>
  <c r="BK440" i="56"/>
  <c r="BI440" i="56"/>
  <c r="BY440" i="56"/>
  <c r="BN440" i="56"/>
  <c r="AX440" i="56"/>
  <c r="BG440" i="56"/>
  <c r="BX440" i="56"/>
  <c r="BL440" i="56"/>
  <c r="CC440" i="56"/>
  <c r="BE440" i="56"/>
  <c r="BU440" i="56"/>
  <c r="BF440" i="56"/>
  <c r="I1" i="55"/>
  <c r="I8" i="55" s="1"/>
  <c r="CL8" i="55"/>
  <c r="DK8" i="55"/>
  <c r="CA8" i="55"/>
  <c r="BK8" i="55"/>
  <c r="AM8" i="55"/>
  <c r="O8" i="55"/>
  <c r="DF8" i="55"/>
  <c r="CH8" i="55"/>
  <c r="AG7" i="55"/>
  <c r="AT8" i="55"/>
  <c r="X8" i="55"/>
  <c r="CB8" i="55"/>
  <c r="AB8" i="55"/>
  <c r="CF8" i="55"/>
  <c r="AC8" i="55"/>
  <c r="CG8" i="55"/>
  <c r="DN8" i="55"/>
  <c r="CM8" i="55"/>
  <c r="CO7" i="55"/>
  <c r="AY8" i="55"/>
  <c r="AA8" i="55"/>
  <c r="DS8" i="55"/>
  <c r="CT8" i="55"/>
  <c r="BV8" i="55"/>
  <c r="BF8" i="55"/>
  <c r="AF8" i="55"/>
  <c r="AJ8" i="55"/>
  <c r="CN8" i="55"/>
  <c r="AK8" i="55"/>
  <c r="CO8" i="55"/>
  <c r="BG8" i="55"/>
  <c r="J8" i="55"/>
  <c r="DA8" i="55"/>
  <c r="CC8" i="55"/>
  <c r="BM8" i="55"/>
  <c r="AO8" i="55"/>
  <c r="Q8" i="55"/>
  <c r="DG8" i="55"/>
  <c r="CI8" i="55"/>
  <c r="AS7" i="55"/>
  <c r="CR8" i="55"/>
  <c r="AR8" i="55"/>
  <c r="CW8" i="55"/>
  <c r="W8" i="55"/>
  <c r="CP8" i="55"/>
  <c r="AD8" i="55"/>
  <c r="CU8" i="55"/>
  <c r="AV8" i="55"/>
  <c r="DD8" i="55"/>
  <c r="AH8" i="55"/>
  <c r="DB8" i="55"/>
  <c r="BN8" i="55"/>
  <c r="DI8" i="55"/>
  <c r="BH8" i="55"/>
  <c r="BI8" i="55"/>
  <c r="AU8" i="55"/>
  <c r="BS8" i="55"/>
  <c r="AE8" i="55"/>
  <c r="CX8" i="55"/>
  <c r="DM8" i="55"/>
  <c r="AL8" i="55"/>
  <c r="CE8" i="55"/>
  <c r="AQ8" i="55"/>
  <c r="BE7" i="55"/>
  <c r="M8" i="55"/>
  <c r="CC7" i="55"/>
  <c r="DR8" i="55"/>
  <c r="BE8" i="55"/>
  <c r="P8" i="55"/>
  <c r="BX8" i="55"/>
  <c r="U8" i="55"/>
  <c r="BZ8" i="55"/>
  <c r="CJ8" i="55"/>
  <c r="AN8" i="55"/>
  <c r="AS8" i="55"/>
  <c r="BQ7" i="55"/>
  <c r="DO8" i="55"/>
  <c r="BB8" i="55"/>
  <c r="BW8" i="55"/>
  <c r="AZ8" i="55"/>
  <c r="DE8" i="55"/>
  <c r="K8" i="55"/>
  <c r="R8" i="55"/>
  <c r="DH8" i="55"/>
  <c r="DM7" i="55"/>
  <c r="DQ8" i="55"/>
  <c r="DP8" i="55"/>
  <c r="BJ8" i="55"/>
  <c r="DC8" i="55"/>
  <c r="S8" i="55"/>
  <c r="DA7" i="55"/>
  <c r="Z8" i="55"/>
  <c r="BU8" i="55"/>
  <c r="BT8" i="55"/>
  <c r="CV8" i="55"/>
  <c r="BR8" i="55"/>
  <c r="CZ8" i="55"/>
  <c r="BA8" i="55"/>
  <c r="AI8" i="55"/>
  <c r="CD8" i="55"/>
  <c r="AP8" i="55"/>
  <c r="CK8" i="55"/>
  <c r="BD8" i="55"/>
  <c r="DL8" i="55"/>
  <c r="AW8" i="55"/>
  <c r="CQ8" i="55"/>
  <c r="BC8" i="55"/>
  <c r="BL8" i="55"/>
  <c r="U7" i="55"/>
  <c r="CY8" i="55"/>
  <c r="N8" i="55"/>
  <c r="BO8" i="55"/>
  <c r="DJ8" i="55"/>
  <c r="L8" i="55"/>
  <c r="BQ8" i="55"/>
  <c r="AX8" i="55"/>
  <c r="CS8" i="55"/>
  <c r="AG8" i="55"/>
  <c r="T8" i="55"/>
  <c r="BY8" i="55"/>
  <c r="BP8" i="55"/>
  <c r="Y8" i="55"/>
  <c r="V8" i="55"/>
  <c r="N8" i="29" a="1"/>
  <c r="N8" i="29" s="1"/>
  <c r="V9" i="13" a="1"/>
  <c r="V9" i="13" s="1"/>
  <c r="AF8" i="7"/>
  <c r="AF22" i="7" s="1"/>
  <c r="AD36" i="42"/>
  <c r="AC36" i="42"/>
  <c r="AD69" i="42"/>
  <c r="AC69" i="42"/>
  <c r="AD60" i="42"/>
  <c r="AC60" i="42"/>
  <c r="AD44" i="42"/>
  <c r="AC44" i="42"/>
  <c r="AC73" i="42"/>
  <c r="AD73" i="42"/>
  <c r="AC38" i="42"/>
  <c r="AD38" i="42"/>
  <c r="AD35" i="42"/>
  <c r="AC35" i="42"/>
  <c r="AC59" i="42"/>
  <c r="AD59" i="42"/>
  <c r="AD43" i="42"/>
  <c r="AC43" i="42"/>
  <c r="AC56" i="42"/>
  <c r="AD56" i="42"/>
  <c r="AD61" i="42"/>
  <c r="AC61" i="42"/>
  <c r="AC72" i="42"/>
  <c r="AD72" i="42"/>
  <c r="AD66" i="42"/>
  <c r="AC66" i="42"/>
  <c r="AD55" i="42"/>
  <c r="AC55" i="42"/>
  <c r="AC64" i="42"/>
  <c r="AD64" i="42"/>
  <c r="AC40" i="42"/>
  <c r="AD40" i="42"/>
  <c r="AD68" i="42"/>
  <c r="AC68" i="42"/>
  <c r="AC62" i="42"/>
  <c r="AD62" i="42"/>
  <c r="AC54" i="42"/>
  <c r="AD54" i="42"/>
  <c r="AC70" i="42"/>
  <c r="AD70" i="42"/>
  <c r="AC71" i="42"/>
  <c r="AD71" i="42"/>
  <c r="AD45" i="42"/>
  <c r="AC45" i="42"/>
  <c r="AC57" i="42"/>
  <c r="AD57" i="42"/>
  <c r="AD63" i="42"/>
  <c r="AC63" i="42"/>
  <c r="AC67" i="42"/>
  <c r="AD67" i="42"/>
  <c r="AC65" i="42"/>
  <c r="AD65" i="42"/>
  <c r="AD32" i="42"/>
  <c r="AC32" i="42"/>
  <c r="Y22" i="7"/>
  <c r="Z58" i="42"/>
  <c r="F57" i="26" l="1" a="1"/>
  <c r="F57" i="26" s="1"/>
  <c r="D57" i="26" s="1"/>
  <c r="BI7" i="66"/>
  <c r="AX376" i="66" a="1"/>
  <c r="AX376" i="66" s="1"/>
  <c r="AX373" i="66" s="1"/>
  <c r="F9" i="66" a="1"/>
  <c r="F9" i="66" s="1"/>
  <c r="F10" i="26" s="1" a="1"/>
  <c r="F10" i="26" s="1"/>
  <c r="D10" i="26" s="1"/>
  <c r="F11" i="26" a="1"/>
  <c r="F11" i="26" s="1"/>
  <c r="D11" i="26" s="1"/>
  <c r="AX369" i="66"/>
  <c r="AX7" i="66"/>
  <c r="BF9" i="66"/>
  <c r="P7" i="66"/>
  <c r="P369" i="66"/>
  <c r="P376" i="66" a="1"/>
  <c r="P376" i="66" s="1"/>
  <c r="P373" i="66" s="1"/>
  <c r="BG376" i="66" a="1"/>
  <c r="BG376" i="66" s="1"/>
  <c r="BG373" i="66" s="1"/>
  <c r="BG7" i="66"/>
  <c r="BG369" i="66"/>
  <c r="G7" i="66"/>
  <c r="V9" i="65" s="1"/>
  <c r="G376" i="66" a="1"/>
  <c r="G376" i="66" s="1"/>
  <c r="R376" i="66" a="1"/>
  <c r="R376" i="66" s="1"/>
  <c r="R373" i="66" s="1"/>
  <c r="R7" i="66"/>
  <c r="R369" i="66"/>
  <c r="V369" i="66"/>
  <c r="V7" i="66"/>
  <c r="V376" i="66" a="1"/>
  <c r="V376" i="66" s="1"/>
  <c r="V373" i="66" s="1"/>
  <c r="T7" i="66"/>
  <c r="T369" i="66"/>
  <c r="T376" i="66" a="1"/>
  <c r="T376" i="66" s="1"/>
  <c r="T373" i="66" s="1"/>
  <c r="BK9" i="66" a="1"/>
  <c r="BK9" i="66" s="1"/>
  <c r="F59" i="26" s="1" a="1"/>
  <c r="F59" i="26" s="1"/>
  <c r="D59" i="26" s="1"/>
  <c r="I7" i="66"/>
  <c r="I369" i="66"/>
  <c r="I376" i="66" a="1"/>
  <c r="I376" i="66" s="1"/>
  <c r="I373" i="66" s="1"/>
  <c r="BI376" i="66" a="1"/>
  <c r="BI376" i="66" s="1"/>
  <c r="BI373" i="66" s="1"/>
  <c r="BI369" i="66"/>
  <c r="BH7" i="66"/>
  <c r="BH369" i="66"/>
  <c r="BH376" i="66" a="1"/>
  <c r="BH376" i="66" s="1"/>
  <c r="BH373" i="66" s="1"/>
  <c r="S376" i="66" a="1"/>
  <c r="S376" i="66" s="1"/>
  <c r="S373" i="66" s="1"/>
  <c r="S7" i="66"/>
  <c r="S369" i="66"/>
  <c r="O376" i="66" a="1"/>
  <c r="O376" i="66" s="1"/>
  <c r="O373" i="66" s="1"/>
  <c r="O369" i="66"/>
  <c r="O7" i="66"/>
  <c r="H369" i="66"/>
  <c r="H7" i="66"/>
  <c r="H376" i="66" a="1"/>
  <c r="H376" i="66" s="1"/>
  <c r="H373" i="66" s="1"/>
  <c r="W376" i="66" a="1"/>
  <c r="W376" i="66" s="1"/>
  <c r="W373" i="66" s="1"/>
  <c r="W7" i="66"/>
  <c r="W369" i="66"/>
  <c r="Q376" i="66" a="1"/>
  <c r="Q376" i="66" s="1"/>
  <c r="Q7" i="66"/>
  <c r="Q369" i="66"/>
  <c r="U369" i="66"/>
  <c r="U7" i="66"/>
  <c r="U376" i="66" a="1"/>
  <c r="U376" i="66" s="1"/>
  <c r="U373" i="66" s="1"/>
  <c r="AB23" i="65"/>
  <c r="X8" i="29"/>
  <c r="A423" i="56"/>
  <c r="A425" i="56"/>
  <c r="A424" i="56"/>
  <c r="A420" i="56"/>
  <c r="A421" i="56"/>
  <c r="A422" i="56"/>
  <c r="AR48" i="56" a="1"/>
  <c r="AR48" i="56" s="1"/>
  <c r="U48" i="56" a="1"/>
  <c r="U48" i="56" s="1"/>
  <c r="A413" i="56"/>
  <c r="A419" i="56"/>
  <c r="A418" i="56"/>
  <c r="A416" i="56"/>
  <c r="A412" i="56"/>
  <c r="A417" i="56"/>
  <c r="A415" i="56"/>
  <c r="A414" i="56"/>
  <c r="D411" i="56"/>
  <c r="A411" i="56" s="1"/>
  <c r="K437" i="56"/>
  <c r="O428" i="56"/>
  <c r="J436" i="56"/>
  <c r="N429" i="56"/>
  <c r="G439" i="56"/>
  <c r="L435" i="56"/>
  <c r="P430" i="56"/>
  <c r="Q427" i="56"/>
  <c r="K436" i="56"/>
  <c r="O429" i="56"/>
  <c r="J438" i="56"/>
  <c r="N427" i="56"/>
  <c r="Q431" i="56"/>
  <c r="J429" i="56"/>
  <c r="N436" i="56"/>
  <c r="Q426" i="56"/>
  <c r="N439" i="56"/>
  <c r="G427" i="56"/>
  <c r="K433" i="56"/>
  <c r="L433" i="56"/>
  <c r="O433" i="56"/>
  <c r="J435" i="56"/>
  <c r="Q434" i="56"/>
  <c r="G436" i="56"/>
  <c r="P433" i="56"/>
  <c r="O431" i="56"/>
  <c r="P434" i="56"/>
  <c r="G429" i="56"/>
  <c r="G428" i="56"/>
  <c r="K426" i="56"/>
  <c r="L437" i="56"/>
  <c r="Q428" i="56"/>
  <c r="O426" i="56"/>
  <c r="J440" i="56"/>
  <c r="L438" i="56"/>
  <c r="G433" i="56"/>
  <c r="P436" i="56"/>
  <c r="J433" i="56"/>
  <c r="O434" i="56"/>
  <c r="N433" i="56"/>
  <c r="K429" i="56"/>
  <c r="O436" i="56"/>
  <c r="J428" i="56"/>
  <c r="N437" i="56"/>
  <c r="G431" i="56"/>
  <c r="L427" i="56"/>
  <c r="P438" i="56"/>
  <c r="J434" i="56"/>
  <c r="N431" i="56"/>
  <c r="Q437" i="56"/>
  <c r="K428" i="56"/>
  <c r="O437" i="56"/>
  <c r="K427" i="56"/>
  <c r="J430" i="56"/>
  <c r="N435" i="56"/>
  <c r="Q439" i="56"/>
  <c r="O438" i="56"/>
  <c r="K440" i="56"/>
  <c r="J426" i="56"/>
  <c r="Q438" i="56"/>
  <c r="L440" i="56"/>
  <c r="L431" i="56"/>
  <c r="P426" i="56"/>
  <c r="O432" i="56"/>
  <c r="G437" i="56"/>
  <c r="K432" i="56"/>
  <c r="N430" i="56"/>
  <c r="K438" i="56"/>
  <c r="L432" i="56"/>
  <c r="N434" i="56"/>
  <c r="J431" i="56"/>
  <c r="K430" i="56"/>
  <c r="O430" i="56"/>
  <c r="P428" i="56"/>
  <c r="L436" i="56"/>
  <c r="Q429" i="56"/>
  <c r="L439" i="56"/>
  <c r="L428" i="56"/>
  <c r="G438" i="56"/>
  <c r="G435" i="56"/>
  <c r="Q433" i="56"/>
  <c r="Q435" i="56"/>
  <c r="K439" i="56"/>
  <c r="Q430" i="56"/>
  <c r="L434" i="56"/>
  <c r="P435" i="56"/>
  <c r="P432" i="56"/>
  <c r="O427" i="56"/>
  <c r="K434" i="56"/>
  <c r="O440" i="56"/>
  <c r="P440" i="56"/>
  <c r="N438" i="56"/>
  <c r="K435" i="56"/>
  <c r="Q436" i="56"/>
  <c r="P427" i="56"/>
  <c r="N432" i="56"/>
  <c r="P437" i="56"/>
  <c r="J432" i="56"/>
  <c r="L430" i="56"/>
  <c r="J427" i="56"/>
  <c r="O435" i="56"/>
  <c r="O439" i="56"/>
  <c r="P429" i="56"/>
  <c r="L429" i="56"/>
  <c r="G432" i="56"/>
  <c r="K431" i="56"/>
  <c r="P431" i="56"/>
  <c r="G434" i="56"/>
  <c r="N440" i="56"/>
  <c r="G430" i="56"/>
  <c r="L426" i="56"/>
  <c r="P439" i="56"/>
  <c r="J439" i="56"/>
  <c r="G426" i="56"/>
  <c r="N426" i="56"/>
  <c r="J437" i="56"/>
  <c r="N428" i="56"/>
  <c r="Q432" i="56"/>
  <c r="CC439" i="56"/>
  <c r="CB430" i="56"/>
  <c r="BL435" i="56"/>
  <c r="BM430" i="56"/>
  <c r="BG434" i="56"/>
  <c r="BC430" i="56"/>
  <c r="AX432" i="56"/>
  <c r="AT433" i="56"/>
  <c r="AQ431" i="56"/>
  <c r="CB431" i="56"/>
  <c r="BS435" i="56"/>
  <c r="BT430" i="56"/>
  <c r="BC437" i="56"/>
  <c r="AZ433" i="56"/>
  <c r="AQ438" i="56"/>
  <c r="CB432" i="56"/>
  <c r="BM436" i="56"/>
  <c r="BN431" i="56"/>
  <c r="BO426" i="56"/>
  <c r="BC428" i="56"/>
  <c r="CB433" i="56"/>
  <c r="BO437" i="56"/>
  <c r="BP432" i="56"/>
  <c r="BQ427" i="56"/>
  <c r="BE439" i="56"/>
  <c r="AZ439" i="56"/>
  <c r="BZ432" i="56"/>
  <c r="BY433" i="56"/>
  <c r="BQ436" i="56"/>
  <c r="BR431" i="56"/>
  <c r="CD439" i="56"/>
  <c r="BI433" i="56"/>
  <c r="AW435" i="56"/>
  <c r="AT427" i="56"/>
  <c r="AM429" i="56"/>
  <c r="AA436" i="56"/>
  <c r="BY434" i="56"/>
  <c r="BK431" i="56"/>
  <c r="BG430" i="56"/>
  <c r="AV435" i="56"/>
  <c r="AT426" i="56"/>
  <c r="AL440" i="56"/>
  <c r="AH436" i="56"/>
  <c r="AE432" i="56"/>
  <c r="AA427" i="56"/>
  <c r="CC428" i="56"/>
  <c r="BM429" i="56"/>
  <c r="BF433" i="56"/>
  <c r="AZ432" i="56"/>
  <c r="AS432" i="56"/>
  <c r="AL431" i="56"/>
  <c r="AH427" i="56"/>
  <c r="Z438" i="56"/>
  <c r="BO427" i="56"/>
  <c r="BE436" i="56"/>
  <c r="AW428" i="56"/>
  <c r="AR428" i="56"/>
  <c r="AG438" i="56"/>
  <c r="AD434" i="56"/>
  <c r="BY432" i="56"/>
  <c r="BP430" i="56"/>
  <c r="BS436" i="56"/>
  <c r="BB438" i="56"/>
  <c r="AQ440" i="56"/>
  <c r="AK432" i="56"/>
  <c r="CB438" i="56"/>
  <c r="CA429" i="56"/>
  <c r="BP439" i="56"/>
  <c r="BQ434" i="56"/>
  <c r="BR429" i="56"/>
  <c r="BG426" i="56"/>
  <c r="AZ430" i="56"/>
  <c r="CB439" i="56"/>
  <c r="CA430" i="56"/>
  <c r="BK435" i="56"/>
  <c r="BL430" i="56"/>
  <c r="BG433" i="56"/>
  <c r="BC429" i="56"/>
  <c r="AW432" i="56"/>
  <c r="AT432" i="56"/>
  <c r="AQ430" i="56"/>
  <c r="CA431" i="56"/>
  <c r="BR435" i="56"/>
  <c r="BS430" i="56"/>
  <c r="BG432" i="56"/>
  <c r="BB432" i="56"/>
  <c r="CA432" i="56"/>
  <c r="BT436" i="56"/>
  <c r="BU431" i="56"/>
  <c r="BI427" i="56"/>
  <c r="BE431" i="56"/>
  <c r="AW438" i="56"/>
  <c r="BY431" i="56"/>
  <c r="BX432" i="56"/>
  <c r="BI436" i="56"/>
  <c r="BJ431" i="56"/>
  <c r="CA434" i="56"/>
  <c r="BL431" i="56"/>
  <c r="BG435" i="56"/>
  <c r="AW433" i="56"/>
  <c r="AS434" i="56"/>
  <c r="AH437" i="56"/>
  <c r="AE433" i="56"/>
  <c r="AA428" i="56"/>
  <c r="CB429" i="56"/>
  <c r="BN429" i="56"/>
  <c r="BF434" i="56"/>
  <c r="AV433" i="56"/>
  <c r="AS433" i="56"/>
  <c r="CA437" i="56"/>
  <c r="BZ428" i="56"/>
  <c r="BU438" i="56"/>
  <c r="BI434" i="56"/>
  <c r="BJ429" i="56"/>
  <c r="BF438" i="56"/>
  <c r="BB434" i="56"/>
  <c r="AW429" i="56"/>
  <c r="AS436" i="56"/>
  <c r="CA438" i="56"/>
  <c r="BZ429" i="56"/>
  <c r="BO439" i="56"/>
  <c r="BP434" i="56"/>
  <c r="BQ429" i="56"/>
  <c r="AY430" i="56"/>
  <c r="CA439" i="56"/>
  <c r="BZ430" i="56"/>
  <c r="BJ435" i="56"/>
  <c r="BK430" i="56"/>
  <c r="BZ431" i="56"/>
  <c r="BL436" i="56"/>
  <c r="BM431" i="56"/>
  <c r="BN426" i="56"/>
  <c r="BY439" i="56"/>
  <c r="BX430" i="56"/>
  <c r="BX439" i="56"/>
  <c r="CD430" i="56"/>
  <c r="BN435" i="56"/>
  <c r="BZ436" i="56"/>
  <c r="BY427" i="56"/>
  <c r="BM438" i="56"/>
  <c r="BN433" i="56"/>
  <c r="BO428" i="56"/>
  <c r="BF430" i="56"/>
  <c r="BB426" i="56"/>
  <c r="AY427" i="56"/>
  <c r="AS428" i="56"/>
  <c r="BZ437" i="56"/>
  <c r="BY428" i="56"/>
  <c r="BT438" i="56"/>
  <c r="BU433" i="56"/>
  <c r="BI429" i="56"/>
  <c r="BF437" i="56"/>
  <c r="BB433" i="56"/>
  <c r="AV429" i="56"/>
  <c r="BY435" i="56"/>
  <c r="BR437" i="56"/>
  <c r="BT427" i="56"/>
  <c r="AV426" i="56"/>
  <c r="BY436" i="56"/>
  <c r="BL438" i="56"/>
  <c r="BN428" i="56"/>
  <c r="BF429" i="56"/>
  <c r="AX427" i="56"/>
  <c r="CD426" i="56"/>
  <c r="BO434" i="56"/>
  <c r="BR427" i="56"/>
  <c r="BF428" i="56"/>
  <c r="CC434" i="56"/>
  <c r="BM439" i="56"/>
  <c r="BR430" i="56"/>
  <c r="BC427" i="56"/>
  <c r="CA433" i="56"/>
  <c r="CB436" i="56"/>
  <c r="BR439" i="56"/>
  <c r="BU432" i="56"/>
  <c r="CD429" i="56"/>
  <c r="BR426" i="56"/>
  <c r="BB435" i="56"/>
  <c r="AK437" i="56"/>
  <c r="AF437" i="56"/>
  <c r="Z440" i="56"/>
  <c r="BS437" i="56"/>
  <c r="AV431" i="56"/>
  <c r="AQ434" i="56"/>
  <c r="AJ440" i="56"/>
  <c r="AF428" i="56"/>
  <c r="AA435" i="56"/>
  <c r="BL426" i="56"/>
  <c r="AM435" i="56"/>
  <c r="AE431" i="56"/>
  <c r="Z430" i="56"/>
  <c r="BM437" i="56"/>
  <c r="AY436" i="56"/>
  <c r="AL438" i="56"/>
  <c r="AH426" i="56"/>
  <c r="AD426" i="56"/>
  <c r="CA436" i="56"/>
  <c r="BN430" i="56"/>
  <c r="BF426" i="56"/>
  <c r="AZ429" i="56"/>
  <c r="AR426" i="56"/>
  <c r="AF440" i="56"/>
  <c r="AB435" i="56"/>
  <c r="Y431" i="56"/>
  <c r="BP436" i="56"/>
  <c r="AZ437" i="56"/>
  <c r="AT438" i="56"/>
  <c r="AM438" i="56"/>
  <c r="AJ434" i="56"/>
  <c r="AF430" i="56"/>
  <c r="T438" i="56"/>
  <c r="AV436" i="56"/>
  <c r="AF431" i="56"/>
  <c r="W430" i="56"/>
  <c r="AJ429" i="56"/>
  <c r="V436" i="56"/>
  <c r="CA426" i="56"/>
  <c r="AM431" i="56"/>
  <c r="Y430" i="56"/>
  <c r="AS430" i="56"/>
  <c r="AA432" i="56"/>
  <c r="AY431" i="56"/>
  <c r="AE435" i="56"/>
  <c r="U429" i="56"/>
  <c r="AV439" i="56"/>
  <c r="W434" i="56"/>
  <c r="BT426" i="56"/>
  <c r="AL435" i="56"/>
  <c r="V440" i="56"/>
  <c r="T427" i="56"/>
  <c r="AR427" i="56"/>
  <c r="Z437" i="56"/>
  <c r="U439" i="56"/>
  <c r="Z428" i="56"/>
  <c r="AV430" i="56"/>
  <c r="W431" i="56"/>
  <c r="BX434" i="56"/>
  <c r="BJ437" i="56"/>
  <c r="BL427" i="56"/>
  <c r="BE434" i="56"/>
  <c r="BX435" i="56"/>
  <c r="BQ437" i="56"/>
  <c r="BS427" i="56"/>
  <c r="BZ438" i="56"/>
  <c r="BT433" i="56"/>
  <c r="BJ427" i="56"/>
  <c r="BE432" i="56"/>
  <c r="BY430" i="56"/>
  <c r="BR438" i="56"/>
  <c r="BJ430" i="56"/>
  <c r="BB439" i="56"/>
  <c r="CD428" i="56"/>
  <c r="CA435" i="56"/>
  <c r="BJ439" i="56"/>
  <c r="BM432" i="56"/>
  <c r="AY437" i="56"/>
  <c r="AR433" i="56"/>
  <c r="AK429" i="56"/>
  <c r="AF429" i="56"/>
  <c r="Z432" i="56"/>
  <c r="BJ436" i="56"/>
  <c r="AY428" i="56"/>
  <c r="AJ432" i="56"/>
  <c r="AE440" i="56"/>
  <c r="Z439" i="56"/>
  <c r="BK439" i="56"/>
  <c r="BB429" i="56"/>
  <c r="AM427" i="56"/>
  <c r="AH435" i="56"/>
  <c r="AD435" i="56"/>
  <c r="BP435" i="56"/>
  <c r="AY434" i="56"/>
  <c r="AS431" i="56"/>
  <c r="AL430" i="56"/>
  <c r="AG430" i="56"/>
  <c r="AB437" i="56"/>
  <c r="BQ438" i="56"/>
  <c r="CD431" i="56"/>
  <c r="BR428" i="56"/>
  <c r="BE430" i="56"/>
  <c r="AZ427" i="56"/>
  <c r="AQ428" i="56"/>
  <c r="AJ436" i="56"/>
  <c r="AF432" i="56"/>
  <c r="AB427" i="56"/>
  <c r="BT434" i="56"/>
  <c r="AZ435" i="56"/>
  <c r="AT428" i="56"/>
  <c r="AM430" i="56"/>
  <c r="AJ426" i="56"/>
  <c r="AA437" i="56"/>
  <c r="V438" i="56"/>
  <c r="T430" i="56"/>
  <c r="AW427" i="56"/>
  <c r="AD439" i="56"/>
  <c r="V427" i="56"/>
  <c r="BG427" i="56"/>
  <c r="AG437" i="56"/>
  <c r="V433" i="56"/>
  <c r="BO433" i="56"/>
  <c r="AK439" i="56"/>
  <c r="AS440" i="56"/>
  <c r="T440" i="56"/>
  <c r="U426" i="56"/>
  <c r="CD432" i="56"/>
  <c r="BO436" i="56"/>
  <c r="BQ426" i="56"/>
  <c r="BE426" i="56"/>
  <c r="CD433" i="56"/>
  <c r="BI437" i="56"/>
  <c r="BK427" i="56"/>
  <c r="CC431" i="56"/>
  <c r="BT435" i="56"/>
  <c r="BI426" i="56"/>
  <c r="BC438" i="56"/>
  <c r="CC432" i="56"/>
  <c r="BN436" i="56"/>
  <c r="BP426" i="56"/>
  <c r="BX426" i="56"/>
  <c r="BS432" i="56"/>
  <c r="AZ438" i="56"/>
  <c r="AR439" i="56"/>
  <c r="BX427" i="56"/>
  <c r="BM433" i="56"/>
  <c r="BE433" i="56"/>
  <c r="AS435" i="56"/>
  <c r="BY429" i="56"/>
  <c r="BL433" i="56"/>
  <c r="BX437" i="56"/>
  <c r="BJ438" i="56"/>
  <c r="BL428" i="56"/>
  <c r="BF427" i="56"/>
  <c r="CC427" i="56"/>
  <c r="CB428" i="56"/>
  <c r="BK434" i="56"/>
  <c r="BQ439" i="56"/>
  <c r="BF439" i="56"/>
  <c r="AD429" i="56"/>
  <c r="BE438" i="56"/>
  <c r="AK436" i="56"/>
  <c r="Y435" i="56"/>
  <c r="BI431" i="56"/>
  <c r="AX439" i="56"/>
  <c r="AJ439" i="56"/>
  <c r="AD427" i="56"/>
  <c r="CB437" i="56"/>
  <c r="BK426" i="56"/>
  <c r="AY432" i="56"/>
  <c r="AQ432" i="56"/>
  <c r="AB429" i="56"/>
  <c r="BR433" i="56"/>
  <c r="BQ433" i="56"/>
  <c r="BC434" i="56"/>
  <c r="AT430" i="56"/>
  <c r="AL428" i="56"/>
  <c r="BS439" i="56"/>
  <c r="AX429" i="56"/>
  <c r="AQ436" i="56"/>
  <c r="AH438" i="56"/>
  <c r="AD438" i="56"/>
  <c r="Y437" i="56"/>
  <c r="AM439" i="56"/>
  <c r="W436" i="56"/>
  <c r="AA440" i="56"/>
  <c r="T433" i="56"/>
  <c r="AJ427" i="56"/>
  <c r="W429" i="56"/>
  <c r="AV432" i="56"/>
  <c r="BI430" i="56"/>
  <c r="AH439" i="56"/>
  <c r="AQ429" i="56"/>
  <c r="BT439" i="56"/>
  <c r="V434" i="56"/>
  <c r="U431" i="56"/>
  <c r="AW437" i="56"/>
  <c r="AS427" i="56"/>
  <c r="BX428" i="56"/>
  <c r="CD435" i="56"/>
  <c r="BQ435" i="56"/>
  <c r="BC435" i="56"/>
  <c r="CB426" i="56"/>
  <c r="CA427" i="56"/>
  <c r="BP433" i="56"/>
  <c r="AT437" i="56"/>
  <c r="AJ433" i="56"/>
  <c r="AB440" i="56"/>
  <c r="BL439" i="56"/>
  <c r="AT436" i="56"/>
  <c r="AD436" i="56"/>
  <c r="Y427" i="56"/>
  <c r="BP427" i="56"/>
  <c r="AZ436" i="56"/>
  <c r="AR429" i="56"/>
  <c r="AJ431" i="56"/>
  <c r="AB438" i="56"/>
  <c r="BX433" i="56"/>
  <c r="BQ432" i="56"/>
  <c r="BU437" i="56"/>
  <c r="AK428" i="56"/>
  <c r="AY435" i="56"/>
  <c r="BR432" i="56"/>
  <c r="AR438" i="56"/>
  <c r="BI432" i="56"/>
  <c r="BX429" i="56"/>
  <c r="BI435" i="56"/>
  <c r="BB431" i="56"/>
  <c r="BZ426" i="56"/>
  <c r="BO430" i="56"/>
  <c r="BK436" i="56"/>
  <c r="BE427" i="56"/>
  <c r="AH429" i="56"/>
  <c r="AB432" i="56"/>
  <c r="BM434" i="56"/>
  <c r="BC426" i="56"/>
  <c r="BK432" i="56"/>
  <c r="AV434" i="56"/>
  <c r="BJ432" i="56"/>
  <c r="AY438" i="56"/>
  <c r="AR430" i="56"/>
  <c r="BN439" i="56"/>
  <c r="BP429" i="56"/>
  <c r="BF436" i="56"/>
  <c r="CD427" i="56"/>
  <c r="BN434" i="56"/>
  <c r="BT429" i="56"/>
  <c r="BR434" i="56"/>
  <c r="BC431" i="56"/>
  <c r="AQ435" i="56"/>
  <c r="BT432" i="56"/>
  <c r="BP431" i="56"/>
  <c r="AR431" i="56"/>
  <c r="BO431" i="56"/>
  <c r="AV437" i="56"/>
  <c r="BY437" i="56"/>
  <c r="BS438" i="56"/>
  <c r="BU428" i="56"/>
  <c r="CC426" i="56"/>
  <c r="BS433" i="56"/>
  <c r="BG439" i="56"/>
  <c r="BX438" i="56"/>
  <c r="CD438" i="56"/>
  <c r="BO438" i="56"/>
  <c r="BL429" i="56"/>
  <c r="BS429" i="56"/>
  <c r="AW431" i="56"/>
  <c r="AG433" i="56"/>
  <c r="BU427" i="56"/>
  <c r="AY439" i="56"/>
  <c r="AM436" i="56"/>
  <c r="AG440" i="56"/>
  <c r="AB431" i="56"/>
  <c r="BN437" i="56"/>
  <c r="AX428" i="56"/>
  <c r="AL439" i="56"/>
  <c r="AA434" i="56"/>
  <c r="BJ434" i="56"/>
  <c r="BF432" i="56"/>
  <c r="AK434" i="56"/>
  <c r="AF426" i="56"/>
  <c r="CC436" i="56"/>
  <c r="BZ427" i="56"/>
  <c r="AW434" i="56"/>
  <c r="AM440" i="56"/>
  <c r="AH432" i="56"/>
  <c r="AD432" i="56"/>
  <c r="BZ435" i="56"/>
  <c r="BU429" i="56"/>
  <c r="BC432" i="56"/>
  <c r="AS437" i="56"/>
  <c r="AL426" i="56"/>
  <c r="AG426" i="56"/>
  <c r="AA429" i="56"/>
  <c r="V430" i="56"/>
  <c r="BG437" i="56"/>
  <c r="AB426" i="56"/>
  <c r="T434" i="56"/>
  <c r="AM433" i="56"/>
  <c r="U430" i="56"/>
  <c r="BB437" i="56"/>
  <c r="AA438" i="56"/>
  <c r="BS431" i="56"/>
  <c r="V429" i="56"/>
  <c r="AS426" i="56"/>
  <c r="AE429" i="56"/>
  <c r="AY429" i="56"/>
  <c r="AB434" i="56"/>
  <c r="AT431" i="56"/>
  <c r="Y438" i="56"/>
  <c r="T426" i="56"/>
  <c r="BU430" i="56"/>
  <c r="AX435" i="56"/>
  <c r="BX436" i="56"/>
  <c r="BK438" i="56"/>
  <c r="BM428" i="56"/>
  <c r="BC436" i="56"/>
  <c r="BK433" i="56"/>
  <c r="BG431" i="56"/>
  <c r="CD436" i="56"/>
  <c r="CC437" i="56"/>
  <c r="Q440" i="56"/>
  <c r="CC433" i="56"/>
  <c r="BU436" i="56"/>
  <c r="BY438" i="56"/>
  <c r="BU439" i="56"/>
  <c r="BT428" i="56"/>
  <c r="BF435" i="56"/>
  <c r="CB434" i="56"/>
  <c r="CC429" i="56"/>
  <c r="BS434" i="56"/>
  <c r="AQ439" i="56"/>
  <c r="BO429" i="56"/>
  <c r="BN427" i="56"/>
  <c r="AK435" i="56"/>
  <c r="BJ428" i="56"/>
  <c r="AM428" i="56"/>
  <c r="AD428" i="56"/>
  <c r="BL434" i="56"/>
  <c r="AX430" i="56"/>
  <c r="AK427" i="56"/>
  <c r="AA426" i="56"/>
  <c r="AJ438" i="56"/>
  <c r="BM427" i="56"/>
  <c r="BG438" i="56"/>
  <c r="AS439" i="56"/>
  <c r="AH440" i="56"/>
  <c r="AA439" i="56"/>
  <c r="BI438" i="56"/>
  <c r="BE428" i="56"/>
  <c r="AR434" i="56"/>
  <c r="AH430" i="56"/>
  <c r="AB433" i="56"/>
  <c r="AL427" i="56"/>
  <c r="AD431" i="56"/>
  <c r="BF431" i="56"/>
  <c r="W438" i="56"/>
  <c r="U435" i="56"/>
  <c r="AL437" i="56"/>
  <c r="W428" i="56"/>
  <c r="AR435" i="56"/>
  <c r="V431" i="56"/>
  <c r="AV428" i="56"/>
  <c r="U437" i="56"/>
  <c r="BB436" i="56"/>
  <c r="AJ435" i="56"/>
  <c r="AD433" i="56"/>
  <c r="Z429" i="56"/>
  <c r="BB427" i="56"/>
  <c r="V435" i="56"/>
  <c r="U432" i="56"/>
  <c r="AQ427" i="56"/>
  <c r="V428" i="56"/>
  <c r="U434" i="56"/>
  <c r="BZ434" i="56"/>
  <c r="BG428" i="56"/>
  <c r="AH434" i="56"/>
  <c r="BP438" i="56"/>
  <c r="AG436" i="56"/>
  <c r="Z435" i="56"/>
  <c r="AX433" i="56"/>
  <c r="AG434" i="56"/>
  <c r="Z433" i="56"/>
  <c r="BX431" i="56"/>
  <c r="V432" i="56"/>
  <c r="T439" i="56"/>
  <c r="AH433" i="56"/>
  <c r="U428" i="56"/>
  <c r="AE436" i="56"/>
  <c r="AL434" i="56"/>
  <c r="AX434" i="56"/>
  <c r="AG427" i="56"/>
  <c r="AF433" i="56"/>
  <c r="AW430" i="56"/>
  <c r="AK440" i="56"/>
  <c r="Z426" i="56"/>
  <c r="AV438" i="56"/>
  <c r="AR432" i="56"/>
  <c r="AJ428" i="56"/>
  <c r="W427" i="56"/>
  <c r="AX436" i="56"/>
  <c r="CC435" i="56"/>
  <c r="AL432" i="56"/>
  <c r="AB439" i="56"/>
  <c r="BO432" i="56"/>
  <c r="AX426" i="56"/>
  <c r="AG439" i="56"/>
  <c r="Y434" i="56"/>
  <c r="AT434" i="56"/>
  <c r="AJ430" i="56"/>
  <c r="AA433" i="56"/>
  <c r="AS429" i="56"/>
  <c r="AA431" i="56"/>
  <c r="BJ433" i="56"/>
  <c r="AQ437" i="56"/>
  <c r="T437" i="56"/>
  <c r="BI439" i="56"/>
  <c r="Y439" i="56"/>
  <c r="W426" i="56"/>
  <c r="AE430" i="56"/>
  <c r="BG436" i="56"/>
  <c r="W433" i="56"/>
  <c r="AB428" i="56"/>
  <c r="BM426" i="56"/>
  <c r="BK429" i="56"/>
  <c r="W437" i="56"/>
  <c r="CD434" i="56"/>
  <c r="BB430" i="56"/>
  <c r="AT435" i="56"/>
  <c r="AG431" i="56"/>
  <c r="Y426" i="56"/>
  <c r="AR436" i="56"/>
  <c r="BQ431" i="56"/>
  <c r="AQ426" i="56"/>
  <c r="CB435" i="56"/>
  <c r="Z434" i="56"/>
  <c r="U436" i="56"/>
  <c r="AH431" i="56"/>
  <c r="AL429" i="56"/>
  <c r="AF434" i="56"/>
  <c r="AE434" i="56"/>
  <c r="V439" i="56"/>
  <c r="BP428" i="56"/>
  <c r="T435" i="56"/>
  <c r="AB430" i="56"/>
  <c r="AD430" i="56"/>
  <c r="AG435" i="56"/>
  <c r="W440" i="56"/>
  <c r="AZ434" i="56"/>
  <c r="BP437" i="56"/>
  <c r="BT437" i="56"/>
  <c r="AZ428" i="56"/>
  <c r="AD437" i="56"/>
  <c r="AX437" i="56"/>
  <c r="Z431" i="56"/>
  <c r="AF435" i="56"/>
  <c r="CA428" i="56"/>
  <c r="AR440" i="56"/>
  <c r="CB427" i="56"/>
  <c r="BM435" i="56"/>
  <c r="AX438" i="56"/>
  <c r="AM432" i="56"/>
  <c r="AG428" i="56"/>
  <c r="Z427" i="56"/>
  <c r="BK428" i="56"/>
  <c r="AX431" i="56"/>
  <c r="AF438" i="56"/>
  <c r="BR436" i="56"/>
  <c r="Z436" i="56"/>
  <c r="BU434" i="56"/>
  <c r="Y432" i="56"/>
  <c r="AY433" i="56"/>
  <c r="W432" i="56"/>
  <c r="V426" i="56"/>
  <c r="AK431" i="56"/>
  <c r="T429" i="56"/>
  <c r="AB436" i="56"/>
  <c r="T428" i="56"/>
  <c r="AF439" i="56"/>
  <c r="T436" i="56"/>
  <c r="AJ437" i="56"/>
  <c r="AF427" i="56"/>
  <c r="BS426" i="56"/>
  <c r="Y429" i="56"/>
  <c r="T431" i="56"/>
  <c r="BN438" i="56"/>
  <c r="BI428" i="56"/>
  <c r="BZ433" i="56"/>
  <c r="BQ430" i="56"/>
  <c r="BL432" i="56"/>
  <c r="BY426" i="56"/>
  <c r="U433" i="56"/>
  <c r="T432" i="56"/>
  <c r="BC439" i="56"/>
  <c r="BU435" i="56"/>
  <c r="AK426" i="56"/>
  <c r="AT439" i="56"/>
  <c r="U440" i="56"/>
  <c r="BL437" i="56"/>
  <c r="AZ426" i="56"/>
  <c r="Y436" i="56"/>
  <c r="AY426" i="56"/>
  <c r="AH428" i="56"/>
  <c r="BG429" i="56"/>
  <c r="AQ433" i="56"/>
  <c r="BB428" i="56"/>
  <c r="BK437" i="56"/>
  <c r="BT431" i="56"/>
  <c r="AW436" i="56"/>
  <c r="AV427" i="56"/>
  <c r="Y433" i="56"/>
  <c r="AK433" i="56"/>
  <c r="AE427" i="56"/>
  <c r="CC438" i="56"/>
  <c r="AM426" i="56"/>
  <c r="AD440" i="56"/>
  <c r="AT429" i="56"/>
  <c r="AE437" i="56"/>
  <c r="Y440" i="56"/>
  <c r="AL433" i="56"/>
  <c r="AW426" i="56"/>
  <c r="BS428" i="56"/>
  <c r="U438" i="56"/>
  <c r="V437" i="56"/>
  <c r="BZ439" i="56"/>
  <c r="BQ428" i="56"/>
  <c r="Y428" i="56"/>
  <c r="AG432" i="56"/>
  <c r="CD437" i="56"/>
  <c r="BE437" i="56"/>
  <c r="AE439" i="56"/>
  <c r="BN432" i="56"/>
  <c r="AW439" i="56"/>
  <c r="AM434" i="56"/>
  <c r="AE438" i="56"/>
  <c r="BO435" i="56"/>
  <c r="BU426" i="56"/>
  <c r="AZ431" i="56"/>
  <c r="AL436" i="56"/>
  <c r="AE428" i="56"/>
  <c r="CC430" i="56"/>
  <c r="AK438" i="56"/>
  <c r="AE426" i="56"/>
  <c r="W435" i="56"/>
  <c r="BC433" i="56"/>
  <c r="W439" i="56"/>
  <c r="U427" i="56"/>
  <c r="AS438" i="56"/>
  <c r="AG429" i="56"/>
  <c r="AA430" i="56"/>
  <c r="BE435" i="56"/>
  <c r="BE429" i="56"/>
  <c r="BJ426" i="56"/>
  <c r="AM437" i="56"/>
  <c r="AK430" i="56"/>
  <c r="AF436" i="56"/>
  <c r="AR437" i="56"/>
  <c r="AA58" i="42"/>
  <c r="AB58" i="42" s="1"/>
  <c r="AE58" i="42" s="1"/>
  <c r="AA52" i="42"/>
  <c r="Z52" i="42"/>
  <c r="Z50" i="42"/>
  <c r="AA50" i="42"/>
  <c r="Z51" i="42"/>
  <c r="AA51" i="42"/>
  <c r="AA49" i="42"/>
  <c r="Z49" i="42"/>
  <c r="AA48" i="42"/>
  <c r="Z48" i="42"/>
  <c r="AA53" i="42"/>
  <c r="Z53" i="42"/>
  <c r="Z46" i="42"/>
  <c r="AA46" i="42"/>
  <c r="AA47" i="42"/>
  <c r="Z47" i="42"/>
  <c r="Q373" i="66" l="1"/>
  <c r="BU376" i="66" a="1"/>
  <c r="BU376" i="66" s="1"/>
  <c r="BU373" i="66" s="1"/>
  <c r="F376" i="66" a="1"/>
  <c r="F376" i="66" s="1"/>
  <c r="F373" i="66" s="1"/>
  <c r="F369" i="66"/>
  <c r="F7" i="66"/>
  <c r="BF7" i="66"/>
  <c r="BF374" i="66" s="1"/>
  <c r="F54" i="26" a="1"/>
  <c r="F54" i="26" s="1"/>
  <c r="BF376" i="66" a="1"/>
  <c r="BF376" i="66" s="1"/>
  <c r="BF373" i="66" s="1"/>
  <c r="BF369" i="66"/>
  <c r="BK7" i="66"/>
  <c r="BK369" i="66"/>
  <c r="BK376" i="66" a="1"/>
  <c r="BK376" i="66" s="1"/>
  <c r="BK373" i="66" s="1"/>
  <c r="AD58" i="42"/>
  <c r="AC58" i="42"/>
  <c r="AB53" i="42"/>
  <c r="AE53" i="42" s="1"/>
  <c r="AB47" i="42"/>
  <c r="AE47" i="42" s="1"/>
  <c r="AB46" i="42"/>
  <c r="AE46" i="42" s="1"/>
  <c r="AB48" i="42"/>
  <c r="AE48" i="42" s="1"/>
  <c r="AB49" i="42"/>
  <c r="AE49" i="42" s="1"/>
  <c r="AB51" i="42"/>
  <c r="AE51" i="42" s="1"/>
  <c r="AB52" i="42"/>
  <c r="AE52" i="42" s="1"/>
  <c r="AB50" i="42"/>
  <c r="AE50" i="42" s="1"/>
  <c r="AC48" i="42" l="1"/>
  <c r="AD48" i="42"/>
  <c r="AC46" i="42"/>
  <c r="AD46" i="42"/>
  <c r="AC47" i="42"/>
  <c r="AD47" i="42"/>
  <c r="AD53" i="42"/>
  <c r="AC53" i="42"/>
  <c r="AD50" i="42"/>
  <c r="AC50" i="42"/>
  <c r="AD52" i="42"/>
  <c r="AC52" i="42"/>
  <c r="AC51" i="42"/>
  <c r="AD51" i="42"/>
  <c r="AC49" i="42"/>
  <c r="AD49" i="42"/>
  <c r="D3" i="31"/>
  <c r="D4" i="31"/>
  <c r="AN1" i="31" l="1"/>
  <c r="AO1" i="31" l="1"/>
  <c r="AP1" i="31" l="1"/>
  <c r="AQ1" i="31" l="1"/>
  <c r="AR1" i="31" l="1"/>
  <c r="AS1" i="31" l="1"/>
  <c r="AT1" i="31" l="1"/>
  <c r="AU1" i="31" l="1"/>
  <c r="AO10" i="7"/>
  <c r="AO11" i="7"/>
  <c r="AO12" i="7"/>
  <c r="AO13" i="7"/>
  <c r="AO14" i="7"/>
  <c r="AO15" i="7"/>
  <c r="AO9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10" i="7"/>
  <c r="B11" i="7"/>
  <c r="B12" i="7"/>
  <c r="B13" i="7"/>
  <c r="B14" i="7"/>
  <c r="B15" i="7"/>
  <c r="B16" i="7"/>
  <c r="B17" i="7"/>
  <c r="B18" i="7"/>
  <c r="B19" i="7"/>
  <c r="B20" i="7"/>
  <c r="B21" i="7"/>
  <c r="B9" i="7"/>
  <c r="B2" i="29"/>
  <c r="C9" i="60" l="1" a="1"/>
  <c r="C10" i="45" a="1"/>
  <c r="C10" i="45" s="1"/>
  <c r="U26" i="7" a="1"/>
  <c r="D16" i="42" a="1"/>
  <c r="D16" i="42" s="1"/>
  <c r="Z8" i="66" s="1" a="1"/>
  <c r="Z8" i="66" s="1"/>
  <c r="C21" i="26" s="1" a="1"/>
  <c r="C14" i="21" a="1"/>
  <c r="F6" i="57" a="1"/>
  <c r="F6" i="57" s="1"/>
  <c r="AV1" i="31"/>
  <c r="U26" i="7" l="1"/>
  <c r="AG27" i="7"/>
  <c r="AG31" i="7"/>
  <c r="AG28" i="7"/>
  <c r="AG32" i="7"/>
  <c r="AG29" i="7"/>
  <c r="AG33" i="7"/>
  <c r="AG30" i="7"/>
  <c r="C9" i="60"/>
  <c r="A11" i="60"/>
  <c r="A12" i="60"/>
  <c r="A15" i="60"/>
  <c r="A16" i="60"/>
  <c r="A13" i="60"/>
  <c r="A14" i="60"/>
  <c r="A10" i="60"/>
  <c r="C14" i="21"/>
  <c r="A14" i="21" s="1"/>
  <c r="A15" i="21"/>
  <c r="A19" i="21"/>
  <c r="A17" i="21"/>
  <c r="A21" i="21"/>
  <c r="A18" i="21"/>
  <c r="A16" i="21"/>
  <c r="A20" i="21"/>
  <c r="C21" i="26"/>
  <c r="A25" i="26"/>
  <c r="A23" i="26"/>
  <c r="A28" i="26"/>
  <c r="A24" i="26"/>
  <c r="A26" i="26"/>
  <c r="A27" i="26"/>
  <c r="A22" i="26"/>
  <c r="AD375" i="66"/>
  <c r="AA375" i="66"/>
  <c r="AB375" i="66"/>
  <c r="Z375" i="66"/>
  <c r="AF375" i="66"/>
  <c r="AG375" i="66"/>
  <c r="AE375" i="66"/>
  <c r="AC375" i="66"/>
  <c r="F8" i="50" a="1"/>
  <c r="F8" i="50" s="1"/>
  <c r="C49" i="21" a="1"/>
  <c r="C49" i="21" s="1"/>
  <c r="E63" i="21" a="1"/>
  <c r="E63" i="21" s="1"/>
  <c r="H55" i="42"/>
  <c r="I56" i="42"/>
  <c r="J57" i="42"/>
  <c r="H50" i="42"/>
  <c r="H54" i="42"/>
  <c r="I55" i="42"/>
  <c r="J56" i="42"/>
  <c r="H58" i="42"/>
  <c r="I50" i="42"/>
  <c r="J51" i="42"/>
  <c r="I54" i="42"/>
  <c r="J55" i="42"/>
  <c r="H57" i="42"/>
  <c r="I58" i="42"/>
  <c r="J50" i="42"/>
  <c r="J54" i="42"/>
  <c r="H56" i="42"/>
  <c r="I57" i="42"/>
  <c r="J58" i="42"/>
  <c r="H51" i="42"/>
  <c r="I51" i="42"/>
  <c r="AW1" i="31"/>
  <c r="AG26" i="7" l="1"/>
  <c r="U40" i="7"/>
  <c r="V26" i="7" a="1"/>
  <c r="D9" i="60" a="1"/>
  <c r="D9" i="60" s="1"/>
  <c r="D38" i="60" s="1"/>
  <c r="A9" i="60"/>
  <c r="A21" i="26"/>
  <c r="C18" i="47" a="1"/>
  <c r="H37" i="65" s="1"/>
  <c r="AE1" i="50"/>
  <c r="C10" i="55" a="1"/>
  <c r="C10" i="55" s="1"/>
  <c r="F14" i="21" a="1"/>
  <c r="F14" i="21" s="1"/>
  <c r="AX1" i="31"/>
  <c r="AC33" i="7" l="1"/>
  <c r="AH33" i="7" s="1"/>
  <c r="AC28" i="7"/>
  <c r="AH28" i="7" s="1"/>
  <c r="AD33" i="7"/>
  <c r="V26" i="7"/>
  <c r="AA40" i="7"/>
  <c r="AC29" i="7"/>
  <c r="AH29" i="7" s="1"/>
  <c r="AD28" i="7"/>
  <c r="AD30" i="7"/>
  <c r="AB40" i="7"/>
  <c r="W40" i="7"/>
  <c r="AC31" i="7"/>
  <c r="AH31" i="7" s="1"/>
  <c r="AC32" i="7"/>
  <c r="AH32" i="7" s="1"/>
  <c r="AD32" i="7"/>
  <c r="AD27" i="7"/>
  <c r="AD29" i="7"/>
  <c r="Z40" i="7"/>
  <c r="Y40" i="7"/>
  <c r="X40" i="7"/>
  <c r="AC27" i="7"/>
  <c r="AH27" i="7" s="1"/>
  <c r="AC30" i="7"/>
  <c r="AH30" i="7" s="1"/>
  <c r="AD31" i="7"/>
  <c r="H35" i="65"/>
  <c r="H31" i="65"/>
  <c r="H27" i="65"/>
  <c r="H25" i="65"/>
  <c r="H22" i="65"/>
  <c r="H32" i="65"/>
  <c r="H24" i="65"/>
  <c r="H34" i="65"/>
  <c r="H30" i="65"/>
  <c r="H28" i="65"/>
  <c r="H23" i="65"/>
  <c r="H38" i="65"/>
  <c r="H33" i="65"/>
  <c r="H29" i="65"/>
  <c r="H36" i="65"/>
  <c r="H26" i="65"/>
  <c r="A26" i="47"/>
  <c r="A29" i="47"/>
  <c r="A40" i="47"/>
  <c r="A42" i="47"/>
  <c r="A45" i="47"/>
  <c r="A22" i="47"/>
  <c r="A28" i="47"/>
  <c r="A30" i="47"/>
  <c r="A32" i="47"/>
  <c r="A24" i="47"/>
  <c r="C18" i="47"/>
  <c r="H21" i="65" s="1"/>
  <c r="A39" i="47"/>
  <c r="A33" i="47"/>
  <c r="A25" i="47"/>
  <c r="A35" i="47"/>
  <c r="A43" i="47"/>
  <c r="A41" i="47"/>
  <c r="A23" i="47"/>
  <c r="A37" i="47"/>
  <c r="A31" i="47"/>
  <c r="A34" i="47"/>
  <c r="A27" i="47"/>
  <c r="A36" i="47"/>
  <c r="A38" i="47"/>
  <c r="A44" i="47"/>
  <c r="A21" i="47"/>
  <c r="AA1" i="50"/>
  <c r="AB1" i="50"/>
  <c r="AF1" i="50"/>
  <c r="G10" i="55" a="1"/>
  <c r="G10" i="55" s="1"/>
  <c r="I2" i="55" s="1" a="1"/>
  <c r="I2" i="55" s="1"/>
  <c r="AD1" i="50"/>
  <c r="E10" i="55" a="1"/>
  <c r="E10" i="55" s="1"/>
  <c r="E31" i="55" s="1"/>
  <c r="O16" i="58" s="1"/>
  <c r="AG1" i="50"/>
  <c r="Z1" i="50"/>
  <c r="AC1" i="50"/>
  <c r="F10" i="55" a="1"/>
  <c r="F10" i="55" s="1"/>
  <c r="AY1" i="31"/>
  <c r="AD26" i="7" l="1"/>
  <c r="AC26" i="7"/>
  <c r="V40" i="7"/>
  <c r="H8" i="51" a="1"/>
  <c r="H8" i="51" s="1"/>
  <c r="H1" i="51" s="1" a="1"/>
  <c r="H1" i="51" s="1"/>
  <c r="AZ1" i="31"/>
  <c r="AC40" i="7" l="1"/>
  <c r="AH26" i="7"/>
  <c r="AD40" i="7"/>
  <c r="E9" i="60" a="1"/>
  <c r="E9" i="60" s="1"/>
  <c r="BA1" i="31"/>
  <c r="Q9" i="60" l="1" a="1"/>
  <c r="Q9" i="60" s="1"/>
  <c r="E38" i="60"/>
  <c r="Q38" i="60" s="1"/>
  <c r="BB1" i="31"/>
  <c r="BC1" i="31" l="1"/>
  <c r="BD1" i="31" l="1"/>
  <c r="BE1" i="31" l="1"/>
  <c r="BF1" i="31" l="1"/>
  <c r="BG1" i="31" l="1"/>
  <c r="BH1" i="31" l="1"/>
  <c r="BI1" i="31" l="1"/>
  <c r="BJ1" i="31" l="1"/>
  <c r="BK1" i="31" l="1"/>
  <c r="BL1" i="31" l="1"/>
  <c r="BM1" i="31" l="1"/>
  <c r="BN1" i="31" l="1"/>
  <c r="BO1" i="31" l="1"/>
  <c r="BP1" i="31" l="1"/>
  <c r="BQ1" i="31" l="1"/>
  <c r="BR1" i="31" l="1"/>
  <c r="BS1" i="31" l="1"/>
  <c r="BT1" i="31" l="1"/>
  <c r="BU1" i="31" l="1"/>
  <c r="BV1" i="31" l="1"/>
  <c r="BW1" i="31" l="1"/>
  <c r="BX1" i="31" l="1"/>
  <c r="BY1" i="31" l="1"/>
  <c r="BZ1" i="31" l="1"/>
  <c r="CA1" i="31" l="1"/>
  <c r="CB1" i="31" l="1"/>
  <c r="CC1" i="31" l="1"/>
  <c r="CD1" i="31" l="1"/>
  <c r="CE1" i="31" l="1"/>
  <c r="CF1" i="31" l="1"/>
  <c r="CG1" i="31" l="1"/>
  <c r="CH1" i="31" l="1"/>
  <c r="CI1" i="31" l="1"/>
  <c r="CJ1" i="31" l="1"/>
  <c r="CK1" i="31" l="1"/>
  <c r="CL1" i="31" l="1"/>
  <c r="CM1" i="31" l="1"/>
  <c r="CN1" i="31" l="1"/>
  <c r="CO1" i="31" l="1"/>
  <c r="CP1" i="31" l="1"/>
  <c r="CQ1" i="31" l="1"/>
  <c r="CR1" i="31" l="1"/>
  <c r="CS1" i="31" l="1"/>
  <c r="CT1" i="31" l="1"/>
  <c r="CU1" i="31" l="1"/>
  <c r="CV1" i="31" l="1"/>
  <c r="CW1" i="31" l="1"/>
  <c r="CX1" i="31" l="1"/>
  <c r="CY1" i="31" l="1"/>
  <c r="CZ1" i="31" l="1"/>
  <c r="DA1" i="31" l="1"/>
  <c r="DB1" i="31" l="1"/>
  <c r="DC1" i="31" l="1"/>
  <c r="DD1" i="31" l="1"/>
  <c r="DE1" i="31" l="1"/>
  <c r="DF1" i="31" l="1"/>
  <c r="DG1" i="31" l="1"/>
  <c r="DH1" i="31" l="1"/>
  <c r="DI1" i="31" l="1"/>
  <c r="DJ1" i="31" l="1"/>
  <c r="DK1" i="31" l="1"/>
  <c r="DL1" i="31" l="1"/>
  <c r="DM1" i="31" l="1"/>
  <c r="DN1" i="31" l="1"/>
  <c r="DO1" i="31" l="1"/>
  <c r="DP1" i="31" l="1"/>
  <c r="DQ1" i="31" l="1"/>
  <c r="DR1" i="31" l="1"/>
  <c r="DS1" i="31" l="1"/>
  <c r="DT1" i="31" l="1"/>
  <c r="DU1" i="31" l="1"/>
  <c r="DV1" i="31" l="1"/>
  <c r="DW1" i="31" l="1"/>
  <c r="DX1" i="31" l="1"/>
  <c r="DY1" i="31" l="1"/>
  <c r="DZ1" i="31" l="1"/>
  <c r="EA1" i="31" l="1"/>
  <c r="EB1" i="31" l="1"/>
  <c r="EC1" i="31" l="1"/>
  <c r="ED1" i="31" l="1"/>
  <c r="EE1" i="31" l="1"/>
  <c r="EF1" i="31" l="1"/>
  <c r="EG1" i="31" l="1"/>
  <c r="EH1" i="31" l="1"/>
  <c r="EI1" i="31" l="1"/>
  <c r="EJ1" i="31" l="1"/>
  <c r="EK1" i="31" l="1"/>
  <c r="EL1" i="31" l="1"/>
  <c r="EM1" i="31" l="1"/>
  <c r="EN1" i="31" l="1"/>
  <c r="EO1" i="31" l="1"/>
  <c r="EP1" i="31" l="1"/>
  <c r="EQ1" i="31" l="1"/>
  <c r="ER1" i="31" l="1"/>
  <c r="ES1" i="31" l="1"/>
  <c r="ET1" i="31" l="1"/>
  <c r="EU1" i="31" l="1"/>
  <c r="EV1" i="31" l="1"/>
  <c r="EW1" i="31" l="1"/>
  <c r="EX1" i="31" l="1"/>
  <c r="EY1" i="31" l="1"/>
  <c r="EZ1" i="31" l="1"/>
  <c r="FA1" i="31" l="1"/>
  <c r="FB1" i="31" l="1"/>
  <c r="FC1" i="31" l="1"/>
  <c r="FD1" i="31" l="1"/>
  <c r="FE1" i="31" l="1"/>
  <c r="FF1" i="31" l="1"/>
  <c r="FG1" i="31" l="1"/>
  <c r="FH1" i="31" l="1"/>
  <c r="FI1" i="31" l="1"/>
  <c r="FJ1" i="31" l="1"/>
  <c r="FK1" i="31" l="1"/>
  <c r="FL1" i="31" l="1"/>
  <c r="FM1" i="31" l="1"/>
  <c r="FN1" i="31" l="1"/>
  <c r="FO1" i="31" l="1"/>
  <c r="FP1" i="31" l="1"/>
  <c r="FQ1" i="31" l="1"/>
  <c r="FR1" i="31" l="1"/>
  <c r="FS1" i="31" l="1"/>
  <c r="FT1" i="31" l="1"/>
  <c r="FU1" i="31" l="1"/>
  <c r="FV1" i="31" l="1"/>
  <c r="FW1" i="31" l="1"/>
  <c r="FX1" i="31" l="1"/>
  <c r="FY1" i="31" l="1"/>
  <c r="FZ1" i="31" l="1"/>
  <c r="GA1" i="31" l="1"/>
  <c r="GB1" i="31" l="1"/>
  <c r="GC1" i="31" l="1"/>
  <c r="GD1" i="31" l="1"/>
  <c r="GE1" i="31" l="1"/>
  <c r="GF1" i="31" l="1"/>
  <c r="GG1" i="31" l="1"/>
  <c r="GH1" i="31" l="1"/>
  <c r="GI1" i="31" l="1"/>
  <c r="GJ1" i="31" l="1"/>
  <c r="GK1" i="31" l="1"/>
  <c r="GL1" i="31" l="1"/>
  <c r="GM1" i="31" l="1"/>
  <c r="GN1" i="31" l="1"/>
  <c r="GO1" i="31" l="1"/>
  <c r="GP1" i="31" l="1"/>
  <c r="GQ1" i="31" l="1"/>
  <c r="GR1" i="31" l="1"/>
  <c r="GS1" i="31" l="1"/>
  <c r="GT1" i="31" l="1"/>
  <c r="GU1" i="31" l="1"/>
  <c r="GV1" i="31" l="1"/>
  <c r="GW1" i="31" l="1"/>
  <c r="GX1" i="31" l="1"/>
  <c r="GY1" i="31" l="1"/>
  <c r="GZ1" i="31" l="1"/>
  <c r="HA1" i="31" l="1"/>
  <c r="HB1" i="31" l="1"/>
  <c r="HC1" i="31" l="1"/>
  <c r="HD1" i="31" l="1"/>
  <c r="HE1" i="31" l="1"/>
  <c r="HF1" i="31" l="1"/>
  <c r="HG1" i="31" l="1"/>
  <c r="HH1" i="31" l="1"/>
  <c r="HI1" i="31" l="1"/>
  <c r="HJ1" i="31" l="1"/>
  <c r="HK1" i="31" l="1"/>
  <c r="HL1" i="31" l="1"/>
  <c r="HM1" i="31" l="1"/>
  <c r="HN1" i="31" l="1"/>
  <c r="HO1" i="31" l="1"/>
  <c r="HP1" i="31" l="1"/>
  <c r="HQ1" i="31" l="1"/>
  <c r="HR1" i="31" l="1"/>
  <c r="HS1" i="31" l="1"/>
  <c r="HT1" i="31" l="1"/>
  <c r="HU1" i="31" l="1"/>
  <c r="HV1" i="31" l="1"/>
  <c r="HW1" i="31" l="1"/>
  <c r="HX1" i="31" l="1"/>
  <c r="HY1" i="31" l="1"/>
  <c r="HZ1" i="31" l="1"/>
  <c r="IA1" i="31" l="1"/>
  <c r="IB1" i="31" l="1"/>
  <c r="IC1" i="31" l="1"/>
  <c r="ID1" i="31" l="1"/>
  <c r="IE1" i="31" l="1"/>
  <c r="IF1" i="31" l="1"/>
  <c r="IG1" i="31" l="1"/>
  <c r="IH1" i="31" l="1"/>
  <c r="II1" i="31" l="1"/>
  <c r="B2" i="26"/>
  <c r="IJ1" i="31" l="1"/>
  <c r="IK1" i="31" l="1"/>
  <c r="IL1" i="31" l="1"/>
  <c r="C2" i="7"/>
  <c r="C3" i="7"/>
  <c r="IM1" i="31" l="1"/>
  <c r="R10" i="31" l="1" a="1"/>
  <c r="X8" i="7" a="1"/>
  <c r="AP10" i="13" a="1"/>
  <c r="AQ13" i="13" s="1" a="1"/>
  <c r="AQ13" i="13" s="1"/>
  <c r="AS19" i="13" a="1"/>
  <c r="AS19" i="13" s="1"/>
  <c r="AP19" i="13" a="1"/>
  <c r="AP19" i="13" s="1"/>
  <c r="AQ19" i="13" s="1" a="1"/>
  <c r="AQ19" i="13" s="1"/>
  <c r="AQ17" i="13" a="1"/>
  <c r="AQ17" i="13" s="1"/>
  <c r="AI32" i="42" a="1"/>
  <c r="AI85" i="42"/>
  <c r="AE8" i="7" a="1"/>
  <c r="IN1" i="31"/>
  <c r="X8" i="7" l="1"/>
  <c r="AA9" i="65" s="1" a="1"/>
  <c r="AC13" i="65" s="1"/>
  <c r="AI32" i="42"/>
  <c r="R10" i="31"/>
  <c r="AE8" i="7"/>
  <c r="AE22" i="7" s="1"/>
  <c r="AG22" i="7" s="1"/>
  <c r="AG14" i="7"/>
  <c r="AQ16" i="13" a="1"/>
  <c r="AQ16" i="13" s="1"/>
  <c r="AQ14" i="13" a="1"/>
  <c r="AQ14" i="13" s="1"/>
  <c r="AQ11" i="13" a="1"/>
  <c r="AQ11" i="13" s="1"/>
  <c r="AQ12" i="13" a="1"/>
  <c r="AQ12" i="13" s="1"/>
  <c r="AP10" i="13"/>
  <c r="AQ10" i="13" s="1" a="1"/>
  <c r="AQ10" i="13" s="1"/>
  <c r="AQ15" i="13" a="1"/>
  <c r="AQ15" i="13" s="1"/>
  <c r="AG13" i="7"/>
  <c r="AG10" i="7"/>
  <c r="AG12" i="7"/>
  <c r="AG11" i="7"/>
  <c r="AG9" i="7"/>
  <c r="IO1" i="31"/>
  <c r="AC10" i="65" l="1"/>
  <c r="AA9" i="65"/>
  <c r="AC12" i="65"/>
  <c r="AC11" i="65"/>
  <c r="U9" i="42" a="1"/>
  <c r="U9" i="42" s="1"/>
  <c r="AG8" i="7"/>
  <c r="AH8" i="7" a="1"/>
  <c r="AH8" i="7" s="1"/>
  <c r="Z8" i="7"/>
  <c r="IP1" i="31"/>
  <c r="AC9" i="65" l="1"/>
  <c r="AA23" i="65"/>
  <c r="AC23" i="65" s="1"/>
  <c r="IQ1" i="31"/>
  <c r="IR1" i="31" l="1"/>
  <c r="IS1" i="31" l="1"/>
  <c r="IT1" i="31" l="1"/>
  <c r="IU1" i="31" l="1"/>
  <c r="IV1" i="31" l="1"/>
  <c r="IW1" i="31" l="1"/>
  <c r="IX1" i="31" l="1"/>
  <c r="IY1" i="31" l="1"/>
  <c r="IZ1" i="31" l="1"/>
  <c r="JA1" i="31" l="1"/>
  <c r="JB1" i="31" l="1"/>
  <c r="JC1" i="31" l="1"/>
  <c r="JD1" i="31" l="1"/>
  <c r="JE1" i="31" l="1"/>
  <c r="JF1" i="31" l="1"/>
  <c r="JG1" i="31" l="1"/>
  <c r="JH1" i="31" l="1"/>
  <c r="JI1" i="31" l="1"/>
  <c r="JJ1" i="31" l="1"/>
  <c r="JK1" i="31" l="1"/>
  <c r="JL1" i="31" l="1"/>
  <c r="JM1" i="31" l="1"/>
  <c r="JN1" i="31" l="1"/>
  <c r="JO1" i="31" l="1"/>
  <c r="JP1" i="31" l="1"/>
  <c r="K8" i="13"/>
  <c r="G46" i="21"/>
  <c r="F44" i="21"/>
  <c r="B3" i="21"/>
  <c r="B2" i="21"/>
  <c r="K18" i="13" l="1"/>
  <c r="K10" i="13"/>
  <c r="K12" i="13"/>
  <c r="JQ1" i="31"/>
  <c r="A51" i="7"/>
  <c r="A52" i="7"/>
  <c r="JR1" i="31" l="1"/>
  <c r="D9" i="13"/>
  <c r="D8" i="13"/>
  <c r="D17" i="13" s="1"/>
  <c r="C9" i="13"/>
  <c r="C10" i="13"/>
  <c r="C8" i="13"/>
  <c r="D13" i="13"/>
  <c r="JS1" i="31" l="1"/>
  <c r="JT1" i="31" l="1"/>
  <c r="JU1" i="31" l="1"/>
  <c r="JV1" i="31" l="1"/>
  <c r="JW1" i="31" l="1"/>
  <c r="JX1" i="31" l="1"/>
  <c r="JY1" i="31" l="1"/>
  <c r="A45" i="7"/>
  <c r="M45" i="7" s="1"/>
  <c r="A46" i="7"/>
  <c r="M46" i="7" s="1"/>
  <c r="A47" i="7"/>
  <c r="M47" i="7" s="1"/>
  <c r="A48" i="7"/>
  <c r="A49" i="7"/>
  <c r="A50" i="7"/>
  <c r="M50" i="7" s="1"/>
  <c r="A54" i="7"/>
  <c r="A55" i="7"/>
  <c r="A44" i="7"/>
  <c r="M44" i="7" s="1"/>
  <c r="A43" i="7"/>
  <c r="A42" i="7"/>
  <c r="A41" i="7"/>
  <c r="A40" i="7"/>
  <c r="M40" i="7" s="1"/>
  <c r="A39" i="7"/>
  <c r="M39" i="7" s="1"/>
  <c r="A38" i="7"/>
  <c r="M38" i="7" s="1"/>
  <c r="A37" i="7"/>
  <c r="A36" i="7"/>
  <c r="M36" i="7" s="1"/>
  <c r="A35" i="7"/>
  <c r="M35" i="7" s="1"/>
  <c r="A34" i="7"/>
  <c r="M34" i="7" s="1"/>
  <c r="A33" i="7"/>
  <c r="M33" i="7" s="1"/>
  <c r="A32" i="7"/>
  <c r="M32" i="7" s="1"/>
  <c r="A31" i="7"/>
  <c r="M31" i="7" s="1"/>
  <c r="A30" i="7"/>
  <c r="A29" i="7"/>
  <c r="A28" i="7"/>
  <c r="A27" i="7"/>
  <c r="A26" i="7"/>
  <c r="M26" i="7" s="1"/>
  <c r="A25" i="7"/>
  <c r="M25" i="7" s="1"/>
  <c r="A24" i="7"/>
  <c r="M24" i="7" s="1"/>
  <c r="A23" i="7"/>
  <c r="M23" i="7" s="1"/>
  <c r="A22" i="7"/>
  <c r="M22" i="7" s="1"/>
  <c r="A21" i="7"/>
  <c r="M21" i="7" s="1"/>
  <c r="A20" i="7"/>
  <c r="M20" i="7" s="1"/>
  <c r="A19" i="7"/>
  <c r="M19" i="7" s="1"/>
  <c r="A18" i="7"/>
  <c r="A17" i="7"/>
  <c r="A16" i="7"/>
  <c r="A15" i="7"/>
  <c r="A14" i="7"/>
  <c r="A13" i="7"/>
  <c r="A12" i="7"/>
  <c r="A11" i="7"/>
  <c r="M11" i="7" s="1"/>
  <c r="A10" i="7"/>
  <c r="M10" i="7" s="1"/>
  <c r="A9" i="7"/>
  <c r="M48" i="7" l="1"/>
  <c r="M49" i="7"/>
  <c r="M43" i="7"/>
  <c r="M42" i="7"/>
  <c r="M41" i="7"/>
  <c r="M37" i="7"/>
  <c r="M30" i="7"/>
  <c r="M29" i="7"/>
  <c r="M28" i="7"/>
  <c r="M27" i="7"/>
  <c r="M18" i="7"/>
  <c r="M17" i="7"/>
  <c r="M16" i="7"/>
  <c r="M15" i="7"/>
  <c r="M14" i="7"/>
  <c r="M13" i="7"/>
  <c r="M12" i="7"/>
  <c r="M9" i="7"/>
  <c r="AB38" i="65"/>
  <c r="AA8" i="7" a="1"/>
  <c r="JZ1" i="31"/>
  <c r="D9" i="64" l="1" a="1"/>
  <c r="AA8" i="7"/>
  <c r="KA1" i="31"/>
  <c r="I75" i="64" l="1"/>
  <c r="G75" i="64"/>
  <c r="D9" i="64"/>
  <c r="KB1" i="31"/>
  <c r="KC1" i="31" l="1"/>
  <c r="KD1" i="31" l="1"/>
  <c r="KE1" i="31" l="1"/>
  <c r="KF1" i="31" l="1"/>
  <c r="KG1" i="31" l="1"/>
  <c r="KH1" i="31" l="1"/>
  <c r="KI1" i="31" l="1"/>
  <c r="KJ1" i="31" l="1"/>
  <c r="KK1" i="31" l="1"/>
  <c r="KL1" i="31" l="1"/>
  <c r="KM1" i="31" l="1"/>
  <c r="KN1" i="31" l="1"/>
  <c r="KO1" i="31" l="1"/>
  <c r="KP1" i="31" l="1"/>
  <c r="KQ1" i="31" l="1"/>
  <c r="KR1" i="31" l="1"/>
  <c r="KS1" i="31" l="1"/>
  <c r="KT1" i="31" l="1"/>
  <c r="KU1" i="31" l="1"/>
  <c r="KV1" i="31" l="1"/>
  <c r="KW1" i="31" l="1"/>
  <c r="KX1" i="31" l="1"/>
  <c r="KY1" i="31" l="1"/>
  <c r="KZ1" i="31" l="1"/>
  <c r="LA1" i="31" l="1"/>
  <c r="LB1" i="31" l="1"/>
  <c r="LC1" i="31" l="1"/>
  <c r="LD1" i="31" l="1"/>
  <c r="LE1" i="31" l="1"/>
  <c r="LF1" i="31" l="1"/>
  <c r="LG1" i="31" l="1"/>
  <c r="LH1" i="31" l="1"/>
  <c r="LI1" i="31" l="1"/>
  <c r="LJ1" i="31" l="1"/>
  <c r="LK1" i="31" l="1"/>
  <c r="LL1" i="31" l="1"/>
  <c r="LM1" i="31" l="1"/>
  <c r="B2" i="13"/>
  <c r="B3" i="13"/>
  <c r="LN1" i="31" l="1"/>
  <c r="LO1" i="31" l="1"/>
  <c r="LP1" i="31" l="1"/>
  <c r="LQ1" i="31" l="1"/>
  <c r="LR1" i="31" l="1"/>
  <c r="LS1" i="31" l="1"/>
  <c r="LT1" i="31" l="1"/>
  <c r="LU1" i="31" l="1"/>
  <c r="LV1" i="31" l="1"/>
  <c r="LW1" i="31" l="1"/>
  <c r="LX1" i="31" l="1"/>
  <c r="LY1" i="31" l="1"/>
  <c r="LZ1" i="31" l="1"/>
  <c r="MA1" i="31" l="1"/>
  <c r="MB1" i="31" l="1"/>
  <c r="MC1" i="31" l="1"/>
  <c r="MD1" i="31" l="1"/>
  <c r="ME1" i="31" l="1"/>
  <c r="MF1" i="31" l="1"/>
  <c r="MG1" i="31" l="1"/>
  <c r="MH1" i="31" l="1"/>
  <c r="MI1" i="31" l="1"/>
  <c r="MJ1" i="31" l="1"/>
  <c r="MK1" i="31" l="1"/>
  <c r="ML1" i="31" l="1"/>
  <c r="MM1" i="31" l="1"/>
  <c r="MN1" i="31" l="1"/>
  <c r="MO1" i="31" l="1"/>
  <c r="MP1" i="31" l="1"/>
  <c r="MQ1" i="31" l="1"/>
  <c r="MR1" i="31" l="1"/>
  <c r="MS1" i="31" l="1"/>
  <c r="MT1" i="31" l="1"/>
  <c r="MU1" i="31" l="1"/>
  <c r="MV1" i="31" l="1"/>
  <c r="MW1" i="31" l="1"/>
  <c r="MX1" i="31" l="1"/>
  <c r="MY1" i="31" l="1"/>
  <c r="MZ1" i="31" l="1"/>
  <c r="NA1" i="31" l="1"/>
  <c r="NB1" i="31" l="1"/>
  <c r="NC1" i="31" l="1"/>
  <c r="ND1" i="31" l="1"/>
  <c r="NE1" i="31" l="1"/>
  <c r="NF1" i="31" l="1"/>
  <c r="NG1" i="31" l="1"/>
  <c r="NH1" i="31" l="1"/>
  <c r="NI1" i="31" l="1"/>
  <c r="NJ1" i="31" l="1"/>
  <c r="NK1" i="31" l="1"/>
  <c r="NL1" i="31" l="1"/>
  <c r="NM1" i="31" l="1"/>
  <c r="NN1" i="31" l="1"/>
  <c r="NO1" i="31" l="1"/>
  <c r="NP1" i="31" l="1"/>
  <c r="NQ1" i="31" l="1"/>
  <c r="NR1" i="31" l="1"/>
  <c r="NS1" i="31" l="1"/>
  <c r="NT1" i="31" l="1"/>
  <c r="NU1" i="31" l="1"/>
  <c r="NV1" i="31" l="1"/>
  <c r="NW1" i="31" l="1"/>
  <c r="NX1" i="31" l="1"/>
  <c r="NY1" i="31" l="1"/>
  <c r="NZ1" i="31" l="1"/>
  <c r="OA1" i="31" l="1"/>
  <c r="OB1" i="31" l="1"/>
  <c r="OC1" i="31" l="1"/>
  <c r="OD1" i="31" l="1"/>
  <c r="OE1" i="31" l="1"/>
  <c r="OF1" i="31" l="1"/>
  <c r="OG1" i="31" l="1"/>
  <c r="F69" i="31" l="1"/>
  <c r="H34" i="31"/>
  <c r="I34" i="31" s="1"/>
  <c r="J34" i="31" s="1"/>
  <c r="K34" i="31" s="1"/>
  <c r="L34" i="31" s="1"/>
  <c r="M34" i="31" s="1"/>
  <c r="N34" i="31" s="1"/>
  <c r="O34" i="31" s="1"/>
  <c r="P34" i="31" s="1"/>
  <c r="Q34" i="31" s="1"/>
  <c r="R34" i="31" s="1"/>
  <c r="S34" i="31" s="1"/>
  <c r="T34" i="31" s="1"/>
  <c r="U34" i="31" s="1"/>
  <c r="V34" i="31" s="1"/>
  <c r="W34" i="31" s="1"/>
  <c r="X34" i="31" s="1"/>
  <c r="Y34" i="31" s="1"/>
  <c r="Z34" i="31" s="1"/>
  <c r="AA34" i="31" s="1"/>
  <c r="AB34" i="31" s="1"/>
  <c r="AC34" i="31" s="1"/>
  <c r="AD34" i="31" s="1"/>
  <c r="AE34" i="31" s="1"/>
  <c r="AF34" i="31" s="1"/>
  <c r="F32" i="31"/>
  <c r="B3" i="34"/>
  <c r="B2" i="34"/>
  <c r="AB8" i="31"/>
  <c r="AY30" i="42" s="1"/>
  <c r="AY31" i="42" l="1"/>
  <c r="R32" i="42" a="1"/>
  <c r="R32" i="42" s="1"/>
  <c r="F60" i="31"/>
  <c r="H10" i="45" l="1" a="1"/>
  <c r="H10" i="45" s="1"/>
  <c r="I10" i="45" a="1"/>
  <c r="I10" i="45" s="1"/>
  <c r="K10" i="45" a="1"/>
  <c r="K10" i="45" s="1"/>
  <c r="J10" i="45" s="1" a="1"/>
  <c r="J10" i="45" s="1"/>
  <c r="O10" i="45" a="1"/>
  <c r="O10" i="45" s="1"/>
  <c r="O63" i="45" s="1"/>
  <c r="F59" i="31"/>
  <c r="Z31" i="42"/>
  <c r="I63" i="45" l="1"/>
  <c r="Q10" i="45" a="1"/>
  <c r="Q10" i="45" s="1"/>
  <c r="Q63" i="45" s="1"/>
  <c r="M10" i="45" a="1"/>
  <c r="M10" i="45" s="1"/>
  <c r="M63" i="45" s="1"/>
  <c r="H63" i="45"/>
  <c r="N10" i="45" a="1"/>
  <c r="N10" i="45" s="1"/>
  <c r="N63" i="45" s="1"/>
  <c r="I11" i="58"/>
  <c r="AX31" i="42"/>
  <c r="R30" i="31"/>
  <c r="L10" i="45" l="1" a="1"/>
  <c r="L10" i="45" s="1"/>
  <c r="L63" i="45" s="1"/>
  <c r="R91" i="42" a="1"/>
  <c r="Y20" i="31"/>
  <c r="R91" i="42" l="1"/>
  <c r="M12" i="31"/>
  <c r="M14" i="31"/>
  <c r="M13" i="31" l="1"/>
  <c r="M20" i="31" l="1"/>
  <c r="K14" i="13" l="1"/>
  <c r="C9" i="44" l="1" a="1"/>
  <c r="C9" i="44" s="1"/>
  <c r="F1" i="26" a="1"/>
  <c r="F1" i="26" s="1"/>
  <c r="F7" i="26" a="1"/>
  <c r="F7" i="26" s="1"/>
  <c r="H13" i="29" l="1"/>
  <c r="H14" i="29"/>
  <c r="Q9" i="44" a="1"/>
  <c r="H9" i="29"/>
  <c r="H10" i="29"/>
  <c r="H11" i="29"/>
  <c r="H12" i="29"/>
  <c r="A9" i="44" a="1"/>
  <c r="A9" i="44" s="1"/>
  <c r="D9" i="44" a="1"/>
  <c r="D9" i="44" s="1"/>
  <c r="F8" i="26" a="1"/>
  <c r="K16" i="13"/>
  <c r="P9" i="63" l="1" a="1"/>
  <c r="P9" i="63" s="1"/>
  <c r="AC9" i="63" s="1" a="1"/>
  <c r="AC9" i="63" s="1"/>
  <c r="AC5" i="63" s="1"/>
  <c r="J9" i="63" a="1"/>
  <c r="J9" i="63" s="1"/>
  <c r="X9" i="63" s="1" a="1"/>
  <c r="X9" i="63" s="1"/>
  <c r="N9" i="63"/>
  <c r="V19" i="65"/>
  <c r="F9" i="44" a="1"/>
  <c r="F9" i="44" s="1"/>
  <c r="L9" i="44" a="1"/>
  <c r="L9" i="44" s="1"/>
  <c r="L5" i="44" s="1"/>
  <c r="Q9" i="44"/>
  <c r="S9" i="44" s="1"/>
  <c r="F8" i="26"/>
  <c r="K9" i="63" l="1" a="1"/>
  <c r="K9" i="63" s="1"/>
  <c r="Y9" i="63" s="1" a="1"/>
  <c r="Y9" i="63" s="1"/>
  <c r="Z9" i="63" s="1" a="1"/>
  <c r="J9" i="44"/>
  <c r="V18" i="65"/>
  <c r="D16" i="58"/>
  <c r="OF54" i="31"/>
  <c r="NX54" i="31"/>
  <c r="NP54" i="31"/>
  <c r="NH54" i="31"/>
  <c r="MZ54" i="31"/>
  <c r="MR54" i="31"/>
  <c r="MJ54" i="31"/>
  <c r="MB54" i="31"/>
  <c r="LT54" i="31"/>
  <c r="LL54" i="31"/>
  <c r="LD54" i="31"/>
  <c r="KV54" i="31"/>
  <c r="KN54" i="31"/>
  <c r="KF54" i="31"/>
  <c r="JX54" i="31"/>
  <c r="JP54" i="31"/>
  <c r="JH54" i="31"/>
  <c r="IZ54" i="31"/>
  <c r="IR54" i="31"/>
  <c r="IJ54" i="31"/>
  <c r="IB54" i="31"/>
  <c r="HT54" i="31"/>
  <c r="HL54" i="31"/>
  <c r="HD54" i="31"/>
  <c r="NW54" i="31"/>
  <c r="NO54" i="31"/>
  <c r="NG54" i="31"/>
  <c r="MY54" i="31"/>
  <c r="MQ54" i="31"/>
  <c r="MI54" i="31"/>
  <c r="MA54" i="31"/>
  <c r="LS54" i="31"/>
  <c r="LK54" i="31"/>
  <c r="LC54" i="31"/>
  <c r="KU54" i="31"/>
  <c r="KM54" i="31"/>
  <c r="KE54" i="31"/>
  <c r="JW54" i="31"/>
  <c r="JO54" i="31"/>
  <c r="JG54" i="31"/>
  <c r="IY54" i="31"/>
  <c r="IQ54" i="31"/>
  <c r="II54" i="31"/>
  <c r="IA54" i="31"/>
  <c r="HS54" i="31"/>
  <c r="HK54" i="31"/>
  <c r="NV54" i="31"/>
  <c r="NN54" i="31"/>
  <c r="NF54" i="31"/>
  <c r="MX54" i="31"/>
  <c r="MP54" i="31"/>
  <c r="MH54" i="31"/>
  <c r="LZ54" i="31"/>
  <c r="LR54" i="31"/>
  <c r="LJ54" i="31"/>
  <c r="LB54" i="31"/>
  <c r="KT54" i="31"/>
  <c r="KL54" i="31"/>
  <c r="KD54" i="31"/>
  <c r="JV54" i="31"/>
  <c r="JN54" i="31"/>
  <c r="JF54" i="31"/>
  <c r="IX54" i="31"/>
  <c r="IP54" i="31"/>
  <c r="IH54" i="31"/>
  <c r="HZ54" i="31"/>
  <c r="OE54" i="31"/>
  <c r="OD54" i="31"/>
  <c r="OC54" i="31"/>
  <c r="NU54" i="31"/>
  <c r="NM54" i="31"/>
  <c r="NE54" i="31"/>
  <c r="MW54" i="31"/>
  <c r="MO54" i="31"/>
  <c r="MG54" i="31"/>
  <c r="LY54" i="31"/>
  <c r="LQ54" i="31"/>
  <c r="LI54" i="31"/>
  <c r="LA54" i="31"/>
  <c r="KS54" i="31"/>
  <c r="KK54" i="31"/>
  <c r="KC54" i="31"/>
  <c r="JU54" i="31"/>
  <c r="JM54" i="31"/>
  <c r="JE54" i="31"/>
  <c r="IW54" i="31"/>
  <c r="IO54" i="31"/>
  <c r="IG54" i="31"/>
  <c r="HY54" i="31"/>
  <c r="HQ54" i="31"/>
  <c r="HI54" i="31"/>
  <c r="NT54" i="31"/>
  <c r="NL54" i="31"/>
  <c r="ND54" i="31"/>
  <c r="MV54" i="31"/>
  <c r="MN54" i="31"/>
  <c r="MF54" i="31"/>
  <c r="LX54" i="31"/>
  <c r="LP54" i="31"/>
  <c r="LH54" i="31"/>
  <c r="KZ54" i="31"/>
  <c r="KR54" i="31"/>
  <c r="KJ54" i="31"/>
  <c r="KB54" i="31"/>
  <c r="JT54" i="31"/>
  <c r="JL54" i="31"/>
  <c r="JD54" i="31"/>
  <c r="IV54" i="31"/>
  <c r="IN54" i="31"/>
  <c r="IF54" i="31"/>
  <c r="HX54" i="31"/>
  <c r="HP54" i="31"/>
  <c r="HH54" i="31"/>
  <c r="NC54" i="31"/>
  <c r="ME54" i="31"/>
  <c r="LO54" i="31"/>
  <c r="LG54" i="31"/>
  <c r="KQ54" i="31"/>
  <c r="KI54" i="31"/>
  <c r="KA54" i="31"/>
  <c r="JK54" i="31"/>
  <c r="JC54" i="31"/>
  <c r="IM54" i="31"/>
  <c r="HW54" i="31"/>
  <c r="HO54" i="31"/>
  <c r="HG54" i="31"/>
  <c r="OB54" i="31"/>
  <c r="OA54" i="31"/>
  <c r="NS54" i="31"/>
  <c r="NK54" i="31"/>
  <c r="MU54" i="31"/>
  <c r="MM54" i="31"/>
  <c r="LW54" i="31"/>
  <c r="KY54" i="31"/>
  <c r="JS54" i="31"/>
  <c r="IU54" i="31"/>
  <c r="IE54" i="31"/>
  <c r="NZ54" i="31"/>
  <c r="NR54" i="31"/>
  <c r="NJ54" i="31"/>
  <c r="NB54" i="31"/>
  <c r="MT54" i="31"/>
  <c r="ML54" i="31"/>
  <c r="MD54" i="31"/>
  <c r="LV54" i="31"/>
  <c r="LN54" i="31"/>
  <c r="LF54" i="31"/>
  <c r="KX54" i="31"/>
  <c r="KP54" i="31"/>
  <c r="KH54" i="31"/>
  <c r="JZ54" i="31"/>
  <c r="JR54" i="31"/>
  <c r="JJ54" i="31"/>
  <c r="JB54" i="31"/>
  <c r="IT54" i="31"/>
  <c r="IL54" i="31"/>
  <c r="ID54" i="31"/>
  <c r="HV54" i="31"/>
  <c r="HN54" i="31"/>
  <c r="HF54" i="31"/>
  <c r="NY54" i="31"/>
  <c r="OG54" i="31"/>
  <c r="NI54" i="31"/>
  <c r="KW54" i="31"/>
  <c r="IK54" i="31"/>
  <c r="NA54" i="31"/>
  <c r="IC54" i="31"/>
  <c r="MS54" i="31"/>
  <c r="KG54" i="31"/>
  <c r="JY54" i="31"/>
  <c r="MC54" i="31"/>
  <c r="HM54" i="31"/>
  <c r="LU54" i="31"/>
  <c r="LM54" i="31"/>
  <c r="HE54" i="31"/>
  <c r="LE54" i="31"/>
  <c r="KO54" i="31"/>
  <c r="HU54" i="31"/>
  <c r="MK54" i="31"/>
  <c r="HR54" i="31"/>
  <c r="JQ54" i="31"/>
  <c r="JI54" i="31"/>
  <c r="HJ54" i="31"/>
  <c r="JA54" i="31"/>
  <c r="NQ54" i="31"/>
  <c r="IS54" i="31"/>
  <c r="H8" i="29"/>
  <c r="W8" i="29" s="1" a="1"/>
  <c r="Y9" i="44" a="1"/>
  <c r="Y9" i="44" s="1"/>
  <c r="Y5" i="44" s="1"/>
  <c r="F5" i="44"/>
  <c r="T9" i="44" a="1"/>
  <c r="T9" i="44" s="1"/>
  <c r="R31" i="58" l="1"/>
  <c r="G31" i="58"/>
  <c r="Q31" i="58"/>
  <c r="H31" i="58"/>
  <c r="O31" i="58"/>
  <c r="Z9" i="63"/>
  <c r="W10" i="63" s="1"/>
  <c r="W15" i="63"/>
  <c r="W13" i="63"/>
  <c r="W22" i="63"/>
  <c r="W20" i="63"/>
  <c r="W14" i="63"/>
  <c r="W16" i="63"/>
  <c r="W11" i="63"/>
  <c r="W19" i="63"/>
  <c r="W17" i="63"/>
  <c r="W21" i="63"/>
  <c r="W18" i="63"/>
  <c r="W12" i="63"/>
  <c r="W8" i="29"/>
  <c r="N9" i="66" s="1" a="1"/>
  <c r="N9" i="66" s="1"/>
  <c r="O8" i="29" a="1"/>
  <c r="O8" i="29" s="1"/>
  <c r="P8" i="29" s="1" a="1"/>
  <c r="P8" i="29" s="1"/>
  <c r="H21" i="29"/>
  <c r="J9" i="65" s="1"/>
  <c r="N376" i="66" l="1" a="1"/>
  <c r="N376" i="66" s="1"/>
  <c r="N373" i="66" s="1"/>
  <c r="N369" i="66"/>
  <c r="N7" i="66"/>
  <c r="X9" i="66" a="1"/>
  <c r="X9" i="66" s="1"/>
  <c r="G21" i="29"/>
  <c r="J10" i="65" s="1"/>
  <c r="AB31" i="65"/>
  <c r="AB32" i="65" s="1"/>
  <c r="E36" i="57"/>
  <c r="G15" i="58" s="1"/>
  <c r="D15" i="58"/>
  <c r="F19" i="26" l="1" a="1"/>
  <c r="F19" i="26" s="1"/>
  <c r="D19" i="26" s="1"/>
  <c r="BJ9" i="66" a="1"/>
  <c r="BJ9" i="66" s="1"/>
  <c r="X376" i="66" a="1"/>
  <c r="X376" i="66" s="1"/>
  <c r="X373" i="66" s="1"/>
  <c r="X369" i="66"/>
  <c r="X7" i="66"/>
  <c r="J22" i="65" s="1"/>
  <c r="G30" i="58"/>
  <c r="BJ7" i="66" l="1"/>
  <c r="F58" i="26" a="1"/>
  <c r="F58" i="26" s="1"/>
  <c r="BL9" i="66" a="1"/>
  <c r="BL9" i="66" s="1"/>
  <c r="O9" i="63" a="1"/>
  <c r="O9" i="63" s="1"/>
  <c r="AB9" i="63" s="1" a="1"/>
  <c r="AB9" i="63" s="1"/>
  <c r="AB5" i="63" s="1"/>
  <c r="I9" i="63" a="1"/>
  <c r="I9" i="63" s="1"/>
  <c r="K9" i="44" a="1"/>
  <c r="K9" i="44" s="1"/>
  <c r="F60" i="26" l="1" a="1"/>
  <c r="F60" i="26" s="1"/>
  <c r="D60" i="26" s="1"/>
  <c r="BL7" i="66"/>
  <c r="BL376" i="66" a="1"/>
  <c r="BL376" i="66" s="1"/>
  <c r="BL373" i="66" s="1"/>
  <c r="BL369" i="66"/>
  <c r="V16" i="65"/>
  <c r="L9" i="63" a="1"/>
  <c r="L9" i="63" s="1"/>
  <c r="M9" i="63" s="1" a="1"/>
  <c r="M9" i="63" s="1"/>
  <c r="W9" i="63"/>
  <c r="D18" i="51"/>
  <c r="D17" i="51" s="1" a="1"/>
  <c r="D17" i="51" s="1"/>
  <c r="D16" i="53"/>
  <c r="K5" i="44"/>
  <c r="J15" i="58" s="1"/>
  <c r="J30" i="58" s="1"/>
  <c r="L22" i="65" l="1" a="1"/>
  <c r="L22" i="65" s="1"/>
  <c r="K22" i="65" a="1"/>
  <c r="K22" i="65" s="1"/>
  <c r="D15" i="53" a="1"/>
  <c r="D15" i="53" s="1"/>
  <c r="L15" i="58"/>
  <c r="L30" i="58" s="1"/>
  <c r="C99" i="42" a="1"/>
  <c r="C99" i="42" s="1"/>
  <c r="AA9" i="13" l="1" a="1"/>
  <c r="AA9" i="13" s="1"/>
  <c r="X9" i="44" l="1" a="1"/>
  <c r="X9" i="44" s="1"/>
  <c r="X5" i="44" s="1"/>
  <c r="N9" i="13" l="1" a="1"/>
  <c r="N9" i="13" l="1"/>
  <c r="AI410" i="56" l="1"/>
  <c r="AN437" i="56"/>
  <c r="AN438" i="56"/>
  <c r="AN433" i="56"/>
  <c r="AN428" i="56"/>
  <c r="AN439" i="56"/>
  <c r="AN434" i="56"/>
  <c r="AN427" i="56"/>
  <c r="AN430" i="56"/>
  <c r="AN435" i="56"/>
  <c r="AN426" i="56"/>
  <c r="AT440" i="56"/>
  <c r="AN440" i="56"/>
  <c r="AN431" i="56"/>
  <c r="AN432" i="56"/>
  <c r="AN421" i="56"/>
  <c r="AN436" i="56"/>
  <c r="G440" i="56"/>
  <c r="AN429" i="56"/>
  <c r="F7" i="47" a="1"/>
  <c r="R9" i="44" a="1"/>
  <c r="R9" i="44" s="1"/>
  <c r="F8" i="47" a="1"/>
  <c r="F8" i="47" s="1"/>
  <c r="G13" i="21" a="1"/>
  <c r="G13" i="21" s="1"/>
  <c r="F7" i="47" l="1"/>
  <c r="F23" i="47" s="1" a="1"/>
  <c r="F23" i="47" s="1"/>
  <c r="D23" i="47" s="1"/>
  <c r="I1" i="47"/>
  <c r="M1" i="47"/>
  <c r="Q1" i="47"/>
  <c r="P1" i="47"/>
  <c r="J1" i="47"/>
  <c r="N1" i="47"/>
  <c r="L1" i="47"/>
  <c r="K1" i="47"/>
  <c r="O1" i="47"/>
  <c r="H1" i="47"/>
  <c r="G12" i="21" a="1"/>
  <c r="G12" i="21" s="1"/>
  <c r="F11" i="47" l="1" a="1"/>
  <c r="F11" i="47" s="1"/>
  <c r="F45" i="47" a="1"/>
  <c r="F45" i="47" s="1"/>
  <c r="D45" i="47" s="1"/>
  <c r="F43" i="47" a="1"/>
  <c r="F43" i="47" s="1"/>
  <c r="D43" i="47" s="1"/>
  <c r="F33" i="47" a="1"/>
  <c r="F33" i="47" s="1"/>
  <c r="D33" i="47" s="1"/>
  <c r="F55" i="47" a="1"/>
  <c r="F55" i="47" s="1"/>
  <c r="F22" i="47" a="1"/>
  <c r="F22" i="47" s="1"/>
  <c r="D22" i="47" s="1"/>
  <c r="F58" i="47" a="1"/>
  <c r="F58" i="47" s="1"/>
  <c r="D58" i="47" s="1"/>
  <c r="J35" i="65" s="1"/>
  <c r="F30" i="47" a="1"/>
  <c r="F30" i="47" s="1"/>
  <c r="D30" i="47" s="1"/>
  <c r="F46" i="47" a="1"/>
  <c r="F46" i="47" s="1"/>
  <c r="D46" i="47" s="1"/>
  <c r="F42" i="47" a="1"/>
  <c r="F42" i="47" s="1"/>
  <c r="D42" i="47" s="1"/>
  <c r="F29" i="47" a="1"/>
  <c r="F29" i="47" s="1"/>
  <c r="D29" i="47" s="1"/>
  <c r="F27" i="47" a="1"/>
  <c r="F27" i="47" s="1"/>
  <c r="D27" i="47" s="1"/>
  <c r="F24" i="47" a="1"/>
  <c r="F24" i="47" s="1"/>
  <c r="D24" i="47" s="1"/>
  <c r="F35" i="47" a="1"/>
  <c r="F35" i="47" s="1"/>
  <c r="D35" i="47" s="1"/>
  <c r="F36" i="47" a="1"/>
  <c r="F36" i="47" s="1"/>
  <c r="D36" i="47" s="1"/>
  <c r="F40" i="47" a="1"/>
  <c r="F40" i="47" s="1"/>
  <c r="D40" i="47" s="1"/>
  <c r="F26" i="47" a="1"/>
  <c r="F26" i="47" s="1"/>
  <c r="D26" i="47" s="1"/>
  <c r="F28" i="47" a="1"/>
  <c r="F28" i="47" s="1"/>
  <c r="D28" i="47" s="1"/>
  <c r="F44" i="47" a="1"/>
  <c r="F44" i="47" s="1"/>
  <c r="D44" i="47" s="1"/>
  <c r="F59" i="47" a="1"/>
  <c r="F59" i="47" s="1"/>
  <c r="D59" i="47" s="1"/>
  <c r="J36" i="65" s="1"/>
  <c r="F56" i="47" a="1"/>
  <c r="F56" i="47" s="1"/>
  <c r="D56" i="47" s="1"/>
  <c r="F31" i="47" a="1"/>
  <c r="F31" i="47" s="1"/>
  <c r="D31" i="47" s="1"/>
  <c r="F12" i="47" a="1"/>
  <c r="F12" i="47" s="1"/>
  <c r="F10" i="47" a="1"/>
  <c r="F10" i="47" s="1"/>
  <c r="F19" i="47" a="1"/>
  <c r="F19" i="47" s="1"/>
  <c r="D19" i="47" s="1"/>
  <c r="F32" i="47" a="1"/>
  <c r="F32" i="47" s="1"/>
  <c r="D32" i="47" s="1"/>
  <c r="F38" i="47" a="1"/>
  <c r="F38" i="47" s="1"/>
  <c r="D38" i="47" s="1"/>
  <c r="F41" i="47" a="1"/>
  <c r="F41" i="47" s="1"/>
  <c r="D41" i="47" s="1"/>
  <c r="F25" i="47" a="1"/>
  <c r="F25" i="47" s="1"/>
  <c r="D25" i="47" s="1"/>
  <c r="F37" i="47" a="1"/>
  <c r="F37" i="47" s="1"/>
  <c r="D37" i="47" s="1"/>
  <c r="F39" i="47" a="1"/>
  <c r="F39" i="47" s="1"/>
  <c r="D39" i="47" s="1"/>
  <c r="G1" i="47"/>
  <c r="F54" i="47" a="1"/>
  <c r="F54" i="47" s="1"/>
  <c r="F60" i="47" a="1"/>
  <c r="F60" i="47" s="1"/>
  <c r="D60" i="47" s="1"/>
  <c r="F21" i="47" a="1"/>
  <c r="F21" i="47" s="1"/>
  <c r="D21" i="47" s="1"/>
  <c r="F57" i="47" a="1"/>
  <c r="F57" i="47" s="1"/>
  <c r="D57" i="47" s="1"/>
  <c r="J34" i="65" s="1"/>
  <c r="F34" i="47" a="1"/>
  <c r="F34" i="47" s="1"/>
  <c r="D34" i="47" s="1"/>
  <c r="F13" i="47" a="1"/>
  <c r="F13" i="47" s="1"/>
  <c r="X43" i="21"/>
  <c r="AF43" i="21"/>
  <c r="AA39" i="21"/>
  <c r="AH43" i="21"/>
  <c r="AI39" i="21"/>
  <c r="AD39" i="21"/>
  <c r="AE43" i="21"/>
  <c r="Z39" i="21"/>
  <c r="V43" i="21"/>
  <c r="AC39" i="21"/>
  <c r="AD43" i="21"/>
  <c r="Y39" i="21"/>
  <c r="AI43" i="21"/>
  <c r="Y43" i="21"/>
  <c r="AJ43" i="21"/>
  <c r="V39" i="21"/>
  <c r="W43" i="21"/>
  <c r="W39" i="21"/>
  <c r="AC43" i="21"/>
  <c r="X39" i="21"/>
  <c r="AF39" i="21"/>
  <c r="AB39" i="21"/>
  <c r="AE39" i="21"/>
  <c r="AB43" i="21"/>
  <c r="AJ39" i="21"/>
  <c r="AH39" i="21"/>
  <c r="AA43" i="21"/>
  <c r="Z43" i="21"/>
  <c r="AG39" i="21"/>
  <c r="AG43" i="21"/>
  <c r="J37" i="65" l="1"/>
  <c r="L37" i="65" s="1" a="1"/>
  <c r="L37" i="65" s="1"/>
  <c r="F18" i="58"/>
  <c r="F15" i="58"/>
  <c r="F30" i="58" s="1"/>
  <c r="J23" i="65"/>
  <c r="L23" i="65" s="1" a="1"/>
  <c r="L23" i="65" s="1"/>
  <c r="F16" i="58"/>
  <c r="F31" i="58" s="1"/>
  <c r="J33" i="65"/>
  <c r="K33" i="65" s="1" a="1"/>
  <c r="K33" i="65" s="1"/>
  <c r="J30" i="65"/>
  <c r="L30" i="65" s="1" a="1"/>
  <c r="L30" i="65" s="1"/>
  <c r="S432" i="56"/>
  <c r="S438" i="56"/>
  <c r="S435" i="56"/>
  <c r="S429" i="56"/>
  <c r="S440" i="56"/>
  <c r="S434" i="56"/>
  <c r="S427" i="56"/>
  <c r="S426" i="56"/>
  <c r="S433" i="56"/>
  <c r="S439" i="56"/>
  <c r="S431" i="56"/>
  <c r="S437" i="56"/>
  <c r="S428" i="56"/>
  <c r="S436" i="56"/>
  <c r="S430" i="56"/>
  <c r="K37" i="65" l="1" a="1"/>
  <c r="K37" i="65" s="1"/>
  <c r="K23" i="65" a="1"/>
  <c r="K23" i="65" s="1"/>
  <c r="L33" i="65" a="1"/>
  <c r="L33" i="65" s="1"/>
  <c r="K30" i="65" a="1"/>
  <c r="K30" i="65" s="1"/>
  <c r="AP433" i="56"/>
  <c r="AP436" i="56"/>
  <c r="AP438" i="56"/>
  <c r="AP430" i="56"/>
  <c r="AP440" i="56"/>
  <c r="AP435" i="56"/>
  <c r="AP434" i="56"/>
  <c r="AP427" i="56"/>
  <c r="AP428" i="56"/>
  <c r="AP439" i="56"/>
  <c r="AP437" i="56"/>
  <c r="AP426" i="56"/>
  <c r="AP429" i="56"/>
  <c r="AP431" i="56"/>
  <c r="AP432" i="56"/>
  <c r="U39" i="21" l="1"/>
  <c r="U43" i="21"/>
  <c r="T39" i="21"/>
  <c r="T43" i="21"/>
  <c r="S43" i="21"/>
  <c r="S39" i="21"/>
  <c r="R43" i="21"/>
  <c r="R39" i="21"/>
  <c r="W21" i="51"/>
  <c r="X21" i="51"/>
  <c r="R21" i="51"/>
  <c r="Z21" i="51"/>
  <c r="S21" i="51"/>
  <c r="Q21" i="51"/>
  <c r="Y21" i="51"/>
  <c r="T21" i="51"/>
  <c r="U21" i="51"/>
  <c r="P21" i="51"/>
  <c r="AA21" i="51"/>
  <c r="V21" i="51"/>
  <c r="X25" i="57"/>
  <c r="Y25" i="57"/>
  <c r="O25" i="57"/>
  <c r="P25" i="57"/>
  <c r="Q25" i="57"/>
  <c r="R25" i="57"/>
  <c r="S25" i="57"/>
  <c r="U25" i="57"/>
  <c r="V25" i="57"/>
  <c r="N25" i="57"/>
  <c r="T25" i="57"/>
  <c r="W25" i="57"/>
  <c r="H52" i="42" l="1"/>
  <c r="T30" i="31" l="1"/>
  <c r="T9" i="42" l="1" a="1"/>
  <c r="T9" i="42" s="1"/>
  <c r="S30" i="31" l="1"/>
  <c r="GN54" i="31" l="1"/>
  <c r="GU54" i="31"/>
  <c r="GI54" i="31"/>
  <c r="HA54" i="31"/>
  <c r="GJ54" i="31"/>
  <c r="GQ54" i="31"/>
  <c r="HB54" i="31"/>
  <c r="GO54" i="31"/>
  <c r="GM54" i="31"/>
  <c r="GP54" i="31"/>
  <c r="GL54" i="31"/>
  <c r="GR54" i="31"/>
  <c r="GV54" i="31"/>
  <c r="HC54" i="31"/>
  <c r="GS54" i="31"/>
  <c r="GW54" i="31"/>
  <c r="GZ54" i="31"/>
  <c r="GH54" i="31"/>
  <c r="GG54" i="31"/>
  <c r="GT54" i="31"/>
  <c r="GX54" i="31"/>
  <c r="GY54" i="31"/>
  <c r="GK54" i="31"/>
  <c r="GF54" i="31"/>
  <c r="GE54" i="31"/>
  <c r="FZ54" i="31"/>
  <c r="GB54" i="31"/>
  <c r="GA54" i="31"/>
  <c r="GC54" i="31"/>
  <c r="GD54" i="31"/>
  <c r="FV54" i="31"/>
  <c r="FX54" i="31"/>
  <c r="FW54" i="31"/>
  <c r="FY54" i="31"/>
  <c r="FQ54" i="31"/>
  <c r="FR54" i="31"/>
  <c r="FP54" i="31"/>
  <c r="FU54" i="31"/>
  <c r="FS54" i="31"/>
  <c r="FT54" i="31"/>
  <c r="FO54" i="31"/>
  <c r="V8" i="65"/>
  <c r="AA33" i="42"/>
  <c r="K9" i="66" s="1" a="1"/>
  <c r="K9" i="66" s="1"/>
  <c r="F15" i="26" s="1" a="1"/>
  <c r="F15" i="26" s="1"/>
  <c r="Z33" i="42"/>
  <c r="P10" i="45" s="1" a="1"/>
  <c r="P10" i="45" s="1"/>
  <c r="Y85" i="42"/>
  <c r="P63" i="45" l="1"/>
  <c r="R10" i="45" a="1"/>
  <c r="R10" i="45" s="1"/>
  <c r="D15" i="26"/>
  <c r="F15" i="47" a="1"/>
  <c r="F15" i="47" s="1"/>
  <c r="J9" i="66" a="1"/>
  <c r="J9" i="66" s="1"/>
  <c r="K376" i="66" a="1"/>
  <c r="K376" i="66" s="1"/>
  <c r="K373" i="66" s="1"/>
  <c r="K7" i="66"/>
  <c r="K369" i="66"/>
  <c r="AB33" i="42"/>
  <c r="L9" i="66" s="1" a="1"/>
  <c r="L9" i="66" s="1"/>
  <c r="F16" i="26" s="1" a="1"/>
  <c r="F16" i="26" s="1"/>
  <c r="Z85" i="42"/>
  <c r="AA85" i="42"/>
  <c r="T10" i="45" l="1" a="1"/>
  <c r="T10" i="45" s="1"/>
  <c r="S10" i="45" a="1"/>
  <c r="S10" i="45" s="1"/>
  <c r="U10" i="45" a="1"/>
  <c r="U10" i="45" s="1"/>
  <c r="R63" i="45"/>
  <c r="J369" i="66"/>
  <c r="F14" i="26" a="1"/>
  <c r="F14" i="26" s="1"/>
  <c r="D16" i="26"/>
  <c r="F16" i="47" a="1"/>
  <c r="F16" i="47" s="1"/>
  <c r="J7" i="66"/>
  <c r="V20" i="65" s="1"/>
  <c r="J376" i="66" a="1"/>
  <c r="J376" i="66" s="1"/>
  <c r="J373" i="66" s="1"/>
  <c r="L369" i="66"/>
  <c r="L376" i="66" a="1"/>
  <c r="L376" i="66" s="1"/>
  <c r="L373" i="66" s="1"/>
  <c r="L7" i="66"/>
  <c r="AE33" i="42"/>
  <c r="AB85" i="42"/>
  <c r="AC85" i="42" s="1" a="1"/>
  <c r="AC85" i="42" s="1"/>
  <c r="AC33" i="42"/>
  <c r="AD33" i="42"/>
  <c r="Q9" i="63" a="1"/>
  <c r="Q9" i="63" s="1"/>
  <c r="V21" i="65"/>
  <c r="D14" i="26" l="1"/>
  <c r="D10" i="47" s="1" a="1"/>
  <c r="F14" i="47" a="1"/>
  <c r="F14" i="47" s="1"/>
  <c r="N9" i="44" a="1"/>
  <c r="N9" i="44" s="1"/>
  <c r="AB9" i="44" s="1" a="1"/>
  <c r="AB9" i="44" s="1"/>
  <c r="AB5" i="44" s="1"/>
  <c r="R9" i="63" a="1"/>
  <c r="R9" i="63" s="1"/>
  <c r="AD9" i="63" a="1"/>
  <c r="AD9" i="63" s="1"/>
  <c r="AD5" i="63" s="1"/>
  <c r="D8" i="58" a="1"/>
  <c r="U1" i="57"/>
  <c r="S1" i="57"/>
  <c r="O1" i="57"/>
  <c r="T1" i="57"/>
  <c r="R1" i="57"/>
  <c r="Y1" i="57"/>
  <c r="X1" i="57"/>
  <c r="Q1" i="57"/>
  <c r="W1" i="57"/>
  <c r="N1" i="57"/>
  <c r="V1" i="57"/>
  <c r="AD85" i="42" a="1"/>
  <c r="AD85" i="42" s="1"/>
  <c r="V23" i="65"/>
  <c r="M9" i="44" a="1"/>
  <c r="M9" i="44" s="1"/>
  <c r="J18" i="65" l="1"/>
  <c r="K18" i="65" s="1" a="1"/>
  <c r="K18" i="65" s="1"/>
  <c r="J16" i="65"/>
  <c r="J20" i="65"/>
  <c r="K20" i="65" s="1" a="1"/>
  <c r="K20" i="65" s="1"/>
  <c r="J15" i="65"/>
  <c r="J19" i="65"/>
  <c r="K19" i="65" s="1" a="1"/>
  <c r="K19" i="65" s="1"/>
  <c r="J17" i="65"/>
  <c r="F11" i="58"/>
  <c r="F26" i="58" s="1"/>
  <c r="D10" i="47"/>
  <c r="J14" i="65" s="1"/>
  <c r="F9" i="58"/>
  <c r="F24" i="58" s="1"/>
  <c r="F10" i="58"/>
  <c r="F25" i="58" s="1"/>
  <c r="N5" i="44"/>
  <c r="J14" i="58" s="1"/>
  <c r="J29" i="58" s="1"/>
  <c r="O9" i="44"/>
  <c r="AF9" i="63" a="1"/>
  <c r="AF9" i="63" s="1"/>
  <c r="AF5" i="63" s="1"/>
  <c r="S9" i="63" a="1"/>
  <c r="F13" i="58"/>
  <c r="F28" i="58" s="1"/>
  <c r="F12" i="58"/>
  <c r="F27" i="58" s="1"/>
  <c r="Z9" i="44" a="1"/>
  <c r="Z9" i="44" s="1"/>
  <c r="Z5" i="44" s="1"/>
  <c r="M5" i="44"/>
  <c r="D8" i="58"/>
  <c r="D18" i="58"/>
  <c r="E39" i="57"/>
  <c r="G18" i="58" s="1"/>
  <c r="F14" i="58"/>
  <c r="F29" i="58" s="1"/>
  <c r="L20" i="65" l="1" a="1"/>
  <c r="L20" i="65" s="1"/>
  <c r="L19" i="65" a="1"/>
  <c r="L19" i="65" s="1"/>
  <c r="L18" i="65" a="1"/>
  <c r="L18" i="65" s="1"/>
  <c r="K16" i="65" a="1"/>
  <c r="K16" i="65" s="1"/>
  <c r="L16" i="65" a="1"/>
  <c r="L16" i="65" s="1"/>
  <c r="L17" i="65" a="1"/>
  <c r="L17" i="65" s="1"/>
  <c r="K17" i="65" a="1"/>
  <c r="K17" i="65" s="1"/>
  <c r="L15" i="65" a="1"/>
  <c r="L15" i="65" s="1"/>
  <c r="K15" i="65" a="1"/>
  <c r="K15" i="65" s="1"/>
  <c r="F8" i="58"/>
  <c r="F23" i="58" s="1"/>
  <c r="L35" i="65" a="1"/>
  <c r="L35" i="65" s="1"/>
  <c r="K35" i="65" a="1"/>
  <c r="K35" i="65" s="1"/>
  <c r="G33" i="58"/>
  <c r="N368" i="63"/>
  <c r="N364" i="63"/>
  <c r="N360" i="63"/>
  <c r="N356" i="63"/>
  <c r="N352" i="63"/>
  <c r="N348" i="63"/>
  <c r="N344" i="63"/>
  <c r="N340" i="63"/>
  <c r="N336" i="63"/>
  <c r="N332" i="63"/>
  <c r="N328" i="63"/>
  <c r="N324" i="63"/>
  <c r="N320" i="63"/>
  <c r="N316" i="63"/>
  <c r="N312" i="63"/>
  <c r="N308" i="63"/>
  <c r="N304" i="63"/>
  <c r="N300" i="63"/>
  <c r="N296" i="63"/>
  <c r="N292" i="63"/>
  <c r="N288" i="63"/>
  <c r="N284" i="63"/>
  <c r="N280" i="63"/>
  <c r="N276" i="63"/>
  <c r="N272" i="63"/>
  <c r="N268" i="63"/>
  <c r="N264" i="63"/>
  <c r="N260" i="63"/>
  <c r="N256" i="63"/>
  <c r="N252" i="63"/>
  <c r="N248" i="63"/>
  <c r="N244" i="63"/>
  <c r="N240" i="63"/>
  <c r="N236" i="63"/>
  <c r="N232" i="63"/>
  <c r="N228" i="63"/>
  <c r="N224" i="63"/>
  <c r="N220" i="63"/>
  <c r="N216" i="63"/>
  <c r="N212" i="63"/>
  <c r="N208" i="63"/>
  <c r="N204" i="63"/>
  <c r="N200" i="63"/>
  <c r="N196" i="63"/>
  <c r="N192" i="63"/>
  <c r="N188" i="63"/>
  <c r="N184" i="63"/>
  <c r="N180" i="63"/>
  <c r="N176" i="63"/>
  <c r="N172" i="63"/>
  <c r="N168" i="63"/>
  <c r="N164" i="63"/>
  <c r="N160" i="63"/>
  <c r="N156" i="63"/>
  <c r="N152" i="63"/>
  <c r="N148" i="63"/>
  <c r="N144" i="63"/>
  <c r="N140" i="63"/>
  <c r="N136" i="63"/>
  <c r="N132" i="63"/>
  <c r="N128" i="63"/>
  <c r="N124" i="63"/>
  <c r="N120" i="63"/>
  <c r="N116" i="63"/>
  <c r="N112" i="63"/>
  <c r="N108" i="63"/>
  <c r="N104" i="63"/>
  <c r="N100" i="63"/>
  <c r="N96" i="63"/>
  <c r="N92" i="63"/>
  <c r="N88" i="63"/>
  <c r="N84" i="63"/>
  <c r="N80" i="63"/>
  <c r="N76" i="63"/>
  <c r="N72" i="63"/>
  <c r="N68" i="63"/>
  <c r="N64" i="63"/>
  <c r="N367" i="63"/>
  <c r="N363" i="63"/>
  <c r="N359" i="63"/>
  <c r="N355" i="63"/>
  <c r="N351" i="63"/>
  <c r="N347" i="63"/>
  <c r="N343" i="63"/>
  <c r="N339" i="63"/>
  <c r="N335" i="63"/>
  <c r="N331" i="63"/>
  <c r="N327" i="63"/>
  <c r="N323" i="63"/>
  <c r="N319" i="63"/>
  <c r="N315" i="63"/>
  <c r="N311" i="63"/>
  <c r="N307" i="63"/>
  <c r="N303" i="63"/>
  <c r="N299" i="63"/>
  <c r="N295" i="63"/>
  <c r="N291" i="63"/>
  <c r="N287" i="63"/>
  <c r="N283" i="63"/>
  <c r="N279" i="63"/>
  <c r="N275" i="63"/>
  <c r="N271" i="63"/>
  <c r="N267" i="63"/>
  <c r="N263" i="63"/>
  <c r="N259" i="63"/>
  <c r="N255" i="63"/>
  <c r="N251" i="63"/>
  <c r="N247" i="63"/>
  <c r="N243" i="63"/>
  <c r="N239" i="63"/>
  <c r="N235" i="63"/>
  <c r="N231" i="63"/>
  <c r="N227" i="63"/>
  <c r="N223" i="63"/>
  <c r="N219" i="63"/>
  <c r="N215" i="63"/>
  <c r="N211" i="63"/>
  <c r="N207" i="63"/>
  <c r="N203" i="63"/>
  <c r="N199" i="63"/>
  <c r="N195" i="63"/>
  <c r="N191" i="63"/>
  <c r="N187" i="63"/>
  <c r="N183" i="63"/>
  <c r="N179" i="63"/>
  <c r="N175" i="63"/>
  <c r="N171" i="63"/>
  <c r="N167" i="63"/>
  <c r="N163" i="63"/>
  <c r="N159" i="63"/>
  <c r="N155" i="63"/>
  <c r="N151" i="63"/>
  <c r="N147" i="63"/>
  <c r="N143" i="63"/>
  <c r="N139" i="63"/>
  <c r="N135" i="63"/>
  <c r="N131" i="63"/>
  <c r="N127" i="63"/>
  <c r="N123" i="63"/>
  <c r="N366" i="63"/>
  <c r="N362" i="63"/>
  <c r="N358" i="63"/>
  <c r="N354" i="63"/>
  <c r="N350" i="63"/>
  <c r="N346" i="63"/>
  <c r="N342" i="63"/>
  <c r="N338" i="63"/>
  <c r="N334" i="63"/>
  <c r="N330" i="63"/>
  <c r="N326" i="63"/>
  <c r="N322" i="63"/>
  <c r="N318" i="63"/>
  <c r="N314" i="63"/>
  <c r="N310" i="63"/>
  <c r="N306" i="63"/>
  <c r="N302" i="63"/>
  <c r="N298" i="63"/>
  <c r="N294" i="63"/>
  <c r="N290" i="63"/>
  <c r="N286" i="63"/>
  <c r="N282" i="63"/>
  <c r="N278" i="63"/>
  <c r="N274" i="63"/>
  <c r="N270" i="63"/>
  <c r="N266" i="63"/>
  <c r="N262" i="63"/>
  <c r="N258" i="63"/>
  <c r="N254" i="63"/>
  <c r="N250" i="63"/>
  <c r="N246" i="63"/>
  <c r="N242" i="63"/>
  <c r="N238" i="63"/>
  <c r="N234" i="63"/>
  <c r="N230" i="63"/>
  <c r="N226" i="63"/>
  <c r="N222" i="63"/>
  <c r="N218" i="63"/>
  <c r="N214" i="63"/>
  <c r="N210" i="63"/>
  <c r="N206" i="63"/>
  <c r="N202" i="63"/>
  <c r="N198" i="63"/>
  <c r="N194" i="63"/>
  <c r="N190" i="63"/>
  <c r="N186" i="63"/>
  <c r="N182" i="63"/>
  <c r="N178" i="63"/>
  <c r="N174" i="63"/>
  <c r="N170" i="63"/>
  <c r="N166" i="63"/>
  <c r="N162" i="63"/>
  <c r="N158" i="63"/>
  <c r="N154" i="63"/>
  <c r="N150" i="63"/>
  <c r="N146" i="63"/>
  <c r="N142" i="63"/>
  <c r="N138" i="63"/>
  <c r="N134" i="63"/>
  <c r="N130" i="63"/>
  <c r="N126" i="63"/>
  <c r="N122" i="63"/>
  <c r="N118" i="63"/>
  <c r="N114" i="63"/>
  <c r="N110" i="63"/>
  <c r="N106" i="63"/>
  <c r="N102" i="63"/>
  <c r="N98" i="63"/>
  <c r="N94" i="63"/>
  <c r="N90" i="63"/>
  <c r="N86" i="63"/>
  <c r="N82" i="63"/>
  <c r="N78" i="63"/>
  <c r="N74" i="63"/>
  <c r="N70" i="63"/>
  <c r="N66" i="63"/>
  <c r="N62" i="63"/>
  <c r="N365" i="63"/>
  <c r="N349" i="63"/>
  <c r="N333" i="63"/>
  <c r="N317" i="63"/>
  <c r="N301" i="63"/>
  <c r="N285" i="63"/>
  <c r="N269" i="63"/>
  <c r="N253" i="63"/>
  <c r="N237" i="63"/>
  <c r="N221" i="63"/>
  <c r="N205" i="63"/>
  <c r="N189" i="63"/>
  <c r="N173" i="63"/>
  <c r="N157" i="63"/>
  <c r="N141" i="63"/>
  <c r="N125" i="63"/>
  <c r="N115" i="63"/>
  <c r="N107" i="63"/>
  <c r="N99" i="63"/>
  <c r="N91" i="63"/>
  <c r="N83" i="63"/>
  <c r="N73" i="63"/>
  <c r="N65" i="63"/>
  <c r="N60" i="63"/>
  <c r="N56" i="63"/>
  <c r="N52" i="63"/>
  <c r="N48" i="63"/>
  <c r="N44" i="63"/>
  <c r="N40" i="63"/>
  <c r="N14" i="63"/>
  <c r="N361" i="63"/>
  <c r="N345" i="63"/>
  <c r="N329" i="63"/>
  <c r="N313" i="63"/>
  <c r="N297" i="63"/>
  <c r="N281" i="63"/>
  <c r="N265" i="63"/>
  <c r="N249" i="63"/>
  <c r="N233" i="63"/>
  <c r="N217" i="63"/>
  <c r="N201" i="63"/>
  <c r="N185" i="63"/>
  <c r="N169" i="63"/>
  <c r="N153" i="63"/>
  <c r="N137" i="63"/>
  <c r="N121" i="63"/>
  <c r="N113" i="63"/>
  <c r="N105" i="63"/>
  <c r="N97" i="63"/>
  <c r="N89" i="63"/>
  <c r="N81" i="63"/>
  <c r="N75" i="63"/>
  <c r="N67" i="63"/>
  <c r="N57" i="63"/>
  <c r="N53" i="63"/>
  <c r="N49" i="63"/>
  <c r="N45" i="63"/>
  <c r="N41" i="63"/>
  <c r="N13" i="63"/>
  <c r="S9" i="63"/>
  <c r="N357" i="63"/>
  <c r="N341" i="63"/>
  <c r="N325" i="63"/>
  <c r="N309" i="63"/>
  <c r="N293" i="63"/>
  <c r="N277" i="63"/>
  <c r="N261" i="63"/>
  <c r="N245" i="63"/>
  <c r="N229" i="63"/>
  <c r="N213" i="63"/>
  <c r="N197" i="63"/>
  <c r="N181" i="63"/>
  <c r="N165" i="63"/>
  <c r="N149" i="63"/>
  <c r="N133" i="63"/>
  <c r="N119" i="63"/>
  <c r="N111" i="63"/>
  <c r="N103" i="63"/>
  <c r="N95" i="63"/>
  <c r="N87" i="63"/>
  <c r="N79" i="63"/>
  <c r="N69" i="63"/>
  <c r="N61" i="63"/>
  <c r="N58" i="63"/>
  <c r="N54" i="63"/>
  <c r="N50" i="63"/>
  <c r="N46" i="63"/>
  <c r="N42" i="63"/>
  <c r="N12" i="63"/>
  <c r="N353" i="63"/>
  <c r="N289" i="63"/>
  <c r="N225" i="63"/>
  <c r="N161" i="63"/>
  <c r="N109" i="63"/>
  <c r="N77" i="63"/>
  <c r="N47" i="63"/>
  <c r="N38" i="63"/>
  <c r="N36" i="63"/>
  <c r="N34" i="63"/>
  <c r="N32" i="63"/>
  <c r="N30" i="63"/>
  <c r="N28" i="63"/>
  <c r="N26" i="63"/>
  <c r="N24" i="63"/>
  <c r="N21" i="63"/>
  <c r="N17" i="63"/>
  <c r="N241" i="63"/>
  <c r="N177" i="63"/>
  <c r="N43" i="63"/>
  <c r="N18" i="63"/>
  <c r="N337" i="63"/>
  <c r="N273" i="63"/>
  <c r="N209" i="63"/>
  <c r="N145" i="63"/>
  <c r="N101" i="63"/>
  <c r="N63" i="63"/>
  <c r="N51" i="63"/>
  <c r="N20" i="63"/>
  <c r="N16" i="63"/>
  <c r="N85" i="63"/>
  <c r="N22" i="63"/>
  <c r="N11" i="63"/>
  <c r="N321" i="63"/>
  <c r="N257" i="63"/>
  <c r="N193" i="63"/>
  <c r="N129" i="63"/>
  <c r="N93" i="63"/>
  <c r="N71" i="63"/>
  <c r="N55" i="63"/>
  <c r="N39" i="63"/>
  <c r="N37" i="63"/>
  <c r="N35" i="63"/>
  <c r="N33" i="63"/>
  <c r="N31" i="63"/>
  <c r="N29" i="63"/>
  <c r="N27" i="63"/>
  <c r="N25" i="63"/>
  <c r="N23" i="63"/>
  <c r="N19" i="63"/>
  <c r="N15" i="63"/>
  <c r="N305" i="63"/>
  <c r="N117" i="63"/>
  <c r="N59" i="63"/>
  <c r="Z16" i="7"/>
  <c r="Z21" i="7"/>
  <c r="Z17" i="7"/>
  <c r="Z13" i="7"/>
  <c r="Z19" i="7"/>
  <c r="Z20" i="7"/>
  <c r="Z11" i="7"/>
  <c r="Z10" i="7"/>
  <c r="Z12" i="7"/>
  <c r="Z14" i="7"/>
  <c r="Z9" i="7"/>
  <c r="X22" i="7"/>
  <c r="Z22" i="7" s="1"/>
  <c r="Z15" i="7"/>
  <c r="Z18" i="7"/>
  <c r="L14" i="65" l="1" a="1"/>
  <c r="L14" i="65" s="1"/>
  <c r="K14" i="65" a="1"/>
  <c r="K14" i="65" s="1"/>
  <c r="N10" i="63"/>
  <c r="AE9" i="63" a="1"/>
  <c r="AE9" i="63" s="1"/>
  <c r="AG9" i="63" s="1"/>
  <c r="AG10" i="63" s="1"/>
  <c r="AG11" i="63" s="1"/>
  <c r="AG12" i="63" s="1"/>
  <c r="AG13" i="63" s="1"/>
  <c r="AG14" i="63" s="1"/>
  <c r="J10" i="44"/>
  <c r="O10" i="44" s="1"/>
  <c r="J11" i="44" s="1"/>
  <c r="O11" i="44" s="1"/>
  <c r="J12" i="44" s="1"/>
  <c r="AA22" i="7"/>
  <c r="O12" i="44" l="1"/>
  <c r="J13" i="44" l="1"/>
  <c r="O13" i="44" l="1"/>
  <c r="J14" i="44" s="1"/>
  <c r="O14" i="44" s="1"/>
  <c r="J15" i="44" s="1"/>
  <c r="O15" i="44" l="1"/>
  <c r="J16" i="44" s="1"/>
  <c r="O16" i="44" l="1"/>
  <c r="J17" i="44" s="1"/>
  <c r="O17" i="44" s="1"/>
  <c r="J18" i="44" s="1"/>
  <c r="O18" i="44" s="1"/>
  <c r="J19" i="44" s="1"/>
  <c r="O19" i="44" l="1"/>
  <c r="J20" i="44" s="1"/>
  <c r="O20" i="44" s="1"/>
  <c r="J21" i="44" s="1"/>
  <c r="O21" i="44" s="1"/>
  <c r="J22" i="44" s="1"/>
  <c r="O22" i="44" s="1"/>
  <c r="J23" i="44" s="1"/>
  <c r="O23" i="44" s="1"/>
  <c r="J24" i="44" s="1"/>
  <c r="O24" i="44" s="1"/>
  <c r="J25" i="44" s="1"/>
  <c r="O25" i="44" s="1"/>
  <c r="J26" i="44" s="1"/>
  <c r="O26" i="44" s="1"/>
  <c r="J27" i="44" s="1"/>
  <c r="O27" i="44" s="1"/>
  <c r="J28" i="44" s="1"/>
  <c r="O28" i="44" s="1"/>
  <c r="J29" i="44" s="1"/>
  <c r="O29" i="44" s="1"/>
  <c r="J30" i="44" s="1"/>
  <c r="O30" i="44" s="1"/>
  <c r="J31" i="44" s="1"/>
  <c r="O31" i="44" s="1"/>
  <c r="J32" i="44" s="1"/>
  <c r="O32" i="44" s="1"/>
  <c r="J33" i="44" s="1"/>
  <c r="O33" i="44" s="1"/>
  <c r="J34" i="44" s="1"/>
  <c r="O34" i="44" s="1"/>
  <c r="J35" i="44" s="1"/>
  <c r="O35" i="44" s="1"/>
  <c r="J36" i="44" s="1"/>
  <c r="O36" i="44" s="1"/>
  <c r="J37" i="44" s="1"/>
  <c r="O37" i="44" s="1"/>
  <c r="J38" i="44" s="1"/>
  <c r="O38" i="44" s="1"/>
  <c r="J39" i="44" s="1"/>
  <c r="O39" i="44" s="1"/>
  <c r="J40" i="44" s="1"/>
  <c r="O40" i="44" s="1"/>
  <c r="J41" i="44" s="1"/>
  <c r="O41" i="44" s="1"/>
  <c r="J42" i="44" s="1"/>
  <c r="O42" i="44" s="1"/>
  <c r="J43" i="44" s="1"/>
  <c r="O43" i="44" s="1"/>
  <c r="J44" i="44" s="1"/>
  <c r="O44" i="44" s="1"/>
  <c r="J45" i="44" s="1"/>
  <c r="O45" i="44" s="1"/>
  <c r="J46" i="44" s="1"/>
  <c r="O46" i="44" s="1"/>
  <c r="J47" i="44" s="1"/>
  <c r="O47" i="44" s="1"/>
  <c r="J48" i="44" s="1"/>
  <c r="O48" i="44" s="1"/>
  <c r="J49" i="44" s="1"/>
  <c r="O49" i="44" s="1"/>
  <c r="J50" i="44" s="1"/>
  <c r="O50" i="44" s="1"/>
  <c r="J51" i="44" s="1"/>
  <c r="O51" i="44" s="1"/>
  <c r="J52" i="44" s="1"/>
  <c r="O52" i="44" s="1"/>
  <c r="J53" i="44" s="1"/>
  <c r="O53" i="44" s="1"/>
  <c r="J54" i="44" s="1"/>
  <c r="O54" i="44" s="1"/>
  <c r="J55" i="44" s="1"/>
  <c r="O55" i="44" s="1"/>
  <c r="J56" i="44" s="1"/>
  <c r="O56" i="44" s="1"/>
  <c r="J57" i="44" s="1"/>
  <c r="O57" i="44" s="1"/>
  <c r="J58" i="44" s="1"/>
  <c r="O58" i="44" s="1"/>
  <c r="J59" i="44" s="1"/>
  <c r="O59" i="44" s="1"/>
  <c r="J60" i="44" s="1"/>
  <c r="O60" i="44" s="1"/>
  <c r="J61" i="44" s="1"/>
  <c r="O61" i="44" s="1"/>
  <c r="J62" i="44" s="1"/>
  <c r="O62" i="44" s="1"/>
  <c r="J63" i="44" s="1"/>
  <c r="O63" i="44" s="1"/>
  <c r="J64" i="44" s="1"/>
  <c r="O64" i="44" s="1"/>
  <c r="J65" i="44" s="1"/>
  <c r="O65" i="44" s="1"/>
  <c r="J66" i="44" s="1"/>
  <c r="O66" i="44" s="1"/>
  <c r="J67" i="44" s="1"/>
  <c r="O67" i="44" s="1"/>
  <c r="J68" i="44" s="1"/>
  <c r="O68" i="44" s="1"/>
  <c r="J69" i="44" s="1"/>
  <c r="O69" i="44" s="1"/>
  <c r="J70" i="44" s="1"/>
  <c r="O70" i="44" s="1"/>
  <c r="J71" i="44" s="1"/>
  <c r="O71" i="44" s="1"/>
  <c r="J72" i="44" s="1"/>
  <c r="O72" i="44" s="1"/>
  <c r="J73" i="44" s="1"/>
  <c r="O73" i="44" s="1"/>
  <c r="J74" i="44" s="1"/>
  <c r="O74" i="44" s="1"/>
  <c r="J75" i="44" s="1"/>
  <c r="O75" i="44" s="1"/>
  <c r="J76" i="44" s="1"/>
  <c r="O76" i="44" s="1"/>
  <c r="J77" i="44" s="1"/>
  <c r="O77" i="44" s="1"/>
  <c r="J78" i="44" s="1"/>
  <c r="O78" i="44" s="1"/>
  <c r="J79" i="44" s="1"/>
  <c r="O79" i="44" s="1"/>
  <c r="J80" i="44" s="1"/>
  <c r="O80" i="44" s="1"/>
  <c r="J81" i="44" s="1"/>
  <c r="O81" i="44" s="1"/>
  <c r="J82" i="44" s="1"/>
  <c r="O82" i="44" s="1"/>
  <c r="J83" i="44" s="1"/>
  <c r="O83" i="44" s="1"/>
  <c r="J84" i="44" s="1"/>
  <c r="O84" i="44" s="1"/>
  <c r="J85" i="44" s="1"/>
  <c r="O85" i="44" s="1"/>
  <c r="J86" i="44" s="1"/>
  <c r="O86" i="44" s="1"/>
  <c r="J87" i="44" s="1"/>
  <c r="O87" i="44" s="1"/>
  <c r="J88" i="44" s="1"/>
  <c r="O88" i="44" s="1"/>
  <c r="J89" i="44" s="1"/>
  <c r="O89" i="44" s="1"/>
  <c r="J90" i="44" s="1"/>
  <c r="O90" i="44" s="1"/>
  <c r="J91" i="44" s="1"/>
  <c r="O91" i="44" s="1"/>
  <c r="J92" i="44" s="1"/>
  <c r="O92" i="44" s="1"/>
  <c r="J93" i="44" s="1"/>
  <c r="O93" i="44" s="1"/>
  <c r="J94" i="44" s="1"/>
  <c r="O94" i="44" s="1"/>
  <c r="J95" i="44" s="1"/>
  <c r="O95" i="44" s="1"/>
  <c r="J96" i="44" s="1"/>
  <c r="O96" i="44" s="1"/>
  <c r="J97" i="44" s="1"/>
  <c r="O97" i="44" s="1"/>
  <c r="J98" i="44" s="1"/>
  <c r="O98" i="44" s="1"/>
  <c r="J99" i="44" s="1"/>
  <c r="O99" i="44" s="1"/>
  <c r="J100" i="44" s="1"/>
  <c r="O100" i="44" s="1"/>
  <c r="J101" i="44" s="1"/>
  <c r="O101" i="44" s="1"/>
  <c r="J102" i="44" s="1"/>
  <c r="O102" i="44" s="1"/>
  <c r="J103" i="44" s="1"/>
  <c r="O103" i="44" s="1"/>
  <c r="J104" i="44" s="1"/>
  <c r="O104" i="44" s="1"/>
  <c r="J105" i="44" s="1"/>
  <c r="O105" i="44" s="1"/>
  <c r="J106" i="44" s="1"/>
  <c r="O106" i="44" s="1"/>
  <c r="J107" i="44" s="1"/>
  <c r="O107" i="44" s="1"/>
  <c r="J108" i="44" s="1"/>
  <c r="O108" i="44" s="1"/>
  <c r="J109" i="44" s="1"/>
  <c r="O109" i="44" s="1"/>
  <c r="J110" i="44" s="1"/>
  <c r="O110" i="44" s="1"/>
  <c r="J111" i="44" s="1"/>
  <c r="O111" i="44" s="1"/>
  <c r="J112" i="44" s="1"/>
  <c r="O112" i="44" s="1"/>
  <c r="J113" i="44" s="1"/>
  <c r="O113" i="44" s="1"/>
  <c r="J114" i="44" s="1"/>
  <c r="O114" i="44" s="1"/>
  <c r="J115" i="44" s="1"/>
  <c r="O115" i="44" s="1"/>
  <c r="J116" i="44" s="1"/>
  <c r="O116" i="44" s="1"/>
  <c r="J117" i="44" s="1"/>
  <c r="O117" i="44" s="1"/>
  <c r="J118" i="44" s="1"/>
  <c r="O118" i="44" s="1"/>
  <c r="J119" i="44" s="1"/>
  <c r="O119" i="44" s="1"/>
  <c r="J120" i="44" s="1"/>
  <c r="O120" i="44" s="1"/>
  <c r="J121" i="44" s="1"/>
  <c r="O121" i="44" s="1"/>
  <c r="J122" i="44" s="1"/>
  <c r="O122" i="44" s="1"/>
  <c r="J123" i="44" s="1"/>
  <c r="O123" i="44" s="1"/>
  <c r="J124" i="44" s="1"/>
  <c r="O124" i="44" s="1"/>
  <c r="J125" i="44" s="1"/>
  <c r="O125" i="44" s="1"/>
  <c r="J126" i="44" s="1"/>
  <c r="O126" i="44" s="1"/>
  <c r="J127" i="44" s="1"/>
  <c r="O127" i="44" s="1"/>
  <c r="J128" i="44" s="1"/>
  <c r="O128" i="44" s="1"/>
  <c r="J129" i="44" s="1"/>
  <c r="O129" i="44" s="1"/>
  <c r="J130" i="44" s="1"/>
  <c r="O130" i="44" s="1"/>
  <c r="J131" i="44" s="1"/>
  <c r="O131" i="44" s="1"/>
  <c r="J132" i="44" s="1"/>
  <c r="O132" i="44" s="1"/>
  <c r="J133" i="44" s="1"/>
  <c r="O133" i="44" s="1"/>
  <c r="J134" i="44" s="1"/>
  <c r="O134" i="44" s="1"/>
  <c r="J135" i="44" s="1"/>
  <c r="O135" i="44" s="1"/>
  <c r="J136" i="44" s="1"/>
  <c r="O136" i="44" s="1"/>
  <c r="J137" i="44" s="1"/>
  <c r="O137" i="44" s="1"/>
  <c r="J138" i="44" s="1"/>
  <c r="O138" i="44" s="1"/>
  <c r="J139" i="44" s="1"/>
  <c r="O139" i="44" s="1"/>
  <c r="J140" i="44" s="1"/>
  <c r="O140" i="44" s="1"/>
  <c r="J141" i="44" s="1"/>
  <c r="O141" i="44" s="1"/>
  <c r="J142" i="44" s="1"/>
  <c r="O142" i="44" s="1"/>
  <c r="J143" i="44" s="1"/>
  <c r="O143" i="44" s="1"/>
  <c r="J144" i="44" s="1"/>
  <c r="O144" i="44" s="1"/>
  <c r="J145" i="44" s="1"/>
  <c r="O145" i="44" s="1"/>
  <c r="J146" i="44" s="1"/>
  <c r="O146" i="44" s="1"/>
  <c r="J147" i="44" s="1"/>
  <c r="O147" i="44" s="1"/>
  <c r="J148" i="44" s="1"/>
  <c r="O148" i="44" s="1"/>
  <c r="J149" i="44" s="1"/>
  <c r="O149" i="44" s="1"/>
  <c r="J150" i="44" s="1"/>
  <c r="O150" i="44" s="1"/>
  <c r="J151" i="44" s="1"/>
  <c r="O151" i="44" s="1"/>
  <c r="J152" i="44" s="1"/>
  <c r="O152" i="44" s="1"/>
  <c r="J153" i="44" s="1"/>
  <c r="O153" i="44" s="1"/>
  <c r="J154" i="44" s="1"/>
  <c r="O154" i="44" s="1"/>
  <c r="J155" i="44" s="1"/>
  <c r="O155" i="44" s="1"/>
  <c r="J156" i="44" s="1"/>
  <c r="O156" i="44" s="1"/>
  <c r="J157" i="44" s="1"/>
  <c r="O157" i="44" s="1"/>
  <c r="J158" i="44" s="1"/>
  <c r="O158" i="44" s="1"/>
  <c r="J159" i="44" s="1"/>
  <c r="O159" i="44" s="1"/>
  <c r="J160" i="44" s="1"/>
  <c r="O160" i="44" s="1"/>
  <c r="J161" i="44" s="1"/>
  <c r="O161" i="44" s="1"/>
  <c r="J162" i="44" s="1"/>
  <c r="O162" i="44" s="1"/>
  <c r="J163" i="44" s="1"/>
  <c r="O163" i="44" s="1"/>
  <c r="J164" i="44" s="1"/>
  <c r="O164" i="44" s="1"/>
  <c r="J165" i="44" s="1"/>
  <c r="O165" i="44" s="1"/>
  <c r="J166" i="44" s="1"/>
  <c r="O166" i="44" s="1"/>
  <c r="J167" i="44" s="1"/>
  <c r="O167" i="44" s="1"/>
  <c r="J168" i="44" s="1"/>
  <c r="O168" i="44" s="1"/>
  <c r="J169" i="44" s="1"/>
  <c r="O169" i="44" s="1"/>
  <c r="J170" i="44" s="1"/>
  <c r="O170" i="44" s="1"/>
  <c r="J171" i="44" s="1"/>
  <c r="O171" i="44" s="1"/>
  <c r="J172" i="44" s="1"/>
  <c r="O172" i="44" s="1"/>
  <c r="J173" i="44" s="1"/>
  <c r="O173" i="44" s="1"/>
  <c r="J174" i="44" s="1"/>
  <c r="O174" i="44" s="1"/>
  <c r="J175" i="44" s="1"/>
  <c r="O175" i="44" s="1"/>
  <c r="J176" i="44" s="1"/>
  <c r="O176" i="44" s="1"/>
  <c r="J177" i="44" s="1"/>
  <c r="O177" i="44" s="1"/>
  <c r="J178" i="44" s="1"/>
  <c r="O178" i="44" s="1"/>
  <c r="J179" i="44" s="1"/>
  <c r="O179" i="44" s="1"/>
  <c r="J180" i="44" s="1"/>
  <c r="O180" i="44" s="1"/>
  <c r="J181" i="44" s="1"/>
  <c r="O181" i="44" s="1"/>
  <c r="J182" i="44" s="1"/>
  <c r="O182" i="44" s="1"/>
  <c r="J183" i="44" s="1"/>
  <c r="O183" i="44" s="1"/>
  <c r="J184" i="44" s="1"/>
  <c r="O184" i="44" s="1"/>
  <c r="J185" i="44" s="1"/>
  <c r="O185" i="44" s="1"/>
  <c r="J186" i="44" s="1"/>
  <c r="O186" i="44" s="1"/>
  <c r="J187" i="44" s="1"/>
  <c r="O187" i="44" s="1"/>
  <c r="J188" i="44" s="1"/>
  <c r="O188" i="44" s="1"/>
  <c r="J189" i="44" s="1"/>
  <c r="O189" i="44" s="1"/>
  <c r="J190" i="44" s="1"/>
  <c r="O190" i="44" s="1"/>
  <c r="J191" i="44" s="1"/>
  <c r="O191" i="44" s="1"/>
  <c r="J192" i="44" s="1"/>
  <c r="O192" i="44" s="1"/>
  <c r="J193" i="44" s="1"/>
  <c r="O193" i="44" s="1"/>
  <c r="J194" i="44" s="1"/>
  <c r="O194" i="44" s="1"/>
  <c r="J195" i="44" s="1"/>
  <c r="O195" i="44" s="1"/>
  <c r="J196" i="44" s="1"/>
  <c r="O196" i="44" s="1"/>
  <c r="J197" i="44" s="1"/>
  <c r="O197" i="44" s="1"/>
  <c r="J198" i="44" s="1"/>
  <c r="O198" i="44" s="1"/>
  <c r="J199" i="44" s="1"/>
  <c r="O199" i="44" s="1"/>
  <c r="J200" i="44" s="1"/>
  <c r="O200" i="44" s="1"/>
  <c r="J201" i="44" s="1"/>
  <c r="O201" i="44" s="1"/>
  <c r="J202" i="44" s="1"/>
  <c r="O202" i="44" s="1"/>
  <c r="J203" i="44" s="1"/>
  <c r="O203" i="44" s="1"/>
  <c r="J204" i="44" s="1"/>
  <c r="O204" i="44" s="1"/>
  <c r="J205" i="44" s="1"/>
  <c r="O205" i="44" s="1"/>
  <c r="J206" i="44" s="1"/>
  <c r="O206" i="44" s="1"/>
  <c r="J207" i="44" s="1"/>
  <c r="O207" i="44" s="1"/>
  <c r="J208" i="44" s="1"/>
  <c r="O208" i="44" s="1"/>
  <c r="J209" i="44" s="1"/>
  <c r="O209" i="44" s="1"/>
  <c r="J210" i="44" s="1"/>
  <c r="O210" i="44" s="1"/>
  <c r="J211" i="44" s="1"/>
  <c r="O211" i="44" s="1"/>
  <c r="J212" i="44" s="1"/>
  <c r="O212" i="44" s="1"/>
  <c r="J213" i="44" s="1"/>
  <c r="O213" i="44" s="1"/>
  <c r="J214" i="44" s="1"/>
  <c r="O214" i="44" s="1"/>
  <c r="J215" i="44" s="1"/>
  <c r="O215" i="44" s="1"/>
  <c r="J216" i="44" s="1"/>
  <c r="O216" i="44" s="1"/>
  <c r="J217" i="44" s="1"/>
  <c r="O217" i="44" s="1"/>
  <c r="J218" i="44" s="1"/>
  <c r="O218" i="44" s="1"/>
  <c r="J219" i="44" s="1"/>
  <c r="O219" i="44" s="1"/>
  <c r="J220" i="44" s="1"/>
  <c r="O220" i="44" s="1"/>
  <c r="J221" i="44" s="1"/>
  <c r="O221" i="44" s="1"/>
  <c r="J222" i="44" s="1"/>
  <c r="O222" i="44" s="1"/>
  <c r="J223" i="44" s="1"/>
  <c r="O223" i="44" s="1"/>
  <c r="J224" i="44" s="1"/>
  <c r="O224" i="44" s="1"/>
  <c r="J225" i="44" s="1"/>
  <c r="O225" i="44" s="1"/>
  <c r="J226" i="44" s="1"/>
  <c r="O226" i="44" s="1"/>
  <c r="J227" i="44" s="1"/>
  <c r="O227" i="44" s="1"/>
  <c r="J228" i="44" s="1"/>
  <c r="O228" i="44" s="1"/>
  <c r="J229" i="44" s="1"/>
  <c r="O229" i="44" s="1"/>
  <c r="J230" i="44" s="1"/>
  <c r="O230" i="44" s="1"/>
  <c r="J231" i="44" s="1"/>
  <c r="O231" i="44" s="1"/>
  <c r="J232" i="44" s="1"/>
  <c r="O232" i="44" s="1"/>
  <c r="J233" i="44" s="1"/>
  <c r="O233" i="44" s="1"/>
  <c r="J234" i="44" s="1"/>
  <c r="O234" i="44" s="1"/>
  <c r="J235" i="44" s="1"/>
  <c r="O235" i="44" s="1"/>
  <c r="J236" i="44" s="1"/>
  <c r="O236" i="44" s="1"/>
  <c r="J237" i="44" s="1"/>
  <c r="O237" i="44" s="1"/>
  <c r="J238" i="44" s="1"/>
  <c r="O238" i="44" s="1"/>
  <c r="J239" i="44" s="1"/>
  <c r="O239" i="44" s="1"/>
  <c r="J240" i="44" s="1"/>
  <c r="O240" i="44" s="1"/>
  <c r="J241" i="44" s="1"/>
  <c r="O241" i="44" s="1"/>
  <c r="J242" i="44" s="1"/>
  <c r="O242" i="44" s="1"/>
  <c r="J243" i="44" s="1"/>
  <c r="O243" i="44" s="1"/>
  <c r="J244" i="44" s="1"/>
  <c r="O244" i="44" s="1"/>
  <c r="J245" i="44" s="1"/>
  <c r="O245" i="44" s="1"/>
  <c r="J246" i="44" s="1"/>
  <c r="O246" i="44" s="1"/>
  <c r="J247" i="44" s="1"/>
  <c r="O247" i="44" s="1"/>
  <c r="J248" i="44" s="1"/>
  <c r="O248" i="44" s="1"/>
  <c r="J249" i="44" s="1"/>
  <c r="O249" i="44" s="1"/>
  <c r="J250" i="44" s="1"/>
  <c r="O250" i="44" s="1"/>
  <c r="J251" i="44" s="1"/>
  <c r="O251" i="44" s="1"/>
  <c r="J252" i="44" s="1"/>
  <c r="O252" i="44" s="1"/>
  <c r="J253" i="44" s="1"/>
  <c r="O253" i="44" s="1"/>
  <c r="J254" i="44" s="1"/>
  <c r="O254" i="44" s="1"/>
  <c r="J255" i="44" s="1"/>
  <c r="O255" i="44" s="1"/>
  <c r="J256" i="44" s="1"/>
  <c r="O256" i="44" s="1"/>
  <c r="J257" i="44" s="1"/>
  <c r="O257" i="44" s="1"/>
  <c r="J258" i="44" s="1"/>
  <c r="O258" i="44" s="1"/>
  <c r="J259" i="44" s="1"/>
  <c r="O259" i="44" s="1"/>
  <c r="J260" i="44" s="1"/>
  <c r="O260" i="44" s="1"/>
  <c r="J261" i="44" s="1"/>
  <c r="O261" i="44" s="1"/>
  <c r="J262" i="44" s="1"/>
  <c r="O262" i="44" s="1"/>
  <c r="J263" i="44" s="1"/>
  <c r="O263" i="44" s="1"/>
  <c r="J264" i="44" s="1"/>
  <c r="O264" i="44" s="1"/>
  <c r="J265" i="44" s="1"/>
  <c r="O265" i="44" s="1"/>
  <c r="J266" i="44" s="1"/>
  <c r="O266" i="44" s="1"/>
  <c r="J267" i="44" s="1"/>
  <c r="O267" i="44" s="1"/>
  <c r="J268" i="44" s="1"/>
  <c r="O268" i="44" s="1"/>
  <c r="J269" i="44" s="1"/>
  <c r="O269" i="44" s="1"/>
  <c r="J270" i="44" s="1"/>
  <c r="O270" i="44" s="1"/>
  <c r="J271" i="44" s="1"/>
  <c r="O271" i="44" s="1"/>
  <c r="J272" i="44" s="1"/>
  <c r="O272" i="44" s="1"/>
  <c r="J273" i="44" s="1"/>
  <c r="O273" i="44" s="1"/>
  <c r="J274" i="44" s="1"/>
  <c r="O274" i="44" s="1"/>
  <c r="J275" i="44" s="1"/>
  <c r="O275" i="44" s="1"/>
  <c r="J276" i="44" s="1"/>
  <c r="O276" i="44" s="1"/>
  <c r="J277" i="44" s="1"/>
  <c r="O277" i="44" s="1"/>
  <c r="J278" i="44" s="1"/>
  <c r="O278" i="44" s="1"/>
  <c r="J279" i="44" s="1"/>
  <c r="O279" i="44" s="1"/>
  <c r="J280" i="44" s="1"/>
  <c r="O280" i="44" s="1"/>
  <c r="J281" i="44" s="1"/>
  <c r="O281" i="44" s="1"/>
  <c r="J282" i="44" s="1"/>
  <c r="O282" i="44" s="1"/>
  <c r="J283" i="44" s="1"/>
  <c r="O283" i="44" s="1"/>
  <c r="J284" i="44" s="1"/>
  <c r="O284" i="44" s="1"/>
  <c r="J285" i="44" s="1"/>
  <c r="O285" i="44" s="1"/>
  <c r="J286" i="44" s="1"/>
  <c r="O286" i="44" s="1"/>
  <c r="J287" i="44" s="1"/>
  <c r="O287" i="44" s="1"/>
  <c r="J288" i="44" s="1"/>
  <c r="O288" i="44" s="1"/>
  <c r="J289" i="44" s="1"/>
  <c r="O289" i="44" s="1"/>
  <c r="J290" i="44" s="1"/>
  <c r="O290" i="44" s="1"/>
  <c r="J291" i="44" s="1"/>
  <c r="O291" i="44" s="1"/>
  <c r="J292" i="44" s="1"/>
  <c r="O292" i="44" s="1"/>
  <c r="J293" i="44" s="1"/>
  <c r="O293" i="44" s="1"/>
  <c r="J294" i="44" s="1"/>
  <c r="O294" i="44" s="1"/>
  <c r="J295" i="44" s="1"/>
  <c r="O295" i="44" s="1"/>
  <c r="J296" i="44" s="1"/>
  <c r="O296" i="44" s="1"/>
  <c r="J297" i="44" s="1"/>
  <c r="O297" i="44" s="1"/>
  <c r="J298" i="44" s="1"/>
  <c r="O298" i="44" s="1"/>
  <c r="J299" i="44" s="1"/>
  <c r="O299" i="44" s="1"/>
  <c r="J300" i="44" s="1"/>
  <c r="O300" i="44" s="1"/>
  <c r="J301" i="44" s="1"/>
  <c r="O301" i="44" s="1"/>
  <c r="J302" i="44" s="1"/>
  <c r="O302" i="44" s="1"/>
  <c r="J303" i="44" s="1"/>
  <c r="O303" i="44" s="1"/>
  <c r="J304" i="44" s="1"/>
  <c r="O304" i="44" s="1"/>
  <c r="J305" i="44" s="1"/>
  <c r="O305" i="44" s="1"/>
  <c r="J306" i="44" s="1"/>
  <c r="O306" i="44" s="1"/>
  <c r="J307" i="44" s="1"/>
  <c r="O307" i="44" s="1"/>
  <c r="J308" i="44" s="1"/>
  <c r="O308" i="44" s="1"/>
  <c r="J309" i="44" s="1"/>
  <c r="O309" i="44" s="1"/>
  <c r="J310" i="44" s="1"/>
  <c r="O310" i="44" s="1"/>
  <c r="J311" i="44" s="1"/>
  <c r="O311" i="44" s="1"/>
  <c r="J312" i="44" s="1"/>
  <c r="O312" i="44" s="1"/>
  <c r="J313" i="44" s="1"/>
  <c r="O313" i="44" s="1"/>
  <c r="J314" i="44" s="1"/>
  <c r="O314" i="44" s="1"/>
  <c r="J315" i="44" s="1"/>
  <c r="O315" i="44" s="1"/>
  <c r="J316" i="44" s="1"/>
  <c r="O316" i="44" s="1"/>
  <c r="J317" i="44" s="1"/>
  <c r="O317" i="44" s="1"/>
  <c r="J318" i="44" s="1"/>
  <c r="O318" i="44" s="1"/>
  <c r="J319" i="44" s="1"/>
  <c r="O319" i="44" s="1"/>
  <c r="J320" i="44" s="1"/>
  <c r="O320" i="44" s="1"/>
  <c r="J321" i="44" s="1"/>
  <c r="O321" i="44" s="1"/>
  <c r="J322" i="44" s="1"/>
  <c r="O322" i="44" s="1"/>
  <c r="J323" i="44" s="1"/>
  <c r="O323" i="44" s="1"/>
  <c r="J324" i="44" s="1"/>
  <c r="O324" i="44" s="1"/>
  <c r="J325" i="44" s="1"/>
  <c r="O325" i="44" s="1"/>
  <c r="J326" i="44" s="1"/>
  <c r="O326" i="44" s="1"/>
  <c r="J327" i="44" s="1"/>
  <c r="O327" i="44" s="1"/>
  <c r="J328" i="44" s="1"/>
  <c r="O328" i="44" s="1"/>
  <c r="J329" i="44" s="1"/>
  <c r="O329" i="44" s="1"/>
  <c r="J330" i="44" s="1"/>
  <c r="O330" i="44" s="1"/>
  <c r="J331" i="44" s="1"/>
  <c r="O331" i="44" s="1"/>
  <c r="J332" i="44" s="1"/>
  <c r="O332" i="44" s="1"/>
  <c r="J333" i="44" s="1"/>
  <c r="O333" i="44" s="1"/>
  <c r="J334" i="44" s="1"/>
  <c r="O334" i="44" s="1"/>
  <c r="J335" i="44" s="1"/>
  <c r="O335" i="44" s="1"/>
  <c r="J336" i="44" s="1"/>
  <c r="O336" i="44" s="1"/>
  <c r="J337" i="44" s="1"/>
  <c r="O337" i="44" s="1"/>
  <c r="J338" i="44" s="1"/>
  <c r="O338" i="44" s="1"/>
  <c r="J339" i="44" s="1"/>
  <c r="O339" i="44" s="1"/>
  <c r="J340" i="44" s="1"/>
  <c r="O340" i="44" s="1"/>
  <c r="J341" i="44" s="1"/>
  <c r="O341" i="44" s="1"/>
  <c r="J342" i="44" s="1"/>
  <c r="O342" i="44" s="1"/>
  <c r="J343" i="44" s="1"/>
  <c r="O343" i="44" s="1"/>
  <c r="J344" i="44" s="1"/>
  <c r="O344" i="44" s="1"/>
  <c r="J345" i="44" s="1"/>
  <c r="O345" i="44" s="1"/>
  <c r="J346" i="44" s="1"/>
  <c r="O346" i="44" s="1"/>
  <c r="J347" i="44" s="1"/>
  <c r="O347" i="44" s="1"/>
  <c r="J348" i="44" s="1"/>
  <c r="O348" i="44" s="1"/>
  <c r="J349" i="44" s="1"/>
  <c r="O349" i="44" s="1"/>
  <c r="J350" i="44" s="1"/>
  <c r="O350" i="44" s="1"/>
  <c r="J351" i="44" s="1"/>
  <c r="O351" i="44" s="1"/>
  <c r="J352" i="44" s="1"/>
  <c r="O352" i="44" s="1"/>
  <c r="J353" i="44" s="1"/>
  <c r="O353" i="44" s="1"/>
  <c r="J354" i="44" s="1"/>
  <c r="O354" i="44" s="1"/>
  <c r="J355" i="44" s="1"/>
  <c r="O355" i="44" s="1"/>
  <c r="J356" i="44" s="1"/>
  <c r="O356" i="44" s="1"/>
  <c r="J357" i="44" s="1"/>
  <c r="O357" i="44" s="1"/>
  <c r="J358" i="44" s="1"/>
  <c r="O358" i="44" s="1"/>
  <c r="J359" i="44" s="1"/>
  <c r="O359" i="44" s="1"/>
  <c r="J360" i="44" s="1"/>
  <c r="O360" i="44" s="1"/>
  <c r="J361" i="44" s="1"/>
  <c r="O361" i="44" s="1"/>
  <c r="J362" i="44" s="1"/>
  <c r="O362" i="44" s="1"/>
  <c r="J363" i="44" s="1"/>
  <c r="O363" i="44" s="1"/>
  <c r="J364" i="44" s="1"/>
  <c r="O364" i="44" s="1"/>
  <c r="J365" i="44" s="1"/>
  <c r="O365" i="44" s="1"/>
  <c r="J366" i="44" s="1"/>
  <c r="O366" i="44" s="1"/>
  <c r="J367" i="44" s="1"/>
  <c r="O367" i="44" s="1"/>
  <c r="J368" i="44" s="1"/>
  <c r="O368" i="44" s="1"/>
  <c r="G425" i="56" l="1"/>
  <c r="AE425" i="56" l="1"/>
  <c r="J425" i="56"/>
  <c r="AQ425" i="56"/>
  <c r="T425" i="56"/>
  <c r="BI425" i="56" l="1"/>
  <c r="BX425" i="56"/>
  <c r="D55" i="26" l="1"/>
  <c r="D58" i="26"/>
  <c r="A53" i="26"/>
  <c r="D54" i="26" l="1"/>
  <c r="A54" i="26"/>
  <c r="A55" i="26"/>
  <c r="A56" i="26"/>
  <c r="A57" i="26"/>
  <c r="D54" i="47"/>
  <c r="J31" i="65" s="1"/>
  <c r="L31" i="65" l="1" a="1"/>
  <c r="L31" i="65" s="1"/>
  <c r="K31" i="65" a="1"/>
  <c r="K31" i="65" s="1"/>
  <c r="D55" i="47" l="1"/>
  <c r="J32" i="65" s="1"/>
  <c r="G424" i="56"/>
  <c r="G423" i="56"/>
  <c r="G422" i="56"/>
  <c r="J406" i="56" a="1"/>
  <c r="J406" i="56" s="1"/>
  <c r="J402" i="56" a="1"/>
  <c r="J402" i="56" s="1"/>
  <c r="J398" i="56" a="1"/>
  <c r="J398" i="56" s="1"/>
  <c r="J394" i="56" a="1"/>
  <c r="J394" i="56" s="1"/>
  <c r="J390" i="56" a="1"/>
  <c r="J390" i="56" s="1"/>
  <c r="J386" i="56" a="1"/>
  <c r="J386" i="56" s="1"/>
  <c r="J382" i="56" a="1"/>
  <c r="J382" i="56" s="1"/>
  <c r="J378" i="56" a="1"/>
  <c r="J378" i="56" s="1"/>
  <c r="J374" i="56" a="1"/>
  <c r="J374" i="56" s="1"/>
  <c r="J370" i="56" a="1"/>
  <c r="J370" i="56" s="1"/>
  <c r="J366" i="56" a="1"/>
  <c r="J366" i="56" s="1"/>
  <c r="J362" i="56" a="1"/>
  <c r="J362" i="56" s="1"/>
  <c r="J358" i="56" a="1"/>
  <c r="J358" i="56" s="1"/>
  <c r="J354" i="56" a="1"/>
  <c r="J354" i="56" s="1"/>
  <c r="J350" i="56" a="1"/>
  <c r="J350" i="56" s="1"/>
  <c r="T407" i="56" a="1"/>
  <c r="T407" i="56" s="1"/>
  <c r="T405" i="56" a="1"/>
  <c r="T405" i="56" s="1"/>
  <c r="T403" i="56" a="1"/>
  <c r="T403" i="56" s="1"/>
  <c r="T401" i="56" a="1"/>
  <c r="T401" i="56" s="1"/>
  <c r="T399" i="56" a="1"/>
  <c r="T399" i="56" s="1"/>
  <c r="T397" i="56" a="1"/>
  <c r="T397" i="56" s="1"/>
  <c r="T395" i="56" a="1"/>
  <c r="T395" i="56" s="1"/>
  <c r="T393" i="56" a="1"/>
  <c r="T393" i="56" s="1"/>
  <c r="T391" i="56" a="1"/>
  <c r="T391" i="56" s="1"/>
  <c r="T389" i="56" a="1"/>
  <c r="T389" i="56" s="1"/>
  <c r="T387" i="56" a="1"/>
  <c r="T387" i="56" s="1"/>
  <c r="T385" i="56" a="1"/>
  <c r="T385" i="56" s="1"/>
  <c r="T383" i="56" a="1"/>
  <c r="T383" i="56" s="1"/>
  <c r="T381" i="56" a="1"/>
  <c r="T381" i="56" s="1"/>
  <c r="T379" i="56" a="1"/>
  <c r="T379" i="56" s="1"/>
  <c r="T377" i="56" a="1"/>
  <c r="T377" i="56" s="1"/>
  <c r="T375" i="56" a="1"/>
  <c r="T375" i="56" s="1"/>
  <c r="T373" i="56" a="1"/>
  <c r="T373" i="56" s="1"/>
  <c r="T371" i="56" a="1"/>
  <c r="T371" i="56" s="1"/>
  <c r="T369" i="56" a="1"/>
  <c r="T369" i="56" s="1"/>
  <c r="T367" i="56" a="1"/>
  <c r="T367" i="56" s="1"/>
  <c r="T365" i="56" a="1"/>
  <c r="T365" i="56" s="1"/>
  <c r="T363" i="56" a="1"/>
  <c r="T363" i="56" s="1"/>
  <c r="T361" i="56" a="1"/>
  <c r="T361" i="56" s="1"/>
  <c r="T359" i="56" a="1"/>
  <c r="T359" i="56" s="1"/>
  <c r="T357" i="56" a="1"/>
  <c r="T357" i="56" s="1"/>
  <c r="T355" i="56" a="1"/>
  <c r="T355" i="56" s="1"/>
  <c r="T353" i="56" a="1"/>
  <c r="T353" i="56" s="1"/>
  <c r="T351" i="56" a="1"/>
  <c r="T351" i="56" s="1"/>
  <c r="T349" i="56" a="1"/>
  <c r="T349" i="56" s="1"/>
  <c r="T347" i="56" a="1"/>
  <c r="T347" i="56" s="1"/>
  <c r="T345" i="56" a="1"/>
  <c r="T345" i="56" s="1"/>
  <c r="T343" i="56" a="1"/>
  <c r="T343" i="56" s="1"/>
  <c r="T341" i="56" a="1"/>
  <c r="T341" i="56" s="1"/>
  <c r="T339" i="56" a="1"/>
  <c r="T339" i="56" s="1"/>
  <c r="T337" i="56" a="1"/>
  <c r="T337" i="56" s="1"/>
  <c r="T335" i="56" a="1"/>
  <c r="T335" i="56" s="1"/>
  <c r="T333" i="56" a="1"/>
  <c r="T333" i="56" s="1"/>
  <c r="T331" i="56" a="1"/>
  <c r="T331" i="56" s="1"/>
  <c r="T329" i="56" a="1"/>
  <c r="T329" i="56" s="1"/>
  <c r="T327" i="56" a="1"/>
  <c r="T327" i="56" s="1"/>
  <c r="T325" i="56" a="1"/>
  <c r="T325" i="56" s="1"/>
  <c r="T323" i="56" a="1"/>
  <c r="T323" i="56" s="1"/>
  <c r="T321" i="56" a="1"/>
  <c r="T321" i="56" s="1"/>
  <c r="T319" i="56" a="1"/>
  <c r="T319" i="56" s="1"/>
  <c r="T317" i="56" a="1"/>
  <c r="T317" i="56" s="1"/>
  <c r="T315" i="56" a="1"/>
  <c r="T315" i="56" s="1"/>
  <c r="T313" i="56" a="1"/>
  <c r="T313" i="56" s="1"/>
  <c r="T311" i="56" a="1"/>
  <c r="T311" i="56" s="1"/>
  <c r="T309" i="56" a="1"/>
  <c r="T309" i="56" s="1"/>
  <c r="T307" i="56" a="1"/>
  <c r="T307" i="56" s="1"/>
  <c r="T305" i="56" a="1"/>
  <c r="T305" i="56" s="1"/>
  <c r="T303" i="56" a="1"/>
  <c r="T303" i="56" s="1"/>
  <c r="T301" i="56" a="1"/>
  <c r="T301" i="56" s="1"/>
  <c r="T299" i="56" a="1"/>
  <c r="T299" i="56" s="1"/>
  <c r="T297" i="56" a="1"/>
  <c r="T297" i="56" s="1"/>
  <c r="T295" i="56" a="1"/>
  <c r="T295" i="56" s="1"/>
  <c r="T293" i="56" a="1"/>
  <c r="T293" i="56" s="1"/>
  <c r="T291" i="56" a="1"/>
  <c r="T291" i="56" s="1"/>
  <c r="T289" i="56" a="1"/>
  <c r="T289" i="56" s="1"/>
  <c r="T287" i="56" a="1"/>
  <c r="T287" i="56" s="1"/>
  <c r="T285" i="56" a="1"/>
  <c r="T285" i="56" s="1"/>
  <c r="T283" i="56" a="1"/>
  <c r="T283" i="56" s="1"/>
  <c r="T281" i="56" a="1"/>
  <c r="T281" i="56" s="1"/>
  <c r="T279" i="56" a="1"/>
  <c r="T279" i="56" s="1"/>
  <c r="T277" i="56" a="1"/>
  <c r="T277" i="56" s="1"/>
  <c r="T275" i="56" a="1"/>
  <c r="T275" i="56" s="1"/>
  <c r="T273" i="56" a="1"/>
  <c r="T273" i="56" s="1"/>
  <c r="T271" i="56" a="1"/>
  <c r="T271" i="56" s="1"/>
  <c r="T269" i="56" a="1"/>
  <c r="T269" i="56" s="1"/>
  <c r="T267" i="56" a="1"/>
  <c r="T267" i="56" s="1"/>
  <c r="J404" i="56" a="1"/>
  <c r="J404" i="56" s="1"/>
  <c r="J400" i="56" a="1"/>
  <c r="J400" i="56" s="1"/>
  <c r="J396" i="56" a="1"/>
  <c r="J396" i="56" s="1"/>
  <c r="J392" i="56" a="1"/>
  <c r="J392" i="56" s="1"/>
  <c r="J388" i="56" a="1"/>
  <c r="J388" i="56" s="1"/>
  <c r="J384" i="56" a="1"/>
  <c r="J384" i="56" s="1"/>
  <c r="J380" i="56" a="1"/>
  <c r="J380" i="56" s="1"/>
  <c r="J376" i="56" a="1"/>
  <c r="J376" i="56" s="1"/>
  <c r="J372" i="56" a="1"/>
  <c r="J372" i="56" s="1"/>
  <c r="J368" i="56" a="1"/>
  <c r="J368" i="56" s="1"/>
  <c r="J364" i="56" a="1"/>
  <c r="J364" i="56" s="1"/>
  <c r="J360" i="56" a="1"/>
  <c r="J360" i="56" s="1"/>
  <c r="J356" i="56" a="1"/>
  <c r="J356" i="56" s="1"/>
  <c r="J352" i="56" a="1"/>
  <c r="J352" i="56" s="1"/>
  <c r="J348" i="56" a="1"/>
  <c r="J348" i="56" s="1"/>
  <c r="J344" i="56" a="1"/>
  <c r="J344" i="56" s="1"/>
  <c r="J340" i="56" a="1"/>
  <c r="J340" i="56" s="1"/>
  <c r="J336" i="56" a="1"/>
  <c r="J336" i="56" s="1"/>
  <c r="J332" i="56" a="1"/>
  <c r="J332" i="56" s="1"/>
  <c r="J328" i="56" a="1"/>
  <c r="J328" i="56" s="1"/>
  <c r="J324" i="56" a="1"/>
  <c r="J324" i="56" s="1"/>
  <c r="J320" i="56" a="1"/>
  <c r="J320" i="56" s="1"/>
  <c r="J316" i="56" a="1"/>
  <c r="J316" i="56" s="1"/>
  <c r="J312" i="56" a="1"/>
  <c r="J312" i="56" s="1"/>
  <c r="J308" i="56" a="1"/>
  <c r="J308" i="56" s="1"/>
  <c r="J304" i="56" a="1"/>
  <c r="J304" i="56" s="1"/>
  <c r="J300" i="56" a="1"/>
  <c r="J300" i="56" s="1"/>
  <c r="J296" i="56" a="1"/>
  <c r="J296" i="56" s="1"/>
  <c r="J292" i="56" a="1"/>
  <c r="J292" i="56" s="1"/>
  <c r="J288" i="56" a="1"/>
  <c r="J288" i="56" s="1"/>
  <c r="J284" i="56" a="1"/>
  <c r="J284" i="56" s="1"/>
  <c r="J280" i="56" a="1"/>
  <c r="J280" i="56" s="1"/>
  <c r="J276" i="56" a="1"/>
  <c r="J276" i="56" s="1"/>
  <c r="J272" i="56" a="1"/>
  <c r="J272" i="56" s="1"/>
  <c r="J268" i="56" a="1"/>
  <c r="J268" i="56" s="1"/>
  <c r="J264" i="56" a="1"/>
  <c r="J264" i="56" s="1"/>
  <c r="T406" i="56" a="1"/>
  <c r="T406" i="56" s="1"/>
  <c r="T404" i="56" a="1"/>
  <c r="T404" i="56" s="1"/>
  <c r="T402" i="56" a="1"/>
  <c r="T402" i="56" s="1"/>
  <c r="T400" i="56" a="1"/>
  <c r="T400" i="56" s="1"/>
  <c r="T398" i="56" a="1"/>
  <c r="T398" i="56" s="1"/>
  <c r="T396" i="56" a="1"/>
  <c r="T396" i="56" s="1"/>
  <c r="T394" i="56" a="1"/>
  <c r="T394" i="56" s="1"/>
  <c r="T392" i="56" a="1"/>
  <c r="T392" i="56" s="1"/>
  <c r="T390" i="56" a="1"/>
  <c r="T390" i="56" s="1"/>
  <c r="T388" i="56" a="1"/>
  <c r="T388" i="56" s="1"/>
  <c r="T386" i="56" a="1"/>
  <c r="T386" i="56" s="1"/>
  <c r="T384" i="56" a="1"/>
  <c r="T384" i="56" s="1"/>
  <c r="T382" i="56" a="1"/>
  <c r="T382" i="56" s="1"/>
  <c r="T380" i="56" a="1"/>
  <c r="T380" i="56" s="1"/>
  <c r="T378" i="56" a="1"/>
  <c r="T378" i="56" s="1"/>
  <c r="T376" i="56" a="1"/>
  <c r="T376" i="56" s="1"/>
  <c r="T374" i="56" a="1"/>
  <c r="T374" i="56" s="1"/>
  <c r="T372" i="56" a="1"/>
  <c r="T372" i="56" s="1"/>
  <c r="T370" i="56" a="1"/>
  <c r="T370" i="56" s="1"/>
  <c r="T368" i="56" a="1"/>
  <c r="T368" i="56" s="1"/>
  <c r="T366" i="56" a="1"/>
  <c r="T366" i="56" s="1"/>
  <c r="T364" i="56" a="1"/>
  <c r="T364" i="56" s="1"/>
  <c r="T362" i="56" a="1"/>
  <c r="T362" i="56" s="1"/>
  <c r="T360" i="56" a="1"/>
  <c r="T360" i="56" s="1"/>
  <c r="T358" i="56" a="1"/>
  <c r="T358" i="56" s="1"/>
  <c r="T356" i="56" a="1"/>
  <c r="T356" i="56" s="1"/>
  <c r="T354" i="56" a="1"/>
  <c r="T354" i="56" s="1"/>
  <c r="T352" i="56" a="1"/>
  <c r="T352" i="56" s="1"/>
  <c r="T350" i="56" a="1"/>
  <c r="T350" i="56" s="1"/>
  <c r="T348" i="56" a="1"/>
  <c r="T348" i="56" s="1"/>
  <c r="T346" i="56" a="1"/>
  <c r="T346" i="56" s="1"/>
  <c r="T344" i="56" a="1"/>
  <c r="T344" i="56" s="1"/>
  <c r="T342" i="56" a="1"/>
  <c r="T342" i="56" s="1"/>
  <c r="T340" i="56" a="1"/>
  <c r="T340" i="56" s="1"/>
  <c r="T338" i="56" a="1"/>
  <c r="T338" i="56" s="1"/>
  <c r="T336" i="56" a="1"/>
  <c r="T336" i="56" s="1"/>
  <c r="T334" i="56" a="1"/>
  <c r="T334" i="56" s="1"/>
  <c r="T332" i="56" a="1"/>
  <c r="T332" i="56" s="1"/>
  <c r="T330" i="56" a="1"/>
  <c r="T330" i="56" s="1"/>
  <c r="T328" i="56" a="1"/>
  <c r="T328" i="56" s="1"/>
  <c r="T326" i="56" a="1"/>
  <c r="T326" i="56" s="1"/>
  <c r="T324" i="56" a="1"/>
  <c r="T324" i="56" s="1"/>
  <c r="T322" i="56" a="1"/>
  <c r="T322" i="56" s="1"/>
  <c r="T320" i="56" a="1"/>
  <c r="T320" i="56" s="1"/>
  <c r="T318" i="56" a="1"/>
  <c r="T318" i="56" s="1"/>
  <c r="T316" i="56" a="1"/>
  <c r="T316" i="56" s="1"/>
  <c r="T314" i="56" a="1"/>
  <c r="T314" i="56" s="1"/>
  <c r="T312" i="56" a="1"/>
  <c r="T312" i="56" s="1"/>
  <c r="T310" i="56" a="1"/>
  <c r="T310" i="56" s="1"/>
  <c r="T308" i="56" a="1"/>
  <c r="T308" i="56" s="1"/>
  <c r="T306" i="56" a="1"/>
  <c r="T306" i="56" s="1"/>
  <c r="T304" i="56" a="1"/>
  <c r="T304" i="56" s="1"/>
  <c r="T302" i="56" a="1"/>
  <c r="T302" i="56" s="1"/>
  <c r="T300" i="56" a="1"/>
  <c r="T300" i="56" s="1"/>
  <c r="T298" i="56" a="1"/>
  <c r="T298" i="56" s="1"/>
  <c r="T296" i="56" a="1"/>
  <c r="T296" i="56" s="1"/>
  <c r="T294" i="56" a="1"/>
  <c r="T294" i="56" s="1"/>
  <c r="T292" i="56" a="1"/>
  <c r="T292" i="56" s="1"/>
  <c r="T290" i="56" a="1"/>
  <c r="T290" i="56" s="1"/>
  <c r="T288" i="56" a="1"/>
  <c r="T288" i="56" s="1"/>
  <c r="T286" i="56" a="1"/>
  <c r="T286" i="56" s="1"/>
  <c r="T284" i="56" a="1"/>
  <c r="T284" i="56" s="1"/>
  <c r="T282" i="56" a="1"/>
  <c r="T282" i="56" s="1"/>
  <c r="T280" i="56" a="1"/>
  <c r="T280" i="56" s="1"/>
  <c r="T278" i="56" a="1"/>
  <c r="T278" i="56" s="1"/>
  <c r="T276" i="56" a="1"/>
  <c r="T276" i="56" s="1"/>
  <c r="T274" i="56" a="1"/>
  <c r="T274" i="56" s="1"/>
  <c r="T272" i="56" a="1"/>
  <c r="T272" i="56" s="1"/>
  <c r="T270" i="56" a="1"/>
  <c r="T270" i="56" s="1"/>
  <c r="T268" i="56" a="1"/>
  <c r="T268" i="56" s="1"/>
  <c r="T266" i="56" a="1"/>
  <c r="T266" i="56" s="1"/>
  <c r="T264" i="56" a="1"/>
  <c r="T264" i="56" s="1"/>
  <c r="T262" i="56" a="1"/>
  <c r="T262" i="56" s="1"/>
  <c r="T260" i="56" a="1"/>
  <c r="T260" i="56" s="1"/>
  <c r="T258" i="56" a="1"/>
  <c r="T258" i="56" s="1"/>
  <c r="T256" i="56" a="1"/>
  <c r="T256" i="56" s="1"/>
  <c r="T254" i="56" a="1"/>
  <c r="T254" i="56" s="1"/>
  <c r="T252" i="56" a="1"/>
  <c r="T252" i="56" s="1"/>
  <c r="T250" i="56" a="1"/>
  <c r="T250" i="56" s="1"/>
  <c r="T248" i="56" a="1"/>
  <c r="T248" i="56" s="1"/>
  <c r="T246" i="56" a="1"/>
  <c r="T246" i="56" s="1"/>
  <c r="T244" i="56" a="1"/>
  <c r="T244" i="56" s="1"/>
  <c r="T242" i="56" a="1"/>
  <c r="T242" i="56" s="1"/>
  <c r="T240" i="56" a="1"/>
  <c r="T240" i="56" s="1"/>
  <c r="T238" i="56" a="1"/>
  <c r="T238" i="56" s="1"/>
  <c r="T259" i="56" a="1"/>
  <c r="T259" i="56" s="1"/>
  <c r="T251" i="56" a="1"/>
  <c r="T251" i="56" s="1"/>
  <c r="T243" i="56" a="1"/>
  <c r="T243" i="56" s="1"/>
  <c r="J407" i="56" a="1"/>
  <c r="J407" i="56" s="1"/>
  <c r="J405" i="56" a="1"/>
  <c r="J405" i="56" s="1"/>
  <c r="J403" i="56" a="1"/>
  <c r="J403" i="56" s="1"/>
  <c r="J401" i="56" a="1"/>
  <c r="J401" i="56" s="1"/>
  <c r="L401" i="56" s="1"/>
  <c r="J399" i="56" a="1"/>
  <c r="J399" i="56" s="1"/>
  <c r="J397" i="56" a="1"/>
  <c r="J397" i="56" s="1"/>
  <c r="J395" i="56" a="1"/>
  <c r="J395" i="56" s="1"/>
  <c r="J393" i="56" a="1"/>
  <c r="J393" i="56" s="1"/>
  <c r="L393" i="56" s="1"/>
  <c r="J391" i="56" a="1"/>
  <c r="J391" i="56" s="1"/>
  <c r="J389" i="56" a="1"/>
  <c r="J389" i="56" s="1"/>
  <c r="J387" i="56" a="1"/>
  <c r="J387" i="56" s="1"/>
  <c r="J385" i="56" a="1"/>
  <c r="J385" i="56" s="1"/>
  <c r="L385" i="56" s="1"/>
  <c r="J383" i="56" a="1"/>
  <c r="J383" i="56" s="1"/>
  <c r="J381" i="56" a="1"/>
  <c r="J381" i="56" s="1"/>
  <c r="J379" i="56" a="1"/>
  <c r="J379" i="56" s="1"/>
  <c r="J377" i="56" a="1"/>
  <c r="J377" i="56" s="1"/>
  <c r="L377" i="56" s="1"/>
  <c r="J375" i="56" a="1"/>
  <c r="J375" i="56" s="1"/>
  <c r="J373" i="56" a="1"/>
  <c r="J373" i="56" s="1"/>
  <c r="J371" i="56" a="1"/>
  <c r="J371" i="56" s="1"/>
  <c r="J369" i="56" a="1"/>
  <c r="J369" i="56" s="1"/>
  <c r="L369" i="56" s="1"/>
  <c r="J367" i="56" a="1"/>
  <c r="J367" i="56" s="1"/>
  <c r="J365" i="56" a="1"/>
  <c r="J365" i="56" s="1"/>
  <c r="J363" i="56" a="1"/>
  <c r="J363" i="56" s="1"/>
  <c r="J361" i="56" a="1"/>
  <c r="J361" i="56" s="1"/>
  <c r="L361" i="56" s="1"/>
  <c r="J359" i="56" a="1"/>
  <c r="J359" i="56" s="1"/>
  <c r="J357" i="56" a="1"/>
  <c r="J357" i="56" s="1"/>
  <c r="J355" i="56" a="1"/>
  <c r="J355" i="56" s="1"/>
  <c r="J353" i="56" a="1"/>
  <c r="J353" i="56" s="1"/>
  <c r="L353" i="56" s="1"/>
  <c r="J351" i="56" a="1"/>
  <c r="J351" i="56" s="1"/>
  <c r="J349" i="56" a="1"/>
  <c r="J349" i="56" s="1"/>
  <c r="J346" i="56" a="1"/>
  <c r="J346" i="56" s="1"/>
  <c r="L346" i="56" s="1"/>
  <c r="L344" i="56"/>
  <c r="J341" i="56" a="1"/>
  <c r="J341" i="56" s="1"/>
  <c r="J338" i="56" a="1"/>
  <c r="J338" i="56" s="1"/>
  <c r="L336" i="56"/>
  <c r="J333" i="56" a="1"/>
  <c r="J333" i="56" s="1"/>
  <c r="J330" i="56" a="1"/>
  <c r="J330" i="56" s="1"/>
  <c r="L330" i="56" s="1"/>
  <c r="L328" i="56"/>
  <c r="J325" i="56" a="1"/>
  <c r="J325" i="56" s="1"/>
  <c r="J322" i="56" a="1"/>
  <c r="J322" i="56" s="1"/>
  <c r="L320" i="56"/>
  <c r="J317" i="56" a="1"/>
  <c r="J317" i="56" s="1"/>
  <c r="J314" i="56" a="1"/>
  <c r="J314" i="56" s="1"/>
  <c r="L314" i="56" s="1"/>
  <c r="L312" i="56"/>
  <c r="J309" i="56" a="1"/>
  <c r="J309" i="56" s="1"/>
  <c r="J306" i="56" a="1"/>
  <c r="J306" i="56" s="1"/>
  <c r="L304" i="56"/>
  <c r="J301" i="56" a="1"/>
  <c r="J301" i="56" s="1"/>
  <c r="J298" i="56" a="1"/>
  <c r="J298" i="56" s="1"/>
  <c r="L298" i="56" s="1"/>
  <c r="L296" i="56"/>
  <c r="J293" i="56" a="1"/>
  <c r="J293" i="56" s="1"/>
  <c r="J290" i="56" a="1"/>
  <c r="J290" i="56" s="1"/>
  <c r="L290" i="56" s="1"/>
  <c r="L288" i="56"/>
  <c r="J285" i="56" a="1"/>
  <c r="J285" i="56" s="1"/>
  <c r="J282" i="56" a="1"/>
  <c r="J282" i="56" s="1"/>
  <c r="L282" i="56" s="1"/>
  <c r="L280" i="56"/>
  <c r="J277" i="56" a="1"/>
  <c r="J277" i="56" s="1"/>
  <c r="J274" i="56" a="1"/>
  <c r="J274" i="56" s="1"/>
  <c r="L272" i="56"/>
  <c r="J269" i="56" a="1"/>
  <c r="J269" i="56" s="1"/>
  <c r="J266" i="56" a="1"/>
  <c r="J266" i="56" s="1"/>
  <c r="L266" i="56" s="1"/>
  <c r="L264" i="56"/>
  <c r="J260" i="56" a="1"/>
  <c r="J260" i="56" s="1"/>
  <c r="J256" i="56" a="1"/>
  <c r="J256" i="56" s="1"/>
  <c r="L256" i="56" s="1"/>
  <c r="J252" i="56" a="1"/>
  <c r="J252" i="56" s="1"/>
  <c r="J248" i="56" a="1"/>
  <c r="J248" i="56" s="1"/>
  <c r="T261" i="56" a="1"/>
  <c r="T261" i="56" s="1"/>
  <c r="T253" i="56" a="1"/>
  <c r="T253" i="56" s="1"/>
  <c r="T245" i="56" a="1"/>
  <c r="T245" i="56" s="1"/>
  <c r="T237" i="56" a="1"/>
  <c r="T237" i="56" s="1"/>
  <c r="T235" i="56" a="1"/>
  <c r="T235" i="56" s="1"/>
  <c r="T233" i="56" a="1"/>
  <c r="T233" i="56" s="1"/>
  <c r="T231" i="56" a="1"/>
  <c r="T231" i="56" s="1"/>
  <c r="T229" i="56" a="1"/>
  <c r="T229" i="56" s="1"/>
  <c r="T227" i="56" a="1"/>
  <c r="T227" i="56" s="1"/>
  <c r="T225" i="56" a="1"/>
  <c r="T225" i="56" s="1"/>
  <c r="T223" i="56" a="1"/>
  <c r="T223" i="56" s="1"/>
  <c r="T221" i="56" a="1"/>
  <c r="T221" i="56" s="1"/>
  <c r="T219" i="56" a="1"/>
  <c r="T219" i="56" s="1"/>
  <c r="T217" i="56" a="1"/>
  <c r="T217" i="56" s="1"/>
  <c r="T215" i="56" a="1"/>
  <c r="T215" i="56" s="1"/>
  <c r="T213" i="56" a="1"/>
  <c r="T213" i="56" s="1"/>
  <c r="T211" i="56" a="1"/>
  <c r="T211" i="56" s="1"/>
  <c r="J347" i="56" a="1"/>
  <c r="J347" i="56" s="1"/>
  <c r="L347" i="56" s="1"/>
  <c r="J339" i="56" a="1"/>
  <c r="J339" i="56" s="1"/>
  <c r="L339" i="56" s="1"/>
  <c r="J331" i="56" a="1"/>
  <c r="J331" i="56" s="1"/>
  <c r="L331" i="56" s="1"/>
  <c r="J323" i="56" a="1"/>
  <c r="J323" i="56" s="1"/>
  <c r="L323" i="56" s="1"/>
  <c r="J315" i="56" a="1"/>
  <c r="J315" i="56" s="1"/>
  <c r="L315" i="56" s="1"/>
  <c r="J307" i="56" a="1"/>
  <c r="J307" i="56" s="1"/>
  <c r="L307" i="56" s="1"/>
  <c r="J299" i="56" a="1"/>
  <c r="J299" i="56" s="1"/>
  <c r="L299" i="56" s="1"/>
  <c r="J291" i="56" a="1"/>
  <c r="J291" i="56" s="1"/>
  <c r="L291" i="56" s="1"/>
  <c r="J283" i="56" a="1"/>
  <c r="J283" i="56" s="1"/>
  <c r="L283" i="56" s="1"/>
  <c r="J275" i="56" a="1"/>
  <c r="J275" i="56" s="1"/>
  <c r="L275" i="56" s="1"/>
  <c r="J267" i="56" a="1"/>
  <c r="J267" i="56" s="1"/>
  <c r="L267" i="56" s="1"/>
  <c r="J261" i="56" a="1"/>
  <c r="J261" i="56" s="1"/>
  <c r="J257" i="56" a="1"/>
  <c r="J257" i="56" s="1"/>
  <c r="J253" i="56" a="1"/>
  <c r="J253" i="56" s="1"/>
  <c r="J249" i="56" a="1"/>
  <c r="J249" i="56" s="1"/>
  <c r="J245" i="56" a="1"/>
  <c r="J245" i="56" s="1"/>
  <c r="J241" i="56" a="1"/>
  <c r="J241" i="56" s="1"/>
  <c r="L241" i="56" s="1"/>
  <c r="J237" i="56" a="1"/>
  <c r="J237" i="56" s="1"/>
  <c r="L237" i="56" s="1"/>
  <c r="J233" i="56" a="1"/>
  <c r="J233" i="56" s="1"/>
  <c r="J229" i="56" a="1"/>
  <c r="J229" i="56" s="1"/>
  <c r="J225" i="56" a="1"/>
  <c r="J225" i="56" s="1"/>
  <c r="L225" i="56" s="1"/>
  <c r="J221" i="56" a="1"/>
  <c r="J221" i="56" s="1"/>
  <c r="J217" i="56" a="1"/>
  <c r="J217" i="56" s="1"/>
  <c r="J213" i="56" a="1"/>
  <c r="J213" i="56" s="1"/>
  <c r="J302" i="56" a="1"/>
  <c r="J302" i="56" s="1"/>
  <c r="L302" i="56" s="1"/>
  <c r="L300" i="56"/>
  <c r="J297" i="56" a="1"/>
  <c r="J297" i="56" s="1"/>
  <c r="J289" i="56" a="1"/>
  <c r="J289" i="56" s="1"/>
  <c r="L289" i="56" s="1"/>
  <c r="J286" i="56" a="1"/>
  <c r="J286" i="56" s="1"/>
  <c r="L286" i="56" s="1"/>
  <c r="T263" i="56" a="1"/>
  <c r="T263" i="56" s="1"/>
  <c r="T255" i="56" a="1"/>
  <c r="T255" i="56" s="1"/>
  <c r="T247" i="56" a="1"/>
  <c r="T247" i="56" s="1"/>
  <c r="T239" i="56" a="1"/>
  <c r="T239" i="56" s="1"/>
  <c r="L406" i="56"/>
  <c r="L404" i="56"/>
  <c r="L402" i="56"/>
  <c r="L400" i="56"/>
  <c r="L398" i="56"/>
  <c r="L396" i="56"/>
  <c r="L394" i="56"/>
  <c r="L392" i="56"/>
  <c r="L390" i="56"/>
  <c r="L388" i="56"/>
  <c r="L386" i="56"/>
  <c r="L384" i="56"/>
  <c r="L382" i="56"/>
  <c r="L380" i="56"/>
  <c r="L378" i="56"/>
  <c r="L376" i="56"/>
  <c r="L374" i="56"/>
  <c r="L372" i="56"/>
  <c r="L370" i="56"/>
  <c r="L368" i="56"/>
  <c r="L366" i="56"/>
  <c r="L364" i="56"/>
  <c r="L362" i="56"/>
  <c r="L360" i="56"/>
  <c r="L358" i="56"/>
  <c r="L356" i="56"/>
  <c r="L354" i="56"/>
  <c r="L352" i="56"/>
  <c r="L350" i="56"/>
  <c r="L348" i="56"/>
  <c r="J345" i="56" a="1"/>
  <c r="J345" i="56" s="1"/>
  <c r="L345" i="56" s="1"/>
  <c r="J342" i="56" a="1"/>
  <c r="J342" i="56" s="1"/>
  <c r="L342" i="56" s="1"/>
  <c r="L340" i="56"/>
  <c r="J337" i="56" a="1"/>
  <c r="J337" i="56" s="1"/>
  <c r="L337" i="56" s="1"/>
  <c r="J334" i="56" a="1"/>
  <c r="J334" i="56" s="1"/>
  <c r="L332" i="56"/>
  <c r="J329" i="56" a="1"/>
  <c r="J329" i="56" s="1"/>
  <c r="L329" i="56" s="1"/>
  <c r="J326" i="56" a="1"/>
  <c r="J326" i="56" s="1"/>
  <c r="L326" i="56" s="1"/>
  <c r="L324" i="56"/>
  <c r="J321" i="56" a="1"/>
  <c r="J321" i="56" s="1"/>
  <c r="L321" i="56" s="1"/>
  <c r="J318" i="56" a="1"/>
  <c r="J318" i="56" s="1"/>
  <c r="L316" i="56"/>
  <c r="J313" i="56" a="1"/>
  <c r="J313" i="56" s="1"/>
  <c r="L313" i="56" s="1"/>
  <c r="J310" i="56" a="1"/>
  <c r="J310" i="56" s="1"/>
  <c r="L310" i="56" s="1"/>
  <c r="L308" i="56"/>
  <c r="J305" i="56" a="1"/>
  <c r="J305" i="56" s="1"/>
  <c r="L305" i="56" s="1"/>
  <c r="J294" i="56" a="1"/>
  <c r="J294" i="56" s="1"/>
  <c r="L294" i="56" s="1"/>
  <c r="L292" i="56"/>
  <c r="T265" i="56" a="1"/>
  <c r="T265" i="56" s="1"/>
  <c r="T257" i="56" a="1"/>
  <c r="T257" i="56" s="1"/>
  <c r="T249" i="56" a="1"/>
  <c r="T249" i="56" s="1"/>
  <c r="T241" i="56" a="1"/>
  <c r="T241" i="56" s="1"/>
  <c r="T236" i="56" a="1"/>
  <c r="T236" i="56" s="1"/>
  <c r="T234" i="56" a="1"/>
  <c r="T234" i="56" s="1"/>
  <c r="T232" i="56" a="1"/>
  <c r="T232" i="56" s="1"/>
  <c r="T230" i="56" a="1"/>
  <c r="T230" i="56" s="1"/>
  <c r="T228" i="56" a="1"/>
  <c r="T228" i="56" s="1"/>
  <c r="T226" i="56" a="1"/>
  <c r="T226" i="56" s="1"/>
  <c r="T224" i="56" a="1"/>
  <c r="T224" i="56" s="1"/>
  <c r="T222" i="56" a="1"/>
  <c r="T222" i="56" s="1"/>
  <c r="T220" i="56" a="1"/>
  <c r="T220" i="56" s="1"/>
  <c r="T218" i="56" a="1"/>
  <c r="T218" i="56" s="1"/>
  <c r="T216" i="56" a="1"/>
  <c r="T216" i="56" s="1"/>
  <c r="T214" i="56" a="1"/>
  <c r="T214" i="56" s="1"/>
  <c r="T212" i="56" a="1"/>
  <c r="T212" i="56" s="1"/>
  <c r="T210" i="56" a="1"/>
  <c r="T210" i="56" s="1"/>
  <c r="J343" i="56" a="1"/>
  <c r="J343" i="56" s="1"/>
  <c r="L343" i="56" s="1"/>
  <c r="L338" i="56"/>
  <c r="J335" i="56" a="1"/>
  <c r="J335" i="56" s="1"/>
  <c r="J327" i="56" a="1"/>
  <c r="J327" i="56" s="1"/>
  <c r="L327" i="56" s="1"/>
  <c r="L322" i="56"/>
  <c r="J319" i="56" a="1"/>
  <c r="J319" i="56" s="1"/>
  <c r="J311" i="56" a="1"/>
  <c r="J311" i="56" s="1"/>
  <c r="L311" i="56" s="1"/>
  <c r="L306" i="56"/>
  <c r="J303" i="56" a="1"/>
  <c r="J303" i="56" s="1"/>
  <c r="L303" i="56" s="1"/>
  <c r="J295" i="56" a="1"/>
  <c r="J295" i="56" s="1"/>
  <c r="J287" i="56" a="1"/>
  <c r="J287" i="56" s="1"/>
  <c r="L287" i="56" s="1"/>
  <c r="J279" i="56" a="1"/>
  <c r="J279" i="56" s="1"/>
  <c r="L279" i="56" s="1"/>
  <c r="L274" i="56"/>
  <c r="J271" i="56" a="1"/>
  <c r="J271" i="56" s="1"/>
  <c r="L271" i="56"/>
  <c r="J242" i="56" a="1"/>
  <c r="J242" i="56" s="1"/>
  <c r="L242" i="56" s="1"/>
  <c r="L284" i="56"/>
  <c r="J281" i="56" a="1"/>
  <c r="J281" i="56" s="1"/>
  <c r="L276" i="56"/>
  <c r="J273" i="56" a="1"/>
  <c r="J273" i="56" s="1"/>
  <c r="L273" i="56" s="1"/>
  <c r="L268" i="56"/>
  <c r="J265" i="56" a="1"/>
  <c r="J265" i="56" s="1"/>
  <c r="J263" i="56" a="1"/>
  <c r="J263" i="56" s="1"/>
  <c r="L263" i="56" s="1"/>
  <c r="J259" i="56" a="1"/>
  <c r="J259" i="56" s="1"/>
  <c r="L259" i="56" s="1"/>
  <c r="J255" i="56" a="1"/>
  <c r="J255" i="56" s="1"/>
  <c r="L255" i="56" s="1"/>
  <c r="J251" i="56" a="1"/>
  <c r="J251" i="56" s="1"/>
  <c r="J247" i="56" a="1"/>
  <c r="J247" i="56" s="1"/>
  <c r="L247" i="56" s="1"/>
  <c r="J240" i="56" a="1"/>
  <c r="J240" i="56" s="1"/>
  <c r="L240" i="56" s="1"/>
  <c r="J232" i="56" a="1"/>
  <c r="J232" i="56" s="1"/>
  <c r="L232" i="56" s="1"/>
  <c r="J224" i="56" a="1"/>
  <c r="J224" i="56" s="1"/>
  <c r="L224" i="56" s="1"/>
  <c r="J216" i="56" a="1"/>
  <c r="J216" i="56" s="1"/>
  <c r="L216" i="56" s="1"/>
  <c r="J214" i="56" a="1"/>
  <c r="J214" i="56" s="1"/>
  <c r="L214" i="56" s="1"/>
  <c r="J211" i="56" a="1"/>
  <c r="J211" i="56" s="1"/>
  <c r="L211" i="56" s="1"/>
  <c r="J220" i="56" a="1"/>
  <c r="J220" i="56" s="1"/>
  <c r="L220" i="56" s="1"/>
  <c r="L229" i="56"/>
  <c r="L221" i="56"/>
  <c r="L213" i="56"/>
  <c r="J278" i="56" a="1"/>
  <c r="J278" i="56" s="1"/>
  <c r="L278" i="56" s="1"/>
  <c r="J270" i="56" a="1"/>
  <c r="J270" i="56" s="1"/>
  <c r="L270" i="56" s="1"/>
  <c r="L260" i="56"/>
  <c r="L252" i="56"/>
  <c r="L248" i="56"/>
  <c r="J243" i="56" a="1"/>
  <c r="J243" i="56" s="1"/>
  <c r="L243" i="56" s="1"/>
  <c r="J238" i="56" a="1"/>
  <c r="J238" i="56" s="1"/>
  <c r="L238" i="56" s="1"/>
  <c r="J235" i="56" a="1"/>
  <c r="J235" i="56" s="1"/>
  <c r="L235" i="56" s="1"/>
  <c r="L233" i="56"/>
  <c r="J230" i="56" a="1"/>
  <c r="J230" i="56" s="1"/>
  <c r="L230" i="56" s="1"/>
  <c r="J227" i="56" a="1"/>
  <c r="J227" i="56" s="1"/>
  <c r="L227" i="56" s="1"/>
  <c r="J222" i="56" a="1"/>
  <c r="J222" i="56" s="1"/>
  <c r="L222" i="56" s="1"/>
  <c r="J219" i="56" a="1"/>
  <c r="J219" i="56" s="1"/>
  <c r="L219" i="56" s="1"/>
  <c r="L217" i="56"/>
  <c r="J212" i="56" a="1"/>
  <c r="J212" i="56" s="1"/>
  <c r="L212" i="56" s="1"/>
  <c r="L251" i="56"/>
  <c r="J239" i="56" a="1"/>
  <c r="J239" i="56" s="1"/>
  <c r="L239" i="56" s="1"/>
  <c r="J234" i="56" a="1"/>
  <c r="J234" i="56" s="1"/>
  <c r="L234" i="56" s="1"/>
  <c r="J231" i="56" a="1"/>
  <c r="J231" i="56" s="1"/>
  <c r="L231" i="56" s="1"/>
  <c r="J226" i="56" a="1"/>
  <c r="J226" i="56" s="1"/>
  <c r="J223" i="56" a="1"/>
  <c r="J223" i="56" s="1"/>
  <c r="L223" i="56" s="1"/>
  <c r="J218" i="56" a="1"/>
  <c r="J218" i="56" s="1"/>
  <c r="L218" i="56" s="1"/>
  <c r="J215" i="56" a="1"/>
  <c r="J215" i="56" s="1"/>
  <c r="L215" i="56" s="1"/>
  <c r="J210" i="56" a="1"/>
  <c r="J210" i="56" s="1"/>
  <c r="J262" i="56" a="1"/>
  <c r="J262" i="56" s="1"/>
  <c r="L262" i="56" s="1"/>
  <c r="J258" i="56" a="1"/>
  <c r="J258" i="56" s="1"/>
  <c r="L258" i="56" s="1"/>
  <c r="J254" i="56" a="1"/>
  <c r="J254" i="56" s="1"/>
  <c r="L254" i="56" s="1"/>
  <c r="J250" i="56" a="1"/>
  <c r="J250" i="56" s="1"/>
  <c r="J246" i="56" a="1"/>
  <c r="J246" i="56" s="1"/>
  <c r="L246" i="56" s="1"/>
  <c r="J244" i="56" a="1"/>
  <c r="J244" i="56" s="1"/>
  <c r="L244" i="56" s="1"/>
  <c r="J236" i="56" a="1"/>
  <c r="J236" i="56" s="1"/>
  <c r="L236" i="56" s="1"/>
  <c r="J228" i="56" a="1"/>
  <c r="J228" i="56" s="1"/>
  <c r="L228" i="56" s="1"/>
  <c r="AQ407" i="56" a="1"/>
  <c r="AQ407" i="56" s="1"/>
  <c r="AE405" i="56" a="1"/>
  <c r="AE405" i="56" s="1"/>
  <c r="AQ403" i="56" a="1"/>
  <c r="AQ403" i="56" s="1"/>
  <c r="AE401" i="56" a="1"/>
  <c r="AE401" i="56" s="1"/>
  <c r="AQ399" i="56" a="1"/>
  <c r="AQ399" i="56" s="1"/>
  <c r="AE397" i="56" a="1"/>
  <c r="AE397" i="56" s="1"/>
  <c r="AQ395" i="56" a="1"/>
  <c r="AQ395" i="56" s="1"/>
  <c r="AE393" i="56" a="1"/>
  <c r="AE393" i="56" s="1"/>
  <c r="AQ391" i="56" a="1"/>
  <c r="AQ391" i="56" s="1"/>
  <c r="AE389" i="56" a="1"/>
  <c r="AE389" i="56" s="1"/>
  <c r="AQ387" i="56" a="1"/>
  <c r="AQ387" i="56" s="1"/>
  <c r="AE385" i="56" a="1"/>
  <c r="AE385" i="56" s="1"/>
  <c r="AQ383" i="56" a="1"/>
  <c r="AQ383" i="56" s="1"/>
  <c r="AE381" i="56" a="1"/>
  <c r="AE381" i="56" s="1"/>
  <c r="AQ379" i="56" a="1"/>
  <c r="AQ379" i="56" s="1"/>
  <c r="AE377" i="56" a="1"/>
  <c r="AE377" i="56" s="1"/>
  <c r="AQ375" i="56" a="1"/>
  <c r="AQ375" i="56" s="1"/>
  <c r="AE373" i="56" a="1"/>
  <c r="AE373" i="56" s="1"/>
  <c r="AQ371" i="56" a="1"/>
  <c r="AQ371" i="56" s="1"/>
  <c r="AE369" i="56" a="1"/>
  <c r="AE369" i="56" s="1"/>
  <c r="AQ367" i="56" a="1"/>
  <c r="AQ367" i="56" s="1"/>
  <c r="AE365" i="56" a="1"/>
  <c r="AE365" i="56" s="1"/>
  <c r="AQ363" i="56" a="1"/>
  <c r="AQ363" i="56" s="1"/>
  <c r="AE361" i="56" a="1"/>
  <c r="AE361" i="56" s="1"/>
  <c r="AQ359" i="56" a="1"/>
  <c r="AQ359" i="56" s="1"/>
  <c r="AE357" i="56" a="1"/>
  <c r="AE357" i="56" s="1"/>
  <c r="AQ355" i="56" a="1"/>
  <c r="AQ355" i="56" s="1"/>
  <c r="AE353" i="56" a="1"/>
  <c r="AE353" i="56" s="1"/>
  <c r="AQ351" i="56" a="1"/>
  <c r="AQ351" i="56" s="1"/>
  <c r="AE349" i="56" a="1"/>
  <c r="AE349" i="56" s="1"/>
  <c r="AQ347" i="56" a="1"/>
  <c r="AQ347" i="56" s="1"/>
  <c r="AE345" i="56" a="1"/>
  <c r="AE345" i="56" s="1"/>
  <c r="AQ343" i="56" a="1"/>
  <c r="AQ343" i="56" s="1"/>
  <c r="AE341" i="56" a="1"/>
  <c r="AE341" i="56" s="1"/>
  <c r="AQ339" i="56" a="1"/>
  <c r="AQ339" i="56" s="1"/>
  <c r="AE337" i="56" a="1"/>
  <c r="AE337" i="56" s="1"/>
  <c r="AQ335" i="56" a="1"/>
  <c r="AQ335" i="56" s="1"/>
  <c r="AE333" i="56" a="1"/>
  <c r="AE333" i="56" s="1"/>
  <c r="AQ331" i="56" a="1"/>
  <c r="AQ331" i="56" s="1"/>
  <c r="AE329" i="56" a="1"/>
  <c r="AE329" i="56" s="1"/>
  <c r="AQ327" i="56" a="1"/>
  <c r="AQ327" i="56" s="1"/>
  <c r="AE325" i="56" a="1"/>
  <c r="AE325" i="56" s="1"/>
  <c r="AQ323" i="56" a="1"/>
  <c r="AQ323" i="56" s="1"/>
  <c r="AE321" i="56" a="1"/>
  <c r="AE321" i="56" s="1"/>
  <c r="AQ319" i="56" a="1"/>
  <c r="AQ319" i="56" s="1"/>
  <c r="AE317" i="56" a="1"/>
  <c r="AE317" i="56" s="1"/>
  <c r="AQ315" i="56" a="1"/>
  <c r="AQ315" i="56" s="1"/>
  <c r="AE313" i="56" a="1"/>
  <c r="AE313" i="56" s="1"/>
  <c r="AQ311" i="56" a="1"/>
  <c r="AQ311" i="56" s="1"/>
  <c r="AE309" i="56" a="1"/>
  <c r="AE309" i="56" s="1"/>
  <c r="AQ307" i="56" a="1"/>
  <c r="AQ307" i="56" s="1"/>
  <c r="AE305" i="56" a="1"/>
  <c r="AE305" i="56" s="1"/>
  <c r="AQ303" i="56" a="1"/>
  <c r="AQ303" i="56" s="1"/>
  <c r="AQ406" i="56" a="1"/>
  <c r="AQ406" i="56" s="1"/>
  <c r="AE404" i="56" a="1"/>
  <c r="AE404" i="56" s="1"/>
  <c r="AQ402" i="56" a="1"/>
  <c r="AQ402" i="56" s="1"/>
  <c r="AE400" i="56" a="1"/>
  <c r="AE400" i="56" s="1"/>
  <c r="AQ398" i="56" a="1"/>
  <c r="AQ398" i="56" s="1"/>
  <c r="AE396" i="56" a="1"/>
  <c r="AE396" i="56" s="1"/>
  <c r="AQ394" i="56" a="1"/>
  <c r="AQ394" i="56" s="1"/>
  <c r="AE392" i="56" a="1"/>
  <c r="AE392" i="56" s="1"/>
  <c r="AQ390" i="56" a="1"/>
  <c r="AQ390" i="56" s="1"/>
  <c r="AE388" i="56" a="1"/>
  <c r="AE388" i="56" s="1"/>
  <c r="AQ386" i="56" a="1"/>
  <c r="AQ386" i="56" s="1"/>
  <c r="AE384" i="56" a="1"/>
  <c r="AE384" i="56" s="1"/>
  <c r="AQ382" i="56" a="1"/>
  <c r="AQ382" i="56" s="1"/>
  <c r="AE380" i="56" a="1"/>
  <c r="AE380" i="56" s="1"/>
  <c r="AQ378" i="56" a="1"/>
  <c r="AQ378" i="56" s="1"/>
  <c r="AE376" i="56" a="1"/>
  <c r="AE376" i="56" s="1"/>
  <c r="AQ374" i="56" a="1"/>
  <c r="AQ374" i="56" s="1"/>
  <c r="AE372" i="56" a="1"/>
  <c r="AE372" i="56" s="1"/>
  <c r="AQ370" i="56" a="1"/>
  <c r="AQ370" i="56" s="1"/>
  <c r="AE368" i="56" a="1"/>
  <c r="AE368" i="56" s="1"/>
  <c r="AQ366" i="56" a="1"/>
  <c r="AQ366" i="56" s="1"/>
  <c r="AE364" i="56" a="1"/>
  <c r="AE364" i="56" s="1"/>
  <c r="AQ362" i="56" a="1"/>
  <c r="AQ362" i="56" s="1"/>
  <c r="AE360" i="56" a="1"/>
  <c r="AE360" i="56" s="1"/>
  <c r="AQ358" i="56" a="1"/>
  <c r="AQ358" i="56" s="1"/>
  <c r="AE356" i="56" a="1"/>
  <c r="AE356" i="56" s="1"/>
  <c r="AQ354" i="56" a="1"/>
  <c r="AQ354" i="56" s="1"/>
  <c r="AE352" i="56" a="1"/>
  <c r="AE352" i="56" s="1"/>
  <c r="AQ350" i="56" a="1"/>
  <c r="AQ350" i="56" s="1"/>
  <c r="AE348" i="56" a="1"/>
  <c r="AE348" i="56" s="1"/>
  <c r="AQ346" i="56" a="1"/>
  <c r="AQ346" i="56" s="1"/>
  <c r="AE344" i="56" a="1"/>
  <c r="AE344" i="56" s="1"/>
  <c r="AQ342" i="56" a="1"/>
  <c r="AQ342" i="56" s="1"/>
  <c r="AE340" i="56" a="1"/>
  <c r="AE340" i="56" s="1"/>
  <c r="AE407" i="56" a="1"/>
  <c r="AE407" i="56" s="1"/>
  <c r="AQ405" i="56" a="1"/>
  <c r="AQ405" i="56" s="1"/>
  <c r="AE403" i="56" a="1"/>
  <c r="AE403" i="56" s="1"/>
  <c r="AQ401" i="56" a="1"/>
  <c r="AQ401" i="56" s="1"/>
  <c r="AE399" i="56" a="1"/>
  <c r="AE399" i="56" s="1"/>
  <c r="AQ397" i="56" a="1"/>
  <c r="AQ397" i="56" s="1"/>
  <c r="AE395" i="56" a="1"/>
  <c r="AE395" i="56" s="1"/>
  <c r="AQ393" i="56" a="1"/>
  <c r="AQ393" i="56" s="1"/>
  <c r="AE391" i="56" a="1"/>
  <c r="AE391" i="56" s="1"/>
  <c r="AQ389" i="56" a="1"/>
  <c r="AQ389" i="56" s="1"/>
  <c r="AE387" i="56" a="1"/>
  <c r="AE387" i="56" s="1"/>
  <c r="AQ385" i="56" a="1"/>
  <c r="AQ385" i="56" s="1"/>
  <c r="AE383" i="56" a="1"/>
  <c r="AE383" i="56" s="1"/>
  <c r="AQ381" i="56" a="1"/>
  <c r="AQ381" i="56" s="1"/>
  <c r="AE379" i="56" a="1"/>
  <c r="AE379" i="56" s="1"/>
  <c r="AQ377" i="56" a="1"/>
  <c r="AQ377" i="56" s="1"/>
  <c r="AE375" i="56" a="1"/>
  <c r="AE375" i="56" s="1"/>
  <c r="AQ373" i="56" a="1"/>
  <c r="AQ373" i="56" s="1"/>
  <c r="AE371" i="56" a="1"/>
  <c r="AE371" i="56" s="1"/>
  <c r="AQ369" i="56" a="1"/>
  <c r="AQ369" i="56" s="1"/>
  <c r="AE367" i="56" a="1"/>
  <c r="AE367" i="56" s="1"/>
  <c r="AQ365" i="56" a="1"/>
  <c r="AQ365" i="56" s="1"/>
  <c r="AE363" i="56" a="1"/>
  <c r="AE363" i="56" s="1"/>
  <c r="AQ361" i="56" a="1"/>
  <c r="AQ361" i="56" s="1"/>
  <c r="AE359" i="56" a="1"/>
  <c r="AE359" i="56" s="1"/>
  <c r="AQ357" i="56" a="1"/>
  <c r="AQ357" i="56" s="1"/>
  <c r="AE355" i="56" a="1"/>
  <c r="AE355" i="56" s="1"/>
  <c r="AQ353" i="56" a="1"/>
  <c r="AQ353" i="56" s="1"/>
  <c r="AE351" i="56" a="1"/>
  <c r="AE351" i="56" s="1"/>
  <c r="AQ349" i="56" a="1"/>
  <c r="AQ349" i="56" s="1"/>
  <c r="AE347" i="56" a="1"/>
  <c r="AE347" i="56" s="1"/>
  <c r="AQ345" i="56" a="1"/>
  <c r="AQ345" i="56" s="1"/>
  <c r="AE343" i="56" a="1"/>
  <c r="AE343" i="56" s="1"/>
  <c r="AQ341" i="56" a="1"/>
  <c r="AQ341" i="56" s="1"/>
  <c r="AE339" i="56" a="1"/>
  <c r="AE339" i="56" s="1"/>
  <c r="AQ337" i="56" a="1"/>
  <c r="AQ337" i="56" s="1"/>
  <c r="AE335" i="56" a="1"/>
  <c r="AE335" i="56" s="1"/>
  <c r="AQ333" i="56" a="1"/>
  <c r="AQ333" i="56" s="1"/>
  <c r="AE331" i="56" a="1"/>
  <c r="AE331" i="56" s="1"/>
  <c r="AQ329" i="56" a="1"/>
  <c r="AQ329" i="56" s="1"/>
  <c r="AE327" i="56" a="1"/>
  <c r="AE327" i="56" s="1"/>
  <c r="AQ325" i="56" a="1"/>
  <c r="AQ325" i="56" s="1"/>
  <c r="AE323" i="56" a="1"/>
  <c r="AE323" i="56" s="1"/>
  <c r="AQ321" i="56" a="1"/>
  <c r="AQ321" i="56" s="1"/>
  <c r="AE319" i="56" a="1"/>
  <c r="AE319" i="56" s="1"/>
  <c r="AQ317" i="56" a="1"/>
  <c r="AQ317" i="56" s="1"/>
  <c r="AE315" i="56" a="1"/>
  <c r="AE315" i="56" s="1"/>
  <c r="AQ313" i="56" a="1"/>
  <c r="AQ313" i="56" s="1"/>
  <c r="AE311" i="56" a="1"/>
  <c r="AE311" i="56" s="1"/>
  <c r="AQ309" i="56" a="1"/>
  <c r="AQ309" i="56" s="1"/>
  <c r="AE307" i="56" a="1"/>
  <c r="AE307" i="56" s="1"/>
  <c r="AQ305" i="56" a="1"/>
  <c r="AQ305" i="56" s="1"/>
  <c r="AE303" i="56" a="1"/>
  <c r="AE303" i="56" s="1"/>
  <c r="AQ301" i="56" a="1"/>
  <c r="AQ301" i="56" s="1"/>
  <c r="AE299" i="56" a="1"/>
  <c r="AE299" i="56" s="1"/>
  <c r="AQ297" i="56" a="1"/>
  <c r="AQ297" i="56" s="1"/>
  <c r="AE295" i="56" a="1"/>
  <c r="AE295" i="56" s="1"/>
  <c r="AQ293" i="56" a="1"/>
  <c r="AQ293" i="56" s="1"/>
  <c r="AE291" i="56" a="1"/>
  <c r="AE291" i="56" s="1"/>
  <c r="AQ289" i="56" a="1"/>
  <c r="AQ289" i="56" s="1"/>
  <c r="AE287" i="56" a="1"/>
  <c r="AE287" i="56" s="1"/>
  <c r="AQ285" i="56" a="1"/>
  <c r="AQ285" i="56" s="1"/>
  <c r="AE283" i="56" a="1"/>
  <c r="AE283" i="56" s="1"/>
  <c r="AQ281" i="56" a="1"/>
  <c r="AQ281" i="56" s="1"/>
  <c r="AE279" i="56" a="1"/>
  <c r="AE279" i="56" s="1"/>
  <c r="AQ277" i="56" a="1"/>
  <c r="AQ277" i="56" s="1"/>
  <c r="AE275" i="56" a="1"/>
  <c r="AE275" i="56" s="1"/>
  <c r="AQ273" i="56" a="1"/>
  <c r="AQ273" i="56" s="1"/>
  <c r="AE271" i="56" a="1"/>
  <c r="AE271" i="56" s="1"/>
  <c r="AQ269" i="56" a="1"/>
  <c r="AQ269" i="56" s="1"/>
  <c r="AE267" i="56" a="1"/>
  <c r="AE267" i="56" s="1"/>
  <c r="AQ265" i="56" a="1"/>
  <c r="AQ265" i="56" s="1"/>
  <c r="AE263" i="56" a="1"/>
  <c r="AE263" i="56" s="1"/>
  <c r="AQ261" i="56" a="1"/>
  <c r="AQ261" i="56" s="1"/>
  <c r="AE259" i="56" a="1"/>
  <c r="AE259" i="56" s="1"/>
  <c r="AQ257" i="56" a="1"/>
  <c r="AQ257" i="56" s="1"/>
  <c r="AE255" i="56" a="1"/>
  <c r="AE255" i="56" s="1"/>
  <c r="AQ253" i="56" a="1"/>
  <c r="AQ253" i="56" s="1"/>
  <c r="AE251" i="56" a="1"/>
  <c r="AE251" i="56" s="1"/>
  <c r="AQ249" i="56" a="1"/>
  <c r="AQ249" i="56" s="1"/>
  <c r="AE247" i="56" a="1"/>
  <c r="AE247" i="56" s="1"/>
  <c r="AQ245" i="56" a="1"/>
  <c r="AQ245" i="56" s="1"/>
  <c r="AE243" i="56" a="1"/>
  <c r="AE243" i="56" s="1"/>
  <c r="AQ241" i="56" a="1"/>
  <c r="AQ241" i="56" s="1"/>
  <c r="AE239" i="56" a="1"/>
  <c r="AE239" i="56" s="1"/>
  <c r="AE406" i="56" a="1"/>
  <c r="AE406" i="56" s="1"/>
  <c r="AQ404" i="56" a="1"/>
  <c r="AQ404" i="56" s="1"/>
  <c r="AE402" i="56" a="1"/>
  <c r="AE402" i="56" s="1"/>
  <c r="AQ400" i="56" a="1"/>
  <c r="AQ400" i="56" s="1"/>
  <c r="AE398" i="56" a="1"/>
  <c r="AE398" i="56" s="1"/>
  <c r="AQ396" i="56" a="1"/>
  <c r="AQ396" i="56" s="1"/>
  <c r="AE394" i="56" a="1"/>
  <c r="AE394" i="56" s="1"/>
  <c r="AQ392" i="56" a="1"/>
  <c r="AQ392" i="56" s="1"/>
  <c r="AE390" i="56" a="1"/>
  <c r="AE390" i="56" s="1"/>
  <c r="AQ388" i="56" a="1"/>
  <c r="AQ388" i="56" s="1"/>
  <c r="AE386" i="56" a="1"/>
  <c r="AE386" i="56" s="1"/>
  <c r="AQ384" i="56" a="1"/>
  <c r="AQ384" i="56" s="1"/>
  <c r="AE382" i="56" a="1"/>
  <c r="AE382" i="56" s="1"/>
  <c r="AQ380" i="56" a="1"/>
  <c r="AQ380" i="56" s="1"/>
  <c r="AE378" i="56" a="1"/>
  <c r="AE378" i="56" s="1"/>
  <c r="AQ376" i="56" a="1"/>
  <c r="AQ376" i="56" s="1"/>
  <c r="AE374" i="56" a="1"/>
  <c r="AE374" i="56" s="1"/>
  <c r="AQ372" i="56" a="1"/>
  <c r="AQ372" i="56" s="1"/>
  <c r="AE370" i="56" a="1"/>
  <c r="AE370" i="56" s="1"/>
  <c r="AQ368" i="56" a="1"/>
  <c r="AQ368" i="56" s="1"/>
  <c r="AE366" i="56" a="1"/>
  <c r="AE366" i="56" s="1"/>
  <c r="AQ364" i="56" a="1"/>
  <c r="AQ364" i="56" s="1"/>
  <c r="AE362" i="56" a="1"/>
  <c r="AE362" i="56" s="1"/>
  <c r="AQ360" i="56" a="1"/>
  <c r="AQ360" i="56" s="1"/>
  <c r="AE358" i="56" a="1"/>
  <c r="AE358" i="56" s="1"/>
  <c r="AQ356" i="56" a="1"/>
  <c r="AQ356" i="56" s="1"/>
  <c r="AE354" i="56" a="1"/>
  <c r="AE354" i="56" s="1"/>
  <c r="AQ352" i="56" a="1"/>
  <c r="AQ352" i="56" s="1"/>
  <c r="AE350" i="56" a="1"/>
  <c r="AE350" i="56" s="1"/>
  <c r="AQ348" i="56" a="1"/>
  <c r="AQ348" i="56" s="1"/>
  <c r="AE346" i="56" a="1"/>
  <c r="AE346" i="56" s="1"/>
  <c r="AQ344" i="56" a="1"/>
  <c r="AQ344" i="56" s="1"/>
  <c r="AE342" i="56" a="1"/>
  <c r="AE342" i="56" s="1"/>
  <c r="AQ340" i="56" a="1"/>
  <c r="AQ340" i="56" s="1"/>
  <c r="AE338" i="56" a="1"/>
  <c r="AE338" i="56" s="1"/>
  <c r="AQ336" i="56" a="1"/>
  <c r="AQ336" i="56" s="1"/>
  <c r="AE334" i="56" a="1"/>
  <c r="AE334" i="56" s="1"/>
  <c r="AQ332" i="56" a="1"/>
  <c r="AQ332" i="56" s="1"/>
  <c r="AE330" i="56" a="1"/>
  <c r="AE330" i="56" s="1"/>
  <c r="AQ328" i="56" a="1"/>
  <c r="AQ328" i="56" s="1"/>
  <c r="AE326" i="56" a="1"/>
  <c r="AE326" i="56" s="1"/>
  <c r="AQ324" i="56" a="1"/>
  <c r="AQ324" i="56" s="1"/>
  <c r="AE322" i="56" a="1"/>
  <c r="AE322" i="56" s="1"/>
  <c r="AQ320" i="56" a="1"/>
  <c r="AQ320" i="56" s="1"/>
  <c r="AE318" i="56" a="1"/>
  <c r="AE318" i="56" s="1"/>
  <c r="AQ316" i="56" a="1"/>
  <c r="AQ316" i="56" s="1"/>
  <c r="AE314" i="56" a="1"/>
  <c r="AE314" i="56" s="1"/>
  <c r="AQ312" i="56" a="1"/>
  <c r="AQ312" i="56" s="1"/>
  <c r="AE310" i="56" a="1"/>
  <c r="AE310" i="56" s="1"/>
  <c r="AQ308" i="56" a="1"/>
  <c r="AQ308" i="56" s="1"/>
  <c r="AE306" i="56" a="1"/>
  <c r="AE306" i="56" s="1"/>
  <c r="AQ304" i="56" a="1"/>
  <c r="AQ304" i="56" s="1"/>
  <c r="AE302" i="56" a="1"/>
  <c r="AE302" i="56" s="1"/>
  <c r="AQ300" i="56" a="1"/>
  <c r="AQ300" i="56" s="1"/>
  <c r="AE298" i="56" a="1"/>
  <c r="AE298" i="56" s="1"/>
  <c r="AQ296" i="56" a="1"/>
  <c r="AQ296" i="56" s="1"/>
  <c r="AE294" i="56" a="1"/>
  <c r="AE294" i="56" s="1"/>
  <c r="AQ292" i="56" a="1"/>
  <c r="AQ292" i="56" s="1"/>
  <c r="AE290" i="56" a="1"/>
  <c r="AE290" i="56" s="1"/>
  <c r="AQ288" i="56" a="1"/>
  <c r="AQ288" i="56" s="1"/>
  <c r="AE286" i="56" a="1"/>
  <c r="AE286" i="56" s="1"/>
  <c r="AQ284" i="56" a="1"/>
  <c r="AQ284" i="56" s="1"/>
  <c r="AE282" i="56" a="1"/>
  <c r="AE282" i="56" s="1"/>
  <c r="AQ280" i="56" a="1"/>
  <c r="AQ280" i="56" s="1"/>
  <c r="AE278" i="56" a="1"/>
  <c r="AE278" i="56" s="1"/>
  <c r="AQ276" i="56" a="1"/>
  <c r="AQ276" i="56" s="1"/>
  <c r="AE274" i="56" a="1"/>
  <c r="AE274" i="56" s="1"/>
  <c r="AQ272" i="56" a="1"/>
  <c r="AQ272" i="56" s="1"/>
  <c r="AE270" i="56" a="1"/>
  <c r="AE270" i="56" s="1"/>
  <c r="AQ268" i="56" a="1"/>
  <c r="AQ268" i="56" s="1"/>
  <c r="AE266" i="56" a="1"/>
  <c r="AE266" i="56" s="1"/>
  <c r="AQ264" i="56" a="1"/>
  <c r="AQ264" i="56" s="1"/>
  <c r="AE262" i="56" a="1"/>
  <c r="AE262" i="56" s="1"/>
  <c r="AQ260" i="56" a="1"/>
  <c r="AQ260" i="56" s="1"/>
  <c r="AE258" i="56" a="1"/>
  <c r="AE258" i="56" s="1"/>
  <c r="AQ256" i="56" a="1"/>
  <c r="AQ256" i="56" s="1"/>
  <c r="AE254" i="56" a="1"/>
  <c r="AE254" i="56" s="1"/>
  <c r="AQ252" i="56" a="1"/>
  <c r="AQ252" i="56" s="1"/>
  <c r="AE250" i="56" a="1"/>
  <c r="AE250" i="56" s="1"/>
  <c r="AQ248" i="56" a="1"/>
  <c r="AQ248" i="56" s="1"/>
  <c r="AE246" i="56" a="1"/>
  <c r="AE246" i="56" s="1"/>
  <c r="AQ244" i="56" a="1"/>
  <c r="AQ244" i="56" s="1"/>
  <c r="AE242" i="56" a="1"/>
  <c r="AE242" i="56" s="1"/>
  <c r="AQ240" i="56" a="1"/>
  <c r="AQ240" i="56" s="1"/>
  <c r="AE238" i="56" a="1"/>
  <c r="AE238" i="56" s="1"/>
  <c r="AQ236" i="56" a="1"/>
  <c r="AQ236" i="56" s="1"/>
  <c r="AE234" i="56" a="1"/>
  <c r="AE234" i="56" s="1"/>
  <c r="AQ232" i="56" a="1"/>
  <c r="AQ232" i="56" s="1"/>
  <c r="AE235" i="56" a="1"/>
  <c r="AE235" i="56" s="1"/>
  <c r="AQ231" i="56" a="1"/>
  <c r="AQ231" i="56" s="1"/>
  <c r="AE229" i="56" a="1"/>
  <c r="AE229" i="56" s="1"/>
  <c r="AQ227" i="56" a="1"/>
  <c r="AQ227" i="56" s="1"/>
  <c r="AE225" i="56" a="1"/>
  <c r="AE225" i="56" s="1"/>
  <c r="AQ223" i="56" a="1"/>
  <c r="AQ223" i="56" s="1"/>
  <c r="AE221" i="56" a="1"/>
  <c r="AE221" i="56" s="1"/>
  <c r="AQ294" i="56" a="1"/>
  <c r="AQ294" i="56" s="1"/>
  <c r="AQ290" i="56" a="1"/>
  <c r="AQ290" i="56" s="1"/>
  <c r="AQ286" i="56" a="1"/>
  <c r="AQ286" i="56" s="1"/>
  <c r="AQ279" i="56" a="1"/>
  <c r="AQ279" i="56" s="1"/>
  <c r="AQ237" i="56" a="1"/>
  <c r="AQ237" i="56" s="1"/>
  <c r="AQ226" i="56" a="1"/>
  <c r="AQ226" i="56" s="1"/>
  <c r="AE285" i="56" a="1"/>
  <c r="AE285" i="56" s="1"/>
  <c r="AE280" i="56" a="1"/>
  <c r="AE280" i="56" s="1"/>
  <c r="AE276" i="56" a="1"/>
  <c r="AE276" i="56" s="1"/>
  <c r="AE272" i="56" a="1"/>
  <c r="AE272" i="56" s="1"/>
  <c r="AE265" i="56" a="1"/>
  <c r="AE265" i="56" s="1"/>
  <c r="AE260" i="56" a="1"/>
  <c r="AE260" i="56" s="1"/>
  <c r="AQ221" i="56" a="1"/>
  <c r="AQ221" i="56" s="1"/>
  <c r="AQ334" i="56" a="1"/>
  <c r="AQ334" i="56" s="1"/>
  <c r="AE332" i="56" a="1"/>
  <c r="AE332" i="56" s="1"/>
  <c r="AQ326" i="56" a="1"/>
  <c r="AQ326" i="56" s="1"/>
  <c r="AE324" i="56" a="1"/>
  <c r="AE324" i="56" s="1"/>
  <c r="AQ318" i="56" a="1"/>
  <c r="AQ318" i="56" s="1"/>
  <c r="AE316" i="56" a="1"/>
  <c r="AE316" i="56" s="1"/>
  <c r="AQ310" i="56" a="1"/>
  <c r="AQ310" i="56" s="1"/>
  <c r="AE308" i="56" a="1"/>
  <c r="AE308" i="56" s="1"/>
  <c r="AQ302" i="56" a="1"/>
  <c r="AQ302" i="56" s="1"/>
  <c r="AQ299" i="56" a="1"/>
  <c r="AQ299" i="56" s="1"/>
  <c r="AQ298" i="56" a="1"/>
  <c r="AQ298" i="56" s="1"/>
  <c r="AQ295" i="56" a="1"/>
  <c r="AQ295" i="56" s="1"/>
  <c r="AQ283" i="56" a="1"/>
  <c r="AQ283" i="56" s="1"/>
  <c r="AQ275" i="56" a="1"/>
  <c r="AQ275" i="56" s="1"/>
  <c r="AQ271" i="56" a="1"/>
  <c r="AQ271" i="56" s="1"/>
  <c r="AQ267" i="56" a="1"/>
  <c r="AQ267" i="56" s="1"/>
  <c r="AQ263" i="56" a="1"/>
  <c r="AQ263" i="56" s="1"/>
  <c r="AQ259" i="56" a="1"/>
  <c r="AQ259" i="56" s="1"/>
  <c r="AQ255" i="56" a="1"/>
  <c r="AQ255" i="56" s="1"/>
  <c r="AQ251" i="56" a="1"/>
  <c r="AQ251" i="56" s="1"/>
  <c r="AQ247" i="56" a="1"/>
  <c r="AQ247" i="56" s="1"/>
  <c r="AQ243" i="56" a="1"/>
  <c r="AQ243" i="56" s="1"/>
  <c r="AQ239" i="56" a="1"/>
  <c r="AQ239" i="56" s="1"/>
  <c r="AE232" i="56" a="1"/>
  <c r="AE232" i="56" s="1"/>
  <c r="AE228" i="56" a="1"/>
  <c r="AE228" i="56" s="1"/>
  <c r="AQ222" i="56" a="1"/>
  <c r="AQ222" i="56" s="1"/>
  <c r="AE296" i="56" a="1"/>
  <c r="AE296" i="56" s="1"/>
  <c r="AE292" i="56" a="1"/>
  <c r="AE292" i="56" s="1"/>
  <c r="AE289" i="56" a="1"/>
  <c r="AE289" i="56" s="1"/>
  <c r="AE284" i="56" a="1"/>
  <c r="AE284" i="56" s="1"/>
  <c r="AE277" i="56" a="1"/>
  <c r="AE277" i="56" s="1"/>
  <c r="AE269" i="56" a="1"/>
  <c r="AE269" i="56" s="1"/>
  <c r="AE264" i="56" a="1"/>
  <c r="AE264" i="56" s="1"/>
  <c r="AE257" i="56" a="1"/>
  <c r="AE257" i="56" s="1"/>
  <c r="AE253" i="56" a="1"/>
  <c r="AE253" i="56" s="1"/>
  <c r="AE249" i="56" a="1"/>
  <c r="AE249" i="56" s="1"/>
  <c r="AE245" i="56" a="1"/>
  <c r="AE245" i="56" s="1"/>
  <c r="AE241" i="56" a="1"/>
  <c r="AE241" i="56" s="1"/>
  <c r="AQ235" i="56" a="1"/>
  <c r="AQ235" i="56" s="1"/>
  <c r="AE231" i="56" a="1"/>
  <c r="AE231" i="56" s="1"/>
  <c r="AQ229" i="56" a="1"/>
  <c r="AQ229" i="56" s="1"/>
  <c r="AE227" i="56" a="1"/>
  <c r="AE227" i="56" s="1"/>
  <c r="AQ225" i="56" a="1"/>
  <c r="AQ225" i="56" s="1"/>
  <c r="AE223" i="56" a="1"/>
  <c r="AE223" i="56" s="1"/>
  <c r="AE301" i="56" a="1"/>
  <c r="AE301" i="56" s="1"/>
  <c r="AQ338" i="56" a="1"/>
  <c r="AQ338" i="56" s="1"/>
  <c r="AE336" i="56" a="1"/>
  <c r="AE336" i="56" s="1"/>
  <c r="AQ330" i="56" a="1"/>
  <c r="AQ330" i="56" s="1"/>
  <c r="AE328" i="56" a="1"/>
  <c r="AE328" i="56" s="1"/>
  <c r="AQ322" i="56" a="1"/>
  <c r="AQ322" i="56" s="1"/>
  <c r="AE320" i="56" a="1"/>
  <c r="AE320" i="56" s="1"/>
  <c r="AQ314" i="56" a="1"/>
  <c r="AQ314" i="56" s="1"/>
  <c r="AE312" i="56" a="1"/>
  <c r="AE312" i="56" s="1"/>
  <c r="AQ306" i="56" a="1"/>
  <c r="AQ306" i="56" s="1"/>
  <c r="AE304" i="56" a="1"/>
  <c r="AE304" i="56" s="1"/>
  <c r="AE237" i="56" a="1"/>
  <c r="AE237" i="56" s="1"/>
  <c r="AE236" i="56" a="1"/>
  <c r="AE236" i="56" s="1"/>
  <c r="AQ234" i="56" a="1"/>
  <c r="AQ234" i="56" s="1"/>
  <c r="AQ233" i="56" a="1"/>
  <c r="AQ233" i="56" s="1"/>
  <c r="AE230" i="56" a="1"/>
  <c r="AE230" i="56" s="1"/>
  <c r="AQ228" i="56" a="1"/>
  <c r="AQ228" i="56" s="1"/>
  <c r="AE226" i="56" a="1"/>
  <c r="AE226" i="56" s="1"/>
  <c r="AQ224" i="56" a="1"/>
  <c r="AQ224" i="56" s="1"/>
  <c r="AE222" i="56" a="1"/>
  <c r="AE222" i="56" s="1"/>
  <c r="AQ291" i="56" a="1"/>
  <c r="AQ291" i="56" s="1"/>
  <c r="AQ287" i="56" a="1"/>
  <c r="AQ287" i="56" s="1"/>
  <c r="AQ282" i="56" a="1"/>
  <c r="AQ282" i="56" s="1"/>
  <c r="AQ278" i="56" a="1"/>
  <c r="AQ278" i="56" s="1"/>
  <c r="AQ274" i="56" a="1"/>
  <c r="AQ274" i="56" s="1"/>
  <c r="AQ270" i="56" a="1"/>
  <c r="AQ270" i="56" s="1"/>
  <c r="AQ266" i="56" a="1"/>
  <c r="AQ266" i="56" s="1"/>
  <c r="AQ262" i="56" a="1"/>
  <c r="AQ262" i="56" s="1"/>
  <c r="AQ258" i="56" a="1"/>
  <c r="AQ258" i="56" s="1"/>
  <c r="AQ254" i="56" a="1"/>
  <c r="AQ254" i="56" s="1"/>
  <c r="AQ250" i="56" a="1"/>
  <c r="AQ250" i="56" s="1"/>
  <c r="AQ246" i="56" a="1"/>
  <c r="AQ246" i="56" s="1"/>
  <c r="AQ242" i="56" a="1"/>
  <c r="AQ242" i="56" s="1"/>
  <c r="AQ238" i="56" a="1"/>
  <c r="AQ238" i="56" s="1"/>
  <c r="AE233" i="56" a="1"/>
  <c r="AE233" i="56" s="1"/>
  <c r="AQ230" i="56" a="1"/>
  <c r="AQ230" i="56" s="1"/>
  <c r="AE224" i="56" a="1"/>
  <c r="AE224" i="56" s="1"/>
  <c r="AE300" i="56" a="1"/>
  <c r="AE300" i="56" s="1"/>
  <c r="AE297" i="56" a="1"/>
  <c r="AE297" i="56" s="1"/>
  <c r="AE293" i="56" a="1"/>
  <c r="AE293" i="56" s="1"/>
  <c r="AE288" i="56" a="1"/>
  <c r="AE288" i="56" s="1"/>
  <c r="AE281" i="56" a="1"/>
  <c r="AE281" i="56" s="1"/>
  <c r="AE273" i="56" a="1"/>
  <c r="AE273" i="56" s="1"/>
  <c r="AE268" i="56" a="1"/>
  <c r="AE268" i="56" s="1"/>
  <c r="AE261" i="56" a="1"/>
  <c r="AE261" i="56" s="1"/>
  <c r="AE256" i="56" a="1"/>
  <c r="AE256" i="56" s="1"/>
  <c r="AE252" i="56" a="1"/>
  <c r="AE252" i="56" s="1"/>
  <c r="AE248" i="56" a="1"/>
  <c r="AE248" i="56" s="1"/>
  <c r="AE244" i="56" a="1"/>
  <c r="AE244" i="56" s="1"/>
  <c r="AE240" i="56" a="1"/>
  <c r="AE240" i="56" s="1"/>
  <c r="T197" i="56" a="1"/>
  <c r="T197" i="56" s="1"/>
  <c r="T189" i="56" a="1"/>
  <c r="T189" i="56" s="1"/>
  <c r="T181" i="56" a="1"/>
  <c r="T181" i="56" s="1"/>
  <c r="T199" i="56" a="1"/>
  <c r="T199" i="56" s="1"/>
  <c r="T198" i="56" a="1"/>
  <c r="T198" i="56" s="1"/>
  <c r="T192" i="56" a="1"/>
  <c r="T192" i="56" s="1"/>
  <c r="T186" i="56" a="1"/>
  <c r="T186" i="56" s="1"/>
  <c r="T208" i="56" a="1"/>
  <c r="T208" i="56" s="1"/>
  <c r="J198" i="56" a="1"/>
  <c r="J198" i="56" s="1"/>
  <c r="J182" i="56" a="1"/>
  <c r="J182" i="56" s="1"/>
  <c r="J202" i="56" a="1"/>
  <c r="J202" i="56" s="1"/>
  <c r="J191" i="56" a="1"/>
  <c r="J191" i="56" s="1"/>
  <c r="J201" i="56" a="1"/>
  <c r="J201" i="56" s="1"/>
  <c r="J192" i="56" a="1"/>
  <c r="J192" i="56" s="1"/>
  <c r="J204" i="56" a="1"/>
  <c r="J204" i="56" s="1"/>
  <c r="J185" i="56" a="1"/>
  <c r="J185" i="56" s="1"/>
  <c r="J183" i="56" a="1"/>
  <c r="J183" i="56" s="1"/>
  <c r="AQ217" i="56" a="1"/>
  <c r="AQ217" i="56" s="1"/>
  <c r="AQ213" i="56" a="1"/>
  <c r="AQ213" i="56" s="1"/>
  <c r="AQ209" i="56" a="1"/>
  <c r="AQ209" i="56" s="1"/>
  <c r="AQ205" i="56" a="1"/>
  <c r="AQ205" i="56" s="1"/>
  <c r="AQ201" i="56" a="1"/>
  <c r="AQ201" i="56" s="1"/>
  <c r="AQ197" i="56" a="1"/>
  <c r="AQ197" i="56" s="1"/>
  <c r="AE218" i="56" a="1"/>
  <c r="AE218" i="56" s="1"/>
  <c r="AE214" i="56" a="1"/>
  <c r="AE214" i="56" s="1"/>
  <c r="AE210" i="56" a="1"/>
  <c r="AE210" i="56" s="1"/>
  <c r="AE206" i="56" a="1"/>
  <c r="AE206" i="56" s="1"/>
  <c r="AE202" i="56" a="1"/>
  <c r="AE202" i="56" s="1"/>
  <c r="AE197" i="56" a="1"/>
  <c r="AE197" i="56" s="1"/>
  <c r="AQ195" i="56" a="1"/>
  <c r="AQ195" i="56" s="1"/>
  <c r="AQ191" i="56" a="1"/>
  <c r="AQ191" i="56" s="1"/>
  <c r="AE192" i="56" a="1"/>
  <c r="AE192" i="56" s="1"/>
  <c r="AE190" i="56" a="1"/>
  <c r="AE190" i="56" s="1"/>
  <c r="AQ190" i="56" a="1"/>
  <c r="AQ190" i="56" s="1"/>
  <c r="AQ186" i="56" a="1"/>
  <c r="AQ186" i="56" s="1"/>
  <c r="AE184" i="56" a="1"/>
  <c r="AE184" i="56" s="1"/>
  <c r="AQ184" i="56" a="1"/>
  <c r="AQ184" i="56" s="1"/>
  <c r="AQ180" i="56" a="1"/>
  <c r="AQ180" i="56" s="1"/>
  <c r="AE180" i="56" a="1"/>
  <c r="AE180" i="56" s="1"/>
  <c r="AQ216" i="56" a="1"/>
  <c r="AQ216" i="56" s="1"/>
  <c r="AQ208" i="56" a="1"/>
  <c r="AQ208" i="56" s="1"/>
  <c r="AE199" i="56" a="1"/>
  <c r="AE199" i="56" s="1"/>
  <c r="AE213" i="56" a="1"/>
  <c r="AE213" i="56" s="1"/>
  <c r="AE209" i="56" a="1"/>
  <c r="AE209" i="56" s="1"/>
  <c r="AE205" i="56" a="1"/>
  <c r="AE205" i="56" s="1"/>
  <c r="AE201" i="56" a="1"/>
  <c r="AE201" i="56" s="1"/>
  <c r="AE195" i="56" a="1"/>
  <c r="AE195" i="56" s="1"/>
  <c r="AE185" i="56" a="1"/>
  <c r="AE185" i="56" s="1"/>
  <c r="J203" i="56" a="1"/>
  <c r="J203" i="56" s="1"/>
  <c r="AQ219" i="56" a="1"/>
  <c r="AQ219" i="56" s="1"/>
  <c r="AQ203" i="56" a="1"/>
  <c r="AQ203" i="56" s="1"/>
  <c r="AE216" i="56" a="1"/>
  <c r="AE216" i="56" s="1"/>
  <c r="T209" i="56" a="1"/>
  <c r="T209" i="56" s="1"/>
  <c r="T195" i="56" a="1"/>
  <c r="T195" i="56" s="1"/>
  <c r="T187" i="56" a="1"/>
  <c r="T187" i="56" s="1"/>
  <c r="T205" i="56" a="1"/>
  <c r="T205" i="56" s="1"/>
  <c r="T190" i="56" a="1"/>
  <c r="T190" i="56" s="1"/>
  <c r="T207" i="56" a="1"/>
  <c r="T207" i="56" s="1"/>
  <c r="T184" i="56" a="1"/>
  <c r="T184" i="56" s="1"/>
  <c r="T196" i="56" a="1"/>
  <c r="T196" i="56" s="1"/>
  <c r="J205" i="56" a="1"/>
  <c r="J205" i="56" s="1"/>
  <c r="J195" i="56" a="1"/>
  <c r="J195" i="56" s="1"/>
  <c r="J197" i="56" a="1"/>
  <c r="J197" i="56" s="1"/>
  <c r="J189" i="56" a="1"/>
  <c r="J189" i="56" s="1"/>
  <c r="J188" i="56" a="1"/>
  <c r="J188" i="56" s="1"/>
  <c r="J199" i="56" a="1"/>
  <c r="J199" i="56" s="1"/>
  <c r="AQ220" i="56" a="1"/>
  <c r="AQ220" i="56" s="1"/>
  <c r="AQ212" i="56" a="1"/>
  <c r="AQ212" i="56" s="1"/>
  <c r="AQ204" i="56" a="1"/>
  <c r="AQ204" i="56" s="1"/>
  <c r="AQ200" i="56" a="1"/>
  <c r="AQ200" i="56" s="1"/>
  <c r="AE217" i="56" a="1"/>
  <c r="AE217" i="56" s="1"/>
  <c r="AQ194" i="56" a="1"/>
  <c r="AQ194" i="56" s="1"/>
  <c r="AE191" i="56" a="1"/>
  <c r="AE191" i="56" s="1"/>
  <c r="AQ189" i="56" a="1"/>
  <c r="AQ189" i="56" s="1"/>
  <c r="AE183" i="56" a="1"/>
  <c r="AE183" i="56" s="1"/>
  <c r="J180" i="56" a="1"/>
  <c r="J180" i="56" s="1"/>
  <c r="T203" i="56" a="1"/>
  <c r="T203" i="56" s="1"/>
  <c r="T193" i="56" a="1"/>
  <c r="T193" i="56" s="1"/>
  <c r="T185" i="56" a="1"/>
  <c r="T185" i="56" s="1"/>
  <c r="T202" i="56" a="1"/>
  <c r="T202" i="56" s="1"/>
  <c r="T182" i="56" a="1"/>
  <c r="T182" i="56" s="1"/>
  <c r="T204" i="56" a="1"/>
  <c r="T204" i="56" s="1"/>
  <c r="T188" i="56" a="1"/>
  <c r="T188" i="56" s="1"/>
  <c r="J200" i="56" a="1"/>
  <c r="J200" i="56" s="1"/>
  <c r="J187" i="56" a="1"/>
  <c r="J187" i="56" s="1"/>
  <c r="J196" i="56" a="1"/>
  <c r="J196" i="56" s="1"/>
  <c r="J186" i="56" a="1"/>
  <c r="J186" i="56" s="1"/>
  <c r="AQ211" i="56" a="1"/>
  <c r="AQ211" i="56" s="1"/>
  <c r="AE220" i="56" a="1"/>
  <c r="AE220" i="56" s="1"/>
  <c r="AE208" i="56" a="1"/>
  <c r="AE208" i="56" s="1"/>
  <c r="AE204" i="56" a="1"/>
  <c r="AE204" i="56" s="1"/>
  <c r="AQ193" i="56" a="1"/>
  <c r="AQ193" i="56" s="1"/>
  <c r="AE196" i="56" a="1"/>
  <c r="AE196" i="56" s="1"/>
  <c r="AQ188" i="56" a="1"/>
  <c r="AQ188" i="56" s="1"/>
  <c r="AQ182" i="56" a="1"/>
  <c r="AQ182" i="56" s="1"/>
  <c r="T200" i="56" a="1"/>
  <c r="T200" i="56" s="1"/>
  <c r="T191" i="56" a="1"/>
  <c r="T191" i="56" s="1"/>
  <c r="T183" i="56" a="1"/>
  <c r="T183" i="56" s="1"/>
  <c r="T206" i="56" a="1"/>
  <c r="T206" i="56" s="1"/>
  <c r="T201" i="56" a="1"/>
  <c r="T201" i="56" s="1"/>
  <c r="T194" i="56" a="1"/>
  <c r="T194" i="56" s="1"/>
  <c r="T180" i="56" a="1"/>
  <c r="T180" i="56" s="1"/>
  <c r="J206" i="56" a="1"/>
  <c r="J206" i="56" s="1"/>
  <c r="J190" i="56" a="1"/>
  <c r="J190" i="56" s="1"/>
  <c r="J207" i="56" a="1"/>
  <c r="J207" i="56" s="1"/>
  <c r="J193" i="56" a="1"/>
  <c r="J193" i="56" s="1"/>
  <c r="J209" i="56" a="1"/>
  <c r="J209" i="56" s="1"/>
  <c r="J184" i="56" a="1"/>
  <c r="J184" i="56" s="1"/>
  <c r="J194" i="56" a="1"/>
  <c r="J194" i="56" s="1"/>
  <c r="J208" i="56" a="1"/>
  <c r="J208" i="56" s="1"/>
  <c r="AQ218" i="56" a="1"/>
  <c r="AQ218" i="56" s="1"/>
  <c r="AQ214" i="56" a="1"/>
  <c r="AQ214" i="56" s="1"/>
  <c r="AQ210" i="56" a="1"/>
  <c r="AQ210" i="56" s="1"/>
  <c r="AQ206" i="56" a="1"/>
  <c r="AQ206" i="56" s="1"/>
  <c r="AQ202" i="56" a="1"/>
  <c r="AQ202" i="56" s="1"/>
  <c r="AQ198" i="56" a="1"/>
  <c r="AQ198" i="56" s="1"/>
  <c r="AE219" i="56" a="1"/>
  <c r="AE219" i="56" s="1"/>
  <c r="AE215" i="56" a="1"/>
  <c r="AE215" i="56" s="1"/>
  <c r="AE211" i="56" a="1"/>
  <c r="AE211" i="56" s="1"/>
  <c r="AE207" i="56" a="1"/>
  <c r="AE207" i="56" s="1"/>
  <c r="AE203" i="56" a="1"/>
  <c r="AE203" i="56" s="1"/>
  <c r="AE198" i="56" a="1"/>
  <c r="AE198" i="56" s="1"/>
  <c r="AQ196" i="56" a="1"/>
  <c r="AQ196" i="56" s="1"/>
  <c r="AQ192" i="56" a="1"/>
  <c r="AQ192" i="56" s="1"/>
  <c r="AE193" i="56" a="1"/>
  <c r="AE193" i="56" s="1"/>
  <c r="AE187" i="56" a="1"/>
  <c r="AE187" i="56" s="1"/>
  <c r="AQ187" i="56" a="1"/>
  <c r="AQ187" i="56" s="1"/>
  <c r="AQ185" i="56" a="1"/>
  <c r="AQ185" i="56" s="1"/>
  <c r="AQ181" i="56" a="1"/>
  <c r="AQ181" i="56" s="1"/>
  <c r="AE181" i="56" a="1"/>
  <c r="AE181" i="56" s="1"/>
  <c r="AE189" i="56" a="1"/>
  <c r="AE189" i="56" s="1"/>
  <c r="AQ183" i="56" a="1"/>
  <c r="AQ183" i="56" s="1"/>
  <c r="J181" i="56" a="1"/>
  <c r="J181" i="56" s="1"/>
  <c r="AQ215" i="56" a="1"/>
  <c r="AQ215" i="56" s="1"/>
  <c r="AQ207" i="56" a="1"/>
  <c r="AQ207" i="56" s="1"/>
  <c r="AQ199" i="56" a="1"/>
  <c r="AQ199" i="56" s="1"/>
  <c r="AE212" i="56" a="1"/>
  <c r="AE212" i="56" s="1"/>
  <c r="AE200" i="56" a="1"/>
  <c r="AE200" i="56" s="1"/>
  <c r="AE194" i="56" a="1"/>
  <c r="AE194" i="56" s="1"/>
  <c r="AE188" i="56" a="1"/>
  <c r="AE188" i="56" s="1"/>
  <c r="AE186" i="56" a="1"/>
  <c r="AE186" i="56" s="1"/>
  <c r="AE182" i="56" a="1"/>
  <c r="AE182" i="56" s="1"/>
  <c r="K32" i="65" l="1" a="1"/>
  <c r="K32" i="65" s="1"/>
  <c r="L32" i="65" a="1"/>
  <c r="L32" i="65" s="1"/>
  <c r="T424" i="56"/>
  <c r="AQ423" i="56"/>
  <c r="J423" i="56"/>
  <c r="AE424" i="56"/>
  <c r="AQ424" i="56"/>
  <c r="AE423" i="56"/>
  <c r="J424" i="56"/>
  <c r="T423" i="56"/>
  <c r="AE422" i="56"/>
  <c r="T422" i="56"/>
  <c r="J422" i="56"/>
  <c r="AQ422" i="56"/>
  <c r="V345" i="56"/>
  <c r="N345" i="56"/>
  <c r="O345" i="56" s="1" a="1"/>
  <c r="O345" i="56" s="1"/>
  <c r="P345" i="56" s="1"/>
  <c r="V347" i="56"/>
  <c r="N347" i="56"/>
  <c r="O347" i="56" s="1" a="1"/>
  <c r="O347" i="56" s="1"/>
  <c r="P347" i="56" s="1"/>
  <c r="V361" i="56"/>
  <c r="N361" i="56"/>
  <c r="O361" i="56" s="1" a="1"/>
  <c r="O361" i="56" s="1"/>
  <c r="P361" i="56" s="1"/>
  <c r="V258" i="56"/>
  <c r="N258" i="56"/>
  <c r="O258" i="56" s="1" a="1"/>
  <c r="O258" i="56" s="1"/>
  <c r="P258" i="56" s="1"/>
  <c r="V259" i="56"/>
  <c r="N259" i="56"/>
  <c r="O259" i="56" s="1" a="1"/>
  <c r="O259" i="56" s="1"/>
  <c r="P259" i="56" s="1"/>
  <c r="V242" i="56"/>
  <c r="N242" i="56"/>
  <c r="O242" i="56" s="1" a="1"/>
  <c r="O242" i="56" s="1"/>
  <c r="P242" i="56" s="1"/>
  <c r="N228" i="56"/>
  <c r="V228" i="56"/>
  <c r="V239" i="56"/>
  <c r="N239" i="56"/>
  <c r="V247" i="56"/>
  <c r="N247" i="56"/>
  <c r="O247" i="56" s="1" a="1"/>
  <c r="O247" i="56" s="1"/>
  <c r="P247" i="56" s="1"/>
  <c r="V263" i="56"/>
  <c r="N263" i="56"/>
  <c r="O263" i="56" s="1" a="1"/>
  <c r="O263" i="56" s="1"/>
  <c r="P263" i="56" s="1"/>
  <c r="N329" i="56"/>
  <c r="O329" i="56" s="1" a="1"/>
  <c r="O329" i="56" s="1"/>
  <c r="P329" i="56" s="1"/>
  <c r="V329" i="56"/>
  <c r="N275" i="56"/>
  <c r="O275" i="56" s="1" a="1"/>
  <c r="O275" i="56" s="1"/>
  <c r="P275" i="56" s="1"/>
  <c r="V275" i="56"/>
  <c r="V315" i="56"/>
  <c r="N315" i="56"/>
  <c r="V339" i="56"/>
  <c r="N339" i="56"/>
  <c r="V240" i="56"/>
  <c r="N240" i="56"/>
  <c r="O240" i="56" s="1" a="1"/>
  <c r="O240" i="56" s="1"/>
  <c r="P240" i="56" s="1"/>
  <c r="V289" i="56"/>
  <c r="N289" i="56"/>
  <c r="O289" i="56" s="1" a="1"/>
  <c r="O289" i="56" s="1"/>
  <c r="P289" i="56" s="1"/>
  <c r="V235" i="56"/>
  <c r="N235" i="56"/>
  <c r="O235" i="56" s="1" a="1"/>
  <c r="O235" i="56" s="1"/>
  <c r="P235" i="56" s="1"/>
  <c r="V270" i="56"/>
  <c r="N270" i="56"/>
  <c r="O270" i="56" s="1" a="1"/>
  <c r="O270" i="56" s="1"/>
  <c r="P270" i="56" s="1"/>
  <c r="V343" i="56"/>
  <c r="N343" i="56"/>
  <c r="O343" i="56" s="1" a="1"/>
  <c r="O343" i="56" s="1"/>
  <c r="P343" i="56" s="1"/>
  <c r="V321" i="56"/>
  <c r="N321" i="56"/>
  <c r="O321" i="56" s="1" a="1"/>
  <c r="O321" i="56" s="1"/>
  <c r="P321" i="56" s="1"/>
  <c r="V286" i="56"/>
  <c r="N286" i="56"/>
  <c r="O286" i="56" s="1" a="1"/>
  <c r="O286" i="56" s="1"/>
  <c r="P286" i="56" s="1"/>
  <c r="V302" i="56"/>
  <c r="N302" i="56"/>
  <c r="O302" i="56" s="1" a="1"/>
  <c r="O302" i="56" s="1"/>
  <c r="P302" i="56" s="1"/>
  <c r="V299" i="56"/>
  <c r="N299" i="56"/>
  <c r="O299" i="56" s="1" a="1"/>
  <c r="O299" i="56" s="1"/>
  <c r="P299" i="56" s="1"/>
  <c r="V323" i="56"/>
  <c r="N323" i="56"/>
  <c r="O323" i="56" s="1" a="1"/>
  <c r="O323" i="56" s="1"/>
  <c r="P323" i="56" s="1"/>
  <c r="N266" i="56"/>
  <c r="O266" i="56" s="1" a="1"/>
  <c r="O266" i="56" s="1"/>
  <c r="P266" i="56" s="1"/>
  <c r="V266" i="56"/>
  <c r="V298" i="56"/>
  <c r="N298" i="56"/>
  <c r="O298" i="56" s="1" a="1"/>
  <c r="O298" i="56" s="1"/>
  <c r="P298" i="56" s="1"/>
  <c r="V330" i="56"/>
  <c r="N330" i="56"/>
  <c r="O330" i="56" s="1" a="1"/>
  <c r="O330" i="56" s="1"/>
  <c r="P330" i="56" s="1"/>
  <c r="N219" i="56"/>
  <c r="V219" i="56"/>
  <c r="V313" i="56"/>
  <c r="N313" i="56"/>
  <c r="O313" i="56" s="1" a="1"/>
  <c r="O313" i="56" s="1"/>
  <c r="P313" i="56" s="1"/>
  <c r="V307" i="56"/>
  <c r="N307" i="56"/>
  <c r="O307" i="56" s="1" a="1"/>
  <c r="O307" i="56" s="1"/>
  <c r="P307" i="56" s="1"/>
  <c r="V256" i="56"/>
  <c r="N256" i="56"/>
  <c r="O256" i="56" s="1" a="1"/>
  <c r="O256" i="56" s="1"/>
  <c r="P256" i="56" s="1"/>
  <c r="N353" i="56"/>
  <c r="O353" i="56" s="1" a="1"/>
  <c r="O353" i="56" s="1"/>
  <c r="P353" i="56" s="1"/>
  <c r="V353" i="56"/>
  <c r="V369" i="56"/>
  <c r="N369" i="56"/>
  <c r="O369" i="56" s="1" a="1"/>
  <c r="O369" i="56" s="1"/>
  <c r="P369" i="56" s="1"/>
  <c r="V377" i="56"/>
  <c r="N377" i="56"/>
  <c r="O377" i="56" s="1" a="1"/>
  <c r="O377" i="56" s="1"/>
  <c r="P377" i="56" s="1"/>
  <c r="N385" i="56"/>
  <c r="V385" i="56"/>
  <c r="V393" i="56"/>
  <c r="N393" i="56"/>
  <c r="O393" i="56" s="1" a="1"/>
  <c r="O393" i="56" s="1"/>
  <c r="P393" i="56" s="1"/>
  <c r="V401" i="56"/>
  <c r="N401" i="56"/>
  <c r="O401" i="56" s="1" a="1"/>
  <c r="O401" i="56" s="1"/>
  <c r="P401" i="56" s="1"/>
  <c r="N327" i="56"/>
  <c r="O327" i="56" s="1" a="1"/>
  <c r="O327" i="56" s="1"/>
  <c r="P327" i="56" s="1"/>
  <c r="V327" i="56"/>
  <c r="V283" i="56"/>
  <c r="N283" i="56"/>
  <c r="O283" i="56" s="1" a="1"/>
  <c r="O283" i="56" s="1"/>
  <c r="P283" i="56" s="1"/>
  <c r="N244" i="56"/>
  <c r="O244" i="56" s="1" a="1"/>
  <c r="O244" i="56" s="1"/>
  <c r="P244" i="56" s="1"/>
  <c r="V244" i="56"/>
  <c r="V218" i="56"/>
  <c r="N218" i="56"/>
  <c r="O218" i="56" s="1" a="1"/>
  <c r="O218" i="56" s="1"/>
  <c r="P218" i="56" s="1"/>
  <c r="V234" i="56"/>
  <c r="N234" i="56"/>
  <c r="O234" i="56" s="1" a="1"/>
  <c r="O234" i="56" s="1"/>
  <c r="P234" i="56" s="1"/>
  <c r="V224" i="56"/>
  <c r="N224" i="56"/>
  <c r="O224" i="56" s="1" a="1"/>
  <c r="O224" i="56" s="1"/>
  <c r="P224" i="56" s="1"/>
  <c r="V273" i="56"/>
  <c r="N273" i="56"/>
  <c r="O273" i="56" s="1" a="1"/>
  <c r="O273" i="56" s="1"/>
  <c r="P273" i="56" s="1"/>
  <c r="V311" i="56"/>
  <c r="N311" i="56"/>
  <c r="V305" i="56"/>
  <c r="N305" i="56"/>
  <c r="O305" i="56" s="1" a="1"/>
  <c r="O305" i="56" s="1"/>
  <c r="P305" i="56" s="1"/>
  <c r="V337" i="56"/>
  <c r="N337" i="56"/>
  <c r="O337" i="56" s="1" a="1"/>
  <c r="O337" i="56" s="1"/>
  <c r="P337" i="56" s="1"/>
  <c r="V267" i="56"/>
  <c r="N267" i="56"/>
  <c r="O267" i="56" s="1" a="1"/>
  <c r="O267" i="56" s="1"/>
  <c r="P267" i="56" s="1"/>
  <c r="V291" i="56"/>
  <c r="N291" i="56"/>
  <c r="O291" i="56" s="1" a="1"/>
  <c r="O291" i="56" s="1"/>
  <c r="P291" i="56" s="1"/>
  <c r="V331" i="56"/>
  <c r="N331" i="56"/>
  <c r="O331" i="56" s="1" a="1"/>
  <c r="O331" i="56" s="1"/>
  <c r="P331" i="56" s="1"/>
  <c r="V282" i="56"/>
  <c r="N282" i="56"/>
  <c r="O282" i="56" s="1" a="1"/>
  <c r="O282" i="56" s="1"/>
  <c r="P282" i="56" s="1"/>
  <c r="V314" i="56"/>
  <c r="N314" i="56"/>
  <c r="O314" i="56" s="1" a="1"/>
  <c r="O314" i="56" s="1"/>
  <c r="P314" i="56" s="1"/>
  <c r="V346" i="56"/>
  <c r="N346" i="56"/>
  <c r="O346" i="56" s="1" a="1"/>
  <c r="O346" i="56" s="1"/>
  <c r="P346" i="56" s="1"/>
  <c r="M236" i="56"/>
  <c r="V251" i="56"/>
  <c r="N251" i="56"/>
  <c r="O251" i="56" s="1" a="1"/>
  <c r="O251" i="56" s="1"/>
  <c r="P251" i="56" s="1"/>
  <c r="V217" i="56"/>
  <c r="N217" i="56"/>
  <c r="O217" i="56" s="1" a="1"/>
  <c r="O217" i="56" s="1"/>
  <c r="P217" i="56" s="1"/>
  <c r="N225" i="56"/>
  <c r="O225" i="56" s="1" a="1"/>
  <c r="O225" i="56" s="1"/>
  <c r="P225" i="56" s="1"/>
  <c r="V225" i="56"/>
  <c r="V233" i="56"/>
  <c r="N233" i="56"/>
  <c r="O233" i="56" s="1" a="1"/>
  <c r="O233" i="56" s="1"/>
  <c r="P233" i="56" s="1"/>
  <c r="V241" i="56"/>
  <c r="N241" i="56"/>
  <c r="O241" i="56" s="1" a="1"/>
  <c r="O241" i="56" s="1"/>
  <c r="P241" i="56" s="1"/>
  <c r="V252" i="56"/>
  <c r="N252" i="56"/>
  <c r="O252" i="56" s="1" a="1"/>
  <c r="O252" i="56" s="1"/>
  <c r="P252" i="56" s="1"/>
  <c r="M278" i="56"/>
  <c r="M211" i="56"/>
  <c r="M251" i="56"/>
  <c r="V292" i="56"/>
  <c r="N292" i="56"/>
  <c r="O292" i="56" s="1" a="1"/>
  <c r="O292" i="56" s="1"/>
  <c r="P292" i="56" s="1"/>
  <c r="M310" i="56"/>
  <c r="M326" i="56"/>
  <c r="M342" i="56"/>
  <c r="V350" i="56"/>
  <c r="N350" i="56"/>
  <c r="O350" i="56" s="1" a="1"/>
  <c r="O350" i="56" s="1"/>
  <c r="P350" i="56" s="1"/>
  <c r="V358" i="56"/>
  <c r="N358" i="56"/>
  <c r="V366" i="56"/>
  <c r="N366" i="56"/>
  <c r="O366" i="56" s="1" a="1"/>
  <c r="O366" i="56" s="1"/>
  <c r="P366" i="56" s="1"/>
  <c r="V374" i="56"/>
  <c r="N374" i="56"/>
  <c r="O374" i="56" s="1" a="1"/>
  <c r="O374" i="56" s="1"/>
  <c r="P374" i="56" s="1"/>
  <c r="V382" i="56"/>
  <c r="N382" i="56"/>
  <c r="O382" i="56" s="1" a="1"/>
  <c r="O382" i="56" s="1"/>
  <c r="P382" i="56" s="1"/>
  <c r="V390" i="56"/>
  <c r="N390" i="56"/>
  <c r="V398" i="56"/>
  <c r="N398" i="56"/>
  <c r="O398" i="56" s="1" a="1"/>
  <c r="O398" i="56" s="1"/>
  <c r="P398" i="56" s="1"/>
  <c r="V406" i="56"/>
  <c r="N406" i="56"/>
  <c r="O406" i="56" s="1" a="1"/>
  <c r="O406" i="56" s="1"/>
  <c r="P406" i="56" s="1"/>
  <c r="L210" i="56"/>
  <c r="L226" i="56"/>
  <c r="M226" i="56" s="1"/>
  <c r="L250" i="56"/>
  <c r="M250" i="56" s="1"/>
  <c r="L318" i="56"/>
  <c r="L334" i="56"/>
  <c r="M252" i="56"/>
  <c r="M260" i="56"/>
  <c r="L265" i="56"/>
  <c r="L281" i="56"/>
  <c r="L297" i="56"/>
  <c r="M354" i="56"/>
  <c r="M362" i="56"/>
  <c r="M370" i="56"/>
  <c r="M378" i="56"/>
  <c r="M386" i="56"/>
  <c r="M394" i="56"/>
  <c r="M402" i="56"/>
  <c r="M254" i="56"/>
  <c r="M215" i="56"/>
  <c r="M231" i="56"/>
  <c r="M212" i="56"/>
  <c r="M219" i="56"/>
  <c r="M227" i="56"/>
  <c r="M235" i="56"/>
  <c r="M243" i="56"/>
  <c r="V213" i="56"/>
  <c r="N213" i="56"/>
  <c r="O213" i="56" s="1" a="1"/>
  <c r="O213" i="56" s="1"/>
  <c r="P213" i="56" s="1"/>
  <c r="V229" i="56"/>
  <c r="N229" i="56"/>
  <c r="O229" i="56" s="1" a="1"/>
  <c r="O229" i="56" s="1"/>
  <c r="P229" i="56" s="1"/>
  <c r="M214" i="56"/>
  <c r="M224" i="56"/>
  <c r="M240" i="56"/>
  <c r="M255" i="56"/>
  <c r="V268" i="56"/>
  <c r="N268" i="56"/>
  <c r="O268" i="56" s="1" a="1"/>
  <c r="O268" i="56" s="1"/>
  <c r="P268" i="56" s="1"/>
  <c r="V284" i="56"/>
  <c r="N284" i="56"/>
  <c r="O284" i="56" s="1" a="1"/>
  <c r="O284" i="56" s="1"/>
  <c r="P284" i="56" s="1"/>
  <c r="M271" i="56"/>
  <c r="M287" i="56"/>
  <c r="M303" i="56"/>
  <c r="M294" i="56"/>
  <c r="L319" i="56"/>
  <c r="M319" i="56" s="1"/>
  <c r="L335" i="56"/>
  <c r="M335" i="56" s="1"/>
  <c r="V352" i="56"/>
  <c r="N352" i="56"/>
  <c r="O352" i="56" s="1" a="1"/>
  <c r="O352" i="56" s="1"/>
  <c r="P352" i="56" s="1"/>
  <c r="V360" i="56"/>
  <c r="N360" i="56"/>
  <c r="O360" i="56" s="1" a="1"/>
  <c r="O360" i="56" s="1"/>
  <c r="P360" i="56" s="1"/>
  <c r="V368" i="56"/>
  <c r="N368" i="56"/>
  <c r="O368" i="56" s="1" a="1"/>
  <c r="O368" i="56" s="1"/>
  <c r="P368" i="56" s="1"/>
  <c r="V376" i="56"/>
  <c r="N376" i="56"/>
  <c r="O376" i="56" s="1" a="1"/>
  <c r="O376" i="56" s="1"/>
  <c r="P376" i="56" s="1"/>
  <c r="V384" i="56"/>
  <c r="N384" i="56"/>
  <c r="O384" i="56" s="1" a="1"/>
  <c r="O384" i="56" s="1"/>
  <c r="P384" i="56" s="1"/>
  <c r="V392" i="56"/>
  <c r="N392" i="56"/>
  <c r="O392" i="56" s="1" a="1"/>
  <c r="O392" i="56" s="1"/>
  <c r="P392" i="56" s="1"/>
  <c r="V400" i="56"/>
  <c r="N400" i="56"/>
  <c r="O400" i="56" s="1" a="1"/>
  <c r="O400" i="56" s="1"/>
  <c r="P400" i="56" s="1"/>
  <c r="M286" i="56"/>
  <c r="V300" i="56"/>
  <c r="N300" i="56"/>
  <c r="O300" i="56" s="1" a="1"/>
  <c r="O300" i="56" s="1"/>
  <c r="P300" i="56" s="1"/>
  <c r="M213" i="56"/>
  <c r="M221" i="56"/>
  <c r="M229" i="56"/>
  <c r="M237" i="56"/>
  <c r="M275" i="56"/>
  <c r="M291" i="56"/>
  <c r="M307" i="56"/>
  <c r="M323" i="56"/>
  <c r="M339" i="56"/>
  <c r="L245" i="56"/>
  <c r="L253" i="56"/>
  <c r="L261" i="56"/>
  <c r="M268" i="56"/>
  <c r="M276" i="56"/>
  <c r="M284" i="56"/>
  <c r="M292" i="56"/>
  <c r="M300" i="56"/>
  <c r="M308" i="56"/>
  <c r="M316" i="56"/>
  <c r="M324" i="56"/>
  <c r="M332" i="56"/>
  <c r="M340" i="56"/>
  <c r="M348" i="56"/>
  <c r="M356" i="56"/>
  <c r="M364" i="56"/>
  <c r="M372" i="56"/>
  <c r="M380" i="56"/>
  <c r="M388" i="56"/>
  <c r="M396" i="56"/>
  <c r="M404" i="56"/>
  <c r="L355" i="56"/>
  <c r="L363" i="56"/>
  <c r="M363" i="56" s="1"/>
  <c r="L371" i="56"/>
  <c r="L379" i="56"/>
  <c r="M379" i="56" s="1"/>
  <c r="L387" i="56"/>
  <c r="L395" i="56"/>
  <c r="M395" i="56" s="1"/>
  <c r="L403" i="56"/>
  <c r="M258" i="56"/>
  <c r="V223" i="56"/>
  <c r="N223" i="56"/>
  <c r="O223" i="56" s="1" a="1"/>
  <c r="O223" i="56" s="1"/>
  <c r="P223" i="56" s="1"/>
  <c r="V220" i="56"/>
  <c r="N220" i="56"/>
  <c r="O220" i="56" s="1" a="1"/>
  <c r="O220" i="56" s="1"/>
  <c r="P220" i="56" s="1"/>
  <c r="N236" i="56"/>
  <c r="V236" i="56"/>
  <c r="V260" i="56"/>
  <c r="N260" i="56"/>
  <c r="O260" i="56" s="1" a="1"/>
  <c r="O260" i="56" s="1"/>
  <c r="P260" i="56" s="1"/>
  <c r="V216" i="56"/>
  <c r="N216" i="56"/>
  <c r="V232" i="56"/>
  <c r="N232" i="56"/>
  <c r="O232" i="56" s="1" a="1"/>
  <c r="O232" i="56" s="1"/>
  <c r="P232" i="56" s="1"/>
  <c r="V215" i="56"/>
  <c r="N215" i="56"/>
  <c r="O215" i="56" s="1" a="1"/>
  <c r="O215" i="56" s="1"/>
  <c r="P215" i="56" s="1"/>
  <c r="V211" i="56"/>
  <c r="N211" i="56"/>
  <c r="V227" i="56"/>
  <c r="N227" i="56"/>
  <c r="O227" i="56" s="1" a="1"/>
  <c r="O227" i="56" s="1"/>
  <c r="P227" i="56" s="1"/>
  <c r="N243" i="56"/>
  <c r="O243" i="56" s="1" a="1"/>
  <c r="O243" i="56" s="1"/>
  <c r="P243" i="56" s="1"/>
  <c r="V243" i="56"/>
  <c r="M259" i="56"/>
  <c r="M273" i="56"/>
  <c r="M242" i="56"/>
  <c r="V271" i="56"/>
  <c r="N271" i="56"/>
  <c r="O271" i="56" s="1" a="1"/>
  <c r="O271" i="56" s="1"/>
  <c r="P271" i="56" s="1"/>
  <c r="V274" i="56"/>
  <c r="N274" i="56"/>
  <c r="O274" i="56" s="1" a="1"/>
  <c r="O274" i="56" s="1"/>
  <c r="P274" i="56" s="1"/>
  <c r="V290" i="56"/>
  <c r="N290" i="56"/>
  <c r="O290" i="56" s="1" a="1"/>
  <c r="O290" i="56" s="1"/>
  <c r="P290" i="56" s="1"/>
  <c r="V306" i="56"/>
  <c r="N306" i="56"/>
  <c r="V322" i="56"/>
  <c r="N322" i="56"/>
  <c r="N338" i="56"/>
  <c r="V338" i="56"/>
  <c r="M305" i="56"/>
  <c r="M313" i="56"/>
  <c r="M321" i="56"/>
  <c r="M329" i="56"/>
  <c r="M337" i="56"/>
  <c r="M345" i="56"/>
  <c r="V354" i="56"/>
  <c r="N354" i="56"/>
  <c r="O354" i="56" s="1" a="1"/>
  <c r="O354" i="56" s="1"/>
  <c r="P354" i="56" s="1"/>
  <c r="V362" i="56"/>
  <c r="N362" i="56"/>
  <c r="O362" i="56" s="1" a="1"/>
  <c r="O362" i="56" s="1"/>
  <c r="P362" i="56" s="1"/>
  <c r="V370" i="56"/>
  <c r="N370" i="56"/>
  <c r="N378" i="56"/>
  <c r="O378" i="56" s="1" a="1"/>
  <c r="O378" i="56" s="1"/>
  <c r="P378" i="56" s="1"/>
  <c r="V378" i="56"/>
  <c r="V386" i="56"/>
  <c r="N386" i="56"/>
  <c r="O386" i="56" s="1" a="1"/>
  <c r="O386" i="56" s="1"/>
  <c r="P386" i="56" s="1"/>
  <c r="V394" i="56"/>
  <c r="N394" i="56"/>
  <c r="O394" i="56" s="1" a="1"/>
  <c r="O394" i="56" s="1"/>
  <c r="P394" i="56" s="1"/>
  <c r="V402" i="56"/>
  <c r="N402" i="56"/>
  <c r="O402" i="56" s="1" a="1"/>
  <c r="O402" i="56" s="1"/>
  <c r="P402" i="56" s="1"/>
  <c r="M289" i="56"/>
  <c r="M302" i="56"/>
  <c r="V214" i="56"/>
  <c r="N214" i="56"/>
  <c r="N222" i="56"/>
  <c r="V222" i="56"/>
  <c r="N230" i="56"/>
  <c r="V230" i="56"/>
  <c r="N238" i="56"/>
  <c r="V238" i="56"/>
  <c r="V246" i="56"/>
  <c r="N246" i="56"/>
  <c r="O246" i="56" s="1" a="1"/>
  <c r="O246" i="56" s="1"/>
  <c r="P246" i="56" s="1"/>
  <c r="N254" i="56"/>
  <c r="O254" i="56" s="1" a="1"/>
  <c r="O254" i="56" s="1"/>
  <c r="P254" i="56" s="1"/>
  <c r="V254" i="56"/>
  <c r="N262" i="56"/>
  <c r="O262" i="56" s="1" a="1"/>
  <c r="O262" i="56" s="1"/>
  <c r="P262" i="56" s="1"/>
  <c r="V262" i="56"/>
  <c r="V278" i="56"/>
  <c r="N278" i="56"/>
  <c r="O278" i="56" s="1" a="1"/>
  <c r="O278" i="56" s="1"/>
  <c r="P278" i="56" s="1"/>
  <c r="N294" i="56"/>
  <c r="O294" i="56" s="1" a="1"/>
  <c r="O294" i="56" s="1"/>
  <c r="P294" i="56" s="1"/>
  <c r="V294" i="56"/>
  <c r="N310" i="56"/>
  <c r="O310" i="56" s="1" a="1"/>
  <c r="O310" i="56" s="1"/>
  <c r="P310" i="56" s="1"/>
  <c r="V310" i="56"/>
  <c r="V326" i="56"/>
  <c r="N326" i="56"/>
  <c r="O326" i="56" s="1" a="1"/>
  <c r="O326" i="56" s="1"/>
  <c r="P326" i="56" s="1"/>
  <c r="V342" i="56"/>
  <c r="N342" i="56"/>
  <c r="O342" i="56" s="1" a="1"/>
  <c r="O342" i="56" s="1"/>
  <c r="P342" i="56" s="1"/>
  <c r="M248" i="56"/>
  <c r="M256" i="56"/>
  <c r="V264" i="56"/>
  <c r="N264" i="56"/>
  <c r="O264" i="56" s="1" a="1"/>
  <c r="O264" i="56" s="1"/>
  <c r="P264" i="56" s="1"/>
  <c r="V272" i="56"/>
  <c r="N272" i="56"/>
  <c r="V280" i="56"/>
  <c r="N280" i="56"/>
  <c r="O280" i="56" s="1" a="1"/>
  <c r="O280" i="56" s="1"/>
  <c r="P280" i="56" s="1"/>
  <c r="V288" i="56"/>
  <c r="N288" i="56"/>
  <c r="V296" i="56"/>
  <c r="N296" i="56"/>
  <c r="O296" i="56" s="1" a="1"/>
  <c r="O296" i="56" s="1"/>
  <c r="P296" i="56" s="1"/>
  <c r="V304" i="56"/>
  <c r="N304" i="56"/>
  <c r="O304" i="56" s="1" a="1"/>
  <c r="O304" i="56" s="1"/>
  <c r="P304" i="56" s="1"/>
  <c r="V312" i="56"/>
  <c r="N312" i="56"/>
  <c r="O312" i="56" s="1" a="1"/>
  <c r="O312" i="56" s="1"/>
  <c r="P312" i="56" s="1"/>
  <c r="N320" i="56"/>
  <c r="O320" i="56" s="1" a="1"/>
  <c r="O320" i="56" s="1"/>
  <c r="P320" i="56" s="1"/>
  <c r="V320" i="56"/>
  <c r="N328" i="56"/>
  <c r="V328" i="56"/>
  <c r="V336" i="56"/>
  <c r="N336" i="56"/>
  <c r="O336" i="56" s="1" a="1"/>
  <c r="O336" i="56" s="1"/>
  <c r="P336" i="56" s="1"/>
  <c r="V344" i="56"/>
  <c r="N344" i="56"/>
  <c r="O344" i="56" s="1" a="1"/>
  <c r="O344" i="56" s="1"/>
  <c r="P344" i="56" s="1"/>
  <c r="L269" i="56"/>
  <c r="M269" i="56" s="1"/>
  <c r="L277" i="56"/>
  <c r="L285" i="56"/>
  <c r="M285" i="56" s="1"/>
  <c r="L293" i="56"/>
  <c r="L301" i="56"/>
  <c r="M301" i="56" s="1"/>
  <c r="L309" i="56"/>
  <c r="L317" i="56"/>
  <c r="M317" i="56" s="1"/>
  <c r="L325" i="56"/>
  <c r="L333" i="56"/>
  <c r="M333" i="56" s="1"/>
  <c r="L341" i="56"/>
  <c r="L349" i="56"/>
  <c r="M349" i="56" s="1"/>
  <c r="L357" i="56"/>
  <c r="L365" i="56"/>
  <c r="M365" i="56" s="1"/>
  <c r="L373" i="56"/>
  <c r="L381" i="56"/>
  <c r="M381" i="56" s="1"/>
  <c r="L389" i="56"/>
  <c r="L397" i="56"/>
  <c r="M397" i="56" s="1"/>
  <c r="L405" i="56"/>
  <c r="M350" i="56"/>
  <c r="M358" i="56"/>
  <c r="M366" i="56"/>
  <c r="M374" i="56"/>
  <c r="M382" i="56"/>
  <c r="M390" i="56"/>
  <c r="M398" i="56"/>
  <c r="M406" i="56"/>
  <c r="M228" i="56"/>
  <c r="M244" i="56"/>
  <c r="M218" i="56"/>
  <c r="M234" i="56"/>
  <c r="V231" i="56"/>
  <c r="N231" i="56"/>
  <c r="O231" i="56" s="1" a="1"/>
  <c r="O231" i="56" s="1"/>
  <c r="P231" i="56" s="1"/>
  <c r="M246" i="56"/>
  <c r="M262" i="56"/>
  <c r="M223" i="56"/>
  <c r="M239" i="56"/>
  <c r="V212" i="56"/>
  <c r="N212" i="56"/>
  <c r="O212" i="56" s="1" a="1"/>
  <c r="O212" i="56" s="1"/>
  <c r="P212" i="56" s="1"/>
  <c r="M222" i="56"/>
  <c r="M230" i="56"/>
  <c r="M238" i="56"/>
  <c r="V248" i="56"/>
  <c r="N248" i="56"/>
  <c r="M270" i="56"/>
  <c r="V221" i="56"/>
  <c r="N221" i="56"/>
  <c r="O221" i="56" s="1" a="1"/>
  <c r="O221" i="56" s="1"/>
  <c r="P221" i="56" s="1"/>
  <c r="V237" i="56"/>
  <c r="N237" i="56"/>
  <c r="O237" i="56" s="1" a="1"/>
  <c r="O237" i="56" s="1"/>
  <c r="P237" i="56" s="1"/>
  <c r="M220" i="56"/>
  <c r="M216" i="56"/>
  <c r="M232" i="56"/>
  <c r="M247" i="56"/>
  <c r="M263" i="56"/>
  <c r="V276" i="56"/>
  <c r="N276" i="56"/>
  <c r="O276" i="56" s="1" a="1"/>
  <c r="O276" i="56" s="1"/>
  <c r="P276" i="56" s="1"/>
  <c r="V255" i="56"/>
  <c r="N255" i="56"/>
  <c r="O255" i="56" s="1" a="1"/>
  <c r="O255" i="56" s="1"/>
  <c r="P255" i="56" s="1"/>
  <c r="V279" i="56"/>
  <c r="N279" i="56"/>
  <c r="O279" i="56" s="1" a="1"/>
  <c r="O279" i="56" s="1"/>
  <c r="P279" i="56" s="1"/>
  <c r="M279" i="56"/>
  <c r="M311" i="56"/>
  <c r="M327" i="56"/>
  <c r="M343" i="56"/>
  <c r="V287" i="56"/>
  <c r="N287" i="56"/>
  <c r="O287" i="56" s="1" a="1"/>
  <c r="O287" i="56" s="1"/>
  <c r="P287" i="56" s="1"/>
  <c r="V308" i="56"/>
  <c r="N308" i="56"/>
  <c r="O308" i="56" s="1" a="1"/>
  <c r="O308" i="56" s="1"/>
  <c r="P308" i="56" s="1"/>
  <c r="V316" i="56"/>
  <c r="N316" i="56"/>
  <c r="O316" i="56" s="1" a="1"/>
  <c r="O316" i="56" s="1"/>
  <c r="P316" i="56" s="1"/>
  <c r="V324" i="56"/>
  <c r="N324" i="56"/>
  <c r="O324" i="56" s="1" a="1"/>
  <c r="O324" i="56" s="1"/>
  <c r="P324" i="56" s="1"/>
  <c r="V332" i="56"/>
  <c r="N332" i="56"/>
  <c r="O332" i="56" s="1" a="1"/>
  <c r="O332" i="56" s="1"/>
  <c r="P332" i="56" s="1"/>
  <c r="V340" i="56"/>
  <c r="N340" i="56"/>
  <c r="N348" i="56"/>
  <c r="O348" i="56" s="1" a="1"/>
  <c r="O348" i="56" s="1"/>
  <c r="P348" i="56" s="1"/>
  <c r="V348" i="56"/>
  <c r="V356" i="56"/>
  <c r="N356" i="56"/>
  <c r="O356" i="56" s="1" a="1"/>
  <c r="O356" i="56" s="1"/>
  <c r="P356" i="56" s="1"/>
  <c r="V364" i="56"/>
  <c r="N364" i="56"/>
  <c r="O364" i="56" s="1" a="1"/>
  <c r="O364" i="56" s="1"/>
  <c r="P364" i="56" s="1"/>
  <c r="N372" i="56"/>
  <c r="O372" i="56" s="1" a="1"/>
  <c r="O372" i="56" s="1"/>
  <c r="P372" i="56" s="1"/>
  <c r="V372" i="56"/>
  <c r="N380" i="56"/>
  <c r="O380" i="56" s="1" a="1"/>
  <c r="O380" i="56" s="1"/>
  <c r="P380" i="56" s="1"/>
  <c r="V380" i="56"/>
  <c r="N388" i="56"/>
  <c r="O388" i="56" s="1" a="1"/>
  <c r="O388" i="56" s="1"/>
  <c r="P388" i="56" s="1"/>
  <c r="V388" i="56"/>
  <c r="N396" i="56"/>
  <c r="O396" i="56" s="1" a="1"/>
  <c r="O396" i="56" s="1"/>
  <c r="P396" i="56" s="1"/>
  <c r="V396" i="56"/>
  <c r="N404" i="56"/>
  <c r="O404" i="56" s="1" a="1"/>
  <c r="O404" i="56" s="1"/>
  <c r="P404" i="56" s="1"/>
  <c r="V404" i="56"/>
  <c r="L295" i="56"/>
  <c r="V303" i="56"/>
  <c r="N303" i="56"/>
  <c r="M217" i="56"/>
  <c r="M225" i="56"/>
  <c r="M233" i="56"/>
  <c r="M241" i="56"/>
  <c r="M267" i="56"/>
  <c r="M283" i="56"/>
  <c r="M299" i="56"/>
  <c r="M315" i="56"/>
  <c r="M331" i="56"/>
  <c r="M347" i="56"/>
  <c r="L249" i="56"/>
  <c r="L257" i="56"/>
  <c r="M266" i="56"/>
  <c r="M274" i="56"/>
  <c r="M282" i="56"/>
  <c r="M290" i="56"/>
  <c r="M298" i="56"/>
  <c r="M306" i="56"/>
  <c r="M314" i="56"/>
  <c r="M322" i="56"/>
  <c r="M330" i="56"/>
  <c r="M338" i="56"/>
  <c r="M346" i="56"/>
  <c r="M353" i="56"/>
  <c r="M361" i="56"/>
  <c r="M369" i="56"/>
  <c r="M377" i="56"/>
  <c r="M385" i="56"/>
  <c r="M393" i="56"/>
  <c r="M401" i="56"/>
  <c r="M264" i="56"/>
  <c r="M272" i="56"/>
  <c r="M280" i="56"/>
  <c r="M288" i="56"/>
  <c r="M296" i="56"/>
  <c r="M304" i="56"/>
  <c r="M312" i="56"/>
  <c r="M320" i="56"/>
  <c r="M328" i="56"/>
  <c r="M336" i="56"/>
  <c r="M344" i="56"/>
  <c r="M352" i="56"/>
  <c r="M360" i="56"/>
  <c r="M368" i="56"/>
  <c r="M376" i="56"/>
  <c r="M384" i="56"/>
  <c r="M392" i="56"/>
  <c r="M400" i="56"/>
  <c r="L351" i="56"/>
  <c r="L359" i="56"/>
  <c r="M359" i="56" s="1"/>
  <c r="L367" i="56"/>
  <c r="L375" i="56"/>
  <c r="M375" i="56" s="1"/>
  <c r="L383" i="56"/>
  <c r="L391" i="56"/>
  <c r="M391" i="56" s="1"/>
  <c r="L399" i="56"/>
  <c r="L407" i="56"/>
  <c r="M407" i="56" s="1"/>
  <c r="BX423" i="56" l="1"/>
  <c r="BX424" i="56"/>
  <c r="BI423" i="56"/>
  <c r="BI424" i="56"/>
  <c r="BX422" i="56"/>
  <c r="BI422" i="56"/>
  <c r="V367" i="56"/>
  <c r="N367" i="56"/>
  <c r="O367" i="56" s="1" a="1"/>
  <c r="O367" i="56" s="1"/>
  <c r="P367" i="56" s="1"/>
  <c r="O236" i="56" a="1"/>
  <c r="O236" i="56" s="1"/>
  <c r="P236" i="56" s="1"/>
  <c r="V387" i="56"/>
  <c r="N387" i="56"/>
  <c r="O387" i="56" s="1" a="1"/>
  <c r="O387" i="56" s="1"/>
  <c r="P387" i="56" s="1"/>
  <c r="V355" i="56"/>
  <c r="N355" i="56"/>
  <c r="V297" i="56"/>
  <c r="N297" i="56"/>
  <c r="O297" i="56" s="1" a="1"/>
  <c r="O297" i="56" s="1"/>
  <c r="P297" i="56" s="1"/>
  <c r="N334" i="56"/>
  <c r="O334" i="56" s="1" a="1"/>
  <c r="O334" i="56" s="1"/>
  <c r="P334" i="56" s="1"/>
  <c r="V334" i="56"/>
  <c r="V210" i="56"/>
  <c r="N210" i="56"/>
  <c r="O339" i="56" a="1"/>
  <c r="O339" i="56" s="1"/>
  <c r="P339" i="56" s="1"/>
  <c r="O239" i="56" a="1"/>
  <c r="O239" i="56" s="1"/>
  <c r="P239" i="56" s="1"/>
  <c r="V399" i="56"/>
  <c r="N399" i="56"/>
  <c r="O399" i="56" s="1" a="1"/>
  <c r="O399" i="56" s="1"/>
  <c r="P399" i="56" s="1"/>
  <c r="N249" i="56"/>
  <c r="O249" i="56" s="1" a="1"/>
  <c r="O249" i="56" s="1"/>
  <c r="P249" i="56" s="1"/>
  <c r="V249" i="56"/>
  <c r="M249" i="56"/>
  <c r="O340" i="56" a="1"/>
  <c r="O340" i="56" s="1"/>
  <c r="P340" i="56" s="1"/>
  <c r="V389" i="56"/>
  <c r="N389" i="56"/>
  <c r="O389" i="56" s="1" a="1"/>
  <c r="O389" i="56" s="1"/>
  <c r="P389" i="56" s="1"/>
  <c r="N357" i="56"/>
  <c r="O357" i="56" s="1" a="1"/>
  <c r="O357" i="56" s="1"/>
  <c r="P357" i="56" s="1"/>
  <c r="V357" i="56"/>
  <c r="V325" i="56"/>
  <c r="N325" i="56"/>
  <c r="O325" i="56" s="1" a="1"/>
  <c r="O325" i="56" s="1"/>
  <c r="P325" i="56" s="1"/>
  <c r="V293" i="56"/>
  <c r="N293" i="56"/>
  <c r="M434" i="56" a="1"/>
  <c r="M434" i="56" s="1"/>
  <c r="M437" i="56" a="1"/>
  <c r="M437" i="56" s="1"/>
  <c r="M435" i="56" a="1"/>
  <c r="M435" i="56" s="1"/>
  <c r="M438" i="56" a="1"/>
  <c r="M438" i="56" s="1"/>
  <c r="M432" i="56" a="1"/>
  <c r="M432" i="56" s="1"/>
  <c r="M436" i="56" a="1"/>
  <c r="M436" i="56" s="1"/>
  <c r="M439" i="56" a="1"/>
  <c r="M439" i="56" s="1"/>
  <c r="M440" i="56" a="1"/>
  <c r="M440" i="56" s="1"/>
  <c r="M433" i="56" a="1"/>
  <c r="M433" i="56" s="1"/>
  <c r="O322" i="56" a="1"/>
  <c r="O322" i="56" s="1"/>
  <c r="P322" i="56" s="1"/>
  <c r="V391" i="56"/>
  <c r="N391" i="56"/>
  <c r="O391" i="56" s="1" a="1"/>
  <c r="O391" i="56" s="1"/>
  <c r="P391" i="56" s="1"/>
  <c r="N359" i="56"/>
  <c r="O359" i="56" s="1" a="1"/>
  <c r="O359" i="56" s="1"/>
  <c r="P359" i="56" s="1"/>
  <c r="V359" i="56"/>
  <c r="O303" i="56" a="1"/>
  <c r="O303" i="56" s="1"/>
  <c r="P303" i="56" s="1"/>
  <c r="O248" i="56" a="1"/>
  <c r="O248" i="56" s="1"/>
  <c r="P248" i="56" s="1"/>
  <c r="N381" i="56"/>
  <c r="O381" i="56" s="1" a="1"/>
  <c r="O381" i="56" s="1"/>
  <c r="P381" i="56" s="1"/>
  <c r="V381" i="56"/>
  <c r="V349" i="56"/>
  <c r="N349" i="56"/>
  <c r="O349" i="56" s="1" a="1"/>
  <c r="O349" i="56" s="1"/>
  <c r="P349" i="56" s="1"/>
  <c r="V317" i="56"/>
  <c r="N317" i="56"/>
  <c r="O317" i="56" s="1" a="1"/>
  <c r="O317" i="56" s="1"/>
  <c r="P317" i="56" s="1"/>
  <c r="V285" i="56"/>
  <c r="N285" i="56"/>
  <c r="O285" i="56" s="1" a="1"/>
  <c r="O285" i="56" s="1"/>
  <c r="P285" i="56" s="1"/>
  <c r="M399" i="56"/>
  <c r="M367" i="56"/>
  <c r="O328" i="56" a="1"/>
  <c r="O328" i="56" s="1"/>
  <c r="P328" i="56" s="1"/>
  <c r="O238" i="56" a="1"/>
  <c r="O238" i="56" s="1"/>
  <c r="P238" i="56" s="1"/>
  <c r="O222" i="56" a="1"/>
  <c r="O222" i="56" s="1"/>
  <c r="P222" i="56" s="1"/>
  <c r="O211" i="56" a="1"/>
  <c r="O211" i="56" s="1"/>
  <c r="P211" i="56" s="1"/>
  <c r="V379" i="56"/>
  <c r="N379" i="56"/>
  <c r="O379" i="56" s="1" a="1"/>
  <c r="O379" i="56" s="1"/>
  <c r="P379" i="56" s="1"/>
  <c r="M389" i="56"/>
  <c r="M357" i="56"/>
  <c r="M325" i="56"/>
  <c r="M293" i="56"/>
  <c r="V261" i="56"/>
  <c r="N261" i="56"/>
  <c r="O261" i="56" s="1" a="1"/>
  <c r="O261" i="56" s="1"/>
  <c r="P261" i="56" s="1"/>
  <c r="M261" i="56"/>
  <c r="V335" i="56"/>
  <c r="N335" i="56"/>
  <c r="O335" i="56" s="1" a="1"/>
  <c r="O335" i="56" s="1"/>
  <c r="P335" i="56" s="1"/>
  <c r="V281" i="56"/>
  <c r="N281" i="56"/>
  <c r="M387" i="56"/>
  <c r="M355" i="56"/>
  <c r="V318" i="56"/>
  <c r="N318" i="56"/>
  <c r="O318" i="56" s="1" a="1"/>
  <c r="O318" i="56" s="1"/>
  <c r="P318" i="56" s="1"/>
  <c r="M297" i="56"/>
  <c r="M318" i="56"/>
  <c r="M281" i="56"/>
  <c r="O219" i="56" a="1"/>
  <c r="O219" i="56" s="1"/>
  <c r="P219" i="56" s="1"/>
  <c r="V373" i="56"/>
  <c r="N373" i="56"/>
  <c r="O373" i="56" s="1" a="1"/>
  <c r="O373" i="56" s="1"/>
  <c r="P373" i="56" s="1"/>
  <c r="V309" i="56"/>
  <c r="N309" i="56"/>
  <c r="O309" i="56" s="1" a="1"/>
  <c r="O309" i="56" s="1"/>
  <c r="P309" i="56" s="1"/>
  <c r="O288" i="56" a="1"/>
  <c r="O288" i="56" s="1"/>
  <c r="P288" i="56" s="1"/>
  <c r="O272" i="56" a="1"/>
  <c r="O272" i="56" s="1"/>
  <c r="P272" i="56" s="1"/>
  <c r="O370" i="56" a="1"/>
  <c r="O370" i="56" s="1"/>
  <c r="P370" i="56" s="1"/>
  <c r="O306" i="56" a="1"/>
  <c r="O306" i="56" s="1"/>
  <c r="P306" i="56" s="1"/>
  <c r="V253" i="56"/>
  <c r="N253" i="56"/>
  <c r="O253" i="56" s="1" a="1"/>
  <c r="O253" i="56" s="1"/>
  <c r="P253" i="56" s="1"/>
  <c r="M253" i="56"/>
  <c r="V319" i="56"/>
  <c r="N319" i="56"/>
  <c r="V265" i="56"/>
  <c r="N265" i="56"/>
  <c r="O265" i="56" s="1" a="1"/>
  <c r="O265" i="56" s="1"/>
  <c r="P265" i="56" s="1"/>
  <c r="V250" i="56"/>
  <c r="N250" i="56"/>
  <c r="O390" i="56" a="1"/>
  <c r="O390" i="56" s="1"/>
  <c r="P390" i="56" s="1"/>
  <c r="O358" i="56" a="1"/>
  <c r="O358" i="56" s="1"/>
  <c r="P358" i="56" s="1"/>
  <c r="M265" i="56"/>
  <c r="O311" i="56" a="1"/>
  <c r="O311" i="56" s="1"/>
  <c r="P311" i="56" s="1"/>
  <c r="O315" i="56" a="1"/>
  <c r="O315" i="56" s="1"/>
  <c r="P315" i="56" s="1"/>
  <c r="V383" i="56"/>
  <c r="N383" i="56"/>
  <c r="O383" i="56" s="1" a="1"/>
  <c r="O383" i="56" s="1"/>
  <c r="P383" i="56" s="1"/>
  <c r="V351" i="56"/>
  <c r="N351" i="56"/>
  <c r="O351" i="56" s="1" a="1"/>
  <c r="O351" i="56" s="1"/>
  <c r="P351" i="56" s="1"/>
  <c r="N405" i="56"/>
  <c r="O405" i="56" s="1" a="1"/>
  <c r="O405" i="56" s="1"/>
  <c r="P405" i="56" s="1"/>
  <c r="V405" i="56"/>
  <c r="V341" i="56"/>
  <c r="N341" i="56"/>
  <c r="O341" i="56" s="1" a="1"/>
  <c r="O341" i="56" s="1"/>
  <c r="P341" i="56" s="1"/>
  <c r="V277" i="56"/>
  <c r="N277" i="56"/>
  <c r="O277" i="56" s="1" a="1"/>
  <c r="O277" i="56" s="1"/>
  <c r="P277" i="56" s="1"/>
  <c r="O214" i="56" a="1"/>
  <c r="O214" i="56" s="1"/>
  <c r="P214" i="56" s="1"/>
  <c r="V403" i="56"/>
  <c r="N403" i="56"/>
  <c r="O403" i="56" s="1" a="1"/>
  <c r="O403" i="56" s="1"/>
  <c r="P403" i="56" s="1"/>
  <c r="V371" i="56"/>
  <c r="N371" i="56"/>
  <c r="O371" i="56" s="1" a="1"/>
  <c r="O371" i="56" s="1"/>
  <c r="P371" i="56" s="1"/>
  <c r="V407" i="56"/>
  <c r="N407" i="56"/>
  <c r="O407" i="56" s="1" a="1"/>
  <c r="O407" i="56" s="1"/>
  <c r="P407" i="56" s="1"/>
  <c r="N375" i="56"/>
  <c r="O375" i="56" s="1" a="1"/>
  <c r="O375" i="56" s="1"/>
  <c r="P375" i="56" s="1"/>
  <c r="V375" i="56"/>
  <c r="N257" i="56"/>
  <c r="V257" i="56"/>
  <c r="M257" i="56"/>
  <c r="V295" i="56"/>
  <c r="N295" i="56"/>
  <c r="O295" i="56" s="1" a="1"/>
  <c r="O295" i="56" s="1"/>
  <c r="P295" i="56" s="1"/>
  <c r="M295" i="56"/>
  <c r="V397" i="56"/>
  <c r="N397" i="56"/>
  <c r="O397" i="56" s="1" a="1"/>
  <c r="O397" i="56" s="1"/>
  <c r="P397" i="56" s="1"/>
  <c r="V365" i="56"/>
  <c r="N365" i="56"/>
  <c r="O365" i="56" s="1" a="1"/>
  <c r="O365" i="56" s="1"/>
  <c r="P365" i="56" s="1"/>
  <c r="N333" i="56"/>
  <c r="O333" i="56" s="1" a="1"/>
  <c r="O333" i="56" s="1"/>
  <c r="P333" i="56" s="1"/>
  <c r="V333" i="56"/>
  <c r="V301" i="56"/>
  <c r="N301" i="56"/>
  <c r="O301" i="56" s="1" a="1"/>
  <c r="O301" i="56" s="1"/>
  <c r="P301" i="56" s="1"/>
  <c r="V269" i="56"/>
  <c r="N269" i="56"/>
  <c r="M383" i="56"/>
  <c r="M351" i="56"/>
  <c r="O230" i="56" a="1"/>
  <c r="O230" i="56" s="1"/>
  <c r="P230" i="56" s="1"/>
  <c r="O338" i="56" a="1"/>
  <c r="O338" i="56" s="1"/>
  <c r="P338" i="56" s="1"/>
  <c r="O216" i="56" a="1"/>
  <c r="O216" i="56" s="1"/>
  <c r="P216" i="56" s="1"/>
  <c r="V395" i="56"/>
  <c r="N395" i="56"/>
  <c r="O395" i="56" s="1" a="1"/>
  <c r="O395" i="56" s="1"/>
  <c r="P395" i="56" s="1"/>
  <c r="V363" i="56"/>
  <c r="N363" i="56"/>
  <c r="O363" i="56" s="1" a="1"/>
  <c r="O363" i="56" s="1"/>
  <c r="P363" i="56" s="1"/>
  <c r="M405" i="56"/>
  <c r="M373" i="56"/>
  <c r="M341" i="56"/>
  <c r="M309" i="56"/>
  <c r="M277" i="56"/>
  <c r="V245" i="56"/>
  <c r="N245" i="56"/>
  <c r="O245" i="56" s="1" a="1"/>
  <c r="O245" i="56" s="1"/>
  <c r="P245" i="56" s="1"/>
  <c r="M245" i="56"/>
  <c r="M403" i="56"/>
  <c r="M371" i="56"/>
  <c r="V226" i="56"/>
  <c r="N226" i="56"/>
  <c r="O226" i="56" s="1" a="1"/>
  <c r="O226" i="56" s="1"/>
  <c r="P226" i="56" s="1"/>
  <c r="M334" i="56"/>
  <c r="M210" i="56"/>
  <c r="O385" i="56" a="1"/>
  <c r="O385" i="56" s="1"/>
  <c r="P385" i="56" s="1"/>
  <c r="O228" i="56" a="1"/>
  <c r="O228" i="56" s="1"/>
  <c r="P228" i="56" s="1"/>
  <c r="O319" i="56" l="1" a="1"/>
  <c r="O319" i="56" s="1"/>
  <c r="P319" i="56" s="1"/>
  <c r="O355" i="56" a="1"/>
  <c r="O355" i="56" s="1"/>
  <c r="P355" i="56" s="1"/>
  <c r="O269" i="56" a="1"/>
  <c r="O269" i="56" s="1"/>
  <c r="P269" i="56" s="1"/>
  <c r="O250" i="56" a="1"/>
  <c r="O250" i="56" s="1"/>
  <c r="P250" i="56" s="1"/>
  <c r="O257" i="56" a="1"/>
  <c r="O257" i="56" s="1"/>
  <c r="P257" i="56" s="1"/>
  <c r="O281" i="56" a="1"/>
  <c r="O281" i="56" s="1"/>
  <c r="P281" i="56" s="1"/>
  <c r="O210" i="56" a="1"/>
  <c r="O210" i="56" s="1"/>
  <c r="P210" i="56" s="1"/>
  <c r="O293" i="56" a="1"/>
  <c r="O293" i="56" s="1"/>
  <c r="P293" i="56" s="1"/>
  <c r="U180" i="56" l="1" a="1"/>
  <c r="U180" i="56" s="1"/>
  <c r="U181" i="56" l="1" a="1"/>
  <c r="U181" i="56" s="1"/>
  <c r="U182" i="56" l="1" a="1"/>
  <c r="U182" i="56" s="1"/>
  <c r="U183" i="56" l="1" a="1"/>
  <c r="U183" i="56" s="1"/>
  <c r="U184" i="56" l="1" a="1"/>
  <c r="U184" i="56" s="1"/>
  <c r="L208" i="56" l="1"/>
  <c r="N208" i="56" l="1"/>
  <c r="V208" i="56"/>
  <c r="O208" i="56" l="1" a="1"/>
  <c r="O208" i="56" s="1"/>
  <c r="P208" i="56" s="1"/>
  <c r="U188" i="56" l="1" a="1"/>
  <c r="U188" i="56" s="1"/>
  <c r="L191" i="56" l="1"/>
  <c r="L422" i="56" s="1"/>
  <c r="K422" i="56"/>
  <c r="U189" i="56" a="1"/>
  <c r="U189" i="56" s="1"/>
  <c r="N191" i="56" l="1"/>
  <c r="O191" i="56" s="1" a="1"/>
  <c r="O191" i="56" s="1"/>
  <c r="V191" i="56"/>
  <c r="V422" i="56" s="1"/>
  <c r="AF188" i="56" a="1"/>
  <c r="AF188" i="56" s="1"/>
  <c r="N422" i="56" l="1"/>
  <c r="P191" i="56"/>
  <c r="O422" i="56"/>
  <c r="U190" i="56" a="1"/>
  <c r="U190" i="56" s="1"/>
  <c r="AR187" i="56" a="1"/>
  <c r="AR187" i="56" s="1"/>
  <c r="Q191" i="56" l="1"/>
  <c r="Q422" i="56" s="1"/>
  <c r="P422" i="56"/>
  <c r="AF189" i="56" a="1"/>
  <c r="AF189" i="56" s="1"/>
  <c r="U191" i="56" l="1" a="1"/>
  <c r="U191" i="56" s="1"/>
  <c r="U422" i="56" s="1"/>
  <c r="AR188" i="56" l="1" a="1"/>
  <c r="AR188" i="56" s="1"/>
  <c r="U192" i="56" l="1" a="1"/>
  <c r="U192" i="56" s="1"/>
  <c r="Q195" i="56"/>
  <c r="AB422" i="56" l="1"/>
  <c r="Z422" i="56"/>
  <c r="AR189" i="56" a="1"/>
  <c r="AR189" i="56" s="1"/>
  <c r="AH422" i="56" l="1"/>
  <c r="U193" i="56" a="1"/>
  <c r="U193" i="56" s="1"/>
  <c r="AK422" i="56" l="1"/>
  <c r="Q196" i="56"/>
  <c r="BN422" i="56" l="1"/>
  <c r="AM422" i="56"/>
  <c r="AR190" i="56" a="1"/>
  <c r="AR190" i="56" s="1"/>
  <c r="U194" i="56" l="1" a="1"/>
  <c r="U194" i="56" s="1"/>
  <c r="AR422" i="56"/>
  <c r="Q198" i="56" l="1"/>
  <c r="Q197" i="56"/>
  <c r="L201" i="56" l="1"/>
  <c r="U195" i="56" a="1"/>
  <c r="U195" i="56" s="1"/>
  <c r="AX422" i="56"/>
  <c r="N201" i="56" l="1"/>
  <c r="O201" i="56" s="1" a="1"/>
  <c r="O201" i="56" s="1"/>
  <c r="P201" i="56" s="1"/>
  <c r="V201" i="56"/>
  <c r="AF194" i="56" a="1"/>
  <c r="AF194" i="56" s="1"/>
  <c r="BP422" i="56"/>
  <c r="AY422" i="56"/>
  <c r="Q199" i="56" l="1"/>
  <c r="BC422" i="56"/>
  <c r="U196" i="56" l="1" a="1"/>
  <c r="U196" i="56" s="1"/>
  <c r="AF195" i="56" a="1"/>
  <c r="AF195" i="56" s="1"/>
  <c r="BB422" i="56"/>
  <c r="Q200" i="56" l="1"/>
  <c r="BE422" i="56"/>
  <c r="U197" i="56" l="1" a="1"/>
  <c r="U197" i="56" s="1"/>
  <c r="Q201" i="56" l="1"/>
  <c r="U198" i="56" l="1" a="1"/>
  <c r="U198" i="56" s="1"/>
  <c r="AF197" i="56" l="1" a="1"/>
  <c r="AF197" i="56" s="1"/>
  <c r="Q202" i="56"/>
  <c r="Q203" i="56" l="1"/>
  <c r="U199" i="56" l="1" a="1"/>
  <c r="U199" i="56" s="1"/>
  <c r="Q423" i="56"/>
  <c r="AF198" i="56" l="1" a="1"/>
  <c r="AF198" i="56" s="1"/>
  <c r="U200" i="56" l="1" a="1"/>
  <c r="U200" i="56" s="1"/>
  <c r="Q204" i="56"/>
  <c r="AR198" i="56" l="1" a="1"/>
  <c r="AR198" i="56" s="1"/>
  <c r="Q205" i="56" l="1"/>
  <c r="AF200" i="56" l="1" a="1"/>
  <c r="AF200" i="56" s="1"/>
  <c r="U201" i="56" a="1"/>
  <c r="U201" i="56" s="1"/>
  <c r="AR199" i="56" l="1" a="1"/>
  <c r="AR199" i="56" s="1"/>
  <c r="Q206" i="56"/>
  <c r="AR200" i="56" l="1" a="1"/>
  <c r="AR200" i="56" s="1"/>
  <c r="U202" i="56" a="1"/>
  <c r="U202" i="56" s="1"/>
  <c r="AF201" i="56" a="1"/>
  <c r="AF201" i="56" s="1"/>
  <c r="Q207" i="56"/>
  <c r="Q209" i="56" l="1"/>
  <c r="U203" i="56" l="1" a="1"/>
  <c r="U203" i="56" s="1"/>
  <c r="Q208" i="56"/>
  <c r="AR201" i="56" l="1" a="1"/>
  <c r="AR201" i="56" s="1"/>
  <c r="Z423" i="56" l="1"/>
  <c r="AF202" i="56" a="1"/>
  <c r="AF202" i="56" s="1"/>
  <c r="Q210" i="56"/>
  <c r="AB423" i="56" l="1"/>
  <c r="AH423" i="56"/>
  <c r="U205" i="56" a="1"/>
  <c r="U205" i="56" s="1"/>
  <c r="AR202" i="56" a="1"/>
  <c r="AR202" i="56" s="1"/>
  <c r="AF204" i="56" l="1" a="1"/>
  <c r="AF204" i="56" s="1"/>
  <c r="AK423" i="56"/>
  <c r="Q211" i="56"/>
  <c r="U206" i="56" l="1" a="1"/>
  <c r="U206" i="56" s="1"/>
  <c r="AF210" i="56" a="1"/>
  <c r="AF210" i="56" s="1"/>
  <c r="AF211" i="56" l="1" a="1"/>
  <c r="AF211" i="56" s="1"/>
  <c r="Q212" i="56"/>
  <c r="Q213" i="56" l="1"/>
  <c r="AF212" i="56" a="1"/>
  <c r="AF212" i="56" s="1"/>
  <c r="BC423" i="56" l="1"/>
  <c r="U208" i="56" a="1"/>
  <c r="U208" i="56" s="1"/>
  <c r="BB423" i="56" l="1"/>
  <c r="Q214" i="56"/>
  <c r="AR210" i="56" a="1"/>
  <c r="AR210" i="56" s="1"/>
  <c r="AF207" i="56" l="1" a="1"/>
  <c r="AF207" i="56" s="1"/>
  <c r="U209" i="56" a="1"/>
  <c r="U209" i="56" s="1"/>
  <c r="BE423" i="56"/>
  <c r="AR211" i="56" a="1"/>
  <c r="AR211" i="56" s="1"/>
  <c r="AF213" i="56" a="1"/>
  <c r="AF213" i="56" s="1"/>
  <c r="AR207" i="56" l="1" a="1"/>
  <c r="AR207" i="56" s="1"/>
  <c r="AF214" i="56" a="1"/>
  <c r="AF214" i="56" s="1"/>
  <c r="Q215" i="56"/>
  <c r="S424" i="56"/>
  <c r="AR213" i="56" l="1" a="1"/>
  <c r="AR213" i="56" s="1"/>
  <c r="AF215" i="56" l="1" a="1"/>
  <c r="AF215" i="56" s="1"/>
  <c r="AF216" i="56" l="1" a="1"/>
  <c r="AF216" i="56" s="1"/>
  <c r="Q216" i="56"/>
  <c r="AR214" i="56" a="1"/>
  <c r="AR214" i="56" s="1"/>
  <c r="AR215" i="56" l="1" a="1"/>
  <c r="AR215" i="56" s="1"/>
  <c r="Q217" i="56" l="1"/>
  <c r="AR216" i="56" a="1"/>
  <c r="AR216" i="56" s="1"/>
  <c r="Q218" i="56"/>
  <c r="Q219" i="56" l="1"/>
  <c r="K423" i="56"/>
  <c r="K424" i="56"/>
  <c r="K425" i="56"/>
  <c r="L423" i="56"/>
  <c r="L424" i="56"/>
  <c r="L425" i="56"/>
  <c r="AR212" i="56" l="1" a="1"/>
  <c r="AR212" i="56" s="1"/>
  <c r="N423" i="56"/>
  <c r="N424" i="56"/>
  <c r="N425" i="56"/>
  <c r="V423" i="56"/>
  <c r="V424" i="56"/>
  <c r="V425" i="56"/>
  <c r="AF217" i="56" a="1"/>
  <c r="AF217" i="56" s="1"/>
  <c r="S425" i="56" l="1"/>
  <c r="Q220" i="56"/>
  <c r="P423" i="56"/>
  <c r="P424" i="56"/>
  <c r="P425" i="56"/>
  <c r="O423" i="56"/>
  <c r="O424" i="56"/>
  <c r="O425" i="56"/>
  <c r="BJ425" i="56"/>
  <c r="BJ422" i="56"/>
  <c r="BJ424" i="56"/>
  <c r="BJ423" i="56"/>
  <c r="BY425" i="56" l="1"/>
  <c r="W425" i="56"/>
  <c r="Q424" i="56"/>
  <c r="Q425" i="56"/>
  <c r="BK423" i="56"/>
  <c r="BK425" i="56"/>
  <c r="BK424" i="56"/>
  <c r="BK422" i="56"/>
  <c r="U423" i="56"/>
  <c r="U424" i="56"/>
  <c r="U425" i="56"/>
  <c r="BY423" i="56" l="1"/>
  <c r="BY422" i="56"/>
  <c r="BY424" i="56"/>
  <c r="AF218" i="56" a="1"/>
  <c r="AF218" i="56" s="1"/>
  <c r="Z425" i="56"/>
  <c r="AG425" i="56"/>
  <c r="Y425" i="56"/>
  <c r="AF219" i="56" l="1" a="1"/>
  <c r="AF219" i="56" s="1"/>
  <c r="AB425" i="56"/>
  <c r="AR217" i="56" a="1"/>
  <c r="AR217" i="56" s="1"/>
  <c r="AF220" i="56" l="1" a="1"/>
  <c r="AF220" i="56" s="1"/>
  <c r="AD425" i="56"/>
  <c r="AH425" i="56"/>
  <c r="AK425" i="56" l="1"/>
  <c r="AL425" i="56"/>
  <c r="AS425" i="56"/>
  <c r="AR218" i="56" a="1"/>
  <c r="AR218" i="56" s="1"/>
  <c r="BO425" i="56"/>
  <c r="AF423" i="56"/>
  <c r="AF424" i="56"/>
  <c r="AF425" i="56"/>
  <c r="BN425" i="56" l="1"/>
  <c r="CA425" i="56"/>
  <c r="AM425" i="56"/>
  <c r="AR219" i="56" l="1" a="1"/>
  <c r="AR219" i="56" s="1"/>
  <c r="AP425" i="56" l="1"/>
  <c r="AR220" i="56" a="1"/>
  <c r="AR220" i="56" s="1"/>
  <c r="AR423" i="56" l="1"/>
  <c r="AR424" i="56"/>
  <c r="AR425" i="56"/>
  <c r="AW425" i="56" l="1"/>
  <c r="AZ425" i="56"/>
  <c r="BB425" i="56" l="1"/>
  <c r="BC425" i="56"/>
  <c r="BE425" i="56" l="1"/>
  <c r="W422" i="56" l="1"/>
  <c r="W423" i="56" l="1"/>
  <c r="W424" i="56"/>
  <c r="AG422" i="56"/>
  <c r="Y422" i="56"/>
  <c r="BM422" i="56"/>
  <c r="AG423" i="56" l="1"/>
  <c r="AG424" i="56"/>
  <c r="Z424" i="56"/>
  <c r="Y423" i="56"/>
  <c r="Y424" i="56"/>
  <c r="AA422" i="56"/>
  <c r="BL422" i="56"/>
  <c r="BL424" i="56" l="1"/>
  <c r="BL425" i="56"/>
  <c r="AD422" i="56"/>
  <c r="AD423" i="56"/>
  <c r="AD424" i="56"/>
  <c r="BM423" i="56"/>
  <c r="BM424" i="56"/>
  <c r="BM425" i="56"/>
  <c r="AA423" i="56"/>
  <c r="AA424" i="56"/>
  <c r="AA425" i="56"/>
  <c r="BL423" i="56"/>
  <c r="AB424" i="56" l="1"/>
  <c r="BZ424" i="56"/>
  <c r="BZ425" i="56"/>
  <c r="BZ422" i="56"/>
  <c r="BZ423" i="56"/>
  <c r="AL422" i="56"/>
  <c r="AL423" i="56" l="1"/>
  <c r="AL424" i="56"/>
  <c r="AJ423" i="56"/>
  <c r="AJ424" i="56"/>
  <c r="AS423" i="56"/>
  <c r="AS424" i="56"/>
  <c r="AH424" i="56"/>
  <c r="AS422" i="56"/>
  <c r="AJ422" i="56"/>
  <c r="BN423" i="56" l="1"/>
  <c r="BN424" i="56"/>
  <c r="AM423" i="56"/>
  <c r="AM424" i="56"/>
  <c r="BO422" i="56"/>
  <c r="BO423" i="56"/>
  <c r="BO424" i="56"/>
  <c r="AN423" i="56" l="1"/>
  <c r="AN424" i="56"/>
  <c r="CA422" i="56"/>
  <c r="CA423" i="56"/>
  <c r="CA424" i="56"/>
  <c r="AN422" i="56"/>
  <c r="AK424" i="56" l="1"/>
  <c r="AT423" i="56" l="1"/>
  <c r="AT424" i="56"/>
  <c r="AT425" i="56"/>
  <c r="AT422" i="56"/>
  <c r="AV424" i="56" l="1"/>
  <c r="AV425" i="56"/>
  <c r="AX423" i="56"/>
  <c r="AX424" i="56"/>
  <c r="AX425" i="56"/>
  <c r="AW423" i="56"/>
  <c r="AV422" i="56"/>
  <c r="AV423" i="56"/>
  <c r="AW422" i="56"/>
  <c r="BP423" i="56" l="1"/>
  <c r="BP424" i="56"/>
  <c r="BP425" i="56"/>
  <c r="AY423" i="56"/>
  <c r="AY424" i="56"/>
  <c r="AY425" i="56"/>
  <c r="BQ422" i="56"/>
  <c r="BQ423" i="56"/>
  <c r="BQ424" i="56"/>
  <c r="BQ425" i="56"/>
  <c r="CB424" i="56" l="1"/>
  <c r="CB425" i="56"/>
  <c r="AZ423" i="56"/>
  <c r="AZ424" i="56"/>
  <c r="CB422" i="56"/>
  <c r="CB423" i="56"/>
  <c r="AZ422" i="56"/>
  <c r="BF424" i="56" l="1"/>
  <c r="BF425" i="56"/>
  <c r="BB424" i="56"/>
  <c r="BS423" i="56"/>
  <c r="BS425" i="56"/>
  <c r="BS424" i="56"/>
  <c r="BF422" i="56"/>
  <c r="BF423" i="56"/>
  <c r="BS422" i="56"/>
  <c r="BU425" i="56" l="1"/>
  <c r="BU424" i="56"/>
  <c r="BR423" i="56"/>
  <c r="BR425" i="56"/>
  <c r="BR424" i="56"/>
  <c r="BU423" i="56"/>
  <c r="BU422" i="56"/>
  <c r="BR422" i="56"/>
  <c r="BT424" i="56" l="1"/>
  <c r="BG424" i="56"/>
  <c r="BG425" i="56"/>
  <c r="BT425" i="56"/>
  <c r="CC425" i="56"/>
  <c r="CC424" i="56"/>
  <c r="BT423" i="56"/>
  <c r="BG422" i="56"/>
  <c r="BG423" i="56"/>
  <c r="CC423" i="56"/>
  <c r="BT422" i="56"/>
  <c r="CC422" i="56"/>
  <c r="P1" i="57" l="1"/>
  <c r="J73" i="31"/>
  <c r="J79" i="31" s="1"/>
  <c r="F66" i="31" l="1"/>
  <c r="A61" i="26"/>
  <c r="AF180" i="56" l="1" a="1"/>
  <c r="AF180" i="56" s="1"/>
  <c r="U185" i="56" l="1" a="1"/>
  <c r="U185" i="56" s="1"/>
  <c r="AF181" i="56" a="1"/>
  <c r="AF181" i="56" s="1"/>
  <c r="U186" i="56" l="1" a="1"/>
  <c r="U186" i="56" s="1"/>
  <c r="AF182" i="56" a="1"/>
  <c r="AF182" i="56" s="1"/>
  <c r="U187" i="56" l="1" a="1"/>
  <c r="U187" i="56" s="1"/>
  <c r="AF183" i="56" a="1"/>
  <c r="AF183" i="56" s="1"/>
  <c r="AF184" i="56" l="1" a="1"/>
  <c r="AF184" i="56" s="1"/>
  <c r="AF185" i="56" l="1" a="1"/>
  <c r="AF185" i="56" s="1"/>
  <c r="AF186" i="56" l="1" a="1"/>
  <c r="AF186" i="56" s="1"/>
  <c r="AF187" i="56" l="1" a="1"/>
  <c r="AF187" i="56" s="1"/>
  <c r="AR180" i="56" l="1" a="1"/>
  <c r="AR180" i="56" s="1"/>
  <c r="AR181" i="56" l="1" a="1"/>
  <c r="AR181" i="56" s="1"/>
  <c r="AF190" i="56" l="1" a="1"/>
  <c r="AF190" i="56" s="1"/>
  <c r="AR182" i="56" a="1"/>
  <c r="AR182" i="56" s="1"/>
  <c r="AR183" i="56" l="1" a="1"/>
  <c r="AR183" i="56" s="1"/>
  <c r="AF191" i="56" a="1"/>
  <c r="AF191" i="56" s="1"/>
  <c r="AF422" i="56" s="1"/>
  <c r="AR184" i="56" l="1" a="1"/>
  <c r="AR184" i="56" s="1"/>
  <c r="AF192" i="56" l="1" a="1"/>
  <c r="AF192" i="56" s="1"/>
  <c r="AR185" i="56" l="1" a="1"/>
  <c r="AR185" i="56" s="1"/>
  <c r="AF193" i="56" a="1"/>
  <c r="AF193" i="56" s="1"/>
  <c r="AR186" i="56" l="1" a="1"/>
  <c r="AR186" i="56" s="1"/>
  <c r="AF196" i="56" l="1" a="1"/>
  <c r="AF196" i="56" s="1"/>
  <c r="AF199" i="56" l="1" a="1"/>
  <c r="AF199" i="56" s="1"/>
  <c r="AR191" i="56" l="1" a="1"/>
  <c r="AR191" i="56" s="1"/>
  <c r="AR192" i="56" l="1" a="1"/>
  <c r="AR192" i="56" s="1"/>
  <c r="U204" i="56" a="1"/>
  <c r="U204" i="56" s="1"/>
  <c r="AR193" i="56" l="1" a="1"/>
  <c r="AR193" i="56" s="1"/>
  <c r="AF203" i="56" l="1" a="1"/>
  <c r="AF203" i="56" s="1"/>
  <c r="AR194" i="56" a="1"/>
  <c r="AR194" i="56" s="1"/>
  <c r="U207" i="56" l="1" a="1"/>
  <c r="U207" i="56" s="1"/>
  <c r="AR195" i="56" a="1"/>
  <c r="AR195" i="56" s="1"/>
  <c r="AR196" i="56" l="1" a="1"/>
  <c r="AR196" i="56" s="1"/>
  <c r="AF205" i="56" a="1"/>
  <c r="AF205" i="56" s="1"/>
  <c r="AR197" i="56" l="1" a="1"/>
  <c r="AR197" i="56" s="1"/>
  <c r="AF206" i="56" a="1"/>
  <c r="AF206" i="56" s="1"/>
  <c r="AF208" i="56" l="1" a="1"/>
  <c r="AF208" i="56" s="1"/>
  <c r="AF209" i="56" l="1" a="1"/>
  <c r="AF209" i="56" s="1"/>
  <c r="AR203" i="56" l="1" a="1"/>
  <c r="AR203" i="56" s="1"/>
  <c r="AR204" i="56" l="1" a="1"/>
  <c r="AR204" i="56" s="1"/>
  <c r="AR205" i="56" l="1" a="1"/>
  <c r="AR205" i="56" s="1"/>
  <c r="AR206" i="56" l="1" a="1"/>
  <c r="AR206" i="56" s="1"/>
  <c r="AR208" i="56" l="1" a="1"/>
  <c r="AR208" i="56" s="1"/>
  <c r="AR209" i="56" l="1" a="1"/>
  <c r="AR209" i="56" s="1"/>
  <c r="AW424" i="56" l="1"/>
  <c r="BC424" i="56" l="1"/>
  <c r="BE424" i="56" l="1"/>
  <c r="B4" i="13" a="1"/>
  <c r="B4" i="13" s="1"/>
  <c r="D18" i="13"/>
  <c r="AH32" i="42" a="1"/>
  <c r="AH32" i="42" s="1"/>
  <c r="S91" i="42" a="1"/>
  <c r="O10" i="31" a="1"/>
  <c r="AK10" i="31" a="1"/>
  <c r="G9" i="44" a="1"/>
  <c r="G9" i="44" s="1"/>
  <c r="AA9" i="44" a="1"/>
  <c r="AA9" i="44" s="1"/>
  <c r="AC9" i="44" s="1"/>
  <c r="AC10" i="44" s="1"/>
  <c r="AC11" i="44" s="1"/>
  <c r="AC12" i="44" s="1"/>
  <c r="AC13" i="44" s="1"/>
  <c r="AC14" i="44" s="1"/>
  <c r="C9" i="63" a="1"/>
  <c r="C9" i="63" s="1"/>
  <c r="D14" i="21" a="1"/>
  <c r="D14" i="21" s="1"/>
  <c r="E14" i="21" a="1"/>
  <c r="E14" i="21" s="1"/>
  <c r="G14" i="21" s="1" a="1"/>
  <c r="D10" i="55" a="1"/>
  <c r="D10" i="55" s="1"/>
  <c r="D31" i="55" s="1"/>
  <c r="AK10" i="31" l="1"/>
  <c r="S91" i="42"/>
  <c r="F7" i="57" a="1"/>
  <c r="F7" i="57" s="1"/>
  <c r="E7" i="57" s="1"/>
  <c r="O10" i="31"/>
  <c r="H10" i="51" a="1"/>
  <c r="L21" i="51" s="1"/>
  <c r="F39" i="50" a="1"/>
  <c r="F39" i="50" s="1"/>
  <c r="F11" i="50" a="1"/>
  <c r="F11" i="50" s="1"/>
  <c r="D11" i="50" s="1"/>
  <c r="F13" i="50" a="1"/>
  <c r="F13" i="50" s="1"/>
  <c r="D13" i="50" s="1"/>
  <c r="G12" i="51" s="1"/>
  <c r="H12" i="51" a="1"/>
  <c r="H12" i="51" s="1"/>
  <c r="F22" i="50" a="1"/>
  <c r="F22" i="50" s="1"/>
  <c r="D22" i="50" s="1"/>
  <c r="H13" i="58" s="1"/>
  <c r="H28" i="58" s="1"/>
  <c r="F10" i="50" a="1"/>
  <c r="F10" i="50" s="1"/>
  <c r="F38" i="50" s="1" a="1"/>
  <c r="F38" i="50" s="1"/>
  <c r="F19" i="50" a="1"/>
  <c r="F19" i="50" s="1"/>
  <c r="F41" i="50" s="1" a="1"/>
  <c r="F41" i="50" s="1"/>
  <c r="F9" i="50" a="1"/>
  <c r="F9" i="50" s="1"/>
  <c r="D9" i="50" s="1"/>
  <c r="F8" i="57" a="1"/>
  <c r="F8" i="57" s="1"/>
  <c r="E8" i="57" s="1"/>
  <c r="F21" i="50" a="1"/>
  <c r="F21" i="50" s="1"/>
  <c r="D21" i="50" s="1"/>
  <c r="H12" i="58" s="1"/>
  <c r="H27" i="58" s="1"/>
  <c r="E66" i="21" a="1"/>
  <c r="E66" i="21" s="1"/>
  <c r="H39" i="21"/>
  <c r="L39" i="21"/>
  <c r="P39" i="21"/>
  <c r="K43" i="21"/>
  <c r="O43" i="21"/>
  <c r="G14" i="21"/>
  <c r="I39" i="21"/>
  <c r="H43" i="21"/>
  <c r="P43" i="21"/>
  <c r="M39" i="21"/>
  <c r="Q39" i="21"/>
  <c r="L43" i="21"/>
  <c r="J39" i="21"/>
  <c r="N39" i="21"/>
  <c r="I43" i="21"/>
  <c r="M43" i="21"/>
  <c r="Q43" i="21"/>
  <c r="J43" i="21"/>
  <c r="K39" i="21"/>
  <c r="O39" i="21"/>
  <c r="N43" i="21"/>
  <c r="E39" i="21"/>
  <c r="H9" i="44"/>
  <c r="G5" i="44"/>
  <c r="U9" i="44" a="1"/>
  <c r="U9" i="44" s="1"/>
  <c r="V9" i="44" s="1" a="1"/>
  <c r="P16" i="42" a="1"/>
  <c r="P16" i="42" s="1"/>
  <c r="AP32" i="42" a="1"/>
  <c r="AP32" i="42" s="1"/>
  <c r="AR32" i="42" s="1" a="1"/>
  <c r="AR32" i="42" s="1"/>
  <c r="AG32" i="42" a="1"/>
  <c r="AG32" i="42" s="1"/>
  <c r="E11" i="57" l="1" a="1"/>
  <c r="E11" i="57" s="1"/>
  <c r="E12" i="57" s="1"/>
  <c r="F24" i="57" a="1"/>
  <c r="M25" i="57" s="1"/>
  <c r="M1" i="60"/>
  <c r="I1" i="60"/>
  <c r="J1" i="60"/>
  <c r="L1" i="60"/>
  <c r="O1" i="60"/>
  <c r="P1" i="60"/>
  <c r="K1" i="60"/>
  <c r="N1" i="60"/>
  <c r="H8" i="31" a="1"/>
  <c r="I73" i="31" s="1"/>
  <c r="I79" i="31" s="1"/>
  <c r="AK1" i="21" a="1"/>
  <c r="AK1" i="21" s="1"/>
  <c r="J1" i="21" a="1"/>
  <c r="J1" i="21" s="1"/>
  <c r="AH1" i="21" a="1"/>
  <c r="AH1" i="21" s="1"/>
  <c r="AD1" i="21" a="1"/>
  <c r="AD1" i="21" s="1"/>
  <c r="Z1" i="21" a="1"/>
  <c r="Z1" i="21" s="1"/>
  <c r="V1" i="21" a="1"/>
  <c r="V1" i="21" s="1"/>
  <c r="R1" i="21" a="1"/>
  <c r="R1" i="21" s="1"/>
  <c r="N1" i="21" a="1"/>
  <c r="N1" i="21" s="1"/>
  <c r="AG1" i="21" a="1"/>
  <c r="AG1" i="21" s="1"/>
  <c r="AC1" i="21" a="1"/>
  <c r="AC1" i="21" s="1"/>
  <c r="Y1" i="21" a="1"/>
  <c r="Y1" i="21" s="1"/>
  <c r="U1" i="21" a="1"/>
  <c r="U1" i="21" s="1"/>
  <c r="Q1" i="21" a="1"/>
  <c r="Q1" i="21" s="1"/>
  <c r="M1" i="21" a="1"/>
  <c r="M1" i="21" s="1"/>
  <c r="AE1" i="21" a="1"/>
  <c r="AE1" i="21" s="1"/>
  <c r="O1" i="21" a="1"/>
  <c r="O1" i="21" s="1"/>
  <c r="AL1" i="21" a="1"/>
  <c r="AL1" i="21" s="1"/>
  <c r="AJ1" i="21" a="1"/>
  <c r="AJ1" i="21" s="1"/>
  <c r="AF1" i="21" a="1"/>
  <c r="AF1" i="21" s="1"/>
  <c r="AB1" i="21" a="1"/>
  <c r="AB1" i="21" s="1"/>
  <c r="X1" i="21" a="1"/>
  <c r="X1" i="21" s="1"/>
  <c r="T1" i="21" a="1"/>
  <c r="T1" i="21" s="1"/>
  <c r="P1" i="21" a="1"/>
  <c r="P1" i="21" s="1"/>
  <c r="L1" i="21" a="1"/>
  <c r="L1" i="21" s="1"/>
  <c r="AI1" i="21" a="1"/>
  <c r="AI1" i="21" s="1"/>
  <c r="AA1" i="21" a="1"/>
  <c r="AA1" i="21" s="1"/>
  <c r="W1" i="21" a="1"/>
  <c r="W1" i="21" s="1"/>
  <c r="S1" i="21" a="1"/>
  <c r="S1" i="21" s="1"/>
  <c r="K1" i="21" a="1"/>
  <c r="K1" i="21" s="1"/>
  <c r="L10" i="31"/>
  <c r="K10" i="31"/>
  <c r="J9" i="31"/>
  <c r="L9" i="31"/>
  <c r="K9" i="31"/>
  <c r="J10" i="31"/>
  <c r="D19" i="50"/>
  <c r="D50" i="50" s="1"/>
  <c r="N21" i="51"/>
  <c r="O21" i="51"/>
  <c r="I21" i="51"/>
  <c r="H10" i="51"/>
  <c r="H21" i="51" s="1"/>
  <c r="K21" i="51"/>
  <c r="M21" i="51"/>
  <c r="J21" i="51"/>
  <c r="D10" i="50"/>
  <c r="F53" i="50" a="1"/>
  <c r="F53" i="50" s="1"/>
  <c r="F42" i="50" s="1" a="1"/>
  <c r="F42" i="50" s="1"/>
  <c r="D42" i="50" s="1"/>
  <c r="F50" i="50" a="1"/>
  <c r="F50" i="50" s="1"/>
  <c r="F43" i="50" s="1" a="1"/>
  <c r="F43" i="50" s="1"/>
  <c r="D43" i="50" s="1"/>
  <c r="F12" i="50" a="1"/>
  <c r="F12" i="50" s="1"/>
  <c r="H11" i="51" s="1" a="1"/>
  <c r="H11" i="51" s="1"/>
  <c r="AY32" i="42" a="1"/>
  <c r="AY32" i="42" s="1"/>
  <c r="F34" i="57" s="1" a="1"/>
  <c r="F34" i="57" s="1"/>
  <c r="E34" i="57" s="1"/>
  <c r="G13" i="58" s="1"/>
  <c r="G28" i="58" s="1"/>
  <c r="AW32" i="42" a="1"/>
  <c r="AW32" i="42" s="1"/>
  <c r="F32" i="57" s="1" a="1"/>
  <c r="F32" i="57" s="1"/>
  <c r="E32" i="57" s="1"/>
  <c r="G11" i="58" s="1"/>
  <c r="G26" i="58" s="1"/>
  <c r="AZ32" i="42" a="1"/>
  <c r="AZ32" i="42" s="1"/>
  <c r="F35" i="57" s="1" a="1"/>
  <c r="H1" i="57" s="1"/>
  <c r="AR85" i="42"/>
  <c r="E67" i="21" a="1"/>
  <c r="E67" i="21" s="1"/>
  <c r="V9" i="44"/>
  <c r="S10" i="44" s="1"/>
  <c r="S17" i="44"/>
  <c r="S16" i="44"/>
  <c r="S18" i="44"/>
  <c r="S12" i="44"/>
  <c r="S13" i="44"/>
  <c r="S14" i="44"/>
  <c r="S19" i="44"/>
  <c r="S20" i="44" s="1"/>
  <c r="S21" i="44" s="1"/>
  <c r="S22" i="44" s="1"/>
  <c r="S23" i="44" s="1"/>
  <c r="S24" i="44" s="1"/>
  <c r="S25" i="44" s="1"/>
  <c r="S26" i="44" s="1"/>
  <c r="S27" i="44" s="1"/>
  <c r="S28" i="44" s="1"/>
  <c r="S29" i="44" s="1"/>
  <c r="S30" i="44" s="1"/>
  <c r="S31" i="44" s="1"/>
  <c r="S32" i="44" s="1"/>
  <c r="S33" i="44" s="1"/>
  <c r="S34" i="44" s="1"/>
  <c r="S35" i="44" s="1"/>
  <c r="S36" i="44" s="1"/>
  <c r="S37" i="44" s="1"/>
  <c r="S38" i="44" s="1"/>
  <c r="S11" i="44"/>
  <c r="S15" i="44"/>
  <c r="AU32" i="42" a="1"/>
  <c r="AU32" i="42" s="1"/>
  <c r="AU85" i="42" s="1"/>
  <c r="AX32" i="42" a="1"/>
  <c r="AX32" i="42" s="1"/>
  <c r="F33" i="57" s="1" a="1"/>
  <c r="F33" i="57" s="1"/>
  <c r="E33" i="57" s="1"/>
  <c r="G12" i="58" s="1"/>
  <c r="G27" i="58" s="1"/>
  <c r="G43" i="21"/>
  <c r="G39" i="21"/>
  <c r="I1" i="21" s="1" a="1"/>
  <c r="I1" i="21" s="1"/>
  <c r="BA32" i="42" a="1"/>
  <c r="BA32" i="42" s="1"/>
  <c r="AQ32" i="42" a="1"/>
  <c r="AQ32" i="42" s="1"/>
  <c r="AQ85" i="42" s="1"/>
  <c r="AV32" i="42" a="1"/>
  <c r="AV32" i="42" s="1"/>
  <c r="F31" i="57" s="1" a="1"/>
  <c r="F31" i="57" s="1"/>
  <c r="E31" i="57" s="1"/>
  <c r="E10" i="44"/>
  <c r="H10" i="44" s="1"/>
  <c r="E11" i="44" s="1"/>
  <c r="H11" i="44" s="1"/>
  <c r="E12" i="44" s="1"/>
  <c r="H12" i="44" s="1"/>
  <c r="E13" i="44" s="1"/>
  <c r="H13" i="44" s="1"/>
  <c r="E14" i="44" s="1"/>
  <c r="H14" i="44" s="1"/>
  <c r="E15" i="44" s="1"/>
  <c r="H15" i="44" s="1"/>
  <c r="E16" i="44" s="1"/>
  <c r="H16" i="44" s="1"/>
  <c r="E17" i="44" s="1"/>
  <c r="H17" i="44" s="1"/>
  <c r="E18" i="44" s="1"/>
  <c r="H18" i="44" s="1"/>
  <c r="E19" i="44" s="1"/>
  <c r="H19" i="44" s="1"/>
  <c r="E20" i="44" s="1"/>
  <c r="H20" i="44" s="1"/>
  <c r="E21" i="44" s="1"/>
  <c r="H21" i="44" s="1"/>
  <c r="E22" i="44" s="1"/>
  <c r="H22" i="44" s="1"/>
  <c r="E23" i="44" s="1"/>
  <c r="H23" i="44" s="1"/>
  <c r="E24" i="44" s="1"/>
  <c r="H24" i="44" s="1"/>
  <c r="E25" i="44" s="1"/>
  <c r="H25" i="44" s="1"/>
  <c r="E26" i="44" s="1"/>
  <c r="H26" i="44" s="1"/>
  <c r="E27" i="44" s="1"/>
  <c r="H27" i="44" s="1"/>
  <c r="E28" i="44" s="1"/>
  <c r="H28" i="44" s="1"/>
  <c r="E29" i="44" s="1"/>
  <c r="H29" i="44" s="1"/>
  <c r="E30" i="44" s="1"/>
  <c r="H30" i="44" s="1"/>
  <c r="E31" i="44" s="1"/>
  <c r="H31" i="44" s="1"/>
  <c r="E32" i="44" s="1"/>
  <c r="H32" i="44" s="1"/>
  <c r="E33" i="44" s="1"/>
  <c r="H33" i="44" s="1"/>
  <c r="E34" i="44" s="1"/>
  <c r="H34" i="44" s="1"/>
  <c r="E35" i="44" s="1"/>
  <c r="H35" i="44" s="1"/>
  <c r="E36" i="44" s="1"/>
  <c r="H36" i="44" s="1"/>
  <c r="E37" i="44" s="1"/>
  <c r="H37" i="44" s="1"/>
  <c r="E38" i="44" s="1"/>
  <c r="H38" i="44" s="1"/>
  <c r="E39" i="44" s="1"/>
  <c r="H39" i="44" s="1"/>
  <c r="E40" i="44" s="1"/>
  <c r="H40" i="44" s="1"/>
  <c r="E41" i="44" s="1"/>
  <c r="H41" i="44" s="1"/>
  <c r="E42" i="44" s="1"/>
  <c r="H42" i="44" s="1"/>
  <c r="E43" i="44" s="1"/>
  <c r="H43" i="44" s="1"/>
  <c r="E44" i="44" s="1"/>
  <c r="H44" i="44" s="1"/>
  <c r="E45" i="44" s="1"/>
  <c r="H45" i="44" s="1"/>
  <c r="E46" i="44" s="1"/>
  <c r="H46" i="44" s="1"/>
  <c r="E47" i="44" s="1"/>
  <c r="H47" i="44" s="1"/>
  <c r="E48" i="44" s="1"/>
  <c r="H48" i="44" s="1"/>
  <c r="E49" i="44" s="1"/>
  <c r="H49" i="44" s="1"/>
  <c r="E50" i="44" s="1"/>
  <c r="H50" i="44" s="1"/>
  <c r="E51" i="44" s="1"/>
  <c r="H51" i="44" s="1"/>
  <c r="E52" i="44" s="1"/>
  <c r="H52" i="44" s="1"/>
  <c r="E53" i="44" s="1"/>
  <c r="H53" i="44" s="1"/>
  <c r="E54" i="44" s="1"/>
  <c r="H54" i="44" s="1"/>
  <c r="E55" i="44" s="1"/>
  <c r="H55" i="44" s="1"/>
  <c r="E56" i="44" s="1"/>
  <c r="H56" i="44" s="1"/>
  <c r="E57" i="44" s="1"/>
  <c r="H57" i="44" s="1"/>
  <c r="E58" i="44" s="1"/>
  <c r="H58" i="44" s="1"/>
  <c r="E59" i="44" s="1"/>
  <c r="H59" i="44" s="1"/>
  <c r="E60" i="44" s="1"/>
  <c r="H60" i="44" s="1"/>
  <c r="E61" i="44" s="1"/>
  <c r="H61" i="44" s="1"/>
  <c r="E62" i="44" s="1"/>
  <c r="H62" i="44" s="1"/>
  <c r="E63" i="44" s="1"/>
  <c r="H63" i="44" s="1"/>
  <c r="E64" i="44" s="1"/>
  <c r="H64" i="44" s="1"/>
  <c r="E65" i="44" s="1"/>
  <c r="H65" i="44" s="1"/>
  <c r="E66" i="44" s="1"/>
  <c r="H66" i="44" s="1"/>
  <c r="E67" i="44" s="1"/>
  <c r="H67" i="44" s="1"/>
  <c r="E68" i="44" s="1"/>
  <c r="H68" i="44" s="1"/>
  <c r="E69" i="44" s="1"/>
  <c r="H69" i="44" s="1"/>
  <c r="E70" i="44" s="1"/>
  <c r="H70" i="44" s="1"/>
  <c r="E71" i="44" s="1"/>
  <c r="H71" i="44" s="1"/>
  <c r="E72" i="44" s="1"/>
  <c r="H72" i="44" s="1"/>
  <c r="E73" i="44" s="1"/>
  <c r="H73" i="44" s="1"/>
  <c r="E74" i="44" s="1"/>
  <c r="H74" i="44" s="1"/>
  <c r="E75" i="44" s="1"/>
  <c r="H75" i="44" s="1"/>
  <c r="E76" i="44" s="1"/>
  <c r="H76" i="44" s="1"/>
  <c r="E77" i="44" s="1"/>
  <c r="H77" i="44" s="1"/>
  <c r="E78" i="44" s="1"/>
  <c r="H78" i="44" s="1"/>
  <c r="E79" i="44" s="1"/>
  <c r="H79" i="44" s="1"/>
  <c r="E80" i="44" s="1"/>
  <c r="H80" i="44" s="1"/>
  <c r="E81" i="44" s="1"/>
  <c r="H81" i="44" s="1"/>
  <c r="E82" i="44" s="1"/>
  <c r="H82" i="44" s="1"/>
  <c r="E83" i="44" s="1"/>
  <c r="H83" i="44" s="1"/>
  <c r="E84" i="44" s="1"/>
  <c r="H84" i="44" s="1"/>
  <c r="E85" i="44" s="1"/>
  <c r="H85" i="44" s="1"/>
  <c r="E86" i="44" s="1"/>
  <c r="H86" i="44" s="1"/>
  <c r="E87" i="44" s="1"/>
  <c r="H87" i="44" s="1"/>
  <c r="E88" i="44" s="1"/>
  <c r="H88" i="44" s="1"/>
  <c r="E89" i="44" s="1"/>
  <c r="H89" i="44" s="1"/>
  <c r="E90" i="44" s="1"/>
  <c r="H90" i="44" s="1"/>
  <c r="E91" i="44" s="1"/>
  <c r="H91" i="44" s="1"/>
  <c r="E92" i="44" s="1"/>
  <c r="H92" i="44" s="1"/>
  <c r="E93" i="44" s="1"/>
  <c r="H93" i="44" s="1"/>
  <c r="E94" i="44" s="1"/>
  <c r="H94" i="44" s="1"/>
  <c r="E95" i="44" s="1"/>
  <c r="H95" i="44" s="1"/>
  <c r="E96" i="44" s="1"/>
  <c r="H96" i="44" s="1"/>
  <c r="E97" i="44" s="1"/>
  <c r="H97" i="44" s="1"/>
  <c r="E98" i="44" s="1"/>
  <c r="H98" i="44" s="1"/>
  <c r="E99" i="44" s="1"/>
  <c r="H99" i="44" s="1"/>
  <c r="E100" i="44" s="1"/>
  <c r="H100" i="44" s="1"/>
  <c r="E101" i="44" s="1"/>
  <c r="H101" i="44" s="1"/>
  <c r="E102" i="44" s="1"/>
  <c r="H102" i="44" s="1"/>
  <c r="E103" i="44" s="1"/>
  <c r="H103" i="44" s="1"/>
  <c r="E104" i="44" s="1"/>
  <c r="H104" i="44" s="1"/>
  <c r="E105" i="44" s="1"/>
  <c r="H105" i="44" s="1"/>
  <c r="E106" i="44" s="1"/>
  <c r="H106" i="44" s="1"/>
  <c r="E107" i="44" s="1"/>
  <c r="H107" i="44" s="1"/>
  <c r="E108" i="44" s="1"/>
  <c r="H108" i="44" s="1"/>
  <c r="E109" i="44" s="1"/>
  <c r="H109" i="44" s="1"/>
  <c r="E110" i="44" s="1"/>
  <c r="H110" i="44" s="1"/>
  <c r="E111" i="44" s="1"/>
  <c r="H111" i="44" s="1"/>
  <c r="E112" i="44" s="1"/>
  <c r="H112" i="44" s="1"/>
  <c r="E113" i="44" s="1"/>
  <c r="H113" i="44" s="1"/>
  <c r="E114" i="44" s="1"/>
  <c r="H114" i="44" s="1"/>
  <c r="E115" i="44" s="1"/>
  <c r="H115" i="44" s="1"/>
  <c r="E116" i="44" s="1"/>
  <c r="H116" i="44" s="1"/>
  <c r="E117" i="44" s="1"/>
  <c r="H117" i="44" s="1"/>
  <c r="E118" i="44" s="1"/>
  <c r="H118" i="44" s="1"/>
  <c r="E119" i="44" s="1"/>
  <c r="H119" i="44" s="1"/>
  <c r="E120" i="44" s="1"/>
  <c r="H120" i="44" s="1"/>
  <c r="E121" i="44" s="1"/>
  <c r="H121" i="44" s="1"/>
  <c r="E122" i="44" s="1"/>
  <c r="H122" i="44" s="1"/>
  <c r="E123" i="44" s="1"/>
  <c r="H123" i="44" s="1"/>
  <c r="E124" i="44" s="1"/>
  <c r="H124" i="44" s="1"/>
  <c r="E125" i="44" s="1"/>
  <c r="H125" i="44" s="1"/>
  <c r="E126" i="44" s="1"/>
  <c r="H126" i="44" s="1"/>
  <c r="E127" i="44" s="1"/>
  <c r="H127" i="44" s="1"/>
  <c r="E128" i="44" s="1"/>
  <c r="H128" i="44" s="1"/>
  <c r="E129" i="44" s="1"/>
  <c r="H129" i="44" s="1"/>
  <c r="E130" i="44" s="1"/>
  <c r="H130" i="44" s="1"/>
  <c r="E131" i="44" s="1"/>
  <c r="H131" i="44" s="1"/>
  <c r="E132" i="44" s="1"/>
  <c r="H132" i="44" s="1"/>
  <c r="E133" i="44" s="1"/>
  <c r="H133" i="44" s="1"/>
  <c r="E134" i="44" s="1"/>
  <c r="H134" i="44" s="1"/>
  <c r="E135" i="44" s="1"/>
  <c r="H135" i="44" s="1"/>
  <c r="E136" i="44" s="1"/>
  <c r="H136" i="44" s="1"/>
  <c r="E137" i="44" s="1"/>
  <c r="H137" i="44" s="1"/>
  <c r="E138" i="44" s="1"/>
  <c r="H138" i="44" s="1"/>
  <c r="E139" i="44" s="1"/>
  <c r="H139" i="44" s="1"/>
  <c r="E140" i="44" s="1"/>
  <c r="H140" i="44" s="1"/>
  <c r="E141" i="44" s="1"/>
  <c r="H141" i="44" s="1"/>
  <c r="E142" i="44" s="1"/>
  <c r="H142" i="44" s="1"/>
  <c r="E143" i="44" s="1"/>
  <c r="H143" i="44" s="1"/>
  <c r="E144" i="44" s="1"/>
  <c r="H144" i="44" s="1"/>
  <c r="E145" i="44" s="1"/>
  <c r="H145" i="44" s="1"/>
  <c r="E146" i="44" s="1"/>
  <c r="H146" i="44" s="1"/>
  <c r="E147" i="44" s="1"/>
  <c r="H147" i="44" s="1"/>
  <c r="E148" i="44" s="1"/>
  <c r="H148" i="44" s="1"/>
  <c r="E149" i="44" s="1"/>
  <c r="H149" i="44" s="1"/>
  <c r="E150" i="44" s="1"/>
  <c r="H150" i="44" s="1"/>
  <c r="E151" i="44" s="1"/>
  <c r="H151" i="44" s="1"/>
  <c r="E152" i="44" s="1"/>
  <c r="H152" i="44" s="1"/>
  <c r="E153" i="44" s="1"/>
  <c r="H153" i="44" s="1"/>
  <c r="E154" i="44" s="1"/>
  <c r="H154" i="44" s="1"/>
  <c r="E155" i="44" s="1"/>
  <c r="H155" i="44" s="1"/>
  <c r="E156" i="44" s="1"/>
  <c r="H156" i="44" s="1"/>
  <c r="E157" i="44" s="1"/>
  <c r="H157" i="44" s="1"/>
  <c r="E158" i="44" s="1"/>
  <c r="H158" i="44" s="1"/>
  <c r="E159" i="44" s="1"/>
  <c r="H159" i="44" s="1"/>
  <c r="E160" i="44" s="1"/>
  <c r="H160" i="44" s="1"/>
  <c r="E161" i="44" s="1"/>
  <c r="H161" i="44" s="1"/>
  <c r="E162" i="44" s="1"/>
  <c r="H162" i="44" s="1"/>
  <c r="E163" i="44" s="1"/>
  <c r="H163" i="44" s="1"/>
  <c r="E164" i="44" s="1"/>
  <c r="H164" i="44" s="1"/>
  <c r="E165" i="44" s="1"/>
  <c r="H165" i="44" s="1"/>
  <c r="E166" i="44" s="1"/>
  <c r="H166" i="44" s="1"/>
  <c r="E167" i="44" s="1"/>
  <c r="H167" i="44" s="1"/>
  <c r="E168" i="44" s="1"/>
  <c r="H168" i="44" s="1"/>
  <c r="E169" i="44" s="1"/>
  <c r="H169" i="44" s="1"/>
  <c r="E170" i="44" s="1"/>
  <c r="H170" i="44" s="1"/>
  <c r="E171" i="44" s="1"/>
  <c r="H171" i="44" s="1"/>
  <c r="E172" i="44" s="1"/>
  <c r="H172" i="44" s="1"/>
  <c r="E173" i="44" s="1"/>
  <c r="H173" i="44" s="1"/>
  <c r="E174" i="44" s="1"/>
  <c r="H174" i="44" s="1"/>
  <c r="E175" i="44" s="1"/>
  <c r="H175" i="44" s="1"/>
  <c r="E176" i="44" s="1"/>
  <c r="H176" i="44" s="1"/>
  <c r="E177" i="44" s="1"/>
  <c r="H177" i="44" s="1"/>
  <c r="E178" i="44" s="1"/>
  <c r="H178" i="44" s="1"/>
  <c r="E179" i="44" s="1"/>
  <c r="H179" i="44" s="1"/>
  <c r="E180" i="44" s="1"/>
  <c r="H180" i="44" s="1"/>
  <c r="E181" i="44" s="1"/>
  <c r="H181" i="44" s="1"/>
  <c r="E182" i="44" s="1"/>
  <c r="H182" i="44" s="1"/>
  <c r="E183" i="44" s="1"/>
  <c r="H183" i="44" s="1"/>
  <c r="E184" i="44" s="1"/>
  <c r="H184" i="44" s="1"/>
  <c r="E185" i="44" s="1"/>
  <c r="H185" i="44" s="1"/>
  <c r="E186" i="44" s="1"/>
  <c r="H186" i="44" s="1"/>
  <c r="E187" i="44" s="1"/>
  <c r="H187" i="44" s="1"/>
  <c r="E188" i="44" s="1"/>
  <c r="H188" i="44" s="1"/>
  <c r="E189" i="44" s="1"/>
  <c r="H189" i="44" s="1"/>
  <c r="E190" i="44" s="1"/>
  <c r="H190" i="44" s="1"/>
  <c r="E191" i="44" s="1"/>
  <c r="H191" i="44" s="1"/>
  <c r="E192" i="44" s="1"/>
  <c r="H192" i="44" s="1"/>
  <c r="E193" i="44" s="1"/>
  <c r="H193" i="44" s="1"/>
  <c r="E194" i="44" s="1"/>
  <c r="H194" i="44" s="1"/>
  <c r="E195" i="44" s="1"/>
  <c r="H195" i="44" s="1"/>
  <c r="E196" i="44" s="1"/>
  <c r="H196" i="44" s="1"/>
  <c r="E197" i="44" s="1"/>
  <c r="H197" i="44" s="1"/>
  <c r="E198" i="44" s="1"/>
  <c r="H198" i="44" s="1"/>
  <c r="E199" i="44" s="1"/>
  <c r="H199" i="44" s="1"/>
  <c r="E200" i="44" s="1"/>
  <c r="H200" i="44" s="1"/>
  <c r="E201" i="44" s="1"/>
  <c r="H201" i="44" s="1"/>
  <c r="E202" i="44" s="1"/>
  <c r="H202" i="44" s="1"/>
  <c r="E203" i="44" s="1"/>
  <c r="H203" i="44" s="1"/>
  <c r="E204" i="44" s="1"/>
  <c r="H204" i="44" s="1"/>
  <c r="E205" i="44" s="1"/>
  <c r="H205" i="44" s="1"/>
  <c r="E206" i="44" s="1"/>
  <c r="H206" i="44" s="1"/>
  <c r="E207" i="44" s="1"/>
  <c r="H207" i="44" s="1"/>
  <c r="E208" i="44" s="1"/>
  <c r="H208" i="44" s="1"/>
  <c r="E209" i="44" s="1"/>
  <c r="H209" i="44" s="1"/>
  <c r="E210" i="44" s="1"/>
  <c r="H210" i="44" s="1"/>
  <c r="E211" i="44" s="1"/>
  <c r="H211" i="44" s="1"/>
  <c r="E212" i="44" s="1"/>
  <c r="H212" i="44" s="1"/>
  <c r="E213" i="44" s="1"/>
  <c r="H213" i="44" s="1"/>
  <c r="E214" i="44" s="1"/>
  <c r="H214" i="44" s="1"/>
  <c r="E215" i="44" s="1"/>
  <c r="H215" i="44" s="1"/>
  <c r="E216" i="44" s="1"/>
  <c r="H216" i="44" s="1"/>
  <c r="E217" i="44" s="1"/>
  <c r="H217" i="44" s="1"/>
  <c r="E218" i="44" s="1"/>
  <c r="H218" i="44" s="1"/>
  <c r="E219" i="44" s="1"/>
  <c r="H219" i="44" s="1"/>
  <c r="E220" i="44" s="1"/>
  <c r="H220" i="44" s="1"/>
  <c r="E221" i="44" s="1"/>
  <c r="H221" i="44" s="1"/>
  <c r="E222" i="44" s="1"/>
  <c r="H222" i="44" s="1"/>
  <c r="E223" i="44" s="1"/>
  <c r="H223" i="44" s="1"/>
  <c r="E224" i="44" s="1"/>
  <c r="H224" i="44" s="1"/>
  <c r="E225" i="44" s="1"/>
  <c r="H225" i="44" s="1"/>
  <c r="E226" i="44" s="1"/>
  <c r="H226" i="44" s="1"/>
  <c r="E227" i="44" s="1"/>
  <c r="H227" i="44" s="1"/>
  <c r="E228" i="44" s="1"/>
  <c r="H228" i="44" s="1"/>
  <c r="E229" i="44" s="1"/>
  <c r="H229" i="44" s="1"/>
  <c r="E230" i="44" s="1"/>
  <c r="H230" i="44" s="1"/>
  <c r="E231" i="44" s="1"/>
  <c r="H231" i="44" s="1"/>
  <c r="E232" i="44" s="1"/>
  <c r="H232" i="44" s="1"/>
  <c r="E233" i="44" s="1"/>
  <c r="H233" i="44" s="1"/>
  <c r="E234" i="44" s="1"/>
  <c r="H234" i="44" s="1"/>
  <c r="E235" i="44" s="1"/>
  <c r="H235" i="44" s="1"/>
  <c r="E236" i="44" s="1"/>
  <c r="H236" i="44" s="1"/>
  <c r="E237" i="44" s="1"/>
  <c r="H237" i="44" s="1"/>
  <c r="E238" i="44" s="1"/>
  <c r="H238" i="44" s="1"/>
  <c r="E239" i="44" s="1"/>
  <c r="H239" i="44" s="1"/>
  <c r="E240" i="44" s="1"/>
  <c r="H240" i="44" s="1"/>
  <c r="E241" i="44" s="1"/>
  <c r="H241" i="44" s="1"/>
  <c r="E242" i="44" s="1"/>
  <c r="H242" i="44" s="1"/>
  <c r="E243" i="44" s="1"/>
  <c r="H243" i="44" s="1"/>
  <c r="E244" i="44" s="1"/>
  <c r="H244" i="44" s="1"/>
  <c r="E245" i="44" s="1"/>
  <c r="H245" i="44" s="1"/>
  <c r="E246" i="44" s="1"/>
  <c r="H246" i="44" s="1"/>
  <c r="E247" i="44" s="1"/>
  <c r="H247" i="44" s="1"/>
  <c r="E248" i="44" s="1"/>
  <c r="H248" i="44" s="1"/>
  <c r="E249" i="44" s="1"/>
  <c r="H249" i="44" s="1"/>
  <c r="E250" i="44" s="1"/>
  <c r="H250" i="44" s="1"/>
  <c r="E251" i="44" s="1"/>
  <c r="H251" i="44" s="1"/>
  <c r="E252" i="44" s="1"/>
  <c r="H252" i="44" s="1"/>
  <c r="E253" i="44" s="1"/>
  <c r="H253" i="44" s="1"/>
  <c r="E254" i="44" s="1"/>
  <c r="H254" i="44" s="1"/>
  <c r="E255" i="44" s="1"/>
  <c r="H255" i="44" s="1"/>
  <c r="E256" i="44" s="1"/>
  <c r="H256" i="44" s="1"/>
  <c r="E257" i="44" s="1"/>
  <c r="H257" i="44" s="1"/>
  <c r="E258" i="44" s="1"/>
  <c r="H258" i="44" s="1"/>
  <c r="E259" i="44" s="1"/>
  <c r="H259" i="44" s="1"/>
  <c r="E260" i="44" s="1"/>
  <c r="H260" i="44" s="1"/>
  <c r="E261" i="44" s="1"/>
  <c r="H261" i="44" s="1"/>
  <c r="E262" i="44" s="1"/>
  <c r="H262" i="44" s="1"/>
  <c r="E263" i="44" s="1"/>
  <c r="H263" i="44" s="1"/>
  <c r="E264" i="44" s="1"/>
  <c r="H264" i="44" s="1"/>
  <c r="E265" i="44" s="1"/>
  <c r="H265" i="44" s="1"/>
  <c r="E266" i="44" s="1"/>
  <c r="H266" i="44" s="1"/>
  <c r="E267" i="44" s="1"/>
  <c r="H267" i="44" s="1"/>
  <c r="E268" i="44" s="1"/>
  <c r="H268" i="44" s="1"/>
  <c r="E269" i="44" s="1"/>
  <c r="H269" i="44" s="1"/>
  <c r="E270" i="44" s="1"/>
  <c r="H270" i="44" s="1"/>
  <c r="E271" i="44" s="1"/>
  <c r="H271" i="44" s="1"/>
  <c r="E272" i="44" s="1"/>
  <c r="H272" i="44" s="1"/>
  <c r="E273" i="44" s="1"/>
  <c r="H273" i="44" s="1"/>
  <c r="E274" i="44" s="1"/>
  <c r="H274" i="44" s="1"/>
  <c r="E275" i="44" s="1"/>
  <c r="H275" i="44" s="1"/>
  <c r="E276" i="44" s="1"/>
  <c r="H276" i="44" s="1"/>
  <c r="E277" i="44" s="1"/>
  <c r="H277" i="44" s="1"/>
  <c r="E278" i="44" s="1"/>
  <c r="H278" i="44" s="1"/>
  <c r="E279" i="44" s="1"/>
  <c r="H279" i="44" s="1"/>
  <c r="E280" i="44" s="1"/>
  <c r="H280" i="44" s="1"/>
  <c r="E281" i="44" s="1"/>
  <c r="H281" i="44" s="1"/>
  <c r="E282" i="44" s="1"/>
  <c r="H282" i="44" s="1"/>
  <c r="E283" i="44" s="1"/>
  <c r="H283" i="44" s="1"/>
  <c r="E284" i="44" s="1"/>
  <c r="H284" i="44" s="1"/>
  <c r="E285" i="44" s="1"/>
  <c r="H285" i="44" s="1"/>
  <c r="E286" i="44" s="1"/>
  <c r="H286" i="44" s="1"/>
  <c r="E287" i="44" s="1"/>
  <c r="H287" i="44" s="1"/>
  <c r="E288" i="44" s="1"/>
  <c r="H288" i="44" s="1"/>
  <c r="E289" i="44" s="1"/>
  <c r="H289" i="44" s="1"/>
  <c r="E290" i="44" s="1"/>
  <c r="H290" i="44" s="1"/>
  <c r="E291" i="44" s="1"/>
  <c r="H291" i="44" s="1"/>
  <c r="E292" i="44" s="1"/>
  <c r="H292" i="44" s="1"/>
  <c r="E293" i="44" s="1"/>
  <c r="H293" i="44" s="1"/>
  <c r="E294" i="44" s="1"/>
  <c r="H294" i="44" s="1"/>
  <c r="E295" i="44" s="1"/>
  <c r="H295" i="44" s="1"/>
  <c r="E296" i="44" s="1"/>
  <c r="H296" i="44" s="1"/>
  <c r="E297" i="44" s="1"/>
  <c r="H297" i="44" s="1"/>
  <c r="E298" i="44" s="1"/>
  <c r="H298" i="44" s="1"/>
  <c r="E299" i="44" s="1"/>
  <c r="H299" i="44" s="1"/>
  <c r="E300" i="44" s="1"/>
  <c r="H300" i="44" s="1"/>
  <c r="E301" i="44" s="1"/>
  <c r="H301" i="44" s="1"/>
  <c r="E302" i="44" s="1"/>
  <c r="H302" i="44" s="1"/>
  <c r="E303" i="44" s="1"/>
  <c r="H303" i="44" s="1"/>
  <c r="E304" i="44" s="1"/>
  <c r="H304" i="44" s="1"/>
  <c r="E305" i="44" s="1"/>
  <c r="H305" i="44" s="1"/>
  <c r="E306" i="44" s="1"/>
  <c r="H306" i="44" s="1"/>
  <c r="E307" i="44" s="1"/>
  <c r="H307" i="44" s="1"/>
  <c r="E308" i="44" s="1"/>
  <c r="H308" i="44" s="1"/>
  <c r="E309" i="44" s="1"/>
  <c r="H309" i="44" s="1"/>
  <c r="E310" i="44" s="1"/>
  <c r="H310" i="44" s="1"/>
  <c r="E311" i="44" s="1"/>
  <c r="H311" i="44" s="1"/>
  <c r="E312" i="44" s="1"/>
  <c r="H312" i="44" s="1"/>
  <c r="E313" i="44" s="1"/>
  <c r="H313" i="44" s="1"/>
  <c r="E314" i="44" s="1"/>
  <c r="H314" i="44" s="1"/>
  <c r="E315" i="44" s="1"/>
  <c r="H315" i="44" s="1"/>
  <c r="E316" i="44" s="1"/>
  <c r="H316" i="44" s="1"/>
  <c r="E317" i="44" s="1"/>
  <c r="H317" i="44" s="1"/>
  <c r="E318" i="44" s="1"/>
  <c r="H318" i="44" s="1"/>
  <c r="E319" i="44" s="1"/>
  <c r="H319" i="44" s="1"/>
  <c r="E320" i="44" s="1"/>
  <c r="H320" i="44" s="1"/>
  <c r="E321" i="44" s="1"/>
  <c r="H321" i="44" s="1"/>
  <c r="E322" i="44" s="1"/>
  <c r="H322" i="44" s="1"/>
  <c r="E323" i="44" s="1"/>
  <c r="H323" i="44" s="1"/>
  <c r="E324" i="44" s="1"/>
  <c r="H324" i="44" s="1"/>
  <c r="E325" i="44" s="1"/>
  <c r="H325" i="44" s="1"/>
  <c r="E326" i="44" s="1"/>
  <c r="H326" i="44" s="1"/>
  <c r="E327" i="44" s="1"/>
  <c r="H327" i="44" s="1"/>
  <c r="E328" i="44" s="1"/>
  <c r="H328" i="44" s="1"/>
  <c r="E329" i="44" s="1"/>
  <c r="H329" i="44" s="1"/>
  <c r="E330" i="44" s="1"/>
  <c r="H330" i="44" s="1"/>
  <c r="E331" i="44" s="1"/>
  <c r="H331" i="44" s="1"/>
  <c r="E332" i="44" s="1"/>
  <c r="H332" i="44" s="1"/>
  <c r="E333" i="44" s="1"/>
  <c r="H333" i="44" s="1"/>
  <c r="E334" i="44" s="1"/>
  <c r="H334" i="44" s="1"/>
  <c r="E335" i="44" s="1"/>
  <c r="H335" i="44" s="1"/>
  <c r="E336" i="44" s="1"/>
  <c r="H336" i="44" s="1"/>
  <c r="E337" i="44" s="1"/>
  <c r="H337" i="44" s="1"/>
  <c r="E338" i="44" s="1"/>
  <c r="H338" i="44" s="1"/>
  <c r="E339" i="44" s="1"/>
  <c r="H339" i="44" s="1"/>
  <c r="E340" i="44" s="1"/>
  <c r="H340" i="44" s="1"/>
  <c r="E341" i="44" s="1"/>
  <c r="H341" i="44" s="1"/>
  <c r="E342" i="44" s="1"/>
  <c r="H342" i="44" s="1"/>
  <c r="E343" i="44" s="1"/>
  <c r="H343" i="44" s="1"/>
  <c r="E344" i="44" s="1"/>
  <c r="H344" i="44" s="1"/>
  <c r="E345" i="44" s="1"/>
  <c r="H345" i="44" s="1"/>
  <c r="E346" i="44" s="1"/>
  <c r="H346" i="44" s="1"/>
  <c r="E347" i="44" s="1"/>
  <c r="H347" i="44" s="1"/>
  <c r="E348" i="44" s="1"/>
  <c r="H348" i="44" s="1"/>
  <c r="E349" i="44" s="1"/>
  <c r="H349" i="44" s="1"/>
  <c r="E350" i="44" s="1"/>
  <c r="H350" i="44" s="1"/>
  <c r="E351" i="44" s="1"/>
  <c r="H351" i="44" s="1"/>
  <c r="E352" i="44" s="1"/>
  <c r="H352" i="44" s="1"/>
  <c r="E353" i="44" s="1"/>
  <c r="H353" i="44" s="1"/>
  <c r="E354" i="44" s="1"/>
  <c r="H354" i="44" s="1"/>
  <c r="E355" i="44" s="1"/>
  <c r="H355" i="44" s="1"/>
  <c r="E356" i="44" s="1"/>
  <c r="H356" i="44" s="1"/>
  <c r="E357" i="44" s="1"/>
  <c r="H357" i="44" s="1"/>
  <c r="E358" i="44" s="1"/>
  <c r="H358" i="44" s="1"/>
  <c r="E359" i="44" s="1"/>
  <c r="H359" i="44" s="1"/>
  <c r="E360" i="44" s="1"/>
  <c r="H360" i="44" s="1"/>
  <c r="E361" i="44" s="1"/>
  <c r="H361" i="44" s="1"/>
  <c r="E362" i="44" s="1"/>
  <c r="H362" i="44" s="1"/>
  <c r="E363" i="44" s="1"/>
  <c r="H363" i="44" s="1"/>
  <c r="E364" i="44" s="1"/>
  <c r="H364" i="44" s="1"/>
  <c r="E365" i="44" s="1"/>
  <c r="H365" i="44" s="1"/>
  <c r="E366" i="44" s="1"/>
  <c r="H366" i="44" s="1"/>
  <c r="E367" i="44" s="1"/>
  <c r="H367" i="44" s="1"/>
  <c r="E368" i="44" s="1"/>
  <c r="H368" i="44" s="1"/>
  <c r="D12" i="50"/>
  <c r="D39" i="50"/>
  <c r="F44" i="50" a="1"/>
  <c r="F44" i="50" s="1"/>
  <c r="D41" i="50"/>
  <c r="D44" i="50" s="1"/>
  <c r="AT32" i="42" a="1"/>
  <c r="AT32" i="42" s="1"/>
  <c r="AO32" i="42" a="1"/>
  <c r="AO32" i="42" s="1"/>
  <c r="AB35" i="65"/>
  <c r="J25" i="57" l="1"/>
  <c r="I25" i="57"/>
  <c r="K1" i="53" s="1"/>
  <c r="L25" i="57"/>
  <c r="F24" i="57"/>
  <c r="E24" i="57" s="1"/>
  <c r="K25" i="57"/>
  <c r="H25" i="57"/>
  <c r="J1" i="53" s="1"/>
  <c r="G25" i="57"/>
  <c r="I1" i="53" s="1"/>
  <c r="F17" i="50" a="1"/>
  <c r="F17" i="50" s="1"/>
  <c r="D17" i="50" s="1"/>
  <c r="H9" i="58" s="1"/>
  <c r="H24" i="58" s="1"/>
  <c r="H8" i="31"/>
  <c r="I10" i="31"/>
  <c r="I9" i="58"/>
  <c r="J74" i="31"/>
  <c r="L77" i="31"/>
  <c r="L76" i="31"/>
  <c r="L74" i="31"/>
  <c r="J75" i="31"/>
  <c r="J76" i="31"/>
  <c r="K76" i="31"/>
  <c r="K74" i="31"/>
  <c r="K75" i="31"/>
  <c r="K77" i="31"/>
  <c r="L75" i="31"/>
  <c r="J77" i="31"/>
  <c r="H10" i="58"/>
  <c r="H25" i="58" s="1"/>
  <c r="D53" i="50"/>
  <c r="G10" i="51"/>
  <c r="D38" i="50"/>
  <c r="F35" i="57"/>
  <c r="E35" i="57" s="1"/>
  <c r="I1" i="57"/>
  <c r="K1" i="57"/>
  <c r="M1" i="57"/>
  <c r="BB9" i="66" a="1"/>
  <c r="BB9" i="66" s="1"/>
  <c r="F50" i="26" s="1" a="1"/>
  <c r="F50" i="26" s="1"/>
  <c r="G1" i="57"/>
  <c r="L1" i="57"/>
  <c r="J1" i="57"/>
  <c r="AS32" i="42" a="1"/>
  <c r="AS32" i="42" s="1"/>
  <c r="F16" i="50" s="1" a="1"/>
  <c r="F16" i="50" s="1"/>
  <c r="D16" i="50" s="1"/>
  <c r="AZ9" i="66" a="1"/>
  <c r="AZ9" i="66" s="1"/>
  <c r="AZ376" i="66" s="1" a="1"/>
  <c r="AZ376" i="66" s="1"/>
  <c r="AZ373" i="66" s="1"/>
  <c r="BC9" i="66" a="1"/>
  <c r="BC9" i="66" s="1"/>
  <c r="BC376" i="66" s="1" a="1"/>
  <c r="BC376" i="66" s="1"/>
  <c r="BC373" i="66" s="1"/>
  <c r="BA9" i="66" a="1"/>
  <c r="BA9" i="66" s="1"/>
  <c r="F49" i="26" s="1" a="1"/>
  <c r="F49" i="26" s="1"/>
  <c r="G45" i="21"/>
  <c r="F43" i="21"/>
  <c r="AT85" i="42"/>
  <c r="F30" i="57" a="1"/>
  <c r="F30" i="57" s="1"/>
  <c r="E30" i="57" s="1"/>
  <c r="G9" i="58" s="1"/>
  <c r="G24" i="58" s="1"/>
  <c r="W20" i="31" l="1"/>
  <c r="X20" i="31" s="1" a="1"/>
  <c r="X20" i="31" s="1"/>
  <c r="Z20" i="31" s="1"/>
  <c r="W21" i="31"/>
  <c r="X21" i="31" s="1" a="1"/>
  <c r="X21" i="31" s="1"/>
  <c r="Z21" i="31" s="1"/>
  <c r="W22" i="31"/>
  <c r="X22" i="31" s="1" a="1"/>
  <c r="X22" i="31" s="1"/>
  <c r="V23" i="31"/>
  <c r="V24" i="31"/>
  <c r="W26" i="31"/>
  <c r="X26" i="31" s="1" a="1"/>
  <c r="X26" i="31" s="1"/>
  <c r="Z26" i="31" s="1"/>
  <c r="W27" i="31"/>
  <c r="X27" i="31" s="1" a="1"/>
  <c r="X27" i="31" s="1"/>
  <c r="Z27" i="31" s="1"/>
  <c r="V28" i="31"/>
  <c r="W29" i="31"/>
  <c r="X29" i="31" s="1" a="1"/>
  <c r="X29" i="31" s="1"/>
  <c r="Z29" i="31" s="1"/>
  <c r="V25" i="31"/>
  <c r="V11" i="31"/>
  <c r="W12" i="31"/>
  <c r="X12" i="31" s="1" a="1"/>
  <c r="X12" i="31" s="1"/>
  <c r="Y13" i="31"/>
  <c r="V14" i="31"/>
  <c r="Y17" i="31"/>
  <c r="Y18" i="31"/>
  <c r="Y10" i="31"/>
  <c r="Y15" i="31"/>
  <c r="I77" i="31"/>
  <c r="F25" i="57"/>
  <c r="H1" i="53" s="1"/>
  <c r="H10" i="31"/>
  <c r="H11" i="31" a="1"/>
  <c r="H11" i="31" s="1"/>
  <c r="D9" i="42" s="1" a="1"/>
  <c r="D9" i="42" s="1"/>
  <c r="AL49" i="31" a="1"/>
  <c r="AL49" i="31" s="1"/>
  <c r="F49" i="42" a="1"/>
  <c r="G57" i="42" s="1"/>
  <c r="H73" i="31"/>
  <c r="H79" i="31" s="1"/>
  <c r="I76" i="31"/>
  <c r="AL10" i="31" a="1"/>
  <c r="B10" i="31" a="1"/>
  <c r="U76" i="31" a="1"/>
  <c r="G64" i="31" a="1"/>
  <c r="F65" i="31" s="1"/>
  <c r="H9" i="31" a="1"/>
  <c r="I8" i="58"/>
  <c r="J21" i="31" a="1"/>
  <c r="J21" i="31" s="1"/>
  <c r="J22" i="31" s="1"/>
  <c r="J23" i="31" s="1"/>
  <c r="AM51" i="31" s="1" a="1"/>
  <c r="AM51" i="31" s="1"/>
  <c r="H66" i="31" s="1" a="1"/>
  <c r="H66" i="31" s="1"/>
  <c r="AG66" i="31" s="1"/>
  <c r="K21" i="31" a="1"/>
  <c r="K21" i="31" s="1"/>
  <c r="K22" i="31" s="1"/>
  <c r="K23" i="31" s="1"/>
  <c r="AM52" i="31" s="1" a="1"/>
  <c r="AM52" i="31" s="1"/>
  <c r="H67" i="31" s="1" a="1"/>
  <c r="H67" i="31" s="1"/>
  <c r="AG67" i="31" s="1"/>
  <c r="L21" i="31" a="1"/>
  <c r="L21" i="31" s="1"/>
  <c r="L22" i="31" s="1"/>
  <c r="L23" i="31" s="1"/>
  <c r="AM53" i="31" s="1" a="1"/>
  <c r="AM53" i="31" s="1"/>
  <c r="H68" i="31" s="1" a="1"/>
  <c r="H68" i="31" s="1"/>
  <c r="AG68" i="31" s="1"/>
  <c r="F1" i="57"/>
  <c r="AS85" i="42"/>
  <c r="F49" i="50" a="1"/>
  <c r="F49" i="50" s="1"/>
  <c r="F51" i="50" s="1" a="1"/>
  <c r="F51" i="50" s="1"/>
  <c r="F18" i="50" a="1"/>
  <c r="F18" i="50" s="1"/>
  <c r="D18" i="50" s="1"/>
  <c r="D20" i="50" s="1"/>
  <c r="BB7" i="66"/>
  <c r="BB369" i="66"/>
  <c r="BB376" i="66" a="1"/>
  <c r="BB376" i="66" s="1"/>
  <c r="BB373" i="66" s="1"/>
  <c r="F29" i="57" a="1"/>
  <c r="F29" i="57" s="1"/>
  <c r="E29" i="57" s="1"/>
  <c r="G8" i="58" s="1"/>
  <c r="G23" i="58" s="1"/>
  <c r="E64" i="21" a="1"/>
  <c r="H65" i="21" s="1"/>
  <c r="BA369" i="66"/>
  <c r="BC369" i="66"/>
  <c r="F48" i="26" a="1"/>
  <c r="F48" i="26" s="1"/>
  <c r="F48" i="47" s="1" a="1"/>
  <c r="F48" i="47" s="1"/>
  <c r="D48" i="47" s="1"/>
  <c r="J25" i="65" s="1"/>
  <c r="AZ7" i="66"/>
  <c r="BA376" i="66" a="1"/>
  <c r="BA376" i="66" s="1"/>
  <c r="BA373" i="66" s="1"/>
  <c r="F51" i="26" a="1"/>
  <c r="F51" i="26" s="1"/>
  <c r="F51" i="47" s="1" a="1"/>
  <c r="F51" i="47" s="1"/>
  <c r="D51" i="47" s="1"/>
  <c r="J28" i="65" s="1"/>
  <c r="BD9" i="66" a="1"/>
  <c r="BD9" i="66" s="1"/>
  <c r="BN9" i="66" s="1" a="1"/>
  <c r="BN9" i="66" s="1"/>
  <c r="BR9" i="66" s="1" a="1"/>
  <c r="BR9" i="66" s="1"/>
  <c r="BA7" i="66"/>
  <c r="BC7" i="66"/>
  <c r="AZ369" i="66"/>
  <c r="G10" i="21"/>
  <c r="O3" i="31" s="1"/>
  <c r="O4" i="31" s="1"/>
  <c r="H42" i="21"/>
  <c r="H44" i="21" s="1"/>
  <c r="H8" i="58"/>
  <c r="H23" i="58" s="1"/>
  <c r="D49" i="50" a="1"/>
  <c r="D49" i="50" s="1"/>
  <c r="D51" i="50" s="1"/>
  <c r="F50" i="47" a="1"/>
  <c r="F50" i="47" s="1"/>
  <c r="D50" i="47" s="1"/>
  <c r="J27" i="65" s="1"/>
  <c r="D50" i="26"/>
  <c r="G10" i="58"/>
  <c r="G25" i="58" s="1"/>
  <c r="E25" i="57"/>
  <c r="F49" i="47" a="1"/>
  <c r="F49" i="47" s="1"/>
  <c r="D49" i="47" s="1"/>
  <c r="J26" i="65" s="1"/>
  <c r="D49" i="26"/>
  <c r="G14" i="58"/>
  <c r="G29" i="58" s="1"/>
  <c r="U76" i="31" l="1"/>
  <c r="U96" i="31" s="1"/>
  <c r="AL10" i="31"/>
  <c r="B10" i="31"/>
  <c r="Y19" i="31"/>
  <c r="W19" i="31"/>
  <c r="X19" i="31" s="1" a="1"/>
  <c r="X19" i="31" s="1"/>
  <c r="W16" i="31"/>
  <c r="X16" i="31" s="1" a="1"/>
  <c r="X16" i="31" s="1"/>
  <c r="Y16" i="31"/>
  <c r="M18" i="31"/>
  <c r="M19" i="31"/>
  <c r="H77" i="31"/>
  <c r="W15" i="31"/>
  <c r="X15" i="31" s="1" a="1"/>
  <c r="X15" i="31" s="1"/>
  <c r="V15" i="31"/>
  <c r="H76" i="31"/>
  <c r="M10" i="31"/>
  <c r="I75" i="31"/>
  <c r="V13" i="31"/>
  <c r="W13" i="31"/>
  <c r="X13" i="31" s="1" a="1"/>
  <c r="X13" i="31" s="1"/>
  <c r="Z13" i="31" s="1"/>
  <c r="AA13" i="31" s="1"/>
  <c r="W25" i="31"/>
  <c r="X25" i="31" s="1" a="1"/>
  <c r="X25" i="31" s="1"/>
  <c r="Z25" i="31" s="1"/>
  <c r="AB25" i="31" s="1"/>
  <c r="W11" i="31"/>
  <c r="X11" i="31" s="1" a="1"/>
  <c r="X11" i="31" s="1"/>
  <c r="H37" i="31" s="1" a="1"/>
  <c r="H37" i="31" s="1"/>
  <c r="Y11" i="31"/>
  <c r="G55" i="42"/>
  <c r="G56" i="42"/>
  <c r="G50" i="42"/>
  <c r="G58" i="42"/>
  <c r="G54" i="42"/>
  <c r="G64" i="31"/>
  <c r="F64" i="31" s="1"/>
  <c r="G51" i="42"/>
  <c r="F49" i="42"/>
  <c r="F54" i="42" s="1"/>
  <c r="V20" i="31"/>
  <c r="H46" i="31" s="1" a="1"/>
  <c r="H46" i="31" s="1"/>
  <c r="AG46" i="31" s="1"/>
  <c r="V19" i="31"/>
  <c r="W14" i="31"/>
  <c r="X14" i="31" s="1" a="1"/>
  <c r="X14" i="31" s="1"/>
  <c r="H40" i="31" s="1" a="1"/>
  <c r="H40" i="31" s="1"/>
  <c r="Y22" i="31"/>
  <c r="Z22" i="31" s="1"/>
  <c r="V22" i="31"/>
  <c r="H55" i="31" s="1" a="1"/>
  <c r="H55" i="31" s="1"/>
  <c r="AG55" i="31" s="1"/>
  <c r="W23" i="31"/>
  <c r="X23" i="31" s="1" a="1"/>
  <c r="X23" i="31" s="1"/>
  <c r="Y23" i="31"/>
  <c r="V21" i="31"/>
  <c r="H47" i="31" s="1" a="1"/>
  <c r="H47" i="31" s="1"/>
  <c r="V10" i="31"/>
  <c r="V27" i="31"/>
  <c r="W18" i="31"/>
  <c r="X18" i="31" s="1" a="1"/>
  <c r="X18" i="31" s="1"/>
  <c r="Z18" i="31" s="1"/>
  <c r="V18" i="31"/>
  <c r="V16" i="31"/>
  <c r="Y14" i="31"/>
  <c r="W10" i="31"/>
  <c r="X10" i="31" s="1" a="1"/>
  <c r="X10" i="31" s="1"/>
  <c r="H9" i="31"/>
  <c r="V29" i="31"/>
  <c r="W24" i="31"/>
  <c r="X24" i="31" s="1" a="1"/>
  <c r="X24" i="31" s="1"/>
  <c r="Z24" i="31" s="1"/>
  <c r="AA24" i="31" s="1"/>
  <c r="I74" i="31"/>
  <c r="W28" i="31"/>
  <c r="X28" i="31" s="1" a="1"/>
  <c r="X28" i="31" s="1"/>
  <c r="Z28" i="31" s="1"/>
  <c r="AA28" i="31" s="1"/>
  <c r="V26" i="31"/>
  <c r="U30" i="31"/>
  <c r="V12" i="31"/>
  <c r="H38" i="31" s="1" a="1"/>
  <c r="H38" i="31" s="1"/>
  <c r="Y12" i="31"/>
  <c r="W17" i="31"/>
  <c r="X17" i="31" s="1" a="1"/>
  <c r="X17" i="31" s="1"/>
  <c r="Z17" i="31" s="1"/>
  <c r="AB17" i="31" s="1"/>
  <c r="V17" i="31"/>
  <c r="S9" i="42" a="1"/>
  <c r="BP9" i="66" a="1"/>
  <c r="BP9" i="66" s="1"/>
  <c r="H11" i="42" a="1"/>
  <c r="O11" i="42" s="1"/>
  <c r="H12" i="42" a="1"/>
  <c r="O12" i="42" s="1"/>
  <c r="H13" i="42" a="1"/>
  <c r="O13" i="42" s="1"/>
  <c r="E64" i="21"/>
  <c r="E65" i="21" s="1"/>
  <c r="F20" i="50" a="1"/>
  <c r="F20" i="50" s="1"/>
  <c r="F23" i="50" s="1" a="1"/>
  <c r="F23" i="50" s="1"/>
  <c r="F46" i="50" s="1" a="1"/>
  <c r="V1" i="50" s="1"/>
  <c r="D48" i="26"/>
  <c r="L28" i="65" a="1"/>
  <c r="L28" i="65" s="1"/>
  <c r="K28" i="65" a="1"/>
  <c r="K28" i="65" s="1"/>
  <c r="L27" i="65" a="1"/>
  <c r="L27" i="65" s="1"/>
  <c r="K27" i="65" a="1"/>
  <c r="K27" i="65" s="1"/>
  <c r="F65" i="21"/>
  <c r="G65" i="21"/>
  <c r="I65" i="21"/>
  <c r="K65" i="21"/>
  <c r="L65" i="21"/>
  <c r="J65" i="21"/>
  <c r="BD7" i="66"/>
  <c r="V22" i="65" s="1"/>
  <c r="D51" i="26"/>
  <c r="F52" i="26" a="1"/>
  <c r="F52" i="26" s="1"/>
  <c r="F52" i="47" s="1" a="1"/>
  <c r="F52" i="47" s="1"/>
  <c r="D52" i="47" s="1"/>
  <c r="BD376" i="66" a="1"/>
  <c r="BD376" i="66" s="1"/>
  <c r="BD373" i="66" s="1"/>
  <c r="BD369" i="66"/>
  <c r="K25" i="65" a="1"/>
  <c r="K25" i="65" s="1"/>
  <c r="L25" i="65" a="1"/>
  <c r="L25" i="65" s="1"/>
  <c r="BN7" i="66"/>
  <c r="BN376" i="66" a="1"/>
  <c r="BN376" i="66" s="1"/>
  <c r="BN369" i="66"/>
  <c r="F61" i="26" a="1"/>
  <c r="F61" i="26" s="1"/>
  <c r="AA20" i="31"/>
  <c r="AB20" i="31"/>
  <c r="AA21" i="31"/>
  <c r="AB21" i="31"/>
  <c r="H46" i="21"/>
  <c r="H45" i="21" s="1"/>
  <c r="AA29" i="31"/>
  <c r="AB29" i="31"/>
  <c r="H11" i="58"/>
  <c r="H26" i="58" s="1"/>
  <c r="D23" i="50"/>
  <c r="H14" i="58" s="1"/>
  <c r="H29" i="58" s="1"/>
  <c r="AA26" i="31"/>
  <c r="AB26" i="31"/>
  <c r="AA27" i="31"/>
  <c r="AB27" i="31"/>
  <c r="Z19" i="31" l="1"/>
  <c r="H45" i="31" a="1"/>
  <c r="H45" i="31" s="1"/>
  <c r="AG45" i="31" s="1"/>
  <c r="Z16" i="31"/>
  <c r="H42" i="31" a="1"/>
  <c r="H42" i="31" s="1"/>
  <c r="M17" i="31"/>
  <c r="H41" i="31" a="1"/>
  <c r="H41" i="31" s="1"/>
  <c r="Z15" i="31"/>
  <c r="I21" i="31" a="1"/>
  <c r="I21" i="31" s="1"/>
  <c r="I22" i="31" s="1"/>
  <c r="I23" i="31" s="1"/>
  <c r="AM50" i="31" s="1" a="1"/>
  <c r="AM50" i="31" s="1"/>
  <c r="H65" i="31" s="1" a="1"/>
  <c r="H65" i="31" s="1"/>
  <c r="AG65" i="31" s="1"/>
  <c r="H74" i="31"/>
  <c r="H39" i="31" a="1"/>
  <c r="H39" i="31" s="1"/>
  <c r="AA25" i="31"/>
  <c r="AC25" i="31" s="1"/>
  <c r="AF25" i="31" s="1"/>
  <c r="Z11" i="31"/>
  <c r="AB11" i="31" s="1"/>
  <c r="AB28" i="31"/>
  <c r="AC28" i="31" s="1"/>
  <c r="AF28" i="31" s="1"/>
  <c r="G52" i="42"/>
  <c r="S9" i="42"/>
  <c r="F51" i="42"/>
  <c r="F55" i="42"/>
  <c r="F56" i="42"/>
  <c r="F57" i="42"/>
  <c r="F50" i="42"/>
  <c r="F58" i="42"/>
  <c r="Z23" i="31"/>
  <c r="AA23" i="31" s="1"/>
  <c r="Z14" i="31"/>
  <c r="AA14" i="31" s="1"/>
  <c r="H36" i="31" a="1"/>
  <c r="H36" i="31" s="1"/>
  <c r="H44" i="31" a="1"/>
  <c r="H44" i="31" s="1"/>
  <c r="AG44" i="31" s="1"/>
  <c r="Z10" i="31"/>
  <c r="AA10" i="31" s="1"/>
  <c r="M9" i="31"/>
  <c r="H75" i="31"/>
  <c r="AB24" i="31"/>
  <c r="AC24" i="31" s="1"/>
  <c r="AD24" i="31" s="1"/>
  <c r="Y30" i="31"/>
  <c r="H57" i="31" a="1"/>
  <c r="H57" i="31" s="1"/>
  <c r="AG57" i="31" s="1"/>
  <c r="X30" i="31"/>
  <c r="Z12" i="31"/>
  <c r="AA12" i="31" s="1"/>
  <c r="F36" i="31" a="1"/>
  <c r="A40" i="31" s="1"/>
  <c r="AA17" i="31"/>
  <c r="AC17" i="31" s="1"/>
  <c r="AE17" i="31" s="1"/>
  <c r="H43" i="31" a="1"/>
  <c r="H43" i="31" s="1"/>
  <c r="W9" i="42" a="1"/>
  <c r="W9" i="42" s="1"/>
  <c r="J29" i="65"/>
  <c r="J38" i="65" s="1"/>
  <c r="J39" i="65" s="1"/>
  <c r="L39" i="65" s="1" a="1"/>
  <c r="L39" i="65" s="1"/>
  <c r="F17" i="58"/>
  <c r="H11" i="42"/>
  <c r="BT9" i="66" a="1"/>
  <c r="BT9" i="66" s="1"/>
  <c r="H12" i="42"/>
  <c r="H13" i="42"/>
  <c r="J1" i="50"/>
  <c r="X1" i="50"/>
  <c r="W1" i="50"/>
  <c r="L1" i="50"/>
  <c r="Q1" i="50"/>
  <c r="R1" i="50"/>
  <c r="I1" i="50"/>
  <c r="O1" i="50"/>
  <c r="N1" i="50"/>
  <c r="U1" i="50"/>
  <c r="T1" i="50"/>
  <c r="K1" i="50"/>
  <c r="M1" i="50"/>
  <c r="H1" i="50"/>
  <c r="G1" i="50"/>
  <c r="Y1" i="50"/>
  <c r="F46" i="50"/>
  <c r="D46" i="50" s="1"/>
  <c r="P1" i="50"/>
  <c r="S1" i="50"/>
  <c r="E38" i="57"/>
  <c r="G17" i="58" s="1"/>
  <c r="D17" i="58"/>
  <c r="L26" i="65" a="1"/>
  <c r="L26" i="65" s="1"/>
  <c r="AB13" i="31"/>
  <c r="AC13" i="31" s="1"/>
  <c r="AD13" i="31" s="1"/>
  <c r="D52" i="26"/>
  <c r="AC20" i="31"/>
  <c r="AD20" i="31" s="1"/>
  <c r="AC21" i="31"/>
  <c r="AE21" i="31" s="1"/>
  <c r="AC27" i="31"/>
  <c r="AE27" i="31" s="1"/>
  <c r="AC26" i="31"/>
  <c r="AE26" i="31" s="1"/>
  <c r="AB18" i="31"/>
  <c r="AA18" i="31"/>
  <c r="AA22" i="31"/>
  <c r="AB22" i="31"/>
  <c r="H10" i="21"/>
  <c r="P3" i="31" s="1"/>
  <c r="P4" i="31" s="1"/>
  <c r="I42" i="21"/>
  <c r="I44" i="21" s="1"/>
  <c r="BP369" i="66"/>
  <c r="BP7" i="66"/>
  <c r="D19" i="58" s="1"/>
  <c r="G48" i="56" a="1"/>
  <c r="F63" i="26" a="1"/>
  <c r="F63" i="26" s="1"/>
  <c r="BP376" i="66" a="1"/>
  <c r="BP376" i="66" s="1"/>
  <c r="BN373" i="66"/>
  <c r="F61" i="47" a="1"/>
  <c r="F61" i="47" s="1"/>
  <c r="D61" i="47" s="1"/>
  <c r="D61" i="26"/>
  <c r="K26" i="65" a="1"/>
  <c r="K26" i="65" s="1"/>
  <c r="AA19" i="31" l="1"/>
  <c r="AB19" i="31"/>
  <c r="AB16" i="31"/>
  <c r="AA16" i="31"/>
  <c r="M16" i="31"/>
  <c r="H21" i="31" a="1"/>
  <c r="H21" i="31" s="1"/>
  <c r="H10" i="42" a="1"/>
  <c r="AA15" i="31"/>
  <c r="AB15" i="31"/>
  <c r="AA11" i="31"/>
  <c r="AC11" i="31" s="1"/>
  <c r="AD11" i="31" s="1"/>
  <c r="F52" i="42"/>
  <c r="BP373" i="66"/>
  <c r="BR376" i="66" a="1"/>
  <c r="BR376" i="66" s="1"/>
  <c r="AB14" i="31"/>
  <c r="AC14" i="31" s="1"/>
  <c r="AD14" i="31" s="1"/>
  <c r="AB23" i="31"/>
  <c r="AC23" i="31" s="1"/>
  <c r="AD23" i="31" s="1"/>
  <c r="AB10" i="31"/>
  <c r="AC10" i="31" s="1"/>
  <c r="AF10" i="31" s="1"/>
  <c r="Z30" i="31"/>
  <c r="AA30" i="31" s="1"/>
  <c r="A37" i="31"/>
  <c r="AB12" i="31"/>
  <c r="AC12" i="31" s="1"/>
  <c r="AE12" i="31" s="1"/>
  <c r="K56" i="31"/>
  <c r="K58" i="31" s="1"/>
  <c r="K59" i="31" s="1"/>
  <c r="F36" i="31"/>
  <c r="A36" i="31" s="1"/>
  <c r="AH36" i="31" s="1"/>
  <c r="A43" i="31"/>
  <c r="A39" i="31"/>
  <c r="A47" i="31"/>
  <c r="A46" i="31"/>
  <c r="I56" i="31"/>
  <c r="I58" i="31" s="1"/>
  <c r="I60" i="31" s="1"/>
  <c r="O56" i="31"/>
  <c r="O58" i="31" s="1"/>
  <c r="O59" i="31" s="1"/>
  <c r="A48" i="31"/>
  <c r="A45" i="31"/>
  <c r="AB56" i="31"/>
  <c r="AB58" i="31" s="1"/>
  <c r="AB60" i="31" s="1"/>
  <c r="A41" i="31"/>
  <c r="A44" i="31"/>
  <c r="V56" i="31"/>
  <c r="V58" i="31" s="1"/>
  <c r="V59" i="31" s="1"/>
  <c r="AD56" i="31"/>
  <c r="AD58" i="31" s="1"/>
  <c r="AD59" i="31" s="1"/>
  <c r="P56" i="31"/>
  <c r="P58" i="31" s="1"/>
  <c r="P60" i="31" s="1"/>
  <c r="Y56" i="31"/>
  <c r="Y58" i="31" s="1"/>
  <c r="Y60" i="31" s="1"/>
  <c r="M56" i="31"/>
  <c r="M58" i="31" s="1"/>
  <c r="M60" i="31" s="1"/>
  <c r="X56" i="31"/>
  <c r="X58" i="31" s="1"/>
  <c r="X60" i="31" s="1"/>
  <c r="N56" i="31"/>
  <c r="N58" i="31" s="1"/>
  <c r="N60" i="31" s="1"/>
  <c r="A42" i="31"/>
  <c r="A38" i="31"/>
  <c r="L56" i="31"/>
  <c r="L58" i="31" s="1"/>
  <c r="L60" i="31" s="1"/>
  <c r="T56" i="31"/>
  <c r="T58" i="31" s="1"/>
  <c r="T60" i="31" s="1"/>
  <c r="Q56" i="31"/>
  <c r="Q58" i="31" s="1"/>
  <c r="Q60" i="31" s="1"/>
  <c r="W56" i="31"/>
  <c r="W58" i="31" s="1"/>
  <c r="W60" i="31" s="1"/>
  <c r="S56" i="31"/>
  <c r="S58" i="31" s="1"/>
  <c r="S59" i="31" s="1"/>
  <c r="AF56" i="31"/>
  <c r="AF58" i="31" s="1"/>
  <c r="AF60" i="31" s="1"/>
  <c r="J56" i="31"/>
  <c r="J58" i="31" s="1"/>
  <c r="J60" i="31" s="1"/>
  <c r="AC56" i="31"/>
  <c r="AC58" i="31" s="1"/>
  <c r="AC60" i="31" s="1"/>
  <c r="Z56" i="31"/>
  <c r="Z58" i="31" s="1"/>
  <c r="Z60" i="31" s="1"/>
  <c r="AA56" i="31"/>
  <c r="AA58" i="31" s="1"/>
  <c r="AA60" i="31" s="1"/>
  <c r="R56" i="31"/>
  <c r="R58" i="31" s="1"/>
  <c r="R60" i="31" s="1"/>
  <c r="U56" i="31"/>
  <c r="U58" i="31" s="1"/>
  <c r="U60" i="31" s="1"/>
  <c r="AE56" i="31"/>
  <c r="AE58" i="31" s="1"/>
  <c r="AE59" i="31" s="1"/>
  <c r="L29" i="65" a="1"/>
  <c r="L29" i="65" s="1"/>
  <c r="K29" i="65" a="1"/>
  <c r="K29" i="65" s="1"/>
  <c r="F32" i="58"/>
  <c r="F1" i="50"/>
  <c r="BU9" i="66" a="1"/>
  <c r="BU9" i="66" s="1"/>
  <c r="BT7" i="66"/>
  <c r="K38" i="65" a="1"/>
  <c r="K38" i="65" s="1"/>
  <c r="L38" i="65" a="1"/>
  <c r="L38" i="65" s="1"/>
  <c r="K39" i="65" a="1"/>
  <c r="K39" i="65" s="1"/>
  <c r="G32" i="58"/>
  <c r="E40" i="57"/>
  <c r="G19" i="58" s="1"/>
  <c r="G34" i="58" s="1"/>
  <c r="K24" i="65" a="1"/>
  <c r="K24" i="65" s="1"/>
  <c r="L24" i="65" a="1"/>
  <c r="L24" i="65" s="1"/>
  <c r="AF20" i="31"/>
  <c r="AE20" i="31"/>
  <c r="AD27" i="31"/>
  <c r="AD28" i="31"/>
  <c r="AE25" i="31"/>
  <c r="AD26" i="31"/>
  <c r="AD25" i="31"/>
  <c r="AF24" i="31"/>
  <c r="AE28" i="31"/>
  <c r="AE24" i="31"/>
  <c r="AF26" i="31"/>
  <c r="AD17" i="31"/>
  <c r="AF17" i="31"/>
  <c r="AF21" i="31"/>
  <c r="AE13" i="31"/>
  <c r="AD21" i="31"/>
  <c r="AF13" i="31"/>
  <c r="AC22" i="31"/>
  <c r="AF22" i="31" s="1"/>
  <c r="AF27" i="31"/>
  <c r="AC18" i="31"/>
  <c r="AD18" i="31" s="1"/>
  <c r="G48" i="56"/>
  <c r="AQ50" i="56" a="1"/>
  <c r="AQ50" i="56" s="1"/>
  <c r="G8" i="56" a="1"/>
  <c r="G8" i="56" s="1"/>
  <c r="T49" i="56" a="1"/>
  <c r="T49" i="56" s="1"/>
  <c r="J50" i="56" a="1"/>
  <c r="J50" i="56" s="1"/>
  <c r="AE49" i="56" a="1"/>
  <c r="AE49" i="56" s="1"/>
  <c r="T50" i="56" a="1"/>
  <c r="T50" i="56" s="1"/>
  <c r="T51" i="56" a="1"/>
  <c r="T51" i="56" s="1"/>
  <c r="J52" i="56" a="1"/>
  <c r="J52" i="56" s="1"/>
  <c r="T52" i="56" a="1"/>
  <c r="T52" i="56" s="1"/>
  <c r="AE52" i="56" a="1"/>
  <c r="AE52" i="56" s="1"/>
  <c r="J54" i="56" a="1"/>
  <c r="J54" i="56" s="1"/>
  <c r="T54" i="56" a="1"/>
  <c r="T54" i="56" s="1"/>
  <c r="AE54" i="56" a="1"/>
  <c r="AE54" i="56" s="1"/>
  <c r="J56" i="56" a="1"/>
  <c r="J56" i="56" s="1"/>
  <c r="T56" i="56" a="1"/>
  <c r="T56" i="56" s="1"/>
  <c r="AE56" i="56" a="1"/>
  <c r="AE56" i="56" s="1"/>
  <c r="J58" i="56" a="1"/>
  <c r="J58" i="56" s="1"/>
  <c r="T58" i="56" a="1"/>
  <c r="T58" i="56" s="1"/>
  <c r="AE58" i="56" a="1"/>
  <c r="AE58" i="56" s="1"/>
  <c r="AQ49" i="56" a="1"/>
  <c r="AQ49" i="56" s="1"/>
  <c r="T53" i="56" a="1"/>
  <c r="T53" i="56" s="1"/>
  <c r="J55" i="56" a="1"/>
  <c r="J55" i="56" s="1"/>
  <c r="AQ55" i="56" a="1"/>
  <c r="AQ55" i="56" s="1"/>
  <c r="AQ56" i="56" a="1"/>
  <c r="AQ56" i="56" s="1"/>
  <c r="J59" i="56" a="1"/>
  <c r="J59" i="56" s="1"/>
  <c r="T59" i="56" a="1"/>
  <c r="T59" i="56" s="1"/>
  <c r="AE59" i="56" a="1"/>
  <c r="AE59" i="56" s="1"/>
  <c r="J61" i="56" a="1"/>
  <c r="J61" i="56" s="1"/>
  <c r="T61" i="56" a="1"/>
  <c r="T61" i="56" s="1"/>
  <c r="AE61" i="56" a="1"/>
  <c r="AE61" i="56" s="1"/>
  <c r="J51" i="56" a="1"/>
  <c r="J51" i="56" s="1"/>
  <c r="AE53" i="56" a="1"/>
  <c r="AE53" i="56" s="1"/>
  <c r="T55" i="56" a="1"/>
  <c r="T55" i="56" s="1"/>
  <c r="J57" i="56" a="1"/>
  <c r="J57" i="56" s="1"/>
  <c r="AQ57" i="56" a="1"/>
  <c r="AQ57" i="56" s="1"/>
  <c r="J53" i="56" a="1"/>
  <c r="J53" i="56" s="1"/>
  <c r="AQ54" i="56" a="1"/>
  <c r="AQ54" i="56" s="1"/>
  <c r="AQ58" i="56" a="1"/>
  <c r="AQ58" i="56" s="1"/>
  <c r="AQ59" i="56" a="1"/>
  <c r="AQ59" i="56" s="1"/>
  <c r="AQ62" i="56" a="1"/>
  <c r="AQ62" i="56" s="1"/>
  <c r="AQ64" i="56" a="1"/>
  <c r="AQ64" i="56" s="1"/>
  <c r="AQ66" i="56" a="1"/>
  <c r="AQ66" i="56" s="1"/>
  <c r="AQ68" i="56" a="1"/>
  <c r="AQ68" i="56" s="1"/>
  <c r="AQ70" i="56" a="1"/>
  <c r="AQ70" i="56" s="1"/>
  <c r="AQ72" i="56" a="1"/>
  <c r="AQ72" i="56" s="1"/>
  <c r="AE51" i="56" a="1"/>
  <c r="AE51" i="56" s="1"/>
  <c r="AQ51" i="56" a="1"/>
  <c r="AQ51" i="56" s="1"/>
  <c r="AE55" i="56" a="1"/>
  <c r="AE55" i="56" s="1"/>
  <c r="T57" i="56" a="1"/>
  <c r="T57" i="56" s="1"/>
  <c r="J60" i="56" a="1"/>
  <c r="J60" i="56" s="1"/>
  <c r="AQ60" i="56" a="1"/>
  <c r="AQ60" i="56" s="1"/>
  <c r="J63" i="56" a="1"/>
  <c r="J63" i="56" s="1"/>
  <c r="T63" i="56" a="1"/>
  <c r="T63" i="56" s="1"/>
  <c r="AE63" i="56" a="1"/>
  <c r="AE63" i="56" s="1"/>
  <c r="J65" i="56" a="1"/>
  <c r="J65" i="56" s="1"/>
  <c r="T65" i="56" a="1"/>
  <c r="T65" i="56" s="1"/>
  <c r="AE65" i="56" a="1"/>
  <c r="AE65" i="56" s="1"/>
  <c r="J67" i="56" a="1"/>
  <c r="J67" i="56" s="1"/>
  <c r="T67" i="56" a="1"/>
  <c r="T67" i="56" s="1"/>
  <c r="AE67" i="56" a="1"/>
  <c r="AE67" i="56" s="1"/>
  <c r="J69" i="56" a="1"/>
  <c r="J69" i="56" s="1"/>
  <c r="T69" i="56" a="1"/>
  <c r="T69" i="56" s="1"/>
  <c r="AE69" i="56" a="1"/>
  <c r="AE69" i="56" s="1"/>
  <c r="J71" i="56" a="1"/>
  <c r="J71" i="56" s="1"/>
  <c r="T71" i="56" a="1"/>
  <c r="T71" i="56" s="1"/>
  <c r="AE50" i="56" a="1"/>
  <c r="AE50" i="56" s="1"/>
  <c r="AQ53" i="56" a="1"/>
  <c r="AQ53" i="56" s="1"/>
  <c r="AE57" i="56" a="1"/>
  <c r="AE57" i="56" s="1"/>
  <c r="T60" i="56" a="1"/>
  <c r="T60" i="56" s="1"/>
  <c r="AQ61" i="56" a="1"/>
  <c r="AQ61" i="56" s="1"/>
  <c r="AQ63" i="56" a="1"/>
  <c r="AQ63" i="56" s="1"/>
  <c r="AQ65" i="56" a="1"/>
  <c r="AQ65" i="56" s="1"/>
  <c r="AQ67" i="56" a="1"/>
  <c r="AQ67" i="56" s="1"/>
  <c r="AQ69" i="56" a="1"/>
  <c r="AQ69" i="56" s="1"/>
  <c r="AQ71" i="56" a="1"/>
  <c r="AQ71" i="56" s="1"/>
  <c r="AQ73" i="56" a="1"/>
  <c r="AQ73" i="56" s="1"/>
  <c r="AQ52" i="56" a="1"/>
  <c r="AQ52" i="56" s="1"/>
  <c r="AE60" i="56" a="1"/>
  <c r="AE60" i="56" s="1"/>
  <c r="J62" i="56" a="1"/>
  <c r="J62" i="56" s="1"/>
  <c r="AE66" i="56" a="1"/>
  <c r="AE66" i="56" s="1"/>
  <c r="T68" i="56" a="1"/>
  <c r="T68" i="56" s="1"/>
  <c r="J70" i="56" a="1"/>
  <c r="J70" i="56" s="1"/>
  <c r="AE71" i="56" a="1"/>
  <c r="AE71" i="56" s="1"/>
  <c r="J73" i="56" a="1"/>
  <c r="J73" i="56" s="1"/>
  <c r="J74" i="56" a="1"/>
  <c r="J74" i="56" s="1"/>
  <c r="AQ74" i="56" a="1"/>
  <c r="AQ74" i="56" s="1"/>
  <c r="AQ75" i="56" a="1"/>
  <c r="AQ75" i="56" s="1"/>
  <c r="AQ77" i="56" a="1"/>
  <c r="AQ77" i="56" s="1"/>
  <c r="AE64" i="56" a="1"/>
  <c r="AE64" i="56" s="1"/>
  <c r="T66" i="56" a="1"/>
  <c r="T66" i="56" s="1"/>
  <c r="J68" i="56" a="1"/>
  <c r="J68" i="56" s="1"/>
  <c r="T72" i="56" a="1"/>
  <c r="T72" i="56" s="1"/>
  <c r="T73" i="56" a="1"/>
  <c r="T73" i="56" s="1"/>
  <c r="T74" i="56" a="1"/>
  <c r="T74" i="56" s="1"/>
  <c r="J75" i="56" a="1"/>
  <c r="J75" i="56" s="1"/>
  <c r="J76" i="56" a="1"/>
  <c r="J76" i="56" s="1"/>
  <c r="T76" i="56" a="1"/>
  <c r="T76" i="56" s="1"/>
  <c r="AE76" i="56" a="1"/>
  <c r="AE76" i="56" s="1"/>
  <c r="J78" i="56" a="1"/>
  <c r="J78" i="56" s="1"/>
  <c r="T78" i="56" a="1"/>
  <c r="T78" i="56" s="1"/>
  <c r="AE62" i="56" a="1"/>
  <c r="AE62" i="56" s="1"/>
  <c r="T64" i="56" a="1"/>
  <c r="T64" i="56" s="1"/>
  <c r="J66" i="56" a="1"/>
  <c r="J66" i="56" s="1"/>
  <c r="AE70" i="56" a="1"/>
  <c r="AE70" i="56" s="1"/>
  <c r="AE73" i="56" a="1"/>
  <c r="AE73" i="56" s="1"/>
  <c r="AE74" i="56" a="1"/>
  <c r="AE74" i="56" s="1"/>
  <c r="T75" i="56" a="1"/>
  <c r="T75" i="56" s="1"/>
  <c r="AQ76" i="56" a="1"/>
  <c r="AQ76" i="56" s="1"/>
  <c r="J49" i="56" a="1"/>
  <c r="J49" i="56" s="1"/>
  <c r="T62" i="56" a="1"/>
  <c r="T62" i="56" s="1"/>
  <c r="J64" i="56" a="1"/>
  <c r="J64" i="56" s="1"/>
  <c r="AE68" i="56" a="1"/>
  <c r="AE68" i="56" s="1"/>
  <c r="T70" i="56" a="1"/>
  <c r="T70" i="56" s="1"/>
  <c r="J72" i="56" a="1"/>
  <c r="J72" i="56" s="1"/>
  <c r="AE72" i="56" a="1"/>
  <c r="AE72" i="56" s="1"/>
  <c r="AE75" i="56" a="1"/>
  <c r="AE75" i="56" s="1"/>
  <c r="J77" i="56" a="1"/>
  <c r="J77" i="56" s="1"/>
  <c r="T77" i="56" a="1"/>
  <c r="T77" i="56" s="1"/>
  <c r="AE77" i="56" a="1"/>
  <c r="AE77" i="56" s="1"/>
  <c r="AQ78" i="56" a="1"/>
  <c r="AQ78" i="56" s="1"/>
  <c r="AQ80" i="56" a="1"/>
  <c r="AQ80" i="56" s="1"/>
  <c r="AQ82" i="56" a="1"/>
  <c r="AQ82" i="56" s="1"/>
  <c r="AQ84" i="56" a="1"/>
  <c r="AQ84" i="56" s="1"/>
  <c r="AQ86" i="56" a="1"/>
  <c r="AQ86" i="56" s="1"/>
  <c r="AQ88" i="56" a="1"/>
  <c r="AQ88" i="56" s="1"/>
  <c r="AQ90" i="56" a="1"/>
  <c r="AQ90" i="56" s="1"/>
  <c r="AQ92" i="56" a="1"/>
  <c r="AQ92" i="56" s="1"/>
  <c r="AQ94" i="56" a="1"/>
  <c r="AQ94" i="56" s="1"/>
  <c r="AQ96" i="56" a="1"/>
  <c r="AQ96" i="56" s="1"/>
  <c r="J79" i="56" a="1"/>
  <c r="J79" i="56" s="1"/>
  <c r="T79" i="56" a="1"/>
  <c r="T79" i="56" s="1"/>
  <c r="AE79" i="56" a="1"/>
  <c r="AE79" i="56" s="1"/>
  <c r="J81" i="56" a="1"/>
  <c r="J81" i="56" s="1"/>
  <c r="T81" i="56" a="1"/>
  <c r="T81" i="56" s="1"/>
  <c r="AE81" i="56" a="1"/>
  <c r="AE81" i="56" s="1"/>
  <c r="J83" i="56" a="1"/>
  <c r="J83" i="56" s="1"/>
  <c r="T83" i="56" a="1"/>
  <c r="T83" i="56" s="1"/>
  <c r="AE83" i="56" a="1"/>
  <c r="AE83" i="56" s="1"/>
  <c r="J85" i="56" a="1"/>
  <c r="J85" i="56" s="1"/>
  <c r="T85" i="56" a="1"/>
  <c r="T85" i="56" s="1"/>
  <c r="AE85" i="56" a="1"/>
  <c r="AE85" i="56" s="1"/>
  <c r="J87" i="56" a="1"/>
  <c r="J87" i="56" s="1"/>
  <c r="T87" i="56" a="1"/>
  <c r="T87" i="56" s="1"/>
  <c r="AE87" i="56" a="1"/>
  <c r="AE87" i="56" s="1"/>
  <c r="J89" i="56" a="1"/>
  <c r="J89" i="56" s="1"/>
  <c r="T89" i="56" a="1"/>
  <c r="T89" i="56" s="1"/>
  <c r="AE89" i="56" a="1"/>
  <c r="AE89" i="56" s="1"/>
  <c r="J91" i="56" a="1"/>
  <c r="J91" i="56" s="1"/>
  <c r="T91" i="56" a="1"/>
  <c r="T91" i="56" s="1"/>
  <c r="AE91" i="56" a="1"/>
  <c r="AE91" i="56" s="1"/>
  <c r="J93" i="56" a="1"/>
  <c r="J93" i="56" s="1"/>
  <c r="T93" i="56" a="1"/>
  <c r="T93" i="56" s="1"/>
  <c r="AE93" i="56" a="1"/>
  <c r="AE93" i="56" s="1"/>
  <c r="J95" i="56" a="1"/>
  <c r="J95" i="56" s="1"/>
  <c r="T95" i="56" a="1"/>
  <c r="T95" i="56" s="1"/>
  <c r="AE95" i="56" a="1"/>
  <c r="AE95" i="56" s="1"/>
  <c r="J97" i="56" a="1"/>
  <c r="J97" i="56" s="1"/>
  <c r="T97" i="56" a="1"/>
  <c r="T97" i="56" s="1"/>
  <c r="AE97" i="56" a="1"/>
  <c r="AE97" i="56" s="1"/>
  <c r="AE78" i="56" a="1"/>
  <c r="AE78" i="56" s="1"/>
  <c r="AQ79" i="56" a="1"/>
  <c r="AQ79" i="56" s="1"/>
  <c r="AQ81" i="56" a="1"/>
  <c r="AQ81" i="56" s="1"/>
  <c r="AQ83" i="56" a="1"/>
  <c r="AQ83" i="56" s="1"/>
  <c r="AQ85" i="56" a="1"/>
  <c r="AQ85" i="56" s="1"/>
  <c r="AQ87" i="56" a="1"/>
  <c r="AQ87" i="56" s="1"/>
  <c r="AQ89" i="56" a="1"/>
  <c r="AQ89" i="56" s="1"/>
  <c r="AQ91" i="56" a="1"/>
  <c r="AQ91" i="56" s="1"/>
  <c r="AQ93" i="56" a="1"/>
  <c r="AQ93" i="56" s="1"/>
  <c r="AQ95" i="56" a="1"/>
  <c r="AQ95" i="56" s="1"/>
  <c r="AQ97" i="56" a="1"/>
  <c r="AQ97" i="56" s="1"/>
  <c r="J80" i="56" a="1"/>
  <c r="J80" i="56" s="1"/>
  <c r="T80" i="56" a="1"/>
  <c r="T80" i="56" s="1"/>
  <c r="AE80" i="56" a="1"/>
  <c r="AE80" i="56" s="1"/>
  <c r="J82" i="56" a="1"/>
  <c r="J82" i="56" s="1"/>
  <c r="T82" i="56" a="1"/>
  <c r="T82" i="56" s="1"/>
  <c r="AE82" i="56" a="1"/>
  <c r="AE82" i="56" s="1"/>
  <c r="J84" i="56" a="1"/>
  <c r="J84" i="56" s="1"/>
  <c r="T84" i="56" a="1"/>
  <c r="T84" i="56" s="1"/>
  <c r="AE84" i="56" a="1"/>
  <c r="AE84" i="56" s="1"/>
  <c r="J86" i="56" a="1"/>
  <c r="J86" i="56" s="1"/>
  <c r="T86" i="56" a="1"/>
  <c r="T86" i="56" s="1"/>
  <c r="AE86" i="56" a="1"/>
  <c r="AE86" i="56" s="1"/>
  <c r="J88" i="56" a="1"/>
  <c r="J88" i="56" s="1"/>
  <c r="T88" i="56" a="1"/>
  <c r="T88" i="56" s="1"/>
  <c r="AE88" i="56" a="1"/>
  <c r="AE88" i="56" s="1"/>
  <c r="J90" i="56" a="1"/>
  <c r="J90" i="56" s="1"/>
  <c r="T90" i="56" a="1"/>
  <c r="T90" i="56" s="1"/>
  <c r="AE90" i="56" a="1"/>
  <c r="AE90" i="56" s="1"/>
  <c r="J92" i="56" a="1"/>
  <c r="J92" i="56" s="1"/>
  <c r="T92" i="56" a="1"/>
  <c r="T92" i="56" s="1"/>
  <c r="AE92" i="56" a="1"/>
  <c r="AE92" i="56" s="1"/>
  <c r="J94" i="56" a="1"/>
  <c r="J94" i="56" s="1"/>
  <c r="T94" i="56" a="1"/>
  <c r="T94" i="56" s="1"/>
  <c r="AE94" i="56" a="1"/>
  <c r="AE94" i="56" s="1"/>
  <c r="J96" i="56" a="1"/>
  <c r="J96" i="56" s="1"/>
  <c r="T96" i="56" a="1"/>
  <c r="T96" i="56" s="1"/>
  <c r="AE96" i="56" a="1"/>
  <c r="AE96" i="56" s="1"/>
  <c r="J98" i="56" a="1"/>
  <c r="J98" i="56" s="1"/>
  <c r="AQ98" i="56" a="1"/>
  <c r="AQ98" i="56" s="1"/>
  <c r="J101" i="56" a="1"/>
  <c r="J101" i="56" s="1"/>
  <c r="T101" i="56" a="1"/>
  <c r="T101" i="56" s="1"/>
  <c r="AE101" i="56" a="1"/>
  <c r="AE101" i="56" s="1"/>
  <c r="J103" i="56" a="1"/>
  <c r="J103" i="56" s="1"/>
  <c r="T103" i="56" a="1"/>
  <c r="T103" i="56" s="1"/>
  <c r="AE103" i="56" a="1"/>
  <c r="AE103" i="56" s="1"/>
  <c r="J105" i="56" a="1"/>
  <c r="J105" i="56" s="1"/>
  <c r="T105" i="56" a="1"/>
  <c r="T105" i="56" s="1"/>
  <c r="AE105" i="56" a="1"/>
  <c r="AE105" i="56" s="1"/>
  <c r="J107" i="56" a="1"/>
  <c r="J107" i="56" s="1"/>
  <c r="T107" i="56" a="1"/>
  <c r="T107" i="56" s="1"/>
  <c r="AE107" i="56" a="1"/>
  <c r="AE107" i="56" s="1"/>
  <c r="J109" i="56" a="1"/>
  <c r="J109" i="56" s="1"/>
  <c r="T109" i="56" a="1"/>
  <c r="T109" i="56" s="1"/>
  <c r="AE109" i="56" a="1"/>
  <c r="AE109" i="56" s="1"/>
  <c r="J111" i="56" a="1"/>
  <c r="J111" i="56" s="1"/>
  <c r="T111" i="56" a="1"/>
  <c r="T111" i="56" s="1"/>
  <c r="AE111" i="56" a="1"/>
  <c r="AE111" i="56" s="1"/>
  <c r="J113" i="56" a="1"/>
  <c r="J113" i="56" s="1"/>
  <c r="T113" i="56" a="1"/>
  <c r="T113" i="56" s="1"/>
  <c r="AE113" i="56" a="1"/>
  <c r="AE113" i="56" s="1"/>
  <c r="J115" i="56" a="1"/>
  <c r="J115" i="56" s="1"/>
  <c r="T115" i="56" a="1"/>
  <c r="T115" i="56" s="1"/>
  <c r="AE115" i="56" a="1"/>
  <c r="AE115" i="56" s="1"/>
  <c r="T98" i="56" a="1"/>
  <c r="T98" i="56" s="1"/>
  <c r="J99" i="56" a="1"/>
  <c r="J99" i="56" s="1"/>
  <c r="AQ99" i="56" a="1"/>
  <c r="AQ99" i="56" s="1"/>
  <c r="AQ101" i="56" a="1"/>
  <c r="AQ101" i="56" s="1"/>
  <c r="AQ103" i="56" a="1"/>
  <c r="AQ103" i="56" s="1"/>
  <c r="AQ105" i="56" a="1"/>
  <c r="AQ105" i="56" s="1"/>
  <c r="AQ107" i="56" a="1"/>
  <c r="AQ107" i="56" s="1"/>
  <c r="AQ109" i="56" a="1"/>
  <c r="AQ109" i="56" s="1"/>
  <c r="AQ111" i="56" a="1"/>
  <c r="AQ111" i="56" s="1"/>
  <c r="AQ113" i="56" a="1"/>
  <c r="AQ113" i="56" s="1"/>
  <c r="AQ115" i="56" a="1"/>
  <c r="AQ115" i="56" s="1"/>
  <c r="AQ117" i="56" a="1"/>
  <c r="AQ117" i="56" s="1"/>
  <c r="AE98" i="56" a="1"/>
  <c r="AE98" i="56" s="1"/>
  <c r="T99" i="56" a="1"/>
  <c r="T99" i="56" s="1"/>
  <c r="J100" i="56" a="1"/>
  <c r="J100" i="56" s="1"/>
  <c r="T100" i="56" a="1"/>
  <c r="T100" i="56" s="1"/>
  <c r="AE100" i="56" a="1"/>
  <c r="AE100" i="56" s="1"/>
  <c r="J102" i="56" a="1"/>
  <c r="J102" i="56" s="1"/>
  <c r="T102" i="56" a="1"/>
  <c r="T102" i="56" s="1"/>
  <c r="AE102" i="56" a="1"/>
  <c r="AE102" i="56" s="1"/>
  <c r="J104" i="56" a="1"/>
  <c r="J104" i="56" s="1"/>
  <c r="T104" i="56" a="1"/>
  <c r="T104" i="56" s="1"/>
  <c r="AE104" i="56" a="1"/>
  <c r="AE104" i="56" s="1"/>
  <c r="J106" i="56" a="1"/>
  <c r="J106" i="56" s="1"/>
  <c r="T106" i="56" a="1"/>
  <c r="T106" i="56" s="1"/>
  <c r="AE106" i="56" a="1"/>
  <c r="AE106" i="56" s="1"/>
  <c r="J108" i="56" a="1"/>
  <c r="J108" i="56" s="1"/>
  <c r="T108" i="56" a="1"/>
  <c r="T108" i="56" s="1"/>
  <c r="AE108" i="56" a="1"/>
  <c r="AE108" i="56" s="1"/>
  <c r="J110" i="56" a="1"/>
  <c r="J110" i="56" s="1"/>
  <c r="T110" i="56" a="1"/>
  <c r="T110" i="56" s="1"/>
  <c r="AE110" i="56" a="1"/>
  <c r="AE110" i="56" s="1"/>
  <c r="J112" i="56" a="1"/>
  <c r="J112" i="56" s="1"/>
  <c r="T112" i="56" a="1"/>
  <c r="T112" i="56" s="1"/>
  <c r="AE112" i="56" a="1"/>
  <c r="AE112" i="56" s="1"/>
  <c r="J114" i="56" a="1"/>
  <c r="J114" i="56" s="1"/>
  <c r="T114" i="56" a="1"/>
  <c r="T114" i="56" s="1"/>
  <c r="AE114" i="56" a="1"/>
  <c r="AE114" i="56" s="1"/>
  <c r="J116" i="56" a="1"/>
  <c r="J116" i="56" s="1"/>
  <c r="T116" i="56" a="1"/>
  <c r="T116" i="56" s="1"/>
  <c r="AE116" i="56" a="1"/>
  <c r="AE116" i="56" s="1"/>
  <c r="J118" i="56" a="1"/>
  <c r="J118" i="56" s="1"/>
  <c r="T118" i="56" a="1"/>
  <c r="T118" i="56" s="1"/>
  <c r="AE99" i="56" a="1"/>
  <c r="AE99" i="56" s="1"/>
  <c r="AQ100" i="56" a="1"/>
  <c r="AQ100" i="56" s="1"/>
  <c r="AQ102" i="56" a="1"/>
  <c r="AQ102" i="56" s="1"/>
  <c r="AQ104" i="56" a="1"/>
  <c r="AQ104" i="56" s="1"/>
  <c r="AQ106" i="56" a="1"/>
  <c r="AQ106" i="56" s="1"/>
  <c r="AQ108" i="56" a="1"/>
  <c r="AQ108" i="56" s="1"/>
  <c r="AQ110" i="56" a="1"/>
  <c r="AQ110" i="56" s="1"/>
  <c r="AQ112" i="56" a="1"/>
  <c r="AQ112" i="56" s="1"/>
  <c r="AQ114" i="56" a="1"/>
  <c r="AQ114" i="56" s="1"/>
  <c r="AQ116" i="56" a="1"/>
  <c r="AQ116" i="56" s="1"/>
  <c r="T117" i="56" a="1"/>
  <c r="T117" i="56" s="1"/>
  <c r="AQ119" i="56" a="1"/>
  <c r="AQ119" i="56" s="1"/>
  <c r="AQ121" i="56" a="1"/>
  <c r="AQ121" i="56" s="1"/>
  <c r="AQ123" i="56" a="1"/>
  <c r="AQ123" i="56" s="1"/>
  <c r="AQ125" i="56" a="1"/>
  <c r="AQ125" i="56" s="1"/>
  <c r="AQ127" i="56" a="1"/>
  <c r="AQ127" i="56" s="1"/>
  <c r="AQ129" i="56" a="1"/>
  <c r="AQ129" i="56" s="1"/>
  <c r="AQ131" i="56" a="1"/>
  <c r="AQ131" i="56" s="1"/>
  <c r="AQ133" i="56" a="1"/>
  <c r="AQ133" i="56" s="1"/>
  <c r="AQ135" i="56" a="1"/>
  <c r="AQ135" i="56" s="1"/>
  <c r="J117" i="56" a="1"/>
  <c r="J117" i="56" s="1"/>
  <c r="AE117" i="56" a="1"/>
  <c r="AE117" i="56" s="1"/>
  <c r="AE118" i="56" a="1"/>
  <c r="AE118" i="56" s="1"/>
  <c r="J120" i="56" a="1"/>
  <c r="J120" i="56" s="1"/>
  <c r="T120" i="56" a="1"/>
  <c r="T120" i="56" s="1"/>
  <c r="AE120" i="56" a="1"/>
  <c r="AE120" i="56" s="1"/>
  <c r="J122" i="56" a="1"/>
  <c r="J122" i="56" s="1"/>
  <c r="T122" i="56" a="1"/>
  <c r="T122" i="56" s="1"/>
  <c r="AE122" i="56" a="1"/>
  <c r="AE122" i="56" s="1"/>
  <c r="J124" i="56" a="1"/>
  <c r="J124" i="56" s="1"/>
  <c r="T124" i="56" a="1"/>
  <c r="T124" i="56" s="1"/>
  <c r="AE124" i="56" a="1"/>
  <c r="AE124" i="56" s="1"/>
  <c r="J126" i="56" a="1"/>
  <c r="J126" i="56" s="1"/>
  <c r="T126" i="56" a="1"/>
  <c r="T126" i="56" s="1"/>
  <c r="AE126" i="56" a="1"/>
  <c r="AE126" i="56" s="1"/>
  <c r="J128" i="56" a="1"/>
  <c r="J128" i="56" s="1"/>
  <c r="T128" i="56" a="1"/>
  <c r="T128" i="56" s="1"/>
  <c r="AE128" i="56" a="1"/>
  <c r="AE128" i="56" s="1"/>
  <c r="J130" i="56" a="1"/>
  <c r="J130" i="56" s="1"/>
  <c r="T130" i="56" a="1"/>
  <c r="T130" i="56" s="1"/>
  <c r="AE130" i="56" a="1"/>
  <c r="AE130" i="56" s="1"/>
  <c r="J132" i="56" a="1"/>
  <c r="J132" i="56" s="1"/>
  <c r="T132" i="56" a="1"/>
  <c r="T132" i="56" s="1"/>
  <c r="AE132" i="56" a="1"/>
  <c r="AE132" i="56" s="1"/>
  <c r="J134" i="56" a="1"/>
  <c r="J134" i="56" s="1"/>
  <c r="T134" i="56" a="1"/>
  <c r="T134" i="56" s="1"/>
  <c r="AE134" i="56" a="1"/>
  <c r="AE134" i="56" s="1"/>
  <c r="AQ118" i="56" a="1"/>
  <c r="AQ118" i="56" s="1"/>
  <c r="AQ120" i="56" a="1"/>
  <c r="AQ120" i="56" s="1"/>
  <c r="AQ122" i="56" a="1"/>
  <c r="AQ122" i="56" s="1"/>
  <c r="AQ124" i="56" a="1"/>
  <c r="AQ124" i="56" s="1"/>
  <c r="AQ126" i="56" a="1"/>
  <c r="AQ126" i="56" s="1"/>
  <c r="AQ128" i="56" a="1"/>
  <c r="AQ128" i="56" s="1"/>
  <c r="AQ130" i="56" a="1"/>
  <c r="AQ130" i="56" s="1"/>
  <c r="AQ132" i="56" a="1"/>
  <c r="AQ132" i="56" s="1"/>
  <c r="AQ134" i="56" a="1"/>
  <c r="AQ134" i="56" s="1"/>
  <c r="J119" i="56" a="1"/>
  <c r="J119" i="56" s="1"/>
  <c r="T119" i="56" a="1"/>
  <c r="T119" i="56" s="1"/>
  <c r="AE119" i="56" a="1"/>
  <c r="AE119" i="56" s="1"/>
  <c r="J121" i="56" a="1"/>
  <c r="J121" i="56" s="1"/>
  <c r="T121" i="56" a="1"/>
  <c r="T121" i="56" s="1"/>
  <c r="AE121" i="56" a="1"/>
  <c r="AE121" i="56" s="1"/>
  <c r="J123" i="56" a="1"/>
  <c r="J123" i="56" s="1"/>
  <c r="T123" i="56" a="1"/>
  <c r="T123" i="56" s="1"/>
  <c r="AE123" i="56" a="1"/>
  <c r="AE123" i="56" s="1"/>
  <c r="J125" i="56" a="1"/>
  <c r="J125" i="56" s="1"/>
  <c r="T125" i="56" a="1"/>
  <c r="T125" i="56" s="1"/>
  <c r="AE125" i="56" a="1"/>
  <c r="AE125" i="56" s="1"/>
  <c r="J127" i="56" a="1"/>
  <c r="J127" i="56" s="1"/>
  <c r="T127" i="56" a="1"/>
  <c r="T127" i="56" s="1"/>
  <c r="AE127" i="56" a="1"/>
  <c r="AE127" i="56" s="1"/>
  <c r="J129" i="56" a="1"/>
  <c r="J129" i="56" s="1"/>
  <c r="T129" i="56" a="1"/>
  <c r="T129" i="56" s="1"/>
  <c r="AE129" i="56" a="1"/>
  <c r="AE129" i="56" s="1"/>
  <c r="J131" i="56" a="1"/>
  <c r="J131" i="56" s="1"/>
  <c r="T131" i="56" a="1"/>
  <c r="T131" i="56" s="1"/>
  <c r="AE131" i="56" a="1"/>
  <c r="AE131" i="56" s="1"/>
  <c r="J133" i="56" a="1"/>
  <c r="J133" i="56" s="1"/>
  <c r="T133" i="56" a="1"/>
  <c r="T133" i="56" s="1"/>
  <c r="AE133" i="56" a="1"/>
  <c r="AE133" i="56" s="1"/>
  <c r="J135" i="56" a="1"/>
  <c r="J135" i="56" s="1"/>
  <c r="T135" i="56" a="1"/>
  <c r="T135" i="56" s="1"/>
  <c r="AE135" i="56" a="1"/>
  <c r="AE135" i="56" s="1"/>
  <c r="T136" i="56" a="1"/>
  <c r="T136" i="56" s="1"/>
  <c r="J137" i="56" a="1"/>
  <c r="J137" i="56" s="1"/>
  <c r="T137" i="56" a="1"/>
  <c r="T137" i="56" s="1"/>
  <c r="AE137" i="56" a="1"/>
  <c r="AE137" i="56" s="1"/>
  <c r="J139" i="56" a="1"/>
  <c r="J139" i="56" s="1"/>
  <c r="T139" i="56" a="1"/>
  <c r="T139" i="56" s="1"/>
  <c r="AE139" i="56" a="1"/>
  <c r="AE139" i="56" s="1"/>
  <c r="J141" i="56" a="1"/>
  <c r="J141" i="56" s="1"/>
  <c r="T141" i="56" a="1"/>
  <c r="T141" i="56" s="1"/>
  <c r="AE141" i="56" a="1"/>
  <c r="AE141" i="56" s="1"/>
  <c r="J143" i="56" a="1"/>
  <c r="J143" i="56" s="1"/>
  <c r="T143" i="56" a="1"/>
  <c r="T143" i="56" s="1"/>
  <c r="AE143" i="56" a="1"/>
  <c r="AE143" i="56" s="1"/>
  <c r="J145" i="56" a="1"/>
  <c r="J145" i="56" s="1"/>
  <c r="T145" i="56" a="1"/>
  <c r="T145" i="56" s="1"/>
  <c r="AE145" i="56" a="1"/>
  <c r="AE145" i="56" s="1"/>
  <c r="J147" i="56" a="1"/>
  <c r="J147" i="56" s="1"/>
  <c r="T147" i="56" a="1"/>
  <c r="T147" i="56" s="1"/>
  <c r="AE147" i="56" a="1"/>
  <c r="AE147" i="56" s="1"/>
  <c r="J149" i="56" a="1"/>
  <c r="J149" i="56" s="1"/>
  <c r="T149" i="56" a="1"/>
  <c r="T149" i="56" s="1"/>
  <c r="AE149" i="56" a="1"/>
  <c r="AE149" i="56" s="1"/>
  <c r="J151" i="56" a="1"/>
  <c r="J151" i="56" s="1"/>
  <c r="T151" i="56" a="1"/>
  <c r="T151" i="56" s="1"/>
  <c r="AE151" i="56" a="1"/>
  <c r="AE151" i="56" s="1"/>
  <c r="J153" i="56" a="1"/>
  <c r="J153" i="56" s="1"/>
  <c r="T153" i="56" a="1"/>
  <c r="T153" i="56" s="1"/>
  <c r="AE153" i="56" a="1"/>
  <c r="AE153" i="56" s="1"/>
  <c r="J155" i="56" a="1"/>
  <c r="J155" i="56" s="1"/>
  <c r="T155" i="56" a="1"/>
  <c r="T155" i="56" s="1"/>
  <c r="AE155" i="56" a="1"/>
  <c r="AE155" i="56" s="1"/>
  <c r="J157" i="56" a="1"/>
  <c r="J157" i="56" s="1"/>
  <c r="T157" i="56" a="1"/>
  <c r="T157" i="56" s="1"/>
  <c r="AE157" i="56" a="1"/>
  <c r="AE157" i="56" s="1"/>
  <c r="J159" i="56" a="1"/>
  <c r="J159" i="56" s="1"/>
  <c r="T159" i="56" a="1"/>
  <c r="T159" i="56" s="1"/>
  <c r="AE159" i="56" a="1"/>
  <c r="AE159" i="56" s="1"/>
  <c r="J161" i="56" a="1"/>
  <c r="J161" i="56" s="1"/>
  <c r="T161" i="56" a="1"/>
  <c r="T161" i="56" s="1"/>
  <c r="AE161" i="56" a="1"/>
  <c r="AE161" i="56" s="1"/>
  <c r="J163" i="56" a="1"/>
  <c r="J163" i="56" s="1"/>
  <c r="T163" i="56" a="1"/>
  <c r="T163" i="56" s="1"/>
  <c r="AE163" i="56" a="1"/>
  <c r="AE163" i="56" s="1"/>
  <c r="J165" i="56" a="1"/>
  <c r="J165" i="56" s="1"/>
  <c r="T165" i="56" a="1"/>
  <c r="T165" i="56" s="1"/>
  <c r="AE165" i="56" a="1"/>
  <c r="AE165" i="56" s="1"/>
  <c r="J167" i="56" a="1"/>
  <c r="J167" i="56" s="1"/>
  <c r="T167" i="56" a="1"/>
  <c r="T167" i="56" s="1"/>
  <c r="AE167" i="56" a="1"/>
  <c r="AE167" i="56" s="1"/>
  <c r="J169" i="56" a="1"/>
  <c r="J169" i="56" s="1"/>
  <c r="T169" i="56" a="1"/>
  <c r="T169" i="56" s="1"/>
  <c r="AE169" i="56" a="1"/>
  <c r="AE169" i="56" s="1"/>
  <c r="AE136" i="56" a="1"/>
  <c r="AE136" i="56" s="1"/>
  <c r="AQ137" i="56" a="1"/>
  <c r="AQ137" i="56" s="1"/>
  <c r="AQ139" i="56" a="1"/>
  <c r="AQ139" i="56" s="1"/>
  <c r="AQ141" i="56" a="1"/>
  <c r="AQ141" i="56" s="1"/>
  <c r="AQ143" i="56" a="1"/>
  <c r="AQ143" i="56" s="1"/>
  <c r="AQ145" i="56" a="1"/>
  <c r="AQ145" i="56" s="1"/>
  <c r="AQ147" i="56" a="1"/>
  <c r="AQ147" i="56" s="1"/>
  <c r="AQ149" i="56" a="1"/>
  <c r="AQ149" i="56" s="1"/>
  <c r="AQ151" i="56" a="1"/>
  <c r="AQ151" i="56" s="1"/>
  <c r="AQ153" i="56" a="1"/>
  <c r="AQ153" i="56" s="1"/>
  <c r="AQ155" i="56" a="1"/>
  <c r="AQ155" i="56" s="1"/>
  <c r="AQ157" i="56" a="1"/>
  <c r="AQ157" i="56" s="1"/>
  <c r="AQ159" i="56" a="1"/>
  <c r="AQ159" i="56" s="1"/>
  <c r="AQ161" i="56" a="1"/>
  <c r="AQ161" i="56" s="1"/>
  <c r="AQ163" i="56" a="1"/>
  <c r="AQ163" i="56" s="1"/>
  <c r="AQ165" i="56" a="1"/>
  <c r="AQ165" i="56" s="1"/>
  <c r="AQ167" i="56" a="1"/>
  <c r="AQ167" i="56" s="1"/>
  <c r="AQ169" i="56" a="1"/>
  <c r="AQ169" i="56" s="1"/>
  <c r="AQ171" i="56" a="1"/>
  <c r="AQ171" i="56" s="1"/>
  <c r="AQ173" i="56" a="1"/>
  <c r="AQ173" i="56" s="1"/>
  <c r="J138" i="56" a="1"/>
  <c r="J138" i="56" s="1"/>
  <c r="T138" i="56" a="1"/>
  <c r="T138" i="56" s="1"/>
  <c r="AE138" i="56" a="1"/>
  <c r="AE138" i="56" s="1"/>
  <c r="J140" i="56" a="1"/>
  <c r="J140" i="56" s="1"/>
  <c r="T140" i="56" a="1"/>
  <c r="T140" i="56" s="1"/>
  <c r="AE140" i="56" a="1"/>
  <c r="AE140" i="56" s="1"/>
  <c r="J142" i="56" a="1"/>
  <c r="J142" i="56" s="1"/>
  <c r="T142" i="56" a="1"/>
  <c r="T142" i="56" s="1"/>
  <c r="AE142" i="56" a="1"/>
  <c r="AE142" i="56" s="1"/>
  <c r="J144" i="56" a="1"/>
  <c r="J144" i="56" s="1"/>
  <c r="T144" i="56" a="1"/>
  <c r="T144" i="56" s="1"/>
  <c r="AE144" i="56" a="1"/>
  <c r="AE144" i="56" s="1"/>
  <c r="J146" i="56" a="1"/>
  <c r="J146" i="56" s="1"/>
  <c r="T146" i="56" a="1"/>
  <c r="T146" i="56" s="1"/>
  <c r="AE146" i="56" a="1"/>
  <c r="AE146" i="56" s="1"/>
  <c r="J148" i="56" a="1"/>
  <c r="J148" i="56" s="1"/>
  <c r="T148" i="56" a="1"/>
  <c r="T148" i="56" s="1"/>
  <c r="AE148" i="56" a="1"/>
  <c r="AE148" i="56" s="1"/>
  <c r="J150" i="56" a="1"/>
  <c r="J150" i="56" s="1"/>
  <c r="T150" i="56" a="1"/>
  <c r="T150" i="56" s="1"/>
  <c r="AE150" i="56" a="1"/>
  <c r="AE150" i="56" s="1"/>
  <c r="J152" i="56" a="1"/>
  <c r="J152" i="56" s="1"/>
  <c r="T152" i="56" a="1"/>
  <c r="T152" i="56" s="1"/>
  <c r="AE152" i="56" a="1"/>
  <c r="AE152" i="56" s="1"/>
  <c r="J154" i="56" a="1"/>
  <c r="J154" i="56" s="1"/>
  <c r="T154" i="56" a="1"/>
  <c r="T154" i="56" s="1"/>
  <c r="AE154" i="56" a="1"/>
  <c r="AE154" i="56" s="1"/>
  <c r="J156" i="56" a="1"/>
  <c r="J156" i="56" s="1"/>
  <c r="T156" i="56" a="1"/>
  <c r="T156" i="56" s="1"/>
  <c r="AE156" i="56" a="1"/>
  <c r="AE156" i="56" s="1"/>
  <c r="J158" i="56" a="1"/>
  <c r="J158" i="56" s="1"/>
  <c r="T158" i="56" a="1"/>
  <c r="T158" i="56" s="1"/>
  <c r="AE158" i="56" a="1"/>
  <c r="AE158" i="56" s="1"/>
  <c r="J160" i="56" a="1"/>
  <c r="J160" i="56" s="1"/>
  <c r="T160" i="56" a="1"/>
  <c r="T160" i="56" s="1"/>
  <c r="AE160" i="56" a="1"/>
  <c r="AE160" i="56" s="1"/>
  <c r="J162" i="56" a="1"/>
  <c r="J162" i="56" s="1"/>
  <c r="T162" i="56" a="1"/>
  <c r="T162" i="56" s="1"/>
  <c r="AE162" i="56" a="1"/>
  <c r="AE162" i="56" s="1"/>
  <c r="J164" i="56" a="1"/>
  <c r="J164" i="56" s="1"/>
  <c r="T164" i="56" a="1"/>
  <c r="T164" i="56" s="1"/>
  <c r="AE164" i="56" a="1"/>
  <c r="AE164" i="56" s="1"/>
  <c r="J166" i="56" a="1"/>
  <c r="J166" i="56" s="1"/>
  <c r="T166" i="56" a="1"/>
  <c r="T166" i="56" s="1"/>
  <c r="AE166" i="56" a="1"/>
  <c r="AE166" i="56" s="1"/>
  <c r="J168" i="56" a="1"/>
  <c r="J168" i="56" s="1"/>
  <c r="T168" i="56" a="1"/>
  <c r="T168" i="56" s="1"/>
  <c r="AE168" i="56" a="1"/>
  <c r="AE168" i="56" s="1"/>
  <c r="J170" i="56" a="1"/>
  <c r="J170" i="56" s="1"/>
  <c r="T170" i="56" a="1"/>
  <c r="T170" i="56" s="1"/>
  <c r="AE170" i="56" a="1"/>
  <c r="AE170" i="56" s="1"/>
  <c r="J172" i="56" a="1"/>
  <c r="J172" i="56" s="1"/>
  <c r="T172" i="56" a="1"/>
  <c r="T172" i="56" s="1"/>
  <c r="AE172" i="56" a="1"/>
  <c r="AE172" i="56" s="1"/>
  <c r="J136" i="56" a="1"/>
  <c r="J136" i="56" s="1"/>
  <c r="AQ136" i="56" a="1"/>
  <c r="AQ136" i="56" s="1"/>
  <c r="AQ138" i="56" a="1"/>
  <c r="AQ138" i="56" s="1"/>
  <c r="AQ140" i="56" a="1"/>
  <c r="AQ140" i="56" s="1"/>
  <c r="AQ142" i="56" a="1"/>
  <c r="AQ142" i="56" s="1"/>
  <c r="AQ144" i="56" a="1"/>
  <c r="AQ144" i="56" s="1"/>
  <c r="AQ146" i="56" a="1"/>
  <c r="AQ146" i="56" s="1"/>
  <c r="AQ148" i="56" a="1"/>
  <c r="AQ148" i="56" s="1"/>
  <c r="AQ150" i="56" a="1"/>
  <c r="AQ150" i="56" s="1"/>
  <c r="AQ152" i="56" a="1"/>
  <c r="AQ152" i="56" s="1"/>
  <c r="AQ154" i="56" a="1"/>
  <c r="AQ154" i="56" s="1"/>
  <c r="AQ156" i="56" a="1"/>
  <c r="AQ156" i="56" s="1"/>
  <c r="AQ158" i="56" a="1"/>
  <c r="AQ158" i="56" s="1"/>
  <c r="AQ160" i="56" a="1"/>
  <c r="AQ160" i="56" s="1"/>
  <c r="AQ162" i="56" a="1"/>
  <c r="AQ162" i="56" s="1"/>
  <c r="AQ164" i="56" a="1"/>
  <c r="AQ164" i="56" s="1"/>
  <c r="AQ166" i="56" a="1"/>
  <c r="AQ166" i="56" s="1"/>
  <c r="AQ168" i="56" a="1"/>
  <c r="AQ168" i="56" s="1"/>
  <c r="AQ170" i="56" a="1"/>
  <c r="AQ170" i="56" s="1"/>
  <c r="AQ172" i="56" a="1"/>
  <c r="AQ172" i="56" s="1"/>
  <c r="AQ174" i="56" a="1"/>
  <c r="AQ174" i="56" s="1"/>
  <c r="J171" i="56" a="1"/>
  <c r="J171" i="56" s="1"/>
  <c r="T174" i="56" a="1"/>
  <c r="T174" i="56" s="1"/>
  <c r="J176" i="56" a="1"/>
  <c r="J176" i="56" s="1"/>
  <c r="T176" i="56" a="1"/>
  <c r="T176" i="56" s="1"/>
  <c r="AE176" i="56" a="1"/>
  <c r="AE176" i="56" s="1"/>
  <c r="J178" i="56" a="1"/>
  <c r="J178" i="56" s="1"/>
  <c r="T178" i="56" a="1"/>
  <c r="T178" i="56" s="1"/>
  <c r="AE178" i="56" a="1"/>
  <c r="AE178" i="56" s="1"/>
  <c r="T173" i="56" a="1"/>
  <c r="T173" i="56" s="1"/>
  <c r="AQ176" i="56" a="1"/>
  <c r="AQ176" i="56" s="1"/>
  <c r="AQ178" i="56" a="1"/>
  <c r="AQ178" i="56" s="1"/>
  <c r="AE171" i="56" a="1"/>
  <c r="AE171" i="56" s="1"/>
  <c r="J174" i="56" a="1"/>
  <c r="J174" i="56" s="1"/>
  <c r="AE174" i="56" a="1"/>
  <c r="AE174" i="56" s="1"/>
  <c r="J175" i="56" a="1"/>
  <c r="J175" i="56" s="1"/>
  <c r="T175" i="56" a="1"/>
  <c r="T175" i="56" s="1"/>
  <c r="AE175" i="56" a="1"/>
  <c r="AE175" i="56" s="1"/>
  <c r="J177" i="56" a="1"/>
  <c r="J177" i="56" s="1"/>
  <c r="T177" i="56" a="1"/>
  <c r="T177" i="56" s="1"/>
  <c r="AE177" i="56" a="1"/>
  <c r="AE177" i="56" s="1"/>
  <c r="J179" i="56" a="1"/>
  <c r="J179" i="56" s="1"/>
  <c r="T179" i="56" a="1"/>
  <c r="T179" i="56" s="1"/>
  <c r="AE179" i="56" a="1"/>
  <c r="AE179" i="56" s="1"/>
  <c r="T171" i="56" a="1"/>
  <c r="T171" i="56" s="1"/>
  <c r="J173" i="56" a="1"/>
  <c r="J173" i="56" s="1"/>
  <c r="AE173" i="56" a="1"/>
  <c r="AE173" i="56" s="1"/>
  <c r="AQ175" i="56" a="1"/>
  <c r="AQ175" i="56" s="1"/>
  <c r="AQ177" i="56" a="1"/>
  <c r="AQ177" i="56" s="1"/>
  <c r="AQ179" i="56" a="1"/>
  <c r="AQ179" i="56" s="1"/>
  <c r="G414" i="56"/>
  <c r="G418" i="56"/>
  <c r="G413" i="56"/>
  <c r="G417" i="56"/>
  <c r="G421" i="56"/>
  <c r="G412" i="56"/>
  <c r="G416" i="56"/>
  <c r="G420" i="56"/>
  <c r="G415" i="56"/>
  <c r="G419" i="56"/>
  <c r="I46" i="21"/>
  <c r="I45" i="21" s="1"/>
  <c r="AG36" i="31"/>
  <c r="H56" i="31"/>
  <c r="L34" i="65" a="1"/>
  <c r="L34" i="65" s="1"/>
  <c r="K34" i="65" a="1"/>
  <c r="K34" i="65" s="1"/>
  <c r="D63" i="26"/>
  <c r="F62" i="47" a="1"/>
  <c r="F62" i="47" s="1"/>
  <c r="D62" i="47" s="1"/>
  <c r="F19" i="58" s="1"/>
  <c r="F34" i="58" s="1"/>
  <c r="AC19" i="31" l="1"/>
  <c r="AF19" i="31" s="1"/>
  <c r="AC15" i="31"/>
  <c r="AC16" i="31"/>
  <c r="AD16" i="31" s="1"/>
  <c r="M21" i="31"/>
  <c r="H22" i="31"/>
  <c r="O10" i="42"/>
  <c r="H10" i="42"/>
  <c r="AE11" i="31"/>
  <c r="AF11" i="31"/>
  <c r="Y59" i="31"/>
  <c r="Y61" i="31" s="1"/>
  <c r="AB30" i="31"/>
  <c r="AC30" i="31" s="1"/>
  <c r="AF30" i="31" s="1"/>
  <c r="AE14" i="31"/>
  <c r="AF14" i="31"/>
  <c r="BR373" i="66"/>
  <c r="BT376" i="66" a="1"/>
  <c r="BT376" i="66" s="1"/>
  <c r="BT373" i="66" s="1"/>
  <c r="U59" i="31"/>
  <c r="U61" i="31" s="1"/>
  <c r="M59" i="31"/>
  <c r="M61" i="31" s="1"/>
  <c r="W59" i="31"/>
  <c r="W61" i="31" s="1"/>
  <c r="K60" i="31"/>
  <c r="K61" i="31" s="1"/>
  <c r="Q59" i="31"/>
  <c r="Q61" i="31" s="1"/>
  <c r="X59" i="31"/>
  <c r="X61" i="31" s="1"/>
  <c r="R59" i="31"/>
  <c r="R61" i="31" s="1"/>
  <c r="S60" i="31"/>
  <c r="S61" i="31" s="1"/>
  <c r="AE60" i="31"/>
  <c r="AE61" i="31" s="1"/>
  <c r="AB59" i="31"/>
  <c r="AB61" i="31" s="1"/>
  <c r="J59" i="31"/>
  <c r="J61" i="31" s="1"/>
  <c r="N59" i="31"/>
  <c r="N61" i="31" s="1"/>
  <c r="AF59" i="31"/>
  <c r="AF61" i="31" s="1"/>
  <c r="AF12" i="31"/>
  <c r="AD12" i="31"/>
  <c r="AC59" i="31"/>
  <c r="AC61" i="31" s="1"/>
  <c r="T59" i="31"/>
  <c r="T61" i="31" s="1"/>
  <c r="O60" i="31"/>
  <c r="O61" i="31" s="1"/>
  <c r="AA59" i="31"/>
  <c r="AA61" i="31" s="1"/>
  <c r="Z59" i="31"/>
  <c r="Z61" i="31" s="1"/>
  <c r="AD60" i="31"/>
  <c r="AD61" i="31" s="1"/>
  <c r="I59" i="31"/>
  <c r="I61" i="31" s="1"/>
  <c r="L59" i="31"/>
  <c r="L61" i="31" s="1"/>
  <c r="P59" i="31"/>
  <c r="P61" i="31" s="1"/>
  <c r="V60" i="31"/>
  <c r="V61" i="31" s="1"/>
  <c r="BU7" i="66"/>
  <c r="AD10" i="31"/>
  <c r="FB54" i="31"/>
  <c r="FK54" i="31"/>
  <c r="FH54" i="31"/>
  <c r="EU54" i="31"/>
  <c r="EQ54" i="31"/>
  <c r="FC54" i="31"/>
  <c r="EJ54" i="31"/>
  <c r="EO54" i="31"/>
  <c r="EH54" i="31"/>
  <c r="EW54" i="31"/>
  <c r="FD54" i="31"/>
  <c r="FF54" i="31"/>
  <c r="EV54" i="31"/>
  <c r="EZ54" i="31"/>
  <c r="FL54" i="31"/>
  <c r="EF54" i="31"/>
  <c r="EP54" i="31"/>
  <c r="ER54" i="31"/>
  <c r="FA54" i="31"/>
  <c r="ET54" i="31"/>
  <c r="EY54" i="31"/>
  <c r="FI54" i="31"/>
  <c r="FE54" i="31"/>
  <c r="FN54" i="31"/>
  <c r="EE54" i="31"/>
  <c r="EL54" i="31"/>
  <c r="EN54" i="31"/>
  <c r="EG54" i="31"/>
  <c r="EI54" i="31"/>
  <c r="FG54" i="31"/>
  <c r="ES54" i="31"/>
  <c r="FM54" i="31"/>
  <c r="EX54" i="31"/>
  <c r="FJ54" i="31"/>
  <c r="EK54" i="31"/>
  <c r="EM54" i="31"/>
  <c r="AF23" i="31"/>
  <c r="AE10" i="31"/>
  <c r="AE23" i="31"/>
  <c r="AE22" i="31"/>
  <c r="AE18" i="31"/>
  <c r="AF18" i="31"/>
  <c r="AD22" i="31"/>
  <c r="AQ420" i="56"/>
  <c r="T421" i="56"/>
  <c r="J420" i="56"/>
  <c r="T419" i="56"/>
  <c r="AE417" i="56"/>
  <c r="T415" i="56"/>
  <c r="J414" i="56"/>
  <c r="AQ415" i="56"/>
  <c r="AE413" i="56"/>
  <c r="T412" i="56"/>
  <c r="AQ412" i="56"/>
  <c r="H58" i="31"/>
  <c r="AG56" i="31"/>
  <c r="I10" i="21"/>
  <c r="Q3" i="31" s="1"/>
  <c r="Q4" i="31" s="1"/>
  <c r="J42" i="21"/>
  <c r="J44" i="21" s="1"/>
  <c r="AE420" i="56"/>
  <c r="AQ417" i="56"/>
  <c r="J418" i="56"/>
  <c r="T417" i="56"/>
  <c r="J416" i="56"/>
  <c r="AE414" i="56"/>
  <c r="J413" i="56"/>
  <c r="J412" i="56"/>
  <c r="H12" i="56"/>
  <c r="V11" i="65" s="1"/>
  <c r="G46" i="56"/>
  <c r="I12" i="56"/>
  <c r="V10" i="65" s="1"/>
  <c r="H36" i="56"/>
  <c r="Q11" i="56" a="1"/>
  <c r="Q11" i="56" s="1"/>
  <c r="O11" i="56" s="1"/>
  <c r="J12" i="56"/>
  <c r="P48" i="56"/>
  <c r="AE48" i="56" a="1"/>
  <c r="AE48" i="56" s="1"/>
  <c r="BX48" i="56" a="1"/>
  <c r="T48" i="56" a="1"/>
  <c r="T48" i="56" s="1"/>
  <c r="BI48" i="56" a="1"/>
  <c r="O48" i="56"/>
  <c r="AQ48" i="56" a="1"/>
  <c r="AQ48" i="56" s="1"/>
  <c r="J48" i="56" a="1"/>
  <c r="J48" i="56" s="1"/>
  <c r="G409" i="56"/>
  <c r="G411" i="56"/>
  <c r="G442" i="56" s="1"/>
  <c r="F33" i="58"/>
  <c r="AQ421" i="56"/>
  <c r="AQ419" i="56"/>
  <c r="J421" i="56"/>
  <c r="T420" i="56"/>
  <c r="J419" i="56"/>
  <c r="AE418" i="56"/>
  <c r="AE416" i="56"/>
  <c r="J415" i="56"/>
  <c r="T414" i="56"/>
  <c r="AQ414" i="56"/>
  <c r="T413" i="56"/>
  <c r="AQ413" i="56"/>
  <c r="AE421" i="56"/>
  <c r="AE419" i="56"/>
  <c r="AQ418" i="56"/>
  <c r="T418" i="56"/>
  <c r="J417" i="56"/>
  <c r="AQ416" i="56"/>
  <c r="T416" i="56"/>
  <c r="AE415" i="56"/>
  <c r="AE412" i="56"/>
  <c r="AD19" i="31" l="1"/>
  <c r="AE19" i="31"/>
  <c r="AF15" i="31"/>
  <c r="AE15" i="31"/>
  <c r="AD15" i="31"/>
  <c r="AE16" i="31"/>
  <c r="AF16" i="31"/>
  <c r="H23" i="31"/>
  <c r="M22" i="31"/>
  <c r="H9" i="42" a="1"/>
  <c r="R9" i="65"/>
  <c r="V24" i="65"/>
  <c r="AE30" i="31"/>
  <c r="AD30" i="31"/>
  <c r="G443" i="56"/>
  <c r="L36" i="65" a="1"/>
  <c r="L36" i="65" s="1"/>
  <c r="K36" i="65" a="1"/>
  <c r="K36" i="65" s="1"/>
  <c r="J46" i="56"/>
  <c r="M48" i="56"/>
  <c r="J411" i="56"/>
  <c r="J442" i="56" s="1"/>
  <c r="J409" i="56"/>
  <c r="T46" i="56"/>
  <c r="Y48" i="56"/>
  <c r="T409" i="56"/>
  <c r="T411" i="56"/>
  <c r="T442" i="56" s="1"/>
  <c r="R48" i="56"/>
  <c r="P410" i="56"/>
  <c r="AQ46" i="56"/>
  <c r="AQ411" i="56"/>
  <c r="AQ442" i="56" s="1"/>
  <c r="AQ409" i="56"/>
  <c r="BX48" i="56"/>
  <c r="BX414" i="56"/>
  <c r="BX418" i="56"/>
  <c r="BX421" i="56"/>
  <c r="BX413" i="56"/>
  <c r="BX417" i="56"/>
  <c r="BX412" i="56"/>
  <c r="BX416" i="56"/>
  <c r="BX420" i="56"/>
  <c r="BX415" i="56"/>
  <c r="BX419" i="56"/>
  <c r="Q48" i="56"/>
  <c r="Q9" i="65"/>
  <c r="J23" i="56"/>
  <c r="K11" i="53"/>
  <c r="J46" i="21"/>
  <c r="J45" i="21" s="1"/>
  <c r="Z48" i="56"/>
  <c r="O410" i="56"/>
  <c r="L48" i="56"/>
  <c r="I11" i="53"/>
  <c r="K19" i="58"/>
  <c r="K34" i="58" s="1"/>
  <c r="V25" i="65"/>
  <c r="BI48" i="56"/>
  <c r="BI413" i="56"/>
  <c r="BI417" i="56"/>
  <c r="BI412" i="56"/>
  <c r="BI416" i="56"/>
  <c r="BI420" i="56"/>
  <c r="BI415" i="56"/>
  <c r="BI419" i="56"/>
  <c r="BI414" i="56"/>
  <c r="BI418" i="56"/>
  <c r="BI421" i="56"/>
  <c r="AE46" i="56"/>
  <c r="AE411" i="56"/>
  <c r="AE442" i="56" s="1"/>
  <c r="AE409" i="56"/>
  <c r="P9" i="65"/>
  <c r="I23" i="56"/>
  <c r="J11" i="53"/>
  <c r="P31" i="65"/>
  <c r="J11" i="65" s="1"/>
  <c r="I36" i="53"/>
  <c r="H60" i="31"/>
  <c r="AG60" i="31" s="1"/>
  <c r="AG58" i="31"/>
  <c r="H59" i="31"/>
  <c r="AG59" i="31" s="1"/>
  <c r="H9" i="42" l="1"/>
  <c r="O9" i="42"/>
  <c r="H24" i="31" a="1"/>
  <c r="H24" i="31" s="1"/>
  <c r="M24" i="31" s="1"/>
  <c r="H25" i="31" a="1"/>
  <c r="H25" i="31" s="1"/>
  <c r="M25" i="31" s="1"/>
  <c r="AM49" i="31" a="1"/>
  <c r="M23" i="31"/>
  <c r="AQ443" i="56"/>
  <c r="L410" i="56"/>
  <c r="I49" i="56"/>
  <c r="N48" i="56"/>
  <c r="BL48" i="56" s="1"/>
  <c r="Q19" i="65"/>
  <c r="I33" i="56"/>
  <c r="J22" i="53"/>
  <c r="AL48" i="56"/>
  <c r="BM48" i="56"/>
  <c r="Z410" i="56"/>
  <c r="AL410" i="56" s="1"/>
  <c r="R19" i="65"/>
  <c r="H23" i="56"/>
  <c r="J33" i="56"/>
  <c r="K22" i="53"/>
  <c r="H61" i="31"/>
  <c r="V13" i="65"/>
  <c r="BX409" i="56"/>
  <c r="BX411" i="56"/>
  <c r="BX442" i="56" s="1"/>
  <c r="AE443" i="56"/>
  <c r="BI47" i="56"/>
  <c r="BI409" i="56"/>
  <c r="BI411" i="56"/>
  <c r="BI442" i="56" s="1"/>
  <c r="V27" i="65"/>
  <c r="K42" i="21"/>
  <c r="K44" i="21" s="1"/>
  <c r="J10" i="21"/>
  <c r="R3" i="31" s="1"/>
  <c r="R4" i="31" s="1"/>
  <c r="W48" i="56"/>
  <c r="Q410" i="56"/>
  <c r="T443" i="56"/>
  <c r="J443" i="56"/>
  <c r="AA48" i="56"/>
  <c r="AK48" i="56"/>
  <c r="Y410" i="56"/>
  <c r="AK410" i="56" s="1"/>
  <c r="DU54" i="31" l="1"/>
  <c r="EA54" i="31"/>
  <c r="CM54" i="31"/>
  <c r="CP54" i="31"/>
  <c r="DM54" i="31"/>
  <c r="BH54" i="31"/>
  <c r="BM54" i="31"/>
  <c r="DW54" i="31"/>
  <c r="CC54" i="31"/>
  <c r="AM49" i="31"/>
  <c r="BV54" i="31"/>
  <c r="BB54" i="31"/>
  <c r="DO54" i="31"/>
  <c r="AU54" i="31"/>
  <c r="AV54" i="31"/>
  <c r="AN54" i="31"/>
  <c r="BR54" i="31"/>
  <c r="BY54" i="31"/>
  <c r="DB54" i="31"/>
  <c r="CH54" i="31"/>
  <c r="DI54" i="31"/>
  <c r="DH54" i="31"/>
  <c r="CF54" i="31"/>
  <c r="DA54" i="31"/>
  <c r="AT54" i="31"/>
  <c r="AQ54" i="31"/>
  <c r="CJ54" i="31"/>
  <c r="CB54" i="31"/>
  <c r="DG54" i="31"/>
  <c r="CX54" i="31"/>
  <c r="CW54" i="31"/>
  <c r="BT54" i="31"/>
  <c r="BA54" i="31"/>
  <c r="DC54" i="31"/>
  <c r="CQ54" i="31"/>
  <c r="BD54" i="31"/>
  <c r="DK54" i="31"/>
  <c r="CK54" i="31"/>
  <c r="AY54" i="31"/>
  <c r="CD54" i="31"/>
  <c r="CL54" i="31"/>
  <c r="BG54" i="31"/>
  <c r="AR54" i="31"/>
  <c r="DT54" i="31"/>
  <c r="DR54" i="31"/>
  <c r="DZ54" i="31"/>
  <c r="CN54" i="31"/>
  <c r="BL54" i="31"/>
  <c r="CE54" i="31"/>
  <c r="DP54" i="31"/>
  <c r="ED54" i="31"/>
  <c r="DJ54" i="31"/>
  <c r="CU54" i="31"/>
  <c r="BC54" i="31"/>
  <c r="DD54" i="31"/>
  <c r="AS54" i="31"/>
  <c r="CZ54" i="31"/>
  <c r="EB54" i="31"/>
  <c r="BW54" i="31"/>
  <c r="DL54" i="31"/>
  <c r="AO54" i="31"/>
  <c r="DN54" i="31"/>
  <c r="EC54" i="31"/>
  <c r="AZ54" i="31"/>
  <c r="CY54" i="31"/>
  <c r="BP54" i="31"/>
  <c r="BF54" i="31"/>
  <c r="BN54" i="31"/>
  <c r="DV54" i="31"/>
  <c r="DF54" i="31"/>
  <c r="BJ54" i="31"/>
  <c r="CR54" i="31"/>
  <c r="BX54" i="31"/>
  <c r="BK54" i="31"/>
  <c r="BQ54" i="31"/>
  <c r="DS54" i="31"/>
  <c r="DX54" i="31"/>
  <c r="BZ54" i="31"/>
  <c r="AW54" i="31"/>
  <c r="DQ54" i="31"/>
  <c r="BE54" i="31"/>
  <c r="DY54" i="31"/>
  <c r="CG54" i="31"/>
  <c r="BI54" i="31"/>
  <c r="CI54" i="31"/>
  <c r="DE54" i="31"/>
  <c r="BS54" i="31"/>
  <c r="CV54" i="31"/>
  <c r="BU54" i="31"/>
  <c r="AP54" i="31"/>
  <c r="BO54" i="31"/>
  <c r="CA54" i="31"/>
  <c r="AX54" i="31"/>
  <c r="CO54" i="31"/>
  <c r="CS54" i="31"/>
  <c r="CT54" i="31"/>
  <c r="BI443" i="56"/>
  <c r="AG48" i="56"/>
  <c r="X48" i="56"/>
  <c r="S49" i="56" s="1"/>
  <c r="AG61" i="31"/>
  <c r="P19" i="65"/>
  <c r="A23" i="56"/>
  <c r="G23" i="56" s="1"/>
  <c r="I22" i="53"/>
  <c r="AW48" i="56"/>
  <c r="AM48" i="56"/>
  <c r="BN48" i="56"/>
  <c r="N410" i="56"/>
  <c r="BZ48" i="56"/>
  <c r="K46" i="21"/>
  <c r="K45" i="21" s="1"/>
  <c r="BX443" i="56"/>
  <c r="R28" i="65"/>
  <c r="K33" i="53"/>
  <c r="K32" i="53"/>
  <c r="AB48" i="56"/>
  <c r="AA410" i="56"/>
  <c r="AM410" i="56" s="1"/>
  <c r="AX48" i="56"/>
  <c r="BO48" i="56"/>
  <c r="Q28" i="65"/>
  <c r="H33" i="56"/>
  <c r="G33" i="56" s="1"/>
  <c r="J33" i="53"/>
  <c r="J32" i="53"/>
  <c r="K49" i="56" a="1"/>
  <c r="K49" i="56" s="1"/>
  <c r="H64" i="31" l="1" a="1"/>
  <c r="H64" i="31" s="1"/>
  <c r="AM54" i="31"/>
  <c r="CA48" i="56"/>
  <c r="P28" i="65"/>
  <c r="I32" i="53"/>
  <c r="I33" i="53"/>
  <c r="AY48" i="56"/>
  <c r="AN48" i="56"/>
  <c r="L49" i="56"/>
  <c r="BF48" i="56"/>
  <c r="BQ48" i="56"/>
  <c r="AX410" i="56"/>
  <c r="K10" i="21"/>
  <c r="S3" i="31" s="1"/>
  <c r="S4" i="31" s="1"/>
  <c r="L42" i="21"/>
  <c r="L44" i="21" s="1"/>
  <c r="BP48" i="56"/>
  <c r="BE48" i="56"/>
  <c r="AW410" i="56"/>
  <c r="U49" i="56" a="1"/>
  <c r="U49" i="56" s="1"/>
  <c r="AS48" i="56"/>
  <c r="AI48" i="56"/>
  <c r="AJ48" i="56"/>
  <c r="AG64" i="31" l="1"/>
  <c r="H69" i="31" a="1"/>
  <c r="AD49" i="56"/>
  <c r="CB48" i="56"/>
  <c r="AU48" i="56"/>
  <c r="AP49" i="56" s="1"/>
  <c r="AV48" i="56"/>
  <c r="BG48" i="56"/>
  <c r="L46" i="21"/>
  <c r="L45" i="21" s="1"/>
  <c r="N49" i="56"/>
  <c r="V49" i="56"/>
  <c r="M49" i="56"/>
  <c r="I50" i="56" s="1"/>
  <c r="AY410" i="56"/>
  <c r="O70" i="31" l="1"/>
  <c r="N70" i="31"/>
  <c r="AF70" i="31"/>
  <c r="T70" i="31"/>
  <c r="Y70" i="31"/>
  <c r="AA70" i="31"/>
  <c r="X70" i="31"/>
  <c r="AB70" i="31"/>
  <c r="AE70" i="31"/>
  <c r="M70" i="31"/>
  <c r="P70" i="31"/>
  <c r="L70" i="31"/>
  <c r="V70" i="31"/>
  <c r="W70" i="31"/>
  <c r="R70" i="31"/>
  <c r="AD70" i="31"/>
  <c r="S70" i="31"/>
  <c r="AC70" i="31"/>
  <c r="K70" i="31"/>
  <c r="J70" i="31"/>
  <c r="Q70" i="31"/>
  <c r="Z70" i="31"/>
  <c r="I70" i="31"/>
  <c r="U70" i="31"/>
  <c r="H69" i="31"/>
  <c r="K50" i="56" a="1"/>
  <c r="K50" i="56" s="1"/>
  <c r="L50" i="56" s="1"/>
  <c r="AV410" i="56"/>
  <c r="AF49" i="56" a="1"/>
  <c r="AF49" i="56" s="1"/>
  <c r="O49" i="56" a="1"/>
  <c r="O49" i="56" s="1"/>
  <c r="P49" i="56" s="1"/>
  <c r="L10" i="21"/>
  <c r="T3" i="31" s="1"/>
  <c r="T4" i="31" s="1"/>
  <c r="M42" i="21"/>
  <c r="M44" i="21" s="1"/>
  <c r="M46" i="21" s="1"/>
  <c r="M45" i="21" s="1"/>
  <c r="AR49" i="56" a="1"/>
  <c r="AR49" i="56" s="1"/>
  <c r="H70" i="31" l="1"/>
  <c r="AG70" i="31" s="1"/>
  <c r="AG69" i="31"/>
  <c r="N50" i="56"/>
  <c r="V50" i="56"/>
  <c r="M50" i="56"/>
  <c r="I51" i="56" s="1"/>
  <c r="M10" i="21"/>
  <c r="U3" i="31" s="1"/>
  <c r="U4" i="31" s="1"/>
  <c r="N42" i="21"/>
  <c r="N44" i="21" s="1"/>
  <c r="N46" i="21" s="1"/>
  <c r="N45" i="21" s="1"/>
  <c r="Q49" i="56"/>
  <c r="W49" i="56" l="1"/>
  <c r="N10" i="21"/>
  <c r="V3" i="31" s="1"/>
  <c r="V4" i="31" s="1"/>
  <c r="O42" i="21"/>
  <c r="O44" i="21" s="1"/>
  <c r="O46" i="21" s="1"/>
  <c r="O45" i="21" s="1"/>
  <c r="K51" i="56" a="1"/>
  <c r="K51" i="56" s="1"/>
  <c r="L51" i="56" s="1"/>
  <c r="O50" i="56" a="1"/>
  <c r="O50" i="56" s="1"/>
  <c r="M51" i="56" l="1"/>
  <c r="I52" i="56" s="1"/>
  <c r="K52" i="56" s="1" a="1"/>
  <c r="K52" i="56" s="1"/>
  <c r="L52" i="56" s="1"/>
  <c r="AG49" i="56"/>
  <c r="X49" i="56"/>
  <c r="S50" i="56" s="1"/>
  <c r="Y49" i="56"/>
  <c r="P50" i="56"/>
  <c r="O10" i="21"/>
  <c r="W3" i="31" s="1"/>
  <c r="W4" i="31" s="1"/>
  <c r="P42" i="21"/>
  <c r="P44" i="21" s="1"/>
  <c r="P46" i="21" s="1"/>
  <c r="P45" i="21" s="1"/>
  <c r="N51" i="56"/>
  <c r="V51" i="56"/>
  <c r="P10" i="21" l="1"/>
  <c r="X3" i="31" s="1"/>
  <c r="X4" i="31" s="1"/>
  <c r="Q42" i="21"/>
  <c r="Q44" i="21" s="1"/>
  <c r="Q46" i="21" s="1"/>
  <c r="Q45" i="21" s="1"/>
  <c r="M52" i="56"/>
  <c r="I53" i="56" s="1"/>
  <c r="BL49" i="56"/>
  <c r="Z49" i="56"/>
  <c r="AA49" i="56" s="1"/>
  <c r="U50" i="56" a="1"/>
  <c r="U50" i="56" s="1"/>
  <c r="Q50" i="56"/>
  <c r="O51" i="56" a="1"/>
  <c r="O51" i="56" s="1"/>
  <c r="V52" i="56"/>
  <c r="N52" i="56"/>
  <c r="W50" i="56" l="1"/>
  <c r="Y50" i="56" s="1"/>
  <c r="BM49" i="56"/>
  <c r="BZ49" i="56" s="1"/>
  <c r="AB49" i="56"/>
  <c r="K53" i="56" a="1"/>
  <c r="K53" i="56" s="1"/>
  <c r="L53" i="56" s="1"/>
  <c r="O52" i="56" a="1"/>
  <c r="O52" i="56" s="1"/>
  <c r="P51" i="56"/>
  <c r="Q10" i="21"/>
  <c r="R42" i="21"/>
  <c r="R44" i="21" s="1"/>
  <c r="R46" i="21" s="1"/>
  <c r="R45" i="21" s="1"/>
  <c r="AG50" i="56" l="1"/>
  <c r="X50" i="56"/>
  <c r="S51" i="56" s="1"/>
  <c r="U51" i="56" s="1" a="1"/>
  <c r="U51" i="56" s="1"/>
  <c r="M53" i="56"/>
  <c r="I54" i="56" s="1"/>
  <c r="K54" i="56" s="1" a="1"/>
  <c r="K54" i="56" s="1"/>
  <c r="S42" i="21"/>
  <c r="S44" i="21" s="1"/>
  <c r="S46" i="21" s="1"/>
  <c r="S45" i="21" s="1"/>
  <c r="R10" i="21"/>
  <c r="Y3" i="31" s="1"/>
  <c r="Y4" i="31" s="1"/>
  <c r="Q51" i="56"/>
  <c r="N53" i="56"/>
  <c r="V53" i="56"/>
  <c r="P52" i="56"/>
  <c r="Q52" i="56" s="1"/>
  <c r="AH49" i="56"/>
  <c r="BL50" i="56"/>
  <c r="Z50" i="56"/>
  <c r="AA50" i="56" s="1"/>
  <c r="W51" i="56" l="1"/>
  <c r="AG51" i="56" s="1"/>
  <c r="BM50" i="56"/>
  <c r="BZ50" i="56" s="1"/>
  <c r="L54" i="56"/>
  <c r="M54" i="56" s="1"/>
  <c r="I55" i="56" s="1"/>
  <c r="AB50" i="56"/>
  <c r="AK49" i="56"/>
  <c r="AS49" i="56"/>
  <c r="AJ49" i="56"/>
  <c r="AI49" i="56"/>
  <c r="O53" i="56" a="1"/>
  <c r="O53" i="56" s="1"/>
  <c r="P53" i="56" s="1"/>
  <c r="S10" i="21"/>
  <c r="Z3" i="31" s="1"/>
  <c r="Z4" i="31" s="1"/>
  <c r="T42" i="21"/>
  <c r="T44" i="21" s="1"/>
  <c r="T46" i="21" s="1"/>
  <c r="T45" i="21" s="1"/>
  <c r="X51" i="56" l="1"/>
  <c r="S52" i="56" s="1"/>
  <c r="U52" i="56" s="1" a="1"/>
  <c r="U52" i="56" s="1"/>
  <c r="W52" i="56" s="1"/>
  <c r="Y51" i="56"/>
  <c r="Z51" i="56" s="1"/>
  <c r="AA51" i="56" s="1"/>
  <c r="Q53" i="56"/>
  <c r="V54" i="56"/>
  <c r="N54" i="56"/>
  <c r="AL49" i="56"/>
  <c r="AM49" i="56" s="1"/>
  <c r="BN49" i="56"/>
  <c r="T10" i="21"/>
  <c r="AA3" i="31" s="1"/>
  <c r="AA4" i="31" s="1"/>
  <c r="U42" i="21"/>
  <c r="U44" i="21" s="1"/>
  <c r="U46" i="21" s="1"/>
  <c r="U45" i="21" s="1"/>
  <c r="AH50" i="56"/>
  <c r="AD50" i="56"/>
  <c r="K55" i="56" a="1"/>
  <c r="K55" i="56" s="1"/>
  <c r="L55" i="56" s="1"/>
  <c r="BL51" i="56" l="1"/>
  <c r="O54" i="56" a="1"/>
  <c r="O54" i="56" s="1"/>
  <c r="P54" i="56" s="1"/>
  <c r="Q54" i="56" s="1"/>
  <c r="N55" i="56"/>
  <c r="V55" i="56"/>
  <c r="M55" i="56"/>
  <c r="I56" i="56" s="1"/>
  <c r="AF50" i="56" a="1"/>
  <c r="AF50" i="56" s="1"/>
  <c r="AI50" i="56" s="1"/>
  <c r="AK50" i="56"/>
  <c r="AS50" i="56"/>
  <c r="AJ50" i="56"/>
  <c r="U10" i="21"/>
  <c r="AB3" i="31" s="1"/>
  <c r="V42" i="21"/>
  <c r="V44" i="21" s="1"/>
  <c r="V46" i="21" s="1"/>
  <c r="V45" i="21" s="1"/>
  <c r="AG52" i="56"/>
  <c r="Y52" i="56"/>
  <c r="AN49" i="56"/>
  <c r="AB51" i="56"/>
  <c r="BO49" i="56"/>
  <c r="BM51" i="56"/>
  <c r="X52" i="56"/>
  <c r="S53" i="56" s="1"/>
  <c r="AD51" i="56" l="1"/>
  <c r="AT49" i="56"/>
  <c r="O55" i="56" a="1"/>
  <c r="O55" i="56" s="1"/>
  <c r="P55" i="56" s="1"/>
  <c r="Q55" i="56" s="1"/>
  <c r="Z52" i="56"/>
  <c r="BL52" i="56"/>
  <c r="CA49" i="56"/>
  <c r="K56" i="56" a="1"/>
  <c r="K56" i="56" s="1"/>
  <c r="L56" i="56" s="1"/>
  <c r="U53" i="56" a="1"/>
  <c r="U53" i="56" s="1"/>
  <c r="W53" i="56" s="1"/>
  <c r="AH51" i="56"/>
  <c r="V10" i="21"/>
  <c r="W42" i="21"/>
  <c r="W44" i="21" s="1"/>
  <c r="W46" i="21" s="1"/>
  <c r="W45" i="21" s="1"/>
  <c r="AL50" i="56"/>
  <c r="AM50" i="56" s="1"/>
  <c r="BN50" i="56"/>
  <c r="BZ51" i="56"/>
  <c r="X53" i="56" l="1"/>
  <c r="S54" i="56" s="1"/>
  <c r="U54" i="56" s="1" a="1"/>
  <c r="U54" i="56" s="1"/>
  <c r="W54" i="56" s="1"/>
  <c r="V56" i="56"/>
  <c r="N56" i="56"/>
  <c r="BO50" i="56"/>
  <c r="CA50" i="56" s="1"/>
  <c r="M56" i="56"/>
  <c r="I57" i="56" s="1"/>
  <c r="AW49" i="56"/>
  <c r="AU49" i="56"/>
  <c r="AP50" i="56" s="1"/>
  <c r="AV49" i="56"/>
  <c r="BM52" i="56"/>
  <c r="BZ52" i="56" s="1"/>
  <c r="W10" i="21"/>
  <c r="X42" i="21"/>
  <c r="X44" i="21" s="1"/>
  <c r="X46" i="21" s="1"/>
  <c r="X45" i="21" s="1"/>
  <c r="AN50" i="56"/>
  <c r="AK51" i="56"/>
  <c r="AS51" i="56"/>
  <c r="AJ51" i="56"/>
  <c r="AG53" i="56"/>
  <c r="Y53" i="56"/>
  <c r="AA52" i="56"/>
  <c r="AF51" i="56" a="1"/>
  <c r="AF51" i="56" s="1"/>
  <c r="AI51" i="56" s="1"/>
  <c r="Y54" i="56" l="1"/>
  <c r="AG54" i="56"/>
  <c r="AD52" i="56"/>
  <c r="X54" i="56"/>
  <c r="S55" i="56" s="1"/>
  <c r="AR50" i="56" a="1"/>
  <c r="AR50" i="56" s="1"/>
  <c r="AT50" i="56" s="1"/>
  <c r="K57" i="56" a="1"/>
  <c r="K57" i="56" s="1"/>
  <c r="BP49" i="56"/>
  <c r="AX49" i="56"/>
  <c r="AY49" i="56" s="1"/>
  <c r="O56" i="56" a="1"/>
  <c r="O56" i="56" s="1"/>
  <c r="P56" i="56" s="1"/>
  <c r="Q56" i="56" s="1"/>
  <c r="BL53" i="56"/>
  <c r="Z53" i="56"/>
  <c r="BM53" i="56" s="1"/>
  <c r="AB52" i="56"/>
  <c r="AL51" i="56"/>
  <c r="AM51" i="56" s="1"/>
  <c r="BN51" i="56"/>
  <c r="X10" i="21"/>
  <c r="Y42" i="21"/>
  <c r="Y44" i="21" s="1"/>
  <c r="Y46" i="21" s="1"/>
  <c r="Y45" i="21" s="1"/>
  <c r="BZ53" i="56" l="1"/>
  <c r="AW50" i="56"/>
  <c r="AV50" i="56"/>
  <c r="AZ49" i="56"/>
  <c r="AN51" i="56"/>
  <c r="AU50" i="56"/>
  <c r="AP51" i="56" s="1"/>
  <c r="Y10" i="21"/>
  <c r="Z42" i="21"/>
  <c r="Z44" i="21" s="1"/>
  <c r="Z46" i="21" s="1"/>
  <c r="Z45" i="21" s="1"/>
  <c r="AA53" i="56"/>
  <c r="AB53" i="56" s="1"/>
  <c r="AH53" i="56" s="1"/>
  <c r="L57" i="56"/>
  <c r="U55" i="56" a="1"/>
  <c r="U55" i="56" s="1"/>
  <c r="W55" i="56" s="1"/>
  <c r="AF52" i="56" a="1"/>
  <c r="AF52" i="56" s="1"/>
  <c r="BO51" i="56"/>
  <c r="CA51" i="56" s="1"/>
  <c r="AH52" i="56"/>
  <c r="BQ49" i="56"/>
  <c r="Z54" i="56"/>
  <c r="BM54" i="56" s="1"/>
  <c r="BL54" i="56"/>
  <c r="AG55" i="56" l="1"/>
  <c r="Y55" i="56"/>
  <c r="X55" i="56"/>
  <c r="S56" i="56" s="1"/>
  <c r="AA54" i="56"/>
  <c r="AB54" i="56" s="1"/>
  <c r="AH54" i="56" s="1"/>
  <c r="AA42" i="21"/>
  <c r="AA44" i="21" s="1"/>
  <c r="AA46" i="21" s="1"/>
  <c r="AA45" i="21" s="1"/>
  <c r="Z10" i="21"/>
  <c r="AC3" i="31" s="1"/>
  <c r="BZ54" i="56"/>
  <c r="AS52" i="56"/>
  <c r="AK52" i="56"/>
  <c r="AJ52" i="56"/>
  <c r="BC49" i="56"/>
  <c r="AI52" i="56"/>
  <c r="N57" i="56"/>
  <c r="V57" i="56"/>
  <c r="AX50" i="56"/>
  <c r="AY50" i="56" s="1"/>
  <c r="BP50" i="56"/>
  <c r="AJ53" i="56"/>
  <c r="AK53" i="56"/>
  <c r="AS53" i="56"/>
  <c r="CB49" i="56"/>
  <c r="AR51" i="56" a="1"/>
  <c r="AR51" i="56" s="1"/>
  <c r="M57" i="56"/>
  <c r="I58" i="56" s="1"/>
  <c r="O57" i="56" l="1" a="1"/>
  <c r="O57" i="56" s="1"/>
  <c r="P57" i="56" s="1"/>
  <c r="Q57" i="56" s="1"/>
  <c r="AL53" i="56"/>
  <c r="BO53" i="56" s="1"/>
  <c r="BN53" i="56"/>
  <c r="AT51" i="56"/>
  <c r="AZ50" i="56"/>
  <c r="AS54" i="56"/>
  <c r="AJ54" i="56"/>
  <c r="AK54" i="56"/>
  <c r="K58" i="56" a="1"/>
  <c r="K58" i="56" s="1"/>
  <c r="L58" i="56" s="1"/>
  <c r="BF49" i="56"/>
  <c r="U56" i="56" a="1"/>
  <c r="U56" i="56" s="1"/>
  <c r="BB49" i="56"/>
  <c r="BN52" i="56"/>
  <c r="AL52" i="56"/>
  <c r="BL55" i="56"/>
  <c r="Z55" i="56"/>
  <c r="BM55" i="56" s="1"/>
  <c r="BQ50" i="56"/>
  <c r="CB50" i="56" s="1"/>
  <c r="AD53" i="56"/>
  <c r="AA10" i="21"/>
  <c r="AD3" i="31" s="1"/>
  <c r="AB42" i="21"/>
  <c r="AB44" i="21" s="1"/>
  <c r="AB46" i="21" s="1"/>
  <c r="AB45" i="21" s="1"/>
  <c r="AM53" i="56" l="1"/>
  <c r="AN53" i="56" s="1"/>
  <c r="CA53" i="56"/>
  <c r="W56" i="56"/>
  <c r="X56" i="56" s="1"/>
  <c r="S57" i="56" s="1"/>
  <c r="V58" i="56"/>
  <c r="N58" i="56"/>
  <c r="M58" i="56"/>
  <c r="I59" i="56" s="1"/>
  <c r="AF53" i="56" a="1"/>
  <c r="AF53" i="56" s="1"/>
  <c r="AI53" i="56" s="1"/>
  <c r="AD54" i="56" s="1"/>
  <c r="AB10" i="21"/>
  <c r="AC42" i="21"/>
  <c r="AC44" i="21" s="1"/>
  <c r="AC46" i="21" s="1"/>
  <c r="AC45" i="21" s="1"/>
  <c r="BO52" i="56"/>
  <c r="CA52" i="56" s="1"/>
  <c r="BE49" i="56"/>
  <c r="BC50" i="56"/>
  <c r="BB50" i="56" s="1"/>
  <c r="BE50" i="56" s="1"/>
  <c r="BN54" i="56"/>
  <c r="AL54" i="56"/>
  <c r="BO54" i="56" s="1"/>
  <c r="AV51" i="56"/>
  <c r="AW51" i="56"/>
  <c r="AU51" i="56"/>
  <c r="AP52" i="56" s="1"/>
  <c r="AA55" i="56"/>
  <c r="AB55" i="56" s="1"/>
  <c r="AH55" i="56" s="1"/>
  <c r="BZ55" i="56"/>
  <c r="AM52" i="56"/>
  <c r="Y56" i="56" l="1"/>
  <c r="Z56" i="56" s="1"/>
  <c r="BM56" i="56" s="1"/>
  <c r="AG56" i="56"/>
  <c r="AM54" i="56"/>
  <c r="AN54" i="56" s="1"/>
  <c r="U57" i="56" a="1"/>
  <c r="U57" i="56" s="1"/>
  <c r="W57" i="56" s="1"/>
  <c r="X57" i="56" s="1"/>
  <c r="S58" i="56" s="1"/>
  <c r="U58" i="56" s="1" a="1"/>
  <c r="U58" i="56" s="1"/>
  <c r="BG49" i="56"/>
  <c r="O58" i="56" a="1"/>
  <c r="O58" i="56" s="1"/>
  <c r="P58" i="56" s="1"/>
  <c r="Q58" i="56" s="1"/>
  <c r="AN52" i="56"/>
  <c r="AJ55" i="56"/>
  <c r="AK55" i="56"/>
  <c r="AS55" i="56"/>
  <c r="AR52" i="56" a="1"/>
  <c r="AR52" i="56" s="1"/>
  <c r="AX51" i="56"/>
  <c r="BP51" i="56"/>
  <c r="CA54" i="56"/>
  <c r="BF50" i="56"/>
  <c r="BG50" i="56" s="1"/>
  <c r="AF54" i="56" a="1"/>
  <c r="AF54" i="56" s="1"/>
  <c r="AI54" i="56" s="1"/>
  <c r="AD55" i="56" s="1"/>
  <c r="AC10" i="21"/>
  <c r="AD42" i="21"/>
  <c r="AD44" i="21" s="1"/>
  <c r="AD46" i="21" s="1"/>
  <c r="AD45" i="21" s="1"/>
  <c r="K59" i="56" a="1"/>
  <c r="K59" i="56" s="1"/>
  <c r="L59" i="56" s="1"/>
  <c r="AT52" i="56" l="1"/>
  <c r="AV52" i="56" s="1"/>
  <c r="BL56" i="56"/>
  <c r="BZ56" i="56" s="1"/>
  <c r="W58" i="56"/>
  <c r="Y58" i="56" s="1"/>
  <c r="AA56" i="56"/>
  <c r="AB56" i="56" s="1"/>
  <c r="AH56" i="56" s="1"/>
  <c r="AS56" i="56" s="1"/>
  <c r="AG57" i="56"/>
  <c r="M59" i="56"/>
  <c r="I60" i="56" s="1"/>
  <c r="K60" i="56" s="1" a="1"/>
  <c r="K60" i="56" s="1"/>
  <c r="Y57" i="56"/>
  <c r="BL57" i="56" s="1"/>
  <c r="V59" i="56"/>
  <c r="N59" i="56"/>
  <c r="BQ51" i="56"/>
  <c r="CB51" i="56" s="1"/>
  <c r="AY51" i="56"/>
  <c r="AL55" i="56"/>
  <c r="BO55" i="56" s="1"/>
  <c r="BN55" i="56"/>
  <c r="AD10" i="21"/>
  <c r="AE42" i="21"/>
  <c r="AE44" i="21" s="1"/>
  <c r="AE46" i="21" s="1"/>
  <c r="AE45" i="21" s="1"/>
  <c r="AF55" i="56" a="1"/>
  <c r="AF55" i="56" s="1"/>
  <c r="AI55" i="56" s="1"/>
  <c r="AD56" i="56" s="1"/>
  <c r="AW52" i="56" l="1"/>
  <c r="BP52" i="56" s="1"/>
  <c r="AU52" i="56"/>
  <c r="AP53" i="56" s="1"/>
  <c r="AR53" i="56" s="1" a="1"/>
  <c r="AR53" i="56" s="1"/>
  <c r="AG58" i="56"/>
  <c r="AK56" i="56"/>
  <c r="BN56" i="56" s="1"/>
  <c r="AJ56" i="56"/>
  <c r="Z57" i="56"/>
  <c r="BM57" i="56" s="1"/>
  <c r="BZ57" i="56" s="1"/>
  <c r="X58" i="56"/>
  <c r="S59" i="56" s="1"/>
  <c r="U59" i="56" s="1" a="1"/>
  <c r="U59" i="56" s="1"/>
  <c r="AF56" i="56" a="1"/>
  <c r="AF56" i="56" s="1"/>
  <c r="AI56" i="56" s="1"/>
  <c r="AD57" i="56" s="1"/>
  <c r="AE10" i="21"/>
  <c r="AF42" i="21"/>
  <c r="AF44" i="21" s="1"/>
  <c r="AF46" i="21" s="1"/>
  <c r="AF45" i="21" s="1"/>
  <c r="Z58" i="56"/>
  <c r="BM58" i="56" s="1"/>
  <c r="BL58" i="56"/>
  <c r="AM55" i="56"/>
  <c r="AN55" i="56" s="1"/>
  <c r="L60" i="56"/>
  <c r="M60" i="56" s="1"/>
  <c r="I61" i="56" s="1"/>
  <c r="CA55" i="56"/>
  <c r="AZ51" i="56"/>
  <c r="O59" i="56" a="1"/>
  <c r="O59" i="56" s="1"/>
  <c r="P59" i="56" s="1"/>
  <c r="Q59" i="56" s="1"/>
  <c r="AX52" i="56" l="1"/>
  <c r="AY52" i="56" s="1"/>
  <c r="AZ52" i="56" s="1"/>
  <c r="BC52" i="56" s="1"/>
  <c r="BB52" i="56" s="1"/>
  <c r="BE52" i="56" s="1"/>
  <c r="AL56" i="56"/>
  <c r="BO56" i="56" s="1"/>
  <c r="CA56" i="56" s="1"/>
  <c r="AA57" i="56"/>
  <c r="AB57" i="56" s="1"/>
  <c r="AH57" i="56" s="1"/>
  <c r="AJ57" i="56" s="1"/>
  <c r="BZ58" i="56"/>
  <c r="AA58" i="56"/>
  <c r="AB58" i="56" s="1"/>
  <c r="AH58" i="56" s="1"/>
  <c r="AJ58" i="56" s="1"/>
  <c r="AT53" i="56"/>
  <c r="AV53" i="56" s="1"/>
  <c r="W59" i="56"/>
  <c r="Y59" i="56" s="1"/>
  <c r="AF57" i="56" a="1"/>
  <c r="AF57" i="56" s="1"/>
  <c r="N60" i="56"/>
  <c r="V60" i="56"/>
  <c r="BC51" i="56"/>
  <c r="AF10" i="21"/>
  <c r="AG42" i="21"/>
  <c r="AG44" i="21" s="1"/>
  <c r="AG46" i="21" s="1"/>
  <c r="AG45" i="21" s="1"/>
  <c r="K61" i="56" a="1"/>
  <c r="K61" i="56" s="1"/>
  <c r="L61" i="56" s="1"/>
  <c r="BQ52" i="56" l="1"/>
  <c r="CB52" i="56" s="1"/>
  <c r="AM56" i="56"/>
  <c r="AN56" i="56" s="1"/>
  <c r="AS57" i="56"/>
  <c r="AK57" i="56"/>
  <c r="BN57" i="56" s="1"/>
  <c r="AW53" i="56"/>
  <c r="AX53" i="56" s="1"/>
  <c r="AY53" i="56" s="1"/>
  <c r="AI57" i="56"/>
  <c r="AD58" i="56" s="1"/>
  <c r="AF58" i="56" s="1" a="1"/>
  <c r="AF58" i="56" s="1"/>
  <c r="AI58" i="56" s="1"/>
  <c r="AD59" i="56" s="1"/>
  <c r="X59" i="56"/>
  <c r="S60" i="56" s="1"/>
  <c r="U60" i="56" s="1" a="1"/>
  <c r="U60" i="56" s="1"/>
  <c r="AU53" i="56"/>
  <c r="AP54" i="56" s="1"/>
  <c r="AR54" i="56" s="1" a="1"/>
  <c r="AR54" i="56" s="1"/>
  <c r="BF52" i="56"/>
  <c r="BG52" i="56" s="1"/>
  <c r="AG59" i="56"/>
  <c r="AK58" i="56"/>
  <c r="AS58" i="56"/>
  <c r="V61" i="56"/>
  <c r="N61" i="56"/>
  <c r="M61" i="56"/>
  <c r="I62" i="56" s="1"/>
  <c r="AG10" i="21"/>
  <c r="AH42" i="21"/>
  <c r="AH44" i="21" s="1"/>
  <c r="AH46" i="21" s="1"/>
  <c r="AH45" i="21" s="1"/>
  <c r="BF51" i="56"/>
  <c r="BB51" i="56"/>
  <c r="Z59" i="56"/>
  <c r="BM59" i="56" s="1"/>
  <c r="BL59" i="56"/>
  <c r="O60" i="56" a="1"/>
  <c r="O60" i="56" s="1"/>
  <c r="BP53" i="56" l="1"/>
  <c r="AL57" i="56"/>
  <c r="BO57" i="56" s="1"/>
  <c r="CA57" i="56" s="1"/>
  <c r="AT54" i="56"/>
  <c r="AU54" i="56" s="1"/>
  <c r="AP55" i="56" s="1"/>
  <c r="AR55" i="56" s="1" a="1"/>
  <c r="AR55" i="56" s="1"/>
  <c r="AT55" i="56" s="1"/>
  <c r="AL58" i="56"/>
  <c r="BN58" i="56"/>
  <c r="AF59" i="56" a="1"/>
  <c r="AF59" i="56" s="1"/>
  <c r="AA59" i="56"/>
  <c r="AB59" i="56" s="1"/>
  <c r="AH59" i="56" s="1"/>
  <c r="P60" i="56"/>
  <c r="K62" i="56" a="1"/>
  <c r="K62" i="56" s="1"/>
  <c r="L62" i="56" s="1"/>
  <c r="BQ53" i="56"/>
  <c r="BZ59" i="56"/>
  <c r="BE51" i="56"/>
  <c r="AZ53" i="56"/>
  <c r="AI42" i="21"/>
  <c r="AI44" i="21" s="1"/>
  <c r="AI46" i="21" s="1"/>
  <c r="AI45" i="21" s="1"/>
  <c r="AH10" i="21"/>
  <c r="O61" i="56" a="1"/>
  <c r="O61" i="56" s="1"/>
  <c r="P61" i="56" s="1"/>
  <c r="Q61" i="56" s="1"/>
  <c r="CB53" i="56" l="1"/>
  <c r="AM57" i="56"/>
  <c r="AN57" i="56" s="1"/>
  <c r="AW54" i="56"/>
  <c r="AV54" i="56"/>
  <c r="BO58" i="56"/>
  <c r="CA58" i="56" s="1"/>
  <c r="AM58" i="56"/>
  <c r="AN58" i="56" s="1"/>
  <c r="AV55" i="56"/>
  <c r="AW55" i="56"/>
  <c r="BP55" i="56" s="1"/>
  <c r="AI59" i="56"/>
  <c r="AD60" i="56" s="1"/>
  <c r="AF60" i="56" s="1" a="1"/>
  <c r="AF60" i="56" s="1"/>
  <c r="AU55" i="56"/>
  <c r="AP56" i="56" s="1"/>
  <c r="AR56" i="56" s="1" a="1"/>
  <c r="AR56" i="56" s="1"/>
  <c r="AT56" i="56" s="1"/>
  <c r="AV56" i="56" s="1"/>
  <c r="BC53" i="56"/>
  <c r="BB53" i="56" s="1"/>
  <c r="BG51" i="56"/>
  <c r="N62" i="56"/>
  <c r="V62" i="56"/>
  <c r="AI10" i="21"/>
  <c r="AJ42" i="21"/>
  <c r="AJ44" i="21" s="1"/>
  <c r="AJ46" i="21" s="1"/>
  <c r="AJ45" i="21" s="1"/>
  <c r="AJ10" i="21" s="1"/>
  <c r="M62" i="56"/>
  <c r="I63" i="56" s="1"/>
  <c r="Q60" i="56"/>
  <c r="AS59" i="56"/>
  <c r="AJ59" i="56"/>
  <c r="AK59" i="56"/>
  <c r="AX55" i="56" l="1"/>
  <c r="AY55" i="56" s="1"/>
  <c r="AZ55" i="56" s="1"/>
  <c r="BC55" i="56" s="1"/>
  <c r="BB55" i="56" s="1"/>
  <c r="BP54" i="56"/>
  <c r="AX54" i="56"/>
  <c r="AU56" i="56"/>
  <c r="AP57" i="56" s="1"/>
  <c r="AR57" i="56" s="1" a="1"/>
  <c r="AR57" i="56" s="1"/>
  <c r="AW56" i="56"/>
  <c r="AX56" i="56" s="1"/>
  <c r="AY56" i="56" s="1"/>
  <c r="AZ56" i="56" s="1"/>
  <c r="BE53" i="56"/>
  <c r="BN59" i="56"/>
  <c r="AL59" i="56"/>
  <c r="BO59" i="56" s="1"/>
  <c r="W60" i="56"/>
  <c r="BF53" i="56"/>
  <c r="K63" i="56" a="1"/>
  <c r="K63" i="56" s="1"/>
  <c r="L63" i="56" s="1"/>
  <c r="O62" i="56" a="1"/>
  <c r="O62" i="56" s="1"/>
  <c r="P62" i="56" s="1"/>
  <c r="BQ55" i="56" l="1"/>
  <c r="CB55" i="56" s="1"/>
  <c r="BF55" i="56"/>
  <c r="AY54" i="56"/>
  <c r="AZ54" i="56" s="1"/>
  <c r="BQ54" i="56"/>
  <c r="CB54" i="56" s="1"/>
  <c r="CA59" i="56"/>
  <c r="BP56" i="56"/>
  <c r="AM59" i="56"/>
  <c r="AN59" i="56" s="1"/>
  <c r="AT57" i="56"/>
  <c r="AU57" i="56" s="1"/>
  <c r="AP58" i="56" s="1"/>
  <c r="AR58" i="56" s="1" a="1"/>
  <c r="AR58" i="56" s="1"/>
  <c r="AT58" i="56" s="1"/>
  <c r="Q62" i="56"/>
  <c r="V63" i="56"/>
  <c r="N63" i="56"/>
  <c r="BE55" i="56"/>
  <c r="BQ56" i="56"/>
  <c r="Y60" i="56"/>
  <c r="AG60" i="56"/>
  <c r="X60" i="56"/>
  <c r="S61" i="56" s="1"/>
  <c r="BG53" i="56"/>
  <c r="BC56" i="56"/>
  <c r="BF56" i="56" s="1"/>
  <c r="M63" i="56"/>
  <c r="I64" i="56" s="1"/>
  <c r="BG55" i="56" l="1"/>
  <c r="CB56" i="56"/>
  <c r="BC54" i="56"/>
  <c r="BF54" i="56" s="1"/>
  <c r="BB56" i="56"/>
  <c r="BE56" i="56" s="1"/>
  <c r="BG56" i="56" s="1"/>
  <c r="AV57" i="56"/>
  <c r="AW57" i="56"/>
  <c r="AX57" i="56" s="1"/>
  <c r="AY57" i="56" s="1"/>
  <c r="AZ57" i="56" s="1"/>
  <c r="AW58" i="56"/>
  <c r="AV58" i="56"/>
  <c r="U61" i="56" a="1"/>
  <c r="U61" i="56" s="1"/>
  <c r="W61" i="56" s="1"/>
  <c r="K64" i="56" a="1"/>
  <c r="K64" i="56" s="1"/>
  <c r="L64" i="56" s="1"/>
  <c r="AU58" i="56"/>
  <c r="AP59" i="56" s="1"/>
  <c r="BL60" i="56"/>
  <c r="Z60" i="56"/>
  <c r="O63" i="56" a="1"/>
  <c r="O63" i="56" s="1"/>
  <c r="P63" i="56" s="1"/>
  <c r="BB54" i="56" l="1"/>
  <c r="BE54" i="56" s="1"/>
  <c r="BG54" i="56" s="1"/>
  <c r="BP57" i="56"/>
  <c r="X61" i="56"/>
  <c r="S62" i="56" s="1"/>
  <c r="Q63" i="56"/>
  <c r="N64" i="56"/>
  <c r="V64" i="56"/>
  <c r="M64" i="56"/>
  <c r="I65" i="56" s="1"/>
  <c r="BC57" i="56"/>
  <c r="BB57" i="56" s="1"/>
  <c r="BE57" i="56" s="1"/>
  <c r="BM60" i="56"/>
  <c r="BZ60" i="56" s="1"/>
  <c r="AA60" i="56"/>
  <c r="Y61" i="56"/>
  <c r="AG61" i="56"/>
  <c r="AX58" i="56"/>
  <c r="AY58" i="56" s="1"/>
  <c r="AZ58" i="56" s="1"/>
  <c r="BP58" i="56"/>
  <c r="AR59" i="56" a="1"/>
  <c r="AR59" i="56" s="1"/>
  <c r="AT59" i="56" s="1"/>
  <c r="BQ57" i="56"/>
  <c r="CB57" i="56" l="1"/>
  <c r="BF57" i="56"/>
  <c r="BG57" i="56" s="1"/>
  <c r="U62" i="56" a="1"/>
  <c r="U62" i="56" s="1"/>
  <c r="W62" i="56" s="1"/>
  <c r="AV59" i="56"/>
  <c r="AW59" i="56"/>
  <c r="BQ58" i="56"/>
  <c r="CB58" i="56" s="1"/>
  <c r="AU59" i="56"/>
  <c r="AP60" i="56" s="1"/>
  <c r="BC58" i="56"/>
  <c r="BF58" i="56" s="1"/>
  <c r="Z61" i="56"/>
  <c r="BL61" i="56"/>
  <c r="O64" i="56" a="1"/>
  <c r="O64" i="56" s="1"/>
  <c r="P64" i="56" s="1"/>
  <c r="AB60" i="56"/>
  <c r="K65" i="56" a="1"/>
  <c r="K65" i="56" s="1"/>
  <c r="L65" i="56" s="1"/>
  <c r="BB58" i="56" l="1"/>
  <c r="BE58" i="56" s="1"/>
  <c r="BG58" i="56" s="1"/>
  <c r="Y62" i="56"/>
  <c r="Z62" i="56" s="1"/>
  <c r="BM62" i="56" s="1"/>
  <c r="AG62" i="56"/>
  <c r="M65" i="56"/>
  <c r="I66" i="56" s="1"/>
  <c r="X62" i="56"/>
  <c r="S63" i="56" s="1"/>
  <c r="U63" i="56" s="1" a="1"/>
  <c r="U63" i="56" s="1"/>
  <c r="W63" i="56" s="1"/>
  <c r="Q64" i="56"/>
  <c r="V65" i="56"/>
  <c r="N65" i="56"/>
  <c r="AH60" i="56"/>
  <c r="BM61" i="56"/>
  <c r="BZ61" i="56" s="1"/>
  <c r="AA61" i="56"/>
  <c r="BP59" i="56"/>
  <c r="AX59" i="56"/>
  <c r="AY59" i="56" s="1"/>
  <c r="AZ59" i="56" s="1"/>
  <c r="AR60" i="56" a="1"/>
  <c r="AR60" i="56" s="1"/>
  <c r="BL62" i="56" l="1"/>
  <c r="BZ62" i="56" s="1"/>
  <c r="AA62" i="56"/>
  <c r="AB62" i="56" s="1"/>
  <c r="AH62" i="56" s="1"/>
  <c r="AJ62" i="56" s="1"/>
  <c r="K66" i="56" a="1"/>
  <c r="K66" i="56" s="1"/>
  <c r="L66" i="56" s="1"/>
  <c r="BQ59" i="56"/>
  <c r="CB59" i="56" s="1"/>
  <c r="AS60" i="56"/>
  <c r="AJ60" i="56"/>
  <c r="AI60" i="56"/>
  <c r="AD61" i="56" s="1"/>
  <c r="AK60" i="56"/>
  <c r="Y63" i="56"/>
  <c r="AG63" i="56"/>
  <c r="X63" i="56"/>
  <c r="S64" i="56" s="1"/>
  <c r="O65" i="56" a="1"/>
  <c r="O65" i="56" s="1"/>
  <c r="P65" i="56" s="1"/>
  <c r="AB61" i="56"/>
  <c r="BC59" i="56"/>
  <c r="BF59" i="56" s="1"/>
  <c r="AS62" i="56" l="1"/>
  <c r="AK62" i="56"/>
  <c r="N66" i="56"/>
  <c r="O66" i="56" s="1" a="1"/>
  <c r="O66" i="56" s="1"/>
  <c r="P66" i="56" s="1"/>
  <c r="Q66" i="56" s="1"/>
  <c r="V66" i="56"/>
  <c r="M66" i="56"/>
  <c r="I67" i="56" s="1"/>
  <c r="K67" i="56" s="1" a="1"/>
  <c r="K67" i="56" s="1"/>
  <c r="BB59" i="56"/>
  <c r="BE59" i="56" s="1"/>
  <c r="BG59" i="56" s="1"/>
  <c r="AH61" i="56"/>
  <c r="AF61" i="56" a="1"/>
  <c r="AF61" i="56" s="1"/>
  <c r="Z63" i="56"/>
  <c r="AA63" i="56" s="1"/>
  <c r="BL63" i="56"/>
  <c r="U64" i="56" a="1"/>
  <c r="U64" i="56" s="1"/>
  <c r="W64" i="56" s="1"/>
  <c r="Q65" i="56"/>
  <c r="AL60" i="56"/>
  <c r="BN60" i="56"/>
  <c r="AL62" i="56" l="1"/>
  <c r="BN62" i="56"/>
  <c r="AI61" i="56"/>
  <c r="AD62" i="56" s="1"/>
  <c r="AF62" i="56" s="1" a="1"/>
  <c r="AF62" i="56" s="1"/>
  <c r="L67" i="56"/>
  <c r="M67" i="56" s="1"/>
  <c r="I68" i="56" s="1"/>
  <c r="K68" i="56" s="1" a="1"/>
  <c r="K68" i="56" s="1"/>
  <c r="L68" i="56" s="1"/>
  <c r="AB63" i="56"/>
  <c r="Y64" i="56"/>
  <c r="AG64" i="56"/>
  <c r="X64" i="56"/>
  <c r="S65" i="56" s="1"/>
  <c r="BO60" i="56"/>
  <c r="AM60" i="56"/>
  <c r="AJ61" i="56"/>
  <c r="AK61" i="56"/>
  <c r="AS61" i="56"/>
  <c r="BM63" i="56"/>
  <c r="BZ63" i="56" s="1"/>
  <c r="BO62" i="56" l="1"/>
  <c r="CA62" i="56" s="1"/>
  <c r="AM62" i="56"/>
  <c r="AN62" i="56" s="1"/>
  <c r="N67" i="56"/>
  <c r="O67" i="56" s="1" a="1"/>
  <c r="O67" i="56" s="1"/>
  <c r="P67" i="56" s="1"/>
  <c r="Q67" i="56" s="1"/>
  <c r="V67" i="56"/>
  <c r="N68" i="56"/>
  <c r="V68" i="56"/>
  <c r="M68" i="56"/>
  <c r="I69" i="56" s="1"/>
  <c r="BN61" i="56"/>
  <c r="AL61" i="56"/>
  <c r="AM61" i="56" s="1"/>
  <c r="AI62" i="56"/>
  <c r="AD63" i="56" s="1"/>
  <c r="AN60" i="56"/>
  <c r="CA60" i="56"/>
  <c r="BL64" i="56"/>
  <c r="Z64" i="56"/>
  <c r="AA64" i="56" s="1"/>
  <c r="U65" i="56" a="1"/>
  <c r="U65" i="56" s="1"/>
  <c r="AH63" i="56"/>
  <c r="AN61" i="56" l="1"/>
  <c r="AB64" i="56"/>
  <c r="K69" i="56" a="1"/>
  <c r="K69" i="56" s="1"/>
  <c r="AT60" i="56"/>
  <c r="W65" i="56"/>
  <c r="X65" i="56" s="1"/>
  <c r="S66" i="56" s="1"/>
  <c r="AS63" i="56"/>
  <c r="AJ63" i="56"/>
  <c r="AK63" i="56"/>
  <c r="BM64" i="56"/>
  <c r="BZ64" i="56" s="1"/>
  <c r="AF63" i="56" a="1"/>
  <c r="AF63" i="56" s="1"/>
  <c r="AI63" i="56" s="1"/>
  <c r="AD64" i="56" s="1"/>
  <c r="BO61" i="56"/>
  <c r="CA61" i="56" s="1"/>
  <c r="O68" i="56" a="1"/>
  <c r="O68" i="56" s="1"/>
  <c r="P68" i="56" s="1"/>
  <c r="Q68" i="56" s="1"/>
  <c r="AG65" i="56" l="1"/>
  <c r="Y65" i="56"/>
  <c r="L69" i="56"/>
  <c r="AH64" i="56"/>
  <c r="BN63" i="56"/>
  <c r="AL63" i="56"/>
  <c r="AM63" i="56" s="1"/>
  <c r="AU60" i="56"/>
  <c r="AP61" i="56" s="1"/>
  <c r="AV60" i="56"/>
  <c r="AW60" i="56"/>
  <c r="AF64" i="56" a="1"/>
  <c r="AF64" i="56" s="1"/>
  <c r="U66" i="56" a="1"/>
  <c r="U66" i="56" s="1"/>
  <c r="W66" i="56" s="1"/>
  <c r="AI64" i="56" l="1"/>
  <c r="AD65" i="56" s="1"/>
  <c r="AF65" i="56" s="1" a="1"/>
  <c r="AF65" i="56" s="1"/>
  <c r="AG66" i="56"/>
  <c r="Y66" i="56"/>
  <c r="X66" i="56"/>
  <c r="S67" i="56" s="1"/>
  <c r="AN63" i="56"/>
  <c r="Z65" i="56"/>
  <c r="AA65" i="56" s="1"/>
  <c r="BL65" i="56"/>
  <c r="AR61" i="56" a="1"/>
  <c r="AR61" i="56" s="1"/>
  <c r="AT61" i="56" s="1"/>
  <c r="AK64" i="56"/>
  <c r="AS64" i="56"/>
  <c r="AJ64" i="56"/>
  <c r="BO63" i="56"/>
  <c r="CA63" i="56" s="1"/>
  <c r="V69" i="56"/>
  <c r="N69" i="56"/>
  <c r="AX60" i="56"/>
  <c r="AY60" i="56" s="1"/>
  <c r="BP60" i="56"/>
  <c r="M69" i="56"/>
  <c r="I70" i="56" s="1"/>
  <c r="AB65" i="56" l="1"/>
  <c r="AV61" i="56"/>
  <c r="AW61" i="56"/>
  <c r="AU61" i="56"/>
  <c r="AP62" i="56" s="1"/>
  <c r="AZ60" i="56"/>
  <c r="U67" i="56" a="1"/>
  <c r="U67" i="56" s="1"/>
  <c r="BQ60" i="56"/>
  <c r="CB60" i="56" s="1"/>
  <c r="K70" i="56" a="1"/>
  <c r="K70" i="56" s="1"/>
  <c r="O69" i="56" a="1"/>
  <c r="O69" i="56" s="1"/>
  <c r="P69" i="56" s="1"/>
  <c r="Q69" i="56" s="1"/>
  <c r="BL66" i="56"/>
  <c r="Z66" i="56"/>
  <c r="BM66" i="56" s="1"/>
  <c r="AL64" i="56"/>
  <c r="AM64" i="56" s="1"/>
  <c r="BN64" i="56"/>
  <c r="BM65" i="56"/>
  <c r="BZ65" i="56" s="1"/>
  <c r="BO64" i="56" l="1"/>
  <c r="CA64" i="56" s="1"/>
  <c r="AA66" i="56"/>
  <c r="AB66" i="56" s="1"/>
  <c r="L70" i="56"/>
  <c r="W67" i="56"/>
  <c r="BC60" i="56"/>
  <c r="BB60" i="56" s="1"/>
  <c r="AR62" i="56" a="1"/>
  <c r="AR62" i="56" s="1"/>
  <c r="AH65" i="56"/>
  <c r="AN64" i="56"/>
  <c r="BZ66" i="56"/>
  <c r="BP61" i="56"/>
  <c r="AX61" i="56"/>
  <c r="AY61" i="56" s="1"/>
  <c r="AT62" i="56" l="1"/>
  <c r="AU62" i="56" s="1"/>
  <c r="AP63" i="56" s="1"/>
  <c r="BE60" i="56"/>
  <c r="N70" i="56"/>
  <c r="V70" i="56"/>
  <c r="AZ61" i="56"/>
  <c r="BQ61" i="56"/>
  <c r="CB61" i="56" s="1"/>
  <c r="AS65" i="56"/>
  <c r="AK65" i="56"/>
  <c r="AJ65" i="56"/>
  <c r="AI65" i="56"/>
  <c r="AD66" i="56" s="1"/>
  <c r="BF60" i="56"/>
  <c r="Y67" i="56"/>
  <c r="AG67" i="56"/>
  <c r="M70" i="56"/>
  <c r="I71" i="56" s="1"/>
  <c r="X67" i="56"/>
  <c r="S68" i="56" s="1"/>
  <c r="U68" i="56" l="1" a="1"/>
  <c r="U68" i="56" s="1"/>
  <c r="AF66" i="56" a="1"/>
  <c r="AF66" i="56" s="1"/>
  <c r="O70" i="56" a="1"/>
  <c r="O70" i="56" s="1"/>
  <c r="P70" i="56" s="1"/>
  <c r="Q70" i="56" s="1"/>
  <c r="Z67" i="56"/>
  <c r="BM67" i="56" s="1"/>
  <c r="BL67" i="56"/>
  <c r="BC61" i="56"/>
  <c r="BB61" i="56" s="1"/>
  <c r="BG60" i="56"/>
  <c r="AR63" i="56" a="1"/>
  <c r="AR63" i="56" s="1"/>
  <c r="AT63" i="56" s="1"/>
  <c r="K71" i="56" a="1"/>
  <c r="K71" i="56" s="1"/>
  <c r="L71" i="56" s="1"/>
  <c r="M71" i="56" s="1"/>
  <c r="I72" i="56" s="1"/>
  <c r="BN65" i="56"/>
  <c r="AL65" i="56"/>
  <c r="AW62" i="56"/>
  <c r="AV62" i="56"/>
  <c r="AH66" i="56" l="1"/>
  <c r="W68" i="56"/>
  <c r="X68" i="56" s="1"/>
  <c r="S69" i="56" s="1"/>
  <c r="AV63" i="56"/>
  <c r="AW63" i="56"/>
  <c r="AU63" i="56"/>
  <c r="AP64" i="56" s="1"/>
  <c r="K72" i="56" a="1"/>
  <c r="K72" i="56" s="1"/>
  <c r="L72" i="56" s="1"/>
  <c r="BO65" i="56"/>
  <c r="CA65" i="56" s="1"/>
  <c r="BF61" i="56"/>
  <c r="BE61" i="56"/>
  <c r="AX62" i="56"/>
  <c r="AY62" i="56" s="1"/>
  <c r="BP62" i="56"/>
  <c r="AM65" i="56"/>
  <c r="BZ67" i="56"/>
  <c r="V71" i="56"/>
  <c r="N71" i="56"/>
  <c r="AA67" i="56"/>
  <c r="AB67" i="56" s="1"/>
  <c r="AH67" i="56" s="1"/>
  <c r="AG68" i="56" l="1"/>
  <c r="AS66" i="56"/>
  <c r="AJ66" i="56"/>
  <c r="AK66" i="56"/>
  <c r="AI66" i="56"/>
  <c r="AD67" i="56" s="1"/>
  <c r="AF67" i="56" s="1" a="1"/>
  <c r="AF67" i="56" s="1"/>
  <c r="AI67" i="56" s="1"/>
  <c r="AD68" i="56" s="1"/>
  <c r="AF68" i="56" s="1" a="1"/>
  <c r="AF68" i="56" s="1"/>
  <c r="Y68" i="56"/>
  <c r="BL68" i="56" s="1"/>
  <c r="U69" i="56" a="1"/>
  <c r="U69" i="56" s="1"/>
  <c r="N72" i="56"/>
  <c r="V72" i="56"/>
  <c r="M72" i="56"/>
  <c r="I73" i="56" s="1"/>
  <c r="BQ62" i="56"/>
  <c r="O71" i="56" a="1"/>
  <c r="O71" i="56" s="1"/>
  <c r="P71" i="56" s="1"/>
  <c r="Q71" i="56" s="1"/>
  <c r="AN65" i="56"/>
  <c r="AR64" i="56" a="1"/>
  <c r="AR64" i="56" s="1"/>
  <c r="AT64" i="56" s="1"/>
  <c r="AS67" i="56"/>
  <c r="AJ67" i="56"/>
  <c r="AK67" i="56"/>
  <c r="AZ62" i="56"/>
  <c r="BG61" i="56"/>
  <c r="BP63" i="56"/>
  <c r="AX63" i="56"/>
  <c r="AY63" i="56" s="1"/>
  <c r="AZ63" i="56" s="1"/>
  <c r="AL66" i="56" l="1"/>
  <c r="BO66" i="56" s="1"/>
  <c r="BN66" i="56"/>
  <c r="Z68" i="56"/>
  <c r="BM68" i="56" s="1"/>
  <c r="BZ68" i="56" s="1"/>
  <c r="W69" i="56"/>
  <c r="AW64" i="56"/>
  <c r="AV64" i="56"/>
  <c r="BQ63" i="56"/>
  <c r="CB63" i="56" s="1"/>
  <c r="BC62" i="56"/>
  <c r="AU64" i="56"/>
  <c r="AP65" i="56" s="1"/>
  <c r="K73" i="56" a="1"/>
  <c r="K73" i="56" s="1"/>
  <c r="L73" i="56" s="1"/>
  <c r="BN67" i="56"/>
  <c r="AL67" i="56"/>
  <c r="BO67" i="56" s="1"/>
  <c r="BC63" i="56"/>
  <c r="BF63" i="56" s="1"/>
  <c r="CB62" i="56"/>
  <c r="O72" i="56" a="1"/>
  <c r="O72" i="56" s="1"/>
  <c r="CA66" i="56" l="1"/>
  <c r="AM66" i="56"/>
  <c r="AN66" i="56" s="1"/>
  <c r="AA68" i="56"/>
  <c r="AB68" i="56" s="1"/>
  <c r="AH68" i="56" s="1"/>
  <c r="AI68" i="56" s="1"/>
  <c r="AD69" i="56" s="1"/>
  <c r="Y69" i="56"/>
  <c r="AG69" i="56"/>
  <c r="CA67" i="56"/>
  <c r="X69" i="56"/>
  <c r="S70" i="56" s="1"/>
  <c r="BB63" i="56"/>
  <c r="BE63" i="56" s="1"/>
  <c r="BG63" i="56" s="1"/>
  <c r="AM67" i="56"/>
  <c r="AN67" i="56" s="1"/>
  <c r="N73" i="56"/>
  <c r="V73" i="56"/>
  <c r="BF62" i="56"/>
  <c r="M73" i="56"/>
  <c r="I74" i="56" s="1"/>
  <c r="BB62" i="56"/>
  <c r="P72" i="56"/>
  <c r="AR65" i="56" a="1"/>
  <c r="AR65" i="56" s="1"/>
  <c r="AT65" i="56" s="1"/>
  <c r="AX64" i="56"/>
  <c r="AY64" i="56" s="1"/>
  <c r="BP64" i="56"/>
  <c r="AK68" i="56" l="1"/>
  <c r="BN68" i="56" s="1"/>
  <c r="AS68" i="56"/>
  <c r="AJ68" i="56"/>
  <c r="U70" i="56" a="1"/>
  <c r="U70" i="56" s="1"/>
  <c r="W70" i="56" s="1"/>
  <c r="AF69" i="56" a="1"/>
  <c r="AF69" i="56" s="1"/>
  <c r="BL69" i="56"/>
  <c r="Z69" i="56"/>
  <c r="BM69" i="56" s="1"/>
  <c r="AW65" i="56"/>
  <c r="AV65" i="56"/>
  <c r="AU65" i="56"/>
  <c r="AP66" i="56" s="1"/>
  <c r="Q72" i="56"/>
  <c r="BE62" i="56"/>
  <c r="K74" i="56" a="1"/>
  <c r="K74" i="56" s="1"/>
  <c r="L74" i="56" s="1"/>
  <c r="AZ64" i="56"/>
  <c r="BQ64" i="56"/>
  <c r="CB64" i="56" s="1"/>
  <c r="O73" i="56" a="1"/>
  <c r="O73" i="56" s="1"/>
  <c r="P73" i="56" s="1"/>
  <c r="Q73" i="56" s="1"/>
  <c r="AL68" i="56" l="1"/>
  <c r="BO68" i="56" s="1"/>
  <c r="CA68" i="56" s="1"/>
  <c r="BZ69" i="56"/>
  <c r="AA69" i="56"/>
  <c r="AB69" i="56" s="1"/>
  <c r="AH69" i="56" s="1"/>
  <c r="AJ69" i="56" s="1"/>
  <c r="X70" i="56"/>
  <c r="S71" i="56" s="1"/>
  <c r="AG70" i="56"/>
  <c r="Y70" i="56"/>
  <c r="V74" i="56"/>
  <c r="N74" i="56"/>
  <c r="BC64" i="56"/>
  <c r="AX65" i="56"/>
  <c r="BP65" i="56"/>
  <c r="M74" i="56"/>
  <c r="I75" i="56" s="1"/>
  <c r="BG62" i="56"/>
  <c r="AR66" i="56" a="1"/>
  <c r="AR66" i="56" s="1"/>
  <c r="AT66" i="56" s="1"/>
  <c r="AM68" i="56" l="1"/>
  <c r="AN68" i="56" s="1"/>
  <c r="AK69" i="56"/>
  <c r="BN69" i="56" s="1"/>
  <c r="AS69" i="56"/>
  <c r="AI69" i="56"/>
  <c r="AD70" i="56" s="1"/>
  <c r="AF70" i="56" s="1" a="1"/>
  <c r="AF70" i="56" s="1"/>
  <c r="U71" i="56" a="1"/>
  <c r="U71" i="56" s="1"/>
  <c r="W71" i="56" s="1"/>
  <c r="BL70" i="56"/>
  <c r="Z70" i="56"/>
  <c r="BM70" i="56" s="1"/>
  <c r="BQ65" i="56"/>
  <c r="CB65" i="56" s="1"/>
  <c r="K75" i="56" a="1"/>
  <c r="K75" i="56" s="1"/>
  <c r="BF64" i="56"/>
  <c r="AY65" i="56"/>
  <c r="AZ65" i="56" s="1"/>
  <c r="BB64" i="56"/>
  <c r="O74" i="56" a="1"/>
  <c r="O74" i="56" s="1"/>
  <c r="AW66" i="56"/>
  <c r="AV66" i="56"/>
  <c r="AU66" i="56"/>
  <c r="AP67" i="56" s="1"/>
  <c r="AL69" i="56" l="1"/>
  <c r="BO69" i="56" s="1"/>
  <c r="CA69" i="56" s="1"/>
  <c r="BZ70" i="56"/>
  <c r="L75" i="56"/>
  <c r="M75" i="56" s="1"/>
  <c r="I76" i="56" s="1"/>
  <c r="K76" i="56" s="1" a="1"/>
  <c r="K76" i="56" s="1"/>
  <c r="AG71" i="56"/>
  <c r="Y71" i="56"/>
  <c r="AA70" i="56"/>
  <c r="AB70" i="56" s="1"/>
  <c r="AH70" i="56" s="1"/>
  <c r="X71" i="56"/>
  <c r="AX66" i="56"/>
  <c r="AY66" i="56" s="1"/>
  <c r="AZ66" i="56" s="1"/>
  <c r="BP66" i="56"/>
  <c r="BE64" i="56"/>
  <c r="P74" i="56"/>
  <c r="BC65" i="56"/>
  <c r="BB65" i="56" s="1"/>
  <c r="BE65" i="56" s="1"/>
  <c r="AR67" i="56" a="1"/>
  <c r="AR67" i="56" s="1"/>
  <c r="AT67" i="56" s="1"/>
  <c r="AM69" i="56" l="1"/>
  <c r="AN69" i="56" s="1"/>
  <c r="V75" i="56"/>
  <c r="N75" i="56"/>
  <c r="O75" i="56" s="1" a="1"/>
  <c r="O75" i="56" s="1"/>
  <c r="P75" i="56" s="1"/>
  <c r="Q75" i="56" s="1"/>
  <c r="L76" i="56"/>
  <c r="V76" i="56" s="1"/>
  <c r="AU67" i="56"/>
  <c r="AP68" i="56" s="1"/>
  <c r="AR68" i="56" s="1" a="1"/>
  <c r="AR68" i="56" s="1"/>
  <c r="AT68" i="56" s="1"/>
  <c r="S72" i="56"/>
  <c r="Z71" i="56"/>
  <c r="BM71" i="56" s="1"/>
  <c r="BL71" i="56"/>
  <c r="AS70" i="56"/>
  <c r="AI70" i="56"/>
  <c r="AD71" i="56" s="1"/>
  <c r="AJ70" i="56"/>
  <c r="AK70" i="56"/>
  <c r="BF65" i="56"/>
  <c r="BG65" i="56" s="1"/>
  <c r="AV67" i="56"/>
  <c r="AW67" i="56"/>
  <c r="BC66" i="56"/>
  <c r="BF66" i="56" s="1"/>
  <c r="Q74" i="56"/>
  <c r="BG64" i="56"/>
  <c r="BQ66" i="56"/>
  <c r="CB66" i="56" s="1"/>
  <c r="M76" i="56" l="1"/>
  <c r="I77" i="56" s="1"/>
  <c r="K77" i="56" s="1" a="1"/>
  <c r="K77" i="56" s="1"/>
  <c r="N76" i="56"/>
  <c r="O76" i="56" s="1" a="1"/>
  <c r="O76" i="56" s="1"/>
  <c r="P76" i="56" s="1"/>
  <c r="BZ71" i="56"/>
  <c r="BB66" i="56"/>
  <c r="BE66" i="56" s="1"/>
  <c r="BG66" i="56" s="1"/>
  <c r="BN70" i="56"/>
  <c r="AL70" i="56"/>
  <c r="BO70" i="56" s="1"/>
  <c r="AA71" i="56"/>
  <c r="AB71" i="56" s="1"/>
  <c r="AH71" i="56" s="1"/>
  <c r="U72" i="56" a="1"/>
  <c r="U72" i="56" s="1"/>
  <c r="W72" i="56" s="1"/>
  <c r="AF71" i="56" a="1"/>
  <c r="AF71" i="56" s="1"/>
  <c r="AW68" i="56"/>
  <c r="AV68" i="56"/>
  <c r="AU68" i="56"/>
  <c r="AP69" i="56" s="1"/>
  <c r="BP67" i="56"/>
  <c r="AX67" i="56"/>
  <c r="AY67" i="56" s="1"/>
  <c r="AZ67" i="56" s="1"/>
  <c r="L77" i="56" l="1"/>
  <c r="M77" i="56" s="1"/>
  <c r="I78" i="56" s="1"/>
  <c r="AM70" i="56"/>
  <c r="AN70" i="56" s="1"/>
  <c r="AI71" i="56"/>
  <c r="AD72" i="56" s="1"/>
  <c r="AF72" i="56" s="1" a="1"/>
  <c r="AF72" i="56" s="1"/>
  <c r="CA70" i="56"/>
  <c r="Y72" i="56"/>
  <c r="AG72" i="56"/>
  <c r="AS71" i="56"/>
  <c r="AJ71" i="56"/>
  <c r="AK71" i="56"/>
  <c r="X72" i="56"/>
  <c r="S73" i="56" s="1"/>
  <c r="BC67" i="56"/>
  <c r="BB67" i="56" s="1"/>
  <c r="BE67" i="56" s="1"/>
  <c r="Q76" i="56"/>
  <c r="AR69" i="56" a="1"/>
  <c r="AR69" i="56" s="1"/>
  <c r="BQ67" i="56"/>
  <c r="CB67" i="56" s="1"/>
  <c r="AX68" i="56"/>
  <c r="AY68" i="56" s="1"/>
  <c r="AZ68" i="56" s="1"/>
  <c r="BP68" i="56"/>
  <c r="N77" i="56" l="1"/>
  <c r="O77" i="56" s="1" a="1"/>
  <c r="O77" i="56" s="1"/>
  <c r="P77" i="56" s="1"/>
  <c r="Q77" i="56" s="1"/>
  <c r="BF67" i="56"/>
  <c r="BG67" i="56" s="1"/>
  <c r="V77" i="56"/>
  <c r="AL71" i="56"/>
  <c r="BO71" i="56" s="1"/>
  <c r="BN71" i="56"/>
  <c r="U73" i="56" a="1"/>
  <c r="U73" i="56" s="1"/>
  <c r="W73" i="56" s="1"/>
  <c r="AT69" i="56"/>
  <c r="AU69" i="56" s="1"/>
  <c r="AP70" i="56" s="1"/>
  <c r="Z72" i="56"/>
  <c r="BM72" i="56" s="1"/>
  <c r="BL72" i="56"/>
  <c r="K78" i="56" a="1"/>
  <c r="K78" i="56" s="1"/>
  <c r="L78" i="56" s="1"/>
  <c r="BQ68" i="56"/>
  <c r="CB68" i="56" s="1"/>
  <c r="BC68" i="56"/>
  <c r="BF68" i="56" s="1"/>
  <c r="AW69" i="56" l="1"/>
  <c r="BP69" i="56" s="1"/>
  <c r="AM71" i="56"/>
  <c r="AN71" i="56" s="1"/>
  <c r="X73" i="56"/>
  <c r="S74" i="56" s="1"/>
  <c r="U74" i="56" s="1" a="1"/>
  <c r="U74" i="56" s="1"/>
  <c r="W74" i="56" s="1"/>
  <c r="AR70" i="56" a="1"/>
  <c r="AR70" i="56" s="1"/>
  <c r="AT70" i="56" s="1"/>
  <c r="BB68" i="56"/>
  <c r="BE68" i="56" s="1"/>
  <c r="BG68" i="56" s="1"/>
  <c r="BZ72" i="56"/>
  <c r="CA71" i="56"/>
  <c r="AV69" i="56"/>
  <c r="AA72" i="56"/>
  <c r="AB72" i="56" s="1"/>
  <c r="AH72" i="56" s="1"/>
  <c r="Y73" i="56"/>
  <c r="AG73" i="56"/>
  <c r="N78" i="56"/>
  <c r="V78" i="56"/>
  <c r="M78" i="56"/>
  <c r="I79" i="56" s="1"/>
  <c r="AX69" i="56" l="1"/>
  <c r="BQ69" i="56" s="1"/>
  <c r="CB69" i="56" s="1"/>
  <c r="X74" i="56"/>
  <c r="S75" i="56" s="1"/>
  <c r="AV70" i="56"/>
  <c r="AW70" i="56"/>
  <c r="BP70" i="56" s="1"/>
  <c r="AU70" i="56"/>
  <c r="AP71" i="56" s="1"/>
  <c r="AJ72" i="56"/>
  <c r="AK72" i="56"/>
  <c r="AS72" i="56"/>
  <c r="AI72" i="56"/>
  <c r="AD73" i="56" s="1"/>
  <c r="AF73" i="56" s="1" a="1"/>
  <c r="AF73" i="56" s="1"/>
  <c r="BL73" i="56"/>
  <c r="Z73" i="56"/>
  <c r="BM73" i="56" s="1"/>
  <c r="AG74" i="56"/>
  <c r="Y74" i="56"/>
  <c r="O78" i="56" a="1"/>
  <c r="O78" i="56" s="1"/>
  <c r="P78" i="56" s="1"/>
  <c r="Q78" i="56" s="1"/>
  <c r="K79" i="56" a="1"/>
  <c r="K79" i="56" s="1"/>
  <c r="AY69" i="56" l="1"/>
  <c r="AZ69" i="56" s="1"/>
  <c r="BC69" i="56" s="1"/>
  <c r="BF69" i="56" s="1"/>
  <c r="AX70" i="56"/>
  <c r="AY70" i="56" s="1"/>
  <c r="AZ70" i="56" s="1"/>
  <c r="BC70" i="56" s="1"/>
  <c r="BF70" i="56" s="1"/>
  <c r="BZ73" i="56"/>
  <c r="U75" i="56" a="1"/>
  <c r="U75" i="56" s="1"/>
  <c r="W75" i="56" s="1"/>
  <c r="AG75" i="56" s="1"/>
  <c r="AA73" i="56"/>
  <c r="AB73" i="56" s="1"/>
  <c r="AH73" i="56" s="1"/>
  <c r="BN72" i="56"/>
  <c r="AL72" i="56"/>
  <c r="BO72" i="56" s="1"/>
  <c r="Z74" i="56"/>
  <c r="BL74" i="56"/>
  <c r="AR71" i="56" a="1"/>
  <c r="AR71" i="56" s="1"/>
  <c r="L79" i="56"/>
  <c r="BQ70" i="56" l="1"/>
  <c r="CB70" i="56" s="1"/>
  <c r="Y75" i="56"/>
  <c r="Z75" i="56" s="1"/>
  <c r="CA72" i="56"/>
  <c r="X75" i="56"/>
  <c r="S76" i="56" s="1"/>
  <c r="BB70" i="56"/>
  <c r="BE70" i="56" s="1"/>
  <c r="BG70" i="56" s="1"/>
  <c r="AM72" i="56"/>
  <c r="AN72" i="56" s="1"/>
  <c r="AT71" i="56"/>
  <c r="AU71" i="56" s="1"/>
  <c r="AP72" i="56" s="1"/>
  <c r="AA74" i="56"/>
  <c r="AB74" i="56" s="1"/>
  <c r="AH74" i="56" s="1"/>
  <c r="BM74" i="56"/>
  <c r="BZ74" i="56" s="1"/>
  <c r="AS73" i="56"/>
  <c r="AK73" i="56"/>
  <c r="AJ73" i="56"/>
  <c r="AI73" i="56"/>
  <c r="AD74" i="56" s="1"/>
  <c r="BB69" i="56"/>
  <c r="BE69" i="56" s="1"/>
  <c r="BG69" i="56" s="1"/>
  <c r="V79" i="56"/>
  <c r="N79" i="56"/>
  <c r="M79" i="56"/>
  <c r="I80" i="56" s="1"/>
  <c r="BL75" i="56" l="1"/>
  <c r="U76" i="56" a="1"/>
  <c r="U76" i="56" s="1"/>
  <c r="W76" i="56" s="1"/>
  <c r="BM75" i="56"/>
  <c r="AA75" i="56"/>
  <c r="AB75" i="56" s="1"/>
  <c r="AH75" i="56" s="1"/>
  <c r="AR72" i="56" a="1"/>
  <c r="AR72" i="56" s="1"/>
  <c r="AT72" i="56" s="1"/>
  <c r="AF74" i="56" a="1"/>
  <c r="AF74" i="56" s="1"/>
  <c r="AI74" i="56" s="1"/>
  <c r="AD75" i="56" s="1"/>
  <c r="AF75" i="56" s="1" a="1"/>
  <c r="AF75" i="56" s="1"/>
  <c r="AK74" i="56"/>
  <c r="AJ74" i="56"/>
  <c r="AS74" i="56"/>
  <c r="BN73" i="56"/>
  <c r="AL73" i="56"/>
  <c r="BO73" i="56" s="1"/>
  <c r="AV71" i="56"/>
  <c r="AW71" i="56"/>
  <c r="K80" i="56" a="1"/>
  <c r="K80" i="56" s="1"/>
  <c r="O79" i="56" a="1"/>
  <c r="O79" i="56" s="1"/>
  <c r="P79" i="56" s="1"/>
  <c r="Q79" i="56" s="1"/>
  <c r="BZ75" i="56" l="1"/>
  <c r="X76" i="56"/>
  <c r="S77" i="56" s="1"/>
  <c r="U77" i="56" s="1" a="1"/>
  <c r="U77" i="56" s="1"/>
  <c r="W77" i="56" s="1"/>
  <c r="X77" i="56" s="1"/>
  <c r="S78" i="56" s="1"/>
  <c r="U78" i="56" s="1" a="1"/>
  <c r="U78" i="56" s="1"/>
  <c r="W78" i="56" s="1"/>
  <c r="AG78" i="56" s="1"/>
  <c r="Y76" i="56"/>
  <c r="AG76" i="56"/>
  <c r="AW72" i="56"/>
  <c r="AV72" i="56"/>
  <c r="AM73" i="56"/>
  <c r="AN73" i="56" s="1"/>
  <c r="AU72" i="56"/>
  <c r="AP73" i="56" s="1"/>
  <c r="L80" i="56"/>
  <c r="M80" i="56" s="1"/>
  <c r="I81" i="56" s="1"/>
  <c r="AX71" i="56"/>
  <c r="BP71" i="56"/>
  <c r="CA73" i="56"/>
  <c r="AL74" i="56"/>
  <c r="BO74" i="56" s="1"/>
  <c r="BN74" i="56"/>
  <c r="AS75" i="56"/>
  <c r="AJ75" i="56"/>
  <c r="AK75" i="56"/>
  <c r="AI75" i="56"/>
  <c r="AD76" i="56" s="1"/>
  <c r="Y77" i="56" l="1"/>
  <c r="Y78" i="56"/>
  <c r="BL78" i="56" s="1"/>
  <c r="AG77" i="56"/>
  <c r="X78" i="56"/>
  <c r="S79" i="56" s="1"/>
  <c r="U79" i="56" s="1" a="1"/>
  <c r="U79" i="56" s="1"/>
  <c r="BL76" i="56"/>
  <c r="Z76" i="56"/>
  <c r="BM76" i="56" s="1"/>
  <c r="N80" i="56"/>
  <c r="O80" i="56" s="1" a="1"/>
  <c r="O80" i="56" s="1"/>
  <c r="P80" i="56" s="1"/>
  <c r="Q80" i="56" s="1"/>
  <c r="K81" i="56" a="1"/>
  <c r="K81" i="56" s="1"/>
  <c r="L81" i="56" s="1"/>
  <c r="V80" i="56"/>
  <c r="AM74" i="56"/>
  <c r="AN74" i="56" s="1"/>
  <c r="CA74" i="56"/>
  <c r="AY71" i="56"/>
  <c r="AZ71" i="56" s="1"/>
  <c r="BC71" i="56" s="1"/>
  <c r="BB71" i="56" s="1"/>
  <c r="BE71" i="56" s="1"/>
  <c r="BQ71" i="56"/>
  <c r="CB71" i="56" s="1"/>
  <c r="AR73" i="56" a="1"/>
  <c r="AR73" i="56" s="1"/>
  <c r="AT73" i="56" s="1"/>
  <c r="BP72" i="56"/>
  <c r="AX72" i="56"/>
  <c r="AF76" i="56" a="1"/>
  <c r="AF76" i="56" s="1"/>
  <c r="AL75" i="56"/>
  <c r="AM75" i="56" s="1"/>
  <c r="BN75" i="56"/>
  <c r="AU73" i="56" l="1"/>
  <c r="AP74" i="56" s="1"/>
  <c r="AR74" i="56" s="1" a="1"/>
  <c r="AR74" i="56" s="1"/>
  <c r="AT74" i="56" s="1"/>
  <c r="AA76" i="56"/>
  <c r="AB76" i="56" s="1"/>
  <c r="AH76" i="56" s="1"/>
  <c r="AJ76" i="56" s="1"/>
  <c r="Z78" i="56"/>
  <c r="BM78" i="56" s="1"/>
  <c r="BZ78" i="56" s="1"/>
  <c r="Z77" i="56"/>
  <c r="BL77" i="56"/>
  <c r="BZ76" i="56"/>
  <c r="V81" i="56"/>
  <c r="N81" i="56"/>
  <c r="O81" i="56" s="1" a="1"/>
  <c r="O81" i="56" s="1"/>
  <c r="BF71" i="56"/>
  <c r="BG71" i="56" s="1"/>
  <c r="AY72" i="56"/>
  <c r="AZ72" i="56" s="1"/>
  <c r="BQ72" i="56"/>
  <c r="CB72" i="56" s="1"/>
  <c r="AW73" i="56"/>
  <c r="AV73" i="56"/>
  <c r="M81" i="56"/>
  <c r="I82" i="56" s="1"/>
  <c r="K82" i="56" s="1" a="1"/>
  <c r="K82" i="56" s="1"/>
  <c r="AN75" i="56"/>
  <c r="W79" i="56"/>
  <c r="BO75" i="56"/>
  <c r="CA75" i="56" s="1"/>
  <c r="AS76" i="56" l="1"/>
  <c r="AK76" i="56"/>
  <c r="BN76" i="56" s="1"/>
  <c r="AI76" i="56"/>
  <c r="AD77" i="56" s="1"/>
  <c r="AF77" i="56" s="1" a="1"/>
  <c r="AF77" i="56" s="1"/>
  <c r="AA78" i="56"/>
  <c r="AB78" i="56" s="1"/>
  <c r="AH78" i="56" s="1"/>
  <c r="AK78" i="56" s="1"/>
  <c r="BM77" i="56"/>
  <c r="BZ77" i="56" s="1"/>
  <c r="AA77" i="56"/>
  <c r="AB77" i="56" s="1"/>
  <c r="AH77" i="56" s="1"/>
  <c r="L82" i="56"/>
  <c r="N82" i="56" s="1"/>
  <c r="AU74" i="56"/>
  <c r="AP75" i="56" s="1"/>
  <c r="AR75" i="56" s="1" a="1"/>
  <c r="AR75" i="56" s="1"/>
  <c r="BP73" i="56"/>
  <c r="AX73" i="56"/>
  <c r="BQ73" i="56" s="1"/>
  <c r="AW74" i="56"/>
  <c r="AV74" i="56"/>
  <c r="P81" i="56"/>
  <c r="Q81" i="56" s="1"/>
  <c r="BC72" i="56"/>
  <c r="BF72" i="56" s="1"/>
  <c r="AG79" i="56"/>
  <c r="Y79" i="56"/>
  <c r="X79" i="56"/>
  <c r="S80" i="56" s="1"/>
  <c r="AS78" i="56" l="1"/>
  <c r="AJ78" i="56"/>
  <c r="AL76" i="56"/>
  <c r="AM76" i="56" s="1"/>
  <c r="AN76" i="56" s="1"/>
  <c r="AJ77" i="56"/>
  <c r="AS77" i="56"/>
  <c r="AK77" i="56"/>
  <c r="AI77" i="56"/>
  <c r="AD78" i="56" s="1"/>
  <c r="AF78" i="56" s="1" a="1"/>
  <c r="AF78" i="56" s="1"/>
  <c r="AI78" i="56" s="1"/>
  <c r="AD79" i="56" s="1"/>
  <c r="AF79" i="56" s="1" a="1"/>
  <c r="AF79" i="56" s="1"/>
  <c r="V82" i="56"/>
  <c r="AT75" i="56"/>
  <c r="AU75" i="56" s="1"/>
  <c r="AP76" i="56" s="1"/>
  <c r="M82" i="56"/>
  <c r="I83" i="56" s="1"/>
  <c r="K83" i="56" s="1" a="1"/>
  <c r="K83" i="56" s="1"/>
  <c r="L83" i="56" s="1"/>
  <c r="BB72" i="56"/>
  <c r="BE72" i="56" s="1"/>
  <c r="BG72" i="56" s="1"/>
  <c r="AY73" i="56"/>
  <c r="AZ73" i="56" s="1"/>
  <c r="BC73" i="56" s="1"/>
  <c r="BF73" i="56" s="1"/>
  <c r="BP74" i="56"/>
  <c r="AX74" i="56"/>
  <c r="BQ74" i="56" s="1"/>
  <c r="BN78" i="56"/>
  <c r="AL78" i="56"/>
  <c r="BO78" i="56" s="1"/>
  <c r="CB73" i="56"/>
  <c r="Z79" i="56"/>
  <c r="BM79" i="56" s="1"/>
  <c r="BL79" i="56"/>
  <c r="U80" i="56" a="1"/>
  <c r="U80" i="56" s="1"/>
  <c r="W80" i="56" s="1"/>
  <c r="O82" i="56" a="1"/>
  <c r="O82" i="56" s="1"/>
  <c r="P82" i="56" s="1"/>
  <c r="Q82" i="56" s="1"/>
  <c r="BO76" i="56" l="1"/>
  <c r="CA76" i="56" s="1"/>
  <c r="CB74" i="56"/>
  <c r="BB73" i="56"/>
  <c r="BE73" i="56" s="1"/>
  <c r="BG73" i="56" s="1"/>
  <c r="AV75" i="56"/>
  <c r="AW75" i="56"/>
  <c r="AX75" i="56" s="1"/>
  <c r="AY75" i="56" s="1"/>
  <c r="BN77" i="56"/>
  <c r="AL77" i="56"/>
  <c r="BO77" i="56" s="1"/>
  <c r="CA78" i="56"/>
  <c r="AY74" i="56"/>
  <c r="AZ74" i="56" s="1"/>
  <c r="BC74" i="56" s="1"/>
  <c r="BF74" i="56" s="1"/>
  <c r="AM78" i="56"/>
  <c r="BZ79" i="56"/>
  <c r="AG80" i="56"/>
  <c r="Y80" i="56"/>
  <c r="X80" i="56"/>
  <c r="S81" i="56" s="1"/>
  <c r="V83" i="56"/>
  <c r="N83" i="56"/>
  <c r="M83" i="56"/>
  <c r="I84" i="56" s="1"/>
  <c r="AA79" i="56"/>
  <c r="AB79" i="56" s="1"/>
  <c r="AH79" i="56" s="1"/>
  <c r="AR76" i="56" a="1"/>
  <c r="AR76" i="56" s="1"/>
  <c r="AT76" i="56" s="1"/>
  <c r="BP75" i="56" l="1"/>
  <c r="CA77" i="56"/>
  <c r="AM77" i="56"/>
  <c r="AN77" i="56" s="1"/>
  <c r="BB74" i="56"/>
  <c r="BE74" i="56" s="1"/>
  <c r="AX5" i="56"/>
  <c r="AN78" i="56"/>
  <c r="AV76" i="56"/>
  <c r="AW76" i="56"/>
  <c r="AU76" i="56"/>
  <c r="AP77" i="56" s="1"/>
  <c r="AZ75" i="56"/>
  <c r="O83" i="56" a="1"/>
  <c r="O83" i="56" s="1"/>
  <c r="P83" i="56" s="1"/>
  <c r="Q83" i="56" s="1"/>
  <c r="BQ75" i="56"/>
  <c r="K84" i="56" a="1"/>
  <c r="K84" i="56" s="1"/>
  <c r="L84" i="56" s="1"/>
  <c r="U81" i="56" a="1"/>
  <c r="U81" i="56" s="1"/>
  <c r="W81" i="56" s="1"/>
  <c r="BL80" i="56"/>
  <c r="Z80" i="56"/>
  <c r="BM80" i="56" s="1"/>
  <c r="AK79" i="56"/>
  <c r="AS79" i="56"/>
  <c r="AI79" i="56"/>
  <c r="AD80" i="56" s="1"/>
  <c r="AJ79" i="56"/>
  <c r="CB75" i="56" l="1"/>
  <c r="AA80" i="56"/>
  <c r="AB80" i="56" s="1"/>
  <c r="AH80" i="56" s="1"/>
  <c r="AS80" i="56" s="1"/>
  <c r="N84" i="56"/>
  <c r="V84" i="56"/>
  <c r="AG81" i="56"/>
  <c r="Y81" i="56"/>
  <c r="AF80" i="56" a="1"/>
  <c r="AF80" i="56" s="1"/>
  <c r="AR77" i="56" a="1"/>
  <c r="AR77" i="56" s="1"/>
  <c r="BN79" i="56"/>
  <c r="AL79" i="56"/>
  <c r="AM79" i="56" s="1"/>
  <c r="BZ80" i="56"/>
  <c r="X81" i="56"/>
  <c r="S82" i="56" s="1"/>
  <c r="BG74" i="56"/>
  <c r="AX76" i="56"/>
  <c r="BP76" i="56"/>
  <c r="M84" i="56"/>
  <c r="I85" i="56" s="1"/>
  <c r="BC75" i="56"/>
  <c r="BB75" i="56" s="1"/>
  <c r="AI80" i="56" l="1"/>
  <c r="AD81" i="56" s="1"/>
  <c r="AF81" i="56" s="1" a="1"/>
  <c r="AF81" i="56" s="1"/>
  <c r="AK80" i="56"/>
  <c r="AL80" i="56" s="1"/>
  <c r="BO80" i="56" s="1"/>
  <c r="AJ80" i="56"/>
  <c r="AN79" i="56"/>
  <c r="BE75" i="56"/>
  <c r="BQ76" i="56"/>
  <c r="CB76" i="56" s="1"/>
  <c r="AT77" i="56"/>
  <c r="AU77" i="56" s="1"/>
  <c r="AP78" i="56" s="1"/>
  <c r="BF75" i="56"/>
  <c r="K85" i="56" a="1"/>
  <c r="K85" i="56" s="1"/>
  <c r="L85" i="56" s="1"/>
  <c r="AY76" i="56"/>
  <c r="U82" i="56" a="1"/>
  <c r="U82" i="56" s="1"/>
  <c r="W82" i="56" s="1"/>
  <c r="Z81" i="56"/>
  <c r="BM81" i="56" s="1"/>
  <c r="BL81" i="56"/>
  <c r="O84" i="56" a="1"/>
  <c r="O84" i="56" s="1"/>
  <c r="P84" i="56" s="1"/>
  <c r="BO79" i="56"/>
  <c r="CA79" i="56" s="1"/>
  <c r="BN80" i="56" l="1"/>
  <c r="CA80" i="56" s="1"/>
  <c r="BZ81" i="56"/>
  <c r="AA81" i="56"/>
  <c r="AB81" i="56" s="1"/>
  <c r="AH81" i="56" s="1"/>
  <c r="AS81" i="56" s="1"/>
  <c r="X82" i="56"/>
  <c r="S83" i="56" s="1"/>
  <c r="U83" i="56" s="1" a="1"/>
  <c r="U83" i="56" s="1"/>
  <c r="V85" i="56"/>
  <c r="N85" i="56"/>
  <c r="Q84" i="56"/>
  <c r="AZ76" i="56"/>
  <c r="AM80" i="56"/>
  <c r="AN80" i="56" s="1"/>
  <c r="BG75" i="56"/>
  <c r="AV77" i="56"/>
  <c r="AW77" i="56"/>
  <c r="M85" i="56"/>
  <c r="I86" i="56" s="1"/>
  <c r="AG82" i="56"/>
  <c r="Y82" i="56"/>
  <c r="AR78" i="56" a="1"/>
  <c r="AR78" i="56" s="1"/>
  <c r="AT78" i="56" s="1"/>
  <c r="AK81" i="56" l="1"/>
  <c r="AJ81" i="56"/>
  <c r="AI81" i="56"/>
  <c r="AD82" i="56" s="1"/>
  <c r="AF82" i="56" s="1" a="1"/>
  <c r="AF82" i="56" s="1"/>
  <c r="AU78" i="56"/>
  <c r="AP79" i="56" s="1"/>
  <c r="AR79" i="56" s="1" a="1"/>
  <c r="AR79" i="56" s="1"/>
  <c r="AT79" i="56" s="1"/>
  <c r="BC76" i="56"/>
  <c r="W83" i="56"/>
  <c r="K86" i="56" a="1"/>
  <c r="K86" i="56" s="1"/>
  <c r="L86" i="56" s="1"/>
  <c r="AX77" i="56"/>
  <c r="AY77" i="56" s="1"/>
  <c r="AZ77" i="56" s="1"/>
  <c r="BP77" i="56"/>
  <c r="O85" i="56" a="1"/>
  <c r="O85" i="56" s="1"/>
  <c r="P85" i="56" s="1"/>
  <c r="AV78" i="56"/>
  <c r="AW78" i="56"/>
  <c r="BL82" i="56"/>
  <c r="Z82" i="56"/>
  <c r="BM82" i="56" s="1"/>
  <c r="AL81" i="56" l="1"/>
  <c r="BN81" i="56"/>
  <c r="N86" i="56"/>
  <c r="V86" i="56"/>
  <c r="AV79" i="56"/>
  <c r="AW79" i="56"/>
  <c r="AU79" i="56"/>
  <c r="AP80" i="56" s="1"/>
  <c r="Q85" i="56"/>
  <c r="BC77" i="56"/>
  <c r="BF77" i="56" s="1"/>
  <c r="BF76" i="56"/>
  <c r="BZ82" i="56"/>
  <c r="AX78" i="56"/>
  <c r="BP78" i="56"/>
  <c r="M86" i="56"/>
  <c r="I87" i="56" s="1"/>
  <c r="BB76" i="56"/>
  <c r="AA82" i="56"/>
  <c r="AB82" i="56" s="1"/>
  <c r="AH82" i="56" s="1"/>
  <c r="BQ77" i="56"/>
  <c r="CB77" i="56" s="1"/>
  <c r="Y83" i="56"/>
  <c r="AG83" i="56"/>
  <c r="X83" i="56"/>
  <c r="BB77" i="56" l="1"/>
  <c r="BE77" i="56" s="1"/>
  <c r="BG77" i="56" s="1"/>
  <c r="AM81" i="56"/>
  <c r="AN81" i="56" s="1"/>
  <c r="BO81" i="56"/>
  <c r="CA81" i="56" s="1"/>
  <c r="S84" i="56"/>
  <c r="K87" i="56" a="1"/>
  <c r="K87" i="56" s="1"/>
  <c r="L87" i="56" s="1"/>
  <c r="BQ78" i="56"/>
  <c r="CB78" i="56" s="1"/>
  <c r="Z83" i="56"/>
  <c r="BM83" i="56" s="1"/>
  <c r="BL83" i="56"/>
  <c r="AI82" i="56"/>
  <c r="AD83" i="56" s="1"/>
  <c r="AS82" i="56"/>
  <c r="AJ82" i="56"/>
  <c r="AK82" i="56"/>
  <c r="AR80" i="56" a="1"/>
  <c r="AR80" i="56" s="1"/>
  <c r="AT80" i="56" s="1"/>
  <c r="BE76" i="56"/>
  <c r="AY78" i="56"/>
  <c r="AZ78" i="56" s="1"/>
  <c r="AX79" i="56"/>
  <c r="BP79" i="56"/>
  <c r="O86" i="56" a="1"/>
  <c r="O86" i="56" s="1"/>
  <c r="BZ83" i="56" l="1"/>
  <c r="AA83" i="56"/>
  <c r="AB83" i="56" s="1"/>
  <c r="V87" i="56"/>
  <c r="N87" i="56"/>
  <c r="M87" i="56"/>
  <c r="I88" i="56" s="1"/>
  <c r="AV80" i="56"/>
  <c r="AW80" i="56"/>
  <c r="AU80" i="56"/>
  <c r="AP81" i="56" s="1"/>
  <c r="AF83" i="56" a="1"/>
  <c r="AF83" i="56" s="1"/>
  <c r="BQ79" i="56"/>
  <c r="CB79" i="56" s="1"/>
  <c r="BC78" i="56"/>
  <c r="BF78" i="56" s="1"/>
  <c r="AL82" i="56"/>
  <c r="BO82" i="56" s="1"/>
  <c r="BN82" i="56"/>
  <c r="P86" i="56"/>
  <c r="AY79" i="56"/>
  <c r="AZ79" i="56" s="1"/>
  <c r="BG76" i="56"/>
  <c r="U84" i="56" a="1"/>
  <c r="U84" i="56" s="1"/>
  <c r="AH83" i="56" l="1"/>
  <c r="AI83" i="56" s="1"/>
  <c r="AD84" i="56" s="1"/>
  <c r="K88" i="56" a="1"/>
  <c r="K88" i="56" s="1"/>
  <c r="L88" i="56" s="1"/>
  <c r="M88" i="56" s="1"/>
  <c r="I89" i="56" s="1"/>
  <c r="AR81" i="56" a="1"/>
  <c r="AR81" i="56" s="1"/>
  <c r="W84" i="56"/>
  <c r="BC79" i="56"/>
  <c r="BF79" i="56" s="1"/>
  <c r="BB78" i="56"/>
  <c r="BE78" i="56" s="1"/>
  <c r="BG78" i="56" s="1"/>
  <c r="AX80" i="56"/>
  <c r="BP80" i="56"/>
  <c r="O87" i="56" a="1"/>
  <c r="O87" i="56" s="1"/>
  <c r="P87" i="56" s="1"/>
  <c r="CA82" i="56"/>
  <c r="AM82" i="56"/>
  <c r="AN82" i="56" s="1"/>
  <c r="Q86" i="56"/>
  <c r="AJ83" i="56" l="1"/>
  <c r="AS83" i="56"/>
  <c r="AK83" i="56"/>
  <c r="AL83" i="56" s="1"/>
  <c r="BO83" i="56" s="1"/>
  <c r="BB79" i="56"/>
  <c r="BE79" i="56" s="1"/>
  <c r="BG79" i="56" s="1"/>
  <c r="Q87" i="56"/>
  <c r="K89" i="56" a="1"/>
  <c r="K89" i="56" s="1"/>
  <c r="L89" i="56" s="1"/>
  <c r="BQ80" i="56"/>
  <c r="CB80" i="56" s="1"/>
  <c r="AG84" i="56"/>
  <c r="Y84" i="56"/>
  <c r="X84" i="56"/>
  <c r="S85" i="56" s="1"/>
  <c r="AY80" i="56"/>
  <c r="AZ80" i="56" s="1"/>
  <c r="AT81" i="56"/>
  <c r="N88" i="56"/>
  <c r="V88" i="56"/>
  <c r="AF84" i="56" a="1"/>
  <c r="AF84" i="56" s="1"/>
  <c r="BN83" i="56" l="1"/>
  <c r="CA83" i="56" s="1"/>
  <c r="AM83" i="56"/>
  <c r="AN83" i="56" s="1"/>
  <c r="V89" i="56"/>
  <c r="N89" i="56"/>
  <c r="U85" i="56" a="1"/>
  <c r="U85" i="56" s="1"/>
  <c r="W85" i="56" s="1"/>
  <c r="M89" i="56"/>
  <c r="I90" i="56" s="1"/>
  <c r="BC80" i="56"/>
  <c r="BF80" i="56" s="1"/>
  <c r="BL84" i="56"/>
  <c r="Z84" i="56"/>
  <c r="AA84" i="56" s="1"/>
  <c r="O88" i="56" a="1"/>
  <c r="O88" i="56" s="1"/>
  <c r="P88" i="56" s="1"/>
  <c r="AV81" i="56"/>
  <c r="AW81" i="56"/>
  <c r="AU81" i="56"/>
  <c r="AP82" i="56" s="1"/>
  <c r="X85" i="56" l="1"/>
  <c r="S86" i="56" s="1"/>
  <c r="U86" i="56" s="1" a="1"/>
  <c r="U86" i="56" s="1"/>
  <c r="W86" i="56" s="1"/>
  <c r="BB80" i="56"/>
  <c r="BE80" i="56" s="1"/>
  <c r="BG80" i="56" s="1"/>
  <c r="Q88" i="56"/>
  <c r="AB84" i="56"/>
  <c r="Y85" i="56"/>
  <c r="AG85" i="56"/>
  <c r="AR82" i="56" a="1"/>
  <c r="AR82" i="56" s="1"/>
  <c r="AT82" i="56" s="1"/>
  <c r="AX81" i="56"/>
  <c r="AY81" i="56" s="1"/>
  <c r="AZ81" i="56" s="1"/>
  <c r="BP81" i="56"/>
  <c r="BM84" i="56"/>
  <c r="BZ84" i="56" s="1"/>
  <c r="K90" i="56" a="1"/>
  <c r="K90" i="56" s="1"/>
  <c r="L90" i="56" s="1"/>
  <c r="M90" i="56" s="1"/>
  <c r="I91" i="56" s="1"/>
  <c r="O89" i="56" a="1"/>
  <c r="O89" i="56" s="1"/>
  <c r="P89" i="56" s="1"/>
  <c r="Q89" i="56" s="1"/>
  <c r="BC81" i="56" l="1"/>
  <c r="BB81" i="56" s="1"/>
  <c r="BE81" i="56" s="1"/>
  <c r="AW82" i="56"/>
  <c r="AV82" i="56"/>
  <c r="AG86" i="56"/>
  <c r="Y86" i="56"/>
  <c r="K91" i="56" a="1"/>
  <c r="K91" i="56" s="1"/>
  <c r="L91" i="56" s="1"/>
  <c r="Z85" i="56"/>
  <c r="AA85" i="56" s="1"/>
  <c r="BL85" i="56"/>
  <c r="X86" i="56"/>
  <c r="S87" i="56" s="1"/>
  <c r="N90" i="56"/>
  <c r="V90" i="56"/>
  <c r="AU82" i="56"/>
  <c r="AP83" i="56" s="1"/>
  <c r="AH84" i="56"/>
  <c r="BQ81" i="56"/>
  <c r="CB81" i="56" s="1"/>
  <c r="BF81" i="56" l="1"/>
  <c r="BG81" i="56" s="1"/>
  <c r="V91" i="56"/>
  <c r="N91" i="56"/>
  <c r="AB85" i="56"/>
  <c r="O90" i="56" a="1"/>
  <c r="O90" i="56" s="1"/>
  <c r="P90" i="56" s="1"/>
  <c r="Q90" i="56" s="1"/>
  <c r="U87" i="56" a="1"/>
  <c r="U87" i="56" s="1"/>
  <c r="W87" i="56" s="1"/>
  <c r="M91" i="56"/>
  <c r="I92" i="56" s="1"/>
  <c r="AX82" i="56"/>
  <c r="BP82" i="56"/>
  <c r="AI84" i="56"/>
  <c r="AD85" i="56" s="1"/>
  <c r="AJ84" i="56"/>
  <c r="AK84" i="56"/>
  <c r="AS84" i="56"/>
  <c r="AR83" i="56" a="1"/>
  <c r="AR83" i="56" s="1"/>
  <c r="AT83" i="56" s="1"/>
  <c r="AU83" i="56" s="1"/>
  <c r="AP84" i="56" s="1"/>
  <c r="BM85" i="56"/>
  <c r="BZ85" i="56" s="1"/>
  <c r="BL86" i="56"/>
  <c r="Z86" i="56"/>
  <c r="BM86" i="56" s="1"/>
  <c r="X87" i="56" l="1"/>
  <c r="S88" i="56" s="1"/>
  <c r="U88" i="56" s="1" a="1"/>
  <c r="U88" i="56" s="1"/>
  <c r="W88" i="56" s="1"/>
  <c r="BQ82" i="56"/>
  <c r="CB82" i="56" s="1"/>
  <c r="Y87" i="56"/>
  <c r="AG87" i="56"/>
  <c r="BZ86" i="56"/>
  <c r="AW83" i="56"/>
  <c r="AV83" i="56"/>
  <c r="AL84" i="56"/>
  <c r="BN84" i="56"/>
  <c r="K92" i="56" a="1"/>
  <c r="K92" i="56" s="1"/>
  <c r="L92" i="56" s="1"/>
  <c r="AH85" i="56"/>
  <c r="AA86" i="56"/>
  <c r="AR84" i="56" a="1"/>
  <c r="AR84" i="56" s="1"/>
  <c r="AY82" i="56"/>
  <c r="AZ82" i="56" s="1"/>
  <c r="O91" i="56" a="1"/>
  <c r="O91" i="56" s="1"/>
  <c r="P91" i="56" s="1"/>
  <c r="Q91" i="56" s="1"/>
  <c r="AF85" i="56" a="1"/>
  <c r="AF85" i="56" s="1"/>
  <c r="N92" i="56" l="1"/>
  <c r="V92" i="56"/>
  <c r="AG88" i="56"/>
  <c r="Y88" i="56"/>
  <c r="X88" i="56"/>
  <c r="S89" i="56" s="1"/>
  <c r="M92" i="56"/>
  <c r="I93" i="56" s="1"/>
  <c r="BO84" i="56"/>
  <c r="CA84" i="56" s="1"/>
  <c r="AJ85" i="56"/>
  <c r="AK85" i="56"/>
  <c r="AS85" i="56"/>
  <c r="BC82" i="56"/>
  <c r="BF82" i="56" s="1"/>
  <c r="AI85" i="56"/>
  <c r="AD86" i="56" s="1"/>
  <c r="AB86" i="56"/>
  <c r="AM84" i="56"/>
  <c r="AX83" i="56"/>
  <c r="AY83" i="56" s="1"/>
  <c r="AZ83" i="56" s="1"/>
  <c r="BP83" i="56"/>
  <c r="Z87" i="56"/>
  <c r="BL87" i="56"/>
  <c r="BB82" i="56" l="1"/>
  <c r="BE82" i="56" s="1"/>
  <c r="BG82" i="56" s="1"/>
  <c r="BM87" i="56"/>
  <c r="BZ87" i="56" s="1"/>
  <c r="BC83" i="56"/>
  <c r="BF83" i="56" s="1"/>
  <c r="AF86" i="56" a="1"/>
  <c r="AF86" i="56" s="1"/>
  <c r="BL88" i="56"/>
  <c r="Z88" i="56"/>
  <c r="BM88" i="56" s="1"/>
  <c r="K93" i="56" a="1"/>
  <c r="K93" i="56" s="1"/>
  <c r="L93" i="56" s="1"/>
  <c r="AA87" i="56"/>
  <c r="BQ83" i="56"/>
  <c r="CB83" i="56" s="1"/>
  <c r="AN84" i="56"/>
  <c r="AH86" i="56"/>
  <c r="BN85" i="56"/>
  <c r="AL85" i="56"/>
  <c r="U89" i="56" a="1"/>
  <c r="U89" i="56" s="1"/>
  <c r="W89" i="56" s="1"/>
  <c r="O92" i="56" a="1"/>
  <c r="O92" i="56" s="1"/>
  <c r="P92" i="56" s="1"/>
  <c r="Q92" i="56" s="1"/>
  <c r="BB83" i="56" l="1"/>
  <c r="BE83" i="56" s="1"/>
  <c r="BG83" i="56" s="1"/>
  <c r="BZ88" i="56"/>
  <c r="AA88" i="56"/>
  <c r="AB88" i="56" s="1"/>
  <c r="AH88" i="56" s="1"/>
  <c r="AS88" i="56" s="1"/>
  <c r="V93" i="56"/>
  <c r="N93" i="56"/>
  <c r="Y89" i="56"/>
  <c r="AG89" i="56"/>
  <c r="BO85" i="56"/>
  <c r="CA85" i="56" s="1"/>
  <c r="M93" i="56"/>
  <c r="I94" i="56" s="1"/>
  <c r="X89" i="56"/>
  <c r="S90" i="56" s="1"/>
  <c r="AM85" i="56"/>
  <c r="AK86" i="56"/>
  <c r="AJ86" i="56"/>
  <c r="AS86" i="56"/>
  <c r="AT84" i="56"/>
  <c r="AI86" i="56"/>
  <c r="AD87" i="56" s="1"/>
  <c r="AB87" i="56"/>
  <c r="AK88" i="56" l="1"/>
  <c r="BN88" i="56" s="1"/>
  <c r="AJ88" i="56"/>
  <c r="AH87" i="56"/>
  <c r="Z89" i="56"/>
  <c r="BM89" i="56" s="1"/>
  <c r="BL89" i="56"/>
  <c r="AN85" i="56"/>
  <c r="K94" i="56" a="1"/>
  <c r="K94" i="56" s="1"/>
  <c r="L94" i="56" s="1"/>
  <c r="AF87" i="56" a="1"/>
  <c r="AF87" i="56" s="1"/>
  <c r="U90" i="56" a="1"/>
  <c r="U90" i="56" s="1"/>
  <c r="W90" i="56" s="1"/>
  <c r="O93" i="56" a="1"/>
  <c r="O93" i="56" s="1"/>
  <c r="P93" i="56" s="1"/>
  <c r="Q93" i="56" s="1"/>
  <c r="AL86" i="56"/>
  <c r="AM86" i="56" s="1"/>
  <c r="AN86" i="56" s="1"/>
  <c r="BN86" i="56"/>
  <c r="AV84" i="56"/>
  <c r="AW84" i="56"/>
  <c r="AU84" i="56"/>
  <c r="AP85" i="56" s="1"/>
  <c r="AL88" i="56" l="1"/>
  <c r="BO88" i="56" s="1"/>
  <c r="CA88" i="56" s="1"/>
  <c r="AI87" i="56"/>
  <c r="AD88" i="56" s="1"/>
  <c r="AF88" i="56" s="1" a="1"/>
  <c r="AF88" i="56" s="1"/>
  <c r="AI88" i="56" s="1"/>
  <c r="AD89" i="56" s="1"/>
  <c r="AA89" i="56"/>
  <c r="AB89" i="56" s="1"/>
  <c r="N94" i="56"/>
  <c r="V94" i="56"/>
  <c r="M94" i="56"/>
  <c r="I95" i="56" s="1"/>
  <c r="Y90" i="56"/>
  <c r="AG90" i="56"/>
  <c r="AX84" i="56"/>
  <c r="BP84" i="56"/>
  <c r="AR85" i="56" a="1"/>
  <c r="AR85" i="56" s="1"/>
  <c r="AT85" i="56" s="1"/>
  <c r="BO86" i="56"/>
  <c r="CA86" i="56" s="1"/>
  <c r="X90" i="56"/>
  <c r="S91" i="56" s="1"/>
  <c r="BZ89" i="56"/>
  <c r="AS87" i="56"/>
  <c r="AK87" i="56"/>
  <c r="AJ87" i="56"/>
  <c r="AM88" i="56" l="1"/>
  <c r="AN88" i="56" s="1"/>
  <c r="AU85" i="56"/>
  <c r="AP86" i="56" s="1"/>
  <c r="AR86" i="56" s="1" a="1"/>
  <c r="AR86" i="56" s="1"/>
  <c r="AT86" i="56" s="1"/>
  <c r="BN87" i="56"/>
  <c r="AL87" i="56"/>
  <c r="AM87" i="56" s="1"/>
  <c r="AF89" i="56" a="1"/>
  <c r="AF89" i="56" s="1"/>
  <c r="AH89" i="56" s="1"/>
  <c r="AW85" i="56"/>
  <c r="AV85" i="56"/>
  <c r="BL90" i="56"/>
  <c r="Z90" i="56"/>
  <c r="BM90" i="56" s="1"/>
  <c r="U91" i="56" a="1"/>
  <c r="U91" i="56" s="1"/>
  <c r="BQ84" i="56"/>
  <c r="CB84" i="56" s="1"/>
  <c r="K95" i="56" a="1"/>
  <c r="K95" i="56" s="1"/>
  <c r="AY84" i="56"/>
  <c r="O94" i="56" a="1"/>
  <c r="O94" i="56" s="1"/>
  <c r="P94" i="56" s="1"/>
  <c r="Q94" i="56" s="1"/>
  <c r="AI89" i="56" l="1"/>
  <c r="AD90" i="56" s="1"/>
  <c r="AF90" i="56" s="1" a="1"/>
  <c r="AF90" i="56" s="1"/>
  <c r="AN87" i="56"/>
  <c r="AV86" i="56"/>
  <c r="AW86" i="56"/>
  <c r="L95" i="56"/>
  <c r="W91" i="56"/>
  <c r="X91" i="56" s="1"/>
  <c r="S92" i="56" s="1"/>
  <c r="BZ90" i="56"/>
  <c r="AU86" i="56"/>
  <c r="AP87" i="56" s="1"/>
  <c r="AS89" i="56"/>
  <c r="AK89" i="56"/>
  <c r="AJ89" i="56"/>
  <c r="AA90" i="56"/>
  <c r="AB90" i="56" s="1"/>
  <c r="AH90" i="56" s="1"/>
  <c r="AZ84" i="56"/>
  <c r="AX85" i="56"/>
  <c r="AY85" i="56" s="1"/>
  <c r="AZ85" i="56" s="1"/>
  <c r="BP85" i="56"/>
  <c r="BO87" i="56"/>
  <c r="CA87" i="56" s="1"/>
  <c r="AI90" i="56" l="1"/>
  <c r="AD91" i="56" s="1"/>
  <c r="AF91" i="56" s="1" a="1"/>
  <c r="AF91" i="56" s="1"/>
  <c r="AG91" i="56"/>
  <c r="Y91" i="56"/>
  <c r="AX86" i="56"/>
  <c r="AY86" i="56" s="1"/>
  <c r="AZ86" i="56" s="1"/>
  <c r="BP86" i="56"/>
  <c r="BC85" i="56"/>
  <c r="BB85" i="56" s="1"/>
  <c r="BE85" i="56" s="1"/>
  <c r="AK90" i="56"/>
  <c r="AS90" i="56"/>
  <c r="AJ90" i="56"/>
  <c r="BN89" i="56"/>
  <c r="AL89" i="56"/>
  <c r="AM89" i="56" s="1"/>
  <c r="BQ85" i="56"/>
  <c r="BC84" i="56"/>
  <c r="AR87" i="56" a="1"/>
  <c r="AR87" i="56" s="1"/>
  <c r="AT87" i="56" s="1"/>
  <c r="AU87" i="56" s="1"/>
  <c r="AP88" i="56" s="1"/>
  <c r="V95" i="56"/>
  <c r="N95" i="56"/>
  <c r="U92" i="56" a="1"/>
  <c r="U92" i="56" s="1"/>
  <c r="M95" i="56"/>
  <c r="I96" i="56" s="1"/>
  <c r="BF85" i="56" l="1"/>
  <c r="BG85" i="56" s="1"/>
  <c r="AR88" i="56" a="1"/>
  <c r="AR88" i="56" s="1"/>
  <c r="AT88" i="56" s="1"/>
  <c r="BF84" i="56"/>
  <c r="AN89" i="56"/>
  <c r="W92" i="56"/>
  <c r="X92" i="56" s="1"/>
  <c r="S93" i="56" s="1"/>
  <c r="BB84" i="56"/>
  <c r="BQ86" i="56"/>
  <c r="CB86" i="56" s="1"/>
  <c r="CB85" i="56"/>
  <c r="BO89" i="56"/>
  <c r="CA89" i="56" s="1"/>
  <c r="AL90" i="56"/>
  <c r="BO90" i="56" s="1"/>
  <c r="BN90" i="56"/>
  <c r="Z91" i="56"/>
  <c r="BM91" i="56" s="1"/>
  <c r="BL91" i="56"/>
  <c r="K96" i="56" a="1"/>
  <c r="K96" i="56" s="1"/>
  <c r="L96" i="56" s="1"/>
  <c r="O95" i="56" a="1"/>
  <c r="O95" i="56" s="1"/>
  <c r="P95" i="56" s="1"/>
  <c r="Q95" i="56" s="1"/>
  <c r="BC86" i="56"/>
  <c r="AW87" i="56"/>
  <c r="AV87" i="56"/>
  <c r="AV88" i="56" l="1"/>
  <c r="AW88" i="56"/>
  <c r="AX87" i="56"/>
  <c r="AY87" i="56" s="1"/>
  <c r="BP87" i="56"/>
  <c r="BZ91" i="56"/>
  <c r="CA90" i="56"/>
  <c r="BE84" i="56"/>
  <c r="AU88" i="56"/>
  <c r="AP89" i="56" s="1"/>
  <c r="N96" i="56"/>
  <c r="V96" i="56"/>
  <c r="BB86" i="56"/>
  <c r="BE86" i="56" s="1"/>
  <c r="M96" i="56"/>
  <c r="I97" i="56" s="1"/>
  <c r="AA91" i="56"/>
  <c r="AB91" i="56" s="1"/>
  <c r="AH91" i="56" s="1"/>
  <c r="AM90" i="56"/>
  <c r="AN90" i="56" s="1"/>
  <c r="BF86" i="56"/>
  <c r="Y92" i="56"/>
  <c r="AG92" i="56"/>
  <c r="U93" i="56" a="1"/>
  <c r="U93" i="56" s="1"/>
  <c r="W93" i="56" s="1"/>
  <c r="X93" i="56" s="1"/>
  <c r="S94" i="56" s="1"/>
  <c r="U94" i="56" l="1" a="1"/>
  <c r="U94" i="56" s="1"/>
  <c r="W94" i="56" s="1"/>
  <c r="BG86" i="56"/>
  <c r="AR89" i="56" a="1"/>
  <c r="AR89" i="56" s="1"/>
  <c r="BQ87" i="56"/>
  <c r="CB87" i="56" s="1"/>
  <c r="AX88" i="56"/>
  <c r="AY88" i="56" s="1"/>
  <c r="BP88" i="56"/>
  <c r="AI91" i="56"/>
  <c r="AD92" i="56" s="1"/>
  <c r="AK91" i="56"/>
  <c r="AS91" i="56"/>
  <c r="AJ91" i="56"/>
  <c r="BG84" i="56"/>
  <c r="Y93" i="56"/>
  <c r="AG93" i="56"/>
  <c r="BL92" i="56"/>
  <c r="Z92" i="56"/>
  <c r="BM92" i="56" s="1"/>
  <c r="K97" i="56" a="1"/>
  <c r="K97" i="56" s="1"/>
  <c r="L97" i="56" s="1"/>
  <c r="O96" i="56" a="1"/>
  <c r="O96" i="56" s="1"/>
  <c r="P96" i="56" s="1"/>
  <c r="AZ87" i="56"/>
  <c r="BZ92" i="56" l="1"/>
  <c r="AA92" i="56"/>
  <c r="AB92" i="56" s="1"/>
  <c r="AH92" i="56" s="1"/>
  <c r="AJ92" i="56" s="1"/>
  <c r="V97" i="56"/>
  <c r="N97" i="56"/>
  <c r="M97" i="56"/>
  <c r="I98" i="56" s="1"/>
  <c r="AZ88" i="56"/>
  <c r="AG94" i="56"/>
  <c r="Y94" i="56"/>
  <c r="Z93" i="56"/>
  <c r="BM93" i="56" s="1"/>
  <c r="BL93" i="56"/>
  <c r="AF92" i="56" a="1"/>
  <c r="AF92" i="56" s="1"/>
  <c r="AT89" i="56"/>
  <c r="X94" i="56"/>
  <c r="S95" i="56" s="1"/>
  <c r="Q96" i="56"/>
  <c r="BC87" i="56"/>
  <c r="BB87" i="56" s="1"/>
  <c r="BQ88" i="56"/>
  <c r="CB88" i="56" s="1"/>
  <c r="BN91" i="56"/>
  <c r="AL91" i="56"/>
  <c r="BO91" i="56" s="1"/>
  <c r="AI92" i="56" l="1"/>
  <c r="AD93" i="56" s="1"/>
  <c r="AF93" i="56" s="1" a="1"/>
  <c r="AF93" i="56" s="1"/>
  <c r="AS92" i="56"/>
  <c r="AK92" i="56"/>
  <c r="BE87" i="56"/>
  <c r="U95" i="56" a="1"/>
  <c r="U95" i="56" s="1"/>
  <c r="W95" i="56" s="1"/>
  <c r="BZ93" i="56"/>
  <c r="BC88" i="56"/>
  <c r="BF88" i="56" s="1"/>
  <c r="O97" i="56" a="1"/>
  <c r="O97" i="56" s="1"/>
  <c r="P97" i="56" s="1"/>
  <c r="BF87" i="56"/>
  <c r="AM91" i="56"/>
  <c r="AN91" i="56" s="1"/>
  <c r="AV89" i="56"/>
  <c r="AW89" i="56"/>
  <c r="AA93" i="56"/>
  <c r="AB93" i="56" s="1"/>
  <c r="AH93" i="56" s="1"/>
  <c r="BL94" i="56"/>
  <c r="Z94" i="56"/>
  <c r="BM94" i="56" s="1"/>
  <c r="CA91" i="56"/>
  <c r="K98" i="56" a="1"/>
  <c r="K98" i="56" s="1"/>
  <c r="L98" i="56" s="1"/>
  <c r="AU89" i="56"/>
  <c r="AP90" i="56" s="1"/>
  <c r="BZ94" i="56" l="1"/>
  <c r="AA94" i="56"/>
  <c r="AB94" i="56" s="1"/>
  <c r="AH94" i="56" s="1"/>
  <c r="BN92" i="56"/>
  <c r="AL92" i="56"/>
  <c r="BO92" i="56" s="1"/>
  <c r="BB88" i="56"/>
  <c r="BE88" i="56" s="1"/>
  <c r="BG88" i="56" s="1"/>
  <c r="AI93" i="56"/>
  <c r="AD94" i="56" s="1"/>
  <c r="AF94" i="56" s="1" a="1"/>
  <c r="AF94" i="56" s="1"/>
  <c r="X95" i="56"/>
  <c r="S96" i="56" s="1"/>
  <c r="V98" i="56"/>
  <c r="N98" i="56"/>
  <c r="AK93" i="56"/>
  <c r="AS93" i="56"/>
  <c r="AJ93" i="56"/>
  <c r="M98" i="56"/>
  <c r="I99" i="56" s="1"/>
  <c r="AX89" i="56"/>
  <c r="AY89" i="56" s="1"/>
  <c r="AZ89" i="56" s="1"/>
  <c r="BP89" i="56"/>
  <c r="Q97" i="56"/>
  <c r="AR90" i="56" a="1"/>
  <c r="AR90" i="56" s="1"/>
  <c r="Y95" i="56"/>
  <c r="AG95" i="56"/>
  <c r="BG87" i="56"/>
  <c r="AI94" i="56" l="1"/>
  <c r="AD95" i="56" s="1"/>
  <c r="AF95" i="56" s="1" a="1"/>
  <c r="AF95" i="56" s="1"/>
  <c r="CA92" i="56"/>
  <c r="AK94" i="56"/>
  <c r="AS94" i="56"/>
  <c r="AJ94" i="56"/>
  <c r="AT90" i="56"/>
  <c r="AV90" i="56" s="1"/>
  <c r="AM92" i="56"/>
  <c r="AN92" i="56" s="1"/>
  <c r="BC89" i="56"/>
  <c r="BB89" i="56" s="1"/>
  <c r="BN93" i="56"/>
  <c r="AL93" i="56"/>
  <c r="BO93" i="56" s="1"/>
  <c r="Z95" i="56"/>
  <c r="BM95" i="56" s="1"/>
  <c r="BL95" i="56"/>
  <c r="K99" i="56" a="1"/>
  <c r="K99" i="56" s="1"/>
  <c r="L99" i="56" s="1"/>
  <c r="O98" i="56" a="1"/>
  <c r="O98" i="56" s="1"/>
  <c r="BQ89" i="56"/>
  <c r="CB89" i="56" s="1"/>
  <c r="U96" i="56" a="1"/>
  <c r="U96" i="56" s="1"/>
  <c r="BF89" i="56" l="1"/>
  <c r="AM93" i="56"/>
  <c r="AN93" i="56" s="1"/>
  <c r="BZ95" i="56"/>
  <c r="AA95" i="56"/>
  <c r="AB95" i="56" s="1"/>
  <c r="AH95" i="56" s="1"/>
  <c r="BN94" i="56"/>
  <c r="AL94" i="56"/>
  <c r="AW90" i="56"/>
  <c r="AX90" i="56" s="1"/>
  <c r="AY90" i="56" s="1"/>
  <c r="AZ90" i="56" s="1"/>
  <c r="CA93" i="56"/>
  <c r="AU90" i="56"/>
  <c r="AP91" i="56" s="1"/>
  <c r="AR91" i="56" s="1" a="1"/>
  <c r="AR91" i="56" s="1"/>
  <c r="AT91" i="56" s="1"/>
  <c r="AV91" i="56" s="1"/>
  <c r="N99" i="56"/>
  <c r="V99" i="56"/>
  <c r="M99" i="56"/>
  <c r="I100" i="56" s="1"/>
  <c r="W96" i="56"/>
  <c r="BE89" i="56"/>
  <c r="P98" i="56"/>
  <c r="AU91" i="56" l="1"/>
  <c r="AP92" i="56" s="1"/>
  <c r="AR92" i="56" s="1" a="1"/>
  <c r="AR92" i="56" s="1"/>
  <c r="AT92" i="56" s="1"/>
  <c r="AU92" i="56" s="1"/>
  <c r="AP93" i="56" s="1"/>
  <c r="AS95" i="56"/>
  <c r="AJ95" i="56"/>
  <c r="AI95" i="56"/>
  <c r="BP90" i="56"/>
  <c r="AW91" i="56"/>
  <c r="AX91" i="56" s="1"/>
  <c r="AK95" i="56"/>
  <c r="BO94" i="56"/>
  <c r="CA94" i="56" s="1"/>
  <c r="AM94" i="56"/>
  <c r="AN94" i="56" s="1"/>
  <c r="BC90" i="56"/>
  <c r="BB90" i="56" s="1"/>
  <c r="BE90" i="56" s="1"/>
  <c r="K100" i="56" a="1"/>
  <c r="K100" i="56" s="1"/>
  <c r="L100" i="56" s="1"/>
  <c r="Q98" i="56"/>
  <c r="O99" i="56" a="1"/>
  <c r="O99" i="56" s="1"/>
  <c r="P99" i="56" s="1"/>
  <c r="BG89" i="56"/>
  <c r="BQ90" i="56"/>
  <c r="Y96" i="56"/>
  <c r="AG96" i="56"/>
  <c r="X96" i="56"/>
  <c r="S97" i="56" s="1"/>
  <c r="CB90" i="56" l="1"/>
  <c r="BP91" i="56"/>
  <c r="AD96" i="56"/>
  <c r="AF96" i="56" s="1" a="1"/>
  <c r="AF96" i="56" s="1"/>
  <c r="BF90" i="56"/>
  <c r="BG90" i="56" s="1"/>
  <c r="BN95" i="56"/>
  <c r="AL95" i="56"/>
  <c r="BO95" i="56" s="1"/>
  <c r="N100" i="56"/>
  <c r="V100" i="56"/>
  <c r="M100" i="56"/>
  <c r="I101" i="56" s="1"/>
  <c r="AR93" i="56" a="1"/>
  <c r="AR93" i="56" s="1"/>
  <c r="AT93" i="56" s="1"/>
  <c r="Q99" i="56"/>
  <c r="BQ91" i="56"/>
  <c r="BL96" i="56"/>
  <c r="Z96" i="56"/>
  <c r="AA96" i="56" s="1"/>
  <c r="AY91" i="56"/>
  <c r="AZ91" i="56" s="1"/>
  <c r="U97" i="56" a="1"/>
  <c r="U97" i="56" s="1"/>
  <c r="W97" i="56" s="1"/>
  <c r="AV92" i="56"/>
  <c r="AW92" i="56"/>
  <c r="CB91" i="56" l="1"/>
  <c r="AM95" i="56"/>
  <c r="AN95" i="56" s="1"/>
  <c r="CA95" i="56"/>
  <c r="AV93" i="56"/>
  <c r="AW93" i="56"/>
  <c r="AU93" i="56"/>
  <c r="AP94" i="56" s="1"/>
  <c r="Y97" i="56"/>
  <c r="AG97" i="56"/>
  <c r="X97" i="56"/>
  <c r="S98" i="56" s="1"/>
  <c r="BC91" i="56"/>
  <c r="BF91" i="56" s="1"/>
  <c r="BM96" i="56"/>
  <c r="K101" i="56" a="1"/>
  <c r="K101" i="56" s="1"/>
  <c r="L101" i="56" s="1"/>
  <c r="AX92" i="56"/>
  <c r="BP92" i="56"/>
  <c r="AB96" i="56"/>
  <c r="O100" i="56" a="1"/>
  <c r="O100" i="56" s="1"/>
  <c r="P100" i="56" s="1"/>
  <c r="M101" i="56" l="1"/>
  <c r="I102" i="56" s="1"/>
  <c r="K102" i="56" s="1" a="1"/>
  <c r="K102" i="56" s="1"/>
  <c r="L102" i="56" s="1"/>
  <c r="V101" i="56"/>
  <c r="N101" i="56"/>
  <c r="Z97" i="56"/>
  <c r="BL97" i="56"/>
  <c r="AH96" i="56"/>
  <c r="BQ92" i="56"/>
  <c r="CB92" i="56" s="1"/>
  <c r="U98" i="56" a="1"/>
  <c r="U98" i="56" s="1"/>
  <c r="AR94" i="56" a="1"/>
  <c r="AR94" i="56" s="1"/>
  <c r="AT94" i="56" s="1"/>
  <c r="AX93" i="56"/>
  <c r="AY93" i="56" s="1"/>
  <c r="AZ93" i="56" s="1"/>
  <c r="BP93" i="56"/>
  <c r="Q100" i="56"/>
  <c r="AY92" i="56"/>
  <c r="AZ92" i="56" s="1"/>
  <c r="BZ96" i="56"/>
  <c r="BB91" i="56"/>
  <c r="BE91" i="56" s="1"/>
  <c r="AU94" i="56" l="1"/>
  <c r="AP95" i="56" s="1"/>
  <c r="AR95" i="56" s="1" a="1"/>
  <c r="AR95" i="56" s="1"/>
  <c r="AV94" i="56"/>
  <c r="AW94" i="56"/>
  <c r="BG91" i="56"/>
  <c r="BC93" i="56"/>
  <c r="BB93" i="56" s="1"/>
  <c r="BE93" i="56" s="1"/>
  <c r="BM97" i="56"/>
  <c r="N102" i="56"/>
  <c r="V102" i="56"/>
  <c r="M102" i="56"/>
  <c r="I103" i="56" s="1"/>
  <c r="BC92" i="56"/>
  <c r="BF92" i="56" s="1"/>
  <c r="BQ93" i="56"/>
  <c r="CB93" i="56" s="1"/>
  <c r="W98" i="56"/>
  <c r="AS96" i="56"/>
  <c r="AJ96" i="56"/>
  <c r="AI96" i="56"/>
  <c r="AD97" i="56" s="1"/>
  <c r="AK96" i="56"/>
  <c r="AA97" i="56"/>
  <c r="O101" i="56" a="1"/>
  <c r="O101" i="56" s="1"/>
  <c r="P101" i="56" s="1"/>
  <c r="Q101" i="56" s="1"/>
  <c r="BF93" i="56" l="1"/>
  <c r="BG93" i="56" s="1"/>
  <c r="BB92" i="56"/>
  <c r="BE92" i="56" s="1"/>
  <c r="BG92" i="56" s="1"/>
  <c r="AT95" i="56"/>
  <c r="AB97" i="56"/>
  <c r="BZ97" i="56"/>
  <c r="O102" i="56" a="1"/>
  <c r="O102" i="56" s="1"/>
  <c r="P102" i="56" s="1"/>
  <c r="Q102" i="56" s="1"/>
  <c r="AL96" i="56"/>
  <c r="AM96" i="56" s="1"/>
  <c r="BN96" i="56"/>
  <c r="AX94" i="56"/>
  <c r="BP94" i="56"/>
  <c r="AF97" i="56" a="1"/>
  <c r="AF97" i="56" s="1"/>
  <c r="AG98" i="56"/>
  <c r="Y98" i="56"/>
  <c r="X98" i="56"/>
  <c r="S99" i="56" s="1"/>
  <c r="K103" i="56" a="1"/>
  <c r="K103" i="56" s="1"/>
  <c r="L103" i="56" l="1"/>
  <c r="M103" i="56" s="1"/>
  <c r="I104" i="56" s="1"/>
  <c r="AN96" i="56"/>
  <c r="AW95" i="56"/>
  <c r="AV95" i="56"/>
  <c r="BQ94" i="56"/>
  <c r="CB94" i="56" s="1"/>
  <c r="BL98" i="56"/>
  <c r="Z98" i="56"/>
  <c r="AA98" i="56" s="1"/>
  <c r="AH97" i="56"/>
  <c r="U99" i="56" a="1"/>
  <c r="U99" i="56" s="1"/>
  <c r="BO96" i="56"/>
  <c r="CA96" i="56" s="1"/>
  <c r="AY94" i="56"/>
  <c r="AZ94" i="56" s="1"/>
  <c r="AU95" i="56"/>
  <c r="AP96" i="56" s="1"/>
  <c r="K104" i="56" l="1" a="1"/>
  <c r="K104" i="56" s="1"/>
  <c r="L104" i="56" s="1"/>
  <c r="V103" i="56"/>
  <c r="W99" i="56"/>
  <c r="X99" i="56" s="1"/>
  <c r="S100" i="56" s="1"/>
  <c r="U100" i="56" s="1" a="1"/>
  <c r="U100" i="56" s="1"/>
  <c r="N103" i="56"/>
  <c r="AR96" i="56" a="1"/>
  <c r="AR96" i="56" s="1"/>
  <c r="AT96" i="56" s="1"/>
  <c r="AJ97" i="56"/>
  <c r="AS97" i="56"/>
  <c r="AK97" i="56"/>
  <c r="AI97" i="56"/>
  <c r="AD98" i="56" s="1"/>
  <c r="AX95" i="56"/>
  <c r="AY95" i="56" s="1"/>
  <c r="AZ95" i="56" s="1"/>
  <c r="BP95" i="56"/>
  <c r="BC94" i="56"/>
  <c r="BF94" i="56" s="1"/>
  <c r="AB98" i="56"/>
  <c r="BM98" i="56"/>
  <c r="AU96" i="56" l="1"/>
  <c r="AP97" i="56" s="1"/>
  <c r="AR97" i="56" s="1" a="1"/>
  <c r="AR97" i="56" s="1"/>
  <c r="Y99" i="56"/>
  <c r="Z99" i="56" s="1"/>
  <c r="AA99" i="56" s="1"/>
  <c r="AG99" i="56"/>
  <c r="O103" i="56" a="1"/>
  <c r="O103" i="56" s="1"/>
  <c r="P103" i="56" s="1"/>
  <c r="Q103" i="56" s="1"/>
  <c r="N104" i="56"/>
  <c r="O104" i="56" s="1" a="1"/>
  <c r="O104" i="56" s="1"/>
  <c r="P104" i="56" s="1"/>
  <c r="Q104" i="56" s="1"/>
  <c r="V104" i="56"/>
  <c r="BB94" i="56"/>
  <c r="BE94" i="56" s="1"/>
  <c r="BG94" i="56" s="1"/>
  <c r="M104" i="56"/>
  <c r="I105" i="56" s="1"/>
  <c r="K105" i="56" s="1" a="1"/>
  <c r="K105" i="56" s="1"/>
  <c r="L105" i="56" s="1"/>
  <c r="M105" i="56" s="1"/>
  <c r="I106" i="56" s="1"/>
  <c r="W100" i="56"/>
  <c r="X100" i="56" s="1"/>
  <c r="S101" i="56" s="1"/>
  <c r="U101" i="56" s="1" a="1"/>
  <c r="U101" i="56" s="1"/>
  <c r="AF98" i="56" a="1"/>
  <c r="AF98" i="56" s="1"/>
  <c r="BC95" i="56"/>
  <c r="BB95" i="56" s="1"/>
  <c r="BE95" i="56" s="1"/>
  <c r="AL97" i="56"/>
  <c r="AM97" i="56" s="1"/>
  <c r="BN97" i="56"/>
  <c r="AH98" i="56"/>
  <c r="BQ95" i="56"/>
  <c r="CB95" i="56" s="1"/>
  <c r="BZ98" i="56"/>
  <c r="AV96" i="56"/>
  <c r="AW96" i="56"/>
  <c r="Y100" i="56" l="1"/>
  <c r="Z100" i="56" s="1"/>
  <c r="BM100" i="56" s="1"/>
  <c r="AG100" i="56"/>
  <c r="BL99" i="56"/>
  <c r="BF95" i="56"/>
  <c r="BG95" i="56" s="1"/>
  <c r="W101" i="56"/>
  <c r="Y101" i="56" s="1"/>
  <c r="AI98" i="56"/>
  <c r="AD99" i="56" s="1"/>
  <c r="AF99" i="56" s="1" a="1"/>
  <c r="AF99" i="56" s="1"/>
  <c r="AN97" i="56"/>
  <c r="AT97" i="56" s="1"/>
  <c r="K106" i="56" a="1"/>
  <c r="K106" i="56" s="1"/>
  <c r="L106" i="56" s="1"/>
  <c r="M106" i="56" s="1"/>
  <c r="I107" i="56" s="1"/>
  <c r="AX96" i="56"/>
  <c r="AY96" i="56" s="1"/>
  <c r="BP96" i="56"/>
  <c r="AK98" i="56"/>
  <c r="AS98" i="56"/>
  <c r="AJ98" i="56"/>
  <c r="BM99" i="56"/>
  <c r="AB99" i="56"/>
  <c r="BO97" i="56"/>
  <c r="V105" i="56"/>
  <c r="N105" i="56"/>
  <c r="BZ99" i="56" l="1"/>
  <c r="BL100" i="56"/>
  <c r="BZ100" i="56" s="1"/>
  <c r="X101" i="56"/>
  <c r="S102" i="56" s="1"/>
  <c r="U102" i="56" s="1" a="1"/>
  <c r="U102" i="56" s="1"/>
  <c r="W102" i="56" s="1"/>
  <c r="AG101" i="56"/>
  <c r="AZ96" i="56"/>
  <c r="AA100" i="56"/>
  <c r="CA97" i="56"/>
  <c r="Z101" i="56"/>
  <c r="AA101" i="56" s="1"/>
  <c r="AB101" i="56" s="1"/>
  <c r="AH101" i="56" s="1"/>
  <c r="BL101" i="56"/>
  <c r="N106" i="56"/>
  <c r="V106" i="56"/>
  <c r="O105" i="56" a="1"/>
  <c r="O105" i="56" s="1"/>
  <c r="P105" i="56" s="1"/>
  <c r="Q105" i="56" s="1"/>
  <c r="AH99" i="56"/>
  <c r="AL98" i="56"/>
  <c r="AM98" i="56" s="1"/>
  <c r="BN98" i="56"/>
  <c r="BQ96" i="56"/>
  <c r="CB96" i="56" s="1"/>
  <c r="K107" i="56" a="1"/>
  <c r="K107" i="56" s="1"/>
  <c r="AU97" i="56"/>
  <c r="AP98" i="56" s="1"/>
  <c r="AW97" i="56"/>
  <c r="AV97" i="56"/>
  <c r="AS101" i="56" l="1"/>
  <c r="L107" i="56"/>
  <c r="M107" i="56" s="1"/>
  <c r="I108" i="56" s="1"/>
  <c r="K108" i="56" s="1" a="1"/>
  <c r="K108" i="56" s="1"/>
  <c r="L108" i="56" s="1"/>
  <c r="AN98" i="56"/>
  <c r="AX97" i="56"/>
  <c r="AY97" i="56" s="1"/>
  <c r="BP97" i="56"/>
  <c r="AR98" i="56" a="1"/>
  <c r="AR98" i="56" s="1"/>
  <c r="AG102" i="56"/>
  <c r="Y102" i="56"/>
  <c r="AS99" i="56"/>
  <c r="AK99" i="56"/>
  <c r="AJ99" i="56"/>
  <c r="AK101" i="56"/>
  <c r="AJ101" i="56"/>
  <c r="X102" i="56"/>
  <c r="S103" i="56" s="1"/>
  <c r="BM101" i="56"/>
  <c r="BZ101" i="56" s="1"/>
  <c r="AB100" i="56"/>
  <c r="O106" i="56" a="1"/>
  <c r="O106" i="56" s="1"/>
  <c r="P106" i="56" s="1"/>
  <c r="Q106" i="56" s="1"/>
  <c r="BC96" i="56"/>
  <c r="BO98" i="56"/>
  <c r="CA98" i="56" s="1"/>
  <c r="AI99" i="56"/>
  <c r="AD100" i="56" s="1"/>
  <c r="V107" i="56" l="1"/>
  <c r="N107" i="56"/>
  <c r="O107" i="56" s="1" a="1"/>
  <c r="O107" i="56" s="1"/>
  <c r="P107" i="56" s="1"/>
  <c r="Q107" i="56" s="1"/>
  <c r="N108" i="56"/>
  <c r="V108" i="56"/>
  <c r="M108" i="56"/>
  <c r="I109" i="56" s="1"/>
  <c r="AZ97" i="56"/>
  <c r="AL99" i="56"/>
  <c r="AM99" i="56" s="1"/>
  <c r="BN99" i="56"/>
  <c r="BN101" i="56"/>
  <c r="AL101" i="56"/>
  <c r="BO101" i="56" s="1"/>
  <c r="BL102" i="56"/>
  <c r="Z102" i="56"/>
  <c r="BM102" i="56" s="1"/>
  <c r="AT98" i="56"/>
  <c r="AU98" i="56" s="1"/>
  <c r="AP99" i="56" s="1"/>
  <c r="AF100" i="56" a="1"/>
  <c r="AF100" i="56" s="1"/>
  <c r="BF96" i="56"/>
  <c r="BB96" i="56"/>
  <c r="AH100" i="56"/>
  <c r="U103" i="56" a="1"/>
  <c r="U103" i="56" s="1"/>
  <c r="BQ97" i="56"/>
  <c r="CB97" i="56" s="1"/>
  <c r="CA101" i="56" l="1"/>
  <c r="W103" i="56"/>
  <c r="X103" i="56" s="1"/>
  <c r="S104" i="56" s="1"/>
  <c r="U104" i="56" s="1" a="1"/>
  <c r="U104" i="56" s="1"/>
  <c r="AI100" i="56"/>
  <c r="AD101" i="56" s="1"/>
  <c r="AF101" i="56" s="1" a="1"/>
  <c r="AF101" i="56" s="1"/>
  <c r="AI101" i="56" s="1"/>
  <c r="AD102" i="56" s="1"/>
  <c r="AN99" i="56"/>
  <c r="AR99" i="56" a="1"/>
  <c r="AR99" i="56" s="1"/>
  <c r="BE96" i="56"/>
  <c r="AV98" i="56"/>
  <c r="AW98" i="56"/>
  <c r="BZ102" i="56"/>
  <c r="AA102" i="56"/>
  <c r="AB102" i="56" s="1"/>
  <c r="AH102" i="56" s="1"/>
  <c r="AM101" i="56"/>
  <c r="AN101" i="56" s="1"/>
  <c r="BC97" i="56"/>
  <c r="O108" i="56" a="1"/>
  <c r="O108" i="56" s="1"/>
  <c r="AS100" i="56"/>
  <c r="AK100" i="56"/>
  <c r="AJ100" i="56"/>
  <c r="BO99" i="56"/>
  <c r="CA99" i="56" s="1"/>
  <c r="K109" i="56" a="1"/>
  <c r="K109" i="56" s="1"/>
  <c r="L109" i="56" s="1"/>
  <c r="Y103" i="56" l="1"/>
  <c r="Z103" i="56" s="1"/>
  <c r="BM103" i="56" s="1"/>
  <c r="AG103" i="56"/>
  <c r="AF102" i="56" a="1"/>
  <c r="AF102" i="56" s="1"/>
  <c r="AI102" i="56" s="1"/>
  <c r="AD103" i="56" s="1"/>
  <c r="BN100" i="56"/>
  <c r="AL100" i="56"/>
  <c r="V109" i="56"/>
  <c r="N109" i="56"/>
  <c r="P108" i="56"/>
  <c r="BF97" i="56"/>
  <c r="BG96" i="56"/>
  <c r="W104" i="56"/>
  <c r="M109" i="56"/>
  <c r="I110" i="56" s="1"/>
  <c r="BB97" i="56"/>
  <c r="AK102" i="56"/>
  <c r="AS102" i="56"/>
  <c r="AJ102" i="56"/>
  <c r="BP98" i="56"/>
  <c r="AX98" i="56"/>
  <c r="AY98" i="56" s="1"/>
  <c r="AT99" i="56"/>
  <c r="BL103" i="56" l="1"/>
  <c r="BZ103" i="56" s="1"/>
  <c r="AF103" i="56" a="1"/>
  <c r="AF103" i="56" s="1"/>
  <c r="AW99" i="56"/>
  <c r="AV99" i="56"/>
  <c r="BQ98" i="56"/>
  <c r="CB98" i="56" s="1"/>
  <c r="K110" i="56" a="1"/>
  <c r="K110" i="56" s="1"/>
  <c r="AG104" i="56"/>
  <c r="Y104" i="56"/>
  <c r="O109" i="56" a="1"/>
  <c r="O109" i="56" s="1"/>
  <c r="BO100" i="56"/>
  <c r="CA100" i="56" s="1"/>
  <c r="AA103" i="56"/>
  <c r="AB103" i="56" s="1"/>
  <c r="AH103" i="56" s="1"/>
  <c r="AU99" i="56"/>
  <c r="AP100" i="56" s="1"/>
  <c r="AZ98" i="56"/>
  <c r="BE97" i="56"/>
  <c r="AM100" i="56"/>
  <c r="BN102" i="56"/>
  <c r="AL102" i="56"/>
  <c r="BO102" i="56" s="1"/>
  <c r="Q108" i="56"/>
  <c r="X104" i="56"/>
  <c r="S105" i="56" s="1"/>
  <c r="AI103" i="56" l="1"/>
  <c r="AD104" i="56" s="1"/>
  <c r="AF104" i="56" s="1" a="1"/>
  <c r="AF104" i="56" s="1"/>
  <c r="CA102" i="56"/>
  <c r="BG97" i="56"/>
  <c r="AR100" i="56" a="1"/>
  <c r="AR100" i="56" s="1"/>
  <c r="AM102" i="56"/>
  <c r="AN102" i="56" s="1"/>
  <c r="AS103" i="56"/>
  <c r="AK103" i="56"/>
  <c r="AJ103" i="56"/>
  <c r="BL104" i="56"/>
  <c r="Z104" i="56"/>
  <c r="BM104" i="56" s="1"/>
  <c r="U105" i="56" a="1"/>
  <c r="U105" i="56" s="1"/>
  <c r="W105" i="56" s="1"/>
  <c r="AN100" i="56"/>
  <c r="BC98" i="56"/>
  <c r="BB98" i="56" s="1"/>
  <c r="L110" i="56"/>
  <c r="AX99" i="56"/>
  <c r="AY99" i="56" s="1"/>
  <c r="BP99" i="56"/>
  <c r="P109" i="56"/>
  <c r="BE98" i="56" l="1"/>
  <c r="Y105" i="56"/>
  <c r="AG105" i="56"/>
  <c r="X105" i="56"/>
  <c r="S106" i="56" s="1"/>
  <c r="AZ99" i="56"/>
  <c r="Q109" i="56"/>
  <c r="AT100" i="56"/>
  <c r="AU100" i="56" s="1"/>
  <c r="AP101" i="56" s="1"/>
  <c r="BF98" i="56"/>
  <c r="BN103" i="56"/>
  <c r="AL103" i="56"/>
  <c r="BO103" i="56" s="1"/>
  <c r="BQ99" i="56"/>
  <c r="CB99" i="56" s="1"/>
  <c r="BZ104" i="56"/>
  <c r="N110" i="56"/>
  <c r="V110" i="56"/>
  <c r="AA104" i="56"/>
  <c r="AB104" i="56" s="1"/>
  <c r="AH104" i="56" s="1"/>
  <c r="M110" i="56"/>
  <c r="I111" i="56" s="1"/>
  <c r="CA103" i="56" l="1"/>
  <c r="AR101" i="56" a="1"/>
  <c r="AR101" i="56" s="1"/>
  <c r="AT101" i="56" s="1"/>
  <c r="O110" i="56" a="1"/>
  <c r="O110" i="56" s="1"/>
  <c r="P110" i="56" s="1"/>
  <c r="AK104" i="56"/>
  <c r="AJ104" i="56"/>
  <c r="AI104" i="56"/>
  <c r="AD105" i="56" s="1"/>
  <c r="AS104" i="56"/>
  <c r="AM103" i="56"/>
  <c r="AN103" i="56" s="1"/>
  <c r="Z105" i="56"/>
  <c r="BM105" i="56" s="1"/>
  <c r="BL105" i="56"/>
  <c r="BC99" i="56"/>
  <c r="K111" i="56" a="1"/>
  <c r="K111" i="56" s="1"/>
  <c r="L111" i="56" s="1"/>
  <c r="AW100" i="56"/>
  <c r="AV100" i="56"/>
  <c r="U106" i="56" a="1"/>
  <c r="U106" i="56" s="1"/>
  <c r="BG98" i="56"/>
  <c r="AA105" i="56" l="1"/>
  <c r="AB105" i="56" s="1"/>
  <c r="AH105" i="56" s="1"/>
  <c r="M111" i="56"/>
  <c r="I112" i="56" s="1"/>
  <c r="K112" i="56" s="1" a="1"/>
  <c r="K112" i="56" s="1"/>
  <c r="BZ105" i="56"/>
  <c r="AV101" i="56"/>
  <c r="AW101" i="56"/>
  <c r="BN104" i="56"/>
  <c r="AL104" i="56"/>
  <c r="BO104" i="56" s="1"/>
  <c r="W106" i="56"/>
  <c r="X106" i="56" s="1"/>
  <c r="S107" i="56" s="1"/>
  <c r="V111" i="56"/>
  <c r="N111" i="56"/>
  <c r="BF99" i="56"/>
  <c r="AU101" i="56"/>
  <c r="AP102" i="56" s="1"/>
  <c r="AX100" i="56"/>
  <c r="AY100" i="56" s="1"/>
  <c r="BP100" i="56"/>
  <c r="BB99" i="56"/>
  <c r="AF105" i="56" a="1"/>
  <c r="AF105" i="56" s="1"/>
  <c r="Q110" i="56"/>
  <c r="AI105" i="56" l="1"/>
  <c r="AD106" i="56" s="1"/>
  <c r="AF106" i="56" s="1" a="1"/>
  <c r="AF106" i="56" s="1"/>
  <c r="L112" i="56"/>
  <c r="M112" i="56" s="1"/>
  <c r="I113" i="56" s="1"/>
  <c r="K113" i="56" s="1" a="1"/>
  <c r="K113" i="56" s="1"/>
  <c r="L113" i="56" s="1"/>
  <c r="M113" i="56" s="1"/>
  <c r="I114" i="56" s="1"/>
  <c r="CA104" i="56"/>
  <c r="AM104" i="56"/>
  <c r="AN104" i="56" s="1"/>
  <c r="AJ105" i="56"/>
  <c r="AK105" i="56"/>
  <c r="AS105" i="56"/>
  <c r="AZ100" i="56"/>
  <c r="Y106" i="56"/>
  <c r="AG106" i="56"/>
  <c r="U107" i="56" a="1"/>
  <c r="U107" i="56" s="1"/>
  <c r="W107" i="56" s="1"/>
  <c r="BE99" i="56"/>
  <c r="AR102" i="56" a="1"/>
  <c r="AR102" i="56" s="1"/>
  <c r="AT102" i="56" s="1"/>
  <c r="AU102" i="56" s="1"/>
  <c r="AP103" i="56" s="1"/>
  <c r="O111" i="56" a="1"/>
  <c r="O111" i="56" s="1"/>
  <c r="P111" i="56" s="1"/>
  <c r="AX101" i="56"/>
  <c r="BP101" i="56"/>
  <c r="BQ100" i="56"/>
  <c r="CB100" i="56" s="1"/>
  <c r="V112" i="56" l="1"/>
  <c r="N112" i="56"/>
  <c r="O112" i="56" s="1" a="1"/>
  <c r="O112" i="56" s="1"/>
  <c r="P112" i="56" s="1"/>
  <c r="Q112" i="56" s="1"/>
  <c r="AL105" i="56"/>
  <c r="BN105" i="56"/>
  <c r="K114" i="56" a="1"/>
  <c r="K114" i="56" s="1"/>
  <c r="AG107" i="56"/>
  <c r="Y107" i="56"/>
  <c r="X107" i="56"/>
  <c r="BL106" i="56"/>
  <c r="Z106" i="56"/>
  <c r="BM106" i="56" s="1"/>
  <c r="BQ101" i="56"/>
  <c r="CB101" i="56" s="1"/>
  <c r="AR103" i="56" a="1"/>
  <c r="AR103" i="56" s="1"/>
  <c r="BC100" i="56"/>
  <c r="BB100" i="56" s="1"/>
  <c r="AY101" i="56"/>
  <c r="AZ101" i="56" s="1"/>
  <c r="Q111" i="56"/>
  <c r="AV102" i="56"/>
  <c r="AW102" i="56"/>
  <c r="BG99" i="56"/>
  <c r="V113" i="56"/>
  <c r="N113" i="56"/>
  <c r="AA106" i="56" l="1"/>
  <c r="AB106" i="56" s="1"/>
  <c r="AH106" i="56" s="1"/>
  <c r="AS106" i="56" s="1"/>
  <c r="BO105" i="56"/>
  <c r="CA105" i="56" s="1"/>
  <c r="AM105" i="56"/>
  <c r="AN105" i="56" s="1"/>
  <c r="AT103" i="56"/>
  <c r="AU103" i="56" s="1"/>
  <c r="AP104" i="56" s="1"/>
  <c r="L114" i="56"/>
  <c r="O113" i="56" a="1"/>
  <c r="O113" i="56" s="1"/>
  <c r="P113" i="56" s="1"/>
  <c r="Q113" i="56" s="1"/>
  <c r="BF100" i="56"/>
  <c r="BC101" i="56"/>
  <c r="BF101" i="56" s="1"/>
  <c r="Z107" i="56"/>
  <c r="BM107" i="56" s="1"/>
  <c r="BL107" i="56"/>
  <c r="AX102" i="56"/>
  <c r="AY102" i="56" s="1"/>
  <c r="AZ102" i="56" s="1"/>
  <c r="BP102" i="56"/>
  <c r="BZ106" i="56"/>
  <c r="BE100" i="56"/>
  <c r="S108" i="56"/>
  <c r="AK106" i="56" l="1"/>
  <c r="AL106" i="56" s="1"/>
  <c r="BO106" i="56" s="1"/>
  <c r="AI106" i="56"/>
  <c r="AD107" i="56" s="1"/>
  <c r="AF107" i="56" s="1" a="1"/>
  <c r="AF107" i="56" s="1"/>
  <c r="AJ106" i="56"/>
  <c r="AA107" i="56"/>
  <c r="AB107" i="56" s="1"/>
  <c r="BB101" i="56"/>
  <c r="BE101" i="56" s="1"/>
  <c r="BG101" i="56" s="1"/>
  <c r="AR104" i="56" a="1"/>
  <c r="AR104" i="56" s="1"/>
  <c r="AT104" i="56" s="1"/>
  <c r="U108" i="56" a="1"/>
  <c r="U108" i="56" s="1"/>
  <c r="W108" i="56" s="1"/>
  <c r="BQ102" i="56"/>
  <c r="CB102" i="56" s="1"/>
  <c r="N114" i="56"/>
  <c r="V114" i="56"/>
  <c r="BG100" i="56"/>
  <c r="BZ107" i="56"/>
  <c r="BC102" i="56"/>
  <c r="BF102" i="56" s="1"/>
  <c r="AW103" i="56"/>
  <c r="AV103" i="56"/>
  <c r="M114" i="56"/>
  <c r="I115" i="56" s="1"/>
  <c r="AH107" i="56" l="1"/>
  <c r="AJ107" i="56" s="1"/>
  <c r="BN106" i="56"/>
  <c r="CA106" i="56" s="1"/>
  <c r="AM106" i="56"/>
  <c r="AN106" i="56" s="1"/>
  <c r="AW104" i="56"/>
  <c r="AV104" i="56"/>
  <c r="Y108" i="56"/>
  <c r="AG108" i="56"/>
  <c r="X108" i="56"/>
  <c r="S109" i="56" s="1"/>
  <c r="AX103" i="56"/>
  <c r="AY103" i="56" s="1"/>
  <c r="AZ103" i="56" s="1"/>
  <c r="BP103" i="56"/>
  <c r="O114" i="56" a="1"/>
  <c r="O114" i="56" s="1"/>
  <c r="P114" i="56" s="1"/>
  <c r="Q114" i="56" s="1"/>
  <c r="BB102" i="56"/>
  <c r="BE102" i="56" s="1"/>
  <c r="BG102" i="56" s="1"/>
  <c r="AU104" i="56"/>
  <c r="AP105" i="56" s="1"/>
  <c r="K115" i="56" a="1"/>
  <c r="K115" i="56" s="1"/>
  <c r="L115" i="56" s="1"/>
  <c r="AI107" i="56" l="1"/>
  <c r="AD108" i="56" s="1"/>
  <c r="AF108" i="56" s="1" a="1"/>
  <c r="AF108" i="56" s="1"/>
  <c r="AS107" i="56"/>
  <c r="AK107" i="56"/>
  <c r="BN107" i="56" s="1"/>
  <c r="V115" i="56"/>
  <c r="N115" i="56"/>
  <c r="M115" i="56"/>
  <c r="I116" i="56" s="1"/>
  <c r="BQ103" i="56"/>
  <c r="CB103" i="56" s="1"/>
  <c r="BL108" i="56"/>
  <c r="Z108" i="56"/>
  <c r="AA108" i="56" s="1"/>
  <c r="BC103" i="56"/>
  <c r="BB103" i="56" s="1"/>
  <c r="BE103" i="56" s="1"/>
  <c r="U109" i="56" a="1"/>
  <c r="U109" i="56" s="1"/>
  <c r="AR105" i="56" a="1"/>
  <c r="AR105" i="56" s="1"/>
  <c r="AT105" i="56" s="1"/>
  <c r="AX104" i="56"/>
  <c r="AY104" i="56" s="1"/>
  <c r="AZ104" i="56" s="1"/>
  <c r="BP104" i="56"/>
  <c r="AL107" i="56" l="1"/>
  <c r="BO107" i="56" s="1"/>
  <c r="CA107" i="56" s="1"/>
  <c r="AB108" i="56"/>
  <c r="AW105" i="56"/>
  <c r="AV105" i="56"/>
  <c r="AU105" i="56"/>
  <c r="AP106" i="56" s="1"/>
  <c r="K116" i="56" a="1"/>
  <c r="K116" i="56" s="1"/>
  <c r="L116" i="56" s="1"/>
  <c r="W109" i="56"/>
  <c r="BC104" i="56"/>
  <c r="BB104" i="56" s="1"/>
  <c r="BE104" i="56" s="1"/>
  <c r="BF103" i="56"/>
  <c r="BG103" i="56" s="1"/>
  <c r="O115" i="56" a="1"/>
  <c r="O115" i="56" s="1"/>
  <c r="P115" i="56" s="1"/>
  <c r="Q115" i="56" s="1"/>
  <c r="BQ104" i="56"/>
  <c r="CB104" i="56" s="1"/>
  <c r="BM108" i="56"/>
  <c r="BZ108" i="56" s="1"/>
  <c r="AM107" i="56" l="1"/>
  <c r="AN107" i="56" s="1"/>
  <c r="BF104" i="56"/>
  <c r="BG104" i="56" s="1"/>
  <c r="N116" i="56"/>
  <c r="V116" i="56"/>
  <c r="M116" i="56"/>
  <c r="I117" i="56" s="1"/>
  <c r="AX105" i="56"/>
  <c r="BP105" i="56"/>
  <c r="AR106" i="56" a="1"/>
  <c r="AR106" i="56" s="1"/>
  <c r="AT106" i="56" s="1"/>
  <c r="AH108" i="56"/>
  <c r="AG109" i="56"/>
  <c r="Y109" i="56"/>
  <c r="X109" i="56"/>
  <c r="S110" i="56" s="1"/>
  <c r="AV106" i="56" l="1"/>
  <c r="AW106" i="56"/>
  <c r="AI108" i="56"/>
  <c r="AD109" i="56" s="1"/>
  <c r="AK108" i="56"/>
  <c r="AS108" i="56"/>
  <c r="AJ108" i="56"/>
  <c r="Z109" i="56"/>
  <c r="AA109" i="56" s="1"/>
  <c r="BL109" i="56"/>
  <c r="AU106" i="56"/>
  <c r="AP107" i="56" s="1"/>
  <c r="K117" i="56" a="1"/>
  <c r="K117" i="56" s="1"/>
  <c r="BQ105" i="56"/>
  <c r="CB105" i="56" s="1"/>
  <c r="AY105" i="56"/>
  <c r="AZ105" i="56" s="1"/>
  <c r="O116" i="56" a="1"/>
  <c r="O116" i="56" s="1"/>
  <c r="P116" i="56" s="1"/>
  <c r="Q116" i="56" s="1"/>
  <c r="U110" i="56" a="1"/>
  <c r="U110" i="56" s="1"/>
  <c r="L117" i="56" l="1"/>
  <c r="M117" i="56" s="1"/>
  <c r="I118" i="56" s="1"/>
  <c r="BM109" i="56"/>
  <c r="BZ109" i="56" s="1"/>
  <c r="AF109" i="56" a="1"/>
  <c r="AF109" i="56" s="1"/>
  <c r="W110" i="56"/>
  <c r="BC105" i="56"/>
  <c r="BF105" i="56" s="1"/>
  <c r="AB109" i="56"/>
  <c r="AX106" i="56"/>
  <c r="AY106" i="56" s="1"/>
  <c r="AZ106" i="56" s="1"/>
  <c r="BP106" i="56"/>
  <c r="AR107" i="56" a="1"/>
  <c r="AR107" i="56" s="1"/>
  <c r="AT107" i="56" s="1"/>
  <c r="AU107" i="56" s="1"/>
  <c r="AP108" i="56" s="1"/>
  <c r="BN108" i="56"/>
  <c r="AL108" i="56"/>
  <c r="AM108" i="56" s="1"/>
  <c r="AR108" i="56" l="1" a="1"/>
  <c r="AR108" i="56" s="1"/>
  <c r="BC106" i="56"/>
  <c r="BB106" i="56" s="1"/>
  <c r="BE106" i="56" s="1"/>
  <c r="BB105" i="56"/>
  <c r="BE105" i="56" s="1"/>
  <c r="BG105" i="56" s="1"/>
  <c r="BO108" i="56"/>
  <c r="CA108" i="56" s="1"/>
  <c r="Y110" i="56"/>
  <c r="AG110" i="56"/>
  <c r="X110" i="56"/>
  <c r="S111" i="56" s="1"/>
  <c r="N117" i="56"/>
  <c r="V117" i="56"/>
  <c r="AV107" i="56"/>
  <c r="AW107" i="56"/>
  <c r="BQ106" i="56"/>
  <c r="CB106" i="56" s="1"/>
  <c r="AH109" i="56"/>
  <c r="AN108" i="56"/>
  <c r="K118" i="56" a="1"/>
  <c r="K118" i="56" s="1"/>
  <c r="L118" i="56" s="1"/>
  <c r="BF106" i="56" l="1"/>
  <c r="BG106" i="56" s="1"/>
  <c r="N118" i="56"/>
  <c r="V118" i="56"/>
  <c r="M118" i="56"/>
  <c r="I119" i="56" s="1"/>
  <c r="U111" i="56" a="1"/>
  <c r="U111" i="56" s="1"/>
  <c r="W111" i="56" s="1"/>
  <c r="AT108" i="56"/>
  <c r="AX107" i="56"/>
  <c r="AY107" i="56" s="1"/>
  <c r="AZ107" i="56" s="1"/>
  <c r="BP107" i="56"/>
  <c r="AK109" i="56"/>
  <c r="AS109" i="56"/>
  <c r="AJ109" i="56"/>
  <c r="O117" i="56" a="1"/>
  <c r="O117" i="56" s="1"/>
  <c r="P117" i="56" s="1"/>
  <c r="Q117" i="56" s="1"/>
  <c r="BL110" i="56"/>
  <c r="Z110" i="56"/>
  <c r="AA110" i="56" s="1"/>
  <c r="AI109" i="56"/>
  <c r="AD110" i="56" s="1"/>
  <c r="BC107" i="56" l="1"/>
  <c r="BF107" i="56" s="1"/>
  <c r="Y111" i="56"/>
  <c r="AG111" i="56"/>
  <c r="AB110" i="56"/>
  <c r="AF110" i="56" a="1"/>
  <c r="AF110" i="56" s="1"/>
  <c r="BM110" i="56"/>
  <c r="BZ110" i="56" s="1"/>
  <c r="AV108" i="56"/>
  <c r="AW108" i="56"/>
  <c r="X111" i="56"/>
  <c r="S112" i="56" s="1"/>
  <c r="K119" i="56" a="1"/>
  <c r="K119" i="56" s="1"/>
  <c r="L119" i="56" s="1"/>
  <c r="AU108" i="56"/>
  <c r="AP109" i="56" s="1"/>
  <c r="BN109" i="56"/>
  <c r="AL109" i="56"/>
  <c r="AM109" i="56" s="1"/>
  <c r="BQ107" i="56"/>
  <c r="CB107" i="56" s="1"/>
  <c r="O118" i="56" a="1"/>
  <c r="O118" i="56" s="1"/>
  <c r="P118" i="56" s="1"/>
  <c r="Q118" i="56" s="1"/>
  <c r="BB107" i="56" l="1"/>
  <c r="BE107" i="56" s="1"/>
  <c r="BG107" i="56" s="1"/>
  <c r="N119" i="56"/>
  <c r="V119" i="56"/>
  <c r="M119" i="56"/>
  <c r="I120" i="56" s="1"/>
  <c r="BO109" i="56"/>
  <c r="CA109" i="56" s="1"/>
  <c r="AR109" i="56" a="1"/>
  <c r="AR109" i="56" s="1"/>
  <c r="U112" i="56" a="1"/>
  <c r="U112" i="56" s="1"/>
  <c r="W112" i="56" s="1"/>
  <c r="AX108" i="56"/>
  <c r="AY108" i="56" s="1"/>
  <c r="BP108" i="56"/>
  <c r="Z111" i="56"/>
  <c r="AA111" i="56" s="1"/>
  <c r="BL111" i="56"/>
  <c r="AN109" i="56"/>
  <c r="AH110" i="56"/>
  <c r="X112" i="56" l="1"/>
  <c r="S113" i="56" s="1"/>
  <c r="U113" i="56" s="1" a="1"/>
  <c r="U113" i="56" s="1"/>
  <c r="AZ108" i="56"/>
  <c r="AJ110" i="56"/>
  <c r="AK110" i="56"/>
  <c r="AS110" i="56"/>
  <c r="AI110" i="56"/>
  <c r="AD111" i="56" s="1"/>
  <c r="Y112" i="56"/>
  <c r="AG112" i="56"/>
  <c r="K120" i="56" a="1"/>
  <c r="K120" i="56" s="1"/>
  <c r="L120" i="56" s="1"/>
  <c r="BM111" i="56"/>
  <c r="BZ111" i="56" s="1"/>
  <c r="BQ108" i="56"/>
  <c r="CB108" i="56" s="1"/>
  <c r="AT109" i="56"/>
  <c r="AB111" i="56"/>
  <c r="O119" i="56" a="1"/>
  <c r="O119" i="56" s="1"/>
  <c r="P119" i="56" s="1"/>
  <c r="Q119" i="56" s="1"/>
  <c r="W113" i="56" l="1"/>
  <c r="AG113" i="56" s="1"/>
  <c r="V120" i="56"/>
  <c r="N120" i="56"/>
  <c r="AH111" i="56"/>
  <c r="AW109" i="56"/>
  <c r="AV109" i="56"/>
  <c r="AU109" i="56"/>
  <c r="AP110" i="56" s="1"/>
  <c r="M120" i="56"/>
  <c r="I121" i="56" s="1"/>
  <c r="BL112" i="56"/>
  <c r="Z112" i="56"/>
  <c r="AA112" i="56" s="1"/>
  <c r="BN110" i="56"/>
  <c r="AL110" i="56"/>
  <c r="AM110" i="56" s="1"/>
  <c r="AF111" i="56" a="1"/>
  <c r="AF111" i="56" s="1"/>
  <c r="BC108" i="56"/>
  <c r="BB108" i="56" s="1"/>
  <c r="AI111" i="56" l="1"/>
  <c r="AD112" i="56" s="1"/>
  <c r="AF112" i="56" s="1" a="1"/>
  <c r="AF112" i="56" s="1"/>
  <c r="Y113" i="56"/>
  <c r="BL113" i="56" s="1"/>
  <c r="X113" i="56"/>
  <c r="S114" i="56" s="1"/>
  <c r="U114" i="56" s="1" a="1"/>
  <c r="U114" i="56" s="1"/>
  <c r="AB112" i="56"/>
  <c r="BE108" i="56"/>
  <c r="BO110" i="56"/>
  <c r="CA110" i="56" s="1"/>
  <c r="K121" i="56" a="1"/>
  <c r="K121" i="56" s="1"/>
  <c r="L121" i="56" s="1"/>
  <c r="AX109" i="56"/>
  <c r="AY109" i="56" s="1"/>
  <c r="BP109" i="56"/>
  <c r="AR110" i="56" a="1"/>
  <c r="AR110" i="56" s="1"/>
  <c r="AS111" i="56"/>
  <c r="AJ111" i="56"/>
  <c r="AK111" i="56"/>
  <c r="AN110" i="56"/>
  <c r="BM112" i="56"/>
  <c r="BZ112" i="56" s="1"/>
  <c r="O120" i="56" a="1"/>
  <c r="O120" i="56" s="1"/>
  <c r="P120" i="56" s="1"/>
  <c r="BF108" i="56"/>
  <c r="Z113" i="56" l="1"/>
  <c r="BM113" i="56" s="1"/>
  <c r="BZ113" i="56" s="1"/>
  <c r="W114" i="56"/>
  <c r="Y114" i="56" s="1"/>
  <c r="AZ109" i="56"/>
  <c r="N121" i="56"/>
  <c r="V121" i="56"/>
  <c r="AT110" i="56"/>
  <c r="Q120" i="56"/>
  <c r="M121" i="56"/>
  <c r="I122" i="56" s="1"/>
  <c r="AH112" i="56"/>
  <c r="BN111" i="56"/>
  <c r="AL111" i="56"/>
  <c r="AM111" i="56" s="1"/>
  <c r="BQ109" i="56"/>
  <c r="BG108" i="56"/>
  <c r="X114" i="56" l="1"/>
  <c r="S115" i="56" s="1"/>
  <c r="U115" i="56" s="1" a="1"/>
  <c r="U115" i="56" s="1"/>
  <c r="W115" i="56" s="1"/>
  <c r="AA113" i="56"/>
  <c r="AB113" i="56" s="1"/>
  <c r="AG114" i="56"/>
  <c r="BO111" i="56"/>
  <c r="CA111" i="56" s="1"/>
  <c r="AJ112" i="56"/>
  <c r="AK112" i="56"/>
  <c r="AS112" i="56"/>
  <c r="AI112" i="56"/>
  <c r="AD113" i="56" s="1"/>
  <c r="O121" i="56" a="1"/>
  <c r="O121" i="56" s="1"/>
  <c r="P121" i="56" s="1"/>
  <c r="K122" i="56" a="1"/>
  <c r="K122" i="56" s="1"/>
  <c r="L122" i="56" s="1"/>
  <c r="M122" i="56" s="1"/>
  <c r="I123" i="56" s="1"/>
  <c r="AV110" i="56"/>
  <c r="AW110" i="56"/>
  <c r="AU110" i="56"/>
  <c r="AP111" i="56" s="1"/>
  <c r="AN111" i="56"/>
  <c r="CB109" i="56"/>
  <c r="BL114" i="56"/>
  <c r="Z114" i="56"/>
  <c r="BM114" i="56" s="1"/>
  <c r="BC109" i="56"/>
  <c r="AA114" i="56" l="1"/>
  <c r="AB114" i="56" s="1"/>
  <c r="AH114" i="56" s="1"/>
  <c r="AS114" i="56" s="1"/>
  <c r="BZ114" i="56"/>
  <c r="K123" i="56" a="1"/>
  <c r="K123" i="56" s="1"/>
  <c r="AG115" i="56"/>
  <c r="Y115" i="56"/>
  <c r="X115" i="56"/>
  <c r="S116" i="56" s="1"/>
  <c r="Q121" i="56"/>
  <c r="BF109" i="56"/>
  <c r="BB109" i="56"/>
  <c r="BN112" i="56"/>
  <c r="AL112" i="56"/>
  <c r="AM112" i="56" s="1"/>
  <c r="AF113" i="56" a="1"/>
  <c r="AF113" i="56" s="1"/>
  <c r="AH113" i="56" s="1"/>
  <c r="AJ113" i="56" s="1"/>
  <c r="AR111" i="56" a="1"/>
  <c r="AR111" i="56" s="1"/>
  <c r="AX110" i="56"/>
  <c r="AY110" i="56" s="1"/>
  <c r="BP110" i="56"/>
  <c r="V122" i="56"/>
  <c r="N122" i="56"/>
  <c r="AI113" i="56" l="1"/>
  <c r="AD114" i="56" s="1"/>
  <c r="AF114" i="56" s="1" a="1"/>
  <c r="AF114" i="56" s="1"/>
  <c r="AI114" i="56" s="1"/>
  <c r="AD115" i="56" s="1"/>
  <c r="AK113" i="56"/>
  <c r="BN113" i="56" s="1"/>
  <c r="AS113" i="56"/>
  <c r="AK114" i="56"/>
  <c r="BN114" i="56" s="1"/>
  <c r="AJ114" i="56"/>
  <c r="AT111" i="56"/>
  <c r="AU111" i="56" s="1"/>
  <c r="AP112" i="56" s="1"/>
  <c r="AR112" i="56" s="1" a="1"/>
  <c r="AR112" i="56" s="1"/>
  <c r="AN112" i="56"/>
  <c r="BE109" i="56"/>
  <c r="L123" i="56"/>
  <c r="O122" i="56" a="1"/>
  <c r="O122" i="56" s="1"/>
  <c r="P122" i="56" s="1"/>
  <c r="AZ110" i="56"/>
  <c r="U116" i="56" a="1"/>
  <c r="U116" i="56" s="1"/>
  <c r="Z115" i="56"/>
  <c r="BM115" i="56" s="1"/>
  <c r="BL115" i="56"/>
  <c r="BQ110" i="56"/>
  <c r="CB110" i="56" s="1"/>
  <c r="BO112" i="56"/>
  <c r="CA112" i="56" s="1"/>
  <c r="AL113" i="56" l="1"/>
  <c r="BO113" i="56" s="1"/>
  <c r="CA113" i="56" s="1"/>
  <c r="AL114" i="56"/>
  <c r="BO114" i="56" s="1"/>
  <c r="CA114" i="56" s="1"/>
  <c r="AT112" i="56"/>
  <c r="AU112" i="56" s="1"/>
  <c r="AP113" i="56" s="1"/>
  <c r="AV111" i="56"/>
  <c r="AW111" i="56"/>
  <c r="BP111" i="56" s="1"/>
  <c r="BZ115" i="56"/>
  <c r="AF115" i="56" a="1"/>
  <c r="AF115" i="56" s="1"/>
  <c r="AA115" i="56"/>
  <c r="AB115" i="56" s="1"/>
  <c r="AH115" i="56" s="1"/>
  <c r="W116" i="56"/>
  <c r="X116" i="56" s="1"/>
  <c r="S117" i="56" s="1"/>
  <c r="BG109" i="56"/>
  <c r="BC110" i="56"/>
  <c r="BB110" i="56" s="1"/>
  <c r="N123" i="56"/>
  <c r="V123" i="56"/>
  <c r="Q122" i="56"/>
  <c r="M123" i="56"/>
  <c r="I124" i="56" s="1"/>
  <c r="AM113" i="56" l="1"/>
  <c r="AN113" i="56" s="1"/>
  <c r="AM114" i="56"/>
  <c r="AN114" i="56" s="1"/>
  <c r="AV112" i="56"/>
  <c r="AW112" i="56"/>
  <c r="AX112" i="56" s="1"/>
  <c r="AY112" i="56" s="1"/>
  <c r="AZ112" i="56" s="1"/>
  <c r="AX111" i="56"/>
  <c r="AY111" i="56" s="1"/>
  <c r="AZ111" i="56" s="1"/>
  <c r="AI115" i="56"/>
  <c r="AD116" i="56" s="1"/>
  <c r="AF116" i="56" s="1" a="1"/>
  <c r="AF116" i="56" s="1"/>
  <c r="U117" i="56" a="1"/>
  <c r="U117" i="56" s="1"/>
  <c r="W117" i="56" s="1"/>
  <c r="X117" i="56" s="1"/>
  <c r="S118" i="56" s="1"/>
  <c r="O123" i="56" a="1"/>
  <c r="O123" i="56" s="1"/>
  <c r="P123" i="56" s="1"/>
  <c r="BE110" i="56"/>
  <c r="K124" i="56" a="1"/>
  <c r="K124" i="56" s="1"/>
  <c r="L124" i="56" s="1"/>
  <c r="M124" i="56" s="1"/>
  <c r="I125" i="56" s="1"/>
  <c r="BF110" i="56"/>
  <c r="Y116" i="56"/>
  <c r="AG116" i="56"/>
  <c r="AR113" i="56" a="1"/>
  <c r="AR113" i="56" s="1"/>
  <c r="AS115" i="56"/>
  <c r="AK115" i="56"/>
  <c r="AJ115" i="56"/>
  <c r="AT113" i="56" l="1"/>
  <c r="AV113" i="56" s="1"/>
  <c r="BP112" i="56"/>
  <c r="BQ111" i="56"/>
  <c r="CB111" i="56" s="1"/>
  <c r="U118" i="56" a="1"/>
  <c r="U118" i="56" s="1"/>
  <c r="K125" i="56" a="1"/>
  <c r="K125" i="56" s="1"/>
  <c r="BQ112" i="56"/>
  <c r="BL116" i="56"/>
  <c r="Z116" i="56"/>
  <c r="BM116" i="56" s="1"/>
  <c r="BC111" i="56"/>
  <c r="Q123" i="56"/>
  <c r="BC112" i="56"/>
  <c r="BF112" i="56" s="1"/>
  <c r="BN115" i="56"/>
  <c r="AL115" i="56"/>
  <c r="BO115" i="56" s="1"/>
  <c r="V124" i="56"/>
  <c r="N124" i="56"/>
  <c r="BG110" i="56"/>
  <c r="Y117" i="56"/>
  <c r="AG117" i="56"/>
  <c r="AW113" i="56" l="1"/>
  <c r="AX113" i="56" s="1"/>
  <c r="AY113" i="56" s="1"/>
  <c r="AZ113" i="56" s="1"/>
  <c r="AU113" i="56"/>
  <c r="AP114" i="56" s="1"/>
  <c r="AR114" i="56" s="1" a="1"/>
  <c r="AR114" i="56" s="1"/>
  <c r="AM115" i="56"/>
  <c r="AN115" i="56" s="1"/>
  <c r="CB112" i="56"/>
  <c r="BZ116" i="56"/>
  <c r="BB112" i="56"/>
  <c r="BE112" i="56" s="1"/>
  <c r="BG112" i="56" s="1"/>
  <c r="L125" i="56"/>
  <c r="M125" i="56" s="1"/>
  <c r="I126" i="56" s="1"/>
  <c r="K126" i="56" s="1" a="1"/>
  <c r="K126" i="56" s="1"/>
  <c r="AA116" i="56"/>
  <c r="AB116" i="56" s="1"/>
  <c r="AH116" i="56" s="1"/>
  <c r="W118" i="56"/>
  <c r="BF111" i="56"/>
  <c r="O124" i="56" a="1"/>
  <c r="O124" i="56" s="1"/>
  <c r="P124" i="56" s="1"/>
  <c r="CA115" i="56"/>
  <c r="BB111" i="56"/>
  <c r="BL117" i="56"/>
  <c r="Z117" i="56"/>
  <c r="BM117" i="56" s="1"/>
  <c r="BP113" i="56" l="1"/>
  <c r="BZ117" i="56"/>
  <c r="V125" i="56"/>
  <c r="N125" i="56"/>
  <c r="AT114" i="56"/>
  <c r="AU114" i="56" s="1"/>
  <c r="AP115" i="56" s="1"/>
  <c r="BE111" i="56"/>
  <c r="L126" i="56"/>
  <c r="M126" i="56" s="1"/>
  <c r="I127" i="56" s="1"/>
  <c r="BC113" i="56"/>
  <c r="AA117" i="56"/>
  <c r="AB117" i="56" s="1"/>
  <c r="AH117" i="56" s="1"/>
  <c r="Q124" i="56"/>
  <c r="BQ113" i="56"/>
  <c r="AG118" i="56"/>
  <c r="Y118" i="56"/>
  <c r="AK116" i="56"/>
  <c r="AI116" i="56"/>
  <c r="AD117" i="56" s="1"/>
  <c r="AJ116" i="56"/>
  <c r="AS116" i="56"/>
  <c r="X118" i="56"/>
  <c r="S119" i="56" s="1"/>
  <c r="CB113" i="56" l="1"/>
  <c r="AV114" i="56"/>
  <c r="AW114" i="56"/>
  <c r="AX114" i="56" s="1"/>
  <c r="AY114" i="56" s="1"/>
  <c r="AZ114" i="56" s="1"/>
  <c r="O125" i="56" a="1"/>
  <c r="O125" i="56" s="1"/>
  <c r="P125" i="56" s="1"/>
  <c r="Q125" i="56" s="1"/>
  <c r="AR115" i="56" a="1"/>
  <c r="AR115" i="56" s="1"/>
  <c r="AT115" i="56" s="1"/>
  <c r="AF117" i="56" a="1"/>
  <c r="AF117" i="56" s="1"/>
  <c r="AI117" i="56" s="1"/>
  <c r="AD118" i="56" s="1"/>
  <c r="AS117" i="56"/>
  <c r="AK117" i="56"/>
  <c r="AJ117" i="56"/>
  <c r="Z118" i="56"/>
  <c r="BM118" i="56" s="1"/>
  <c r="BL118" i="56"/>
  <c r="V126" i="56"/>
  <c r="N126" i="56"/>
  <c r="U119" i="56" a="1"/>
  <c r="U119" i="56" s="1"/>
  <c r="W119" i="56" s="1"/>
  <c r="X119" i="56" s="1"/>
  <c r="BN116" i="56"/>
  <c r="AL116" i="56"/>
  <c r="BO116" i="56" s="1"/>
  <c r="BF113" i="56"/>
  <c r="BB113" i="56"/>
  <c r="BG111" i="56"/>
  <c r="K127" i="56" a="1"/>
  <c r="K127" i="56" s="1"/>
  <c r="L127" i="56" s="1"/>
  <c r="BP114" i="56" l="1"/>
  <c r="CA116" i="56"/>
  <c r="AM116" i="56"/>
  <c r="AN116" i="56" s="1"/>
  <c r="BZ118" i="56"/>
  <c r="AV115" i="56"/>
  <c r="AW115" i="56"/>
  <c r="BP115" i="56" s="1"/>
  <c r="AU115" i="56"/>
  <c r="AP116" i="56" s="1"/>
  <c r="N127" i="56"/>
  <c r="V127" i="56"/>
  <c r="BC114" i="56"/>
  <c r="BB114" i="56" s="1"/>
  <c r="BE114" i="56" s="1"/>
  <c r="S120" i="56"/>
  <c r="M127" i="56"/>
  <c r="I128" i="56" s="1"/>
  <c r="AA118" i="56"/>
  <c r="AB118" i="56" s="1"/>
  <c r="AH118" i="56" s="1"/>
  <c r="AL117" i="56"/>
  <c r="BO117" i="56" s="1"/>
  <c r="BN117" i="56"/>
  <c r="BE113" i="56"/>
  <c r="AG119" i="56"/>
  <c r="Y119" i="56"/>
  <c r="O126" i="56" a="1"/>
  <c r="O126" i="56" s="1"/>
  <c r="P126" i="56" s="1"/>
  <c r="Q126" i="56" s="1"/>
  <c r="AF118" i="56" a="1"/>
  <c r="AF118" i="56" s="1"/>
  <c r="BQ114" i="56"/>
  <c r="BF114" i="56" l="1"/>
  <c r="BG114" i="56" s="1"/>
  <c r="CB114" i="56"/>
  <c r="AI118" i="56"/>
  <c r="AD119" i="56" s="1"/>
  <c r="AF119" i="56" s="1" a="1"/>
  <c r="AF119" i="56" s="1"/>
  <c r="AX115" i="56"/>
  <c r="AY115" i="56" s="1"/>
  <c r="AZ115" i="56" s="1"/>
  <c r="AR116" i="56" a="1"/>
  <c r="AR116" i="56" s="1"/>
  <c r="AT116" i="56" s="1"/>
  <c r="BG113" i="56"/>
  <c r="BL119" i="56"/>
  <c r="Z119" i="56"/>
  <c r="BM119" i="56" s="1"/>
  <c r="CA117" i="56"/>
  <c r="AS118" i="56"/>
  <c r="AK118" i="56"/>
  <c r="AJ118" i="56"/>
  <c r="U120" i="56" a="1"/>
  <c r="U120" i="56" s="1"/>
  <c r="W120" i="56" s="1"/>
  <c r="AM117" i="56"/>
  <c r="AN117" i="56" s="1"/>
  <c r="K128" i="56" a="1"/>
  <c r="K128" i="56" s="1"/>
  <c r="L128" i="56" s="1"/>
  <c r="O127" i="56" a="1"/>
  <c r="O127" i="56" s="1"/>
  <c r="P127" i="56" s="1"/>
  <c r="Q127" i="56" s="1"/>
  <c r="BQ115" i="56" l="1"/>
  <c r="CB115" i="56" s="1"/>
  <c r="AW116" i="56"/>
  <c r="AV116" i="56"/>
  <c r="BZ119" i="56"/>
  <c r="X120" i="56"/>
  <c r="S121" i="56" s="1"/>
  <c r="U121" i="56" s="1" a="1"/>
  <c r="U121" i="56" s="1"/>
  <c r="W121" i="56" s="1"/>
  <c r="AA119" i="56"/>
  <c r="AB119" i="56" s="1"/>
  <c r="AH119" i="56" s="1"/>
  <c r="AS119" i="56" s="1"/>
  <c r="M128" i="56"/>
  <c r="I129" i="56" s="1"/>
  <c r="K129" i="56" s="1" a="1"/>
  <c r="K129" i="56" s="1"/>
  <c r="L129" i="56" s="1"/>
  <c r="AU116" i="56"/>
  <c r="AP117" i="56" s="1"/>
  <c r="AR117" i="56" s="1" a="1"/>
  <c r="AR117" i="56" s="1"/>
  <c r="V128" i="56"/>
  <c r="N128" i="56"/>
  <c r="Y120" i="56"/>
  <c r="AG120" i="56"/>
  <c r="BC115" i="56"/>
  <c r="BF115" i="56" s="1"/>
  <c r="BN118" i="56"/>
  <c r="AL118" i="56"/>
  <c r="BO118" i="56" s="1"/>
  <c r="AI119" i="56" l="1"/>
  <c r="AX116" i="56"/>
  <c r="AY116" i="56" s="1"/>
  <c r="AZ116" i="56" s="1"/>
  <c r="BP116" i="56"/>
  <c r="AM118" i="56"/>
  <c r="AN118" i="56" s="1"/>
  <c r="AK119" i="56"/>
  <c r="AJ119" i="56"/>
  <c r="AT117" i="56"/>
  <c r="N129" i="56"/>
  <c r="V129" i="56"/>
  <c r="Y121" i="56"/>
  <c r="AG121" i="56"/>
  <c r="CA118" i="56"/>
  <c r="Z120" i="56"/>
  <c r="AA120" i="56" s="1"/>
  <c r="BL120" i="56"/>
  <c r="M129" i="56"/>
  <c r="I130" i="56" s="1"/>
  <c r="X121" i="56"/>
  <c r="S122" i="56" s="1"/>
  <c r="BB115" i="56"/>
  <c r="BE115" i="56" s="1"/>
  <c r="BG115" i="56" s="1"/>
  <c r="O128" i="56" a="1"/>
  <c r="O128" i="56" s="1"/>
  <c r="P128" i="56" s="1"/>
  <c r="Q128" i="56" s="1"/>
  <c r="AD120" i="56" l="1"/>
  <c r="AF120" i="56" s="1" a="1"/>
  <c r="AF120" i="56" s="1"/>
  <c r="AW117" i="56"/>
  <c r="AV117" i="56"/>
  <c r="AU117" i="56"/>
  <c r="AP118" i="56" s="1"/>
  <c r="BQ116" i="56"/>
  <c r="CB116" i="56" s="1"/>
  <c r="AL119" i="56"/>
  <c r="BO119" i="56" s="1"/>
  <c r="BN119" i="56"/>
  <c r="BC116" i="56"/>
  <c r="BB116" i="56" s="1"/>
  <c r="BE116" i="56" s="1"/>
  <c r="BM120" i="56"/>
  <c r="BZ120" i="56" s="1"/>
  <c r="BL121" i="56"/>
  <c r="Z121" i="56"/>
  <c r="BM121" i="56" s="1"/>
  <c r="U122" i="56" a="1"/>
  <c r="U122" i="56" s="1"/>
  <c r="K130" i="56" a="1"/>
  <c r="K130" i="56" s="1"/>
  <c r="L130" i="56" s="1"/>
  <c r="AB120" i="56"/>
  <c r="O129" i="56" a="1"/>
  <c r="O129" i="56" s="1"/>
  <c r="P129" i="56" s="1"/>
  <c r="Q129" i="56" s="1"/>
  <c r="AM119" i="56" l="1"/>
  <c r="AN119" i="56" s="1"/>
  <c r="CA119" i="56"/>
  <c r="W122" i="56"/>
  <c r="X122" i="56" s="1"/>
  <c r="S123" i="56" s="1"/>
  <c r="U123" i="56" s="1" a="1"/>
  <c r="U123" i="56" s="1"/>
  <c r="BF116" i="56"/>
  <c r="BG116" i="56" s="1"/>
  <c r="BP117" i="56"/>
  <c r="AX117" i="56"/>
  <c r="AY117" i="56" s="1"/>
  <c r="AZ117" i="56" s="1"/>
  <c r="BC117" i="56" s="1"/>
  <c r="BB117" i="56" s="1"/>
  <c r="BE117" i="56" s="1"/>
  <c r="AR118" i="56" a="1"/>
  <c r="AR118" i="56" s="1"/>
  <c r="AT118" i="56" s="1"/>
  <c r="V130" i="56"/>
  <c r="N130" i="56"/>
  <c r="M130" i="56"/>
  <c r="I131" i="56" s="1"/>
  <c r="AH120" i="56"/>
  <c r="BZ121" i="56"/>
  <c r="AA121" i="56"/>
  <c r="Y122" i="56" l="1"/>
  <c r="BL122" i="56" s="1"/>
  <c r="AG122" i="56"/>
  <c r="W123" i="56"/>
  <c r="X123" i="56" s="1"/>
  <c r="S124" i="56" s="1"/>
  <c r="U124" i="56" s="1" a="1"/>
  <c r="U124" i="56" s="1"/>
  <c r="W124" i="56" s="1"/>
  <c r="AU118" i="56"/>
  <c r="AP119" i="56" s="1"/>
  <c r="AV118" i="56"/>
  <c r="AW118" i="56"/>
  <c r="BQ117" i="56"/>
  <c r="CB117" i="56" s="1"/>
  <c r="BF117" i="56"/>
  <c r="BG117" i="56" s="1"/>
  <c r="AB121" i="56"/>
  <c r="AS120" i="56"/>
  <c r="AJ120" i="56"/>
  <c r="AK120" i="56"/>
  <c r="AI120" i="56"/>
  <c r="AD121" i="56" s="1"/>
  <c r="K131" i="56" a="1"/>
  <c r="K131" i="56" s="1"/>
  <c r="L131" i="56" s="1"/>
  <c r="O130" i="56" a="1"/>
  <c r="O130" i="56" s="1"/>
  <c r="P130" i="56" s="1"/>
  <c r="Q130" i="56" s="1"/>
  <c r="Z122" i="56" l="1"/>
  <c r="AA122" i="56" s="1"/>
  <c r="AB122" i="56" s="1"/>
  <c r="AH122" i="56" s="1"/>
  <c r="Y123" i="56"/>
  <c r="BL123" i="56" s="1"/>
  <c r="AG123" i="56"/>
  <c r="AR119" i="56" a="1"/>
  <c r="AR119" i="56" s="1"/>
  <c r="AT119" i="56" s="1"/>
  <c r="BP118" i="56"/>
  <c r="AX118" i="56"/>
  <c r="BQ118" i="56" s="1"/>
  <c r="X124" i="56"/>
  <c r="S125" i="56" s="1"/>
  <c r="U125" i="56" s="1" a="1"/>
  <c r="U125" i="56" s="1"/>
  <c r="AH121" i="56"/>
  <c r="BN120" i="56"/>
  <c r="AL120" i="56"/>
  <c r="AM120" i="56" s="1"/>
  <c r="N131" i="56"/>
  <c r="V131" i="56"/>
  <c r="AF121" i="56" a="1"/>
  <c r="AF121" i="56" s="1"/>
  <c r="M131" i="56"/>
  <c r="I132" i="56" s="1"/>
  <c r="AG124" i="56"/>
  <c r="Y124" i="56"/>
  <c r="BM122" i="56" l="1"/>
  <c r="BZ122" i="56" s="1"/>
  <c r="Z123" i="56"/>
  <c r="BM123" i="56" s="1"/>
  <c r="BZ123" i="56" s="1"/>
  <c r="AI121" i="56"/>
  <c r="AD122" i="56" s="1"/>
  <c r="AF122" i="56" s="1" a="1"/>
  <c r="AF122" i="56" s="1"/>
  <c r="AI122" i="56" s="1"/>
  <c r="AD123" i="56" s="1"/>
  <c r="AU119" i="56"/>
  <c r="AP120" i="56" s="1"/>
  <c r="AR120" i="56" s="1" a="1"/>
  <c r="AR120" i="56" s="1"/>
  <c r="AY118" i="56"/>
  <c r="AZ118" i="56" s="1"/>
  <c r="CB118" i="56"/>
  <c r="AV119" i="56"/>
  <c r="AW119" i="56"/>
  <c r="Z124" i="56"/>
  <c r="BM124" i="56" s="1"/>
  <c r="BL124" i="56"/>
  <c r="K132" i="56" a="1"/>
  <c r="K132" i="56" s="1"/>
  <c r="L132" i="56" s="1"/>
  <c r="O131" i="56" a="1"/>
  <c r="O131" i="56" s="1"/>
  <c r="P131" i="56" s="1"/>
  <c r="Q131" i="56" s="1"/>
  <c r="BO120" i="56"/>
  <c r="CA120" i="56" s="1"/>
  <c r="AJ121" i="56"/>
  <c r="AS121" i="56"/>
  <c r="AK121" i="56"/>
  <c r="W125" i="56"/>
  <c r="AN120" i="56"/>
  <c r="AK122" i="56"/>
  <c r="AS122" i="56"/>
  <c r="AJ122" i="56"/>
  <c r="AA123" i="56" l="1"/>
  <c r="AB123" i="56" s="1"/>
  <c r="BP119" i="56"/>
  <c r="AX119" i="56"/>
  <c r="BC118" i="56"/>
  <c r="BF118" i="56" s="1"/>
  <c r="V132" i="56"/>
  <c r="N132" i="56"/>
  <c r="M132" i="56"/>
  <c r="I133" i="56" s="1"/>
  <c r="AF123" i="56" a="1"/>
  <c r="AF123" i="56" s="1"/>
  <c r="BN122" i="56"/>
  <c r="AL122" i="56"/>
  <c r="BO122" i="56" s="1"/>
  <c r="AT120" i="56"/>
  <c r="AL121" i="56"/>
  <c r="AM121" i="56" s="1"/>
  <c r="BN121" i="56"/>
  <c r="BZ124" i="56"/>
  <c r="AA124" i="56"/>
  <c r="AB124" i="56" s="1"/>
  <c r="AH124" i="56" s="1"/>
  <c r="Y125" i="56"/>
  <c r="AG125" i="56"/>
  <c r="X125" i="56"/>
  <c r="S126" i="56" s="1"/>
  <c r="BB118" i="56" l="1"/>
  <c r="BE118" i="56" s="1"/>
  <c r="BG118" i="56" s="1"/>
  <c r="BQ119" i="56"/>
  <c r="CB119" i="56" s="1"/>
  <c r="AY119" i="56"/>
  <c r="AZ119" i="56" s="1"/>
  <c r="BC119" i="56" s="1"/>
  <c r="BB119" i="56" s="1"/>
  <c r="BE119" i="56" s="1"/>
  <c r="BO121" i="56"/>
  <c r="CA121" i="56" s="1"/>
  <c r="AM122" i="56"/>
  <c r="AN122" i="56" s="1"/>
  <c r="U126" i="56" a="1"/>
  <c r="U126" i="56" s="1"/>
  <c r="W126" i="56" s="1"/>
  <c r="O132" i="56" a="1"/>
  <c r="O132" i="56" s="1"/>
  <c r="P132" i="56" s="1"/>
  <c r="BL125" i="56"/>
  <c r="Z125" i="56"/>
  <c r="BM125" i="56" s="1"/>
  <c r="AH123" i="56"/>
  <c r="AN121" i="56"/>
  <c r="AU120" i="56"/>
  <c r="AP121" i="56" s="1"/>
  <c r="AW120" i="56"/>
  <c r="AV120" i="56"/>
  <c r="AK124" i="56"/>
  <c r="AS124" i="56"/>
  <c r="AJ124" i="56"/>
  <c r="CA122" i="56"/>
  <c r="K133" i="56" a="1"/>
  <c r="K133" i="56" s="1"/>
  <c r="BF119" i="56" l="1"/>
  <c r="BG119" i="56" s="1"/>
  <c r="AG126" i="56"/>
  <c r="Y126" i="56"/>
  <c r="BN124" i="56"/>
  <c r="AL124" i="56"/>
  <c r="BO124" i="56" s="1"/>
  <c r="AX120" i="56"/>
  <c r="BP120" i="56"/>
  <c r="L133" i="56"/>
  <c r="AR121" i="56" a="1"/>
  <c r="AR121" i="56" s="1"/>
  <c r="Q132" i="56"/>
  <c r="X126" i="56"/>
  <c r="S127" i="56" s="1"/>
  <c r="AK123" i="56"/>
  <c r="AS123" i="56"/>
  <c r="AJ123" i="56"/>
  <c r="BZ125" i="56"/>
  <c r="AA125" i="56"/>
  <c r="AB125" i="56" s="1"/>
  <c r="AI123" i="56"/>
  <c r="AD124" i="56" s="1"/>
  <c r="AM124" i="56" l="1"/>
  <c r="AN124" i="56" s="1"/>
  <c r="AF124" i="56" a="1"/>
  <c r="AF124" i="56" s="1"/>
  <c r="AI124" i="56" s="1"/>
  <c r="AD125" i="56" s="1"/>
  <c r="AL123" i="56"/>
  <c r="AM123" i="56" s="1"/>
  <c r="BN123" i="56"/>
  <c r="N133" i="56"/>
  <c r="V133" i="56"/>
  <c r="U127" i="56" a="1"/>
  <c r="U127" i="56" s="1"/>
  <c r="W127" i="56" s="1"/>
  <c r="BQ120" i="56"/>
  <c r="CB120" i="56" s="1"/>
  <c r="M133" i="56"/>
  <c r="I134" i="56" s="1"/>
  <c r="Z126" i="56"/>
  <c r="BM126" i="56" s="1"/>
  <c r="BL126" i="56"/>
  <c r="AT121" i="56"/>
  <c r="AY120" i="56"/>
  <c r="CA124" i="56"/>
  <c r="AA126" i="56" l="1"/>
  <c r="AB126" i="56" s="1"/>
  <c r="AH126" i="56" s="1"/>
  <c r="AS126" i="56" s="1"/>
  <c r="AG127" i="56"/>
  <c r="Y127" i="56"/>
  <c r="AF125" i="56" a="1"/>
  <c r="AF125" i="56" s="1"/>
  <c r="O133" i="56" a="1"/>
  <c r="O133" i="56" s="1"/>
  <c r="K134" i="56" a="1"/>
  <c r="K134" i="56" s="1"/>
  <c r="X127" i="56"/>
  <c r="S128" i="56" s="1"/>
  <c r="BO123" i="56"/>
  <c r="AZ120" i="56"/>
  <c r="BZ126" i="56"/>
  <c r="AN123" i="56"/>
  <c r="AW121" i="56"/>
  <c r="AV121" i="56"/>
  <c r="AU121" i="56"/>
  <c r="AP122" i="56" s="1"/>
  <c r="AH125" i="56" l="1"/>
  <c r="AK126" i="56"/>
  <c r="AJ126" i="56"/>
  <c r="L134" i="56"/>
  <c r="V134" i="56" s="1"/>
  <c r="U128" i="56" a="1"/>
  <c r="U128" i="56" s="1"/>
  <c r="P133" i="56"/>
  <c r="BL127" i="56"/>
  <c r="Z127" i="56"/>
  <c r="BM127" i="56" s="1"/>
  <c r="AR122" i="56" a="1"/>
  <c r="AR122" i="56" s="1"/>
  <c r="AT122" i="56" s="1"/>
  <c r="AU122" i="56" s="1"/>
  <c r="AP123" i="56" s="1"/>
  <c r="AX121" i="56"/>
  <c r="BP121" i="56"/>
  <c r="BC120" i="56"/>
  <c r="BB120" i="56" s="1"/>
  <c r="CA123" i="56"/>
  <c r="AS125" i="56" l="1"/>
  <c r="AK125" i="56"/>
  <c r="AJ125" i="56"/>
  <c r="AI125" i="56"/>
  <c r="AD126" i="56" s="1"/>
  <c r="AF126" i="56" s="1" a="1"/>
  <c r="AF126" i="56" s="1"/>
  <c r="AI126" i="56" s="1"/>
  <c r="AD127" i="56" s="1"/>
  <c r="AF127" i="56" s="1" a="1"/>
  <c r="AF127" i="56" s="1"/>
  <c r="N134" i="56"/>
  <c r="O134" i="56" s="1" a="1"/>
  <c r="O134" i="56" s="1"/>
  <c r="M134" i="56"/>
  <c r="I135" i="56" s="1"/>
  <c r="K135" i="56" s="1" a="1"/>
  <c r="K135" i="56" s="1"/>
  <c r="L135" i="56" s="1"/>
  <c r="BN126" i="56"/>
  <c r="AL126" i="56"/>
  <c r="BZ127" i="56"/>
  <c r="W128" i="56"/>
  <c r="AG128" i="56" s="1"/>
  <c r="BQ121" i="56"/>
  <c r="CB121" i="56" s="1"/>
  <c r="Q133" i="56"/>
  <c r="BF120" i="56"/>
  <c r="AY121" i="56"/>
  <c r="AW122" i="56"/>
  <c r="AV122" i="56"/>
  <c r="BE120" i="56"/>
  <c r="AR123" i="56" a="1"/>
  <c r="AR123" i="56" s="1"/>
  <c r="AT123" i="56" s="1"/>
  <c r="AA127" i="56"/>
  <c r="AB127" i="56" s="1"/>
  <c r="AH127" i="56" s="1"/>
  <c r="BN125" i="56" l="1"/>
  <c r="AL125" i="56"/>
  <c r="N135" i="56"/>
  <c r="O135" i="56" s="1" a="1"/>
  <c r="O135" i="56" s="1"/>
  <c r="P135" i="56" s="1"/>
  <c r="Q135" i="56" s="1"/>
  <c r="V135" i="56"/>
  <c r="Y128" i="56"/>
  <c r="Z128" i="56" s="1"/>
  <c r="BM128" i="56" s="1"/>
  <c r="X128" i="56"/>
  <c r="S129" i="56" s="1"/>
  <c r="U129" i="56" s="1" a="1"/>
  <c r="U129" i="56" s="1"/>
  <c r="BO126" i="56"/>
  <c r="CA126" i="56" s="1"/>
  <c r="AM126" i="56"/>
  <c r="AN126" i="56" s="1"/>
  <c r="M135" i="56"/>
  <c r="I136" i="56" s="1"/>
  <c r="K136" i="56" s="1" a="1"/>
  <c r="K136" i="56" s="1"/>
  <c r="AI127" i="56"/>
  <c r="AD128" i="56" s="1"/>
  <c r="AF128" i="56" s="1" a="1"/>
  <c r="AF128" i="56" s="1"/>
  <c r="AW123" i="56"/>
  <c r="AV123" i="56"/>
  <c r="AU123" i="56"/>
  <c r="AP124" i="56" s="1"/>
  <c r="BG120" i="56"/>
  <c r="AX122" i="56"/>
  <c r="AY122" i="56" s="1"/>
  <c r="AZ122" i="56" s="1"/>
  <c r="BP122" i="56"/>
  <c r="AS127" i="56"/>
  <c r="AJ127" i="56"/>
  <c r="AK127" i="56"/>
  <c r="AZ121" i="56"/>
  <c r="P134" i="56"/>
  <c r="BO125" i="56" l="1"/>
  <c r="CA125" i="56" s="1"/>
  <c r="AM125" i="56"/>
  <c r="AN125" i="56" s="1"/>
  <c r="W129" i="56"/>
  <c r="Y129" i="56" s="1"/>
  <c r="BL129" i="56" s="1"/>
  <c r="BL128" i="56"/>
  <c r="BZ128" i="56" s="1"/>
  <c r="L136" i="56"/>
  <c r="N136" i="56" s="1"/>
  <c r="AA128" i="56"/>
  <c r="AB128" i="56" s="1"/>
  <c r="AH128" i="56" s="1"/>
  <c r="AL127" i="56"/>
  <c r="AM127" i="56" s="1"/>
  <c r="BN127" i="56"/>
  <c r="BC121" i="56"/>
  <c r="BB121" i="56" s="1"/>
  <c r="BC122" i="56"/>
  <c r="BB122" i="56" s="1"/>
  <c r="BE122" i="56" s="1"/>
  <c r="AR124" i="56" a="1"/>
  <c r="AR124" i="56" s="1"/>
  <c r="Q134" i="56"/>
  <c r="BQ122" i="56"/>
  <c r="AX123" i="56"/>
  <c r="BP123" i="56"/>
  <c r="BF122" i="56" l="1"/>
  <c r="BG122" i="56" s="1"/>
  <c r="Z129" i="56"/>
  <c r="BM129" i="56" s="1"/>
  <c r="BZ129" i="56" s="1"/>
  <c r="AG129" i="56"/>
  <c r="X129" i="56"/>
  <c r="S130" i="56" s="1"/>
  <c r="U130" i="56" s="1" a="1"/>
  <c r="U130" i="56" s="1"/>
  <c r="W130" i="56" s="1"/>
  <c r="AG130" i="56" s="1"/>
  <c r="V136" i="56"/>
  <c r="M136" i="56"/>
  <c r="I137" i="56" s="1"/>
  <c r="K137" i="56" s="1" a="1"/>
  <c r="K137" i="56" s="1"/>
  <c r="L137" i="56" s="1"/>
  <c r="AT124" i="56"/>
  <c r="AW124" i="56" s="1"/>
  <c r="BE121" i="56"/>
  <c r="BQ123" i="56"/>
  <c r="CB123" i="56" s="1"/>
  <c r="AI128" i="56"/>
  <c r="AD129" i="56" s="1"/>
  <c r="AS128" i="56"/>
  <c r="AK128" i="56"/>
  <c r="AJ128" i="56"/>
  <c r="AY123" i="56"/>
  <c r="BO127" i="56"/>
  <c r="CA127" i="56" s="1"/>
  <c r="O136" i="56" a="1"/>
  <c r="O136" i="56" s="1"/>
  <c r="P136" i="56" s="1"/>
  <c r="CB122" i="56"/>
  <c r="BF121" i="56"/>
  <c r="AN127" i="56"/>
  <c r="AA129" i="56" l="1"/>
  <c r="AB129" i="56" s="1"/>
  <c r="AH129" i="56" s="1"/>
  <c r="AS129" i="56" s="1"/>
  <c r="Y130" i="56"/>
  <c r="Z130" i="56" s="1"/>
  <c r="BM130" i="56" s="1"/>
  <c r="X130" i="56"/>
  <c r="S131" i="56" s="1"/>
  <c r="U131" i="56" s="1" a="1"/>
  <c r="U131" i="56" s="1"/>
  <c r="W131" i="56" s="1"/>
  <c r="AV124" i="56"/>
  <c r="AU124" i="56"/>
  <c r="AP125" i="56" s="1"/>
  <c r="AR125" i="56" s="1" a="1"/>
  <c r="AR125" i="56" s="1"/>
  <c r="AT125" i="56" s="1"/>
  <c r="Q136" i="56"/>
  <c r="AZ123" i="56"/>
  <c r="AF129" i="56" a="1"/>
  <c r="AF129" i="56" s="1"/>
  <c r="AX124" i="56"/>
  <c r="AY124" i="56" s="1"/>
  <c r="BP124" i="56"/>
  <c r="V137" i="56"/>
  <c r="N137" i="56"/>
  <c r="BN128" i="56"/>
  <c r="AL128" i="56"/>
  <c r="BO128" i="56" s="1"/>
  <c r="BG121" i="56"/>
  <c r="M137" i="56"/>
  <c r="I138" i="56" s="1"/>
  <c r="AK129" i="56" l="1"/>
  <c r="BN129" i="56" s="1"/>
  <c r="AJ129" i="56"/>
  <c r="AI129" i="56"/>
  <c r="AD130" i="56" s="1"/>
  <c r="AF130" i="56" s="1" a="1"/>
  <c r="AF130" i="56" s="1"/>
  <c r="BL130" i="56"/>
  <c r="BZ130" i="56" s="1"/>
  <c r="X131" i="56"/>
  <c r="S132" i="56" s="1"/>
  <c r="AU125" i="56"/>
  <c r="AP126" i="56" s="1"/>
  <c r="AW125" i="56"/>
  <c r="AX125" i="56" s="1"/>
  <c r="AY125" i="56" s="1"/>
  <c r="AV125" i="56"/>
  <c r="AM128" i="56"/>
  <c r="AN128" i="56" s="1"/>
  <c r="AA130" i="56"/>
  <c r="AB130" i="56" s="1"/>
  <c r="AH130" i="56" s="1"/>
  <c r="AK130" i="56" s="1"/>
  <c r="AL130" i="56" s="1"/>
  <c r="AZ124" i="56"/>
  <c r="K138" i="56" a="1"/>
  <c r="K138" i="56" s="1"/>
  <c r="L138" i="56" s="1"/>
  <c r="CA128" i="56"/>
  <c r="Y131" i="56"/>
  <c r="AG131" i="56"/>
  <c r="O137" i="56" a="1"/>
  <c r="O137" i="56" s="1"/>
  <c r="P137" i="56" s="1"/>
  <c r="BQ124" i="56"/>
  <c r="CB124" i="56" s="1"/>
  <c r="BC123" i="56"/>
  <c r="BB123" i="56" s="1"/>
  <c r="AL129" i="56" l="1"/>
  <c r="BO129" i="56" s="1"/>
  <c r="CA129" i="56" s="1"/>
  <c r="AS130" i="56"/>
  <c r="BP125" i="56"/>
  <c r="BO130" i="56"/>
  <c r="AM130" i="56"/>
  <c r="AN130" i="56" s="1"/>
  <c r="BN130" i="56"/>
  <c r="AJ130" i="56"/>
  <c r="AI130" i="56"/>
  <c r="AD131" i="56" s="1"/>
  <c r="AF131" i="56" s="1" a="1"/>
  <c r="AF131" i="56" s="1"/>
  <c r="AR126" i="56" a="1"/>
  <c r="AR126" i="56" s="1"/>
  <c r="N138" i="56"/>
  <c r="V138" i="56"/>
  <c r="M138" i="56"/>
  <c r="I139" i="56" s="1"/>
  <c r="AZ125" i="56"/>
  <c r="U132" i="56" a="1"/>
  <c r="U132" i="56" s="1"/>
  <c r="BC124" i="56"/>
  <c r="BF124" i="56" s="1"/>
  <c r="BE123" i="56"/>
  <c r="Q137" i="56"/>
  <c r="BL131" i="56"/>
  <c r="Z131" i="56"/>
  <c r="BM131" i="56" s="1"/>
  <c r="BF123" i="56"/>
  <c r="BQ125" i="56"/>
  <c r="CB125" i="56" l="1"/>
  <c r="AM129" i="56"/>
  <c r="AN129" i="56" s="1"/>
  <c r="BZ131" i="56"/>
  <c r="AT126" i="56"/>
  <c r="AU126" i="56" s="1"/>
  <c r="AP127" i="56" s="1"/>
  <c r="CA130" i="56"/>
  <c r="BB124" i="56"/>
  <c r="BE124" i="56" s="1"/>
  <c r="BG124" i="56" s="1"/>
  <c r="BG123" i="56"/>
  <c r="AA131" i="56"/>
  <c r="AB131" i="56" s="1"/>
  <c r="AH131" i="56" s="1"/>
  <c r="AI131" i="56" s="1"/>
  <c r="W132" i="56"/>
  <c r="BC125" i="56"/>
  <c r="K139" i="56" a="1"/>
  <c r="K139" i="56" s="1"/>
  <c r="O138" i="56" a="1"/>
  <c r="O138" i="56" s="1"/>
  <c r="P138" i="56" s="1"/>
  <c r="Q138" i="56" s="1"/>
  <c r="L139" i="56" l="1"/>
  <c r="V139" i="56" s="1"/>
  <c r="AR127" i="56" a="1"/>
  <c r="AR127" i="56" s="1"/>
  <c r="AT127" i="56" s="1"/>
  <c r="AW126" i="56"/>
  <c r="AV126" i="56"/>
  <c r="AD132" i="56"/>
  <c r="Y132" i="56"/>
  <c r="AG132" i="56"/>
  <c r="AK131" i="56"/>
  <c r="AS131" i="56"/>
  <c r="AJ131" i="56"/>
  <c r="BF125" i="56"/>
  <c r="BB125" i="56"/>
  <c r="X132" i="56"/>
  <c r="S133" i="56" s="1"/>
  <c r="N139" i="56" l="1"/>
  <c r="O139" i="56" s="1" a="1"/>
  <c r="O139" i="56" s="1"/>
  <c r="P139" i="56" s="1"/>
  <c r="Q139" i="56" s="1"/>
  <c r="M139" i="56"/>
  <c r="I140" i="56" s="1"/>
  <c r="K140" i="56" s="1" a="1"/>
  <c r="K140" i="56" s="1"/>
  <c r="AW127" i="56"/>
  <c r="AV127" i="56"/>
  <c r="AU127" i="56"/>
  <c r="AP128" i="56" s="1"/>
  <c r="AX126" i="56"/>
  <c r="BP126" i="56"/>
  <c r="AL131" i="56"/>
  <c r="BO131" i="56" s="1"/>
  <c r="BN131" i="56"/>
  <c r="AF132" i="56" a="1"/>
  <c r="AF132" i="56" s="1"/>
  <c r="U133" i="56" a="1"/>
  <c r="U133" i="56" s="1"/>
  <c r="BE125" i="56"/>
  <c r="Z132" i="56"/>
  <c r="BL132" i="56"/>
  <c r="L140" i="56" l="1"/>
  <c r="V140" i="56" s="1"/>
  <c r="CA131" i="56"/>
  <c r="AX127" i="56"/>
  <c r="BQ127" i="56" s="1"/>
  <c r="BP127" i="56"/>
  <c r="AM131" i="56"/>
  <c r="AN131" i="56" s="1"/>
  <c r="AY126" i="56"/>
  <c r="AZ126" i="56" s="1"/>
  <c r="BC126" i="56" s="1"/>
  <c r="BB126" i="56" s="1"/>
  <c r="BE126" i="56" s="1"/>
  <c r="BQ126" i="56"/>
  <c r="CB126" i="56" s="1"/>
  <c r="AR128" i="56" a="1"/>
  <c r="AR128" i="56" s="1"/>
  <c r="AT128" i="56" s="1"/>
  <c r="BM132" i="56"/>
  <c r="BZ132" i="56" s="1"/>
  <c r="AA132" i="56"/>
  <c r="BG125" i="56"/>
  <c r="W133" i="56"/>
  <c r="M140" i="56" l="1"/>
  <c r="I141" i="56" s="1"/>
  <c r="K141" i="56" s="1" a="1"/>
  <c r="K141" i="56" s="1"/>
  <c r="L141" i="56" s="1"/>
  <c r="N140" i="56"/>
  <c r="O140" i="56" s="1" a="1"/>
  <c r="O140" i="56" s="1"/>
  <c r="P140" i="56" s="1"/>
  <c r="Q140" i="56" s="1"/>
  <c r="CB127" i="56"/>
  <c r="BF126" i="56"/>
  <c r="BG126" i="56" s="1"/>
  <c r="AU128" i="56"/>
  <c r="AP129" i="56" s="1"/>
  <c r="AR129" i="56" s="1" a="1"/>
  <c r="AR129" i="56" s="1"/>
  <c r="AT129" i="56" s="1"/>
  <c r="AW129" i="56" s="1"/>
  <c r="AY127" i="56"/>
  <c r="AZ127" i="56" s="1"/>
  <c r="BC127" i="56" s="1"/>
  <c r="BB127" i="56" s="1"/>
  <c r="BE127" i="56" s="1"/>
  <c r="AW128" i="56"/>
  <c r="AV128" i="56"/>
  <c r="AB132" i="56"/>
  <c r="AG133" i="56"/>
  <c r="Y133" i="56"/>
  <c r="X133" i="56"/>
  <c r="S134" i="56" s="1"/>
  <c r="AV129" i="56" l="1"/>
  <c r="BF127" i="56"/>
  <c r="BG127" i="56" s="1"/>
  <c r="AU129" i="56"/>
  <c r="AP130" i="56" s="1"/>
  <c r="AR130" i="56" s="1" a="1"/>
  <c r="AR130" i="56" s="1"/>
  <c r="AX128" i="56"/>
  <c r="BQ128" i="56" s="1"/>
  <c r="BP128" i="56"/>
  <c r="V141" i="56"/>
  <c r="N141" i="56"/>
  <c r="BL133" i="56"/>
  <c r="Z133" i="56"/>
  <c r="AA133" i="56" s="1"/>
  <c r="AX129" i="56"/>
  <c r="AY129" i="56" s="1"/>
  <c r="AZ129" i="56" s="1"/>
  <c r="BP129" i="56"/>
  <c r="M141" i="56"/>
  <c r="I142" i="56" s="1"/>
  <c r="AH132" i="56"/>
  <c r="U134" i="56" a="1"/>
  <c r="U134" i="56" s="1"/>
  <c r="CB128" i="56" l="1"/>
  <c r="W134" i="56"/>
  <c r="X134" i="56" s="1"/>
  <c r="S135" i="56" s="1"/>
  <c r="U135" i="56" s="1" a="1"/>
  <c r="U135" i="56" s="1"/>
  <c r="W135" i="56" s="1"/>
  <c r="AY128" i="56"/>
  <c r="AZ128" i="56" s="1"/>
  <c r="BC129" i="56"/>
  <c r="BB129" i="56" s="1"/>
  <c r="BE129" i="56" s="1"/>
  <c r="AB133" i="56"/>
  <c r="AJ132" i="56"/>
  <c r="AS132" i="56"/>
  <c r="AK132" i="56"/>
  <c r="AI132" i="56"/>
  <c r="AD133" i="56" s="1"/>
  <c r="K142" i="56" a="1"/>
  <c r="K142" i="56" s="1"/>
  <c r="L142" i="56" s="1"/>
  <c r="AT130" i="56"/>
  <c r="BQ129" i="56"/>
  <c r="CB129" i="56" s="1"/>
  <c r="BM133" i="56"/>
  <c r="BZ133" i="56" s="1"/>
  <c r="O141" i="56" a="1"/>
  <c r="O141" i="56" s="1"/>
  <c r="P141" i="56" s="1"/>
  <c r="Q141" i="56" s="1"/>
  <c r="AG134" i="56" l="1"/>
  <c r="Y134" i="56"/>
  <c r="BL134" i="56" s="1"/>
  <c r="BF129" i="56"/>
  <c r="BG129" i="56" s="1"/>
  <c r="M142" i="56"/>
  <c r="I143" i="56" s="1"/>
  <c r="K143" i="56" s="1" a="1"/>
  <c r="K143" i="56" s="1"/>
  <c r="L143" i="56" s="1"/>
  <c r="BC128" i="56"/>
  <c r="BF128" i="56" s="1"/>
  <c r="AG135" i="56"/>
  <c r="Y135" i="56"/>
  <c r="AW130" i="56"/>
  <c r="AV130" i="56"/>
  <c r="AU130" i="56"/>
  <c r="AP131" i="56" s="1"/>
  <c r="X135" i="56"/>
  <c r="S136" i="56" s="1"/>
  <c r="AH133" i="56"/>
  <c r="AF133" i="56" a="1"/>
  <c r="AF133" i="56" s="1"/>
  <c r="N142" i="56"/>
  <c r="V142" i="56"/>
  <c r="BN132" i="56"/>
  <c r="AL132" i="56"/>
  <c r="Z134" i="56" l="1"/>
  <c r="AA134" i="56" s="1"/>
  <c r="AB134" i="56" s="1"/>
  <c r="AI133" i="56"/>
  <c r="AD134" i="56" s="1"/>
  <c r="AF134" i="56" s="1" a="1"/>
  <c r="AF134" i="56" s="1"/>
  <c r="BB128" i="56"/>
  <c r="BE128" i="56" s="1"/>
  <c r="BG128" i="56" s="1"/>
  <c r="V143" i="56"/>
  <c r="N143" i="56"/>
  <c r="BO132" i="56"/>
  <c r="CA132" i="56" s="1"/>
  <c r="AM132" i="56"/>
  <c r="O142" i="56" a="1"/>
  <c r="O142" i="56" s="1"/>
  <c r="P142" i="56" s="1"/>
  <c r="Q142" i="56" s="1"/>
  <c r="AJ133" i="56"/>
  <c r="AK133" i="56"/>
  <c r="AS133" i="56"/>
  <c r="M143" i="56"/>
  <c r="I144" i="56" s="1"/>
  <c r="U136" i="56" a="1"/>
  <c r="U136" i="56" s="1"/>
  <c r="W136" i="56" s="1"/>
  <c r="AX130" i="56"/>
  <c r="AY130" i="56" s="1"/>
  <c r="AZ130" i="56" s="1"/>
  <c r="BP130" i="56"/>
  <c r="BL135" i="56"/>
  <c r="Z135" i="56"/>
  <c r="BM135" i="56" s="1"/>
  <c r="AR131" i="56" a="1"/>
  <c r="AR131" i="56" s="1"/>
  <c r="AT131" i="56" s="1"/>
  <c r="BM134" i="56" l="1"/>
  <c r="BZ134" i="56" s="1"/>
  <c r="AW131" i="56"/>
  <c r="AV131" i="56"/>
  <c r="AU131" i="56"/>
  <c r="AP132" i="56" s="1"/>
  <c r="BC130" i="56"/>
  <c r="BB130" i="56" s="1"/>
  <c r="BE130" i="56" s="1"/>
  <c r="Y136" i="56"/>
  <c r="AG136" i="56"/>
  <c r="X136" i="56"/>
  <c r="S137" i="56" s="1"/>
  <c r="AL133" i="56"/>
  <c r="AM133" i="56" s="1"/>
  <c r="AN133" i="56" s="1"/>
  <c r="BN133" i="56"/>
  <c r="O143" i="56" a="1"/>
  <c r="O143" i="56" s="1"/>
  <c r="P143" i="56" s="1"/>
  <c r="Q143" i="56" s="1"/>
  <c r="K144" i="56" a="1"/>
  <c r="K144" i="56" s="1"/>
  <c r="L144" i="56" s="1"/>
  <c r="BZ135" i="56"/>
  <c r="BQ130" i="56"/>
  <c r="CB130" i="56" s="1"/>
  <c r="AA135" i="56"/>
  <c r="AN132" i="56"/>
  <c r="AH134" i="56"/>
  <c r="BF130" i="56" l="1"/>
  <c r="BG130" i="56" s="1"/>
  <c r="N144" i="56"/>
  <c r="V144" i="56"/>
  <c r="BO133" i="56"/>
  <c r="CA133" i="56" s="1"/>
  <c r="M144" i="56"/>
  <c r="I145" i="56" s="1"/>
  <c r="AR132" i="56" a="1"/>
  <c r="AR132" i="56" s="1"/>
  <c r="BL136" i="56"/>
  <c r="Z136" i="56"/>
  <c r="AA136" i="56" s="1"/>
  <c r="AB136" i="56" s="1"/>
  <c r="AH136" i="56" s="1"/>
  <c r="AK134" i="56"/>
  <c r="AS134" i="56"/>
  <c r="AJ134" i="56"/>
  <c r="AI134" i="56"/>
  <c r="AD135" i="56" s="1"/>
  <c r="AB135" i="56"/>
  <c r="U137" i="56" a="1"/>
  <c r="U137" i="56" s="1"/>
  <c r="W137" i="56" s="1"/>
  <c r="AX131" i="56"/>
  <c r="BP131" i="56"/>
  <c r="AS136" i="56" l="1"/>
  <c r="AK136" i="56"/>
  <c r="BN136" i="56" s="1"/>
  <c r="AG137" i="56"/>
  <c r="Y137" i="56"/>
  <c r="X137" i="56"/>
  <c r="S138" i="56" s="1"/>
  <c r="BQ131" i="56"/>
  <c r="CB131" i="56" s="1"/>
  <c r="BN134" i="56"/>
  <c r="AL134" i="56"/>
  <c r="AM134" i="56" s="1"/>
  <c r="AT132" i="56"/>
  <c r="AJ136" i="56"/>
  <c r="K145" i="56" a="1"/>
  <c r="K145" i="56" s="1"/>
  <c r="L145" i="56" s="1"/>
  <c r="AH135" i="56"/>
  <c r="AY131" i="56"/>
  <c r="AZ131" i="56" s="1"/>
  <c r="AF135" i="56" a="1"/>
  <c r="AF135" i="56" s="1"/>
  <c r="BM136" i="56"/>
  <c r="BZ136" i="56" s="1"/>
  <c r="O144" i="56" a="1"/>
  <c r="O144" i="56" s="1"/>
  <c r="AL136" i="56" l="1"/>
  <c r="BO136" i="56" s="1"/>
  <c r="CA136" i="56" s="1"/>
  <c r="AI135" i="56"/>
  <c r="AD136" i="56" s="1"/>
  <c r="AF136" i="56" s="1" a="1"/>
  <c r="AF136" i="56" s="1"/>
  <c r="V145" i="56"/>
  <c r="N145" i="56"/>
  <c r="U138" i="56" a="1"/>
  <c r="U138" i="56" s="1"/>
  <c r="W138" i="56" s="1"/>
  <c r="AV132" i="56"/>
  <c r="AW132" i="56"/>
  <c r="BO134" i="56"/>
  <c r="CA134" i="56" s="1"/>
  <c r="Z137" i="56"/>
  <c r="BM137" i="56" s="1"/>
  <c r="BL137" i="56"/>
  <c r="P144" i="56"/>
  <c r="BC131" i="56"/>
  <c r="BF131" i="56" s="1"/>
  <c r="AS135" i="56"/>
  <c r="AJ135" i="56"/>
  <c r="AK135" i="56"/>
  <c r="M145" i="56"/>
  <c r="I146" i="56" s="1"/>
  <c r="AN134" i="56"/>
  <c r="AU132" i="56"/>
  <c r="AP133" i="56" s="1"/>
  <c r="AM136" i="56" l="1"/>
  <c r="AN136" i="56" s="1"/>
  <c r="AI136" i="56"/>
  <c r="AD137" i="56" s="1"/>
  <c r="AF137" i="56" s="1" a="1"/>
  <c r="AF137" i="56" s="1"/>
  <c r="BB131" i="56"/>
  <c r="BE131" i="56" s="1"/>
  <c r="BG131" i="56" s="1"/>
  <c r="BZ137" i="56"/>
  <c r="AA137" i="56"/>
  <c r="AB137" i="56" s="1"/>
  <c r="X138" i="56"/>
  <c r="S139" i="56" s="1"/>
  <c r="AL135" i="56"/>
  <c r="AM135" i="56" s="1"/>
  <c r="BN135" i="56"/>
  <c r="O145" i="56" a="1"/>
  <c r="O145" i="56" s="1"/>
  <c r="P145" i="56" s="1"/>
  <c r="Q145" i="56" s="1"/>
  <c r="K146" i="56" a="1"/>
  <c r="K146" i="56" s="1"/>
  <c r="L146" i="56" s="1"/>
  <c r="AR133" i="56" a="1"/>
  <c r="AR133" i="56" s="1"/>
  <c r="Q144" i="56"/>
  <c r="AX132" i="56"/>
  <c r="AY132" i="56" s="1"/>
  <c r="BP132" i="56"/>
  <c r="Y138" i="56"/>
  <c r="AG138" i="56"/>
  <c r="U139" i="56" l="1" a="1"/>
  <c r="U139" i="56" s="1"/>
  <c r="M146" i="56"/>
  <c r="I147" i="56" s="1"/>
  <c r="K147" i="56" s="1" a="1"/>
  <c r="K147" i="56" s="1"/>
  <c r="AT133" i="56"/>
  <c r="AU133" i="56" s="1"/>
  <c r="AP134" i="56" s="1"/>
  <c r="BO135" i="56"/>
  <c r="CA135" i="56" s="1"/>
  <c r="BQ132" i="56"/>
  <c r="AH137" i="56"/>
  <c r="AZ132" i="56"/>
  <c r="BL138" i="56"/>
  <c r="Z138" i="56"/>
  <c r="BM138" i="56" s="1"/>
  <c r="AN135" i="56"/>
  <c r="N146" i="56"/>
  <c r="V146" i="56"/>
  <c r="W139" i="56" l="1"/>
  <c r="AA138" i="56"/>
  <c r="AB138" i="56" s="1"/>
  <c r="AH138" i="56" s="1"/>
  <c r="AJ138" i="56" s="1"/>
  <c r="AK137" i="56"/>
  <c r="AS137" i="56"/>
  <c r="AJ137" i="56"/>
  <c r="AI137" i="56"/>
  <c r="AD138" i="56" s="1"/>
  <c r="CB132" i="56"/>
  <c r="L147" i="56"/>
  <c r="BZ138" i="56"/>
  <c r="AW133" i="56"/>
  <c r="AV133" i="56"/>
  <c r="BC132" i="56"/>
  <c r="O146" i="56" a="1"/>
  <c r="O146" i="56" s="1"/>
  <c r="P146" i="56" s="1"/>
  <c r="AR134" i="56" a="1"/>
  <c r="AR134" i="56" s="1"/>
  <c r="AS138" i="56" l="1"/>
  <c r="AK138" i="56"/>
  <c r="AG139" i="56"/>
  <c r="Y139" i="56"/>
  <c r="X139" i="56"/>
  <c r="S140" i="56" s="1"/>
  <c r="Q146" i="56"/>
  <c r="BF132" i="56"/>
  <c r="BB132" i="56"/>
  <c r="AX133" i="56"/>
  <c r="BP133" i="56"/>
  <c r="AT134" i="56"/>
  <c r="AU134" i="56" s="1"/>
  <c r="AP135" i="56" s="1"/>
  <c r="AF138" i="56" a="1"/>
  <c r="AF138" i="56" s="1"/>
  <c r="AI138" i="56" s="1"/>
  <c r="AD139" i="56" s="1"/>
  <c r="BN137" i="56"/>
  <c r="AL137" i="56"/>
  <c r="V147" i="56"/>
  <c r="N147" i="56"/>
  <c r="M147" i="56"/>
  <c r="I148" i="56" s="1"/>
  <c r="BL139" i="56" l="1"/>
  <c r="Z139" i="56"/>
  <c r="BM139" i="56" s="1"/>
  <c r="BN138" i="56"/>
  <c r="AL138" i="56"/>
  <c r="BO138" i="56" s="1"/>
  <c r="U140" i="56" a="1"/>
  <c r="U140" i="56" s="1"/>
  <c r="W140" i="56" s="1"/>
  <c r="K148" i="56" a="1"/>
  <c r="K148" i="56" s="1"/>
  <c r="L148" i="56" s="1"/>
  <c r="M148" i="56" s="1"/>
  <c r="I149" i="56" s="1"/>
  <c r="AR135" i="56" a="1"/>
  <c r="AR135" i="56" s="1"/>
  <c r="AT135" i="56" s="1"/>
  <c r="AU135" i="56" s="1"/>
  <c r="AP136" i="56" s="1"/>
  <c r="AV134" i="56"/>
  <c r="AW134" i="56"/>
  <c r="BO137" i="56"/>
  <c r="CA137" i="56" s="1"/>
  <c r="BQ133" i="56"/>
  <c r="CB133" i="56" s="1"/>
  <c r="O147" i="56" a="1"/>
  <c r="O147" i="56" s="1"/>
  <c r="P147" i="56" s="1"/>
  <c r="BE132" i="56"/>
  <c r="AM137" i="56"/>
  <c r="AF139" i="56" a="1"/>
  <c r="AF139" i="56" s="1"/>
  <c r="AY133" i="56"/>
  <c r="BZ139" i="56" l="1"/>
  <c r="CA138" i="56"/>
  <c r="AM138" i="56"/>
  <c r="AN138" i="56" s="1"/>
  <c r="AA139" i="56"/>
  <c r="AB139" i="56" s="1"/>
  <c r="AH139" i="56" s="1"/>
  <c r="AJ139" i="56" s="1"/>
  <c r="X140" i="56"/>
  <c r="S141" i="56" s="1"/>
  <c r="Y140" i="56"/>
  <c r="AG140" i="56"/>
  <c r="AN137" i="56"/>
  <c r="BG132" i="56"/>
  <c r="AX134" i="56"/>
  <c r="AY134" i="56" s="1"/>
  <c r="AZ134" i="56" s="1"/>
  <c r="BP134" i="56"/>
  <c r="AW135" i="56"/>
  <c r="AV135" i="56"/>
  <c r="AZ133" i="56"/>
  <c r="Q147" i="56"/>
  <c r="N148" i="56"/>
  <c r="V148" i="56"/>
  <c r="AR136" i="56" a="1"/>
  <c r="AR136" i="56" s="1"/>
  <c r="K149" i="56" a="1"/>
  <c r="K149" i="56" s="1"/>
  <c r="L149" i="56" s="1"/>
  <c r="AK139" i="56" l="1"/>
  <c r="AS139" i="56"/>
  <c r="AI139" i="56"/>
  <c r="AD140" i="56" s="1"/>
  <c r="AF140" i="56" s="1" a="1"/>
  <c r="AF140" i="56" s="1"/>
  <c r="U141" i="56" a="1"/>
  <c r="U141" i="56" s="1"/>
  <c r="BL140" i="56"/>
  <c r="Z140" i="56"/>
  <c r="BM140" i="56" s="1"/>
  <c r="V149" i="56"/>
  <c r="N149" i="56"/>
  <c r="M149" i="56"/>
  <c r="I150" i="56" s="1"/>
  <c r="BQ134" i="56"/>
  <c r="CB134" i="56" s="1"/>
  <c r="AT136" i="56"/>
  <c r="AX135" i="56"/>
  <c r="AY135" i="56" s="1"/>
  <c r="BP135" i="56"/>
  <c r="BC133" i="56"/>
  <c r="O148" i="56" a="1"/>
  <c r="O148" i="56" s="1"/>
  <c r="P148" i="56" s="1"/>
  <c r="BC134" i="56"/>
  <c r="BF134" i="56" s="1"/>
  <c r="BZ140" i="56" l="1"/>
  <c r="AA140" i="56"/>
  <c r="AB140" i="56" s="1"/>
  <c r="AH140" i="56" s="1"/>
  <c r="AI140" i="56" s="1"/>
  <c r="AD141" i="56" s="1"/>
  <c r="AF141" i="56" s="1" a="1"/>
  <c r="AF141" i="56" s="1"/>
  <c r="BB134" i="56"/>
  <c r="BE134" i="56" s="1"/>
  <c r="BG134" i="56" s="1"/>
  <c r="BN139" i="56"/>
  <c r="AL139" i="56"/>
  <c r="BO139" i="56" s="1"/>
  <c r="W141" i="56"/>
  <c r="X141" i="56" s="1"/>
  <c r="S142" i="56" s="1"/>
  <c r="Q148" i="56"/>
  <c r="AZ135" i="56"/>
  <c r="K150" i="56" a="1"/>
  <c r="K150" i="56" s="1"/>
  <c r="BF133" i="56"/>
  <c r="O149" i="56" a="1"/>
  <c r="O149" i="56" s="1"/>
  <c r="P149" i="56" s="1"/>
  <c r="Q149" i="56" s="1"/>
  <c r="BB133" i="56"/>
  <c r="BQ135" i="56"/>
  <c r="CB135" i="56" s="1"/>
  <c r="AV136" i="56"/>
  <c r="AW136" i="56"/>
  <c r="AU136" i="56"/>
  <c r="AP137" i="56" s="1"/>
  <c r="AJ140" i="56" l="1"/>
  <c r="AK140" i="56"/>
  <c r="AS140" i="56"/>
  <c r="CA139" i="56"/>
  <c r="AM139" i="56"/>
  <c r="AN139" i="56" s="1"/>
  <c r="Y141" i="56"/>
  <c r="AG141" i="56"/>
  <c r="U142" i="56" a="1"/>
  <c r="U142" i="56" s="1"/>
  <c r="W142" i="56" s="1"/>
  <c r="L150" i="56"/>
  <c r="BC135" i="56"/>
  <c r="BB135" i="56" s="1"/>
  <c r="BE135" i="56" s="1"/>
  <c r="AR137" i="56" a="1"/>
  <c r="AR137" i="56" s="1"/>
  <c r="AX136" i="56"/>
  <c r="AY136" i="56" s="1"/>
  <c r="BP136" i="56"/>
  <c r="BE133" i="56"/>
  <c r="AL140" i="56" l="1"/>
  <c r="BN140" i="56"/>
  <c r="X142" i="56"/>
  <c r="S143" i="56" s="1"/>
  <c r="AG142" i="56"/>
  <c r="Y142" i="56"/>
  <c r="AT137" i="56"/>
  <c r="AU137" i="56" s="1"/>
  <c r="AP138" i="56" s="1"/>
  <c r="BL141" i="56"/>
  <c r="Z141" i="56"/>
  <c r="BM141" i="56" s="1"/>
  <c r="AZ136" i="56"/>
  <c r="BF135" i="56"/>
  <c r="BG135" i="56" s="1"/>
  <c r="BQ136" i="56"/>
  <c r="CB136" i="56" s="1"/>
  <c r="BG133" i="56"/>
  <c r="N150" i="56"/>
  <c r="V150" i="56"/>
  <c r="M150" i="56"/>
  <c r="I151" i="56" s="1"/>
  <c r="BO140" i="56" l="1"/>
  <c r="CA140" i="56" s="1"/>
  <c r="AM140" i="56"/>
  <c r="AN140" i="56" s="1"/>
  <c r="BZ141" i="56"/>
  <c r="AW137" i="56"/>
  <c r="AX137" i="56" s="1"/>
  <c r="AY137" i="56" s="1"/>
  <c r="AA141" i="56"/>
  <c r="AB141" i="56" s="1"/>
  <c r="AH141" i="56" s="1"/>
  <c r="AJ141" i="56" s="1"/>
  <c r="AR138" i="56" a="1"/>
  <c r="AR138" i="56" s="1"/>
  <c r="AV137" i="56"/>
  <c r="U143" i="56" a="1"/>
  <c r="U143" i="56" s="1"/>
  <c r="W143" i="56" s="1"/>
  <c r="Z142" i="56"/>
  <c r="BL142" i="56"/>
  <c r="K151" i="56" a="1"/>
  <c r="K151" i="56" s="1"/>
  <c r="L151" i="56" s="1"/>
  <c r="O150" i="56" a="1"/>
  <c r="O150" i="56" s="1"/>
  <c r="P150" i="56" s="1"/>
  <c r="Q150" i="56" s="1"/>
  <c r="BC136" i="56"/>
  <c r="AS141" i="56" l="1"/>
  <c r="AK141" i="56"/>
  <c r="BN141" i="56" s="1"/>
  <c r="AI141" i="56"/>
  <c r="AD142" i="56" s="1"/>
  <c r="AF142" i="56" s="1" a="1"/>
  <c r="AF142" i="56" s="1"/>
  <c r="BP137" i="56"/>
  <c r="X143" i="56"/>
  <c r="S144" i="56" s="1"/>
  <c r="U144" i="56" s="1" a="1"/>
  <c r="U144" i="56" s="1"/>
  <c r="Y143" i="56"/>
  <c r="AG143" i="56"/>
  <c r="M151" i="56"/>
  <c r="I152" i="56" s="1"/>
  <c r="K152" i="56" s="1" a="1"/>
  <c r="K152" i="56" s="1"/>
  <c r="BM142" i="56"/>
  <c r="BZ142" i="56" s="1"/>
  <c r="AA142" i="56"/>
  <c r="AB142" i="56" s="1"/>
  <c r="AH142" i="56" s="1"/>
  <c r="AT138" i="56"/>
  <c r="AU138" i="56" s="1"/>
  <c r="AP139" i="56" s="1"/>
  <c r="BF136" i="56"/>
  <c r="AZ137" i="56"/>
  <c r="BB136" i="56"/>
  <c r="V151" i="56"/>
  <c r="N151" i="56"/>
  <c r="BQ137" i="56"/>
  <c r="AL141" i="56" l="1"/>
  <c r="BO141" i="56" s="1"/>
  <c r="CA141" i="56" s="1"/>
  <c r="AI142" i="56"/>
  <c r="AD143" i="56" s="1"/>
  <c r="AF143" i="56" s="1" a="1"/>
  <c r="AF143" i="56" s="1"/>
  <c r="CB137" i="56"/>
  <c r="AR139" i="56" a="1"/>
  <c r="AR139" i="56" s="1"/>
  <c r="AT139" i="56" s="1"/>
  <c r="L152" i="56"/>
  <c r="M152" i="56" s="1"/>
  <c r="I153" i="56" s="1"/>
  <c r="K153" i="56" s="1" a="1"/>
  <c r="K153" i="56" s="1"/>
  <c r="L153" i="56" s="1"/>
  <c r="M153" i="56" s="1"/>
  <c r="I154" i="56" s="1"/>
  <c r="W144" i="56"/>
  <c r="X144" i="56" s="1"/>
  <c r="S145" i="56" s="1"/>
  <c r="U145" i="56" s="1" a="1"/>
  <c r="U145" i="56" s="1"/>
  <c r="AK142" i="56"/>
  <c r="AJ142" i="56"/>
  <c r="AS142" i="56"/>
  <c r="AV138" i="56"/>
  <c r="AW138" i="56"/>
  <c r="BL143" i="56"/>
  <c r="Z143" i="56"/>
  <c r="BM143" i="56" s="1"/>
  <c r="BC137" i="56"/>
  <c r="BB137" i="56" s="1"/>
  <c r="BE137" i="56" s="1"/>
  <c r="O151" i="56" a="1"/>
  <c r="O151" i="56" s="1"/>
  <c r="P151" i="56" s="1"/>
  <c r="Q151" i="56" s="1"/>
  <c r="BE136" i="56"/>
  <c r="AM141" i="56" l="1"/>
  <c r="AN141" i="56" s="1"/>
  <c r="N152" i="56"/>
  <c r="O152" i="56" s="1" a="1"/>
  <c r="O152" i="56" s="1"/>
  <c r="P152" i="56" s="1"/>
  <c r="Q152" i="56" s="1"/>
  <c r="V152" i="56"/>
  <c r="Y144" i="56"/>
  <c r="BL144" i="56" s="1"/>
  <c r="AG144" i="56"/>
  <c r="BZ143" i="56"/>
  <c r="AA143" i="56"/>
  <c r="AB143" i="56" s="1"/>
  <c r="AH143" i="56" s="1"/>
  <c r="AI143" i="56" s="1"/>
  <c r="AX138" i="56"/>
  <c r="BP138" i="56"/>
  <c r="AL142" i="56"/>
  <c r="BO142" i="56" s="1"/>
  <c r="BN142" i="56"/>
  <c r="AU139" i="56"/>
  <c r="AP140" i="56" s="1"/>
  <c r="AR140" i="56" s="1" a="1"/>
  <c r="AR140" i="56" s="1"/>
  <c r="AT140" i="56" s="1"/>
  <c r="AW140" i="56" s="1"/>
  <c r="AW139" i="56"/>
  <c r="AV139" i="56"/>
  <c r="K154" i="56" a="1"/>
  <c r="K154" i="56" s="1"/>
  <c r="L154" i="56" s="1"/>
  <c r="BG136" i="56"/>
  <c r="BF137" i="56"/>
  <c r="BG137" i="56" s="1"/>
  <c r="W145" i="56"/>
  <c r="V153" i="56"/>
  <c r="N153" i="56"/>
  <c r="AJ143" i="56" l="1"/>
  <c r="Z144" i="56"/>
  <c r="BM144" i="56" s="1"/>
  <c r="BZ144" i="56" s="1"/>
  <c r="AU140" i="56"/>
  <c r="AP141" i="56" s="1"/>
  <c r="AR141" i="56" s="1" a="1"/>
  <c r="AR141" i="56" s="1"/>
  <c r="AT141" i="56" s="1"/>
  <c r="CA142" i="56"/>
  <c r="AS143" i="56"/>
  <c r="AK143" i="56"/>
  <c r="AD144" i="56"/>
  <c r="AF144" i="56" s="1" a="1"/>
  <c r="AF144" i="56" s="1"/>
  <c r="AY138" i="56"/>
  <c r="AZ138" i="56" s="1"/>
  <c r="BC138" i="56" s="1"/>
  <c r="BQ138" i="56"/>
  <c r="CB138" i="56" s="1"/>
  <c r="AV140" i="56"/>
  <c r="AM142" i="56"/>
  <c r="AN142" i="56" s="1"/>
  <c r="M154" i="56"/>
  <c r="I155" i="56" s="1"/>
  <c r="K155" i="56" s="1" a="1"/>
  <c r="K155" i="56" s="1"/>
  <c r="L155" i="56" s="1"/>
  <c r="AX139" i="56"/>
  <c r="BQ139" i="56" s="1"/>
  <c r="BP139" i="56"/>
  <c r="O153" i="56" a="1"/>
  <c r="O153" i="56" s="1"/>
  <c r="P153" i="56" s="1"/>
  <c r="Q153" i="56" s="1"/>
  <c r="AX140" i="56"/>
  <c r="AY140" i="56" s="1"/>
  <c r="AZ140" i="56" s="1"/>
  <c r="BP140" i="56"/>
  <c r="AG145" i="56"/>
  <c r="Y145" i="56"/>
  <c r="N154" i="56"/>
  <c r="V154" i="56"/>
  <c r="X145" i="56"/>
  <c r="S146" i="56" s="1"/>
  <c r="AA144" i="56" l="1"/>
  <c r="AB144" i="56" s="1"/>
  <c r="AH144" i="56" s="1"/>
  <c r="CB139" i="56"/>
  <c r="AL143" i="56"/>
  <c r="BN143" i="56"/>
  <c r="BB138" i="56"/>
  <c r="BE138" i="56" s="1"/>
  <c r="BF138" i="56"/>
  <c r="AY139" i="56"/>
  <c r="AZ139" i="56" s="1"/>
  <c r="BC139" i="56" s="1"/>
  <c r="BF139" i="56" s="1"/>
  <c r="AV141" i="56"/>
  <c r="AW141" i="56"/>
  <c r="AU141" i="56"/>
  <c r="AP142" i="56" s="1"/>
  <c r="V155" i="56"/>
  <c r="N155" i="56"/>
  <c r="M155" i="56"/>
  <c r="I156" i="56" s="1"/>
  <c r="O154" i="56" a="1"/>
  <c r="O154" i="56" s="1"/>
  <c r="P154" i="56" s="1"/>
  <c r="Q154" i="56" s="1"/>
  <c r="BQ140" i="56"/>
  <c r="CB140" i="56" s="1"/>
  <c r="BC140" i="56"/>
  <c r="BF140" i="56" s="1"/>
  <c r="U146" i="56" a="1"/>
  <c r="U146" i="56" s="1"/>
  <c r="Z145" i="56"/>
  <c r="BL145" i="56"/>
  <c r="BB139" i="56" l="1"/>
  <c r="BE139" i="56" s="1"/>
  <c r="BB140" i="56"/>
  <c r="BE140" i="56" s="1"/>
  <c r="BG140" i="56" s="1"/>
  <c r="BO143" i="56"/>
  <c r="CA143" i="56" s="1"/>
  <c r="AM143" i="56"/>
  <c r="AN143" i="56" s="1"/>
  <c r="BG138" i="56"/>
  <c r="BM145" i="56"/>
  <c r="BZ145" i="56" s="1"/>
  <c r="K156" i="56" a="1"/>
  <c r="K156" i="56" s="1"/>
  <c r="L156" i="56" s="1"/>
  <c r="AR142" i="56" a="1"/>
  <c r="AR142" i="56" s="1"/>
  <c r="AT142" i="56" s="1"/>
  <c r="O155" i="56" a="1"/>
  <c r="O155" i="56" s="1"/>
  <c r="P155" i="56" s="1"/>
  <c r="Q155" i="56" s="1"/>
  <c r="AX141" i="56"/>
  <c r="BP141" i="56"/>
  <c r="AA145" i="56"/>
  <c r="W146" i="56"/>
  <c r="AI144" i="56"/>
  <c r="AD145" i="56" s="1"/>
  <c r="AS144" i="56"/>
  <c r="AJ144" i="56"/>
  <c r="AK144" i="56"/>
  <c r="N156" i="56" l="1"/>
  <c r="V156" i="56"/>
  <c r="M156" i="56"/>
  <c r="I157" i="56" s="1"/>
  <c r="AV142" i="56"/>
  <c r="AW142" i="56"/>
  <c r="AU142" i="56"/>
  <c r="AP143" i="56" s="1"/>
  <c r="BN144" i="56"/>
  <c r="AL144" i="56"/>
  <c r="AM144" i="56" s="1"/>
  <c r="AB145" i="56"/>
  <c r="AF145" i="56" a="1"/>
  <c r="AF145" i="56" s="1"/>
  <c r="BG139" i="56"/>
  <c r="BQ141" i="56"/>
  <c r="CB141" i="56" s="1"/>
  <c r="Y146" i="56"/>
  <c r="AG146" i="56"/>
  <c r="X146" i="56"/>
  <c r="S147" i="56" s="1"/>
  <c r="AY141" i="56"/>
  <c r="AZ141" i="56" s="1"/>
  <c r="AN144" i="56" l="1"/>
  <c r="O156" i="56" a="1"/>
  <c r="O156" i="56" s="1"/>
  <c r="P156" i="56" s="1"/>
  <c r="K157" i="56" a="1"/>
  <c r="K157" i="56" s="1"/>
  <c r="L157" i="56" s="1"/>
  <c r="BC141" i="56"/>
  <c r="BF141" i="56" s="1"/>
  <c r="BL146" i="56"/>
  <c r="Z146" i="56"/>
  <c r="AA146" i="56" s="1"/>
  <c r="AH145" i="56"/>
  <c r="AI145" i="56" s="1"/>
  <c r="AD146" i="56" s="1"/>
  <c r="AR143" i="56" a="1"/>
  <c r="AR143" i="56" s="1"/>
  <c r="AT143" i="56" s="1"/>
  <c r="U147" i="56" a="1"/>
  <c r="U147" i="56" s="1"/>
  <c r="BO144" i="56"/>
  <c r="AX142" i="56"/>
  <c r="AY142" i="56" s="1"/>
  <c r="AZ142" i="56" s="1"/>
  <c r="BP142" i="56"/>
  <c r="AV143" i="56" l="1"/>
  <c r="AW143" i="56"/>
  <c r="AB146" i="56"/>
  <c r="V157" i="56"/>
  <c r="N157" i="56"/>
  <c r="W147" i="56"/>
  <c r="BB141" i="56"/>
  <c r="BE141" i="56" s="1"/>
  <c r="BC142" i="56"/>
  <c r="BB142" i="56" s="1"/>
  <c r="BE142" i="56" s="1"/>
  <c r="AU143" i="56"/>
  <c r="AP144" i="56" s="1"/>
  <c r="AJ145" i="56"/>
  <c r="AK145" i="56"/>
  <c r="AS145" i="56"/>
  <c r="BM146" i="56"/>
  <c r="BZ146" i="56" s="1"/>
  <c r="M157" i="56"/>
  <c r="I158" i="56" s="1"/>
  <c r="AF146" i="56" a="1"/>
  <c r="AF146" i="56" s="1"/>
  <c r="BQ142" i="56"/>
  <c r="CB142" i="56" s="1"/>
  <c r="CA144" i="56"/>
  <c r="Q156" i="56"/>
  <c r="BF142" i="56" l="1"/>
  <c r="BG142" i="56" s="1"/>
  <c r="AR144" i="56" a="1"/>
  <c r="AR144" i="56" s="1"/>
  <c r="K158" i="56" a="1"/>
  <c r="K158" i="56" s="1"/>
  <c r="AH146" i="56"/>
  <c r="BN145" i="56"/>
  <c r="AL145" i="56"/>
  <c r="BG141" i="56"/>
  <c r="O157" i="56" a="1"/>
  <c r="O157" i="56" s="1"/>
  <c r="AX143" i="56"/>
  <c r="AY143" i="56" s="1"/>
  <c r="AZ143" i="56" s="1"/>
  <c r="BP143" i="56"/>
  <c r="AG147" i="56"/>
  <c r="Y147" i="56"/>
  <c r="X147" i="56"/>
  <c r="S148" i="56" s="1"/>
  <c r="U148" i="56" l="1" a="1"/>
  <c r="U148" i="56" s="1"/>
  <c r="W148" i="56" s="1"/>
  <c r="AS146" i="56"/>
  <c r="AK146" i="56"/>
  <c r="AJ146" i="56"/>
  <c r="BC143" i="56"/>
  <c r="BB143" i="56" s="1"/>
  <c r="BE143" i="56" s="1"/>
  <c r="BO145" i="56"/>
  <c r="CA145" i="56" s="1"/>
  <c r="AT144" i="56"/>
  <c r="Z147" i="56"/>
  <c r="AA147" i="56" s="1"/>
  <c r="BL147" i="56"/>
  <c r="BQ143" i="56"/>
  <c r="CB143" i="56" s="1"/>
  <c r="P157" i="56"/>
  <c r="AM145" i="56"/>
  <c r="L158" i="56"/>
  <c r="AI146" i="56"/>
  <c r="AD147" i="56" s="1"/>
  <c r="BF143" i="56" l="1"/>
  <c r="BG143" i="56" s="1"/>
  <c r="AF147" i="56" a="1"/>
  <c r="AF147" i="56" s="1"/>
  <c r="AB147" i="56"/>
  <c r="AV144" i="56"/>
  <c r="AW144" i="56"/>
  <c r="AU144" i="56"/>
  <c r="AP145" i="56" s="1"/>
  <c r="Y148" i="56"/>
  <c r="AG148" i="56"/>
  <c r="AN145" i="56"/>
  <c r="BM147" i="56"/>
  <c r="BZ147" i="56" s="1"/>
  <c r="BN146" i="56"/>
  <c r="AL146" i="56"/>
  <c r="AM146" i="56" s="1"/>
  <c r="AN146" i="56" s="1"/>
  <c r="X148" i="56"/>
  <c r="S149" i="56" s="1"/>
  <c r="N158" i="56"/>
  <c r="V158" i="56"/>
  <c r="M158" i="56"/>
  <c r="I159" i="56" s="1"/>
  <c r="Q157" i="56"/>
  <c r="AR145" i="56" l="1" a="1"/>
  <c r="AR145" i="56" s="1"/>
  <c r="AT145" i="56" s="1"/>
  <c r="O158" i="56" a="1"/>
  <c r="O158" i="56" s="1"/>
  <c r="BO146" i="56"/>
  <c r="AX144" i="56"/>
  <c r="AY144" i="56" s="1"/>
  <c r="BP144" i="56"/>
  <c r="AH147" i="56"/>
  <c r="K159" i="56" a="1"/>
  <c r="K159" i="56" s="1"/>
  <c r="L159" i="56" s="1"/>
  <c r="U149" i="56" a="1"/>
  <c r="U149" i="56" s="1"/>
  <c r="W149" i="56" s="1"/>
  <c r="BL148" i="56"/>
  <c r="Z148" i="56"/>
  <c r="AA148" i="56" s="1"/>
  <c r="AG149" i="56" l="1"/>
  <c r="Y149" i="56"/>
  <c r="V159" i="56"/>
  <c r="N159" i="56"/>
  <c r="M159" i="56"/>
  <c r="I160" i="56" s="1"/>
  <c r="X149" i="56"/>
  <c r="S150" i="56" s="1"/>
  <c r="BQ144" i="56"/>
  <c r="CB144" i="56" s="1"/>
  <c r="AW145" i="56"/>
  <c r="AV145" i="56"/>
  <c r="AB148" i="56"/>
  <c r="AZ144" i="56"/>
  <c r="BM148" i="56"/>
  <c r="BZ148" i="56" s="1"/>
  <c r="CA146" i="56"/>
  <c r="AS147" i="56"/>
  <c r="AK147" i="56"/>
  <c r="AJ147" i="56"/>
  <c r="AI147" i="56"/>
  <c r="AD148" i="56" s="1"/>
  <c r="P158" i="56"/>
  <c r="AU145" i="56"/>
  <c r="AP146" i="56" s="1"/>
  <c r="AX145" i="56" l="1"/>
  <c r="AY145" i="56" s="1"/>
  <c r="BP145" i="56"/>
  <c r="O159" i="56" a="1"/>
  <c r="O159" i="56" s="1"/>
  <c r="P159" i="56" s="1"/>
  <c r="Q159" i="56" s="1"/>
  <c r="BN147" i="56"/>
  <c r="AL147" i="56"/>
  <c r="AM147" i="56" s="1"/>
  <c r="AH148" i="56"/>
  <c r="Q158" i="56"/>
  <c r="AR146" i="56" a="1"/>
  <c r="AR146" i="56" s="1"/>
  <c r="AF148" i="56" a="1"/>
  <c r="AF148" i="56" s="1"/>
  <c r="K160" i="56" a="1"/>
  <c r="K160" i="56" s="1"/>
  <c r="L160" i="56" s="1"/>
  <c r="Z149" i="56"/>
  <c r="BM149" i="56" s="1"/>
  <c r="BL149" i="56"/>
  <c r="BC144" i="56"/>
  <c r="BB144" i="56" s="1"/>
  <c r="U150" i="56" a="1"/>
  <c r="U150" i="56" s="1"/>
  <c r="W150" i="56" s="1"/>
  <c r="AI148" i="56" l="1"/>
  <c r="AD149" i="56" s="1"/>
  <c r="AF149" i="56" s="1" a="1"/>
  <c r="AF149" i="56" s="1"/>
  <c r="AZ145" i="56"/>
  <c r="N160" i="56"/>
  <c r="V160" i="56"/>
  <c r="M160" i="56"/>
  <c r="I161" i="56" s="1"/>
  <c r="BZ149" i="56"/>
  <c r="AS148" i="56"/>
  <c r="AJ148" i="56"/>
  <c r="AK148" i="56"/>
  <c r="BO147" i="56"/>
  <c r="CA147" i="56" s="1"/>
  <c r="AG150" i="56"/>
  <c r="Y150" i="56"/>
  <c r="BE144" i="56"/>
  <c r="X150" i="56"/>
  <c r="S151" i="56" s="1"/>
  <c r="AA149" i="56"/>
  <c r="AB149" i="56" s="1"/>
  <c r="AH149" i="56" s="1"/>
  <c r="BF144" i="56"/>
  <c r="AT146" i="56"/>
  <c r="AN147" i="56"/>
  <c r="BQ145" i="56"/>
  <c r="CB145" i="56" s="1"/>
  <c r="AW146" i="56" l="1"/>
  <c r="AV146" i="56"/>
  <c r="U151" i="56" a="1"/>
  <c r="U151" i="56" s="1"/>
  <c r="BG144" i="56"/>
  <c r="O160" i="56" a="1"/>
  <c r="O160" i="56" s="1"/>
  <c r="P160" i="56" s="1"/>
  <c r="BL150" i="56"/>
  <c r="Z150" i="56"/>
  <c r="BM150" i="56" s="1"/>
  <c r="K161" i="56" a="1"/>
  <c r="K161" i="56" s="1"/>
  <c r="L161" i="56" s="1"/>
  <c r="AK149" i="56"/>
  <c r="AJ149" i="56"/>
  <c r="AS149" i="56"/>
  <c r="BN148" i="56"/>
  <c r="AL148" i="56"/>
  <c r="BC145" i="56"/>
  <c r="AI149" i="56"/>
  <c r="AD150" i="56" s="1"/>
  <c r="AU146" i="56"/>
  <c r="AP147" i="56" s="1"/>
  <c r="M161" i="56" l="1"/>
  <c r="I162" i="56" s="1"/>
  <c r="K162" i="56" s="1" a="1"/>
  <c r="K162" i="56" s="1"/>
  <c r="AA150" i="56"/>
  <c r="AB150" i="56" s="1"/>
  <c r="AH150" i="56" s="1"/>
  <c r="W151" i="56"/>
  <c r="X151" i="56" s="1"/>
  <c r="S152" i="56" s="1"/>
  <c r="U152" i="56" s="1" a="1"/>
  <c r="U152" i="56" s="1"/>
  <c r="W152" i="56" s="1"/>
  <c r="Q160" i="56"/>
  <c r="BF145" i="56"/>
  <c r="BO148" i="56"/>
  <c r="CA148" i="56" s="1"/>
  <c r="BB145" i="56"/>
  <c r="V161" i="56"/>
  <c r="N161" i="56"/>
  <c r="AF150" i="56" a="1"/>
  <c r="AF150" i="56" s="1"/>
  <c r="AM148" i="56"/>
  <c r="AR147" i="56" a="1"/>
  <c r="AR147" i="56" s="1"/>
  <c r="BN149" i="56"/>
  <c r="AL149" i="56"/>
  <c r="BO149" i="56" s="1"/>
  <c r="BZ150" i="56"/>
  <c r="AX146" i="56"/>
  <c r="AY146" i="56" s="1"/>
  <c r="BP146" i="56"/>
  <c r="AI150" i="56" l="1"/>
  <c r="AD151" i="56" s="1"/>
  <c r="AG151" i="56"/>
  <c r="Y151" i="56"/>
  <c r="BL151" i="56" s="1"/>
  <c r="AM149" i="56"/>
  <c r="AN149" i="56" s="1"/>
  <c r="AJ150" i="56"/>
  <c r="AK150" i="56"/>
  <c r="AS150" i="56"/>
  <c r="CA149" i="56"/>
  <c r="BQ146" i="56"/>
  <c r="CB146" i="56" s="1"/>
  <c r="AT147" i="56"/>
  <c r="AU147" i="56" s="1"/>
  <c r="AP148" i="56" s="1"/>
  <c r="O161" i="56" a="1"/>
  <c r="O161" i="56" s="1"/>
  <c r="P161" i="56" s="1"/>
  <c r="AN148" i="56"/>
  <c r="BE145" i="56"/>
  <c r="L162" i="56"/>
  <c r="AZ146" i="56"/>
  <c r="AG152" i="56"/>
  <c r="Y152" i="56"/>
  <c r="AF151" i="56" a="1"/>
  <c r="AF151" i="56" s="1"/>
  <c r="X152" i="56"/>
  <c r="S153" i="56" s="1"/>
  <c r="Z151" i="56" l="1"/>
  <c r="BM151" i="56" s="1"/>
  <c r="BZ151" i="56" s="1"/>
  <c r="AL150" i="56"/>
  <c r="BO150" i="56" s="1"/>
  <c r="BN150" i="56"/>
  <c r="Q161" i="56"/>
  <c r="AR148" i="56" a="1"/>
  <c r="AR148" i="56" s="1"/>
  <c r="AT148" i="56" s="1"/>
  <c r="AW147" i="56"/>
  <c r="AV147" i="56"/>
  <c r="BL152" i="56"/>
  <c r="Z152" i="56"/>
  <c r="BM152" i="56" s="1"/>
  <c r="U153" i="56" a="1"/>
  <c r="U153" i="56" s="1"/>
  <c r="W153" i="56" s="1"/>
  <c r="BG145" i="56"/>
  <c r="N162" i="56"/>
  <c r="V162" i="56"/>
  <c r="BC146" i="56"/>
  <c r="BB146" i="56" s="1"/>
  <c r="M162" i="56"/>
  <c r="I163" i="56" s="1"/>
  <c r="AA151" i="56" l="1"/>
  <c r="AB151" i="56" s="1"/>
  <c r="AH151" i="56" s="1"/>
  <c r="AS151" i="56" s="1"/>
  <c r="AM150" i="56"/>
  <c r="AN150" i="56" s="1"/>
  <c r="BZ152" i="56"/>
  <c r="AA152" i="56"/>
  <c r="AB152" i="56" s="1"/>
  <c r="AH152" i="56" s="1"/>
  <c r="CA150" i="56"/>
  <c r="AW148" i="56"/>
  <c r="AV148" i="56"/>
  <c r="AU148" i="56"/>
  <c r="AP149" i="56" s="1"/>
  <c r="BE146" i="56"/>
  <c r="K163" i="56" a="1"/>
  <c r="K163" i="56" s="1"/>
  <c r="L163" i="56" s="1"/>
  <c r="BF146" i="56"/>
  <c r="AX147" i="56"/>
  <c r="BP147" i="56"/>
  <c r="O162" i="56" a="1"/>
  <c r="O162" i="56" s="1"/>
  <c r="P162" i="56" s="1"/>
  <c r="Q162" i="56" s="1"/>
  <c r="AG153" i="56"/>
  <c r="Y153" i="56"/>
  <c r="X153" i="56"/>
  <c r="S154" i="56" s="1"/>
  <c r="AI151" i="56" l="1"/>
  <c r="AD152" i="56" s="1"/>
  <c r="AK151" i="56"/>
  <c r="BN151" i="56" s="1"/>
  <c r="AJ151" i="56"/>
  <c r="M163" i="56"/>
  <c r="I164" i="56" s="1"/>
  <c r="K164" i="56" s="1" a="1"/>
  <c r="K164" i="56" s="1"/>
  <c r="L164" i="56" s="1"/>
  <c r="AK152" i="56"/>
  <c r="AS152" i="56"/>
  <c r="AJ152" i="56"/>
  <c r="BQ147" i="56"/>
  <c r="CB147" i="56" s="1"/>
  <c r="V163" i="56"/>
  <c r="N163" i="56"/>
  <c r="BG146" i="56"/>
  <c r="AX148" i="56"/>
  <c r="AY148" i="56" s="1"/>
  <c r="AZ148" i="56" s="1"/>
  <c r="BP148" i="56"/>
  <c r="Z153" i="56"/>
  <c r="BM153" i="56" s="1"/>
  <c r="BL153" i="56"/>
  <c r="AY147" i="56"/>
  <c r="AR149" i="56" a="1"/>
  <c r="AR149" i="56" s="1"/>
  <c r="AT149" i="56" s="1"/>
  <c r="U154" i="56" a="1"/>
  <c r="U154" i="56" s="1"/>
  <c r="W154" i="56" s="1"/>
  <c r="AF152" i="56" a="1"/>
  <c r="AF152" i="56" s="1"/>
  <c r="AI152" i="56" l="1"/>
  <c r="AD153" i="56" s="1"/>
  <c r="AL151" i="56"/>
  <c r="BO151" i="56" s="1"/>
  <c r="CA151" i="56" s="1"/>
  <c r="BZ153" i="56"/>
  <c r="AA153" i="56"/>
  <c r="AB153" i="56" s="1"/>
  <c r="AH153" i="56" s="1"/>
  <c r="AS153" i="56" s="1"/>
  <c r="AL152" i="56"/>
  <c r="BO152" i="56" s="1"/>
  <c r="BN152" i="56"/>
  <c r="AU149" i="56"/>
  <c r="AP150" i="56" s="1"/>
  <c r="AR150" i="56" s="1" a="1"/>
  <c r="AR150" i="56" s="1"/>
  <c r="AT150" i="56" s="1"/>
  <c r="Y154" i="56"/>
  <c r="AG154" i="56"/>
  <c r="X154" i="56"/>
  <c r="S155" i="56" s="1"/>
  <c r="N164" i="56"/>
  <c r="V164" i="56"/>
  <c r="M164" i="56"/>
  <c r="I165" i="56" s="1"/>
  <c r="BC148" i="56"/>
  <c r="BB148" i="56" s="1"/>
  <c r="BE148" i="56" s="1"/>
  <c r="O163" i="56" a="1"/>
  <c r="O163" i="56" s="1"/>
  <c r="P163" i="56" s="1"/>
  <c r="Q163" i="56" s="1"/>
  <c r="AW149" i="56"/>
  <c r="AV149" i="56"/>
  <c r="AZ147" i="56"/>
  <c r="BQ148" i="56"/>
  <c r="CB148" i="56" s="1"/>
  <c r="AF153" i="56" a="1"/>
  <c r="AF153" i="56" s="1"/>
  <c r="AM151" i="56" l="1"/>
  <c r="AN151" i="56" s="1"/>
  <c r="AI153" i="56"/>
  <c r="AD154" i="56" s="1"/>
  <c r="AF154" i="56" s="1" a="1"/>
  <c r="AF154" i="56" s="1"/>
  <c r="BF148" i="56"/>
  <c r="BG148" i="56" s="1"/>
  <c r="AK153" i="56"/>
  <c r="AJ153" i="56"/>
  <c r="CA152" i="56"/>
  <c r="AM152" i="56"/>
  <c r="AN152" i="56" s="1"/>
  <c r="AW150" i="56"/>
  <c r="AV150" i="56"/>
  <c r="AU150" i="56"/>
  <c r="AP151" i="56" s="1"/>
  <c r="O164" i="56" a="1"/>
  <c r="O164" i="56" s="1"/>
  <c r="P164" i="56" s="1"/>
  <c r="Q164" i="56" s="1"/>
  <c r="U155" i="56" a="1"/>
  <c r="U155" i="56" s="1"/>
  <c r="W155" i="56" s="1"/>
  <c r="BC147" i="56"/>
  <c r="BB147" i="56" s="1"/>
  <c r="AX149" i="56"/>
  <c r="AY149" i="56" s="1"/>
  <c r="BP149" i="56"/>
  <c r="K165" i="56" a="1"/>
  <c r="K165" i="56" s="1"/>
  <c r="BL154" i="56"/>
  <c r="Z154" i="56"/>
  <c r="BM154" i="56" s="1"/>
  <c r="AL153" i="56" l="1"/>
  <c r="BO153" i="56" s="1"/>
  <c r="BN153" i="56"/>
  <c r="BZ154" i="56"/>
  <c r="AA154" i="56"/>
  <c r="AB154" i="56" s="1"/>
  <c r="AH154" i="56" s="1"/>
  <c r="AI154" i="56" s="1"/>
  <c r="AD155" i="56" s="1"/>
  <c r="AF155" i="56" s="1" a="1"/>
  <c r="AF155" i="56" s="1"/>
  <c r="X155" i="56"/>
  <c r="S156" i="56" s="1"/>
  <c r="AZ149" i="56"/>
  <c r="AR151" i="56" a="1"/>
  <c r="AR151" i="56" s="1"/>
  <c r="L165" i="56"/>
  <c r="BF147" i="56"/>
  <c r="AX150" i="56"/>
  <c r="AY150" i="56" s="1"/>
  <c r="AZ150" i="56" s="1"/>
  <c r="BP150" i="56"/>
  <c r="BQ149" i="56"/>
  <c r="CB149" i="56" s="1"/>
  <c r="Y155" i="56"/>
  <c r="AG155" i="56"/>
  <c r="BE147" i="56"/>
  <c r="AS154" i="56" l="1"/>
  <c r="CA153" i="56"/>
  <c r="AM153" i="56"/>
  <c r="AN153" i="56" s="1"/>
  <c r="AK154" i="56"/>
  <c r="AJ154" i="56"/>
  <c r="AT151" i="56"/>
  <c r="U156" i="56" a="1"/>
  <c r="U156" i="56" s="1"/>
  <c r="BQ150" i="56"/>
  <c r="CB150" i="56" s="1"/>
  <c r="V165" i="56"/>
  <c r="N165" i="56"/>
  <c r="BC150" i="56"/>
  <c r="BF150" i="56" s="1"/>
  <c r="BG147" i="56"/>
  <c r="Z155" i="56"/>
  <c r="BM155" i="56" s="1"/>
  <c r="BL155" i="56"/>
  <c r="BC149" i="56"/>
  <c r="M165" i="56"/>
  <c r="I166" i="56" s="1"/>
  <c r="BZ155" i="56" l="1"/>
  <c r="AA155" i="56"/>
  <c r="AB155" i="56" s="1"/>
  <c r="AH155" i="56" s="1"/>
  <c r="AK155" i="56" s="1"/>
  <c r="BB150" i="56"/>
  <c r="BE150" i="56" s="1"/>
  <c r="BG150" i="56" s="1"/>
  <c r="BN154" i="56"/>
  <c r="AL154" i="56"/>
  <c r="BO154" i="56" s="1"/>
  <c r="AW151" i="56"/>
  <c r="AV151" i="56"/>
  <c r="O165" i="56" a="1"/>
  <c r="O165" i="56" s="1"/>
  <c r="P165" i="56" s="1"/>
  <c r="Q165" i="56" s="1"/>
  <c r="W156" i="56"/>
  <c r="K166" i="56" a="1"/>
  <c r="K166" i="56" s="1"/>
  <c r="L166" i="56" s="1"/>
  <c r="AU151" i="56"/>
  <c r="AP152" i="56" s="1"/>
  <c r="BF149" i="56"/>
  <c r="BB149" i="56"/>
  <c r="AI155" i="56" l="1"/>
  <c r="AJ155" i="56"/>
  <c r="AS155" i="56"/>
  <c r="CA154" i="56"/>
  <c r="AM154" i="56"/>
  <c r="AN154" i="56" s="1"/>
  <c r="M166" i="56"/>
  <c r="I167" i="56" s="1"/>
  <c r="K167" i="56" s="1" a="1"/>
  <c r="K167" i="56" s="1"/>
  <c r="L167" i="56" s="1"/>
  <c r="AX151" i="56"/>
  <c r="AY151" i="56" s="1"/>
  <c r="AZ151" i="56" s="1"/>
  <c r="BP151" i="56"/>
  <c r="BE149" i="56"/>
  <c r="AG156" i="56"/>
  <c r="Y156" i="56"/>
  <c r="BN155" i="56"/>
  <c r="AL155" i="56"/>
  <c r="BO155" i="56" s="1"/>
  <c r="N166" i="56"/>
  <c r="V166" i="56"/>
  <c r="AR152" i="56" a="1"/>
  <c r="AR152" i="56" s="1"/>
  <c r="AT152" i="56" s="1"/>
  <c r="X156" i="56"/>
  <c r="S157" i="56" s="1"/>
  <c r="AM155" i="56" l="1"/>
  <c r="AN155" i="56" s="1"/>
  <c r="AD156" i="56"/>
  <c r="AF156" i="56" s="1" a="1"/>
  <c r="AF156" i="56" s="1"/>
  <c r="AW152" i="56"/>
  <c r="AV152" i="56"/>
  <c r="V167" i="56"/>
  <c r="N167" i="56"/>
  <c r="M167" i="56"/>
  <c r="I168" i="56" s="1"/>
  <c r="U157" i="56" a="1"/>
  <c r="U157" i="56" s="1"/>
  <c r="W157" i="56" s="1"/>
  <c r="AU152" i="56"/>
  <c r="AP153" i="56" s="1"/>
  <c r="BG149" i="56"/>
  <c r="BQ151" i="56"/>
  <c r="CB151" i="56" s="1"/>
  <c r="BL156" i="56"/>
  <c r="Z156" i="56"/>
  <c r="O166" i="56" a="1"/>
  <c r="O166" i="56" s="1"/>
  <c r="P166" i="56" s="1"/>
  <c r="Q166" i="56" s="1"/>
  <c r="CA155" i="56"/>
  <c r="BC151" i="56"/>
  <c r="BF151" i="56" s="1"/>
  <c r="BB151" i="56" l="1"/>
  <c r="BE151" i="56" s="1"/>
  <c r="BG151" i="56" s="1"/>
  <c r="X157" i="56"/>
  <c r="S158" i="56" s="1"/>
  <c r="U158" i="56" s="1" a="1"/>
  <c r="U158" i="56" s="1"/>
  <c r="W158" i="56" s="1"/>
  <c r="O167" i="56" a="1"/>
  <c r="O167" i="56" s="1"/>
  <c r="P167" i="56" s="1"/>
  <c r="Q167" i="56" s="1"/>
  <c r="BM156" i="56"/>
  <c r="Y157" i="56"/>
  <c r="AG157" i="56"/>
  <c r="AA156" i="56"/>
  <c r="AR153" i="56" a="1"/>
  <c r="AR153" i="56" s="1"/>
  <c r="AT153" i="56" s="1"/>
  <c r="AU153" i="56" s="1"/>
  <c r="AP154" i="56" s="1"/>
  <c r="K168" i="56" a="1"/>
  <c r="K168" i="56" s="1"/>
  <c r="L168" i="56" s="1"/>
  <c r="AX152" i="56"/>
  <c r="AY152" i="56" s="1"/>
  <c r="AZ152" i="56" s="1"/>
  <c r="BP152" i="56"/>
  <c r="AR154" i="56" l="1" a="1"/>
  <c r="AR154" i="56" s="1"/>
  <c r="AT154" i="56" s="1"/>
  <c r="N168" i="56"/>
  <c r="V168" i="56"/>
  <c r="M168" i="56"/>
  <c r="I169" i="56" s="1"/>
  <c r="AG158" i="56"/>
  <c r="Y158" i="56"/>
  <c r="X158" i="56"/>
  <c r="S159" i="56" s="1"/>
  <c r="BZ156" i="56"/>
  <c r="BC152" i="56"/>
  <c r="BB152" i="56" s="1"/>
  <c r="BE152" i="56" s="1"/>
  <c r="BQ152" i="56"/>
  <c r="CB152" i="56" s="1"/>
  <c r="AW153" i="56"/>
  <c r="AV153" i="56"/>
  <c r="Z157" i="56"/>
  <c r="AA157" i="56" s="1"/>
  <c r="AB157" i="56" s="1"/>
  <c r="AH157" i="56" s="1"/>
  <c r="AS157" i="56" s="1"/>
  <c r="BL157" i="56"/>
  <c r="AB156" i="56"/>
  <c r="BF152" i="56" l="1"/>
  <c r="BG152" i="56" s="1"/>
  <c r="AK157" i="56"/>
  <c r="BL158" i="56"/>
  <c r="Z158" i="56"/>
  <c r="BM158" i="56" s="1"/>
  <c r="AW154" i="56"/>
  <c r="AV154" i="56"/>
  <c r="BM157" i="56"/>
  <c r="AJ157" i="56"/>
  <c r="O168" i="56" a="1"/>
  <c r="O168" i="56" s="1"/>
  <c r="P168" i="56" s="1"/>
  <c r="K169" i="56" a="1"/>
  <c r="K169" i="56" s="1"/>
  <c r="AU154" i="56"/>
  <c r="AP155" i="56" s="1"/>
  <c r="U159" i="56" a="1"/>
  <c r="U159" i="56" s="1"/>
  <c r="W159" i="56" s="1"/>
  <c r="AH156" i="56"/>
  <c r="AX153" i="56"/>
  <c r="AY153" i="56" s="1"/>
  <c r="AZ153" i="56" s="1"/>
  <c r="BP153" i="56"/>
  <c r="AA158" i="56" l="1"/>
  <c r="AB158" i="56" s="1"/>
  <c r="AH158" i="56" s="1"/>
  <c r="AK158" i="56" s="1"/>
  <c r="BN158" i="56" s="1"/>
  <c r="BZ158" i="56"/>
  <c r="BC153" i="56"/>
  <c r="BF153" i="56" s="1"/>
  <c r="AI156" i="56"/>
  <c r="AD157" i="56" s="1"/>
  <c r="AJ156" i="56"/>
  <c r="AS156" i="56"/>
  <c r="AK156" i="56"/>
  <c r="Q168" i="56"/>
  <c r="AG159" i="56"/>
  <c r="Y159" i="56"/>
  <c r="X159" i="56"/>
  <c r="S160" i="56" s="1"/>
  <c r="AR155" i="56" a="1"/>
  <c r="AR155" i="56" s="1"/>
  <c r="AT155" i="56" s="1"/>
  <c r="BQ153" i="56"/>
  <c r="CB153" i="56" s="1"/>
  <c r="L169" i="56"/>
  <c r="BZ157" i="56"/>
  <c r="BN157" i="56"/>
  <c r="AL157" i="56"/>
  <c r="BO157" i="56" s="1"/>
  <c r="AX154" i="56"/>
  <c r="BP154" i="56"/>
  <c r="AJ158" i="56" l="1"/>
  <c r="BB153" i="56"/>
  <c r="BE153" i="56" s="1"/>
  <c r="BG153" i="56" s="1"/>
  <c r="AL158" i="56"/>
  <c r="BO158" i="56" s="1"/>
  <c r="CA158" i="56" s="1"/>
  <c r="AS158" i="56"/>
  <c r="AV155" i="56"/>
  <c r="AW155" i="56"/>
  <c r="AU155" i="56"/>
  <c r="AP156" i="56" s="1"/>
  <c r="BN156" i="56"/>
  <c r="AL156" i="56"/>
  <c r="BQ154" i="56"/>
  <c r="CB154" i="56" s="1"/>
  <c r="CA157" i="56"/>
  <c r="Z159" i="56"/>
  <c r="AA159" i="56" s="1"/>
  <c r="BL159" i="56"/>
  <c r="AY154" i="56"/>
  <c r="AZ154" i="56" s="1"/>
  <c r="AM157" i="56"/>
  <c r="AN157" i="56" s="1"/>
  <c r="U160" i="56" a="1"/>
  <c r="U160" i="56" s="1"/>
  <c r="W160" i="56" s="1"/>
  <c r="X160" i="56" s="1"/>
  <c r="S161" i="56" s="1"/>
  <c r="V169" i="56"/>
  <c r="N169" i="56"/>
  <c r="M169" i="56"/>
  <c r="I170" i="56" s="1"/>
  <c r="AF157" i="56" a="1"/>
  <c r="AF157" i="56" s="1"/>
  <c r="AI157" i="56" s="1"/>
  <c r="AD158" i="56" s="1"/>
  <c r="AM158" i="56" l="1"/>
  <c r="AN158" i="56" s="1"/>
  <c r="AF158" i="56" a="1"/>
  <c r="AF158" i="56" s="1"/>
  <c r="AI158" i="56" s="1"/>
  <c r="AD159" i="56" s="1"/>
  <c r="AB159" i="56"/>
  <c r="U161" i="56" a="1"/>
  <c r="U161" i="56" s="1"/>
  <c r="W161" i="56" s="1"/>
  <c r="BC154" i="56"/>
  <c r="BF154" i="56" s="1"/>
  <c r="K170" i="56" a="1"/>
  <c r="K170" i="56" s="1"/>
  <c r="BO156" i="56"/>
  <c r="CA156" i="56" s="1"/>
  <c r="AR156" i="56" a="1"/>
  <c r="AR156" i="56" s="1"/>
  <c r="O169" i="56" a="1"/>
  <c r="O169" i="56" s="1"/>
  <c r="P169" i="56" s="1"/>
  <c r="Y160" i="56"/>
  <c r="AG160" i="56"/>
  <c r="AX155" i="56"/>
  <c r="AY155" i="56" s="1"/>
  <c r="AZ155" i="56" s="1"/>
  <c r="BP155" i="56"/>
  <c r="BM159" i="56"/>
  <c r="AM156" i="56"/>
  <c r="BB154" i="56" l="1"/>
  <c r="BE154" i="56" s="1"/>
  <c r="BG154" i="56" s="1"/>
  <c r="AF159" i="56" a="1"/>
  <c r="AF159" i="56" s="1"/>
  <c r="Y161" i="56"/>
  <c r="AG161" i="56"/>
  <c r="BL160" i="56"/>
  <c r="Z160" i="56"/>
  <c r="AA160" i="56" s="1"/>
  <c r="Q169" i="56"/>
  <c r="L170" i="56"/>
  <c r="BC155" i="56"/>
  <c r="BB155" i="56" s="1"/>
  <c r="BE155" i="56" s="1"/>
  <c r="X161" i="56"/>
  <c r="S162" i="56" s="1"/>
  <c r="AH159" i="56"/>
  <c r="AN156" i="56"/>
  <c r="AT156" i="56" s="1"/>
  <c r="AU156" i="56" s="1"/>
  <c r="AP157" i="56" s="1"/>
  <c r="BQ155" i="56"/>
  <c r="CB155" i="56" s="1"/>
  <c r="BZ159" i="56"/>
  <c r="BF155" i="56" l="1"/>
  <c r="BG155" i="56" s="1"/>
  <c r="AI159" i="56"/>
  <c r="AD160" i="56" s="1"/>
  <c r="AF160" i="56" s="1" a="1"/>
  <c r="AF160" i="56" s="1"/>
  <c r="AR157" i="56" a="1"/>
  <c r="AR157" i="56" s="1"/>
  <c r="AT157" i="56" s="1"/>
  <c r="AB160" i="56"/>
  <c r="N170" i="56"/>
  <c r="V170" i="56"/>
  <c r="AV156" i="56"/>
  <c r="AW156" i="56"/>
  <c r="AK159" i="56"/>
  <c r="AS159" i="56"/>
  <c r="AJ159" i="56"/>
  <c r="BM160" i="56"/>
  <c r="BZ160" i="56" s="1"/>
  <c r="U162" i="56" a="1"/>
  <c r="U162" i="56" s="1"/>
  <c r="Z161" i="56"/>
  <c r="BM161" i="56" s="1"/>
  <c r="BL161" i="56"/>
  <c r="M170" i="56"/>
  <c r="I171" i="56" s="1"/>
  <c r="AU157" i="56" l="1"/>
  <c r="AP158" i="56" s="1"/>
  <c r="AR158" i="56" s="1" a="1"/>
  <c r="AR158" i="56" s="1"/>
  <c r="AT158" i="56" s="1"/>
  <c r="BZ161" i="56"/>
  <c r="AA161" i="56"/>
  <c r="W162" i="56"/>
  <c r="O170" i="56" a="1"/>
  <c r="O170" i="56" s="1"/>
  <c r="P170" i="56" s="1"/>
  <c r="AH160" i="56"/>
  <c r="K171" i="56" a="1"/>
  <c r="K171" i="56" s="1"/>
  <c r="L171" i="56" s="1"/>
  <c r="AX156" i="56"/>
  <c r="BP156" i="56"/>
  <c r="BN159" i="56"/>
  <c r="AL159" i="56"/>
  <c r="AM159" i="56" s="1"/>
  <c r="AV157" i="56"/>
  <c r="AW157" i="56"/>
  <c r="M171" i="56" l="1"/>
  <c r="I172" i="56" s="1"/>
  <c r="K172" i="56" s="1" a="1"/>
  <c r="K172" i="56" s="1"/>
  <c r="AN159" i="56"/>
  <c r="Q170" i="56"/>
  <c r="AV158" i="56"/>
  <c r="AW158" i="56"/>
  <c r="AU158" i="56"/>
  <c r="AP159" i="56" s="1"/>
  <c r="AB161" i="56"/>
  <c r="BQ156" i="56"/>
  <c r="AX157" i="56"/>
  <c r="BP157" i="56"/>
  <c r="N171" i="56"/>
  <c r="V171" i="56"/>
  <c r="AS160" i="56"/>
  <c r="AK160" i="56"/>
  <c r="AJ160" i="56"/>
  <c r="AI160" i="56"/>
  <c r="AD161" i="56" s="1"/>
  <c r="BO159" i="56"/>
  <c r="CA159" i="56" s="1"/>
  <c r="AY156" i="56"/>
  <c r="Y162" i="56"/>
  <c r="AG162" i="56"/>
  <c r="X162" i="56"/>
  <c r="S163" i="56" s="1"/>
  <c r="L172" i="56" l="1"/>
  <c r="M172" i="56" s="1"/>
  <c r="I173" i="56" s="1"/>
  <c r="K173" i="56" s="1" a="1"/>
  <c r="K173" i="56" s="1"/>
  <c r="BL162" i="56"/>
  <c r="Z162" i="56"/>
  <c r="BM162" i="56" s="1"/>
  <c r="CB156" i="56"/>
  <c r="AZ156" i="56"/>
  <c r="U163" i="56" a="1"/>
  <c r="U163" i="56" s="1"/>
  <c r="AF161" i="56" a="1"/>
  <c r="AF161" i="56" s="1"/>
  <c r="BN160" i="56"/>
  <c r="AL160" i="56"/>
  <c r="AM160" i="56" s="1"/>
  <c r="O171" i="56" a="1"/>
  <c r="O171" i="56" s="1"/>
  <c r="P171" i="56" s="1"/>
  <c r="BQ157" i="56"/>
  <c r="CB157" i="56" s="1"/>
  <c r="AH161" i="56"/>
  <c r="AR159" i="56" a="1"/>
  <c r="AR159" i="56" s="1"/>
  <c r="AT159" i="56" s="1"/>
  <c r="AU159" i="56" s="1"/>
  <c r="AP160" i="56" s="1"/>
  <c r="AY157" i="56"/>
  <c r="AZ157" i="56" s="1"/>
  <c r="AX158" i="56"/>
  <c r="AY158" i="56" s="1"/>
  <c r="AZ158" i="56" s="1"/>
  <c r="BP158" i="56"/>
  <c r="V172" i="56" l="1"/>
  <c r="N172" i="56"/>
  <c r="O172" i="56" s="1" a="1"/>
  <c r="O172" i="56" s="1"/>
  <c r="P172" i="56" s="1"/>
  <c r="AI161" i="56"/>
  <c r="AD162" i="56" s="1"/>
  <c r="AF162" i="56" s="1" a="1"/>
  <c r="AF162" i="56" s="1"/>
  <c r="Q171" i="56"/>
  <c r="AR160" i="56" a="1"/>
  <c r="AR160" i="56" s="1"/>
  <c r="AN160" i="56"/>
  <c r="AA162" i="56"/>
  <c r="AB162" i="56" s="1"/>
  <c r="W163" i="56"/>
  <c r="L173" i="56"/>
  <c r="BC157" i="56"/>
  <c r="BF157" i="56" s="1"/>
  <c r="AS161" i="56"/>
  <c r="AJ161" i="56"/>
  <c r="AK161" i="56"/>
  <c r="BO160" i="56"/>
  <c r="CA160" i="56" s="1"/>
  <c r="AV159" i="56"/>
  <c r="AW159" i="56"/>
  <c r="BC158" i="56"/>
  <c r="BB158" i="56" s="1"/>
  <c r="BE158" i="56" s="1"/>
  <c r="BQ158" i="56"/>
  <c r="CB158" i="56" s="1"/>
  <c r="BC156" i="56"/>
  <c r="BB156" i="56" s="1"/>
  <c r="BZ162" i="56"/>
  <c r="BB157" i="56" l="1"/>
  <c r="BE157" i="56" s="1"/>
  <c r="BG157" i="56" s="1"/>
  <c r="BF158" i="56"/>
  <c r="BG158" i="56" s="1"/>
  <c r="Q172" i="56"/>
  <c r="AT160" i="56"/>
  <c r="AU160" i="56" s="1"/>
  <c r="AP161" i="56" s="1"/>
  <c r="BE156" i="56"/>
  <c r="BN161" i="56"/>
  <c r="AL161" i="56"/>
  <c r="AM161" i="56" s="1"/>
  <c r="AG163" i="56"/>
  <c r="Y163" i="56"/>
  <c r="BF156" i="56"/>
  <c r="AX159" i="56"/>
  <c r="BP159" i="56"/>
  <c r="AH162" i="56"/>
  <c r="N173" i="56"/>
  <c r="V173" i="56"/>
  <c r="M173" i="56"/>
  <c r="I174" i="56" s="1"/>
  <c r="X163" i="56"/>
  <c r="S164" i="56" s="1"/>
  <c r="U164" i="56" l="1" a="1"/>
  <c r="U164" i="56" s="1"/>
  <c r="O173" i="56" a="1"/>
  <c r="O173" i="56" s="1"/>
  <c r="P173" i="56" s="1"/>
  <c r="Q173" i="56" s="1"/>
  <c r="BQ159" i="56"/>
  <c r="CB159" i="56" s="1"/>
  <c r="AN161" i="56"/>
  <c r="BG156" i="56"/>
  <c r="Z163" i="56"/>
  <c r="BM163" i="56" s="1"/>
  <c r="BL163" i="56"/>
  <c r="AY159" i="56"/>
  <c r="BO161" i="56"/>
  <c r="CA161" i="56" s="1"/>
  <c r="AW160" i="56"/>
  <c r="AV160" i="56"/>
  <c r="K174" i="56" a="1"/>
  <c r="K174" i="56" s="1"/>
  <c r="AJ162" i="56"/>
  <c r="AS162" i="56"/>
  <c r="AK162" i="56"/>
  <c r="AR161" i="56" a="1"/>
  <c r="AR161" i="56" s="1"/>
  <c r="AT161" i="56" s="1"/>
  <c r="AI162" i="56"/>
  <c r="AD163" i="56" s="1"/>
  <c r="BZ163" i="56" l="1"/>
  <c r="AA163" i="56"/>
  <c r="AB163" i="56" s="1"/>
  <c r="AH163" i="56" s="1"/>
  <c r="AV161" i="56"/>
  <c r="AW161" i="56"/>
  <c r="AU161" i="56"/>
  <c r="AP162" i="56" s="1"/>
  <c r="BN162" i="56"/>
  <c r="AL162" i="56"/>
  <c r="AM162" i="56" s="1"/>
  <c r="L174" i="56"/>
  <c r="AX160" i="56"/>
  <c r="AY160" i="56" s="1"/>
  <c r="AZ160" i="56" s="1"/>
  <c r="BP160" i="56"/>
  <c r="W164" i="56"/>
  <c r="AF163" i="56" a="1"/>
  <c r="AF163" i="56" s="1"/>
  <c r="AZ159" i="56"/>
  <c r="AI163" i="56" l="1"/>
  <c r="AD164" i="56" s="1"/>
  <c r="AF164" i="56" s="1" a="1"/>
  <c r="AF164" i="56" s="1"/>
  <c r="AK163" i="56"/>
  <c r="AJ163" i="56"/>
  <c r="AS163" i="56"/>
  <c r="BC159" i="56"/>
  <c r="BB159" i="56" s="1"/>
  <c r="Y164" i="56"/>
  <c r="AG164" i="56"/>
  <c r="BQ160" i="56"/>
  <c r="CB160" i="56" s="1"/>
  <c r="BO162" i="56"/>
  <c r="CA162" i="56" s="1"/>
  <c r="X164" i="56"/>
  <c r="S165" i="56" s="1"/>
  <c r="N174" i="56"/>
  <c r="V174" i="56"/>
  <c r="M174" i="56"/>
  <c r="I175" i="56" s="1"/>
  <c r="BC160" i="56"/>
  <c r="BB160" i="56" s="1"/>
  <c r="BE160" i="56" s="1"/>
  <c r="AN162" i="56"/>
  <c r="AX161" i="56"/>
  <c r="AY161" i="56" s="1"/>
  <c r="BP161" i="56"/>
  <c r="AR162" i="56" a="1"/>
  <c r="AR162" i="56" s="1"/>
  <c r="AT162" i="56" l="1"/>
  <c r="AU162" i="56" s="1"/>
  <c r="AP163" i="56" s="1"/>
  <c r="BF160" i="56"/>
  <c r="BG160" i="56" s="1"/>
  <c r="BN163" i="56"/>
  <c r="AL163" i="56"/>
  <c r="BO163" i="56" s="1"/>
  <c r="U165" i="56" a="1"/>
  <c r="U165" i="56" s="1"/>
  <c r="BQ161" i="56"/>
  <c r="CB161" i="56" s="1"/>
  <c r="BF159" i="56"/>
  <c r="BL164" i="56"/>
  <c r="Z164" i="56"/>
  <c r="BM164" i="56" s="1"/>
  <c r="K175" i="56" a="1"/>
  <c r="K175" i="56" s="1"/>
  <c r="O174" i="56" a="1"/>
  <c r="O174" i="56" s="1"/>
  <c r="P174" i="56" s="1"/>
  <c r="Q174" i="56" s="1"/>
  <c r="BE159" i="56"/>
  <c r="AZ161" i="56"/>
  <c r="AV162" i="56" l="1"/>
  <c r="AW162" i="56"/>
  <c r="AX162" i="56" s="1"/>
  <c r="AY162" i="56" s="1"/>
  <c r="AM163" i="56"/>
  <c r="AN163" i="56" s="1"/>
  <c r="AA164" i="56"/>
  <c r="AB164" i="56" s="1"/>
  <c r="AH164" i="56" s="1"/>
  <c r="AS164" i="56" s="1"/>
  <c r="BZ164" i="56"/>
  <c r="CA163" i="56"/>
  <c r="W165" i="56"/>
  <c r="X165" i="56" s="1"/>
  <c r="S166" i="56" s="1"/>
  <c r="BG159" i="56"/>
  <c r="BC161" i="56"/>
  <c r="BB161" i="56" s="1"/>
  <c r="L175" i="56"/>
  <c r="AR163" i="56" a="1"/>
  <c r="AR163" i="56" s="1"/>
  <c r="AT163" i="56" l="1"/>
  <c r="AV163" i="56" s="1"/>
  <c r="BP162" i="56"/>
  <c r="AI164" i="56"/>
  <c r="AD165" i="56" s="1"/>
  <c r="AF165" i="56" s="1" a="1"/>
  <c r="AF165" i="56" s="1"/>
  <c r="AJ164" i="56"/>
  <c r="AK164" i="56"/>
  <c r="BE161" i="56"/>
  <c r="BQ162" i="56"/>
  <c r="N175" i="56"/>
  <c r="V175" i="56"/>
  <c r="AG165" i="56"/>
  <c r="Y165" i="56"/>
  <c r="BF161" i="56"/>
  <c r="U166" i="56" a="1"/>
  <c r="U166" i="56" s="1"/>
  <c r="W166" i="56" s="1"/>
  <c r="AZ162" i="56"/>
  <c r="M175" i="56"/>
  <c r="I176" i="56" s="1"/>
  <c r="AU163" i="56" l="1"/>
  <c r="AP164" i="56" s="1"/>
  <c r="AR164" i="56" s="1" a="1"/>
  <c r="AR164" i="56" s="1"/>
  <c r="AW163" i="56"/>
  <c r="AX163" i="56" s="1"/>
  <c r="AY163" i="56" s="1"/>
  <c r="AZ163" i="56" s="1"/>
  <c r="CB162" i="56"/>
  <c r="BN164" i="56"/>
  <c r="AL164" i="56"/>
  <c r="X166" i="56"/>
  <c r="S167" i="56" s="1"/>
  <c r="U167" i="56" s="1" a="1"/>
  <c r="U167" i="56" s="1"/>
  <c r="W167" i="56" s="1"/>
  <c r="BC162" i="56"/>
  <c r="BB162" i="56" s="1"/>
  <c r="Z165" i="56"/>
  <c r="BM165" i="56" s="1"/>
  <c r="BL165" i="56"/>
  <c r="O175" i="56" a="1"/>
  <c r="O175" i="56" s="1"/>
  <c r="P175" i="56" s="1"/>
  <c r="Q175" i="56" s="1"/>
  <c r="K176" i="56" a="1"/>
  <c r="K176" i="56" s="1"/>
  <c r="Y166" i="56"/>
  <c r="AG166" i="56"/>
  <c r="BG161" i="56"/>
  <c r="BP163" i="56" l="1"/>
  <c r="BZ165" i="56"/>
  <c r="AA165" i="56"/>
  <c r="AB165" i="56" s="1"/>
  <c r="AH165" i="56" s="1"/>
  <c r="AK165" i="56" s="1"/>
  <c r="AL165" i="56" s="1"/>
  <c r="BO164" i="56"/>
  <c r="CA164" i="56" s="1"/>
  <c r="AM164" i="56"/>
  <c r="AN164" i="56" s="1"/>
  <c r="AT164" i="56" s="1"/>
  <c r="AU164" i="56" s="1"/>
  <c r="AP165" i="56" s="1"/>
  <c r="L176" i="56"/>
  <c r="M176" i="56" s="1"/>
  <c r="I177" i="56" s="1"/>
  <c r="AG167" i="56"/>
  <c r="Y167" i="56"/>
  <c r="BC163" i="56"/>
  <c r="BB163" i="56" s="1"/>
  <c r="BL166" i="56"/>
  <c r="Z166" i="56"/>
  <c r="BM166" i="56" s="1"/>
  <c r="BQ163" i="56"/>
  <c r="BF162" i="56"/>
  <c r="X167" i="56"/>
  <c r="BE162" i="56"/>
  <c r="CB163" i="56" l="1"/>
  <c r="BN165" i="56"/>
  <c r="N176" i="56"/>
  <c r="O176" i="56" s="1" a="1"/>
  <c r="O176" i="56" s="1"/>
  <c r="P176" i="56" s="1"/>
  <c r="Q176" i="56" s="1"/>
  <c r="AJ165" i="56"/>
  <c r="AI165" i="56"/>
  <c r="AD166" i="56" s="1"/>
  <c r="AF166" i="56" s="1" a="1"/>
  <c r="AF166" i="56" s="1"/>
  <c r="BO165" i="56"/>
  <c r="AM165" i="56"/>
  <c r="AN165" i="56" s="1"/>
  <c r="AS165" i="56"/>
  <c r="AA166" i="56"/>
  <c r="AB166" i="56" s="1"/>
  <c r="AH166" i="56" s="1"/>
  <c r="AS166" i="56" s="1"/>
  <c r="BF163" i="56"/>
  <c r="K177" i="56" a="1"/>
  <c r="K177" i="56" s="1"/>
  <c r="V176" i="56"/>
  <c r="BE163" i="56"/>
  <c r="BG162" i="56"/>
  <c r="S168" i="56"/>
  <c r="BZ166" i="56"/>
  <c r="Z167" i="56"/>
  <c r="BM167" i="56" s="1"/>
  <c r="BL167" i="56"/>
  <c r="AV164" i="56"/>
  <c r="AW164" i="56"/>
  <c r="AR165" i="56" a="1"/>
  <c r="AR165" i="56" s="1"/>
  <c r="CA165" i="56" l="1"/>
  <c r="AT165" i="56"/>
  <c r="AU165" i="56" s="1"/>
  <c r="AP166" i="56" s="1"/>
  <c r="AI166" i="56"/>
  <c r="AD167" i="56" s="1"/>
  <c r="AF167" i="56" s="1" a="1"/>
  <c r="AF167" i="56" s="1"/>
  <c r="BZ167" i="56"/>
  <c r="AA167" i="56"/>
  <c r="AB167" i="56" s="1"/>
  <c r="AH167" i="56" s="1"/>
  <c r="AK167" i="56" s="1"/>
  <c r="BN167" i="56" s="1"/>
  <c r="L177" i="56"/>
  <c r="M177" i="56" s="1"/>
  <c r="I178" i="56" s="1"/>
  <c r="K178" i="56" s="1" a="1"/>
  <c r="K178" i="56" s="1"/>
  <c r="L178" i="56" s="1"/>
  <c r="AK166" i="56"/>
  <c r="AJ166" i="56"/>
  <c r="BG163" i="56"/>
  <c r="AX164" i="56"/>
  <c r="AY164" i="56" s="1"/>
  <c r="AZ164" i="56" s="1"/>
  <c r="BP164" i="56"/>
  <c r="U168" i="56" a="1"/>
  <c r="U168" i="56" s="1"/>
  <c r="W168" i="56" s="1"/>
  <c r="AW165" i="56" l="1"/>
  <c r="AX165" i="56" s="1"/>
  <c r="AV165" i="56"/>
  <c r="AS167" i="56"/>
  <c r="AI167" i="56"/>
  <c r="AD168" i="56" s="1"/>
  <c r="AL167" i="56"/>
  <c r="BO167" i="56" s="1"/>
  <c r="CA167" i="56" s="1"/>
  <c r="AJ167" i="56"/>
  <c r="V178" i="56"/>
  <c r="N178" i="56"/>
  <c r="O178" i="56" s="1" a="1"/>
  <c r="O178" i="56" s="1"/>
  <c r="P178" i="56" s="1"/>
  <c r="Q178" i="56" s="1"/>
  <c r="BN166" i="56"/>
  <c r="AL166" i="56"/>
  <c r="M178" i="56"/>
  <c r="I179" i="56" s="1"/>
  <c r="K179" i="56" s="1" a="1"/>
  <c r="K179" i="56" s="1"/>
  <c r="L179" i="56" s="1"/>
  <c r="V177" i="56"/>
  <c r="N177" i="56"/>
  <c r="O177" i="56" s="1" a="1"/>
  <c r="O177" i="56" s="1"/>
  <c r="P177" i="56" s="1"/>
  <c r="Q177" i="56" s="1"/>
  <c r="BC164" i="56"/>
  <c r="BB164" i="56" s="1"/>
  <c r="BE164" i="56" s="1"/>
  <c r="Y168" i="56"/>
  <c r="AG168" i="56"/>
  <c r="X168" i="56"/>
  <c r="S169" i="56" s="1"/>
  <c r="BQ164" i="56"/>
  <c r="CB164" i="56" s="1"/>
  <c r="AR166" i="56" a="1"/>
  <c r="AR166" i="56" s="1"/>
  <c r="BP165" i="56" l="1"/>
  <c r="BF164" i="56"/>
  <c r="BG164" i="56" s="1"/>
  <c r="AM167" i="56"/>
  <c r="AN167" i="56" s="1"/>
  <c r="BO166" i="56"/>
  <c r="CA166" i="56" s="1"/>
  <c r="AM166" i="56"/>
  <c r="AN166" i="56" s="1"/>
  <c r="AT166" i="56" s="1"/>
  <c r="M179" i="56"/>
  <c r="I180" i="56" s="1"/>
  <c r="U169" i="56" a="1"/>
  <c r="U169" i="56" s="1"/>
  <c r="BQ165" i="56"/>
  <c r="AF168" i="56" a="1"/>
  <c r="AF168" i="56" s="1"/>
  <c r="AY165" i="56"/>
  <c r="AZ165" i="56" s="1"/>
  <c r="N179" i="56"/>
  <c r="V179" i="56"/>
  <c r="L411" i="56"/>
  <c r="L412" i="56"/>
  <c r="L413" i="56"/>
  <c r="L414" i="56"/>
  <c r="L415" i="56"/>
  <c r="L416" i="56"/>
  <c r="L417" i="56"/>
  <c r="L418" i="56"/>
  <c r="L419" i="56"/>
  <c r="L420" i="56"/>
  <c r="L421" i="56"/>
  <c r="BL168" i="56"/>
  <c r="Z168" i="56"/>
  <c r="K411" i="56"/>
  <c r="K412" i="56"/>
  <c r="K413" i="56"/>
  <c r="K414" i="56"/>
  <c r="K415" i="56"/>
  <c r="K416" i="56"/>
  <c r="K417" i="56"/>
  <c r="K418" i="56"/>
  <c r="K419" i="56"/>
  <c r="K420" i="56"/>
  <c r="K421" i="56"/>
  <c r="K180" i="56" l="1" a="1"/>
  <c r="K180" i="56" s="1"/>
  <c r="CB165" i="56"/>
  <c r="AV166" i="56"/>
  <c r="AW166" i="56"/>
  <c r="BP166" i="56" s="1"/>
  <c r="AU166" i="56"/>
  <c r="AP167" i="56" s="1"/>
  <c r="AR167" i="56" s="1" a="1"/>
  <c r="AR167" i="56" s="1"/>
  <c r="AT167" i="56" s="1"/>
  <c r="BM168" i="56"/>
  <c r="BZ168" i="56" s="1"/>
  <c r="V411" i="56"/>
  <c r="V412" i="56"/>
  <c r="V413" i="56"/>
  <c r="V414" i="56"/>
  <c r="V415" i="56"/>
  <c r="V416" i="56"/>
  <c r="V417" i="56"/>
  <c r="V418" i="56"/>
  <c r="V419" i="56"/>
  <c r="V420" i="56"/>
  <c r="V421" i="56"/>
  <c r="W169" i="56"/>
  <c r="L442" i="56"/>
  <c r="O179" i="56" a="1"/>
  <c r="O179" i="56" s="1"/>
  <c r="P179" i="56" s="1"/>
  <c r="N411" i="56"/>
  <c r="Q15" i="56" a="1"/>
  <c r="Q15" i="56" s="1"/>
  <c r="N412" i="56"/>
  <c r="N413" i="56"/>
  <c r="N414" i="56"/>
  <c r="N415" i="56"/>
  <c r="N416" i="56"/>
  <c r="N417" i="56"/>
  <c r="N418" i="56"/>
  <c r="N419" i="56"/>
  <c r="N420" i="56"/>
  <c r="N421" i="56"/>
  <c r="AA168" i="56"/>
  <c r="BC165" i="56"/>
  <c r="BF165" i="56" s="1"/>
  <c r="K442" i="56"/>
  <c r="L180" i="56" l="1"/>
  <c r="M180" i="56" s="1"/>
  <c r="I181" i="56" s="1"/>
  <c r="AX166" i="56"/>
  <c r="BQ166" i="56" s="1"/>
  <c r="CB166" i="56" s="1"/>
  <c r="BB165" i="56"/>
  <c r="BE165" i="56" s="1"/>
  <c r="BG165" i="56" s="1"/>
  <c r="AV167" i="56"/>
  <c r="AW167" i="56"/>
  <c r="AU167" i="56"/>
  <c r="AP168" i="56" s="1"/>
  <c r="V442" i="56"/>
  <c r="Q16" i="56" a="1"/>
  <c r="Q16" i="56" s="1"/>
  <c r="O411" i="56"/>
  <c r="O412" i="56"/>
  <c r="O413" i="56"/>
  <c r="O414" i="56"/>
  <c r="O415" i="56"/>
  <c r="O416" i="56"/>
  <c r="O417" i="56"/>
  <c r="O418" i="56"/>
  <c r="O419" i="56"/>
  <c r="O420" i="56"/>
  <c r="O421" i="56"/>
  <c r="Y169" i="56"/>
  <c r="AG169" i="56"/>
  <c r="AB168" i="56"/>
  <c r="BJ421" i="56"/>
  <c r="BJ420" i="56"/>
  <c r="BJ419" i="56"/>
  <c r="N442" i="56"/>
  <c r="Q179" i="56"/>
  <c r="P411" i="56"/>
  <c r="P412" i="56"/>
  <c r="P413" i="56"/>
  <c r="P414" i="56"/>
  <c r="P415" i="56"/>
  <c r="P416" i="56"/>
  <c r="P417" i="56"/>
  <c r="P418" i="56"/>
  <c r="P419" i="56"/>
  <c r="P420" i="56"/>
  <c r="P421" i="56"/>
  <c r="X169" i="56"/>
  <c r="S170" i="56" s="1"/>
  <c r="K181" i="56" l="1" a="1"/>
  <c r="K181" i="56" s="1"/>
  <c r="V180" i="56"/>
  <c r="N180" i="56"/>
  <c r="AY166" i="56"/>
  <c r="AZ166" i="56" s="1"/>
  <c r="BC166" i="56" s="1"/>
  <c r="BB166" i="56" s="1"/>
  <c r="BE166" i="56" s="1"/>
  <c r="P442" i="56"/>
  <c r="AH168" i="56"/>
  <c r="U170" i="56" a="1"/>
  <c r="U170" i="56" s="1"/>
  <c r="O442" i="56"/>
  <c r="BK419" i="56"/>
  <c r="BK421" i="56"/>
  <c r="BK420" i="56"/>
  <c r="AR168" i="56" a="1"/>
  <c r="AR168" i="56" s="1"/>
  <c r="Q411" i="56"/>
  <c r="Q412" i="56"/>
  <c r="Q413" i="56"/>
  <c r="Q414" i="56"/>
  <c r="Q415" i="56"/>
  <c r="Q416" i="56"/>
  <c r="Q417" i="56"/>
  <c r="Q418" i="56"/>
  <c r="Q419" i="56"/>
  <c r="Q420" i="56"/>
  <c r="Q421" i="56"/>
  <c r="Z169" i="56"/>
  <c r="AA169" i="56" s="1"/>
  <c r="BL169" i="56"/>
  <c r="AX167" i="56"/>
  <c r="AY167" i="56" s="1"/>
  <c r="AZ167" i="56" s="1"/>
  <c r="BP167" i="56"/>
  <c r="O180" i="56" l="1" a="1"/>
  <c r="O180" i="56" s="1"/>
  <c r="L181" i="56"/>
  <c r="M181" i="56" s="1"/>
  <c r="I182" i="56" s="1"/>
  <c r="BY421" i="56"/>
  <c r="BF166" i="56"/>
  <c r="BG166" i="56" s="1"/>
  <c r="BY419" i="56"/>
  <c r="BY420" i="56"/>
  <c r="BC167" i="56"/>
  <c r="BB167" i="56" s="1"/>
  <c r="BE167" i="56" s="1"/>
  <c r="BM169" i="56"/>
  <c r="BZ169" i="56" s="1"/>
  <c r="AJ168" i="56"/>
  <c r="AK168" i="56"/>
  <c r="AS168" i="56"/>
  <c r="AI168" i="56"/>
  <c r="AD169" i="56" s="1"/>
  <c r="Q442" i="56"/>
  <c r="BQ167" i="56"/>
  <c r="AB169" i="56"/>
  <c r="W170" i="56"/>
  <c r="K182" i="56" l="1" a="1"/>
  <c r="K182" i="56" s="1"/>
  <c r="P180" i="56"/>
  <c r="V181" i="56"/>
  <c r="N181" i="56"/>
  <c r="BF167" i="56"/>
  <c r="BG167" i="56" s="1"/>
  <c r="Y170" i="56"/>
  <c r="AG170" i="56"/>
  <c r="AF169" i="56" a="1"/>
  <c r="AF169" i="56" s="1"/>
  <c r="AH169" i="56"/>
  <c r="CB167" i="56"/>
  <c r="BN168" i="56"/>
  <c r="AL168" i="56"/>
  <c r="X170" i="56"/>
  <c r="S171" i="56" s="1"/>
  <c r="Q180" i="56" l="1"/>
  <c r="O181" i="56" a="1"/>
  <c r="O181" i="56" s="1"/>
  <c r="L182" i="56"/>
  <c r="AI169" i="56"/>
  <c r="AD170" i="56" s="1"/>
  <c r="AF170" i="56" s="1" a="1"/>
  <c r="AF170" i="56" s="1"/>
  <c r="U171" i="56" a="1"/>
  <c r="U171" i="56" s="1"/>
  <c r="W171" i="56" s="1"/>
  <c r="BO168" i="56"/>
  <c r="CA168" i="56" s="1"/>
  <c r="AM168" i="56"/>
  <c r="AJ169" i="56"/>
  <c r="AS169" i="56"/>
  <c r="AK169" i="56"/>
  <c r="Z170" i="56"/>
  <c r="AA170" i="56" s="1"/>
  <c r="BL170" i="56"/>
  <c r="V182" i="56" l="1"/>
  <c r="N182" i="56"/>
  <c r="M182" i="56"/>
  <c r="I183" i="56" s="1"/>
  <c r="P181" i="56"/>
  <c r="X171" i="56"/>
  <c r="S172" i="56" s="1"/>
  <c r="U172" i="56" s="1" a="1"/>
  <c r="U172" i="56" s="1"/>
  <c r="W172" i="56" s="1"/>
  <c r="AN168" i="56"/>
  <c r="AG171" i="56"/>
  <c r="Y171" i="56"/>
  <c r="BN169" i="56"/>
  <c r="AL169" i="56"/>
  <c r="AM169" i="56" s="1"/>
  <c r="AB170" i="56"/>
  <c r="BM170" i="56"/>
  <c r="BZ170" i="56" s="1"/>
  <c r="Q181" i="56" l="1"/>
  <c r="O182" i="56" a="1"/>
  <c r="O182" i="56" s="1"/>
  <c r="K183" i="56" a="1"/>
  <c r="K183" i="56" s="1"/>
  <c r="Y172" i="56"/>
  <c r="AG172" i="56"/>
  <c r="AN169" i="56"/>
  <c r="AH170" i="56"/>
  <c r="AT168" i="56"/>
  <c r="BL171" i="56"/>
  <c r="Z171" i="56"/>
  <c r="AA171" i="56" s="1"/>
  <c r="X172" i="56"/>
  <c r="S173" i="56" s="1"/>
  <c r="BO169" i="56"/>
  <c r="CA169" i="56" s="1"/>
  <c r="L183" i="56" l="1"/>
  <c r="M183" i="56" s="1"/>
  <c r="I184" i="56" s="1"/>
  <c r="P182" i="56"/>
  <c r="U173" i="56" a="1"/>
  <c r="U173" i="56" s="1"/>
  <c r="W173" i="56" s="1"/>
  <c r="AB171" i="56"/>
  <c r="AI170" i="56"/>
  <c r="AD171" i="56" s="1"/>
  <c r="AS170" i="56"/>
  <c r="AK170" i="56"/>
  <c r="AJ170" i="56"/>
  <c r="BM171" i="56"/>
  <c r="AV168" i="56"/>
  <c r="AW168" i="56"/>
  <c r="AU168" i="56"/>
  <c r="AP169" i="56" s="1"/>
  <c r="Z172" i="56"/>
  <c r="BM172" i="56" s="1"/>
  <c r="BL172" i="56"/>
  <c r="K184" i="56" l="1" a="1"/>
  <c r="K184" i="56" s="1"/>
  <c r="Q182" i="56"/>
  <c r="V183" i="56"/>
  <c r="N183" i="56"/>
  <c r="AA172" i="56"/>
  <c r="AB172" i="56" s="1"/>
  <c r="AH172" i="56" s="1"/>
  <c r="AJ172" i="56" s="1"/>
  <c r="AG173" i="56"/>
  <c r="Y173" i="56"/>
  <c r="X173" i="56"/>
  <c r="S174" i="56" s="1"/>
  <c r="AR169" i="56" a="1"/>
  <c r="AR169" i="56" s="1"/>
  <c r="BN170" i="56"/>
  <c r="AL170" i="56"/>
  <c r="AH171" i="56"/>
  <c r="AX168" i="56"/>
  <c r="AY168" i="56" s="1"/>
  <c r="BP168" i="56"/>
  <c r="BZ171" i="56"/>
  <c r="BZ172" i="56"/>
  <c r="AF171" i="56" a="1"/>
  <c r="AF171" i="56" s="1"/>
  <c r="L184" i="56" l="1"/>
  <c r="O183" i="56" a="1"/>
  <c r="O183" i="56" s="1"/>
  <c r="AK172" i="56"/>
  <c r="BN172" i="56" s="1"/>
  <c r="AS172" i="56"/>
  <c r="AI171" i="56"/>
  <c r="AD172" i="56" s="1"/>
  <c r="AF172" i="56" s="1" a="1"/>
  <c r="AF172" i="56" s="1"/>
  <c r="AI172" i="56" s="1"/>
  <c r="AD173" i="56" s="1"/>
  <c r="BQ168" i="56"/>
  <c r="CB168" i="56" s="1"/>
  <c r="AK171" i="56"/>
  <c r="AS171" i="56"/>
  <c r="AJ171" i="56"/>
  <c r="BO170" i="56"/>
  <c r="CA170" i="56" s="1"/>
  <c r="AT169" i="56"/>
  <c r="Z173" i="56"/>
  <c r="BM173" i="56" s="1"/>
  <c r="BL173" i="56"/>
  <c r="AZ168" i="56"/>
  <c r="AM170" i="56"/>
  <c r="U174" i="56" a="1"/>
  <c r="U174" i="56" s="1"/>
  <c r="W174" i="56" s="1"/>
  <c r="P183" i="56" l="1"/>
  <c r="N184" i="56"/>
  <c r="V184" i="56"/>
  <c r="M184" i="56"/>
  <c r="I185" i="56" s="1"/>
  <c r="AL172" i="56"/>
  <c r="BO172" i="56" s="1"/>
  <c r="CA172" i="56" s="1"/>
  <c r="AA173" i="56"/>
  <c r="AB173" i="56" s="1"/>
  <c r="AH173" i="56" s="1"/>
  <c r="AF173" i="56" a="1"/>
  <c r="AF173" i="56" s="1"/>
  <c r="AG174" i="56"/>
  <c r="Y174" i="56"/>
  <c r="X174" i="56"/>
  <c r="S175" i="56" s="1"/>
  <c r="AN170" i="56"/>
  <c r="BC168" i="56"/>
  <c r="BB168" i="56" s="1"/>
  <c r="AW169" i="56"/>
  <c r="AV169" i="56"/>
  <c r="AU169" i="56"/>
  <c r="AP170" i="56" s="1"/>
  <c r="BZ173" i="56"/>
  <c r="AL171" i="56"/>
  <c r="AM171" i="56" s="1"/>
  <c r="AN171" i="56" s="1"/>
  <c r="BN171" i="56"/>
  <c r="O184" i="56" l="1" a="1"/>
  <c r="O184" i="56" s="1"/>
  <c r="K185" i="56" a="1"/>
  <c r="K185" i="56" s="1"/>
  <c r="L185" i="56" s="1"/>
  <c r="Q183" i="56"/>
  <c r="AM172" i="56"/>
  <c r="AN172" i="56" s="1"/>
  <c r="AI173" i="56"/>
  <c r="AD174" i="56" s="1"/>
  <c r="AF174" i="56" s="1" a="1"/>
  <c r="AF174" i="56" s="1"/>
  <c r="Z174" i="56"/>
  <c r="BM174" i="56" s="1"/>
  <c r="BL174" i="56"/>
  <c r="BF168" i="56"/>
  <c r="AJ173" i="56"/>
  <c r="AK173" i="56"/>
  <c r="AS173" i="56"/>
  <c r="AX169" i="56"/>
  <c r="AY169" i="56" s="1"/>
  <c r="BP169" i="56"/>
  <c r="BE168" i="56"/>
  <c r="BO171" i="56"/>
  <c r="CA171" i="56" s="1"/>
  <c r="AR170" i="56" a="1"/>
  <c r="AR170" i="56" s="1"/>
  <c r="U175" i="56" a="1"/>
  <c r="U175" i="56" s="1"/>
  <c r="W175" i="56" s="1"/>
  <c r="M185" i="56" l="1"/>
  <c r="I186" i="56" s="1"/>
  <c r="N185" i="56"/>
  <c r="O185" i="56" s="1" a="1"/>
  <c r="O185" i="56" s="1"/>
  <c r="P185" i="56" s="1"/>
  <c r="Q185" i="56" s="1"/>
  <c r="V185" i="56"/>
  <c r="P184" i="56"/>
  <c r="Y175" i="56"/>
  <c r="AG175" i="56"/>
  <c r="X175" i="56"/>
  <c r="S176" i="56" s="1"/>
  <c r="BG168" i="56"/>
  <c r="AL173" i="56"/>
  <c r="AM173" i="56" s="1"/>
  <c r="BN173" i="56"/>
  <c r="AA174" i="56"/>
  <c r="AB174" i="56" s="1"/>
  <c r="AH174" i="56" s="1"/>
  <c r="AZ169" i="56"/>
  <c r="AT170" i="56"/>
  <c r="BQ169" i="56"/>
  <c r="BZ174" i="56"/>
  <c r="Q184" i="56" l="1"/>
  <c r="K186" i="56" a="1"/>
  <c r="K186" i="56" s="1"/>
  <c r="L186" i="56" s="1"/>
  <c r="BO173" i="56"/>
  <c r="CA173" i="56" s="1"/>
  <c r="AW170" i="56"/>
  <c r="AV170" i="56"/>
  <c r="AU170" i="56"/>
  <c r="AP171" i="56" s="1"/>
  <c r="BL175" i="56"/>
  <c r="Z175" i="56"/>
  <c r="BM175" i="56" s="1"/>
  <c r="BC169" i="56"/>
  <c r="AN173" i="56"/>
  <c r="AI174" i="56"/>
  <c r="AD175" i="56" s="1"/>
  <c r="AK174" i="56"/>
  <c r="AJ174" i="56"/>
  <c r="AS174" i="56"/>
  <c r="CB169" i="56"/>
  <c r="U176" i="56" a="1"/>
  <c r="U176" i="56" s="1"/>
  <c r="W176" i="56" s="1"/>
  <c r="V186" i="56" l="1"/>
  <c r="N186" i="56"/>
  <c r="O186" i="56" s="1" a="1"/>
  <c r="O186" i="56" s="1"/>
  <c r="P186" i="56" s="1"/>
  <c r="Q186" i="56" s="1"/>
  <c r="M186" i="56"/>
  <c r="I187" i="56" s="1"/>
  <c r="AA175" i="56"/>
  <c r="AB175" i="56" s="1"/>
  <c r="AH175" i="56" s="1"/>
  <c r="AS175" i="56" s="1"/>
  <c r="X176" i="56"/>
  <c r="S177" i="56" s="1"/>
  <c r="U177" i="56" s="1" a="1"/>
  <c r="U177" i="56" s="1"/>
  <c r="BF169" i="56"/>
  <c r="BB169" i="56"/>
  <c r="BP170" i="56"/>
  <c r="AX170" i="56"/>
  <c r="AY170" i="56" s="1"/>
  <c r="BZ175" i="56"/>
  <c r="AR171" i="56" a="1"/>
  <c r="AR171" i="56" s="1"/>
  <c r="AT171" i="56" s="1"/>
  <c r="AG176" i="56"/>
  <c r="Y176" i="56"/>
  <c r="AL174" i="56"/>
  <c r="BO174" i="56" s="1"/>
  <c r="BN174" i="56"/>
  <c r="AF175" i="56" a="1"/>
  <c r="AF175" i="56" s="1"/>
  <c r="K187" i="56" l="1" a="1"/>
  <c r="K187" i="56" s="1"/>
  <c r="L187" i="56" s="1"/>
  <c r="M187" i="56" s="1"/>
  <c r="I188" i="56" s="1"/>
  <c r="AJ175" i="56"/>
  <c r="AK175" i="56"/>
  <c r="AL175" i="56" s="1"/>
  <c r="BO175" i="56" s="1"/>
  <c r="AI175" i="56"/>
  <c r="AD176" i="56" s="1"/>
  <c r="AF176" i="56" s="1" a="1"/>
  <c r="AF176" i="56" s="1"/>
  <c r="AM174" i="56"/>
  <c r="AN174" i="56" s="1"/>
  <c r="AU171" i="56"/>
  <c r="AP172" i="56" s="1"/>
  <c r="AR172" i="56" s="1" a="1"/>
  <c r="AR172" i="56" s="1"/>
  <c r="AT172" i="56" s="1"/>
  <c r="AZ170" i="56"/>
  <c r="W177" i="56"/>
  <c r="X177" i="56" s="1"/>
  <c r="S178" i="56" s="1"/>
  <c r="Z176" i="56"/>
  <c r="BM176" i="56" s="1"/>
  <c r="BL176" i="56"/>
  <c r="AV171" i="56"/>
  <c r="AW171" i="56"/>
  <c r="CA174" i="56"/>
  <c r="BQ170" i="56"/>
  <c r="CB170" i="56" s="1"/>
  <c r="BE169" i="56"/>
  <c r="K188" i="56" l="1" a="1"/>
  <c r="K188" i="56" s="1"/>
  <c r="L188" i="56" s="1"/>
  <c r="N187" i="56"/>
  <c r="O187" i="56" s="1" a="1"/>
  <c r="O187" i="56" s="1"/>
  <c r="P187" i="56" s="1"/>
  <c r="Q187" i="56" s="1"/>
  <c r="V187" i="56"/>
  <c r="BN175" i="56"/>
  <c r="CA175" i="56" s="1"/>
  <c r="AM175" i="56"/>
  <c r="AN175" i="56" s="1"/>
  <c r="AW172" i="56"/>
  <c r="AV172" i="56"/>
  <c r="U178" i="56" a="1"/>
  <c r="U178" i="56" s="1"/>
  <c r="W178" i="56" s="1"/>
  <c r="AX171" i="56"/>
  <c r="AY171" i="56" s="1"/>
  <c r="BP171" i="56"/>
  <c r="AU172" i="56"/>
  <c r="AP173" i="56" s="1"/>
  <c r="BZ176" i="56"/>
  <c r="Y177" i="56"/>
  <c r="AG177" i="56"/>
  <c r="BG169" i="56"/>
  <c r="AA176" i="56"/>
  <c r="AB176" i="56" s="1"/>
  <c r="AH176" i="56" s="1"/>
  <c r="BC170" i="56"/>
  <c r="M188" i="56" l="1"/>
  <c r="I189" i="56" s="1"/>
  <c r="K189" i="56" s="1" a="1"/>
  <c r="K189" i="56" s="1"/>
  <c r="L189" i="56" s="1"/>
  <c r="N188" i="56"/>
  <c r="O188" i="56" s="1" a="1"/>
  <c r="O188" i="56" s="1"/>
  <c r="P188" i="56" s="1"/>
  <c r="Q188" i="56" s="1"/>
  <c r="V188" i="56"/>
  <c r="Y178" i="56"/>
  <c r="AG178" i="56"/>
  <c r="BQ171" i="56"/>
  <c r="CB171" i="56" s="1"/>
  <c r="X178" i="56"/>
  <c r="S179" i="56" s="1"/>
  <c r="BF170" i="56"/>
  <c r="BB170" i="56"/>
  <c r="AZ171" i="56"/>
  <c r="AX172" i="56"/>
  <c r="BP172" i="56"/>
  <c r="AJ176" i="56"/>
  <c r="AK176" i="56"/>
  <c r="AS176" i="56"/>
  <c r="BL177" i="56"/>
  <c r="Z177" i="56"/>
  <c r="BM177" i="56" s="1"/>
  <c r="AR173" i="56" a="1"/>
  <c r="AR173" i="56" s="1"/>
  <c r="AT173" i="56" s="1"/>
  <c r="AI176" i="56"/>
  <c r="AD177" i="56" s="1"/>
  <c r="M189" i="56" l="1"/>
  <c r="I190" i="56" s="1"/>
  <c r="N189" i="56"/>
  <c r="O189" i="56" s="1" a="1"/>
  <c r="O189" i="56" s="1"/>
  <c r="P189" i="56" s="1"/>
  <c r="Q189" i="56" s="1"/>
  <c r="V189" i="56"/>
  <c r="AF177" i="56" a="1"/>
  <c r="AF177" i="56" s="1"/>
  <c r="AW173" i="56"/>
  <c r="AV173" i="56"/>
  <c r="BQ172" i="56"/>
  <c r="CB172" i="56" s="1"/>
  <c r="BC171" i="56"/>
  <c r="BB171" i="56" s="1"/>
  <c r="AU173" i="56"/>
  <c r="AP174" i="56" s="1"/>
  <c r="BZ177" i="56"/>
  <c r="AY172" i="56"/>
  <c r="U179" i="56" a="1"/>
  <c r="U179" i="56" s="1"/>
  <c r="AA177" i="56"/>
  <c r="AB177" i="56" s="1"/>
  <c r="AH177" i="56" s="1"/>
  <c r="BE170" i="56"/>
  <c r="BN176" i="56"/>
  <c r="AL176" i="56"/>
  <c r="BO176" i="56" s="1"/>
  <c r="Z178" i="56"/>
  <c r="BM178" i="56" s="1"/>
  <c r="BL178" i="56"/>
  <c r="K190" i="56" l="1" a="1"/>
  <c r="K190" i="56" s="1"/>
  <c r="L190" i="56" s="1"/>
  <c r="AM176" i="56"/>
  <c r="AN176" i="56" s="1"/>
  <c r="AA178" i="56"/>
  <c r="AB178" i="56" s="1"/>
  <c r="AH178" i="56" s="1"/>
  <c r="AJ178" i="56" s="1"/>
  <c r="BE171" i="56"/>
  <c r="BZ178" i="56"/>
  <c r="AJ177" i="56"/>
  <c r="AS177" i="56"/>
  <c r="AK177" i="56"/>
  <c r="BG170" i="56"/>
  <c r="U411" i="56"/>
  <c r="U46" i="56"/>
  <c r="U409" i="56"/>
  <c r="U412" i="56"/>
  <c r="U413" i="56"/>
  <c r="U414" i="56"/>
  <c r="U415" i="56"/>
  <c r="U416" i="56"/>
  <c r="U417" i="56"/>
  <c r="U418" i="56"/>
  <c r="U419" i="56"/>
  <c r="U420" i="56"/>
  <c r="U421" i="56"/>
  <c r="AR174" i="56" a="1"/>
  <c r="AR174" i="56" s="1"/>
  <c r="AT174" i="56" s="1"/>
  <c r="AU174" i="56" s="1"/>
  <c r="AP175" i="56" s="1"/>
  <c r="BP173" i="56"/>
  <c r="AX173" i="56"/>
  <c r="AY173" i="56" s="1"/>
  <c r="AZ173" i="56" s="1"/>
  <c r="CA176" i="56"/>
  <c r="AI177" i="56"/>
  <c r="AD178" i="56" s="1"/>
  <c r="AZ172" i="56"/>
  <c r="W179" i="56"/>
  <c r="BF171" i="56"/>
  <c r="M190" i="56" l="1"/>
  <c r="I191" i="56" s="1"/>
  <c r="N190" i="56"/>
  <c r="O190" i="56" s="1" a="1"/>
  <c r="O190" i="56" s="1"/>
  <c r="P190" i="56" s="1"/>
  <c r="Q190" i="56" s="1"/>
  <c r="V190" i="56"/>
  <c r="AK178" i="56"/>
  <c r="BN178" i="56" s="1"/>
  <c r="AS178" i="56"/>
  <c r="AR175" i="56" a="1"/>
  <c r="AR175" i="56" s="1"/>
  <c r="AT175" i="56" s="1"/>
  <c r="BC173" i="56"/>
  <c r="BB173" i="56" s="1"/>
  <c r="BE173" i="56" s="1"/>
  <c r="BC172" i="56"/>
  <c r="U442" i="56"/>
  <c r="U443" i="56" s="1"/>
  <c r="BN177" i="56"/>
  <c r="AL177" i="56"/>
  <c r="BO177" i="56" s="1"/>
  <c r="BQ173" i="56"/>
  <c r="AW174" i="56"/>
  <c r="AV174" i="56"/>
  <c r="BG171" i="56"/>
  <c r="AG179" i="56"/>
  <c r="Y179" i="56"/>
  <c r="AF178" i="56" a="1"/>
  <c r="AF178" i="56" s="1"/>
  <c r="AI178" i="56" s="1"/>
  <c r="AD179" i="56" s="1"/>
  <c r="X179" i="56"/>
  <c r="K191" i="56" l="1" a="1"/>
  <c r="K191" i="56" s="1"/>
  <c r="M191" i="56" s="1"/>
  <c r="I192" i="56" s="1"/>
  <c r="AL178" i="56"/>
  <c r="BO178" i="56" s="1"/>
  <c r="CA178" i="56" s="1"/>
  <c r="AM177" i="56"/>
  <c r="AN177" i="56" s="1"/>
  <c r="BF173" i="56"/>
  <c r="BG173" i="56" s="1"/>
  <c r="AV175" i="56"/>
  <c r="AW175" i="56"/>
  <c r="AF179" i="56" a="1"/>
  <c r="AF179" i="56" s="1"/>
  <c r="AU175" i="56"/>
  <c r="AP176" i="56" s="1"/>
  <c r="BL179" i="56"/>
  <c r="Z179" i="56"/>
  <c r="BM179" i="56" s="1"/>
  <c r="BF172" i="56"/>
  <c r="CB173" i="56"/>
  <c r="S180" i="56"/>
  <c r="AX174" i="56"/>
  <c r="AY174" i="56" s="1"/>
  <c r="AZ174" i="56" s="1"/>
  <c r="BP174" i="56"/>
  <c r="CA177" i="56"/>
  <c r="BB172" i="56"/>
  <c r="K192" i="56" l="1" a="1"/>
  <c r="K192" i="56" s="1"/>
  <c r="L192" i="56" s="1"/>
  <c r="AM178" i="56"/>
  <c r="AN178" i="56" s="1"/>
  <c r="AA179" i="56"/>
  <c r="AB179" i="56" s="1"/>
  <c r="AH179" i="56" s="1"/>
  <c r="BC174" i="56"/>
  <c r="BB174" i="56" s="1"/>
  <c r="BE174" i="56" s="1"/>
  <c r="AR176" i="56" a="1"/>
  <c r="AR176" i="56" s="1"/>
  <c r="AT176" i="56" s="1"/>
  <c r="AF46" i="56"/>
  <c r="AF409" i="56"/>
  <c r="AF411" i="56"/>
  <c r="AF412" i="56"/>
  <c r="AF413" i="56"/>
  <c r="AF414" i="56"/>
  <c r="AF415" i="56"/>
  <c r="AF416" i="56"/>
  <c r="AF417" i="56"/>
  <c r="AF418" i="56"/>
  <c r="AF419" i="56"/>
  <c r="AF420" i="56"/>
  <c r="AF421" i="56"/>
  <c r="BE172" i="56"/>
  <c r="AX175" i="56"/>
  <c r="BP175" i="56"/>
  <c r="BQ174" i="56"/>
  <c r="CB174" i="56" s="1"/>
  <c r="W180" i="56"/>
  <c r="X180" i="56" s="1"/>
  <c r="S181" i="56" s="1"/>
  <c r="BZ179" i="56"/>
  <c r="M192" i="56" l="1"/>
  <c r="I193" i="56" s="1"/>
  <c r="N192" i="56"/>
  <c r="O192" i="56" s="1" a="1"/>
  <c r="O192" i="56" s="1"/>
  <c r="P192" i="56" s="1"/>
  <c r="Q192" i="56" s="1"/>
  <c r="V192" i="56"/>
  <c r="BF174" i="56"/>
  <c r="BG174" i="56" s="1"/>
  <c r="AU176" i="56"/>
  <c r="AP177" i="56" s="1"/>
  <c r="AR177" i="56" s="1" a="1"/>
  <c r="AR177" i="56" s="1"/>
  <c r="W181" i="56"/>
  <c r="BQ175" i="56"/>
  <c r="CB175" i="56" s="1"/>
  <c r="BG172" i="56"/>
  <c r="Y180" i="56"/>
  <c r="AG180" i="56"/>
  <c r="AY175" i="56"/>
  <c r="AZ175" i="56" s="1"/>
  <c r="AF442" i="56"/>
  <c r="AF443" i="56" s="1"/>
  <c r="AS179" i="56"/>
  <c r="AJ179" i="56"/>
  <c r="AK179" i="56"/>
  <c r="AV176" i="56"/>
  <c r="AW176" i="56"/>
  <c r="AI179" i="56"/>
  <c r="K193" i="56" l="1" a="1"/>
  <c r="K193" i="56" s="1"/>
  <c r="L193" i="56" s="1"/>
  <c r="AT177" i="56"/>
  <c r="AU177" i="56" s="1"/>
  <c r="AP178" i="56" s="1"/>
  <c r="AR178" i="56" s="1" a="1"/>
  <c r="AR178" i="56" s="1"/>
  <c r="AT178" i="56" s="1"/>
  <c r="AU178" i="56" s="1"/>
  <c r="AP179" i="56" s="1"/>
  <c r="BN179" i="56"/>
  <c r="AL179" i="56"/>
  <c r="BO179" i="56" s="1"/>
  <c r="BC175" i="56"/>
  <c r="BF175" i="56" s="1"/>
  <c r="AG181" i="56"/>
  <c r="Y181" i="56"/>
  <c r="AD180" i="56"/>
  <c r="AX176" i="56"/>
  <c r="AY176" i="56" s="1"/>
  <c r="AZ176" i="56" s="1"/>
  <c r="BP176" i="56"/>
  <c r="BL180" i="56"/>
  <c r="Z180" i="56"/>
  <c r="BM180" i="56" s="1"/>
  <c r="X181" i="56"/>
  <c r="S182" i="56" s="1"/>
  <c r="M193" i="56" l="1"/>
  <c r="I194" i="56" s="1"/>
  <c r="K194" i="56" s="1" a="1"/>
  <c r="K194" i="56" s="1"/>
  <c r="L194" i="56" s="1"/>
  <c r="N193" i="56"/>
  <c r="O193" i="56" s="1" a="1"/>
  <c r="O193" i="56" s="1"/>
  <c r="P193" i="56" s="1"/>
  <c r="Q193" i="56" s="1"/>
  <c r="V193" i="56"/>
  <c r="AW177" i="56"/>
  <c r="AX177" i="56" s="1"/>
  <c r="AY177" i="56" s="1"/>
  <c r="AZ177" i="56" s="1"/>
  <c r="AV177" i="56"/>
  <c r="AA180" i="56"/>
  <c r="AB180" i="56" s="1"/>
  <c r="AH180" i="56" s="1"/>
  <c r="AS180" i="56" s="1"/>
  <c r="AM179" i="56"/>
  <c r="AN179" i="56" s="1"/>
  <c r="W182" i="56"/>
  <c r="X182" i="56" s="1"/>
  <c r="S183" i="56" s="1"/>
  <c r="BQ176" i="56"/>
  <c r="CB176" i="56" s="1"/>
  <c r="Z181" i="56"/>
  <c r="BM181" i="56" s="1"/>
  <c r="BL181" i="56"/>
  <c r="AV178" i="56"/>
  <c r="AW178" i="56"/>
  <c r="AR179" i="56" a="1"/>
  <c r="AR179" i="56" s="1"/>
  <c r="BZ180" i="56"/>
  <c r="BC176" i="56"/>
  <c r="BF176" i="56" s="1"/>
  <c r="BB175" i="56"/>
  <c r="BE175" i="56" s="1"/>
  <c r="CA179" i="56"/>
  <c r="M194" i="56" l="1"/>
  <c r="I195" i="56" s="1"/>
  <c r="K195" i="56" s="1" a="1"/>
  <c r="K195" i="56" s="1"/>
  <c r="L195" i="56" s="1"/>
  <c r="N194" i="56"/>
  <c r="O194" i="56" s="1" a="1"/>
  <c r="O194" i="56" s="1"/>
  <c r="P194" i="56" s="1"/>
  <c r="Q194" i="56" s="1"/>
  <c r="V194" i="56"/>
  <c r="BP177" i="56"/>
  <c r="AI180" i="56"/>
  <c r="AD181" i="56" s="1"/>
  <c r="AK180" i="56"/>
  <c r="BN180" i="56" s="1"/>
  <c r="AJ180" i="56"/>
  <c r="BG175" i="56"/>
  <c r="BB176" i="56"/>
  <c r="BE176" i="56" s="1"/>
  <c r="BG176" i="56" s="1"/>
  <c r="BC177" i="56"/>
  <c r="BB177" i="56" s="1"/>
  <c r="BE177" i="56" s="1"/>
  <c r="AX178" i="56"/>
  <c r="AY178" i="56" s="1"/>
  <c r="AZ178" i="56" s="1"/>
  <c r="BP178" i="56"/>
  <c r="Y182" i="56"/>
  <c r="AG182" i="56"/>
  <c r="AR409" i="56"/>
  <c r="AR46" i="56"/>
  <c r="AR411" i="56"/>
  <c r="AR412" i="56"/>
  <c r="AR413" i="56"/>
  <c r="AR414" i="56"/>
  <c r="AR415" i="56"/>
  <c r="AR416" i="56"/>
  <c r="AR417" i="56"/>
  <c r="AR418" i="56"/>
  <c r="AR419" i="56"/>
  <c r="AR420" i="56"/>
  <c r="AR421" i="56"/>
  <c r="BQ177" i="56"/>
  <c r="AT179" i="56"/>
  <c r="BZ181" i="56"/>
  <c r="AA181" i="56"/>
  <c r="AB181" i="56" s="1"/>
  <c r="AH181" i="56" s="1"/>
  <c r="W183" i="56"/>
  <c r="X183" i="56" s="1"/>
  <c r="S184" i="56" s="1"/>
  <c r="CB177" i="56" l="1"/>
  <c r="M195" i="56"/>
  <c r="I196" i="56" s="1"/>
  <c r="K196" i="56" s="1" a="1"/>
  <c r="K196" i="56" s="1"/>
  <c r="L196" i="56" s="1"/>
  <c r="Q46" i="56"/>
  <c r="Q409" i="56"/>
  <c r="Q443" i="56" s="1"/>
  <c r="N195" i="56"/>
  <c r="O195" i="56" s="1" a="1"/>
  <c r="O195" i="56" s="1"/>
  <c r="P195" i="56" s="1"/>
  <c r="V195" i="56"/>
  <c r="AL180" i="56"/>
  <c r="BO180" i="56" s="1"/>
  <c r="CA180" i="56" s="1"/>
  <c r="AI181" i="56"/>
  <c r="AD182" i="56" s="1"/>
  <c r="BF177" i="56"/>
  <c r="BG177" i="56" s="1"/>
  <c r="AS181" i="56"/>
  <c r="AJ181" i="56"/>
  <c r="AK181" i="56"/>
  <c r="Y183" i="56"/>
  <c r="AG183" i="56"/>
  <c r="AR442" i="56"/>
  <c r="AR443" i="56" s="1"/>
  <c r="Z182" i="56"/>
  <c r="BM182" i="56" s="1"/>
  <c r="BL182" i="56"/>
  <c r="BQ178" i="56"/>
  <c r="W184" i="56"/>
  <c r="X184" i="56" s="1"/>
  <c r="S185" i="56" s="1"/>
  <c r="AW179" i="56"/>
  <c r="AV179" i="56"/>
  <c r="AV46" i="56" s="1"/>
  <c r="BC178" i="56"/>
  <c r="BF178" i="56" s="1"/>
  <c r="AU179" i="56"/>
  <c r="AP180" i="56" s="1"/>
  <c r="M196" i="56" l="1"/>
  <c r="I197" i="56" s="1"/>
  <c r="V196" i="56"/>
  <c r="N196" i="56"/>
  <c r="O196" i="56" s="1" a="1"/>
  <c r="O196" i="56" s="1"/>
  <c r="P196" i="56" s="1"/>
  <c r="AM180" i="56"/>
  <c r="AN180" i="56" s="1"/>
  <c r="AA182" i="56"/>
  <c r="AB182" i="56" s="1"/>
  <c r="AH182" i="56" s="1"/>
  <c r="BB178" i="56"/>
  <c r="BE178" i="56" s="1"/>
  <c r="BG178" i="56" s="1"/>
  <c r="AX179" i="56"/>
  <c r="AY179" i="56" s="1"/>
  <c r="AZ179" i="56" s="1"/>
  <c r="BP179" i="56"/>
  <c r="BZ182" i="56"/>
  <c r="BN181" i="56"/>
  <c r="AL181" i="56"/>
  <c r="BO181" i="56" s="1"/>
  <c r="W185" i="56"/>
  <c r="X185" i="56" s="1"/>
  <c r="S186" i="56" s="1"/>
  <c r="AT180" i="56"/>
  <c r="AU180" i="56" s="1"/>
  <c r="AP181" i="56" s="1"/>
  <c r="Y184" i="56"/>
  <c r="AG184" i="56"/>
  <c r="CB178" i="56"/>
  <c r="BL183" i="56"/>
  <c r="Z183" i="56"/>
  <c r="BM183" i="56" s="1"/>
  <c r="K197" i="56" l="1" a="1"/>
  <c r="K197" i="56" s="1"/>
  <c r="L197" i="56" s="1"/>
  <c r="AA183" i="56"/>
  <c r="AB183" i="56" s="1"/>
  <c r="AH183" i="56" s="1"/>
  <c r="AI182" i="56"/>
  <c r="AD183" i="56" s="1"/>
  <c r="AJ182" i="56"/>
  <c r="AS182" i="56"/>
  <c r="AK182" i="56"/>
  <c r="AT181" i="56"/>
  <c r="AU181" i="56" s="1"/>
  <c r="AP182" i="56" s="1"/>
  <c r="AV180" i="56"/>
  <c r="AW180" i="56"/>
  <c r="AM181" i="56"/>
  <c r="AN181" i="56" s="1"/>
  <c r="W186" i="56"/>
  <c r="X186" i="56" s="1"/>
  <c r="S187" i="56" s="1"/>
  <c r="BQ179" i="56"/>
  <c r="CB179" i="56" s="1"/>
  <c r="BZ183" i="56"/>
  <c r="BL184" i="56"/>
  <c r="Z184" i="56"/>
  <c r="BM184" i="56" s="1"/>
  <c r="AG185" i="56"/>
  <c r="Y185" i="56"/>
  <c r="CA181" i="56"/>
  <c r="BC179" i="56"/>
  <c r="BB179" i="56" s="1"/>
  <c r="BE179" i="56" s="1"/>
  <c r="M197" i="56" l="1"/>
  <c r="I198" i="56" s="1"/>
  <c r="K198" i="56" s="1" a="1"/>
  <c r="K198" i="56" s="1"/>
  <c r="L198" i="56" s="1"/>
  <c r="N197" i="56"/>
  <c r="O197" i="56" s="1" a="1"/>
  <c r="O197" i="56" s="1"/>
  <c r="P197" i="56" s="1"/>
  <c r="V197" i="56"/>
  <c r="BN182" i="56"/>
  <c r="AL182" i="56"/>
  <c r="BO182" i="56" s="1"/>
  <c r="AI183" i="56"/>
  <c r="AD184" i="56" s="1"/>
  <c r="AK183" i="56"/>
  <c r="AS183" i="56"/>
  <c r="BF179" i="56"/>
  <c r="BG179" i="56" s="1"/>
  <c r="AJ183" i="56"/>
  <c r="W187" i="56"/>
  <c r="X187" i="56" s="1"/>
  <c r="S188" i="56" s="1"/>
  <c r="AT182" i="56"/>
  <c r="AU182" i="56" s="1"/>
  <c r="AP183" i="56" s="1"/>
  <c r="Z185" i="56"/>
  <c r="BM185" i="56" s="1"/>
  <c r="BL185" i="56"/>
  <c r="BZ184" i="56"/>
  <c r="AX180" i="56"/>
  <c r="AY180" i="56" s="1"/>
  <c r="AZ180" i="56" s="1"/>
  <c r="BP180" i="56"/>
  <c r="AA184" i="56"/>
  <c r="AB184" i="56" s="1"/>
  <c r="AH184" i="56" s="1"/>
  <c r="Y186" i="56"/>
  <c r="AG186" i="56"/>
  <c r="AW181" i="56"/>
  <c r="AV181" i="56"/>
  <c r="N198" i="56" l="1"/>
  <c r="O198" i="56" s="1" a="1"/>
  <c r="O198" i="56" s="1"/>
  <c r="P198" i="56" s="1"/>
  <c r="V198" i="56"/>
  <c r="M198" i="56"/>
  <c r="I199" i="56" s="1"/>
  <c r="AM182" i="56"/>
  <c r="AN182" i="56" s="1"/>
  <c r="AL183" i="56"/>
  <c r="BO183" i="56" s="1"/>
  <c r="BN183" i="56"/>
  <c r="CA182" i="56"/>
  <c r="BC180" i="56"/>
  <c r="BB180" i="56" s="1"/>
  <c r="BE180" i="56" s="1"/>
  <c r="AJ184" i="56"/>
  <c r="AK184" i="56"/>
  <c r="AI184" i="56"/>
  <c r="AD185" i="56" s="1"/>
  <c r="AS184" i="56"/>
  <c r="AA185" i="56"/>
  <c r="AB185" i="56" s="1"/>
  <c r="AH185" i="56" s="1"/>
  <c r="AV182" i="56"/>
  <c r="AW182" i="56"/>
  <c r="AT183" i="56"/>
  <c r="AU183" i="56" s="1"/>
  <c r="AP184" i="56" s="1"/>
  <c r="W188" i="56"/>
  <c r="X188" i="56" s="1"/>
  <c r="S189" i="56" s="1"/>
  <c r="AX181" i="56"/>
  <c r="AY181" i="56" s="1"/>
  <c r="AZ181" i="56" s="1"/>
  <c r="BP181" i="56"/>
  <c r="Z186" i="56"/>
  <c r="BM186" i="56" s="1"/>
  <c r="BL186" i="56"/>
  <c r="BQ180" i="56"/>
  <c r="BZ185" i="56"/>
  <c r="Y187" i="56"/>
  <c r="AG187" i="56"/>
  <c r="K199" i="56" l="1" a="1"/>
  <c r="K199" i="56" s="1"/>
  <c r="L199" i="56" s="1"/>
  <c r="AM183" i="56"/>
  <c r="AN183" i="56" s="1"/>
  <c r="BF180" i="56"/>
  <c r="BG180" i="56" s="1"/>
  <c r="CA183" i="56"/>
  <c r="AA186" i="56"/>
  <c r="AB186" i="56" s="1"/>
  <c r="AH186" i="56" s="1"/>
  <c r="AS186" i="56" s="1"/>
  <c r="AI185" i="56"/>
  <c r="AD186" i="56" s="1"/>
  <c r="AL186" i="56" s="1"/>
  <c r="BO186" i="56" s="1"/>
  <c r="AT184" i="56"/>
  <c r="AU184" i="56" s="1"/>
  <c r="AP185" i="56" s="1"/>
  <c r="BZ186" i="56"/>
  <c r="BQ181" i="56"/>
  <c r="CB181" i="56" s="1"/>
  <c r="AS185" i="56"/>
  <c r="AK185" i="56"/>
  <c r="AJ185" i="56"/>
  <c r="W189" i="56"/>
  <c r="X189" i="56" s="1"/>
  <c r="S190" i="56" s="1"/>
  <c r="AW183" i="56"/>
  <c r="AV183" i="56"/>
  <c r="CB180" i="56"/>
  <c r="BC181" i="56"/>
  <c r="BF181" i="56" s="1"/>
  <c r="Y188" i="56"/>
  <c r="AG188" i="56"/>
  <c r="AX182" i="56"/>
  <c r="AY182" i="56" s="1"/>
  <c r="AZ182" i="56" s="1"/>
  <c r="BP182" i="56"/>
  <c r="Z187" i="56"/>
  <c r="BM187" i="56" s="1"/>
  <c r="BL187" i="56"/>
  <c r="AL184" i="56"/>
  <c r="BO184" i="56" s="1"/>
  <c r="BN184" i="56"/>
  <c r="M199" i="56" l="1"/>
  <c r="I200" i="56" s="1"/>
  <c r="K200" i="56" s="1" a="1"/>
  <c r="K200" i="56" s="1"/>
  <c r="L200" i="56" s="1"/>
  <c r="N199" i="56"/>
  <c r="O199" i="56" s="1" a="1"/>
  <c r="O199" i="56" s="1"/>
  <c r="P199" i="56" s="1"/>
  <c r="V199" i="56"/>
  <c r="AW184" i="56"/>
  <c r="BP184" i="56" s="1"/>
  <c r="AV184" i="56"/>
  <c r="AJ186" i="56"/>
  <c r="AM184" i="56"/>
  <c r="AN184" i="56" s="1"/>
  <c r="AI186" i="56"/>
  <c r="AD187" i="56" s="1"/>
  <c r="AL187" i="56" s="1"/>
  <c r="BO187" i="56" s="1"/>
  <c r="AK186" i="56"/>
  <c r="BN186" i="56" s="1"/>
  <c r="BC182" i="56"/>
  <c r="BB182" i="56" s="1"/>
  <c r="BE182" i="56" s="1"/>
  <c r="BZ187" i="56"/>
  <c r="BB181" i="56"/>
  <c r="BE181" i="56" s="1"/>
  <c r="BG181" i="56" s="1"/>
  <c r="CA184" i="56"/>
  <c r="AA187" i="56"/>
  <c r="AB187" i="56" s="1"/>
  <c r="AH187" i="56" s="1"/>
  <c r="AX183" i="56"/>
  <c r="AY183" i="56" s="1"/>
  <c r="AZ183" i="56" s="1"/>
  <c r="BP183" i="56"/>
  <c r="BN185" i="56"/>
  <c r="AL185" i="56"/>
  <c r="BO185" i="56" s="1"/>
  <c r="AT185" i="56"/>
  <c r="AU185" i="56" s="1"/>
  <c r="AP186" i="56" s="1"/>
  <c r="BQ182" i="56"/>
  <c r="Z188" i="56"/>
  <c r="BM188" i="56" s="1"/>
  <c r="BL188" i="56"/>
  <c r="W190" i="56"/>
  <c r="X190" i="56" s="1"/>
  <c r="S191" i="56" s="1"/>
  <c r="Y189" i="56"/>
  <c r="AG189" i="56"/>
  <c r="N200" i="56" l="1"/>
  <c r="O200" i="56" s="1" a="1"/>
  <c r="O200" i="56" s="1"/>
  <c r="P200" i="56" s="1"/>
  <c r="V200" i="56"/>
  <c r="M200" i="56"/>
  <c r="I201" i="56" s="1"/>
  <c r="AM186" i="56"/>
  <c r="AN186" i="56" s="1"/>
  <c r="AI187" i="56"/>
  <c r="AD188" i="56" s="1"/>
  <c r="AL188" i="56" s="1"/>
  <c r="BO188" i="56" s="1"/>
  <c r="AX184" i="56"/>
  <c r="BQ184" i="56" s="1"/>
  <c r="CB184" i="56" s="1"/>
  <c r="AA188" i="56"/>
  <c r="AB188" i="56" s="1"/>
  <c r="AH188" i="56" s="1"/>
  <c r="AS188" i="56" s="1"/>
  <c r="AM185" i="56"/>
  <c r="AN185" i="56" s="1"/>
  <c r="AV185" i="56"/>
  <c r="BF182" i="56"/>
  <c r="BG182" i="56" s="1"/>
  <c r="AW185" i="56"/>
  <c r="AX185" i="56" s="1"/>
  <c r="AY185" i="56" s="1"/>
  <c r="AZ185" i="56" s="1"/>
  <c r="BC183" i="56"/>
  <c r="BB183" i="56" s="1"/>
  <c r="BE183" i="56" s="1"/>
  <c r="AT186" i="56"/>
  <c r="AU186" i="56" s="1"/>
  <c r="AP187" i="56" s="1"/>
  <c r="AX186" i="56"/>
  <c r="W191" i="56"/>
  <c r="X191" i="56" s="1"/>
  <c r="S192" i="56" s="1"/>
  <c r="CA186" i="56"/>
  <c r="CA185" i="56"/>
  <c r="BQ183" i="56"/>
  <c r="CB183" i="56" s="1"/>
  <c r="CB182" i="56"/>
  <c r="Z189" i="56"/>
  <c r="BM189" i="56" s="1"/>
  <c r="BL189" i="56"/>
  <c r="Y190" i="56"/>
  <c r="AG190" i="56"/>
  <c r="BZ188" i="56"/>
  <c r="AJ187" i="56"/>
  <c r="AK187" i="56"/>
  <c r="AS187" i="56"/>
  <c r="K201" i="56" l="1" a="1"/>
  <c r="K201" i="56" s="1"/>
  <c r="M201" i="56" s="1"/>
  <c r="I202" i="56" s="1"/>
  <c r="AY184" i="56"/>
  <c r="AZ184" i="56" s="1"/>
  <c r="BC184" i="56" s="1"/>
  <c r="BF184" i="56" s="1"/>
  <c r="AK188" i="56"/>
  <c r="BN188" i="56" s="1"/>
  <c r="AI188" i="56"/>
  <c r="AD189" i="56" s="1"/>
  <c r="AL189" i="56" s="1"/>
  <c r="BO189" i="56" s="1"/>
  <c r="BF183" i="56"/>
  <c r="BG183" i="56" s="1"/>
  <c r="AJ188" i="56"/>
  <c r="BP185" i="56"/>
  <c r="AA189" i="56"/>
  <c r="AB189" i="56" s="1"/>
  <c r="AH189" i="56" s="1"/>
  <c r="BC185" i="56"/>
  <c r="BF185" i="56" s="1"/>
  <c r="BN187" i="56"/>
  <c r="AM187" i="56"/>
  <c r="AN187" i="56" s="1"/>
  <c r="W192" i="56"/>
  <c r="X192" i="56" s="1"/>
  <c r="S193" i="56" s="1"/>
  <c r="Z190" i="56"/>
  <c r="BM190" i="56" s="1"/>
  <c r="BL190" i="56"/>
  <c r="Y191" i="56"/>
  <c r="AG191" i="56"/>
  <c r="BQ186" i="56"/>
  <c r="AV186" i="56"/>
  <c r="AW186" i="56"/>
  <c r="BZ189" i="56"/>
  <c r="AT187" i="56"/>
  <c r="AW187" i="56" s="1"/>
  <c r="AX187" i="56"/>
  <c r="BQ185" i="56"/>
  <c r="K202" i="56" l="1" a="1"/>
  <c r="K202" i="56" s="1"/>
  <c r="L202" i="56" s="1"/>
  <c r="AI189" i="56"/>
  <c r="AD190" i="56" s="1"/>
  <c r="AL190" i="56" s="1"/>
  <c r="BO190" i="56" s="1"/>
  <c r="AM188" i="56"/>
  <c r="AN188" i="56" s="1"/>
  <c r="CB185" i="56"/>
  <c r="BB185" i="56"/>
  <c r="BE185" i="56" s="1"/>
  <c r="BG185" i="56" s="1"/>
  <c r="AJ189" i="56"/>
  <c r="AS189" i="56"/>
  <c r="AK189" i="56"/>
  <c r="AY187" i="56"/>
  <c r="AZ187" i="56" s="1"/>
  <c r="BP187" i="56"/>
  <c r="BZ190" i="56"/>
  <c r="W193" i="56"/>
  <c r="X193" i="56" s="1"/>
  <c r="S194" i="56" s="1"/>
  <c r="BQ187" i="56"/>
  <c r="AY186" i="56"/>
  <c r="AZ186" i="56" s="1"/>
  <c r="BP186" i="56"/>
  <c r="AV187" i="56"/>
  <c r="AA190" i="56"/>
  <c r="AB190" i="56" s="1"/>
  <c r="AH190" i="56" s="1"/>
  <c r="Y192" i="56"/>
  <c r="AG192" i="56"/>
  <c r="CA187" i="56"/>
  <c r="Z191" i="56"/>
  <c r="BM191" i="56" s="1"/>
  <c r="BL191" i="56"/>
  <c r="AU187" i="56"/>
  <c r="AP188" i="56" s="1"/>
  <c r="BB184" i="56"/>
  <c r="BE184" i="56" s="1"/>
  <c r="BG184" i="56" s="1"/>
  <c r="CA188" i="56"/>
  <c r="M202" i="56" l="1"/>
  <c r="I203" i="56" s="1"/>
  <c r="N202" i="56"/>
  <c r="O202" i="56" s="1" a="1"/>
  <c r="O202" i="56" s="1"/>
  <c r="P202" i="56" s="1"/>
  <c r="V202" i="56"/>
  <c r="AI190" i="56"/>
  <c r="AD191" i="56" s="1"/>
  <c r="AL191" i="56" s="1"/>
  <c r="BO191" i="56" s="1"/>
  <c r="AA191" i="56"/>
  <c r="AB191" i="56" s="1"/>
  <c r="AH191" i="56" s="1"/>
  <c r="AJ191" i="56" s="1"/>
  <c r="BN189" i="56"/>
  <c r="CA189" i="56" s="1"/>
  <c r="AM189" i="56"/>
  <c r="AN189" i="56" s="1"/>
  <c r="W194" i="56"/>
  <c r="X194" i="56" s="1"/>
  <c r="S195" i="56" s="1"/>
  <c r="BZ191" i="56"/>
  <c r="AT188" i="56"/>
  <c r="AU188" i="56" s="1"/>
  <c r="AP189" i="56" s="1"/>
  <c r="AX188" i="56"/>
  <c r="Z192" i="56"/>
  <c r="BM192" i="56" s="1"/>
  <c r="BL192" i="56"/>
  <c r="BC186" i="56"/>
  <c r="BF186" i="56" s="1"/>
  <c r="CB187" i="56"/>
  <c r="AS190" i="56"/>
  <c r="AK190" i="56"/>
  <c r="AJ190" i="56"/>
  <c r="Y193" i="56"/>
  <c r="AG193" i="56"/>
  <c r="CB186" i="56"/>
  <c r="BC187" i="56"/>
  <c r="BF187" i="56" s="1"/>
  <c r="K203" i="56" l="1" a="1"/>
  <c r="K203" i="56" s="1"/>
  <c r="L203" i="56" s="1"/>
  <c r="AK191" i="56"/>
  <c r="AM191" i="56" s="1"/>
  <c r="AN191" i="56" s="1"/>
  <c r="AI191" i="56"/>
  <c r="AD192" i="56" s="1"/>
  <c r="AL192" i="56" s="1"/>
  <c r="BO192" i="56" s="1"/>
  <c r="AS191" i="56"/>
  <c r="BB186" i="56"/>
  <c r="BE186" i="56" s="1"/>
  <c r="BG186" i="56" s="1"/>
  <c r="BN190" i="56"/>
  <c r="AM190" i="56"/>
  <c r="AN190" i="56" s="1"/>
  <c r="AV188" i="56"/>
  <c r="AW188" i="56"/>
  <c r="AT189" i="56"/>
  <c r="AX189" i="56"/>
  <c r="Z193" i="56"/>
  <c r="BM193" i="56" s="1"/>
  <c r="BL193" i="56"/>
  <c r="BZ192" i="56"/>
  <c r="W195" i="56"/>
  <c r="BB187" i="56"/>
  <c r="BE187" i="56" s="1"/>
  <c r="BG187" i="56" s="1"/>
  <c r="AA192" i="56"/>
  <c r="AB192" i="56" s="1"/>
  <c r="AH192" i="56" s="1"/>
  <c r="BQ188" i="56"/>
  <c r="Y194" i="56"/>
  <c r="AG194" i="56"/>
  <c r="M203" i="56" l="1"/>
  <c r="I204" i="56" s="1"/>
  <c r="K204" i="56" s="1" a="1"/>
  <c r="K204" i="56" s="1"/>
  <c r="L204" i="56" s="1"/>
  <c r="N203" i="56"/>
  <c r="O203" i="56" s="1" a="1"/>
  <c r="O203" i="56" s="1"/>
  <c r="P203" i="56" s="1"/>
  <c r="V203" i="56"/>
  <c r="BN191" i="56"/>
  <c r="CA191" i="56" s="1"/>
  <c r="AI192" i="56"/>
  <c r="AD193" i="56" s="1"/>
  <c r="AL193" i="56" s="1"/>
  <c r="BO193" i="56" s="1"/>
  <c r="BZ193" i="56"/>
  <c r="AY188" i="56"/>
  <c r="AZ188" i="56" s="1"/>
  <c r="BP188" i="56"/>
  <c r="Z194" i="56"/>
  <c r="BM194" i="56" s="1"/>
  <c r="BL194" i="56"/>
  <c r="AA193" i="56"/>
  <c r="AB193" i="56" s="1"/>
  <c r="AH193" i="56" s="1"/>
  <c r="BQ189" i="56"/>
  <c r="AS192" i="56"/>
  <c r="AK192" i="56"/>
  <c r="AJ192" i="56"/>
  <c r="Y195" i="56"/>
  <c r="AG195" i="56"/>
  <c r="AV189" i="56"/>
  <c r="AW189" i="56"/>
  <c r="X195" i="56"/>
  <c r="S196" i="56" s="1"/>
  <c r="AU189" i="56"/>
  <c r="AP190" i="56" s="1"/>
  <c r="CA190" i="56"/>
  <c r="M204" i="56" l="1"/>
  <c r="I205" i="56" s="1"/>
  <c r="K205" i="56" s="1" a="1"/>
  <c r="K205" i="56" s="1"/>
  <c r="L205" i="56" s="1"/>
  <c r="N204" i="56"/>
  <c r="O204" i="56" s="1" a="1"/>
  <c r="O204" i="56" s="1"/>
  <c r="P204" i="56" s="1"/>
  <c r="V204" i="56"/>
  <c r="AI193" i="56"/>
  <c r="AD194" i="56" s="1"/>
  <c r="AL194" i="56" s="1"/>
  <c r="BO194" i="56" s="1"/>
  <c r="W196" i="56"/>
  <c r="BC188" i="56"/>
  <c r="BF188" i="56" s="1"/>
  <c r="Z195" i="56"/>
  <c r="BM195" i="56" s="1"/>
  <c r="BL195" i="56"/>
  <c r="AY189" i="56"/>
  <c r="AZ189" i="56" s="1"/>
  <c r="BP189" i="56"/>
  <c r="BZ194" i="56"/>
  <c r="AT190" i="56"/>
  <c r="AU190" i="56" s="1"/>
  <c r="AP191" i="56" s="1"/>
  <c r="AX190" i="56"/>
  <c r="CB188" i="56"/>
  <c r="BN192" i="56"/>
  <c r="AM192" i="56"/>
  <c r="AN192" i="56" s="1"/>
  <c r="AJ193" i="56"/>
  <c r="AS193" i="56"/>
  <c r="AK193" i="56"/>
  <c r="AA194" i="56"/>
  <c r="AB194" i="56" s="1"/>
  <c r="AH194" i="56" s="1"/>
  <c r="M205" i="56" l="1"/>
  <c r="I206" i="56" s="1"/>
  <c r="K206" i="56" s="1" a="1"/>
  <c r="K206" i="56" s="1"/>
  <c r="L206" i="56" s="1"/>
  <c r="V205" i="56"/>
  <c r="N205" i="56"/>
  <c r="O205" i="56" s="1" a="1"/>
  <c r="O205" i="56" s="1"/>
  <c r="P205" i="56" s="1"/>
  <c r="AA195" i="56"/>
  <c r="AB195" i="56" s="1"/>
  <c r="AH195" i="56" s="1"/>
  <c r="AJ195" i="56" s="1"/>
  <c r="BN193" i="56"/>
  <c r="AM193" i="56"/>
  <c r="AN193" i="56" s="1"/>
  <c r="AW190" i="56"/>
  <c r="AV190" i="56"/>
  <c r="BZ195" i="56"/>
  <c r="Y196" i="56"/>
  <c r="AG196" i="56"/>
  <c r="AS194" i="56"/>
  <c r="AJ194" i="56"/>
  <c r="AK194" i="56"/>
  <c r="AT191" i="56"/>
  <c r="AU191" i="56" s="1"/>
  <c r="AP192" i="56" s="1"/>
  <c r="AX191" i="56"/>
  <c r="CB189" i="56"/>
  <c r="AI194" i="56"/>
  <c r="AD195" i="56" s="1"/>
  <c r="CA192" i="56"/>
  <c r="BQ190" i="56"/>
  <c r="BC189" i="56"/>
  <c r="BF189" i="56" s="1"/>
  <c r="BB188" i="56"/>
  <c r="BE188" i="56" s="1"/>
  <c r="BG188" i="56" s="1"/>
  <c r="X196" i="56"/>
  <c r="S197" i="56" s="1"/>
  <c r="M206" i="56" l="1"/>
  <c r="I207" i="56" s="1"/>
  <c r="K207" i="56" s="1" a="1"/>
  <c r="K207" i="56" s="1"/>
  <c r="L207" i="56" s="1"/>
  <c r="V206" i="56"/>
  <c r="N206" i="56"/>
  <c r="O206" i="56" s="1" a="1"/>
  <c r="O206" i="56" s="1"/>
  <c r="P206" i="56" s="1"/>
  <c r="AK195" i="56"/>
  <c r="BN195" i="56" s="1"/>
  <c r="AS195" i="56"/>
  <c r="BB189" i="56"/>
  <c r="BE189" i="56" s="1"/>
  <c r="BG189" i="56" s="1"/>
  <c r="AL195" i="56"/>
  <c r="BO195" i="56" s="1"/>
  <c r="AI195" i="56"/>
  <c r="AD196" i="56" s="1"/>
  <c r="BN194" i="56"/>
  <c r="AM194" i="56"/>
  <c r="AN194" i="56" s="1"/>
  <c r="Z196" i="56"/>
  <c r="BM196" i="56" s="1"/>
  <c r="BL196" i="56"/>
  <c r="CA193" i="56"/>
  <c r="BQ191" i="56"/>
  <c r="AY190" i="56"/>
  <c r="AZ190" i="56" s="1"/>
  <c r="BP190" i="56"/>
  <c r="AV191" i="56"/>
  <c r="AW191" i="56"/>
  <c r="W197" i="56"/>
  <c r="X197" i="56" s="1"/>
  <c r="S198" i="56" s="1"/>
  <c r="AT192" i="56"/>
  <c r="AU192" i="56" s="1"/>
  <c r="AP193" i="56" s="1"/>
  <c r="AX192" i="56"/>
  <c r="M207" i="56" l="1"/>
  <c r="I208" i="56" s="1"/>
  <c r="K208" i="56" s="1" a="1"/>
  <c r="K208" i="56" s="1"/>
  <c r="M208" i="56" s="1"/>
  <c r="I209" i="56" s="1"/>
  <c r="K209" i="56" s="1" a="1"/>
  <c r="K209" i="56" s="1"/>
  <c r="N207" i="56"/>
  <c r="O207" i="56" s="1" a="1"/>
  <c r="O207" i="56" s="1"/>
  <c r="P207" i="56" s="1"/>
  <c r="V207" i="56"/>
  <c r="AA196" i="56"/>
  <c r="AB196" i="56" s="1"/>
  <c r="AH196" i="56" s="1"/>
  <c r="AK196" i="56" s="1"/>
  <c r="BN196" i="56" s="1"/>
  <c r="AM195" i="56"/>
  <c r="AN195" i="56" s="1"/>
  <c r="AT193" i="56"/>
  <c r="AX193" i="56"/>
  <c r="BQ192" i="56"/>
  <c r="Y197" i="56"/>
  <c r="AG197" i="56"/>
  <c r="W198" i="56"/>
  <c r="X198" i="56" s="1"/>
  <c r="S199" i="56" s="1"/>
  <c r="AY191" i="56"/>
  <c r="AZ191" i="56" s="1"/>
  <c r="BP191" i="56"/>
  <c r="CB190" i="56"/>
  <c r="AW192" i="56"/>
  <c r="AV192" i="56"/>
  <c r="BC190" i="56"/>
  <c r="BF190" i="56" s="1"/>
  <c r="BZ196" i="56"/>
  <c r="AL196" i="56"/>
  <c r="BO196" i="56" s="1"/>
  <c r="CA195" i="56"/>
  <c r="CA194" i="56"/>
  <c r="L209" i="56" l="1"/>
  <c r="K409" i="56"/>
  <c r="K443" i="56" s="1"/>
  <c r="K46" i="56"/>
  <c r="AS196" i="56"/>
  <c r="AI196" i="56"/>
  <c r="AD197" i="56" s="1"/>
  <c r="AL197" i="56" s="1"/>
  <c r="AJ196" i="56"/>
  <c r="W199" i="56"/>
  <c r="X199" i="56" s="1"/>
  <c r="S200" i="56" s="1"/>
  <c r="BB190" i="56"/>
  <c r="BE190" i="56" s="1"/>
  <c r="BG190" i="56" s="1"/>
  <c r="AY192" i="56"/>
  <c r="AZ192" i="56" s="1"/>
  <c r="BP192" i="56"/>
  <c r="CB191" i="56"/>
  <c r="Y198" i="56"/>
  <c r="AG198" i="56"/>
  <c r="Z197" i="56"/>
  <c r="BM197" i="56" s="1"/>
  <c r="BL197" i="56"/>
  <c r="BQ193" i="56"/>
  <c r="AM196" i="56"/>
  <c r="AN196" i="56" s="1"/>
  <c r="AW193" i="56"/>
  <c r="AV193" i="56"/>
  <c r="BC191" i="56"/>
  <c r="BF191" i="56" s="1"/>
  <c r="AU193" i="56"/>
  <c r="AP194" i="56" s="1"/>
  <c r="CA196" i="56"/>
  <c r="V209" i="56" l="1"/>
  <c r="N209" i="56"/>
  <c r="L46" i="56"/>
  <c r="L409" i="56"/>
  <c r="L443" i="56" s="1"/>
  <c r="M209" i="56"/>
  <c r="W200" i="56"/>
  <c r="X200" i="56" s="1"/>
  <c r="S201" i="56" s="1"/>
  <c r="BB191" i="56"/>
  <c r="BE191" i="56" s="1"/>
  <c r="BG191" i="56" s="1"/>
  <c r="BC192" i="56"/>
  <c r="BF192" i="56" s="1"/>
  <c r="AT194" i="56"/>
  <c r="AX194" i="56"/>
  <c r="BZ197" i="56"/>
  <c r="CB192" i="56"/>
  <c r="Y199" i="56"/>
  <c r="AG199" i="56"/>
  <c r="AY193" i="56"/>
  <c r="AZ193" i="56" s="1"/>
  <c r="BP193" i="56"/>
  <c r="BO197" i="56"/>
  <c r="AA197" i="56"/>
  <c r="AB197" i="56" s="1"/>
  <c r="AH197" i="56" s="1"/>
  <c r="Z198" i="56"/>
  <c r="BM198" i="56" s="1"/>
  <c r="BL198" i="56"/>
  <c r="O209" i="56" l="1" a="1"/>
  <c r="O209" i="56" s="1"/>
  <c r="BJ48" i="56" a="1"/>
  <c r="N409" i="56"/>
  <c r="N443" i="56" s="1"/>
  <c r="N46" i="56"/>
  <c r="J24" i="56" s="1"/>
  <c r="N47" i="56"/>
  <c r="V46" i="56"/>
  <c r="V409" i="56"/>
  <c r="V443" i="56" s="1"/>
  <c r="AW194" i="56"/>
  <c r="AV194" i="56"/>
  <c r="BZ198" i="56"/>
  <c r="AJ197" i="56"/>
  <c r="AI197" i="56"/>
  <c r="AD198" i="56" s="1"/>
  <c r="AS197" i="56"/>
  <c r="AK197" i="56"/>
  <c r="BC193" i="56"/>
  <c r="BF193" i="56" s="1"/>
  <c r="AU194" i="56"/>
  <c r="AP195" i="56" s="1"/>
  <c r="AA198" i="56"/>
  <c r="AB198" i="56" s="1"/>
  <c r="AH198" i="56" s="1"/>
  <c r="W201" i="56"/>
  <c r="X201" i="56" s="1"/>
  <c r="S202" i="56" s="1"/>
  <c r="CB193" i="56"/>
  <c r="Z199" i="56"/>
  <c r="BM199" i="56" s="1"/>
  <c r="BL199" i="56"/>
  <c r="BQ194" i="56"/>
  <c r="BB192" i="56"/>
  <c r="BE192" i="56" s="1"/>
  <c r="BG192" i="56" s="1"/>
  <c r="Y200" i="56"/>
  <c r="AG200" i="56"/>
  <c r="BJ416" i="56" l="1"/>
  <c r="BJ414" i="56"/>
  <c r="BJ417" i="56"/>
  <c r="BJ415" i="56"/>
  <c r="BJ418" i="56"/>
  <c r="BJ412" i="56"/>
  <c r="BJ48" i="56"/>
  <c r="BJ413" i="56"/>
  <c r="K23" i="53"/>
  <c r="R20" i="65"/>
  <c r="P209" i="56"/>
  <c r="O409" i="56"/>
  <c r="O443" i="56" s="1"/>
  <c r="O46" i="56"/>
  <c r="I24" i="56" s="1"/>
  <c r="BK48" i="56" a="1"/>
  <c r="BY399" i="56" s="1"/>
  <c r="O47" i="56"/>
  <c r="AA199" i="56"/>
  <c r="AB199" i="56" s="1"/>
  <c r="AH199" i="56" s="1"/>
  <c r="AK199" i="56" s="1"/>
  <c r="BN199" i="56" s="1"/>
  <c r="W202" i="56"/>
  <c r="Z200" i="56"/>
  <c r="BM200" i="56" s="1"/>
  <c r="BL200" i="56"/>
  <c r="BZ199" i="56"/>
  <c r="AJ198" i="56"/>
  <c r="AK198" i="56"/>
  <c r="AS198" i="56"/>
  <c r="AL198" i="56"/>
  <c r="BO198" i="56" s="1"/>
  <c r="AI198" i="56"/>
  <c r="AD199" i="56" s="1"/>
  <c r="AT195" i="56"/>
  <c r="AX195" i="56"/>
  <c r="BN197" i="56"/>
  <c r="AM197" i="56"/>
  <c r="AN197" i="56" s="1"/>
  <c r="Y201" i="56"/>
  <c r="AG201" i="56"/>
  <c r="BB193" i="56"/>
  <c r="BE193" i="56" s="1"/>
  <c r="BG193" i="56" s="1"/>
  <c r="AY194" i="56"/>
  <c r="AZ194" i="56" s="1"/>
  <c r="BP194" i="56"/>
  <c r="BY77" i="56" l="1"/>
  <c r="BY363" i="56"/>
  <c r="BY120" i="56"/>
  <c r="BY91" i="56"/>
  <c r="BY308" i="56"/>
  <c r="BY132" i="56"/>
  <c r="BY134" i="56"/>
  <c r="BY234" i="56"/>
  <c r="BY104" i="56"/>
  <c r="BY239" i="56"/>
  <c r="BY250" i="56"/>
  <c r="BY336" i="56"/>
  <c r="BY147" i="56"/>
  <c r="BY79" i="56"/>
  <c r="BY276" i="56"/>
  <c r="BY338" i="56"/>
  <c r="BY87" i="56"/>
  <c r="BY68" i="56"/>
  <c r="BY192" i="56"/>
  <c r="Q20" i="65"/>
  <c r="J23" i="53"/>
  <c r="P46" i="56"/>
  <c r="H24" i="56" s="1"/>
  <c r="P47" i="56"/>
  <c r="P409" i="56"/>
  <c r="P443" i="56" s="1"/>
  <c r="BY106" i="56"/>
  <c r="BK413" i="56"/>
  <c r="BK414" i="56"/>
  <c r="BK417" i="56"/>
  <c r="BK48" i="56"/>
  <c r="BK418" i="56"/>
  <c r="BK412" i="56"/>
  <c r="BK415" i="56"/>
  <c r="BK416" i="56"/>
  <c r="BY208" i="56"/>
  <c r="BY379" i="56"/>
  <c r="BY289" i="56"/>
  <c r="BY57" i="56"/>
  <c r="BY115" i="56"/>
  <c r="BY224" i="56"/>
  <c r="BY397" i="56"/>
  <c r="BY295" i="56"/>
  <c r="BY194" i="56"/>
  <c r="BY246" i="56"/>
  <c r="BY63" i="56"/>
  <c r="BY240" i="56"/>
  <c r="BY80" i="56"/>
  <c r="BY155" i="56"/>
  <c r="BY297" i="56"/>
  <c r="BY350" i="56"/>
  <c r="BY279" i="56"/>
  <c r="BY310" i="56"/>
  <c r="BY249" i="56"/>
  <c r="BY136" i="56"/>
  <c r="BY357" i="56"/>
  <c r="BY277" i="56"/>
  <c r="BY83" i="56"/>
  <c r="BY162" i="56"/>
  <c r="BY292" i="56"/>
  <c r="BY391" i="56"/>
  <c r="BY93" i="56"/>
  <c r="BY69" i="56"/>
  <c r="BY98" i="56"/>
  <c r="BY139" i="56"/>
  <c r="BY220" i="56"/>
  <c r="BY284" i="56"/>
  <c r="BY135" i="56"/>
  <c r="BY354" i="56"/>
  <c r="BY199" i="56"/>
  <c r="BY377" i="56"/>
  <c r="BY233" i="56"/>
  <c r="BY393" i="56"/>
  <c r="BY223" i="56"/>
  <c r="BY116" i="56"/>
  <c r="BY346" i="56"/>
  <c r="BY237" i="56"/>
  <c r="BY128" i="56"/>
  <c r="BY74" i="56"/>
  <c r="BY356" i="56"/>
  <c r="BY278" i="56"/>
  <c r="BY193" i="56"/>
  <c r="BY97" i="56"/>
  <c r="BY337" i="56"/>
  <c r="BY387" i="56"/>
  <c r="BY304" i="56"/>
  <c r="BY226" i="56"/>
  <c r="BY390" i="56"/>
  <c r="BY270" i="56"/>
  <c r="BY61" i="56"/>
  <c r="BY303" i="56"/>
  <c r="BY302" i="56"/>
  <c r="BY189" i="56"/>
  <c r="BY405" i="56"/>
  <c r="BY314" i="56"/>
  <c r="BY201" i="56"/>
  <c r="BY53" i="56"/>
  <c r="BY400" i="56"/>
  <c r="BY334" i="56"/>
  <c r="BY251" i="56"/>
  <c r="BY159" i="56"/>
  <c r="BY85" i="56"/>
  <c r="BY117" i="56"/>
  <c r="BY381" i="56"/>
  <c r="BY200" i="56"/>
  <c r="BY264" i="56"/>
  <c r="BY66" i="56"/>
  <c r="BY311" i="56"/>
  <c r="BY119" i="56"/>
  <c r="BY342" i="56"/>
  <c r="BY151" i="56"/>
  <c r="BY358" i="56"/>
  <c r="BY259" i="56"/>
  <c r="BY158" i="56"/>
  <c r="BY373" i="56"/>
  <c r="BY271" i="56"/>
  <c r="BY143" i="56"/>
  <c r="BY100" i="56"/>
  <c r="BY376" i="56"/>
  <c r="BY305" i="56"/>
  <c r="BY219" i="56"/>
  <c r="BY133" i="56"/>
  <c r="BY328" i="56"/>
  <c r="BY374" i="56"/>
  <c r="BY129" i="56"/>
  <c r="BY256" i="56"/>
  <c r="BY285" i="56"/>
  <c r="BY184" i="56"/>
  <c r="BY71" i="56"/>
  <c r="BY149" i="56"/>
  <c r="BY56" i="56"/>
  <c r="BY340" i="56"/>
  <c r="BY112" i="56"/>
  <c r="BY196" i="56"/>
  <c r="BY105" i="56"/>
  <c r="BY266" i="56"/>
  <c r="BY157" i="56"/>
  <c r="BY225" i="56"/>
  <c r="BY67" i="56"/>
  <c r="BY167" i="56"/>
  <c r="BY140" i="56"/>
  <c r="BY332" i="56"/>
  <c r="BY96" i="56"/>
  <c r="BY180" i="56"/>
  <c r="BY178" i="56"/>
  <c r="BY261" i="56"/>
  <c r="BY333" i="56"/>
  <c r="BY348" i="56"/>
  <c r="BY395" i="56"/>
  <c r="BY171" i="56"/>
  <c r="BY236" i="56"/>
  <c r="BY300" i="56"/>
  <c r="BY211" i="56"/>
  <c r="BY382" i="56"/>
  <c r="BY255" i="56"/>
  <c r="BY406" i="56"/>
  <c r="BY290" i="56"/>
  <c r="BY309" i="56"/>
  <c r="BY195" i="56"/>
  <c r="BY52" i="56"/>
  <c r="BY321" i="56"/>
  <c r="BY207" i="56"/>
  <c r="BY89" i="56"/>
  <c r="BY404" i="56"/>
  <c r="BY339" i="56"/>
  <c r="BY257" i="56"/>
  <c r="BY169" i="56"/>
  <c r="BY95" i="56"/>
  <c r="BY221" i="56"/>
  <c r="BY327" i="56"/>
  <c r="BY50" i="56"/>
  <c r="BY282" i="56"/>
  <c r="BY84" i="56"/>
  <c r="BY323" i="56"/>
  <c r="BY131" i="56"/>
  <c r="BY343" i="56"/>
  <c r="BY274" i="56"/>
  <c r="BY145" i="56"/>
  <c r="BY383" i="56"/>
  <c r="BY286" i="56"/>
  <c r="BY173" i="56"/>
  <c r="BY101" i="56"/>
  <c r="BY384" i="56"/>
  <c r="BY315" i="56"/>
  <c r="BY230" i="56"/>
  <c r="BY156" i="56"/>
  <c r="BY65" i="56"/>
  <c r="BY191" i="56"/>
  <c r="BY170" i="56"/>
  <c r="BY216" i="56"/>
  <c r="BY280" i="56"/>
  <c r="BY148" i="56"/>
  <c r="BY347" i="56"/>
  <c r="BY185" i="56"/>
  <c r="BY370" i="56"/>
  <c r="BY218" i="56"/>
  <c r="BY386" i="56"/>
  <c r="BY231" i="56"/>
  <c r="BY118" i="56"/>
  <c r="BY351" i="56"/>
  <c r="BY243" i="56"/>
  <c r="BY125" i="56"/>
  <c r="BY73" i="56"/>
  <c r="BY360" i="56"/>
  <c r="BY283" i="56"/>
  <c r="BY198" i="56"/>
  <c r="BY109" i="56"/>
  <c r="BY291" i="56"/>
  <c r="BY359" i="56"/>
  <c r="BJ411" i="56"/>
  <c r="BJ442" i="56" s="1"/>
  <c r="BJ47" i="56"/>
  <c r="BJ409" i="56"/>
  <c r="BY396" i="56"/>
  <c r="BY75" i="56"/>
  <c r="BY88" i="56"/>
  <c r="BY60" i="56"/>
  <c r="BY124" i="56"/>
  <c r="BY228" i="56"/>
  <c r="BY331" i="56"/>
  <c r="BY172" i="56"/>
  <c r="BY110" i="56"/>
  <c r="BY144" i="56"/>
  <c r="BY99" i="56"/>
  <c r="BY205" i="56"/>
  <c r="BY364" i="56"/>
  <c r="BY55" i="56"/>
  <c r="BY107" i="56"/>
  <c r="BY212" i="56"/>
  <c r="BY369" i="56"/>
  <c r="BY407" i="56"/>
  <c r="BY222" i="56"/>
  <c r="BY267" i="56"/>
  <c r="BY402" i="56"/>
  <c r="BY188" i="56"/>
  <c r="BY252" i="56"/>
  <c r="BY316" i="56"/>
  <c r="BY269" i="56"/>
  <c r="BY70" i="56"/>
  <c r="BY313" i="56"/>
  <c r="BY122" i="56"/>
  <c r="BY335" i="56"/>
  <c r="BY281" i="56"/>
  <c r="BY161" i="56"/>
  <c r="BY389" i="56"/>
  <c r="BY293" i="56"/>
  <c r="BY183" i="56"/>
  <c r="BY111" i="56"/>
  <c r="BY388" i="56"/>
  <c r="BY320" i="56"/>
  <c r="BY235" i="56"/>
  <c r="BY166" i="56"/>
  <c r="BY62" i="56"/>
  <c r="BY345" i="56"/>
  <c r="BY272" i="56"/>
  <c r="BY103" i="56"/>
  <c r="BY330" i="56"/>
  <c r="BY141" i="56"/>
  <c r="BY355" i="56"/>
  <c r="BY190" i="56"/>
  <c r="BY371" i="56"/>
  <c r="BY245" i="56"/>
  <c r="BY127" i="56"/>
  <c r="BY362" i="56"/>
  <c r="BY258" i="56"/>
  <c r="BY152" i="56"/>
  <c r="BY78" i="56"/>
  <c r="BY368" i="56"/>
  <c r="BY294" i="56"/>
  <c r="BY209" i="56"/>
  <c r="BY130" i="56"/>
  <c r="BY179" i="56"/>
  <c r="BY353" i="56"/>
  <c r="BY163" i="56"/>
  <c r="BY232" i="56"/>
  <c r="BY296" i="56"/>
  <c r="BY197" i="56"/>
  <c r="BY375" i="56"/>
  <c r="BY242" i="56"/>
  <c r="BY398" i="56"/>
  <c r="BY275" i="56"/>
  <c r="BY317" i="56"/>
  <c r="BY202" i="56"/>
  <c r="BY58" i="56"/>
  <c r="BY326" i="56"/>
  <c r="BY215" i="56"/>
  <c r="BY92" i="56"/>
  <c r="BY59" i="56"/>
  <c r="BY344" i="56"/>
  <c r="BY262" i="56"/>
  <c r="BY177" i="56"/>
  <c r="BY86" i="56"/>
  <c r="BY206" i="56"/>
  <c r="BY319" i="56"/>
  <c r="BY318" i="56"/>
  <c r="BY307" i="56"/>
  <c r="BY329" i="56"/>
  <c r="BY164" i="56"/>
  <c r="BY154" i="56"/>
  <c r="BY76" i="56"/>
  <c r="BY138" i="56"/>
  <c r="BY260" i="56"/>
  <c r="BY160" i="56"/>
  <c r="BY378" i="56"/>
  <c r="BY380" i="56"/>
  <c r="BY51" i="56"/>
  <c r="BY175" i="56"/>
  <c r="BY238" i="56"/>
  <c r="BY203" i="56"/>
  <c r="BY54" i="56"/>
  <c r="BY121" i="56"/>
  <c r="BY244" i="56"/>
  <c r="BY227" i="56"/>
  <c r="BY210" i="56"/>
  <c r="BY114" i="56"/>
  <c r="BY176" i="56"/>
  <c r="BY146" i="56"/>
  <c r="BY204" i="56"/>
  <c r="BY268" i="56"/>
  <c r="BY82" i="56"/>
  <c r="BY322" i="56"/>
  <c r="BY150" i="56"/>
  <c r="BY349" i="56"/>
  <c r="BY174" i="56"/>
  <c r="BY365" i="56"/>
  <c r="BY253" i="56"/>
  <c r="BY142" i="56"/>
  <c r="BY367" i="56"/>
  <c r="BY265" i="56"/>
  <c r="BY168" i="56"/>
  <c r="BY90" i="56"/>
  <c r="BY372" i="56"/>
  <c r="BY299" i="56"/>
  <c r="BY214" i="56"/>
  <c r="BY123" i="56"/>
  <c r="BY126" i="56"/>
  <c r="BY263" i="56"/>
  <c r="BY288" i="56"/>
  <c r="BY165" i="56"/>
  <c r="BY361" i="56"/>
  <c r="BY213" i="56"/>
  <c r="BY385" i="56"/>
  <c r="BY247" i="56"/>
  <c r="BY401" i="56"/>
  <c r="BY217" i="56"/>
  <c r="BY94" i="56"/>
  <c r="BY341" i="56"/>
  <c r="BY229" i="56"/>
  <c r="BY113" i="56"/>
  <c r="BY64" i="56"/>
  <c r="BY352" i="56"/>
  <c r="BY273" i="56"/>
  <c r="BY187" i="56"/>
  <c r="BY108" i="56"/>
  <c r="BY366" i="56"/>
  <c r="BY306" i="56"/>
  <c r="BY181" i="56"/>
  <c r="BY248" i="56"/>
  <c r="BY312" i="56"/>
  <c r="BY254" i="56"/>
  <c r="BY403" i="56"/>
  <c r="BY298" i="56"/>
  <c r="BY102" i="56"/>
  <c r="BY325" i="56"/>
  <c r="BY287" i="56"/>
  <c r="BY182" i="56"/>
  <c r="BY394" i="56"/>
  <c r="BY301" i="56"/>
  <c r="BY186" i="56"/>
  <c r="BY49" i="56"/>
  <c r="BY392" i="56"/>
  <c r="BY324" i="56"/>
  <c r="BY241" i="56"/>
  <c r="BY137" i="56"/>
  <c r="BY72" i="56"/>
  <c r="BY153" i="56"/>
  <c r="BY81" i="56"/>
  <c r="AS199" i="56"/>
  <c r="AJ199" i="56"/>
  <c r="BC194" i="56"/>
  <c r="BF194" i="56" s="1"/>
  <c r="BZ200" i="56"/>
  <c r="Y202" i="56"/>
  <c r="AG202" i="56"/>
  <c r="CB194" i="56"/>
  <c r="CA197" i="56"/>
  <c r="BN198" i="56"/>
  <c r="AM198" i="56"/>
  <c r="AN198" i="56" s="1"/>
  <c r="AA200" i="56"/>
  <c r="AB200" i="56" s="1"/>
  <c r="AH200" i="56" s="1"/>
  <c r="Z201" i="56"/>
  <c r="BM201" i="56" s="1"/>
  <c r="BL201" i="56"/>
  <c r="BQ195" i="56"/>
  <c r="AL199" i="56"/>
  <c r="AI199" i="56"/>
  <c r="AD200" i="56" s="1"/>
  <c r="AW195" i="56"/>
  <c r="AV195" i="56"/>
  <c r="X202" i="56"/>
  <c r="S203" i="56" s="1"/>
  <c r="AU195" i="56"/>
  <c r="AP196" i="56" s="1"/>
  <c r="BY417" i="56" l="1"/>
  <c r="BY418" i="56"/>
  <c r="BJ443" i="56"/>
  <c r="BY412" i="56"/>
  <c r="BY415" i="56"/>
  <c r="BK47" i="56"/>
  <c r="BK43" i="56" s="1"/>
  <c r="BK411" i="56"/>
  <c r="BK442" i="56" s="1"/>
  <c r="BK409" i="56"/>
  <c r="A24" i="56"/>
  <c r="G24" i="56" s="1"/>
  <c r="I23" i="53"/>
  <c r="P20" i="65"/>
  <c r="BY413" i="56"/>
  <c r="BY411" i="56"/>
  <c r="BY47" i="56"/>
  <c r="BY409" i="56"/>
  <c r="BY416" i="56"/>
  <c r="BY414" i="56"/>
  <c r="AL200" i="56"/>
  <c r="BO200" i="56" s="1"/>
  <c r="AI200" i="56"/>
  <c r="AD201" i="56" s="1"/>
  <c r="BZ201" i="56"/>
  <c r="AK200" i="56"/>
  <c r="AJ200" i="56"/>
  <c r="AS200" i="56"/>
  <c r="W203" i="56"/>
  <c r="X203" i="56" s="1"/>
  <c r="S204" i="56" s="1"/>
  <c r="BO199" i="56"/>
  <c r="AM199" i="56"/>
  <c r="AN199" i="56" s="1"/>
  <c r="AA201" i="56"/>
  <c r="AB201" i="56" s="1"/>
  <c r="AH201" i="56" s="1"/>
  <c r="AY195" i="56"/>
  <c r="AZ195" i="56" s="1"/>
  <c r="BP195" i="56"/>
  <c r="CA198" i="56"/>
  <c r="Z202" i="56"/>
  <c r="BM202" i="56" s="1"/>
  <c r="BL202" i="56"/>
  <c r="AT196" i="56"/>
  <c r="AU196" i="56" s="1"/>
  <c r="AP197" i="56" s="1"/>
  <c r="AX196" i="56"/>
  <c r="BB194" i="56"/>
  <c r="BE194" i="56" s="1"/>
  <c r="BG194" i="56" s="1"/>
  <c r="BK443" i="56" l="1"/>
  <c r="BY442" i="56"/>
  <c r="BY443" i="56" s="1"/>
  <c r="AA202" i="56"/>
  <c r="AB202" i="56" s="1"/>
  <c r="AH202" i="56" s="1"/>
  <c r="AJ202" i="56" s="1"/>
  <c r="AT197" i="56"/>
  <c r="AX197" i="56"/>
  <c r="AJ201" i="56"/>
  <c r="AS201" i="56"/>
  <c r="AK201" i="56"/>
  <c r="Y203" i="56"/>
  <c r="AG203" i="56"/>
  <c r="AW196" i="56"/>
  <c r="AV196" i="56"/>
  <c r="BC195" i="56"/>
  <c r="BF195" i="56" s="1"/>
  <c r="BZ202" i="56"/>
  <c r="CB195" i="56"/>
  <c r="BQ196" i="56"/>
  <c r="CA199" i="56"/>
  <c r="AL201" i="56"/>
  <c r="BO201" i="56" s="1"/>
  <c r="AI201" i="56"/>
  <c r="AD202" i="56" s="1"/>
  <c r="W204" i="56"/>
  <c r="X204" i="56" s="1"/>
  <c r="S205" i="56" s="1"/>
  <c r="BN200" i="56"/>
  <c r="AM200" i="56"/>
  <c r="AN200" i="56" s="1"/>
  <c r="AK202" i="56" l="1"/>
  <c r="BN202" i="56" s="1"/>
  <c r="AS202" i="56"/>
  <c r="AY196" i="56"/>
  <c r="AZ196" i="56" s="1"/>
  <c r="BP196" i="56"/>
  <c r="CA200" i="56"/>
  <c r="W205" i="56"/>
  <c r="X205" i="56" s="1"/>
  <c r="S206" i="56" s="1"/>
  <c r="BB195" i="56"/>
  <c r="BE195" i="56" s="1"/>
  <c r="BG195" i="56" s="1"/>
  <c r="BQ197" i="56"/>
  <c r="Z203" i="56"/>
  <c r="BM203" i="56" s="1"/>
  <c r="BL203" i="56"/>
  <c r="AV197" i="56"/>
  <c r="AW197" i="56"/>
  <c r="Y204" i="56"/>
  <c r="AG204" i="56"/>
  <c r="AL202" i="56"/>
  <c r="BO202" i="56" s="1"/>
  <c r="AI202" i="56"/>
  <c r="AD203" i="56" s="1"/>
  <c r="BN201" i="56"/>
  <c r="AM201" i="56"/>
  <c r="AN201" i="56" s="1"/>
  <c r="AU197" i="56"/>
  <c r="AP198" i="56" s="1"/>
  <c r="AA203" i="56" l="1"/>
  <c r="AB203" i="56" s="1"/>
  <c r="AH203" i="56" s="1"/>
  <c r="AJ203" i="56" s="1"/>
  <c r="AM202" i="56"/>
  <c r="AN202" i="56" s="1"/>
  <c r="AT198" i="56"/>
  <c r="AU198" i="56" s="1"/>
  <c r="AP199" i="56" s="1"/>
  <c r="AX198" i="56"/>
  <c r="BZ203" i="56"/>
  <c r="AL203" i="56"/>
  <c r="BO203" i="56" s="1"/>
  <c r="AY197" i="56"/>
  <c r="AZ197" i="56" s="1"/>
  <c r="BP197" i="56"/>
  <c r="CA201" i="56"/>
  <c r="Y205" i="56"/>
  <c r="AG205" i="56"/>
  <c r="CB196" i="56"/>
  <c r="Z204" i="56"/>
  <c r="BM204" i="56" s="1"/>
  <c r="BL204" i="56"/>
  <c r="BC196" i="56"/>
  <c r="BF196" i="56" s="1"/>
  <c r="CA202" i="56"/>
  <c r="W206" i="56"/>
  <c r="AK203" i="56" l="1"/>
  <c r="AM203" i="56" s="1"/>
  <c r="AN203" i="56" s="1"/>
  <c r="AI203" i="56"/>
  <c r="AD204" i="56" s="1"/>
  <c r="AL204" i="56" s="1"/>
  <c r="BO204" i="56" s="1"/>
  <c r="AS203" i="56"/>
  <c r="BB196" i="56"/>
  <c r="BE196" i="56" s="1"/>
  <c r="BG196" i="56" s="1"/>
  <c r="Y206" i="56"/>
  <c r="AG206" i="56"/>
  <c r="AT199" i="56"/>
  <c r="AX199" i="56"/>
  <c r="BZ204" i="56"/>
  <c r="Z205" i="56"/>
  <c r="BM205" i="56" s="1"/>
  <c r="BL205" i="56"/>
  <c r="BC197" i="56"/>
  <c r="BF197" i="56" s="1"/>
  <c r="AA204" i="56"/>
  <c r="AB204" i="56" s="1"/>
  <c r="AH204" i="56" s="1"/>
  <c r="BQ198" i="56"/>
  <c r="X206" i="56"/>
  <c r="S207" i="56" s="1"/>
  <c r="CB197" i="56"/>
  <c r="AV198" i="56"/>
  <c r="AW198" i="56"/>
  <c r="BN203" i="56" l="1"/>
  <c r="CA203" i="56" s="1"/>
  <c r="AI204" i="56"/>
  <c r="AD205" i="56" s="1"/>
  <c r="AL205" i="56" s="1"/>
  <c r="BO205" i="56" s="1"/>
  <c r="BB197" i="56"/>
  <c r="BE197" i="56" s="1"/>
  <c r="BG197" i="56" s="1"/>
  <c r="BQ199" i="56"/>
  <c r="AS204" i="56"/>
  <c r="AK204" i="56"/>
  <c r="AJ204" i="56"/>
  <c r="AW199" i="56"/>
  <c r="AV199" i="56"/>
  <c r="W207" i="56"/>
  <c r="X207" i="56" s="1"/>
  <c r="S208" i="56" s="1"/>
  <c r="BZ205" i="56"/>
  <c r="AU199" i="56"/>
  <c r="AP200" i="56" s="1"/>
  <c r="AY198" i="56"/>
  <c r="AZ198" i="56" s="1"/>
  <c r="BP198" i="56"/>
  <c r="AA205" i="56"/>
  <c r="AB205" i="56" s="1"/>
  <c r="AH205" i="56" s="1"/>
  <c r="Z206" i="56"/>
  <c r="BM206" i="56" s="1"/>
  <c r="BL206" i="56"/>
  <c r="AA206" i="56" l="1"/>
  <c r="AB206" i="56" s="1"/>
  <c r="AH206" i="56" s="1"/>
  <c r="AS205" i="56"/>
  <c r="AJ205" i="56"/>
  <c r="AK205" i="56"/>
  <c r="CB198" i="56"/>
  <c r="AI205" i="56"/>
  <c r="AD206" i="56" s="1"/>
  <c r="BN204" i="56"/>
  <c r="AM204" i="56"/>
  <c r="AN204" i="56" s="1"/>
  <c r="AT200" i="56"/>
  <c r="AX200" i="56"/>
  <c r="AY199" i="56"/>
  <c r="AZ199" i="56" s="1"/>
  <c r="BP199" i="56"/>
  <c r="W208" i="56"/>
  <c r="BZ206" i="56"/>
  <c r="BC198" i="56"/>
  <c r="BF198" i="56" s="1"/>
  <c r="Y207" i="56"/>
  <c r="AG207" i="56"/>
  <c r="CA204" i="56" l="1"/>
  <c r="BN205" i="56"/>
  <c r="AM205" i="56"/>
  <c r="AN205" i="56" s="1"/>
  <c r="BQ200" i="56"/>
  <c r="AL206" i="56"/>
  <c r="BO206" i="56" s="1"/>
  <c r="AI206" i="56"/>
  <c r="AD207" i="56" s="1"/>
  <c r="Z207" i="56"/>
  <c r="BM207" i="56" s="1"/>
  <c r="BL207" i="56"/>
  <c r="Y208" i="56"/>
  <c r="AG208" i="56"/>
  <c r="CB199" i="56"/>
  <c r="AV200" i="56"/>
  <c r="AW200" i="56"/>
  <c r="BB198" i="56"/>
  <c r="BE198" i="56" s="1"/>
  <c r="BG198" i="56" s="1"/>
  <c r="X208" i="56"/>
  <c r="S209" i="56" s="1"/>
  <c r="AU200" i="56"/>
  <c r="AP201" i="56" s="1"/>
  <c r="AS206" i="56"/>
  <c r="AJ206" i="56"/>
  <c r="AK206" i="56"/>
  <c r="BC199" i="56"/>
  <c r="BF199" i="56" s="1"/>
  <c r="AA207" i="56" l="1"/>
  <c r="AB207" i="56" s="1"/>
  <c r="AH207" i="56" s="1"/>
  <c r="AI207" i="56" s="1"/>
  <c r="AD208" i="56" s="1"/>
  <c r="AT201" i="56"/>
  <c r="AU201" i="56" s="1"/>
  <c r="AP202" i="56" s="1"/>
  <c r="AX201" i="56"/>
  <c r="AY200" i="56"/>
  <c r="AZ200" i="56" s="1"/>
  <c r="BP200" i="56"/>
  <c r="Z208" i="56"/>
  <c r="BM208" i="56" s="1"/>
  <c r="BL208" i="56"/>
  <c r="CA205" i="56"/>
  <c r="BZ207" i="56"/>
  <c r="AL207" i="56"/>
  <c r="BO207" i="56" s="1"/>
  <c r="BB199" i="56"/>
  <c r="BE199" i="56" s="1"/>
  <c r="BG199" i="56" s="1"/>
  <c r="BN206" i="56"/>
  <c r="AM206" i="56"/>
  <c r="AN206" i="56" s="1"/>
  <c r="W209" i="56"/>
  <c r="X209" i="56" s="1"/>
  <c r="S210" i="56" s="1"/>
  <c r="AA208" i="56" l="1"/>
  <c r="AB208" i="56" s="1"/>
  <c r="AH208" i="56" s="1"/>
  <c r="AJ208" i="56" s="1"/>
  <c r="AK207" i="56"/>
  <c r="BN207" i="56" s="1"/>
  <c r="CA207" i="56" s="1"/>
  <c r="AJ207" i="56"/>
  <c r="AS207" i="56"/>
  <c r="BC200" i="56"/>
  <c r="BF200" i="56" s="1"/>
  <c r="AL208" i="56"/>
  <c r="BO208" i="56" s="1"/>
  <c r="W210" i="56"/>
  <c r="X210" i="56" s="1"/>
  <c r="S211" i="56" s="1"/>
  <c r="CA206" i="56"/>
  <c r="BQ201" i="56"/>
  <c r="BZ208" i="56"/>
  <c r="Y209" i="56"/>
  <c r="AG209" i="56"/>
  <c r="CB200" i="56"/>
  <c r="AV201" i="56"/>
  <c r="AW201" i="56"/>
  <c r="AT202" i="56"/>
  <c r="AU202" i="56" s="1"/>
  <c r="AP203" i="56" s="1"/>
  <c r="AX202" i="56"/>
  <c r="AS208" i="56" l="1"/>
  <c r="AI208" i="56"/>
  <c r="AD209" i="56" s="1"/>
  <c r="AL209" i="56" s="1"/>
  <c r="AK208" i="56"/>
  <c r="BN208" i="56" s="1"/>
  <c r="CA208" i="56" s="1"/>
  <c r="AM207" i="56"/>
  <c r="AN207" i="56" s="1"/>
  <c r="AT203" i="56"/>
  <c r="AU203" i="56" s="1"/>
  <c r="AP204" i="56" s="1"/>
  <c r="AX203" i="56"/>
  <c r="Z209" i="56"/>
  <c r="BM209" i="56" s="1"/>
  <c r="BL209" i="56"/>
  <c r="AY201" i="56"/>
  <c r="AZ201" i="56" s="1"/>
  <c r="BP201" i="56"/>
  <c r="Y210" i="56"/>
  <c r="AG210" i="56"/>
  <c r="BB200" i="56"/>
  <c r="BE200" i="56" s="1"/>
  <c r="BG200" i="56" s="1"/>
  <c r="BQ202" i="56"/>
  <c r="AW202" i="56"/>
  <c r="AV202" i="56"/>
  <c r="W211" i="56"/>
  <c r="X211" i="56" s="1"/>
  <c r="S212" i="56" s="1"/>
  <c r="AM208" i="56" l="1"/>
  <c r="AN208" i="56" s="1"/>
  <c r="BO209" i="56"/>
  <c r="AA209" i="56"/>
  <c r="AB209" i="56" s="1"/>
  <c r="AH209" i="56" s="1"/>
  <c r="W212" i="56"/>
  <c r="X212" i="56" s="1"/>
  <c r="S213" i="56" s="1"/>
  <c r="BC201" i="56"/>
  <c r="BF201" i="56" s="1"/>
  <c r="BZ209" i="56"/>
  <c r="BQ203" i="56"/>
  <c r="Y211" i="56"/>
  <c r="AG211" i="56"/>
  <c r="AY202" i="56"/>
  <c r="AZ202" i="56" s="1"/>
  <c r="BP202" i="56"/>
  <c r="CB201" i="56"/>
  <c r="AV203" i="56"/>
  <c r="AW203" i="56"/>
  <c r="Z210" i="56"/>
  <c r="BM210" i="56" s="1"/>
  <c r="BL210" i="56"/>
  <c r="AT204" i="56"/>
  <c r="AX204" i="56"/>
  <c r="AA210" i="56" l="1"/>
  <c r="AB210" i="56" s="1"/>
  <c r="AH210" i="56" s="1"/>
  <c r="AK210" i="56" s="1"/>
  <c r="BN210" i="56" s="1"/>
  <c r="AS209" i="56"/>
  <c r="AK209" i="56"/>
  <c r="AI209" i="56"/>
  <c r="AD210" i="56" s="1"/>
  <c r="AL210" i="56" s="1"/>
  <c r="AJ209" i="56"/>
  <c r="BQ204" i="56"/>
  <c r="AW204" i="56"/>
  <c r="AV204" i="56"/>
  <c r="AU204" i="56"/>
  <c r="AP205" i="56" s="1"/>
  <c r="BZ210" i="56"/>
  <c r="AY203" i="56"/>
  <c r="AZ203" i="56" s="1"/>
  <c r="BP203" i="56"/>
  <c r="CB202" i="56"/>
  <c r="Z211" i="56"/>
  <c r="BM211" i="56" s="1"/>
  <c r="BL211" i="56"/>
  <c r="BB201" i="56"/>
  <c r="BE201" i="56" s="1"/>
  <c r="BG201" i="56" s="1"/>
  <c r="W213" i="56"/>
  <c r="X213" i="56" s="1"/>
  <c r="S214" i="56" s="1"/>
  <c r="BC202" i="56"/>
  <c r="BF202" i="56" s="1"/>
  <c r="Y212" i="56"/>
  <c r="AG212" i="56"/>
  <c r="AS210" i="56" l="1"/>
  <c r="AJ210" i="56"/>
  <c r="AM210" i="56"/>
  <c r="AN210" i="56" s="1"/>
  <c r="BO210" i="56"/>
  <c r="CA210" i="56" s="1"/>
  <c r="AI210" i="56"/>
  <c r="AD211" i="56" s="1"/>
  <c r="AL211" i="56" s="1"/>
  <c r="BO211" i="56" s="1"/>
  <c r="BN209" i="56"/>
  <c r="CA209" i="56" s="1"/>
  <c r="AM209" i="56"/>
  <c r="AN209" i="56" s="1"/>
  <c r="BB202" i="56"/>
  <c r="BE202" i="56" s="1"/>
  <c r="BG202" i="56" s="1"/>
  <c r="AA211" i="56"/>
  <c r="AB211" i="56" s="1"/>
  <c r="AH211" i="56" s="1"/>
  <c r="BC203" i="56"/>
  <c r="BF203" i="56" s="1"/>
  <c r="AY204" i="56"/>
  <c r="AZ204" i="56" s="1"/>
  <c r="BP204" i="56"/>
  <c r="CB203" i="56"/>
  <c r="Z212" i="56"/>
  <c r="BM212" i="56" s="1"/>
  <c r="BL212" i="56"/>
  <c r="W214" i="56"/>
  <c r="X214" i="56" s="1"/>
  <c r="S215" i="56" s="1"/>
  <c r="Y213" i="56"/>
  <c r="AG213" i="56"/>
  <c r="BZ211" i="56"/>
  <c r="AT205" i="56"/>
  <c r="AU205" i="56" s="1"/>
  <c r="AP206" i="56" s="1"/>
  <c r="AX205" i="56"/>
  <c r="AI211" i="56" l="1"/>
  <c r="AD212" i="56" s="1"/>
  <c r="AL212" i="56" s="1"/>
  <c r="BO212" i="56" s="1"/>
  <c r="AT206" i="56"/>
  <c r="AX206" i="56"/>
  <c r="CB204" i="56"/>
  <c r="Z213" i="56"/>
  <c r="BM213" i="56" s="1"/>
  <c r="BL213" i="56"/>
  <c r="AA212" i="56"/>
  <c r="AB212" i="56" s="1"/>
  <c r="AH212" i="56" s="1"/>
  <c r="BB203" i="56"/>
  <c r="BE203" i="56" s="1"/>
  <c r="BG203" i="56" s="1"/>
  <c r="AJ211" i="56"/>
  <c r="AK211" i="56"/>
  <c r="AS211" i="56"/>
  <c r="BC204" i="56"/>
  <c r="BF204" i="56" s="1"/>
  <c r="BQ205" i="56"/>
  <c r="W215" i="56"/>
  <c r="X215" i="56" s="1"/>
  <c r="S216" i="56" s="1"/>
  <c r="Y214" i="56"/>
  <c r="AG214" i="56"/>
  <c r="AW205" i="56"/>
  <c r="AV205" i="56"/>
  <c r="BZ212" i="56"/>
  <c r="AA213" i="56" l="1"/>
  <c r="AB213" i="56" s="1"/>
  <c r="AH213" i="56" s="1"/>
  <c r="AK213" i="56" s="1"/>
  <c r="BN213" i="56" s="1"/>
  <c r="BB204" i="56"/>
  <c r="BE204" i="56" s="1"/>
  <c r="BG204" i="56" s="1"/>
  <c r="AJ212" i="56"/>
  <c r="AK212" i="56"/>
  <c r="AS212" i="56"/>
  <c r="BN211" i="56"/>
  <c r="AM211" i="56"/>
  <c r="AN211" i="56" s="1"/>
  <c r="BZ213" i="56"/>
  <c r="BQ206" i="56"/>
  <c r="Y215" i="56"/>
  <c r="AG215" i="56"/>
  <c r="AV206" i="56"/>
  <c r="AW206" i="56"/>
  <c r="AY205" i="56"/>
  <c r="AZ205" i="56" s="1"/>
  <c r="BP205" i="56"/>
  <c r="W216" i="56"/>
  <c r="X216" i="56" s="1"/>
  <c r="S217" i="56" s="1"/>
  <c r="Z214" i="56"/>
  <c r="BM214" i="56" s="1"/>
  <c r="BL214" i="56"/>
  <c r="AI212" i="56"/>
  <c r="AD213" i="56" s="1"/>
  <c r="AU206" i="56"/>
  <c r="AP207" i="56" s="1"/>
  <c r="AJ213" i="56" l="1"/>
  <c r="AS213" i="56"/>
  <c r="BZ214" i="56"/>
  <c r="W217" i="56"/>
  <c r="X217" i="56" s="1"/>
  <c r="S218" i="56" s="1"/>
  <c r="BC205" i="56"/>
  <c r="BF205" i="56" s="1"/>
  <c r="AA214" i="56"/>
  <c r="AB214" i="56" s="1"/>
  <c r="AH214" i="56" s="1"/>
  <c r="Y216" i="56"/>
  <c r="AG216" i="56"/>
  <c r="Z215" i="56"/>
  <c r="BM215" i="56" s="1"/>
  <c r="BL215" i="56"/>
  <c r="AL213" i="56"/>
  <c r="AI213" i="56"/>
  <c r="AD214" i="56" s="1"/>
  <c r="AT207" i="56"/>
  <c r="AU207" i="56" s="1"/>
  <c r="AP208" i="56" s="1"/>
  <c r="AX207" i="56"/>
  <c r="CB205" i="56"/>
  <c r="AY206" i="56"/>
  <c r="AZ206" i="56" s="1"/>
  <c r="BP206" i="56"/>
  <c r="CA211" i="56"/>
  <c r="BN212" i="56"/>
  <c r="AM212" i="56"/>
  <c r="AN212" i="56" s="1"/>
  <c r="BB205" i="56" l="1"/>
  <c r="BE205" i="56" s="1"/>
  <c r="BG205" i="56" s="1"/>
  <c r="AT208" i="56"/>
  <c r="AU208" i="56" s="1"/>
  <c r="AP209" i="56" s="1"/>
  <c r="AX208" i="56"/>
  <c r="BQ207" i="56"/>
  <c r="CA212" i="56"/>
  <c r="AA215" i="56"/>
  <c r="AB215" i="56" s="1"/>
  <c r="AH215" i="56" s="1"/>
  <c r="Z216" i="56"/>
  <c r="BM216" i="56" s="1"/>
  <c r="BL216" i="56"/>
  <c r="Y217" i="56"/>
  <c r="AG217" i="56"/>
  <c r="BO213" i="56"/>
  <c r="AM213" i="56"/>
  <c r="AN213" i="56" s="1"/>
  <c r="CB206" i="56"/>
  <c r="AL214" i="56"/>
  <c r="BO214" i="56" s="1"/>
  <c r="AI214" i="56"/>
  <c r="AD215" i="56" s="1"/>
  <c r="AJ214" i="56"/>
  <c r="AS214" i="56"/>
  <c r="AK214" i="56"/>
  <c r="BC206" i="56"/>
  <c r="BF206" i="56" s="1"/>
  <c r="AW207" i="56"/>
  <c r="AV207" i="56"/>
  <c r="BZ215" i="56"/>
  <c r="W218" i="56"/>
  <c r="X218" i="56" s="1"/>
  <c r="S219" i="56" s="1"/>
  <c r="AA216" i="56" l="1"/>
  <c r="AB216" i="56" s="1"/>
  <c r="AH216" i="56" s="1"/>
  <c r="AS216" i="56" s="1"/>
  <c r="BB206" i="56"/>
  <c r="BE206" i="56" s="1"/>
  <c r="BG206" i="56" s="1"/>
  <c r="W219" i="56"/>
  <c r="X219" i="56" s="1"/>
  <c r="S220" i="56" s="1"/>
  <c r="BN214" i="56"/>
  <c r="AM214" i="56"/>
  <c r="AN214" i="56" s="1"/>
  <c r="CA213" i="56"/>
  <c r="AY207" i="56"/>
  <c r="AZ207" i="56" s="1"/>
  <c r="BP207" i="56"/>
  <c r="Y218" i="56"/>
  <c r="AG218" i="56"/>
  <c r="BQ208" i="56"/>
  <c r="Z217" i="56"/>
  <c r="BM217" i="56" s="1"/>
  <c r="BL217" i="56"/>
  <c r="AW208" i="56"/>
  <c r="AV208" i="56"/>
  <c r="AL215" i="56"/>
  <c r="BO215" i="56" s="1"/>
  <c r="AI215" i="56"/>
  <c r="AD216" i="56" s="1"/>
  <c r="BZ216" i="56"/>
  <c r="AS215" i="56"/>
  <c r="AK215" i="56"/>
  <c r="AJ215" i="56"/>
  <c r="AT209" i="56"/>
  <c r="AU209" i="56" s="1"/>
  <c r="AP210" i="56" s="1"/>
  <c r="AX209" i="56"/>
  <c r="AA217" i="56" l="1"/>
  <c r="AB217" i="56" s="1"/>
  <c r="AH217" i="56" s="1"/>
  <c r="AJ217" i="56" s="1"/>
  <c r="AK216" i="56"/>
  <c r="BN216" i="56" s="1"/>
  <c r="AJ216" i="56"/>
  <c r="W220" i="56"/>
  <c r="X220" i="56" s="1"/>
  <c r="S221" i="56" s="1"/>
  <c r="AT210" i="56"/>
  <c r="AU210" i="56" s="1"/>
  <c r="AP211" i="56" s="1"/>
  <c r="AX210" i="56"/>
  <c r="BQ209" i="56"/>
  <c r="BZ217" i="56"/>
  <c r="Z218" i="56"/>
  <c r="BM218" i="56" s="1"/>
  <c r="BL218" i="56"/>
  <c r="CB207" i="56"/>
  <c r="CA214" i="56"/>
  <c r="AY208" i="56"/>
  <c r="AZ208" i="56" s="1"/>
  <c r="BP208" i="56"/>
  <c r="AV209" i="56"/>
  <c r="AW209" i="56"/>
  <c r="BN215" i="56"/>
  <c r="AM215" i="56"/>
  <c r="AN215" i="56" s="1"/>
  <c r="AL216" i="56"/>
  <c r="AI216" i="56"/>
  <c r="AD217" i="56" s="1"/>
  <c r="BC207" i="56"/>
  <c r="BF207" i="56" s="1"/>
  <c r="Y219" i="56"/>
  <c r="AG219" i="56"/>
  <c r="AS217" i="56" l="1"/>
  <c r="AK217" i="56"/>
  <c r="BN217" i="56" s="1"/>
  <c r="W221" i="56"/>
  <c r="X221" i="56" s="1"/>
  <c r="S222" i="56" s="1"/>
  <c r="BZ218" i="56"/>
  <c r="AW210" i="56"/>
  <c r="AV210" i="56"/>
  <c r="CB208" i="56"/>
  <c r="Z219" i="56"/>
  <c r="BM219" i="56" s="1"/>
  <c r="BL219" i="56"/>
  <c r="AL217" i="56"/>
  <c r="AI217" i="56"/>
  <c r="AD218" i="56" s="1"/>
  <c r="CA215" i="56"/>
  <c r="BC208" i="56"/>
  <c r="BF208" i="56" s="1"/>
  <c r="AA218" i="56"/>
  <c r="AB218" i="56" s="1"/>
  <c r="AH218" i="56" s="1"/>
  <c r="AT211" i="56"/>
  <c r="AX211" i="56"/>
  <c r="BO216" i="56"/>
  <c r="AM216" i="56"/>
  <c r="AN216" i="56" s="1"/>
  <c r="AY209" i="56"/>
  <c r="AZ209" i="56" s="1"/>
  <c r="BP209" i="56"/>
  <c r="BB207" i="56"/>
  <c r="BE207" i="56" s="1"/>
  <c r="BG207" i="56" s="1"/>
  <c r="BQ210" i="56"/>
  <c r="Y220" i="56"/>
  <c r="AG220" i="56"/>
  <c r="AA219" i="56" l="1"/>
  <c r="AB219" i="56" s="1"/>
  <c r="AH219" i="56" s="1"/>
  <c r="AJ219" i="56" s="1"/>
  <c r="BB208" i="56"/>
  <c r="BE208" i="56" s="1"/>
  <c r="BG208" i="56" s="1"/>
  <c r="W222" i="56"/>
  <c r="X222" i="56" s="1"/>
  <c r="S223" i="56" s="1"/>
  <c r="CB209" i="56"/>
  <c r="CA216" i="56"/>
  <c r="AK218" i="56"/>
  <c r="AJ218" i="56"/>
  <c r="AS218" i="56"/>
  <c r="BQ211" i="56"/>
  <c r="AL218" i="56"/>
  <c r="BO218" i="56" s="1"/>
  <c r="AI218" i="56"/>
  <c r="AD219" i="56" s="1"/>
  <c r="BC209" i="56"/>
  <c r="BF209" i="56" s="1"/>
  <c r="AW211" i="56"/>
  <c r="AV211" i="56"/>
  <c r="BO217" i="56"/>
  <c r="AM217" i="56"/>
  <c r="AN217" i="56" s="1"/>
  <c r="AY210" i="56"/>
  <c r="AZ210" i="56" s="1"/>
  <c r="BP210" i="56"/>
  <c r="Z220" i="56"/>
  <c r="BM220" i="56" s="1"/>
  <c r="BL220" i="56"/>
  <c r="AU211" i="56"/>
  <c r="AP212" i="56" s="1"/>
  <c r="BZ219" i="56"/>
  <c r="Y221" i="56"/>
  <c r="AG221" i="56"/>
  <c r="AS219" i="56" l="1"/>
  <c r="AK219" i="56"/>
  <c r="BN219" i="56" s="1"/>
  <c r="AA220" i="56"/>
  <c r="AB220" i="56" s="1"/>
  <c r="AH220" i="56" s="1"/>
  <c r="AJ220" i="56" s="1"/>
  <c r="AJ425" i="56" s="1"/>
  <c r="BB209" i="56"/>
  <c r="BE209" i="56" s="1"/>
  <c r="BG209" i="56" s="1"/>
  <c r="W223" i="56"/>
  <c r="X223" i="56" s="1"/>
  <c r="S224" i="56" s="1"/>
  <c r="BC210" i="56"/>
  <c r="BF210" i="56" s="1"/>
  <c r="AY211" i="56"/>
  <c r="AZ211" i="56" s="1"/>
  <c r="BP211" i="56"/>
  <c r="BN218" i="56"/>
  <c r="AM218" i="56"/>
  <c r="AN218" i="56" s="1"/>
  <c r="Z221" i="56"/>
  <c r="BM221" i="56" s="1"/>
  <c r="BL221" i="56"/>
  <c r="BZ220" i="56"/>
  <c r="CB210" i="56"/>
  <c r="AT212" i="56"/>
  <c r="AX212" i="56"/>
  <c r="CA217" i="56"/>
  <c r="AL219" i="56"/>
  <c r="BO219" i="56" s="1"/>
  <c r="AI219" i="56"/>
  <c r="AD220" i="56" s="1"/>
  <c r="Y222" i="56"/>
  <c r="AG222" i="56"/>
  <c r="AK220" i="56" l="1"/>
  <c r="BN220" i="56" s="1"/>
  <c r="AS220" i="56"/>
  <c r="BB210" i="56"/>
  <c r="BE210" i="56" s="1"/>
  <c r="BG210" i="56" s="1"/>
  <c r="AA221" i="56"/>
  <c r="AB221" i="56" s="1"/>
  <c r="AH221" i="56" s="1"/>
  <c r="AL220" i="56"/>
  <c r="BO220" i="56" s="1"/>
  <c r="AI220" i="56"/>
  <c r="AD221" i="56" s="1"/>
  <c r="BQ212" i="56"/>
  <c r="BZ221" i="56"/>
  <c r="CB211" i="56"/>
  <c r="AV212" i="56"/>
  <c r="AW212" i="56"/>
  <c r="AM219" i="56"/>
  <c r="AN219" i="56" s="1"/>
  <c r="AU212" i="56"/>
  <c r="AP213" i="56" s="1"/>
  <c r="BC211" i="56"/>
  <c r="BF211" i="56" s="1"/>
  <c r="W224" i="56"/>
  <c r="X224" i="56" s="1"/>
  <c r="S225" i="56" s="1"/>
  <c r="Z222" i="56"/>
  <c r="BM222" i="56" s="1"/>
  <c r="BL222" i="56"/>
  <c r="CA219" i="56"/>
  <c r="CA218" i="56"/>
  <c r="Y223" i="56"/>
  <c r="AG223" i="56"/>
  <c r="AM220" i="56" l="1"/>
  <c r="AN220" i="56" s="1"/>
  <c r="AN425" i="56" s="1"/>
  <c r="BB211" i="56"/>
  <c r="BE211" i="56" s="1"/>
  <c r="BG211" i="56" s="1"/>
  <c r="AK221" i="56"/>
  <c r="BN221" i="56" s="1"/>
  <c r="AS221" i="56"/>
  <c r="AJ221" i="56"/>
  <c r="W225" i="56"/>
  <c r="Z223" i="56"/>
  <c r="BM223" i="56" s="1"/>
  <c r="BL223" i="56"/>
  <c r="AA222" i="56"/>
  <c r="AB222" i="56" s="1"/>
  <c r="AH222" i="56" s="1"/>
  <c r="CA220" i="56"/>
  <c r="AT213" i="56"/>
  <c r="AU213" i="56" s="1"/>
  <c r="AP214" i="56" s="1"/>
  <c r="AX213" i="56"/>
  <c r="AY212" i="56"/>
  <c r="AZ212" i="56" s="1"/>
  <c r="BP212" i="56"/>
  <c r="Y224" i="56"/>
  <c r="AG224" i="56"/>
  <c r="AL221" i="56"/>
  <c r="AI221" i="56"/>
  <c r="AD222" i="56" s="1"/>
  <c r="BZ222" i="56"/>
  <c r="AA223" i="56" l="1"/>
  <c r="AB223" i="56" s="1"/>
  <c r="AH223" i="56" s="1"/>
  <c r="BQ213" i="56"/>
  <c r="Y225" i="56"/>
  <c r="AG225" i="56"/>
  <c r="BO221" i="56"/>
  <c r="AM221" i="56"/>
  <c r="AN221" i="56" s="1"/>
  <c r="CB212" i="56"/>
  <c r="AV213" i="56"/>
  <c r="AW213" i="56"/>
  <c r="AS222" i="56"/>
  <c r="AK222" i="56"/>
  <c r="AJ222" i="56"/>
  <c r="AT214" i="56"/>
  <c r="AX214" i="56"/>
  <c r="BZ223" i="56"/>
  <c r="Z224" i="56"/>
  <c r="BM224" i="56" s="1"/>
  <c r="BL224" i="56"/>
  <c r="BC212" i="56"/>
  <c r="BF212" i="56" s="1"/>
  <c r="X225" i="56"/>
  <c r="S226" i="56" s="1"/>
  <c r="AL222" i="56"/>
  <c r="BO222" i="56" s="1"/>
  <c r="AI222" i="56"/>
  <c r="AD223" i="56" s="1"/>
  <c r="AA224" i="56" l="1"/>
  <c r="AB224" i="56" s="1"/>
  <c r="AH224" i="56" s="1"/>
  <c r="AS224" i="56" s="1"/>
  <c r="AJ223" i="56"/>
  <c r="AS223" i="56"/>
  <c r="AK223" i="56"/>
  <c r="BN223" i="56" s="1"/>
  <c r="AL223" i="56"/>
  <c r="AI223" i="56"/>
  <c r="AD224" i="56" s="1"/>
  <c r="BB212" i="56"/>
  <c r="BE212" i="56" s="1"/>
  <c r="BG212" i="56" s="1"/>
  <c r="BQ214" i="56"/>
  <c r="AV214" i="56"/>
  <c r="AW214" i="56"/>
  <c r="AY213" i="56"/>
  <c r="AZ213" i="56" s="1"/>
  <c r="BP213" i="56"/>
  <c r="Z225" i="56"/>
  <c r="BM225" i="56" s="1"/>
  <c r="BL225" i="56"/>
  <c r="BZ224" i="56"/>
  <c r="AU214" i="56"/>
  <c r="AP215" i="56" s="1"/>
  <c r="CA221" i="56"/>
  <c r="W226" i="56"/>
  <c r="X226" i="56" s="1"/>
  <c r="S227" i="56" s="1"/>
  <c r="BN222" i="56"/>
  <c r="AM222" i="56"/>
  <c r="AN222" i="56" s="1"/>
  <c r="AK224" i="56" l="1"/>
  <c r="BN224" i="56" s="1"/>
  <c r="AJ224" i="56"/>
  <c r="AA225" i="56"/>
  <c r="AB225" i="56" s="1"/>
  <c r="AH225" i="56" s="1"/>
  <c r="AJ225" i="56" s="1"/>
  <c r="CA222" i="56"/>
  <c r="BC213" i="56"/>
  <c r="BF213" i="56" s="1"/>
  <c r="AL224" i="56"/>
  <c r="BO224" i="56" s="1"/>
  <c r="AI224" i="56"/>
  <c r="AD225" i="56" s="1"/>
  <c r="AY214" i="56"/>
  <c r="AZ214" i="56" s="1"/>
  <c r="BP214" i="56"/>
  <c r="BO223" i="56"/>
  <c r="AM223" i="56"/>
  <c r="AN223" i="56" s="1"/>
  <c r="W227" i="56"/>
  <c r="X227" i="56" s="1"/>
  <c r="S228" i="56" s="1"/>
  <c r="BZ225" i="56"/>
  <c r="CB213" i="56"/>
  <c r="Y226" i="56"/>
  <c r="AG226" i="56"/>
  <c r="AT215" i="56"/>
  <c r="AX215" i="56"/>
  <c r="AK225" i="56" l="1"/>
  <c r="BN225" i="56" s="1"/>
  <c r="AS225" i="56"/>
  <c r="AM224" i="56"/>
  <c r="AN224" i="56" s="1"/>
  <c r="W228" i="56"/>
  <c r="X228" i="56" s="1"/>
  <c r="S229" i="56" s="1"/>
  <c r="BQ215" i="56"/>
  <c r="AV215" i="56"/>
  <c r="AW215" i="56"/>
  <c r="CA224" i="56"/>
  <c r="AL225" i="56"/>
  <c r="BO225" i="56" s="1"/>
  <c r="AI225" i="56"/>
  <c r="AD226" i="56" s="1"/>
  <c r="BB213" i="56"/>
  <c r="BE213" i="56" s="1"/>
  <c r="BG213" i="56" s="1"/>
  <c r="Z226" i="56"/>
  <c r="BM226" i="56" s="1"/>
  <c r="BL226" i="56"/>
  <c r="CA223" i="56"/>
  <c r="BC214" i="56"/>
  <c r="BF214" i="56" s="1"/>
  <c r="Y227" i="56"/>
  <c r="AG227" i="56"/>
  <c r="AU215" i="56"/>
  <c r="AP216" i="56" s="1"/>
  <c r="CB214" i="56"/>
  <c r="BB214" i="56" l="1"/>
  <c r="BE214" i="56" s="1"/>
  <c r="BG214" i="56" s="1"/>
  <c r="AM225" i="56"/>
  <c r="AN225" i="56" s="1"/>
  <c r="CA225" i="56"/>
  <c r="Z227" i="56"/>
  <c r="BM227" i="56" s="1"/>
  <c r="BL227" i="56"/>
  <c r="AT216" i="56"/>
  <c r="AU216" i="56" s="1"/>
  <c r="AP217" i="56" s="1"/>
  <c r="AX216" i="56"/>
  <c r="BZ226" i="56"/>
  <c r="AY215" i="56"/>
  <c r="AZ215" i="56" s="1"/>
  <c r="BP215" i="56"/>
  <c r="W229" i="56"/>
  <c r="X229" i="56" s="1"/>
  <c r="S230" i="56" s="1"/>
  <c r="AA226" i="56"/>
  <c r="AB226" i="56" s="1"/>
  <c r="AH226" i="56" s="1"/>
  <c r="AL226" i="56"/>
  <c r="BO226" i="56" s="1"/>
  <c r="Y228" i="56"/>
  <c r="AG228" i="56"/>
  <c r="AA227" i="56" l="1"/>
  <c r="AB227" i="56" s="1"/>
  <c r="AH227" i="56" s="1"/>
  <c r="AJ227" i="56" s="1"/>
  <c r="W230" i="56"/>
  <c r="CB215" i="56"/>
  <c r="Z228" i="56"/>
  <c r="BM228" i="56" s="1"/>
  <c r="BL228" i="56"/>
  <c r="AJ226" i="56"/>
  <c r="AS226" i="56"/>
  <c r="AK226" i="56"/>
  <c r="BQ216" i="56"/>
  <c r="BZ227" i="56"/>
  <c r="BC215" i="56"/>
  <c r="BF215" i="56" s="1"/>
  <c r="AW216" i="56"/>
  <c r="AV216" i="56"/>
  <c r="AI226" i="56"/>
  <c r="AD227" i="56" s="1"/>
  <c r="Y229" i="56"/>
  <c r="AG229" i="56"/>
  <c r="AT217" i="56"/>
  <c r="AX217" i="56"/>
  <c r="AA228" i="56" l="1"/>
  <c r="AB228" i="56" s="1"/>
  <c r="AH228" i="56" s="1"/>
  <c r="AJ228" i="56" s="1"/>
  <c r="AK227" i="56"/>
  <c r="BN227" i="56" s="1"/>
  <c r="AS227" i="56"/>
  <c r="BZ228" i="56"/>
  <c r="BQ217" i="56"/>
  <c r="Z229" i="56"/>
  <c r="BM229" i="56" s="1"/>
  <c r="BL229" i="56"/>
  <c r="AY216" i="56"/>
  <c r="AZ216" i="56" s="1"/>
  <c r="BP216" i="56"/>
  <c r="BN226" i="56"/>
  <c r="AM226" i="56"/>
  <c r="AN226" i="56" s="1"/>
  <c r="AW217" i="56"/>
  <c r="AV217" i="56"/>
  <c r="AL227" i="56"/>
  <c r="AI227" i="56"/>
  <c r="AD228" i="56" s="1"/>
  <c r="Y230" i="56"/>
  <c r="AG230" i="56"/>
  <c r="AU217" i="56"/>
  <c r="AP218" i="56" s="1"/>
  <c r="BB215" i="56"/>
  <c r="BE215" i="56" s="1"/>
  <c r="BG215" i="56" s="1"/>
  <c r="X230" i="56"/>
  <c r="S231" i="56" s="1"/>
  <c r="AS228" i="56" l="1"/>
  <c r="AK228" i="56"/>
  <c r="BN228" i="56" s="1"/>
  <c r="AA229" i="56"/>
  <c r="AB229" i="56" s="1"/>
  <c r="AH229" i="56" s="1"/>
  <c r="AJ229" i="56" s="1"/>
  <c r="BO227" i="56"/>
  <c r="AM227" i="56"/>
  <c r="AN227" i="56" s="1"/>
  <c r="Z230" i="56"/>
  <c r="BM230" i="56" s="1"/>
  <c r="BL230" i="56"/>
  <c r="CA226" i="56"/>
  <c r="BC216" i="56"/>
  <c r="BF216" i="56" s="1"/>
  <c r="AY217" i="56"/>
  <c r="AZ217" i="56" s="1"/>
  <c r="BP217" i="56"/>
  <c r="BZ229" i="56"/>
  <c r="W231" i="56"/>
  <c r="X231" i="56" s="1"/>
  <c r="S232" i="56" s="1"/>
  <c r="AT218" i="56"/>
  <c r="AU218" i="56" s="1"/>
  <c r="AP219" i="56" s="1"/>
  <c r="AX218" i="56"/>
  <c r="AL228" i="56"/>
  <c r="AI228" i="56"/>
  <c r="AD229" i="56" s="1"/>
  <c r="CB216" i="56"/>
  <c r="AS229" i="56" l="1"/>
  <c r="AK229" i="56"/>
  <c r="BN229" i="56" s="1"/>
  <c r="AW218" i="56"/>
  <c r="AV218" i="56"/>
  <c r="AA230" i="56"/>
  <c r="AB230" i="56" s="1"/>
  <c r="AH230" i="56" s="1"/>
  <c r="BQ218" i="56"/>
  <c r="CB217" i="56"/>
  <c r="AL229" i="56"/>
  <c r="AI229" i="56"/>
  <c r="AD230" i="56" s="1"/>
  <c r="AT219" i="56"/>
  <c r="AU219" i="56" s="1"/>
  <c r="AP220" i="56" s="1"/>
  <c r="AX219" i="56"/>
  <c r="BC217" i="56"/>
  <c r="BF217" i="56" s="1"/>
  <c r="BB216" i="56"/>
  <c r="BE216" i="56" s="1"/>
  <c r="BG216" i="56" s="1"/>
  <c r="BZ230" i="56"/>
  <c r="BO228" i="56"/>
  <c r="AM228" i="56"/>
  <c r="AN228" i="56" s="1"/>
  <c r="Y231" i="56"/>
  <c r="AG231" i="56"/>
  <c r="CA227" i="56"/>
  <c r="W232" i="56"/>
  <c r="X232" i="56" s="1"/>
  <c r="S233" i="56" s="1"/>
  <c r="W233" i="56" l="1"/>
  <c r="AT220" i="56"/>
  <c r="AU220" i="56" s="1"/>
  <c r="AP221" i="56" s="1"/>
  <c r="AX220" i="56"/>
  <c r="BB217" i="56"/>
  <c r="BE217" i="56" s="1"/>
  <c r="BG217" i="56" s="1"/>
  <c r="AI230" i="56"/>
  <c r="AD231" i="56" s="1"/>
  <c r="AL230" i="56"/>
  <c r="BO230" i="56" s="1"/>
  <c r="BL231" i="56"/>
  <c r="Z231" i="56"/>
  <c r="BM231" i="56" s="1"/>
  <c r="BQ219" i="56"/>
  <c r="BO229" i="56"/>
  <c r="AM229" i="56"/>
  <c r="AN229" i="56" s="1"/>
  <c r="AY218" i="56"/>
  <c r="AZ218" i="56" s="1"/>
  <c r="BP218" i="56"/>
  <c r="Y232" i="56"/>
  <c r="AG232" i="56"/>
  <c r="AW219" i="56"/>
  <c r="AV219" i="56"/>
  <c r="AK230" i="56"/>
  <c r="AJ230" i="56"/>
  <c r="AS230" i="56"/>
  <c r="CA228" i="56"/>
  <c r="AA231" i="56" l="1"/>
  <c r="AB231" i="56" s="1"/>
  <c r="AH231" i="56" s="1"/>
  <c r="AJ231" i="56" s="1"/>
  <c r="BN230" i="56"/>
  <c r="AM230" i="56"/>
  <c r="AN230" i="56" s="1"/>
  <c r="AL231" i="56"/>
  <c r="BO231" i="56" s="1"/>
  <c r="BQ220" i="56"/>
  <c r="CB218" i="56"/>
  <c r="BZ231" i="56"/>
  <c r="AW220" i="56"/>
  <c r="AV220" i="56"/>
  <c r="CA229" i="56"/>
  <c r="AT221" i="56"/>
  <c r="AU221" i="56" s="1"/>
  <c r="AP222" i="56" s="1"/>
  <c r="AX221" i="56"/>
  <c r="BC218" i="56"/>
  <c r="BF218" i="56" s="1"/>
  <c r="AY219" i="56"/>
  <c r="AZ219" i="56" s="1"/>
  <c r="BP219" i="56"/>
  <c r="Y233" i="56"/>
  <c r="AG233" i="56"/>
  <c r="BL232" i="56"/>
  <c r="Z232" i="56"/>
  <c r="BM232" i="56" s="1"/>
  <c r="X233" i="56"/>
  <c r="S234" i="56" s="1"/>
  <c r="AA232" i="56" l="1"/>
  <c r="AB232" i="56" s="1"/>
  <c r="AH232" i="56" s="1"/>
  <c r="AJ232" i="56" s="1"/>
  <c r="AK231" i="56"/>
  <c r="BN231" i="56" s="1"/>
  <c r="AS231" i="56"/>
  <c r="AI231" i="56"/>
  <c r="AD232" i="56" s="1"/>
  <c r="AT222" i="56"/>
  <c r="AU222" i="56" s="1"/>
  <c r="AP223" i="56" s="1"/>
  <c r="AX222" i="56"/>
  <c r="BL233" i="56"/>
  <c r="Z233" i="56"/>
  <c r="BM233" i="56" s="1"/>
  <c r="CB219" i="56"/>
  <c r="AW221" i="56"/>
  <c r="AV221" i="56"/>
  <c r="W234" i="56"/>
  <c r="X234" i="56" s="1"/>
  <c r="S235" i="56" s="1"/>
  <c r="BB218" i="56"/>
  <c r="BE218" i="56" s="1"/>
  <c r="BG218" i="56" s="1"/>
  <c r="BZ232" i="56"/>
  <c r="BC219" i="56"/>
  <c r="BF219" i="56" s="1"/>
  <c r="BQ221" i="56"/>
  <c r="AY220" i="56"/>
  <c r="AZ220" i="56" s="1"/>
  <c r="BP220" i="56"/>
  <c r="CA230" i="56"/>
  <c r="AM231" i="56" l="1"/>
  <c r="AN231" i="56" s="1"/>
  <c r="AK232" i="56"/>
  <c r="BN232" i="56" s="1"/>
  <c r="AI232" i="56"/>
  <c r="AD233" i="56" s="1"/>
  <c r="AL233" i="56" s="1"/>
  <c r="BO233" i="56" s="1"/>
  <c r="AS232" i="56"/>
  <c r="AL232" i="56"/>
  <c r="BO232" i="56" s="1"/>
  <c r="CA231" i="56"/>
  <c r="CB220" i="56"/>
  <c r="AY221" i="56"/>
  <c r="AZ221" i="56" s="1"/>
  <c r="BP221" i="56"/>
  <c r="AA233" i="56"/>
  <c r="AB233" i="56" s="1"/>
  <c r="AH233" i="56" s="1"/>
  <c r="BQ222" i="56"/>
  <c r="BC220" i="56"/>
  <c r="BF220" i="56" s="1"/>
  <c r="W235" i="56"/>
  <c r="X235" i="56" s="1"/>
  <c r="S236" i="56" s="1"/>
  <c r="BB219" i="56"/>
  <c r="BE219" i="56" s="1"/>
  <c r="BG219" i="56" s="1"/>
  <c r="Y234" i="56"/>
  <c r="AG234" i="56"/>
  <c r="BZ233" i="56"/>
  <c r="AW222" i="56"/>
  <c r="AV222" i="56"/>
  <c r="AT223" i="56"/>
  <c r="AX223" i="56"/>
  <c r="AI233" i="56" l="1"/>
  <c r="AD234" i="56" s="1"/>
  <c r="AL234" i="56" s="1"/>
  <c r="AM232" i="56"/>
  <c r="AN232" i="56" s="1"/>
  <c r="AY222" i="56"/>
  <c r="AZ222" i="56" s="1"/>
  <c r="BP222" i="56"/>
  <c r="W236" i="56"/>
  <c r="BB220" i="56"/>
  <c r="BE220" i="56" s="1"/>
  <c r="BG220" i="56" s="1"/>
  <c r="CA232" i="56"/>
  <c r="BQ223" i="56"/>
  <c r="Y235" i="56"/>
  <c r="AG235" i="56"/>
  <c r="BC221" i="56"/>
  <c r="BF221" i="56" s="1"/>
  <c r="AW223" i="56"/>
  <c r="AV223" i="56"/>
  <c r="BL234" i="56"/>
  <c r="Z234" i="56"/>
  <c r="BM234" i="56" s="1"/>
  <c r="AU223" i="56"/>
  <c r="AP224" i="56" s="1"/>
  <c r="AS233" i="56"/>
  <c r="AK233" i="56"/>
  <c r="AJ233" i="56"/>
  <c r="CB221" i="56"/>
  <c r="AA234" i="56" l="1"/>
  <c r="AB234" i="56" s="1"/>
  <c r="AH234" i="56" s="1"/>
  <c r="AJ234" i="56" s="1"/>
  <c r="BB221" i="56"/>
  <c r="BE221" i="56" s="1"/>
  <c r="BG221" i="56" s="1"/>
  <c r="AT224" i="56"/>
  <c r="AU224" i="56" s="1"/>
  <c r="AP225" i="56" s="1"/>
  <c r="AX224" i="56"/>
  <c r="BZ234" i="56"/>
  <c r="Y236" i="56"/>
  <c r="AG236" i="56"/>
  <c r="BC222" i="56"/>
  <c r="BF222" i="56" s="1"/>
  <c r="AM233" i="56"/>
  <c r="AN233" i="56" s="1"/>
  <c r="BN233" i="56"/>
  <c r="AY223" i="56"/>
  <c r="AZ223" i="56" s="1"/>
  <c r="BP223" i="56"/>
  <c r="X236" i="56"/>
  <c r="S237" i="56" s="1"/>
  <c r="BO234" i="56"/>
  <c r="BL235" i="56"/>
  <c r="Z235" i="56"/>
  <c r="BM235" i="56" s="1"/>
  <c r="CB222" i="56"/>
  <c r="AS234" i="56" l="1"/>
  <c r="BB222" i="56"/>
  <c r="BE222" i="56" s="1"/>
  <c r="BG222" i="56" s="1"/>
  <c r="AI234" i="56"/>
  <c r="AD235" i="56" s="1"/>
  <c r="AL235" i="56" s="1"/>
  <c r="BO235" i="56" s="1"/>
  <c r="AK234" i="56"/>
  <c r="AT225" i="56"/>
  <c r="AU225" i="56" s="1"/>
  <c r="AP226" i="56" s="1"/>
  <c r="AX225" i="56"/>
  <c r="AA235" i="56"/>
  <c r="AB235" i="56" s="1"/>
  <c r="AH235" i="56" s="1"/>
  <c r="CA233" i="56"/>
  <c r="W237" i="56"/>
  <c r="CB223" i="56"/>
  <c r="BL236" i="56"/>
  <c r="Z236" i="56"/>
  <c r="BM236" i="56" s="1"/>
  <c r="BZ235" i="56"/>
  <c r="BQ224" i="56"/>
  <c r="BC223" i="56"/>
  <c r="BF223" i="56" s="1"/>
  <c r="AV224" i="56"/>
  <c r="AW224" i="56"/>
  <c r="AA236" i="56" l="1"/>
  <c r="AB236" i="56" s="1"/>
  <c r="AH236" i="56" s="1"/>
  <c r="AJ236" i="56" s="1"/>
  <c r="AM234" i="56"/>
  <c r="AN234" i="56" s="1"/>
  <c r="BN234" i="56"/>
  <c r="CA234" i="56" s="1"/>
  <c r="Y237" i="56"/>
  <c r="AG237" i="56"/>
  <c r="BQ225" i="56"/>
  <c r="BZ236" i="56"/>
  <c r="X237" i="56"/>
  <c r="S238" i="56" s="1"/>
  <c r="AW225" i="56"/>
  <c r="AV225" i="56"/>
  <c r="AT226" i="56"/>
  <c r="AU226" i="56" s="1"/>
  <c r="AP227" i="56" s="1"/>
  <c r="AX226" i="56"/>
  <c r="AY224" i="56"/>
  <c r="AZ224" i="56" s="1"/>
  <c r="BP224" i="56"/>
  <c r="BB223" i="56"/>
  <c r="BE223" i="56" s="1"/>
  <c r="BG223" i="56" s="1"/>
  <c r="AI235" i="56"/>
  <c r="AD236" i="56" s="1"/>
  <c r="AS235" i="56"/>
  <c r="AK235" i="56"/>
  <c r="AJ235" i="56"/>
  <c r="AK236" i="56" l="1"/>
  <c r="BN236" i="56" s="1"/>
  <c r="AS236" i="56"/>
  <c r="CB224" i="56"/>
  <c r="AW226" i="56"/>
  <c r="AV226" i="56"/>
  <c r="AI236" i="56"/>
  <c r="AD237" i="56" s="1"/>
  <c r="AL236" i="56"/>
  <c r="AT227" i="56"/>
  <c r="AU227" i="56" s="1"/>
  <c r="AP228" i="56" s="1"/>
  <c r="AX227" i="56"/>
  <c r="AY225" i="56"/>
  <c r="AZ225" i="56" s="1"/>
  <c r="BP225" i="56"/>
  <c r="BL237" i="56"/>
  <c r="Z237" i="56"/>
  <c r="BM237" i="56" s="1"/>
  <c r="AM235" i="56"/>
  <c r="AN235" i="56" s="1"/>
  <c r="BN235" i="56"/>
  <c r="BQ226" i="56"/>
  <c r="BC224" i="56"/>
  <c r="BF224" i="56" s="1"/>
  <c r="W238" i="56"/>
  <c r="X238" i="56" s="1"/>
  <c r="S239" i="56" s="1"/>
  <c r="AA237" i="56" l="1"/>
  <c r="AB237" i="56" s="1"/>
  <c r="AH237" i="56" s="1"/>
  <c r="AI237" i="56" s="1"/>
  <c r="AD238" i="56" s="1"/>
  <c r="W239" i="56"/>
  <c r="X239" i="56" s="1"/>
  <c r="S240" i="56" s="1"/>
  <c r="BQ227" i="56"/>
  <c r="CB225" i="56"/>
  <c r="AW227" i="56"/>
  <c r="AV227" i="56"/>
  <c r="AY226" i="56"/>
  <c r="AZ226" i="56" s="1"/>
  <c r="BP226" i="56"/>
  <c r="CA235" i="56"/>
  <c r="AT228" i="56"/>
  <c r="AU228" i="56" s="1"/>
  <c r="AP229" i="56" s="1"/>
  <c r="AX228" i="56"/>
  <c r="BZ237" i="56"/>
  <c r="AL237" i="56"/>
  <c r="BO237" i="56" s="1"/>
  <c r="BB224" i="56"/>
  <c r="BE224" i="56" s="1"/>
  <c r="BG224" i="56" s="1"/>
  <c r="BC225" i="56"/>
  <c r="BF225" i="56" s="1"/>
  <c r="BO236" i="56"/>
  <c r="AM236" i="56"/>
  <c r="AN236" i="56" s="1"/>
  <c r="AG238" i="56"/>
  <c r="Y238" i="56"/>
  <c r="AS237" i="56" l="1"/>
  <c r="AK237" i="56"/>
  <c r="AJ237" i="56"/>
  <c r="AT229" i="56"/>
  <c r="AU229" i="56" s="1"/>
  <c r="AP230" i="56" s="1"/>
  <c r="AX229" i="56"/>
  <c r="BB225" i="56"/>
  <c r="BE225" i="56" s="1"/>
  <c r="BG225" i="56" s="1"/>
  <c r="BC226" i="56"/>
  <c r="BF226" i="56" s="1"/>
  <c r="Z238" i="56"/>
  <c r="BM238" i="56" s="1"/>
  <c r="BL238" i="56"/>
  <c r="AL238" i="56"/>
  <c r="AW228" i="56"/>
  <c r="AV228" i="56"/>
  <c r="W240" i="56"/>
  <c r="X240" i="56" s="1"/>
  <c r="S241" i="56" s="1"/>
  <c r="CA236" i="56"/>
  <c r="BQ228" i="56"/>
  <c r="CB226" i="56"/>
  <c r="AY227" i="56"/>
  <c r="AZ227" i="56" s="1"/>
  <c r="BP227" i="56"/>
  <c r="AG239" i="56"/>
  <c r="Y239" i="56"/>
  <c r="BO238" i="56" l="1"/>
  <c r="AM237" i="56"/>
  <c r="AN237" i="56" s="1"/>
  <c r="BN237" i="56"/>
  <c r="CA237" i="56" s="1"/>
  <c r="AA238" i="56"/>
  <c r="AB238" i="56" s="1"/>
  <c r="AH238" i="56" s="1"/>
  <c r="AJ238" i="56" s="1"/>
  <c r="AT230" i="56"/>
  <c r="AU230" i="56" s="1"/>
  <c r="AP231" i="56" s="1"/>
  <c r="AX230" i="56"/>
  <c r="CB227" i="56"/>
  <c r="W241" i="56"/>
  <c r="X241" i="56" s="1"/>
  <c r="S242" i="56" s="1"/>
  <c r="AY228" i="56"/>
  <c r="AZ228" i="56" s="1"/>
  <c r="BP228" i="56"/>
  <c r="BC227" i="56"/>
  <c r="BF227" i="56" s="1"/>
  <c r="BZ238" i="56"/>
  <c r="BQ229" i="56"/>
  <c r="AG240" i="56"/>
  <c r="Y240" i="56"/>
  <c r="BB226" i="56"/>
  <c r="BE226" i="56" s="1"/>
  <c r="BG226" i="56" s="1"/>
  <c r="AW229" i="56"/>
  <c r="AV229" i="56"/>
  <c r="Z239" i="56"/>
  <c r="BM239" i="56" s="1"/>
  <c r="BL239" i="56"/>
  <c r="AI238" i="56" l="1"/>
  <c r="AD239" i="56" s="1"/>
  <c r="AL239" i="56" s="1"/>
  <c r="BO239" i="56" s="1"/>
  <c r="AK238" i="56"/>
  <c r="BN238" i="56" s="1"/>
  <c r="BB227" i="56"/>
  <c r="BE227" i="56" s="1"/>
  <c r="BG227" i="56" s="1"/>
  <c r="AS238" i="56"/>
  <c r="BC228" i="56"/>
  <c r="BF228" i="56" s="1"/>
  <c r="AT231" i="56"/>
  <c r="AU231" i="56" s="1"/>
  <c r="AP232" i="56" s="1"/>
  <c r="AX231" i="56"/>
  <c r="BZ239" i="56"/>
  <c r="W242" i="56"/>
  <c r="BQ230" i="56"/>
  <c r="AA239" i="56"/>
  <c r="AB239" i="56" s="1"/>
  <c r="AH239" i="56" s="1"/>
  <c r="AY229" i="56"/>
  <c r="AZ229" i="56" s="1"/>
  <c r="BP229" i="56"/>
  <c r="Z240" i="56"/>
  <c r="BM240" i="56" s="1"/>
  <c r="BL240" i="56"/>
  <c r="CB228" i="56"/>
  <c r="AG241" i="56"/>
  <c r="Y241" i="56"/>
  <c r="AV230" i="56"/>
  <c r="AW230" i="56"/>
  <c r="AI239" i="56" l="1"/>
  <c r="AD240" i="56" s="1"/>
  <c r="AL240" i="56" s="1"/>
  <c r="BO240" i="56" s="1"/>
  <c r="AM238" i="56"/>
  <c r="AN238" i="56" s="1"/>
  <c r="AA240" i="56"/>
  <c r="AB240" i="56" s="1"/>
  <c r="AH240" i="56" s="1"/>
  <c r="AJ240" i="56" s="1"/>
  <c r="BC229" i="56"/>
  <c r="BF229" i="56" s="1"/>
  <c r="AT232" i="56"/>
  <c r="AU232" i="56" s="1"/>
  <c r="AP233" i="56" s="1"/>
  <c r="AX232" i="56"/>
  <c r="AG242" i="56"/>
  <c r="Y242" i="56"/>
  <c r="AJ239" i="56"/>
  <c r="AK239" i="56"/>
  <c r="AS239" i="56"/>
  <c r="BQ231" i="56"/>
  <c r="AY230" i="56"/>
  <c r="AZ230" i="56" s="1"/>
  <c r="BP230" i="56"/>
  <c r="Z241" i="56"/>
  <c r="BM241" i="56" s="1"/>
  <c r="BL241" i="56"/>
  <c r="BZ240" i="56"/>
  <c r="CB229" i="56"/>
  <c r="X242" i="56"/>
  <c r="S243" i="56" s="1"/>
  <c r="AW231" i="56"/>
  <c r="AV231" i="56"/>
  <c r="BB228" i="56"/>
  <c r="BE228" i="56" s="1"/>
  <c r="BG228" i="56" s="1"/>
  <c r="CA238" i="56"/>
  <c r="AS240" i="56" l="1"/>
  <c r="AA241" i="56"/>
  <c r="AB241" i="56" s="1"/>
  <c r="AH241" i="56" s="1"/>
  <c r="AK241" i="56" s="1"/>
  <c r="BN241" i="56" s="1"/>
  <c r="AK240" i="56"/>
  <c r="BN240" i="56" s="1"/>
  <c r="AI240" i="56"/>
  <c r="AD241" i="56" s="1"/>
  <c r="W243" i="56"/>
  <c r="X243" i="56" s="1"/>
  <c r="S244" i="56" s="1"/>
  <c r="BN239" i="56"/>
  <c r="AM239" i="56"/>
  <c r="AN239" i="56" s="1"/>
  <c r="AW232" i="56"/>
  <c r="AV232" i="56"/>
  <c r="BZ241" i="56"/>
  <c r="CB230" i="56"/>
  <c r="AT233" i="56"/>
  <c r="AU233" i="56" s="1"/>
  <c r="AP234" i="56" s="1"/>
  <c r="AX233" i="56"/>
  <c r="BB229" i="56"/>
  <c r="BE229" i="56" s="1"/>
  <c r="BG229" i="56" s="1"/>
  <c r="BP231" i="56"/>
  <c r="AY231" i="56"/>
  <c r="AZ231" i="56" s="1"/>
  <c r="BC230" i="56"/>
  <c r="BF230" i="56" s="1"/>
  <c r="Z242" i="56"/>
  <c r="BM242" i="56" s="1"/>
  <c r="BL242" i="56"/>
  <c r="BQ232" i="56"/>
  <c r="AJ241" i="56" l="1"/>
  <c r="AI241" i="56"/>
  <c r="AD242" i="56" s="1"/>
  <c r="AL242" i="56" s="1"/>
  <c r="BO242" i="56" s="1"/>
  <c r="AS241" i="56"/>
  <c r="AL241" i="56"/>
  <c r="BO241" i="56" s="1"/>
  <c r="CA241" i="56" s="1"/>
  <c r="AM240" i="56"/>
  <c r="AN240" i="56" s="1"/>
  <c r="AA242" i="56"/>
  <c r="AB242" i="56" s="1"/>
  <c r="AH242" i="56" s="1"/>
  <c r="AS242" i="56" s="1"/>
  <c r="W244" i="56"/>
  <c r="X244" i="56" s="1"/>
  <c r="S245" i="56" s="1"/>
  <c r="BC231" i="56"/>
  <c r="BF231" i="56" s="1"/>
  <c r="AW233" i="56"/>
  <c r="AV233" i="56"/>
  <c r="BZ242" i="56"/>
  <c r="BQ233" i="56"/>
  <c r="CA240" i="56"/>
  <c r="BB230" i="56"/>
  <c r="BE230" i="56" s="1"/>
  <c r="BG230" i="56" s="1"/>
  <c r="CB231" i="56"/>
  <c r="AT234" i="56"/>
  <c r="AU234" i="56" s="1"/>
  <c r="AP235" i="56" s="1"/>
  <c r="AX234" i="56"/>
  <c r="BP232" i="56"/>
  <c r="AY232" i="56"/>
  <c r="AZ232" i="56" s="1"/>
  <c r="CA239" i="56"/>
  <c r="AG243" i="56"/>
  <c r="Y243" i="56"/>
  <c r="AI242" i="56" l="1"/>
  <c r="AD243" i="56" s="1"/>
  <c r="AL243" i="56" s="1"/>
  <c r="AJ242" i="56"/>
  <c r="AM241" i="56"/>
  <c r="AN241" i="56" s="1"/>
  <c r="AK242" i="56"/>
  <c r="BN242" i="56" s="1"/>
  <c r="CA242" i="56" s="1"/>
  <c r="W245" i="56"/>
  <c r="BP233" i="56"/>
  <c r="AY233" i="56"/>
  <c r="AZ233" i="56" s="1"/>
  <c r="CB232" i="56"/>
  <c r="AW234" i="56"/>
  <c r="AV234" i="56"/>
  <c r="BB231" i="56"/>
  <c r="BE231" i="56" s="1"/>
  <c r="BG231" i="56" s="1"/>
  <c r="AG244" i="56"/>
  <c r="Y244" i="56"/>
  <c r="BC232" i="56"/>
  <c r="BF232" i="56" s="1"/>
  <c r="BQ234" i="56"/>
  <c r="Z243" i="56"/>
  <c r="BM243" i="56" s="1"/>
  <c r="BL243" i="56"/>
  <c r="AT235" i="56"/>
  <c r="AX235" i="56"/>
  <c r="AM242" i="56" l="1"/>
  <c r="AN242" i="56" s="1"/>
  <c r="BB232" i="56"/>
  <c r="BE232" i="56" s="1"/>
  <c r="BG232" i="56" s="1"/>
  <c r="BP234" i="56"/>
  <c r="AY234" i="56"/>
  <c r="AZ234" i="56" s="1"/>
  <c r="AG245" i="56"/>
  <c r="Y245" i="56"/>
  <c r="BZ243" i="56"/>
  <c r="CB233" i="56"/>
  <c r="AW235" i="56"/>
  <c r="AV235" i="56"/>
  <c r="AU235" i="56"/>
  <c r="AP236" i="56" s="1"/>
  <c r="AA243" i="56"/>
  <c r="AB243" i="56" s="1"/>
  <c r="AH243" i="56" s="1"/>
  <c r="Z244" i="56"/>
  <c r="BM244" i="56" s="1"/>
  <c r="BL244" i="56"/>
  <c r="BO243" i="56"/>
  <c r="BQ235" i="56"/>
  <c r="BC233" i="56"/>
  <c r="BF233" i="56" s="1"/>
  <c r="X245" i="56"/>
  <c r="S246" i="56" s="1"/>
  <c r="AA244" i="56" l="1"/>
  <c r="AB244" i="56" s="1"/>
  <c r="AH244" i="56" s="1"/>
  <c r="AT236" i="56"/>
  <c r="AU236" i="56" s="1"/>
  <c r="AP237" i="56" s="1"/>
  <c r="AX236" i="56"/>
  <c r="BC234" i="56"/>
  <c r="BF234" i="56" s="1"/>
  <c r="BZ244" i="56"/>
  <c r="W246" i="56"/>
  <c r="BP235" i="56"/>
  <c r="AY235" i="56"/>
  <c r="AZ235" i="56" s="1"/>
  <c r="BB233" i="56"/>
  <c r="BE233" i="56" s="1"/>
  <c r="BG233" i="56" s="1"/>
  <c r="AK243" i="56"/>
  <c r="AS243" i="56"/>
  <c r="AJ243" i="56"/>
  <c r="AI243" i="56"/>
  <c r="AD244" i="56" s="1"/>
  <c r="Z245" i="56"/>
  <c r="BM245" i="56" s="1"/>
  <c r="BL245" i="56"/>
  <c r="CB234" i="56"/>
  <c r="AA245" i="56" l="1"/>
  <c r="AB245" i="56" s="1"/>
  <c r="AH245" i="56" s="1"/>
  <c r="AK245" i="56" s="1"/>
  <c r="BN245" i="56" s="1"/>
  <c r="AS244" i="56"/>
  <c r="AK244" i="56"/>
  <c r="BN244" i="56" s="1"/>
  <c r="AJ244" i="56"/>
  <c r="AT237" i="56"/>
  <c r="AU237" i="56" s="1"/>
  <c r="AP238" i="56" s="1"/>
  <c r="AX237" i="56"/>
  <c r="BC235" i="56"/>
  <c r="BF235" i="56" s="1"/>
  <c r="AG246" i="56"/>
  <c r="Y246" i="56"/>
  <c r="BB234" i="56"/>
  <c r="BE234" i="56" s="1"/>
  <c r="BG234" i="56" s="1"/>
  <c r="BN243" i="56"/>
  <c r="AM243" i="56"/>
  <c r="AN243" i="56" s="1"/>
  <c r="CB235" i="56"/>
  <c r="AV236" i="56"/>
  <c r="AW236" i="56"/>
  <c r="BZ245" i="56"/>
  <c r="AL244" i="56"/>
  <c r="AI244" i="56"/>
  <c r="AD245" i="56" s="1"/>
  <c r="X246" i="56"/>
  <c r="S247" i="56" s="1"/>
  <c r="BQ236" i="56"/>
  <c r="AJ245" i="56" l="1"/>
  <c r="AS245" i="56"/>
  <c r="BQ237" i="56"/>
  <c r="BB235" i="56"/>
  <c r="BE235" i="56" s="1"/>
  <c r="BG235" i="56" s="1"/>
  <c r="AW237" i="56"/>
  <c r="AV237" i="56"/>
  <c r="BO244" i="56"/>
  <c r="AM244" i="56"/>
  <c r="AN244" i="56" s="1"/>
  <c r="W247" i="56"/>
  <c r="X247" i="56" s="1"/>
  <c r="S248" i="56" s="1"/>
  <c r="CA243" i="56"/>
  <c r="AL245" i="56"/>
  <c r="AI245" i="56"/>
  <c r="AD246" i="56" s="1"/>
  <c r="BP236" i="56"/>
  <c r="AY236" i="56"/>
  <c r="AZ236" i="56" s="1"/>
  <c r="Z246" i="56"/>
  <c r="BM246" i="56" s="1"/>
  <c r="BL246" i="56"/>
  <c r="AT238" i="56"/>
  <c r="AU238" i="56" s="1"/>
  <c r="AP239" i="56" s="1"/>
  <c r="AX238" i="56"/>
  <c r="AA246" i="56" l="1"/>
  <c r="AB246" i="56" s="1"/>
  <c r="AH246" i="56" s="1"/>
  <c r="AI246" i="56" s="1"/>
  <c r="AD247" i="56" s="1"/>
  <c r="BQ238" i="56"/>
  <c r="AW238" i="56"/>
  <c r="AV238" i="56"/>
  <c r="AL246" i="56"/>
  <c r="BO246" i="56" s="1"/>
  <c r="BZ246" i="56"/>
  <c r="W248" i="56"/>
  <c r="X248" i="56" s="1"/>
  <c r="S249" i="56" s="1"/>
  <c r="AT239" i="56"/>
  <c r="AU239" i="56" s="1"/>
  <c r="AP240" i="56" s="1"/>
  <c r="AX239" i="56"/>
  <c r="BC236" i="56"/>
  <c r="BF236" i="56" s="1"/>
  <c r="AG247" i="56"/>
  <c r="Y247" i="56"/>
  <c r="BO245" i="56"/>
  <c r="AM245" i="56"/>
  <c r="AN245" i="56" s="1"/>
  <c r="CA244" i="56"/>
  <c r="CB236" i="56"/>
  <c r="BP237" i="56"/>
  <c r="AY237" i="56"/>
  <c r="AZ237" i="56" s="1"/>
  <c r="AS246" i="56" l="1"/>
  <c r="AK246" i="56"/>
  <c r="BN246" i="56" s="1"/>
  <c r="CA246" i="56" s="1"/>
  <c r="AJ246" i="56"/>
  <c r="BQ239" i="56"/>
  <c r="BC237" i="56"/>
  <c r="BF237" i="56" s="1"/>
  <c r="CA245" i="56"/>
  <c r="BB236" i="56"/>
  <c r="BE236" i="56" s="1"/>
  <c r="BG236" i="56" s="1"/>
  <c r="AW239" i="56"/>
  <c r="AV239" i="56"/>
  <c r="W249" i="56"/>
  <c r="X249" i="56" s="1"/>
  <c r="S250" i="56" s="1"/>
  <c r="CB237" i="56"/>
  <c r="Z247" i="56"/>
  <c r="BM247" i="56" s="1"/>
  <c r="BL247" i="56"/>
  <c r="AT240" i="56"/>
  <c r="AX240" i="56"/>
  <c r="AG248" i="56"/>
  <c r="Y248" i="56"/>
  <c r="AL247" i="56"/>
  <c r="BP238" i="56"/>
  <c r="AY238" i="56"/>
  <c r="AZ238" i="56" s="1"/>
  <c r="AM246" i="56" l="1"/>
  <c r="AN246" i="56" s="1"/>
  <c r="BB237" i="56"/>
  <c r="BE237" i="56" s="1"/>
  <c r="BG237" i="56" s="1"/>
  <c r="W250" i="56"/>
  <c r="X250" i="56" s="1"/>
  <c r="S251" i="56" s="1"/>
  <c r="Z248" i="56"/>
  <c r="BM248" i="56" s="1"/>
  <c r="BL248" i="56"/>
  <c r="CB238" i="56"/>
  <c r="BO247" i="56"/>
  <c r="BQ240" i="56"/>
  <c r="AG249" i="56"/>
  <c r="Y249" i="56"/>
  <c r="BC238" i="56"/>
  <c r="BF238" i="56" s="1"/>
  <c r="AV240" i="56"/>
  <c r="AW240" i="56"/>
  <c r="BZ247" i="56"/>
  <c r="AU240" i="56"/>
  <c r="AP241" i="56" s="1"/>
  <c r="AA247" i="56"/>
  <c r="AB247" i="56" s="1"/>
  <c r="AH247" i="56" s="1"/>
  <c r="BP239" i="56"/>
  <c r="AY239" i="56"/>
  <c r="AZ239" i="56" s="1"/>
  <c r="BB238" i="56" l="1"/>
  <c r="BE238" i="56" s="1"/>
  <c r="BG238" i="56" s="1"/>
  <c r="AI247" i="56"/>
  <c r="AD248" i="56" s="1"/>
  <c r="AS247" i="56"/>
  <c r="AJ247" i="56"/>
  <c r="AK247" i="56"/>
  <c r="BP240" i="56"/>
  <c r="AY240" i="56"/>
  <c r="AZ240" i="56" s="1"/>
  <c r="BC239" i="56"/>
  <c r="BF239" i="56" s="1"/>
  <c r="AT241" i="56"/>
  <c r="AU241" i="56" s="1"/>
  <c r="AP242" i="56" s="1"/>
  <c r="AX241" i="56"/>
  <c r="Z249" i="56"/>
  <c r="BM249" i="56" s="1"/>
  <c r="BL249" i="56"/>
  <c r="CB239" i="56"/>
  <c r="BZ248" i="56"/>
  <c r="W251" i="56"/>
  <c r="AA248" i="56"/>
  <c r="AB248" i="56" s="1"/>
  <c r="AH248" i="56" s="1"/>
  <c r="AG250" i="56"/>
  <c r="Y250" i="56"/>
  <c r="AA249" i="56" l="1"/>
  <c r="AB249" i="56" s="1"/>
  <c r="AH249" i="56" s="1"/>
  <c r="AS249" i="56" s="1"/>
  <c r="BB239" i="56"/>
  <c r="BE239" i="56" s="1"/>
  <c r="BG239" i="56" s="1"/>
  <c r="AS248" i="56"/>
  <c r="AJ248" i="56"/>
  <c r="AK248" i="56"/>
  <c r="BZ249" i="56"/>
  <c r="BQ241" i="56"/>
  <c r="AG251" i="56"/>
  <c r="Y251" i="56"/>
  <c r="AT242" i="56"/>
  <c r="AU242" i="56" s="1"/>
  <c r="AP243" i="56" s="1"/>
  <c r="AX242" i="56"/>
  <c r="BN247" i="56"/>
  <c r="AM247" i="56"/>
  <c r="AN247" i="56" s="1"/>
  <c r="Z250" i="56"/>
  <c r="BM250" i="56" s="1"/>
  <c r="BL250" i="56"/>
  <c r="AW241" i="56"/>
  <c r="AV241" i="56"/>
  <c r="BC240" i="56"/>
  <c r="BF240" i="56" s="1"/>
  <c r="X251" i="56"/>
  <c r="S252" i="56" s="1"/>
  <c r="CB240" i="56"/>
  <c r="AL248" i="56"/>
  <c r="BO248" i="56" s="1"/>
  <c r="AI248" i="56"/>
  <c r="AD249" i="56" s="1"/>
  <c r="AK249" i="56" l="1"/>
  <c r="BN249" i="56" s="1"/>
  <c r="AJ249" i="56"/>
  <c r="BB240" i="56"/>
  <c r="BE240" i="56" s="1"/>
  <c r="BG240" i="56" s="1"/>
  <c r="W252" i="56"/>
  <c r="X252" i="56" s="1"/>
  <c r="S253" i="56" s="1"/>
  <c r="BZ250" i="56"/>
  <c r="BQ242" i="56"/>
  <c r="BP241" i="56"/>
  <c r="AY241" i="56"/>
  <c r="AZ241" i="56" s="1"/>
  <c r="AA250" i="56"/>
  <c r="AB250" i="56" s="1"/>
  <c r="AH250" i="56" s="1"/>
  <c r="AV242" i="56"/>
  <c r="AW242" i="56"/>
  <c r="BN248" i="56"/>
  <c r="AM248" i="56"/>
  <c r="AN248" i="56" s="1"/>
  <c r="AL249" i="56"/>
  <c r="AI249" i="56"/>
  <c r="AD250" i="56" s="1"/>
  <c r="CA247" i="56"/>
  <c r="Z251" i="56"/>
  <c r="BM251" i="56" s="1"/>
  <c r="BL251" i="56"/>
  <c r="AT243" i="56"/>
  <c r="AU243" i="56" s="1"/>
  <c r="AP244" i="56" s="1"/>
  <c r="AX243" i="56"/>
  <c r="W253" i="56" l="1"/>
  <c r="AT244" i="56"/>
  <c r="AU244" i="56" s="1"/>
  <c r="AP245" i="56" s="1"/>
  <c r="AX244" i="56"/>
  <c r="AA251" i="56"/>
  <c r="AB251" i="56" s="1"/>
  <c r="AH251" i="56" s="1"/>
  <c r="BO249" i="56"/>
  <c r="AM249" i="56"/>
  <c r="AN249" i="56" s="1"/>
  <c r="BP242" i="56"/>
  <c r="AY242" i="56"/>
  <c r="AZ242" i="56" s="1"/>
  <c r="BC241" i="56"/>
  <c r="BF241" i="56" s="1"/>
  <c r="BZ251" i="56"/>
  <c r="BQ243" i="56"/>
  <c r="CB241" i="56"/>
  <c r="AG252" i="56"/>
  <c r="Y252" i="56"/>
  <c r="AV243" i="56"/>
  <c r="AW243" i="56"/>
  <c r="AK250" i="56"/>
  <c r="AS250" i="56"/>
  <c r="AJ250" i="56"/>
  <c r="AL250" i="56"/>
  <c r="BO250" i="56" s="1"/>
  <c r="AI250" i="56"/>
  <c r="AD251" i="56" s="1"/>
  <c r="CA248" i="56"/>
  <c r="BB241" i="56" l="1"/>
  <c r="BE241" i="56" s="1"/>
  <c r="BG241" i="56" s="1"/>
  <c r="CA249" i="56"/>
  <c r="AT245" i="56"/>
  <c r="AU245" i="56" s="1"/>
  <c r="AP246" i="56" s="1"/>
  <c r="AX245" i="56"/>
  <c r="AG253" i="56"/>
  <c r="Y253" i="56"/>
  <c r="AL251" i="56"/>
  <c r="BO251" i="56" s="1"/>
  <c r="AI251" i="56"/>
  <c r="AD252" i="56" s="1"/>
  <c r="BN250" i="56"/>
  <c r="AM250" i="56"/>
  <c r="AN250" i="56" s="1"/>
  <c r="Z252" i="56"/>
  <c r="BM252" i="56" s="1"/>
  <c r="BL252" i="56"/>
  <c r="BC242" i="56"/>
  <c r="BF242" i="56" s="1"/>
  <c r="BQ244" i="56"/>
  <c r="CB242" i="56"/>
  <c r="AJ251" i="56"/>
  <c r="AK251" i="56"/>
  <c r="AS251" i="56"/>
  <c r="AW244" i="56"/>
  <c r="AV244" i="56"/>
  <c r="BP243" i="56"/>
  <c r="AY243" i="56"/>
  <c r="AZ243" i="56" s="1"/>
  <c r="X253" i="56"/>
  <c r="S254" i="56" s="1"/>
  <c r="BN251" i="56" l="1"/>
  <c r="AM251" i="56"/>
  <c r="AN251" i="56" s="1"/>
  <c r="CB243" i="56"/>
  <c r="BB242" i="56"/>
  <c r="BE242" i="56" s="1"/>
  <c r="BG242" i="56" s="1"/>
  <c r="CA250" i="56"/>
  <c r="AL252" i="56"/>
  <c r="BO252" i="56" s="1"/>
  <c r="AT246" i="56"/>
  <c r="AU246" i="56" s="1"/>
  <c r="AP247" i="56" s="1"/>
  <c r="AX246" i="56"/>
  <c r="BZ252" i="56"/>
  <c r="BQ245" i="56"/>
  <c r="W254" i="56"/>
  <c r="X254" i="56" s="1"/>
  <c r="S255" i="56" s="1"/>
  <c r="BC243" i="56"/>
  <c r="BF243" i="56" s="1"/>
  <c r="BP244" i="56"/>
  <c r="AY244" i="56"/>
  <c r="AZ244" i="56" s="1"/>
  <c r="AA252" i="56"/>
  <c r="AB252" i="56" s="1"/>
  <c r="AH252" i="56" s="1"/>
  <c r="Z253" i="56"/>
  <c r="BM253" i="56" s="1"/>
  <c r="BL253" i="56"/>
  <c r="AW245" i="56"/>
  <c r="AV245" i="56"/>
  <c r="AT247" i="56" l="1"/>
  <c r="AU247" i="56" s="1"/>
  <c r="AP248" i="56" s="1"/>
  <c r="AX247" i="56"/>
  <c r="CB244" i="56"/>
  <c r="AG254" i="56"/>
  <c r="Y254" i="56"/>
  <c r="BZ253" i="56"/>
  <c r="AA253" i="56"/>
  <c r="AB253" i="56" s="1"/>
  <c r="AH253" i="56" s="1"/>
  <c r="BB243" i="56"/>
  <c r="BE243" i="56" s="1"/>
  <c r="BG243" i="56" s="1"/>
  <c r="BC244" i="56"/>
  <c r="BF244" i="56" s="1"/>
  <c r="W255" i="56"/>
  <c r="X255" i="56" s="1"/>
  <c r="S256" i="56" s="1"/>
  <c r="BQ246" i="56"/>
  <c r="BP245" i="56"/>
  <c r="AY245" i="56"/>
  <c r="AZ245" i="56" s="1"/>
  <c r="AW246" i="56"/>
  <c r="AV246" i="56"/>
  <c r="AS252" i="56"/>
  <c r="AJ252" i="56"/>
  <c r="AK252" i="56"/>
  <c r="AI252" i="56"/>
  <c r="AD253" i="56" s="1"/>
  <c r="CA251" i="56"/>
  <c r="BB244" i="56" l="1"/>
  <c r="BE244" i="56" s="1"/>
  <c r="BG244" i="56" s="1"/>
  <c r="AW247" i="56"/>
  <c r="AV247" i="56"/>
  <c r="BN252" i="56"/>
  <c r="AM252" i="56"/>
  <c r="AN252" i="56" s="1"/>
  <c r="CB245" i="56"/>
  <c r="AG255" i="56"/>
  <c r="Y255" i="56"/>
  <c r="AK253" i="56"/>
  <c r="AS253" i="56"/>
  <c r="AJ253" i="56"/>
  <c r="BP246" i="56"/>
  <c r="AY246" i="56"/>
  <c r="AZ246" i="56" s="1"/>
  <c r="Z254" i="56"/>
  <c r="BM254" i="56" s="1"/>
  <c r="BL254" i="56"/>
  <c r="AT248" i="56"/>
  <c r="AX248" i="56"/>
  <c r="BQ247" i="56"/>
  <c r="AL253" i="56"/>
  <c r="BO253" i="56" s="1"/>
  <c r="AI253" i="56"/>
  <c r="AD254" i="56" s="1"/>
  <c r="BC245" i="56"/>
  <c r="BF245" i="56" s="1"/>
  <c r="W256" i="56"/>
  <c r="X256" i="56" s="1"/>
  <c r="S257" i="56" s="1"/>
  <c r="W257" i="56" l="1"/>
  <c r="X257" i="56" s="1"/>
  <c r="S258" i="56" s="1"/>
  <c r="CB246" i="56"/>
  <c r="BB245" i="56"/>
  <c r="BE245" i="56" s="1"/>
  <c r="BG245" i="56" s="1"/>
  <c r="AL254" i="56"/>
  <c r="BO254" i="56" s="1"/>
  <c r="BQ248" i="56"/>
  <c r="BC246" i="56"/>
  <c r="BF246" i="56" s="1"/>
  <c r="CA252" i="56"/>
  <c r="AG256" i="56"/>
  <c r="Y256" i="56"/>
  <c r="BZ254" i="56"/>
  <c r="BN253" i="56"/>
  <c r="AM253" i="56"/>
  <c r="AN253" i="56" s="1"/>
  <c r="AW248" i="56"/>
  <c r="AV248" i="56"/>
  <c r="AU248" i="56"/>
  <c r="AP249" i="56" s="1"/>
  <c r="AA254" i="56"/>
  <c r="AB254" i="56" s="1"/>
  <c r="AH254" i="56" s="1"/>
  <c r="AI254" i="56" s="1"/>
  <c r="AD255" i="56" s="1"/>
  <c r="Z255" i="56"/>
  <c r="BM255" i="56" s="1"/>
  <c r="BL255" i="56"/>
  <c r="BP247" i="56"/>
  <c r="AY247" i="56"/>
  <c r="AZ247" i="56" s="1"/>
  <c r="BB246" i="56" l="1"/>
  <c r="BE246" i="56" s="1"/>
  <c r="BG246" i="56" s="1"/>
  <c r="AL255" i="56"/>
  <c r="BO255" i="56" s="1"/>
  <c r="BC247" i="56"/>
  <c r="BF247" i="56" s="1"/>
  <c r="CA253" i="56"/>
  <c r="Z256" i="56"/>
  <c r="BM256" i="56" s="1"/>
  <c r="BL256" i="56"/>
  <c r="CB247" i="56"/>
  <c r="BP248" i="56"/>
  <c r="AY248" i="56"/>
  <c r="AZ248" i="56" s="1"/>
  <c r="W258" i="56"/>
  <c r="X258" i="56" s="1"/>
  <c r="S259" i="56" s="1"/>
  <c r="BZ255" i="56"/>
  <c r="AS254" i="56"/>
  <c r="AK254" i="56"/>
  <c r="AJ254" i="56"/>
  <c r="AA255" i="56"/>
  <c r="AB255" i="56" s="1"/>
  <c r="AH255" i="56" s="1"/>
  <c r="AI255" i="56" s="1"/>
  <c r="AD256" i="56" s="1"/>
  <c r="AT249" i="56"/>
  <c r="AX249" i="56"/>
  <c r="AG257" i="56"/>
  <c r="Y257" i="56"/>
  <c r="AA256" i="56" l="1"/>
  <c r="AB256" i="56" s="1"/>
  <c r="AH256" i="56" s="1"/>
  <c r="AI256" i="56" s="1"/>
  <c r="AD257" i="56" s="1"/>
  <c r="W259" i="56"/>
  <c r="AL256" i="56"/>
  <c r="BO256" i="56" s="1"/>
  <c r="AV249" i="56"/>
  <c r="AW249" i="56"/>
  <c r="Z257" i="56"/>
  <c r="BM257" i="56" s="1"/>
  <c r="BL257" i="56"/>
  <c r="BQ249" i="56"/>
  <c r="BN254" i="56"/>
  <c r="AM254" i="56"/>
  <c r="AN254" i="56" s="1"/>
  <c r="CB248" i="56"/>
  <c r="BB247" i="56"/>
  <c r="BE247" i="56" s="1"/>
  <c r="BG247" i="56" s="1"/>
  <c r="AG258" i="56"/>
  <c r="Y258" i="56"/>
  <c r="BZ256" i="56"/>
  <c r="AS255" i="56"/>
  <c r="AJ255" i="56"/>
  <c r="AK255" i="56"/>
  <c r="AU249" i="56"/>
  <c r="AP250" i="56" s="1"/>
  <c r="BC248" i="56"/>
  <c r="BF248" i="56" s="1"/>
  <c r="AA257" i="56" l="1"/>
  <c r="AB257" i="56" s="1"/>
  <c r="AH257" i="56" s="1"/>
  <c r="AS257" i="56" s="1"/>
  <c r="AJ256" i="56"/>
  <c r="AK256" i="56"/>
  <c r="AS256" i="56"/>
  <c r="AG259" i="56"/>
  <c r="Y259" i="56"/>
  <c r="AT250" i="56"/>
  <c r="AU250" i="56" s="1"/>
  <c r="AP251" i="56" s="1"/>
  <c r="AX250" i="56"/>
  <c r="Z258" i="56"/>
  <c r="BM258" i="56" s="1"/>
  <c r="BL258" i="56"/>
  <c r="BZ257" i="56"/>
  <c r="BP249" i="56"/>
  <c r="AY249" i="56"/>
  <c r="AZ249" i="56" s="1"/>
  <c r="AL257" i="56"/>
  <c r="BO257" i="56" s="1"/>
  <c r="BN255" i="56"/>
  <c r="AM255" i="56"/>
  <c r="AN255" i="56" s="1"/>
  <c r="BB248" i="56"/>
  <c r="BE248" i="56" s="1"/>
  <c r="BG248" i="56" s="1"/>
  <c r="CA254" i="56"/>
  <c r="X259" i="56"/>
  <c r="S260" i="56" s="1"/>
  <c r="AK257" i="56" l="1"/>
  <c r="BN257" i="56" s="1"/>
  <c r="CA257" i="56" s="1"/>
  <c r="AI257" i="56"/>
  <c r="AD258" i="56" s="1"/>
  <c r="AL258" i="56" s="1"/>
  <c r="BO258" i="56" s="1"/>
  <c r="AJ257" i="56"/>
  <c r="AA258" i="56"/>
  <c r="AB258" i="56" s="1"/>
  <c r="AH258" i="56" s="1"/>
  <c r="AK258" i="56" s="1"/>
  <c r="BN258" i="56" s="1"/>
  <c r="AM256" i="56"/>
  <c r="AN256" i="56" s="1"/>
  <c r="BN256" i="56"/>
  <c r="CA256" i="56" s="1"/>
  <c r="Z259" i="56"/>
  <c r="BM259" i="56" s="1"/>
  <c r="BL259" i="56"/>
  <c r="BZ258" i="56"/>
  <c r="AT251" i="56"/>
  <c r="AX251" i="56"/>
  <c r="CA255" i="56"/>
  <c r="W260" i="56"/>
  <c r="X260" i="56" s="1"/>
  <c r="S261" i="56" s="1"/>
  <c r="BC249" i="56"/>
  <c r="BF249" i="56" s="1"/>
  <c r="BQ250" i="56"/>
  <c r="CB249" i="56"/>
  <c r="AW250" i="56"/>
  <c r="AV250" i="56"/>
  <c r="AM257" i="56" l="1"/>
  <c r="AN257" i="56" s="1"/>
  <c r="AJ258" i="56"/>
  <c r="AS258" i="56"/>
  <c r="AI258" i="56"/>
  <c r="AD259" i="56" s="1"/>
  <c r="AL259" i="56" s="1"/>
  <c r="BO259" i="56" s="1"/>
  <c r="BB249" i="56"/>
  <c r="BE249" i="56" s="1"/>
  <c r="BG249" i="56" s="1"/>
  <c r="BQ251" i="56"/>
  <c r="AA259" i="56"/>
  <c r="AB259" i="56" s="1"/>
  <c r="AH259" i="56" s="1"/>
  <c r="AM258" i="56"/>
  <c r="AN258" i="56" s="1"/>
  <c r="W261" i="56"/>
  <c r="X261" i="56" s="1"/>
  <c r="S262" i="56" s="1"/>
  <c r="AW251" i="56"/>
  <c r="AV251" i="56"/>
  <c r="AG260" i="56"/>
  <c r="Y260" i="56"/>
  <c r="CA258" i="56"/>
  <c r="BP250" i="56"/>
  <c r="AY250" i="56"/>
  <c r="AZ250" i="56" s="1"/>
  <c r="AU251" i="56"/>
  <c r="AP252" i="56" s="1"/>
  <c r="BZ259" i="56"/>
  <c r="AI259" i="56" l="1"/>
  <c r="AD260" i="56" s="1"/>
  <c r="AL260" i="56" s="1"/>
  <c r="W262" i="56"/>
  <c r="X262" i="56" s="1"/>
  <c r="S263" i="56" s="1"/>
  <c r="BP251" i="56"/>
  <c r="AY251" i="56"/>
  <c r="AZ251" i="56" s="1"/>
  <c r="AT252" i="56"/>
  <c r="AX252" i="56"/>
  <c r="BC250" i="56"/>
  <c r="BF250" i="56" s="1"/>
  <c r="Z260" i="56"/>
  <c r="BM260" i="56" s="1"/>
  <c r="BL260" i="56"/>
  <c r="AS259" i="56"/>
  <c r="AK259" i="56"/>
  <c r="AJ259" i="56"/>
  <c r="CB250" i="56"/>
  <c r="AG261" i="56"/>
  <c r="Y261" i="56"/>
  <c r="BO260" i="56" l="1"/>
  <c r="AA260" i="56"/>
  <c r="AB260" i="56" s="1"/>
  <c r="AH260" i="56" s="1"/>
  <c r="CB251" i="56"/>
  <c r="BB250" i="56"/>
  <c r="BE250" i="56" s="1"/>
  <c r="BG250" i="56" s="1"/>
  <c r="BZ260" i="56"/>
  <c r="AV252" i="56"/>
  <c r="AW252" i="56"/>
  <c r="AU252" i="56"/>
  <c r="AP253" i="56" s="1"/>
  <c r="W263" i="56"/>
  <c r="X263" i="56" s="1"/>
  <c r="S264" i="56" s="1"/>
  <c r="Z261" i="56"/>
  <c r="BM261" i="56" s="1"/>
  <c r="BL261" i="56"/>
  <c r="BN259" i="56"/>
  <c r="AM259" i="56"/>
  <c r="AN259" i="56" s="1"/>
  <c r="BQ252" i="56"/>
  <c r="BC251" i="56"/>
  <c r="BF251" i="56" s="1"/>
  <c r="AG262" i="56"/>
  <c r="Y262" i="56"/>
  <c r="AA261" i="56" l="1"/>
  <c r="AB261" i="56" s="1"/>
  <c r="AH261" i="56" s="1"/>
  <c r="AK261" i="56" s="1"/>
  <c r="BN261" i="56" s="1"/>
  <c r="AK260" i="56"/>
  <c r="AS260" i="56"/>
  <c r="AJ260" i="56"/>
  <c r="AI260" i="56"/>
  <c r="AD261" i="56" s="1"/>
  <c r="AL261" i="56" s="1"/>
  <c r="BO261" i="56" s="1"/>
  <c r="W264" i="56"/>
  <c r="BB251" i="56"/>
  <c r="BE251" i="56" s="1"/>
  <c r="BG251" i="56" s="1"/>
  <c r="BP252" i="56"/>
  <c r="AY252" i="56"/>
  <c r="AZ252" i="56" s="1"/>
  <c r="BZ261" i="56"/>
  <c r="CA259" i="56"/>
  <c r="AG263" i="56"/>
  <c r="Y263" i="56"/>
  <c r="Z262" i="56"/>
  <c r="BM262" i="56" s="1"/>
  <c r="BL262" i="56"/>
  <c r="AT253" i="56"/>
  <c r="AU253" i="56" s="1"/>
  <c r="AP254" i="56" s="1"/>
  <c r="AX253" i="56"/>
  <c r="AI261" i="56" l="1"/>
  <c r="AD262" i="56" s="1"/>
  <c r="AL262" i="56" s="1"/>
  <c r="BO262" i="56" s="1"/>
  <c r="CA261" i="56"/>
  <c r="AJ261" i="56"/>
  <c r="AM261" i="56"/>
  <c r="AN261" i="56" s="1"/>
  <c r="AS261" i="56"/>
  <c r="BN260" i="56"/>
  <c r="CA260" i="56" s="1"/>
  <c r="AM260" i="56"/>
  <c r="AN260" i="56" s="1"/>
  <c r="BC252" i="56"/>
  <c r="BF252" i="56" s="1"/>
  <c r="AG264" i="56"/>
  <c r="Y264" i="56"/>
  <c r="BQ253" i="56"/>
  <c r="BZ262" i="56"/>
  <c r="Z263" i="56"/>
  <c r="BM263" i="56" s="1"/>
  <c r="BL263" i="56"/>
  <c r="CB252" i="56"/>
  <c r="AT254" i="56"/>
  <c r="AX254" i="56"/>
  <c r="AV253" i="56"/>
  <c r="AW253" i="56"/>
  <c r="AA262" i="56"/>
  <c r="AB262" i="56" s="1"/>
  <c r="AH262" i="56" s="1"/>
  <c r="X264" i="56"/>
  <c r="S265" i="56" s="1"/>
  <c r="AI262" i="56" l="1"/>
  <c r="AD263" i="56" s="1"/>
  <c r="AL263" i="56" s="1"/>
  <c r="BO263" i="56" s="1"/>
  <c r="AA263" i="56"/>
  <c r="AB263" i="56" s="1"/>
  <c r="AH263" i="56" s="1"/>
  <c r="AJ263" i="56" s="1"/>
  <c r="BB252" i="56"/>
  <c r="BE252" i="56" s="1"/>
  <c r="BG252" i="56" s="1"/>
  <c r="AK262" i="56"/>
  <c r="AS262" i="56"/>
  <c r="AJ262" i="56"/>
  <c r="BP253" i="56"/>
  <c r="AY253" i="56"/>
  <c r="AZ253" i="56" s="1"/>
  <c r="AV254" i="56"/>
  <c r="AW254" i="56"/>
  <c r="AU254" i="56"/>
  <c r="AP255" i="56" s="1"/>
  <c r="BQ254" i="56"/>
  <c r="BZ263" i="56"/>
  <c r="Z264" i="56"/>
  <c r="BM264" i="56" s="1"/>
  <c r="BL264" i="56"/>
  <c r="W265" i="56"/>
  <c r="X265" i="56" s="1"/>
  <c r="S266" i="56" s="1"/>
  <c r="AI263" i="56" l="1"/>
  <c r="AD264" i="56" s="1"/>
  <c r="AL264" i="56" s="1"/>
  <c r="BO264" i="56" s="1"/>
  <c r="AK263" i="56"/>
  <c r="BN263" i="56" s="1"/>
  <c r="AS263" i="56"/>
  <c r="BN262" i="56"/>
  <c r="AM262" i="56"/>
  <c r="AN262" i="56" s="1"/>
  <c r="W266" i="56"/>
  <c r="AG265" i="56"/>
  <c r="Y265" i="56"/>
  <c r="AT255" i="56"/>
  <c r="AU255" i="56" s="1"/>
  <c r="AP256" i="56" s="1"/>
  <c r="AX255" i="56"/>
  <c r="BC253" i="56"/>
  <c r="BF253" i="56" s="1"/>
  <c r="BZ264" i="56"/>
  <c r="AA264" i="56"/>
  <c r="AB264" i="56" s="1"/>
  <c r="AH264" i="56" s="1"/>
  <c r="BP254" i="56"/>
  <c r="AY254" i="56"/>
  <c r="AZ254" i="56" s="1"/>
  <c r="CB253" i="56"/>
  <c r="AI264" i="56" l="1"/>
  <c r="AD265" i="56" s="1"/>
  <c r="AL265" i="56" s="1"/>
  <c r="AM263" i="56"/>
  <c r="AN263" i="56" s="1"/>
  <c r="BB253" i="56"/>
  <c r="BE253" i="56" s="1"/>
  <c r="BG253" i="56" s="1"/>
  <c r="AV255" i="56"/>
  <c r="AW255" i="56"/>
  <c r="AG266" i="56"/>
  <c r="Y266" i="56"/>
  <c r="Z265" i="56"/>
  <c r="BM265" i="56" s="1"/>
  <c r="BL265" i="56"/>
  <c r="CA262" i="56"/>
  <c r="CA263" i="56"/>
  <c r="AT256" i="56"/>
  <c r="AU256" i="56" s="1"/>
  <c r="AP257" i="56" s="1"/>
  <c r="AX256" i="56"/>
  <c r="AS264" i="56"/>
  <c r="AJ264" i="56"/>
  <c r="AK264" i="56"/>
  <c r="BC254" i="56"/>
  <c r="BF254" i="56" s="1"/>
  <c r="CB254" i="56"/>
  <c r="BQ255" i="56"/>
  <c r="X266" i="56"/>
  <c r="S267" i="56" s="1"/>
  <c r="AA265" i="56" l="1"/>
  <c r="AB265" i="56" s="1"/>
  <c r="AH265" i="56" s="1"/>
  <c r="AI265" i="56" s="1"/>
  <c r="AD266" i="56" s="1"/>
  <c r="BB254" i="56"/>
  <c r="BE254" i="56" s="1"/>
  <c r="BG254" i="56" s="1"/>
  <c r="AV256" i="56"/>
  <c r="AW256" i="56"/>
  <c r="BN264" i="56"/>
  <c r="AM264" i="56"/>
  <c r="AN264" i="56" s="1"/>
  <c r="BZ265" i="56"/>
  <c r="Z266" i="56"/>
  <c r="BM266" i="56" s="1"/>
  <c r="BL266" i="56"/>
  <c r="W267" i="56"/>
  <c r="AT257" i="56"/>
  <c r="AU257" i="56" s="1"/>
  <c r="AP258" i="56" s="1"/>
  <c r="AX257" i="56"/>
  <c r="BQ256" i="56"/>
  <c r="BP255" i="56"/>
  <c r="AY255" i="56"/>
  <c r="AZ255" i="56" s="1"/>
  <c r="BO265" i="56"/>
  <c r="AJ265" i="56" l="1"/>
  <c r="AK265" i="56"/>
  <c r="AS265" i="56"/>
  <c r="AG267" i="56"/>
  <c r="Y267" i="56"/>
  <c r="AV257" i="56"/>
  <c r="AW257" i="56"/>
  <c r="BZ266" i="56"/>
  <c r="BP256" i="56"/>
  <c r="AY256" i="56"/>
  <c r="AZ256" i="56" s="1"/>
  <c r="AA266" i="56"/>
  <c r="AB266" i="56" s="1"/>
  <c r="AH266" i="56" s="1"/>
  <c r="AI266" i="56" s="1"/>
  <c r="AD267" i="56" s="1"/>
  <c r="CA264" i="56"/>
  <c r="BQ257" i="56"/>
  <c r="BC255" i="56"/>
  <c r="BF255" i="56" s="1"/>
  <c r="CB255" i="56"/>
  <c r="AT258" i="56"/>
  <c r="AX258" i="56"/>
  <c r="AL266" i="56"/>
  <c r="BO266" i="56" s="1"/>
  <c r="X267" i="56"/>
  <c r="S268" i="56" s="1"/>
  <c r="BN265" i="56" l="1"/>
  <c r="CA265" i="56" s="1"/>
  <c r="AM265" i="56"/>
  <c r="AN265" i="56" s="1"/>
  <c r="AL267" i="56"/>
  <c r="W268" i="56"/>
  <c r="X268" i="56" s="1"/>
  <c r="S269" i="56" s="1"/>
  <c r="BQ258" i="56"/>
  <c r="AV258" i="56"/>
  <c r="AW258" i="56"/>
  <c r="BB255" i="56"/>
  <c r="BE255" i="56" s="1"/>
  <c r="BG255" i="56" s="1"/>
  <c r="Z267" i="56"/>
  <c r="BM267" i="56" s="1"/>
  <c r="BL267" i="56"/>
  <c r="BC256" i="56"/>
  <c r="BF256" i="56" s="1"/>
  <c r="BP257" i="56"/>
  <c r="AY257" i="56"/>
  <c r="AZ257" i="56" s="1"/>
  <c r="AK266" i="56"/>
  <c r="AS266" i="56"/>
  <c r="AJ266" i="56"/>
  <c r="AU258" i="56"/>
  <c r="AP259" i="56" s="1"/>
  <c r="CB256" i="56"/>
  <c r="BB256" i="56" l="1"/>
  <c r="BE256" i="56" s="1"/>
  <c r="BG256" i="56" s="1"/>
  <c r="AA267" i="56"/>
  <c r="AB267" i="56" s="1"/>
  <c r="AH267" i="56" s="1"/>
  <c r="AS267" i="56" s="1"/>
  <c r="BC257" i="56"/>
  <c r="BF257" i="56" s="1"/>
  <c r="AT259" i="56"/>
  <c r="AU259" i="56" s="1"/>
  <c r="AP260" i="56" s="1"/>
  <c r="AX259" i="56"/>
  <c r="CB257" i="56"/>
  <c r="BZ267" i="56"/>
  <c r="BO267" i="56"/>
  <c r="BN266" i="56"/>
  <c r="AM266" i="56"/>
  <c r="AN266" i="56" s="1"/>
  <c r="BP258" i="56"/>
  <c r="AY258" i="56"/>
  <c r="AZ258" i="56" s="1"/>
  <c r="W269" i="56"/>
  <c r="X269" i="56" s="1"/>
  <c r="S270" i="56" s="1"/>
  <c r="AG268" i="56"/>
  <c r="Y268" i="56"/>
  <c r="AK267" i="56" l="1"/>
  <c r="AJ267" i="56"/>
  <c r="BB257" i="56"/>
  <c r="BE257" i="56" s="1"/>
  <c r="BG257" i="56" s="1"/>
  <c r="AI267" i="56"/>
  <c r="AD268" i="56" s="1"/>
  <c r="AL268" i="56" s="1"/>
  <c r="AT260" i="56"/>
  <c r="AU260" i="56" s="1"/>
  <c r="AP261" i="56" s="1"/>
  <c r="AX260" i="56"/>
  <c r="BC258" i="56"/>
  <c r="BF258" i="56" s="1"/>
  <c r="CA266" i="56"/>
  <c r="BQ259" i="56"/>
  <c r="W270" i="56"/>
  <c r="X270" i="56" s="1"/>
  <c r="S271" i="56" s="1"/>
  <c r="CB258" i="56"/>
  <c r="AV259" i="56"/>
  <c r="AW259" i="56"/>
  <c r="Z268" i="56"/>
  <c r="BM268" i="56" s="1"/>
  <c r="BL268" i="56"/>
  <c r="AG269" i="56"/>
  <c r="Y269" i="56"/>
  <c r="BN267" i="56" l="1"/>
  <c r="CA267" i="56" s="1"/>
  <c r="AM267" i="56"/>
  <c r="AN267" i="56" s="1"/>
  <c r="AA268" i="56"/>
  <c r="AB268" i="56" s="1"/>
  <c r="AH268" i="56" s="1"/>
  <c r="AG270" i="56"/>
  <c r="Y270" i="56"/>
  <c r="Z269" i="56"/>
  <c r="BM269" i="56" s="1"/>
  <c r="BL269" i="56"/>
  <c r="AT261" i="56"/>
  <c r="AX261" i="56"/>
  <c r="BQ260" i="56"/>
  <c r="BZ268" i="56"/>
  <c r="BP259" i="56"/>
  <c r="AY259" i="56"/>
  <c r="AZ259" i="56" s="1"/>
  <c r="W271" i="56"/>
  <c r="BO268" i="56"/>
  <c r="BB258" i="56"/>
  <c r="BE258" i="56" s="1"/>
  <c r="BG258" i="56" s="1"/>
  <c r="AW260" i="56"/>
  <c r="AV260" i="56"/>
  <c r="AG271" i="56" l="1"/>
  <c r="Y271" i="56"/>
  <c r="BC259" i="56"/>
  <c r="BF259" i="56" s="1"/>
  <c r="BP260" i="56"/>
  <c r="AY260" i="56"/>
  <c r="AZ260" i="56" s="1"/>
  <c r="X271" i="56"/>
  <c r="S272" i="56" s="1"/>
  <c r="CB259" i="56"/>
  <c r="BQ261" i="56"/>
  <c r="AA269" i="56"/>
  <c r="AB269" i="56" s="1"/>
  <c r="AH269" i="56" s="1"/>
  <c r="AW261" i="56"/>
  <c r="AV261" i="56"/>
  <c r="AI268" i="56"/>
  <c r="AD269" i="56" s="1"/>
  <c r="AS268" i="56"/>
  <c r="AK268" i="56"/>
  <c r="AJ268" i="56"/>
  <c r="AU261" i="56"/>
  <c r="AP262" i="56" s="1"/>
  <c r="BZ269" i="56"/>
  <c r="Z270" i="56"/>
  <c r="BM270" i="56" s="1"/>
  <c r="BL270" i="56"/>
  <c r="W272" i="56" l="1"/>
  <c r="X272" i="56" s="1"/>
  <c r="S273" i="56" s="1"/>
  <c r="AL269" i="56"/>
  <c r="BO269" i="56" s="1"/>
  <c r="AI269" i="56"/>
  <c r="AD270" i="56" s="1"/>
  <c r="BB259" i="56"/>
  <c r="BE259" i="56" s="1"/>
  <c r="BG259" i="56" s="1"/>
  <c r="BC260" i="56"/>
  <c r="BF260" i="56" s="1"/>
  <c r="Z271" i="56"/>
  <c r="BM271" i="56" s="1"/>
  <c r="BL271" i="56"/>
  <c r="BZ270" i="56"/>
  <c r="AA270" i="56"/>
  <c r="AB270" i="56" s="1"/>
  <c r="AH270" i="56" s="1"/>
  <c r="AT262" i="56"/>
  <c r="AU262" i="56" s="1"/>
  <c r="AP263" i="56" s="1"/>
  <c r="AX262" i="56"/>
  <c r="BN268" i="56"/>
  <c r="AM268" i="56"/>
  <c r="AN268" i="56" s="1"/>
  <c r="BP261" i="56"/>
  <c r="AY261" i="56"/>
  <c r="AZ261" i="56" s="1"/>
  <c r="AJ269" i="56"/>
  <c r="AK269" i="56"/>
  <c r="AS269" i="56"/>
  <c r="CB260" i="56"/>
  <c r="BB260" i="56" l="1"/>
  <c r="BE260" i="56" s="1"/>
  <c r="BG260" i="56" s="1"/>
  <c r="AA271" i="56"/>
  <c r="AB271" i="56" s="1"/>
  <c r="AH271" i="56" s="1"/>
  <c r="W273" i="56"/>
  <c r="X273" i="56" s="1"/>
  <c r="S274" i="56" s="1"/>
  <c r="BN269" i="56"/>
  <c r="AM269" i="56"/>
  <c r="AN269" i="56" s="1"/>
  <c r="CB261" i="56"/>
  <c r="AT263" i="56"/>
  <c r="AU263" i="56" s="1"/>
  <c r="AP264" i="56" s="1"/>
  <c r="AX263" i="56"/>
  <c r="CA268" i="56"/>
  <c r="AK270" i="56"/>
  <c r="AS270" i="56"/>
  <c r="AJ270" i="56"/>
  <c r="BQ262" i="56"/>
  <c r="AG272" i="56"/>
  <c r="Y272" i="56"/>
  <c r="BC261" i="56"/>
  <c r="BF261" i="56" s="1"/>
  <c r="AV262" i="56"/>
  <c r="AW262" i="56"/>
  <c r="BZ271" i="56"/>
  <c r="AL270" i="56"/>
  <c r="BO270" i="56" s="1"/>
  <c r="AI270" i="56"/>
  <c r="AD271" i="56" s="1"/>
  <c r="AK271" i="56" l="1"/>
  <c r="BN271" i="56" s="1"/>
  <c r="AJ271" i="56"/>
  <c r="AS271" i="56"/>
  <c r="AL271" i="56"/>
  <c r="AI271" i="56"/>
  <c r="AD272" i="56" s="1"/>
  <c r="BP262" i="56"/>
  <c r="AY262" i="56"/>
  <c r="AZ262" i="56" s="1"/>
  <c r="BB261" i="56"/>
  <c r="BE261" i="56" s="1"/>
  <c r="BG261" i="56" s="1"/>
  <c r="CA269" i="56"/>
  <c r="AG273" i="56"/>
  <c r="Y273" i="56"/>
  <c r="Z272" i="56"/>
  <c r="BM272" i="56" s="1"/>
  <c r="BL272" i="56"/>
  <c r="BN270" i="56"/>
  <c r="AM270" i="56"/>
  <c r="AN270" i="56" s="1"/>
  <c r="AT264" i="56"/>
  <c r="AX264" i="56"/>
  <c r="BQ263" i="56"/>
  <c r="AV263" i="56"/>
  <c r="AW263" i="56"/>
  <c r="W274" i="56"/>
  <c r="X274" i="56" s="1"/>
  <c r="S275" i="56" s="1"/>
  <c r="AV264" i="56" l="1"/>
  <c r="AW264" i="56"/>
  <c r="BZ272" i="56"/>
  <c r="BC262" i="56"/>
  <c r="BF262" i="56" s="1"/>
  <c r="BP263" i="56"/>
  <c r="AY263" i="56"/>
  <c r="AZ263" i="56" s="1"/>
  <c r="W275" i="56"/>
  <c r="X275" i="56" s="1"/>
  <c r="S276" i="56" s="1"/>
  <c r="AU264" i="56"/>
  <c r="AP265" i="56" s="1"/>
  <c r="AA272" i="56"/>
  <c r="AB272" i="56" s="1"/>
  <c r="AH272" i="56" s="1"/>
  <c r="AI272" i="56" s="1"/>
  <c r="AD273" i="56" s="1"/>
  <c r="Z273" i="56"/>
  <c r="BM273" i="56" s="1"/>
  <c r="BL273" i="56"/>
  <c r="CB262" i="56"/>
  <c r="AG274" i="56"/>
  <c r="Y274" i="56"/>
  <c r="BQ264" i="56"/>
  <c r="CA270" i="56"/>
  <c r="AL272" i="56"/>
  <c r="BO272" i="56" s="1"/>
  <c r="BO271" i="56"/>
  <c r="AM271" i="56"/>
  <c r="AN271" i="56" s="1"/>
  <c r="W276" i="56" l="1"/>
  <c r="CB263" i="56"/>
  <c r="AG275" i="56"/>
  <c r="Y275" i="56"/>
  <c r="Z274" i="56"/>
  <c r="BM274" i="56" s="1"/>
  <c r="BL274" i="56"/>
  <c r="BZ273" i="56"/>
  <c r="AK272" i="56"/>
  <c r="AS272" i="56"/>
  <c r="AJ272" i="56"/>
  <c r="BB262" i="56"/>
  <c r="BE262" i="56" s="1"/>
  <c r="BG262" i="56" s="1"/>
  <c r="BP264" i="56"/>
  <c r="AY264" i="56"/>
  <c r="AZ264" i="56" s="1"/>
  <c r="AL273" i="56"/>
  <c r="BO273" i="56" s="1"/>
  <c r="CA271" i="56"/>
  <c r="AA273" i="56"/>
  <c r="AB273" i="56" s="1"/>
  <c r="AH273" i="56" s="1"/>
  <c r="AI273" i="56" s="1"/>
  <c r="AD274" i="56" s="1"/>
  <c r="AT265" i="56"/>
  <c r="AU265" i="56" s="1"/>
  <c r="AP266" i="56" s="1"/>
  <c r="AX265" i="56"/>
  <c r="BC263" i="56"/>
  <c r="BF263" i="56" s="1"/>
  <c r="BB263" i="56" l="1"/>
  <c r="BE263" i="56" s="1"/>
  <c r="BG263" i="56" s="1"/>
  <c r="AL274" i="56"/>
  <c r="BO274" i="56" s="1"/>
  <c r="BC264" i="56"/>
  <c r="BF264" i="56" s="1"/>
  <c r="BZ274" i="56"/>
  <c r="AG276" i="56"/>
  <c r="Y276" i="56"/>
  <c r="BQ265" i="56"/>
  <c r="CB264" i="56"/>
  <c r="BN272" i="56"/>
  <c r="AM272" i="56"/>
  <c r="AN272" i="56" s="1"/>
  <c r="AA274" i="56"/>
  <c r="AB274" i="56" s="1"/>
  <c r="AH274" i="56" s="1"/>
  <c r="AI274" i="56" s="1"/>
  <c r="AD275" i="56" s="1"/>
  <c r="Z275" i="56"/>
  <c r="BM275" i="56" s="1"/>
  <c r="BL275" i="56"/>
  <c r="AS273" i="56"/>
  <c r="AK273" i="56"/>
  <c r="AJ273" i="56"/>
  <c r="AT266" i="56"/>
  <c r="AU266" i="56" s="1"/>
  <c r="AP267" i="56" s="1"/>
  <c r="AX266" i="56"/>
  <c r="AV265" i="56"/>
  <c r="AW265" i="56"/>
  <c r="X276" i="56"/>
  <c r="S277" i="56" s="1"/>
  <c r="BB264" i="56" l="1"/>
  <c r="BE264" i="56" s="1"/>
  <c r="BG264" i="56" s="1"/>
  <c r="AL275" i="56"/>
  <c r="BO275" i="56" s="1"/>
  <c r="AT267" i="56"/>
  <c r="AU267" i="56" s="1"/>
  <c r="AP268" i="56" s="1"/>
  <c r="AX267" i="56"/>
  <c r="W277" i="56"/>
  <c r="X277" i="56" s="1"/>
  <c r="S278" i="56" s="1"/>
  <c r="BN273" i="56"/>
  <c r="AM273" i="56"/>
  <c r="AN273" i="56" s="1"/>
  <c r="CA272" i="56"/>
  <c r="BQ266" i="56"/>
  <c r="BP265" i="56"/>
  <c r="AY265" i="56"/>
  <c r="AZ265" i="56" s="1"/>
  <c r="AV266" i="56"/>
  <c r="AW266" i="56"/>
  <c r="BZ275" i="56"/>
  <c r="AK274" i="56"/>
  <c r="AJ274" i="56"/>
  <c r="AS274" i="56"/>
  <c r="Z276" i="56"/>
  <c r="BM276" i="56" s="1"/>
  <c r="BL276" i="56"/>
  <c r="AA275" i="56"/>
  <c r="AB275" i="56" s="1"/>
  <c r="AH275" i="56" s="1"/>
  <c r="AS275" i="56" l="1"/>
  <c r="AK275" i="56"/>
  <c r="AJ275" i="56"/>
  <c r="AT268" i="56"/>
  <c r="AU268" i="56" s="1"/>
  <c r="AP269" i="56" s="1"/>
  <c r="AX268" i="56"/>
  <c r="BZ276" i="56"/>
  <c r="BC265" i="56"/>
  <c r="BF265" i="56" s="1"/>
  <c r="CA273" i="56"/>
  <c r="BQ267" i="56"/>
  <c r="AA276" i="56"/>
  <c r="AB276" i="56" s="1"/>
  <c r="AH276" i="56" s="1"/>
  <c r="BP266" i="56"/>
  <c r="AY266" i="56"/>
  <c r="AZ266" i="56" s="1"/>
  <c r="CB265" i="56"/>
  <c r="W278" i="56"/>
  <c r="X278" i="56" s="1"/>
  <c r="S279" i="56" s="1"/>
  <c r="AW267" i="56"/>
  <c r="AV267" i="56"/>
  <c r="BN274" i="56"/>
  <c r="AM274" i="56"/>
  <c r="AN274" i="56" s="1"/>
  <c r="AG277" i="56"/>
  <c r="Y277" i="56"/>
  <c r="AI275" i="56"/>
  <c r="AD276" i="56" s="1"/>
  <c r="BB265" i="56" l="1"/>
  <c r="BE265" i="56" s="1"/>
  <c r="BG265" i="56" s="1"/>
  <c r="W279" i="56"/>
  <c r="X279" i="56" s="1"/>
  <c r="S280" i="56" s="1"/>
  <c r="CA274" i="56"/>
  <c r="AW268" i="56"/>
  <c r="AV268" i="56"/>
  <c r="AG278" i="56"/>
  <c r="Y278" i="56"/>
  <c r="BC266" i="56"/>
  <c r="BF266" i="56" s="1"/>
  <c r="AT269" i="56"/>
  <c r="AX269" i="56"/>
  <c r="BN275" i="56"/>
  <c r="AM275" i="56"/>
  <c r="AN275" i="56" s="1"/>
  <c r="AL276" i="56"/>
  <c r="BO276" i="56" s="1"/>
  <c r="AI276" i="56"/>
  <c r="AD277" i="56" s="1"/>
  <c r="CB266" i="56"/>
  <c r="Z277" i="56"/>
  <c r="BM277" i="56" s="1"/>
  <c r="BL277" i="56"/>
  <c r="BP267" i="56"/>
  <c r="AY267" i="56"/>
  <c r="AZ267" i="56" s="1"/>
  <c r="AK276" i="56"/>
  <c r="AS276" i="56"/>
  <c r="AJ276" i="56"/>
  <c r="BQ268" i="56"/>
  <c r="AA277" i="56" l="1"/>
  <c r="AB277" i="56" s="1"/>
  <c r="AH277" i="56" s="1"/>
  <c r="AS277" i="56" s="1"/>
  <c r="CB267" i="56"/>
  <c r="BN276" i="56"/>
  <c r="AM276" i="56"/>
  <c r="AN276" i="56" s="1"/>
  <c r="BZ277" i="56"/>
  <c r="BQ269" i="56"/>
  <c r="BB266" i="56"/>
  <c r="BE266" i="56" s="1"/>
  <c r="BG266" i="56" s="1"/>
  <c r="BP268" i="56"/>
  <c r="AY268" i="56"/>
  <c r="AZ268" i="56" s="1"/>
  <c r="AW269" i="56"/>
  <c r="AV269" i="56"/>
  <c r="Z278" i="56"/>
  <c r="BM278" i="56" s="1"/>
  <c r="BL278" i="56"/>
  <c r="BC267" i="56"/>
  <c r="BF267" i="56" s="1"/>
  <c r="AL277" i="56"/>
  <c r="BO277" i="56" s="1"/>
  <c r="CA275" i="56"/>
  <c r="W280" i="56"/>
  <c r="X280" i="56" s="1"/>
  <c r="S281" i="56" s="1"/>
  <c r="AU269" i="56"/>
  <c r="AP270" i="56" s="1"/>
  <c r="AG279" i="56"/>
  <c r="Y279" i="56"/>
  <c r="AI277" i="56" l="1"/>
  <c r="AD278" i="56" s="1"/>
  <c r="AL278" i="56" s="1"/>
  <c r="BO278" i="56" s="1"/>
  <c r="AJ277" i="56"/>
  <c r="AK277" i="56"/>
  <c r="BN277" i="56" s="1"/>
  <c r="AA278" i="56"/>
  <c r="AB278" i="56" s="1"/>
  <c r="AH278" i="56" s="1"/>
  <c r="BB267" i="56"/>
  <c r="BE267" i="56" s="1"/>
  <c r="BG267" i="56" s="1"/>
  <c r="BC268" i="56"/>
  <c r="BF268" i="56" s="1"/>
  <c r="Z279" i="56"/>
  <c r="BM279" i="56" s="1"/>
  <c r="BL279" i="56"/>
  <c r="W281" i="56"/>
  <c r="X281" i="56" s="1"/>
  <c r="S282" i="56" s="1"/>
  <c r="AT270" i="56"/>
  <c r="AX270" i="56"/>
  <c r="AG280" i="56"/>
  <c r="Y280" i="56"/>
  <c r="BZ278" i="56"/>
  <c r="CB268" i="56"/>
  <c r="CA276" i="56"/>
  <c r="BP269" i="56"/>
  <c r="AY269" i="56"/>
  <c r="AZ269" i="56" s="1"/>
  <c r="AM277" i="56" l="1"/>
  <c r="AN277" i="56" s="1"/>
  <c r="AI278" i="56"/>
  <c r="AD279" i="56" s="1"/>
  <c r="AL279" i="56" s="1"/>
  <c r="BO279" i="56" s="1"/>
  <c r="AA279" i="56"/>
  <c r="AB279" i="56" s="1"/>
  <c r="AH279" i="56" s="1"/>
  <c r="AS279" i="56" s="1"/>
  <c r="AK278" i="56"/>
  <c r="AJ278" i="56"/>
  <c r="AS278" i="56"/>
  <c r="CA277" i="56"/>
  <c r="BC269" i="56"/>
  <c r="BF269" i="56" s="1"/>
  <c r="Z280" i="56"/>
  <c r="BM280" i="56" s="1"/>
  <c r="BL280" i="56"/>
  <c r="AW270" i="56"/>
  <c r="AV270" i="56"/>
  <c r="CB269" i="56"/>
  <c r="W282" i="56"/>
  <c r="X282" i="56" s="1"/>
  <c r="S283" i="56" s="1"/>
  <c r="BZ279" i="56"/>
  <c r="AU270" i="56"/>
  <c r="AP271" i="56" s="1"/>
  <c r="AG281" i="56"/>
  <c r="Y281" i="56"/>
  <c r="BB268" i="56"/>
  <c r="BE268" i="56" s="1"/>
  <c r="BG268" i="56" s="1"/>
  <c r="BQ270" i="56"/>
  <c r="AA280" i="56" l="1"/>
  <c r="AB280" i="56" s="1"/>
  <c r="AH280" i="56" s="1"/>
  <c r="AJ280" i="56" s="1"/>
  <c r="AI279" i="56"/>
  <c r="AD280" i="56" s="1"/>
  <c r="AL280" i="56" s="1"/>
  <c r="BO280" i="56" s="1"/>
  <c r="AK279" i="56"/>
  <c r="BN279" i="56" s="1"/>
  <c r="CA279" i="56" s="1"/>
  <c r="AJ279" i="56"/>
  <c r="AM278" i="56"/>
  <c r="AN278" i="56" s="1"/>
  <c r="BN278" i="56"/>
  <c r="CA278" i="56" s="1"/>
  <c r="BZ280" i="56"/>
  <c r="AT271" i="56"/>
  <c r="AU271" i="56" s="1"/>
  <c r="AP272" i="56" s="1"/>
  <c r="AX271" i="56"/>
  <c r="AG282" i="56"/>
  <c r="Y282" i="56"/>
  <c r="W283" i="56"/>
  <c r="X283" i="56" s="1"/>
  <c r="S284" i="56" s="1"/>
  <c r="BB269" i="56"/>
  <c r="BE269" i="56" s="1"/>
  <c r="BG269" i="56" s="1"/>
  <c r="Z281" i="56"/>
  <c r="BM281" i="56" s="1"/>
  <c r="BL281" i="56"/>
  <c r="BP270" i="56"/>
  <c r="AY270" i="56"/>
  <c r="AZ270" i="56" s="1"/>
  <c r="AI280" i="56" l="1"/>
  <c r="AD281" i="56" s="1"/>
  <c r="AL281" i="56" s="1"/>
  <c r="BO281" i="56" s="1"/>
  <c r="AA281" i="56"/>
  <c r="AB281" i="56" s="1"/>
  <c r="AH281" i="56" s="1"/>
  <c r="AJ281" i="56" s="1"/>
  <c r="AM279" i="56"/>
  <c r="AN279" i="56" s="1"/>
  <c r="AK280" i="56"/>
  <c r="BN280" i="56" s="1"/>
  <c r="CA280" i="56" s="1"/>
  <c r="AS280" i="56"/>
  <c r="AT272" i="56"/>
  <c r="AU272" i="56" s="1"/>
  <c r="AP273" i="56" s="1"/>
  <c r="AX272" i="56"/>
  <c r="BQ271" i="56"/>
  <c r="AG283" i="56"/>
  <c r="Y283" i="56"/>
  <c r="Z282" i="56"/>
  <c r="BM282" i="56" s="1"/>
  <c r="BL282" i="56"/>
  <c r="AW271" i="56"/>
  <c r="AV271" i="56"/>
  <c r="W284" i="56"/>
  <c r="X284" i="56" s="1"/>
  <c r="S285" i="56" s="1"/>
  <c r="BC270" i="56"/>
  <c r="BF270" i="56" s="1"/>
  <c r="BZ281" i="56"/>
  <c r="CB270" i="56"/>
  <c r="AI281" i="56" l="1"/>
  <c r="AD282" i="56" s="1"/>
  <c r="AL282" i="56" s="1"/>
  <c r="BO282" i="56" s="1"/>
  <c r="AM280" i="56"/>
  <c r="AN280" i="56" s="1"/>
  <c r="AS281" i="56"/>
  <c r="AK281" i="56"/>
  <c r="AM281" i="56" s="1"/>
  <c r="AN281" i="56" s="1"/>
  <c r="BB270" i="56"/>
  <c r="BE270" i="56" s="1"/>
  <c r="BG270" i="56" s="1"/>
  <c r="W285" i="56"/>
  <c r="X285" i="56" s="1"/>
  <c r="S286" i="56" s="1"/>
  <c r="AT273" i="56"/>
  <c r="AX273" i="56"/>
  <c r="BZ282" i="56"/>
  <c r="Z283" i="56"/>
  <c r="BM283" i="56" s="1"/>
  <c r="BL283" i="56"/>
  <c r="AG284" i="56"/>
  <c r="Y284" i="56"/>
  <c r="AA282" i="56"/>
  <c r="AB282" i="56" s="1"/>
  <c r="AH282" i="56" s="1"/>
  <c r="BQ272" i="56"/>
  <c r="AV272" i="56"/>
  <c r="AW272" i="56"/>
  <c r="BP271" i="56"/>
  <c r="AY271" i="56"/>
  <c r="AZ271" i="56" s="1"/>
  <c r="BN281" i="56" l="1"/>
  <c r="CA281" i="56" s="1"/>
  <c r="AI282" i="56"/>
  <c r="AD283" i="56" s="1"/>
  <c r="AL283" i="56" s="1"/>
  <c r="BO283" i="56" s="1"/>
  <c r="AV273" i="56"/>
  <c r="AW273" i="56"/>
  <c r="CB271" i="56"/>
  <c r="Z284" i="56"/>
  <c r="BM284" i="56" s="1"/>
  <c r="BL284" i="56"/>
  <c r="BP272" i="56"/>
  <c r="AY272" i="56"/>
  <c r="AZ272" i="56" s="1"/>
  <c r="BZ283" i="56"/>
  <c r="W286" i="56"/>
  <c r="X286" i="56" s="1"/>
  <c r="S287" i="56" s="1"/>
  <c r="BQ273" i="56"/>
  <c r="BC271" i="56"/>
  <c r="BF271" i="56" s="1"/>
  <c r="AK282" i="56"/>
  <c r="AS282" i="56"/>
  <c r="AJ282" i="56"/>
  <c r="AA283" i="56"/>
  <c r="AB283" i="56" s="1"/>
  <c r="AH283" i="56" s="1"/>
  <c r="AU273" i="56"/>
  <c r="AP274" i="56" s="1"/>
  <c r="AG285" i="56"/>
  <c r="Y285" i="56"/>
  <c r="BB271" i="56" l="1"/>
  <c r="BE271" i="56" s="1"/>
  <c r="BG271" i="56" s="1"/>
  <c r="AA284" i="56"/>
  <c r="AB284" i="56" s="1"/>
  <c r="AH284" i="56" s="1"/>
  <c r="W287" i="56"/>
  <c r="X287" i="56" s="1"/>
  <c r="S288" i="56" s="1"/>
  <c r="Z285" i="56"/>
  <c r="BM285" i="56" s="1"/>
  <c r="BL285" i="56"/>
  <c r="AT274" i="56"/>
  <c r="AU274" i="56" s="1"/>
  <c r="AP275" i="56" s="1"/>
  <c r="AX274" i="56"/>
  <c r="BN282" i="56"/>
  <c r="AM282" i="56"/>
  <c r="AN282" i="56" s="1"/>
  <c r="CB272" i="56"/>
  <c r="BZ284" i="56"/>
  <c r="AK283" i="56"/>
  <c r="AS283" i="56"/>
  <c r="AJ283" i="56"/>
  <c r="AG286" i="56"/>
  <c r="Y286" i="56"/>
  <c r="AI283" i="56"/>
  <c r="AD284" i="56" s="1"/>
  <c r="BC272" i="56"/>
  <c r="BF272" i="56" s="1"/>
  <c r="BP273" i="56"/>
  <c r="AY273" i="56"/>
  <c r="AZ273" i="56" s="1"/>
  <c r="AA285" i="56" l="1"/>
  <c r="AB285" i="56" s="1"/>
  <c r="AH285" i="56" s="1"/>
  <c r="AS285" i="56" s="1"/>
  <c r="BB272" i="56"/>
  <c r="BE272" i="56" s="1"/>
  <c r="BG272" i="56" s="1"/>
  <c r="AJ284" i="56"/>
  <c r="AS284" i="56"/>
  <c r="AK284" i="56"/>
  <c r="BN284" i="56" s="1"/>
  <c r="CA282" i="56"/>
  <c r="BZ285" i="56"/>
  <c r="BC273" i="56"/>
  <c r="BF273" i="56" s="1"/>
  <c r="CB273" i="56"/>
  <c r="AL284" i="56"/>
  <c r="AI284" i="56"/>
  <c r="AD285" i="56" s="1"/>
  <c r="AV274" i="56"/>
  <c r="AW274" i="56"/>
  <c r="AT275" i="56"/>
  <c r="AU275" i="56" s="1"/>
  <c r="AP276" i="56" s="1"/>
  <c r="AX275" i="56"/>
  <c r="AG287" i="56"/>
  <c r="Y287" i="56"/>
  <c r="W288" i="56"/>
  <c r="X288" i="56" s="1"/>
  <c r="S289" i="56" s="1"/>
  <c r="Z286" i="56"/>
  <c r="BM286" i="56" s="1"/>
  <c r="BL286" i="56"/>
  <c r="BN283" i="56"/>
  <c r="AM283" i="56"/>
  <c r="AN283" i="56" s="1"/>
  <c r="BQ274" i="56"/>
  <c r="AJ285" i="56" l="1"/>
  <c r="AA286" i="56"/>
  <c r="AB286" i="56" s="1"/>
  <c r="AH286" i="56" s="1"/>
  <c r="AS286" i="56" s="1"/>
  <c r="AK285" i="56"/>
  <c r="BN285" i="56" s="1"/>
  <c r="BB273" i="56"/>
  <c r="BE273" i="56" s="1"/>
  <c r="BG273" i="56" s="1"/>
  <c r="W289" i="56"/>
  <c r="X289" i="56" s="1"/>
  <c r="S290" i="56" s="1"/>
  <c r="CA283" i="56"/>
  <c r="Z287" i="56"/>
  <c r="BM287" i="56" s="1"/>
  <c r="BL287" i="56"/>
  <c r="AV275" i="56"/>
  <c r="AW275" i="56"/>
  <c r="BZ286" i="56"/>
  <c r="BP274" i="56"/>
  <c r="AY274" i="56"/>
  <c r="AZ274" i="56" s="1"/>
  <c r="AL285" i="56"/>
  <c r="AI285" i="56"/>
  <c r="AD286" i="56" s="1"/>
  <c r="AT276" i="56"/>
  <c r="AX276" i="56"/>
  <c r="BO284" i="56"/>
  <c r="AM284" i="56"/>
  <c r="AN284" i="56" s="1"/>
  <c r="AG288" i="56"/>
  <c r="Y288" i="56"/>
  <c r="BQ275" i="56"/>
  <c r="AJ286" i="56" l="1"/>
  <c r="AK286" i="56"/>
  <c r="BN286" i="56" s="1"/>
  <c r="AA287" i="56"/>
  <c r="AB287" i="56" s="1"/>
  <c r="AH287" i="56" s="1"/>
  <c r="AK287" i="56" s="1"/>
  <c r="BN287" i="56" s="1"/>
  <c r="W290" i="56"/>
  <c r="X290" i="56" s="1"/>
  <c r="S291" i="56" s="1"/>
  <c r="AV276" i="56"/>
  <c r="AW276" i="56"/>
  <c r="BP275" i="56"/>
  <c r="AY275" i="56"/>
  <c r="AZ275" i="56" s="1"/>
  <c r="Z288" i="56"/>
  <c r="BM288" i="56" s="1"/>
  <c r="BL288" i="56"/>
  <c r="CA284" i="56"/>
  <c r="AL286" i="56"/>
  <c r="AI286" i="56"/>
  <c r="AD287" i="56" s="1"/>
  <c r="CB274" i="56"/>
  <c r="BQ276" i="56"/>
  <c r="AU276" i="56"/>
  <c r="AP277" i="56" s="1"/>
  <c r="BO285" i="56"/>
  <c r="AM285" i="56"/>
  <c r="AN285" i="56" s="1"/>
  <c r="BZ287" i="56"/>
  <c r="AG289" i="56"/>
  <c r="Y289" i="56"/>
  <c r="BC274" i="56"/>
  <c r="BF274" i="56" s="1"/>
  <c r="AJ287" i="56" l="1"/>
  <c r="AS287" i="56"/>
  <c r="AL287" i="56"/>
  <c r="AI287" i="56"/>
  <c r="AD288" i="56" s="1"/>
  <c r="BZ288" i="56"/>
  <c r="BB274" i="56"/>
  <c r="BE274" i="56" s="1"/>
  <c r="BG274" i="56" s="1"/>
  <c r="BO286" i="56"/>
  <c r="AM286" i="56"/>
  <c r="AN286" i="56" s="1"/>
  <c r="AA288" i="56"/>
  <c r="AB288" i="56" s="1"/>
  <c r="AH288" i="56" s="1"/>
  <c r="BC275" i="56"/>
  <c r="BF275" i="56" s="1"/>
  <c r="W291" i="56"/>
  <c r="Z289" i="56"/>
  <c r="BM289" i="56" s="1"/>
  <c r="BL289" i="56"/>
  <c r="AT277" i="56"/>
  <c r="AX277" i="56"/>
  <c r="CB275" i="56"/>
  <c r="AG290" i="56"/>
  <c r="Y290" i="56"/>
  <c r="CA285" i="56"/>
  <c r="BP276" i="56"/>
  <c r="AY276" i="56"/>
  <c r="AZ276" i="56" s="1"/>
  <c r="AV277" i="56" l="1"/>
  <c r="AW277" i="56"/>
  <c r="BC276" i="56"/>
  <c r="BF276" i="56" s="1"/>
  <c r="Z290" i="56"/>
  <c r="BM290" i="56" s="1"/>
  <c r="BL290" i="56"/>
  <c r="CB276" i="56"/>
  <c r="AU277" i="56"/>
  <c r="AP278" i="56" s="1"/>
  <c r="BZ289" i="56"/>
  <c r="Y291" i="56"/>
  <c r="AG291" i="56"/>
  <c r="BQ277" i="56"/>
  <c r="AA289" i="56"/>
  <c r="AB289" i="56" s="1"/>
  <c r="AH289" i="56" s="1"/>
  <c r="X291" i="56"/>
  <c r="S292" i="56" s="1"/>
  <c r="BO287" i="56"/>
  <c r="AM287" i="56"/>
  <c r="AN287" i="56" s="1"/>
  <c r="AJ288" i="56"/>
  <c r="AK288" i="56"/>
  <c r="AS288" i="56"/>
  <c r="BB275" i="56"/>
  <c r="BE275" i="56" s="1"/>
  <c r="BG275" i="56" s="1"/>
  <c r="CA286" i="56"/>
  <c r="AL288" i="56"/>
  <c r="BO288" i="56" s="1"/>
  <c r="AI288" i="56"/>
  <c r="AD289" i="56" s="1"/>
  <c r="AA290" i="56" l="1"/>
  <c r="AB290" i="56" s="1"/>
  <c r="AH290" i="56" s="1"/>
  <c r="AJ290" i="56" s="1"/>
  <c r="BB276" i="56"/>
  <c r="BE276" i="56" s="1"/>
  <c r="BG276" i="56" s="1"/>
  <c r="AL289" i="56"/>
  <c r="BO289" i="56" s="1"/>
  <c r="AI289" i="56"/>
  <c r="AD290" i="56" s="1"/>
  <c r="CA287" i="56"/>
  <c r="BN288" i="56"/>
  <c r="AM288" i="56"/>
  <c r="AN288" i="56" s="1"/>
  <c r="W292" i="56"/>
  <c r="X292" i="56" s="1"/>
  <c r="S293" i="56" s="1"/>
  <c r="BZ290" i="56"/>
  <c r="AS289" i="56"/>
  <c r="AJ289" i="56"/>
  <c r="AK289" i="56"/>
  <c r="AT278" i="56"/>
  <c r="AU278" i="56" s="1"/>
  <c r="AP279" i="56" s="1"/>
  <c r="AX278" i="56"/>
  <c r="BP277" i="56"/>
  <c r="AY277" i="56"/>
  <c r="AZ277" i="56" s="1"/>
  <c r="BL291" i="56"/>
  <c r="Z291" i="56"/>
  <c r="BM291" i="56" s="1"/>
  <c r="AS290" i="56" l="1"/>
  <c r="AK290" i="56"/>
  <c r="BN290" i="56" s="1"/>
  <c r="AA291" i="56"/>
  <c r="AB291" i="56" s="1"/>
  <c r="AH291" i="56" s="1"/>
  <c r="AT279" i="56"/>
  <c r="AU279" i="56" s="1"/>
  <c r="AP280" i="56" s="1"/>
  <c r="AX279" i="56"/>
  <c r="W293" i="56"/>
  <c r="X293" i="56" s="1"/>
  <c r="S294" i="56" s="1"/>
  <c r="CB277" i="56"/>
  <c r="BQ278" i="56"/>
  <c r="BN289" i="56"/>
  <c r="AM289" i="56"/>
  <c r="AN289" i="56" s="1"/>
  <c r="Y292" i="56"/>
  <c r="AG292" i="56"/>
  <c r="CA288" i="56"/>
  <c r="BZ291" i="56"/>
  <c r="BC277" i="56"/>
  <c r="BF277" i="56" s="1"/>
  <c r="AW278" i="56"/>
  <c r="AV278" i="56"/>
  <c r="AL290" i="56"/>
  <c r="BO290" i="56" s="1"/>
  <c r="AI290" i="56"/>
  <c r="AD291" i="56" s="1"/>
  <c r="AJ291" i="56" l="1"/>
  <c r="AK291" i="56"/>
  <c r="BN291" i="56" s="1"/>
  <c r="AS291" i="56"/>
  <c r="W294" i="56"/>
  <c r="X294" i="56" s="1"/>
  <c r="S295" i="56" s="1"/>
  <c r="AT280" i="56"/>
  <c r="AU280" i="56" s="1"/>
  <c r="AP281" i="56" s="1"/>
  <c r="AX280" i="56"/>
  <c r="BB277" i="56"/>
  <c r="BE277" i="56" s="1"/>
  <c r="BG277" i="56" s="1"/>
  <c r="CA290" i="56"/>
  <c r="AM290" i="56"/>
  <c r="AN290" i="56" s="1"/>
  <c r="AI291" i="56"/>
  <c r="AD292" i="56" s="1"/>
  <c r="AL291" i="56"/>
  <c r="BP278" i="56"/>
  <c r="AY278" i="56"/>
  <c r="AZ278" i="56" s="1"/>
  <c r="BL292" i="56"/>
  <c r="Z292" i="56"/>
  <c r="BM292" i="56" s="1"/>
  <c r="CA289" i="56"/>
  <c r="BQ279" i="56"/>
  <c r="Y293" i="56"/>
  <c r="AG293" i="56"/>
  <c r="AW279" i="56"/>
  <c r="AV279" i="56"/>
  <c r="AA292" i="56" l="1"/>
  <c r="AB292" i="56" s="1"/>
  <c r="AH292" i="56" s="1"/>
  <c r="BZ292" i="56"/>
  <c r="CB278" i="56"/>
  <c r="BO291" i="56"/>
  <c r="AM291" i="56"/>
  <c r="AN291" i="56" s="1"/>
  <c r="BQ280" i="56"/>
  <c r="BL293" i="56"/>
  <c r="Z293" i="56"/>
  <c r="BM293" i="56" s="1"/>
  <c r="AL292" i="56"/>
  <c r="BO292" i="56" s="1"/>
  <c r="AW280" i="56"/>
  <c r="AV280" i="56"/>
  <c r="BC278" i="56"/>
  <c r="BF278" i="56" s="1"/>
  <c r="Y294" i="56"/>
  <c r="AG294" i="56"/>
  <c r="BP279" i="56"/>
  <c r="AY279" i="56"/>
  <c r="AZ279" i="56" s="1"/>
  <c r="AT281" i="56"/>
  <c r="AU281" i="56" s="1"/>
  <c r="AP282" i="56" s="1"/>
  <c r="AX281" i="56"/>
  <c r="W295" i="56"/>
  <c r="X295" i="56" s="1"/>
  <c r="S296" i="56" s="1"/>
  <c r="AA293" i="56" l="1"/>
  <c r="AB293" i="56" s="1"/>
  <c r="AH293" i="56" s="1"/>
  <c r="AK293" i="56" s="1"/>
  <c r="BN293" i="56" s="1"/>
  <c r="BB278" i="56"/>
  <c r="BE278" i="56" s="1"/>
  <c r="BG278" i="56" s="1"/>
  <c r="AS292" i="56"/>
  <c r="AJ292" i="56"/>
  <c r="AK292" i="56"/>
  <c r="BN292" i="56" s="1"/>
  <c r="AI292" i="56"/>
  <c r="AD293" i="56" s="1"/>
  <c r="W296" i="56"/>
  <c r="X296" i="56" s="1"/>
  <c r="S297" i="56" s="1"/>
  <c r="AV281" i="56"/>
  <c r="AW281" i="56"/>
  <c r="BZ293" i="56"/>
  <c r="BQ281" i="56"/>
  <c r="Y295" i="56"/>
  <c r="AG295" i="56"/>
  <c r="BL294" i="56"/>
  <c r="Z294" i="56"/>
  <c r="BM294" i="56" s="1"/>
  <c r="CA291" i="56"/>
  <c r="AT282" i="56"/>
  <c r="AX282" i="56"/>
  <c r="BC279" i="56"/>
  <c r="BF279" i="56" s="1"/>
  <c r="BP280" i="56"/>
  <c r="AY280" i="56"/>
  <c r="AZ280" i="56" s="1"/>
  <c r="CB279" i="56"/>
  <c r="AI293" i="56" l="1"/>
  <c r="AD294" i="56" s="1"/>
  <c r="AL294" i="56" s="1"/>
  <c r="BO294" i="56" s="1"/>
  <c r="AL293" i="56"/>
  <c r="BO293" i="56" s="1"/>
  <c r="CA293" i="56" s="1"/>
  <c r="AS293" i="56"/>
  <c r="AJ293" i="56"/>
  <c r="AM292" i="56"/>
  <c r="AN292" i="56" s="1"/>
  <c r="AA294" i="56"/>
  <c r="AB294" i="56" s="1"/>
  <c r="AH294" i="56" s="1"/>
  <c r="AS294" i="56" s="1"/>
  <c r="BL295" i="56"/>
  <c r="Z295" i="56"/>
  <c r="BM295" i="56" s="1"/>
  <c r="AV282" i="56"/>
  <c r="AW282" i="56"/>
  <c r="Y296" i="56"/>
  <c r="AG296" i="56"/>
  <c r="CA292" i="56"/>
  <c r="BB279" i="56"/>
  <c r="BE279" i="56" s="1"/>
  <c r="BG279" i="56" s="1"/>
  <c r="BZ294" i="56"/>
  <c r="BP281" i="56"/>
  <c r="AY281" i="56"/>
  <c r="AZ281" i="56" s="1"/>
  <c r="BQ282" i="56"/>
  <c r="BC280" i="56"/>
  <c r="BF280" i="56" s="1"/>
  <c r="AU282" i="56"/>
  <c r="AP283" i="56" s="1"/>
  <c r="CB280" i="56"/>
  <c r="W297" i="56"/>
  <c r="X297" i="56" s="1"/>
  <c r="S298" i="56" s="1"/>
  <c r="AM293" i="56" l="1"/>
  <c r="AN293" i="56" s="1"/>
  <c r="AK294" i="56"/>
  <c r="AM294" i="56" s="1"/>
  <c r="AN294" i="56" s="1"/>
  <c r="AA295" i="56"/>
  <c r="AB295" i="56" s="1"/>
  <c r="AH295" i="56" s="1"/>
  <c r="BB280" i="56"/>
  <c r="BE280" i="56" s="1"/>
  <c r="BG280" i="56" s="1"/>
  <c r="AI294" i="56"/>
  <c r="AD295" i="56" s="1"/>
  <c r="AL295" i="56" s="1"/>
  <c r="AJ294" i="56"/>
  <c r="BP282" i="56"/>
  <c r="AY282" i="56"/>
  <c r="AZ282" i="56" s="1"/>
  <c r="BZ295" i="56"/>
  <c r="BC281" i="56"/>
  <c r="BF281" i="56" s="1"/>
  <c r="CB281" i="56"/>
  <c r="W298" i="56"/>
  <c r="Y297" i="56"/>
  <c r="AG297" i="56"/>
  <c r="AT283" i="56"/>
  <c r="AX283" i="56"/>
  <c r="BL296" i="56"/>
  <c r="Z296" i="56"/>
  <c r="BM296" i="56" s="1"/>
  <c r="BN294" i="56" l="1"/>
  <c r="CA294" i="56" s="1"/>
  <c r="BB281" i="56"/>
  <c r="BE281" i="56" s="1"/>
  <c r="BG281" i="56" s="1"/>
  <c r="AJ295" i="56"/>
  <c r="AS295" i="56"/>
  <c r="AA296" i="56"/>
  <c r="AB296" i="56" s="1"/>
  <c r="AH296" i="56" s="1"/>
  <c r="AK296" i="56" s="1"/>
  <c r="BN296" i="56" s="1"/>
  <c r="AK295" i="56"/>
  <c r="BN295" i="56" s="1"/>
  <c r="BO295" i="56"/>
  <c r="AI295" i="56"/>
  <c r="AD296" i="56" s="1"/>
  <c r="Y298" i="56"/>
  <c r="AG298" i="56"/>
  <c r="BQ283" i="56"/>
  <c r="CB282" i="56"/>
  <c r="BZ296" i="56"/>
  <c r="AW283" i="56"/>
  <c r="AV283" i="56"/>
  <c r="BL297" i="56"/>
  <c r="Z297" i="56"/>
  <c r="BM297" i="56" s="1"/>
  <c r="X298" i="56"/>
  <c r="S299" i="56" s="1"/>
  <c r="AU283" i="56"/>
  <c r="AP284" i="56" s="1"/>
  <c r="BC282" i="56"/>
  <c r="BF282" i="56" s="1"/>
  <c r="AS296" i="56" l="1"/>
  <c r="AJ296" i="56"/>
  <c r="CA295" i="56"/>
  <c r="AI296" i="56"/>
  <c r="AD297" i="56" s="1"/>
  <c r="AL297" i="56" s="1"/>
  <c r="BO297" i="56" s="1"/>
  <c r="AM295" i="56"/>
  <c r="AN295" i="56" s="1"/>
  <c r="AL296" i="56"/>
  <c r="BO296" i="56" s="1"/>
  <c r="CA296" i="56" s="1"/>
  <c r="BB282" i="56"/>
  <c r="BE282" i="56" s="1"/>
  <c r="BG282" i="56" s="1"/>
  <c r="AA297" i="56"/>
  <c r="AB297" i="56" s="1"/>
  <c r="AH297" i="56" s="1"/>
  <c r="AS297" i="56" s="1"/>
  <c r="BP283" i="56"/>
  <c r="AY283" i="56"/>
  <c r="AZ283" i="56" s="1"/>
  <c r="BL298" i="56"/>
  <c r="Z298" i="56"/>
  <c r="BM298" i="56" s="1"/>
  <c r="AT284" i="56"/>
  <c r="AX284" i="56"/>
  <c r="W299" i="56"/>
  <c r="X299" i="56" s="1"/>
  <c r="S300" i="56" s="1"/>
  <c r="BZ297" i="56"/>
  <c r="AM296" i="56" l="1"/>
  <c r="AN296" i="56" s="1"/>
  <c r="AA298" i="56"/>
  <c r="AB298" i="56" s="1"/>
  <c r="AH298" i="56" s="1"/>
  <c r="AJ298" i="56" s="1"/>
  <c r="AI297" i="56"/>
  <c r="AD298" i="56" s="1"/>
  <c r="AJ297" i="56"/>
  <c r="AK297" i="56"/>
  <c r="AM297" i="56" s="1"/>
  <c r="AN297" i="56" s="1"/>
  <c r="BQ284" i="56"/>
  <c r="BC283" i="56"/>
  <c r="BF283" i="56" s="1"/>
  <c r="W300" i="56"/>
  <c r="X300" i="56" s="1"/>
  <c r="S301" i="56" s="1"/>
  <c r="AW284" i="56"/>
  <c r="AV284" i="56"/>
  <c r="CB283" i="56"/>
  <c r="Y299" i="56"/>
  <c r="AG299" i="56"/>
  <c r="AU284" i="56"/>
  <c r="AP285" i="56" s="1"/>
  <c r="BZ298" i="56"/>
  <c r="AI298" i="56" l="1"/>
  <c r="AD299" i="56" s="1"/>
  <c r="AL299" i="56" s="1"/>
  <c r="AL298" i="56"/>
  <c r="BO298" i="56" s="1"/>
  <c r="AK298" i="56"/>
  <c r="BN298" i="56" s="1"/>
  <c r="AS298" i="56"/>
  <c r="BN297" i="56"/>
  <c r="CA297" i="56" s="1"/>
  <c r="W301" i="56"/>
  <c r="X301" i="56" s="1"/>
  <c r="S302" i="56" s="1"/>
  <c r="BL299" i="56"/>
  <c r="Z299" i="56"/>
  <c r="BM299" i="56" s="1"/>
  <c r="BP284" i="56"/>
  <c r="AY284" i="56"/>
  <c r="AZ284" i="56" s="1"/>
  <c r="BB283" i="56"/>
  <c r="BE283" i="56" s="1"/>
  <c r="BG283" i="56" s="1"/>
  <c r="AT285" i="56"/>
  <c r="AU285" i="56" s="1"/>
  <c r="AP286" i="56" s="1"/>
  <c r="AX285" i="56"/>
  <c r="Y300" i="56"/>
  <c r="AG300" i="56"/>
  <c r="AM298" i="56" l="1"/>
  <c r="AN298" i="56" s="1"/>
  <c r="CA298" i="56"/>
  <c r="BO299" i="56"/>
  <c r="AA299" i="56"/>
  <c r="AB299" i="56" s="1"/>
  <c r="AH299" i="56" s="1"/>
  <c r="AT286" i="56"/>
  <c r="AU286" i="56" s="1"/>
  <c r="AP287" i="56" s="1"/>
  <c r="AX286" i="56"/>
  <c r="BC284" i="56"/>
  <c r="BF284" i="56" s="1"/>
  <c r="CB284" i="56"/>
  <c r="Y301" i="56"/>
  <c r="AG301" i="56"/>
  <c r="BL300" i="56"/>
  <c r="Z300" i="56"/>
  <c r="BM300" i="56" s="1"/>
  <c r="BQ285" i="56"/>
  <c r="BZ299" i="56"/>
  <c r="W302" i="56"/>
  <c r="AV285" i="56"/>
  <c r="AW285" i="56"/>
  <c r="BB284" i="56" l="1"/>
  <c r="BE284" i="56" s="1"/>
  <c r="BG284" i="56" s="1"/>
  <c r="AA300" i="56"/>
  <c r="AB300" i="56" s="1"/>
  <c r="AH300" i="56" s="1"/>
  <c r="AK300" i="56" s="1"/>
  <c r="AI299" i="56"/>
  <c r="AD300" i="56" s="1"/>
  <c r="AL300" i="56" s="1"/>
  <c r="BO300" i="56" s="1"/>
  <c r="AS299" i="56"/>
  <c r="AK299" i="56"/>
  <c r="AJ299" i="56"/>
  <c r="AT287" i="56"/>
  <c r="AU287" i="56" s="1"/>
  <c r="AP288" i="56" s="1"/>
  <c r="AX287" i="56"/>
  <c r="BL301" i="56"/>
  <c r="Z301" i="56"/>
  <c r="BM301" i="56" s="1"/>
  <c r="BQ286" i="56"/>
  <c r="Y302" i="56"/>
  <c r="AG302" i="56"/>
  <c r="BP285" i="56"/>
  <c r="AY285" i="56"/>
  <c r="AZ285" i="56" s="1"/>
  <c r="X302" i="56"/>
  <c r="S303" i="56" s="1"/>
  <c r="BZ300" i="56"/>
  <c r="AW286" i="56"/>
  <c r="AV286" i="56"/>
  <c r="AJ300" i="56" l="1"/>
  <c r="AS300" i="56"/>
  <c r="BN299" i="56"/>
  <c r="CA299" i="56" s="1"/>
  <c r="AM299" i="56"/>
  <c r="AN299" i="56" s="1"/>
  <c r="AI300" i="56"/>
  <c r="AD301" i="56" s="1"/>
  <c r="AL301" i="56" s="1"/>
  <c r="BO301" i="56" s="1"/>
  <c r="BP286" i="56"/>
  <c r="AY286" i="56"/>
  <c r="AZ286" i="56" s="1"/>
  <c r="W303" i="56"/>
  <c r="X303" i="56" s="1"/>
  <c r="S304" i="56" s="1"/>
  <c r="BQ287" i="56"/>
  <c r="AM300" i="56"/>
  <c r="AN300" i="56" s="1"/>
  <c r="BN300" i="56"/>
  <c r="CB285" i="56"/>
  <c r="BC285" i="56"/>
  <c r="BF285" i="56" s="1"/>
  <c r="BL302" i="56"/>
  <c r="Z302" i="56"/>
  <c r="BM302" i="56" s="1"/>
  <c r="AW287" i="56"/>
  <c r="AV287" i="56"/>
  <c r="BZ301" i="56"/>
  <c r="AA301" i="56"/>
  <c r="AB301" i="56" s="1"/>
  <c r="AH301" i="56" s="1"/>
  <c r="AT288" i="56"/>
  <c r="AU288" i="56" s="1"/>
  <c r="AP289" i="56" s="1"/>
  <c r="AX288" i="56"/>
  <c r="AA302" i="56" l="1"/>
  <c r="AB302" i="56" s="1"/>
  <c r="AH302" i="56" s="1"/>
  <c r="AK302" i="56" s="1"/>
  <c r="BN302" i="56" s="1"/>
  <c r="AT289" i="56"/>
  <c r="AU289" i="56" s="1"/>
  <c r="AP290" i="56" s="1"/>
  <c r="AX289" i="56"/>
  <c r="BP287" i="56"/>
  <c r="AY287" i="56"/>
  <c r="AZ287" i="56" s="1"/>
  <c r="BZ302" i="56"/>
  <c r="BQ288" i="56"/>
  <c r="BC286" i="56"/>
  <c r="BF286" i="56" s="1"/>
  <c r="W304" i="56"/>
  <c r="X304" i="56" s="1"/>
  <c r="S305" i="56" s="1"/>
  <c r="CB286" i="56"/>
  <c r="AW288" i="56"/>
  <c r="AV288" i="56"/>
  <c r="AS301" i="56"/>
  <c r="AJ301" i="56"/>
  <c r="AK301" i="56"/>
  <c r="AI301" i="56"/>
  <c r="AD302" i="56" s="1"/>
  <c r="BB285" i="56"/>
  <c r="BE285" i="56" s="1"/>
  <c r="BG285" i="56" s="1"/>
  <c r="CA300" i="56"/>
  <c r="Y303" i="56"/>
  <c r="AG303" i="56"/>
  <c r="AS302" i="56" l="1"/>
  <c r="AJ302" i="56"/>
  <c r="W305" i="56"/>
  <c r="X305" i="56" s="1"/>
  <c r="S306" i="56" s="1"/>
  <c r="AT290" i="56"/>
  <c r="AU290" i="56" s="1"/>
  <c r="AP291" i="56" s="1"/>
  <c r="AX290" i="56"/>
  <c r="AL302" i="56"/>
  <c r="AI302" i="56"/>
  <c r="AD303" i="56" s="1"/>
  <c r="BQ289" i="56"/>
  <c r="AM301" i="56"/>
  <c r="AN301" i="56" s="1"/>
  <c r="BN301" i="56"/>
  <c r="BP288" i="56"/>
  <c r="AY288" i="56"/>
  <c r="AZ288" i="56" s="1"/>
  <c r="BB286" i="56"/>
  <c r="BE286" i="56" s="1"/>
  <c r="BG286" i="56" s="1"/>
  <c r="BC287" i="56"/>
  <c r="BF287" i="56" s="1"/>
  <c r="AW289" i="56"/>
  <c r="AV289" i="56"/>
  <c r="BL303" i="56"/>
  <c r="Z303" i="56"/>
  <c r="BM303" i="56" s="1"/>
  <c r="Y304" i="56"/>
  <c r="AG304" i="56"/>
  <c r="CB287" i="56"/>
  <c r="BB287" i="56" l="1"/>
  <c r="BE287" i="56" s="1"/>
  <c r="BG287" i="56" s="1"/>
  <c r="AA303" i="56"/>
  <c r="AB303" i="56" s="1"/>
  <c r="AH303" i="56" s="1"/>
  <c r="AI303" i="56" s="1"/>
  <c r="AD304" i="56" s="1"/>
  <c r="CB288" i="56"/>
  <c r="BO302" i="56"/>
  <c r="AM302" i="56"/>
  <c r="AN302" i="56" s="1"/>
  <c r="BL304" i="56"/>
  <c r="Z304" i="56"/>
  <c r="BM304" i="56" s="1"/>
  <c r="CA301" i="56"/>
  <c r="AT291" i="56"/>
  <c r="AU291" i="56" s="1"/>
  <c r="AP292" i="56" s="1"/>
  <c r="AX291" i="56"/>
  <c r="BP289" i="56"/>
  <c r="AY289" i="56"/>
  <c r="AZ289" i="56" s="1"/>
  <c r="BQ290" i="56"/>
  <c r="W306" i="56"/>
  <c r="X306" i="56" s="1"/>
  <c r="S307" i="56" s="1"/>
  <c r="BZ303" i="56"/>
  <c r="BC288" i="56"/>
  <c r="BF288" i="56" s="1"/>
  <c r="AL303" i="56"/>
  <c r="BO303" i="56" s="1"/>
  <c r="AW290" i="56"/>
  <c r="AV290" i="56"/>
  <c r="Y305" i="56"/>
  <c r="AG305" i="56"/>
  <c r="AT292" i="56" l="1"/>
  <c r="AU292" i="56" s="1"/>
  <c r="AP293" i="56" s="1"/>
  <c r="AX292" i="56"/>
  <c r="AJ303" i="56"/>
  <c r="AK303" i="56"/>
  <c r="AS303" i="56"/>
  <c r="BP290" i="56"/>
  <c r="AY290" i="56"/>
  <c r="AZ290" i="56" s="1"/>
  <c r="BB288" i="56"/>
  <c r="BE288" i="56" s="1"/>
  <c r="BG288" i="56" s="1"/>
  <c r="Y306" i="56"/>
  <c r="AG306" i="56"/>
  <c r="BC289" i="56"/>
  <c r="BF289" i="56" s="1"/>
  <c r="BQ291" i="56"/>
  <c r="CA302" i="56"/>
  <c r="AL304" i="56"/>
  <c r="BO304" i="56" s="1"/>
  <c r="CB289" i="56"/>
  <c r="AV291" i="56"/>
  <c r="AW291" i="56"/>
  <c r="BZ304" i="56"/>
  <c r="BL305" i="56"/>
  <c r="Z305" i="56"/>
  <c r="BM305" i="56" s="1"/>
  <c r="AA304" i="56"/>
  <c r="AB304" i="56" s="1"/>
  <c r="AH304" i="56" s="1"/>
  <c r="W307" i="56"/>
  <c r="X307" i="56" s="1"/>
  <c r="S308" i="56" s="1"/>
  <c r="AA305" i="56" l="1"/>
  <c r="AB305" i="56" s="1"/>
  <c r="AH305" i="56" s="1"/>
  <c r="AS305" i="56" s="1"/>
  <c r="AT293" i="56"/>
  <c r="AU293" i="56" s="1"/>
  <c r="AP294" i="56" s="1"/>
  <c r="AX293" i="56"/>
  <c r="BB289" i="56"/>
  <c r="BE289" i="56" s="1"/>
  <c r="BG289" i="56" s="1"/>
  <c r="BC290" i="56"/>
  <c r="BF290" i="56" s="1"/>
  <c r="AM303" i="56"/>
  <c r="AN303" i="56" s="1"/>
  <c r="BN303" i="56"/>
  <c r="AK304" i="56"/>
  <c r="AS304" i="56"/>
  <c r="AJ304" i="56"/>
  <c r="BZ305" i="56"/>
  <c r="BP291" i="56"/>
  <c r="AY291" i="56"/>
  <c r="AZ291" i="56" s="1"/>
  <c r="W308" i="56"/>
  <c r="X308" i="56" s="1"/>
  <c r="S309" i="56" s="1"/>
  <c r="Y307" i="56"/>
  <c r="AG307" i="56"/>
  <c r="BQ292" i="56"/>
  <c r="BL306" i="56"/>
  <c r="Z306" i="56"/>
  <c r="BM306" i="56" s="1"/>
  <c r="CB290" i="56"/>
  <c r="AV292" i="56"/>
  <c r="AW292" i="56"/>
  <c r="AI304" i="56"/>
  <c r="AD305" i="56" s="1"/>
  <c r="AA306" i="56" l="1"/>
  <c r="AB306" i="56" s="1"/>
  <c r="AH306" i="56" s="1"/>
  <c r="AS306" i="56" s="1"/>
  <c r="AK305" i="56"/>
  <c r="BN305" i="56" s="1"/>
  <c r="AJ305" i="56"/>
  <c r="W309" i="56"/>
  <c r="X309" i="56" s="1"/>
  <c r="S310" i="56" s="1"/>
  <c r="BZ306" i="56"/>
  <c r="Y308" i="56"/>
  <c r="AG308" i="56"/>
  <c r="CB291" i="56"/>
  <c r="AT294" i="56"/>
  <c r="AX294" i="56"/>
  <c r="AM304" i="56"/>
  <c r="AN304" i="56" s="1"/>
  <c r="BN304" i="56"/>
  <c r="BQ293" i="56"/>
  <c r="AL305" i="56"/>
  <c r="AI305" i="56"/>
  <c r="AD306" i="56" s="1"/>
  <c r="BP292" i="56"/>
  <c r="AY292" i="56"/>
  <c r="AZ292" i="56" s="1"/>
  <c r="BL307" i="56"/>
  <c r="Z307" i="56"/>
  <c r="BM307" i="56" s="1"/>
  <c r="BC291" i="56"/>
  <c r="BF291" i="56" s="1"/>
  <c r="CA303" i="56"/>
  <c r="BB290" i="56"/>
  <c r="BE290" i="56" s="1"/>
  <c r="BG290" i="56" s="1"/>
  <c r="AW293" i="56"/>
  <c r="AV293" i="56"/>
  <c r="AK306" i="56" l="1"/>
  <c r="BN306" i="56" s="1"/>
  <c r="AJ306" i="56"/>
  <c r="BB291" i="56"/>
  <c r="BE291" i="56" s="1"/>
  <c r="BG291" i="56" s="1"/>
  <c r="W310" i="56"/>
  <c r="X310" i="56" s="1"/>
  <c r="S311" i="56" s="1"/>
  <c r="AL306" i="56"/>
  <c r="BO306" i="56" s="1"/>
  <c r="AI306" i="56"/>
  <c r="AD307" i="56" s="1"/>
  <c r="AV294" i="56"/>
  <c r="AW294" i="56"/>
  <c r="BZ307" i="56"/>
  <c r="BC292" i="56"/>
  <c r="BF292" i="56" s="1"/>
  <c r="BO305" i="56"/>
  <c r="AM305" i="56"/>
  <c r="AN305" i="56" s="1"/>
  <c r="CA304" i="56"/>
  <c r="AA307" i="56"/>
  <c r="AB307" i="56" s="1"/>
  <c r="AH307" i="56" s="1"/>
  <c r="AU294" i="56"/>
  <c r="AP295" i="56" s="1"/>
  <c r="BL308" i="56"/>
  <c r="Z308" i="56"/>
  <c r="BM308" i="56" s="1"/>
  <c r="CB292" i="56"/>
  <c r="BQ294" i="56"/>
  <c r="BP293" i="56"/>
  <c r="AY293" i="56"/>
  <c r="AZ293" i="56" s="1"/>
  <c r="Y309" i="56"/>
  <c r="AG309" i="56"/>
  <c r="BB292" i="56" l="1"/>
  <c r="BE292" i="56" s="1"/>
  <c r="BG292" i="56" s="1"/>
  <c r="AA308" i="56"/>
  <c r="AB308" i="56" s="1"/>
  <c r="AH308" i="56" s="1"/>
  <c r="AS308" i="56" s="1"/>
  <c r="CB293" i="56"/>
  <c r="AT295" i="56"/>
  <c r="AX295" i="56"/>
  <c r="BC293" i="56"/>
  <c r="BF293" i="56" s="1"/>
  <c r="AM306" i="56"/>
  <c r="AN306" i="56" s="1"/>
  <c r="BZ308" i="56"/>
  <c r="AS307" i="56"/>
  <c r="AK307" i="56"/>
  <c r="AJ307" i="56"/>
  <c r="AL307" i="56"/>
  <c r="BO307" i="56" s="1"/>
  <c r="AI307" i="56"/>
  <c r="AD308" i="56" s="1"/>
  <c r="BP294" i="56"/>
  <c r="AY294" i="56"/>
  <c r="AZ294" i="56" s="1"/>
  <c r="W311" i="56"/>
  <c r="X311" i="56" s="1"/>
  <c r="S312" i="56" s="1"/>
  <c r="CA305" i="56"/>
  <c r="BL309" i="56"/>
  <c r="Z309" i="56"/>
  <c r="BM309" i="56" s="1"/>
  <c r="CA306" i="56"/>
  <c r="Y310" i="56"/>
  <c r="AG310" i="56"/>
  <c r="AJ308" i="56" l="1"/>
  <c r="AA309" i="56"/>
  <c r="AB309" i="56" s="1"/>
  <c r="AH309" i="56" s="1"/>
  <c r="AK309" i="56" s="1"/>
  <c r="BN309" i="56" s="1"/>
  <c r="AK308" i="56"/>
  <c r="BN308" i="56" s="1"/>
  <c r="AM307" i="56"/>
  <c r="AN307" i="56" s="1"/>
  <c r="BN307" i="56"/>
  <c r="BQ295" i="56"/>
  <c r="BL310" i="56"/>
  <c r="Z310" i="56"/>
  <c r="BM310" i="56" s="1"/>
  <c r="BZ309" i="56"/>
  <c r="BC294" i="56"/>
  <c r="BF294" i="56" s="1"/>
  <c r="AL308" i="56"/>
  <c r="BO308" i="56" s="1"/>
  <c r="AI308" i="56"/>
  <c r="AD309" i="56" s="1"/>
  <c r="BB293" i="56"/>
  <c r="BE293" i="56" s="1"/>
  <c r="BG293" i="56" s="1"/>
  <c r="AV295" i="56"/>
  <c r="AW295" i="56"/>
  <c r="W312" i="56"/>
  <c r="X312" i="56" s="1"/>
  <c r="S313" i="56" s="1"/>
  <c r="CB294" i="56"/>
  <c r="Y311" i="56"/>
  <c r="AG311" i="56"/>
  <c r="AU295" i="56"/>
  <c r="AP296" i="56" s="1"/>
  <c r="AS309" i="56" l="1"/>
  <c r="AJ309" i="56"/>
  <c r="W313" i="56"/>
  <c r="X313" i="56" s="1"/>
  <c r="S314" i="56" s="1"/>
  <c r="BP295" i="56"/>
  <c r="AY295" i="56"/>
  <c r="AZ295" i="56" s="1"/>
  <c r="AL309" i="56"/>
  <c r="AI309" i="56"/>
  <c r="AD310" i="56" s="1"/>
  <c r="AM308" i="56"/>
  <c r="AN308" i="56" s="1"/>
  <c r="BL311" i="56"/>
  <c r="Z311" i="56"/>
  <c r="BM311" i="56" s="1"/>
  <c r="Y312" i="56"/>
  <c r="AG312" i="56"/>
  <c r="BZ310" i="56"/>
  <c r="CA307" i="56"/>
  <c r="AA310" i="56"/>
  <c r="AB310" i="56" s="1"/>
  <c r="AH310" i="56" s="1"/>
  <c r="AT296" i="56"/>
  <c r="AU296" i="56" s="1"/>
  <c r="AP297" i="56" s="1"/>
  <c r="AX296" i="56"/>
  <c r="BB294" i="56"/>
  <c r="BE294" i="56" s="1"/>
  <c r="BG294" i="56" s="1"/>
  <c r="CA308" i="56"/>
  <c r="AA311" i="56" l="1"/>
  <c r="AB311" i="56" s="1"/>
  <c r="AH311" i="56" s="1"/>
  <c r="AJ311" i="56" s="1"/>
  <c r="W314" i="56"/>
  <c r="X314" i="56" s="1"/>
  <c r="S315" i="56" s="1"/>
  <c r="AW296" i="56"/>
  <c r="AV296" i="56"/>
  <c r="BO309" i="56"/>
  <c r="AM309" i="56"/>
  <c r="AN309" i="56" s="1"/>
  <c r="BL312" i="56"/>
  <c r="Z312" i="56"/>
  <c r="BM312" i="56" s="1"/>
  <c r="AL310" i="56"/>
  <c r="BO310" i="56" s="1"/>
  <c r="AI310" i="56"/>
  <c r="AD311" i="56" s="1"/>
  <c r="CB295" i="56"/>
  <c r="Y313" i="56"/>
  <c r="AG313" i="56"/>
  <c r="BQ296" i="56"/>
  <c r="AS310" i="56"/>
  <c r="AK310" i="56"/>
  <c r="AJ310" i="56"/>
  <c r="AT297" i="56"/>
  <c r="AU297" i="56" s="1"/>
  <c r="AP298" i="56" s="1"/>
  <c r="AX297" i="56"/>
  <c r="BZ311" i="56"/>
  <c r="BC295" i="56"/>
  <c r="BF295" i="56" s="1"/>
  <c r="AS311" i="56" l="1"/>
  <c r="BB295" i="56"/>
  <c r="BE295" i="56" s="1"/>
  <c r="BG295" i="56" s="1"/>
  <c r="AK311" i="56"/>
  <c r="BN311" i="56" s="1"/>
  <c r="AA312" i="56"/>
  <c r="AB312" i="56" s="1"/>
  <c r="AH312" i="56" s="1"/>
  <c r="BQ297" i="56"/>
  <c r="AV297" i="56"/>
  <c r="AW297" i="56"/>
  <c r="BL313" i="56"/>
  <c r="Z313" i="56"/>
  <c r="BM313" i="56" s="1"/>
  <c r="BP296" i="56"/>
  <c r="AY296" i="56"/>
  <c r="AZ296" i="56" s="1"/>
  <c r="AL311" i="56"/>
  <c r="BO311" i="56" s="1"/>
  <c r="AI311" i="56"/>
  <c r="AD312" i="56" s="1"/>
  <c r="BZ312" i="56"/>
  <c r="CA309" i="56"/>
  <c r="AT298" i="56"/>
  <c r="AU298" i="56" s="1"/>
  <c r="AP299" i="56" s="1"/>
  <c r="AX298" i="56"/>
  <c r="AM310" i="56"/>
  <c r="AN310" i="56" s="1"/>
  <c r="BN310" i="56"/>
  <c r="W315" i="56"/>
  <c r="X315" i="56" s="1"/>
  <c r="S316" i="56" s="1"/>
  <c r="Y314" i="56"/>
  <c r="AG314" i="56"/>
  <c r="AM311" i="56" l="1"/>
  <c r="AN311" i="56" s="1"/>
  <c r="AK312" i="56"/>
  <c r="BN312" i="56" s="1"/>
  <c r="AS312" i="56"/>
  <c r="AJ312" i="56"/>
  <c r="AA313" i="56"/>
  <c r="AB313" i="56" s="1"/>
  <c r="AH313" i="56" s="1"/>
  <c r="AJ313" i="56" s="1"/>
  <c r="AT299" i="56"/>
  <c r="AU299" i="56" s="1"/>
  <c r="AP300" i="56" s="1"/>
  <c r="AX299" i="56"/>
  <c r="W316" i="56"/>
  <c r="X316" i="56" s="1"/>
  <c r="S317" i="56" s="1"/>
  <c r="CA311" i="56"/>
  <c r="CA310" i="56"/>
  <c r="BC296" i="56"/>
  <c r="BF296" i="56" s="1"/>
  <c r="AL312" i="56"/>
  <c r="AI312" i="56"/>
  <c r="AD313" i="56" s="1"/>
  <c r="CB296" i="56"/>
  <c r="BP297" i="56"/>
  <c r="AY297" i="56"/>
  <c r="AZ297" i="56" s="1"/>
  <c r="BL314" i="56"/>
  <c r="Z314" i="56"/>
  <c r="BM314" i="56" s="1"/>
  <c r="Y315" i="56"/>
  <c r="AG315" i="56"/>
  <c r="BZ313" i="56"/>
  <c r="BQ298" i="56"/>
  <c r="AW298" i="56"/>
  <c r="AV298" i="56"/>
  <c r="AS313" i="56" l="1"/>
  <c r="AK313" i="56"/>
  <c r="BN313" i="56" s="1"/>
  <c r="BB296" i="56"/>
  <c r="BE296" i="56" s="1"/>
  <c r="BG296" i="56" s="1"/>
  <c r="BZ314" i="56"/>
  <c r="BC297" i="56"/>
  <c r="BF297" i="56" s="1"/>
  <c r="BO312" i="56"/>
  <c r="AM312" i="56"/>
  <c r="AN312" i="56" s="1"/>
  <c r="Y316" i="56"/>
  <c r="AG316" i="56"/>
  <c r="AT300" i="56"/>
  <c r="AX300" i="56"/>
  <c r="BP298" i="56"/>
  <c r="AY298" i="56"/>
  <c r="AZ298" i="56" s="1"/>
  <c r="BQ299" i="56"/>
  <c r="BL315" i="56"/>
  <c r="Z315" i="56"/>
  <c r="BM315" i="56" s="1"/>
  <c r="AA314" i="56"/>
  <c r="AB314" i="56" s="1"/>
  <c r="AH314" i="56" s="1"/>
  <c r="CB297" i="56"/>
  <c r="AL313" i="56"/>
  <c r="BO313" i="56" s="1"/>
  <c r="AI313" i="56"/>
  <c r="AD314" i="56" s="1"/>
  <c r="W317" i="56"/>
  <c r="X317" i="56" s="1"/>
  <c r="S318" i="56" s="1"/>
  <c r="AW299" i="56"/>
  <c r="AV299" i="56"/>
  <c r="W318" i="56" l="1"/>
  <c r="BC298" i="56"/>
  <c r="BF298" i="56" s="1"/>
  <c r="AV300" i="56"/>
  <c r="AW300" i="56"/>
  <c r="AS314" i="56"/>
  <c r="AJ314" i="56"/>
  <c r="AK314" i="56"/>
  <c r="BP299" i="56"/>
  <c r="AY299" i="56"/>
  <c r="AZ299" i="56" s="1"/>
  <c r="AU300" i="56"/>
  <c r="AP301" i="56" s="1"/>
  <c r="CA312" i="56"/>
  <c r="AM313" i="56"/>
  <c r="AN313" i="56" s="1"/>
  <c r="BQ300" i="56"/>
  <c r="BL316" i="56"/>
  <c r="Z316" i="56"/>
  <c r="BM316" i="56" s="1"/>
  <c r="Y317" i="56"/>
  <c r="AG317" i="56"/>
  <c r="BZ315" i="56"/>
  <c r="AL314" i="56"/>
  <c r="BO314" i="56" s="1"/>
  <c r="AI314" i="56"/>
  <c r="AD315" i="56" s="1"/>
  <c r="AA315" i="56"/>
  <c r="AB315" i="56" s="1"/>
  <c r="AH315" i="56" s="1"/>
  <c r="CB298" i="56"/>
  <c r="CA313" i="56"/>
  <c r="BB297" i="56"/>
  <c r="BE297" i="56" s="1"/>
  <c r="BG297" i="56" s="1"/>
  <c r="BB298" i="56" l="1"/>
  <c r="BE298" i="56" s="1"/>
  <c r="BG298" i="56" s="1"/>
  <c r="AL315" i="56"/>
  <c r="BO315" i="56" s="1"/>
  <c r="AI315" i="56"/>
  <c r="AD316" i="56" s="1"/>
  <c r="AM314" i="56"/>
  <c r="AN314" i="56" s="1"/>
  <c r="BN314" i="56"/>
  <c r="Y318" i="56"/>
  <c r="AG318" i="56"/>
  <c r="BL317" i="56"/>
  <c r="Z317" i="56"/>
  <c r="BM317" i="56" s="1"/>
  <c r="BZ316" i="56"/>
  <c r="AS315" i="56"/>
  <c r="AK315" i="56"/>
  <c r="AJ315" i="56"/>
  <c r="AA316" i="56"/>
  <c r="AB316" i="56" s="1"/>
  <c r="AH316" i="56" s="1"/>
  <c r="BC299" i="56"/>
  <c r="BF299" i="56" s="1"/>
  <c r="AT301" i="56"/>
  <c r="AU301" i="56" s="1"/>
  <c r="AP302" i="56" s="1"/>
  <c r="AX301" i="56"/>
  <c r="CB299" i="56"/>
  <c r="BP300" i="56"/>
  <c r="AY300" i="56"/>
  <c r="AZ300" i="56" s="1"/>
  <c r="X318" i="56"/>
  <c r="S319" i="56" s="1"/>
  <c r="CB300" i="56" l="1"/>
  <c r="BQ301" i="56"/>
  <c r="AK316" i="56"/>
  <c r="AS316" i="56"/>
  <c r="AJ316" i="56"/>
  <c r="CA314" i="56"/>
  <c r="BC300" i="56"/>
  <c r="BF300" i="56" s="1"/>
  <c r="BZ317" i="56"/>
  <c r="AT302" i="56"/>
  <c r="AX302" i="56"/>
  <c r="AL316" i="56"/>
  <c r="BO316" i="56" s="1"/>
  <c r="AI316" i="56"/>
  <c r="AD317" i="56" s="1"/>
  <c r="W319" i="56"/>
  <c r="X319" i="56" s="1"/>
  <c r="S320" i="56" s="1"/>
  <c r="AW301" i="56"/>
  <c r="AV301" i="56"/>
  <c r="BB299" i="56"/>
  <c r="BE299" i="56" s="1"/>
  <c r="BG299" i="56" s="1"/>
  <c r="AM315" i="56"/>
  <c r="AN315" i="56" s="1"/>
  <c r="BN315" i="56"/>
  <c r="AA317" i="56"/>
  <c r="AB317" i="56" s="1"/>
  <c r="AH317" i="56" s="1"/>
  <c r="BL318" i="56"/>
  <c r="Z318" i="56"/>
  <c r="BM318" i="56" s="1"/>
  <c r="AA318" i="56" l="1"/>
  <c r="AB318" i="56" s="1"/>
  <c r="AH318" i="56" s="1"/>
  <c r="AS318" i="56" s="1"/>
  <c r="Y319" i="56"/>
  <c r="AG319" i="56"/>
  <c r="BQ302" i="56"/>
  <c r="BZ318" i="56"/>
  <c r="BP301" i="56"/>
  <c r="AY301" i="56"/>
  <c r="AZ301" i="56" s="1"/>
  <c r="AM316" i="56"/>
  <c r="AN316" i="56" s="1"/>
  <c r="BN316" i="56"/>
  <c r="CA315" i="56"/>
  <c r="AL317" i="56"/>
  <c r="BO317" i="56" s="1"/>
  <c r="AI317" i="56"/>
  <c r="AD318" i="56" s="1"/>
  <c r="AW302" i="56"/>
  <c r="AV302" i="56"/>
  <c r="AS317" i="56"/>
  <c r="AJ317" i="56"/>
  <c r="AK317" i="56"/>
  <c r="W320" i="56"/>
  <c r="X320" i="56" s="1"/>
  <c r="S321" i="56" s="1"/>
  <c r="AU302" i="56"/>
  <c r="AP303" i="56" s="1"/>
  <c r="BB300" i="56"/>
  <c r="BE300" i="56" s="1"/>
  <c r="BG300" i="56" s="1"/>
  <c r="AJ318" i="56" l="1"/>
  <c r="AK318" i="56"/>
  <c r="BN318" i="56" s="1"/>
  <c r="W321" i="56"/>
  <c r="X321" i="56" s="1"/>
  <c r="S322" i="56" s="1"/>
  <c r="AT303" i="56"/>
  <c r="AU303" i="56" s="1"/>
  <c r="AP304" i="56" s="1"/>
  <c r="AX303" i="56"/>
  <c r="BP302" i="56"/>
  <c r="AY302" i="56"/>
  <c r="AZ302" i="56" s="1"/>
  <c r="CB301" i="56"/>
  <c r="AL318" i="56"/>
  <c r="BO318" i="56" s="1"/>
  <c r="AI318" i="56"/>
  <c r="AD319" i="56" s="1"/>
  <c r="CA316" i="56"/>
  <c r="BL319" i="56"/>
  <c r="Z319" i="56"/>
  <c r="BM319" i="56" s="1"/>
  <c r="AM317" i="56"/>
  <c r="AN317" i="56" s="1"/>
  <c r="BN317" i="56"/>
  <c r="BC301" i="56"/>
  <c r="BF301" i="56" s="1"/>
  <c r="Y320" i="56"/>
  <c r="AG320" i="56"/>
  <c r="BB301" i="56" l="1"/>
  <c r="BE301" i="56" s="1"/>
  <c r="BG301" i="56" s="1"/>
  <c r="CA317" i="56"/>
  <c r="W322" i="56"/>
  <c r="X322" i="56" s="1"/>
  <c r="S323" i="56" s="1"/>
  <c r="BL320" i="56"/>
  <c r="Z320" i="56"/>
  <c r="BM320" i="56" s="1"/>
  <c r="AT304" i="56"/>
  <c r="AX304" i="56"/>
  <c r="Y321" i="56"/>
  <c r="AG321" i="56"/>
  <c r="CA318" i="56"/>
  <c r="BZ319" i="56"/>
  <c r="BQ303" i="56"/>
  <c r="CB302" i="56"/>
  <c r="AM318" i="56"/>
  <c r="AN318" i="56" s="1"/>
  <c r="AA319" i="56"/>
  <c r="AB319" i="56" s="1"/>
  <c r="AH319" i="56" s="1"/>
  <c r="AI319" i="56" s="1"/>
  <c r="AD320" i="56" s="1"/>
  <c r="AL319" i="56"/>
  <c r="BO319" i="56" s="1"/>
  <c r="BC302" i="56"/>
  <c r="BF302" i="56" s="1"/>
  <c r="AV303" i="56"/>
  <c r="AW303" i="56"/>
  <c r="AA320" i="56" l="1"/>
  <c r="AB320" i="56" s="1"/>
  <c r="AH320" i="56" s="1"/>
  <c r="AK320" i="56" s="1"/>
  <c r="W323" i="56"/>
  <c r="X323" i="56" s="1"/>
  <c r="S324" i="56" s="1"/>
  <c r="AW304" i="56"/>
  <c r="AV304" i="56"/>
  <c r="BZ320" i="56"/>
  <c r="AK319" i="56"/>
  <c r="AS319" i="56"/>
  <c r="AJ319" i="56"/>
  <c r="AU304" i="56"/>
  <c r="AP305" i="56" s="1"/>
  <c r="BL321" i="56"/>
  <c r="Z321" i="56"/>
  <c r="BM321" i="56" s="1"/>
  <c r="BB302" i="56"/>
  <c r="BE302" i="56" s="1"/>
  <c r="BG302" i="56" s="1"/>
  <c r="BQ304" i="56"/>
  <c r="Y322" i="56"/>
  <c r="AG322" i="56"/>
  <c r="BP303" i="56"/>
  <c r="AY303" i="56"/>
  <c r="AZ303" i="56" s="1"/>
  <c r="AL320" i="56"/>
  <c r="BO320" i="56" s="1"/>
  <c r="AI320" i="56" l="1"/>
  <c r="AD321" i="56" s="1"/>
  <c r="AL321" i="56" s="1"/>
  <c r="BO321" i="56" s="1"/>
  <c r="AJ320" i="56"/>
  <c r="AS320" i="56"/>
  <c r="AA321" i="56"/>
  <c r="AB321" i="56" s="1"/>
  <c r="AH321" i="56" s="1"/>
  <c r="AJ321" i="56" s="1"/>
  <c r="BC303" i="56"/>
  <c r="BF303" i="56" s="1"/>
  <c r="AT305" i="56"/>
  <c r="AU305" i="56" s="1"/>
  <c r="AP306" i="56" s="1"/>
  <c r="AX305" i="56"/>
  <c r="AM319" i="56"/>
  <c r="AN319" i="56" s="1"/>
  <c r="BN319" i="56"/>
  <c r="BP304" i="56"/>
  <c r="AY304" i="56"/>
  <c r="AZ304" i="56" s="1"/>
  <c r="W324" i="56"/>
  <c r="X324" i="56" s="1"/>
  <c r="S325" i="56" s="1"/>
  <c r="CB303" i="56"/>
  <c r="BL322" i="56"/>
  <c r="Z322" i="56"/>
  <c r="BM322" i="56" s="1"/>
  <c r="BZ321" i="56"/>
  <c r="AM320" i="56"/>
  <c r="AN320" i="56" s="1"/>
  <c r="BN320" i="56"/>
  <c r="Y323" i="56"/>
  <c r="AG323" i="56"/>
  <c r="AI321" i="56" l="1"/>
  <c r="AD322" i="56" s="1"/>
  <c r="AL322" i="56" s="1"/>
  <c r="BO322" i="56" s="1"/>
  <c r="AK321" i="56"/>
  <c r="AM321" i="56" s="1"/>
  <c r="AN321" i="56" s="1"/>
  <c r="BB303" i="56"/>
  <c r="BE303" i="56" s="1"/>
  <c r="BG303" i="56" s="1"/>
  <c r="AA322" i="56"/>
  <c r="AB322" i="56" s="1"/>
  <c r="AH322" i="56" s="1"/>
  <c r="AS322" i="56" s="1"/>
  <c r="AS321" i="56"/>
  <c r="W325" i="56"/>
  <c r="X325" i="56" s="1"/>
  <c r="S326" i="56" s="1"/>
  <c r="AT306" i="56"/>
  <c r="AU306" i="56" s="1"/>
  <c r="AP307" i="56" s="1"/>
  <c r="AX306" i="56"/>
  <c r="Y324" i="56"/>
  <c r="AG324" i="56"/>
  <c r="CA319" i="56"/>
  <c r="BQ305" i="56"/>
  <c r="CA320" i="56"/>
  <c r="BL323" i="56"/>
  <c r="Z323" i="56"/>
  <c r="BM323" i="56" s="1"/>
  <c r="AW305" i="56"/>
  <c r="AV305" i="56"/>
  <c r="BZ322" i="56"/>
  <c r="BC304" i="56"/>
  <c r="BF304" i="56" s="1"/>
  <c r="CB304" i="56"/>
  <c r="BN321" i="56" l="1"/>
  <c r="CA321" i="56" s="1"/>
  <c r="AI322" i="56"/>
  <c r="AD323" i="56" s="1"/>
  <c r="AL323" i="56" s="1"/>
  <c r="BO323" i="56" s="1"/>
  <c r="AJ322" i="56"/>
  <c r="AK322" i="56"/>
  <c r="BN322" i="56" s="1"/>
  <c r="AA323" i="56"/>
  <c r="AB323" i="56" s="1"/>
  <c r="AH323" i="56" s="1"/>
  <c r="AJ323" i="56" s="1"/>
  <c r="BB304" i="56"/>
  <c r="BE304" i="56" s="1"/>
  <c r="BG304" i="56" s="1"/>
  <c r="AT307" i="56"/>
  <c r="AX307" i="56"/>
  <c r="W326" i="56"/>
  <c r="BP305" i="56"/>
  <c r="AY305" i="56"/>
  <c r="AZ305" i="56" s="1"/>
  <c r="Y325" i="56"/>
  <c r="AG325" i="56"/>
  <c r="BL324" i="56"/>
  <c r="Z324" i="56"/>
  <c r="BM324" i="56" s="1"/>
  <c r="BQ306" i="56"/>
  <c r="BZ323" i="56"/>
  <c r="AV306" i="56"/>
  <c r="AW306" i="56"/>
  <c r="AK323" i="56" l="1"/>
  <c r="BN323" i="56" s="1"/>
  <c r="AS323" i="56"/>
  <c r="AM322" i="56"/>
  <c r="AN322" i="56" s="1"/>
  <c r="AA324" i="56"/>
  <c r="AB324" i="56" s="1"/>
  <c r="AH324" i="56" s="1"/>
  <c r="AK324" i="56" s="1"/>
  <c r="BN324" i="56" s="1"/>
  <c r="AI323" i="56"/>
  <c r="AD324" i="56" s="1"/>
  <c r="AL324" i="56" s="1"/>
  <c r="BO324" i="56" s="1"/>
  <c r="Y326" i="56"/>
  <c r="AG326" i="56"/>
  <c r="AW307" i="56"/>
  <c r="AV307" i="56"/>
  <c r="BP306" i="56"/>
  <c r="AY306" i="56"/>
  <c r="AZ306" i="56" s="1"/>
  <c r="BC305" i="56"/>
  <c r="BF305" i="56" s="1"/>
  <c r="BZ324" i="56"/>
  <c r="BL325" i="56"/>
  <c r="Z325" i="56"/>
  <c r="BM325" i="56" s="1"/>
  <c r="CB305" i="56"/>
  <c r="AU307" i="56"/>
  <c r="AP308" i="56" s="1"/>
  <c r="X326" i="56"/>
  <c r="S327" i="56" s="1"/>
  <c r="BQ307" i="56"/>
  <c r="CA322" i="56"/>
  <c r="AM323" i="56" l="1"/>
  <c r="AN323" i="56" s="1"/>
  <c r="AS324" i="56"/>
  <c r="AI324" i="56"/>
  <c r="AD325" i="56" s="1"/>
  <c r="AJ324" i="56"/>
  <c r="AA325" i="56"/>
  <c r="AB325" i="56" s="1"/>
  <c r="AH325" i="56" s="1"/>
  <c r="AS325" i="56" s="1"/>
  <c r="AM324" i="56"/>
  <c r="AN324" i="56" s="1"/>
  <c r="W327" i="56"/>
  <c r="X327" i="56" s="1"/>
  <c r="S328" i="56" s="1"/>
  <c r="CA324" i="56"/>
  <c r="CA323" i="56"/>
  <c r="BP307" i="56"/>
  <c r="AY307" i="56"/>
  <c r="AZ307" i="56" s="1"/>
  <c r="BZ325" i="56"/>
  <c r="AT308" i="56"/>
  <c r="AU308" i="56" s="1"/>
  <c r="AP309" i="56" s="1"/>
  <c r="AX308" i="56"/>
  <c r="BC306" i="56"/>
  <c r="BF306" i="56" s="1"/>
  <c r="CB306" i="56"/>
  <c r="BL326" i="56"/>
  <c r="Z326" i="56"/>
  <c r="BM326" i="56" s="1"/>
  <c r="BB305" i="56"/>
  <c r="BE305" i="56" s="1"/>
  <c r="BG305" i="56" s="1"/>
  <c r="AI325" i="56" l="1"/>
  <c r="AD326" i="56" s="1"/>
  <c r="AL326" i="56" s="1"/>
  <c r="BO326" i="56" s="1"/>
  <c r="AK325" i="56"/>
  <c r="BN325" i="56" s="1"/>
  <c r="AL325" i="56"/>
  <c r="BO325" i="56" s="1"/>
  <c r="AJ325" i="56"/>
  <c r="W328" i="56"/>
  <c r="X328" i="56" s="1"/>
  <c r="S329" i="56" s="1"/>
  <c r="AT309" i="56"/>
  <c r="AX309" i="56"/>
  <c r="BB306" i="56"/>
  <c r="BE306" i="56" s="1"/>
  <c r="BG306" i="56" s="1"/>
  <c r="BQ308" i="56"/>
  <c r="BZ326" i="56"/>
  <c r="AV308" i="56"/>
  <c r="AW308" i="56"/>
  <c r="BC307" i="56"/>
  <c r="BF307" i="56" s="1"/>
  <c r="AA326" i="56"/>
  <c r="AB326" i="56" s="1"/>
  <c r="AH326" i="56" s="1"/>
  <c r="CB307" i="56"/>
  <c r="Y327" i="56"/>
  <c r="AG327" i="56"/>
  <c r="AM325" i="56" l="1"/>
  <c r="AN325" i="56" s="1"/>
  <c r="BB307" i="56"/>
  <c r="BE307" i="56" s="1"/>
  <c r="BG307" i="56" s="1"/>
  <c r="AS326" i="56"/>
  <c r="AK326" i="56"/>
  <c r="AJ326" i="56"/>
  <c r="BQ309" i="56"/>
  <c r="CA325" i="56"/>
  <c r="AI326" i="56"/>
  <c r="AD327" i="56" s="1"/>
  <c r="AW309" i="56"/>
  <c r="AV309" i="56"/>
  <c r="BL327" i="56"/>
  <c r="Z327" i="56"/>
  <c r="BM327" i="56" s="1"/>
  <c r="BP308" i="56"/>
  <c r="AY308" i="56"/>
  <c r="AZ308" i="56" s="1"/>
  <c r="W329" i="56"/>
  <c r="X329" i="56" s="1"/>
  <c r="S330" i="56" s="1"/>
  <c r="AU309" i="56"/>
  <c r="AP310" i="56" s="1"/>
  <c r="Y328" i="56"/>
  <c r="AG328" i="56"/>
  <c r="AA327" i="56" l="1"/>
  <c r="AB327" i="56" s="1"/>
  <c r="AH327" i="56" s="1"/>
  <c r="AK327" i="56" s="1"/>
  <c r="BN327" i="56" s="1"/>
  <c r="W330" i="56"/>
  <c r="CB308" i="56"/>
  <c r="AT310" i="56"/>
  <c r="AU310" i="56" s="1"/>
  <c r="AP311" i="56" s="1"/>
  <c r="AX310" i="56"/>
  <c r="AL327" i="56"/>
  <c r="BO327" i="56" s="1"/>
  <c r="AM326" i="56"/>
  <c r="AN326" i="56" s="1"/>
  <c r="BN326" i="56"/>
  <c r="BL328" i="56"/>
  <c r="Z328" i="56"/>
  <c r="BM328" i="56" s="1"/>
  <c r="Y329" i="56"/>
  <c r="AG329" i="56"/>
  <c r="BC308" i="56"/>
  <c r="BF308" i="56" s="1"/>
  <c r="BZ327" i="56"/>
  <c r="BP309" i="56"/>
  <c r="AY309" i="56"/>
  <c r="AZ309" i="56" s="1"/>
  <c r="AS327" i="56" l="1"/>
  <c r="CA327" i="56"/>
  <c r="AI327" i="56"/>
  <c r="AD328" i="56" s="1"/>
  <c r="AL328" i="56" s="1"/>
  <c r="BO328" i="56" s="1"/>
  <c r="AJ327" i="56"/>
  <c r="AM327" i="56"/>
  <c r="AN327" i="56" s="1"/>
  <c r="CA326" i="56"/>
  <c r="BC309" i="56"/>
  <c r="BF309" i="56" s="1"/>
  <c r="BL329" i="56"/>
  <c r="Z329" i="56"/>
  <c r="BM329" i="56" s="1"/>
  <c r="AA328" i="56"/>
  <c r="AB328" i="56" s="1"/>
  <c r="AH328" i="56" s="1"/>
  <c r="AW310" i="56"/>
  <c r="AV310" i="56"/>
  <c r="Y330" i="56"/>
  <c r="AG330" i="56"/>
  <c r="BB308" i="56"/>
  <c r="BE308" i="56" s="1"/>
  <c r="BG308" i="56" s="1"/>
  <c r="AT311" i="56"/>
  <c r="AU311" i="56" s="1"/>
  <c r="AP312" i="56" s="1"/>
  <c r="AX311" i="56"/>
  <c r="CB309" i="56"/>
  <c r="BZ328" i="56"/>
  <c r="BQ310" i="56"/>
  <c r="X330" i="56"/>
  <c r="S331" i="56" s="1"/>
  <c r="BB309" i="56" l="1"/>
  <c r="BE309" i="56" s="1"/>
  <c r="BG309" i="56" s="1"/>
  <c r="AA329" i="56"/>
  <c r="AB329" i="56" s="1"/>
  <c r="AH329" i="56" s="1"/>
  <c r="AK329" i="56" s="1"/>
  <c r="AS328" i="56"/>
  <c r="AJ328" i="56"/>
  <c r="AK328" i="56"/>
  <c r="W331" i="56"/>
  <c r="X331" i="56" s="1"/>
  <c r="S332" i="56" s="1"/>
  <c r="AW311" i="56"/>
  <c r="AV311" i="56"/>
  <c r="AT312" i="56"/>
  <c r="AX312" i="56"/>
  <c r="BL330" i="56"/>
  <c r="Z330" i="56"/>
  <c r="BM330" i="56" s="1"/>
  <c r="AI328" i="56"/>
  <c r="AD329" i="56" s="1"/>
  <c r="BP310" i="56"/>
  <c r="AY310" i="56"/>
  <c r="AZ310" i="56" s="1"/>
  <c r="BZ329" i="56"/>
  <c r="BQ311" i="56"/>
  <c r="AA330" i="56" l="1"/>
  <c r="AB330" i="56" s="1"/>
  <c r="AH330" i="56" s="1"/>
  <c r="AJ329" i="56"/>
  <c r="AS329" i="56"/>
  <c r="AW312" i="56"/>
  <c r="AV312" i="56"/>
  <c r="CB310" i="56"/>
  <c r="BZ330" i="56"/>
  <c r="AU312" i="56"/>
  <c r="AP313" i="56" s="1"/>
  <c r="Y331" i="56"/>
  <c r="AG331" i="56"/>
  <c r="AL329" i="56"/>
  <c r="BO329" i="56" s="1"/>
  <c r="AI329" i="56"/>
  <c r="AD330" i="56" s="1"/>
  <c r="BQ312" i="56"/>
  <c r="BP311" i="56"/>
  <c r="AY311" i="56"/>
  <c r="AZ311" i="56" s="1"/>
  <c r="BN329" i="56"/>
  <c r="BC310" i="56"/>
  <c r="BF310" i="56" s="1"/>
  <c r="W332" i="56"/>
  <c r="AM328" i="56"/>
  <c r="AN328" i="56" s="1"/>
  <c r="BN328" i="56"/>
  <c r="AM329" i="56" l="1"/>
  <c r="AN329" i="56" s="1"/>
  <c r="AS330" i="56"/>
  <c r="AJ330" i="56"/>
  <c r="AK330" i="56"/>
  <c r="BN330" i="56" s="1"/>
  <c r="CA328" i="56"/>
  <c r="Y332" i="56"/>
  <c r="AG332" i="56"/>
  <c r="BC311" i="56"/>
  <c r="BF311" i="56" s="1"/>
  <c r="AL330" i="56"/>
  <c r="AI330" i="56"/>
  <c r="AD331" i="56" s="1"/>
  <c r="BL331" i="56"/>
  <c r="Z331" i="56"/>
  <c r="BM331" i="56" s="1"/>
  <c r="BP312" i="56"/>
  <c r="AY312" i="56"/>
  <c r="AZ312" i="56" s="1"/>
  <c r="BB310" i="56"/>
  <c r="BE310" i="56" s="1"/>
  <c r="BG310" i="56" s="1"/>
  <c r="CB311" i="56"/>
  <c r="AT313" i="56"/>
  <c r="AX313" i="56"/>
  <c r="X332" i="56"/>
  <c r="S333" i="56" s="1"/>
  <c r="CA329" i="56"/>
  <c r="BO330" i="56" l="1"/>
  <c r="AM330" i="56"/>
  <c r="AN330" i="56" s="1"/>
  <c r="BC312" i="56"/>
  <c r="BF312" i="56" s="1"/>
  <c r="BZ331" i="56"/>
  <c r="BQ313" i="56"/>
  <c r="CB312" i="56"/>
  <c r="AA331" i="56"/>
  <c r="AB331" i="56" s="1"/>
  <c r="AH331" i="56" s="1"/>
  <c r="AI331" i="56" s="1"/>
  <c r="AD332" i="56" s="1"/>
  <c r="BB311" i="56"/>
  <c r="BE311" i="56" s="1"/>
  <c r="BG311" i="56" s="1"/>
  <c r="W333" i="56"/>
  <c r="X333" i="56" s="1"/>
  <c r="S334" i="56" s="1"/>
  <c r="AW313" i="56"/>
  <c r="AV313" i="56"/>
  <c r="AL331" i="56"/>
  <c r="BO331" i="56" s="1"/>
  <c r="BL332" i="56"/>
  <c r="Z332" i="56"/>
  <c r="BM332" i="56" s="1"/>
  <c r="AU313" i="56"/>
  <c r="AP314" i="56" s="1"/>
  <c r="BZ332" i="56" l="1"/>
  <c r="BB312" i="56"/>
  <c r="BE312" i="56" s="1"/>
  <c r="BG312" i="56" s="1"/>
  <c r="Y333" i="56"/>
  <c r="AG333" i="56"/>
  <c r="AS331" i="56"/>
  <c r="AJ331" i="56"/>
  <c r="AK331" i="56"/>
  <c r="AT314" i="56"/>
  <c r="AU314" i="56" s="1"/>
  <c r="AP315" i="56" s="1"/>
  <c r="AX314" i="56"/>
  <c r="AA332" i="56"/>
  <c r="AB332" i="56" s="1"/>
  <c r="AH332" i="56" s="1"/>
  <c r="AI332" i="56" s="1"/>
  <c r="AD333" i="56" s="1"/>
  <c r="BP313" i="56"/>
  <c r="AY313" i="56"/>
  <c r="AZ313" i="56" s="1"/>
  <c r="AL332" i="56"/>
  <c r="BO332" i="56" s="1"/>
  <c r="W334" i="56"/>
  <c r="X334" i="56" s="1"/>
  <c r="S335" i="56" s="1"/>
  <c r="CA330" i="56"/>
  <c r="AL333" i="56" l="1"/>
  <c r="W335" i="56"/>
  <c r="X335" i="56" s="1"/>
  <c r="S336" i="56" s="1"/>
  <c r="Y334" i="56"/>
  <c r="AG334" i="56"/>
  <c r="CB313" i="56"/>
  <c r="AW314" i="56"/>
  <c r="AV314" i="56"/>
  <c r="AS332" i="56"/>
  <c r="AJ332" i="56"/>
  <c r="AK332" i="56"/>
  <c r="AM331" i="56"/>
  <c r="AN331" i="56" s="1"/>
  <c r="BN331" i="56"/>
  <c r="BL333" i="56"/>
  <c r="Z333" i="56"/>
  <c r="BM333" i="56" s="1"/>
  <c r="AT315" i="56"/>
  <c r="AU315" i="56" s="1"/>
  <c r="AP316" i="56" s="1"/>
  <c r="AX315" i="56"/>
  <c r="BC313" i="56"/>
  <c r="BF313" i="56" s="1"/>
  <c r="BQ314" i="56"/>
  <c r="AA333" i="56" l="1"/>
  <c r="AB333" i="56" s="1"/>
  <c r="AH333" i="56" s="1"/>
  <c r="AM332" i="56"/>
  <c r="AN332" i="56" s="1"/>
  <c r="BN332" i="56"/>
  <c r="Y335" i="56"/>
  <c r="AG335" i="56"/>
  <c r="BP314" i="56"/>
  <c r="AY314" i="56"/>
  <c r="AZ314" i="56" s="1"/>
  <c r="BL334" i="56"/>
  <c r="Z334" i="56"/>
  <c r="BM334" i="56" s="1"/>
  <c r="AT316" i="56"/>
  <c r="AU316" i="56" s="1"/>
  <c r="AP317" i="56" s="1"/>
  <c r="AX316" i="56"/>
  <c r="CA331" i="56"/>
  <c r="BQ315" i="56"/>
  <c r="BB313" i="56"/>
  <c r="BE313" i="56" s="1"/>
  <c r="BG313" i="56" s="1"/>
  <c r="AV315" i="56"/>
  <c r="AW315" i="56"/>
  <c r="BZ333" i="56"/>
  <c r="W336" i="56"/>
  <c r="X336" i="56" s="1"/>
  <c r="S337" i="56" s="1"/>
  <c r="BO333" i="56"/>
  <c r="AA334" i="56" l="1"/>
  <c r="AB334" i="56" s="1"/>
  <c r="AH334" i="56" s="1"/>
  <c r="W337" i="56"/>
  <c r="X337" i="56" s="1"/>
  <c r="S338" i="56" s="1"/>
  <c r="BP315" i="56"/>
  <c r="AY315" i="56"/>
  <c r="AZ315" i="56" s="1"/>
  <c r="AT317" i="56"/>
  <c r="AU317" i="56" s="1"/>
  <c r="AP318" i="56" s="1"/>
  <c r="AX317" i="56"/>
  <c r="BQ316" i="56"/>
  <c r="BC314" i="56"/>
  <c r="BF314" i="56" s="1"/>
  <c r="BL335" i="56"/>
  <c r="Z335" i="56"/>
  <c r="BM335" i="56" s="1"/>
  <c r="AJ333" i="56"/>
  <c r="AI333" i="56"/>
  <c r="AD334" i="56" s="1"/>
  <c r="AK333" i="56"/>
  <c r="AS333" i="56"/>
  <c r="Y336" i="56"/>
  <c r="AG336" i="56"/>
  <c r="AV316" i="56"/>
  <c r="AW316" i="56"/>
  <c r="BZ334" i="56"/>
  <c r="CB314" i="56"/>
  <c r="CA332" i="56"/>
  <c r="AJ334" i="56" l="1"/>
  <c r="AK334" i="56"/>
  <c r="BN334" i="56" s="1"/>
  <c r="AS334" i="56"/>
  <c r="AM333" i="56"/>
  <c r="AN333" i="56" s="1"/>
  <c r="BN333" i="56"/>
  <c r="AT318" i="56"/>
  <c r="AU318" i="56" s="1"/>
  <c r="AP319" i="56" s="1"/>
  <c r="AX318" i="56"/>
  <c r="BC315" i="56"/>
  <c r="BF315" i="56" s="1"/>
  <c r="Y337" i="56"/>
  <c r="AG337" i="56"/>
  <c r="AL334" i="56"/>
  <c r="AI334" i="56"/>
  <c r="AD335" i="56" s="1"/>
  <c r="BZ335" i="56"/>
  <c r="BQ317" i="56"/>
  <c r="CB315" i="56"/>
  <c r="W338" i="56"/>
  <c r="X338" i="56" s="1"/>
  <c r="S339" i="56" s="1"/>
  <c r="BB314" i="56"/>
  <c r="BE314" i="56" s="1"/>
  <c r="BG314" i="56" s="1"/>
  <c r="BP316" i="56"/>
  <c r="AY316" i="56"/>
  <c r="AZ316" i="56" s="1"/>
  <c r="BL336" i="56"/>
  <c r="Z336" i="56"/>
  <c r="BM336" i="56" s="1"/>
  <c r="AA335" i="56"/>
  <c r="AB335" i="56" s="1"/>
  <c r="AH335" i="56" s="1"/>
  <c r="AW317" i="56"/>
  <c r="AV317" i="56"/>
  <c r="AA336" i="56" l="1"/>
  <c r="AB336" i="56" s="1"/>
  <c r="AH336" i="56" s="1"/>
  <c r="AS336" i="56" s="1"/>
  <c r="BB315" i="56"/>
  <c r="BE315" i="56" s="1"/>
  <c r="BG315" i="56" s="1"/>
  <c r="AJ335" i="56"/>
  <c r="AS335" i="56"/>
  <c r="AK335" i="56"/>
  <c r="AL335" i="56"/>
  <c r="BO335" i="56" s="1"/>
  <c r="AI335" i="56"/>
  <c r="AD336" i="56" s="1"/>
  <c r="AV318" i="56"/>
  <c r="AW318" i="56"/>
  <c r="BO334" i="56"/>
  <c r="AM334" i="56"/>
  <c r="AN334" i="56" s="1"/>
  <c r="CA333" i="56"/>
  <c r="BC316" i="56"/>
  <c r="BF316" i="56" s="1"/>
  <c r="AT319" i="56"/>
  <c r="AU319" i="56" s="1"/>
  <c r="AP320" i="56" s="1"/>
  <c r="AX319" i="56"/>
  <c r="W339" i="56"/>
  <c r="X339" i="56" s="1"/>
  <c r="S340" i="56" s="1"/>
  <c r="BP317" i="56"/>
  <c r="AY317" i="56"/>
  <c r="AZ317" i="56" s="1"/>
  <c r="BZ336" i="56"/>
  <c r="CB316" i="56"/>
  <c r="Y338" i="56"/>
  <c r="AG338" i="56"/>
  <c r="BL337" i="56"/>
  <c r="Z337" i="56"/>
  <c r="BM337" i="56" s="1"/>
  <c r="BQ318" i="56"/>
  <c r="AK336" i="56" l="1"/>
  <c r="BN336" i="56" s="1"/>
  <c r="AJ336" i="56"/>
  <c r="AA337" i="56"/>
  <c r="AB337" i="56" s="1"/>
  <c r="AH337" i="56" s="1"/>
  <c r="Y339" i="56"/>
  <c r="AG339" i="56"/>
  <c r="BQ319" i="56"/>
  <c r="AM335" i="56"/>
  <c r="AN335" i="56" s="1"/>
  <c r="BN335" i="56"/>
  <c r="BZ337" i="56"/>
  <c r="BL338" i="56"/>
  <c r="Z338" i="56"/>
  <c r="BM338" i="56" s="1"/>
  <c r="BP318" i="56"/>
  <c r="AY318" i="56"/>
  <c r="AZ318" i="56" s="1"/>
  <c r="BC317" i="56"/>
  <c r="BF317" i="56" s="1"/>
  <c r="AW319" i="56"/>
  <c r="AV319" i="56"/>
  <c r="AL336" i="56"/>
  <c r="BO336" i="56" s="1"/>
  <c r="AI336" i="56"/>
  <c r="AD337" i="56" s="1"/>
  <c r="CB317" i="56"/>
  <c r="BB316" i="56"/>
  <c r="BE316" i="56" s="1"/>
  <c r="BG316" i="56" s="1"/>
  <c r="CA334" i="56"/>
  <c r="W340" i="56"/>
  <c r="X340" i="56" s="1"/>
  <c r="S341" i="56" s="1"/>
  <c r="AT320" i="56"/>
  <c r="AU320" i="56" s="1"/>
  <c r="AP321" i="56" s="1"/>
  <c r="AX320" i="56"/>
  <c r="AA338" i="56" l="1"/>
  <c r="AB338" i="56" s="1"/>
  <c r="AH338" i="56" s="1"/>
  <c r="AK338" i="56" s="1"/>
  <c r="BN338" i="56" s="1"/>
  <c r="AM336" i="56"/>
  <c r="AN336" i="56" s="1"/>
  <c r="AT321" i="56"/>
  <c r="AU321" i="56" s="1"/>
  <c r="AP322" i="56" s="1"/>
  <c r="AX321" i="56"/>
  <c r="AL337" i="56"/>
  <c r="BO337" i="56" s="1"/>
  <c r="AI337" i="56"/>
  <c r="AD338" i="56" s="1"/>
  <c r="CB318" i="56"/>
  <c r="Y340" i="56"/>
  <c r="AG340" i="56"/>
  <c r="BB317" i="56"/>
  <c r="BE317" i="56" s="1"/>
  <c r="BG317" i="56" s="1"/>
  <c r="BP319" i="56"/>
  <c r="AY319" i="56"/>
  <c r="AZ319" i="56" s="1"/>
  <c r="BZ338" i="56"/>
  <c r="CA335" i="56"/>
  <c r="W341" i="56"/>
  <c r="BQ320" i="56"/>
  <c r="BL339" i="56"/>
  <c r="Z339" i="56"/>
  <c r="BM339" i="56" s="1"/>
  <c r="BC318" i="56"/>
  <c r="BF318" i="56" s="1"/>
  <c r="AJ337" i="56"/>
  <c r="AK337" i="56"/>
  <c r="AS337" i="56"/>
  <c r="AV320" i="56"/>
  <c r="AW320" i="56"/>
  <c r="CA336" i="56"/>
  <c r="AJ338" i="56" l="1"/>
  <c r="AS338" i="56"/>
  <c r="AT322" i="56"/>
  <c r="AU322" i="56" s="1"/>
  <c r="AP323" i="56" s="1"/>
  <c r="AX322" i="56"/>
  <c r="Y341" i="56"/>
  <c r="AG341" i="56"/>
  <c r="BB318" i="56"/>
  <c r="BE318" i="56" s="1"/>
  <c r="BG318" i="56" s="1"/>
  <c r="AA339" i="56"/>
  <c r="AB339" i="56" s="1"/>
  <c r="AH339" i="56" s="1"/>
  <c r="BC319" i="56"/>
  <c r="BF319" i="56" s="1"/>
  <c r="BL340" i="56"/>
  <c r="Z340" i="56"/>
  <c r="BM340" i="56" s="1"/>
  <c r="AM337" i="56"/>
  <c r="AN337" i="56" s="1"/>
  <c r="BN337" i="56"/>
  <c r="X341" i="56"/>
  <c r="S342" i="56" s="1"/>
  <c r="CB319" i="56"/>
  <c r="BP320" i="56"/>
  <c r="AY320" i="56"/>
  <c r="AZ320" i="56" s="1"/>
  <c r="BQ321" i="56"/>
  <c r="BZ339" i="56"/>
  <c r="AL338" i="56"/>
  <c r="AI338" i="56"/>
  <c r="AD339" i="56" s="1"/>
  <c r="AV321" i="56"/>
  <c r="AW321" i="56"/>
  <c r="BB319" i="56" l="1"/>
  <c r="BE319" i="56" s="1"/>
  <c r="BG319" i="56" s="1"/>
  <c r="AT323" i="56"/>
  <c r="AU323" i="56" s="1"/>
  <c r="AP324" i="56" s="1"/>
  <c r="AX323" i="56"/>
  <c r="BC320" i="56"/>
  <c r="BF320" i="56" s="1"/>
  <c r="CB320" i="56"/>
  <c r="AL339" i="56"/>
  <c r="BO339" i="56" s="1"/>
  <c r="AI339" i="56"/>
  <c r="AD340" i="56" s="1"/>
  <c r="CA337" i="56"/>
  <c r="AA340" i="56"/>
  <c r="AB340" i="56" s="1"/>
  <c r="AH340" i="56" s="1"/>
  <c r="BP321" i="56"/>
  <c r="AY321" i="56"/>
  <c r="AZ321" i="56" s="1"/>
  <c r="BL341" i="56"/>
  <c r="Z341" i="56"/>
  <c r="BM341" i="56" s="1"/>
  <c r="W342" i="56"/>
  <c r="X342" i="56" s="1"/>
  <c r="S343" i="56" s="1"/>
  <c r="BO338" i="56"/>
  <c r="AM338" i="56"/>
  <c r="AN338" i="56" s="1"/>
  <c r="AS339" i="56"/>
  <c r="AJ339" i="56"/>
  <c r="AK339" i="56"/>
  <c r="BQ322" i="56"/>
  <c r="AV322" i="56"/>
  <c r="AW322" i="56"/>
  <c r="BZ340" i="56"/>
  <c r="AA341" i="56" l="1"/>
  <c r="AB341" i="56" s="1"/>
  <c r="AH341" i="56" s="1"/>
  <c r="AT324" i="56"/>
  <c r="AU324" i="56" s="1"/>
  <c r="AP325" i="56" s="1"/>
  <c r="AX324" i="56"/>
  <c r="W343" i="56"/>
  <c r="X343" i="56" s="1"/>
  <c r="S344" i="56" s="1"/>
  <c r="AL340" i="56"/>
  <c r="BO340" i="56" s="1"/>
  <c r="AI340" i="56"/>
  <c r="AD341" i="56" s="1"/>
  <c r="CA338" i="56"/>
  <c r="BB320" i="56"/>
  <c r="BE320" i="56" s="1"/>
  <c r="BG320" i="56" s="1"/>
  <c r="CB321" i="56"/>
  <c r="BP322" i="56"/>
  <c r="AY322" i="56"/>
  <c r="AZ322" i="56" s="1"/>
  <c r="BZ341" i="56"/>
  <c r="BC321" i="56"/>
  <c r="BF321" i="56" s="1"/>
  <c r="BQ323" i="56"/>
  <c r="Y342" i="56"/>
  <c r="AG342" i="56"/>
  <c r="AM339" i="56"/>
  <c r="AN339" i="56" s="1"/>
  <c r="BN339" i="56"/>
  <c r="AJ340" i="56"/>
  <c r="AK340" i="56"/>
  <c r="AS340" i="56"/>
  <c r="AV323" i="56"/>
  <c r="AW323" i="56"/>
  <c r="AK341" i="56" l="1"/>
  <c r="BN341" i="56" s="1"/>
  <c r="AS341" i="56"/>
  <c r="BB321" i="56"/>
  <c r="BE321" i="56" s="1"/>
  <c r="BG321" i="56" s="1"/>
  <c r="AJ341" i="56"/>
  <c r="W344" i="56"/>
  <c r="X344" i="56" s="1"/>
  <c r="S345" i="56" s="1"/>
  <c r="AL341" i="56"/>
  <c r="AI341" i="56"/>
  <c r="AD342" i="56" s="1"/>
  <c r="CA339" i="56"/>
  <c r="BL342" i="56"/>
  <c r="Z342" i="56"/>
  <c r="BM342" i="56" s="1"/>
  <c r="CB322" i="56"/>
  <c r="Y343" i="56"/>
  <c r="AG343" i="56"/>
  <c r="AT325" i="56"/>
  <c r="AU325" i="56" s="1"/>
  <c r="AP326" i="56" s="1"/>
  <c r="AX325" i="56"/>
  <c r="BP323" i="56"/>
  <c r="AY323" i="56"/>
  <c r="AZ323" i="56" s="1"/>
  <c r="AM340" i="56"/>
  <c r="AN340" i="56" s="1"/>
  <c r="BN340" i="56"/>
  <c r="BQ324" i="56"/>
  <c r="BC322" i="56"/>
  <c r="BF322" i="56" s="1"/>
  <c r="AW324" i="56"/>
  <c r="AV324" i="56"/>
  <c r="AT326" i="56" l="1"/>
  <c r="AU326" i="56" s="1"/>
  <c r="AP327" i="56" s="1"/>
  <c r="AX326" i="56"/>
  <c r="BP324" i="56"/>
  <c r="AY324" i="56"/>
  <c r="AZ324" i="56" s="1"/>
  <c r="BL343" i="56"/>
  <c r="Z343" i="56"/>
  <c r="BM343" i="56" s="1"/>
  <c r="BQ325" i="56"/>
  <c r="CA340" i="56"/>
  <c r="BZ342" i="56"/>
  <c r="AL342" i="56"/>
  <c r="BO342" i="56" s="1"/>
  <c r="W345" i="56"/>
  <c r="X345" i="56" s="1"/>
  <c r="S346" i="56" s="1"/>
  <c r="BC323" i="56"/>
  <c r="BF323" i="56" s="1"/>
  <c r="AV325" i="56"/>
  <c r="AW325" i="56"/>
  <c r="BB322" i="56"/>
  <c r="BE322" i="56" s="1"/>
  <c r="BG322" i="56" s="1"/>
  <c r="CB323" i="56"/>
  <c r="AA342" i="56"/>
  <c r="AB342" i="56" s="1"/>
  <c r="AH342" i="56" s="1"/>
  <c r="BO341" i="56"/>
  <c r="AM341" i="56"/>
  <c r="AN341" i="56" s="1"/>
  <c r="Y344" i="56"/>
  <c r="AG344" i="56"/>
  <c r="CA341" i="56" l="1"/>
  <c r="BL344" i="56"/>
  <c r="Z344" i="56"/>
  <c r="BM344" i="56" s="1"/>
  <c r="BB323" i="56"/>
  <c r="BE323" i="56" s="1"/>
  <c r="BG323" i="56" s="1"/>
  <c r="AA343" i="56"/>
  <c r="AB343" i="56" s="1"/>
  <c r="AH343" i="56" s="1"/>
  <c r="CB324" i="56"/>
  <c r="BP325" i="56"/>
  <c r="AY325" i="56"/>
  <c r="AZ325" i="56" s="1"/>
  <c r="W346" i="56"/>
  <c r="X346" i="56" s="1"/>
  <c r="S347" i="56" s="1"/>
  <c r="AT327" i="56"/>
  <c r="AU327" i="56" s="1"/>
  <c r="AP328" i="56" s="1"/>
  <c r="AX327" i="56"/>
  <c r="BQ326" i="56"/>
  <c r="Y345" i="56"/>
  <c r="AG345" i="56"/>
  <c r="AS342" i="56"/>
  <c r="AK342" i="56"/>
  <c r="AJ342" i="56"/>
  <c r="AI342" i="56"/>
  <c r="AD343" i="56" s="1"/>
  <c r="BZ343" i="56"/>
  <c r="BC324" i="56"/>
  <c r="BF324" i="56" s="1"/>
  <c r="AW326" i="56"/>
  <c r="AV326" i="56"/>
  <c r="BB324" i="56" l="1"/>
  <c r="BE324" i="56" s="1"/>
  <c r="BG324" i="56" s="1"/>
  <c r="AT328" i="56"/>
  <c r="AU328" i="56" s="1"/>
  <c r="AP329" i="56" s="1"/>
  <c r="AX328" i="56"/>
  <c r="BP326" i="56"/>
  <c r="AY326" i="56"/>
  <c r="AZ326" i="56" s="1"/>
  <c r="W347" i="56"/>
  <c r="X347" i="56" s="1"/>
  <c r="S348" i="56" s="1"/>
  <c r="CB325" i="56"/>
  <c r="AL343" i="56"/>
  <c r="BO343" i="56" s="1"/>
  <c r="AI343" i="56"/>
  <c r="AD344" i="56" s="1"/>
  <c r="BL345" i="56"/>
  <c r="Z345" i="56"/>
  <c r="BM345" i="56" s="1"/>
  <c r="Y346" i="56"/>
  <c r="AG346" i="56"/>
  <c r="BZ344" i="56"/>
  <c r="AW327" i="56"/>
  <c r="AV327" i="56"/>
  <c r="BQ327" i="56"/>
  <c r="AA344" i="56"/>
  <c r="AB344" i="56" s="1"/>
  <c r="AH344" i="56" s="1"/>
  <c r="AM342" i="56"/>
  <c r="AN342" i="56" s="1"/>
  <c r="BN342" i="56"/>
  <c r="BC325" i="56"/>
  <c r="BF325" i="56" s="1"/>
  <c r="AK343" i="56"/>
  <c r="AS343" i="56"/>
  <c r="AJ343" i="56"/>
  <c r="AA345" i="56" l="1"/>
  <c r="AB345" i="56" s="1"/>
  <c r="AH345" i="56" s="1"/>
  <c r="AJ345" i="56" s="1"/>
  <c r="W348" i="56"/>
  <c r="X348" i="56" s="1"/>
  <c r="S349" i="56" s="1"/>
  <c r="AM343" i="56"/>
  <c r="AN343" i="56" s="1"/>
  <c r="BN343" i="56"/>
  <c r="CB326" i="56"/>
  <c r="AS344" i="56"/>
  <c r="AJ344" i="56"/>
  <c r="AK344" i="56"/>
  <c r="CA342" i="56"/>
  <c r="BZ345" i="56"/>
  <c r="Y347" i="56"/>
  <c r="AG347" i="56"/>
  <c r="AT329" i="56"/>
  <c r="AU329" i="56" s="1"/>
  <c r="AP330" i="56" s="1"/>
  <c r="AX329" i="56"/>
  <c r="BB325" i="56"/>
  <c r="BE325" i="56" s="1"/>
  <c r="BG325" i="56" s="1"/>
  <c r="BP327" i="56"/>
  <c r="AY327" i="56"/>
  <c r="AZ327" i="56" s="1"/>
  <c r="BL346" i="56"/>
  <c r="Z346" i="56"/>
  <c r="BM346" i="56" s="1"/>
  <c r="BQ328" i="56"/>
  <c r="AL344" i="56"/>
  <c r="BO344" i="56" s="1"/>
  <c r="AI344" i="56"/>
  <c r="AD345" i="56" s="1"/>
  <c r="BC326" i="56"/>
  <c r="BF326" i="56" s="1"/>
  <c r="AV328" i="56"/>
  <c r="AW328" i="56"/>
  <c r="AK345" i="56" l="1"/>
  <c r="BN345" i="56" s="1"/>
  <c r="AS345" i="56"/>
  <c r="BB326" i="56"/>
  <c r="BE326" i="56" s="1"/>
  <c r="BG326" i="56" s="1"/>
  <c r="AT330" i="56"/>
  <c r="AU330" i="56" s="1"/>
  <c r="AP331" i="56" s="1"/>
  <c r="AX330" i="56"/>
  <c r="BL347" i="56"/>
  <c r="Z347" i="56"/>
  <c r="BM347" i="56" s="1"/>
  <c r="Y348" i="56"/>
  <c r="AG348" i="56"/>
  <c r="BC327" i="56"/>
  <c r="BF327" i="56" s="1"/>
  <c r="BQ329" i="56"/>
  <c r="BZ346" i="56"/>
  <c r="CB327" i="56"/>
  <c r="AV329" i="56"/>
  <c r="AW329" i="56"/>
  <c r="BP328" i="56"/>
  <c r="AY328" i="56"/>
  <c r="AZ328" i="56" s="1"/>
  <c r="AL345" i="56"/>
  <c r="AI345" i="56"/>
  <c r="AD346" i="56" s="1"/>
  <c r="AA346" i="56"/>
  <c r="AB346" i="56" s="1"/>
  <c r="AH346" i="56" s="1"/>
  <c r="AM344" i="56"/>
  <c r="AN344" i="56" s="1"/>
  <c r="BN344" i="56"/>
  <c r="CA343" i="56"/>
  <c r="W349" i="56"/>
  <c r="X349" i="56" s="1"/>
  <c r="S350" i="56" s="1"/>
  <c r="BB327" i="56" l="1"/>
  <c r="BE327" i="56" s="1"/>
  <c r="BG327" i="56" s="1"/>
  <c r="AT331" i="56"/>
  <c r="AU331" i="56" s="1"/>
  <c r="AP332" i="56" s="1"/>
  <c r="AX331" i="56"/>
  <c r="BP329" i="56"/>
  <c r="AY329" i="56"/>
  <c r="AZ329" i="56" s="1"/>
  <c r="W350" i="56"/>
  <c r="X350" i="56" s="1"/>
  <c r="S351" i="56" s="1"/>
  <c r="Y349" i="56"/>
  <c r="AG349" i="56"/>
  <c r="AJ346" i="56"/>
  <c r="AS346" i="56"/>
  <c r="AK346" i="56"/>
  <c r="AL346" i="56"/>
  <c r="BO346" i="56" s="1"/>
  <c r="AI346" i="56"/>
  <c r="AD347" i="56" s="1"/>
  <c r="CB328" i="56"/>
  <c r="BO345" i="56"/>
  <c r="AM345" i="56"/>
  <c r="AN345" i="56" s="1"/>
  <c r="BZ347" i="56"/>
  <c r="BQ330" i="56"/>
  <c r="CA344" i="56"/>
  <c r="BC328" i="56"/>
  <c r="BF328" i="56" s="1"/>
  <c r="BL348" i="56"/>
  <c r="Z348" i="56"/>
  <c r="BM348" i="56" s="1"/>
  <c r="AA347" i="56"/>
  <c r="AB347" i="56" s="1"/>
  <c r="AH347" i="56" s="1"/>
  <c r="AW330" i="56"/>
  <c r="AV330" i="56"/>
  <c r="BP330" i="56" l="1"/>
  <c r="AY330" i="56"/>
  <c r="AZ330" i="56" s="1"/>
  <c r="BZ348" i="56"/>
  <c r="Y350" i="56"/>
  <c r="AG350" i="56"/>
  <c r="CB329" i="56"/>
  <c r="AS347" i="56"/>
  <c r="AK347" i="56"/>
  <c r="AJ347" i="56"/>
  <c r="AA348" i="56"/>
  <c r="AB348" i="56" s="1"/>
  <c r="AH348" i="56" s="1"/>
  <c r="BB328" i="56"/>
  <c r="BE328" i="56" s="1"/>
  <c r="BG328" i="56" s="1"/>
  <c r="AL347" i="56"/>
  <c r="BO347" i="56" s="1"/>
  <c r="AI347" i="56"/>
  <c r="AD348" i="56" s="1"/>
  <c r="W351" i="56"/>
  <c r="X351" i="56" s="1"/>
  <c r="S352" i="56" s="1"/>
  <c r="AT332" i="56"/>
  <c r="AU332" i="56" s="1"/>
  <c r="AP333" i="56" s="1"/>
  <c r="AX332" i="56"/>
  <c r="CA345" i="56"/>
  <c r="BQ331" i="56"/>
  <c r="AM346" i="56"/>
  <c r="AN346" i="56" s="1"/>
  <c r="BN346" i="56"/>
  <c r="BL349" i="56"/>
  <c r="Z349" i="56"/>
  <c r="BM349" i="56" s="1"/>
  <c r="BC329" i="56"/>
  <c r="BF329" i="56" s="1"/>
  <c r="AW331" i="56"/>
  <c r="AV331" i="56"/>
  <c r="AA349" i="56" l="1"/>
  <c r="AB349" i="56" s="1"/>
  <c r="AH349" i="56" s="1"/>
  <c r="AJ349" i="56" s="1"/>
  <c r="AT333" i="56"/>
  <c r="AX333" i="56"/>
  <c r="BZ349" i="56"/>
  <c r="AM347" i="56"/>
  <c r="AN347" i="56" s="1"/>
  <c r="BN347" i="56"/>
  <c r="CB330" i="56"/>
  <c r="CA346" i="56"/>
  <c r="W352" i="56"/>
  <c r="AS348" i="56"/>
  <c r="AK348" i="56"/>
  <c r="AJ348" i="56"/>
  <c r="BP331" i="56"/>
  <c r="AY331" i="56"/>
  <c r="AZ331" i="56" s="1"/>
  <c r="BQ332" i="56"/>
  <c r="AL348" i="56"/>
  <c r="BO348" i="56" s="1"/>
  <c r="AI348" i="56"/>
  <c r="AD349" i="56" s="1"/>
  <c r="BC330" i="56"/>
  <c r="BF330" i="56" s="1"/>
  <c r="AW332" i="56"/>
  <c r="AV332" i="56"/>
  <c r="BB329" i="56"/>
  <c r="BE329" i="56" s="1"/>
  <c r="BG329" i="56" s="1"/>
  <c r="Y351" i="56"/>
  <c r="AG351" i="56"/>
  <c r="BL350" i="56"/>
  <c r="Z350" i="56"/>
  <c r="BM350" i="56" s="1"/>
  <c r="AS349" i="56" l="1"/>
  <c r="AK349" i="56"/>
  <c r="BN349" i="56" s="1"/>
  <c r="AA350" i="56"/>
  <c r="AB350" i="56" s="1"/>
  <c r="AH350" i="56" s="1"/>
  <c r="AJ350" i="56" s="1"/>
  <c r="BB330" i="56"/>
  <c r="BE330" i="56" s="1"/>
  <c r="BG330" i="56" s="1"/>
  <c r="BP332" i="56"/>
  <c r="AY332" i="56"/>
  <c r="AZ332" i="56" s="1"/>
  <c r="AL349" i="56"/>
  <c r="AI349" i="56"/>
  <c r="AD350" i="56" s="1"/>
  <c r="Y352" i="56"/>
  <c r="AG352" i="56"/>
  <c r="CA347" i="56"/>
  <c r="AW333" i="56"/>
  <c r="AV333" i="56"/>
  <c r="BL351" i="56"/>
  <c r="Z351" i="56"/>
  <c r="BM351" i="56" s="1"/>
  <c r="X352" i="56"/>
  <c r="S353" i="56" s="1"/>
  <c r="BZ350" i="56"/>
  <c r="BC331" i="56"/>
  <c r="BF331" i="56" s="1"/>
  <c r="AM348" i="56"/>
  <c r="AN348" i="56" s="1"/>
  <c r="BN348" i="56"/>
  <c r="AU333" i="56"/>
  <c r="AP334" i="56" s="1"/>
  <c r="CB331" i="56"/>
  <c r="BQ333" i="56"/>
  <c r="AS350" i="56" l="1"/>
  <c r="AA351" i="56"/>
  <c r="AB351" i="56" s="1"/>
  <c r="AH351" i="56" s="1"/>
  <c r="AJ351" i="56" s="1"/>
  <c r="AK350" i="56"/>
  <c r="BN350" i="56" s="1"/>
  <c r="AI350" i="56"/>
  <c r="AD351" i="56" s="1"/>
  <c r="AL350" i="56"/>
  <c r="BO350" i="56" s="1"/>
  <c r="CB332" i="56"/>
  <c r="CA348" i="56"/>
  <c r="BB331" i="56"/>
  <c r="BE331" i="56" s="1"/>
  <c r="BG331" i="56" s="1"/>
  <c r="BO349" i="56"/>
  <c r="AM349" i="56"/>
  <c r="AN349" i="56" s="1"/>
  <c r="BZ351" i="56"/>
  <c r="AT334" i="56"/>
  <c r="AU334" i="56" s="1"/>
  <c r="AP335" i="56" s="1"/>
  <c r="AX334" i="56"/>
  <c r="W353" i="56"/>
  <c r="X353" i="56" s="1"/>
  <c r="S354" i="56" s="1"/>
  <c r="BP333" i="56"/>
  <c r="AY333" i="56"/>
  <c r="AZ333" i="56" s="1"/>
  <c r="BL352" i="56"/>
  <c r="Z352" i="56"/>
  <c r="BM352" i="56" s="1"/>
  <c r="BC332" i="56"/>
  <c r="BF332" i="56" s="1"/>
  <c r="AS351" i="56" l="1"/>
  <c r="AK351" i="56"/>
  <c r="BN351" i="56" s="1"/>
  <c r="AA352" i="56"/>
  <c r="AB352" i="56" s="1"/>
  <c r="AH352" i="56" s="1"/>
  <c r="AJ352" i="56" s="1"/>
  <c r="AM350" i="56"/>
  <c r="AN350" i="56" s="1"/>
  <c r="AT335" i="56"/>
  <c r="AX335" i="56"/>
  <c r="W354" i="56"/>
  <c r="CA350" i="56"/>
  <c r="BB332" i="56"/>
  <c r="BE332" i="56" s="1"/>
  <c r="BG332" i="56" s="1"/>
  <c r="BZ352" i="56"/>
  <c r="BC333" i="56"/>
  <c r="BF333" i="56" s="1"/>
  <c r="CB333" i="56"/>
  <c r="CA349" i="56"/>
  <c r="AI351" i="56"/>
  <c r="AD352" i="56" s="1"/>
  <c r="AL351" i="56"/>
  <c r="BO351" i="56" s="1"/>
  <c r="BQ334" i="56"/>
  <c r="Y353" i="56"/>
  <c r="AG353" i="56"/>
  <c r="AW334" i="56"/>
  <c r="AV334" i="56"/>
  <c r="AS352" i="56" l="1"/>
  <c r="AK352" i="56"/>
  <c r="BN352" i="56" s="1"/>
  <c r="AM351" i="56"/>
  <c r="AN351" i="56" s="1"/>
  <c r="Y354" i="56"/>
  <c r="AG354" i="56"/>
  <c r="AV335" i="56"/>
  <c r="AW335" i="56"/>
  <c r="CA351" i="56"/>
  <c r="BB333" i="56"/>
  <c r="BE333" i="56" s="1"/>
  <c r="BG333" i="56" s="1"/>
  <c r="X354" i="56"/>
  <c r="S355" i="56" s="1"/>
  <c r="BL353" i="56"/>
  <c r="Z353" i="56"/>
  <c r="BM353" i="56" s="1"/>
  <c r="AU335" i="56"/>
  <c r="AP336" i="56" s="1"/>
  <c r="AI352" i="56"/>
  <c r="AD353" i="56" s="1"/>
  <c r="AL352" i="56"/>
  <c r="BO352" i="56" s="1"/>
  <c r="BQ335" i="56"/>
  <c r="BP334" i="56"/>
  <c r="AY334" i="56"/>
  <c r="AZ334" i="56" s="1"/>
  <c r="BP335" i="56" l="1"/>
  <c r="AY335" i="56"/>
  <c r="AZ335" i="56" s="1"/>
  <c r="AL353" i="56"/>
  <c r="BO353" i="56" s="1"/>
  <c r="BZ353" i="56"/>
  <c r="CA352" i="56"/>
  <c r="BC334" i="56"/>
  <c r="BF334" i="56" s="1"/>
  <c r="CB334" i="56"/>
  <c r="AT336" i="56"/>
  <c r="AU336" i="56" s="1"/>
  <c r="AP337" i="56" s="1"/>
  <c r="AX336" i="56"/>
  <c r="AA353" i="56"/>
  <c r="AB353" i="56" s="1"/>
  <c r="AH353" i="56" s="1"/>
  <c r="W355" i="56"/>
  <c r="X355" i="56" s="1"/>
  <c r="S356" i="56" s="1"/>
  <c r="AM352" i="56"/>
  <c r="AN352" i="56" s="1"/>
  <c r="BL354" i="56"/>
  <c r="Z354" i="56"/>
  <c r="BM354" i="56" s="1"/>
  <c r="BB334" i="56" l="1"/>
  <c r="BE334" i="56" s="1"/>
  <c r="BG334" i="56" s="1"/>
  <c r="AA354" i="56"/>
  <c r="AB354" i="56" s="1"/>
  <c r="AH354" i="56" s="1"/>
  <c r="AS354" i="56" s="1"/>
  <c r="AT337" i="56"/>
  <c r="AX337" i="56"/>
  <c r="BZ354" i="56"/>
  <c r="Y355" i="56"/>
  <c r="AG355" i="56"/>
  <c r="BQ336" i="56"/>
  <c r="BC335" i="56"/>
  <c r="BF335" i="56" s="1"/>
  <c r="W356" i="56"/>
  <c r="AV336" i="56"/>
  <c r="AW336" i="56"/>
  <c r="CB335" i="56"/>
  <c r="AJ353" i="56"/>
  <c r="AK353" i="56"/>
  <c r="AS353" i="56"/>
  <c r="AI353" i="56"/>
  <c r="AD354" i="56" s="1"/>
  <c r="AK354" i="56" l="1"/>
  <c r="BN354" i="56" s="1"/>
  <c r="AJ354" i="56"/>
  <c r="Y356" i="56"/>
  <c r="AG356" i="56"/>
  <c r="AW337" i="56"/>
  <c r="AV337" i="56"/>
  <c r="AM353" i="56"/>
  <c r="AN353" i="56" s="1"/>
  <c r="BN353" i="56"/>
  <c r="AI354" i="56"/>
  <c r="AD355" i="56" s="1"/>
  <c r="AL354" i="56"/>
  <c r="BO354" i="56" s="1"/>
  <c r="BP336" i="56"/>
  <c r="AY336" i="56"/>
  <c r="AZ336" i="56" s="1"/>
  <c r="AU337" i="56"/>
  <c r="AP338" i="56" s="1"/>
  <c r="BL355" i="56"/>
  <c r="Z355" i="56"/>
  <c r="BM355" i="56" s="1"/>
  <c r="X356" i="56"/>
  <c r="S357" i="56" s="1"/>
  <c r="BB335" i="56"/>
  <c r="BE335" i="56" s="1"/>
  <c r="BG335" i="56" s="1"/>
  <c r="BQ337" i="56"/>
  <c r="AM354" i="56" l="1"/>
  <c r="AN354" i="56" s="1"/>
  <c r="CB336" i="56"/>
  <c r="CA353" i="56"/>
  <c r="BL356" i="56"/>
  <c r="Z356" i="56"/>
  <c r="BM356" i="56" s="1"/>
  <c r="AA355" i="56"/>
  <c r="AB355" i="56" s="1"/>
  <c r="AH355" i="56" s="1"/>
  <c r="AI355" i="56" s="1"/>
  <c r="AD356" i="56" s="1"/>
  <c r="AL355" i="56"/>
  <c r="BO355" i="56" s="1"/>
  <c r="W357" i="56"/>
  <c r="X357" i="56" s="1"/>
  <c r="S358" i="56" s="1"/>
  <c r="BZ355" i="56"/>
  <c r="CA354" i="56"/>
  <c r="AT338" i="56"/>
  <c r="AU338" i="56" s="1"/>
  <c r="AP339" i="56" s="1"/>
  <c r="AX338" i="56"/>
  <c r="BC336" i="56"/>
  <c r="BF336" i="56" s="1"/>
  <c r="BP337" i="56"/>
  <c r="AY337" i="56"/>
  <c r="AZ337" i="56" s="1"/>
  <c r="BB336" i="56" l="1"/>
  <c r="BE336" i="56" s="1"/>
  <c r="BG336" i="56" s="1"/>
  <c r="W358" i="56"/>
  <c r="X358" i="56" s="1"/>
  <c r="S359" i="56" s="1"/>
  <c r="AK355" i="56"/>
  <c r="AS355" i="56"/>
  <c r="AJ355" i="56"/>
  <c r="CB337" i="56"/>
  <c r="BQ338" i="56"/>
  <c r="BZ356" i="56"/>
  <c r="BC337" i="56"/>
  <c r="BF337" i="56" s="1"/>
  <c r="AT339" i="56"/>
  <c r="AU339" i="56" s="1"/>
  <c r="AP340" i="56" s="1"/>
  <c r="AX339" i="56"/>
  <c r="AW338" i="56"/>
  <c r="AV338" i="56"/>
  <c r="AA356" i="56"/>
  <c r="AB356" i="56" s="1"/>
  <c r="AH356" i="56" s="1"/>
  <c r="AI356" i="56" s="1"/>
  <c r="AD357" i="56" s="1"/>
  <c r="Y357" i="56"/>
  <c r="AG357" i="56"/>
  <c r="AL356" i="56"/>
  <c r="BO356" i="56" s="1"/>
  <c r="BP338" i="56" l="1"/>
  <c r="AY338" i="56"/>
  <c r="AZ338" i="56" s="1"/>
  <c r="AL357" i="56"/>
  <c r="AS356" i="56"/>
  <c r="AJ356" i="56"/>
  <c r="AK356" i="56"/>
  <c r="AT340" i="56"/>
  <c r="AU340" i="56" s="1"/>
  <c r="AP341" i="56" s="1"/>
  <c r="AX340" i="56"/>
  <c r="BB337" i="56"/>
  <c r="BE337" i="56" s="1"/>
  <c r="BG337" i="56" s="1"/>
  <c r="Y358" i="56"/>
  <c r="AG358" i="56"/>
  <c r="W359" i="56"/>
  <c r="BQ339" i="56"/>
  <c r="BL357" i="56"/>
  <c r="Z357" i="56"/>
  <c r="BM357" i="56" s="1"/>
  <c r="AW339" i="56"/>
  <c r="AV339" i="56"/>
  <c r="AM355" i="56"/>
  <c r="AN355" i="56" s="1"/>
  <c r="BN355" i="56"/>
  <c r="AA357" i="56" l="1"/>
  <c r="AB357" i="56" s="1"/>
  <c r="AH357" i="56" s="1"/>
  <c r="AI357" i="56" s="1"/>
  <c r="AD358" i="56" s="1"/>
  <c r="AL358" i="56" s="1"/>
  <c r="AT341" i="56"/>
  <c r="AU341" i="56" s="1"/>
  <c r="AP342" i="56" s="1"/>
  <c r="AX341" i="56"/>
  <c r="Y359" i="56"/>
  <c r="AG359" i="56"/>
  <c r="CA355" i="56"/>
  <c r="BP339" i="56"/>
  <c r="AY339" i="56"/>
  <c r="AZ339" i="56" s="1"/>
  <c r="BZ357" i="56"/>
  <c r="X359" i="56"/>
  <c r="S360" i="56" s="1"/>
  <c r="BL358" i="56"/>
  <c r="Z358" i="56"/>
  <c r="BM358" i="56" s="1"/>
  <c r="BQ340" i="56"/>
  <c r="BC338" i="56"/>
  <c r="BF338" i="56" s="1"/>
  <c r="AV340" i="56"/>
  <c r="AW340" i="56"/>
  <c r="BO357" i="56"/>
  <c r="CB338" i="56"/>
  <c r="AM356" i="56"/>
  <c r="AN356" i="56" s="1"/>
  <c r="BN356" i="56"/>
  <c r="AA358" i="56" l="1"/>
  <c r="AB358" i="56" s="1"/>
  <c r="AH358" i="56" s="1"/>
  <c r="AJ358" i="56" s="1"/>
  <c r="AJ357" i="56"/>
  <c r="AS357" i="56"/>
  <c r="AK357" i="56"/>
  <c r="CA356" i="56"/>
  <c r="W360" i="56"/>
  <c r="X360" i="56" s="1"/>
  <c r="S361" i="56" s="1"/>
  <c r="BC339" i="56"/>
  <c r="BF339" i="56" s="1"/>
  <c r="CB339" i="56"/>
  <c r="BL359" i="56"/>
  <c r="Z359" i="56"/>
  <c r="BM359" i="56" s="1"/>
  <c r="AT342" i="56"/>
  <c r="AU342" i="56" s="1"/>
  <c r="AP343" i="56" s="1"/>
  <c r="AX342" i="56"/>
  <c r="BP340" i="56"/>
  <c r="AY340" i="56"/>
  <c r="AZ340" i="56" s="1"/>
  <c r="BZ358" i="56"/>
  <c r="BQ341" i="56"/>
  <c r="BB338" i="56"/>
  <c r="BE338" i="56" s="1"/>
  <c r="BG338" i="56" s="1"/>
  <c r="BO358" i="56"/>
  <c r="AV341" i="56"/>
  <c r="AW341" i="56"/>
  <c r="AI358" i="56" l="1"/>
  <c r="AD359" i="56" s="1"/>
  <c r="AL359" i="56" s="1"/>
  <c r="BO359" i="56" s="1"/>
  <c r="AS358" i="56"/>
  <c r="AK358" i="56"/>
  <c r="AM358" i="56" s="1"/>
  <c r="AN358" i="56" s="1"/>
  <c r="AM357" i="56"/>
  <c r="AN357" i="56" s="1"/>
  <c r="BN357" i="56"/>
  <c r="CA357" i="56" s="1"/>
  <c r="AA359" i="56"/>
  <c r="AB359" i="56" s="1"/>
  <c r="AH359" i="56" s="1"/>
  <c r="AS359" i="56" s="1"/>
  <c r="BB339" i="56"/>
  <c r="BE339" i="56" s="1"/>
  <c r="BG339" i="56" s="1"/>
  <c r="W361" i="56"/>
  <c r="X361" i="56" s="1"/>
  <c r="S362" i="56" s="1"/>
  <c r="BQ342" i="56"/>
  <c r="BP341" i="56"/>
  <c r="AY341" i="56"/>
  <c r="AZ341" i="56" s="1"/>
  <c r="BC340" i="56"/>
  <c r="BF340" i="56" s="1"/>
  <c r="AW342" i="56"/>
  <c r="AV342" i="56"/>
  <c r="BZ359" i="56"/>
  <c r="CB340" i="56"/>
  <c r="AT343" i="56"/>
  <c r="AU343" i="56" s="1"/>
  <c r="AP344" i="56" s="1"/>
  <c r="AX343" i="56"/>
  <c r="Y360" i="56"/>
  <c r="AG360" i="56"/>
  <c r="AK359" i="56" l="1"/>
  <c r="AM359" i="56" s="1"/>
  <c r="AN359" i="56" s="1"/>
  <c r="BN358" i="56"/>
  <c r="CA358" i="56" s="1"/>
  <c r="AI359" i="56"/>
  <c r="AD360" i="56" s="1"/>
  <c r="AL360" i="56" s="1"/>
  <c r="AJ359" i="56"/>
  <c r="BB340" i="56"/>
  <c r="BE340" i="56" s="1"/>
  <c r="BG340" i="56" s="1"/>
  <c r="BL360" i="56"/>
  <c r="Z360" i="56"/>
  <c r="BM360" i="56" s="1"/>
  <c r="AW343" i="56"/>
  <c r="AV343" i="56"/>
  <c r="Y361" i="56"/>
  <c r="AG361" i="56"/>
  <c r="BP342" i="56"/>
  <c r="AY342" i="56"/>
  <c r="AZ342" i="56" s="1"/>
  <c r="W362" i="56"/>
  <c r="AT344" i="56"/>
  <c r="AX344" i="56"/>
  <c r="BC341" i="56"/>
  <c r="BF341" i="56" s="1"/>
  <c r="BQ343" i="56"/>
  <c r="CB341" i="56"/>
  <c r="BN359" i="56" l="1"/>
  <c r="CA359" i="56" s="1"/>
  <c r="AA360" i="56"/>
  <c r="AB360" i="56" s="1"/>
  <c r="AH360" i="56" s="1"/>
  <c r="AK360" i="56" s="1"/>
  <c r="BO360" i="56"/>
  <c r="AV344" i="56"/>
  <c r="AW344" i="56"/>
  <c r="Y362" i="56"/>
  <c r="AG362" i="56"/>
  <c r="CB342" i="56"/>
  <c r="AU344" i="56"/>
  <c r="AP345" i="56" s="1"/>
  <c r="X362" i="56"/>
  <c r="S363" i="56" s="1"/>
  <c r="BL361" i="56"/>
  <c r="Z361" i="56"/>
  <c r="BM361" i="56" s="1"/>
  <c r="BB341" i="56"/>
  <c r="BE341" i="56" s="1"/>
  <c r="BG341" i="56" s="1"/>
  <c r="BQ344" i="56"/>
  <c r="BP343" i="56"/>
  <c r="AY343" i="56"/>
  <c r="AZ343" i="56" s="1"/>
  <c r="BZ360" i="56"/>
  <c r="BC342" i="56"/>
  <c r="BF342" i="56" s="1"/>
  <c r="AS360" i="56" l="1"/>
  <c r="AA361" i="56"/>
  <c r="AB361" i="56" s="1"/>
  <c r="AH361" i="56" s="1"/>
  <c r="AS361" i="56" s="1"/>
  <c r="AJ360" i="56"/>
  <c r="AI360" i="56"/>
  <c r="AD361" i="56" s="1"/>
  <c r="AL361" i="56" s="1"/>
  <c r="BO361" i="56" s="1"/>
  <c r="BZ361" i="56"/>
  <c r="BL362" i="56"/>
  <c r="Z362" i="56"/>
  <c r="BM362" i="56" s="1"/>
  <c r="BP344" i="56"/>
  <c r="AY344" i="56"/>
  <c r="AZ344" i="56" s="1"/>
  <c r="BB342" i="56"/>
  <c r="BE342" i="56" s="1"/>
  <c r="BG342" i="56" s="1"/>
  <c r="BC343" i="56"/>
  <c r="BF343" i="56" s="1"/>
  <c r="AT345" i="56"/>
  <c r="AU345" i="56" s="1"/>
  <c r="AP346" i="56" s="1"/>
  <c r="AX345" i="56"/>
  <c r="AM360" i="56"/>
  <c r="AN360" i="56" s="1"/>
  <c r="BN360" i="56"/>
  <c r="CB343" i="56"/>
  <c r="W363" i="56"/>
  <c r="X363" i="56" s="1"/>
  <c r="S364" i="56" s="1"/>
  <c r="AJ361" i="56" l="1"/>
  <c r="AI361" i="56"/>
  <c r="AD362" i="56" s="1"/>
  <c r="AL362" i="56" s="1"/>
  <c r="BO362" i="56" s="1"/>
  <c r="AK361" i="56"/>
  <c r="BN361" i="56" s="1"/>
  <c r="BQ345" i="56"/>
  <c r="Y363" i="56"/>
  <c r="AG363" i="56"/>
  <c r="AA362" i="56"/>
  <c r="AB362" i="56" s="1"/>
  <c r="AH362" i="56" s="1"/>
  <c r="W364" i="56"/>
  <c r="X364" i="56" s="1"/>
  <c r="S365" i="56" s="1"/>
  <c r="CA360" i="56"/>
  <c r="AT346" i="56"/>
  <c r="AU346" i="56" s="1"/>
  <c r="AP347" i="56" s="1"/>
  <c r="AX346" i="56"/>
  <c r="BC344" i="56"/>
  <c r="BF344" i="56" s="1"/>
  <c r="BB343" i="56"/>
  <c r="BE343" i="56" s="1"/>
  <c r="BG343" i="56" s="1"/>
  <c r="AW345" i="56"/>
  <c r="AV345" i="56"/>
  <c r="CB344" i="56"/>
  <c r="BZ362" i="56"/>
  <c r="AM361" i="56" l="1"/>
  <c r="AN361" i="56" s="1"/>
  <c r="BB344" i="56"/>
  <c r="BE344" i="56" s="1"/>
  <c r="BG344" i="56" s="1"/>
  <c r="AW346" i="56"/>
  <c r="AV346" i="56"/>
  <c r="W365" i="56"/>
  <c r="BL363" i="56"/>
  <c r="Z363" i="56"/>
  <c r="BM363" i="56" s="1"/>
  <c r="BP345" i="56"/>
  <c r="AY345" i="56"/>
  <c r="AZ345" i="56" s="1"/>
  <c r="AJ362" i="56"/>
  <c r="AS362" i="56"/>
  <c r="AK362" i="56"/>
  <c r="AT347" i="56"/>
  <c r="AX347" i="56"/>
  <c r="AI362" i="56"/>
  <c r="AD363" i="56" s="1"/>
  <c r="BQ346" i="56"/>
  <c r="Y364" i="56"/>
  <c r="AG364" i="56"/>
  <c r="CA361" i="56"/>
  <c r="AA363" i="56" l="1"/>
  <c r="AB363" i="56" s="1"/>
  <c r="AH363" i="56" s="1"/>
  <c r="AK363" i="56" s="1"/>
  <c r="BN363" i="56" s="1"/>
  <c r="AW347" i="56"/>
  <c r="AV347" i="56"/>
  <c r="Y365" i="56"/>
  <c r="AG365" i="56"/>
  <c r="AL363" i="56"/>
  <c r="BO363" i="56" s="1"/>
  <c r="AM362" i="56"/>
  <c r="AN362" i="56" s="1"/>
  <c r="BN362" i="56"/>
  <c r="BC345" i="56"/>
  <c r="BF345" i="56" s="1"/>
  <c r="X365" i="56"/>
  <c r="S366" i="56" s="1"/>
  <c r="BL364" i="56"/>
  <c r="Z364" i="56"/>
  <c r="BM364" i="56" s="1"/>
  <c r="AU347" i="56"/>
  <c r="AP348" i="56" s="1"/>
  <c r="CB345" i="56"/>
  <c r="BQ347" i="56"/>
  <c r="BZ363" i="56"/>
  <c r="BP346" i="56"/>
  <c r="AY346" i="56"/>
  <c r="AZ346" i="56" s="1"/>
  <c r="AJ363" i="56" l="1"/>
  <c r="CA363" i="56"/>
  <c r="AI363" i="56"/>
  <c r="AD364" i="56" s="1"/>
  <c r="AL364" i="56" s="1"/>
  <c r="BO364" i="56" s="1"/>
  <c r="AS363" i="56"/>
  <c r="BB345" i="56"/>
  <c r="BE345" i="56" s="1"/>
  <c r="BG345" i="56" s="1"/>
  <c r="BC346" i="56"/>
  <c r="BF346" i="56" s="1"/>
  <c r="AA364" i="56"/>
  <c r="AB364" i="56" s="1"/>
  <c r="AH364" i="56" s="1"/>
  <c r="AT348" i="56"/>
  <c r="AU348" i="56" s="1"/>
  <c r="AP349" i="56" s="1"/>
  <c r="AX348" i="56"/>
  <c r="BZ364" i="56"/>
  <c r="CB346" i="56"/>
  <c r="W366" i="56"/>
  <c r="X366" i="56" s="1"/>
  <c r="S367" i="56" s="1"/>
  <c r="CA362" i="56"/>
  <c r="BL365" i="56"/>
  <c r="Z365" i="56"/>
  <c r="BM365" i="56" s="1"/>
  <c r="BP347" i="56"/>
  <c r="AY347" i="56"/>
  <c r="AZ347" i="56" s="1"/>
  <c r="AM363" i="56"/>
  <c r="AN363" i="56" s="1"/>
  <c r="AI364" i="56" l="1"/>
  <c r="AD365" i="56" s="1"/>
  <c r="AL365" i="56" s="1"/>
  <c r="BO365" i="56" s="1"/>
  <c r="AA365" i="56"/>
  <c r="AB365" i="56" s="1"/>
  <c r="AH365" i="56" s="1"/>
  <c r="AS365" i="56" s="1"/>
  <c r="BB346" i="56"/>
  <c r="BE346" i="56" s="1"/>
  <c r="BG346" i="56" s="1"/>
  <c r="AT349" i="56"/>
  <c r="AU349" i="56" s="1"/>
  <c r="AP350" i="56" s="1"/>
  <c r="AX349" i="56"/>
  <c r="W367" i="56"/>
  <c r="BZ365" i="56"/>
  <c r="BC347" i="56"/>
  <c r="BF347" i="56" s="1"/>
  <c r="AJ364" i="56"/>
  <c r="AS364" i="56"/>
  <c r="AK364" i="56"/>
  <c r="CB347" i="56"/>
  <c r="Y366" i="56"/>
  <c r="AG366" i="56"/>
  <c r="BQ348" i="56"/>
  <c r="AW348" i="56"/>
  <c r="AV348" i="56"/>
  <c r="AJ365" i="56" l="1"/>
  <c r="AI365" i="56"/>
  <c r="AD366" i="56" s="1"/>
  <c r="AL366" i="56" s="1"/>
  <c r="AK365" i="56"/>
  <c r="AM365" i="56" s="1"/>
  <c r="AN365" i="56" s="1"/>
  <c r="BB347" i="56"/>
  <c r="BE347" i="56" s="1"/>
  <c r="BG347" i="56" s="1"/>
  <c r="AT350" i="56"/>
  <c r="AU350" i="56" s="1"/>
  <c r="AP351" i="56" s="1"/>
  <c r="AX350" i="56"/>
  <c r="BP348" i="56"/>
  <c r="AY348" i="56"/>
  <c r="AZ348" i="56" s="1"/>
  <c r="BQ349" i="56"/>
  <c r="Y367" i="56"/>
  <c r="AG367" i="56"/>
  <c r="AW349" i="56"/>
  <c r="AV349" i="56"/>
  <c r="BL366" i="56"/>
  <c r="Z366" i="56"/>
  <c r="BM366" i="56" s="1"/>
  <c r="AM364" i="56"/>
  <c r="AN364" i="56" s="1"/>
  <c r="BN364" i="56"/>
  <c r="X367" i="56"/>
  <c r="S368" i="56" s="1"/>
  <c r="BN365" i="56" l="1"/>
  <c r="CA365" i="56" s="1"/>
  <c r="BO366" i="56"/>
  <c r="AA366" i="56"/>
  <c r="AB366" i="56" s="1"/>
  <c r="AH366" i="56" s="1"/>
  <c r="AJ366" i="56" s="1"/>
  <c r="W368" i="56"/>
  <c r="BP349" i="56"/>
  <c r="AY349" i="56"/>
  <c r="AZ349" i="56" s="1"/>
  <c r="BQ350" i="56"/>
  <c r="CA364" i="56"/>
  <c r="BZ366" i="56"/>
  <c r="BL367" i="56"/>
  <c r="Z367" i="56"/>
  <c r="BM367" i="56" s="1"/>
  <c r="CB348" i="56"/>
  <c r="AT351" i="56"/>
  <c r="AU351" i="56" s="1"/>
  <c r="AP352" i="56" s="1"/>
  <c r="AX351" i="56"/>
  <c r="BC348" i="56"/>
  <c r="BF348" i="56" s="1"/>
  <c r="AV350" i="56"/>
  <c r="AW350" i="56"/>
  <c r="AS366" i="56" l="1"/>
  <c r="AI366" i="56"/>
  <c r="AD367" i="56" s="1"/>
  <c r="AL367" i="56" s="1"/>
  <c r="BO367" i="56" s="1"/>
  <c r="AK366" i="56"/>
  <c r="AM366" i="56" s="1"/>
  <c r="AN366" i="56" s="1"/>
  <c r="BB348" i="56"/>
  <c r="BE348" i="56" s="1"/>
  <c r="BG348" i="56" s="1"/>
  <c r="AA367" i="56"/>
  <c r="AB367" i="56" s="1"/>
  <c r="AH367" i="56" s="1"/>
  <c r="CB349" i="56"/>
  <c r="BQ351" i="56"/>
  <c r="AT352" i="56"/>
  <c r="AU352" i="56" s="1"/>
  <c r="AP353" i="56" s="1"/>
  <c r="AX352" i="56"/>
  <c r="Y368" i="56"/>
  <c r="AG368" i="56"/>
  <c r="BP350" i="56"/>
  <c r="AY350" i="56"/>
  <c r="AZ350" i="56" s="1"/>
  <c r="AV351" i="56"/>
  <c r="AW351" i="56"/>
  <c r="BZ367" i="56"/>
  <c r="BC349" i="56"/>
  <c r="BF349" i="56" s="1"/>
  <c r="X368" i="56"/>
  <c r="S369" i="56" s="1"/>
  <c r="BN366" i="56" l="1"/>
  <c r="CA366" i="56" s="1"/>
  <c r="AT353" i="56"/>
  <c r="AX353" i="56"/>
  <c r="BB349" i="56"/>
  <c r="BE349" i="56" s="1"/>
  <c r="BG349" i="56" s="1"/>
  <c r="BP351" i="56"/>
  <c r="AY351" i="56"/>
  <c r="AZ351" i="56" s="1"/>
  <c r="CB350" i="56"/>
  <c r="AS367" i="56"/>
  <c r="AK367" i="56"/>
  <c r="AJ367" i="56"/>
  <c r="W369" i="56"/>
  <c r="BL368" i="56"/>
  <c r="Z368" i="56"/>
  <c r="BM368" i="56" s="1"/>
  <c r="BQ352" i="56"/>
  <c r="BC350" i="56"/>
  <c r="BF350" i="56" s="1"/>
  <c r="AV352" i="56"/>
  <c r="AW352" i="56"/>
  <c r="AI367" i="56"/>
  <c r="AD368" i="56" s="1"/>
  <c r="AA368" i="56" l="1"/>
  <c r="AB368" i="56" s="1"/>
  <c r="AH368" i="56" s="1"/>
  <c r="AS368" i="56" s="1"/>
  <c r="CB351" i="56"/>
  <c r="AW353" i="56"/>
  <c r="AV353" i="56"/>
  <c r="BB350" i="56"/>
  <c r="BE350" i="56" s="1"/>
  <c r="BG350" i="56" s="1"/>
  <c r="BZ368" i="56"/>
  <c r="Y369" i="56"/>
  <c r="AG369" i="56"/>
  <c r="AM367" i="56"/>
  <c r="AN367" i="56" s="1"/>
  <c r="BN367" i="56"/>
  <c r="AU353" i="56"/>
  <c r="AP354" i="56" s="1"/>
  <c r="AL368" i="56"/>
  <c r="BO368" i="56" s="1"/>
  <c r="BP352" i="56"/>
  <c r="AY352" i="56"/>
  <c r="AZ352" i="56" s="1"/>
  <c r="X369" i="56"/>
  <c r="S370" i="56" s="1"/>
  <c r="BC351" i="56"/>
  <c r="BF351" i="56" s="1"/>
  <c r="BQ353" i="56"/>
  <c r="AK368" i="56" l="1"/>
  <c r="BN368" i="56" s="1"/>
  <c r="AI368" i="56"/>
  <c r="AD369" i="56" s="1"/>
  <c r="AL369" i="56" s="1"/>
  <c r="AJ368" i="56"/>
  <c r="BB351" i="56"/>
  <c r="BE351" i="56" s="1"/>
  <c r="BG351" i="56" s="1"/>
  <c r="CA367" i="56"/>
  <c r="BL369" i="56"/>
  <c r="Z369" i="56"/>
  <c r="BM369" i="56" s="1"/>
  <c r="AT354" i="56"/>
  <c r="AU354" i="56" s="1"/>
  <c r="AP355" i="56" s="1"/>
  <c r="AX354" i="56"/>
  <c r="BP353" i="56"/>
  <c r="AY353" i="56"/>
  <c r="AZ353" i="56" s="1"/>
  <c r="W370" i="56"/>
  <c r="CB352" i="56"/>
  <c r="BC352" i="56"/>
  <c r="BF352" i="56" s="1"/>
  <c r="AM368" i="56" l="1"/>
  <c r="AN368" i="56" s="1"/>
  <c r="BO369" i="56"/>
  <c r="BB352" i="56"/>
  <c r="BE352" i="56" s="1"/>
  <c r="BG352" i="56" s="1"/>
  <c r="Y370" i="56"/>
  <c r="AG370" i="56"/>
  <c r="AA369" i="56"/>
  <c r="AB369" i="56" s="1"/>
  <c r="AH369" i="56" s="1"/>
  <c r="AT355" i="56"/>
  <c r="AU355" i="56" s="1"/>
  <c r="AP356" i="56" s="1"/>
  <c r="AX355" i="56"/>
  <c r="BC353" i="56"/>
  <c r="BF353" i="56" s="1"/>
  <c r="BQ354" i="56"/>
  <c r="X370" i="56"/>
  <c r="S371" i="56" s="1"/>
  <c r="CB353" i="56"/>
  <c r="AV354" i="56"/>
  <c r="AW354" i="56"/>
  <c r="BZ369" i="56"/>
  <c r="CA368" i="56"/>
  <c r="BB353" i="56" l="1"/>
  <c r="BE353" i="56" s="1"/>
  <c r="BG353" i="56" s="1"/>
  <c r="AT356" i="56"/>
  <c r="AU356" i="56" s="1"/>
  <c r="AP357" i="56" s="1"/>
  <c r="AX356" i="56"/>
  <c r="BP354" i="56"/>
  <c r="AY354" i="56"/>
  <c r="AZ354" i="56" s="1"/>
  <c r="W371" i="56"/>
  <c r="X371" i="56" s="1"/>
  <c r="S372" i="56" s="1"/>
  <c r="BQ355" i="56"/>
  <c r="BL370" i="56"/>
  <c r="Z370" i="56"/>
  <c r="BM370" i="56" s="1"/>
  <c r="AW355" i="56"/>
  <c r="AV355" i="56"/>
  <c r="AJ369" i="56"/>
  <c r="AS369" i="56"/>
  <c r="AI369" i="56"/>
  <c r="AD370" i="56" s="1"/>
  <c r="AK369" i="56"/>
  <c r="AA370" i="56" l="1"/>
  <c r="AB370" i="56" s="1"/>
  <c r="AH370" i="56" s="1"/>
  <c r="AJ370" i="56" s="1"/>
  <c r="AT357" i="56"/>
  <c r="AU357" i="56" s="1"/>
  <c r="AP358" i="56" s="1"/>
  <c r="AX357" i="56"/>
  <c r="AM369" i="56"/>
  <c r="AN369" i="56" s="1"/>
  <c r="BN369" i="56"/>
  <c r="AL370" i="56"/>
  <c r="BO370" i="56" s="1"/>
  <c r="BP355" i="56"/>
  <c r="AY355" i="56"/>
  <c r="AZ355" i="56" s="1"/>
  <c r="Y371" i="56"/>
  <c r="AG371" i="56"/>
  <c r="CB354" i="56"/>
  <c r="BQ356" i="56"/>
  <c r="BZ370" i="56"/>
  <c r="W372" i="56"/>
  <c r="X372" i="56" s="1"/>
  <c r="S373" i="56" s="1"/>
  <c r="AV356" i="56"/>
  <c r="AW356" i="56"/>
  <c r="BC354" i="56"/>
  <c r="BF354" i="56" s="1"/>
  <c r="AI370" i="56" l="1"/>
  <c r="AD371" i="56" s="1"/>
  <c r="AL371" i="56" s="1"/>
  <c r="BB354" i="56"/>
  <c r="BE354" i="56" s="1"/>
  <c r="BG354" i="56" s="1"/>
  <c r="AS370" i="56"/>
  <c r="AK370" i="56"/>
  <c r="AM370" i="56" s="1"/>
  <c r="AN370" i="56" s="1"/>
  <c r="AT358" i="56"/>
  <c r="AU358" i="56" s="1"/>
  <c r="AP359" i="56" s="1"/>
  <c r="AX358" i="56"/>
  <c r="CA369" i="56"/>
  <c r="BQ357" i="56"/>
  <c r="Y372" i="56"/>
  <c r="AG372" i="56"/>
  <c r="BC355" i="56"/>
  <c r="BF355" i="56" s="1"/>
  <c r="BP356" i="56"/>
  <c r="AY356" i="56"/>
  <c r="AZ356" i="56" s="1"/>
  <c r="W373" i="56"/>
  <c r="X373" i="56" s="1"/>
  <c r="S374" i="56" s="1"/>
  <c r="BL371" i="56"/>
  <c r="Z371" i="56"/>
  <c r="BM371" i="56" s="1"/>
  <c r="CB355" i="56"/>
  <c r="AW357" i="56"/>
  <c r="AV357" i="56"/>
  <c r="BN370" i="56" l="1"/>
  <c r="CA370" i="56" s="1"/>
  <c r="BB355" i="56"/>
  <c r="BE355" i="56" s="1"/>
  <c r="BG355" i="56" s="1"/>
  <c r="Y373" i="56"/>
  <c r="AG373" i="56"/>
  <c r="CB356" i="56"/>
  <c r="AT359" i="56"/>
  <c r="AU359" i="56" s="1"/>
  <c r="AP360" i="56" s="1"/>
  <c r="AX359" i="56"/>
  <c r="W374" i="56"/>
  <c r="BZ371" i="56"/>
  <c r="BL372" i="56"/>
  <c r="Z372" i="56"/>
  <c r="BM372" i="56" s="1"/>
  <c r="BQ358" i="56"/>
  <c r="BP357" i="56"/>
  <c r="AY357" i="56"/>
  <c r="AZ357" i="56" s="1"/>
  <c r="AA371" i="56"/>
  <c r="AB371" i="56" s="1"/>
  <c r="AH371" i="56" s="1"/>
  <c r="BC356" i="56"/>
  <c r="BF356" i="56" s="1"/>
  <c r="BO371" i="56"/>
  <c r="AV358" i="56"/>
  <c r="AW358" i="56"/>
  <c r="BP358" i="56" l="1"/>
  <c r="AY358" i="56"/>
  <c r="AZ358" i="56" s="1"/>
  <c r="Y374" i="56"/>
  <c r="AG374" i="56"/>
  <c r="BQ359" i="56"/>
  <c r="BL373" i="56"/>
  <c r="Z373" i="56"/>
  <c r="BM373" i="56" s="1"/>
  <c r="BB356" i="56"/>
  <c r="BE356" i="56" s="1"/>
  <c r="BG356" i="56" s="1"/>
  <c r="BC357" i="56"/>
  <c r="BF357" i="56" s="1"/>
  <c r="BZ372" i="56"/>
  <c r="X374" i="56"/>
  <c r="S375" i="56" s="1"/>
  <c r="AV359" i="56"/>
  <c r="AW359" i="56"/>
  <c r="CB357" i="56"/>
  <c r="AA372" i="56"/>
  <c r="AB372" i="56" s="1"/>
  <c r="AH372" i="56" s="1"/>
  <c r="AS371" i="56"/>
  <c r="AI371" i="56"/>
  <c r="AD372" i="56" s="1"/>
  <c r="AJ371" i="56"/>
  <c r="AK371" i="56"/>
  <c r="AT360" i="56"/>
  <c r="AU360" i="56" s="1"/>
  <c r="AP361" i="56" s="1"/>
  <c r="AX360" i="56"/>
  <c r="AA373" i="56" l="1"/>
  <c r="AB373" i="56" s="1"/>
  <c r="AH373" i="56" s="1"/>
  <c r="AJ373" i="56" s="1"/>
  <c r="BP359" i="56"/>
  <c r="AY359" i="56"/>
  <c r="AZ359" i="56" s="1"/>
  <c r="AV360" i="56"/>
  <c r="AW360" i="56"/>
  <c r="AI372" i="56"/>
  <c r="AD373" i="56" s="1"/>
  <c r="AL372" i="56"/>
  <c r="BO372" i="56" s="1"/>
  <c r="BB357" i="56"/>
  <c r="BE357" i="56" s="1"/>
  <c r="BG357" i="56" s="1"/>
  <c r="AT361" i="56"/>
  <c r="AU361" i="56" s="1"/>
  <c r="AP362" i="56" s="1"/>
  <c r="AX361" i="56"/>
  <c r="AM371" i="56"/>
  <c r="AN371" i="56" s="1"/>
  <c r="BN371" i="56"/>
  <c r="AJ372" i="56"/>
  <c r="AK372" i="56"/>
  <c r="AS372" i="56"/>
  <c r="W375" i="56"/>
  <c r="X375" i="56" s="1"/>
  <c r="S376" i="56" s="1"/>
  <c r="BC358" i="56"/>
  <c r="BF358" i="56" s="1"/>
  <c r="BZ373" i="56"/>
  <c r="BL374" i="56"/>
  <c r="Z374" i="56"/>
  <c r="BM374" i="56" s="1"/>
  <c r="CB358" i="56"/>
  <c r="BQ360" i="56"/>
  <c r="AA374" i="56" l="1"/>
  <c r="AB374" i="56" s="1"/>
  <c r="AH374" i="56" s="1"/>
  <c r="AJ374" i="56" s="1"/>
  <c r="BB358" i="56"/>
  <c r="BE358" i="56" s="1"/>
  <c r="BG358" i="56" s="1"/>
  <c r="AS373" i="56"/>
  <c r="AK373" i="56"/>
  <c r="BN373" i="56" s="1"/>
  <c r="W376" i="56"/>
  <c r="AM372" i="56"/>
  <c r="AN372" i="56" s="1"/>
  <c r="BN372" i="56"/>
  <c r="AT362" i="56"/>
  <c r="AU362" i="56" s="1"/>
  <c r="AP363" i="56" s="1"/>
  <c r="AX362" i="56"/>
  <c r="AI373" i="56"/>
  <c r="AD374" i="56" s="1"/>
  <c r="AL373" i="56"/>
  <c r="BO373" i="56" s="1"/>
  <c r="BQ361" i="56"/>
  <c r="BP360" i="56"/>
  <c r="AY360" i="56"/>
  <c r="AZ360" i="56" s="1"/>
  <c r="BC359" i="56"/>
  <c r="BF359" i="56" s="1"/>
  <c r="BZ374" i="56"/>
  <c r="Y375" i="56"/>
  <c r="AG375" i="56"/>
  <c r="CA371" i="56"/>
  <c r="AV361" i="56"/>
  <c r="AW361" i="56"/>
  <c r="CB359" i="56"/>
  <c r="AK374" i="56" l="1"/>
  <c r="BN374" i="56" s="1"/>
  <c r="AS374" i="56"/>
  <c r="AT363" i="56"/>
  <c r="AU363" i="56" s="1"/>
  <c r="AP364" i="56" s="1"/>
  <c r="AX363" i="56"/>
  <c r="BC360" i="56"/>
  <c r="BF360" i="56" s="1"/>
  <c r="BL375" i="56"/>
  <c r="Z375" i="56"/>
  <c r="BM375" i="56" s="1"/>
  <c r="BB359" i="56"/>
  <c r="BE359" i="56" s="1"/>
  <c r="BG359" i="56" s="1"/>
  <c r="CB360" i="56"/>
  <c r="AI374" i="56"/>
  <c r="AD375" i="56" s="1"/>
  <c r="AL374" i="56"/>
  <c r="BQ362" i="56"/>
  <c r="CA373" i="56"/>
  <c r="AV362" i="56"/>
  <c r="AW362" i="56"/>
  <c r="Y376" i="56"/>
  <c r="AG376" i="56"/>
  <c r="BP361" i="56"/>
  <c r="AY361" i="56"/>
  <c r="AZ361" i="56" s="1"/>
  <c r="AM373" i="56"/>
  <c r="AN373" i="56" s="1"/>
  <c r="CA372" i="56"/>
  <c r="X376" i="56"/>
  <c r="S377" i="56" s="1"/>
  <c r="AA375" i="56" l="1"/>
  <c r="AB375" i="56" s="1"/>
  <c r="AH375" i="56" s="1"/>
  <c r="AJ375" i="56" s="1"/>
  <c r="W377" i="56"/>
  <c r="X377" i="56" s="1"/>
  <c r="S378" i="56" s="1"/>
  <c r="BL376" i="56"/>
  <c r="Z376" i="56"/>
  <c r="BM376" i="56" s="1"/>
  <c r="BO374" i="56"/>
  <c r="AM374" i="56"/>
  <c r="AN374" i="56" s="1"/>
  <c r="BZ375" i="56"/>
  <c r="CB361" i="56"/>
  <c r="BC361" i="56"/>
  <c r="BF361" i="56" s="1"/>
  <c r="BP362" i="56"/>
  <c r="AY362" i="56"/>
  <c r="AZ362" i="56" s="1"/>
  <c r="AL375" i="56"/>
  <c r="BO375" i="56" s="1"/>
  <c r="BB360" i="56"/>
  <c r="BE360" i="56" s="1"/>
  <c r="BG360" i="56" s="1"/>
  <c r="AT364" i="56"/>
  <c r="AU364" i="56" s="1"/>
  <c r="AP365" i="56" s="1"/>
  <c r="AX364" i="56"/>
  <c r="BQ363" i="56"/>
  <c r="AW363" i="56"/>
  <c r="AV363" i="56"/>
  <c r="BB361" i="56" l="1"/>
  <c r="BE361" i="56" s="1"/>
  <c r="BG361" i="56" s="1"/>
  <c r="AA376" i="56"/>
  <c r="AB376" i="56" s="1"/>
  <c r="AH376" i="56" s="1"/>
  <c r="AJ376" i="56" s="1"/>
  <c r="AS375" i="56"/>
  <c r="AK375" i="56"/>
  <c r="AI375" i="56"/>
  <c r="AD376" i="56" s="1"/>
  <c r="AW364" i="56"/>
  <c r="AV364" i="56"/>
  <c r="CA374" i="56"/>
  <c r="Y377" i="56"/>
  <c r="AG377" i="56"/>
  <c r="BC362" i="56"/>
  <c r="BF362" i="56" s="1"/>
  <c r="BZ376" i="56"/>
  <c r="W378" i="56"/>
  <c r="X378" i="56" s="1"/>
  <c r="S379" i="56" s="1"/>
  <c r="AT365" i="56"/>
  <c r="AU365" i="56" s="1"/>
  <c r="AP366" i="56" s="1"/>
  <c r="AX365" i="56"/>
  <c r="CB362" i="56"/>
  <c r="BP363" i="56"/>
  <c r="AY363" i="56"/>
  <c r="AZ363" i="56" s="1"/>
  <c r="BQ364" i="56"/>
  <c r="AS376" i="56" l="1"/>
  <c r="AK376" i="56"/>
  <c r="BN376" i="56" s="1"/>
  <c r="AI376" i="56"/>
  <c r="AD377" i="56" s="1"/>
  <c r="AL377" i="56" s="1"/>
  <c r="AL376" i="56"/>
  <c r="BO376" i="56" s="1"/>
  <c r="AM375" i="56"/>
  <c r="AN375" i="56" s="1"/>
  <c r="BN375" i="56"/>
  <c r="CA375" i="56" s="1"/>
  <c r="BC363" i="56"/>
  <c r="BF363" i="56" s="1"/>
  <c r="AT366" i="56"/>
  <c r="AU366" i="56" s="1"/>
  <c r="AP367" i="56" s="1"/>
  <c r="AX366" i="56"/>
  <c r="BL377" i="56"/>
  <c r="Z377" i="56"/>
  <c r="BM377" i="56" s="1"/>
  <c r="CB363" i="56"/>
  <c r="BQ365" i="56"/>
  <c r="Y378" i="56"/>
  <c r="AG378" i="56"/>
  <c r="BB362" i="56"/>
  <c r="BE362" i="56" s="1"/>
  <c r="BG362" i="56" s="1"/>
  <c r="BP364" i="56"/>
  <c r="AY364" i="56"/>
  <c r="AZ364" i="56" s="1"/>
  <c r="AV365" i="56"/>
  <c r="AW365" i="56"/>
  <c r="W379" i="56"/>
  <c r="AM376" i="56" l="1"/>
  <c r="AN376" i="56" s="1"/>
  <c r="Y379" i="56"/>
  <c r="AG379" i="56"/>
  <c r="BP365" i="56"/>
  <c r="AY365" i="56"/>
  <c r="AZ365" i="56" s="1"/>
  <c r="CA376" i="56"/>
  <c r="CB364" i="56"/>
  <c r="AA377" i="56"/>
  <c r="AB377" i="56" s="1"/>
  <c r="AH377" i="56" s="1"/>
  <c r="BB363" i="56"/>
  <c r="BE363" i="56" s="1"/>
  <c r="BG363" i="56" s="1"/>
  <c r="AT367" i="56"/>
  <c r="AU367" i="56" s="1"/>
  <c r="AP368" i="56" s="1"/>
  <c r="AX367" i="56"/>
  <c r="BQ366" i="56"/>
  <c r="BO377" i="56"/>
  <c r="X379" i="56"/>
  <c r="S380" i="56" s="1"/>
  <c r="BC364" i="56"/>
  <c r="BF364" i="56" s="1"/>
  <c r="BL378" i="56"/>
  <c r="Z378" i="56"/>
  <c r="BM378" i="56" s="1"/>
  <c r="BZ377" i="56"/>
  <c r="AW366" i="56"/>
  <c r="AV366" i="56"/>
  <c r="BZ378" i="56" l="1"/>
  <c r="BP366" i="56"/>
  <c r="AY366" i="56"/>
  <c r="AZ366" i="56" s="1"/>
  <c r="AA378" i="56"/>
  <c r="AB378" i="56" s="1"/>
  <c r="AH378" i="56" s="1"/>
  <c r="BB364" i="56"/>
  <c r="BE364" i="56" s="1"/>
  <c r="BG364" i="56" s="1"/>
  <c r="BC365" i="56"/>
  <c r="BF365" i="56" s="1"/>
  <c r="AT368" i="56"/>
  <c r="AX368" i="56"/>
  <c r="CB365" i="56"/>
  <c r="BQ367" i="56"/>
  <c r="AI377" i="56"/>
  <c r="AD378" i="56" s="1"/>
  <c r="AJ377" i="56"/>
  <c r="AK377" i="56"/>
  <c r="AS377" i="56"/>
  <c r="W380" i="56"/>
  <c r="X380" i="56" s="1"/>
  <c r="S381" i="56" s="1"/>
  <c r="AV367" i="56"/>
  <c r="AW367" i="56"/>
  <c r="BL379" i="56"/>
  <c r="Z379" i="56"/>
  <c r="BM379" i="56" s="1"/>
  <c r="AA379" i="56" l="1"/>
  <c r="AB379" i="56" s="1"/>
  <c r="AH379" i="56" s="1"/>
  <c r="AS379" i="56" s="1"/>
  <c r="BB365" i="56"/>
  <c r="BE365" i="56" s="1"/>
  <c r="BG365" i="56" s="1"/>
  <c r="BZ379" i="56"/>
  <c r="Y380" i="56"/>
  <c r="AG380" i="56"/>
  <c r="AV368" i="56"/>
  <c r="AW368" i="56"/>
  <c r="AS378" i="56"/>
  <c r="AK378" i="56"/>
  <c r="AJ378" i="56"/>
  <c r="BP367" i="56"/>
  <c r="AY367" i="56"/>
  <c r="AZ367" i="56" s="1"/>
  <c r="W381" i="56"/>
  <c r="X381" i="56" s="1"/>
  <c r="S382" i="56" s="1"/>
  <c r="AI378" i="56"/>
  <c r="AD379" i="56" s="1"/>
  <c r="AL378" i="56"/>
  <c r="BO378" i="56" s="1"/>
  <c r="AU368" i="56"/>
  <c r="AP369" i="56" s="1"/>
  <c r="BC366" i="56"/>
  <c r="BF366" i="56" s="1"/>
  <c r="AM377" i="56"/>
  <c r="AN377" i="56" s="1"/>
  <c r="BN377" i="56"/>
  <c r="BQ368" i="56"/>
  <c r="CB366" i="56"/>
  <c r="AJ379" i="56" l="1"/>
  <c r="AK379" i="56"/>
  <c r="BN379" i="56" s="1"/>
  <c r="W382" i="56"/>
  <c r="X382" i="56" s="1"/>
  <c r="S383" i="56" s="1"/>
  <c r="BB366" i="56"/>
  <c r="BE366" i="56" s="1"/>
  <c r="BG366" i="56" s="1"/>
  <c r="Y381" i="56"/>
  <c r="AG381" i="56"/>
  <c r="CB367" i="56"/>
  <c r="BP368" i="56"/>
  <c r="AY368" i="56"/>
  <c r="AZ368" i="56" s="1"/>
  <c r="BL380" i="56"/>
  <c r="Z380" i="56"/>
  <c r="BM380" i="56" s="1"/>
  <c r="AM378" i="56"/>
  <c r="AN378" i="56" s="1"/>
  <c r="BN378" i="56"/>
  <c r="CA377" i="56"/>
  <c r="AT369" i="56"/>
  <c r="AX369" i="56"/>
  <c r="AI379" i="56"/>
  <c r="AD380" i="56" s="1"/>
  <c r="AL379" i="56"/>
  <c r="BO379" i="56" s="1"/>
  <c r="BC367" i="56"/>
  <c r="BF367" i="56" s="1"/>
  <c r="AA380" i="56" l="1"/>
  <c r="AB380" i="56" s="1"/>
  <c r="AH380" i="56" s="1"/>
  <c r="AS380" i="56" s="1"/>
  <c r="BB367" i="56"/>
  <c r="BE367" i="56" s="1"/>
  <c r="BG367" i="56" s="1"/>
  <c r="W383" i="56"/>
  <c r="X383" i="56" s="1"/>
  <c r="S384" i="56" s="1"/>
  <c r="AW369" i="56"/>
  <c r="AV369" i="56"/>
  <c r="AL380" i="56"/>
  <c r="BO380" i="56" s="1"/>
  <c r="AM379" i="56"/>
  <c r="AN379" i="56" s="1"/>
  <c r="AU369" i="56"/>
  <c r="AP370" i="56" s="1"/>
  <c r="CA378" i="56"/>
  <c r="BC368" i="56"/>
  <c r="BF368" i="56" s="1"/>
  <c r="BQ369" i="56"/>
  <c r="CB368" i="56"/>
  <c r="BL381" i="56"/>
  <c r="Z381" i="56"/>
  <c r="BM381" i="56" s="1"/>
  <c r="BZ380" i="56"/>
  <c r="CA379" i="56"/>
  <c r="Y382" i="56"/>
  <c r="AG382" i="56"/>
  <c r="AJ380" i="56" l="1"/>
  <c r="AK380" i="56"/>
  <c r="BN380" i="56" s="1"/>
  <c r="AI380" i="56"/>
  <c r="AD381" i="56" s="1"/>
  <c r="AL381" i="56" s="1"/>
  <c r="BO381" i="56" s="1"/>
  <c r="BP369" i="56"/>
  <c r="AY369" i="56"/>
  <c r="AZ369" i="56" s="1"/>
  <c r="BL382" i="56"/>
  <c r="Z382" i="56"/>
  <c r="BM382" i="56" s="1"/>
  <c r="BZ381" i="56"/>
  <c r="AA381" i="56"/>
  <c r="AB381" i="56" s="1"/>
  <c r="AH381" i="56" s="1"/>
  <c r="BB368" i="56"/>
  <c r="BE368" i="56" s="1"/>
  <c r="BG368" i="56" s="1"/>
  <c r="Y383" i="56"/>
  <c r="AG383" i="56"/>
  <c r="AT370" i="56"/>
  <c r="AU370" i="56" s="1"/>
  <c r="AP371" i="56" s="1"/>
  <c r="AX370" i="56"/>
  <c r="W384" i="56"/>
  <c r="X384" i="56" s="1"/>
  <c r="S385" i="56" s="1"/>
  <c r="AM380" i="56" l="1"/>
  <c r="AN380" i="56" s="1"/>
  <c r="AA382" i="56"/>
  <c r="AB382" i="56" s="1"/>
  <c r="AH382" i="56" s="1"/>
  <c r="AJ382" i="56" s="1"/>
  <c r="AK381" i="56"/>
  <c r="AJ381" i="56"/>
  <c r="AS381" i="56"/>
  <c r="AI381" i="56"/>
  <c r="AD382" i="56" s="1"/>
  <c r="BQ370" i="56"/>
  <c r="BZ382" i="56"/>
  <c r="BC369" i="56"/>
  <c r="BF369" i="56" s="1"/>
  <c r="CA380" i="56"/>
  <c r="AT371" i="56"/>
  <c r="AX371" i="56"/>
  <c r="Y384" i="56"/>
  <c r="AG384" i="56"/>
  <c r="AW370" i="56"/>
  <c r="AV370" i="56"/>
  <c r="BL383" i="56"/>
  <c r="Z383" i="56"/>
  <c r="BM383" i="56" s="1"/>
  <c r="W385" i="56"/>
  <c r="X385" i="56" s="1"/>
  <c r="S386" i="56" s="1"/>
  <c r="CB369" i="56"/>
  <c r="BB369" i="56" l="1"/>
  <c r="BE369" i="56" s="1"/>
  <c r="BG369" i="56" s="1"/>
  <c r="AS382" i="56"/>
  <c r="AK382" i="56"/>
  <c r="BN382" i="56" s="1"/>
  <c r="W386" i="56"/>
  <c r="BP370" i="56"/>
  <c r="AY370" i="56"/>
  <c r="AZ370" i="56" s="1"/>
  <c r="AW371" i="56"/>
  <c r="AV371" i="56"/>
  <c r="BZ383" i="56"/>
  <c r="BL384" i="56"/>
  <c r="Z384" i="56"/>
  <c r="BM384" i="56" s="1"/>
  <c r="Y385" i="56"/>
  <c r="AG385" i="56"/>
  <c r="AA383" i="56"/>
  <c r="AB383" i="56" s="1"/>
  <c r="AH383" i="56" s="1"/>
  <c r="AU371" i="56"/>
  <c r="AP372" i="56" s="1"/>
  <c r="AM381" i="56"/>
  <c r="AN381" i="56" s="1"/>
  <c r="BN381" i="56"/>
  <c r="AI382" i="56"/>
  <c r="AD383" i="56" s="1"/>
  <c r="AL382" i="56"/>
  <c r="BQ371" i="56"/>
  <c r="BZ384" i="56" l="1"/>
  <c r="BC370" i="56"/>
  <c r="BF370" i="56" s="1"/>
  <c r="AI383" i="56"/>
  <c r="AD384" i="56" s="1"/>
  <c r="AL383" i="56"/>
  <c r="BO383" i="56" s="1"/>
  <c r="CA381" i="56"/>
  <c r="AT372" i="56"/>
  <c r="AU372" i="56" s="1"/>
  <c r="AP373" i="56" s="1"/>
  <c r="AX372" i="56"/>
  <c r="AA384" i="56"/>
  <c r="AB384" i="56" s="1"/>
  <c r="AH384" i="56" s="1"/>
  <c r="BP371" i="56"/>
  <c r="AY371" i="56"/>
  <c r="AZ371" i="56" s="1"/>
  <c r="CB370" i="56"/>
  <c r="BO382" i="56"/>
  <c r="AM382" i="56"/>
  <c r="AN382" i="56" s="1"/>
  <c r="AJ383" i="56"/>
  <c r="AS383" i="56"/>
  <c r="AK383" i="56"/>
  <c r="BL385" i="56"/>
  <c r="Z385" i="56"/>
  <c r="BM385" i="56" s="1"/>
  <c r="Y386" i="56"/>
  <c r="AG386" i="56"/>
  <c r="X386" i="56"/>
  <c r="S387" i="56" s="1"/>
  <c r="AA385" i="56" l="1"/>
  <c r="AB385" i="56" s="1"/>
  <c r="AH385" i="56" s="1"/>
  <c r="AS385" i="56" s="1"/>
  <c r="W387" i="56"/>
  <c r="AM383" i="56"/>
  <c r="AN383" i="56" s="1"/>
  <c r="BN383" i="56"/>
  <c r="CA382" i="56"/>
  <c r="BC371" i="56"/>
  <c r="BF371" i="56" s="1"/>
  <c r="AI384" i="56"/>
  <c r="AD385" i="56" s="1"/>
  <c r="AL384" i="56"/>
  <c r="BO384" i="56" s="1"/>
  <c r="BL386" i="56"/>
  <c r="Z386" i="56"/>
  <c r="BM386" i="56" s="1"/>
  <c r="AS384" i="56"/>
  <c r="AK384" i="56"/>
  <c r="AJ384" i="56"/>
  <c r="BQ372" i="56"/>
  <c r="BB370" i="56"/>
  <c r="BE370" i="56" s="1"/>
  <c r="BG370" i="56" s="1"/>
  <c r="CB371" i="56"/>
  <c r="AT373" i="56"/>
  <c r="AU373" i="56" s="1"/>
  <c r="AP374" i="56" s="1"/>
  <c r="AX373" i="56"/>
  <c r="BZ385" i="56"/>
  <c r="AW372" i="56"/>
  <c r="AV372" i="56"/>
  <c r="AK385" i="56" l="1"/>
  <c r="BN385" i="56" s="1"/>
  <c r="AJ385" i="56"/>
  <c r="AA386" i="56"/>
  <c r="AB386" i="56" s="1"/>
  <c r="AH386" i="56" s="1"/>
  <c r="AS386" i="56" s="1"/>
  <c r="AT374" i="56"/>
  <c r="AU374" i="56" s="1"/>
  <c r="AP375" i="56" s="1"/>
  <c r="AX374" i="56"/>
  <c r="CA383" i="56"/>
  <c r="AI385" i="56"/>
  <c r="AD386" i="56" s="1"/>
  <c r="AL385" i="56"/>
  <c r="BO385" i="56" s="1"/>
  <c r="AM384" i="56"/>
  <c r="AN384" i="56" s="1"/>
  <c r="BN384" i="56"/>
  <c r="BP372" i="56"/>
  <c r="AY372" i="56"/>
  <c r="AZ372" i="56" s="1"/>
  <c r="BQ373" i="56"/>
  <c r="BZ386" i="56"/>
  <c r="Y387" i="56"/>
  <c r="AG387" i="56"/>
  <c r="AW373" i="56"/>
  <c r="AV373" i="56"/>
  <c r="BB371" i="56"/>
  <c r="BE371" i="56" s="1"/>
  <c r="BG371" i="56" s="1"/>
  <c r="X387" i="56"/>
  <c r="S388" i="56" s="1"/>
  <c r="AM385" i="56" l="1"/>
  <c r="AN385" i="56" s="1"/>
  <c r="AJ386" i="56"/>
  <c r="AK386" i="56"/>
  <c r="BN386" i="56" s="1"/>
  <c r="BP373" i="56"/>
  <c r="AY373" i="56"/>
  <c r="AZ373" i="56" s="1"/>
  <c r="BC372" i="56"/>
  <c r="BF372" i="56" s="1"/>
  <c r="W388" i="56"/>
  <c r="X388" i="56" s="1"/>
  <c r="S389" i="56" s="1"/>
  <c r="CB372" i="56"/>
  <c r="AT375" i="56"/>
  <c r="AU375" i="56" s="1"/>
  <c r="AP376" i="56" s="1"/>
  <c r="AX375" i="56"/>
  <c r="BL387" i="56"/>
  <c r="Z387" i="56"/>
  <c r="BM387" i="56" s="1"/>
  <c r="CA384" i="56"/>
  <c r="AI386" i="56"/>
  <c r="AD387" i="56" s="1"/>
  <c r="AL386" i="56"/>
  <c r="BQ374" i="56"/>
  <c r="CA385" i="56"/>
  <c r="AW374" i="56"/>
  <c r="AV374" i="56"/>
  <c r="AA387" i="56" l="1"/>
  <c r="AB387" i="56" s="1"/>
  <c r="AH387" i="56" s="1"/>
  <c r="AJ387" i="56" s="1"/>
  <c r="BB372" i="56"/>
  <c r="BE372" i="56" s="1"/>
  <c r="BG372" i="56" s="1"/>
  <c r="AL387" i="56"/>
  <c r="BO387" i="56" s="1"/>
  <c r="AT376" i="56"/>
  <c r="AU376" i="56" s="1"/>
  <c r="AP377" i="56" s="1"/>
  <c r="AX376" i="56"/>
  <c r="Y388" i="56"/>
  <c r="AG388" i="56"/>
  <c r="BQ375" i="56"/>
  <c r="W389" i="56"/>
  <c r="X389" i="56" s="1"/>
  <c r="S390" i="56" s="1"/>
  <c r="AV375" i="56"/>
  <c r="AW375" i="56"/>
  <c r="BC373" i="56"/>
  <c r="BF373" i="56" s="1"/>
  <c r="BP374" i="56"/>
  <c r="AY374" i="56"/>
  <c r="AZ374" i="56" s="1"/>
  <c r="BO386" i="56"/>
  <c r="AM386" i="56"/>
  <c r="AN386" i="56" s="1"/>
  <c r="BZ387" i="56"/>
  <c r="CB373" i="56"/>
  <c r="AS387" i="56" l="1"/>
  <c r="AI387" i="56"/>
  <c r="AD388" i="56" s="1"/>
  <c r="AL388" i="56" s="1"/>
  <c r="AK387" i="56"/>
  <c r="AM387" i="56" s="1"/>
  <c r="AN387" i="56" s="1"/>
  <c r="W390" i="56"/>
  <c r="X390" i="56" s="1"/>
  <c r="S391" i="56" s="1"/>
  <c r="BC374" i="56"/>
  <c r="BF374" i="56" s="1"/>
  <c r="BB373" i="56"/>
  <c r="BE373" i="56" s="1"/>
  <c r="BG373" i="56" s="1"/>
  <c r="BQ376" i="56"/>
  <c r="BL388" i="56"/>
  <c r="Z388" i="56"/>
  <c r="BM388" i="56" s="1"/>
  <c r="CA386" i="56"/>
  <c r="CB374" i="56"/>
  <c r="BP375" i="56"/>
  <c r="AY375" i="56"/>
  <c r="AZ375" i="56" s="1"/>
  <c r="Y389" i="56"/>
  <c r="AG389" i="56"/>
  <c r="AT377" i="56"/>
  <c r="AU377" i="56" s="1"/>
  <c r="AP378" i="56" s="1"/>
  <c r="AX377" i="56"/>
  <c r="AW376" i="56"/>
  <c r="AV376" i="56"/>
  <c r="BN387" i="56" l="1"/>
  <c r="CA387" i="56" s="1"/>
  <c r="AA388" i="56"/>
  <c r="AB388" i="56" s="1"/>
  <c r="AH388" i="56" s="1"/>
  <c r="AS388" i="56" s="1"/>
  <c r="BO388" i="56"/>
  <c r="BB374" i="56"/>
  <c r="BE374" i="56" s="1"/>
  <c r="BG374" i="56" s="1"/>
  <c r="W391" i="56"/>
  <c r="BQ377" i="56"/>
  <c r="BC375" i="56"/>
  <c r="BF375" i="56" s="1"/>
  <c r="AT378" i="56"/>
  <c r="AU378" i="56" s="1"/>
  <c r="AP379" i="56" s="1"/>
  <c r="AX378" i="56"/>
  <c r="BP376" i="56"/>
  <c r="AY376" i="56"/>
  <c r="AZ376" i="56" s="1"/>
  <c r="AV377" i="56"/>
  <c r="AW377" i="56"/>
  <c r="CB375" i="56"/>
  <c r="BZ388" i="56"/>
  <c r="BL389" i="56"/>
  <c r="Z389" i="56"/>
  <c r="BM389" i="56" s="1"/>
  <c r="Y390" i="56"/>
  <c r="AG390" i="56"/>
  <c r="AJ388" i="56" l="1"/>
  <c r="BB375" i="56"/>
  <c r="BE375" i="56" s="1"/>
  <c r="BG375" i="56" s="1"/>
  <c r="AK388" i="56"/>
  <c r="AI388" i="56"/>
  <c r="AD389" i="56" s="1"/>
  <c r="AL389" i="56" s="1"/>
  <c r="BO389" i="56" s="1"/>
  <c r="AA389" i="56"/>
  <c r="AB389" i="56" s="1"/>
  <c r="AH389" i="56" s="1"/>
  <c r="AJ389" i="56" s="1"/>
  <c r="BL390" i="56"/>
  <c r="Z390" i="56"/>
  <c r="BM390" i="56" s="1"/>
  <c r="BZ389" i="56"/>
  <c r="AT379" i="56"/>
  <c r="AU379" i="56" s="1"/>
  <c r="AP380" i="56" s="1"/>
  <c r="AX379" i="56"/>
  <c r="BC376" i="56"/>
  <c r="BF376" i="56" s="1"/>
  <c r="BQ378" i="56"/>
  <c r="Y391" i="56"/>
  <c r="AG391" i="56"/>
  <c r="BP377" i="56"/>
  <c r="AY377" i="56"/>
  <c r="AZ377" i="56" s="1"/>
  <c r="CB376" i="56"/>
  <c r="AW378" i="56"/>
  <c r="AV378" i="56"/>
  <c r="X391" i="56"/>
  <c r="S392" i="56" s="1"/>
  <c r="AA390" i="56" l="1"/>
  <c r="AB390" i="56" s="1"/>
  <c r="AH390" i="56" s="1"/>
  <c r="AM388" i="56"/>
  <c r="AN388" i="56" s="1"/>
  <c r="BN388" i="56"/>
  <c r="CA388" i="56" s="1"/>
  <c r="AK389" i="56"/>
  <c r="AM389" i="56" s="1"/>
  <c r="AN389" i="56" s="1"/>
  <c r="AS389" i="56"/>
  <c r="BB376" i="56"/>
  <c r="BE376" i="56" s="1"/>
  <c r="BG376" i="56" s="1"/>
  <c r="AI389" i="56"/>
  <c r="AD390" i="56" s="1"/>
  <c r="AL390" i="56" s="1"/>
  <c r="BO390" i="56" s="1"/>
  <c r="BC377" i="56"/>
  <c r="BF377" i="56" s="1"/>
  <c r="AT380" i="56"/>
  <c r="AU380" i="56" s="1"/>
  <c r="AP381" i="56" s="1"/>
  <c r="AX380" i="56"/>
  <c r="W392" i="56"/>
  <c r="X392" i="56" s="1"/>
  <c r="S393" i="56" s="1"/>
  <c r="AV379" i="56"/>
  <c r="AW379" i="56"/>
  <c r="BZ390" i="56"/>
  <c r="BP378" i="56"/>
  <c r="AY378" i="56"/>
  <c r="AZ378" i="56" s="1"/>
  <c r="CB377" i="56"/>
  <c r="BL391" i="56"/>
  <c r="Z391" i="56"/>
  <c r="BM391" i="56" s="1"/>
  <c r="BQ379" i="56"/>
  <c r="AS390" i="56" l="1"/>
  <c r="AJ390" i="56"/>
  <c r="AI390" i="56"/>
  <c r="AD391" i="56" s="1"/>
  <c r="AL391" i="56" s="1"/>
  <c r="BO391" i="56" s="1"/>
  <c r="AK390" i="56"/>
  <c r="BN390" i="56" s="1"/>
  <c r="CA390" i="56" s="1"/>
  <c r="BN389" i="56"/>
  <c r="CA389" i="56" s="1"/>
  <c r="AA391" i="56"/>
  <c r="AB391" i="56" s="1"/>
  <c r="AH391" i="56" s="1"/>
  <c r="CB378" i="56"/>
  <c r="BP379" i="56"/>
  <c r="AY379" i="56"/>
  <c r="AZ379" i="56" s="1"/>
  <c r="BQ380" i="56"/>
  <c r="BB377" i="56"/>
  <c r="BE377" i="56" s="1"/>
  <c r="BG377" i="56" s="1"/>
  <c r="BZ391" i="56"/>
  <c r="BC378" i="56"/>
  <c r="BF378" i="56" s="1"/>
  <c r="Y392" i="56"/>
  <c r="AG392" i="56"/>
  <c r="AV380" i="56"/>
  <c r="AW380" i="56"/>
  <c r="W393" i="56"/>
  <c r="AT381" i="56"/>
  <c r="AU381" i="56" s="1"/>
  <c r="AP382" i="56" s="1"/>
  <c r="AX381" i="56"/>
  <c r="AM390" i="56" l="1"/>
  <c r="AN390" i="56" s="1"/>
  <c r="AI391" i="56"/>
  <c r="AD392" i="56" s="1"/>
  <c r="AL392" i="56" s="1"/>
  <c r="BB378" i="56"/>
  <c r="BE378" i="56" s="1"/>
  <c r="BG378" i="56" s="1"/>
  <c r="AT382" i="56"/>
  <c r="AU382" i="56" s="1"/>
  <c r="AP383" i="56" s="1"/>
  <c r="AX382" i="56"/>
  <c r="BQ381" i="56"/>
  <c r="BP380" i="56"/>
  <c r="AY380" i="56"/>
  <c r="AZ380" i="56" s="1"/>
  <c r="BL392" i="56"/>
  <c r="Z392" i="56"/>
  <c r="BM392" i="56" s="1"/>
  <c r="CB379" i="56"/>
  <c r="AV381" i="56"/>
  <c r="AW381" i="56"/>
  <c r="Y393" i="56"/>
  <c r="AG393" i="56"/>
  <c r="X393" i="56"/>
  <c r="S394" i="56" s="1"/>
  <c r="BC379" i="56"/>
  <c r="BF379" i="56" s="1"/>
  <c r="AJ391" i="56"/>
  <c r="AS391" i="56"/>
  <c r="AK391" i="56"/>
  <c r="AA392" i="56" l="1"/>
  <c r="AB392" i="56" s="1"/>
  <c r="AH392" i="56" s="1"/>
  <c r="AI392" i="56" s="1"/>
  <c r="AD393" i="56" s="1"/>
  <c r="AL393" i="56" s="1"/>
  <c r="BL393" i="56"/>
  <c r="Z393" i="56"/>
  <c r="BM393" i="56" s="1"/>
  <c r="BP381" i="56"/>
  <c r="AY381" i="56"/>
  <c r="AZ381" i="56" s="1"/>
  <c r="BC380" i="56"/>
  <c r="BF380" i="56" s="1"/>
  <c r="BB379" i="56"/>
  <c r="BE379" i="56" s="1"/>
  <c r="BG379" i="56" s="1"/>
  <c r="W394" i="56"/>
  <c r="BZ392" i="56"/>
  <c r="CB380" i="56"/>
  <c r="AM391" i="56"/>
  <c r="AN391" i="56" s="1"/>
  <c r="BN391" i="56"/>
  <c r="AT383" i="56"/>
  <c r="AU383" i="56" s="1"/>
  <c r="AP384" i="56" s="1"/>
  <c r="AX383" i="56"/>
  <c r="BQ382" i="56"/>
  <c r="BO392" i="56"/>
  <c r="AV382" i="56"/>
  <c r="AW382" i="56"/>
  <c r="BB380" i="56" l="1"/>
  <c r="BE380" i="56" s="1"/>
  <c r="BG380" i="56" s="1"/>
  <c r="AJ392" i="56"/>
  <c r="AS392" i="56"/>
  <c r="AK392" i="56"/>
  <c r="AM392" i="56" s="1"/>
  <c r="AN392" i="56" s="1"/>
  <c r="CB381" i="56"/>
  <c r="BQ383" i="56"/>
  <c r="Y394" i="56"/>
  <c r="AG394" i="56"/>
  <c r="X394" i="56"/>
  <c r="S395" i="56" s="1"/>
  <c r="AA393" i="56"/>
  <c r="AB393" i="56" s="1"/>
  <c r="AH393" i="56" s="1"/>
  <c r="AT384" i="56"/>
  <c r="AX384" i="56"/>
  <c r="BZ393" i="56"/>
  <c r="BP382" i="56"/>
  <c r="AY382" i="56"/>
  <c r="AZ382" i="56" s="1"/>
  <c r="AW383" i="56"/>
  <c r="AV383" i="56"/>
  <c r="CA391" i="56"/>
  <c r="BC381" i="56"/>
  <c r="BF381" i="56" s="1"/>
  <c r="BO393" i="56"/>
  <c r="BN392" i="56" l="1"/>
  <c r="CA392" i="56" s="1"/>
  <c r="BB381" i="56"/>
  <c r="BE381" i="56" s="1"/>
  <c r="BG381" i="56" s="1"/>
  <c r="BP383" i="56"/>
  <c r="AY383" i="56"/>
  <c r="AZ383" i="56" s="1"/>
  <c r="AW384" i="56"/>
  <c r="AV384" i="56"/>
  <c r="CB382" i="56"/>
  <c r="BQ384" i="56"/>
  <c r="AI393" i="56"/>
  <c r="AD394" i="56" s="1"/>
  <c r="AK393" i="56"/>
  <c r="AS393" i="56"/>
  <c r="AJ393" i="56"/>
  <c r="BL394" i="56"/>
  <c r="Z394" i="56"/>
  <c r="BM394" i="56" s="1"/>
  <c r="BC382" i="56"/>
  <c r="BF382" i="56" s="1"/>
  <c r="AU384" i="56"/>
  <c r="AP385" i="56" s="1"/>
  <c r="W395" i="56"/>
  <c r="X395" i="56" s="1"/>
  <c r="S396" i="56" s="1"/>
  <c r="BB382" i="56" l="1"/>
  <c r="BE382" i="56" s="1"/>
  <c r="BG382" i="56" s="1"/>
  <c r="AT385" i="56"/>
  <c r="AX385" i="56"/>
  <c r="CB383" i="56"/>
  <c r="Y395" i="56"/>
  <c r="AG395" i="56"/>
  <c r="W396" i="56"/>
  <c r="X396" i="56" s="1"/>
  <c r="S397" i="56" s="1"/>
  <c r="AM393" i="56"/>
  <c r="AN393" i="56" s="1"/>
  <c r="BN393" i="56"/>
  <c r="BC383" i="56"/>
  <c r="BF383" i="56" s="1"/>
  <c r="BZ394" i="56"/>
  <c r="AL394" i="56"/>
  <c r="BO394" i="56" s="1"/>
  <c r="AA394" i="56"/>
  <c r="AB394" i="56" s="1"/>
  <c r="AH394" i="56" s="1"/>
  <c r="AI394" i="56" s="1"/>
  <c r="AD395" i="56" s="1"/>
  <c r="BP384" i="56"/>
  <c r="AY384" i="56"/>
  <c r="AZ384" i="56" s="1"/>
  <c r="BB383" i="56" l="1"/>
  <c r="BE383" i="56" s="1"/>
  <c r="BG383" i="56" s="1"/>
  <c r="AL395" i="56"/>
  <c r="CA393" i="56"/>
  <c r="W397" i="56"/>
  <c r="X397" i="56" s="1"/>
  <c r="S398" i="56" s="1"/>
  <c r="AV385" i="56"/>
  <c r="AW385" i="56"/>
  <c r="BC384" i="56"/>
  <c r="BF384" i="56" s="1"/>
  <c r="CB384" i="56"/>
  <c r="AU385" i="56"/>
  <c r="AP386" i="56" s="1"/>
  <c r="AJ394" i="56"/>
  <c r="AS394" i="56"/>
  <c r="AK394" i="56"/>
  <c r="Y396" i="56"/>
  <c r="AG396" i="56"/>
  <c r="BL395" i="56"/>
  <c r="Z395" i="56"/>
  <c r="BM395" i="56" s="1"/>
  <c r="BQ385" i="56"/>
  <c r="AA395" i="56" l="1"/>
  <c r="AB395" i="56" s="1"/>
  <c r="AH395" i="56" s="1"/>
  <c r="AI395" i="56" s="1"/>
  <c r="AD396" i="56" s="1"/>
  <c r="AL396" i="56" s="1"/>
  <c r="AM394" i="56"/>
  <c r="AN394" i="56" s="1"/>
  <c r="BN394" i="56"/>
  <c r="BZ395" i="56"/>
  <c r="BB384" i="56"/>
  <c r="BE384" i="56" s="1"/>
  <c r="BG384" i="56" s="1"/>
  <c r="Y397" i="56"/>
  <c r="AG397" i="56"/>
  <c r="W398" i="56"/>
  <c r="X398" i="56" s="1"/>
  <c r="S399" i="56" s="1"/>
  <c r="BO395" i="56"/>
  <c r="BL396" i="56"/>
  <c r="Z396" i="56"/>
  <c r="BM396" i="56" s="1"/>
  <c r="AT386" i="56"/>
  <c r="AU386" i="56" s="1"/>
  <c r="AP387" i="56" s="1"/>
  <c r="AX386" i="56"/>
  <c r="BP385" i="56"/>
  <c r="AY385" i="56"/>
  <c r="AZ385" i="56" s="1"/>
  <c r="AJ395" i="56" l="1"/>
  <c r="AK395" i="56"/>
  <c r="AM395" i="56" s="1"/>
  <c r="AN395" i="56" s="1"/>
  <c r="AS395" i="56"/>
  <c r="AA396" i="56"/>
  <c r="AB396" i="56" s="1"/>
  <c r="AH396" i="56" s="1"/>
  <c r="AI396" i="56" s="1"/>
  <c r="AD397" i="56" s="1"/>
  <c r="AL397" i="56" s="1"/>
  <c r="BO396" i="56"/>
  <c r="AT387" i="56"/>
  <c r="AU387" i="56" s="1"/>
  <c r="AP388" i="56" s="1"/>
  <c r="AX387" i="56"/>
  <c r="BC385" i="56"/>
  <c r="BF385" i="56" s="1"/>
  <c r="BZ396" i="56"/>
  <c r="W399" i="56"/>
  <c r="BL397" i="56"/>
  <c r="Z397" i="56"/>
  <c r="BM397" i="56" s="1"/>
  <c r="BQ386" i="56"/>
  <c r="Y398" i="56"/>
  <c r="AG398" i="56"/>
  <c r="AW386" i="56"/>
  <c r="AV386" i="56"/>
  <c r="CB385" i="56"/>
  <c r="CA394" i="56"/>
  <c r="BN395" i="56" l="1"/>
  <c r="CA395" i="56" s="1"/>
  <c r="AK396" i="56"/>
  <c r="AM396" i="56" s="1"/>
  <c r="AN396" i="56" s="1"/>
  <c r="AS396" i="56"/>
  <c r="AA397" i="56"/>
  <c r="AB397" i="56" s="1"/>
  <c r="AH397" i="56" s="1"/>
  <c r="AI397" i="56" s="1"/>
  <c r="AD398" i="56" s="1"/>
  <c r="AL398" i="56" s="1"/>
  <c r="AJ396" i="56"/>
  <c r="Y399" i="56"/>
  <c r="AG399" i="56"/>
  <c r="BB385" i="56"/>
  <c r="BE385" i="56" s="1"/>
  <c r="BG385" i="56" s="1"/>
  <c r="X399" i="56"/>
  <c r="S400" i="56" s="1"/>
  <c r="AT388" i="56"/>
  <c r="AU388" i="56" s="1"/>
  <c r="AP389" i="56" s="1"/>
  <c r="AX388" i="56"/>
  <c r="BP386" i="56"/>
  <c r="AY386" i="56"/>
  <c r="AZ386" i="56" s="1"/>
  <c r="BQ387" i="56"/>
  <c r="BL398" i="56"/>
  <c r="Z398" i="56"/>
  <c r="BM398" i="56" s="1"/>
  <c r="BZ397" i="56"/>
  <c r="BO397" i="56"/>
  <c r="AW387" i="56"/>
  <c r="AV387" i="56"/>
  <c r="BN396" i="56" l="1"/>
  <c r="CA396" i="56" s="1"/>
  <c r="AK397" i="56"/>
  <c r="AM397" i="56" s="1"/>
  <c r="AN397" i="56" s="1"/>
  <c r="AJ397" i="56"/>
  <c r="AS397" i="56"/>
  <c r="BZ398" i="56"/>
  <c r="BQ388" i="56"/>
  <c r="AA398" i="56"/>
  <c r="AB398" i="56" s="1"/>
  <c r="AH398" i="56" s="1"/>
  <c r="CB386" i="56"/>
  <c r="W400" i="56"/>
  <c r="X400" i="56" s="1"/>
  <c r="S401" i="56" s="1"/>
  <c r="AT389" i="56"/>
  <c r="AU389" i="56" s="1"/>
  <c r="AP390" i="56" s="1"/>
  <c r="AX389" i="56"/>
  <c r="BL399" i="56"/>
  <c r="Z399" i="56"/>
  <c r="BM399" i="56" s="1"/>
  <c r="BP387" i="56"/>
  <c r="AY387" i="56"/>
  <c r="AZ387" i="56" s="1"/>
  <c r="BO398" i="56"/>
  <c r="BC386" i="56"/>
  <c r="BF386" i="56" s="1"/>
  <c r="AV388" i="56"/>
  <c r="AW388" i="56"/>
  <c r="BN397" i="56" l="1"/>
  <c r="CA397" i="56" s="1"/>
  <c r="BB386" i="56"/>
  <c r="BE386" i="56" s="1"/>
  <c r="BG386" i="56" s="1"/>
  <c r="AA399" i="56"/>
  <c r="AB399" i="56" s="1"/>
  <c r="AH399" i="56" s="1"/>
  <c r="AK399" i="56" s="1"/>
  <c r="BN399" i="56" s="1"/>
  <c r="BP388" i="56"/>
  <c r="AY388" i="56"/>
  <c r="AZ388" i="56" s="1"/>
  <c r="BQ389" i="56"/>
  <c r="BC387" i="56"/>
  <c r="BF387" i="56" s="1"/>
  <c r="CB387" i="56"/>
  <c r="BZ399" i="56"/>
  <c r="AW389" i="56"/>
  <c r="AV389" i="56"/>
  <c r="Y400" i="56"/>
  <c r="AG400" i="56"/>
  <c r="AI398" i="56"/>
  <c r="AD399" i="56" s="1"/>
  <c r="AJ398" i="56"/>
  <c r="AS398" i="56"/>
  <c r="AK398" i="56"/>
  <c r="AT390" i="56"/>
  <c r="AU390" i="56" s="1"/>
  <c r="AP391" i="56" s="1"/>
  <c r="AX390" i="56"/>
  <c r="W401" i="56"/>
  <c r="X401" i="56" s="1"/>
  <c r="S402" i="56" s="1"/>
  <c r="AJ399" i="56" l="1"/>
  <c r="AS399" i="56"/>
  <c r="BB387" i="56"/>
  <c r="BE387" i="56" s="1"/>
  <c r="BG387" i="56" s="1"/>
  <c r="AT391" i="56"/>
  <c r="AU391" i="56" s="1"/>
  <c r="AP392" i="56" s="1"/>
  <c r="AX391" i="56"/>
  <c r="W402" i="56"/>
  <c r="X402" i="56" s="1"/>
  <c r="S403" i="56" s="1"/>
  <c r="AI399" i="56"/>
  <c r="AD400" i="56" s="1"/>
  <c r="AL399" i="56"/>
  <c r="CB388" i="56"/>
  <c r="AM398" i="56"/>
  <c r="AN398" i="56" s="1"/>
  <c r="BN398" i="56"/>
  <c r="BP389" i="56"/>
  <c r="AY389" i="56"/>
  <c r="AZ389" i="56" s="1"/>
  <c r="AV390" i="56"/>
  <c r="AW390" i="56"/>
  <c r="BQ390" i="56"/>
  <c r="BL400" i="56"/>
  <c r="Z400" i="56"/>
  <c r="BM400" i="56" s="1"/>
  <c r="Y401" i="56"/>
  <c r="AG401" i="56"/>
  <c r="BC388" i="56"/>
  <c r="BF388" i="56" s="1"/>
  <c r="BB388" i="56" l="1"/>
  <c r="BE388" i="56" s="1"/>
  <c r="BG388" i="56" s="1"/>
  <c r="W403" i="56"/>
  <c r="BC389" i="56"/>
  <c r="BF389" i="56" s="1"/>
  <c r="AA400" i="56"/>
  <c r="AB400" i="56" s="1"/>
  <c r="AH400" i="56" s="1"/>
  <c r="AI400" i="56" s="1"/>
  <c r="AD401" i="56" s="1"/>
  <c r="BO399" i="56"/>
  <c r="AM399" i="56"/>
  <c r="AN399" i="56" s="1"/>
  <c r="AL400" i="56"/>
  <c r="BO400" i="56" s="1"/>
  <c r="AT392" i="56"/>
  <c r="AU392" i="56" s="1"/>
  <c r="AP393" i="56" s="1"/>
  <c r="AX392" i="56"/>
  <c r="BQ391" i="56"/>
  <c r="BL401" i="56"/>
  <c r="Z401" i="56"/>
  <c r="BM401" i="56" s="1"/>
  <c r="BZ400" i="56"/>
  <c r="BP390" i="56"/>
  <c r="AY390" i="56"/>
  <c r="AZ390" i="56" s="1"/>
  <c r="CB389" i="56"/>
  <c r="CA398" i="56"/>
  <c r="Y402" i="56"/>
  <c r="AG402" i="56"/>
  <c r="AW391" i="56"/>
  <c r="AV391" i="56"/>
  <c r="AA401" i="56" l="1"/>
  <c r="AB401" i="56" s="1"/>
  <c r="AH401" i="56" s="1"/>
  <c r="AK401" i="56" s="1"/>
  <c r="BN401" i="56" s="1"/>
  <c r="BB389" i="56"/>
  <c r="BE389" i="56" s="1"/>
  <c r="BG389" i="56" s="1"/>
  <c r="CB390" i="56"/>
  <c r="BQ392" i="56"/>
  <c r="Y403" i="56"/>
  <c r="AG403" i="56"/>
  <c r="BL402" i="56"/>
  <c r="Z402" i="56"/>
  <c r="BM402" i="56" s="1"/>
  <c r="AV392" i="56"/>
  <c r="AW392" i="56"/>
  <c r="CA399" i="56"/>
  <c r="X403" i="56"/>
  <c r="S404" i="56" s="1"/>
  <c r="AJ400" i="56"/>
  <c r="AK400" i="56"/>
  <c r="AS400" i="56"/>
  <c r="BZ401" i="56"/>
  <c r="AT393" i="56"/>
  <c r="AU393" i="56" s="1"/>
  <c r="AP394" i="56" s="1"/>
  <c r="AX393" i="56"/>
  <c r="AL401" i="56"/>
  <c r="BO401" i="56" s="1"/>
  <c r="BP391" i="56"/>
  <c r="AY391" i="56"/>
  <c r="AZ391" i="56" s="1"/>
  <c r="BC390" i="56"/>
  <c r="BF390" i="56" s="1"/>
  <c r="AS401" i="56" l="1"/>
  <c r="AI401" i="56"/>
  <c r="AD402" i="56" s="1"/>
  <c r="AL402" i="56" s="1"/>
  <c r="BO402" i="56" s="1"/>
  <c r="AA402" i="56"/>
  <c r="AB402" i="56" s="1"/>
  <c r="AH402" i="56" s="1"/>
  <c r="AK402" i="56" s="1"/>
  <c r="BN402" i="56" s="1"/>
  <c r="AJ401" i="56"/>
  <c r="BB390" i="56"/>
  <c r="BE390" i="56" s="1"/>
  <c r="BG390" i="56" s="1"/>
  <c r="BC391" i="56"/>
  <c r="BF391" i="56" s="1"/>
  <c r="AT394" i="56"/>
  <c r="AU394" i="56" s="1"/>
  <c r="AP395" i="56" s="1"/>
  <c r="AX394" i="56"/>
  <c r="AW393" i="56"/>
  <c r="AV393" i="56"/>
  <c r="AM400" i="56"/>
  <c r="AN400" i="56" s="1"/>
  <c r="BN400" i="56"/>
  <c r="W404" i="56"/>
  <c r="BZ402" i="56"/>
  <c r="CA401" i="56"/>
  <c r="CB391" i="56"/>
  <c r="BQ393" i="56"/>
  <c r="BP392" i="56"/>
  <c r="AY392" i="56"/>
  <c r="AZ392" i="56" s="1"/>
  <c r="BL403" i="56"/>
  <c r="Z403" i="56"/>
  <c r="BM403" i="56" s="1"/>
  <c r="AM401" i="56"/>
  <c r="AN401" i="56" s="1"/>
  <c r="AI402" i="56" l="1"/>
  <c r="AD403" i="56" s="1"/>
  <c r="AL403" i="56" s="1"/>
  <c r="BO403" i="56" s="1"/>
  <c r="AS402" i="56"/>
  <c r="AJ402" i="56"/>
  <c r="AA403" i="56"/>
  <c r="AB403" i="56" s="1"/>
  <c r="AH403" i="56" s="1"/>
  <c r="AJ403" i="56" s="1"/>
  <c r="BC392" i="56"/>
  <c r="BF392" i="56" s="1"/>
  <c r="Y404" i="56"/>
  <c r="AG404" i="56"/>
  <c r="AT395" i="56"/>
  <c r="AU395" i="56" s="1"/>
  <c r="AP396" i="56" s="1"/>
  <c r="AX395" i="56"/>
  <c r="CB392" i="56"/>
  <c r="X404" i="56"/>
  <c r="S405" i="56" s="1"/>
  <c r="BQ394" i="56"/>
  <c r="BZ403" i="56"/>
  <c r="BP393" i="56"/>
  <c r="AY393" i="56"/>
  <c r="AZ393" i="56" s="1"/>
  <c r="AV394" i="56"/>
  <c r="AW394" i="56"/>
  <c r="CA402" i="56"/>
  <c r="CA400" i="56"/>
  <c r="BB391" i="56"/>
  <c r="BE391" i="56" s="1"/>
  <c r="BG391" i="56" s="1"/>
  <c r="AM402" i="56"/>
  <c r="AN402" i="56" s="1"/>
  <c r="AK403" i="56" l="1"/>
  <c r="AM403" i="56" s="1"/>
  <c r="AN403" i="56" s="1"/>
  <c r="AI403" i="56"/>
  <c r="AD404" i="56" s="1"/>
  <c r="AL404" i="56" s="1"/>
  <c r="AS403" i="56"/>
  <c r="BB392" i="56"/>
  <c r="BE392" i="56" s="1"/>
  <c r="BG392" i="56" s="1"/>
  <c r="CB393" i="56"/>
  <c r="AT396" i="56"/>
  <c r="AU396" i="56" s="1"/>
  <c r="AP397" i="56" s="1"/>
  <c r="AX396" i="56"/>
  <c r="BQ395" i="56"/>
  <c r="BP394" i="56"/>
  <c r="AY394" i="56"/>
  <c r="AZ394" i="56" s="1"/>
  <c r="W405" i="56"/>
  <c r="X405" i="56" s="1"/>
  <c r="S406" i="56" s="1"/>
  <c r="AV395" i="56"/>
  <c r="AW395" i="56"/>
  <c r="BL404" i="56"/>
  <c r="Z404" i="56"/>
  <c r="BM404" i="56" s="1"/>
  <c r="BC393" i="56"/>
  <c r="BF393" i="56" s="1"/>
  <c r="BN403" i="56" l="1"/>
  <c r="CA403" i="56" s="1"/>
  <c r="BB393" i="56"/>
  <c r="BE393" i="56" s="1"/>
  <c r="BG393" i="56" s="1"/>
  <c r="AA404" i="56"/>
  <c r="AB404" i="56" s="1"/>
  <c r="AH404" i="56" s="1"/>
  <c r="AS404" i="56" s="1"/>
  <c r="BO404" i="56"/>
  <c r="W406" i="56"/>
  <c r="X406" i="56" s="1"/>
  <c r="S407" i="56" s="1"/>
  <c r="BZ404" i="56"/>
  <c r="CB394" i="56"/>
  <c r="BQ396" i="56"/>
  <c r="BP395" i="56"/>
  <c r="AY395" i="56"/>
  <c r="AZ395" i="56" s="1"/>
  <c r="AV396" i="56"/>
  <c r="AW396" i="56"/>
  <c r="Y405" i="56"/>
  <c r="AG405" i="56"/>
  <c r="BC394" i="56"/>
  <c r="BF394" i="56" s="1"/>
  <c r="AT397" i="56"/>
  <c r="AU397" i="56" s="1"/>
  <c r="AP398" i="56" s="1"/>
  <c r="AX397" i="56"/>
  <c r="AJ404" i="56" l="1"/>
  <c r="AK404" i="56"/>
  <c r="AI404" i="56"/>
  <c r="AD405" i="56" s="1"/>
  <c r="AL405" i="56" s="1"/>
  <c r="BB394" i="56"/>
  <c r="BE394" i="56" s="1"/>
  <c r="BG394" i="56" s="1"/>
  <c r="BQ397" i="56"/>
  <c r="BP396" i="56"/>
  <c r="AY396" i="56"/>
  <c r="AZ396" i="56" s="1"/>
  <c r="CB395" i="56"/>
  <c r="AV397" i="56"/>
  <c r="AW397" i="56"/>
  <c r="BL405" i="56"/>
  <c r="Z405" i="56"/>
  <c r="BM405" i="56" s="1"/>
  <c r="AT398" i="56"/>
  <c r="AU398" i="56" s="1"/>
  <c r="AP399" i="56" s="1"/>
  <c r="AX398" i="56"/>
  <c r="BC395" i="56"/>
  <c r="BF395" i="56" s="1"/>
  <c r="Y406" i="56"/>
  <c r="AG406" i="56"/>
  <c r="W407" i="56"/>
  <c r="X407" i="56" s="1"/>
  <c r="X411" i="56" l="1" a="1"/>
  <c r="X411" i="56" s="1"/>
  <c r="X412" i="56" a="1"/>
  <c r="X412" i="56" s="1"/>
  <c r="X413" i="56" a="1"/>
  <c r="X413" i="56" s="1"/>
  <c r="X414" i="56" a="1"/>
  <c r="X414" i="56" s="1"/>
  <c r="X415" i="56" a="1"/>
  <c r="X415" i="56" s="1"/>
  <c r="X416" i="56" a="1"/>
  <c r="X416" i="56" s="1"/>
  <c r="X417" i="56" a="1"/>
  <c r="X417" i="56" s="1"/>
  <c r="X418" i="56" a="1"/>
  <c r="X418" i="56" s="1"/>
  <c r="X419" i="56" a="1"/>
  <c r="X419" i="56" s="1"/>
  <c r="X420" i="56" a="1"/>
  <c r="X420" i="56" s="1"/>
  <c r="BO405" i="56"/>
  <c r="AA405" i="56"/>
  <c r="AB405" i="56" s="1"/>
  <c r="AH405" i="56" s="1"/>
  <c r="AJ405" i="56" s="1"/>
  <c r="AM404" i="56"/>
  <c r="AN404" i="56" s="1"/>
  <c r="BN404" i="56"/>
  <c r="CA404" i="56" s="1"/>
  <c r="BC396" i="56"/>
  <c r="BF396" i="56" s="1"/>
  <c r="CB396" i="56"/>
  <c r="BB395" i="56"/>
  <c r="BE395" i="56" s="1"/>
  <c r="BG395" i="56" s="1"/>
  <c r="AW398" i="56"/>
  <c r="AV398" i="56"/>
  <c r="BZ405" i="56"/>
  <c r="X421" i="56" a="1"/>
  <c r="X421" i="56" s="1"/>
  <c r="X422" i="56" a="1"/>
  <c r="X422" i="56" s="1"/>
  <c r="X423" i="56" a="1"/>
  <c r="X423" i="56" s="1"/>
  <c r="X424" i="56" a="1"/>
  <c r="X424" i="56" s="1"/>
  <c r="X425" i="56" a="1"/>
  <c r="X425" i="56" s="1"/>
  <c r="X426" i="56" a="1"/>
  <c r="X426" i="56" s="1"/>
  <c r="X427" i="56" a="1"/>
  <c r="X427" i="56" s="1"/>
  <c r="X428" i="56" a="1"/>
  <c r="X428" i="56" s="1"/>
  <c r="X429" i="56" a="1"/>
  <c r="X429" i="56" s="1"/>
  <c r="X430" i="56" a="1"/>
  <c r="X430" i="56" s="1"/>
  <c r="X431" i="56" a="1"/>
  <c r="X431" i="56" s="1"/>
  <c r="X432" i="56" a="1"/>
  <c r="X432" i="56" s="1"/>
  <c r="X433" i="56" a="1"/>
  <c r="X433" i="56" s="1"/>
  <c r="X434" i="56" a="1"/>
  <c r="X434" i="56" s="1"/>
  <c r="X435" i="56" a="1"/>
  <c r="X435" i="56" s="1"/>
  <c r="X436" i="56" a="1"/>
  <c r="X436" i="56" s="1"/>
  <c r="X437" i="56" a="1"/>
  <c r="X437" i="56" s="1"/>
  <c r="X438" i="56" a="1"/>
  <c r="X438" i="56" s="1"/>
  <c r="X439" i="56" a="1"/>
  <c r="X439" i="56" s="1"/>
  <c r="X440" i="56" a="1"/>
  <c r="X440" i="56" s="1"/>
  <c r="AT399" i="56"/>
  <c r="AU399" i="56" s="1"/>
  <c r="AP400" i="56" s="1"/>
  <c r="AX399" i="56"/>
  <c r="Y407" i="56"/>
  <c r="AG407" i="56"/>
  <c r="W409" i="56"/>
  <c r="W411" i="56"/>
  <c r="W46" i="56"/>
  <c r="W412" i="56"/>
  <c r="W413" i="56"/>
  <c r="W414" i="56"/>
  <c r="W415" i="56"/>
  <c r="W416" i="56"/>
  <c r="W417" i="56"/>
  <c r="W418" i="56"/>
  <c r="W419" i="56"/>
  <c r="W420" i="56"/>
  <c r="W421" i="56"/>
  <c r="BP397" i="56"/>
  <c r="AY397" i="56"/>
  <c r="AZ397" i="56" s="1"/>
  <c r="BL406" i="56"/>
  <c r="Z406" i="56"/>
  <c r="BM406" i="56" s="1"/>
  <c r="BQ398" i="56"/>
  <c r="AI405" i="56" l="1"/>
  <c r="AD406" i="56" s="1"/>
  <c r="AL406" i="56" s="1"/>
  <c r="BO406" i="56" s="1"/>
  <c r="AS405" i="56"/>
  <c r="AK405" i="56"/>
  <c r="AM405" i="56" s="1"/>
  <c r="AN405" i="56" s="1"/>
  <c r="AA406" i="56"/>
  <c r="AB406" i="56" s="1"/>
  <c r="AH406" i="56" s="1"/>
  <c r="AS406" i="56" s="1"/>
  <c r="BB396" i="56"/>
  <c r="BE396" i="56" s="1"/>
  <c r="BG396" i="56" s="1"/>
  <c r="BQ399" i="56"/>
  <c r="BC397" i="56"/>
  <c r="BF397" i="56" s="1"/>
  <c r="CB397" i="56"/>
  <c r="AG411" i="56"/>
  <c r="AG46" i="56"/>
  <c r="AG409" i="56"/>
  <c r="AG412" i="56"/>
  <c r="AG413" i="56"/>
  <c r="AG414" i="56"/>
  <c r="AG415" i="56"/>
  <c r="AG416" i="56"/>
  <c r="AG417" i="56"/>
  <c r="AG418" i="56"/>
  <c r="AG419" i="56"/>
  <c r="AG420" i="56"/>
  <c r="AG421" i="56"/>
  <c r="AW399" i="56"/>
  <c r="AV399" i="56"/>
  <c r="BZ406" i="56"/>
  <c r="BL407" i="56"/>
  <c r="Z407" i="56"/>
  <c r="Q20" i="56" a="1"/>
  <c r="Q20" i="56" s="1"/>
  <c r="Y409" i="56"/>
  <c r="Y46" i="56"/>
  <c r="J25" i="56" s="1"/>
  <c r="Y47" i="56"/>
  <c r="Y411" i="56"/>
  <c r="Y412" i="56"/>
  <c r="Y413" i="56"/>
  <c r="Y414" i="56"/>
  <c r="Y415" i="56"/>
  <c r="Y416" i="56"/>
  <c r="Y417" i="56"/>
  <c r="Y418" i="56"/>
  <c r="Y419" i="56"/>
  <c r="Y420" i="56"/>
  <c r="Y421" i="56"/>
  <c r="BP398" i="56"/>
  <c r="AY398" i="56"/>
  <c r="AZ398" i="56" s="1"/>
  <c r="W442" i="56"/>
  <c r="W443" i="56" s="1"/>
  <c r="AT400" i="56"/>
  <c r="AX400" i="56"/>
  <c r="AJ406" i="56" l="1"/>
  <c r="BN405" i="56"/>
  <c r="CA405" i="56" s="1"/>
  <c r="AK406" i="56"/>
  <c r="AM406" i="56" s="1"/>
  <c r="AN406" i="56" s="1"/>
  <c r="AI406" i="56"/>
  <c r="AD407" i="56" s="1"/>
  <c r="AL407" i="56" s="1"/>
  <c r="Y442" i="56"/>
  <c r="Y443" i="56" s="1"/>
  <c r="BQ400" i="56"/>
  <c r="BC398" i="56"/>
  <c r="BF398" i="56" s="1"/>
  <c r="BM407" i="56"/>
  <c r="BZ407" i="56" s="1"/>
  <c r="Z411" i="56"/>
  <c r="Z47" i="56"/>
  <c r="Z46" i="56"/>
  <c r="I25" i="56" s="1"/>
  <c r="H25" i="56" s="1"/>
  <c r="Q21" i="56" a="1"/>
  <c r="Q21" i="56" s="1"/>
  <c r="Z409" i="56"/>
  <c r="Z412" i="56"/>
  <c r="Z413" i="56"/>
  <c r="Z414" i="56"/>
  <c r="Z415" i="56"/>
  <c r="Z416" i="56"/>
  <c r="Z417" i="56"/>
  <c r="Z418" i="56"/>
  <c r="Z419" i="56"/>
  <c r="Z420" i="56"/>
  <c r="Z421" i="56"/>
  <c r="AG442" i="56"/>
  <c r="AG443" i="56" s="1"/>
  <c r="BL411" i="56"/>
  <c r="BL409" i="56"/>
  <c r="BL47" i="56"/>
  <c r="BL412" i="56"/>
  <c r="BL413" i="56"/>
  <c r="BL414" i="56"/>
  <c r="BL415" i="56"/>
  <c r="BL416" i="56"/>
  <c r="BL417" i="56"/>
  <c r="BL418" i="56"/>
  <c r="BL419" i="56"/>
  <c r="BL420" i="56"/>
  <c r="BL421" i="56"/>
  <c r="AA407" i="56"/>
  <c r="BB397" i="56"/>
  <c r="BE397" i="56" s="1"/>
  <c r="BG397" i="56" s="1"/>
  <c r="AV400" i="56"/>
  <c r="AW400" i="56"/>
  <c r="CB398" i="56"/>
  <c r="AU400" i="56"/>
  <c r="AP401" i="56" s="1"/>
  <c r="R21" i="65"/>
  <c r="K24" i="53"/>
  <c r="BP399" i="56"/>
  <c r="AY399" i="56"/>
  <c r="AZ399" i="56" s="1"/>
  <c r="BN406" i="56" l="1"/>
  <c r="CA406" i="56" s="1"/>
  <c r="BL442" i="56"/>
  <c r="BL443" i="56" s="1"/>
  <c r="CB399" i="56"/>
  <c r="BO407" i="56"/>
  <c r="AL47" i="56"/>
  <c r="AL46" i="56"/>
  <c r="AL411" i="56"/>
  <c r="AL409" i="56"/>
  <c r="Q26" i="56" a="1"/>
  <c r="Q26" i="56" s="1"/>
  <c r="AL412" i="56"/>
  <c r="AL413" i="56"/>
  <c r="AL414" i="56"/>
  <c r="AL415" i="56"/>
  <c r="AL416" i="56"/>
  <c r="AL417" i="56"/>
  <c r="AL418" i="56"/>
  <c r="AL419" i="56"/>
  <c r="AL420" i="56"/>
  <c r="AL421" i="56"/>
  <c r="AB407" i="56"/>
  <c r="AA411" i="56"/>
  <c r="AA46" i="56"/>
  <c r="AA409" i="56"/>
  <c r="AA47" i="56"/>
  <c r="AA412" i="56"/>
  <c r="AA413" i="56"/>
  <c r="AA414" i="56"/>
  <c r="AA415" i="56"/>
  <c r="AA416" i="56"/>
  <c r="AA417" i="56"/>
  <c r="AA418" i="56"/>
  <c r="AA419" i="56"/>
  <c r="AA420" i="56"/>
  <c r="AA421" i="56"/>
  <c r="BZ47" i="56"/>
  <c r="BZ409" i="56"/>
  <c r="BZ411" i="56"/>
  <c r="BZ412" i="56"/>
  <c r="BZ413" i="56"/>
  <c r="BZ414" i="56"/>
  <c r="BZ415" i="56"/>
  <c r="BZ416" i="56"/>
  <c r="BZ417" i="56"/>
  <c r="BZ418" i="56"/>
  <c r="BZ419" i="56"/>
  <c r="BZ420" i="56"/>
  <c r="BZ421" i="56"/>
  <c r="Z442" i="56"/>
  <c r="Z443" i="56" s="1"/>
  <c r="BC399" i="56"/>
  <c r="BF399" i="56" s="1"/>
  <c r="AT401" i="56"/>
  <c r="AX401" i="56"/>
  <c r="BM47" i="56"/>
  <c r="BM43" i="56" s="1"/>
  <c r="BM409" i="56"/>
  <c r="BM411" i="56"/>
  <c r="BM412" i="56"/>
  <c r="BM413" i="56"/>
  <c r="BM414" i="56"/>
  <c r="BM415" i="56"/>
  <c r="BM416" i="56"/>
  <c r="BM417" i="56"/>
  <c r="BM418" i="56"/>
  <c r="BM419" i="56"/>
  <c r="BM420" i="56"/>
  <c r="BM421" i="56"/>
  <c r="P21" i="65"/>
  <c r="A25" i="56"/>
  <c r="G25" i="56" s="1"/>
  <c r="I24" i="53"/>
  <c r="BP400" i="56"/>
  <c r="AY400" i="56"/>
  <c r="AZ400" i="56" s="1"/>
  <c r="Q21" i="65"/>
  <c r="J24" i="53"/>
  <c r="BB398" i="56"/>
  <c r="BE398" i="56" s="1"/>
  <c r="BG398" i="56" s="1"/>
  <c r="BB399" i="56" l="1"/>
  <c r="BE399" i="56" s="1"/>
  <c r="BG399" i="56" s="1"/>
  <c r="AH407" i="56"/>
  <c r="AB409" i="56"/>
  <c r="AB46" i="56"/>
  <c r="AB411" i="56"/>
  <c r="AB412" i="56"/>
  <c r="AB413" i="56"/>
  <c r="AB414" i="56"/>
  <c r="AB415" i="56"/>
  <c r="AB416" i="56"/>
  <c r="AB417" i="56"/>
  <c r="AB418" i="56"/>
  <c r="AB419" i="56"/>
  <c r="AB420" i="56"/>
  <c r="AB421" i="56"/>
  <c r="BO411" i="56"/>
  <c r="BO47" i="56"/>
  <c r="I26" i="56" s="1"/>
  <c r="BO409" i="56"/>
  <c r="BO412" i="56"/>
  <c r="BO413" i="56"/>
  <c r="BO414" i="56"/>
  <c r="BO415" i="56"/>
  <c r="BO416" i="56"/>
  <c r="BO417" i="56"/>
  <c r="BO418" i="56"/>
  <c r="BO419" i="56"/>
  <c r="BO420" i="56"/>
  <c r="BO421" i="56"/>
  <c r="AV401" i="56"/>
  <c r="AW401" i="56"/>
  <c r="BZ442" i="56"/>
  <c r="BZ443" i="56" s="1"/>
  <c r="AA442" i="56"/>
  <c r="AA443" i="56" s="1"/>
  <c r="AU401" i="56"/>
  <c r="AP402" i="56" s="1"/>
  <c r="AL442" i="56"/>
  <c r="AL443" i="56" s="1"/>
  <c r="BC400" i="56"/>
  <c r="BF400" i="56" s="1"/>
  <c r="CB400" i="56"/>
  <c r="BM442" i="56"/>
  <c r="BM443" i="56" s="1"/>
  <c r="BQ401" i="56"/>
  <c r="BB400" i="56" l="1"/>
  <c r="BE400" i="56" s="1"/>
  <c r="BG400" i="56" s="1"/>
  <c r="BO442" i="56"/>
  <c r="BO443" i="56" s="1"/>
  <c r="AB442" i="56"/>
  <c r="AB443" i="56" s="1"/>
  <c r="AT402" i="56"/>
  <c r="AX402" i="56"/>
  <c r="BP401" i="56"/>
  <c r="AY401" i="56"/>
  <c r="AZ401" i="56" s="1"/>
  <c r="AC409" i="56"/>
  <c r="Q22" i="65"/>
  <c r="J25" i="53"/>
  <c r="AH411" i="56"/>
  <c r="AH46" i="56"/>
  <c r="AH409" i="56"/>
  <c r="AH412" i="56"/>
  <c r="AH413" i="56"/>
  <c r="AH414" i="56"/>
  <c r="AH415" i="56"/>
  <c r="AH416" i="56"/>
  <c r="AH417" i="56"/>
  <c r="AH418" i="56"/>
  <c r="AH419" i="56"/>
  <c r="AH420" i="56"/>
  <c r="AH421" i="56"/>
  <c r="AK407" i="56"/>
  <c r="AJ407" i="56"/>
  <c r="AS407" i="56"/>
  <c r="AI407" i="56"/>
  <c r="AI411" i="56" l="1" a="1"/>
  <c r="AI411" i="56" s="1"/>
  <c r="AI412" i="56" a="1"/>
  <c r="AI412" i="56" s="1"/>
  <c r="AI413" i="56" a="1"/>
  <c r="AI413" i="56" s="1"/>
  <c r="AI414" i="56" a="1"/>
  <c r="AI414" i="56" s="1"/>
  <c r="AI415" i="56" a="1"/>
  <c r="AI415" i="56" s="1"/>
  <c r="AI416" i="56" a="1"/>
  <c r="AI416" i="56" s="1"/>
  <c r="AI417" i="56" a="1"/>
  <c r="AI417" i="56" s="1"/>
  <c r="AI418" i="56" a="1"/>
  <c r="AI418" i="56" s="1"/>
  <c r="AI419" i="56" a="1"/>
  <c r="AI419" i="56" s="1"/>
  <c r="AI420" i="56" a="1"/>
  <c r="AI420" i="56" s="1"/>
  <c r="AI422" i="56" a="1"/>
  <c r="AI422" i="56" s="1"/>
  <c r="AI423" i="56" a="1"/>
  <c r="AI423" i="56" s="1"/>
  <c r="AI424" i="56" a="1"/>
  <c r="AI424" i="56" s="1"/>
  <c r="AI425" i="56" a="1"/>
  <c r="AI425" i="56" s="1"/>
  <c r="AI426" i="56" a="1"/>
  <c r="AI426" i="56" s="1"/>
  <c r="AI427" i="56" a="1"/>
  <c r="AI427" i="56" s="1"/>
  <c r="AI428" i="56" a="1"/>
  <c r="AI428" i="56" s="1"/>
  <c r="AI429" i="56" a="1"/>
  <c r="AI429" i="56" s="1"/>
  <c r="AI430" i="56" a="1"/>
  <c r="AI430" i="56" s="1"/>
  <c r="AI431" i="56" a="1"/>
  <c r="AI431" i="56" s="1"/>
  <c r="AI432" i="56" a="1"/>
  <c r="AI432" i="56" s="1"/>
  <c r="AI433" i="56" a="1"/>
  <c r="AI433" i="56" s="1"/>
  <c r="AI434" i="56" a="1"/>
  <c r="AI434" i="56" s="1"/>
  <c r="AI435" i="56" a="1"/>
  <c r="AI435" i="56" s="1"/>
  <c r="AI436" i="56" a="1"/>
  <c r="AI436" i="56" s="1"/>
  <c r="AI437" i="56" a="1"/>
  <c r="AI437" i="56" s="1"/>
  <c r="AI438" i="56" a="1"/>
  <c r="AI438" i="56" s="1"/>
  <c r="AI439" i="56" a="1"/>
  <c r="AI439" i="56" s="1"/>
  <c r="AI440" i="56" a="1"/>
  <c r="AI440" i="56" s="1"/>
  <c r="AI421" i="56" a="1"/>
  <c r="AI421" i="56" s="1"/>
  <c r="AI409" i="56"/>
  <c r="AS409" i="56"/>
  <c r="AS411" i="56"/>
  <c r="AS46" i="56"/>
  <c r="AS412" i="56"/>
  <c r="AS413" i="56"/>
  <c r="AS414" i="56"/>
  <c r="AS415" i="56"/>
  <c r="AS416" i="56"/>
  <c r="AS417" i="56"/>
  <c r="AS418" i="56"/>
  <c r="AS419" i="56"/>
  <c r="AS420" i="56"/>
  <c r="AS421" i="56"/>
  <c r="CB401" i="56"/>
  <c r="BQ402" i="56"/>
  <c r="AW402" i="56"/>
  <c r="AV402" i="56"/>
  <c r="AJ409" i="56"/>
  <c r="AJ46" i="56"/>
  <c r="AJ411" i="56"/>
  <c r="AJ412" i="56"/>
  <c r="AJ413" i="56"/>
  <c r="AJ414" i="56"/>
  <c r="AJ415" i="56"/>
  <c r="AJ416" i="56"/>
  <c r="AJ417" i="56"/>
  <c r="AJ418" i="56"/>
  <c r="AJ419" i="56"/>
  <c r="AJ420" i="56"/>
  <c r="AJ421" i="56"/>
  <c r="AM407" i="56"/>
  <c r="BN407" i="56"/>
  <c r="AK46" i="56"/>
  <c r="AK409" i="56"/>
  <c r="Q25" i="56" a="1"/>
  <c r="Q25" i="56" s="1"/>
  <c r="AK47" i="56"/>
  <c r="AK411" i="56"/>
  <c r="AK412" i="56"/>
  <c r="AK413" i="56"/>
  <c r="AK414" i="56"/>
  <c r="AK415" i="56"/>
  <c r="AK416" i="56"/>
  <c r="AK417" i="56"/>
  <c r="AK418" i="56"/>
  <c r="AK419" i="56"/>
  <c r="AK420" i="56"/>
  <c r="AK421" i="56"/>
  <c r="AH442" i="56"/>
  <c r="AH443" i="56" s="1"/>
  <c r="BC401" i="56"/>
  <c r="BF401" i="56" s="1"/>
  <c r="AU402" i="56"/>
  <c r="AP403" i="56" s="1"/>
  <c r="BB401" i="56" l="1"/>
  <c r="BE401" i="56" s="1"/>
  <c r="BG401" i="56" s="1"/>
  <c r="AN407" i="56"/>
  <c r="AM409" i="56"/>
  <c r="AM47" i="56"/>
  <c r="AM46" i="56"/>
  <c r="AM411" i="56"/>
  <c r="AM412" i="56"/>
  <c r="AM413" i="56"/>
  <c r="AM414" i="56"/>
  <c r="AM415" i="56"/>
  <c r="AM416" i="56"/>
  <c r="AM417" i="56"/>
  <c r="AM418" i="56"/>
  <c r="AM419" i="56"/>
  <c r="AM420" i="56"/>
  <c r="AM421" i="56"/>
  <c r="AK442" i="56"/>
  <c r="AK443" i="56" s="1"/>
  <c r="AS442" i="56"/>
  <c r="AS443" i="56" s="1"/>
  <c r="AT403" i="56"/>
  <c r="AU403" i="56" s="1"/>
  <c r="AP404" i="56" s="1"/>
  <c r="AX403" i="56"/>
  <c r="CA407" i="56"/>
  <c r="BN411" i="56"/>
  <c r="BN47" i="56"/>
  <c r="BN409" i="56"/>
  <c r="BN412" i="56"/>
  <c r="BN413" i="56"/>
  <c r="BN414" i="56"/>
  <c r="BN415" i="56"/>
  <c r="BN416" i="56"/>
  <c r="BN417" i="56"/>
  <c r="BN418" i="56"/>
  <c r="BN419" i="56"/>
  <c r="BN420" i="56"/>
  <c r="BN421" i="56"/>
  <c r="AJ442" i="56"/>
  <c r="AJ443" i="56" s="1"/>
  <c r="BP402" i="56"/>
  <c r="AY402" i="56"/>
  <c r="AZ402" i="56" s="1"/>
  <c r="AT404" i="56" l="1"/>
  <c r="AU404" i="56" s="1"/>
  <c r="AP405" i="56" s="1"/>
  <c r="AX404" i="56"/>
  <c r="J26" i="56"/>
  <c r="BO43" i="56"/>
  <c r="BQ403" i="56"/>
  <c r="BN442" i="56"/>
  <c r="BN443" i="56" s="1"/>
  <c r="AV403" i="56"/>
  <c r="AW403" i="56"/>
  <c r="AM442" i="56"/>
  <c r="AM443" i="56" s="1"/>
  <c r="AN46" i="56"/>
  <c r="AN409" i="56"/>
  <c r="AN411" i="56"/>
  <c r="AN412" i="56"/>
  <c r="AN413" i="56"/>
  <c r="AN414" i="56"/>
  <c r="AN415" i="56"/>
  <c r="AN416" i="56"/>
  <c r="AN417" i="56"/>
  <c r="AN418" i="56"/>
  <c r="AN419" i="56"/>
  <c r="AN420" i="56"/>
  <c r="BC402" i="56"/>
  <c r="BF402" i="56" s="1"/>
  <c r="CB402" i="56"/>
  <c r="CA47" i="56"/>
  <c r="CA409" i="56"/>
  <c r="CA411" i="56"/>
  <c r="CA412" i="56"/>
  <c r="CA413" i="56"/>
  <c r="CA414" i="56"/>
  <c r="CA415" i="56"/>
  <c r="CA416" i="56"/>
  <c r="CA417" i="56"/>
  <c r="CA418" i="56"/>
  <c r="CA419" i="56"/>
  <c r="CA420" i="56"/>
  <c r="CA421" i="56"/>
  <c r="BB402" i="56" l="1"/>
  <c r="BE402" i="56" s="1"/>
  <c r="BG402" i="56" s="1"/>
  <c r="CA442" i="56"/>
  <c r="CA443" i="56" s="1"/>
  <c r="R22" i="65"/>
  <c r="H26" i="56"/>
  <c r="K25" i="53"/>
  <c r="AN442" i="56"/>
  <c r="AN443" i="56" s="1"/>
  <c r="BP403" i="56"/>
  <c r="AY403" i="56"/>
  <c r="AZ403" i="56" s="1"/>
  <c r="AT405" i="56"/>
  <c r="AU405" i="56" s="1"/>
  <c r="AP406" i="56" s="1"/>
  <c r="AX405" i="56"/>
  <c r="AO409" i="56"/>
  <c r="BQ404" i="56"/>
  <c r="AW404" i="56"/>
  <c r="AV404" i="56"/>
  <c r="AT406" i="56" l="1"/>
  <c r="AU406" i="56" s="1"/>
  <c r="AP407" i="56" s="1"/>
  <c r="AX406" i="56"/>
  <c r="BC403" i="56"/>
  <c r="BF403" i="56" s="1"/>
  <c r="BQ405" i="56"/>
  <c r="CB403" i="56"/>
  <c r="BP404" i="56"/>
  <c r="AY404" i="56"/>
  <c r="AZ404" i="56" s="1"/>
  <c r="AW405" i="56"/>
  <c r="AV405" i="56"/>
  <c r="P22" i="65"/>
  <c r="A26" i="56"/>
  <c r="G26" i="56" s="1"/>
  <c r="I25" i="53"/>
  <c r="BB403" i="56" l="1"/>
  <c r="BE403" i="56" s="1"/>
  <c r="BG403" i="56" s="1"/>
  <c r="AT407" i="56"/>
  <c r="AU407" i="56" s="1"/>
  <c r="AX407" i="56"/>
  <c r="BP405" i="56"/>
  <c r="AY405" i="56"/>
  <c r="AZ405" i="56" s="1"/>
  <c r="BC404" i="56"/>
  <c r="BF404" i="56" s="1"/>
  <c r="CB404" i="56"/>
  <c r="BQ406" i="56"/>
  <c r="AV406" i="56"/>
  <c r="AW406" i="56"/>
  <c r="BB404" i="56" l="1"/>
  <c r="BE404" i="56" s="1"/>
  <c r="BG404" i="56" s="1"/>
  <c r="CB405" i="56"/>
  <c r="BP406" i="56"/>
  <c r="AY406" i="56"/>
  <c r="AZ406" i="56" s="1"/>
  <c r="BQ407" i="56"/>
  <c r="AX46" i="56"/>
  <c r="AX411" i="56"/>
  <c r="AX409" i="56"/>
  <c r="AX47" i="56"/>
  <c r="AX412" i="56"/>
  <c r="AX413" i="56"/>
  <c r="AX414" i="56"/>
  <c r="AX415" i="56"/>
  <c r="AX416" i="56"/>
  <c r="AX417" i="56"/>
  <c r="AX418" i="56"/>
  <c r="AX419" i="56"/>
  <c r="AX420" i="56"/>
  <c r="AX421" i="56"/>
  <c r="BC405" i="56"/>
  <c r="BF405" i="56" s="1"/>
  <c r="AT411" i="56"/>
  <c r="AT409" i="56"/>
  <c r="AT46" i="56"/>
  <c r="AT412" i="56"/>
  <c r="AT413" i="56"/>
  <c r="AT414" i="56"/>
  <c r="AT415" i="56"/>
  <c r="AT416" i="56"/>
  <c r="AT417" i="56"/>
  <c r="AT418" i="56"/>
  <c r="AT419" i="56"/>
  <c r="AT420" i="56"/>
  <c r="AT421" i="56"/>
  <c r="AV407" i="56"/>
  <c r="AW407" i="56"/>
  <c r="AV409" i="56" l="1"/>
  <c r="AV411" i="56"/>
  <c r="AV412" i="56"/>
  <c r="AV413" i="56"/>
  <c r="AV414" i="56"/>
  <c r="AV415" i="56"/>
  <c r="AV416" i="56"/>
  <c r="AV417" i="56"/>
  <c r="AV418" i="56"/>
  <c r="AV419" i="56"/>
  <c r="AV420" i="56"/>
  <c r="AV421" i="56"/>
  <c r="Q31" i="56" a="1"/>
  <c r="Q31" i="56" s="1"/>
  <c r="BQ409" i="56"/>
  <c r="BQ47" i="56"/>
  <c r="I27" i="56" s="1"/>
  <c r="BQ411" i="56"/>
  <c r="BQ412" i="56"/>
  <c r="BQ413" i="56"/>
  <c r="BQ414" i="56"/>
  <c r="BQ415" i="56"/>
  <c r="BQ416" i="56"/>
  <c r="BQ417" i="56"/>
  <c r="BQ418" i="56"/>
  <c r="BQ419" i="56"/>
  <c r="BQ420" i="56"/>
  <c r="BQ421" i="56"/>
  <c r="AT442" i="56"/>
  <c r="AT443" i="56" s="1"/>
  <c r="AX442" i="56"/>
  <c r="AX443" i="56" s="1"/>
  <c r="BP407" i="56"/>
  <c r="AY407" i="56"/>
  <c r="AW411" i="56"/>
  <c r="Q30" i="56" a="1"/>
  <c r="Q30" i="56" s="1"/>
  <c r="AW47" i="56"/>
  <c r="AW46" i="56"/>
  <c r="AW409" i="56"/>
  <c r="AW412" i="56"/>
  <c r="AW413" i="56"/>
  <c r="AW414" i="56"/>
  <c r="AW415" i="56"/>
  <c r="AW416" i="56"/>
  <c r="AW417" i="56"/>
  <c r="AW418" i="56"/>
  <c r="AW419" i="56"/>
  <c r="AW420" i="56"/>
  <c r="AW421" i="56"/>
  <c r="BB405" i="56"/>
  <c r="BE405" i="56" s="1"/>
  <c r="BG405" i="56" s="1"/>
  <c r="BC406" i="56"/>
  <c r="BF406" i="56" s="1"/>
  <c r="CB406" i="56"/>
  <c r="BB406" i="56" l="1"/>
  <c r="BE406" i="56" s="1"/>
  <c r="BG406" i="56" s="1"/>
  <c r="AW442" i="56"/>
  <c r="AW443" i="56" s="1"/>
  <c r="AZ407" i="56"/>
  <c r="AY411" i="56"/>
  <c r="AY409" i="56"/>
  <c r="AY46" i="56"/>
  <c r="AY47" i="56"/>
  <c r="AY412" i="56"/>
  <c r="AY413" i="56"/>
  <c r="AY414" i="56"/>
  <c r="AY415" i="56"/>
  <c r="AY416" i="56"/>
  <c r="AY417" i="56"/>
  <c r="AY418" i="56"/>
  <c r="AY419" i="56"/>
  <c r="AY420" i="56"/>
  <c r="AY421" i="56"/>
  <c r="BQ442" i="56"/>
  <c r="BQ443" i="56" s="1"/>
  <c r="AV442" i="56"/>
  <c r="AV443" i="56" s="1"/>
  <c r="CB407" i="56"/>
  <c r="BP47" i="56"/>
  <c r="BP409" i="56"/>
  <c r="BP411" i="56"/>
  <c r="BP412" i="56"/>
  <c r="BP413" i="56"/>
  <c r="BP414" i="56"/>
  <c r="BP415" i="56"/>
  <c r="BP416" i="56"/>
  <c r="BP417" i="56"/>
  <c r="BP418" i="56"/>
  <c r="BP419" i="56"/>
  <c r="BP420" i="56"/>
  <c r="BP421" i="56"/>
  <c r="Q23" i="65"/>
  <c r="J26" i="53"/>
  <c r="BC407" i="56" l="1"/>
  <c r="BB407" i="56" s="1"/>
  <c r="AZ409" i="56"/>
  <c r="AZ46" i="56"/>
  <c r="AZ411" i="56"/>
  <c r="AZ412" i="56"/>
  <c r="AZ413" i="56"/>
  <c r="AZ414" i="56"/>
  <c r="AZ415" i="56"/>
  <c r="AZ416" i="56"/>
  <c r="AZ417" i="56"/>
  <c r="AZ418" i="56"/>
  <c r="AZ419" i="56"/>
  <c r="AZ420" i="56"/>
  <c r="AZ421" i="56"/>
  <c r="BP442" i="56"/>
  <c r="BP443" i="56" s="1"/>
  <c r="BQ43" i="56"/>
  <c r="J27" i="56"/>
  <c r="CB47" i="56"/>
  <c r="CB409" i="56"/>
  <c r="CB411" i="56"/>
  <c r="CB412" i="56"/>
  <c r="CB413" i="56"/>
  <c r="CB414" i="56"/>
  <c r="CB415" i="56"/>
  <c r="CB416" i="56"/>
  <c r="CB417" i="56"/>
  <c r="CB418" i="56"/>
  <c r="CB419" i="56"/>
  <c r="CB420" i="56"/>
  <c r="CB421" i="56"/>
  <c r="AY442" i="56"/>
  <c r="AY443" i="56" s="1"/>
  <c r="CB442" i="56" l="1"/>
  <c r="CB443" i="56" s="1"/>
  <c r="R23" i="65"/>
  <c r="H27" i="56"/>
  <c r="K26" i="53"/>
  <c r="BR48" i="56" a="1"/>
  <c r="Q35" i="56" a="1"/>
  <c r="Q35" i="56" s="1"/>
  <c r="BB411" i="56"/>
  <c r="BB409" i="56"/>
  <c r="BB46" i="56"/>
  <c r="J28" i="56" s="1"/>
  <c r="J34" i="56" s="1"/>
  <c r="BB412" i="56"/>
  <c r="BB413" i="56"/>
  <c r="BB414" i="56"/>
  <c r="BB415" i="56"/>
  <c r="BB416" i="56"/>
  <c r="BB417" i="56"/>
  <c r="BB418" i="56"/>
  <c r="BB419" i="56"/>
  <c r="BB420" i="56"/>
  <c r="BB421" i="56"/>
  <c r="BE407" i="56"/>
  <c r="AZ442" i="56"/>
  <c r="AZ443" i="56" s="1"/>
  <c r="BC411" i="56"/>
  <c r="BS48" i="56" a="1"/>
  <c r="BC409" i="56"/>
  <c r="Q36" i="56" a="1"/>
  <c r="Q36" i="56" s="1"/>
  <c r="BC46" i="56"/>
  <c r="I28" i="56" s="1"/>
  <c r="BC412" i="56"/>
  <c r="BC413" i="56"/>
  <c r="BC414" i="56"/>
  <c r="BC415" i="56"/>
  <c r="BC416" i="56"/>
  <c r="BC417" i="56"/>
  <c r="BC418" i="56"/>
  <c r="BC419" i="56"/>
  <c r="BC420" i="56"/>
  <c r="BC421" i="56"/>
  <c r="BF407" i="56"/>
  <c r="Q24" i="65" l="1"/>
  <c r="J27" i="53"/>
  <c r="I29" i="56"/>
  <c r="I34" i="56"/>
  <c r="BC442" i="56"/>
  <c r="BC443" i="56" s="1"/>
  <c r="BG407" i="56"/>
  <c r="BE46" i="56"/>
  <c r="BE47" i="56"/>
  <c r="BE411" i="56"/>
  <c r="BE409" i="56"/>
  <c r="J36" i="56"/>
  <c r="BE412" i="56"/>
  <c r="BE413" i="56"/>
  <c r="BE414" i="56"/>
  <c r="BE415" i="56"/>
  <c r="BE416" i="56"/>
  <c r="BE417" i="56"/>
  <c r="BE418" i="56"/>
  <c r="BE419" i="56"/>
  <c r="BE420" i="56"/>
  <c r="BE421" i="56"/>
  <c r="R29" i="65"/>
  <c r="K34" i="53"/>
  <c r="J35" i="56"/>
  <c r="BF411" i="56"/>
  <c r="BF47" i="56"/>
  <c r="BF46" i="56"/>
  <c r="I36" i="56"/>
  <c r="BF409" i="56"/>
  <c r="BF412" i="56"/>
  <c r="BF413" i="56"/>
  <c r="BF414" i="56"/>
  <c r="BF415" i="56"/>
  <c r="BF416" i="56"/>
  <c r="BF417" i="56"/>
  <c r="BF418" i="56"/>
  <c r="BF419" i="56"/>
  <c r="BF420" i="56"/>
  <c r="BF421" i="56"/>
  <c r="BS48" i="56"/>
  <c r="BS415" i="56"/>
  <c r="BS419" i="56"/>
  <c r="BS414" i="56"/>
  <c r="BS418" i="56"/>
  <c r="BS421" i="56"/>
  <c r="BS413" i="56"/>
  <c r="BS417" i="56"/>
  <c r="BS412" i="56"/>
  <c r="BS416" i="56"/>
  <c r="BS420" i="56"/>
  <c r="BU49" i="56"/>
  <c r="BU54" i="56"/>
  <c r="BU66" i="56"/>
  <c r="BU58" i="56"/>
  <c r="BU65" i="56"/>
  <c r="BU73" i="56"/>
  <c r="BU60" i="56"/>
  <c r="BU84" i="56"/>
  <c r="BU92" i="56"/>
  <c r="BU81" i="56"/>
  <c r="BU89" i="56"/>
  <c r="BU97" i="56"/>
  <c r="BU105" i="56"/>
  <c r="BU113" i="56"/>
  <c r="BU102" i="56"/>
  <c r="BU110" i="56"/>
  <c r="BU119" i="56"/>
  <c r="BU127" i="56"/>
  <c r="BU135" i="56"/>
  <c r="BU122" i="56"/>
  <c r="BU130" i="56"/>
  <c r="BU137" i="56"/>
  <c r="BU145" i="56"/>
  <c r="BU153" i="56"/>
  <c r="BU161" i="56"/>
  <c r="BU140" i="56"/>
  <c r="BU148" i="56"/>
  <c r="BU156" i="56"/>
  <c r="BU164" i="56"/>
  <c r="BU51" i="56"/>
  <c r="BU57" i="56"/>
  <c r="BU68" i="56"/>
  <c r="BU59" i="56"/>
  <c r="BU67" i="56"/>
  <c r="BU75" i="56"/>
  <c r="BU55" i="56"/>
  <c r="BU78" i="56"/>
  <c r="BU86" i="56"/>
  <c r="BU94" i="56"/>
  <c r="BU83" i="56"/>
  <c r="BU91" i="56"/>
  <c r="BU99" i="56"/>
  <c r="BU107" i="56"/>
  <c r="BU115" i="56"/>
  <c r="BU104" i="56"/>
  <c r="BU112" i="56"/>
  <c r="BU121" i="56"/>
  <c r="BU129" i="56"/>
  <c r="BU117" i="56"/>
  <c r="BU124" i="56"/>
  <c r="BU132" i="56"/>
  <c r="BU139" i="56"/>
  <c r="BU147" i="56"/>
  <c r="BU155" i="56"/>
  <c r="BU163" i="56"/>
  <c r="BU142" i="56"/>
  <c r="BU150" i="56"/>
  <c r="BU158" i="56"/>
  <c r="BU166" i="56"/>
  <c r="BU52" i="56"/>
  <c r="BU62" i="56"/>
  <c r="BU70" i="56"/>
  <c r="BU61" i="56"/>
  <c r="BU69" i="56"/>
  <c r="BU77" i="56"/>
  <c r="BU74" i="56"/>
  <c r="BU80" i="56"/>
  <c r="BU88" i="56"/>
  <c r="BU96" i="56"/>
  <c r="BU85" i="56"/>
  <c r="BU93" i="56"/>
  <c r="BU101" i="56"/>
  <c r="BU109" i="56"/>
  <c r="BU98" i="56"/>
  <c r="BU106" i="56"/>
  <c r="BU114" i="56"/>
  <c r="BU123" i="56"/>
  <c r="BU131" i="56"/>
  <c r="BU118" i="56"/>
  <c r="BU126" i="56"/>
  <c r="BU134" i="56"/>
  <c r="BU141" i="56"/>
  <c r="BU149" i="56"/>
  <c r="BU157" i="56"/>
  <c r="BU165" i="56"/>
  <c r="BU144" i="56"/>
  <c r="BU152" i="56"/>
  <c r="BU160" i="56"/>
  <c r="BU50" i="56"/>
  <c r="BU53" i="56"/>
  <c r="BU64" i="56"/>
  <c r="BU56" i="56"/>
  <c r="BU63" i="56"/>
  <c r="BU71" i="56"/>
  <c r="BU72" i="56"/>
  <c r="BU76" i="56"/>
  <c r="BU82" i="56"/>
  <c r="BU90" i="56"/>
  <c r="BU79" i="56"/>
  <c r="BU87" i="56"/>
  <c r="BU95" i="56"/>
  <c r="BU103" i="56"/>
  <c r="BU111" i="56"/>
  <c r="BU100" i="56"/>
  <c r="BU108" i="56"/>
  <c r="BU116" i="56"/>
  <c r="BU125" i="56"/>
  <c r="BU133" i="56"/>
  <c r="BU120" i="56"/>
  <c r="BU128" i="56"/>
  <c r="BU136" i="56"/>
  <c r="BU143" i="56"/>
  <c r="BU151" i="56"/>
  <c r="BU159" i="56"/>
  <c r="BU138" i="56"/>
  <c r="BU146" i="56"/>
  <c r="BU154" i="56"/>
  <c r="BU162" i="56"/>
  <c r="BU167" i="56"/>
  <c r="BU168" i="56"/>
  <c r="BU169" i="56"/>
  <c r="BU170" i="56"/>
  <c r="BU171" i="56"/>
  <c r="BU172" i="56"/>
  <c r="BU173" i="56"/>
  <c r="BU174" i="56"/>
  <c r="BU175" i="56"/>
  <c r="BU176" i="56"/>
  <c r="BU177" i="56"/>
  <c r="BU178" i="56"/>
  <c r="BU179" i="56"/>
  <c r="BU180" i="56"/>
  <c r="BU181" i="56"/>
  <c r="BU182" i="56"/>
  <c r="BU184" i="56"/>
  <c r="BU183" i="56"/>
  <c r="BU185" i="56"/>
  <c r="BU186" i="56"/>
  <c r="BU187" i="56"/>
  <c r="BU188" i="56"/>
  <c r="BU189" i="56"/>
  <c r="BU190" i="56"/>
  <c r="BU191" i="56"/>
  <c r="BU192" i="56"/>
  <c r="BU193" i="56"/>
  <c r="BU194" i="56"/>
  <c r="BU195" i="56"/>
  <c r="BU196" i="56"/>
  <c r="BU197" i="56"/>
  <c r="BU198" i="56"/>
  <c r="BU199" i="56"/>
  <c r="BU200" i="56"/>
  <c r="BU201" i="56"/>
  <c r="BU202" i="56"/>
  <c r="BU203" i="56"/>
  <c r="BU204" i="56"/>
  <c r="BU205" i="56"/>
  <c r="BU206" i="56"/>
  <c r="BU207" i="56"/>
  <c r="BU208" i="56"/>
  <c r="BU209" i="56"/>
  <c r="BU210" i="56"/>
  <c r="BU211" i="56"/>
  <c r="BU212" i="56"/>
  <c r="BU213" i="56"/>
  <c r="BU214" i="56"/>
  <c r="BU215" i="56"/>
  <c r="BU216" i="56"/>
  <c r="BU217" i="56"/>
  <c r="BU218" i="56"/>
  <c r="BU219" i="56"/>
  <c r="BU220" i="56"/>
  <c r="BU221" i="56"/>
  <c r="BU222" i="56"/>
  <c r="BU223" i="56"/>
  <c r="BU224" i="56"/>
  <c r="BU225" i="56"/>
  <c r="BU226" i="56"/>
  <c r="BU227" i="56"/>
  <c r="BU228" i="56"/>
  <c r="BU229" i="56"/>
  <c r="BU230" i="56"/>
  <c r="BU231" i="56"/>
  <c r="BU232" i="56"/>
  <c r="BU233" i="56"/>
  <c r="BU234" i="56"/>
  <c r="BU235" i="56"/>
  <c r="BU236" i="56"/>
  <c r="BU237" i="56"/>
  <c r="BU238" i="56"/>
  <c r="BU239" i="56"/>
  <c r="BU240" i="56"/>
  <c r="BU241" i="56"/>
  <c r="BU242" i="56"/>
  <c r="BU243" i="56"/>
  <c r="BU244" i="56"/>
  <c r="BU245" i="56"/>
  <c r="BU246" i="56"/>
  <c r="BU247" i="56"/>
  <c r="BU248" i="56"/>
  <c r="BU249" i="56"/>
  <c r="BU250" i="56"/>
  <c r="BU251" i="56"/>
  <c r="BU252" i="56"/>
  <c r="BU253" i="56"/>
  <c r="BU254" i="56"/>
  <c r="BU255" i="56"/>
  <c r="BU256" i="56"/>
  <c r="BU257" i="56"/>
  <c r="BU258" i="56"/>
  <c r="BU259" i="56"/>
  <c r="BU260" i="56"/>
  <c r="BU261" i="56"/>
  <c r="BU262" i="56"/>
  <c r="BU263" i="56"/>
  <c r="BU264" i="56"/>
  <c r="BU265" i="56"/>
  <c r="BU266" i="56"/>
  <c r="BU267" i="56"/>
  <c r="BU268" i="56"/>
  <c r="BU269" i="56"/>
  <c r="BU270" i="56"/>
  <c r="BU271" i="56"/>
  <c r="BU272" i="56"/>
  <c r="BU273" i="56"/>
  <c r="BU274" i="56"/>
  <c r="BU275" i="56"/>
  <c r="BU276" i="56"/>
  <c r="BU277" i="56"/>
  <c r="BU278" i="56"/>
  <c r="BU279" i="56"/>
  <c r="BU280" i="56"/>
  <c r="BU281" i="56"/>
  <c r="BU282" i="56"/>
  <c r="BU283" i="56"/>
  <c r="BU284" i="56"/>
  <c r="BU285" i="56"/>
  <c r="BU286" i="56"/>
  <c r="BU287" i="56"/>
  <c r="BU288" i="56"/>
  <c r="BU289" i="56"/>
  <c r="BU290" i="56"/>
  <c r="BU291" i="56"/>
  <c r="BU292" i="56"/>
  <c r="BU293" i="56"/>
  <c r="BU294" i="56"/>
  <c r="BU295" i="56"/>
  <c r="BU296" i="56"/>
  <c r="BU297" i="56"/>
  <c r="BU298" i="56"/>
  <c r="BU299" i="56"/>
  <c r="BU300" i="56"/>
  <c r="BU301" i="56"/>
  <c r="BU302" i="56"/>
  <c r="BU303" i="56"/>
  <c r="BU304" i="56"/>
  <c r="BU305" i="56"/>
  <c r="BU306" i="56"/>
  <c r="BU307" i="56"/>
  <c r="BU308" i="56"/>
  <c r="BU309" i="56"/>
  <c r="BU310" i="56"/>
  <c r="BU311" i="56"/>
  <c r="BU312" i="56"/>
  <c r="BU313" i="56"/>
  <c r="BU314" i="56"/>
  <c r="BU315" i="56"/>
  <c r="BU316" i="56"/>
  <c r="BU317" i="56"/>
  <c r="BU318" i="56"/>
  <c r="BU319" i="56"/>
  <c r="BU320" i="56"/>
  <c r="BU321" i="56"/>
  <c r="BU322" i="56"/>
  <c r="BU323" i="56"/>
  <c r="BU324" i="56"/>
  <c r="BU325" i="56"/>
  <c r="BU326" i="56"/>
  <c r="BU327" i="56"/>
  <c r="BU328" i="56"/>
  <c r="BU329" i="56"/>
  <c r="BU330" i="56"/>
  <c r="BU331" i="56"/>
  <c r="BU332" i="56"/>
  <c r="BU333" i="56"/>
  <c r="BU334" i="56"/>
  <c r="BU335" i="56"/>
  <c r="BU336" i="56"/>
  <c r="BU337" i="56"/>
  <c r="BU338" i="56"/>
  <c r="BU339" i="56"/>
  <c r="BU340" i="56"/>
  <c r="BU341" i="56"/>
  <c r="BU342" i="56"/>
  <c r="BU343" i="56"/>
  <c r="BU344" i="56"/>
  <c r="BU345" i="56"/>
  <c r="BU346" i="56"/>
  <c r="BU347" i="56"/>
  <c r="BU348" i="56"/>
  <c r="BU349" i="56"/>
  <c r="BU350" i="56"/>
  <c r="BU351" i="56"/>
  <c r="BU352" i="56"/>
  <c r="BU353" i="56"/>
  <c r="BU354" i="56"/>
  <c r="BU355" i="56"/>
  <c r="BU356" i="56"/>
  <c r="BU357" i="56"/>
  <c r="BU358" i="56"/>
  <c r="BU359" i="56"/>
  <c r="BU360" i="56"/>
  <c r="BU361" i="56"/>
  <c r="BU362" i="56"/>
  <c r="BU363" i="56"/>
  <c r="BU364" i="56"/>
  <c r="BU365" i="56"/>
  <c r="BU366" i="56"/>
  <c r="BU367" i="56"/>
  <c r="BU368" i="56"/>
  <c r="BU369" i="56"/>
  <c r="BU370" i="56"/>
  <c r="BU371" i="56"/>
  <c r="BU372" i="56"/>
  <c r="BU373" i="56"/>
  <c r="BU374" i="56"/>
  <c r="BU375" i="56"/>
  <c r="BU376" i="56"/>
  <c r="BU377" i="56"/>
  <c r="BU378" i="56"/>
  <c r="BU379" i="56"/>
  <c r="BU380" i="56"/>
  <c r="BU381" i="56"/>
  <c r="BU382" i="56"/>
  <c r="BU383" i="56"/>
  <c r="BU384" i="56"/>
  <c r="BU385" i="56"/>
  <c r="BU386" i="56"/>
  <c r="BU387" i="56"/>
  <c r="BU388" i="56"/>
  <c r="BU389" i="56"/>
  <c r="BU390" i="56"/>
  <c r="BU391" i="56"/>
  <c r="BU392" i="56"/>
  <c r="BU393" i="56"/>
  <c r="BU394" i="56"/>
  <c r="BU395" i="56"/>
  <c r="BU396" i="56"/>
  <c r="BU397" i="56"/>
  <c r="BU398" i="56"/>
  <c r="BU399" i="56"/>
  <c r="BU400" i="56"/>
  <c r="BU401" i="56"/>
  <c r="BU402" i="56"/>
  <c r="BU403" i="56"/>
  <c r="BU404" i="56"/>
  <c r="BU405" i="56"/>
  <c r="BU406" i="56"/>
  <c r="BU407" i="56"/>
  <c r="BB442" i="56"/>
  <c r="BB443" i="56" s="1"/>
  <c r="P23" i="65"/>
  <c r="A27" i="56"/>
  <c r="G27" i="56" s="1"/>
  <c r="I26" i="53"/>
  <c r="R24" i="65"/>
  <c r="H28" i="56"/>
  <c r="H29" i="56" s="1"/>
  <c r="K27" i="53"/>
  <c r="CC49" i="56"/>
  <c r="CD49" i="56" s="1"/>
  <c r="BR48" i="56"/>
  <c r="CC51" i="56"/>
  <c r="CD51" i="56" s="1"/>
  <c r="CC52" i="56"/>
  <c r="CD52" i="56" s="1"/>
  <c r="CC53" i="56"/>
  <c r="CD53" i="56" s="1"/>
  <c r="CC56" i="56"/>
  <c r="CD56" i="56" s="1"/>
  <c r="CC61" i="56"/>
  <c r="CD61" i="56" s="1"/>
  <c r="CC63" i="56"/>
  <c r="CD63" i="56" s="1"/>
  <c r="CC65" i="56"/>
  <c r="CD65" i="56" s="1"/>
  <c r="CC67" i="56"/>
  <c r="CD67" i="56" s="1"/>
  <c r="CC69" i="56"/>
  <c r="CD69" i="56" s="1"/>
  <c r="CC71" i="56"/>
  <c r="CD71" i="56" s="1"/>
  <c r="CC55" i="56"/>
  <c r="CD55" i="56" s="1"/>
  <c r="CC50" i="56"/>
  <c r="CD50" i="56" s="1"/>
  <c r="CC57" i="56"/>
  <c r="CD57" i="56" s="1"/>
  <c r="CC58" i="56"/>
  <c r="CD58" i="56" s="1"/>
  <c r="CC62" i="56"/>
  <c r="CD62" i="56" s="1"/>
  <c r="CC64" i="56"/>
  <c r="CD64" i="56" s="1"/>
  <c r="CC66" i="56"/>
  <c r="CD66" i="56" s="1"/>
  <c r="CC68" i="56"/>
  <c r="CD68" i="56" s="1"/>
  <c r="CC70" i="56"/>
  <c r="CD70" i="56" s="1"/>
  <c r="CC72" i="56"/>
  <c r="CC74" i="56"/>
  <c r="CD74" i="56" s="1"/>
  <c r="CC54" i="56"/>
  <c r="CD54" i="56" s="1"/>
  <c r="CC60" i="56"/>
  <c r="CC76" i="56"/>
  <c r="CD76" i="56" s="1"/>
  <c r="CC73" i="56"/>
  <c r="CD73" i="56" s="1"/>
  <c r="CC75" i="56"/>
  <c r="CD75" i="56" s="1"/>
  <c r="CC77" i="56"/>
  <c r="CD77" i="56" s="1"/>
  <c r="CC59" i="56"/>
  <c r="CD59" i="56" s="1"/>
  <c r="CC79" i="56"/>
  <c r="CD79" i="56" s="1"/>
  <c r="CC81" i="56"/>
  <c r="CD81" i="56" s="1"/>
  <c r="CC83" i="56"/>
  <c r="CD83" i="56" s="1"/>
  <c r="CC85" i="56"/>
  <c r="CD85" i="56" s="1"/>
  <c r="CC87" i="56"/>
  <c r="CD87" i="56" s="1"/>
  <c r="CC89" i="56"/>
  <c r="CD89" i="56" s="1"/>
  <c r="CC91" i="56"/>
  <c r="CD91" i="56" s="1"/>
  <c r="CC93" i="56"/>
  <c r="CD93" i="56" s="1"/>
  <c r="CC95" i="56"/>
  <c r="CD95" i="56" s="1"/>
  <c r="CC78" i="56"/>
  <c r="CD78" i="56" s="1"/>
  <c r="CC80" i="56"/>
  <c r="CD80" i="56" s="1"/>
  <c r="CC82" i="56"/>
  <c r="CD82" i="56" s="1"/>
  <c r="CC84" i="56"/>
  <c r="CC86" i="56"/>
  <c r="CD86" i="56" s="1"/>
  <c r="CC88" i="56"/>
  <c r="CD88" i="56" s="1"/>
  <c r="CC90" i="56"/>
  <c r="CD90" i="56" s="1"/>
  <c r="CC92" i="56"/>
  <c r="CD92" i="56" s="1"/>
  <c r="CC94" i="56"/>
  <c r="CD94" i="56" s="1"/>
  <c r="CC96" i="56"/>
  <c r="CC98" i="56"/>
  <c r="CD98" i="56" s="1"/>
  <c r="CC100" i="56"/>
  <c r="CD100" i="56" s="1"/>
  <c r="CC102" i="56"/>
  <c r="CD102" i="56" s="1"/>
  <c r="CC104" i="56"/>
  <c r="CD104" i="56" s="1"/>
  <c r="CC106" i="56"/>
  <c r="CD106" i="56" s="1"/>
  <c r="CC108" i="56"/>
  <c r="CC110" i="56"/>
  <c r="CD110" i="56" s="1"/>
  <c r="CC112" i="56"/>
  <c r="CD112" i="56" s="1"/>
  <c r="CC114" i="56"/>
  <c r="CD114" i="56" s="1"/>
  <c r="CC116" i="56"/>
  <c r="CD116" i="56" s="1"/>
  <c r="CC97" i="56"/>
  <c r="CD97" i="56" s="1"/>
  <c r="CC99" i="56"/>
  <c r="CD99" i="56" s="1"/>
  <c r="CC101" i="56"/>
  <c r="CD101" i="56" s="1"/>
  <c r="CC103" i="56"/>
  <c r="CD103" i="56" s="1"/>
  <c r="CC105" i="56"/>
  <c r="CD105" i="56" s="1"/>
  <c r="CC107" i="56"/>
  <c r="CD107" i="56" s="1"/>
  <c r="CC109" i="56"/>
  <c r="CD109" i="56" s="1"/>
  <c r="CC111" i="56"/>
  <c r="CD111" i="56" s="1"/>
  <c r="CC113" i="56"/>
  <c r="CD113" i="56" s="1"/>
  <c r="CC115" i="56"/>
  <c r="CD115" i="56" s="1"/>
  <c r="CC118" i="56"/>
  <c r="CD118" i="56" s="1"/>
  <c r="CC120" i="56"/>
  <c r="CC122" i="56"/>
  <c r="CD122" i="56" s="1"/>
  <c r="CC124" i="56"/>
  <c r="CD124" i="56" s="1"/>
  <c r="CC126" i="56"/>
  <c r="CD126" i="56" s="1"/>
  <c r="CC128" i="56"/>
  <c r="CD128" i="56" s="1"/>
  <c r="CC130" i="56"/>
  <c r="CD130" i="56" s="1"/>
  <c r="CC132" i="56"/>
  <c r="CC134" i="56"/>
  <c r="CD134" i="56" s="1"/>
  <c r="CC136" i="56"/>
  <c r="CD136" i="56" s="1"/>
  <c r="CC117" i="56"/>
  <c r="CD117" i="56" s="1"/>
  <c r="CC119" i="56"/>
  <c r="CD119" i="56" s="1"/>
  <c r="CC121" i="56"/>
  <c r="CD121" i="56" s="1"/>
  <c r="CC123" i="56"/>
  <c r="CD123" i="56" s="1"/>
  <c r="CC125" i="56"/>
  <c r="CD125" i="56" s="1"/>
  <c r="CC127" i="56"/>
  <c r="CD127" i="56" s="1"/>
  <c r="CC129" i="56"/>
  <c r="CD129" i="56" s="1"/>
  <c r="CC131" i="56"/>
  <c r="CD131" i="56" s="1"/>
  <c r="CC133" i="56"/>
  <c r="CD133" i="56" s="1"/>
  <c r="CC135" i="56"/>
  <c r="CD135" i="56" s="1"/>
  <c r="CC138" i="56"/>
  <c r="CD138" i="56" s="1"/>
  <c r="CC140" i="56"/>
  <c r="CD140" i="56" s="1"/>
  <c r="CC142" i="56"/>
  <c r="CD142" i="56" s="1"/>
  <c r="CC144" i="56"/>
  <c r="CC146" i="56"/>
  <c r="CD146" i="56" s="1"/>
  <c r="CC148" i="56"/>
  <c r="CD148" i="56" s="1"/>
  <c r="CC150" i="56"/>
  <c r="CD150" i="56" s="1"/>
  <c r="CC152" i="56"/>
  <c r="CD152" i="56" s="1"/>
  <c r="CC154" i="56"/>
  <c r="CD154" i="56" s="1"/>
  <c r="CC156" i="56"/>
  <c r="CC158" i="56"/>
  <c r="CD158" i="56" s="1"/>
  <c r="CC160" i="56"/>
  <c r="CD160" i="56" s="1"/>
  <c r="CC162" i="56"/>
  <c r="CD162" i="56" s="1"/>
  <c r="CC164" i="56"/>
  <c r="CD164" i="56" s="1"/>
  <c r="CC166" i="56"/>
  <c r="CD166" i="56" s="1"/>
  <c r="CC168" i="56"/>
  <c r="CC170" i="56"/>
  <c r="CD170" i="56" s="1"/>
  <c r="CC172" i="56"/>
  <c r="CD172" i="56" s="1"/>
  <c r="CC137" i="56"/>
  <c r="CD137" i="56" s="1"/>
  <c r="CC139" i="56"/>
  <c r="CD139" i="56" s="1"/>
  <c r="CC141" i="56"/>
  <c r="CD141" i="56" s="1"/>
  <c r="CC143" i="56"/>
  <c r="CD143" i="56" s="1"/>
  <c r="CC145" i="56"/>
  <c r="CD145" i="56" s="1"/>
  <c r="CC147" i="56"/>
  <c r="CD147" i="56" s="1"/>
  <c r="CC149" i="56"/>
  <c r="CD149" i="56" s="1"/>
  <c r="CC151" i="56"/>
  <c r="CD151" i="56" s="1"/>
  <c r="CC153" i="56"/>
  <c r="CD153" i="56" s="1"/>
  <c r="CC155" i="56"/>
  <c r="CD155" i="56" s="1"/>
  <c r="CC157" i="56"/>
  <c r="CD157" i="56" s="1"/>
  <c r="CC159" i="56"/>
  <c r="CD159" i="56" s="1"/>
  <c r="CC161" i="56"/>
  <c r="CD161" i="56" s="1"/>
  <c r="CC163" i="56"/>
  <c r="CD163" i="56" s="1"/>
  <c r="CC165" i="56"/>
  <c r="CD165" i="56" s="1"/>
  <c r="CC167" i="56"/>
  <c r="CD167" i="56" s="1"/>
  <c r="CC169" i="56"/>
  <c r="CD169" i="56" s="1"/>
  <c r="CC171" i="56"/>
  <c r="CD171" i="56" s="1"/>
  <c r="CC173" i="56"/>
  <c r="CD173" i="56" s="1"/>
  <c r="CC174" i="56"/>
  <c r="CD174" i="56" s="1"/>
  <c r="CC182" i="56"/>
  <c r="CD182" i="56" s="1"/>
  <c r="CC175" i="56"/>
  <c r="CD175" i="56" s="1"/>
  <c r="CC177" i="56"/>
  <c r="CD177" i="56" s="1"/>
  <c r="CC179" i="56"/>
  <c r="CD179" i="56" s="1"/>
  <c r="CC183" i="56"/>
  <c r="CD183" i="56" s="1"/>
  <c r="CC180" i="56"/>
  <c r="CD180" i="56" s="1"/>
  <c r="CD422" i="56" s="1"/>
  <c r="CC184" i="56"/>
  <c r="CD184" i="56" s="1"/>
  <c r="CC176" i="56"/>
  <c r="CD176" i="56" s="1"/>
  <c r="CC178" i="56"/>
  <c r="CD178" i="56" s="1"/>
  <c r="CC181" i="56"/>
  <c r="CD181" i="56" s="1"/>
  <c r="CC185" i="56"/>
  <c r="CD185" i="56" s="1"/>
  <c r="CC186" i="56"/>
  <c r="CD186" i="56" s="1"/>
  <c r="CC187" i="56"/>
  <c r="CD187" i="56" s="1"/>
  <c r="CC188" i="56"/>
  <c r="CD188" i="56" s="1"/>
  <c r="CC189" i="56"/>
  <c r="CD189" i="56" s="1"/>
  <c r="CC190" i="56"/>
  <c r="CD190" i="56" s="1"/>
  <c r="CC191" i="56"/>
  <c r="CD191" i="56" s="1"/>
  <c r="CC192" i="56"/>
  <c r="CD192" i="56" s="1"/>
  <c r="CD423" i="56" s="1"/>
  <c r="CC193" i="56"/>
  <c r="CD193" i="56" s="1"/>
  <c r="CC194" i="56"/>
  <c r="CD194" i="56" s="1"/>
  <c r="CC195" i="56"/>
  <c r="CD195" i="56" s="1"/>
  <c r="CC196" i="56"/>
  <c r="CD196" i="56" s="1"/>
  <c r="CC197" i="56"/>
  <c r="CD197" i="56" s="1"/>
  <c r="CC198" i="56"/>
  <c r="CD198" i="56" s="1"/>
  <c r="CC199" i="56"/>
  <c r="CD199" i="56" s="1"/>
  <c r="CC200" i="56"/>
  <c r="CD200" i="56" s="1"/>
  <c r="CC201" i="56"/>
  <c r="CD201" i="56" s="1"/>
  <c r="CC202" i="56"/>
  <c r="CD202" i="56" s="1"/>
  <c r="CC203" i="56"/>
  <c r="CD203" i="56" s="1"/>
  <c r="CC204" i="56"/>
  <c r="CD204" i="56" s="1"/>
  <c r="CD424" i="56" s="1"/>
  <c r="CC205" i="56"/>
  <c r="CD205" i="56" s="1"/>
  <c r="CC206" i="56"/>
  <c r="CD206" i="56" s="1"/>
  <c r="CC207" i="56"/>
  <c r="CD207" i="56" s="1"/>
  <c r="CC208" i="56"/>
  <c r="CD208" i="56" s="1"/>
  <c r="CC209" i="56"/>
  <c r="CD209" i="56" s="1"/>
  <c r="CC210" i="56"/>
  <c r="CD210" i="56" s="1"/>
  <c r="CC211" i="56"/>
  <c r="CD211" i="56" s="1"/>
  <c r="CC212" i="56"/>
  <c r="CD212" i="56" s="1"/>
  <c r="CC213" i="56"/>
  <c r="CD213" i="56" s="1"/>
  <c r="CC214" i="56"/>
  <c r="CD214" i="56" s="1"/>
  <c r="CC215" i="56"/>
  <c r="CD215" i="56" s="1"/>
  <c r="CC216" i="56"/>
  <c r="CD216" i="56" s="1"/>
  <c r="CD425" i="56" s="1"/>
  <c r="CC217" i="56"/>
  <c r="CD217" i="56" s="1"/>
  <c r="CC218" i="56"/>
  <c r="CD218" i="56" s="1"/>
  <c r="CC219" i="56"/>
  <c r="CD219" i="56" s="1"/>
  <c r="CC220" i="56"/>
  <c r="CD220" i="56" s="1"/>
  <c r="CC221" i="56"/>
  <c r="CD221" i="56" s="1"/>
  <c r="CC222" i="56"/>
  <c r="CD222" i="56" s="1"/>
  <c r="CC223" i="56"/>
  <c r="CD223" i="56" s="1"/>
  <c r="CC224" i="56"/>
  <c r="CD224" i="56" s="1"/>
  <c r="CC225" i="56"/>
  <c r="CD225" i="56" s="1"/>
  <c r="CC226" i="56"/>
  <c r="CD226" i="56" s="1"/>
  <c r="CC227" i="56"/>
  <c r="CD227" i="56" s="1"/>
  <c r="CC228" i="56"/>
  <c r="CD228" i="56" s="1"/>
  <c r="CC229" i="56"/>
  <c r="CD229" i="56" s="1"/>
  <c r="CC230" i="56"/>
  <c r="CD230" i="56" s="1"/>
  <c r="CC231" i="56"/>
  <c r="CD231" i="56" s="1"/>
  <c r="CC232" i="56"/>
  <c r="CD232" i="56" s="1"/>
  <c r="CC233" i="56"/>
  <c r="CD233" i="56" s="1"/>
  <c r="CC234" i="56"/>
  <c r="CD234" i="56" s="1"/>
  <c r="CC235" i="56"/>
  <c r="CD235" i="56" s="1"/>
  <c r="CC236" i="56"/>
  <c r="CD236" i="56" s="1"/>
  <c r="CC237" i="56"/>
  <c r="CD237" i="56" s="1"/>
  <c r="CC238" i="56"/>
  <c r="CD238" i="56" s="1"/>
  <c r="CC239" i="56"/>
  <c r="CD239" i="56" s="1"/>
  <c r="CC240" i="56"/>
  <c r="CD240" i="56" s="1"/>
  <c r="CC241" i="56"/>
  <c r="CD241" i="56" s="1"/>
  <c r="CC242" i="56"/>
  <c r="CD242" i="56" s="1"/>
  <c r="CC243" i="56"/>
  <c r="CD243" i="56" s="1"/>
  <c r="CC244" i="56"/>
  <c r="CD244" i="56" s="1"/>
  <c r="CC245" i="56"/>
  <c r="CD245" i="56" s="1"/>
  <c r="CC246" i="56"/>
  <c r="CD246" i="56" s="1"/>
  <c r="CC247" i="56"/>
  <c r="CD247" i="56" s="1"/>
  <c r="CC248" i="56"/>
  <c r="CD248" i="56" s="1"/>
  <c r="CC249" i="56"/>
  <c r="CD249" i="56" s="1"/>
  <c r="CC250" i="56"/>
  <c r="CD250" i="56" s="1"/>
  <c r="CC251" i="56"/>
  <c r="CD251" i="56" s="1"/>
  <c r="CC252" i="56"/>
  <c r="CD252" i="56" s="1"/>
  <c r="CC253" i="56"/>
  <c r="CD253" i="56" s="1"/>
  <c r="CC254" i="56"/>
  <c r="CD254" i="56" s="1"/>
  <c r="CC255" i="56"/>
  <c r="CD255" i="56" s="1"/>
  <c r="CC256" i="56"/>
  <c r="CD256" i="56" s="1"/>
  <c r="CC257" i="56"/>
  <c r="CD257" i="56" s="1"/>
  <c r="CC258" i="56"/>
  <c r="CD258" i="56" s="1"/>
  <c r="CC259" i="56"/>
  <c r="CD259" i="56" s="1"/>
  <c r="CC260" i="56"/>
  <c r="CD260" i="56" s="1"/>
  <c r="CC261" i="56"/>
  <c r="CD261" i="56" s="1"/>
  <c r="CC262" i="56"/>
  <c r="CD262" i="56" s="1"/>
  <c r="CC263" i="56"/>
  <c r="CD263" i="56" s="1"/>
  <c r="CC264" i="56"/>
  <c r="CD264" i="56" s="1"/>
  <c r="CC265" i="56"/>
  <c r="CD265" i="56" s="1"/>
  <c r="CC266" i="56"/>
  <c r="CD266" i="56" s="1"/>
  <c r="CC267" i="56"/>
  <c r="CD267" i="56" s="1"/>
  <c r="CC268" i="56"/>
  <c r="CD268" i="56" s="1"/>
  <c r="CC269" i="56"/>
  <c r="CD269" i="56" s="1"/>
  <c r="CC270" i="56"/>
  <c r="CD270" i="56" s="1"/>
  <c r="CC271" i="56"/>
  <c r="CD271" i="56" s="1"/>
  <c r="CC272" i="56"/>
  <c r="CD272" i="56" s="1"/>
  <c r="CC273" i="56"/>
  <c r="CD273" i="56" s="1"/>
  <c r="CC274" i="56"/>
  <c r="CD274" i="56" s="1"/>
  <c r="CC275" i="56"/>
  <c r="CD275" i="56" s="1"/>
  <c r="CC276" i="56"/>
  <c r="CD276" i="56" s="1"/>
  <c r="CC277" i="56"/>
  <c r="CD277" i="56" s="1"/>
  <c r="CC278" i="56"/>
  <c r="CD278" i="56" s="1"/>
  <c r="CC279" i="56"/>
  <c r="CD279" i="56" s="1"/>
  <c r="CC280" i="56"/>
  <c r="CD280" i="56" s="1"/>
  <c r="CC281" i="56"/>
  <c r="CD281" i="56" s="1"/>
  <c r="CC282" i="56"/>
  <c r="CD282" i="56" s="1"/>
  <c r="CC283" i="56"/>
  <c r="CD283" i="56" s="1"/>
  <c r="CC284" i="56"/>
  <c r="CD284" i="56" s="1"/>
  <c r="CC285" i="56"/>
  <c r="CD285" i="56" s="1"/>
  <c r="CC286" i="56"/>
  <c r="CD286" i="56" s="1"/>
  <c r="CC287" i="56"/>
  <c r="CD287" i="56" s="1"/>
  <c r="CC288" i="56"/>
  <c r="CD288" i="56" s="1"/>
  <c r="CC289" i="56"/>
  <c r="CD289" i="56" s="1"/>
  <c r="CC290" i="56"/>
  <c r="CD290" i="56" s="1"/>
  <c r="CC291" i="56"/>
  <c r="CD291" i="56" s="1"/>
  <c r="CC292" i="56"/>
  <c r="CD292" i="56" s="1"/>
  <c r="CC293" i="56"/>
  <c r="CD293" i="56" s="1"/>
  <c r="CC294" i="56"/>
  <c r="CD294" i="56" s="1"/>
  <c r="CC295" i="56"/>
  <c r="CD295" i="56" s="1"/>
  <c r="CC296" i="56"/>
  <c r="CD296" i="56" s="1"/>
  <c r="CC297" i="56"/>
  <c r="CD297" i="56" s="1"/>
  <c r="CC298" i="56"/>
  <c r="CD298" i="56" s="1"/>
  <c r="CC299" i="56"/>
  <c r="CD299" i="56" s="1"/>
  <c r="CC300" i="56"/>
  <c r="CD300" i="56" s="1"/>
  <c r="CC301" i="56"/>
  <c r="CD301" i="56" s="1"/>
  <c r="CC302" i="56"/>
  <c r="CD302" i="56" s="1"/>
  <c r="CC303" i="56"/>
  <c r="CD303" i="56" s="1"/>
  <c r="CC304" i="56"/>
  <c r="CD304" i="56" s="1"/>
  <c r="CC305" i="56"/>
  <c r="CD305" i="56" s="1"/>
  <c r="CC306" i="56"/>
  <c r="CD306" i="56" s="1"/>
  <c r="CC307" i="56"/>
  <c r="CD307" i="56" s="1"/>
  <c r="CC308" i="56"/>
  <c r="CD308" i="56" s="1"/>
  <c r="CC309" i="56"/>
  <c r="CD309" i="56" s="1"/>
  <c r="CC310" i="56"/>
  <c r="CD310" i="56" s="1"/>
  <c r="CC311" i="56"/>
  <c r="CD311" i="56" s="1"/>
  <c r="CC312" i="56"/>
  <c r="CD312" i="56" s="1"/>
  <c r="CC313" i="56"/>
  <c r="CD313" i="56" s="1"/>
  <c r="CC314" i="56"/>
  <c r="CD314" i="56" s="1"/>
  <c r="CC315" i="56"/>
  <c r="CD315" i="56" s="1"/>
  <c r="CC316" i="56"/>
  <c r="CD316" i="56" s="1"/>
  <c r="CC317" i="56"/>
  <c r="CD317" i="56" s="1"/>
  <c r="CC318" i="56"/>
  <c r="CD318" i="56" s="1"/>
  <c r="CC319" i="56"/>
  <c r="CD319" i="56" s="1"/>
  <c r="CC320" i="56"/>
  <c r="CD320" i="56" s="1"/>
  <c r="CC321" i="56"/>
  <c r="CD321" i="56" s="1"/>
  <c r="CC322" i="56"/>
  <c r="CD322" i="56" s="1"/>
  <c r="CC323" i="56"/>
  <c r="CD323" i="56" s="1"/>
  <c r="CC324" i="56"/>
  <c r="CD324" i="56" s="1"/>
  <c r="CC325" i="56"/>
  <c r="CD325" i="56" s="1"/>
  <c r="CC326" i="56"/>
  <c r="CD326" i="56" s="1"/>
  <c r="CC327" i="56"/>
  <c r="CD327" i="56" s="1"/>
  <c r="CC328" i="56"/>
  <c r="CD328" i="56" s="1"/>
  <c r="CC329" i="56"/>
  <c r="CD329" i="56" s="1"/>
  <c r="CC330" i="56"/>
  <c r="CD330" i="56" s="1"/>
  <c r="CC331" i="56"/>
  <c r="CD331" i="56" s="1"/>
  <c r="CC332" i="56"/>
  <c r="CD332" i="56" s="1"/>
  <c r="CC333" i="56"/>
  <c r="CD333" i="56" s="1"/>
  <c r="CC334" i="56"/>
  <c r="CD334" i="56" s="1"/>
  <c r="CC335" i="56"/>
  <c r="CD335" i="56" s="1"/>
  <c r="CC336" i="56"/>
  <c r="CD336" i="56" s="1"/>
  <c r="CC337" i="56"/>
  <c r="CD337" i="56" s="1"/>
  <c r="CC338" i="56"/>
  <c r="CD338" i="56" s="1"/>
  <c r="CC339" i="56"/>
  <c r="CD339" i="56" s="1"/>
  <c r="CC340" i="56"/>
  <c r="CD340" i="56" s="1"/>
  <c r="CC341" i="56"/>
  <c r="CD341" i="56" s="1"/>
  <c r="CC342" i="56"/>
  <c r="CD342" i="56" s="1"/>
  <c r="CC343" i="56"/>
  <c r="CD343" i="56" s="1"/>
  <c r="CC344" i="56"/>
  <c r="CD344" i="56" s="1"/>
  <c r="CC345" i="56"/>
  <c r="CD345" i="56" s="1"/>
  <c r="CC346" i="56"/>
  <c r="CD346" i="56" s="1"/>
  <c r="CC347" i="56"/>
  <c r="CD347" i="56" s="1"/>
  <c r="CC348" i="56"/>
  <c r="CD348" i="56" s="1"/>
  <c r="CC349" i="56"/>
  <c r="CD349" i="56" s="1"/>
  <c r="CC350" i="56"/>
  <c r="CD350" i="56" s="1"/>
  <c r="CC351" i="56"/>
  <c r="CD351" i="56" s="1"/>
  <c r="CC352" i="56"/>
  <c r="CD352" i="56" s="1"/>
  <c r="CC353" i="56"/>
  <c r="CD353" i="56" s="1"/>
  <c r="CC354" i="56"/>
  <c r="CD354" i="56" s="1"/>
  <c r="CC355" i="56"/>
  <c r="CD355" i="56" s="1"/>
  <c r="CC356" i="56"/>
  <c r="CD356" i="56" s="1"/>
  <c r="CC357" i="56"/>
  <c r="CD357" i="56" s="1"/>
  <c r="CC358" i="56"/>
  <c r="CD358" i="56" s="1"/>
  <c r="CC359" i="56"/>
  <c r="CD359" i="56" s="1"/>
  <c r="CC360" i="56"/>
  <c r="CD360" i="56" s="1"/>
  <c r="CC361" i="56"/>
  <c r="CD361" i="56" s="1"/>
  <c r="CC362" i="56"/>
  <c r="CD362" i="56" s="1"/>
  <c r="CC363" i="56"/>
  <c r="CD363" i="56" s="1"/>
  <c r="CC364" i="56"/>
  <c r="CD364" i="56" s="1"/>
  <c r="CC365" i="56"/>
  <c r="CD365" i="56" s="1"/>
  <c r="CC366" i="56"/>
  <c r="CD366" i="56" s="1"/>
  <c r="CC367" i="56"/>
  <c r="CD367" i="56" s="1"/>
  <c r="CC368" i="56"/>
  <c r="CD368" i="56" s="1"/>
  <c r="CC369" i="56"/>
  <c r="CD369" i="56" s="1"/>
  <c r="CC370" i="56"/>
  <c r="CD370" i="56" s="1"/>
  <c r="CC371" i="56"/>
  <c r="CD371" i="56" s="1"/>
  <c r="CC372" i="56"/>
  <c r="CD372" i="56" s="1"/>
  <c r="CC373" i="56"/>
  <c r="CD373" i="56" s="1"/>
  <c r="CC374" i="56"/>
  <c r="CD374" i="56" s="1"/>
  <c r="CC375" i="56"/>
  <c r="CD375" i="56" s="1"/>
  <c r="CC376" i="56"/>
  <c r="CD376" i="56" s="1"/>
  <c r="CC377" i="56"/>
  <c r="CD377" i="56" s="1"/>
  <c r="CC378" i="56"/>
  <c r="CD378" i="56" s="1"/>
  <c r="CC379" i="56"/>
  <c r="CD379" i="56" s="1"/>
  <c r="CC380" i="56"/>
  <c r="CD380" i="56" s="1"/>
  <c r="CC381" i="56"/>
  <c r="CD381" i="56" s="1"/>
  <c r="CC382" i="56"/>
  <c r="CD382" i="56" s="1"/>
  <c r="CC383" i="56"/>
  <c r="CD383" i="56" s="1"/>
  <c r="CC384" i="56"/>
  <c r="CD384" i="56" s="1"/>
  <c r="CC385" i="56"/>
  <c r="CD385" i="56" s="1"/>
  <c r="CC386" i="56"/>
  <c r="CD386" i="56" s="1"/>
  <c r="CC387" i="56"/>
  <c r="CD387" i="56" s="1"/>
  <c r="CC388" i="56"/>
  <c r="CD388" i="56" s="1"/>
  <c r="CC389" i="56"/>
  <c r="CD389" i="56" s="1"/>
  <c r="CC390" i="56"/>
  <c r="CD390" i="56" s="1"/>
  <c r="CC391" i="56"/>
  <c r="CD391" i="56" s="1"/>
  <c r="CC392" i="56"/>
  <c r="CD392" i="56" s="1"/>
  <c r="CC393" i="56"/>
  <c r="CD393" i="56" s="1"/>
  <c r="CC394" i="56"/>
  <c r="CD394" i="56" s="1"/>
  <c r="CC395" i="56"/>
  <c r="CD395" i="56" s="1"/>
  <c r="CC396" i="56"/>
  <c r="CD396" i="56" s="1"/>
  <c r="CC397" i="56"/>
  <c r="CD397" i="56" s="1"/>
  <c r="CC398" i="56"/>
  <c r="CD398" i="56" s="1"/>
  <c r="CC399" i="56"/>
  <c r="CD399" i="56" s="1"/>
  <c r="CC400" i="56"/>
  <c r="CD400" i="56" s="1"/>
  <c r="CC401" i="56"/>
  <c r="CD401" i="56" s="1"/>
  <c r="CC402" i="56"/>
  <c r="CD402" i="56" s="1"/>
  <c r="CC403" i="56"/>
  <c r="CD403" i="56" s="1"/>
  <c r="CC404" i="56"/>
  <c r="CD404" i="56" s="1"/>
  <c r="CC405" i="56"/>
  <c r="CD405" i="56" s="1"/>
  <c r="CC406" i="56"/>
  <c r="CD406" i="56" s="1"/>
  <c r="CC407" i="56"/>
  <c r="CD407" i="56" s="1"/>
  <c r="BR414" i="56"/>
  <c r="BR418" i="56"/>
  <c r="BR421" i="56"/>
  <c r="BR413" i="56"/>
  <c r="BR417" i="56"/>
  <c r="BR412" i="56"/>
  <c r="BR416" i="56"/>
  <c r="BR420" i="56"/>
  <c r="BR415" i="56"/>
  <c r="BR419" i="56"/>
  <c r="BT50" i="56"/>
  <c r="BT53" i="56"/>
  <c r="BT65" i="56"/>
  <c r="BT74" i="56"/>
  <c r="BT70" i="56"/>
  <c r="BT85" i="56"/>
  <c r="BT93" i="56"/>
  <c r="BT84" i="56"/>
  <c r="BT92" i="56"/>
  <c r="BT103" i="56"/>
  <c r="BT111" i="56"/>
  <c r="BT98" i="56"/>
  <c r="BT102" i="56"/>
  <c r="BT110" i="56"/>
  <c r="BT117" i="56"/>
  <c r="BT124" i="56"/>
  <c r="BT132" i="56"/>
  <c r="BT121" i="56"/>
  <c r="BT129" i="56"/>
  <c r="BT136" i="56"/>
  <c r="BT143" i="56"/>
  <c r="BT151" i="56"/>
  <c r="BT159" i="56"/>
  <c r="BT144" i="56"/>
  <c r="BT152" i="56"/>
  <c r="BT160" i="56"/>
  <c r="BT52" i="56"/>
  <c r="BT58" i="56"/>
  <c r="BT67" i="56"/>
  <c r="BT60" i="56"/>
  <c r="BT68" i="56"/>
  <c r="BT76" i="56"/>
  <c r="BT79" i="56"/>
  <c r="BT87" i="56"/>
  <c r="BT95" i="56"/>
  <c r="BT78" i="56"/>
  <c r="BT86" i="56"/>
  <c r="BT94" i="56"/>
  <c r="BT105" i="56"/>
  <c r="BT113" i="56"/>
  <c r="BT104" i="56"/>
  <c r="BT112" i="56"/>
  <c r="BT118" i="56"/>
  <c r="BT126" i="56"/>
  <c r="BT134" i="56"/>
  <c r="BT123" i="56"/>
  <c r="BT131" i="56"/>
  <c r="BT137" i="56"/>
  <c r="BT145" i="56"/>
  <c r="BT153" i="56"/>
  <c r="BT161" i="56"/>
  <c r="BT138" i="56"/>
  <c r="BT146" i="56"/>
  <c r="BT154" i="56"/>
  <c r="BT162" i="56"/>
  <c r="BT49" i="56"/>
  <c r="BT54" i="56"/>
  <c r="BT55" i="56"/>
  <c r="BT61" i="56"/>
  <c r="BT69" i="56"/>
  <c r="BT72" i="56"/>
  <c r="BT66" i="56"/>
  <c r="BT64" i="56"/>
  <c r="BT57" i="56"/>
  <c r="BT75" i="56"/>
  <c r="BT81" i="56"/>
  <c r="BT89" i="56"/>
  <c r="BT80" i="56"/>
  <c r="BT88" i="56"/>
  <c r="BT99" i="56"/>
  <c r="BT107" i="56"/>
  <c r="BT115" i="56"/>
  <c r="BT96" i="56"/>
  <c r="BT106" i="56"/>
  <c r="BT114" i="56"/>
  <c r="BT120" i="56"/>
  <c r="BT128" i="56"/>
  <c r="BT125" i="56"/>
  <c r="BT133" i="56"/>
  <c r="BT139" i="56"/>
  <c r="BT147" i="56"/>
  <c r="BT155" i="56"/>
  <c r="BT163" i="56"/>
  <c r="BT140" i="56"/>
  <c r="BT148" i="56"/>
  <c r="BT156" i="56"/>
  <c r="BT164" i="56"/>
  <c r="BT56" i="56"/>
  <c r="BT59" i="56"/>
  <c r="BT63" i="56"/>
  <c r="BT51" i="56"/>
  <c r="BT73" i="56"/>
  <c r="BT71" i="56"/>
  <c r="BT62" i="56"/>
  <c r="BT77" i="56"/>
  <c r="BT83" i="56"/>
  <c r="BT91" i="56"/>
  <c r="BT82" i="56"/>
  <c r="BT90" i="56"/>
  <c r="BT101" i="56"/>
  <c r="BT109" i="56"/>
  <c r="BT97" i="56"/>
  <c r="BT100" i="56"/>
  <c r="BT108" i="56"/>
  <c r="BT116" i="56"/>
  <c r="BT122" i="56"/>
  <c r="BT130" i="56"/>
  <c r="BT119" i="56"/>
  <c r="BT127" i="56"/>
  <c r="BT135" i="56"/>
  <c r="BT141" i="56"/>
  <c r="BT149" i="56"/>
  <c r="BT157" i="56"/>
  <c r="BT165" i="56"/>
  <c r="BT142" i="56"/>
  <c r="BT150" i="56"/>
  <c r="BT158" i="56"/>
  <c r="BT166" i="56"/>
  <c r="BT167" i="56"/>
  <c r="BT168" i="56"/>
  <c r="BT169" i="56"/>
  <c r="BT170" i="56"/>
  <c r="BT171" i="56"/>
  <c r="BT172" i="56"/>
  <c r="BT173" i="56"/>
  <c r="BT174" i="56"/>
  <c r="BT175" i="56"/>
  <c r="BT176" i="56"/>
  <c r="BT177" i="56"/>
  <c r="BT178" i="56"/>
  <c r="BT179" i="56"/>
  <c r="BT180" i="56"/>
  <c r="BT181" i="56"/>
  <c r="BT182" i="56"/>
  <c r="BT184" i="56"/>
  <c r="BT183" i="56"/>
  <c r="BT185" i="56"/>
  <c r="BT187" i="56"/>
  <c r="BT186" i="56"/>
  <c r="BT188" i="56"/>
  <c r="BT189" i="56"/>
  <c r="BT190" i="56"/>
  <c r="BT191" i="56"/>
  <c r="BT192" i="56"/>
  <c r="BT193" i="56"/>
  <c r="BT194" i="56"/>
  <c r="BT195" i="56"/>
  <c r="BT196" i="56"/>
  <c r="BT197" i="56"/>
  <c r="BT198" i="56"/>
  <c r="BT199" i="56"/>
  <c r="BT200" i="56"/>
  <c r="BT201" i="56"/>
  <c r="BT202" i="56"/>
  <c r="BT203" i="56"/>
  <c r="BT204" i="56"/>
  <c r="BT205" i="56"/>
  <c r="BT206" i="56"/>
  <c r="BT207" i="56"/>
  <c r="BT208" i="56"/>
  <c r="BT209" i="56"/>
  <c r="BT210" i="56"/>
  <c r="BT211" i="56"/>
  <c r="BT212" i="56"/>
  <c r="BT213" i="56"/>
  <c r="BT214" i="56"/>
  <c r="BT215" i="56"/>
  <c r="BT216" i="56"/>
  <c r="BT217" i="56"/>
  <c r="BT218" i="56"/>
  <c r="BT219" i="56"/>
  <c r="BT220" i="56"/>
  <c r="BT221" i="56"/>
  <c r="BT222" i="56"/>
  <c r="BT223" i="56"/>
  <c r="BT224" i="56"/>
  <c r="BT225" i="56"/>
  <c r="BT226" i="56"/>
  <c r="BT227" i="56"/>
  <c r="BT228" i="56"/>
  <c r="BT229" i="56"/>
  <c r="BT230" i="56"/>
  <c r="BT231" i="56"/>
  <c r="BT232" i="56"/>
  <c r="BT233" i="56"/>
  <c r="BT234" i="56"/>
  <c r="BT235" i="56"/>
  <c r="BT236" i="56"/>
  <c r="BT237" i="56"/>
  <c r="BT238" i="56"/>
  <c r="BT239" i="56"/>
  <c r="BT240" i="56"/>
  <c r="BT241" i="56"/>
  <c r="BT242" i="56"/>
  <c r="BT243" i="56"/>
  <c r="BT244" i="56"/>
  <c r="BT245" i="56"/>
  <c r="BT246" i="56"/>
  <c r="BT247" i="56"/>
  <c r="BT248" i="56"/>
  <c r="BT249" i="56"/>
  <c r="BT250" i="56"/>
  <c r="BT251" i="56"/>
  <c r="BT252" i="56"/>
  <c r="BT253" i="56"/>
  <c r="BT254" i="56"/>
  <c r="BT255" i="56"/>
  <c r="BT256" i="56"/>
  <c r="BT257" i="56"/>
  <c r="BT258" i="56"/>
  <c r="BT259" i="56"/>
  <c r="BT260" i="56"/>
  <c r="BT261" i="56"/>
  <c r="BT262" i="56"/>
  <c r="BT263" i="56"/>
  <c r="BT264" i="56"/>
  <c r="BT265" i="56"/>
  <c r="BT266" i="56"/>
  <c r="BT267" i="56"/>
  <c r="BT268" i="56"/>
  <c r="BT269" i="56"/>
  <c r="BT270" i="56"/>
  <c r="BT271" i="56"/>
  <c r="BT272" i="56"/>
  <c r="BT273" i="56"/>
  <c r="BT274" i="56"/>
  <c r="BT275" i="56"/>
  <c r="BT276" i="56"/>
  <c r="BT277" i="56"/>
  <c r="BT278" i="56"/>
  <c r="BT279" i="56"/>
  <c r="BT280" i="56"/>
  <c r="BT281" i="56"/>
  <c r="BT282" i="56"/>
  <c r="BT283" i="56"/>
  <c r="BT284" i="56"/>
  <c r="BT285" i="56"/>
  <c r="BT286" i="56"/>
  <c r="BT287" i="56"/>
  <c r="BT288" i="56"/>
  <c r="BT289" i="56"/>
  <c r="BT290" i="56"/>
  <c r="BT291" i="56"/>
  <c r="BT292" i="56"/>
  <c r="BT293" i="56"/>
  <c r="BT294" i="56"/>
  <c r="BT295" i="56"/>
  <c r="BT296" i="56"/>
  <c r="BT297" i="56"/>
  <c r="BT298" i="56"/>
  <c r="BT299" i="56"/>
  <c r="BT300" i="56"/>
  <c r="BT301" i="56"/>
  <c r="BT302" i="56"/>
  <c r="BT303" i="56"/>
  <c r="BT304" i="56"/>
  <c r="BT305" i="56"/>
  <c r="BT306" i="56"/>
  <c r="BT307" i="56"/>
  <c r="BT308" i="56"/>
  <c r="BT309" i="56"/>
  <c r="BT310" i="56"/>
  <c r="BT311" i="56"/>
  <c r="BT312" i="56"/>
  <c r="BT313" i="56"/>
  <c r="BT314" i="56"/>
  <c r="BT315" i="56"/>
  <c r="BT316" i="56"/>
  <c r="BT317" i="56"/>
  <c r="BT318" i="56"/>
  <c r="BT319" i="56"/>
  <c r="BT320" i="56"/>
  <c r="BT321" i="56"/>
  <c r="BT322" i="56"/>
  <c r="BT323" i="56"/>
  <c r="BT324" i="56"/>
  <c r="BT325" i="56"/>
  <c r="BT326" i="56"/>
  <c r="BT327" i="56"/>
  <c r="BT328" i="56"/>
  <c r="BT329" i="56"/>
  <c r="BT330" i="56"/>
  <c r="BT331" i="56"/>
  <c r="BT332" i="56"/>
  <c r="BT333" i="56"/>
  <c r="BT334" i="56"/>
  <c r="BT335" i="56"/>
  <c r="BT336" i="56"/>
  <c r="BT337" i="56"/>
  <c r="BT338" i="56"/>
  <c r="BT339" i="56"/>
  <c r="BT340" i="56"/>
  <c r="BT341" i="56"/>
  <c r="BT342" i="56"/>
  <c r="BT343" i="56"/>
  <c r="BT344" i="56"/>
  <c r="BT345" i="56"/>
  <c r="BT346" i="56"/>
  <c r="BT347" i="56"/>
  <c r="BT348" i="56"/>
  <c r="BT349" i="56"/>
  <c r="BT350" i="56"/>
  <c r="BT351" i="56"/>
  <c r="BT352" i="56"/>
  <c r="BT353" i="56"/>
  <c r="BT354" i="56"/>
  <c r="BT355" i="56"/>
  <c r="BT356" i="56"/>
  <c r="BT357" i="56"/>
  <c r="BT358" i="56"/>
  <c r="BT359" i="56"/>
  <c r="BT360" i="56"/>
  <c r="BT361" i="56"/>
  <c r="BT362" i="56"/>
  <c r="BT363" i="56"/>
  <c r="BT364" i="56"/>
  <c r="BT365" i="56"/>
  <c r="BT366" i="56"/>
  <c r="BT367" i="56"/>
  <c r="BT368" i="56"/>
  <c r="BT369" i="56"/>
  <c r="BT370" i="56"/>
  <c r="BT371" i="56"/>
  <c r="BT372" i="56"/>
  <c r="BT373" i="56"/>
  <c r="BT374" i="56"/>
  <c r="BT375" i="56"/>
  <c r="BT376" i="56"/>
  <c r="BT377" i="56"/>
  <c r="BT378" i="56"/>
  <c r="BT379" i="56"/>
  <c r="BT380" i="56"/>
  <c r="BT381" i="56"/>
  <c r="BT382" i="56"/>
  <c r="BT383" i="56"/>
  <c r="BT384" i="56"/>
  <c r="BT385" i="56"/>
  <c r="BT386" i="56"/>
  <c r="BT387" i="56"/>
  <c r="BT388" i="56"/>
  <c r="BT389" i="56"/>
  <c r="BT390" i="56"/>
  <c r="BT391" i="56"/>
  <c r="BT392" i="56"/>
  <c r="BT393" i="56"/>
  <c r="BT394" i="56"/>
  <c r="BT395" i="56"/>
  <c r="BT396" i="56"/>
  <c r="BT397" i="56"/>
  <c r="BT398" i="56"/>
  <c r="BT399" i="56"/>
  <c r="BT400" i="56"/>
  <c r="BT401" i="56"/>
  <c r="BT402" i="56"/>
  <c r="BT403" i="56"/>
  <c r="BT404" i="56"/>
  <c r="BT405" i="56"/>
  <c r="BT406" i="56"/>
  <c r="BT407" i="56"/>
  <c r="J29" i="56"/>
  <c r="BV76" i="56" l="1"/>
  <c r="BV89" i="56"/>
  <c r="BV83" i="56"/>
  <c r="BV172" i="56"/>
  <c r="BV176" i="56"/>
  <c r="BV184" i="56"/>
  <c r="BV93" i="56"/>
  <c r="BV167" i="56"/>
  <c r="BV171" i="56"/>
  <c r="BV175" i="56"/>
  <c r="BV179" i="56"/>
  <c r="BV183" i="56"/>
  <c r="BV180" i="56"/>
  <c r="BV163" i="56"/>
  <c r="BV61" i="56"/>
  <c r="BV118" i="56"/>
  <c r="BV111" i="56"/>
  <c r="BV58" i="56"/>
  <c r="BV56" i="56"/>
  <c r="BV139" i="56"/>
  <c r="BV115" i="56"/>
  <c r="BV107" i="56"/>
  <c r="BV64" i="56"/>
  <c r="BV101" i="56"/>
  <c r="BV69" i="56"/>
  <c r="BV126" i="56"/>
  <c r="BV148" i="56"/>
  <c r="BV75" i="56"/>
  <c r="BV145" i="56"/>
  <c r="BV79" i="56"/>
  <c r="BV152" i="56"/>
  <c r="BV102" i="56"/>
  <c r="BV149" i="56"/>
  <c r="BV80" i="56"/>
  <c r="BV57" i="56"/>
  <c r="BV138" i="56"/>
  <c r="BV136" i="56"/>
  <c r="BV166" i="56"/>
  <c r="BV135" i="56"/>
  <c r="BV125" i="56"/>
  <c r="BV106" i="56"/>
  <c r="BV66" i="56"/>
  <c r="BV94" i="56"/>
  <c r="BV121" i="56"/>
  <c r="BV157" i="56"/>
  <c r="BV88" i="56"/>
  <c r="BV146" i="56"/>
  <c r="BV143" i="56"/>
  <c r="BV128" i="56"/>
  <c r="BV158" i="56"/>
  <c r="BV127" i="56"/>
  <c r="BV116" i="56"/>
  <c r="BV71" i="56"/>
  <c r="BV54" i="56"/>
  <c r="BV86" i="56"/>
  <c r="BV67" i="56"/>
  <c r="BV70" i="56"/>
  <c r="BU417" i="56"/>
  <c r="BU416" i="56"/>
  <c r="BU415" i="56"/>
  <c r="BV150" i="56"/>
  <c r="BV119" i="56"/>
  <c r="BV73" i="56"/>
  <c r="BV140" i="56"/>
  <c r="BV49" i="56"/>
  <c r="BV137" i="56"/>
  <c r="BV113" i="56"/>
  <c r="BV78" i="56"/>
  <c r="BV124" i="56"/>
  <c r="BV98" i="56"/>
  <c r="BV74" i="56"/>
  <c r="BV142" i="56"/>
  <c r="BV141" i="56"/>
  <c r="BV100" i="56"/>
  <c r="BV90" i="56"/>
  <c r="BV51" i="56"/>
  <c r="BV133" i="56"/>
  <c r="BV114" i="56"/>
  <c r="BV162" i="56"/>
  <c r="BV131" i="56"/>
  <c r="BV68" i="56"/>
  <c r="BV52" i="56"/>
  <c r="BV159" i="56"/>
  <c r="BV129" i="56"/>
  <c r="P25" i="65"/>
  <c r="A29" i="56"/>
  <c r="G29" i="56" s="1"/>
  <c r="I28" i="53"/>
  <c r="BT421" i="56"/>
  <c r="BV168" i="56"/>
  <c r="BT417" i="56"/>
  <c r="BV120" i="56"/>
  <c r="BT419" i="56"/>
  <c r="BV144" i="56"/>
  <c r="BT414" i="56"/>
  <c r="BV84" i="56"/>
  <c r="CC413" i="56"/>
  <c r="CD72" i="56"/>
  <c r="CD413" i="56" s="1"/>
  <c r="CC48" i="56"/>
  <c r="BR47" i="56"/>
  <c r="BR409" i="56"/>
  <c r="BR411" i="56"/>
  <c r="BR442" i="56" s="1"/>
  <c r="BT48" i="56"/>
  <c r="BV130" i="56"/>
  <c r="BV77" i="56"/>
  <c r="BV164" i="56"/>
  <c r="BV161" i="56"/>
  <c r="BV105" i="56"/>
  <c r="BV95" i="56"/>
  <c r="BV117" i="56"/>
  <c r="BV65" i="56"/>
  <c r="CC421" i="56"/>
  <c r="CD168" i="56"/>
  <c r="CD421" i="56" s="1"/>
  <c r="CC419" i="56"/>
  <c r="CD144" i="56"/>
  <c r="CD419" i="56" s="1"/>
  <c r="CC418" i="56"/>
  <c r="CD132" i="56"/>
  <c r="CD418" i="56" s="1"/>
  <c r="CC415" i="56"/>
  <c r="CD96" i="56"/>
  <c r="CD415" i="56" s="1"/>
  <c r="CC412" i="56"/>
  <c r="CD60" i="56"/>
  <c r="CD412" i="56" s="1"/>
  <c r="BU421" i="56"/>
  <c r="BU420" i="56"/>
  <c r="BU414" i="56"/>
  <c r="R31" i="65"/>
  <c r="O38" i="56"/>
  <c r="K36" i="53"/>
  <c r="Q29" i="65"/>
  <c r="H34" i="56"/>
  <c r="G34" i="56" s="1"/>
  <c r="J34" i="53"/>
  <c r="I35" i="56"/>
  <c r="BV182" i="56"/>
  <c r="BV178" i="56"/>
  <c r="BV174" i="56"/>
  <c r="BV170" i="56"/>
  <c r="BV165" i="56"/>
  <c r="BV122" i="56"/>
  <c r="BV97" i="56"/>
  <c r="BV82" i="56"/>
  <c r="BV62" i="56"/>
  <c r="BV63" i="56"/>
  <c r="BT420" i="56"/>
  <c r="BV156" i="56"/>
  <c r="BV155" i="56"/>
  <c r="BV99" i="56"/>
  <c r="BV81" i="56"/>
  <c r="BV55" i="56"/>
  <c r="BV154" i="56"/>
  <c r="BV153" i="56"/>
  <c r="BV123" i="56"/>
  <c r="BV112" i="56"/>
  <c r="BV87" i="56"/>
  <c r="BT412" i="56"/>
  <c r="BV60" i="56"/>
  <c r="BV160" i="56"/>
  <c r="BV151" i="56"/>
  <c r="BV110" i="56"/>
  <c r="BV103" i="56"/>
  <c r="BV85" i="56"/>
  <c r="BV53" i="56"/>
  <c r="BU413" i="56"/>
  <c r="BU418" i="56"/>
  <c r="BU412" i="56"/>
  <c r="Q39" i="56" a="1"/>
  <c r="Q39" i="56" s="1"/>
  <c r="BF442" i="56"/>
  <c r="BF443" i="56" s="1"/>
  <c r="Q38" i="56" a="1"/>
  <c r="Q38" i="56" s="1"/>
  <c r="BG409" i="56"/>
  <c r="BG46" i="56"/>
  <c r="BG47" i="56"/>
  <c r="BG411" i="56"/>
  <c r="BG412" i="56"/>
  <c r="BG413" i="56"/>
  <c r="BG414" i="56"/>
  <c r="BG415" i="56"/>
  <c r="BG416" i="56"/>
  <c r="BG417" i="56"/>
  <c r="BG418" i="56"/>
  <c r="BG419" i="56"/>
  <c r="BG420" i="56"/>
  <c r="BG421" i="56"/>
  <c r="Q25" i="65"/>
  <c r="I30" i="56"/>
  <c r="J28" i="53"/>
  <c r="R25" i="65"/>
  <c r="J30" i="56"/>
  <c r="K28" i="53"/>
  <c r="BT416" i="56"/>
  <c r="BV108" i="56"/>
  <c r="BV185" i="56"/>
  <c r="BV181" i="56"/>
  <c r="BV177" i="56"/>
  <c r="BV173" i="56"/>
  <c r="BV169" i="56"/>
  <c r="BV109" i="56"/>
  <c r="BV91" i="56"/>
  <c r="BV59" i="56"/>
  <c r="BV147" i="56"/>
  <c r="BT415" i="56"/>
  <c r="BV96" i="56"/>
  <c r="BT413" i="56"/>
  <c r="BV72" i="56"/>
  <c r="BV134" i="56"/>
  <c r="BV104" i="56"/>
  <c r="BT418" i="56"/>
  <c r="BV132" i="56"/>
  <c r="BV92" i="56"/>
  <c r="BV50" i="56"/>
  <c r="CC420" i="56"/>
  <c r="CD156" i="56"/>
  <c r="CD420" i="56" s="1"/>
  <c r="CC417" i="56"/>
  <c r="CD120" i="56"/>
  <c r="CD417" i="56" s="1"/>
  <c r="CC416" i="56"/>
  <c r="CD108" i="56"/>
  <c r="CD416" i="56" s="1"/>
  <c r="CC414" i="56"/>
  <c r="CD84" i="56"/>
  <c r="CD414" i="56" s="1"/>
  <c r="P24" i="65"/>
  <c r="A28" i="56"/>
  <c r="G28" i="56" s="1"/>
  <c r="I27" i="53"/>
  <c r="BU419" i="56"/>
  <c r="BS47" i="56"/>
  <c r="BS411" i="56"/>
  <c r="BS442" i="56" s="1"/>
  <c r="BS409" i="56"/>
  <c r="BU48" i="56"/>
  <c r="Q31" i="65"/>
  <c r="O39" i="56"/>
  <c r="J36" i="53"/>
  <c r="R30" i="65"/>
  <c r="J37" i="56"/>
  <c r="K35" i="53"/>
  <c r="BE442" i="56"/>
  <c r="BE443" i="56" s="1"/>
  <c r="BS443" i="56" l="1"/>
  <c r="Q26" i="65"/>
  <c r="H30" i="56"/>
  <c r="J29" i="53"/>
  <c r="BG442" i="56"/>
  <c r="BG443" i="56" s="1"/>
  <c r="P29" i="65"/>
  <c r="I34" i="53"/>
  <c r="L19" i="58" s="1"/>
  <c r="L34" i="58" s="1"/>
  <c r="H35" i="56"/>
  <c r="G35" i="56" s="1"/>
  <c r="BR443" i="56"/>
  <c r="Q30" i="65"/>
  <c r="I37" i="56"/>
  <c r="J35" i="53"/>
  <c r="BS43" i="56"/>
  <c r="BU47" i="56"/>
  <c r="BU409" i="56"/>
  <c r="BU411" i="56"/>
  <c r="BU442" i="56" s="1"/>
  <c r="R32" i="65"/>
  <c r="K37" i="53"/>
  <c r="R26" i="65"/>
  <c r="K29" i="53"/>
  <c r="BT47" i="56"/>
  <c r="BT411" i="56"/>
  <c r="BT442" i="56" s="1"/>
  <c r="BT409" i="56"/>
  <c r="BV48" i="56"/>
  <c r="CC47" i="56"/>
  <c r="CC411" i="56"/>
  <c r="CC442" i="56" s="1"/>
  <c r="CC409" i="56"/>
  <c r="CD48" i="56"/>
  <c r="P26" i="65" l="1"/>
  <c r="A30" i="56"/>
  <c r="I29" i="53"/>
  <c r="CD47" i="56"/>
  <c r="CD411" i="56"/>
  <c r="CD442" i="56" s="1"/>
  <c r="CD409" i="56"/>
  <c r="CC443" i="56"/>
  <c r="BT443" i="56"/>
  <c r="BU443" i="56"/>
  <c r="Q32" i="65"/>
  <c r="J37" i="53"/>
  <c r="P30" i="65"/>
  <c r="H37" i="56"/>
  <c r="I35" i="53"/>
  <c r="G30" i="56"/>
  <c r="CD443" i="56" l="1"/>
  <c r="P32" i="65"/>
  <c r="I37" i="53"/>
  <c r="I10" i="58"/>
  <c r="S1" i="45" l="1"/>
  <c r="N1" i="45"/>
  <c r="P1" i="45"/>
  <c r="M1" i="45"/>
  <c r="I23" i="58"/>
  <c r="I26" i="58"/>
  <c r="I27" i="58"/>
  <c r="I24" i="58"/>
  <c r="I28" i="58"/>
  <c r="I25" i="58"/>
  <c r="I29" i="58"/>
  <c r="O1" i="45"/>
  <c r="R1" i="45"/>
  <c r="L1" i="45"/>
  <c r="J6" i="6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Gregg Wolin</author>
  </authors>
  <commentList>
    <comment ref="D6" authorId="0" shapeId="0" xr:uid="{AC7D77D6-A9B2-0E47-BE89-B1E4DBAC7FAB}">
      <text>
        <r>
          <rPr>
            <b/>
            <sz val="9"/>
            <color rgb="FF000000"/>
            <rFont val="Tahoma"/>
            <family val="2"/>
          </rPr>
          <t xml:space="preserve">VBA: 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For Custom Ribbon - 
</t>
        </r>
        <r>
          <rPr>
            <sz val="9"/>
            <color rgb="FF000000"/>
            <rFont val="Tahoma"/>
            <family val="2"/>
          </rPr>
          <t xml:space="preserve">Equity Tab should include buttons to show / hide detail columns without grouping buttons.  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Equity Tab should include button to toggle the annual or monthly views including freezing panes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Vertex42.com Templates</author>
  </authors>
  <commentList>
    <comment ref="H8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TYPE: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This column is set up to allow you to change the colors of the bar charts.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Default (blank) = Gray
</t>
        </r>
        <r>
          <rPr>
            <sz val="9"/>
            <color rgb="FF000000"/>
            <rFont val="Tahoma"/>
            <family val="2"/>
          </rPr>
          <t xml:space="preserve">B = Blue
</t>
        </r>
        <r>
          <rPr>
            <sz val="9"/>
            <color rgb="FF000000"/>
            <rFont val="Tahoma"/>
            <family val="2"/>
          </rPr>
          <t xml:space="preserve">G = Green
</t>
        </r>
        <r>
          <rPr>
            <sz val="9"/>
            <color rgb="FF000000"/>
            <rFont val="Tahoma"/>
            <family val="2"/>
          </rPr>
          <t xml:space="preserve">R = Red
</t>
        </r>
        <r>
          <rPr>
            <sz val="9"/>
            <color rgb="FF000000"/>
            <rFont val="Tahoma"/>
            <family val="2"/>
          </rPr>
          <t xml:space="preserve">Y = Yellow
</t>
        </r>
        <r>
          <rPr>
            <sz val="9"/>
            <color rgb="FF000000"/>
            <rFont val="Tahoma"/>
            <family val="2"/>
          </rPr>
          <t xml:space="preserve">O = Orange
</t>
        </r>
        <r>
          <rPr>
            <sz val="9"/>
            <color rgb="FF000000"/>
            <rFont val="Tahoma"/>
            <family val="2"/>
          </rPr>
          <t xml:space="preserve">P = Purple
</t>
        </r>
        <r>
          <rPr>
            <sz val="9"/>
            <color rgb="FF000000"/>
            <rFont val="Tahoma"/>
            <family val="2"/>
          </rPr>
          <t xml:space="preserve">X = Black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<sst xmlns="http://schemas.openxmlformats.org/spreadsheetml/2006/main" count="1877" uniqueCount="953">
  <si>
    <t>%</t>
  </si>
  <si>
    <t>Total</t>
  </si>
  <si>
    <t>Cost of Sale</t>
  </si>
  <si>
    <t>Project Costs</t>
  </si>
  <si>
    <t>Year</t>
  </si>
  <si>
    <t>Period</t>
  </si>
  <si>
    <t>Date</t>
  </si>
  <si>
    <t>End</t>
  </si>
  <si>
    <t>Item</t>
  </si>
  <si>
    <t>Count</t>
  </si>
  <si>
    <t>Contingency</t>
  </si>
  <si>
    <t>Revenue</t>
  </si>
  <si>
    <t>General &amp; Administrative</t>
  </si>
  <si>
    <t>Total Project Costs</t>
  </si>
  <si>
    <t>Land</t>
  </si>
  <si>
    <t>Net Sale Proceeds</t>
  </si>
  <si>
    <t>P</t>
  </si>
  <si>
    <t>Month</t>
  </si>
  <si>
    <t>Project &amp; Model Info</t>
  </si>
  <si>
    <t>Model Periocity</t>
  </si>
  <si>
    <t>Other Lists</t>
  </si>
  <si>
    <t>Range Name</t>
  </si>
  <si>
    <t>Project Name</t>
  </si>
  <si>
    <t>i_Proj.Name</t>
  </si>
  <si>
    <t>list_Months</t>
  </si>
  <si>
    <t>list_Periods.Yr</t>
  </si>
  <si>
    <t>Project Description</t>
  </si>
  <si>
    <t>i_Proj.Descr</t>
  </si>
  <si>
    <t>Project Location</t>
  </si>
  <si>
    <t>Sheet Header - Main</t>
  </si>
  <si>
    <t>i_Header.ProjectName</t>
  </si>
  <si>
    <t>Sheet Header - Descr</t>
  </si>
  <si>
    <t>i_Header.ModelDescr</t>
  </si>
  <si>
    <t>Analysis Start</t>
  </si>
  <si>
    <t>i_Date.Start</t>
  </si>
  <si>
    <t>Mo</t>
  </si>
  <si>
    <t>Amount</t>
  </si>
  <si>
    <t>Area</t>
  </si>
  <si>
    <t>Phase</t>
  </si>
  <si>
    <t>Parcel</t>
  </si>
  <si>
    <t>Analysis Start Date</t>
  </si>
  <si>
    <t>Fiscal</t>
  </si>
  <si>
    <t>Check</t>
  </si>
  <si>
    <t>$/FF</t>
  </si>
  <si>
    <t>Lots</t>
  </si>
  <si>
    <t>40x100</t>
  </si>
  <si>
    <t>Front</t>
  </si>
  <si>
    <t>Use</t>
  </si>
  <si>
    <t>Acres</t>
  </si>
  <si>
    <t>Product</t>
  </si>
  <si>
    <t>Feet</t>
  </si>
  <si>
    <t>MU</t>
  </si>
  <si>
    <t>MDR</t>
  </si>
  <si>
    <t>50x125</t>
  </si>
  <si>
    <t>C</t>
  </si>
  <si>
    <t>Dev</t>
  </si>
  <si>
    <t>Surprise Foothills + BVR</t>
  </si>
  <si>
    <t>Prices, Costs and Rates</t>
  </si>
  <si>
    <t>Finished Lot Price</t>
  </si>
  <si>
    <t>Commercial Land Value / SF</t>
  </si>
  <si>
    <t>Inflation - Price</t>
  </si>
  <si>
    <t>Inflation - Costs</t>
  </si>
  <si>
    <t>Subdivision Cost/ FF</t>
  </si>
  <si>
    <t>General</t>
  </si>
  <si>
    <t>i_Proj.Location</t>
  </si>
  <si>
    <t>Commissions</t>
  </si>
  <si>
    <t>Management</t>
  </si>
  <si>
    <t>Parcels</t>
  </si>
  <si>
    <t>Sale</t>
  </si>
  <si>
    <t>Lots Delivered</t>
  </si>
  <si>
    <t>ID</t>
  </si>
  <si>
    <t>Inventory Start</t>
  </si>
  <si>
    <t>Market Demand [Units Sold]</t>
  </si>
  <si>
    <t>Inventory End</t>
  </si>
  <si>
    <t>Annual Housing Demand</t>
  </si>
  <si>
    <t>Market Demand vs Project Supply</t>
  </si>
  <si>
    <t>This report illustrates the inventory of finished lots within the Project at the end of each calendar year.</t>
  </si>
  <si>
    <t>Modify lot sale assumptions to smooth out projected inventory of finished lots</t>
  </si>
  <si>
    <t>Project Costs [Offsite]</t>
  </si>
  <si>
    <t>Project Costs [Onsite]</t>
  </si>
  <si>
    <t>Year-End Inventory Gauge</t>
  </si>
  <si>
    <t>Header</t>
  </si>
  <si>
    <t>Left Header</t>
  </si>
  <si>
    <t>Center Header</t>
  </si>
  <si>
    <t>Right Header</t>
  </si>
  <si>
    <t>Left Footer</t>
  </si>
  <si>
    <t>Center Footer</t>
  </si>
  <si>
    <t>Right Footer</t>
  </si>
  <si>
    <t>Project Overhead</t>
  </si>
  <si>
    <t>Code</t>
  </si>
  <si>
    <t>Land Use</t>
  </si>
  <si>
    <t>Commercial</t>
  </si>
  <si>
    <t>Gross</t>
  </si>
  <si>
    <t>DUA</t>
  </si>
  <si>
    <t>Finished Lots Delivered</t>
  </si>
  <si>
    <t>Other</t>
  </si>
  <si>
    <t>Parcel Table</t>
  </si>
  <si>
    <t>Sale Period</t>
  </si>
  <si>
    <t>Gross Revenue</t>
  </si>
  <si>
    <t>Land Acquisition</t>
  </si>
  <si>
    <t>Seller</t>
  </si>
  <si>
    <t>Land Conveyed</t>
  </si>
  <si>
    <t>Payment</t>
  </si>
  <si>
    <t>Notes</t>
  </si>
  <si>
    <t>Price</t>
  </si>
  <si>
    <t>$/Ac</t>
  </si>
  <si>
    <t>Start Month</t>
  </si>
  <si>
    <t>Months to Complete</t>
  </si>
  <si>
    <t>Thru Month</t>
  </si>
  <si>
    <t>Entitlements</t>
  </si>
  <si>
    <t>Engineering</t>
  </si>
  <si>
    <t>Development &gt; Offsite</t>
  </si>
  <si>
    <t>Development &gt; OnSite</t>
  </si>
  <si>
    <t>Development &gt; Other</t>
  </si>
  <si>
    <t>Inflated</t>
  </si>
  <si>
    <t>Overall</t>
  </si>
  <si>
    <t>Global Contingency</t>
  </si>
  <si>
    <t>Phases</t>
  </si>
  <si>
    <t>Single Family Lots - Total</t>
  </si>
  <si>
    <t>Lot Front Feet</t>
  </si>
  <si>
    <t>Land Development Offset</t>
  </si>
  <si>
    <t>Revenue Schedule - Monthly</t>
  </si>
  <si>
    <t>Final Revenue Date</t>
  </si>
  <si>
    <t>Final Revenue Mo</t>
  </si>
  <si>
    <t>Final Cost Month</t>
  </si>
  <si>
    <t>Final Cost Date</t>
  </si>
  <si>
    <t>Analysis Ends</t>
  </si>
  <si>
    <t>c_Date.End</t>
  </si>
  <si>
    <t>$/AC</t>
  </si>
  <si>
    <t>Insurance</t>
  </si>
  <si>
    <t>Phase List</t>
  </si>
  <si>
    <t>Plan</t>
  </si>
  <si>
    <t>list_PlanArea</t>
  </si>
  <si>
    <t>Lot</t>
  </si>
  <si>
    <t>Comments</t>
  </si>
  <si>
    <t>Gross Acres</t>
  </si>
  <si>
    <t>Residential Units</t>
  </si>
  <si>
    <t>Total Dus</t>
  </si>
  <si>
    <t>Parcel ID</t>
  </si>
  <si>
    <t>Retail</t>
  </si>
  <si>
    <t>Mixed Use Land Value / SF</t>
  </si>
  <si>
    <t>$/Acre</t>
  </si>
  <si>
    <t>Type</t>
  </si>
  <si>
    <t>R</t>
  </si>
  <si>
    <t>Less:</t>
  </si>
  <si>
    <t>Subd Cost</t>
  </si>
  <si>
    <t>$/Lot</t>
  </si>
  <si>
    <t>FF/Ac</t>
  </si>
  <si>
    <t>40x115</t>
  </si>
  <si>
    <t>45x115</t>
  </si>
  <si>
    <t>Annual Cash Flow</t>
  </si>
  <si>
    <t>Land Sale Revenue</t>
  </si>
  <si>
    <t>Gross Parcel Revenue</t>
  </si>
  <si>
    <t>Sheet</t>
  </si>
  <si>
    <t>Model Issues List</t>
  </si>
  <si>
    <t>Land Sale Schedule</t>
  </si>
  <si>
    <t xml:space="preserve">  Less: Subdivision Costs</t>
  </si>
  <si>
    <t>Finished Lot Revenue</t>
  </si>
  <si>
    <t>Net Parcel Revenue</t>
  </si>
  <si>
    <t>Back to Index</t>
  </si>
  <si>
    <t>SheetNames</t>
  </si>
  <si>
    <t>Development Schedule</t>
  </si>
  <si>
    <t>Development Budget</t>
  </si>
  <si>
    <t>c_Acres.Total</t>
  </si>
  <si>
    <t>=SUM(tbl_Planning[Acres])</t>
  </si>
  <si>
    <t>c_FrontFeet</t>
  </si>
  <si>
    <t>c_Periods.Final</t>
  </si>
  <si>
    <t>c_Units.Total</t>
  </si>
  <si>
    <t>i_Cost.Commisions</t>
  </si>
  <si>
    <t>i_Cost.OtherCOS</t>
  </si>
  <si>
    <t>i_Cost.Subd</t>
  </si>
  <si>
    <t>i_Demand.Annual</t>
  </si>
  <si>
    <t>i_Inflate.Cost</t>
  </si>
  <si>
    <t>i_Inflate.Price</t>
  </si>
  <si>
    <t>i_Inventory.Offset</t>
  </si>
  <si>
    <t>i_LandVal.NonRes</t>
  </si>
  <si>
    <t>i_Project.Acres</t>
  </si>
  <si>
    <t>i_Project.Descr</t>
  </si>
  <si>
    <t>i_Project.Location</t>
  </si>
  <si>
    <t>i_Project.Name</t>
  </si>
  <si>
    <t>iv_DevBudget</t>
  </si>
  <si>
    <t>iv_DevSchedule</t>
  </si>
  <si>
    <t>iv_PriceOverride</t>
  </si>
  <si>
    <t>iv_Sale.Months</t>
  </si>
  <si>
    <t>iv_Sale.Years</t>
  </si>
  <si>
    <t>list_Dates.Mo</t>
  </si>
  <si>
    <t>list_LandUses</t>
  </si>
  <si>
    <t>=UNIQUE(FILTER(tbl_Planning[Code],tbl_Planning[Code]&lt;&gt;""))</t>
  </si>
  <si>
    <t>list_MonthNames</t>
  </si>
  <si>
    <t>list_Periods.Mo</t>
  </si>
  <si>
    <t>=UNIQUE(tbl_Planning[Area])</t>
  </si>
  <si>
    <t>periodEnd</t>
  </si>
  <si>
    <t>rpt_Rev3</t>
  </si>
  <si>
    <t>Named Range List</t>
  </si>
  <si>
    <t>Name</t>
  </si>
  <si>
    <t>Source</t>
  </si>
  <si>
    <t>list_Phases</t>
  </si>
  <si>
    <t>list_Parcels</t>
  </si>
  <si>
    <t>Active Area / Phase</t>
  </si>
  <si>
    <t>cv_Sale.Parcels</t>
  </si>
  <si>
    <t>cv_Sale.Prices</t>
  </si>
  <si>
    <t>i_ActiveArea</t>
  </si>
  <si>
    <t>list_PhaseID</t>
  </si>
  <si>
    <t>tbl_ActiveAreaBudgetT</t>
  </si>
  <si>
    <t>tbl_ActiveAreaScheduleT</t>
  </si>
  <si>
    <t xml:space="preserve">Project Cost Database </t>
  </si>
  <si>
    <t xml:space="preserve">Helper Matrix: Project Cost Database </t>
  </si>
  <si>
    <t>Helper Matrix: Land Sale Database</t>
  </si>
  <si>
    <t>Model Dates</t>
  </si>
  <si>
    <t>Planning Data</t>
  </si>
  <si>
    <t>c_Date.Costs_Final</t>
  </si>
  <si>
    <t>c_Period.Revenue_Final</t>
  </si>
  <si>
    <t>tbl_ParcelSaleMonthT</t>
  </si>
  <si>
    <t>tbl_PriceOverrideT</t>
  </si>
  <si>
    <t>c_Date.Revenue_Final</t>
  </si>
  <si>
    <t>Analysis Duration</t>
  </si>
  <si>
    <t>c_Period.Cost_Final</t>
  </si>
  <si>
    <t>Key Periods and Dates</t>
  </si>
  <si>
    <t>list_Dates.Years</t>
  </si>
  <si>
    <t>Initial Land Acquisition Date</t>
  </si>
  <si>
    <t>Initial Land Acquisition Period</t>
  </si>
  <si>
    <t>Final Land Acquisition Period</t>
  </si>
  <si>
    <t>Parcel 
Front Ft</t>
  </si>
  <si>
    <t>Front Feet</t>
  </si>
  <si>
    <t>Final Land Acquisition Date</t>
  </si>
  <si>
    <t>FY</t>
  </si>
  <si>
    <t>Land Acqusitions</t>
  </si>
  <si>
    <t>Sold</t>
  </si>
  <si>
    <t>Project Inventory &amp; Absorption</t>
  </si>
  <si>
    <t>Project Capital Investment</t>
  </si>
  <si>
    <t>Improvements</t>
  </si>
  <si>
    <t>Ownership</t>
  </si>
  <si>
    <t>Assets</t>
  </si>
  <si>
    <t>Ownership Costs</t>
  </si>
  <si>
    <t>Land Acquisition Costs - Monthly</t>
  </si>
  <si>
    <t>Start</t>
  </si>
  <si>
    <t>Profit</t>
  </si>
  <si>
    <t>Units</t>
  </si>
  <si>
    <t>Compl</t>
  </si>
  <si>
    <t>Item / Notes</t>
  </si>
  <si>
    <t>Development Phase</t>
  </si>
  <si>
    <t>Lot Sales</t>
  </si>
  <si>
    <t>Sale Count</t>
  </si>
  <si>
    <t>First Lot Closing Month</t>
  </si>
  <si>
    <t>Property Owned</t>
  </si>
  <si>
    <t>Purchased</t>
  </si>
  <si>
    <t>Purchase</t>
  </si>
  <si>
    <t>Overhead</t>
  </si>
  <si>
    <t>Addl Land Sale Stats</t>
  </si>
  <si>
    <t>Initial Sale Period by Phase</t>
  </si>
  <si>
    <t>Total Land Cost</t>
  </si>
  <si>
    <t>Total Dev Costs</t>
  </si>
  <si>
    <t>Retail Price</t>
  </si>
  <si>
    <t>Net Sale Revenue</t>
  </si>
  <si>
    <t xml:space="preserve">Total Project Carry </t>
  </si>
  <si>
    <t>Total Project Overhead</t>
  </si>
  <si>
    <t>Project Assumptions</t>
  </si>
  <si>
    <t>Legal &amp; Accounting</t>
  </si>
  <si>
    <t>Less: Subd Cost</t>
  </si>
  <si>
    <t>Less: Commissions</t>
  </si>
  <si>
    <t>Less: Cost of Sale</t>
  </si>
  <si>
    <t>Net Project Income</t>
  </si>
  <si>
    <t>Net Revenue</t>
  </si>
  <si>
    <t>Project Revenue</t>
  </si>
  <si>
    <t>Project Net Income</t>
  </si>
  <si>
    <t>Project Proforma - Monthly</t>
  </si>
  <si>
    <t>Monthly</t>
  </si>
  <si>
    <t>Annual</t>
  </si>
  <si>
    <t>rng_costDatabase</t>
  </si>
  <si>
    <t xml:space="preserve">Subdivision Improvements </t>
  </si>
  <si>
    <t>Subdivision Cost / Lot</t>
  </si>
  <si>
    <t>Subdivision Cost / FrFt</t>
  </si>
  <si>
    <t>Single Family Lots - FrontFeet</t>
  </si>
  <si>
    <t>Total Project Budget</t>
  </si>
  <si>
    <t>Total Project Budget / Lot</t>
  </si>
  <si>
    <t>Total Project Budget / FrFt</t>
  </si>
  <si>
    <t>Total Project Budget / Acre</t>
  </si>
  <si>
    <t>Front Feet / Acre</t>
  </si>
  <si>
    <t>rng_costHelper</t>
  </si>
  <si>
    <t>Residential Land Revenue</t>
  </si>
  <si>
    <t>Other Land Revenue</t>
  </si>
  <si>
    <t>Less: Other Sales Cost</t>
  </si>
  <si>
    <t>Crescent Bay Holdings</t>
  </si>
  <si>
    <t>Confidential</t>
  </si>
  <si>
    <t>Development Costs</t>
  </si>
  <si>
    <t>Gross Retail Revenue</t>
  </si>
  <si>
    <t>Total Retail Revenue</t>
  </si>
  <si>
    <t>Gross Sale Revenue</t>
  </si>
  <si>
    <t>Analysis Period</t>
  </si>
  <si>
    <t>Pmt#</t>
  </si>
  <si>
    <t>Project Entitlement &amp; Development by Phase</t>
  </si>
  <si>
    <t>Property Carry Cost</t>
  </si>
  <si>
    <t>Land Sellers</t>
  </si>
  <si>
    <t>Price $ / Acre</t>
  </si>
  <si>
    <t>Closings</t>
  </si>
  <si>
    <t>Acquisiton Summary</t>
  </si>
  <si>
    <t>Planning Areas</t>
  </si>
  <si>
    <t>Development Phases</t>
  </si>
  <si>
    <t>Residential Lots</t>
  </si>
  <si>
    <t>Average Lot Width</t>
  </si>
  <si>
    <t>Residential</t>
  </si>
  <si>
    <t>list_lu.Types</t>
  </si>
  <si>
    <t>Plan Summary</t>
  </si>
  <si>
    <t>Project Land Planning</t>
  </si>
  <si>
    <t>Carry</t>
  </si>
  <si>
    <t>Total Costs</t>
  </si>
  <si>
    <t>NOI</t>
  </si>
  <si>
    <t>Annual Project Cash Flow</t>
  </si>
  <si>
    <t>list_Periods.Qtr</t>
  </si>
  <si>
    <t>list_Dates.Qtr</t>
  </si>
  <si>
    <t>list_Dates.Yr</t>
  </si>
  <si>
    <t>Property Data</t>
  </si>
  <si>
    <t>Project Costs / Lot</t>
  </si>
  <si>
    <t>=SUMIFS(Database!AQ$25#,Database!AO$25#,F$93#,Database!AR$25#,I$67#)</t>
  </si>
  <si>
    <t>=TEXT(DATE(2023, SEQUENCE(12, 1, 1), 1), "mmm")</t>
  </si>
  <si>
    <t>=list_Years.Calendar</t>
  </si>
  <si>
    <t>list_Years.2XXX</t>
  </si>
  <si>
    <t>list_Years.Calendar</t>
  </si>
  <si>
    <t>Market Budget</t>
  </si>
  <si>
    <t>Custom Budget</t>
  </si>
  <si>
    <t>Investment</t>
  </si>
  <si>
    <t>Sale Mo</t>
  </si>
  <si>
    <t>i_Cost.Conting</t>
  </si>
  <si>
    <t>i_Cost.Engineer</t>
  </si>
  <si>
    <t>i_Cost.Entitlemt</t>
  </si>
  <si>
    <t>i_cost.Offsite</t>
  </si>
  <si>
    <t>i_Cost.Onsite</t>
  </si>
  <si>
    <t>list_landuse.Type</t>
  </si>
  <si>
    <t>list_Periods.ALL</t>
  </si>
  <si>
    <t>=SEQUENCE(c_Periods.Final,1)</t>
  </si>
  <si>
    <t>=TRANSPOSE(INT((SEQUENCE(1, MATCH(9^9, list_Periods.ALL)) - 1)/12) + 1)</t>
  </si>
  <si>
    <t>Results</t>
  </si>
  <si>
    <t>Periocity</t>
  </si>
  <si>
    <t>Project</t>
  </si>
  <si>
    <t>Preferred</t>
  </si>
  <si>
    <t>Hurdle 1</t>
  </si>
  <si>
    <t>Hurdle 2</t>
  </si>
  <si>
    <t>Hurdle 3</t>
  </si>
  <si>
    <t>Equity Contributions %</t>
  </si>
  <si>
    <t>Cash Flow</t>
  </si>
  <si>
    <t>Equity Contributions $</t>
  </si>
  <si>
    <t>Avail for</t>
  </si>
  <si>
    <t>Accrued</t>
  </si>
  <si>
    <t>Distributions</t>
  </si>
  <si>
    <t>Ending Bal</t>
  </si>
  <si>
    <t>Cash Flow Distributions - Preferred</t>
  </si>
  <si>
    <t>Contributions</t>
  </si>
  <si>
    <t>Pref to H2</t>
  </si>
  <si>
    <t>Cash Flow Distributions - Hurdle 2</t>
  </si>
  <si>
    <t>Pref to H3</t>
  </si>
  <si>
    <t>Cash Flow Distributions - Hurdle 3</t>
  </si>
  <si>
    <t>Cash Flow Distributions</t>
  </si>
  <si>
    <t>Thru Preferred</t>
  </si>
  <si>
    <t>to Hurdle 2</t>
  </si>
  <si>
    <t>to Hurdle 3</t>
  </si>
  <si>
    <t>Residual</t>
  </si>
  <si>
    <t>Distribution</t>
  </si>
  <si>
    <t>by LP</t>
  </si>
  <si>
    <t>to LP</t>
  </si>
  <si>
    <t>to GP</t>
  </si>
  <si>
    <t>to Hurdle 1</t>
  </si>
  <si>
    <t>LP Capital</t>
  </si>
  <si>
    <t>LP</t>
  </si>
  <si>
    <t>GP</t>
  </si>
  <si>
    <t>Distribution Waterfall</t>
  </si>
  <si>
    <t>Promote</t>
  </si>
  <si>
    <t>Balance</t>
  </si>
  <si>
    <t>Return of Capital</t>
  </si>
  <si>
    <t>Preferred Return</t>
  </si>
  <si>
    <t>Hurdle 1 Rate</t>
  </si>
  <si>
    <t>Hurdle 2 Rate</t>
  </si>
  <si>
    <t>Hurdle 3 Rate</t>
  </si>
  <si>
    <t>Distributions to</t>
  </si>
  <si>
    <t>Total Distributions</t>
  </si>
  <si>
    <t>Share of Total</t>
  </si>
  <si>
    <t>Total Investment</t>
  </si>
  <si>
    <t>Total Profit</t>
  </si>
  <si>
    <t>Leveraged IRR</t>
  </si>
  <si>
    <t>Equity Multiple</t>
  </si>
  <si>
    <t>Capitalization</t>
  </si>
  <si>
    <t>Promote Structure</t>
  </si>
  <si>
    <t>IRR</t>
  </si>
  <si>
    <t>c_rate.Hurdle1.MO</t>
  </si>
  <si>
    <t>c_rate.Hurdle2.MO</t>
  </si>
  <si>
    <t>c_rate.Hurdle3.MO</t>
  </si>
  <si>
    <t>c_rate.Pref.MO</t>
  </si>
  <si>
    <t>list_Term.Years</t>
  </si>
  <si>
    <t>Equity Source</t>
  </si>
  <si>
    <t>Total Land Acqusition Cost</t>
  </si>
  <si>
    <t>Land Acquisition Cost:  Base</t>
  </si>
  <si>
    <t>Land Acquisition Cost:  Inflated</t>
  </si>
  <si>
    <t>Insurance / Year</t>
  </si>
  <si>
    <t>Property Tax / Year</t>
  </si>
  <si>
    <t>Disposition Fees to GP</t>
  </si>
  <si>
    <t>Project Development Schedule</t>
  </si>
  <si>
    <t>Project Development Costs</t>
  </si>
  <si>
    <t>Plus: Subdivision Costs</t>
  </si>
  <si>
    <t>Total Development Costs</t>
  </si>
  <si>
    <t>Project Development Costs by Phase</t>
  </si>
  <si>
    <t>Single Family Lots</t>
  </si>
  <si>
    <t>Mixed Use / Commercial Acres</t>
  </si>
  <si>
    <t>Project Sales by Phase</t>
  </si>
  <si>
    <t>Revenue: Single Family Residential</t>
  </si>
  <si>
    <t>Revenue: Mixed / Commerical</t>
  </si>
  <si>
    <t>Less: Subdivision Cost</t>
  </si>
  <si>
    <t>Less: Other Sale Cost</t>
  </si>
  <si>
    <t>Net Sale Proceeds by Phase</t>
  </si>
  <si>
    <t>Development Schedule by Phase</t>
  </si>
  <si>
    <t>Less: Land Cost</t>
  </si>
  <si>
    <t>Net Project Cash Flow (Static)</t>
  </si>
  <si>
    <t>Less: Project Overhead</t>
  </si>
  <si>
    <t>Less: Project Carry</t>
  </si>
  <si>
    <t>Thru</t>
  </si>
  <si>
    <t>Budget</t>
  </si>
  <si>
    <t>G</t>
  </si>
  <si>
    <t>Y</t>
  </si>
  <si>
    <t>B</t>
  </si>
  <si>
    <t>X</t>
  </si>
  <si>
    <t>O</t>
  </si>
  <si>
    <t>Top Row Heights</t>
  </si>
  <si>
    <t>Row 3</t>
  </si>
  <si>
    <t>Row 4</t>
  </si>
  <si>
    <t>Row 5</t>
  </si>
  <si>
    <t>Row 2</t>
  </si>
  <si>
    <t>c_equity.LPshare</t>
  </si>
  <si>
    <t>=1-i_equity.GPshare</t>
  </si>
  <si>
    <t>=(1+i_rate.Hurdle1)^(1/12)-1</t>
  </si>
  <si>
    <t>=(1+i_rate.Hurdle2)^(1/12)-1</t>
  </si>
  <si>
    <t>=(1+i_rate.Hurdle3)^(1/12)-1</t>
  </si>
  <si>
    <t>=(((i_rate.Pref/1+1)^(1/12))-1)</t>
  </si>
  <si>
    <t>i_equity.GPshare</t>
  </si>
  <si>
    <t>i_Promote.Hurdle1</t>
  </si>
  <si>
    <t>i_Promote.Hurdle2</t>
  </si>
  <si>
    <t>i_rate.Hurdle1</t>
  </si>
  <si>
    <t>i_rate.Hurdle2</t>
  </si>
  <si>
    <t>i_rate.Hurdle3</t>
  </si>
  <si>
    <t>i_rate.Pref</t>
  </si>
  <si>
    <t>i_residualGP</t>
  </si>
  <si>
    <t>i_topRow.Heights</t>
  </si>
  <si>
    <t>valuevx</t>
  </si>
  <si>
    <t>=42.314159</t>
  </si>
  <si>
    <t>Property</t>
  </si>
  <si>
    <t>Summary by Date</t>
  </si>
  <si>
    <t>Summary by Plan Area</t>
  </si>
  <si>
    <t>Summary by Land Use Code</t>
  </si>
  <si>
    <t>H1</t>
  </si>
  <si>
    <t>H2</t>
  </si>
  <si>
    <t>H3</t>
  </si>
  <si>
    <t>Res</t>
  </si>
  <si>
    <t>SUM</t>
  </si>
  <si>
    <t>Summary View</t>
  </si>
  <si>
    <t>notes</t>
  </si>
  <si>
    <t>Final Cash Flow Period</t>
  </si>
  <si>
    <t>Project Cash Flow</t>
  </si>
  <si>
    <t>Distributions: LP</t>
  </si>
  <si>
    <t>Distributions: GP</t>
  </si>
  <si>
    <t>GP Promote</t>
  </si>
  <si>
    <t>Total LP Cash Flow</t>
  </si>
  <si>
    <t>Total GP Cash Flow</t>
  </si>
  <si>
    <t>Split</t>
  </si>
  <si>
    <t>LP Pref</t>
  </si>
  <si>
    <t>LP Hurdle 1</t>
  </si>
  <si>
    <t>Accrued to</t>
  </si>
  <si>
    <t>LP Prior</t>
  </si>
  <si>
    <t>Cash Flow Distributions - Thru Hurdle 1</t>
  </si>
  <si>
    <t>LP Hurdle 2</t>
  </si>
  <si>
    <t>LP Hurdle 3</t>
  </si>
  <si>
    <t>Hurdle</t>
  </si>
  <si>
    <t>Start Balance</t>
  </si>
  <si>
    <t xml:space="preserve">End </t>
  </si>
  <si>
    <t>Return</t>
  </si>
  <si>
    <t>Rate 1</t>
  </si>
  <si>
    <t>Rate 2</t>
  </si>
  <si>
    <t>Rate 3</t>
  </si>
  <si>
    <t>Cash</t>
  </si>
  <si>
    <t>Flow</t>
  </si>
  <si>
    <t>=UNIQUE(tbl_Planning.Help[Phase])</t>
  </si>
  <si>
    <t>i_Promote.Hurdle3</t>
  </si>
  <si>
    <t>c_Hurdle1.Share_GP</t>
  </si>
  <si>
    <t>c_Hurdle2.Share_GP</t>
  </si>
  <si>
    <t>c_Hurdle3.Share_GP</t>
  </si>
  <si>
    <t>check</t>
  </si>
  <si>
    <t>=mWaterfall!$I$17</t>
  </si>
  <si>
    <t>=mWaterfall!$I$18</t>
  </si>
  <si>
    <t>=mWaterfall!$I$19</t>
  </si>
  <si>
    <t>Less: Project Costs</t>
  </si>
  <si>
    <t>Project Summary by Development Phase</t>
  </si>
  <si>
    <t>Total Equity Contributions $</t>
  </si>
  <si>
    <t>Maximum Out</t>
  </si>
  <si>
    <t>Project IRR</t>
  </si>
  <si>
    <t>Residential Land Sales</t>
  </si>
  <si>
    <t>Commercial / Mixed Use Land Sales</t>
  </si>
  <si>
    <t>Equity Contributions: LP</t>
  </si>
  <si>
    <t>Equity Contributions: GP</t>
  </si>
  <si>
    <t>Land Acqusition</t>
  </si>
  <si>
    <t>Subdivision Improvements</t>
  </si>
  <si>
    <t>Project Imrpvements</t>
  </si>
  <si>
    <t>Property Carry Costs</t>
  </si>
  <si>
    <t>Total Sources of Cash</t>
  </si>
  <si>
    <t>Total Uses of Cash</t>
  </si>
  <si>
    <t>Distributions: Return Capital</t>
  </si>
  <si>
    <t>Distributions: Profits</t>
  </si>
  <si>
    <t>=EDATE(i_Date.Start, SEQUENCE(c_Periods.Final,1,0))</t>
  </si>
  <si>
    <t>cv_budgetDev</t>
  </si>
  <si>
    <t>cv_budgetTemp</t>
  </si>
  <si>
    <t>cv_budgetDev.Mkt</t>
  </si>
  <si>
    <t>Color</t>
  </si>
  <si>
    <t>Helper Matrix: Repopulate iProject</t>
  </si>
  <si>
    <t>Land Sale by Development Phase</t>
  </si>
  <si>
    <t>rng_saleDatabase</t>
  </si>
  <si>
    <t>rng_saleHelper</t>
  </si>
  <si>
    <t>Planning and Engineering</t>
  </si>
  <si>
    <t>Other 1</t>
  </si>
  <si>
    <t>Other 2</t>
  </si>
  <si>
    <t>Other Market Factors</t>
  </si>
  <si>
    <t>inputRange_General</t>
  </si>
  <si>
    <t>inputRange_LandAcq</t>
  </si>
  <si>
    <t>Help</t>
  </si>
  <si>
    <t>i_price.SFDlots</t>
  </si>
  <si>
    <t>inputRange_Planning</t>
  </si>
  <si>
    <t>inputRange_DevelopSales</t>
  </si>
  <si>
    <t>FF</t>
  </si>
  <si>
    <t>tbl_PlanningHelp</t>
  </si>
  <si>
    <t>% of Acres</t>
  </si>
  <si>
    <t>Entitlement Cost  / FF [Stage 1]</t>
  </si>
  <si>
    <t>Inflation - Prices</t>
  </si>
  <si>
    <t>Annual Demand (units/yr)</t>
  </si>
  <si>
    <t>Ownership Cost</t>
  </si>
  <si>
    <t>Annual Project Carry Cost</t>
  </si>
  <si>
    <t>Property Tax</t>
  </si>
  <si>
    <t>Growth Rates</t>
  </si>
  <si>
    <t>Market Factors</t>
  </si>
  <si>
    <t>Fees to Sponsor [GP]</t>
  </si>
  <si>
    <t>=SUM(tbl_Planning.Help[Feet])</t>
  </si>
  <si>
    <t>=ADMIN!$D$13</t>
  </si>
  <si>
    <t>rng_pmtsLand</t>
  </si>
  <si>
    <t>=OFFSET(tbl_LandAcq[[#Headers],[Payment]],1,,COUNTA(tbl_LandAcq[[#All],[Payment]])-1,1)</t>
  </si>
  <si>
    <t>rpt_LandSaleDatabase</t>
  </si>
  <si>
    <t>list_Dates.ALL</t>
  </si>
  <si>
    <t>="Q"&amp;ROUNDUP(MONTH(list_Dates.ALL)/3,0)&amp;"-"&amp;list_Years.Calendar-2000</t>
  </si>
  <si>
    <t>=INT(INT(list_Periods.ALL+2)/3)</t>
  </si>
  <si>
    <t>=UNIQUE(YEAR(list_Dates.ALL))</t>
  </si>
  <si>
    <t>=YEAR(EDATE(i_Date.Start,SEQUENCE(c_Periods.Final,1,0)))</t>
  </si>
  <si>
    <t>Other / COS</t>
  </si>
  <si>
    <t>Project Land Sales</t>
  </si>
  <si>
    <t>Model Checks</t>
  </si>
  <si>
    <t>mProject</t>
  </si>
  <si>
    <t>mAssets</t>
  </si>
  <si>
    <t>mWaterfall</t>
  </si>
  <si>
    <t>r.Assumptions-Static</t>
  </si>
  <si>
    <t>r.CF by Phase</t>
  </si>
  <si>
    <t>r.CFm</t>
  </si>
  <si>
    <t>r.Demand</t>
  </si>
  <si>
    <t>r.Gantt</t>
  </si>
  <si>
    <t>r.Inventory</t>
  </si>
  <si>
    <t>r.Project_by_Phase</t>
  </si>
  <si>
    <t>r.Sales</t>
  </si>
  <si>
    <t>r.Summary</t>
  </si>
  <si>
    <t>Land Cost</t>
  </si>
  <si>
    <t>Carry Costs</t>
  </si>
  <si>
    <t>r.ProjectCost</t>
  </si>
  <si>
    <t>Total Dev Cost</t>
  </si>
  <si>
    <t>Retail Revenue / FrFt</t>
  </si>
  <si>
    <t>Acqusition Fee [Land Cost]</t>
  </si>
  <si>
    <t>Management Fees</t>
  </si>
  <si>
    <t>Disposition Fee [Net Revenue]</t>
  </si>
  <si>
    <t xml:space="preserve">Project Costs [Onsite] </t>
  </si>
  <si>
    <t xml:space="preserve">Project Costs [Offsite] </t>
  </si>
  <si>
    <t>Engineering Cost / LOT [Stage 2]</t>
  </si>
  <si>
    <t>Subdivision Development Cost</t>
  </si>
  <si>
    <t>Sale Revenue</t>
  </si>
  <si>
    <t>Source and Uses of Funds</t>
  </si>
  <si>
    <t>Sources</t>
  </si>
  <si>
    <t>Uses</t>
  </si>
  <si>
    <t>$/A</t>
  </si>
  <si>
    <t>Land Planning Summary</t>
  </si>
  <si>
    <t>Subdivision Cost</t>
  </si>
  <si>
    <t>Project Finance</t>
  </si>
  <si>
    <t>Future Functionality</t>
  </si>
  <si>
    <t>Bonds</t>
  </si>
  <si>
    <t>=i.LandAcq!$F$21</t>
  </si>
  <si>
    <t>inputRange_Bonds</t>
  </si>
  <si>
    <t>inputRange_Loans</t>
  </si>
  <si>
    <t>list_costSubdivByPhase</t>
  </si>
  <si>
    <t>Subdivison Costs</t>
  </si>
  <si>
    <t>Project Costs Financed</t>
  </si>
  <si>
    <t>Loan-to-Cost</t>
  </si>
  <si>
    <t>Origination Costs</t>
  </si>
  <si>
    <t>Legal</t>
  </si>
  <si>
    <t>Appraisal</t>
  </si>
  <si>
    <t>Title / Closing</t>
  </si>
  <si>
    <t>Subdivision</t>
  </si>
  <si>
    <t>Financed</t>
  </si>
  <si>
    <t>Origination</t>
  </si>
  <si>
    <t>Senior Revolving Borrowing Base</t>
  </si>
  <si>
    <t>Paid</t>
  </si>
  <si>
    <t>Total Costs Inflated</t>
  </si>
  <si>
    <t>=iFinance!$P$2:$AD$39</t>
  </si>
  <si>
    <t>iv_dates.DevCompletion</t>
  </si>
  <si>
    <t>=DATABASE!$D$16:$N$43</t>
  </si>
  <si>
    <t>=DATABASE!$D$9:$N$13</t>
  </si>
  <si>
    <t>=DATABASE!$F$54:$J$58</t>
  </si>
  <si>
    <t>=DATABASE!$F$50:$J$51</t>
  </si>
  <si>
    <t>rng_Databases</t>
  </si>
  <si>
    <t>rng_AcquisitionTbl</t>
  </si>
  <si>
    <t>=tbl_LandAcq[[Seller]:[$/AC]],i.LandAcq!$J$8:$J$20</t>
  </si>
  <si>
    <t>rng_ParcelTable</t>
  </si>
  <si>
    <t>rng_General</t>
  </si>
  <si>
    <t>Peoria Lakes</t>
  </si>
  <si>
    <t>ASLD</t>
  </si>
  <si>
    <t>HDR</t>
  </si>
  <si>
    <t>MHDR</t>
  </si>
  <si>
    <t>OS</t>
  </si>
  <si>
    <t>MLDR</t>
  </si>
  <si>
    <t>60x125</t>
  </si>
  <si>
    <t>APTS</t>
  </si>
  <si>
    <t>35x95</t>
  </si>
  <si>
    <t>65x125</t>
  </si>
  <si>
    <t>70x125</t>
  </si>
  <si>
    <t>50x120</t>
  </si>
  <si>
    <t>7/8 Pack</t>
  </si>
  <si>
    <t>6/6Pack</t>
  </si>
  <si>
    <t>BFR SFD</t>
  </si>
  <si>
    <t>55x125</t>
  </si>
  <si>
    <t>BLM</t>
  </si>
  <si>
    <t>55x120</t>
  </si>
  <si>
    <t>70x130</t>
  </si>
  <si>
    <t>80x130</t>
  </si>
  <si>
    <t>Measures</t>
  </si>
  <si>
    <t>$/SF</t>
  </si>
  <si>
    <t>list_Measures</t>
  </si>
  <si>
    <t>=iProject!$F$7</t>
  </si>
  <si>
    <t>=i.General!$E$18</t>
  </si>
  <si>
    <t>=iProject!$V$10:$V$29</t>
  </si>
  <si>
    <t>$/Unit</t>
  </si>
  <si>
    <t>MF</t>
  </si>
  <si>
    <t>Land Use Table</t>
  </si>
  <si>
    <t>Mixed Use</t>
  </si>
  <si>
    <t>Current Land Pricing</t>
  </si>
  <si>
    <t>Descritption</t>
  </si>
  <si>
    <t>$ / Unit</t>
  </si>
  <si>
    <t>Medium-Low Density Residential</t>
  </si>
  <si>
    <t>Medium-High Density Residential</t>
  </si>
  <si>
    <t>Medium Density Residential</t>
  </si>
  <si>
    <t>High Density Residential</t>
  </si>
  <si>
    <t>Open Space</t>
  </si>
  <si>
    <t>Commercial / Other Acres</t>
  </si>
  <si>
    <t>SF</t>
  </si>
  <si>
    <t>Single Family Detached - Planning Effeciency</t>
  </si>
  <si>
    <t>Plan Effeciency</t>
  </si>
  <si>
    <t>FF/Acre</t>
  </si>
  <si>
    <t>DU / Acre</t>
  </si>
  <si>
    <t>Parcel &amp; Land Use Table</t>
  </si>
  <si>
    <t>Developmt</t>
  </si>
  <si>
    <t>$ / UOM</t>
  </si>
  <si>
    <t>Unit</t>
  </si>
  <si>
    <t>Unit Count</t>
  </si>
  <si>
    <t>Single Family Revenue</t>
  </si>
  <si>
    <t>Commercial / Multifamily Revenue</t>
  </si>
  <si>
    <t>Custom</t>
  </si>
  <si>
    <t>Schedule</t>
  </si>
  <si>
    <t>SFD</t>
  </si>
  <si>
    <t>=SUM(tbl_Planning[Units])</t>
  </si>
  <si>
    <t>=i.General!$E$19</t>
  </si>
  <si>
    <t>=i.General!$D$11</t>
  </si>
  <si>
    <t>=i.General!$E$21</t>
  </si>
  <si>
    <t>i_factorDUA</t>
  </si>
  <si>
    <t>=i.General!$E$16</t>
  </si>
  <si>
    <t>=i.General!$E$15</t>
  </si>
  <si>
    <t>=i.General!$D$9</t>
  </si>
  <si>
    <t>=i.General!$D$10</t>
  </si>
  <si>
    <t>=i.General!$D$8</t>
  </si>
  <si>
    <t>=iProject!#REF!</t>
  </si>
  <si>
    <t>=tbl_Planning[Parcel ID]</t>
  </si>
  <si>
    <t>=DATABASE!$E$16:$N$43,DATABASE!$S$32:$W$84</t>
  </si>
  <si>
    <t>=DATABASE!$R$32:$W$84</t>
  </si>
  <si>
    <t>=DATABASE!$R$9:$W$28</t>
  </si>
  <si>
    <t>=DATABASE!$S$91:$S$111</t>
  </si>
  <si>
    <t>=DATABASE!$T$91:$T$111</t>
  </si>
  <si>
    <t>Peoria, AZ</t>
  </si>
  <si>
    <t>Project Notes</t>
  </si>
  <si>
    <t>Land Valuation</t>
  </si>
  <si>
    <t>Cost / Acre</t>
  </si>
  <si>
    <t>Cost / DU</t>
  </si>
  <si>
    <t>Planning, Engineering &amp; Dev Cost</t>
  </si>
  <si>
    <t>Cost</t>
  </si>
  <si>
    <t>Sales</t>
  </si>
  <si>
    <t>Costs</t>
  </si>
  <si>
    <t>Net</t>
  </si>
  <si>
    <t>Allocated</t>
  </si>
  <si>
    <t>Project Cost</t>
  </si>
  <si>
    <t>Land Use Distribution by Phase</t>
  </si>
  <si>
    <t>Generating</t>
  </si>
  <si>
    <t xml:space="preserve">Total </t>
  </si>
  <si>
    <t>Cost / RGA</t>
  </si>
  <si>
    <t>RevGen Acres</t>
  </si>
  <si>
    <t>Acqusition Fee to GP [Land]</t>
  </si>
  <si>
    <t>Total: Planning, Engineering &amp; Dev Cost</t>
  </si>
  <si>
    <t>Total: Property Carry Cost</t>
  </si>
  <si>
    <t>Adjusted Cash Flows</t>
  </si>
  <si>
    <t>Project Outflows</t>
  </si>
  <si>
    <t>Project Inflows</t>
  </si>
  <si>
    <t>No Land</t>
  </si>
  <si>
    <t>Parcel Size [Ac]</t>
  </si>
  <si>
    <t>Indicated Project IRR</t>
  </si>
  <si>
    <t>Total Purchase Price</t>
  </si>
  <si>
    <t>Project Profit and Loss</t>
  </si>
  <si>
    <t>Project Results</t>
  </si>
  <si>
    <t>Land Acquisition and Valuation</t>
  </si>
  <si>
    <t>Dwelling</t>
  </si>
  <si>
    <t>Net Proceeds / UOM</t>
  </si>
  <si>
    <t>r.Cfa</t>
  </si>
  <si>
    <t>=iProject!$H$16:$L$19</t>
  </si>
  <si>
    <t>=iProject!$H$74:$L$77</t>
  </si>
  <si>
    <t>=iProject!$H$80:$L$83</t>
  </si>
  <si>
    <t>=iProject!$P$10#</t>
  </si>
  <si>
    <t>=iProject!$X$10:$X$29</t>
  </si>
  <si>
    <t>=i.General!$E$28</t>
  </si>
  <si>
    <t>=i.General!$E$30</t>
  </si>
  <si>
    <t>=i.General!$P$13</t>
  </si>
  <si>
    <t>=i.General!$P$14</t>
  </si>
  <si>
    <t>=i.General!$P$15</t>
  </si>
  <si>
    <t>i_rateProfit</t>
  </si>
  <si>
    <t>=i.General!#REF!</t>
  </si>
  <si>
    <t>=iFinance!$B$2:$O$39</t>
  </si>
  <si>
    <t>=iProject!$H$14:$L$14</t>
  </si>
  <si>
    <t>=iProject!$H$16:$L$20</t>
  </si>
  <si>
    <t>=iProject!$H$12:$L$13</t>
  </si>
  <si>
    <t>=iProject!$U$10:$U$29</t>
  </si>
  <si>
    <t>=r.Sales!$C$7:$U$63</t>
  </si>
  <si>
    <t>=r.CFm!$AJ:$BF</t>
  </si>
  <si>
    <t>=ADMIN!$K$13</t>
  </si>
  <si>
    <t>=ADMIN!$K$12</t>
  </si>
  <si>
    <t>=-SUMIF(DATABASE!AM92#,list_Phases,DATABASE!$X$32:$X$84)</t>
  </si>
  <si>
    <t>list_term.Years</t>
  </si>
  <si>
    <t>i_header.TopLeft</t>
  </si>
  <si>
    <t>i_header.TopCenter</t>
  </si>
  <si>
    <t>i_header.TopRight</t>
  </si>
  <si>
    <t>i_footer.BottomLeft</t>
  </si>
  <si>
    <t>i_footerBottomCenter</t>
  </si>
  <si>
    <t>i_footerBottomRight</t>
  </si>
  <si>
    <t>Analysis Start date must &lt; = the initial land purchase date</t>
  </si>
  <si>
    <t>Applied to all land prices over model life</t>
  </si>
  <si>
    <t xml:space="preserve">Real estate commissions as a % of parcel revenue </t>
  </si>
  <si>
    <t>Legal, title and closing costs as % of parcel revenue</t>
  </si>
  <si>
    <t>Used to monitor inventory levels for Project development and sales</t>
  </si>
  <si>
    <t>Cost to secure discretionary approvals (zoning, PAD, etc).</t>
  </si>
  <si>
    <t>Civil engineering associated with offsite, onsite and subdivision improvements</t>
  </si>
  <si>
    <t>Development costs associated with off-property improvements</t>
  </si>
  <si>
    <t>Development costs associated with on-property improvements</t>
  </si>
  <si>
    <t>Development costs associated with in-parcel improvements</t>
  </si>
  <si>
    <t>Annual management cost of ownership [to GP]</t>
  </si>
  <si>
    <t>Annual cost of project related G&amp;A not included in Mgt Fee</t>
  </si>
  <si>
    <t>Annual cost for proerty insurance for land owned.</t>
  </si>
  <si>
    <t>Annual cost for real estate tax for land owned.</t>
  </si>
  <si>
    <t xml:space="preserve">Disposition Fee as a % of parcel revenue </t>
  </si>
  <si>
    <t>Summary by Seller</t>
  </si>
  <si>
    <t>Return of all capital + Preferred return to invested capital</t>
  </si>
  <si>
    <t>Sptil after Hurdle 3 is reached</t>
  </si>
  <si>
    <t>GP share of in excess of GP capital contributed</t>
  </si>
  <si>
    <t>Project Finance - Loans</t>
  </si>
  <si>
    <t>Parcel Number</t>
  </si>
  <si>
    <t>Acreage</t>
  </si>
  <si>
    <t>Land Use Code</t>
  </si>
  <si>
    <t>32 Acres</t>
  </si>
  <si>
    <t>LDR</t>
  </si>
  <si>
    <t>25 Acres</t>
  </si>
  <si>
    <t>21 Acres</t>
  </si>
  <si>
    <t>16 Acres</t>
  </si>
  <si>
    <t>20 Acres</t>
  </si>
  <si>
    <t>36 Acres</t>
  </si>
  <si>
    <t>29 Acres</t>
  </si>
  <si>
    <t>18 Acres</t>
  </si>
  <si>
    <t>17 Acres</t>
  </si>
  <si>
    <t>13 Acres</t>
  </si>
  <si>
    <t>19 Acres</t>
  </si>
  <si>
    <t>23 Acres</t>
  </si>
  <si>
    <t>28 Acres</t>
  </si>
  <si>
    <t>33 Acres</t>
  </si>
  <si>
    <t>41 Acres</t>
  </si>
  <si>
    <t>27 Acres</t>
  </si>
  <si>
    <t>64 Acres</t>
  </si>
  <si>
    <t>34 Acres</t>
  </si>
  <si>
    <t>89 Acres</t>
  </si>
  <si>
    <t>45 Acres</t>
  </si>
  <si>
    <t>60 Acres</t>
  </si>
  <si>
    <t>56 Acres</t>
  </si>
  <si>
    <t>9 Acres</t>
  </si>
  <si>
    <t>10 Acres</t>
  </si>
  <si>
    <t>22 Acres</t>
  </si>
  <si>
    <t>26 Acres</t>
  </si>
  <si>
    <t>1.101</t>
  </si>
  <si>
    <t>1.102</t>
  </si>
  <si>
    <t>1.103</t>
  </si>
  <si>
    <t>1.104</t>
  </si>
  <si>
    <t>1.201</t>
  </si>
  <si>
    <t>1.202</t>
  </si>
  <si>
    <t>1.203</t>
  </si>
  <si>
    <t>1.204</t>
  </si>
  <si>
    <t>1.205</t>
  </si>
  <si>
    <t>1.206</t>
  </si>
  <si>
    <t>2.101</t>
  </si>
  <si>
    <t>2.102</t>
  </si>
  <si>
    <t>2.103</t>
  </si>
  <si>
    <t>2.104</t>
  </si>
  <si>
    <t>2.105</t>
  </si>
  <si>
    <t>2.106</t>
  </si>
  <si>
    <t>2.107</t>
  </si>
  <si>
    <t>2.108</t>
  </si>
  <si>
    <t>2.109</t>
  </si>
  <si>
    <t>2.110</t>
  </si>
  <si>
    <t>2.111</t>
  </si>
  <si>
    <t>2.112</t>
  </si>
  <si>
    <t>2.201</t>
  </si>
  <si>
    <t>2.202</t>
  </si>
  <si>
    <t>2.203</t>
  </si>
  <si>
    <t>2.204</t>
  </si>
  <si>
    <t>3.101</t>
  </si>
  <si>
    <t>3.102</t>
  </si>
  <si>
    <t>3.103</t>
  </si>
  <si>
    <t>3.201</t>
  </si>
  <si>
    <t>3.202</t>
  </si>
  <si>
    <t>4.101</t>
  </si>
  <si>
    <t>4.102</t>
  </si>
  <si>
    <t>4.103</t>
  </si>
  <si>
    <t>4.104</t>
  </si>
  <si>
    <t>4.105</t>
  </si>
  <si>
    <t>4.201</t>
  </si>
  <si>
    <t>4.202</t>
  </si>
  <si>
    <t>4.203</t>
  </si>
  <si>
    <t>4.204</t>
  </si>
  <si>
    <t>4.205</t>
  </si>
  <si>
    <t>4.206</t>
  </si>
  <si>
    <t>?</t>
  </si>
  <si>
    <t>x</t>
  </si>
  <si>
    <t>COLUMN_KEY</t>
  </si>
  <si>
    <t>EXTRA</t>
  </si>
  <si>
    <t>COLUMN_COMMENT</t>
  </si>
  <si>
    <t>GENERATION_EXPRESSION</t>
  </si>
  <si>
    <t>PRI</t>
  </si>
  <si>
    <t>MUL</t>
  </si>
  <si>
    <t>Gross acres of the parcel</t>
  </si>
  <si>
    <t>Foreign key to the Development Phase table</t>
  </si>
  <si>
    <t>Foreign key to the Land Use table</t>
  </si>
  <si>
    <t>VIRTUAL GENERATED</t>
  </si>
  <si>
    <r>
      <t>Lot width * Lot depth (</t>
    </r>
    <r>
      <rPr>
        <sz val="10"/>
        <color theme="1"/>
        <rFont val="Arial Unicode MS"/>
        <family val="2"/>
      </rPr>
      <t>Lot_Width</t>
    </r>
    <r>
      <rPr>
        <sz val="11"/>
        <color theme="1"/>
        <rFont val="Arial"/>
        <family val="2"/>
      </rPr>
      <t xml:space="preserve"> * </t>
    </r>
    <r>
      <rPr>
        <sz val="10"/>
        <color theme="1"/>
        <rFont val="Arial Unicode MS"/>
        <family val="2"/>
      </rPr>
      <t>Lot_Depth</t>
    </r>
    <r>
      <rPr>
        <sz val="11"/>
        <color theme="1"/>
        <rFont val="Arial"/>
        <family val="2"/>
      </rPr>
      <t>)</t>
    </r>
  </si>
  <si>
    <t>Depth of the lot in feet</t>
  </si>
  <si>
    <t>Created by combining Lot Width and Depth. EX: 50x120</t>
  </si>
  <si>
    <r>
      <t>concat(</t>
    </r>
    <r>
      <rPr>
        <sz val="10"/>
        <color theme="1"/>
        <rFont val="Arial Unicode MS"/>
        <family val="2"/>
      </rPr>
      <t>Lot_Width</t>
    </r>
    <r>
      <rPr>
        <sz val="11"/>
        <color theme="1"/>
        <rFont val="Arial"/>
        <family val="2"/>
      </rPr>
      <t>,_utf8mb4'x',</t>
    </r>
    <r>
      <rPr>
        <sz val="10"/>
        <color theme="1"/>
        <rFont val="Arial Unicode MS"/>
        <family val="2"/>
      </rPr>
      <t>Lot_Depth</t>
    </r>
    <r>
      <rPr>
        <sz val="11"/>
        <color theme="1"/>
        <rFont val="Arial"/>
        <family val="2"/>
      </rPr>
      <t>)</t>
    </r>
  </si>
  <si>
    <t>Width of the lot in feet</t>
  </si>
  <si>
    <r>
      <t>Lot_Width * Units_Total (</t>
    </r>
    <r>
      <rPr>
        <sz val="10"/>
        <color theme="1"/>
        <rFont val="Arial Unicode MS"/>
        <family val="2"/>
      </rPr>
      <t>Lot_Width</t>
    </r>
    <r>
      <rPr>
        <sz val="11"/>
        <color theme="1"/>
        <rFont val="Arial"/>
        <family val="2"/>
      </rPr>
      <t xml:space="preserve"> * </t>
    </r>
    <r>
      <rPr>
        <sz val="10"/>
        <color theme="1"/>
        <rFont val="Arial Unicode MS"/>
        <family val="2"/>
      </rPr>
      <t>Units_Total</t>
    </r>
    <r>
      <rPr>
        <sz val="11"/>
        <color theme="1"/>
        <rFont val="Arial"/>
        <family val="2"/>
      </rPr>
      <t>)</t>
    </r>
  </si>
  <si>
    <t>auto_increment</t>
  </si>
  <si>
    <t>Represents how the land planner named the parcel</t>
  </si>
  <si>
    <r>
      <t>Front Feet / Acre (</t>
    </r>
    <r>
      <rPr>
        <sz val="10"/>
        <color theme="1"/>
        <rFont val="Arial Unicode MS"/>
        <family val="2"/>
      </rPr>
      <t>Lots_FrontFeet</t>
    </r>
    <r>
      <rPr>
        <sz val="11"/>
        <color theme="1"/>
        <rFont val="Arial"/>
        <family val="2"/>
      </rPr>
      <t xml:space="preserve"> / </t>
    </r>
    <r>
      <rPr>
        <sz val="10"/>
        <color theme="1"/>
        <rFont val="Arial Unicode MS"/>
        <family val="2"/>
      </rPr>
      <t>Acres_Gross</t>
    </r>
    <r>
      <rPr>
        <sz val="11"/>
        <color theme="1"/>
        <rFont val="Arial"/>
        <family val="2"/>
      </rPr>
      <t>)</t>
    </r>
  </si>
  <si>
    <t>Foreign key to the Plan Area table</t>
  </si>
  <si>
    <t>Displayed as percentage</t>
  </si>
  <si>
    <r>
      <t>(((</t>
    </r>
    <r>
      <rPr>
        <sz val="10"/>
        <color theme="1"/>
        <rFont val="Arial Unicode MS"/>
        <family val="2"/>
      </rPr>
      <t>Acres_Gross</t>
    </r>
    <r>
      <rPr>
        <sz val="11"/>
        <color theme="1"/>
        <rFont val="Arial"/>
        <family val="2"/>
      </rPr>
      <t xml:space="preserve"> - ((</t>
    </r>
    <r>
      <rPr>
        <sz val="10"/>
        <color theme="1"/>
        <rFont val="Arial Unicode MS"/>
        <family val="2"/>
      </rPr>
      <t>Units_Total</t>
    </r>
    <r>
      <rPr>
        <sz val="11"/>
        <color theme="1"/>
        <rFont val="Arial"/>
        <family val="2"/>
      </rPr>
      <t xml:space="preserve"> * </t>
    </r>
    <r>
      <rPr>
        <sz val="10"/>
        <color theme="1"/>
        <rFont val="Arial Unicode MS"/>
        <family val="2"/>
      </rPr>
      <t>Lot_Area</t>
    </r>
    <r>
      <rPr>
        <sz val="11"/>
        <color theme="1"/>
        <rFont val="Arial"/>
        <family val="2"/>
      </rPr>
      <t xml:space="preserve">) / 43560)) * 100) / </t>
    </r>
    <r>
      <rPr>
        <sz val="10"/>
        <color theme="1"/>
        <rFont val="Arial Unicode MS"/>
        <family val="2"/>
      </rPr>
      <t>Acres_Gross</t>
    </r>
    <r>
      <rPr>
        <sz val="11"/>
        <color theme="1"/>
        <rFont val="Arial"/>
        <family val="2"/>
      </rPr>
      <t>)</t>
    </r>
  </si>
  <si>
    <t>Parcel sale date</t>
  </si>
  <si>
    <t>Parcel sale price</t>
  </si>
  <si>
    <t>Total number of units on the parcel</t>
  </si>
  <si>
    <t>Text description of the Plan Area</t>
  </si>
  <si>
    <t>Narrative description of the Plan Area</t>
  </si>
  <si>
    <t>Unique identifier for the Plan Area</t>
  </si>
  <si>
    <t>63x120</t>
  </si>
  <si>
    <t>53x120</t>
  </si>
  <si>
    <t>...</t>
  </si>
  <si>
    <t>Width</t>
  </si>
  <si>
    <t>Depth</t>
  </si>
  <si>
    <t>LU Code</t>
  </si>
  <si>
    <t>UOM</t>
  </si>
  <si>
    <t>=ADMIN!$K$19</t>
  </si>
  <si>
    <t>=ADMIN!$K$11</t>
  </si>
  <si>
    <t>=ADMIN!$K$9</t>
  </si>
  <si>
    <t>=i.General!$E$26</t>
  </si>
  <si>
    <t>=i.General!$E$25</t>
  </si>
  <si>
    <t>=i.General!$E$29</t>
  </si>
  <si>
    <t>=i.General!$E$20</t>
  </si>
  <si>
    <t>=i.General!$P$8</t>
  </si>
  <si>
    <t>=i.Planning!$S$19</t>
  </si>
  <si>
    <t>=ADMIN!$D$12</t>
  </si>
  <si>
    <t>=i.Planning!$S$8</t>
  </si>
  <si>
    <t>=i.Planning!$S$10</t>
  </si>
  <si>
    <t>=i.General!$O$13</t>
  </si>
  <si>
    <t>=i.General!$O$14</t>
  </si>
  <si>
    <t>=i.General!$O$15</t>
  </si>
  <si>
    <t>=i.General!$O$12</t>
  </si>
  <si>
    <t>=i.General!$P$16</t>
  </si>
  <si>
    <t>=ADMIN!$D$24:$D$27</t>
  </si>
  <si>
    <t>=iProject!$D$3:$AH$72</t>
  </si>
  <si>
    <t>=i.General!$B$2:$W$50</t>
  </si>
  <si>
    <t>=i.LandAcq!$B$2:$Q$25</t>
  </si>
  <si>
    <t>=i.Planning!$C$2:$AM$53</t>
  </si>
  <si>
    <t>=ADMIN!$U$9#</t>
  </si>
  <si>
    <t>=ADMIN!$AN$10:$AN$18</t>
  </si>
  <si>
    <t>=ADMIN!$AD$9:$AD$12</t>
  </si>
  <si>
    <t>=OFFSET(i.Planning!$B$8,1,,COUNTA(i.Planning!$B$8:$B$76)-1,1)</t>
  </si>
  <si>
    <t>=SEQUENCE((COUNT(ADMIN!$U$9#)))</t>
  </si>
  <si>
    <t>=i.Planning!$J$92</t>
  </si>
  <si>
    <t>=i.General!$B$2:$T$50</t>
  </si>
  <si>
    <t>=i.Planning!$D$9:$F$100,i.Planning!$H$9:$K$100</t>
  </si>
  <si>
    <t>rpt_costDev</t>
  </si>
  <si>
    <t>=r.Costs!$C$7:$Q$38</t>
  </si>
  <si>
    <t>rpt_ParcelTable</t>
  </si>
  <si>
    <t>=r.ParcelTable!$C$6:$J$75</t>
  </si>
  <si>
    <t>rpt_Sales</t>
  </si>
  <si>
    <t>Inflate</t>
  </si>
  <si>
    <t>Custom 1</t>
  </si>
  <si>
    <t>Global 3%</t>
  </si>
  <si>
    <t>Custom 2</t>
  </si>
  <si>
    <t>Prices / Revenue</t>
  </si>
  <si>
    <t>Direct Project Costs</t>
  </si>
  <si>
    <t xml:space="preserve">Entitlement Cost </t>
  </si>
  <si>
    <t>Engineering Cost</t>
  </si>
  <si>
    <t>Net / Gross</t>
  </si>
  <si>
    <t>Housing Demand [Units]</t>
  </si>
  <si>
    <t>Units / Year, Mo or Qtr</t>
  </si>
  <si>
    <t xml:space="preserve">boolean </t>
  </si>
  <si>
    <t>DVL</t>
  </si>
  <si>
    <t>Detail</t>
  </si>
  <si>
    <t>Allow for up to 5 user-named contingency rates</t>
  </si>
  <si>
    <t>Freq</t>
  </si>
  <si>
    <t>Ann/Qtr/Mo</t>
  </si>
  <si>
    <t>Project Carry Cost Annual</t>
  </si>
  <si>
    <t>2.1</t>
  </si>
  <si>
    <t>2.2</t>
  </si>
  <si>
    <t>Napkin</t>
  </si>
  <si>
    <t>Basic</t>
  </si>
  <si>
    <t>Project Budget</t>
  </si>
  <si>
    <t>"</t>
  </si>
  <si>
    <t>Phase 2.1</t>
  </si>
  <si>
    <t>Project Schedule</t>
  </si>
  <si>
    <t>Straight / Detail</t>
  </si>
  <si>
    <t>Cost Distribution</t>
  </si>
  <si>
    <t>Line item 1</t>
  </si>
  <si>
    <t>Line item 2</t>
  </si>
  <si>
    <t>Category 1</t>
  </si>
  <si>
    <t>Category 2</t>
  </si>
  <si>
    <t>Category 3 (max)</t>
  </si>
  <si>
    <t>Line item 3</t>
  </si>
  <si>
    <t>Subcats</t>
  </si>
  <si>
    <t>Q</t>
  </si>
  <si>
    <t>$/U</t>
  </si>
  <si>
    <t>Start Period</t>
  </si>
  <si>
    <t>to Compl</t>
  </si>
  <si>
    <t>Base Cost</t>
  </si>
  <si>
    <t>Unit of Measure</t>
  </si>
  <si>
    <t>LS</t>
  </si>
  <si>
    <t>LF</t>
  </si>
  <si>
    <t>Period Complete</t>
  </si>
  <si>
    <t>Category 3 (unlimited)</t>
  </si>
  <si>
    <t>Subcats (unlimit)</t>
  </si>
  <si>
    <t>Line item 3 (unlimit)</t>
  </si>
  <si>
    <t>Spend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</si>
</sst>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5">
    <numFmt numFmtId="8" formatCode="&quot;$&quot;#,##0.00_);[Red]\(&quot;$&quot;#,##0.00\)"/>
    <numFmt numFmtId="43" formatCode="_(* #,##0.00_);_(* \(#,##0.00\);_(* &quot;-&quot;??_);_(@_)"/>
    <numFmt numFmtId="164" formatCode="[$-409]mmm\-yy;@"/>
    <numFmt numFmtId="165" formatCode="_(#,##0_);_(\(#,##0\);_(&quot;-&quot;??_);_(@_)"/>
    <numFmt numFmtId="166" formatCode="_(* #,##0_);_(* \(#,##0\);_(* &quot;-&quot;??_);_(@_)"/>
    <numFmt numFmtId="167" formatCode="_(#,##0_);\(#,##0\);_(&quot;-&quot;_)"/>
    <numFmt numFmtId="168" formatCode="0.0%"/>
    <numFmt numFmtId="169" formatCode="0%;;&quot;-&quot;"/>
    <numFmt numFmtId="170" formatCode="_(#,##0.00_);\(#,##0.00\);_(&quot;-&quot;_)"/>
    <numFmt numFmtId="171" formatCode="m/d/yy;;&quot;-&quot;"/>
    <numFmt numFmtId="172" formatCode="_(#,##0_);_(\(#,##0\);_(&quot;-&quot;_)"/>
    <numFmt numFmtId="173" formatCode="0.0000"/>
    <numFmt numFmtId="174" formatCode="&quot;Phase &quot;0"/>
    <numFmt numFmtId="175" formatCode="_(###0_);\(###0\);_(&quot;-&quot;_)"/>
    <numFmt numFmtId="176" formatCode="_(#,##0_);\(#,##0\);_(&quot;&quot;_)"/>
    <numFmt numFmtId="177" formatCode="#,##0_);\(#,##0\);&quot;-&quot;"/>
    <numFmt numFmtId="178" formatCode="&quot;Parcel &quot;0.000"/>
    <numFmt numFmtId="179" formatCode="&quot;$&quot;#,##0_);\(&quot;$&quot;#,##0\);&quot;-&quot;"/>
    <numFmt numFmtId="180" formatCode="0%;\-0%;&quot;-&quot;"/>
    <numFmt numFmtId="181" formatCode="#,###\ &quot;/ FF&quot;"/>
    <numFmt numFmtId="182" formatCode="&quot;$&quot;#,###\ &quot;/ Unit&quot;"/>
    <numFmt numFmtId="183" formatCode="&quot;$&quot;#,###.00\ &quot;/ SF&quot;"/>
    <numFmt numFmtId="184" formatCode="_(#,##0.0_);\(#,##0.0\);_(&quot;-&quot;_)"/>
    <numFmt numFmtId="185" formatCode="_(&quot;$&quot;#,##0_);_(\(&quot;$&quot;#,##0\);_(&quot;-&quot;??_);_(@_)"/>
    <numFmt numFmtId="186" formatCode="#,###&quot; ac&quot;;;&quot;-&quot;"/>
    <numFmt numFmtId="187" formatCode="yyyy\-mm\-dd;@"/>
    <numFmt numFmtId="188" formatCode="&quot;Plan Area &quot;0"/>
    <numFmt numFmtId="189" formatCode="_(#,##0.000_);\(#,##0.000\);_(&quot;-&quot;_)"/>
    <numFmt numFmtId="190" formatCode="#,###\ &quot;mos&quot;"/>
    <numFmt numFmtId="191" formatCode="0.0"/>
    <numFmt numFmtId="192" formatCode="0.000"/>
    <numFmt numFmtId="193" formatCode="&quot;Mo &quot;0"/>
    <numFmt numFmtId="194" formatCode="&quot;Phase &quot;0.0"/>
    <numFmt numFmtId="195" formatCode="#,##0.0_);\(#,##0.0\);&quot;-&quot;"/>
    <numFmt numFmtId="196" formatCode="###0_);\(###0\);&quot;-&quot;"/>
    <numFmt numFmtId="197" formatCode="#,##0.000_);\(#,##0.000\);&quot;-&quot;"/>
    <numFmt numFmtId="198" formatCode="&quot;$&quot;#,###\ &quot;/ Ac&quot;"/>
    <numFmt numFmtId="199" formatCode="###0.0_);\(###0.0\);&quot;-&quot;"/>
    <numFmt numFmtId="200" formatCode="##\'\ "/>
    <numFmt numFmtId="201" formatCode="_(&quot;$&quot;#,##0_);\(&quot;$&quot;#,##0\);_(&quot;-&quot;_)"/>
    <numFmt numFmtId="202" formatCode="0.0%;;&quot;-&quot;"/>
    <numFmt numFmtId="203" formatCode="&quot;$&quot;#,###\ &quot;/ Year&quot;"/>
    <numFmt numFmtId="204" formatCode="_(#,##0_);\(#,##0\)\ ;_(&quot;&quot;_)"/>
    <numFmt numFmtId="205" formatCode="#,##0.000_);\(#,##0.000\)"/>
    <numFmt numFmtId="206" formatCode="0.00000%"/>
    <numFmt numFmtId="207" formatCode="&quot;&lt;=&quot;\ 0.0%\ \I\R\R&quot; to LP&quot;"/>
    <numFmt numFmtId="208" formatCode="_(###0_);\(###0\);_(&quot;&quot;_)"/>
    <numFmt numFmtId="209" formatCode="&quot;Parcel &quot;#.###"/>
    <numFmt numFmtId="210" formatCode="&quot;$&quot;#,##0"/>
    <numFmt numFmtId="211" formatCode="0.00%;;&quot;-&quot;"/>
    <numFmt numFmtId="212" formatCode="&quot;Develpment Phase:   &quot;#.###"/>
    <numFmt numFmtId="213" formatCode="&quot;Development Phase:   &quot;#.###"/>
    <numFmt numFmtId="214" formatCode="_(#,##0.000_);\(#,##0.000\)\ ;_(&quot;&quot;_)"/>
    <numFmt numFmtId="215" formatCode="&quot;Parcel &quot;#.###;;&quot;&quot;"/>
    <numFmt numFmtId="216" formatCode="&quot;Yr &quot;0"/>
  </numFmts>
  <fonts count="239">
    <font>
      <sz val="11"/>
      <color theme="1"/>
      <name val="Arial"/>
      <family val="2"/>
    </font>
    <font>
      <sz val="11"/>
      <color theme="1"/>
      <name val="Microsoft Sans Serif"/>
      <family val="2"/>
    </font>
    <font>
      <sz val="11"/>
      <color theme="1"/>
      <name val="Microsoft Sans Serif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Microsoft Sans Serif"/>
      <family val="2"/>
    </font>
    <font>
      <sz val="11"/>
      <color theme="1"/>
      <name val="Microsoft Sans Serif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Microsoft Sans Serif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2"/>
      <color theme="0"/>
      <name val="Univers"/>
      <family val="2"/>
    </font>
    <font>
      <b/>
      <sz val="11"/>
      <color theme="0"/>
      <name val="Univers"/>
      <family val="2"/>
    </font>
    <font>
      <sz val="11"/>
      <name val="Univers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ArialMT"/>
      <family val="2"/>
    </font>
    <font>
      <sz val="8"/>
      <color theme="1"/>
      <name val="Arial"/>
      <family val="2"/>
    </font>
    <font>
      <sz val="11"/>
      <color theme="1"/>
      <name val="Univers"/>
      <family val="2"/>
    </font>
    <font>
      <b/>
      <sz val="10"/>
      <color theme="1"/>
      <name val="Univers"/>
      <family val="2"/>
    </font>
    <font>
      <sz val="11"/>
      <color theme="0"/>
      <name val="Univers"/>
      <family val="2"/>
    </font>
    <font>
      <sz val="10"/>
      <color theme="1"/>
      <name val="Univers"/>
      <family val="2"/>
    </font>
    <font>
      <sz val="10"/>
      <color theme="1"/>
      <name val="ArialMT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12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4"/>
      <color theme="0"/>
      <name val="Univers"/>
      <family val="2"/>
    </font>
    <font>
      <sz val="10"/>
      <color rgb="FFFFFF99"/>
      <name val="Arial"/>
      <family val="2"/>
    </font>
    <font>
      <sz val="9"/>
      <color theme="1"/>
      <name val="Univers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Microsoft Sans Serif"/>
      <family val="2"/>
    </font>
    <font>
      <b/>
      <sz val="10"/>
      <name val="Microsoft Sans Serif"/>
      <family val="2"/>
    </font>
    <font>
      <sz val="8"/>
      <name val="Microsoft Sans Serif"/>
      <family val="2"/>
    </font>
    <font>
      <b/>
      <sz val="8"/>
      <name val="Microsoft Sans Serif"/>
      <family val="2"/>
    </font>
    <font>
      <sz val="10"/>
      <name val="Microsoft Sans Serif"/>
      <family val="2"/>
    </font>
    <font>
      <sz val="10"/>
      <color theme="1"/>
      <name val="Microsoft Sans Serif"/>
      <family val="2"/>
    </font>
    <font>
      <sz val="8"/>
      <color theme="1"/>
      <name val="Microsoft Sans Serif"/>
      <family val="2"/>
    </font>
    <font>
      <sz val="11"/>
      <name val="Microsoft Sans Serif"/>
      <family val="2"/>
    </font>
    <font>
      <sz val="9"/>
      <name val="Microsoft Sans Serif"/>
      <family val="2"/>
    </font>
    <font>
      <b/>
      <sz val="9"/>
      <color theme="0"/>
      <name val="Microsoft Sans Serif"/>
      <family val="2"/>
    </font>
    <font>
      <b/>
      <sz val="8"/>
      <color theme="0"/>
      <name val="Microsoft Sans Serif"/>
      <family val="2"/>
    </font>
    <font>
      <sz val="9"/>
      <color theme="1"/>
      <name val="Microsoft Sans Serif"/>
      <family val="2"/>
    </font>
    <font>
      <b/>
      <sz val="10"/>
      <color theme="0"/>
      <name val="Microsoft Sans Serif"/>
      <family val="2"/>
    </font>
    <font>
      <sz val="10"/>
      <color theme="0"/>
      <name val="Microsoft Sans Serif"/>
      <family val="2"/>
    </font>
    <font>
      <sz val="8"/>
      <color theme="0"/>
      <name val="Microsoft Sans Serif"/>
      <family val="2"/>
    </font>
    <font>
      <b/>
      <sz val="11"/>
      <color theme="5" tint="0.79998168889431442"/>
      <name val="Microsoft Sans Serif"/>
      <family val="2"/>
    </font>
    <font>
      <b/>
      <sz val="10"/>
      <color theme="1"/>
      <name val="Microsoft Sans Serif"/>
      <family val="2"/>
    </font>
    <font>
      <sz val="8"/>
      <color theme="0" tint="-0.14999847407452621"/>
      <name val="Microsoft Sans Serif"/>
      <family val="2"/>
    </font>
    <font>
      <sz val="9"/>
      <color theme="1" tint="0.499984740745262"/>
      <name val="Microsoft Sans Serif"/>
      <family val="2"/>
    </font>
    <font>
      <b/>
      <sz val="18"/>
      <color rgb="FF72FEA7"/>
      <name val="Univers"/>
      <family val="2"/>
    </font>
    <font>
      <b/>
      <sz val="14"/>
      <color rgb="FF72FEA7"/>
      <name val="Univers"/>
      <family val="2"/>
    </font>
    <font>
      <b/>
      <sz val="10"/>
      <color rgb="FFFFC000"/>
      <name val="Univers"/>
      <family val="2"/>
    </font>
    <font>
      <b/>
      <sz val="10"/>
      <color theme="2"/>
      <name val="Univers"/>
      <family val="2"/>
    </font>
    <font>
      <sz val="11"/>
      <color rgb="FF0000FF"/>
      <name val="Univers"/>
      <family val="2"/>
    </font>
    <font>
      <b/>
      <sz val="16"/>
      <color rgb="FF3FFF96"/>
      <name val="Microsoft Sans Serif"/>
      <family val="2"/>
    </font>
    <font>
      <b/>
      <sz val="11"/>
      <color rgb="FFFFC000"/>
      <name val="Microsoft Sans Serif"/>
      <family val="2"/>
    </font>
    <font>
      <sz val="8"/>
      <color theme="1"/>
      <name val="Univers"/>
      <family val="2"/>
    </font>
    <font>
      <b/>
      <sz val="9"/>
      <color rgb="FFFFC000"/>
      <name val="Microsoft Sans Serif"/>
      <family val="2"/>
    </font>
    <font>
      <sz val="9"/>
      <color theme="0"/>
      <name val="Univers"/>
      <family val="2"/>
    </font>
    <font>
      <sz val="14"/>
      <color theme="1"/>
      <name val="Univers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theme="0"/>
      <name val="Microsoft Sans Serif"/>
      <family val="2"/>
    </font>
    <font>
      <sz val="8"/>
      <name val="Arial"/>
      <family val="2"/>
    </font>
    <font>
      <sz val="11"/>
      <color indexed="8"/>
      <name val="Arial"/>
      <family val="2"/>
    </font>
    <font>
      <sz val="11"/>
      <color indexed="8"/>
      <name val="Calibri"/>
      <family val="2"/>
    </font>
    <font>
      <sz val="10"/>
      <color indexed="8"/>
      <name val="ArialMT"/>
      <family val="2"/>
    </font>
    <font>
      <sz val="11"/>
      <name val="Arial"/>
      <family val="2"/>
    </font>
    <font>
      <sz val="11"/>
      <color rgb="FF0000FF"/>
      <name val="Microsoft Sans Serif"/>
      <family val="2"/>
    </font>
    <font>
      <sz val="12"/>
      <name val="Microsoft Sans Serif"/>
      <family val="2"/>
    </font>
    <font>
      <sz val="11"/>
      <color theme="0" tint="-0.14999847407452621"/>
      <name val="Microsoft Sans Serif"/>
      <family val="2"/>
    </font>
    <font>
      <b/>
      <sz val="12"/>
      <color theme="0" tint="-0.14999847407452621"/>
      <name val="Microsoft Sans Serif"/>
      <family val="2"/>
    </font>
    <font>
      <sz val="9"/>
      <color theme="0"/>
      <name val="Microsoft Sans Serif"/>
      <family val="2"/>
    </font>
    <font>
      <b/>
      <sz val="14"/>
      <color theme="1"/>
      <name val="Microsoft Sans Serif"/>
      <family val="2"/>
    </font>
    <font>
      <b/>
      <sz val="11"/>
      <color theme="1"/>
      <name val="Arial"/>
      <family val="2"/>
    </font>
    <font>
      <sz val="11"/>
      <color theme="0"/>
      <name val="Microsoft Sans Serif"/>
      <family val="2"/>
    </font>
    <font>
      <sz val="12"/>
      <color theme="1"/>
      <name val="Univers"/>
      <family val="2"/>
    </font>
    <font>
      <b/>
      <sz val="9"/>
      <color rgb="FF3FFF96"/>
      <name val="Microsoft Sans Serif"/>
      <family val="2"/>
    </font>
    <font>
      <b/>
      <sz val="11"/>
      <color rgb="FFFFC000"/>
      <name val="Univers"/>
      <family val="2"/>
    </font>
    <font>
      <b/>
      <sz val="12"/>
      <color rgb="FFFFC000"/>
      <name val="Microsoft Sans Serif"/>
      <family val="2"/>
    </font>
    <font>
      <b/>
      <sz val="14"/>
      <color rgb="FF25FF88"/>
      <name val="Microsoft Sans Serif"/>
      <family val="2"/>
    </font>
    <font>
      <sz val="12"/>
      <color rgb="FF0000FF"/>
      <name val="Univers"/>
      <family val="2"/>
    </font>
    <font>
      <b/>
      <sz val="11"/>
      <color rgb="FF3FFF96"/>
      <name val="Microsoft Sans Serif"/>
      <family val="2"/>
    </font>
    <font>
      <b/>
      <sz val="12"/>
      <color theme="0"/>
      <name val="Microsoft Sans Serif"/>
      <family val="2"/>
    </font>
    <font>
      <b/>
      <sz val="12"/>
      <color rgb="FF66FA7F"/>
      <name val="Univers"/>
      <family val="2"/>
    </font>
    <font>
      <b/>
      <sz val="11"/>
      <color rgb="FFFFC000"/>
      <name val="Arial"/>
      <family val="2"/>
    </font>
    <font>
      <sz val="11"/>
      <color theme="1"/>
      <name val="Univers"/>
      <family val="2"/>
    </font>
    <font>
      <b/>
      <sz val="10"/>
      <color theme="0"/>
      <name val="Univers"/>
      <family val="2"/>
    </font>
    <font>
      <sz val="10"/>
      <color theme="1"/>
      <name val="Univers"/>
      <family val="2"/>
    </font>
    <font>
      <sz val="12"/>
      <color indexed="12"/>
      <name val="Univers"/>
      <family val="2"/>
    </font>
    <font>
      <sz val="12"/>
      <color theme="1"/>
      <name val="Univers"/>
      <family val="2"/>
    </font>
    <font>
      <b/>
      <sz val="11"/>
      <color theme="0"/>
      <name val="Univers"/>
      <family val="2"/>
    </font>
    <font>
      <sz val="12"/>
      <color theme="0" tint="-0.14999847407452621"/>
      <name val="Univers"/>
      <family val="2"/>
    </font>
    <font>
      <u/>
      <sz val="11"/>
      <color theme="10"/>
      <name val="Arial"/>
      <family val="2"/>
    </font>
    <font>
      <b/>
      <sz val="12"/>
      <color rgb="FFFFC000"/>
      <name val="Arial"/>
      <family val="2"/>
    </font>
    <font>
      <sz val="12"/>
      <color theme="0"/>
      <name val="Univers"/>
      <family val="2"/>
    </font>
    <font>
      <b/>
      <sz val="12"/>
      <color theme="0"/>
      <name val="Univers"/>
      <family val="2"/>
    </font>
    <font>
      <b/>
      <sz val="16"/>
      <color theme="0" tint="-0.14999847407452621"/>
      <name val="Univers"/>
      <family val="2"/>
    </font>
    <font>
      <b/>
      <sz val="11"/>
      <color theme="1"/>
      <name val="Microsoft Sans Serif"/>
      <family val="2"/>
    </font>
    <font>
      <u/>
      <sz val="10"/>
      <name val="Arial"/>
      <family val="2"/>
    </font>
    <font>
      <sz val="8"/>
      <color rgb="FFC00000"/>
      <name val="Univers"/>
      <family val="2"/>
    </font>
    <font>
      <b/>
      <sz val="11"/>
      <color rgb="FF4E6076"/>
      <name val="Arial"/>
      <family val="2"/>
    </font>
    <font>
      <sz val="11"/>
      <color theme="2" tint="-9.9978637043366805E-2"/>
      <name val="Microsoft Sans Serif"/>
      <family val="2"/>
    </font>
    <font>
      <b/>
      <sz val="11"/>
      <color rgb="FFFFFF00"/>
      <name val="Microsoft Sans Serif"/>
      <family val="2"/>
    </font>
    <font>
      <u/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1"/>
      <name val="ArialMT"/>
      <family val="2"/>
    </font>
    <font>
      <b/>
      <sz val="16"/>
      <color theme="0"/>
      <name val="Arial"/>
      <family val="2"/>
    </font>
    <font>
      <b/>
      <sz val="12"/>
      <color theme="1"/>
      <name val="Univers"/>
      <family val="2"/>
    </font>
    <font>
      <b/>
      <sz val="14"/>
      <color theme="1"/>
      <name val="Univers"/>
      <family val="2"/>
    </font>
    <font>
      <b/>
      <sz val="12"/>
      <name val="Microsoft Sans Serif"/>
      <family val="2"/>
    </font>
    <font>
      <sz val="12"/>
      <color theme="0"/>
      <name val="Arial"/>
      <family val="2"/>
    </font>
    <font>
      <sz val="9"/>
      <color theme="1" tint="0.499984740745262"/>
      <name val="Univers"/>
      <family val="2"/>
    </font>
    <font>
      <b/>
      <sz val="12"/>
      <color theme="1"/>
      <name val="Univers"/>
      <family val="2"/>
    </font>
    <font>
      <sz val="12"/>
      <color theme="0"/>
      <name val="Microsoft Sans Serif"/>
      <family val="2"/>
    </font>
    <font>
      <sz val="14"/>
      <color rgb="FF90A1B6"/>
      <name val="Microsoft Sans Serif"/>
      <family val="2"/>
    </font>
    <font>
      <sz val="14"/>
      <color theme="0"/>
      <name val="Microsoft Sans Serif"/>
      <family val="2"/>
    </font>
    <font>
      <sz val="12"/>
      <name val="Univers"/>
      <family val="2"/>
    </font>
    <font>
      <b/>
      <sz val="12"/>
      <color theme="1"/>
      <name val="Arial"/>
      <family val="2"/>
    </font>
    <font>
      <sz val="12"/>
      <color rgb="FFC00000"/>
      <name val="Arial"/>
      <family val="2"/>
    </font>
    <font>
      <sz val="12"/>
      <name val="Arial"/>
      <family val="2"/>
    </font>
    <font>
      <b/>
      <sz val="12"/>
      <color rgb="FF3FFF96"/>
      <name val="Microsoft Sans Serif"/>
      <family val="2"/>
    </font>
    <font>
      <b/>
      <sz val="12"/>
      <color theme="5" tint="0.79998168889431442"/>
      <name val="Microsoft Sans Serif"/>
      <family val="2"/>
    </font>
    <font>
      <sz val="12"/>
      <color theme="1" tint="0.249977111117893"/>
      <name val="Univers"/>
      <family val="2"/>
    </font>
    <font>
      <u/>
      <sz val="12"/>
      <color theme="10"/>
      <name val="Arial"/>
      <family val="2"/>
    </font>
    <font>
      <b/>
      <sz val="11"/>
      <color theme="1"/>
      <name val="Univers"/>
      <family val="2"/>
    </font>
    <font>
      <b/>
      <sz val="14"/>
      <color theme="0"/>
      <name val="Univers"/>
      <family val="2"/>
    </font>
    <font>
      <b/>
      <sz val="14"/>
      <color rgb="FFFFFF00"/>
      <name val="Microsoft Sans Serif"/>
      <family val="2"/>
    </font>
    <font>
      <b/>
      <sz val="11"/>
      <color rgb="FF00FF0A"/>
      <name val="Arial"/>
      <family val="2"/>
    </font>
    <font>
      <sz val="12"/>
      <name val="Univers"/>
      <family val="2"/>
    </font>
    <font>
      <sz val="12"/>
      <color theme="1"/>
      <name val="Microsoft Sans Serif"/>
      <family val="2"/>
    </font>
    <font>
      <b/>
      <sz val="12"/>
      <color rgb="FF0000FF"/>
      <name val="Arial"/>
      <family val="2"/>
    </font>
    <font>
      <sz val="12"/>
      <color rgb="FF90A1B6"/>
      <name val="Microsoft Sans Serif"/>
      <family val="2"/>
    </font>
    <font>
      <b/>
      <sz val="12"/>
      <name val="Univers"/>
      <family val="2"/>
    </font>
    <font>
      <b/>
      <sz val="12"/>
      <name val="Arial"/>
      <family val="2"/>
    </font>
    <font>
      <b/>
      <sz val="12"/>
      <name val="Univers"/>
      <family val="2"/>
    </font>
    <font>
      <b/>
      <sz val="12"/>
      <color theme="1"/>
      <name val="Microsoft Sans Serif"/>
      <family val="2"/>
    </font>
    <font>
      <sz val="11"/>
      <color theme="1" tint="0.499984740745262"/>
      <name val="Microsoft Sans Serif"/>
      <family val="2"/>
    </font>
    <font>
      <b/>
      <sz val="11"/>
      <color theme="1"/>
      <name val="Univers"/>
      <family val="2"/>
    </font>
    <font>
      <b/>
      <sz val="10"/>
      <color theme="0" tint="-0.499984740745262"/>
      <name val="Univers"/>
      <family val="2"/>
    </font>
    <font>
      <sz val="10"/>
      <color theme="0" tint="-0.499984740745262"/>
      <name val="Univers"/>
      <family val="2"/>
    </font>
    <font>
      <u/>
      <sz val="11"/>
      <color theme="1"/>
      <name val="Univers"/>
      <family val="2"/>
    </font>
    <font>
      <b/>
      <sz val="12"/>
      <color rgb="FFFFFF00"/>
      <name val="Microsoft Sans Serif"/>
      <family val="2"/>
    </font>
    <font>
      <sz val="14"/>
      <color theme="1"/>
      <name val="Monaco"/>
      <family val="2"/>
    </font>
    <font>
      <b/>
      <sz val="10"/>
      <color theme="0"/>
      <name val="Univers"/>
      <family val="2"/>
    </font>
    <font>
      <sz val="10"/>
      <name val="Univers"/>
      <family val="2"/>
    </font>
    <font>
      <sz val="12"/>
      <color rgb="FF67FD8B"/>
      <name val="Univers"/>
      <family val="2"/>
    </font>
    <font>
      <sz val="11"/>
      <name val="Calibri"/>
      <family val="2"/>
      <scheme val="minor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sz val="9"/>
      <color theme="0"/>
      <name val="Arial"/>
      <family val="2"/>
    </font>
    <font>
      <sz val="11"/>
      <color theme="1" tint="0.499984740745262"/>
      <name val="Univers"/>
      <family val="2"/>
    </font>
    <font>
      <b/>
      <sz val="9"/>
      <color theme="0"/>
      <name val="Arial"/>
      <family val="2"/>
    </font>
    <font>
      <sz val="9"/>
      <name val="Univers"/>
      <family val="2"/>
    </font>
    <font>
      <sz val="8"/>
      <name val="Univers"/>
      <family val="2"/>
    </font>
    <font>
      <b/>
      <sz val="10"/>
      <name val="Univers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b/>
      <sz val="8"/>
      <color theme="0"/>
      <name val="Arial"/>
      <family val="2"/>
    </font>
    <font>
      <sz val="8"/>
      <color theme="1"/>
      <name val="Calibri"/>
      <family val="2"/>
      <scheme val="minor"/>
    </font>
    <font>
      <b/>
      <sz val="10"/>
      <color theme="1"/>
      <name val="Univers"/>
      <family val="2"/>
    </font>
    <font>
      <b/>
      <sz val="9"/>
      <color theme="0"/>
      <name val="Univers"/>
      <family val="2"/>
    </font>
    <font>
      <u/>
      <sz val="12"/>
      <color theme="1"/>
      <name val="Arial"/>
      <family val="2"/>
    </font>
    <font>
      <sz val="11"/>
      <name val="Univers"/>
      <family val="2"/>
    </font>
    <font>
      <sz val="8"/>
      <color theme="1"/>
      <name val="Univers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8"/>
      <color rgb="FFFFC000"/>
      <name val="Arial"/>
      <family val="2"/>
    </font>
    <font>
      <b/>
      <sz val="8"/>
      <color theme="0"/>
      <name val="Univers"/>
      <family val="2"/>
    </font>
    <font>
      <sz val="8"/>
      <name val="Univers"/>
      <family val="2"/>
    </font>
    <font>
      <sz val="8"/>
      <color rgb="FF230CFF"/>
      <name val="Univers"/>
      <family val="2"/>
    </font>
    <font>
      <sz val="10"/>
      <color theme="0"/>
      <name val="Univers"/>
      <family val="2"/>
    </font>
    <font>
      <sz val="18"/>
      <color rgb="FF5DD5FF"/>
      <name val="Univers"/>
      <family val="2"/>
    </font>
    <font>
      <sz val="9"/>
      <name val="Calibri"/>
      <family val="2"/>
      <scheme val="minor"/>
    </font>
    <font>
      <sz val="10"/>
      <name val="Wingdings 2"/>
      <family val="1"/>
      <charset val="2"/>
    </font>
    <font>
      <sz val="9"/>
      <color rgb="FF0000FF"/>
      <name val="Univers"/>
      <family val="2"/>
    </font>
    <font>
      <sz val="11"/>
      <color rgb="FFC00000"/>
      <name val="Univers"/>
      <family val="2"/>
    </font>
    <font>
      <sz val="10"/>
      <color rgb="FF230CFF"/>
      <name val="Wingdings 2"/>
      <family val="1"/>
      <charset val="2"/>
    </font>
    <font>
      <b/>
      <sz val="10"/>
      <color theme="1"/>
      <name val="Arial"/>
      <family val="2"/>
    </font>
    <font>
      <sz val="8"/>
      <color theme="0"/>
      <name val="Univers"/>
      <family val="2"/>
    </font>
    <font>
      <sz val="11"/>
      <color rgb="FFC00000"/>
      <name val="Arial"/>
      <family val="2"/>
    </font>
    <font>
      <sz val="12"/>
      <color rgb="FF7030A0"/>
      <name val="Arial"/>
      <family val="2"/>
    </font>
    <font>
      <sz val="9"/>
      <color theme="1" tint="0.499984740745262"/>
      <name val="Arial"/>
      <family val="2"/>
    </font>
    <font>
      <sz val="8"/>
      <name val="Aptos"/>
      <family val="2"/>
    </font>
    <font>
      <b/>
      <sz val="16"/>
      <color rgb="FF3FFF96"/>
      <name val="Arial"/>
      <family val="2"/>
    </font>
    <font>
      <sz val="12"/>
      <color indexed="12"/>
      <name val="Arial"/>
      <family val="2"/>
    </font>
    <font>
      <b/>
      <sz val="18"/>
      <color rgb="FF5DFFA6"/>
      <name val="Microsoft Sans Serif"/>
      <family val="2"/>
    </font>
    <font>
      <sz val="16"/>
      <color rgb="FF00FF0A"/>
      <name val="Univers"/>
      <family val="2"/>
    </font>
    <font>
      <u/>
      <sz val="10"/>
      <color theme="1"/>
      <name val="Univers"/>
      <family val="2"/>
    </font>
    <font>
      <b/>
      <sz val="11"/>
      <color rgb="FF002060"/>
      <name val="Arial"/>
      <family val="2"/>
    </font>
    <font>
      <sz val="11"/>
      <color rgb="FF002060"/>
      <name val="Microsoft Sans Serif"/>
      <family val="2"/>
    </font>
    <font>
      <u/>
      <sz val="10"/>
      <color theme="0" tint="-0.499984740745262"/>
      <name val="Univers"/>
      <family val="2"/>
    </font>
    <font>
      <b/>
      <sz val="11"/>
      <name val="Univers"/>
      <family val="2"/>
    </font>
    <font>
      <b/>
      <sz val="12"/>
      <color rgb="FF0000FF"/>
      <name val="Univers"/>
      <family val="2"/>
    </font>
    <font>
      <sz val="11"/>
      <color theme="0" tint="-0.14999847407452621"/>
      <name val="Arial"/>
      <family val="2"/>
    </font>
    <font>
      <sz val="12"/>
      <color rgb="FFFFFF00"/>
      <name val="Microsoft Sans Serif"/>
      <family val="2"/>
    </font>
    <font>
      <u/>
      <sz val="12"/>
      <name val="Arial"/>
      <family val="2"/>
    </font>
    <font>
      <sz val="12"/>
      <color rgb="FF4E6076"/>
      <name val="Microsoft Sans Serif"/>
      <family val="2"/>
    </font>
    <font>
      <sz val="11"/>
      <color indexed="12"/>
      <name val="Arial"/>
      <family val="2"/>
    </font>
    <font>
      <sz val="12"/>
      <color rgb="FF0000FF"/>
      <name val="Arial"/>
      <family val="2"/>
    </font>
    <font>
      <sz val="12"/>
      <color rgb="FF0000FF"/>
      <name val="Microsoft Sans Serif"/>
      <family val="2"/>
    </font>
    <font>
      <b/>
      <sz val="10"/>
      <color rgb="FF0000FF"/>
      <name val="Microsoft Sans Serif"/>
      <family val="2"/>
    </font>
    <font>
      <b/>
      <sz val="12"/>
      <color rgb="FFFF0000"/>
      <name val="Arial"/>
      <family val="2"/>
    </font>
    <font>
      <sz val="12"/>
      <color indexed="12"/>
      <name val="Microsoft Sans Serif"/>
      <family val="2"/>
    </font>
    <font>
      <u/>
      <sz val="11"/>
      <color theme="1"/>
      <name val="Microsoft Sans Serif"/>
      <family val="2"/>
    </font>
    <font>
      <b/>
      <sz val="10"/>
      <color rgb="FF00FF99"/>
      <name val="Microsoft Sans Serif"/>
      <family val="2"/>
    </font>
    <font>
      <sz val="12"/>
      <name val="Univers"/>
      <family val="2"/>
    </font>
    <font>
      <b/>
      <sz val="12"/>
      <name val="Univers"/>
      <family val="2"/>
    </font>
    <font>
      <sz val="10"/>
      <name val="Univers"/>
      <family val="2"/>
    </font>
    <font>
      <b/>
      <u/>
      <sz val="11"/>
      <color theme="1"/>
      <name val="Univers"/>
      <family val="2"/>
    </font>
    <font>
      <b/>
      <sz val="12"/>
      <color theme="1"/>
      <name val="Univers"/>
      <family val="2"/>
    </font>
    <font>
      <b/>
      <sz val="11"/>
      <color theme="1"/>
      <name val="Univers"/>
      <family val="2"/>
    </font>
    <font>
      <sz val="12"/>
      <color theme="1"/>
      <name val="Univers"/>
      <family val="2"/>
    </font>
    <font>
      <sz val="10"/>
      <color theme="1" tint="0.499984740745262"/>
      <name val="Microsoft Sans Serif"/>
      <family val="2"/>
    </font>
    <font>
      <b/>
      <u val="double"/>
      <sz val="10"/>
      <color theme="1"/>
      <name val="Microsoft Sans Serif"/>
      <family val="2"/>
    </font>
    <font>
      <b/>
      <sz val="10"/>
      <color rgb="FFFFC000"/>
      <name val="Arial"/>
      <family val="2"/>
    </font>
    <font>
      <b/>
      <sz val="14"/>
      <color rgb="FF00FF99"/>
      <name val="Microsoft Sans Serif"/>
      <family val="2"/>
    </font>
    <font>
      <b/>
      <sz val="14"/>
      <color rgb="FF00FF99"/>
      <name val="Arial"/>
      <family val="2"/>
    </font>
    <font>
      <b/>
      <sz val="14"/>
      <name val="Microsoft Sans Serif"/>
      <family val="2"/>
    </font>
    <font>
      <sz val="9.6"/>
      <color rgb="FFFF0000"/>
      <name val="Arial"/>
      <family val="2"/>
    </font>
    <font>
      <sz val="9.6"/>
      <color rgb="FFFF0000"/>
      <name val="Arial"/>
      <family val="2"/>
    </font>
    <font>
      <sz val="9.6"/>
      <color rgb="FF0000FF"/>
      <name val="Arial"/>
      <family val="2"/>
    </font>
    <font>
      <sz val="9.6"/>
      <color rgb="FF0000FF"/>
      <name val="Arial"/>
      <family val="2"/>
    </font>
    <font>
      <sz val="10"/>
      <color rgb="FF000000"/>
      <name val="Univ"/>
      <charset val="1"/>
    </font>
    <font>
      <sz val="12"/>
      <color rgb="FF000000"/>
      <name val="Univers"/>
      <charset val="1"/>
    </font>
    <font>
      <sz val="10"/>
      <color theme="1"/>
      <name val="Arial Unicode MS"/>
      <family val="2"/>
    </font>
    <font>
      <b/>
      <sz val="11"/>
      <color theme="1"/>
      <name val="Univers"/>
    </font>
  </fonts>
  <fills count="63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4E6076"/>
        <bgColor indexed="64"/>
      </patternFill>
    </fill>
    <fill>
      <patternFill patternType="solid">
        <fgColor rgb="FF2D2E3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394859"/>
        <bgColor indexed="64"/>
      </patternFill>
    </fill>
    <fill>
      <patternFill patternType="solid">
        <fgColor rgb="FF576E87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FFF0FF"/>
        <bgColor indexed="64"/>
      </patternFill>
    </fill>
    <fill>
      <patternFill patternType="solid">
        <fgColor rgb="FF0D1B2A"/>
        <bgColor indexed="64"/>
      </patternFill>
    </fill>
    <fill>
      <patternFill patternType="solid">
        <fgColor rgb="FF1B263B"/>
        <bgColor indexed="64"/>
      </patternFill>
    </fill>
    <fill>
      <patternFill patternType="solid">
        <fgColor rgb="FF415A7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4E6076"/>
        <bgColor theme="4"/>
      </patternFill>
    </fill>
    <fill>
      <patternFill patternType="solid">
        <fgColor rgb="FFFFFFE6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15A77"/>
        <bgColor theme="4"/>
      </patternFill>
    </fill>
    <fill>
      <patternFill patternType="solid">
        <fgColor rgb="FF222B35"/>
        <bgColor indexed="64"/>
      </patternFill>
    </fill>
    <fill>
      <patternFill patternType="solid">
        <fgColor theme="3" tint="-0.499984740745262"/>
        <bgColor theme="4"/>
      </patternFill>
    </fill>
    <fill>
      <patternFill patternType="solid">
        <fgColor rgb="FFFFFFDD"/>
        <bgColor indexed="64"/>
      </patternFill>
    </fill>
    <fill>
      <patternFill patternType="solid">
        <fgColor rgb="FF405164"/>
        <bgColor indexed="64"/>
      </patternFill>
    </fill>
    <fill>
      <patternFill patternType="solid">
        <fgColor rgb="FF0097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222B35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E1FFE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1B263B"/>
        <bgColor theme="4"/>
      </patternFill>
    </fill>
    <fill>
      <patternFill patternType="solid">
        <fgColor rgb="FF5B7FAC"/>
        <bgColor indexed="64"/>
      </patternFill>
    </fill>
    <fill>
      <patternFill patternType="solid">
        <fgColor rgb="FFFFCFCC"/>
        <bgColor indexed="64"/>
      </patternFill>
    </fill>
    <fill>
      <patternFill patternType="solid">
        <fgColor rgb="FF597CA5"/>
        <bgColor indexed="64"/>
      </patternFill>
    </fill>
    <fill>
      <patternFill patternType="solid">
        <fgColor rgb="FF597CA5"/>
        <bgColor theme="4"/>
      </patternFill>
    </fill>
    <fill>
      <patternFill patternType="solid">
        <fgColor rgb="FF3E5C76"/>
        <bgColor indexed="64"/>
      </patternFill>
    </fill>
    <fill>
      <patternFill patternType="solid">
        <fgColor rgb="FF2F3A47"/>
        <bgColor indexed="64"/>
      </patternFill>
    </fill>
    <fill>
      <patternFill patternType="solid">
        <fgColor rgb="FF204D84"/>
        <bgColor indexed="64"/>
      </patternFill>
    </fill>
    <fill>
      <patternFill patternType="solid">
        <fgColor rgb="FF2D6CB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43526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2862A8"/>
        <bgColor indexed="64"/>
      </patternFill>
    </fill>
    <fill>
      <patternFill patternType="solid">
        <fgColor rgb="FFFCE5FC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54677E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333F4F"/>
        <bgColor indexed="64"/>
      </patternFill>
    </fill>
    <fill>
      <gradientFill degree="90">
        <stop position="0">
          <color rgb="FF333F4F"/>
        </stop>
        <stop position="1">
          <color rgb="FF415A77"/>
        </stop>
      </gradientFill>
    </fill>
    <fill>
      <patternFill patternType="solid">
        <fgColor rgb="FF6C85A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CE4D6"/>
        <bgColor rgb="FF000000"/>
      </patternFill>
    </fill>
  </fills>
  <borders count="183">
    <border>
      <left/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rgb="FFE1E1E1"/>
      </left>
      <right/>
      <top style="thick">
        <color rgb="FFE1E1E1"/>
      </top>
      <bottom style="thick">
        <color rgb="FFE1E1E1"/>
      </bottom>
      <diagonal/>
    </border>
    <border>
      <left/>
      <right/>
      <top style="thick">
        <color rgb="FFE1E1E1"/>
      </top>
      <bottom style="thick">
        <color rgb="FFE1E1E1"/>
      </bottom>
      <diagonal/>
    </border>
    <border>
      <left/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/>
      <top style="thick">
        <color rgb="FFE1E1E1"/>
      </top>
      <bottom/>
      <diagonal/>
    </border>
    <border>
      <left/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 style="thick">
        <color rgb="FFE1E1E1"/>
      </right>
      <top/>
      <bottom/>
      <diagonal/>
    </border>
    <border>
      <left style="thick">
        <color rgb="FFE1E1E1"/>
      </left>
      <right/>
      <top/>
      <bottom/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/>
      <bottom style="thick">
        <color rgb="FFE1E1E1"/>
      </bottom>
      <diagonal/>
    </border>
    <border>
      <left/>
      <right/>
      <top style="thick">
        <color rgb="FFE1E1E1"/>
      </top>
      <bottom/>
      <diagonal/>
    </border>
    <border>
      <left/>
      <right/>
      <top/>
      <bottom style="thick">
        <color theme="0"/>
      </bottom>
      <diagonal/>
    </border>
    <border>
      <left style="thick">
        <color rgb="FFE1E1E1"/>
      </left>
      <right/>
      <top/>
      <bottom style="thick">
        <color rgb="FFE1E1E1"/>
      </bottom>
      <diagonal/>
    </border>
    <border>
      <left/>
      <right style="thick">
        <color rgb="FFE1E1E1"/>
      </right>
      <top/>
      <bottom style="thick">
        <color rgb="FFE1E1E1"/>
      </bottom>
      <diagonal/>
    </border>
    <border>
      <left/>
      <right/>
      <top/>
      <bottom style="thick">
        <color rgb="FFE1E1E1"/>
      </bottom>
      <diagonal/>
    </border>
    <border>
      <left/>
      <right style="thick">
        <color rgb="FF40424F"/>
      </right>
      <top style="thick">
        <color rgb="FF40424F"/>
      </top>
      <bottom style="thick">
        <color rgb="FF40424F"/>
      </bottom>
      <diagonal/>
    </border>
    <border>
      <left style="thick">
        <color theme="0"/>
      </left>
      <right style="thick">
        <color theme="0"/>
      </right>
      <top/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 style="thick">
        <color rgb="FFE1E1E1"/>
      </right>
      <top style="thick">
        <color theme="0"/>
      </top>
      <bottom/>
      <diagonal/>
    </border>
    <border>
      <left style="thick">
        <color rgb="FFE1E1E1"/>
      </left>
      <right style="thick">
        <color rgb="FFE1E1E1"/>
      </right>
      <top style="thin">
        <color indexed="64"/>
      </top>
      <bottom style="thick">
        <color rgb="FFE1E1E1"/>
      </bottom>
      <diagonal/>
    </border>
    <border>
      <left style="thick">
        <color rgb="FFE1E1E1"/>
      </left>
      <right/>
      <top style="thin">
        <color indexed="64"/>
      </top>
      <bottom style="thick">
        <color rgb="FFE1E1E1"/>
      </bottom>
      <diagonal/>
    </border>
    <border>
      <left style="thick">
        <color rgb="FFE1E1E1"/>
      </left>
      <right style="thick">
        <color theme="0"/>
      </right>
      <top style="thick">
        <color theme="0"/>
      </top>
      <bottom/>
      <diagonal/>
    </border>
    <border>
      <left/>
      <right style="thick">
        <color rgb="FFE1E1E1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theme="0"/>
      </left>
      <right/>
      <top style="thin">
        <color indexed="64"/>
      </top>
      <bottom style="medium">
        <color indexed="64"/>
      </bottom>
      <diagonal/>
    </border>
    <border>
      <left style="thick">
        <color rgb="FFDCDCDC"/>
      </left>
      <right/>
      <top style="thick">
        <color rgb="FFDCDCDC"/>
      </top>
      <bottom style="thick">
        <color rgb="FFDCDCDC"/>
      </bottom>
      <diagonal/>
    </border>
    <border>
      <left/>
      <right/>
      <top style="thick">
        <color rgb="FFDCDCDC"/>
      </top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 style="medium">
        <color theme="0" tint="-0.499984740745262"/>
      </bottom>
      <diagonal/>
    </border>
    <border>
      <left style="thick">
        <color rgb="FFDCDCDC"/>
      </left>
      <right/>
      <top style="thick">
        <color rgb="FFDCDCDC"/>
      </top>
      <bottom style="medium">
        <color theme="0" tint="-0.499984740745262"/>
      </bottom>
      <diagonal/>
    </border>
    <border>
      <left style="thick">
        <color rgb="FFDCDCDC"/>
      </left>
      <right style="thick">
        <color rgb="FFDCDCDC"/>
      </right>
      <top/>
      <bottom/>
      <diagonal/>
    </border>
    <border>
      <left style="thick">
        <color rgb="FFDCDCDC"/>
      </left>
      <right/>
      <top/>
      <bottom/>
      <diagonal/>
    </border>
    <border>
      <left/>
      <right/>
      <top style="thin">
        <color theme="4" tint="0.39997558519241921"/>
      </top>
      <bottom style="thick">
        <color rgb="FFE1E1E1"/>
      </bottom>
      <diagonal/>
    </border>
    <border>
      <left style="thick">
        <color rgb="FFDCDCDC"/>
      </left>
      <right/>
      <top/>
      <bottom style="thick">
        <color rgb="FFDCDCDC"/>
      </bottom>
      <diagonal/>
    </border>
    <border>
      <left/>
      <right/>
      <top/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/>
      <bottom style="thick">
        <color rgb="FFE1E1E1"/>
      </bottom>
      <diagonal/>
    </border>
    <border>
      <left style="thick">
        <color rgb="FFDCDCDC"/>
      </left>
      <right style="thick">
        <color rgb="FFDCDCDC"/>
      </right>
      <top/>
      <bottom style="thick">
        <color rgb="FFDCDCDC"/>
      </bottom>
      <diagonal/>
    </border>
    <border>
      <left/>
      <right/>
      <top style="thick">
        <color rgb="FFDCDCDC"/>
      </top>
      <bottom style="medium">
        <color theme="0" tint="-0.499984740745262"/>
      </bottom>
      <diagonal/>
    </border>
    <border>
      <left style="thick">
        <color rgb="FFDCDCDC"/>
      </left>
      <right style="thick">
        <color rgb="FFDCDCDC"/>
      </right>
      <top style="thin">
        <color indexed="64"/>
      </top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/>
      <diagonal/>
    </border>
    <border>
      <left style="thick">
        <color rgb="FFDCDCDC"/>
      </left>
      <right style="thick">
        <color rgb="FFE1E1E1"/>
      </right>
      <top style="thin">
        <color indexed="64"/>
      </top>
      <bottom style="thick">
        <color rgb="FFDCDCDC"/>
      </bottom>
      <diagonal/>
    </border>
    <border>
      <left style="thick">
        <color rgb="FFDCDCDC"/>
      </left>
      <right/>
      <top style="thick">
        <color rgb="FFDCDCDC"/>
      </top>
      <bottom style="thin">
        <color indexed="64"/>
      </bottom>
      <diagonal/>
    </border>
    <border>
      <left/>
      <right/>
      <top style="thick">
        <color rgb="FFDCDCDC"/>
      </top>
      <bottom style="thin">
        <color indexed="64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 style="thin">
        <color indexed="64"/>
      </bottom>
      <diagonal/>
    </border>
    <border>
      <left style="thick">
        <color theme="0"/>
      </left>
      <right style="thick">
        <color rgb="FFE1E1E1"/>
      </right>
      <top style="thick">
        <color theme="0"/>
      </top>
      <bottom/>
      <diagonal/>
    </border>
    <border>
      <left style="thick">
        <color theme="0"/>
      </left>
      <right style="thick">
        <color rgb="FFE1E1E1"/>
      </right>
      <top/>
      <bottom style="thick">
        <color theme="0"/>
      </bottom>
      <diagonal/>
    </border>
    <border>
      <left style="thick">
        <color theme="0"/>
      </left>
      <right style="thick">
        <color rgb="FFDCDCDC"/>
      </right>
      <top style="thick">
        <color rgb="FFDCDCDC"/>
      </top>
      <bottom style="thick">
        <color rgb="FFDCDCDC"/>
      </bottom>
      <diagonal/>
    </border>
    <border>
      <left style="thick">
        <color theme="0"/>
      </left>
      <right style="thick">
        <color rgb="FFDCDCDC"/>
      </right>
      <top style="thick">
        <color rgb="FFDCDCDC"/>
      </top>
      <bottom/>
      <diagonal/>
    </border>
    <border>
      <left style="thick">
        <color theme="0"/>
      </left>
      <right style="thick">
        <color rgb="FFDCDCDC"/>
      </right>
      <top style="thin">
        <color indexed="64"/>
      </top>
      <bottom style="thick">
        <color rgb="FFDCDCDC"/>
      </bottom>
      <diagonal/>
    </border>
    <border>
      <left style="thick">
        <color theme="0"/>
      </left>
      <right style="thick">
        <color rgb="FFDCDCDC"/>
      </right>
      <top style="thick">
        <color rgb="FFDCDCDC"/>
      </top>
      <bottom style="thin">
        <color indexed="64"/>
      </bottom>
      <diagonal/>
    </border>
    <border>
      <left style="thick">
        <color theme="0"/>
      </left>
      <right style="thick">
        <color rgb="FFDCDCDC"/>
      </right>
      <top/>
      <bottom style="thick">
        <color rgb="FFDCDCDC"/>
      </bottom>
      <diagonal/>
    </border>
    <border>
      <left style="thick">
        <color theme="0"/>
      </left>
      <right style="thick">
        <color rgb="FFDCDCDC"/>
      </right>
      <top/>
      <bottom/>
      <diagonal/>
    </border>
    <border>
      <left style="thick">
        <color rgb="FFDCDCDC"/>
      </left>
      <right style="thick">
        <color rgb="FFDCDCDC"/>
      </right>
      <top style="double">
        <color theme="1" tint="0.499984740745262"/>
      </top>
      <bottom style="thick">
        <color rgb="FFDCDCDC"/>
      </bottom>
      <diagonal/>
    </border>
    <border>
      <left style="thick">
        <color rgb="FFDCDCDC"/>
      </left>
      <right/>
      <top style="double">
        <color theme="1" tint="0.499984740745262"/>
      </top>
      <bottom style="thick">
        <color rgb="FFDCDCDC"/>
      </bottom>
      <diagonal/>
    </border>
    <border>
      <left/>
      <right/>
      <top style="double">
        <color theme="1" tint="0.499984740745262"/>
      </top>
      <bottom style="thick">
        <color rgb="FFDCDCDC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/>
      </left>
      <right/>
      <top style="thick">
        <color theme="0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n">
        <color indexed="64"/>
      </top>
      <bottom style="medium">
        <color indexed="64"/>
      </bottom>
      <diagonal/>
    </border>
    <border>
      <left/>
      <right style="thick">
        <color rgb="FFDCDCDC"/>
      </right>
      <top/>
      <bottom style="thick">
        <color rgb="FFDCDCDC"/>
      </bottom>
      <diagonal/>
    </border>
    <border>
      <left/>
      <right/>
      <top style="thick">
        <color theme="0"/>
      </top>
      <bottom style="thick">
        <color rgb="FFE1E1E1"/>
      </bottom>
      <diagonal/>
    </border>
    <border>
      <left/>
      <right style="thick">
        <color theme="0"/>
      </right>
      <top style="thick">
        <color theme="0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n">
        <color theme="4" tint="0.39997558519241921"/>
      </top>
      <bottom style="thick">
        <color rgb="FFE1E1E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theme="0" tint="-4.9989318521683403E-2"/>
      </left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 style="thin">
        <color theme="0" tint="-0.499984740745262"/>
      </top>
      <bottom style="thick">
        <color theme="0"/>
      </bottom>
      <diagonal/>
    </border>
    <border>
      <left style="thick">
        <color theme="2"/>
      </left>
      <right/>
      <top style="thick">
        <color theme="2"/>
      </top>
      <bottom/>
      <diagonal/>
    </border>
    <border>
      <left style="thick">
        <color theme="2"/>
      </left>
      <right/>
      <top/>
      <bottom/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n">
        <color indexed="64"/>
      </bottom>
      <diagonal/>
    </border>
    <border>
      <left style="thick">
        <color rgb="FFE1E1E1"/>
      </left>
      <right/>
      <top style="thick">
        <color rgb="FFE1E1E1"/>
      </top>
      <bottom style="thin">
        <color indexed="64"/>
      </bottom>
      <diagonal/>
    </border>
    <border>
      <left/>
      <right style="thick">
        <color rgb="FFE1E1E1"/>
      </right>
      <top style="thick">
        <color rgb="FFE1E1E1"/>
      </top>
      <bottom style="thin">
        <color indexed="64"/>
      </bottom>
      <diagonal/>
    </border>
    <border>
      <left/>
      <right/>
      <top style="thick">
        <color rgb="FFE1E1E1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ck">
        <color theme="0"/>
      </left>
      <right style="thick">
        <color theme="0"/>
      </right>
      <top/>
      <bottom style="thin">
        <color indexed="64"/>
      </bottom>
      <diagonal/>
    </border>
    <border>
      <left/>
      <right style="thick">
        <color rgb="FFE1E1E1"/>
      </right>
      <top/>
      <bottom/>
      <diagonal/>
    </border>
    <border>
      <left style="thick">
        <color rgb="FFE1E1E1"/>
      </left>
      <right style="thick">
        <color rgb="FFE1E1E1"/>
      </right>
      <top/>
      <bottom style="thick">
        <color theme="0"/>
      </bottom>
      <diagonal/>
    </border>
    <border>
      <left style="thick">
        <color theme="0"/>
      </left>
      <right/>
      <top style="thin">
        <color theme="0" tint="-0.499984740745262"/>
      </top>
      <bottom style="thick">
        <color theme="0"/>
      </bottom>
      <diagonal/>
    </border>
    <border>
      <left/>
      <right style="thick">
        <color theme="0"/>
      </right>
      <top style="thin">
        <color theme="0" tint="-0.499984740745262"/>
      </top>
      <bottom style="thick">
        <color theme="0"/>
      </bottom>
      <diagonal/>
    </border>
    <border>
      <left style="thin">
        <color theme="2" tint="-9.9948118533890809E-2"/>
      </left>
      <right style="thin">
        <color theme="2" tint="-9.9917600024414813E-2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ck">
        <color rgb="FFDCDCDC"/>
      </top>
      <bottom/>
      <diagonal/>
    </border>
    <border>
      <left/>
      <right/>
      <top style="thin">
        <color theme="0" tint="-0.499984740745262"/>
      </top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 style="thin">
        <color theme="2" tint="-9.9948118533890809E-2"/>
      </bottom>
      <diagonal/>
    </border>
    <border>
      <left style="thick">
        <color rgb="FFE1E1E1"/>
      </left>
      <right/>
      <top style="thick">
        <color rgb="FFE1E1E1"/>
      </top>
      <bottom style="thick">
        <color theme="0"/>
      </bottom>
      <diagonal/>
    </border>
    <border>
      <left/>
      <right style="thick">
        <color rgb="FFE1E1E1"/>
      </right>
      <top style="thick">
        <color rgb="FFE1E1E1"/>
      </top>
      <bottom style="thick">
        <color theme="0"/>
      </bottom>
      <diagonal/>
    </border>
    <border>
      <left style="thick">
        <color theme="0"/>
      </left>
      <right style="thin">
        <color theme="2" tint="-9.9948118533890809E-2"/>
      </right>
      <top/>
      <bottom style="thick">
        <color theme="0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ck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0"/>
      </left>
      <right style="thick">
        <color theme="0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0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thick">
        <color rgb="FF222B35"/>
      </left>
      <right style="thick">
        <color rgb="FF222B35"/>
      </right>
      <top style="thick">
        <color rgb="FF222B35"/>
      </top>
      <bottom style="thick">
        <color rgb="FF222B3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indexed="64"/>
      </bottom>
      <diagonal/>
    </border>
    <border>
      <left/>
      <right/>
      <top style="thick">
        <color theme="0"/>
      </top>
      <bottom style="thin">
        <color theme="2" tint="-9.9917600024414813E-2"/>
      </bottom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theme="2" tint="-9.9948118533890809E-2"/>
      </top>
      <bottom style="thin">
        <color indexed="64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/>
      <diagonal/>
    </border>
    <border>
      <left style="thin">
        <color theme="2" tint="-9.9948118533890809E-2"/>
      </left>
      <right/>
      <top style="thin">
        <color indexed="64"/>
      </top>
      <bottom/>
      <diagonal/>
    </border>
    <border>
      <left/>
      <right style="thin">
        <color theme="2" tint="-9.9948118533890809E-2"/>
      </right>
      <top style="thin">
        <color indexed="64"/>
      </top>
      <bottom/>
      <diagonal/>
    </border>
    <border>
      <left style="thin">
        <color indexed="64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indexed="64"/>
      </left>
      <right style="thick">
        <color theme="0"/>
      </right>
      <top/>
      <bottom/>
      <diagonal/>
    </border>
    <border>
      <left style="thick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 style="thin">
        <color indexed="64"/>
      </bottom>
      <diagonal/>
    </border>
    <border>
      <left style="thin">
        <color theme="2" tint="-9.9948118533890809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ck">
        <color rgb="FFE1E1E1"/>
      </right>
      <top style="thick">
        <color rgb="FFE1E1E1"/>
      </top>
      <bottom style="medium">
        <color indexed="64"/>
      </bottom>
      <diagonal/>
    </border>
    <border>
      <left style="thick">
        <color rgb="FFE1E1E1"/>
      </left>
      <right/>
      <top style="thin">
        <color indexed="64"/>
      </top>
      <bottom style="medium">
        <color indexed="64"/>
      </bottom>
      <diagonal/>
    </border>
    <border>
      <left style="thick">
        <color theme="0"/>
      </left>
      <right/>
      <top style="thick">
        <color theme="0"/>
      </top>
      <bottom style="thin">
        <color theme="2" tint="-9.9917600024414813E-2"/>
      </bottom>
      <diagonal/>
    </border>
    <border>
      <left/>
      <right style="thick">
        <color theme="0"/>
      </right>
      <top style="thick">
        <color theme="0"/>
      </top>
      <bottom style="thin">
        <color theme="2" tint="-9.9917600024414813E-2"/>
      </bottom>
      <diagonal/>
    </border>
    <border>
      <left style="thin">
        <color theme="2" tint="-9.9948118533890809E-2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n">
        <color theme="2" tint="-9.9948118533890809E-2"/>
      </right>
      <top style="thick">
        <color theme="0"/>
      </top>
      <bottom style="thick">
        <color theme="0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ck">
        <color theme="0"/>
      </top>
      <bottom style="thick">
        <color theme="0"/>
      </bottom>
      <diagonal/>
    </border>
    <border>
      <left style="thin">
        <color theme="2" tint="-9.9948118533890809E-2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1"/>
      </top>
      <bottom style="thick">
        <color theme="0"/>
      </bottom>
      <diagonal/>
    </border>
    <border>
      <left style="thick">
        <color theme="0"/>
      </left>
      <right/>
      <top style="thin">
        <color theme="1"/>
      </top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/>
      <right style="thick">
        <color theme="0"/>
      </right>
      <top style="thin">
        <color theme="1"/>
      </top>
      <bottom style="thick">
        <color theme="0"/>
      </bottom>
      <diagonal/>
    </border>
    <border>
      <left style="thick">
        <color rgb="FFE6E6E6"/>
      </left>
      <right style="thick">
        <color rgb="FFE6E6E6"/>
      </right>
      <top style="thick">
        <color rgb="FFE6E6E6"/>
      </top>
      <bottom style="thick">
        <color rgb="FFE6E6E6"/>
      </bottom>
      <diagonal/>
    </border>
    <border>
      <left style="thick">
        <color rgb="FFE6E6E6"/>
      </left>
      <right style="thick">
        <color rgb="FFE6E6E6"/>
      </right>
      <top style="thick">
        <color rgb="FFE6E6E6"/>
      </top>
      <bottom style="thick">
        <color rgb="FFE1E1E1"/>
      </bottom>
      <diagonal/>
    </border>
    <border>
      <left style="thick">
        <color rgb="FFE6E6E6"/>
      </left>
      <right style="thick">
        <color rgb="FFE6E6E6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6E6E6"/>
      </right>
      <top style="thick">
        <color rgb="FFE1E1E1"/>
      </top>
      <bottom/>
      <diagonal/>
    </border>
    <border>
      <left style="thick">
        <color rgb="FFE1E1E1"/>
      </left>
      <right style="thick">
        <color rgb="FFE6E6E6"/>
      </right>
      <top/>
      <bottom/>
      <diagonal/>
    </border>
    <border>
      <left style="thick">
        <color rgb="FFE1E1E1"/>
      </left>
      <right style="thick">
        <color rgb="FFE6E6E6"/>
      </right>
      <top/>
      <bottom style="thick">
        <color rgb="FFE1E1E1"/>
      </bottom>
      <diagonal/>
    </border>
  </borders>
  <cellStyleXfs count="41">
    <xf numFmtId="0" fontId="0" fillId="0" borderId="0"/>
    <xf numFmtId="9" fontId="14" fillId="0" borderId="0" applyFont="0" applyFill="0" applyBorder="0" applyAlignment="0" applyProtection="0"/>
    <xf numFmtId="0" fontId="22" fillId="0" borderId="0"/>
    <xf numFmtId="0" fontId="20" fillId="0" borderId="0"/>
    <xf numFmtId="0" fontId="14" fillId="0" borderId="0"/>
    <xf numFmtId="9" fontId="20" fillId="0" borderId="0" applyFont="0" applyFill="0" applyBorder="0" applyAlignment="0" applyProtection="0"/>
    <xf numFmtId="0" fontId="21" fillId="0" borderId="0"/>
    <xf numFmtId="0" fontId="28" fillId="0" borderId="0"/>
    <xf numFmtId="9" fontId="21" fillId="0" borderId="0" applyFont="0" applyFill="0" applyBorder="0" applyAlignment="0" applyProtection="0"/>
    <xf numFmtId="43" fontId="20" fillId="0" borderId="0" applyFont="0" applyFill="0" applyBorder="0" applyAlignment="0" applyProtection="0"/>
    <xf numFmtId="9" fontId="28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4" fillId="0" borderId="0"/>
    <xf numFmtId="165" fontId="37" fillId="11" borderId="28">
      <alignment horizontal="center" vertical="center"/>
    </xf>
    <xf numFmtId="165" fontId="24" fillId="0" borderId="0"/>
    <xf numFmtId="0" fontId="20" fillId="0" borderId="0"/>
    <xf numFmtId="0" fontId="12" fillId="0" borderId="0"/>
    <xf numFmtId="167" fontId="64" fillId="2" borderId="4" applyProtection="0">
      <alignment horizontal="left" vertical="top" shrinkToFit="1"/>
    </xf>
    <xf numFmtId="167" fontId="19" fillId="4" borderId="4">
      <alignment horizontal="left" vertical="top" indent="1" shrinkToFit="1"/>
    </xf>
    <xf numFmtId="9" fontId="12" fillId="0" borderId="0" applyFont="0" applyFill="0" applyBorder="0" applyAlignment="0" applyProtection="0"/>
    <xf numFmtId="171" fontId="64" fillId="2" borderId="4">
      <alignment horizontal="left" vertical="center"/>
    </xf>
    <xf numFmtId="179" fontId="64" fillId="2" borderId="4">
      <alignment horizontal="left" vertical="top" shrinkToFit="1"/>
    </xf>
    <xf numFmtId="0" fontId="11" fillId="0" borderId="0"/>
    <xf numFmtId="0" fontId="22" fillId="0" borderId="0"/>
    <xf numFmtId="0" fontId="10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76" fillId="0" borderId="0"/>
    <xf numFmtId="0" fontId="75" fillId="0" borderId="0"/>
    <xf numFmtId="0" fontId="77" fillId="0" borderId="0"/>
    <xf numFmtId="0" fontId="14" fillId="0" borderId="0"/>
    <xf numFmtId="185" fontId="37" fillId="11" borderId="28" applyProtection="0">
      <alignment horizontal="center" vertical="center"/>
    </xf>
    <xf numFmtId="0" fontId="7" fillId="0" borderId="0"/>
    <xf numFmtId="0" fontId="104" fillId="0" borderId="0" applyNumberForma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4" fillId="0" borderId="0"/>
    <xf numFmtId="0" fontId="3" fillId="0" borderId="0"/>
  </cellStyleXfs>
  <cellXfs count="1768">
    <xf numFmtId="0" fontId="0" fillId="0" borderId="0" xfId="0"/>
    <xf numFmtId="0" fontId="0" fillId="6" borderId="0" xfId="0" applyFill="1"/>
    <xf numFmtId="0" fontId="24" fillId="0" borderId="0" xfId="0" applyFont="1"/>
    <xf numFmtId="0" fontId="39" fillId="0" borderId="0" xfId="0" applyFont="1"/>
    <xf numFmtId="0" fontId="40" fillId="0" borderId="0" xfId="0" applyFont="1"/>
    <xf numFmtId="0" fontId="40" fillId="0" borderId="0" xfId="0" applyFont="1" applyAlignment="1">
      <alignment horizontal="right"/>
    </xf>
    <xf numFmtId="0" fontId="13" fillId="0" borderId="0" xfId="0" applyFont="1"/>
    <xf numFmtId="0" fontId="47" fillId="0" borderId="0" xfId="0" applyFont="1"/>
    <xf numFmtId="173" fontId="47" fillId="6" borderId="0" xfId="0" applyNumberFormat="1" applyFont="1" applyFill="1" applyAlignment="1">
      <alignment horizontal="center"/>
    </xf>
    <xf numFmtId="173" fontId="47" fillId="6" borderId="0" xfId="0" applyNumberFormat="1" applyFont="1" applyFill="1"/>
    <xf numFmtId="0" fontId="57" fillId="0" borderId="0" xfId="15" applyFont="1"/>
    <xf numFmtId="0" fontId="41" fillId="8" borderId="0" xfId="0" applyFont="1" applyFill="1" applyAlignment="1">
      <alignment horizontal="left" vertical="center" indent="1"/>
    </xf>
    <xf numFmtId="0" fontId="58" fillId="8" borderId="0" xfId="0" applyFont="1" applyFill="1" applyAlignment="1">
      <alignment horizontal="center" vertical="center"/>
    </xf>
    <xf numFmtId="43" fontId="56" fillId="8" borderId="0" xfId="11" applyFont="1" applyFill="1"/>
    <xf numFmtId="0" fontId="60" fillId="8" borderId="0" xfId="16" applyFont="1" applyFill="1" applyAlignment="1">
      <alignment horizontal="left" vertical="center" indent="1"/>
    </xf>
    <xf numFmtId="0" fontId="26" fillId="8" borderId="0" xfId="16" applyFont="1" applyFill="1"/>
    <xf numFmtId="0" fontId="12" fillId="0" borderId="0" xfId="16"/>
    <xf numFmtId="0" fontId="12" fillId="6" borderId="0" xfId="16" applyFill="1"/>
    <xf numFmtId="167" fontId="61" fillId="8" borderId="0" xfId="16" applyNumberFormat="1" applyFont="1" applyFill="1" applyAlignment="1">
      <alignment horizontal="left" indent="1"/>
    </xf>
    <xf numFmtId="0" fontId="26" fillId="8" borderId="0" xfId="16" applyFont="1" applyFill="1" applyAlignment="1">
      <alignment horizontal="center"/>
    </xf>
    <xf numFmtId="0" fontId="62" fillId="8" borderId="0" xfId="16" applyFont="1" applyFill="1" applyAlignment="1">
      <alignment horizontal="left" vertical="center" indent="2"/>
    </xf>
    <xf numFmtId="0" fontId="63" fillId="8" borderId="0" xfId="16" applyFont="1" applyFill="1" applyAlignment="1">
      <alignment horizontal="left" vertical="center" indent="3"/>
    </xf>
    <xf numFmtId="0" fontId="36" fillId="16" borderId="0" xfId="16" applyFont="1" applyFill="1" applyAlignment="1">
      <alignment horizontal="left" vertical="center" indent="1"/>
    </xf>
    <xf numFmtId="0" fontId="26" fillId="16" borderId="0" xfId="16" applyFont="1" applyFill="1" applyAlignment="1">
      <alignment horizontal="left" indent="1"/>
    </xf>
    <xf numFmtId="0" fontId="18" fillId="9" borderId="4" xfId="16" applyFont="1" applyFill="1" applyBorder="1" applyAlignment="1">
      <alignment horizontal="left" vertical="center" indent="1"/>
    </xf>
    <xf numFmtId="0" fontId="19" fillId="4" borderId="9" xfId="16" applyFont="1" applyFill="1" applyBorder="1" applyAlignment="1">
      <alignment horizontal="left" vertical="center" indent="1"/>
    </xf>
    <xf numFmtId="0" fontId="18" fillId="9" borderId="1" xfId="16" applyFont="1" applyFill="1" applyBorder="1" applyAlignment="1">
      <alignment horizontal="left" vertical="center" indent="1"/>
    </xf>
    <xf numFmtId="0" fontId="18" fillId="9" borderId="2" xfId="16" applyFont="1" applyFill="1" applyBorder="1" applyAlignment="1">
      <alignment horizontal="left" vertical="center" indent="1"/>
    </xf>
    <xf numFmtId="0" fontId="0" fillId="0" borderId="0" xfId="0" applyAlignment="1">
      <alignment horizontal="center"/>
    </xf>
    <xf numFmtId="0" fontId="18" fillId="8" borderId="0" xfId="0" applyFont="1" applyFill="1" applyAlignment="1">
      <alignment horizontal="left" vertical="center" indent="1"/>
    </xf>
    <xf numFmtId="0" fontId="18" fillId="8" borderId="0" xfId="0" applyFont="1" applyFill="1" applyAlignment="1">
      <alignment horizontal="left"/>
    </xf>
    <xf numFmtId="0" fontId="65" fillId="8" borderId="0" xfId="0" applyFont="1" applyFill="1" applyAlignment="1">
      <alignment horizontal="left" indent="1"/>
    </xf>
    <xf numFmtId="0" fontId="66" fillId="8" borderId="0" xfId="0" applyFont="1" applyFill="1" applyAlignment="1">
      <alignment horizontal="left" vertical="center" indent="2"/>
    </xf>
    <xf numFmtId="0" fontId="53" fillId="8" borderId="0" xfId="0" applyFont="1" applyFill="1" applyAlignment="1">
      <alignment horizontal="left" vertical="top" indent="3"/>
    </xf>
    <xf numFmtId="0" fontId="11" fillId="6" borderId="0" xfId="22" applyFill="1"/>
    <xf numFmtId="0" fontId="26" fillId="8" borderId="0" xfId="22" applyFont="1" applyFill="1"/>
    <xf numFmtId="0" fontId="71" fillId="0" borderId="0" xfId="0" applyFont="1"/>
    <xf numFmtId="173" fontId="47" fillId="6" borderId="0" xfId="0" applyNumberFormat="1" applyFont="1" applyFill="1" applyAlignment="1">
      <alignment horizontal="center" vertical="center"/>
    </xf>
    <xf numFmtId="0" fontId="13" fillId="0" borderId="0" xfId="0" applyFont="1" applyAlignment="1">
      <alignment vertical="center"/>
    </xf>
    <xf numFmtId="0" fontId="67" fillId="6" borderId="0" xfId="0" applyFont="1" applyFill="1"/>
    <xf numFmtId="43" fontId="56" fillId="8" borderId="0" xfId="11" applyFont="1" applyFill="1" applyAlignment="1">
      <alignment shrinkToFit="1"/>
    </xf>
    <xf numFmtId="0" fontId="57" fillId="0" borderId="0" xfId="15" applyFont="1" applyAlignment="1">
      <alignment shrinkToFit="1"/>
    </xf>
    <xf numFmtId="0" fontId="66" fillId="8" borderId="0" xfId="0" applyFont="1" applyFill="1" applyAlignment="1">
      <alignment vertical="center"/>
    </xf>
    <xf numFmtId="0" fontId="18" fillId="8" borderId="0" xfId="0" applyFont="1" applyFill="1" applyAlignment="1">
      <alignment horizontal="left" shrinkToFit="1"/>
    </xf>
    <xf numFmtId="0" fontId="18" fillId="8" borderId="0" xfId="0" applyFont="1" applyFill="1" applyAlignment="1">
      <alignment horizontal="left" vertical="center" shrinkToFit="1"/>
    </xf>
    <xf numFmtId="0" fontId="26" fillId="8" borderId="0" xfId="22" applyFont="1" applyFill="1" applyAlignment="1">
      <alignment shrinkToFit="1"/>
    </xf>
    <xf numFmtId="0" fontId="0" fillId="0" borderId="0" xfId="0" applyAlignment="1">
      <alignment shrinkToFit="1"/>
    </xf>
    <xf numFmtId="0" fontId="10" fillId="0" borderId="0" xfId="24"/>
    <xf numFmtId="0" fontId="10" fillId="0" borderId="4" xfId="24" applyBorder="1"/>
    <xf numFmtId="0" fontId="10" fillId="6" borderId="0" xfId="24" applyFill="1"/>
    <xf numFmtId="0" fontId="26" fillId="8" borderId="0" xfId="24" applyFont="1" applyFill="1"/>
    <xf numFmtId="0" fontId="10" fillId="0" borderId="1" xfId="24" applyBorder="1"/>
    <xf numFmtId="43" fontId="56" fillId="8" borderId="0" xfId="11" applyFont="1" applyFill="1" applyAlignment="1">
      <alignment horizontal="right" shrinkToFit="1"/>
    </xf>
    <xf numFmtId="0" fontId="0" fillId="0" borderId="0" xfId="0" applyAlignment="1">
      <alignment horizontal="right" shrinkToFit="1"/>
    </xf>
    <xf numFmtId="0" fontId="65" fillId="8" borderId="0" xfId="0" applyFont="1" applyFill="1"/>
    <xf numFmtId="0" fontId="18" fillId="8" borderId="0" xfId="0" applyFont="1" applyFill="1"/>
    <xf numFmtId="0" fontId="18" fillId="8" borderId="0" xfId="0" applyFont="1" applyFill="1" applyAlignment="1">
      <alignment shrinkToFit="1"/>
    </xf>
    <xf numFmtId="0" fontId="68" fillId="8" borderId="0" xfId="0" applyFont="1" applyFill="1" applyAlignment="1">
      <alignment vertical="center"/>
    </xf>
    <xf numFmtId="0" fontId="41" fillId="8" borderId="0" xfId="0" applyFont="1" applyFill="1" applyAlignment="1">
      <alignment vertical="center"/>
    </xf>
    <xf numFmtId="0" fontId="18" fillId="8" borderId="0" xfId="0" applyFont="1" applyFill="1" applyAlignment="1">
      <alignment vertical="center"/>
    </xf>
    <xf numFmtId="0" fontId="18" fillId="8" borderId="0" xfId="0" applyFont="1" applyFill="1" applyAlignment="1">
      <alignment vertical="center" shrinkToFit="1"/>
    </xf>
    <xf numFmtId="0" fontId="69" fillId="8" borderId="0" xfId="22" applyFont="1" applyFill="1"/>
    <xf numFmtId="0" fontId="66" fillId="8" borderId="0" xfId="0" applyFont="1" applyFill="1" applyAlignment="1">
      <alignment horizontal="center" vertical="center"/>
    </xf>
    <xf numFmtId="0" fontId="26" fillId="8" borderId="0" xfId="22" applyFont="1" applyFill="1" applyAlignment="1">
      <alignment horizontal="center"/>
    </xf>
    <xf numFmtId="0" fontId="10" fillId="0" borderId="0" xfId="24" applyAlignment="1">
      <alignment horizontal="center"/>
    </xf>
    <xf numFmtId="0" fontId="0" fillId="0" borderId="0" xfId="0" applyAlignment="1">
      <alignment horizontal="left"/>
    </xf>
    <xf numFmtId="2" fontId="47" fillId="6" borderId="0" xfId="0" applyNumberFormat="1" applyFont="1" applyFill="1" applyAlignment="1">
      <alignment horizontal="center" vertical="center" shrinkToFit="1"/>
    </xf>
    <xf numFmtId="1" fontId="47" fillId="6" borderId="0" xfId="0" applyNumberFormat="1" applyFont="1" applyFill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3" fillId="0" borderId="0" xfId="0" applyFont="1" applyAlignment="1">
      <alignment vertical="center" shrinkToFit="1"/>
    </xf>
    <xf numFmtId="173" fontId="43" fillId="6" borderId="0" xfId="0" applyNumberFormat="1" applyFont="1" applyFill="1" applyAlignment="1">
      <alignment horizontal="left"/>
    </xf>
    <xf numFmtId="0" fontId="42" fillId="6" borderId="0" xfId="15" applyFont="1" applyFill="1" applyAlignment="1">
      <alignment horizontal="left"/>
    </xf>
    <xf numFmtId="0" fontId="78" fillId="6" borderId="0" xfId="0" applyFont="1" applyFill="1" applyAlignment="1">
      <alignment horizontal="left"/>
    </xf>
    <xf numFmtId="43" fontId="56" fillId="8" borderId="0" xfId="11" applyFont="1" applyFill="1" applyAlignment="1">
      <alignment horizontal="center" shrinkToFit="1"/>
    </xf>
    <xf numFmtId="0" fontId="18" fillId="8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167" fontId="18" fillId="8" borderId="0" xfId="0" applyNumberFormat="1" applyFont="1" applyFill="1" applyAlignment="1">
      <alignment horizontal="center" vertical="center"/>
    </xf>
    <xf numFmtId="43" fontId="56" fillId="8" borderId="0" xfId="11" applyFont="1" applyFill="1" applyAlignment="1">
      <alignment horizontal="center"/>
    </xf>
    <xf numFmtId="43" fontId="56" fillId="8" borderId="0" xfId="11" applyFont="1" applyFill="1" applyAlignment="1">
      <alignment horizontal="right"/>
    </xf>
    <xf numFmtId="0" fontId="53" fillId="8" borderId="0" xfId="0" applyFont="1" applyFill="1" applyAlignment="1">
      <alignment horizontal="left" vertical="top" indent="2"/>
    </xf>
    <xf numFmtId="0" fontId="54" fillId="0" borderId="0" xfId="0" applyFont="1" applyAlignment="1">
      <alignment horizontal="left" vertical="center" indent="1"/>
    </xf>
    <xf numFmtId="167" fontId="43" fillId="0" borderId="4" xfId="0" applyNumberFormat="1" applyFont="1" applyBorder="1" applyAlignment="1">
      <alignment horizontal="left" vertical="center" indent="1"/>
    </xf>
    <xf numFmtId="0" fontId="51" fillId="15" borderId="10" xfId="0" applyFont="1" applyFill="1" applyBorder="1" applyAlignment="1">
      <alignment horizontal="center" vertical="center"/>
    </xf>
    <xf numFmtId="172" fontId="33" fillId="10" borderId="35" xfId="0" applyNumberFormat="1" applyFont="1" applyFill="1" applyBorder="1" applyAlignment="1">
      <alignment horizontal="center" vertical="center" shrinkToFit="1"/>
    </xf>
    <xf numFmtId="172" fontId="33" fillId="10" borderId="9" xfId="0" applyNumberFormat="1" applyFont="1" applyFill="1" applyBorder="1" applyAlignment="1">
      <alignment horizontal="center" vertical="center" shrinkToFit="1"/>
    </xf>
    <xf numFmtId="0" fontId="51" fillId="15" borderId="8" xfId="0" applyFont="1" applyFill="1" applyBorder="1" applyAlignment="1">
      <alignment horizontal="center" vertical="top"/>
    </xf>
    <xf numFmtId="0" fontId="55" fillId="15" borderId="36" xfId="0" applyFont="1" applyFill="1" applyBorder="1" applyAlignment="1">
      <alignment horizontal="center" vertical="top"/>
    </xf>
    <xf numFmtId="1" fontId="33" fillId="10" borderId="6" xfId="0" applyNumberFormat="1" applyFont="1" applyFill="1" applyBorder="1" applyAlignment="1">
      <alignment horizontal="center" vertical="center" shrinkToFit="1"/>
    </xf>
    <xf numFmtId="167" fontId="45" fillId="0" borderId="4" xfId="0" applyNumberFormat="1" applyFont="1" applyBorder="1" applyAlignment="1">
      <alignment horizontal="center" vertical="center"/>
    </xf>
    <xf numFmtId="173" fontId="23" fillId="6" borderId="0" xfId="0" applyNumberFormat="1" applyFont="1" applyFill="1" applyAlignment="1">
      <alignment horizontal="center"/>
    </xf>
    <xf numFmtId="0" fontId="18" fillId="6" borderId="0" xfId="0" applyFont="1" applyFill="1" applyAlignment="1">
      <alignment horizontal="left" vertical="center" indent="1"/>
    </xf>
    <xf numFmtId="0" fontId="23" fillId="6" borderId="0" xfId="1" applyNumberFormat="1" applyFont="1" applyFill="1" applyAlignment="1" applyProtection="1">
      <alignment horizontal="center" vertical="center" shrinkToFit="1"/>
    </xf>
    <xf numFmtId="43" fontId="56" fillId="8" borderId="0" xfId="11" applyFont="1" applyFill="1" applyProtection="1"/>
    <xf numFmtId="43" fontId="56" fillId="8" borderId="0" xfId="11" applyFont="1" applyFill="1" applyAlignment="1" applyProtection="1">
      <alignment horizontal="right" shrinkToFit="1"/>
    </xf>
    <xf numFmtId="43" fontId="56" fillId="8" borderId="0" xfId="11" applyFont="1" applyFill="1" applyAlignment="1" applyProtection="1">
      <alignment shrinkToFit="1"/>
    </xf>
    <xf numFmtId="0" fontId="72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0" fontId="82" fillId="8" borderId="0" xfId="0" applyFont="1" applyFill="1" applyAlignment="1">
      <alignment horizontal="left" vertical="center" indent="1"/>
    </xf>
    <xf numFmtId="167" fontId="38" fillId="2" borderId="21" xfId="13" applyNumberFormat="1" applyFont="1" applyFill="1" applyBorder="1" applyAlignment="1">
      <alignment horizontal="center" vertical="center" shrinkToFit="1"/>
    </xf>
    <xf numFmtId="0" fontId="72" fillId="0" borderId="0" xfId="0" applyFont="1"/>
    <xf numFmtId="167" fontId="55" fillId="8" borderId="0" xfId="0" applyNumberFormat="1" applyFont="1" applyFill="1" applyAlignment="1">
      <alignment horizontal="center" vertical="center"/>
    </xf>
    <xf numFmtId="167" fontId="40" fillId="2" borderId="39" xfId="0" applyNumberFormat="1" applyFont="1" applyFill="1" applyBorder="1"/>
    <xf numFmtId="167" fontId="25" fillId="4" borderId="40" xfId="13" applyNumberFormat="1" applyFont="1" applyFill="1" applyBorder="1" applyAlignment="1" applyProtection="1">
      <alignment horizontal="left" vertical="center" indent="1"/>
      <protection locked="0"/>
    </xf>
    <xf numFmtId="167" fontId="25" fillId="4" borderId="39" xfId="13" applyNumberFormat="1" applyFont="1" applyFill="1" applyBorder="1" applyAlignment="1" applyProtection="1">
      <alignment horizontal="left" vertical="center"/>
      <protection locked="0"/>
    </xf>
    <xf numFmtId="184" fontId="10" fillId="6" borderId="0" xfId="24" applyNumberFormat="1" applyFill="1"/>
    <xf numFmtId="167" fontId="44" fillId="0" borderId="0" xfId="0" applyNumberFormat="1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1" fillId="15" borderId="32" xfId="0" applyFont="1" applyFill="1" applyBorder="1" applyAlignment="1">
      <alignment horizontal="center" vertical="center"/>
    </xf>
    <xf numFmtId="167" fontId="25" fillId="4" borderId="39" xfId="13" applyNumberFormat="1" applyFont="1" applyFill="1" applyBorder="1" applyProtection="1">
      <alignment horizontal="center" vertical="center"/>
      <protection locked="0"/>
    </xf>
    <xf numFmtId="0" fontId="53" fillId="15" borderId="8" xfId="0" applyFont="1" applyFill="1" applyBorder="1" applyAlignment="1">
      <alignment horizontal="left" vertical="top" indent="1"/>
    </xf>
    <xf numFmtId="0" fontId="51" fillId="15" borderId="11" xfId="0" applyFont="1" applyFill="1" applyBorder="1" applyAlignment="1">
      <alignment horizontal="right" vertical="center"/>
    </xf>
    <xf numFmtId="0" fontId="55" fillId="15" borderId="24" xfId="0" applyFont="1" applyFill="1" applyBorder="1" applyAlignment="1">
      <alignment horizontal="right" vertical="top"/>
    </xf>
    <xf numFmtId="0" fontId="87" fillId="0" borderId="0" xfId="24" applyFont="1"/>
    <xf numFmtId="0" fontId="11" fillId="6" borderId="0" xfId="22" applyFill="1" applyAlignment="1">
      <alignment horizontal="left"/>
    </xf>
    <xf numFmtId="167" fontId="87" fillId="0" borderId="0" xfId="13" applyNumberFormat="1" applyFont="1" applyFill="1" applyBorder="1" applyAlignment="1">
      <alignment horizontal="center" vertical="center" shrinkToFit="1"/>
    </xf>
    <xf numFmtId="167" fontId="87" fillId="5" borderId="0" xfId="13" applyNumberFormat="1" applyFont="1" applyFill="1" applyBorder="1" applyAlignment="1">
      <alignment horizontal="center" vertical="center" shrinkToFit="1"/>
    </xf>
    <xf numFmtId="0" fontId="8" fillId="6" borderId="0" xfId="24" applyFont="1" applyFill="1" applyAlignment="1">
      <alignment horizontal="center"/>
    </xf>
    <xf numFmtId="167" fontId="38" fillId="0" borderId="0" xfId="13" applyNumberFormat="1" applyFont="1" applyFill="1" applyBorder="1" applyAlignment="1">
      <alignment horizontal="center" vertical="center" shrinkToFit="1"/>
    </xf>
    <xf numFmtId="164" fontId="41" fillId="10" borderId="21" xfId="0" applyNumberFormat="1" applyFont="1" applyFill="1" applyBorder="1" applyAlignment="1">
      <alignment horizontal="left" vertical="center" indent="1"/>
    </xf>
    <xf numFmtId="0" fontId="88" fillId="8" borderId="0" xfId="0" applyFont="1" applyFill="1" applyAlignment="1">
      <alignment horizontal="left" indent="1"/>
    </xf>
    <xf numFmtId="0" fontId="68" fillId="8" borderId="0" xfId="0" applyFont="1" applyFill="1" applyAlignment="1">
      <alignment horizontal="left" vertical="center" indent="2"/>
    </xf>
    <xf numFmtId="0" fontId="50" fillId="8" borderId="0" xfId="0" applyFont="1" applyFill="1" applyAlignment="1">
      <alignment horizontal="left" vertical="top" indent="3"/>
    </xf>
    <xf numFmtId="0" fontId="52" fillId="0" borderId="0" xfId="0" applyFont="1" applyAlignment="1">
      <alignment horizontal="right" indent="1"/>
    </xf>
    <xf numFmtId="167" fontId="49" fillId="5" borderId="21" xfId="1" applyNumberFormat="1" applyFont="1" applyFill="1" applyBorder="1" applyAlignment="1">
      <alignment horizontal="left" vertical="center" indent="1" shrinkToFit="1"/>
    </xf>
    <xf numFmtId="167" fontId="59" fillId="2" borderId="18" xfId="1" applyNumberFormat="1" applyFont="1" applyFill="1" applyBorder="1" applyAlignment="1" applyProtection="1">
      <alignment horizontal="center" vertical="center" shrinkToFit="1"/>
      <protection locked="0"/>
    </xf>
    <xf numFmtId="167" fontId="59" fillId="2" borderId="19" xfId="1" applyNumberFormat="1" applyFont="1" applyFill="1" applyBorder="1" applyAlignment="1" applyProtection="1">
      <alignment horizontal="center" vertical="center" shrinkToFit="1"/>
      <protection locked="0"/>
    </xf>
    <xf numFmtId="167" fontId="49" fillId="5" borderId="22" xfId="1" applyNumberFormat="1" applyFont="1" applyFill="1" applyBorder="1" applyAlignment="1">
      <alignment horizontal="left" vertical="center" indent="1" shrinkToFit="1"/>
    </xf>
    <xf numFmtId="167" fontId="59" fillId="2" borderId="16" xfId="1" applyNumberFormat="1" applyFont="1" applyFill="1" applyBorder="1" applyAlignment="1" applyProtection="1">
      <alignment horizontal="center" vertical="center" shrinkToFit="1"/>
      <protection locked="0"/>
    </xf>
    <xf numFmtId="167" fontId="49" fillId="2" borderId="0" xfId="1" applyNumberFormat="1" applyFont="1" applyFill="1" applyBorder="1" applyAlignment="1">
      <alignment horizontal="left" vertical="center" indent="1" shrinkToFit="1"/>
    </xf>
    <xf numFmtId="167" fontId="49" fillId="5" borderId="0" xfId="1" applyNumberFormat="1" applyFont="1" applyFill="1" applyBorder="1" applyAlignment="1">
      <alignment horizontal="left" vertical="center" indent="1" shrinkToFit="1"/>
    </xf>
    <xf numFmtId="0" fontId="50" fillId="21" borderId="22" xfId="0" applyFont="1" applyFill="1" applyBorder="1" applyAlignment="1">
      <alignment horizontal="left" vertical="top" indent="1"/>
    </xf>
    <xf numFmtId="0" fontId="85" fillId="27" borderId="21" xfId="0" applyFont="1" applyFill="1" applyBorder="1" applyAlignment="1">
      <alignment horizontal="left" indent="1"/>
    </xf>
    <xf numFmtId="0" fontId="79" fillId="3" borderId="14" xfId="0" applyFont="1" applyFill="1" applyBorder="1" applyAlignment="1" applyProtection="1">
      <alignment horizontal="center" vertical="center"/>
      <protection locked="0"/>
    </xf>
    <xf numFmtId="167" fontId="79" fillId="3" borderId="21" xfId="1" applyNumberFormat="1" applyFont="1" applyFill="1" applyBorder="1" applyAlignment="1" applyProtection="1">
      <alignment horizontal="center" vertical="center" shrinkToFit="1"/>
      <protection locked="0"/>
    </xf>
    <xf numFmtId="170" fontId="79" fillId="3" borderId="21" xfId="1" applyNumberFormat="1" applyFont="1" applyFill="1" applyBorder="1" applyAlignment="1" applyProtection="1">
      <alignment horizontal="center" vertical="center" shrinkToFit="1"/>
      <protection locked="0"/>
    </xf>
    <xf numFmtId="167" fontId="0" fillId="0" borderId="0" xfId="0" applyNumberFormat="1"/>
    <xf numFmtId="0" fontId="65" fillId="6" borderId="0" xfId="0" applyFont="1" applyFill="1" applyAlignment="1">
      <alignment horizontal="left" indent="1"/>
    </xf>
    <xf numFmtId="0" fontId="66" fillId="6" borderId="0" xfId="0" applyFont="1" applyFill="1" applyAlignment="1">
      <alignment horizontal="left" vertical="center" indent="2"/>
    </xf>
    <xf numFmtId="0" fontId="53" fillId="8" borderId="0" xfId="0" applyFont="1" applyFill="1" applyAlignment="1">
      <alignment horizontal="left" vertical="top" indent="1"/>
    </xf>
    <xf numFmtId="0" fontId="91" fillId="8" borderId="0" xfId="0" applyFont="1" applyFill="1" applyAlignment="1">
      <alignment horizontal="left" vertical="center" indent="1"/>
    </xf>
    <xf numFmtId="0" fontId="0" fillId="0" borderId="0" xfId="0" applyAlignment="1">
      <alignment vertical="center"/>
    </xf>
    <xf numFmtId="167" fontId="92" fillId="24" borderId="21" xfId="13" applyNumberFormat="1" applyFont="1" applyFill="1" applyBorder="1" applyAlignment="1" applyProtection="1">
      <alignment horizontal="center" vertical="center" shrinkToFit="1"/>
      <protection locked="0"/>
    </xf>
    <xf numFmtId="186" fontId="92" fillId="24" borderId="21" xfId="13" applyNumberFormat="1" applyFont="1" applyFill="1" applyBorder="1" applyAlignment="1" applyProtection="1">
      <alignment horizontal="center" vertical="center" shrinkToFit="1"/>
      <protection locked="0"/>
    </xf>
    <xf numFmtId="187" fontId="92" fillId="24" borderId="13" xfId="13" applyNumberFormat="1" applyFont="1" applyFill="1" applyBorder="1" applyAlignment="1" applyProtection="1">
      <alignment horizontal="center" vertical="center" shrinkToFit="1"/>
      <protection locked="0"/>
    </xf>
    <xf numFmtId="0" fontId="17" fillId="8" borderId="0" xfId="0" applyFont="1" applyFill="1" applyAlignment="1">
      <alignment horizontal="left" vertical="center" indent="1"/>
    </xf>
    <xf numFmtId="0" fontId="92" fillId="24" borderId="25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24" borderId="13" xfId="13" applyNumberFormat="1" applyFont="1" applyFill="1" applyBorder="1" applyAlignment="1" applyProtection="1">
      <alignment horizontal="left" vertical="center" indent="2" shrinkToFit="1"/>
      <protection locked="0"/>
    </xf>
    <xf numFmtId="0" fontId="36" fillId="16" borderId="0" xfId="16" applyFont="1" applyFill="1" applyAlignment="1">
      <alignment vertical="center"/>
    </xf>
    <xf numFmtId="167" fontId="42" fillId="0" borderId="0" xfId="0" applyNumberFormat="1" applyFont="1" applyAlignment="1">
      <alignment horizontal="left" vertical="center" indent="2"/>
    </xf>
    <xf numFmtId="167" fontId="45" fillId="6" borderId="0" xfId="11" applyNumberFormat="1" applyFont="1" applyFill="1" applyAlignment="1">
      <alignment horizontal="left"/>
    </xf>
    <xf numFmtId="43" fontId="56" fillId="8" borderId="0" xfId="11" applyFont="1" applyFill="1" applyAlignment="1" applyProtection="1">
      <alignment horizontal="left"/>
    </xf>
    <xf numFmtId="0" fontId="0" fillId="0" borderId="0" xfId="0" applyAlignment="1">
      <alignment horizontal="left" shrinkToFit="1"/>
    </xf>
    <xf numFmtId="0" fontId="50" fillId="21" borderId="18" xfId="0" applyFont="1" applyFill="1" applyBorder="1" applyAlignment="1">
      <alignment horizontal="left" indent="1"/>
    </xf>
    <xf numFmtId="0" fontId="0" fillId="21" borderId="23" xfId="0" applyFill="1" applyBorder="1"/>
    <xf numFmtId="184" fontId="0" fillId="0" borderId="0" xfId="0" applyNumberFormat="1"/>
    <xf numFmtId="0" fontId="83" fillId="21" borderId="21" xfId="0" applyFont="1" applyFill="1" applyBorder="1" applyAlignment="1">
      <alignment horizontal="center" vertical="center"/>
    </xf>
    <xf numFmtId="180" fontId="86" fillId="32" borderId="33" xfId="1" applyNumberFormat="1" applyFont="1" applyFill="1" applyBorder="1" applyAlignment="1" applyProtection="1">
      <alignment horizontal="center" vertical="center" shrinkToFit="1"/>
      <protection locked="0"/>
    </xf>
    <xf numFmtId="167" fontId="86" fillId="32" borderId="33" xfId="1" applyNumberFormat="1" applyFont="1" applyFill="1" applyBorder="1" applyAlignment="1" applyProtection="1">
      <alignment horizontal="center" vertical="center" shrinkToFit="1"/>
      <protection locked="0"/>
    </xf>
    <xf numFmtId="0" fontId="16" fillId="32" borderId="13" xfId="0" applyFont="1" applyFill="1" applyBorder="1" applyAlignment="1">
      <alignment horizontal="left"/>
    </xf>
    <xf numFmtId="0" fontId="16" fillId="32" borderId="14" xfId="0" applyFont="1" applyFill="1" applyBorder="1"/>
    <xf numFmtId="0" fontId="7" fillId="0" borderId="0" xfId="34"/>
    <xf numFmtId="0" fontId="7" fillId="0" borderId="4" xfId="34" applyBorder="1"/>
    <xf numFmtId="0" fontId="7" fillId="6" borderId="0" xfId="34" applyFill="1"/>
    <xf numFmtId="0" fontId="26" fillId="8" borderId="0" xfId="34" applyFont="1" applyFill="1"/>
    <xf numFmtId="0" fontId="26" fillId="8" borderId="0" xfId="34" applyFont="1" applyFill="1" applyAlignment="1">
      <alignment horizontal="center"/>
    </xf>
    <xf numFmtId="0" fontId="95" fillId="8" borderId="0" xfId="34" applyFont="1" applyFill="1" applyAlignment="1">
      <alignment horizontal="left" vertical="center" indent="2"/>
    </xf>
    <xf numFmtId="0" fontId="7" fillId="6" borderId="0" xfId="34" applyFill="1" applyAlignment="1">
      <alignment horizontal="center"/>
    </xf>
    <xf numFmtId="180" fontId="6" fillId="4" borderId="21" xfId="1" applyNumberFormat="1" applyFont="1" applyFill="1" applyBorder="1" applyAlignment="1" applyProtection="1">
      <alignment horizontal="center" vertical="center" shrinkToFit="1"/>
      <protection locked="0"/>
    </xf>
    <xf numFmtId="167" fontId="6" fillId="4" borderId="21" xfId="1" applyNumberFormat="1" applyFont="1" applyFill="1" applyBorder="1" applyAlignment="1" applyProtection="1">
      <alignment horizontal="center" vertical="center" shrinkToFit="1"/>
      <protection locked="0"/>
    </xf>
    <xf numFmtId="0" fontId="96" fillId="8" borderId="0" xfId="0" applyFont="1" applyFill="1" applyAlignment="1">
      <alignment horizontal="left" vertical="center" indent="2"/>
    </xf>
    <xf numFmtId="0" fontId="34" fillId="8" borderId="0" xfId="0" applyFont="1" applyFill="1" applyAlignment="1">
      <alignment horizontal="left" vertical="top" indent="3"/>
    </xf>
    <xf numFmtId="0" fontId="34" fillId="8" borderId="0" xfId="0" applyFont="1" applyFill="1" applyAlignment="1">
      <alignment horizontal="left" vertical="top" indent="2"/>
    </xf>
    <xf numFmtId="0" fontId="101" fillId="0" borderId="0" xfId="0" applyFont="1"/>
    <xf numFmtId="0" fontId="16" fillId="32" borderId="25" xfId="0" applyFont="1" applyFill="1" applyBorder="1" applyAlignment="1">
      <alignment horizontal="left"/>
    </xf>
    <xf numFmtId="0" fontId="48" fillId="27" borderId="21" xfId="0" applyFont="1" applyFill="1" applyBorder="1" applyAlignment="1">
      <alignment horizontal="center" vertical="center"/>
    </xf>
    <xf numFmtId="0" fontId="0" fillId="27" borderId="21" xfId="0" applyFill="1" applyBorder="1" applyAlignment="1">
      <alignment horizontal="center"/>
    </xf>
    <xf numFmtId="0" fontId="103" fillId="8" borderId="0" xfId="0" applyFont="1" applyFill="1" applyAlignment="1">
      <alignment horizontal="left" vertical="center" indent="1"/>
    </xf>
    <xf numFmtId="0" fontId="87" fillId="6" borderId="0" xfId="34" applyFont="1" applyFill="1"/>
    <xf numFmtId="0" fontId="90" fillId="8" borderId="0" xfId="0" applyFont="1" applyFill="1" applyAlignment="1">
      <alignment horizontal="left" vertical="center" indent="2"/>
    </xf>
    <xf numFmtId="0" fontId="105" fillId="8" borderId="0" xfId="0" applyFont="1" applyFill="1" applyAlignment="1">
      <alignment horizontal="left" vertical="center" indent="2"/>
    </xf>
    <xf numFmtId="0" fontId="94" fillId="8" borderId="0" xfId="0" applyFont="1" applyFill="1" applyAlignment="1">
      <alignment horizontal="left" vertical="top" indent="3"/>
    </xf>
    <xf numFmtId="0" fontId="32" fillId="8" borderId="0" xfId="0" applyFont="1" applyFill="1" applyAlignment="1">
      <alignment horizontal="left" vertical="top" indent="3"/>
    </xf>
    <xf numFmtId="0" fontId="106" fillId="8" borderId="0" xfId="34" applyFont="1" applyFill="1"/>
    <xf numFmtId="0" fontId="87" fillId="0" borderId="0" xfId="34" applyFont="1"/>
    <xf numFmtId="0" fontId="87" fillId="0" borderId="4" xfId="34" applyFont="1" applyBorder="1"/>
    <xf numFmtId="0" fontId="108" fillId="8" borderId="0" xfId="0" applyFont="1" applyFill="1" applyAlignment="1">
      <alignment horizontal="left" vertical="center" indent="1"/>
    </xf>
    <xf numFmtId="0" fontId="7" fillId="0" borderId="1" xfId="34" applyBorder="1"/>
    <xf numFmtId="0" fontId="107" fillId="15" borderId="4" xfId="0" applyFont="1" applyFill="1" applyBorder="1" applyAlignment="1">
      <alignment horizontal="left" vertical="center" indent="1"/>
    </xf>
    <xf numFmtId="178" fontId="78" fillId="34" borderId="56" xfId="15" applyNumberFormat="1" applyFont="1" applyFill="1" applyBorder="1" applyAlignment="1">
      <alignment horizontal="left" vertical="center" indent="2"/>
    </xf>
    <xf numFmtId="167" fontId="52" fillId="34" borderId="33" xfId="13" applyNumberFormat="1" applyFont="1" applyFill="1" applyBorder="1" applyAlignment="1" applyProtection="1">
      <alignment horizontal="center" vertical="center" shrinkToFit="1"/>
      <protection locked="0"/>
    </xf>
    <xf numFmtId="1" fontId="83" fillId="10" borderId="21" xfId="0" applyNumberFormat="1" applyFont="1" applyFill="1" applyBorder="1" applyAlignment="1">
      <alignment horizontal="right" vertical="center" indent="1"/>
    </xf>
    <xf numFmtId="0" fontId="109" fillId="0" borderId="0" xfId="0" applyFont="1"/>
    <xf numFmtId="167" fontId="49" fillId="2" borderId="21" xfId="13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Alignment="1">
      <alignment shrinkToFit="1"/>
    </xf>
    <xf numFmtId="0" fontId="5" fillId="0" borderId="0" xfId="0" applyFont="1"/>
    <xf numFmtId="174" fontId="78" fillId="12" borderId="41" xfId="15" applyNumberFormat="1" applyFont="1" applyFill="1" applyBorder="1" applyAlignment="1">
      <alignment horizontal="left" vertical="center" indent="2"/>
    </xf>
    <xf numFmtId="0" fontId="55" fillId="15" borderId="61" xfId="0" applyFont="1" applyFill="1" applyBorder="1" applyAlignment="1">
      <alignment horizontal="center" vertical="top"/>
    </xf>
    <xf numFmtId="0" fontId="51" fillId="15" borderId="60" xfId="0" applyFont="1" applyFill="1" applyBorder="1" applyAlignment="1">
      <alignment horizontal="right" vertical="center"/>
    </xf>
    <xf numFmtId="0" fontId="104" fillId="8" borderId="0" xfId="35" applyFill="1" applyAlignment="1">
      <alignment horizontal="left" vertical="center" indent="1"/>
    </xf>
    <xf numFmtId="0" fontId="104" fillId="6" borderId="0" xfId="35" applyFill="1" applyAlignment="1">
      <alignment horizontal="center"/>
    </xf>
    <xf numFmtId="173" fontId="104" fillId="6" borderId="0" xfId="35" applyNumberFormat="1" applyFill="1" applyAlignment="1">
      <alignment horizontal="left"/>
    </xf>
    <xf numFmtId="0" fontId="104" fillId="6" borderId="0" xfId="35" applyFill="1" applyAlignment="1">
      <alignment horizontal="left" vertical="center" indent="1"/>
    </xf>
    <xf numFmtId="0" fontId="24" fillId="6" borderId="0" xfId="0" applyFont="1" applyFill="1"/>
    <xf numFmtId="0" fontId="111" fillId="6" borderId="0" xfId="0" applyFont="1" applyFill="1"/>
    <xf numFmtId="0" fontId="112" fillId="12" borderId="4" xfId="35" applyFont="1" applyFill="1" applyBorder="1" applyAlignment="1">
      <alignment horizontal="left" vertical="center" indent="1"/>
    </xf>
    <xf numFmtId="0" fontId="113" fillId="0" borderId="0" xfId="0" applyFont="1"/>
    <xf numFmtId="173" fontId="115" fillId="6" borderId="0" xfId="35" applyNumberFormat="1" applyFont="1" applyFill="1" applyAlignment="1">
      <alignment horizontal="left"/>
    </xf>
    <xf numFmtId="173" fontId="47" fillId="6" borderId="0" xfId="0" applyNumberFormat="1" applyFont="1" applyFill="1" applyAlignment="1">
      <alignment horizontal="left"/>
    </xf>
    <xf numFmtId="0" fontId="57" fillId="6" borderId="0" xfId="15" applyFont="1" applyFill="1" applyAlignment="1">
      <alignment horizontal="left"/>
    </xf>
    <xf numFmtId="0" fontId="14" fillId="6" borderId="0" xfId="0" applyFont="1" applyFill="1" applyAlignment="1">
      <alignment horizontal="left"/>
    </xf>
    <xf numFmtId="167" fontId="46" fillId="6" borderId="0" xfId="11" applyNumberFormat="1" applyFont="1" applyFill="1" applyAlignment="1">
      <alignment horizontal="left"/>
    </xf>
    <xf numFmtId="0" fontId="0" fillId="0" borderId="0" xfId="0" applyAlignment="1">
      <alignment horizontal="center" vertical="center"/>
    </xf>
    <xf numFmtId="0" fontId="7" fillId="0" borderId="0" xfId="16" applyFont="1"/>
    <xf numFmtId="0" fontId="117" fillId="0" borderId="0" xfId="16" applyFont="1" applyAlignment="1">
      <alignment horizontal="center"/>
    </xf>
    <xf numFmtId="172" fontId="33" fillId="10" borderId="4" xfId="0" applyNumberFormat="1" applyFont="1" applyFill="1" applyBorder="1" applyAlignment="1">
      <alignment horizontal="center" vertical="center" shrinkToFit="1"/>
    </xf>
    <xf numFmtId="164" fontId="33" fillId="10" borderId="29" xfId="0" applyNumberFormat="1" applyFont="1" applyFill="1" applyBorder="1" applyAlignment="1">
      <alignment horizontal="center" vertical="center" shrinkToFit="1"/>
    </xf>
    <xf numFmtId="0" fontId="65" fillId="36" borderId="0" xfId="0" applyFont="1" applyFill="1" applyAlignment="1">
      <alignment horizontal="left" indent="1"/>
    </xf>
    <xf numFmtId="0" fontId="66" fillId="36" borderId="0" xfId="0" applyFont="1" applyFill="1" applyAlignment="1">
      <alignment horizontal="left" vertical="center" indent="2"/>
    </xf>
    <xf numFmtId="0" fontId="18" fillId="9" borderId="2" xfId="16" applyFont="1" applyFill="1" applyBorder="1" applyAlignment="1">
      <alignment vertical="center" shrinkToFit="1"/>
    </xf>
    <xf numFmtId="0" fontId="18" fillId="9" borderId="3" xfId="16" applyFont="1" applyFill="1" applyBorder="1" applyAlignment="1">
      <alignment vertical="center" shrinkToFit="1"/>
    </xf>
    <xf numFmtId="0" fontId="14" fillId="0" borderId="0" xfId="0" applyFont="1"/>
    <xf numFmtId="0" fontId="102" fillId="32" borderId="4" xfId="16" applyFont="1" applyFill="1" applyBorder="1" applyAlignment="1">
      <alignment horizontal="center" vertical="center" shrinkToFit="1"/>
    </xf>
    <xf numFmtId="0" fontId="7" fillId="0" borderId="0" xfId="16" applyFont="1" applyAlignment="1">
      <alignment horizontal="center"/>
    </xf>
    <xf numFmtId="0" fontId="19" fillId="18" borderId="6" xfId="16" applyFont="1" applyFill="1" applyBorder="1" applyAlignment="1">
      <alignment horizontal="left" vertical="center" indent="1" shrinkToFit="1"/>
    </xf>
    <xf numFmtId="167" fontId="19" fillId="4" borderId="4" xfId="18">
      <alignment horizontal="left" vertical="top" indent="1" shrinkToFit="1"/>
    </xf>
    <xf numFmtId="14" fontId="7" fillId="0" borderId="4" xfId="16" applyNumberFormat="1" applyFont="1" applyBorder="1" applyAlignment="1">
      <alignment horizontal="center"/>
    </xf>
    <xf numFmtId="0" fontId="19" fillId="18" borderId="4" xfId="16" applyFont="1" applyFill="1" applyBorder="1" applyAlignment="1">
      <alignment horizontal="left" vertical="center" indent="1" shrinkToFit="1"/>
    </xf>
    <xf numFmtId="0" fontId="19" fillId="18" borderId="4" xfId="16" applyFont="1" applyFill="1" applyBorder="1" applyAlignment="1">
      <alignment horizontal="center" vertical="center" shrinkToFit="1"/>
    </xf>
    <xf numFmtId="0" fontId="7" fillId="0" borderId="4" xfId="16" applyFont="1" applyBorder="1" applyAlignment="1">
      <alignment horizontal="center"/>
    </xf>
    <xf numFmtId="164" fontId="19" fillId="0" borderId="4" xfId="18" applyNumberFormat="1" applyFill="1" applyAlignment="1">
      <alignment horizontal="center" vertical="center" shrinkToFit="1"/>
    </xf>
    <xf numFmtId="14" fontId="19" fillId="0" borderId="0" xfId="18" applyNumberFormat="1" applyFill="1" applyBorder="1" applyAlignment="1">
      <alignment horizontal="left" vertical="center" indent="1" shrinkToFit="1"/>
    </xf>
    <xf numFmtId="167" fontId="19" fillId="4" borderId="4" xfId="18" applyAlignment="1">
      <alignment horizontal="left" vertical="center" indent="1" shrinkToFit="1"/>
    </xf>
    <xf numFmtId="0" fontId="14" fillId="0" borderId="4" xfId="0" applyFont="1" applyBorder="1"/>
    <xf numFmtId="167" fontId="64" fillId="17" borderId="4" xfId="17" applyFill="1" applyAlignment="1">
      <alignment horizontal="center" vertical="top" shrinkToFit="1"/>
    </xf>
    <xf numFmtId="175" fontId="64" fillId="17" borderId="4" xfId="17" applyNumberFormat="1" applyFill="1" applyAlignment="1">
      <alignment horizontal="center" vertical="top" shrinkToFit="1"/>
    </xf>
    <xf numFmtId="0" fontId="7" fillId="0" borderId="0" xfId="16" applyFont="1" applyAlignment="1">
      <alignment shrinkToFit="1"/>
    </xf>
    <xf numFmtId="14" fontId="19" fillId="0" borderId="0" xfId="18" applyNumberFormat="1" applyFill="1" applyBorder="1" applyAlignment="1">
      <alignment horizontal="center" vertical="center" shrinkToFit="1"/>
    </xf>
    <xf numFmtId="0" fontId="7" fillId="0" borderId="0" xfId="16" applyFont="1" applyAlignment="1">
      <alignment horizontal="left" indent="1"/>
    </xf>
    <xf numFmtId="1" fontId="19" fillId="0" borderId="4" xfId="18" applyNumberFormat="1" applyFill="1" applyAlignment="1">
      <alignment horizontal="center" vertical="center" shrinkToFit="1"/>
    </xf>
    <xf numFmtId="14" fontId="38" fillId="2" borderId="21" xfId="13" applyNumberFormat="1" applyFont="1" applyFill="1" applyBorder="1" applyAlignment="1">
      <alignment horizontal="center" vertical="center" shrinkToFit="1"/>
    </xf>
    <xf numFmtId="0" fontId="14" fillId="6" borderId="0" xfId="1" applyNumberFormat="1" applyFont="1" applyFill="1" applyAlignment="1" applyProtection="1">
      <alignment horizontal="center" vertical="center" shrinkToFit="1"/>
    </xf>
    <xf numFmtId="0" fontId="14" fillId="0" borderId="0" xfId="0" applyFont="1" applyAlignment="1">
      <alignment shrinkToFit="1"/>
    </xf>
    <xf numFmtId="167" fontId="86" fillId="8" borderId="0" xfId="0" applyNumberFormat="1" applyFont="1" applyFill="1" applyAlignment="1">
      <alignment horizontal="center" vertical="center"/>
    </xf>
    <xf numFmtId="167" fontId="7" fillId="2" borderId="21" xfId="13" applyNumberFormat="1" applyFont="1" applyFill="1" applyBorder="1" applyAlignment="1">
      <alignment horizontal="center" vertical="center" shrinkToFit="1"/>
    </xf>
    <xf numFmtId="0" fontId="10" fillId="6" borderId="0" xfId="24" applyFill="1" applyAlignment="1">
      <alignment horizontal="right" indent="1"/>
    </xf>
    <xf numFmtId="43" fontId="56" fillId="8" borderId="0" xfId="11" applyFont="1" applyFill="1" applyAlignment="1" applyProtection="1">
      <alignment horizontal="right" indent="1" shrinkToFit="1"/>
    </xf>
    <xf numFmtId="0" fontId="0" fillId="0" borderId="0" xfId="0" applyAlignment="1">
      <alignment horizontal="right" indent="1" shrinkToFit="1"/>
    </xf>
    <xf numFmtId="0" fontId="41" fillId="8" borderId="0" xfId="0" applyFont="1" applyFill="1" applyAlignment="1">
      <alignment horizontal="right" vertical="center" indent="1"/>
    </xf>
    <xf numFmtId="167" fontId="7" fillId="2" borderId="21" xfId="13" applyNumberFormat="1" applyFont="1" applyFill="1" applyBorder="1" applyAlignment="1">
      <alignment horizontal="right" vertical="center" shrinkToFit="1"/>
    </xf>
    <xf numFmtId="0" fontId="38" fillId="2" borderId="21" xfId="13" applyNumberFormat="1" applyFont="1" applyFill="1" applyBorder="1" applyAlignment="1">
      <alignment horizontal="center" vertical="center" shrinkToFit="1"/>
    </xf>
    <xf numFmtId="1" fontId="38" fillId="2" borderId="21" xfId="13" applyNumberFormat="1" applyFont="1" applyFill="1" applyBorder="1" applyAlignment="1">
      <alignment horizontal="center" vertical="center" shrinkToFit="1"/>
    </xf>
    <xf numFmtId="172" fontId="33" fillId="10" borderId="72" xfId="0" applyNumberFormat="1" applyFont="1" applyFill="1" applyBorder="1" applyAlignment="1">
      <alignment horizontal="center" vertical="center" shrinkToFit="1"/>
    </xf>
    <xf numFmtId="1" fontId="7" fillId="0" borderId="4" xfId="16" applyNumberFormat="1" applyFont="1" applyBorder="1" applyAlignment="1">
      <alignment horizontal="center"/>
    </xf>
    <xf numFmtId="167" fontId="7" fillId="0" borderId="0" xfId="13" applyNumberFormat="1" applyFont="1" applyFill="1" applyBorder="1" applyAlignment="1">
      <alignment horizontal="right" vertical="center" shrinkToFit="1"/>
    </xf>
    <xf numFmtId="167" fontId="7" fillId="12" borderId="21" xfId="13" applyNumberFormat="1" applyFont="1" applyFill="1" applyBorder="1" applyAlignment="1">
      <alignment horizontal="center" vertical="center" shrinkToFit="1"/>
    </xf>
    <xf numFmtId="167" fontId="14" fillId="0" borderId="0" xfId="0" applyNumberFormat="1" applyFont="1" applyAlignment="1">
      <alignment shrinkToFit="1"/>
    </xf>
    <xf numFmtId="167" fontId="7" fillId="38" borderId="21" xfId="13" applyNumberFormat="1" applyFont="1" applyFill="1" applyBorder="1" applyAlignment="1">
      <alignment horizontal="center" vertical="center" shrinkToFit="1"/>
    </xf>
    <xf numFmtId="0" fontId="15" fillId="21" borderId="73" xfId="0" applyFont="1" applyFill="1" applyBorder="1" applyAlignment="1">
      <alignment horizontal="centerContinuous" vertical="center"/>
    </xf>
    <xf numFmtId="0" fontId="15" fillId="21" borderId="74" xfId="0" applyFont="1" applyFill="1" applyBorder="1" applyAlignment="1">
      <alignment horizontal="centerContinuous" vertical="center"/>
    </xf>
    <xf numFmtId="0" fontId="15" fillId="21" borderId="1" xfId="0" applyFont="1" applyFill="1" applyBorder="1" applyAlignment="1">
      <alignment horizontal="centerContinuous" vertical="center"/>
    </xf>
    <xf numFmtId="0" fontId="15" fillId="21" borderId="2" xfId="0" applyFont="1" applyFill="1" applyBorder="1" applyAlignment="1">
      <alignment horizontal="centerContinuous" vertical="center"/>
    </xf>
    <xf numFmtId="0" fontId="16" fillId="21" borderId="8" xfId="0" applyFont="1" applyFill="1" applyBorder="1" applyAlignment="1">
      <alignment horizontal="center" vertical="center" shrinkToFit="1"/>
    </xf>
    <xf numFmtId="167" fontId="7" fillId="38" borderId="21" xfId="13" applyNumberFormat="1" applyFont="1" applyFill="1" applyBorder="1" applyAlignment="1">
      <alignment horizontal="right" vertical="center" shrinkToFit="1"/>
    </xf>
    <xf numFmtId="167" fontId="18" fillId="21" borderId="21" xfId="13" applyNumberFormat="1" applyFont="1" applyFill="1" applyBorder="1" applyAlignment="1">
      <alignment horizontal="center" vertical="center" wrapText="1" shrinkToFit="1"/>
    </xf>
    <xf numFmtId="167" fontId="40" fillId="0" borderId="0" xfId="0" applyNumberFormat="1" applyFont="1" applyAlignment="1">
      <alignment shrinkToFit="1"/>
    </xf>
    <xf numFmtId="167" fontId="7" fillId="38" borderId="22" xfId="13" applyNumberFormat="1" applyFont="1" applyFill="1" applyBorder="1" applyAlignment="1">
      <alignment horizontal="center" vertical="center" shrinkToFit="1"/>
    </xf>
    <xf numFmtId="177" fontId="0" fillId="0" borderId="0" xfId="0" applyNumberFormat="1"/>
    <xf numFmtId="167" fontId="38" fillId="2" borderId="0" xfId="13" applyNumberFormat="1" applyFont="1" applyFill="1" applyBorder="1" applyAlignment="1" applyProtection="1">
      <alignment horizontal="center" vertical="center" shrinkToFit="1"/>
      <protection locked="0"/>
    </xf>
    <xf numFmtId="167" fontId="80" fillId="12" borderId="21" xfId="1" applyNumberFormat="1" applyFont="1" applyFill="1" applyBorder="1" applyAlignment="1">
      <alignment horizontal="center" vertical="center" shrinkToFit="1"/>
    </xf>
    <xf numFmtId="184" fontId="80" fillId="12" borderId="21" xfId="1" applyNumberFormat="1" applyFont="1" applyFill="1" applyBorder="1" applyAlignment="1">
      <alignment horizontal="center" vertical="center" shrinkToFit="1"/>
    </xf>
    <xf numFmtId="167" fontId="45" fillId="12" borderId="21" xfId="1" applyNumberFormat="1" applyFont="1" applyFill="1" applyBorder="1" applyAlignment="1">
      <alignment horizontal="center" vertical="center" shrinkToFit="1"/>
    </xf>
    <xf numFmtId="184" fontId="45" fillId="12" borderId="21" xfId="1" applyNumberFormat="1" applyFont="1" applyFill="1" applyBorder="1" applyAlignment="1">
      <alignment horizontal="center" vertical="center" shrinkToFit="1"/>
    </xf>
    <xf numFmtId="167" fontId="80" fillId="12" borderId="16" xfId="1" applyNumberFormat="1" applyFont="1" applyFill="1" applyBorder="1" applyAlignment="1">
      <alignment horizontal="center" vertical="center" shrinkToFit="1"/>
    </xf>
    <xf numFmtId="184" fontId="80" fillId="12" borderId="16" xfId="1" applyNumberFormat="1" applyFont="1" applyFill="1" applyBorder="1" applyAlignment="1">
      <alignment horizontal="center" vertical="center" shrinkToFit="1"/>
    </xf>
    <xf numFmtId="167" fontId="45" fillId="12" borderId="16" xfId="1" applyNumberFormat="1" applyFont="1" applyFill="1" applyBorder="1" applyAlignment="1">
      <alignment horizontal="center" vertical="center" shrinkToFit="1"/>
    </xf>
    <xf numFmtId="184" fontId="45" fillId="12" borderId="16" xfId="1" applyNumberFormat="1" applyFont="1" applyFill="1" applyBorder="1" applyAlignment="1">
      <alignment horizontal="center" vertical="center" shrinkToFit="1"/>
    </xf>
    <xf numFmtId="167" fontId="42" fillId="39" borderId="76" xfId="1" applyNumberFormat="1" applyFont="1" applyFill="1" applyBorder="1" applyAlignment="1">
      <alignment horizontal="center" vertical="center" shrinkToFit="1"/>
    </xf>
    <xf numFmtId="184" fontId="42" fillId="39" borderId="76" xfId="1" applyNumberFormat="1" applyFont="1" applyFill="1" applyBorder="1" applyAlignment="1">
      <alignment horizontal="center" vertical="center" shrinkToFit="1"/>
    </xf>
    <xf numFmtId="184" fontId="45" fillId="39" borderId="76" xfId="1" applyNumberFormat="1" applyFont="1" applyFill="1" applyBorder="1" applyAlignment="1">
      <alignment horizontal="center" vertical="center" shrinkToFit="1"/>
    </xf>
    <xf numFmtId="167" fontId="87" fillId="4" borderId="6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4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9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0" xfId="13" applyNumberFormat="1" applyFont="1" applyFill="1" applyBorder="1" applyAlignment="1" applyProtection="1">
      <alignment horizontal="center" vertical="center" shrinkToFit="1"/>
      <protection locked="0"/>
    </xf>
    <xf numFmtId="167" fontId="121" fillId="0" borderId="3" xfId="0" applyNumberFormat="1" applyFont="1" applyBorder="1" applyAlignment="1">
      <alignment horizontal="center" vertical="center"/>
    </xf>
    <xf numFmtId="167" fontId="121" fillId="0" borderId="4" xfId="0" applyNumberFormat="1" applyFont="1" applyBorder="1" applyAlignment="1">
      <alignment horizontal="center" vertical="center"/>
    </xf>
    <xf numFmtId="167" fontId="80" fillId="0" borderId="4" xfId="0" applyNumberFormat="1" applyFont="1" applyBorder="1" applyAlignment="1">
      <alignment horizontal="center" vertical="center"/>
    </xf>
    <xf numFmtId="167" fontId="124" fillId="4" borderId="37" xfId="13" applyNumberFormat="1" applyFont="1" applyFill="1" applyBorder="1" applyAlignment="1" applyProtection="1">
      <alignment horizontal="left" vertical="center"/>
      <protection locked="0"/>
    </xf>
    <xf numFmtId="167" fontId="87" fillId="4" borderId="38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31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30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30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8" xfId="13" applyNumberFormat="1" applyFont="1" applyFill="1" applyBorder="1" applyAlignment="1" applyProtection="1">
      <alignment horizontal="left" vertical="center" indent="1"/>
      <protection locked="0"/>
    </xf>
    <xf numFmtId="167" fontId="87" fillId="4" borderId="24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7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6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37" xfId="13" applyNumberFormat="1" applyFont="1" applyFill="1" applyBorder="1" applyAlignment="1" applyProtection="1">
      <alignment horizontal="left" vertical="center" indent="1"/>
      <protection locked="0"/>
    </xf>
    <xf numFmtId="167" fontId="124" fillId="4" borderId="8" xfId="13" applyNumberFormat="1" applyFont="1" applyFill="1" applyBorder="1" applyAlignment="1" applyProtection="1">
      <alignment horizontal="left" vertical="center"/>
      <protection locked="0"/>
    </xf>
    <xf numFmtId="167" fontId="122" fillId="0" borderId="0" xfId="0" applyNumberFormat="1" applyFont="1"/>
    <xf numFmtId="0" fontId="17" fillId="15" borderId="1" xfId="0" applyFont="1" applyFill="1" applyBorder="1" applyAlignment="1">
      <alignment horizontal="left" vertical="center" indent="2"/>
    </xf>
    <xf numFmtId="0" fontId="112" fillId="22" borderId="4" xfId="35" applyFont="1" applyFill="1" applyBorder="1" applyAlignment="1">
      <alignment horizontal="left" vertical="center" indent="1"/>
    </xf>
    <xf numFmtId="167" fontId="101" fillId="7" borderId="1" xfId="0" applyNumberFormat="1" applyFont="1" applyFill="1" applyBorder="1" applyAlignment="1" applyProtection="1">
      <alignment horizontal="left" vertical="center" indent="2"/>
      <protection locked="0"/>
    </xf>
    <xf numFmtId="0" fontId="7" fillId="0" borderId="4" xfId="34" applyBorder="1" applyAlignment="1">
      <alignment horizontal="right"/>
    </xf>
    <xf numFmtId="0" fontId="73" fillId="40" borderId="1" xfId="3" applyFont="1" applyFill="1" applyBorder="1" applyAlignment="1">
      <alignment horizontal="left" vertical="center" indent="1"/>
    </xf>
    <xf numFmtId="0" fontId="70" fillId="20" borderId="2" xfId="34" applyFont="1" applyFill="1" applyBorder="1"/>
    <xf numFmtId="0" fontId="106" fillId="21" borderId="6" xfId="34" applyFont="1" applyFill="1" applyBorder="1" applyAlignment="1">
      <alignment horizontal="left" vertical="center" indent="1"/>
    </xf>
    <xf numFmtId="167" fontId="87" fillId="13" borderId="6" xfId="13" applyNumberFormat="1" applyFont="1" applyFill="1" applyBorder="1" applyAlignment="1" applyProtection="1">
      <alignment horizontal="left" vertical="center" indent="2" shrinkToFit="1"/>
      <protection locked="0"/>
    </xf>
    <xf numFmtId="0" fontId="7" fillId="6" borderId="0" xfId="34" applyFill="1" applyAlignment="1">
      <alignment horizontal="right"/>
    </xf>
    <xf numFmtId="0" fontId="26" fillId="8" borderId="0" xfId="34" applyFont="1" applyFill="1" applyAlignment="1">
      <alignment horizontal="right"/>
    </xf>
    <xf numFmtId="0" fontId="7" fillId="0" borderId="0" xfId="34" applyAlignment="1">
      <alignment horizontal="right"/>
    </xf>
    <xf numFmtId="0" fontId="73" fillId="40" borderId="2" xfId="3" applyFont="1" applyFill="1" applyBorder="1" applyAlignment="1">
      <alignment horizontal="right" vertical="center" indent="2"/>
    </xf>
    <xf numFmtId="194" fontId="126" fillId="40" borderId="2" xfId="3" applyNumberFormat="1" applyFont="1" applyFill="1" applyBorder="1" applyAlignment="1">
      <alignment horizontal="right" vertical="center"/>
    </xf>
    <xf numFmtId="174" fontId="127" fillId="40" borderId="2" xfId="3" applyNumberFormat="1" applyFont="1" applyFill="1" applyBorder="1" applyAlignment="1">
      <alignment horizontal="right" vertical="center" wrapText="1"/>
    </xf>
    <xf numFmtId="0" fontId="70" fillId="20" borderId="2" xfId="34" applyFont="1" applyFill="1" applyBorder="1" applyAlignment="1">
      <alignment horizontal="right"/>
    </xf>
    <xf numFmtId="167" fontId="87" fillId="4" borderId="6" xfId="13" applyNumberFormat="1" applyFont="1" applyFill="1" applyBorder="1" applyAlignment="1" applyProtection="1">
      <alignment horizontal="right" vertical="center" shrinkToFit="1"/>
      <protection locked="0"/>
    </xf>
    <xf numFmtId="0" fontId="125" fillId="28" borderId="1" xfId="3" applyFont="1" applyFill="1" applyBorder="1" applyAlignment="1">
      <alignment horizontal="left" vertical="center" indent="1"/>
    </xf>
    <xf numFmtId="167" fontId="107" fillId="41" borderId="6" xfId="13" applyNumberFormat="1" applyFont="1" applyFill="1" applyBorder="1" applyAlignment="1" applyProtection="1">
      <alignment horizontal="center" vertical="center" shrinkToFit="1"/>
      <protection locked="0"/>
    </xf>
    <xf numFmtId="167" fontId="27" fillId="4" borderId="6" xfId="13" applyNumberFormat="1" applyFont="1" applyFill="1" applyBorder="1" applyAlignment="1" applyProtection="1">
      <alignment horizontal="right" vertical="center" shrinkToFit="1"/>
      <protection locked="0"/>
    </xf>
    <xf numFmtId="0" fontId="54" fillId="41" borderId="16" xfId="0" applyFont="1" applyFill="1" applyBorder="1" applyAlignment="1">
      <alignment horizontal="center"/>
    </xf>
    <xf numFmtId="0" fontId="54" fillId="41" borderId="22" xfId="0" applyFont="1" applyFill="1" applyBorder="1" applyAlignment="1">
      <alignment horizontal="center" vertical="center"/>
    </xf>
    <xf numFmtId="167" fontId="39" fillId="13" borderId="43" xfId="11" applyNumberFormat="1" applyFont="1" applyFill="1" applyBorder="1" applyAlignment="1">
      <alignment horizontal="center" vertical="center" shrinkToFit="1"/>
    </xf>
    <xf numFmtId="167" fontId="39" fillId="13" borderId="52" xfId="11" applyNumberFormat="1" applyFont="1" applyFill="1" applyBorder="1" applyAlignment="1">
      <alignment horizontal="center" vertical="center" shrinkToFit="1"/>
    </xf>
    <xf numFmtId="0" fontId="54" fillId="37" borderId="16" xfId="0" applyFont="1" applyFill="1" applyBorder="1" applyAlignment="1">
      <alignment horizontal="center"/>
    </xf>
    <xf numFmtId="0" fontId="54" fillId="37" borderId="22" xfId="0" applyFont="1" applyFill="1" applyBorder="1" applyAlignment="1">
      <alignment horizontal="center" vertical="center"/>
    </xf>
    <xf numFmtId="0" fontId="101" fillId="0" borderId="0" xfId="0" applyFont="1" applyAlignment="1">
      <alignment horizontal="left" indent="2"/>
    </xf>
    <xf numFmtId="43" fontId="56" fillId="8" borderId="0" xfId="11" quotePrefix="1" applyFont="1" applyFill="1" applyAlignment="1" applyProtection="1"/>
    <xf numFmtId="172" fontId="33" fillId="10" borderId="21" xfId="0" applyNumberFormat="1" applyFont="1" applyFill="1" applyBorder="1" applyAlignment="1">
      <alignment horizontal="center" vertical="center" shrinkToFit="1"/>
    </xf>
    <xf numFmtId="164" fontId="33" fillId="10" borderId="21" xfId="0" applyNumberFormat="1" applyFont="1" applyFill="1" applyBorder="1" applyAlignment="1">
      <alignment horizontal="center" vertical="center" shrinkToFit="1"/>
    </xf>
    <xf numFmtId="0" fontId="16" fillId="21" borderId="21" xfId="0" applyFont="1" applyFill="1" applyBorder="1" applyAlignment="1">
      <alignment horizontal="center" vertical="center" shrinkToFit="1"/>
    </xf>
    <xf numFmtId="0" fontId="17" fillId="6" borderId="0" xfId="0" applyFont="1" applyFill="1" applyAlignment="1">
      <alignment horizontal="left" vertical="center" indent="1"/>
    </xf>
    <xf numFmtId="0" fontId="129" fillId="0" borderId="0" xfId="0" applyFont="1"/>
    <xf numFmtId="172" fontId="32" fillId="10" borderId="10" xfId="0" applyNumberFormat="1" applyFont="1" applyFill="1" applyBorder="1" applyAlignment="1">
      <alignment horizontal="centerContinuous" vertical="center" shrinkToFit="1"/>
    </xf>
    <xf numFmtId="172" fontId="32" fillId="10" borderId="12" xfId="0" applyNumberFormat="1" applyFont="1" applyFill="1" applyBorder="1" applyAlignment="1">
      <alignment horizontal="centerContinuous" vertical="center" shrinkToFit="1"/>
    </xf>
    <xf numFmtId="0" fontId="32" fillId="21" borderId="10" xfId="0" applyFont="1" applyFill="1" applyBorder="1" applyAlignment="1">
      <alignment horizontal="center" shrinkToFit="1"/>
    </xf>
    <xf numFmtId="172" fontId="32" fillId="10" borderId="4" xfId="0" applyNumberFormat="1" applyFont="1" applyFill="1" applyBorder="1" applyAlignment="1">
      <alignment horizontal="centerContinuous" vertical="center"/>
    </xf>
    <xf numFmtId="0" fontId="129" fillId="0" borderId="0" xfId="0" applyFont="1" applyAlignment="1">
      <alignment shrinkToFit="1"/>
    </xf>
    <xf numFmtId="172" fontId="32" fillId="10" borderId="1" xfId="0" applyNumberFormat="1" applyFont="1" applyFill="1" applyBorder="1" applyAlignment="1">
      <alignment horizontal="centerContinuous" vertical="center" shrinkToFit="1"/>
    </xf>
    <xf numFmtId="172" fontId="32" fillId="10" borderId="3" xfId="0" applyNumberFormat="1" applyFont="1" applyFill="1" applyBorder="1" applyAlignment="1">
      <alignment horizontal="centerContinuous" vertical="center" shrinkToFit="1"/>
    </xf>
    <xf numFmtId="0" fontId="32" fillId="21" borderId="4" xfId="0" applyFont="1" applyFill="1" applyBorder="1" applyAlignment="1">
      <alignment horizontal="centerContinuous"/>
    </xf>
    <xf numFmtId="0" fontId="32" fillId="21" borderId="1" xfId="0" applyFont="1" applyFill="1" applyBorder="1" applyAlignment="1">
      <alignment horizontal="centerContinuous" vertical="center" shrinkToFit="1"/>
    </xf>
    <xf numFmtId="0" fontId="32" fillId="21" borderId="3" xfId="0" applyFont="1" applyFill="1" applyBorder="1" applyAlignment="1">
      <alignment horizontal="centerContinuous" vertical="center" shrinkToFit="1"/>
    </xf>
    <xf numFmtId="164" fontId="35" fillId="10" borderId="21" xfId="0" applyNumberFormat="1" applyFont="1" applyFill="1" applyBorder="1" applyAlignment="1">
      <alignment horizontal="center" vertical="center" shrinkToFit="1"/>
    </xf>
    <xf numFmtId="0" fontId="35" fillId="21" borderId="21" xfId="0" applyFont="1" applyFill="1" applyBorder="1" applyAlignment="1">
      <alignment horizontal="center" vertical="center" shrinkToFit="1"/>
    </xf>
    <xf numFmtId="1" fontId="0" fillId="0" borderId="0" xfId="0" applyNumberFormat="1" applyAlignment="1">
      <alignment horizontal="center"/>
    </xf>
    <xf numFmtId="0" fontId="125" fillId="21" borderId="18" xfId="0" applyFont="1" applyFill="1" applyBorder="1" applyAlignment="1">
      <alignment horizontal="centerContinuous" vertical="center"/>
    </xf>
    <xf numFmtId="0" fontId="106" fillId="8" borderId="0" xfId="16" applyFont="1" applyFill="1"/>
    <xf numFmtId="0" fontId="32" fillId="9" borderId="2" xfId="0" applyFont="1" applyFill="1" applyBorder="1" applyAlignment="1">
      <alignment horizontal="centerContinuous" vertical="center"/>
    </xf>
    <xf numFmtId="0" fontId="122" fillId="21" borderId="10" xfId="0" applyFont="1" applyFill="1" applyBorder="1" applyAlignment="1">
      <alignment horizontal="center" wrapText="1"/>
    </xf>
    <xf numFmtId="0" fontId="122" fillId="21" borderId="8" xfId="0" applyFont="1" applyFill="1" applyBorder="1" applyAlignment="1">
      <alignment horizontal="center" vertical="center" wrapText="1"/>
    </xf>
    <xf numFmtId="177" fontId="72" fillId="4" borderId="4" xfId="16" applyNumberFormat="1" applyFont="1" applyFill="1" applyBorder="1" applyAlignment="1" applyProtection="1">
      <alignment horizontal="center" vertical="center"/>
      <protection locked="0"/>
    </xf>
    <xf numFmtId="177" fontId="72" fillId="4" borderId="6" xfId="16" applyNumberFormat="1" applyFont="1" applyFill="1" applyBorder="1" applyAlignment="1" applyProtection="1">
      <alignment horizontal="center" vertical="center"/>
      <protection locked="0"/>
    </xf>
    <xf numFmtId="0" fontId="87" fillId="0" borderId="0" xfId="16" applyFont="1"/>
    <xf numFmtId="195" fontId="72" fillId="4" borderId="6" xfId="16" applyNumberFormat="1" applyFont="1" applyFill="1" applyBorder="1" applyAlignment="1" applyProtection="1">
      <alignment horizontal="center" vertical="center"/>
      <protection locked="0"/>
    </xf>
    <xf numFmtId="195" fontId="72" fillId="4" borderId="4" xfId="16" applyNumberFormat="1" applyFont="1" applyFill="1" applyBorder="1" applyAlignment="1" applyProtection="1">
      <alignment horizontal="center" vertical="center"/>
      <protection locked="0"/>
    </xf>
    <xf numFmtId="177" fontId="122" fillId="21" borderId="4" xfId="16" applyNumberFormat="1" applyFont="1" applyFill="1" applyBorder="1" applyAlignment="1" applyProtection="1">
      <alignment horizontal="center" vertical="center"/>
      <protection locked="0"/>
    </xf>
    <xf numFmtId="0" fontId="72" fillId="6" borderId="0" xfId="0" applyFont="1" applyFill="1"/>
    <xf numFmtId="0" fontId="72" fillId="6" borderId="0" xfId="0" applyFont="1" applyFill="1" applyAlignment="1">
      <alignment horizontal="left" indent="1"/>
    </xf>
    <xf numFmtId="0" fontId="132" fillId="8" borderId="0" xfId="0" applyFont="1" applyFill="1" applyAlignment="1">
      <alignment horizontal="left" indent="1"/>
    </xf>
    <xf numFmtId="0" fontId="72" fillId="0" borderId="0" xfId="0" applyFont="1" applyAlignment="1">
      <alignment horizontal="left" indent="1"/>
    </xf>
    <xf numFmtId="0" fontId="131" fillId="0" borderId="0" xfId="0" applyFont="1"/>
    <xf numFmtId="172" fontId="134" fillId="12" borderId="21" xfId="13" applyNumberFormat="1" applyFont="1" applyFill="1" applyBorder="1" applyAlignment="1">
      <alignment horizontal="center" vertical="center" shrinkToFit="1"/>
    </xf>
    <xf numFmtId="172" fontId="134" fillId="12" borderId="48" xfId="13" applyNumberFormat="1" applyFont="1" applyFill="1" applyBorder="1" applyAlignment="1">
      <alignment horizontal="center" vertical="center" shrinkToFit="1"/>
    </xf>
    <xf numFmtId="172" fontId="134" fillId="12" borderId="80" xfId="13" applyNumberFormat="1" applyFont="1" applyFill="1" applyBorder="1" applyAlignment="1">
      <alignment horizontal="center" vertical="center" shrinkToFit="1"/>
    </xf>
    <xf numFmtId="0" fontId="135" fillId="0" borderId="0" xfId="35" applyFont="1"/>
    <xf numFmtId="0" fontId="92" fillId="24" borderId="17" xfId="13" applyNumberFormat="1" applyFont="1" applyFill="1" applyBorder="1" applyAlignment="1" applyProtection="1">
      <alignment horizontal="left" vertical="center" indent="1" shrinkToFit="1"/>
      <protection locked="0"/>
    </xf>
    <xf numFmtId="172" fontId="134" fillId="12" borderId="80" xfId="13" applyNumberFormat="1" applyFont="1" applyFill="1" applyBorder="1" applyAlignment="1" applyProtection="1">
      <alignment horizontal="center" vertical="center" shrinkToFit="1"/>
      <protection locked="0"/>
    </xf>
    <xf numFmtId="0" fontId="129" fillId="4" borderId="81" xfId="0" applyFont="1" applyFill="1" applyBorder="1" applyAlignment="1">
      <alignment horizontal="right" vertical="center"/>
    </xf>
    <xf numFmtId="167" fontId="136" fillId="38" borderId="21" xfId="13" applyNumberFormat="1" applyFont="1" applyFill="1" applyBorder="1" applyAlignment="1">
      <alignment horizontal="center" vertical="center" shrinkToFit="1"/>
    </xf>
    <xf numFmtId="0" fontId="15" fillId="21" borderId="8" xfId="0" applyFont="1" applyFill="1" applyBorder="1" applyAlignment="1">
      <alignment horizontal="center" vertical="center" wrapText="1"/>
    </xf>
    <xf numFmtId="0" fontId="85" fillId="0" borderId="0" xfId="0" applyFont="1" applyAlignment="1">
      <alignment shrinkToFit="1"/>
    </xf>
    <xf numFmtId="0" fontId="85" fillId="0" borderId="0" xfId="0" applyFont="1"/>
    <xf numFmtId="0" fontId="91" fillId="0" borderId="0" xfId="0" applyFont="1" applyAlignment="1">
      <alignment horizontal="left" vertical="center" indent="1"/>
    </xf>
    <xf numFmtId="0" fontId="91" fillId="0" borderId="23" xfId="0" applyFont="1" applyBorder="1" applyAlignment="1">
      <alignment horizontal="left" vertical="center" indent="1"/>
    </xf>
    <xf numFmtId="167" fontId="7" fillId="12" borderId="21" xfId="13" applyNumberFormat="1" applyFont="1" applyFill="1" applyBorder="1" applyAlignment="1">
      <alignment horizontal="right" vertical="center" shrinkToFit="1"/>
    </xf>
    <xf numFmtId="167" fontId="40" fillId="7" borderId="21" xfId="0" applyNumberFormat="1" applyFont="1" applyFill="1" applyBorder="1" applyAlignment="1">
      <alignment shrinkToFit="1"/>
    </xf>
    <xf numFmtId="167" fontId="86" fillId="8" borderId="14" xfId="0" applyNumberFormat="1" applyFont="1" applyFill="1" applyBorder="1" applyAlignment="1">
      <alignment horizontal="center" vertical="center"/>
    </xf>
    <xf numFmtId="0" fontId="16" fillId="21" borderId="16" xfId="0" applyFont="1" applyFill="1" applyBorder="1" applyAlignment="1">
      <alignment horizontal="center" wrapText="1"/>
    </xf>
    <xf numFmtId="0" fontId="15" fillId="21" borderId="16" xfId="0" applyFont="1" applyFill="1" applyBorder="1" applyAlignment="1">
      <alignment horizontal="center" wrapText="1"/>
    </xf>
    <xf numFmtId="0" fontId="16" fillId="21" borderId="22" xfId="0" applyFont="1" applyFill="1" applyBorder="1" applyAlignment="1">
      <alignment horizontal="center" vertical="center" wrapText="1"/>
    </xf>
    <xf numFmtId="0" fontId="15" fillId="21" borderId="22" xfId="0" applyFont="1" applyFill="1" applyBorder="1" applyAlignment="1">
      <alignment horizontal="center" vertical="center" wrapText="1"/>
    </xf>
    <xf numFmtId="0" fontId="15" fillId="21" borderId="82" xfId="0" applyFont="1" applyFill="1" applyBorder="1" applyAlignment="1">
      <alignment horizontal="centerContinuous" vertical="center"/>
    </xf>
    <xf numFmtId="0" fontId="15" fillId="21" borderId="0" xfId="0" applyFont="1" applyFill="1" applyAlignment="1">
      <alignment horizontal="centerContinuous" vertical="center"/>
    </xf>
    <xf numFmtId="196" fontId="16" fillId="21" borderId="21" xfId="0" applyNumberFormat="1" applyFont="1" applyFill="1" applyBorder="1" applyAlignment="1">
      <alignment horizontal="center" vertical="center" wrapText="1"/>
    </xf>
    <xf numFmtId="196" fontId="16" fillId="21" borderId="21" xfId="0" applyNumberFormat="1" applyFont="1" applyFill="1" applyBorder="1" applyAlignment="1">
      <alignment horizontal="center" vertical="center" shrinkToFit="1"/>
    </xf>
    <xf numFmtId="196" fontId="139" fillId="20" borderId="21" xfId="0" applyNumberFormat="1" applyFont="1" applyFill="1" applyBorder="1" applyAlignment="1">
      <alignment horizontal="center" vertical="center" wrapText="1"/>
    </xf>
    <xf numFmtId="0" fontId="87" fillId="6" borderId="0" xfId="24" applyFont="1" applyFill="1"/>
    <xf numFmtId="167" fontId="87" fillId="6" borderId="0" xfId="24" applyNumberFormat="1" applyFont="1" applyFill="1" applyAlignment="1">
      <alignment horizontal="center"/>
    </xf>
    <xf numFmtId="43" fontId="133" fillId="8" borderId="0" xfId="11" applyFont="1" applyFill="1" applyAlignment="1" applyProtection="1">
      <alignment horizontal="right" shrinkToFit="1"/>
    </xf>
    <xf numFmtId="0" fontId="132" fillId="8" borderId="0" xfId="0" applyFont="1" applyFill="1" applyAlignment="1">
      <alignment horizontal="center"/>
    </xf>
    <xf numFmtId="0" fontId="132" fillId="8" borderId="0" xfId="0" applyFont="1" applyFill="1"/>
    <xf numFmtId="0" fontId="90" fillId="8" borderId="0" xfId="0" applyFont="1" applyFill="1" applyAlignment="1">
      <alignment vertical="center"/>
    </xf>
    <xf numFmtId="0" fontId="17" fillId="8" borderId="0" xfId="0" applyFont="1" applyFill="1"/>
    <xf numFmtId="0" fontId="17" fillId="8" borderId="0" xfId="0" applyFont="1" applyFill="1" applyAlignment="1">
      <alignment shrinkToFit="1"/>
    </xf>
    <xf numFmtId="0" fontId="17" fillId="8" borderId="0" xfId="0" applyFont="1" applyFill="1" applyAlignment="1">
      <alignment horizontal="left" shrinkToFit="1"/>
    </xf>
    <xf numFmtId="0" fontId="90" fillId="8" borderId="0" xfId="0" applyFont="1" applyFill="1" applyAlignment="1">
      <alignment horizontal="center" vertical="center"/>
    </xf>
    <xf numFmtId="0" fontId="94" fillId="8" borderId="0" xfId="0" applyFont="1" applyFill="1" applyAlignment="1">
      <alignment vertical="center"/>
    </xf>
    <xf numFmtId="0" fontId="17" fillId="8" borderId="0" xfId="0" applyFont="1" applyFill="1" applyAlignment="1">
      <alignment vertical="center"/>
    </xf>
    <xf numFmtId="0" fontId="17" fillId="8" borderId="0" xfId="0" applyFont="1" applyFill="1" applyAlignment="1">
      <alignment vertical="center" shrinkToFit="1"/>
    </xf>
    <xf numFmtId="0" fontId="17" fillId="8" borderId="0" xfId="0" applyFont="1" applyFill="1" applyAlignment="1">
      <alignment horizontal="left" vertical="center" shrinkToFit="1"/>
    </xf>
    <xf numFmtId="0" fontId="106" fillId="8" borderId="0" xfId="22" applyFont="1" applyFill="1" applyAlignment="1">
      <alignment horizontal="center"/>
    </xf>
    <xf numFmtId="0" fontId="106" fillId="8" borderId="0" xfId="22" applyFont="1" applyFill="1"/>
    <xf numFmtId="0" fontId="106" fillId="8" borderId="0" xfId="22" applyFont="1" applyFill="1" applyAlignment="1">
      <alignment shrinkToFit="1"/>
    </xf>
    <xf numFmtId="0" fontId="106" fillId="8" borderId="0" xfId="24" applyFont="1" applyFill="1" applyAlignment="1">
      <alignment horizontal="center"/>
    </xf>
    <xf numFmtId="0" fontId="106" fillId="8" borderId="0" xfId="24" applyFont="1" applyFill="1"/>
    <xf numFmtId="0" fontId="72" fillId="0" borderId="0" xfId="0" applyFont="1" applyAlignment="1">
      <alignment shrinkToFit="1"/>
    </xf>
    <xf numFmtId="0" fontId="87" fillId="0" borderId="0" xfId="24" applyFont="1" applyAlignment="1">
      <alignment horizontal="center"/>
    </xf>
    <xf numFmtId="0" fontId="125" fillId="10" borderId="16" xfId="0" applyFont="1" applyFill="1" applyBorder="1" applyAlignment="1">
      <alignment horizontal="center"/>
    </xf>
    <xf numFmtId="0" fontId="131" fillId="12" borderId="49" xfId="15" applyFont="1" applyFill="1" applyBorder="1" applyAlignment="1">
      <alignment horizontal="left" vertical="center" indent="2"/>
    </xf>
    <xf numFmtId="0" fontId="131" fillId="12" borderId="50" xfId="15" applyFont="1" applyFill="1" applyBorder="1" applyAlignment="1">
      <alignment horizontal="left" vertical="center" indent="3"/>
    </xf>
    <xf numFmtId="176" fontId="131" fillId="12" borderId="52" xfId="11" applyNumberFormat="1" applyFont="1" applyFill="1" applyBorder="1" applyAlignment="1">
      <alignment horizontal="center" vertical="center"/>
    </xf>
    <xf numFmtId="167" fontId="140" fillId="4" borderId="51" xfId="13" applyNumberFormat="1" applyFont="1" applyFill="1" applyBorder="1" applyAlignment="1" applyProtection="1">
      <alignment horizontal="center" vertical="center" shrinkToFit="1"/>
      <protection locked="0"/>
    </xf>
    <xf numFmtId="0" fontId="125" fillId="10" borderId="22" xfId="0" applyFont="1" applyFill="1" applyBorder="1" applyAlignment="1">
      <alignment horizontal="center" vertical="center"/>
    </xf>
    <xf numFmtId="0" fontId="125" fillId="10" borderId="21" xfId="0" applyFont="1" applyFill="1" applyBorder="1" applyAlignment="1">
      <alignment horizontal="center" vertical="center"/>
    </xf>
    <xf numFmtId="0" fontId="141" fillId="0" borderId="0" xfId="0" applyFont="1"/>
    <xf numFmtId="0" fontId="131" fillId="12" borderId="41" xfId="15" applyFont="1" applyFill="1" applyBorder="1" applyAlignment="1">
      <alignment horizontal="left" vertical="center" indent="3"/>
    </xf>
    <xf numFmtId="0" fontId="131" fillId="12" borderId="42" xfId="15" applyFont="1" applyFill="1" applyBorder="1" applyAlignment="1">
      <alignment horizontal="left" vertical="center" indent="4"/>
    </xf>
    <xf numFmtId="1" fontId="131" fillId="12" borderId="43" xfId="11" applyNumberFormat="1" applyFont="1" applyFill="1" applyBorder="1" applyAlignment="1">
      <alignment horizontal="center" vertical="center" shrinkToFit="1"/>
    </xf>
    <xf numFmtId="192" fontId="131" fillId="12" borderId="43" xfId="11" applyNumberFormat="1" applyFont="1" applyFill="1" applyBorder="1" applyAlignment="1">
      <alignment horizontal="center" vertical="center" shrinkToFit="1"/>
    </xf>
    <xf numFmtId="0" fontId="94" fillId="23" borderId="41" xfId="3" applyFont="1" applyFill="1" applyBorder="1" applyAlignment="1">
      <alignment horizontal="left" vertical="center" indent="1"/>
    </xf>
    <xf numFmtId="0" fontId="94" fillId="23" borderId="42" xfId="3" applyFont="1" applyFill="1" applyBorder="1" applyAlignment="1">
      <alignment horizontal="left" vertical="center" indent="2"/>
    </xf>
    <xf numFmtId="194" fontId="143" fillId="23" borderId="21" xfId="3" applyNumberFormat="1" applyFont="1" applyFill="1" applyBorder="1" applyAlignment="1">
      <alignment horizontal="center" vertical="center"/>
    </xf>
    <xf numFmtId="191" fontId="131" fillId="12" borderId="43" xfId="11" applyNumberFormat="1" applyFont="1" applyFill="1" applyBorder="1" applyAlignment="1">
      <alignment horizontal="center" vertical="center" shrinkToFit="1"/>
    </xf>
    <xf numFmtId="0" fontId="131" fillId="12" borderId="41" xfId="15" applyFont="1" applyFill="1" applyBorder="1" applyAlignment="1">
      <alignment horizontal="left" vertical="center" indent="2"/>
    </xf>
    <xf numFmtId="0" fontId="131" fillId="12" borderId="42" xfId="15" applyFont="1" applyFill="1" applyBorder="1" applyAlignment="1">
      <alignment horizontal="left" vertical="center" indent="3"/>
    </xf>
    <xf numFmtId="167" fontId="144" fillId="4" borderId="52" xfId="13" applyNumberFormat="1" applyFont="1" applyFill="1" applyBorder="1" applyAlignment="1" applyProtection="1">
      <alignment horizontal="center" vertical="center" shrinkToFit="1"/>
      <protection locked="0"/>
    </xf>
    <xf numFmtId="0" fontId="141" fillId="0" borderId="0" xfId="0" applyFont="1" applyAlignment="1">
      <alignment vertical="center"/>
    </xf>
    <xf numFmtId="0" fontId="131" fillId="12" borderId="45" xfId="15" applyFont="1" applyFill="1" applyBorder="1" applyAlignment="1">
      <alignment horizontal="left" vertical="center" indent="2"/>
    </xf>
    <xf numFmtId="0" fontId="131" fillId="12" borderId="53" xfId="15" applyFont="1" applyFill="1" applyBorder="1" applyAlignment="1">
      <alignment horizontal="left" vertical="center" indent="3"/>
    </xf>
    <xf numFmtId="167" fontId="131" fillId="12" borderId="44" xfId="11" applyNumberFormat="1" applyFont="1" applyFill="1" applyBorder="1" applyAlignment="1">
      <alignment horizontal="center" vertical="center"/>
    </xf>
    <xf numFmtId="0" fontId="145" fillId="12" borderId="47" xfId="15" applyFont="1" applyFill="1" applyBorder="1" applyAlignment="1">
      <alignment horizontal="left" vertical="center" indent="2"/>
    </xf>
    <xf numFmtId="0" fontId="145" fillId="12" borderId="0" xfId="15" applyFont="1" applyFill="1" applyAlignment="1">
      <alignment horizontal="left" vertical="center" indent="3"/>
    </xf>
    <xf numFmtId="1" fontId="131" fillId="12" borderId="59" xfId="11" applyNumberFormat="1" applyFont="1" applyFill="1" applyBorder="1" applyAlignment="1">
      <alignment horizontal="center" vertical="center" shrinkToFit="1"/>
    </xf>
    <xf numFmtId="192" fontId="131" fillId="12" borderId="59" xfId="11" applyNumberFormat="1" applyFont="1" applyFill="1" applyBorder="1" applyAlignment="1">
      <alignment horizontal="center" vertical="center" shrinkToFit="1"/>
    </xf>
    <xf numFmtId="191" fontId="131" fillId="12" borderId="59" xfId="11" applyNumberFormat="1" applyFont="1" applyFill="1" applyBorder="1" applyAlignment="1">
      <alignment horizontal="center" vertical="center" shrinkToFit="1"/>
    </xf>
    <xf numFmtId="0" fontId="145" fillId="12" borderId="41" xfId="15" applyFont="1" applyFill="1" applyBorder="1" applyAlignment="1">
      <alignment horizontal="left" vertical="center" indent="3"/>
    </xf>
    <xf numFmtId="0" fontId="145" fillId="12" borderId="42" xfId="15" applyFont="1" applyFill="1" applyBorder="1" applyAlignment="1">
      <alignment horizontal="left" vertical="center" indent="4"/>
    </xf>
    <xf numFmtId="167" fontId="131" fillId="35" borderId="52" xfId="11" applyNumberFormat="1" applyFont="1" applyFill="1" applyBorder="1" applyAlignment="1">
      <alignment horizontal="center" vertical="center" shrinkToFit="1"/>
    </xf>
    <xf numFmtId="0" fontId="148" fillId="0" borderId="0" xfId="0" applyFont="1"/>
    <xf numFmtId="0" fontId="148" fillId="0" borderId="0" xfId="0" applyFont="1" applyAlignment="1">
      <alignment vertical="center"/>
    </xf>
    <xf numFmtId="196" fontId="78" fillId="6" borderId="0" xfId="0" applyNumberFormat="1" applyFont="1" applyFill="1" applyAlignment="1">
      <alignment horizontal="left"/>
    </xf>
    <xf numFmtId="196" fontId="67" fillId="6" borderId="0" xfId="0" applyNumberFormat="1" applyFont="1" applyFill="1"/>
    <xf numFmtId="177" fontId="131" fillId="12" borderId="43" xfId="11" applyNumberFormat="1" applyFont="1" applyFill="1" applyBorder="1" applyAlignment="1">
      <alignment horizontal="center" vertical="center" shrinkToFit="1"/>
    </xf>
    <xf numFmtId="177" fontId="142" fillId="25" borderId="52" xfId="11" applyNumberFormat="1" applyFont="1" applyFill="1" applyBorder="1" applyAlignment="1">
      <alignment horizontal="center" vertical="center" shrinkToFit="1"/>
    </xf>
    <xf numFmtId="177" fontId="131" fillId="12" borderId="52" xfId="11" applyNumberFormat="1" applyFont="1" applyFill="1" applyBorder="1" applyAlignment="1">
      <alignment horizontal="center" vertical="center" shrinkToFit="1"/>
    </xf>
    <xf numFmtId="177" fontId="131" fillId="12" borderId="77" xfId="11" applyNumberFormat="1" applyFont="1" applyFill="1" applyBorder="1" applyAlignment="1">
      <alignment horizontal="center" vertical="center" shrinkToFit="1"/>
    </xf>
    <xf numFmtId="177" fontId="131" fillId="12" borderId="59" xfId="11" applyNumberFormat="1" applyFont="1" applyFill="1" applyBorder="1" applyAlignment="1">
      <alignment horizontal="center" vertical="center" shrinkToFit="1"/>
    </xf>
    <xf numFmtId="177" fontId="142" fillId="25" borderId="59" xfId="11" applyNumberFormat="1" applyFont="1" applyFill="1" applyBorder="1" applyAlignment="1">
      <alignment horizontal="center" vertical="center" shrinkToFit="1"/>
    </xf>
    <xf numFmtId="167" fontId="101" fillId="0" borderId="0" xfId="13" applyNumberFormat="1" applyFont="1" applyFill="1" applyBorder="1" applyAlignment="1">
      <alignment horizontal="left" vertical="center" indent="1" shrinkToFit="1"/>
    </xf>
    <xf numFmtId="167" fontId="120" fillId="0" borderId="0" xfId="13" applyNumberFormat="1" applyFont="1" applyFill="1" applyBorder="1" applyAlignment="1">
      <alignment horizontal="left" shrinkToFit="1"/>
    </xf>
    <xf numFmtId="0" fontId="7" fillId="0" borderId="4" xfId="34" applyBorder="1" applyAlignment="1">
      <alignment horizontal="left" indent="1"/>
    </xf>
    <xf numFmtId="0" fontId="101" fillId="0" borderId="4" xfId="34" applyFont="1" applyBorder="1"/>
    <xf numFmtId="177" fontId="128" fillId="0" borderId="4" xfId="16" applyNumberFormat="1" applyFont="1" applyBorder="1" applyAlignment="1" applyProtection="1">
      <alignment horizontal="center" vertical="center"/>
      <protection locked="0"/>
    </xf>
    <xf numFmtId="177" fontId="101" fillId="0" borderId="4" xfId="16" applyNumberFormat="1" applyFont="1" applyBorder="1" applyAlignment="1" applyProtection="1">
      <alignment horizontal="center" vertical="center"/>
      <protection locked="0"/>
    </xf>
    <xf numFmtId="177" fontId="119" fillId="0" borderId="4" xfId="16" applyNumberFormat="1" applyFont="1" applyBorder="1" applyAlignment="1" applyProtection="1">
      <alignment horizontal="right" vertical="center"/>
      <protection locked="0"/>
    </xf>
    <xf numFmtId="0" fontId="119" fillId="0" borderId="4" xfId="34" applyFont="1" applyBorder="1"/>
    <xf numFmtId="0" fontId="101" fillId="0" borderId="4" xfId="34" applyFont="1" applyBorder="1" applyAlignment="1">
      <alignment horizontal="center"/>
    </xf>
    <xf numFmtId="0" fontId="101" fillId="0" borderId="4" xfId="34" applyFont="1" applyBorder="1" applyAlignment="1">
      <alignment horizontal="left" indent="1"/>
    </xf>
    <xf numFmtId="177" fontId="101" fillId="0" borderId="4" xfId="16" applyNumberFormat="1" applyFont="1" applyBorder="1" applyAlignment="1" applyProtection="1">
      <alignment horizontal="right" vertical="center"/>
      <protection locked="0"/>
    </xf>
    <xf numFmtId="177" fontId="101" fillId="0" borderId="83" xfId="16" applyNumberFormat="1" applyFont="1" applyBorder="1" applyAlignment="1" applyProtection="1">
      <alignment horizontal="right" vertical="center"/>
      <protection locked="0"/>
    </xf>
    <xf numFmtId="0" fontId="101" fillId="0" borderId="4" xfId="34" applyFont="1" applyBorder="1" applyAlignment="1">
      <alignment horizontal="left"/>
    </xf>
    <xf numFmtId="177" fontId="101" fillId="0" borderId="4" xfId="16" applyNumberFormat="1" applyFont="1" applyBorder="1" applyAlignment="1" applyProtection="1">
      <alignment horizontal="right"/>
      <protection locked="0"/>
    </xf>
    <xf numFmtId="177" fontId="101" fillId="0" borderId="6" xfId="16" applyNumberFormat="1" applyFont="1" applyBorder="1" applyAlignment="1" applyProtection="1">
      <alignment horizontal="right" vertical="center"/>
      <protection locked="0"/>
    </xf>
    <xf numFmtId="0" fontId="97" fillId="0" borderId="4" xfId="34" applyFont="1" applyBorder="1"/>
    <xf numFmtId="0" fontId="97" fillId="0" borderId="4" xfId="34" applyFont="1" applyBorder="1" applyAlignment="1">
      <alignment horizontal="left" indent="1"/>
    </xf>
    <xf numFmtId="177" fontId="97" fillId="0" borderId="4" xfId="16" applyNumberFormat="1" applyFont="1" applyBorder="1" applyAlignment="1" applyProtection="1">
      <alignment horizontal="right"/>
      <protection locked="0"/>
    </xf>
    <xf numFmtId="0" fontId="118" fillId="9" borderId="2" xfId="0" applyFont="1" applyFill="1" applyBorder="1" applyAlignment="1">
      <alignment horizontal="center" vertical="center"/>
    </xf>
    <xf numFmtId="177" fontId="101" fillId="0" borderId="4" xfId="16" applyNumberFormat="1" applyFont="1" applyBorder="1" applyAlignment="1" applyProtection="1">
      <alignment horizontal="left" vertical="center" indent="1"/>
      <protection locked="0"/>
    </xf>
    <xf numFmtId="177" fontId="101" fillId="0" borderId="4" xfId="34" applyNumberFormat="1" applyFont="1" applyBorder="1" applyAlignment="1">
      <alignment horizontal="left" indent="1"/>
    </xf>
    <xf numFmtId="0" fontId="101" fillId="0" borderId="6" xfId="34" applyFont="1" applyBorder="1" applyAlignment="1">
      <alignment horizontal="left" indent="1"/>
    </xf>
    <xf numFmtId="177" fontId="101" fillId="0" borderId="6" xfId="16" applyNumberFormat="1" applyFont="1" applyBorder="1" applyAlignment="1" applyProtection="1">
      <alignment horizontal="right"/>
      <protection locked="0"/>
    </xf>
    <xf numFmtId="177" fontId="146" fillId="0" borderId="30" xfId="16" applyNumberFormat="1" applyFont="1" applyBorder="1" applyAlignment="1" applyProtection="1">
      <alignment horizontal="left" vertical="center"/>
      <protection locked="0"/>
    </xf>
    <xf numFmtId="177" fontId="119" fillId="0" borderId="30" xfId="16" applyNumberFormat="1" applyFont="1" applyBorder="1" applyAlignment="1" applyProtection="1">
      <alignment horizontal="right" vertical="center"/>
      <protection locked="0"/>
    </xf>
    <xf numFmtId="0" fontId="119" fillId="0" borderId="38" xfId="34" applyFont="1" applyBorder="1" applyAlignment="1">
      <alignment horizontal="right"/>
    </xf>
    <xf numFmtId="0" fontId="119" fillId="0" borderId="30" xfId="34" applyFont="1" applyBorder="1" applyAlignment="1">
      <alignment horizontal="right"/>
    </xf>
    <xf numFmtId="177" fontId="119" fillId="0" borderId="84" xfId="16" applyNumberFormat="1" applyFont="1" applyBorder="1" applyAlignment="1" applyProtection="1">
      <alignment horizontal="right"/>
      <protection locked="0"/>
    </xf>
    <xf numFmtId="177" fontId="150" fillId="0" borderId="30" xfId="16" applyNumberFormat="1" applyFont="1" applyBorder="1" applyAlignment="1" applyProtection="1">
      <alignment horizontal="left" vertical="center"/>
      <protection locked="0"/>
    </xf>
    <xf numFmtId="177" fontId="151" fillId="0" borderId="6" xfId="34" applyNumberFormat="1" applyFont="1" applyBorder="1" applyAlignment="1">
      <alignment horizontal="right" vertical="center"/>
    </xf>
    <xf numFmtId="177" fontId="151" fillId="0" borderId="4" xfId="34" applyNumberFormat="1" applyFont="1" applyBorder="1" applyAlignment="1">
      <alignment horizontal="right" vertical="center"/>
    </xf>
    <xf numFmtId="0" fontId="150" fillId="0" borderId="4" xfId="34" applyFont="1" applyBorder="1" applyAlignment="1">
      <alignment horizontal="right" vertical="center"/>
    </xf>
    <xf numFmtId="177" fontId="151" fillId="0" borderId="30" xfId="34" applyNumberFormat="1" applyFont="1" applyBorder="1" applyAlignment="1">
      <alignment horizontal="right" vertical="center"/>
    </xf>
    <xf numFmtId="0" fontId="151" fillId="0" borderId="4" xfId="34" applyFont="1" applyBorder="1"/>
    <xf numFmtId="0" fontId="7" fillId="0" borderId="4" xfId="34" applyBorder="1" applyAlignment="1">
      <alignment horizontal="left" indent="2"/>
    </xf>
    <xf numFmtId="177" fontId="101" fillId="0" borderId="30" xfId="16" applyNumberFormat="1" applyFont="1" applyBorder="1" applyAlignment="1" applyProtection="1">
      <alignment horizontal="right" vertical="center"/>
      <protection locked="0"/>
    </xf>
    <xf numFmtId="0" fontId="149" fillId="0" borderId="4" xfId="34" applyFont="1" applyBorder="1" applyAlignment="1">
      <alignment horizontal="left" indent="1"/>
    </xf>
    <xf numFmtId="0" fontId="7" fillId="0" borderId="30" xfId="34" applyBorder="1" applyAlignment="1">
      <alignment horizontal="left" indent="1"/>
    </xf>
    <xf numFmtId="0" fontId="119" fillId="0" borderId="6" xfId="34" applyFont="1" applyBorder="1"/>
    <xf numFmtId="177" fontId="101" fillId="0" borderId="30" xfId="16" applyNumberFormat="1" applyFont="1" applyBorder="1" applyAlignment="1" applyProtection="1">
      <alignment horizontal="left" vertical="center"/>
      <protection locked="0"/>
    </xf>
    <xf numFmtId="0" fontId="7" fillId="0" borderId="30" xfId="34" applyBorder="1" applyAlignment="1">
      <alignment horizontal="left" indent="2"/>
    </xf>
    <xf numFmtId="177" fontId="99" fillId="0" borderId="6" xfId="34" applyNumberFormat="1" applyFont="1" applyBorder="1" applyAlignment="1">
      <alignment horizontal="right"/>
    </xf>
    <xf numFmtId="199" fontId="16" fillId="21" borderId="21" xfId="0" applyNumberFormat="1" applyFont="1" applyFill="1" applyBorder="1" applyAlignment="1">
      <alignment horizontal="center" vertical="center" wrapText="1"/>
    </xf>
    <xf numFmtId="177" fontId="39" fillId="42" borderId="21" xfId="0" applyNumberFormat="1" applyFont="1" applyFill="1" applyBorder="1" applyAlignment="1">
      <alignment horizontal="center" vertical="center" shrinkToFit="1"/>
    </xf>
    <xf numFmtId="0" fontId="91" fillId="8" borderId="25" xfId="0" applyFont="1" applyFill="1" applyBorder="1" applyAlignment="1">
      <alignment horizontal="left" vertical="center" indent="1"/>
    </xf>
    <xf numFmtId="167" fontId="86" fillId="8" borderId="27" xfId="0" applyNumberFormat="1" applyFont="1" applyFill="1" applyBorder="1" applyAlignment="1">
      <alignment horizontal="center" vertical="center"/>
    </xf>
    <xf numFmtId="0" fontId="138" fillId="8" borderId="25" xfId="0" applyFont="1" applyFill="1" applyBorder="1" applyAlignment="1">
      <alignment horizontal="left" vertical="center" indent="1"/>
    </xf>
    <xf numFmtId="0" fontId="65" fillId="8" borderId="85" xfId="0" applyFont="1" applyFill="1" applyBorder="1" applyAlignment="1">
      <alignment horizontal="left" indent="1"/>
    </xf>
    <xf numFmtId="0" fontId="66" fillId="8" borderId="86" xfId="0" applyFont="1" applyFill="1" applyBorder="1" applyAlignment="1">
      <alignment horizontal="left" vertical="center" indent="2"/>
    </xf>
    <xf numFmtId="167" fontId="149" fillId="0" borderId="0" xfId="13" applyNumberFormat="1" applyFont="1" applyFill="1" applyBorder="1" applyAlignment="1">
      <alignment horizontal="right" vertical="center" indent="1" shrinkToFit="1"/>
    </xf>
    <xf numFmtId="167" fontId="153" fillId="8" borderId="27" xfId="0" applyNumberFormat="1" applyFont="1" applyFill="1" applyBorder="1" applyAlignment="1">
      <alignment horizontal="center" vertical="center" wrapText="1"/>
    </xf>
    <xf numFmtId="0" fontId="39" fillId="0" borderId="0" xfId="0" applyFont="1" applyAlignment="1">
      <alignment vertical="center"/>
    </xf>
    <xf numFmtId="167" fontId="101" fillId="0" borderId="0" xfId="13" applyNumberFormat="1" applyFont="1" applyFill="1" applyBorder="1" applyAlignment="1">
      <alignment horizontal="left" vertical="center" indent="1"/>
    </xf>
    <xf numFmtId="167" fontId="99" fillId="0" borderId="0" xfId="13" applyNumberFormat="1" applyFont="1" applyFill="1" applyBorder="1" applyAlignment="1">
      <alignment horizontal="right" vertical="center" shrinkToFit="1"/>
    </xf>
    <xf numFmtId="167" fontId="97" fillId="0" borderId="0" xfId="13" applyNumberFormat="1" applyFont="1" applyFill="1" applyBorder="1" applyAlignment="1">
      <alignment horizontal="right" vertical="center" shrinkToFit="1"/>
    </xf>
    <xf numFmtId="167" fontId="149" fillId="0" borderId="0" xfId="13" applyNumberFormat="1" applyFont="1" applyFill="1" applyBorder="1" applyAlignment="1">
      <alignment horizontal="center" vertical="center" shrinkToFit="1"/>
    </xf>
    <xf numFmtId="0" fontId="51" fillId="15" borderId="72" xfId="0" applyFont="1" applyFill="1" applyBorder="1" applyAlignment="1">
      <alignment horizontal="center" vertical="center"/>
    </xf>
    <xf numFmtId="0" fontId="51" fillId="15" borderId="12" xfId="0" applyFont="1" applyFill="1" applyBorder="1" applyAlignment="1">
      <alignment horizontal="right" vertical="center" indent="1"/>
    </xf>
    <xf numFmtId="1" fontId="55" fillId="15" borderId="7" xfId="0" applyNumberFormat="1" applyFont="1" applyFill="1" applyBorder="1" applyAlignment="1">
      <alignment horizontal="right" vertical="top" indent="1"/>
    </xf>
    <xf numFmtId="1" fontId="125" fillId="15" borderId="8" xfId="0" applyNumberFormat="1" applyFont="1" applyFill="1" applyBorder="1" applyAlignment="1">
      <alignment horizontal="left" vertical="top" indent="1"/>
    </xf>
    <xf numFmtId="1" fontId="11" fillId="6" borderId="0" xfId="22" applyNumberFormat="1" applyFill="1" applyAlignment="1">
      <alignment horizontal="center" vertical="center" shrinkToFit="1"/>
    </xf>
    <xf numFmtId="167" fontId="152" fillId="0" borderId="0" xfId="13" applyNumberFormat="1" applyFont="1" applyFill="1" applyBorder="1" applyAlignment="1">
      <alignment horizontal="right" vertical="center" shrinkToFit="1"/>
    </xf>
    <xf numFmtId="0" fontId="87" fillId="4" borderId="5" xfId="0" applyFont="1" applyFill="1" applyBorder="1" applyAlignment="1">
      <alignment vertical="center"/>
    </xf>
    <xf numFmtId="0" fontId="87" fillId="4" borderId="5" xfId="0" applyFont="1" applyFill="1" applyBorder="1" applyAlignment="1">
      <alignment horizontal="center" vertical="center"/>
    </xf>
    <xf numFmtId="186" fontId="0" fillId="4" borderId="5" xfId="0" applyNumberFormat="1" applyFill="1" applyBorder="1" applyAlignment="1">
      <alignment horizontal="center" vertical="center"/>
    </xf>
    <xf numFmtId="172" fontId="87" fillId="4" borderId="5" xfId="0" applyNumberFormat="1" applyFont="1" applyFill="1" applyBorder="1" applyAlignment="1">
      <alignment vertical="center"/>
    </xf>
    <xf numFmtId="167" fontId="0" fillId="4" borderId="5" xfId="0" applyNumberFormat="1" applyFill="1" applyBorder="1" applyAlignment="1">
      <alignment vertical="center"/>
    </xf>
    <xf numFmtId="167" fontId="92" fillId="24" borderId="87" xfId="13" applyNumberFormat="1" applyFont="1" applyFill="1" applyBorder="1" applyAlignment="1" applyProtection="1">
      <alignment horizontal="center" vertical="center" shrinkToFit="1"/>
      <protection locked="0"/>
    </xf>
    <xf numFmtId="187" fontId="92" fillId="24" borderId="87" xfId="13" applyNumberFormat="1" applyFont="1" applyFill="1" applyBorder="1" applyAlignment="1" applyProtection="1">
      <alignment horizontal="center" vertical="center" shrinkToFit="1"/>
      <protection locked="0"/>
    </xf>
    <xf numFmtId="186" fontId="92" fillId="24" borderId="89" xfId="13" applyNumberFormat="1" applyFont="1" applyFill="1" applyBorder="1" applyAlignment="1" applyProtection="1">
      <alignment horizontal="center" vertical="center" shrinkToFit="1"/>
      <protection locked="0"/>
    </xf>
    <xf numFmtId="172" fontId="134" fillId="12" borderId="87" xfId="13" applyNumberFormat="1" applyFont="1" applyFill="1" applyBorder="1" applyAlignment="1" applyProtection="1">
      <alignment horizontal="center" vertical="center" shrinkToFit="1"/>
      <protection locked="0"/>
    </xf>
    <xf numFmtId="191" fontId="12" fillId="0" borderId="0" xfId="16" applyNumberFormat="1"/>
    <xf numFmtId="1" fontId="143" fillId="23" borderId="21" xfId="3" applyNumberFormat="1" applyFont="1" applyFill="1" applyBorder="1" applyAlignment="1">
      <alignment horizontal="center" vertical="center"/>
    </xf>
    <xf numFmtId="0" fontId="137" fillId="14" borderId="0" xfId="0" applyFont="1" applyFill="1" applyAlignment="1">
      <alignment horizontal="left" vertical="center" indent="1"/>
    </xf>
    <xf numFmtId="0" fontId="137" fillId="14" borderId="0" xfId="0" applyFont="1" applyFill="1" applyAlignment="1">
      <alignment horizontal="left" vertical="center" indent="2"/>
    </xf>
    <xf numFmtId="0" fontId="107" fillId="15" borderId="0" xfId="0" applyFont="1" applyFill="1" applyAlignment="1">
      <alignment horizontal="left" vertical="center" indent="1"/>
    </xf>
    <xf numFmtId="0" fontId="7" fillId="0" borderId="0" xfId="34" applyAlignment="1">
      <alignment horizontal="left" indent="1"/>
    </xf>
    <xf numFmtId="0" fontId="101" fillId="0" borderId="0" xfId="34" applyFont="1" applyAlignment="1">
      <alignment horizontal="left" indent="1"/>
    </xf>
    <xf numFmtId="177" fontId="151" fillId="0" borderId="4" xfId="34" applyNumberFormat="1" applyFont="1" applyBorder="1" applyAlignment="1">
      <alignment horizontal="center" vertical="center"/>
    </xf>
    <xf numFmtId="0" fontId="99" fillId="0" borderId="0" xfId="34" applyFont="1" applyAlignment="1">
      <alignment horizontal="center"/>
    </xf>
    <xf numFmtId="177" fontId="101" fillId="0" borderId="6" xfId="16" applyNumberFormat="1" applyFont="1" applyBorder="1" applyAlignment="1" applyProtection="1">
      <alignment horizontal="center"/>
      <protection locked="0"/>
    </xf>
    <xf numFmtId="0" fontId="7" fillId="0" borderId="0" xfId="34" applyAlignment="1">
      <alignment horizontal="center"/>
    </xf>
    <xf numFmtId="0" fontId="7" fillId="6" borderId="0" xfId="34" applyFill="1" applyAlignment="1">
      <alignment horizontal="left" indent="1"/>
    </xf>
    <xf numFmtId="0" fontId="26" fillId="8" borderId="0" xfId="34" applyFont="1" applyFill="1" applyAlignment="1">
      <alignment horizontal="left" indent="1"/>
    </xf>
    <xf numFmtId="177" fontId="101" fillId="0" borderId="6" xfId="16" applyNumberFormat="1" applyFont="1" applyBorder="1" applyAlignment="1" applyProtection="1">
      <alignment horizontal="left" indent="1"/>
      <protection locked="0"/>
    </xf>
    <xf numFmtId="0" fontId="107" fillId="21" borderId="30" xfId="34" applyFont="1" applyFill="1" applyBorder="1" applyAlignment="1">
      <alignment horizontal="center"/>
    </xf>
    <xf numFmtId="0" fontId="101" fillId="0" borderId="4" xfId="34" applyFont="1" applyBorder="1" applyAlignment="1">
      <alignment horizontal="left" indent="2"/>
    </xf>
    <xf numFmtId="177" fontId="146" fillId="0" borderId="30" xfId="16" applyNumberFormat="1" applyFont="1" applyBorder="1" applyAlignment="1" applyProtection="1">
      <alignment horizontal="left" vertical="center" indent="1"/>
      <protection locked="0"/>
    </xf>
    <xf numFmtId="0" fontId="101" fillId="0" borderId="0" xfId="34" applyFont="1" applyAlignment="1">
      <alignment horizontal="left" indent="2"/>
    </xf>
    <xf numFmtId="0" fontId="7" fillId="6" borderId="0" xfId="34" applyFill="1" applyAlignment="1">
      <alignment horizontal="right" shrinkToFit="1"/>
    </xf>
    <xf numFmtId="0" fontId="26" fillId="8" borderId="0" xfId="34" applyFont="1" applyFill="1" applyAlignment="1">
      <alignment horizontal="right" shrinkToFit="1"/>
    </xf>
    <xf numFmtId="0" fontId="7" fillId="0" borderId="0" xfId="34" applyAlignment="1">
      <alignment horizontal="right" shrinkToFit="1"/>
    </xf>
    <xf numFmtId="177" fontId="97" fillId="0" borderId="6" xfId="16" applyNumberFormat="1" applyFont="1" applyBorder="1" applyAlignment="1" applyProtection="1">
      <alignment horizontal="center" vertical="center" shrinkToFit="1"/>
      <protection locked="0"/>
    </xf>
    <xf numFmtId="177" fontId="97" fillId="0" borderId="6" xfId="16" applyNumberFormat="1" applyFont="1" applyBorder="1" applyAlignment="1" applyProtection="1">
      <alignment horizontal="center" vertical="center"/>
      <protection locked="0"/>
    </xf>
    <xf numFmtId="177" fontId="97" fillId="0" borderId="4" xfId="16" applyNumberFormat="1" applyFont="1" applyBorder="1" applyAlignment="1" applyProtection="1">
      <alignment horizontal="center" vertical="center" shrinkToFit="1"/>
      <protection locked="0"/>
    </xf>
    <xf numFmtId="177" fontId="97" fillId="0" borderId="4" xfId="16" applyNumberFormat="1" applyFont="1" applyBorder="1" applyAlignment="1" applyProtection="1">
      <alignment horizontal="center" vertical="center"/>
      <protection locked="0"/>
    </xf>
    <xf numFmtId="177" fontId="97" fillId="0" borderId="4" xfId="16" applyNumberFormat="1" applyFont="1" applyBorder="1" applyAlignment="1" applyProtection="1">
      <alignment horizontal="right" vertical="center" shrinkToFit="1"/>
      <protection locked="0"/>
    </xf>
    <xf numFmtId="177" fontId="97" fillId="0" borderId="4" xfId="16" applyNumberFormat="1" applyFont="1" applyBorder="1" applyAlignment="1" applyProtection="1">
      <alignment horizontal="right" vertical="center"/>
      <protection locked="0"/>
    </xf>
    <xf numFmtId="0" fontId="97" fillId="0" borderId="4" xfId="34" applyFont="1" applyBorder="1" applyAlignment="1">
      <alignment horizontal="left" vertical="center"/>
    </xf>
    <xf numFmtId="177" fontId="146" fillId="0" borderId="93" xfId="16" applyNumberFormat="1" applyFont="1" applyBorder="1" applyAlignment="1" applyProtection="1">
      <alignment horizontal="left" vertical="center" indent="1"/>
      <protection locked="0"/>
    </xf>
    <xf numFmtId="177" fontId="107" fillId="21" borderId="4" xfId="16" applyNumberFormat="1" applyFont="1" applyFill="1" applyBorder="1" applyAlignment="1" applyProtection="1">
      <alignment horizontal="center" vertical="center" shrinkToFit="1"/>
      <protection locked="0"/>
    </xf>
    <xf numFmtId="0" fontId="107" fillId="21" borderId="2" xfId="34" applyFont="1" applyFill="1" applyBorder="1" applyAlignment="1">
      <alignment horizontal="center" shrinkToFit="1"/>
    </xf>
    <xf numFmtId="0" fontId="107" fillId="21" borderId="4" xfId="34" applyFont="1" applyFill="1" applyBorder="1" applyAlignment="1">
      <alignment horizontal="center" shrinkToFit="1"/>
    </xf>
    <xf numFmtId="177" fontId="107" fillId="21" borderId="1" xfId="16" applyNumberFormat="1" applyFont="1" applyFill="1" applyBorder="1" applyAlignment="1" applyProtection="1">
      <alignment horizontal="left" vertical="center" indent="1"/>
      <protection locked="0"/>
    </xf>
    <xf numFmtId="177" fontId="107" fillId="21" borderId="3" xfId="16" applyNumberFormat="1" applyFont="1" applyFill="1" applyBorder="1" applyAlignment="1" applyProtection="1">
      <alignment horizontal="left" vertical="center" indent="1"/>
      <protection locked="0"/>
    </xf>
    <xf numFmtId="1" fontId="107" fillId="21" borderId="4" xfId="16" applyNumberFormat="1" applyFont="1" applyFill="1" applyBorder="1" applyAlignment="1" applyProtection="1">
      <alignment horizontal="center" vertical="center" shrinkToFit="1"/>
      <protection locked="0"/>
    </xf>
    <xf numFmtId="0" fontId="7" fillId="0" borderId="0" xfId="34" quotePrefix="1"/>
    <xf numFmtId="0" fontId="154" fillId="0" borderId="0" xfId="0" applyFont="1"/>
    <xf numFmtId="0" fontId="19" fillId="18" borderId="4" xfId="16" quotePrefix="1" applyFont="1" applyFill="1" applyBorder="1" applyAlignment="1">
      <alignment horizontal="center" vertical="center" shrinkToFit="1"/>
    </xf>
    <xf numFmtId="0" fontId="7" fillId="0" borderId="0" xfId="16" quotePrefix="1" applyFont="1"/>
    <xf numFmtId="0" fontId="98" fillId="32" borderId="4" xfId="16" applyFont="1" applyFill="1" applyBorder="1" applyAlignment="1">
      <alignment horizontal="center" vertical="center" shrinkToFit="1"/>
    </xf>
    <xf numFmtId="0" fontId="155" fillId="9" borderId="1" xfId="16" applyFont="1" applyFill="1" applyBorder="1" applyAlignment="1">
      <alignment horizontal="center" vertical="center" shrinkToFit="1"/>
    </xf>
    <xf numFmtId="0" fontId="18" fillId="9" borderId="1" xfId="16" applyFont="1" applyFill="1" applyBorder="1" applyAlignment="1">
      <alignment horizontal="left" vertical="center" indent="1" shrinkToFit="1"/>
    </xf>
    <xf numFmtId="177" fontId="72" fillId="2" borderId="72" xfId="16" applyNumberFormat="1" applyFont="1" applyFill="1" applyBorder="1" applyAlignment="1" applyProtection="1">
      <alignment horizontal="center" vertical="center"/>
      <protection locked="0"/>
    </xf>
    <xf numFmtId="0" fontId="125" fillId="43" borderId="17" xfId="0" applyFont="1" applyFill="1" applyBorder="1" applyAlignment="1">
      <alignment horizontal="centerContinuous" vertical="center"/>
    </xf>
    <xf numFmtId="0" fontId="125" fillId="43" borderId="23" xfId="0" applyFont="1" applyFill="1" applyBorder="1" applyAlignment="1">
      <alignment horizontal="centerContinuous" vertical="center"/>
    </xf>
    <xf numFmtId="0" fontId="125" fillId="43" borderId="18" xfId="0" applyFont="1" applyFill="1" applyBorder="1" applyAlignment="1">
      <alignment horizontal="centerContinuous" vertical="center"/>
    </xf>
    <xf numFmtId="177" fontId="122" fillId="43" borderId="4" xfId="16" applyNumberFormat="1" applyFont="1" applyFill="1" applyBorder="1" applyAlignment="1" applyProtection="1">
      <alignment horizontal="center" vertical="center"/>
      <protection locked="0"/>
    </xf>
    <xf numFmtId="0" fontId="16" fillId="43" borderId="9" xfId="0" applyFont="1" applyFill="1" applyBorder="1" applyAlignment="1">
      <alignment horizontal="center" vertical="center" wrapText="1"/>
    </xf>
    <xf numFmtId="167" fontId="78" fillId="4" borderId="43" xfId="11" applyNumberFormat="1" applyFont="1" applyFill="1" applyBorder="1" applyAlignment="1">
      <alignment horizontal="right" vertical="center" shrinkToFit="1"/>
    </xf>
    <xf numFmtId="167" fontId="53" fillId="45" borderId="21" xfId="0" applyNumberFormat="1" applyFont="1" applyFill="1" applyBorder="1" applyAlignment="1">
      <alignment horizontal="center" vertical="center"/>
    </xf>
    <xf numFmtId="167" fontId="53" fillId="45" borderId="21" xfId="0" applyNumberFormat="1" applyFont="1" applyFill="1" applyBorder="1" applyAlignment="1">
      <alignment horizontal="center" vertical="center" wrapText="1"/>
    </xf>
    <xf numFmtId="0" fontId="7" fillId="0" borderId="0" xfId="34" applyAlignment="1">
      <alignment horizontal="left" indent="2"/>
    </xf>
    <xf numFmtId="0" fontId="156" fillId="0" borderId="0" xfId="6" applyFont="1"/>
    <xf numFmtId="0" fontId="28" fillId="0" borderId="0" xfId="7" applyAlignment="1">
      <alignment horizontal="left"/>
    </xf>
    <xf numFmtId="0" fontId="28" fillId="0" borderId="0" xfId="7"/>
    <xf numFmtId="0" fontId="29" fillId="0" borderId="0" xfId="6" applyFont="1" applyAlignment="1">
      <alignment horizontal="center"/>
    </xf>
    <xf numFmtId="0" fontId="30" fillId="0" borderId="0" xfId="6" applyFont="1" applyAlignment="1">
      <alignment horizontal="center"/>
    </xf>
    <xf numFmtId="0" fontId="18" fillId="46" borderId="2" xfId="4" applyFont="1" applyFill="1" applyBorder="1" applyAlignment="1">
      <alignment vertical="center"/>
    </xf>
    <xf numFmtId="0" fontId="157" fillId="46" borderId="2" xfId="4" applyFont="1" applyFill="1" applyBorder="1" applyAlignment="1">
      <alignment horizontal="left" indent="2"/>
    </xf>
    <xf numFmtId="0" fontId="15" fillId="46" borderId="10" xfId="6" applyFont="1" applyFill="1" applyBorder="1" applyAlignment="1">
      <alignment horizontal="left" indent="1"/>
    </xf>
    <xf numFmtId="0" fontId="15" fillId="46" borderId="11" xfId="6" applyFont="1" applyFill="1" applyBorder="1" applyAlignment="1">
      <alignment horizontal="center"/>
    </xf>
    <xf numFmtId="0" fontId="15" fillId="46" borderId="12" xfId="6" applyFont="1" applyFill="1" applyBorder="1" applyAlignment="1">
      <alignment horizontal="center"/>
    </xf>
    <xf numFmtId="0" fontId="15" fillId="46" borderId="9" xfId="6" applyFont="1" applyFill="1" applyBorder="1" applyAlignment="1">
      <alignment horizontal="center"/>
    </xf>
    <xf numFmtId="0" fontId="32" fillId="46" borderId="10" xfId="6" applyFont="1" applyFill="1" applyBorder="1" applyAlignment="1">
      <alignment horizontal="left" vertical="center" indent="1"/>
    </xf>
    <xf numFmtId="0" fontId="33" fillId="46" borderId="11" xfId="6" applyFont="1" applyFill="1" applyBorder="1" applyAlignment="1">
      <alignment horizontal="right" vertical="center" indent="1"/>
    </xf>
    <xf numFmtId="0" fontId="33" fillId="46" borderId="12" xfId="6" applyFont="1" applyFill="1" applyBorder="1" applyAlignment="1">
      <alignment horizontal="right" vertical="center" indent="1"/>
    </xf>
    <xf numFmtId="0" fontId="32" fillId="9" borderId="10" xfId="6" applyFont="1" applyFill="1" applyBorder="1" applyAlignment="1">
      <alignment horizontal="left" vertical="center" indent="1"/>
    </xf>
    <xf numFmtId="0" fontId="33" fillId="9" borderId="11" xfId="6" applyFont="1" applyFill="1" applyBorder="1" applyAlignment="1">
      <alignment horizontal="right" vertical="center" indent="1"/>
    </xf>
    <xf numFmtId="0" fontId="33" fillId="9" borderId="12" xfId="6" applyFont="1" applyFill="1" applyBorder="1" applyAlignment="1">
      <alignment horizontal="right" vertical="center" indent="1"/>
    </xf>
    <xf numFmtId="0" fontId="32" fillId="47" borderId="10" xfId="6" applyFont="1" applyFill="1" applyBorder="1" applyAlignment="1">
      <alignment horizontal="left" vertical="center" indent="1"/>
    </xf>
    <xf numFmtId="0" fontId="33" fillId="47" borderId="11" xfId="6" applyFont="1" applyFill="1" applyBorder="1" applyAlignment="1">
      <alignment horizontal="right" vertical="center" indent="1"/>
    </xf>
    <xf numFmtId="10" fontId="34" fillId="47" borderId="11" xfId="8" applyNumberFormat="1" applyFont="1" applyFill="1" applyBorder="1" applyAlignment="1">
      <alignment horizontal="left" vertical="center"/>
    </xf>
    <xf numFmtId="0" fontId="33" fillId="47" borderId="12" xfId="6" applyFont="1" applyFill="1" applyBorder="1" applyAlignment="1">
      <alignment horizontal="right" vertical="center" indent="1"/>
    </xf>
    <xf numFmtId="0" fontId="32" fillId="48" borderId="10" xfId="6" applyFont="1" applyFill="1" applyBorder="1" applyAlignment="1">
      <alignment horizontal="left" vertical="center" indent="1"/>
    </xf>
    <xf numFmtId="0" fontId="33" fillId="48" borderId="11" xfId="6" applyFont="1" applyFill="1" applyBorder="1" applyAlignment="1">
      <alignment horizontal="right" vertical="center" indent="1"/>
    </xf>
    <xf numFmtId="0" fontId="34" fillId="48" borderId="11" xfId="6" applyFont="1" applyFill="1" applyBorder="1" applyAlignment="1">
      <alignment horizontal="left" vertical="center" indent="1"/>
    </xf>
    <xf numFmtId="10" fontId="34" fillId="48" borderId="11" xfId="8" applyNumberFormat="1" applyFont="1" applyFill="1" applyBorder="1" applyAlignment="1">
      <alignment horizontal="left" vertical="center"/>
    </xf>
    <xf numFmtId="0" fontId="33" fillId="48" borderId="12" xfId="6" applyFont="1" applyFill="1" applyBorder="1" applyAlignment="1">
      <alignment horizontal="right" vertical="center" indent="1"/>
    </xf>
    <xf numFmtId="0" fontId="159" fillId="50" borderId="17" xfId="6" applyFont="1" applyFill="1" applyBorder="1" applyAlignment="1">
      <alignment horizontal="centerContinuous" vertical="center"/>
    </xf>
    <xf numFmtId="0" fontId="32" fillId="46" borderId="10" xfId="6" applyFont="1" applyFill="1" applyBorder="1" applyAlignment="1">
      <alignment horizontal="center" vertical="center"/>
    </xf>
    <xf numFmtId="0" fontId="163" fillId="46" borderId="8" xfId="6" applyFont="1" applyFill="1" applyBorder="1" applyAlignment="1">
      <alignment horizontal="center" vertical="top"/>
    </xf>
    <xf numFmtId="0" fontId="163" fillId="46" borderId="24" xfId="6" applyFont="1" applyFill="1" applyBorder="1" applyAlignment="1">
      <alignment horizontal="center" vertical="top"/>
    </xf>
    <xf numFmtId="0" fontId="163" fillId="46" borderId="7" xfId="6" applyFont="1" applyFill="1" applyBorder="1" applyAlignment="1">
      <alignment horizontal="center" vertical="top"/>
    </xf>
    <xf numFmtId="0" fontId="163" fillId="46" borderId="6" xfId="6" applyFont="1" applyFill="1" applyBorder="1" applyAlignment="1">
      <alignment horizontal="center" vertical="top"/>
    </xf>
    <xf numFmtId="0" fontId="35" fillId="46" borderId="8" xfId="6" applyFont="1" applyFill="1" applyBorder="1" applyAlignment="1">
      <alignment horizontal="left" vertical="center" indent="2"/>
    </xf>
    <xf numFmtId="0" fontId="159" fillId="46" borderId="24" xfId="6" applyFont="1" applyFill="1" applyBorder="1" applyAlignment="1">
      <alignment vertical="center"/>
    </xf>
    <xf numFmtId="0" fontId="35" fillId="9" borderId="8" xfId="6" applyFont="1" applyFill="1" applyBorder="1" applyAlignment="1">
      <alignment horizontal="left" vertical="center" indent="2"/>
    </xf>
    <xf numFmtId="0" fontId="159" fillId="9" borderId="24" xfId="6" applyFont="1" applyFill="1" applyBorder="1" applyAlignment="1">
      <alignment vertical="center"/>
    </xf>
    <xf numFmtId="0" fontId="35" fillId="47" borderId="8" xfId="6" applyFont="1" applyFill="1" applyBorder="1" applyAlignment="1">
      <alignment horizontal="left" vertical="center" indent="2"/>
    </xf>
    <xf numFmtId="10" fontId="35" fillId="47" borderId="24" xfId="8" applyNumberFormat="1" applyFont="1" applyFill="1" applyBorder="1" applyAlignment="1">
      <alignment horizontal="left" vertical="center"/>
    </xf>
    <xf numFmtId="0" fontId="159" fillId="47" borderId="24" xfId="6" applyFont="1" applyFill="1" applyBorder="1" applyAlignment="1">
      <alignment vertical="center"/>
    </xf>
    <xf numFmtId="0" fontId="35" fillId="48" borderId="8" xfId="6" applyFont="1" applyFill="1" applyBorder="1" applyAlignment="1">
      <alignment horizontal="left" vertical="center" indent="2"/>
    </xf>
    <xf numFmtId="10" fontId="35" fillId="48" borderId="24" xfId="8" applyNumberFormat="1" applyFont="1" applyFill="1" applyBorder="1" applyAlignment="1">
      <alignment horizontal="left" vertical="center"/>
    </xf>
    <xf numFmtId="0" fontId="159" fillId="48" borderId="24" xfId="6" applyFont="1" applyFill="1" applyBorder="1" applyAlignment="1">
      <alignment vertical="center"/>
    </xf>
    <xf numFmtId="0" fontId="35" fillId="48" borderId="24" xfId="6" applyFont="1" applyFill="1" applyBorder="1" applyAlignment="1">
      <alignment horizontal="left" vertical="center" indent="2"/>
    </xf>
    <xf numFmtId="0" fontId="161" fillId="50" borderId="25" xfId="6" applyFont="1" applyFill="1" applyBorder="1" applyAlignment="1">
      <alignment horizontal="centerContinuous" vertical="center"/>
    </xf>
    <xf numFmtId="0" fontId="35" fillId="46" borderId="8" xfId="6" applyFont="1" applyFill="1" applyBorder="1" applyAlignment="1">
      <alignment horizontal="center" vertical="center"/>
    </xf>
    <xf numFmtId="0" fontId="35" fillId="46" borderId="19" xfId="6" applyFont="1" applyFill="1" applyBorder="1" applyAlignment="1">
      <alignment horizontal="center"/>
    </xf>
    <xf numFmtId="0" fontId="33" fillId="46" borderId="19" xfId="6" applyFont="1" applyFill="1" applyBorder="1" applyAlignment="1">
      <alignment horizontal="center"/>
    </xf>
    <xf numFmtId="0" fontId="33" fillId="46" borderId="20" xfId="6" applyFont="1" applyFill="1" applyBorder="1" applyAlignment="1">
      <alignment horizontal="centerContinuous" vertical="center"/>
    </xf>
    <xf numFmtId="0" fontId="161" fillId="46" borderId="6" xfId="6" applyFont="1" applyFill="1" applyBorder="1" applyAlignment="1">
      <alignment horizontal="centerContinuous" vertical="center"/>
    </xf>
    <xf numFmtId="0" fontId="33" fillId="9" borderId="19" xfId="6" applyFont="1" applyFill="1" applyBorder="1" applyAlignment="1">
      <alignment horizontal="center"/>
    </xf>
    <xf numFmtId="0" fontId="161" fillId="9" borderId="20" xfId="6" applyFont="1" applyFill="1" applyBorder="1" applyAlignment="1">
      <alignment horizontal="centerContinuous" vertical="center"/>
    </xf>
    <xf numFmtId="0" fontId="33" fillId="47" borderId="19" xfId="6" applyFont="1" applyFill="1" applyBorder="1" applyAlignment="1">
      <alignment horizontal="center"/>
    </xf>
    <xf numFmtId="0" fontId="161" fillId="47" borderId="20" xfId="6" applyFont="1" applyFill="1" applyBorder="1" applyAlignment="1">
      <alignment horizontal="centerContinuous" vertical="center"/>
    </xf>
    <xf numFmtId="0" fontId="33" fillId="48" borderId="19" xfId="6" applyFont="1" applyFill="1" applyBorder="1" applyAlignment="1">
      <alignment horizontal="center"/>
    </xf>
    <xf numFmtId="0" fontId="161" fillId="48" borderId="20" xfId="6" applyFont="1" applyFill="1" applyBorder="1" applyAlignment="1">
      <alignment horizontal="centerContinuous" vertical="center"/>
    </xf>
    <xf numFmtId="0" fontId="161" fillId="49" borderId="13" xfId="6" applyFont="1" applyFill="1" applyBorder="1" applyAlignment="1">
      <alignment horizontal="centerContinuous" vertical="center"/>
    </xf>
    <xf numFmtId="0" fontId="161" fillId="50" borderId="13" xfId="6" applyFont="1" applyFill="1" applyBorder="1" applyAlignment="1">
      <alignment horizontal="centerContinuous" vertical="center"/>
    </xf>
    <xf numFmtId="0" fontId="35" fillId="46" borderId="19" xfId="6" applyFont="1" applyFill="1" applyBorder="1" applyAlignment="1">
      <alignment horizontal="center" vertical="center"/>
    </xf>
    <xf numFmtId="0" fontId="33" fillId="46" borderId="19" xfId="6" applyFont="1" applyFill="1" applyBorder="1" applyAlignment="1">
      <alignment horizontal="center" vertical="center"/>
    </xf>
    <xf numFmtId="0" fontId="33" fillId="46" borderId="16" xfId="6" applyFont="1" applyFill="1" applyBorder="1" applyAlignment="1">
      <alignment horizontal="center" vertical="center"/>
    </xf>
    <xf numFmtId="0" fontId="33" fillId="9" borderId="19" xfId="6" applyFont="1" applyFill="1" applyBorder="1" applyAlignment="1">
      <alignment horizontal="center" vertical="center"/>
    </xf>
    <xf numFmtId="0" fontId="33" fillId="9" borderId="16" xfId="6" applyFont="1" applyFill="1" applyBorder="1" applyAlignment="1">
      <alignment horizontal="center" vertical="center"/>
    </xf>
    <xf numFmtId="0" fontId="33" fillId="47" borderId="19" xfId="6" applyFont="1" applyFill="1" applyBorder="1" applyAlignment="1">
      <alignment horizontal="center" vertical="center"/>
    </xf>
    <xf numFmtId="0" fontId="33" fillId="47" borderId="16" xfId="6" applyFont="1" applyFill="1" applyBorder="1" applyAlignment="1">
      <alignment horizontal="center" vertical="center"/>
    </xf>
    <xf numFmtId="0" fontId="33" fillId="48" borderId="19" xfId="6" applyFont="1" applyFill="1" applyBorder="1" applyAlignment="1">
      <alignment horizontal="center" vertical="center"/>
    </xf>
    <xf numFmtId="0" fontId="33" fillId="48" borderId="16" xfId="6" applyFont="1" applyFill="1" applyBorder="1" applyAlignment="1">
      <alignment horizontal="center" vertical="center"/>
    </xf>
    <xf numFmtId="0" fontId="35" fillId="49" borderId="16" xfId="6" applyFont="1" applyFill="1" applyBorder="1" applyAlignment="1">
      <alignment horizontal="center"/>
    </xf>
    <xf numFmtId="0" fontId="35" fillId="50" borderId="16" xfId="6" applyFont="1" applyFill="1" applyBorder="1" applyAlignment="1">
      <alignment horizontal="center"/>
    </xf>
    <xf numFmtId="0" fontId="18" fillId="51" borderId="3" xfId="4" applyFont="1" applyFill="1" applyBorder="1" applyAlignment="1">
      <alignment vertical="center"/>
    </xf>
    <xf numFmtId="0" fontId="18" fillId="51" borderId="4" xfId="4" applyFont="1" applyFill="1" applyBorder="1" applyAlignment="1">
      <alignment horizontal="center" vertical="center"/>
    </xf>
    <xf numFmtId="9" fontId="35" fillId="46" borderId="19" xfId="6" applyNumberFormat="1" applyFont="1" applyFill="1" applyBorder="1" applyAlignment="1">
      <alignment horizontal="center" vertical="top"/>
    </xf>
    <xf numFmtId="201" fontId="33" fillId="46" borderId="19" xfId="6" applyNumberFormat="1" applyFont="1" applyFill="1" applyBorder="1" applyAlignment="1">
      <alignment horizontal="center" vertical="top"/>
    </xf>
    <xf numFmtId="9" fontId="33" fillId="46" borderId="19" xfId="6" applyNumberFormat="1" applyFont="1" applyFill="1" applyBorder="1" applyAlignment="1">
      <alignment horizontal="center" vertical="top"/>
    </xf>
    <xf numFmtId="0" fontId="33" fillId="46" borderId="19" xfId="6" applyFont="1" applyFill="1" applyBorder="1" applyAlignment="1">
      <alignment horizontal="center" vertical="top"/>
    </xf>
    <xf numFmtId="9" fontId="33" fillId="9" borderId="19" xfId="6" applyNumberFormat="1" applyFont="1" applyFill="1" applyBorder="1" applyAlignment="1">
      <alignment horizontal="center" vertical="top"/>
    </xf>
    <xf numFmtId="201" fontId="33" fillId="9" borderId="19" xfId="6" applyNumberFormat="1" applyFont="1" applyFill="1" applyBorder="1" applyAlignment="1">
      <alignment horizontal="center" vertical="top"/>
    </xf>
    <xf numFmtId="0" fontId="33" fillId="9" borderId="19" xfId="6" applyFont="1" applyFill="1" applyBorder="1" applyAlignment="1">
      <alignment horizontal="center" vertical="top"/>
    </xf>
    <xf numFmtId="9" fontId="33" fillId="47" borderId="19" xfId="6" applyNumberFormat="1" applyFont="1" applyFill="1" applyBorder="1" applyAlignment="1">
      <alignment horizontal="center" vertical="top"/>
    </xf>
    <xf numFmtId="201" fontId="33" fillId="47" borderId="19" xfId="6" applyNumberFormat="1" applyFont="1" applyFill="1" applyBorder="1" applyAlignment="1">
      <alignment horizontal="center" vertical="top"/>
    </xf>
    <xf numFmtId="0" fontId="33" fillId="47" borderId="19" xfId="6" applyFont="1" applyFill="1" applyBorder="1" applyAlignment="1">
      <alignment horizontal="center" vertical="top"/>
    </xf>
    <xf numFmtId="9" fontId="33" fillId="48" borderId="19" xfId="6" applyNumberFormat="1" applyFont="1" applyFill="1" applyBorder="1" applyAlignment="1">
      <alignment horizontal="center" vertical="top"/>
    </xf>
    <xf numFmtId="201" fontId="33" fillId="48" borderId="19" xfId="6" applyNumberFormat="1" applyFont="1" applyFill="1" applyBorder="1" applyAlignment="1">
      <alignment horizontal="center" vertical="top"/>
    </xf>
    <xf numFmtId="0" fontId="33" fillId="48" borderId="19" xfId="6" applyFont="1" applyFill="1" applyBorder="1" applyAlignment="1">
      <alignment horizontal="center" vertical="top"/>
    </xf>
    <xf numFmtId="201" fontId="33" fillId="49" borderId="19" xfId="8" applyNumberFormat="1" applyFont="1" applyFill="1" applyBorder="1" applyAlignment="1">
      <alignment horizontal="center" vertical="center"/>
    </xf>
    <xf numFmtId="201" fontId="33" fillId="50" borderId="19" xfId="8" applyNumberFormat="1" applyFont="1" applyFill="1" applyBorder="1" applyAlignment="1">
      <alignment horizontal="center" vertical="center"/>
    </xf>
    <xf numFmtId="0" fontId="21" fillId="52" borderId="4" xfId="6" applyFill="1" applyBorder="1" applyAlignment="1">
      <alignment horizontal="center" vertical="center"/>
    </xf>
    <xf numFmtId="164" fontId="21" fillId="52" borderId="4" xfId="6" applyNumberFormat="1" applyFill="1" applyBorder="1" applyAlignment="1">
      <alignment horizontal="left" vertical="center"/>
    </xf>
    <xf numFmtId="164" fontId="21" fillId="52" borderId="4" xfId="6" applyNumberFormat="1" applyFill="1" applyBorder="1" applyAlignment="1">
      <alignment horizontal="center" vertical="center"/>
    </xf>
    <xf numFmtId="201" fontId="164" fillId="52" borderId="4" xfId="4" applyNumberFormat="1" applyFont="1" applyFill="1" applyBorder="1" applyAlignment="1">
      <alignment horizontal="right" vertical="center" shrinkToFit="1"/>
    </xf>
    <xf numFmtId="0" fontId="29" fillId="0" borderId="4" xfId="6" applyFont="1" applyBorder="1" applyAlignment="1">
      <alignment horizontal="center"/>
    </xf>
    <xf numFmtId="0" fontId="29" fillId="0" borderId="6" xfId="6" applyFont="1" applyBorder="1" applyAlignment="1">
      <alignment horizontal="center"/>
    </xf>
    <xf numFmtId="0" fontId="21" fillId="2" borderId="4" xfId="6" applyFill="1" applyBorder="1" applyAlignment="1">
      <alignment horizontal="center"/>
    </xf>
    <xf numFmtId="164" fontId="21" fillId="2" borderId="4" xfId="6" applyNumberFormat="1" applyFill="1" applyBorder="1" applyAlignment="1">
      <alignment horizontal="left"/>
    </xf>
    <xf numFmtId="201" fontId="163" fillId="8" borderId="1" xfId="6" applyNumberFormat="1" applyFont="1" applyFill="1" applyBorder="1"/>
    <xf numFmtId="167" fontId="163" fillId="8" borderId="2" xfId="6" applyNumberFormat="1" applyFont="1" applyFill="1" applyBorder="1" applyAlignment="1">
      <alignment horizontal="center"/>
    </xf>
    <xf numFmtId="167" fontId="163" fillId="8" borderId="3" xfId="6" applyNumberFormat="1" applyFont="1" applyFill="1" applyBorder="1" applyAlignment="1">
      <alignment horizontal="center"/>
    </xf>
    <xf numFmtId="167" fontId="161" fillId="8" borderId="4" xfId="6" applyNumberFormat="1" applyFont="1" applyFill="1" applyBorder="1" applyAlignment="1">
      <alignment vertical="center"/>
    </xf>
    <xf numFmtId="167" fontId="163" fillId="8" borderId="4" xfId="6" applyNumberFormat="1" applyFont="1" applyFill="1" applyBorder="1"/>
    <xf numFmtId="167" fontId="168" fillId="0" borderId="4" xfId="6" applyNumberFormat="1" applyFont="1" applyBorder="1" applyAlignment="1">
      <alignment horizontal="center"/>
    </xf>
    <xf numFmtId="167" fontId="161" fillId="8" borderId="4" xfId="6" applyNumberFormat="1" applyFont="1" applyFill="1" applyBorder="1" applyAlignment="1">
      <alignment horizontal="center" vertical="center"/>
    </xf>
    <xf numFmtId="0" fontId="128" fillId="4" borderId="98" xfId="0" applyFont="1" applyFill="1" applyBorder="1" applyAlignment="1">
      <alignment horizontal="left" vertical="center" indent="2"/>
    </xf>
    <xf numFmtId="0" fontId="128" fillId="4" borderId="98" xfId="0" applyFont="1" applyFill="1" applyBorder="1" applyAlignment="1">
      <alignment horizontal="left" vertical="center" indent="3"/>
    </xf>
    <xf numFmtId="167" fontId="101" fillId="7" borderId="91" xfId="0" applyNumberFormat="1" applyFont="1" applyFill="1" applyBorder="1" applyAlignment="1" applyProtection="1">
      <alignment horizontal="center" vertical="center"/>
      <protection locked="0"/>
    </xf>
    <xf numFmtId="181" fontId="101" fillId="7" borderId="91" xfId="0" applyNumberFormat="1" applyFont="1" applyFill="1" applyBorder="1" applyAlignment="1" applyProtection="1">
      <alignment horizontal="center" vertical="center"/>
      <protection locked="0"/>
    </xf>
    <xf numFmtId="183" fontId="101" fillId="7" borderId="91" xfId="0" applyNumberFormat="1" applyFont="1" applyFill="1" applyBorder="1" applyAlignment="1" applyProtection="1">
      <alignment horizontal="center" vertical="center"/>
      <protection locked="0"/>
    </xf>
    <xf numFmtId="182" fontId="101" fillId="7" borderId="91" xfId="0" applyNumberFormat="1" applyFont="1" applyFill="1" applyBorder="1" applyAlignment="1" applyProtection="1">
      <alignment horizontal="center" vertical="center"/>
      <protection locked="0"/>
    </xf>
    <xf numFmtId="168" fontId="101" fillId="7" borderId="91" xfId="1" applyNumberFormat="1" applyFont="1" applyFill="1" applyBorder="1" applyAlignment="1" applyProtection="1">
      <alignment horizontal="center" vertical="center"/>
      <protection locked="0"/>
    </xf>
    <xf numFmtId="190" fontId="101" fillId="7" borderId="91" xfId="0" applyNumberFormat="1" applyFont="1" applyFill="1" applyBorder="1" applyAlignment="1" applyProtection="1">
      <alignment horizontal="center" vertical="center"/>
      <protection locked="0"/>
    </xf>
    <xf numFmtId="198" fontId="101" fillId="7" borderId="91" xfId="0" applyNumberFormat="1" applyFont="1" applyFill="1" applyBorder="1" applyAlignment="1" applyProtection="1">
      <alignment horizontal="center" vertical="center"/>
      <protection locked="0"/>
    </xf>
    <xf numFmtId="0" fontId="107" fillId="15" borderId="0" xfId="0" applyFont="1" applyFill="1" applyAlignment="1">
      <alignment horizontal="center" vertical="center"/>
    </xf>
    <xf numFmtId="167" fontId="101" fillId="7" borderId="92" xfId="0" applyNumberFormat="1" applyFont="1" applyFill="1" applyBorder="1" applyAlignment="1" applyProtection="1">
      <alignment horizontal="center" vertical="center"/>
      <protection locked="0"/>
    </xf>
    <xf numFmtId="170" fontId="101" fillId="7" borderId="92" xfId="0" applyNumberFormat="1" applyFont="1" applyFill="1" applyBorder="1" applyAlignment="1" applyProtection="1">
      <alignment horizontal="center" vertical="center"/>
      <protection locked="0"/>
    </xf>
    <xf numFmtId="14" fontId="101" fillId="7" borderId="92" xfId="0" applyNumberFormat="1" applyFont="1" applyFill="1" applyBorder="1" applyAlignment="1" applyProtection="1">
      <alignment horizontal="center" vertical="center"/>
      <protection locked="0"/>
    </xf>
    <xf numFmtId="203" fontId="101" fillId="7" borderId="91" xfId="0" applyNumberFormat="1" applyFont="1" applyFill="1" applyBorder="1" applyAlignment="1" applyProtection="1">
      <alignment horizontal="center" vertical="center"/>
      <protection locked="0"/>
    </xf>
    <xf numFmtId="0" fontId="7" fillId="0" borderId="0" xfId="34" applyAlignment="1">
      <alignment horizontal="left"/>
    </xf>
    <xf numFmtId="177" fontId="0" fillId="4" borderId="4" xfId="16" applyNumberFormat="1" applyFont="1" applyFill="1" applyBorder="1" applyAlignment="1" applyProtection="1">
      <alignment horizontal="right" vertical="center"/>
      <protection locked="0"/>
    </xf>
    <xf numFmtId="177" fontId="78" fillId="2" borderId="0" xfId="16" applyNumberFormat="1" applyFont="1" applyFill="1" applyAlignment="1" applyProtection="1">
      <alignment horizontal="left" vertical="center" indent="1"/>
      <protection locked="0"/>
    </xf>
    <xf numFmtId="177" fontId="167" fillId="2" borderId="0" xfId="16" applyNumberFormat="1" applyFont="1" applyFill="1" applyAlignment="1" applyProtection="1">
      <alignment horizontal="right" vertical="center"/>
      <protection locked="0"/>
    </xf>
    <xf numFmtId="177" fontId="131" fillId="2" borderId="4" xfId="16" applyNumberFormat="1" applyFont="1" applyFill="1" applyBorder="1" applyAlignment="1" applyProtection="1">
      <alignment horizontal="left" vertical="center" indent="1"/>
      <protection locked="0"/>
    </xf>
    <xf numFmtId="177" fontId="131" fillId="2" borderId="9" xfId="16" applyNumberFormat="1" applyFont="1" applyFill="1" applyBorder="1" applyAlignment="1" applyProtection="1">
      <alignment horizontal="left" vertical="center" indent="1"/>
      <protection locked="0"/>
    </xf>
    <xf numFmtId="0" fontId="87" fillId="0" borderId="0" xfId="34" applyFont="1" applyAlignment="1">
      <alignment horizontal="left" indent="1"/>
    </xf>
    <xf numFmtId="0" fontId="87" fillId="0" borderId="5" xfId="34" applyFont="1" applyBorder="1" applyAlignment="1">
      <alignment horizontal="left" indent="1"/>
    </xf>
    <xf numFmtId="0" fontId="87" fillId="0" borderId="5" xfId="34" applyFont="1" applyBorder="1" applyAlignment="1">
      <alignment horizontal="left" indent="2"/>
    </xf>
    <xf numFmtId="0" fontId="87" fillId="0" borderId="0" xfId="34" applyFont="1" applyAlignment="1">
      <alignment horizontal="left" indent="2"/>
    </xf>
    <xf numFmtId="0" fontId="119" fillId="0" borderId="0" xfId="34" applyFont="1" applyAlignment="1">
      <alignment horizontal="left" indent="1"/>
    </xf>
    <xf numFmtId="0" fontId="32" fillId="21" borderId="1" xfId="0" applyFont="1" applyFill="1" applyBorder="1" applyAlignment="1">
      <alignment horizontal="left" vertical="center" indent="1"/>
    </xf>
    <xf numFmtId="0" fontId="159" fillId="21" borderId="2" xfId="0" applyFont="1" applyFill="1" applyBorder="1" applyAlignment="1">
      <alignment horizontal="centerContinuous" vertical="center"/>
    </xf>
    <xf numFmtId="177" fontId="72" fillId="4" borderId="0" xfId="16" applyNumberFormat="1" applyFont="1" applyFill="1" applyAlignment="1" applyProtection="1">
      <alignment horizontal="center" vertical="center"/>
      <protection locked="0"/>
    </xf>
    <xf numFmtId="0" fontId="32" fillId="8" borderId="1" xfId="0" applyFont="1" applyFill="1" applyBorder="1" applyAlignment="1">
      <alignment horizontal="left" vertical="center" indent="1"/>
    </xf>
    <xf numFmtId="0" fontId="159" fillId="8" borderId="2" xfId="0" applyFont="1" applyFill="1" applyBorder="1" applyAlignment="1">
      <alignment horizontal="centerContinuous" vertical="center"/>
    </xf>
    <xf numFmtId="177" fontId="107" fillId="8" borderId="4" xfId="16" applyNumberFormat="1" applyFont="1" applyFill="1" applyBorder="1" applyAlignment="1" applyProtection="1">
      <alignment horizontal="center" vertical="center" shrinkToFit="1"/>
      <protection locked="0"/>
    </xf>
    <xf numFmtId="0" fontId="87" fillId="0" borderId="5" xfId="34" quotePrefix="1" applyFont="1" applyBorder="1" applyAlignment="1">
      <alignment horizontal="left" indent="2"/>
    </xf>
    <xf numFmtId="0" fontId="129" fillId="0" borderId="0" xfId="0" applyFont="1" applyAlignment="1">
      <alignment horizontal="left" indent="1"/>
    </xf>
    <xf numFmtId="0" fontId="124" fillId="0" borderId="0" xfId="34" applyFont="1" applyAlignment="1">
      <alignment horizontal="left" indent="1"/>
    </xf>
    <xf numFmtId="177" fontId="72" fillId="54" borderId="4" xfId="16" applyNumberFormat="1" applyFont="1" applyFill="1" applyBorder="1" applyAlignment="1" applyProtection="1">
      <alignment horizontal="center" vertical="center"/>
      <protection locked="0"/>
    </xf>
    <xf numFmtId="177" fontId="72" fillId="54" borderId="9" xfId="16" applyNumberFormat="1" applyFont="1" applyFill="1" applyBorder="1" applyAlignment="1" applyProtection="1">
      <alignment horizontal="center" vertical="center"/>
      <protection locked="0"/>
    </xf>
    <xf numFmtId="204" fontId="72" fillId="0" borderId="0" xfId="0" applyNumberFormat="1" applyFont="1" applyAlignment="1">
      <alignment horizontal="right" indent="2"/>
    </xf>
    <xf numFmtId="204" fontId="72" fillId="0" borderId="5" xfId="0" applyNumberFormat="1" applyFont="1" applyBorder="1" applyAlignment="1">
      <alignment horizontal="right" indent="2"/>
    </xf>
    <xf numFmtId="204" fontId="119" fillId="0" borderId="0" xfId="34" applyNumberFormat="1" applyFont="1" applyAlignment="1">
      <alignment horizontal="right" indent="2"/>
    </xf>
    <xf numFmtId="204" fontId="87" fillId="0" borderId="0" xfId="34" applyNumberFormat="1" applyFont="1" applyAlignment="1">
      <alignment horizontal="right" indent="2"/>
    </xf>
    <xf numFmtId="204" fontId="87" fillId="0" borderId="0" xfId="34" applyNumberFormat="1" applyFont="1"/>
    <xf numFmtId="204" fontId="32" fillId="21" borderId="2" xfId="0" applyNumberFormat="1" applyFont="1" applyFill="1" applyBorder="1" applyAlignment="1">
      <alignment horizontal="centerContinuous" vertical="center"/>
    </xf>
    <xf numFmtId="204" fontId="129" fillId="0" borderId="0" xfId="0" applyNumberFormat="1" applyFont="1" applyAlignment="1">
      <alignment horizontal="right" indent="2"/>
    </xf>
    <xf numFmtId="204" fontId="174" fillId="0" borderId="0" xfId="0" applyNumberFormat="1" applyFont="1" applyAlignment="1">
      <alignment horizontal="right" indent="2"/>
    </xf>
    <xf numFmtId="167" fontId="172" fillId="0" borderId="0" xfId="13" applyNumberFormat="1" applyFont="1" applyFill="1" applyBorder="1" applyAlignment="1">
      <alignment horizontal="right" shrinkToFit="1"/>
    </xf>
    <xf numFmtId="167" fontId="99" fillId="0" borderId="71" xfId="13" applyNumberFormat="1" applyFont="1" applyFill="1" applyBorder="1" applyAlignment="1">
      <alignment horizontal="right" vertical="center" shrinkToFit="1"/>
    </xf>
    <xf numFmtId="0" fontId="51" fillId="15" borderId="9" xfId="0" applyFont="1" applyFill="1" applyBorder="1" applyAlignment="1">
      <alignment horizontal="center"/>
    </xf>
    <xf numFmtId="0" fontId="97" fillId="0" borderId="0" xfId="3" applyFont="1"/>
    <xf numFmtId="0" fontId="97" fillId="0" borderId="0" xfId="3" applyFont="1" applyAlignment="1">
      <alignment horizontal="center"/>
    </xf>
    <xf numFmtId="14" fontId="99" fillId="34" borderId="101" xfId="3" applyNumberFormat="1" applyFont="1" applyFill="1" applyBorder="1" applyAlignment="1">
      <alignment horizontal="center"/>
    </xf>
    <xf numFmtId="0" fontId="97" fillId="0" borderId="100" xfId="3" applyFont="1" applyBorder="1" applyAlignment="1">
      <alignment horizontal="left" vertical="center" indent="1"/>
    </xf>
    <xf numFmtId="14" fontId="97" fillId="0" borderId="100" xfId="3" applyNumberFormat="1" applyFont="1" applyBorder="1" applyAlignment="1">
      <alignment horizontal="center" vertical="center"/>
    </xf>
    <xf numFmtId="14" fontId="175" fillId="0" borderId="100" xfId="3" applyNumberFormat="1" applyFont="1" applyBorder="1" applyAlignment="1">
      <alignment horizontal="center" vertical="center"/>
    </xf>
    <xf numFmtId="0" fontId="97" fillId="0" borderId="99" xfId="3" applyFont="1" applyBorder="1" applyAlignment="1">
      <alignment vertical="center"/>
    </xf>
    <xf numFmtId="0" fontId="97" fillId="0" borderId="0" xfId="3" applyFont="1" applyAlignment="1">
      <alignment vertical="center"/>
    </xf>
    <xf numFmtId="194" fontId="97" fillId="0" borderId="100" xfId="3" applyNumberFormat="1" applyFont="1" applyBorder="1" applyAlignment="1">
      <alignment horizontal="left" vertical="center" indent="2"/>
    </xf>
    <xf numFmtId="0" fontId="97" fillId="55" borderId="99" xfId="3" applyFont="1" applyFill="1" applyBorder="1" applyAlignment="1">
      <alignment vertical="center"/>
    </xf>
    <xf numFmtId="0" fontId="97" fillId="0" borderId="99" xfId="3" applyFont="1" applyBorder="1" applyAlignment="1">
      <alignment horizontal="right" vertical="center"/>
    </xf>
    <xf numFmtId="0" fontId="176" fillId="6" borderId="0" xfId="3" applyFont="1" applyFill="1"/>
    <xf numFmtId="0" fontId="176" fillId="6" borderId="0" xfId="3" applyFont="1" applyFill="1" applyAlignment="1">
      <alignment horizontal="center"/>
    </xf>
    <xf numFmtId="0" fontId="176" fillId="0" borderId="0" xfId="3" applyFont="1"/>
    <xf numFmtId="0" fontId="67" fillId="0" borderId="0" xfId="0" applyFont="1"/>
    <xf numFmtId="0" fontId="176" fillId="6" borderId="0" xfId="3" applyFont="1" applyFill="1" applyAlignment="1">
      <alignment horizontal="right"/>
    </xf>
    <xf numFmtId="0" fontId="66" fillId="8" borderId="0" xfId="0" applyFont="1" applyFill="1" applyAlignment="1">
      <alignment horizontal="right" vertical="center" indent="2"/>
    </xf>
    <xf numFmtId="0" fontId="53" fillId="8" borderId="0" xfId="0" applyFont="1" applyFill="1" applyAlignment="1">
      <alignment horizontal="right" vertical="top" indent="3"/>
    </xf>
    <xf numFmtId="0" fontId="97" fillId="0" borderId="0" xfId="3" applyFont="1" applyAlignment="1">
      <alignment horizontal="right"/>
    </xf>
    <xf numFmtId="14" fontId="176" fillId="6" borderId="0" xfId="3" applyNumberFormat="1" applyFont="1" applyFill="1" applyAlignment="1">
      <alignment shrinkToFit="1"/>
    </xf>
    <xf numFmtId="1" fontId="176" fillId="6" borderId="102" xfId="3" applyNumberFormat="1" applyFont="1" applyFill="1" applyBorder="1" applyAlignment="1">
      <alignment shrinkToFit="1"/>
    </xf>
    <xf numFmtId="0" fontId="176" fillId="6" borderId="0" xfId="3" applyFont="1" applyFill="1" applyAlignment="1">
      <alignment shrinkToFit="1"/>
    </xf>
    <xf numFmtId="1" fontId="176" fillId="6" borderId="0" xfId="3" applyNumberFormat="1" applyFont="1" applyFill="1" applyAlignment="1">
      <alignment shrinkToFit="1"/>
    </xf>
    <xf numFmtId="0" fontId="179" fillId="8" borderId="0" xfId="0" applyFont="1" applyFill="1" applyAlignment="1">
      <alignment horizontal="left" vertical="center" shrinkToFit="1"/>
    </xf>
    <xf numFmtId="0" fontId="170" fillId="8" borderId="0" xfId="0" applyFont="1" applyFill="1" applyAlignment="1">
      <alignment horizontal="left" vertical="top" shrinkToFit="1"/>
    </xf>
    <xf numFmtId="0" fontId="176" fillId="0" borderId="0" xfId="3" applyFont="1" applyAlignment="1">
      <alignment shrinkToFit="1"/>
    </xf>
    <xf numFmtId="14" fontId="181" fillId="0" borderId="100" xfId="3" applyNumberFormat="1" applyFont="1" applyBorder="1" applyAlignment="1">
      <alignment horizontal="center" vertical="center" shrinkToFit="1"/>
    </xf>
    <xf numFmtId="0" fontId="97" fillId="0" borderId="100" xfId="3" applyFont="1" applyBorder="1" applyAlignment="1">
      <alignment horizontal="right" vertical="center" indent="2"/>
    </xf>
    <xf numFmtId="177" fontId="97" fillId="0" borderId="100" xfId="3" applyNumberFormat="1" applyFont="1" applyBorder="1" applyAlignment="1">
      <alignment horizontal="right" vertical="center" indent="1"/>
    </xf>
    <xf numFmtId="177" fontId="97" fillId="0" borderId="100" xfId="3" applyNumberFormat="1" applyFont="1" applyBorder="1" applyAlignment="1">
      <alignment horizontal="center" vertical="center"/>
    </xf>
    <xf numFmtId="14" fontId="182" fillId="0" borderId="100" xfId="3" applyNumberFormat="1" applyFont="1" applyBorder="1" applyAlignment="1">
      <alignment horizontal="center" vertical="center" shrinkToFit="1"/>
    </xf>
    <xf numFmtId="0" fontId="173" fillId="28" borderId="0" xfId="3" applyFont="1" applyFill="1" applyAlignment="1">
      <alignment horizontal="left" vertical="center" indent="1"/>
    </xf>
    <xf numFmtId="0" fontId="173" fillId="28" borderId="0" xfId="3" applyFont="1" applyFill="1" applyAlignment="1">
      <alignment horizontal="right" vertical="center" indent="2"/>
    </xf>
    <xf numFmtId="0" fontId="173" fillId="28" borderId="0" xfId="3" applyFont="1" applyFill="1" applyAlignment="1">
      <alignment horizontal="center" vertical="center" wrapText="1"/>
    </xf>
    <xf numFmtId="0" fontId="137" fillId="30" borderId="1" xfId="3" applyFont="1" applyFill="1" applyBorder="1" applyAlignment="1">
      <alignment horizontal="left" vertical="center" indent="1"/>
    </xf>
    <xf numFmtId="0" fontId="173" fillId="30" borderId="2" xfId="3" applyFont="1" applyFill="1" applyBorder="1" applyAlignment="1">
      <alignment horizontal="right" vertical="center" indent="2"/>
    </xf>
    <xf numFmtId="0" fontId="173" fillId="30" borderId="2" xfId="3" applyFont="1" applyFill="1" applyBorder="1" applyAlignment="1">
      <alignment horizontal="center" vertical="center" wrapText="1"/>
    </xf>
    <xf numFmtId="0" fontId="180" fillId="30" borderId="3" xfId="3" applyFont="1" applyFill="1" applyBorder="1" applyAlignment="1">
      <alignment horizontal="center" vertical="center" textRotation="90" shrinkToFit="1"/>
    </xf>
    <xf numFmtId="0" fontId="137" fillId="30" borderId="2" xfId="3" applyFont="1" applyFill="1" applyBorder="1" applyAlignment="1">
      <alignment horizontal="left" vertical="center" indent="1"/>
    </xf>
    <xf numFmtId="0" fontId="27" fillId="0" borderId="0" xfId="0" applyFont="1"/>
    <xf numFmtId="167" fontId="53" fillId="45" borderId="21" xfId="0" applyNumberFormat="1" applyFont="1" applyFill="1" applyBorder="1" applyAlignment="1">
      <alignment horizontal="center" vertical="center" wrapText="1" shrinkToFit="1"/>
    </xf>
    <xf numFmtId="170" fontId="79" fillId="7" borderId="13" xfId="1" applyNumberFormat="1" applyFont="1" applyFill="1" applyBorder="1" applyAlignment="1" applyProtection="1">
      <alignment horizontal="left" vertical="center" indent="1"/>
      <protection locked="0"/>
    </xf>
    <xf numFmtId="170" fontId="79" fillId="7" borderId="21" xfId="1" applyNumberFormat="1" applyFont="1" applyFill="1" applyBorder="1" applyAlignment="1" applyProtection="1">
      <alignment horizontal="left" vertical="center" indent="1" shrinkToFit="1"/>
      <protection locked="0"/>
    </xf>
    <xf numFmtId="205" fontId="0" fillId="0" borderId="0" xfId="0" applyNumberFormat="1"/>
    <xf numFmtId="0" fontId="38" fillId="0" borderId="0" xfId="34" applyFont="1" applyAlignment="1">
      <alignment horizontal="left" vertical="center"/>
    </xf>
    <xf numFmtId="0" fontId="184" fillId="46" borderId="0" xfId="4" applyFont="1" applyFill="1" applyAlignment="1">
      <alignment horizontal="left" vertical="center"/>
    </xf>
    <xf numFmtId="0" fontId="14" fillId="46" borderId="0" xfId="4" applyFill="1" applyAlignment="1">
      <alignment vertical="center"/>
    </xf>
    <xf numFmtId="0" fontId="157" fillId="46" borderId="0" xfId="4" applyFont="1" applyFill="1" applyAlignment="1">
      <alignment horizontal="left" vertical="center"/>
    </xf>
    <xf numFmtId="0" fontId="16" fillId="46" borderId="0" xfId="4" quotePrefix="1" applyFont="1" applyFill="1" applyAlignment="1">
      <alignment vertical="center"/>
    </xf>
    <xf numFmtId="0" fontId="14" fillId="46" borderId="0" xfId="4" applyFill="1" applyAlignment="1">
      <alignment horizontal="center" vertical="center"/>
    </xf>
    <xf numFmtId="0" fontId="23" fillId="46" borderId="0" xfId="4" applyFont="1" applyFill="1" applyAlignment="1">
      <alignment vertical="center"/>
    </xf>
    <xf numFmtId="0" fontId="16" fillId="46" borderId="0" xfId="4" applyFont="1" applyFill="1" applyAlignment="1">
      <alignment horizontal="left" vertical="center"/>
    </xf>
    <xf numFmtId="206" fontId="29" fillId="0" borderId="0" xfId="36" applyNumberFormat="1" applyFont="1" applyAlignment="1">
      <alignment horizontal="center"/>
    </xf>
    <xf numFmtId="167" fontId="31" fillId="0" borderId="0" xfId="6" applyNumberFormat="1" applyFont="1" applyAlignment="1">
      <alignment horizontal="center"/>
    </xf>
    <xf numFmtId="0" fontId="31" fillId="0" borderId="0" xfId="6" applyFont="1" applyAlignment="1">
      <alignment horizontal="center"/>
    </xf>
    <xf numFmtId="201" fontId="29" fillId="0" borderId="0" xfId="6" applyNumberFormat="1" applyFont="1" applyAlignment="1">
      <alignment horizontal="center"/>
    </xf>
    <xf numFmtId="0" fontId="21" fillId="0" borderId="0" xfId="6"/>
    <xf numFmtId="0" fontId="185" fillId="0" borderId="0" xfId="34" applyFont="1" applyAlignment="1">
      <alignment horizontal="left" vertical="center"/>
    </xf>
    <xf numFmtId="167" fontId="156" fillId="0" borderId="0" xfId="6" applyNumberFormat="1" applyFont="1"/>
    <xf numFmtId="0" fontId="29" fillId="6" borderId="0" xfId="6" applyFont="1" applyFill="1" applyAlignment="1">
      <alignment horizontal="center"/>
    </xf>
    <xf numFmtId="167" fontId="28" fillId="0" borderId="0" xfId="7" applyNumberFormat="1"/>
    <xf numFmtId="0" fontId="19" fillId="0" borderId="0" xfId="6" applyFont="1" applyAlignment="1">
      <alignment vertical="center"/>
    </xf>
    <xf numFmtId="0" fontId="156" fillId="0" borderId="0" xfId="6" applyFont="1" applyAlignment="1">
      <alignment vertical="center"/>
    </xf>
    <xf numFmtId="0" fontId="158" fillId="0" borderId="0" xfId="34" applyFont="1" applyAlignment="1">
      <alignment horizontal="center"/>
    </xf>
    <xf numFmtId="0" fontId="27" fillId="0" borderId="0" xfId="34" applyFont="1"/>
    <xf numFmtId="167" fontId="19" fillId="5" borderId="4" xfId="34" applyNumberFormat="1" applyFont="1" applyFill="1" applyBorder="1" applyAlignment="1">
      <alignment horizontal="center" vertical="center"/>
    </xf>
    <xf numFmtId="14" fontId="21" fillId="2" borderId="4" xfId="6" applyNumberFormat="1" applyFill="1" applyBorder="1" applyAlignment="1">
      <alignment horizontal="left"/>
    </xf>
    <xf numFmtId="0" fontId="18" fillId="46" borderId="1" xfId="34" applyFont="1" applyFill="1" applyBorder="1" applyAlignment="1">
      <alignment horizontal="left" vertical="center" indent="1"/>
    </xf>
    <xf numFmtId="0" fontId="18" fillId="46" borderId="2" xfId="34" applyFont="1" applyFill="1" applyBorder="1" applyAlignment="1">
      <alignment horizontal="left" vertical="center" indent="2"/>
    </xf>
    <xf numFmtId="0" fontId="156" fillId="5" borderId="1" xfId="34" applyFont="1" applyFill="1" applyBorder="1" applyAlignment="1">
      <alignment horizontal="left" vertical="center" indent="2"/>
    </xf>
    <xf numFmtId="167" fontId="186" fillId="5" borderId="2" xfId="34" applyNumberFormat="1" applyFont="1" applyFill="1" applyBorder="1" applyAlignment="1">
      <alignment horizontal="right" vertical="center"/>
    </xf>
    <xf numFmtId="167" fontId="186" fillId="5" borderId="3" xfId="34" applyNumberFormat="1" applyFont="1" applyFill="1" applyBorder="1" applyAlignment="1">
      <alignment horizontal="right" vertical="center"/>
    </xf>
    <xf numFmtId="168" fontId="162" fillId="5" borderId="2" xfId="36" applyNumberFormat="1" applyFont="1" applyFill="1" applyBorder="1" applyAlignment="1">
      <alignment horizontal="center" vertical="center"/>
    </xf>
    <xf numFmtId="169" fontId="175" fillId="5" borderId="4" xfId="36" applyNumberFormat="1" applyFont="1" applyFill="1" applyBorder="1" applyAlignment="1">
      <alignment horizontal="center" vertical="center"/>
    </xf>
    <xf numFmtId="169" fontId="181" fillId="5" borderId="4" xfId="36" applyNumberFormat="1" applyFont="1" applyFill="1" applyBorder="1" applyAlignment="1">
      <alignment horizontal="center" vertical="center"/>
    </xf>
    <xf numFmtId="201" fontId="164" fillId="5" borderId="2" xfId="34" applyNumberFormat="1" applyFont="1" applyFill="1" applyBorder="1" applyAlignment="1">
      <alignment horizontal="center" vertical="center"/>
    </xf>
    <xf numFmtId="201" fontId="19" fillId="5" borderId="4" xfId="36" applyNumberFormat="1" applyFont="1" applyFill="1" applyBorder="1" applyAlignment="1">
      <alignment horizontal="center" vertical="center"/>
    </xf>
    <xf numFmtId="0" fontId="18" fillId="51" borderId="1" xfId="34" applyFont="1" applyFill="1" applyBorder="1" applyAlignment="1">
      <alignment horizontal="left" vertical="center" indent="1"/>
    </xf>
    <xf numFmtId="0" fontId="18" fillId="51" borderId="2" xfId="34" applyFont="1" applyFill="1" applyBorder="1" applyAlignment="1">
      <alignment horizontal="left" vertical="center" indent="2"/>
    </xf>
    <xf numFmtId="0" fontId="156" fillId="5" borderId="1" xfId="34" applyFont="1" applyFill="1" applyBorder="1" applyAlignment="1">
      <alignment horizontal="left" vertical="center" indent="1"/>
    </xf>
    <xf numFmtId="0" fontId="156" fillId="5" borderId="3" xfId="34" applyFont="1" applyFill="1" applyBorder="1" applyAlignment="1">
      <alignment horizontal="left" vertical="center" indent="2"/>
    </xf>
    <xf numFmtId="169" fontId="156" fillId="5" borderId="4" xfId="36" applyNumberFormat="1" applyFont="1" applyFill="1" applyBorder="1" applyAlignment="1">
      <alignment horizontal="center" vertical="center"/>
    </xf>
    <xf numFmtId="0" fontId="27" fillId="0" borderId="0" xfId="34" applyFont="1" applyAlignment="1">
      <alignment horizontal="left" indent="1"/>
    </xf>
    <xf numFmtId="0" fontId="156" fillId="5" borderId="4" xfId="34" applyFont="1" applyFill="1" applyBorder="1" applyAlignment="1">
      <alignment horizontal="left" vertical="center" indent="1"/>
    </xf>
    <xf numFmtId="0" fontId="156" fillId="5" borderId="4" xfId="34" applyFont="1" applyFill="1" applyBorder="1" applyAlignment="1">
      <alignment horizontal="left" vertical="center" indent="2"/>
    </xf>
    <xf numFmtId="0" fontId="27" fillId="0" borderId="0" xfId="34" applyFont="1" applyAlignment="1">
      <alignment horizontal="left"/>
    </xf>
    <xf numFmtId="0" fontId="20" fillId="0" borderId="0" xfId="34" applyFont="1" applyAlignment="1">
      <alignment horizontal="left"/>
    </xf>
    <xf numFmtId="0" fontId="20" fillId="0" borderId="0" xfId="34" applyFont="1"/>
    <xf numFmtId="0" fontId="18" fillId="53" borderId="1" xfId="34" applyFont="1" applyFill="1" applyBorder="1" applyAlignment="1">
      <alignment horizontal="left" vertical="center" indent="1"/>
    </xf>
    <xf numFmtId="0" fontId="18" fillId="53" borderId="2" xfId="34" applyFont="1" applyFill="1" applyBorder="1" applyAlignment="1">
      <alignment horizontal="left" vertical="center" indent="2"/>
    </xf>
    <xf numFmtId="0" fontId="18" fillId="53" borderId="3" xfId="34" applyFont="1" applyFill="1" applyBorder="1" applyAlignment="1">
      <alignment horizontal="center" vertical="center"/>
    </xf>
    <xf numFmtId="0" fontId="18" fillId="53" borderId="4" xfId="34" applyFont="1" applyFill="1" applyBorder="1" applyAlignment="1">
      <alignment horizontal="center" vertical="center"/>
    </xf>
    <xf numFmtId="167" fontId="156" fillId="5" borderId="3" xfId="34" applyNumberFormat="1" applyFont="1" applyFill="1" applyBorder="1" applyAlignment="1">
      <alignment horizontal="right" vertical="center"/>
    </xf>
    <xf numFmtId="167" fontId="156" fillId="5" borderId="4" xfId="34" applyNumberFormat="1" applyFont="1" applyFill="1" applyBorder="1" applyAlignment="1">
      <alignment horizontal="right" vertical="center"/>
    </xf>
    <xf numFmtId="0" fontId="156" fillId="5" borderId="10" xfId="34" applyFont="1" applyFill="1" applyBorder="1" applyAlignment="1">
      <alignment horizontal="left" vertical="center" indent="1"/>
    </xf>
    <xf numFmtId="0" fontId="156" fillId="5" borderId="10" xfId="34" applyFont="1" applyFill="1" applyBorder="1" applyAlignment="1">
      <alignment horizontal="left" vertical="center" indent="2"/>
    </xf>
    <xf numFmtId="167" fontId="186" fillId="5" borderId="11" xfId="34" applyNumberFormat="1" applyFont="1" applyFill="1" applyBorder="1" applyAlignment="1">
      <alignment horizontal="right" vertical="center"/>
    </xf>
    <xf numFmtId="167" fontId="156" fillId="5" borderId="12" xfId="34" applyNumberFormat="1" applyFont="1" applyFill="1" applyBorder="1" applyAlignment="1">
      <alignment horizontal="right" vertical="center"/>
    </xf>
    <xf numFmtId="167" fontId="156" fillId="5" borderId="9" xfId="34" applyNumberFormat="1" applyFont="1" applyFill="1" applyBorder="1" applyAlignment="1">
      <alignment horizontal="right" vertical="center"/>
    </xf>
    <xf numFmtId="0" fontId="166" fillId="5" borderId="96" xfId="34" applyFont="1" applyFill="1" applyBorder="1" applyAlignment="1">
      <alignment horizontal="left" vertical="center" indent="2"/>
    </xf>
    <xf numFmtId="0" fontId="166" fillId="5" borderId="96" xfId="34" applyFont="1" applyFill="1" applyBorder="1" applyAlignment="1">
      <alignment horizontal="left" vertical="center" indent="3"/>
    </xf>
    <xf numFmtId="167" fontId="186" fillId="5" borderId="104" xfId="34" applyNumberFormat="1" applyFont="1" applyFill="1" applyBorder="1" applyAlignment="1">
      <alignment horizontal="right" vertical="center"/>
    </xf>
    <xf numFmtId="167" fontId="166" fillId="5" borderId="97" xfId="34" applyNumberFormat="1" applyFont="1" applyFill="1" applyBorder="1" applyAlignment="1">
      <alignment horizontal="right" vertical="center"/>
    </xf>
    <xf numFmtId="167" fontId="166" fillId="5" borderId="84" xfId="34" applyNumberFormat="1" applyFont="1" applyFill="1" applyBorder="1" applyAlignment="1">
      <alignment horizontal="right" vertical="center"/>
    </xf>
    <xf numFmtId="0" fontId="156" fillId="5" borderId="1" xfId="34" applyFont="1" applyFill="1" applyBorder="1" applyAlignment="1">
      <alignment horizontal="left" vertical="center" indent="3"/>
    </xf>
    <xf numFmtId="0" fontId="156" fillId="5" borderId="1" xfId="34" applyFont="1" applyFill="1" applyBorder="1" applyAlignment="1">
      <alignment horizontal="left" vertical="center" indent="4"/>
    </xf>
    <xf numFmtId="169" fontId="186" fillId="5" borderId="2" xfId="36" applyNumberFormat="1" applyFont="1" applyFill="1" applyBorder="1" applyAlignment="1">
      <alignment horizontal="right" vertical="center"/>
    </xf>
    <xf numFmtId="169" fontId="156" fillId="5" borderId="3" xfId="36" applyNumberFormat="1" applyFont="1" applyFill="1" applyBorder="1" applyAlignment="1">
      <alignment horizontal="center" vertical="center"/>
    </xf>
    <xf numFmtId="0" fontId="156" fillId="5" borderId="2" xfId="34" applyFont="1" applyFill="1" applyBorder="1" applyAlignment="1">
      <alignment horizontal="left" vertical="center" indent="2"/>
    </xf>
    <xf numFmtId="167" fontId="156" fillId="5" borderId="3" xfId="34" applyNumberFormat="1" applyFont="1" applyFill="1" applyBorder="1" applyAlignment="1">
      <alignment horizontal="center" vertical="center"/>
    </xf>
    <xf numFmtId="167" fontId="156" fillId="5" borderId="4" xfId="34" applyNumberFormat="1" applyFont="1" applyFill="1" applyBorder="1" applyAlignment="1">
      <alignment horizontal="center" vertical="center"/>
    </xf>
    <xf numFmtId="202" fontId="156" fillId="5" borderId="4" xfId="36" applyNumberFormat="1" applyFont="1" applyFill="1" applyBorder="1" applyAlignment="1">
      <alignment horizontal="center" vertical="center"/>
    </xf>
    <xf numFmtId="170" fontId="156" fillId="5" borderId="3" xfId="34" applyNumberFormat="1" applyFont="1" applyFill="1" applyBorder="1" applyAlignment="1">
      <alignment horizontal="center" vertical="center"/>
    </xf>
    <xf numFmtId="167" fontId="7" fillId="0" borderId="0" xfId="34" applyNumberFormat="1"/>
    <xf numFmtId="166" fontId="33" fillId="9" borderId="11" xfId="37" applyNumberFormat="1" applyFont="1" applyFill="1" applyBorder="1" applyAlignment="1">
      <alignment horizontal="right" vertical="center" indent="1"/>
    </xf>
    <xf numFmtId="0" fontId="34" fillId="47" borderId="11" xfId="6" applyFont="1" applyFill="1" applyBorder="1" applyAlignment="1">
      <alignment horizontal="left" vertical="center" indent="1"/>
    </xf>
    <xf numFmtId="9" fontId="160" fillId="50" borderId="23" xfId="36" applyFont="1" applyFill="1" applyBorder="1" applyAlignment="1">
      <alignment horizontal="centerContinuous" vertical="center"/>
    </xf>
    <xf numFmtId="9" fontId="161" fillId="50" borderId="18" xfId="36" applyFont="1" applyFill="1" applyBorder="1" applyAlignment="1">
      <alignment horizontal="centerContinuous" vertical="center"/>
    </xf>
    <xf numFmtId="9" fontId="159" fillId="46" borderId="7" xfId="36" applyFont="1" applyFill="1" applyBorder="1" applyAlignment="1">
      <alignment vertical="center"/>
    </xf>
    <xf numFmtId="9" fontId="35" fillId="9" borderId="24" xfId="6" applyNumberFormat="1" applyFont="1" applyFill="1" applyBorder="1" applyAlignment="1">
      <alignment horizontal="left" vertical="center" indent="2"/>
    </xf>
    <xf numFmtId="9" fontId="159" fillId="9" borderId="24" xfId="36" applyFont="1" applyFill="1" applyBorder="1" applyAlignment="1">
      <alignment vertical="center"/>
    </xf>
    <xf numFmtId="9" fontId="159" fillId="9" borderId="7" xfId="36" applyFont="1" applyFill="1" applyBorder="1" applyAlignment="1">
      <alignment vertical="center"/>
    </xf>
    <xf numFmtId="0" fontId="35" fillId="47" borderId="24" xfId="6" applyFont="1" applyFill="1" applyBorder="1" applyAlignment="1">
      <alignment horizontal="left" vertical="center" indent="2"/>
    </xf>
    <xf numFmtId="9" fontId="159" fillId="47" borderId="24" xfId="36" applyFont="1" applyFill="1" applyBorder="1" applyAlignment="1">
      <alignment vertical="center"/>
    </xf>
    <xf numFmtId="9" fontId="159" fillId="47" borderId="7" xfId="36" applyFont="1" applyFill="1" applyBorder="1" applyAlignment="1">
      <alignment vertical="center"/>
    </xf>
    <xf numFmtId="9" fontId="159" fillId="48" borderId="24" xfId="36" applyFont="1" applyFill="1" applyBorder="1" applyAlignment="1">
      <alignment vertical="center"/>
    </xf>
    <xf numFmtId="9" fontId="159" fillId="48" borderId="7" xfId="36" applyFont="1" applyFill="1" applyBorder="1" applyAlignment="1">
      <alignment vertical="center"/>
    </xf>
    <xf numFmtId="9" fontId="161" fillId="50" borderId="27" xfId="36" applyFont="1" applyFill="1" applyBorder="1" applyAlignment="1">
      <alignment horizontal="centerContinuous" vertical="center"/>
    </xf>
    <xf numFmtId="9" fontId="161" fillId="50" borderId="26" xfId="36" applyFont="1" applyFill="1" applyBorder="1" applyAlignment="1">
      <alignment horizontal="centerContinuous" vertical="center"/>
    </xf>
    <xf numFmtId="0" fontId="33" fillId="46" borderId="32" xfId="6" applyFont="1" applyFill="1" applyBorder="1" applyAlignment="1">
      <alignment horizontal="center" vertical="center"/>
    </xf>
    <xf numFmtId="0" fontId="33" fillId="56" borderId="32" xfId="6" applyFont="1" applyFill="1" applyBorder="1" applyAlignment="1">
      <alignment horizontal="center" vertical="center"/>
    </xf>
    <xf numFmtId="9" fontId="161" fillId="46" borderId="6" xfId="36" applyFont="1" applyFill="1" applyBorder="1" applyAlignment="1">
      <alignment horizontal="centerContinuous" vertical="center"/>
    </xf>
    <xf numFmtId="9" fontId="161" fillId="9" borderId="94" xfId="36" applyFont="1" applyFill="1" applyBorder="1" applyAlignment="1">
      <alignment horizontal="centerContinuous" vertical="center"/>
    </xf>
    <xf numFmtId="9" fontId="161" fillId="47" borderId="94" xfId="36" applyFont="1" applyFill="1" applyBorder="1" applyAlignment="1">
      <alignment horizontal="centerContinuous" vertical="center"/>
    </xf>
    <xf numFmtId="9" fontId="161" fillId="48" borderId="94" xfId="36" applyFont="1" applyFill="1" applyBorder="1" applyAlignment="1">
      <alignment horizontal="centerContinuous" vertical="center"/>
    </xf>
    <xf numFmtId="9" fontId="161" fillId="49" borderId="15" xfId="36" applyFont="1" applyFill="1" applyBorder="1" applyAlignment="1">
      <alignment horizontal="centerContinuous" vertical="center"/>
    </xf>
    <xf numFmtId="9" fontId="161" fillId="50" borderId="15" xfId="36" applyFont="1" applyFill="1" applyBorder="1" applyAlignment="1">
      <alignment horizontal="centerContinuous" vertical="center"/>
    </xf>
    <xf numFmtId="9" fontId="33" fillId="46" borderId="94" xfId="36" applyFont="1" applyFill="1" applyBorder="1" applyAlignment="1">
      <alignment horizontal="centerContinuous" vertical="center"/>
    </xf>
    <xf numFmtId="9" fontId="33" fillId="46" borderId="0" xfId="36" applyFont="1" applyFill="1" applyBorder="1" applyAlignment="1">
      <alignment horizontal="centerContinuous" vertical="center"/>
    </xf>
    <xf numFmtId="0" fontId="33" fillId="56" borderId="19" xfId="6" applyFont="1" applyFill="1" applyBorder="1" applyAlignment="1">
      <alignment horizontal="center"/>
    </xf>
    <xf numFmtId="10" fontId="33" fillId="9" borderId="19" xfId="6" applyNumberFormat="1" applyFont="1" applyFill="1" applyBorder="1" applyAlignment="1">
      <alignment horizontal="center" vertical="center"/>
    </xf>
    <xf numFmtId="201" fontId="33" fillId="56" borderId="19" xfId="6" applyNumberFormat="1" applyFont="1" applyFill="1" applyBorder="1" applyAlignment="1">
      <alignment horizontal="center" vertical="top"/>
    </xf>
    <xf numFmtId="168" fontId="33" fillId="47" borderId="19" xfId="36" applyNumberFormat="1" applyFont="1" applyFill="1" applyBorder="1" applyAlignment="1">
      <alignment horizontal="center" vertical="center"/>
    </xf>
    <xf numFmtId="168" fontId="33" fillId="48" borderId="19" xfId="36" applyNumberFormat="1" applyFont="1" applyFill="1" applyBorder="1" applyAlignment="1">
      <alignment horizontal="center" vertical="center"/>
    </xf>
    <xf numFmtId="168" fontId="164" fillId="52" borderId="4" xfId="36" applyNumberFormat="1" applyFont="1" applyFill="1" applyBorder="1" applyAlignment="1">
      <alignment horizontal="center" vertical="center" shrinkToFit="1"/>
    </xf>
    <xf numFmtId="10" fontId="165" fillId="52" borderId="4" xfId="36" applyNumberFormat="1" applyFont="1" applyFill="1" applyBorder="1" applyAlignment="1">
      <alignment horizontal="right" vertical="center" shrinkToFit="1"/>
    </xf>
    <xf numFmtId="167" fontId="164" fillId="5" borderId="4" xfId="34" applyNumberFormat="1" applyFont="1" applyFill="1" applyBorder="1" applyAlignment="1">
      <alignment horizontal="center" vertical="center"/>
    </xf>
    <xf numFmtId="201" fontId="187" fillId="22" borderId="6" xfId="4" applyNumberFormat="1" applyFont="1" applyFill="1" applyBorder="1" applyAlignment="1">
      <alignment horizontal="center" vertical="center" shrinkToFit="1"/>
    </xf>
    <xf numFmtId="167" fontId="164" fillId="5" borderId="6" xfId="38" applyNumberFormat="1" applyFont="1" applyFill="1" applyBorder="1" applyAlignment="1">
      <alignment horizontal="right" vertical="center"/>
    </xf>
    <xf numFmtId="167" fontId="164" fillId="5" borderId="4" xfId="38" applyNumberFormat="1" applyFont="1" applyFill="1" applyBorder="1" applyAlignment="1">
      <alignment horizontal="right" vertical="center"/>
    </xf>
    <xf numFmtId="0" fontId="7" fillId="0" borderId="6" xfId="34" applyBorder="1"/>
    <xf numFmtId="167" fontId="164" fillId="5" borderId="6" xfId="34" applyNumberFormat="1" applyFont="1" applyFill="1" applyBorder="1" applyAlignment="1">
      <alignment horizontal="right" vertical="center"/>
    </xf>
    <xf numFmtId="167" fontId="165" fillId="5" borderId="6" xfId="34" applyNumberFormat="1" applyFont="1" applyFill="1" applyBorder="1" applyAlignment="1">
      <alignment horizontal="right" vertical="center"/>
    </xf>
    <xf numFmtId="167" fontId="164" fillId="5" borderId="4" xfId="34" applyNumberFormat="1" applyFont="1" applyFill="1" applyBorder="1" applyAlignment="1">
      <alignment horizontal="right" vertical="center"/>
    </xf>
    <xf numFmtId="167" fontId="165" fillId="5" borderId="4" xfId="34" applyNumberFormat="1" applyFont="1" applyFill="1" applyBorder="1" applyAlignment="1">
      <alignment horizontal="right" vertical="center"/>
    </xf>
    <xf numFmtId="167" fontId="169" fillId="0" borderId="0" xfId="34" applyNumberFormat="1" applyFont="1"/>
    <xf numFmtId="167" fontId="169" fillId="0" borderId="4" xfId="34" applyNumberFormat="1" applyFont="1" applyBorder="1"/>
    <xf numFmtId="167" fontId="164" fillId="7" borderId="6" xfId="34" applyNumberFormat="1" applyFont="1" applyFill="1" applyBorder="1" applyAlignment="1">
      <alignment horizontal="right" vertical="center"/>
    </xf>
    <xf numFmtId="0" fontId="21" fillId="4" borderId="4" xfId="6" applyFill="1" applyBorder="1" applyAlignment="1">
      <alignment horizontal="center"/>
    </xf>
    <xf numFmtId="167" fontId="21" fillId="4" borderId="4" xfId="6" applyNumberFormat="1" applyFill="1" applyBorder="1" applyAlignment="1">
      <alignment horizontal="center"/>
    </xf>
    <xf numFmtId="164" fontId="21" fillId="4" borderId="4" xfId="6" applyNumberFormat="1" applyFill="1" applyBorder="1" applyAlignment="1">
      <alignment horizontal="left" indent="1"/>
    </xf>
    <xf numFmtId="208" fontId="164" fillId="4" borderId="4" xfId="34" applyNumberFormat="1" applyFont="1" applyFill="1" applyBorder="1" applyAlignment="1">
      <alignment horizontal="center" vertical="center"/>
    </xf>
    <xf numFmtId="167" fontId="164" fillId="4" borderId="4" xfId="34" applyNumberFormat="1" applyFont="1" applyFill="1" applyBorder="1" applyAlignment="1">
      <alignment horizontal="right" vertical="center"/>
    </xf>
    <xf numFmtId="0" fontId="171" fillId="0" borderId="0" xfId="34" applyFont="1"/>
    <xf numFmtId="169" fontId="7" fillId="0" borderId="0" xfId="34" applyNumberFormat="1"/>
    <xf numFmtId="207" fontId="99" fillId="13" borderId="4" xfId="6" applyNumberFormat="1" applyFont="1" applyFill="1" applyBorder="1" applyAlignment="1">
      <alignment horizontal="center" vertical="center"/>
    </xf>
    <xf numFmtId="169" fontId="99" fillId="13" borderId="4" xfId="36" applyNumberFormat="1" applyFont="1" applyFill="1" applyBorder="1" applyAlignment="1">
      <alignment horizontal="center" vertical="center"/>
    </xf>
    <xf numFmtId="14" fontId="99" fillId="13" borderId="0" xfId="6" applyNumberFormat="1" applyFont="1" applyFill="1" applyAlignment="1">
      <alignment horizontal="center" vertical="center"/>
    </xf>
    <xf numFmtId="0" fontId="89" fillId="46" borderId="0" xfId="4" applyFont="1" applyFill="1" applyAlignment="1">
      <alignment horizontal="left" vertical="center"/>
    </xf>
    <xf numFmtId="0" fontId="96" fillId="46" borderId="0" xfId="4" applyFont="1" applyFill="1" applyAlignment="1">
      <alignment vertical="center"/>
    </xf>
    <xf numFmtId="0" fontId="96" fillId="46" borderId="0" xfId="4" quotePrefix="1" applyFont="1" applyFill="1" applyAlignment="1">
      <alignment vertical="center"/>
    </xf>
    <xf numFmtId="0" fontId="96" fillId="46" borderId="0" xfId="4" applyFont="1" applyFill="1" applyAlignment="1">
      <alignment horizontal="center" vertical="center"/>
    </xf>
    <xf numFmtId="0" fontId="96" fillId="46" borderId="0" xfId="4" applyFont="1" applyFill="1" applyAlignment="1">
      <alignment horizontal="left" vertical="center"/>
    </xf>
    <xf numFmtId="0" fontId="89" fillId="0" borderId="0" xfId="34" applyFont="1"/>
    <xf numFmtId="0" fontId="89" fillId="46" borderId="0" xfId="4" applyFont="1" applyFill="1" applyAlignment="1">
      <alignment horizontal="left" vertical="center" indent="2"/>
    </xf>
    <xf numFmtId="0" fontId="185" fillId="6" borderId="0" xfId="34" applyFont="1" applyFill="1" applyAlignment="1">
      <alignment horizontal="left" vertical="center"/>
    </xf>
    <xf numFmtId="191" fontId="185" fillId="6" borderId="0" xfId="34" applyNumberFormat="1" applyFont="1" applyFill="1" applyAlignment="1">
      <alignment horizontal="left" vertical="center"/>
    </xf>
    <xf numFmtId="10" fontId="164" fillId="52" borderId="4" xfId="36" applyNumberFormat="1" applyFont="1" applyFill="1" applyBorder="1" applyAlignment="1">
      <alignment horizontal="center" vertical="center" shrinkToFit="1"/>
    </xf>
    <xf numFmtId="0" fontId="33" fillId="46" borderId="11" xfId="6" applyFont="1" applyFill="1" applyBorder="1" applyAlignment="1">
      <alignment horizontal="left" vertical="center" indent="1"/>
    </xf>
    <xf numFmtId="0" fontId="33" fillId="46" borderId="24" xfId="6" applyFont="1" applyFill="1" applyBorder="1" applyAlignment="1">
      <alignment horizontal="left" vertical="center" indent="1"/>
    </xf>
    <xf numFmtId="10" fontId="32" fillId="46" borderId="11" xfId="8" applyNumberFormat="1" applyFont="1" applyFill="1" applyBorder="1" applyAlignment="1">
      <alignment horizontal="right" vertical="center"/>
    </xf>
    <xf numFmtId="10" fontId="35" fillId="46" borderId="24" xfId="8" applyNumberFormat="1" applyFont="1" applyFill="1" applyBorder="1" applyAlignment="1">
      <alignment horizontal="right" vertical="center"/>
    </xf>
    <xf numFmtId="0" fontId="33" fillId="47" borderId="11" xfId="6" applyFont="1" applyFill="1" applyBorder="1" applyAlignment="1">
      <alignment horizontal="left" vertical="center" indent="1"/>
    </xf>
    <xf numFmtId="201" fontId="33" fillId="47" borderId="24" xfId="6" applyNumberFormat="1" applyFont="1" applyFill="1" applyBorder="1" applyAlignment="1">
      <alignment horizontal="left" vertical="center" indent="1"/>
    </xf>
    <xf numFmtId="10" fontId="32" fillId="47" borderId="11" xfId="8" applyNumberFormat="1" applyFont="1" applyFill="1" applyBorder="1" applyAlignment="1">
      <alignment horizontal="right" vertical="center"/>
    </xf>
    <xf numFmtId="10" fontId="35" fillId="47" borderId="24" xfId="8" applyNumberFormat="1" applyFont="1" applyFill="1" applyBorder="1" applyAlignment="1">
      <alignment horizontal="right" vertical="center"/>
    </xf>
    <xf numFmtId="10" fontId="32" fillId="48" borderId="11" xfId="8" applyNumberFormat="1" applyFont="1" applyFill="1" applyBorder="1" applyAlignment="1">
      <alignment horizontal="right" vertical="center"/>
    </xf>
    <xf numFmtId="10" fontId="35" fillId="48" borderId="24" xfId="8" applyNumberFormat="1" applyFont="1" applyFill="1" applyBorder="1" applyAlignment="1">
      <alignment horizontal="right" vertical="center"/>
    </xf>
    <xf numFmtId="201" fontId="33" fillId="48" borderId="24" xfId="6" applyNumberFormat="1" applyFont="1" applyFill="1" applyBorder="1" applyAlignment="1">
      <alignment horizontal="left" vertical="center" indent="1"/>
    </xf>
    <xf numFmtId="0" fontId="33" fillId="48" borderId="11" xfId="6" applyFont="1" applyFill="1" applyBorder="1" applyAlignment="1">
      <alignment horizontal="left" vertical="center" indent="1"/>
    </xf>
    <xf numFmtId="201" fontId="7" fillId="0" borderId="6" xfId="34" applyNumberFormat="1" applyBorder="1"/>
    <xf numFmtId="0" fontId="183" fillId="21" borderId="0" xfId="34" applyFont="1" applyFill="1"/>
    <xf numFmtId="167" fontId="156" fillId="0" borderId="6" xfId="34" applyNumberFormat="1" applyFont="1" applyBorder="1" applyAlignment="1">
      <alignment horizontal="right" vertical="center"/>
    </xf>
    <xf numFmtId="167" fontId="186" fillId="5" borderId="38" xfId="34" applyNumberFormat="1" applyFont="1" applyFill="1" applyBorder="1" applyAlignment="1">
      <alignment horizontal="right" vertical="center"/>
    </xf>
    <xf numFmtId="167" fontId="186" fillId="5" borderId="24" xfId="34" applyNumberFormat="1" applyFont="1" applyFill="1" applyBorder="1" applyAlignment="1">
      <alignment horizontal="right" vertical="center"/>
    </xf>
    <xf numFmtId="0" fontId="18" fillId="53" borderId="3" xfId="34" applyFont="1" applyFill="1" applyBorder="1" applyAlignment="1">
      <alignment vertical="center"/>
    </xf>
    <xf numFmtId="167" fontId="186" fillId="5" borderId="3" xfId="34" applyNumberFormat="1" applyFont="1" applyFill="1" applyBorder="1" applyAlignment="1">
      <alignment vertical="center"/>
    </xf>
    <xf numFmtId="167" fontId="186" fillId="5" borderId="31" xfId="34" applyNumberFormat="1" applyFont="1" applyFill="1" applyBorder="1" applyAlignment="1">
      <alignment vertical="center"/>
    </xf>
    <xf numFmtId="167" fontId="186" fillId="5" borderId="7" xfId="34" applyNumberFormat="1" applyFont="1" applyFill="1" applyBorder="1" applyAlignment="1">
      <alignment vertical="center"/>
    </xf>
    <xf numFmtId="169" fontId="186" fillId="5" borderId="3" xfId="36" applyNumberFormat="1" applyFont="1" applyFill="1" applyBorder="1" applyAlignment="1">
      <alignment vertical="center"/>
    </xf>
    <xf numFmtId="0" fontId="7" fillId="0" borderId="3" xfId="34" applyBorder="1"/>
    <xf numFmtId="0" fontId="156" fillId="5" borderId="3" xfId="34" applyFont="1" applyFill="1" applyBorder="1" applyAlignment="1">
      <alignment vertical="center"/>
    </xf>
    <xf numFmtId="169" fontId="189" fillId="5" borderId="3" xfId="36" applyNumberFormat="1" applyFont="1" applyFill="1" applyBorder="1" applyAlignment="1">
      <alignment horizontal="center" vertical="center"/>
    </xf>
    <xf numFmtId="204" fontId="165" fillId="52" borderId="4" xfId="36" applyNumberFormat="1" applyFont="1" applyFill="1" applyBorder="1" applyAlignment="1">
      <alignment horizontal="right" vertical="center" shrinkToFit="1"/>
    </xf>
    <xf numFmtId="0" fontId="27" fillId="0" borderId="0" xfId="34" applyFont="1" applyAlignment="1">
      <alignment horizontal="right"/>
    </xf>
    <xf numFmtId="168" fontId="188" fillId="0" borderId="0" xfId="34" applyNumberFormat="1" applyFont="1" applyAlignment="1">
      <alignment horizontal="right"/>
    </xf>
    <xf numFmtId="202" fontId="27" fillId="0" borderId="0" xfId="34" applyNumberFormat="1" applyFont="1" applyAlignment="1">
      <alignment horizontal="right"/>
    </xf>
    <xf numFmtId="9" fontId="7" fillId="0" borderId="0" xfId="34" applyNumberFormat="1" applyAlignment="1">
      <alignment horizontal="right"/>
    </xf>
    <xf numFmtId="167" fontId="27" fillId="0" borderId="0" xfId="34" applyNumberFormat="1" applyFont="1" applyAlignment="1">
      <alignment horizontal="right"/>
    </xf>
    <xf numFmtId="202" fontId="7" fillId="0" borderId="0" xfId="34" applyNumberFormat="1" applyAlignment="1">
      <alignment horizontal="right"/>
    </xf>
    <xf numFmtId="0" fontId="137" fillId="14" borderId="1" xfId="0" applyFont="1" applyFill="1" applyBorder="1" applyAlignment="1">
      <alignment horizontal="left" vertical="center" indent="1"/>
    </xf>
    <xf numFmtId="0" fontId="128" fillId="4" borderId="105" xfId="0" applyFont="1" applyFill="1" applyBorder="1" applyAlignment="1">
      <alignment horizontal="left" vertical="center" indent="2"/>
    </xf>
    <xf numFmtId="0" fontId="101" fillId="4" borderId="106" xfId="0" applyFont="1" applyFill="1" applyBorder="1" applyAlignment="1" applyProtection="1">
      <alignment horizontal="center" vertical="center"/>
      <protection locked="0"/>
    </xf>
    <xf numFmtId="0" fontId="137" fillId="14" borderId="2" xfId="0" applyFont="1" applyFill="1" applyBorder="1" applyAlignment="1">
      <alignment horizontal="left" vertical="center" indent="1"/>
    </xf>
    <xf numFmtId="0" fontId="137" fillId="14" borderId="3" xfId="0" applyFont="1" applyFill="1" applyBorder="1" applyAlignment="1">
      <alignment horizontal="left" vertical="center" indent="1"/>
    </xf>
    <xf numFmtId="0" fontId="18" fillId="51" borderId="10" xfId="34" applyFont="1" applyFill="1" applyBorder="1" applyAlignment="1">
      <alignment horizontal="left" vertical="center" indent="1"/>
    </xf>
    <xf numFmtId="0" fontId="18" fillId="51" borderId="12" xfId="4" applyFont="1" applyFill="1" applyBorder="1" applyAlignment="1">
      <alignment vertical="center"/>
    </xf>
    <xf numFmtId="0" fontId="18" fillId="51" borderId="9" xfId="4" applyFont="1" applyFill="1" applyBorder="1" applyAlignment="1">
      <alignment horizontal="center" vertical="center"/>
    </xf>
    <xf numFmtId="0" fontId="128" fillId="4" borderId="108" xfId="0" applyFont="1" applyFill="1" applyBorder="1" applyAlignment="1">
      <alignment horizontal="left" vertical="center" indent="2"/>
    </xf>
    <xf numFmtId="0" fontId="128" fillId="4" borderId="110" xfId="0" applyFont="1" applyFill="1" applyBorder="1" applyAlignment="1">
      <alignment horizontal="left" vertical="center" indent="2"/>
    </xf>
    <xf numFmtId="0" fontId="18" fillId="53" borderId="10" xfId="34" applyFont="1" applyFill="1" applyBorder="1" applyAlignment="1">
      <alignment horizontal="left" vertical="center" indent="1"/>
    </xf>
    <xf numFmtId="0" fontId="18" fillId="53" borderId="12" xfId="34" applyFont="1" applyFill="1" applyBorder="1" applyAlignment="1">
      <alignment vertical="center"/>
    </xf>
    <xf numFmtId="167" fontId="186" fillId="4" borderId="109" xfId="34" applyNumberFormat="1" applyFont="1" applyFill="1" applyBorder="1" applyAlignment="1">
      <alignment vertical="center"/>
    </xf>
    <xf numFmtId="167" fontId="186" fillId="4" borderId="111" xfId="34" applyNumberFormat="1" applyFont="1" applyFill="1" applyBorder="1" applyAlignment="1">
      <alignment vertical="center"/>
    </xf>
    <xf numFmtId="0" fontId="7" fillId="0" borderId="7" xfId="34" applyBorder="1"/>
    <xf numFmtId="0" fontId="128" fillId="4" borderId="115" xfId="0" applyFont="1" applyFill="1" applyBorder="1" applyAlignment="1">
      <alignment horizontal="left" vertical="center" indent="2"/>
    </xf>
    <xf numFmtId="169" fontId="186" fillId="4" borderId="116" xfId="36" applyNumberFormat="1" applyFont="1" applyFill="1" applyBorder="1" applyAlignment="1">
      <alignment vertical="center"/>
    </xf>
    <xf numFmtId="0" fontId="128" fillId="4" borderId="110" xfId="0" applyFont="1" applyFill="1" applyBorder="1" applyAlignment="1">
      <alignment horizontal="left" vertical="center" indent="3"/>
    </xf>
    <xf numFmtId="0" fontId="128" fillId="4" borderId="110" xfId="0" applyFont="1" applyFill="1" applyBorder="1" applyAlignment="1">
      <alignment horizontal="left" vertical="center" indent="4"/>
    </xf>
    <xf numFmtId="0" fontId="128" fillId="4" borderId="114" xfId="0" applyFont="1" applyFill="1" applyBorder="1" applyAlignment="1">
      <alignment horizontal="left" vertical="center" indent="4"/>
    </xf>
    <xf numFmtId="0" fontId="146" fillId="4" borderId="117" xfId="0" applyFont="1" applyFill="1" applyBorder="1" applyAlignment="1">
      <alignment horizontal="left" vertical="center" indent="2"/>
    </xf>
    <xf numFmtId="167" fontId="186" fillId="4" borderId="118" xfId="34" applyNumberFormat="1" applyFont="1" applyFill="1" applyBorder="1" applyAlignment="1">
      <alignment vertical="center"/>
    </xf>
    <xf numFmtId="0" fontId="128" fillId="4" borderId="120" xfId="0" applyFont="1" applyFill="1" applyBorder="1" applyAlignment="1">
      <alignment horizontal="left" vertical="center" indent="3"/>
    </xf>
    <xf numFmtId="167" fontId="186" fillId="4" borderId="121" xfId="34" applyNumberFormat="1" applyFont="1" applyFill="1" applyBorder="1" applyAlignment="1">
      <alignment vertical="center"/>
    </xf>
    <xf numFmtId="177" fontId="39" fillId="54" borderId="4" xfId="16" applyNumberFormat="1" applyFont="1" applyFill="1" applyBorder="1" applyAlignment="1" applyProtection="1">
      <alignment horizontal="right" vertical="center"/>
      <protection locked="0"/>
    </xf>
    <xf numFmtId="177" fontId="39" fillId="4" borderId="30" xfId="16" applyNumberFormat="1" applyFont="1" applyFill="1" applyBorder="1" applyAlignment="1" applyProtection="1">
      <alignment horizontal="right" vertical="center"/>
      <protection locked="0"/>
    </xf>
    <xf numFmtId="177" fontId="39" fillId="4" borderId="6" xfId="16" applyNumberFormat="1" applyFont="1" applyFill="1" applyBorder="1" applyAlignment="1" applyProtection="1">
      <alignment horizontal="right" vertical="center"/>
      <protection locked="0"/>
    </xf>
    <xf numFmtId="177" fontId="39" fillId="4" borderId="4" xfId="16" applyNumberFormat="1" applyFont="1" applyFill="1" applyBorder="1" applyAlignment="1" applyProtection="1">
      <alignment horizontal="right" vertical="center"/>
      <protection locked="0"/>
    </xf>
    <xf numFmtId="177" fontId="172" fillId="0" borderId="0" xfId="34" applyNumberFormat="1" applyFont="1" applyAlignment="1">
      <alignment horizontal="right" shrinkToFit="1"/>
    </xf>
    <xf numFmtId="0" fontId="34" fillId="21" borderId="2" xfId="0" applyFont="1" applyFill="1" applyBorder="1" applyAlignment="1">
      <alignment horizontal="centerContinuous" vertical="center"/>
    </xf>
    <xf numFmtId="177" fontId="190" fillId="4" borderId="6" xfId="16" applyNumberFormat="1" applyFont="1" applyFill="1" applyBorder="1" applyAlignment="1" applyProtection="1">
      <alignment horizontal="right" vertical="center"/>
      <protection locked="0"/>
    </xf>
    <xf numFmtId="166" fontId="0" fillId="0" borderId="0" xfId="11" applyNumberFormat="1" applyFont="1"/>
    <xf numFmtId="166" fontId="0" fillId="0" borderId="0" xfId="0" applyNumberFormat="1"/>
    <xf numFmtId="177" fontId="39" fillId="4" borderId="4" xfId="16" applyNumberFormat="1" applyFont="1" applyFill="1" applyBorder="1" applyAlignment="1" applyProtection="1">
      <alignment horizontal="right"/>
      <protection locked="0"/>
    </xf>
    <xf numFmtId="177" fontId="173" fillId="30" borderId="2" xfId="3" applyNumberFormat="1" applyFont="1" applyFill="1" applyBorder="1" applyAlignment="1">
      <alignment horizontal="center" vertical="center"/>
    </xf>
    <xf numFmtId="201" fontId="67" fillId="0" borderId="0" xfId="34" applyNumberFormat="1" applyFont="1"/>
    <xf numFmtId="0" fontId="191" fillId="28" borderId="0" xfId="3" applyFont="1" applyFill="1" applyAlignment="1">
      <alignment horizontal="center" vertical="center" textRotation="90" shrinkToFit="1"/>
    </xf>
    <xf numFmtId="194" fontId="114" fillId="44" borderId="91" xfId="3" applyNumberFormat="1" applyFont="1" applyFill="1" applyBorder="1" applyAlignment="1">
      <alignment horizontal="center" vertical="center"/>
    </xf>
    <xf numFmtId="0" fontId="78" fillId="4" borderId="123" xfId="15" applyFont="1" applyFill="1" applyBorder="1" applyAlignment="1">
      <alignment horizontal="left" vertical="center" indent="2"/>
    </xf>
    <xf numFmtId="194" fontId="114" fillId="44" borderId="123" xfId="3" applyNumberFormat="1" applyFont="1" applyFill="1" applyBorder="1" applyAlignment="1">
      <alignment horizontal="center" vertical="center"/>
    </xf>
    <xf numFmtId="0" fontId="161" fillId="43" borderId="91" xfId="0" applyFont="1" applyFill="1" applyBorder="1" applyAlignment="1">
      <alignment horizontal="center" vertical="center" wrapText="1"/>
    </xf>
    <xf numFmtId="0" fontId="122" fillId="43" borderId="91" xfId="0" applyFont="1" applyFill="1" applyBorder="1" applyAlignment="1">
      <alignment horizontal="center" vertical="center" wrapText="1"/>
    </xf>
    <xf numFmtId="177" fontId="130" fillId="2" borderId="91" xfId="16" applyNumberFormat="1" applyFont="1" applyFill="1" applyBorder="1" applyAlignment="1" applyProtection="1">
      <alignment horizontal="center" vertical="center"/>
      <protection locked="0"/>
    </xf>
    <xf numFmtId="0" fontId="32" fillId="9" borderId="0" xfId="0" applyFont="1" applyFill="1" applyAlignment="1">
      <alignment horizontal="centerContinuous" vertical="center"/>
    </xf>
    <xf numFmtId="177" fontId="72" fillId="4" borderId="72" xfId="16" applyNumberFormat="1" applyFont="1" applyFill="1" applyBorder="1" applyAlignment="1" applyProtection="1">
      <alignment horizontal="center" vertical="center"/>
      <protection locked="0"/>
    </xf>
    <xf numFmtId="177" fontId="72" fillId="13" borderId="125" xfId="16" applyNumberFormat="1" applyFont="1" applyFill="1" applyBorder="1" applyAlignment="1" applyProtection="1">
      <alignment horizontal="center" vertical="center"/>
      <protection locked="0"/>
    </xf>
    <xf numFmtId="0" fontId="34" fillId="19" borderId="10" xfId="0" applyFont="1" applyFill="1" applyBorder="1" applyAlignment="1">
      <alignment horizontal="left" vertical="center" indent="1"/>
    </xf>
    <xf numFmtId="0" fontId="122" fillId="19" borderId="11" xfId="0" applyFont="1" applyFill="1" applyBorder="1" applyAlignment="1">
      <alignment horizontal="centerContinuous" vertical="center" wrapText="1"/>
    </xf>
    <xf numFmtId="0" fontId="125" fillId="10" borderId="91" xfId="0" applyFont="1" applyFill="1" applyBorder="1" applyAlignment="1">
      <alignment horizontal="center" vertical="center" wrapText="1"/>
    </xf>
    <xf numFmtId="177" fontId="72" fillId="0" borderId="91" xfId="16" applyNumberFormat="1" applyFont="1" applyBorder="1" applyAlignment="1" applyProtection="1">
      <alignment horizontal="center" vertical="center"/>
      <protection locked="0"/>
    </xf>
    <xf numFmtId="177" fontId="0" fillId="0" borderId="91" xfId="16" applyNumberFormat="1" applyFont="1" applyBorder="1" applyAlignment="1" applyProtection="1">
      <alignment horizontal="center" vertical="center"/>
      <protection locked="0"/>
    </xf>
    <xf numFmtId="177" fontId="192" fillId="0" borderId="91" xfId="16" applyNumberFormat="1" applyFont="1" applyBorder="1" applyAlignment="1" applyProtection="1">
      <alignment horizontal="center" vertical="center"/>
      <protection locked="0"/>
    </xf>
    <xf numFmtId="177" fontId="193" fillId="0" borderId="91" xfId="16" applyNumberFormat="1" applyFont="1" applyBorder="1" applyAlignment="1" applyProtection="1">
      <alignment horizontal="center" vertical="center"/>
      <protection locked="0"/>
    </xf>
    <xf numFmtId="0" fontId="7" fillId="6" borderId="0" xfId="34" applyFill="1" applyAlignment="1">
      <alignment shrinkToFit="1"/>
    </xf>
    <xf numFmtId="0" fontId="96" fillId="8" borderId="0" xfId="0" applyFont="1" applyFill="1" applyAlignment="1">
      <alignment horizontal="left" vertical="center" shrinkToFit="1"/>
    </xf>
    <xf numFmtId="0" fontId="34" fillId="8" borderId="0" xfId="0" applyFont="1" applyFill="1" applyAlignment="1">
      <alignment horizontal="left" vertical="top" shrinkToFit="1"/>
    </xf>
    <xf numFmtId="0" fontId="26" fillId="8" borderId="0" xfId="34" applyFont="1" applyFill="1" applyAlignment="1">
      <alignment shrinkToFit="1"/>
    </xf>
    <xf numFmtId="0" fontId="7" fillId="0" borderId="0" xfId="34" applyAlignment="1">
      <alignment shrinkToFit="1"/>
    </xf>
    <xf numFmtId="0" fontId="103" fillId="8" borderId="0" xfId="0" applyFont="1" applyFill="1" applyAlignment="1">
      <alignment horizontal="left" vertical="center" shrinkToFit="1"/>
    </xf>
    <xf numFmtId="0" fontId="92" fillId="57" borderId="25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57" borderId="13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57" borderId="17" xfId="13" applyNumberFormat="1" applyFont="1" applyFill="1" applyBorder="1" applyAlignment="1" applyProtection="1">
      <alignment horizontal="left" vertical="center" indent="1" shrinkToFit="1"/>
      <protection locked="0"/>
    </xf>
    <xf numFmtId="0" fontId="92" fillId="57" borderId="88" xfId="13" applyNumberFormat="1" applyFont="1" applyFill="1" applyBorder="1" applyAlignment="1" applyProtection="1">
      <alignment horizontal="left" vertical="center" indent="2" shrinkToFit="1"/>
      <protection locked="0"/>
    </xf>
    <xf numFmtId="167" fontId="101" fillId="12" borderId="92" xfId="0" applyNumberFormat="1" applyFont="1" applyFill="1" applyBorder="1" applyAlignment="1" applyProtection="1">
      <alignment horizontal="center" vertical="center"/>
      <protection locked="0"/>
    </xf>
    <xf numFmtId="170" fontId="101" fillId="12" borderId="92" xfId="0" applyNumberFormat="1" applyFont="1" applyFill="1" applyBorder="1" applyAlignment="1" applyProtection="1">
      <alignment horizontal="center" vertical="center"/>
      <protection locked="0"/>
    </xf>
    <xf numFmtId="14" fontId="101" fillId="12" borderId="92" xfId="0" applyNumberFormat="1" applyFont="1" applyFill="1" applyBorder="1" applyAlignment="1" applyProtection="1">
      <alignment horizontal="center" vertical="center"/>
      <protection locked="0"/>
    </xf>
    <xf numFmtId="167" fontId="101" fillId="12" borderId="91" xfId="0" applyNumberFormat="1" applyFont="1" applyFill="1" applyBorder="1" applyAlignment="1" applyProtection="1">
      <alignment horizontal="center" vertical="center"/>
      <protection locked="0"/>
    </xf>
    <xf numFmtId="0" fontId="7" fillId="12" borderId="0" xfId="34" applyFill="1" applyAlignment="1">
      <alignment horizontal="center"/>
    </xf>
    <xf numFmtId="181" fontId="101" fillId="12" borderId="91" xfId="0" applyNumberFormat="1" applyFont="1" applyFill="1" applyBorder="1" applyAlignment="1" applyProtection="1">
      <alignment horizontal="center" vertical="center"/>
      <protection locked="0"/>
    </xf>
    <xf numFmtId="183" fontId="101" fillId="12" borderId="91" xfId="0" applyNumberFormat="1" applyFont="1" applyFill="1" applyBorder="1" applyAlignment="1" applyProtection="1">
      <alignment horizontal="center" vertical="center"/>
      <protection locked="0"/>
    </xf>
    <xf numFmtId="182" fontId="101" fillId="12" borderId="91" xfId="0" applyNumberFormat="1" applyFont="1" applyFill="1" applyBorder="1" applyAlignment="1" applyProtection="1">
      <alignment horizontal="center" vertical="center"/>
      <protection locked="0"/>
    </xf>
    <xf numFmtId="0" fontId="0" fillId="12" borderId="0" xfId="0" applyFill="1" applyAlignment="1">
      <alignment horizontal="center"/>
    </xf>
    <xf numFmtId="168" fontId="101" fillId="12" borderId="91" xfId="1" applyNumberFormat="1" applyFont="1" applyFill="1" applyBorder="1" applyAlignment="1" applyProtection="1">
      <alignment horizontal="center" vertical="center"/>
      <protection locked="0"/>
    </xf>
    <xf numFmtId="198" fontId="101" fillId="12" borderId="91" xfId="0" applyNumberFormat="1" applyFont="1" applyFill="1" applyBorder="1" applyAlignment="1" applyProtection="1">
      <alignment horizontal="center" vertical="center"/>
      <protection locked="0"/>
    </xf>
    <xf numFmtId="203" fontId="101" fillId="12" borderId="91" xfId="0" applyNumberFormat="1" applyFont="1" applyFill="1" applyBorder="1" applyAlignment="1" applyProtection="1">
      <alignment horizontal="center" vertical="center"/>
      <protection locked="0"/>
    </xf>
    <xf numFmtId="9" fontId="101" fillId="12" borderId="107" xfId="1" applyFont="1" applyFill="1" applyBorder="1" applyAlignment="1" applyProtection="1">
      <alignment horizontal="center" vertical="center"/>
      <protection locked="0"/>
    </xf>
    <xf numFmtId="9" fontId="101" fillId="12" borderId="106" xfId="1" applyFont="1" applyFill="1" applyBorder="1" applyAlignment="1" applyProtection="1">
      <alignment horizontal="center" vertical="center"/>
      <protection locked="0"/>
    </xf>
    <xf numFmtId="167" fontId="101" fillId="12" borderId="107" xfId="0" applyNumberFormat="1" applyFont="1" applyFill="1" applyBorder="1" applyAlignment="1" applyProtection="1">
      <alignment horizontal="center" vertical="center"/>
      <protection locked="0"/>
    </xf>
    <xf numFmtId="167" fontId="101" fillId="12" borderId="106" xfId="0" applyNumberFormat="1" applyFont="1" applyFill="1" applyBorder="1" applyAlignment="1" applyProtection="1">
      <alignment horizontal="center" vertical="center"/>
      <protection locked="0"/>
    </xf>
    <xf numFmtId="207" fontId="101" fillId="12" borderId="108" xfId="6" applyNumberFormat="1" applyFont="1" applyFill="1" applyBorder="1" applyAlignment="1">
      <alignment horizontal="center" vertical="center"/>
    </xf>
    <xf numFmtId="169" fontId="101" fillId="12" borderId="108" xfId="1" applyNumberFormat="1" applyFont="1" applyFill="1" applyBorder="1" applyAlignment="1" applyProtection="1">
      <alignment horizontal="center" vertical="center"/>
      <protection locked="0"/>
    </xf>
    <xf numFmtId="0" fontId="101" fillId="12" borderId="109" xfId="0" applyFont="1" applyFill="1" applyBorder="1" applyAlignment="1" applyProtection="1">
      <alignment horizontal="center" vertical="center"/>
      <protection locked="0"/>
    </xf>
    <xf numFmtId="0" fontId="128" fillId="12" borderId="98" xfId="0" applyFont="1" applyFill="1" applyBorder="1" applyAlignment="1">
      <alignment horizontal="left" vertical="center" indent="2"/>
    </xf>
    <xf numFmtId="167" fontId="101" fillId="12" borderId="112" xfId="0" applyNumberFormat="1" applyFont="1" applyFill="1" applyBorder="1" applyAlignment="1" applyProtection="1">
      <alignment horizontal="center" vertical="center"/>
      <protection locked="0"/>
    </xf>
    <xf numFmtId="167" fontId="101" fillId="12" borderId="122" xfId="0" applyNumberFormat="1" applyFont="1" applyFill="1" applyBorder="1" applyAlignment="1" applyProtection="1">
      <alignment horizontal="center" vertical="center"/>
      <protection locked="0"/>
    </xf>
    <xf numFmtId="169" fontId="156" fillId="12" borderId="113" xfId="36" applyNumberFormat="1" applyFont="1" applyFill="1" applyBorder="1" applyAlignment="1">
      <alignment horizontal="center" vertical="center"/>
    </xf>
    <xf numFmtId="202" fontId="156" fillId="12" borderId="113" xfId="36" applyNumberFormat="1" applyFont="1" applyFill="1" applyBorder="1" applyAlignment="1">
      <alignment horizontal="center" vertical="center"/>
    </xf>
    <xf numFmtId="202" fontId="128" fillId="12" borderId="113" xfId="36" applyNumberFormat="1" applyFont="1" applyFill="1" applyBorder="1" applyAlignment="1">
      <alignment horizontal="center" vertical="center"/>
    </xf>
    <xf numFmtId="170" fontId="101" fillId="12" borderId="91" xfId="0" applyNumberFormat="1" applyFont="1" applyFill="1" applyBorder="1" applyAlignment="1" applyProtection="1">
      <alignment horizontal="center" vertical="center"/>
      <protection locked="0"/>
    </xf>
    <xf numFmtId="0" fontId="53" fillId="43" borderId="91" xfId="0" applyFont="1" applyFill="1" applyBorder="1" applyAlignment="1">
      <alignment horizontal="center" vertical="center"/>
    </xf>
    <xf numFmtId="0" fontId="34" fillId="21" borderId="124" xfId="0" applyFont="1" applyFill="1" applyBorder="1" applyAlignment="1">
      <alignment horizontal="center" vertical="center" wrapText="1"/>
    </xf>
    <xf numFmtId="0" fontId="34" fillId="43" borderId="124" xfId="0" applyFont="1" applyFill="1" applyBorder="1" applyAlignment="1">
      <alignment horizontal="center" vertical="center" wrapText="1"/>
    </xf>
    <xf numFmtId="177" fontId="39" fillId="0" borderId="91" xfId="16" applyNumberFormat="1" applyFont="1" applyBorder="1" applyAlignment="1" applyProtection="1">
      <alignment horizontal="center" vertical="center"/>
      <protection locked="0"/>
    </xf>
    <xf numFmtId="0" fontId="11" fillId="6" borderId="0" xfId="22" applyFill="1" applyAlignment="1">
      <alignment horizontal="left" vertical="center"/>
    </xf>
    <xf numFmtId="0" fontId="87" fillId="6" borderId="0" xfId="24" applyFont="1" applyFill="1" applyAlignment="1">
      <alignment horizontal="left" indent="1"/>
    </xf>
    <xf numFmtId="43" fontId="133" fillId="8" borderId="0" xfId="11" applyFont="1" applyFill="1" applyAlignment="1" applyProtection="1">
      <alignment horizontal="left" indent="1" shrinkToFit="1"/>
    </xf>
    <xf numFmtId="0" fontId="72" fillId="0" borderId="0" xfId="0" applyFont="1" applyAlignment="1">
      <alignment horizontal="left" indent="1" shrinkToFit="1"/>
    </xf>
    <xf numFmtId="197" fontId="39" fillId="0" borderId="91" xfId="16" applyNumberFormat="1" applyFont="1" applyBorder="1" applyAlignment="1" applyProtection="1">
      <alignment horizontal="left" vertical="center" indent="1"/>
      <protection locked="0"/>
    </xf>
    <xf numFmtId="177" fontId="39" fillId="0" borderId="91" xfId="16" applyNumberFormat="1" applyFont="1" applyBorder="1" applyAlignment="1" applyProtection="1">
      <alignment horizontal="right" vertical="center"/>
      <protection locked="0"/>
    </xf>
    <xf numFmtId="177" fontId="194" fillId="0" borderId="91" xfId="16" applyNumberFormat="1" applyFont="1" applyBorder="1" applyAlignment="1" applyProtection="1">
      <alignment horizontal="right" vertical="center"/>
      <protection locked="0"/>
    </xf>
    <xf numFmtId="177" fontId="190" fillId="0" borderId="91" xfId="16" applyNumberFormat="1" applyFont="1" applyBorder="1" applyAlignment="1" applyProtection="1">
      <alignment horizontal="right" vertical="center"/>
      <protection locked="0"/>
    </xf>
    <xf numFmtId="167" fontId="80" fillId="12" borderId="21" xfId="1" applyNumberFormat="1" applyFont="1" applyFill="1" applyBorder="1" applyAlignment="1">
      <alignment horizontal="left" vertical="center" indent="1" shrinkToFit="1"/>
    </xf>
    <xf numFmtId="167" fontId="45" fillId="12" borderId="21" xfId="1" applyNumberFormat="1" applyFont="1" applyFill="1" applyBorder="1" applyAlignment="1">
      <alignment horizontal="left" vertical="center" indent="1" shrinkToFit="1"/>
    </xf>
    <xf numFmtId="167" fontId="45" fillId="12" borderId="16" xfId="1" applyNumberFormat="1" applyFont="1" applyFill="1" applyBorder="1" applyAlignment="1">
      <alignment horizontal="left" vertical="center" indent="1" shrinkToFit="1"/>
    </xf>
    <xf numFmtId="9" fontId="80" fillId="12" borderId="21" xfId="1" applyFont="1" applyFill="1" applyBorder="1" applyAlignment="1">
      <alignment horizontal="center" vertical="center" shrinkToFit="1"/>
    </xf>
    <xf numFmtId="9" fontId="45" fillId="12" borderId="21" xfId="1" applyFont="1" applyFill="1" applyBorder="1" applyAlignment="1">
      <alignment horizontal="center" vertical="center" shrinkToFit="1"/>
    </xf>
    <xf numFmtId="9" fontId="45" fillId="12" borderId="16" xfId="1" applyFont="1" applyFill="1" applyBorder="1" applyAlignment="1">
      <alignment horizontal="center" vertical="center" shrinkToFit="1"/>
    </xf>
    <xf numFmtId="0" fontId="196" fillId="8" borderId="0" xfId="0" applyFont="1" applyFill="1" applyAlignment="1">
      <alignment horizontal="left" indent="1"/>
    </xf>
    <xf numFmtId="0" fontId="96" fillId="8" borderId="0" xfId="0" applyFont="1" applyFill="1" applyAlignment="1">
      <alignment horizontal="left" indent="1"/>
    </xf>
    <xf numFmtId="0" fontId="96" fillId="8" borderId="0" xfId="0" applyFont="1" applyFill="1" applyAlignment="1">
      <alignment horizontal="left" vertical="top" indent="2"/>
    </xf>
    <xf numFmtId="201" fontId="197" fillId="3" borderId="21" xfId="0" applyNumberFormat="1" applyFont="1" applyFill="1" applyBorder="1" applyAlignment="1" applyProtection="1">
      <alignment horizontal="center" vertical="center"/>
      <protection locked="0"/>
    </xf>
    <xf numFmtId="0" fontId="78" fillId="0" borderId="0" xfId="15" applyFont="1" applyAlignment="1">
      <alignment horizontal="left" vertical="center" indent="1"/>
    </xf>
    <xf numFmtId="0" fontId="145" fillId="0" borderId="0" xfId="15" applyFont="1" applyAlignment="1">
      <alignment horizontal="left" vertical="center" indent="1"/>
    </xf>
    <xf numFmtId="0" fontId="93" fillId="6" borderId="0" xfId="0" applyFont="1" applyFill="1" applyAlignment="1">
      <alignment horizontal="center"/>
    </xf>
    <xf numFmtId="0" fontId="66" fillId="6" borderId="0" xfId="0" applyFont="1" applyFill="1" applyAlignment="1">
      <alignment horizontal="center" vertical="center"/>
    </xf>
    <xf numFmtId="0" fontId="41" fillId="6" borderId="0" xfId="0" applyFont="1" applyFill="1" applyAlignment="1">
      <alignment horizontal="center" vertical="top"/>
    </xf>
    <xf numFmtId="0" fontId="0" fillId="6" borderId="0" xfId="0" applyFill="1" applyAlignment="1">
      <alignment horizontal="center"/>
    </xf>
    <xf numFmtId="0" fontId="71" fillId="6" borderId="0" xfId="0" applyFont="1" applyFill="1" applyAlignment="1">
      <alignment horizontal="center"/>
    </xf>
    <xf numFmtId="0" fontId="78" fillId="6" borderId="0" xfId="0" applyFont="1" applyFill="1" applyAlignment="1">
      <alignment horizontal="center"/>
    </xf>
    <xf numFmtId="196" fontId="78" fillId="6" borderId="0" xfId="0" applyNumberFormat="1" applyFont="1" applyFill="1" applyAlignment="1">
      <alignment horizontal="center"/>
    </xf>
    <xf numFmtId="1" fontId="134" fillId="12" borderId="48" xfId="13" applyNumberFormat="1" applyFont="1" applyFill="1" applyBorder="1" applyAlignment="1">
      <alignment horizontal="center" vertical="center" shrinkToFit="1"/>
    </xf>
    <xf numFmtId="0" fontId="92" fillId="57" borderId="27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57" borderId="14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57" borderId="23" xfId="13" applyNumberFormat="1" applyFont="1" applyFill="1" applyBorder="1" applyAlignment="1" applyProtection="1">
      <alignment horizontal="left" vertical="center" indent="1" shrinkToFit="1"/>
      <protection locked="0"/>
    </xf>
    <xf numFmtId="0" fontId="92" fillId="57" borderId="90" xfId="13" applyNumberFormat="1" applyFont="1" applyFill="1" applyBorder="1" applyAlignment="1" applyProtection="1">
      <alignment horizontal="left" vertical="center" indent="2" shrinkToFit="1"/>
      <protection locked="0"/>
    </xf>
    <xf numFmtId="0" fontId="18" fillId="8" borderId="0" xfId="0" quotePrefix="1" applyFont="1" applyFill="1" applyAlignment="1">
      <alignment horizontal="center" vertical="center"/>
    </xf>
    <xf numFmtId="0" fontId="199" fillId="46" borderId="0" xfId="4" applyFont="1" applyFill="1" applyAlignment="1">
      <alignment horizontal="left" vertical="center" indent="1"/>
    </xf>
    <xf numFmtId="177" fontId="78" fillId="2" borderId="91" xfId="16" applyNumberFormat="1" applyFont="1" applyFill="1" applyBorder="1" applyAlignment="1" applyProtection="1">
      <alignment horizontal="center" vertical="center"/>
      <protection locked="0"/>
    </xf>
    <xf numFmtId="170" fontId="7" fillId="0" borderId="91" xfId="34" applyNumberFormat="1" applyBorder="1" applyAlignment="1">
      <alignment horizontal="left" indent="1"/>
    </xf>
    <xf numFmtId="197" fontId="190" fillId="0" borderId="91" xfId="16" applyNumberFormat="1" applyFont="1" applyBorder="1" applyAlignment="1" applyProtection="1">
      <alignment horizontal="left" vertical="center" indent="1"/>
      <protection locked="0"/>
    </xf>
    <xf numFmtId="167" fontId="21" fillId="0" borderId="4" xfId="11" applyNumberFormat="1" applyFont="1" applyFill="1" applyBorder="1" applyAlignment="1">
      <alignment horizontal="right" vertical="center" shrinkToFit="1"/>
    </xf>
    <xf numFmtId="167" fontId="29" fillId="0" borderId="6" xfId="11" applyNumberFormat="1" applyFont="1" applyFill="1" applyBorder="1" applyAlignment="1">
      <alignment horizontal="right" vertical="center" shrinkToFit="1"/>
    </xf>
    <xf numFmtId="177" fontId="101" fillId="0" borderId="4" xfId="34" applyNumberFormat="1" applyFont="1" applyBorder="1" applyAlignment="1">
      <alignment horizontal="left"/>
    </xf>
    <xf numFmtId="194" fontId="3" fillId="0" borderId="100" xfId="3" applyNumberFormat="1" applyFont="1" applyBorder="1" applyAlignment="1">
      <alignment horizontal="left" vertical="center" indent="2"/>
    </xf>
    <xf numFmtId="167" fontId="21" fillId="0" borderId="0" xfId="11" applyNumberFormat="1" applyFont="1" applyFill="1" applyBorder="1" applyAlignment="1">
      <alignment horizontal="right" vertical="center" shrinkToFit="1"/>
    </xf>
    <xf numFmtId="0" fontId="112" fillId="12" borderId="0" xfId="35" applyFont="1" applyFill="1" applyBorder="1" applyAlignment="1">
      <alignment horizontal="left" vertical="center" indent="1"/>
    </xf>
    <xf numFmtId="0" fontId="17" fillId="15" borderId="4" xfId="0" applyFont="1" applyFill="1" applyBorder="1" applyAlignment="1">
      <alignment horizontal="left" vertical="center"/>
    </xf>
    <xf numFmtId="167" fontId="21" fillId="0" borderId="9" xfId="11" applyNumberFormat="1" applyFont="1" applyFill="1" applyBorder="1" applyAlignment="1">
      <alignment horizontal="right" vertical="center" shrinkToFit="1"/>
    </xf>
    <xf numFmtId="167" fontId="110" fillId="0" borderId="0" xfId="11" applyNumberFormat="1" applyFont="1" applyFill="1" applyBorder="1" applyAlignment="1">
      <alignment horizontal="right" vertical="center" shrinkToFit="1"/>
    </xf>
    <xf numFmtId="0" fontId="0" fillId="0" borderId="130" xfId="0" applyBorder="1"/>
    <xf numFmtId="0" fontId="0" fillId="0" borderId="130" xfId="0" applyBorder="1" applyAlignment="1">
      <alignment horizontal="left" indent="1"/>
    </xf>
    <xf numFmtId="167" fontId="110" fillId="0" borderId="130" xfId="11" applyNumberFormat="1" applyFont="1" applyFill="1" applyBorder="1" applyAlignment="1">
      <alignment horizontal="right" vertical="center" shrinkToFit="1"/>
    </xf>
    <xf numFmtId="177" fontId="151" fillId="0" borderId="4" xfId="34" applyNumberFormat="1" applyFont="1" applyBorder="1" applyAlignment="1">
      <alignment horizontal="center" vertical="center" shrinkToFit="1"/>
    </xf>
    <xf numFmtId="167" fontId="29" fillId="0" borderId="0" xfId="11" applyNumberFormat="1" applyFont="1" applyFill="1" applyBorder="1" applyAlignment="1">
      <alignment horizontal="right" vertical="center" shrinkToFit="1"/>
    </xf>
    <xf numFmtId="0" fontId="17" fillId="15" borderId="1" xfId="0" applyFont="1" applyFill="1" applyBorder="1" applyAlignment="1">
      <alignment horizontal="right" vertical="center" indent="1"/>
    </xf>
    <xf numFmtId="167" fontId="21" fillId="0" borderId="132" xfId="11" applyNumberFormat="1" applyFont="1" applyFill="1" applyBorder="1" applyAlignment="1">
      <alignment horizontal="right" vertical="center" shrinkToFit="1"/>
    </xf>
    <xf numFmtId="167" fontId="29" fillId="0" borderId="132" xfId="11" applyNumberFormat="1" applyFont="1" applyFill="1" applyBorder="1" applyAlignment="1">
      <alignment horizontal="right" vertical="center" shrinkToFit="1"/>
    </xf>
    <xf numFmtId="170" fontId="42" fillId="39" borderId="76" xfId="1" applyNumberFormat="1" applyFont="1" applyFill="1" applyBorder="1" applyAlignment="1">
      <alignment horizontal="center" vertical="center" shrinkToFit="1"/>
    </xf>
    <xf numFmtId="170" fontId="80" fillId="12" borderId="21" xfId="1" applyNumberFormat="1" applyFont="1" applyFill="1" applyBorder="1" applyAlignment="1">
      <alignment horizontal="center" vertical="center" shrinkToFit="1"/>
    </xf>
    <xf numFmtId="170" fontId="80" fillId="12" borderId="16" xfId="1" applyNumberFormat="1" applyFont="1" applyFill="1" applyBorder="1" applyAlignment="1">
      <alignment horizontal="center" vertical="center" shrinkToFit="1"/>
    </xf>
    <xf numFmtId="195" fontId="101" fillId="0" borderId="6" xfId="16" applyNumberFormat="1" applyFont="1" applyBorder="1" applyAlignment="1" applyProtection="1">
      <alignment horizontal="right"/>
      <protection locked="0"/>
    </xf>
    <xf numFmtId="0" fontId="7" fillId="0" borderId="72" xfId="34" applyBorder="1" applyAlignment="1">
      <alignment horizontal="left" indent="1"/>
    </xf>
    <xf numFmtId="177" fontId="200" fillId="0" borderId="7" xfId="34" applyNumberFormat="1" applyFont="1" applyBorder="1" applyAlignment="1">
      <alignment horizontal="right"/>
    </xf>
    <xf numFmtId="0" fontId="136" fillId="0" borderId="72" xfId="34" applyFont="1" applyBorder="1" applyAlignment="1">
      <alignment horizontal="left"/>
    </xf>
    <xf numFmtId="177" fontId="190" fillId="0" borderId="0" xfId="0" applyNumberFormat="1" applyFont="1"/>
    <xf numFmtId="209" fontId="101" fillId="0" borderId="0" xfId="13" applyNumberFormat="1" applyFont="1" applyFill="1" applyBorder="1" applyAlignment="1">
      <alignment horizontal="left" vertical="center" shrinkToFit="1"/>
    </xf>
    <xf numFmtId="177" fontId="87" fillId="0" borderId="4" xfId="16" applyNumberFormat="1" applyFont="1" applyBorder="1" applyAlignment="1" applyProtection="1">
      <alignment horizontal="right" vertical="center"/>
      <protection locked="0"/>
    </xf>
    <xf numFmtId="177" fontId="201" fillId="0" borderId="91" xfId="16" applyNumberFormat="1" applyFont="1" applyBorder="1" applyAlignment="1" applyProtection="1">
      <alignment horizontal="center" vertical="center"/>
      <protection locked="0"/>
    </xf>
    <xf numFmtId="0" fontId="201" fillId="0" borderId="0" xfId="0" applyFont="1"/>
    <xf numFmtId="0" fontId="202" fillId="0" borderId="0" xfId="0" applyFont="1"/>
    <xf numFmtId="0" fontId="202" fillId="0" borderId="0" xfId="0" applyFont="1" applyAlignment="1">
      <alignment vertical="center"/>
    </xf>
    <xf numFmtId="167" fontId="202" fillId="0" borderId="0" xfId="0" applyNumberFormat="1" applyFont="1" applyAlignment="1">
      <alignment vertical="center"/>
    </xf>
    <xf numFmtId="0" fontId="96" fillId="0" borderId="0" xfId="0" applyFont="1" applyAlignment="1">
      <alignment horizontal="left" indent="1"/>
    </xf>
    <xf numFmtId="0" fontId="195" fillId="0" borderId="0" xfId="0" applyFont="1" applyAlignment="1">
      <alignment horizontal="left" vertical="center"/>
    </xf>
    <xf numFmtId="167" fontId="49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167" fontId="59" fillId="0" borderId="15" xfId="1" applyNumberFormat="1" applyFont="1" applyFill="1" applyBorder="1" applyAlignment="1" applyProtection="1">
      <alignment horizontal="center" vertical="center" shrinkToFit="1"/>
      <protection locked="0"/>
    </xf>
    <xf numFmtId="167" fontId="49" fillId="0" borderId="21" xfId="1" applyNumberFormat="1" applyFont="1" applyFill="1" applyBorder="1" applyAlignment="1">
      <alignment horizontal="left" vertical="center" indent="1" shrinkToFit="1"/>
    </xf>
    <xf numFmtId="0" fontId="159" fillId="59" borderId="14" xfId="0" applyFont="1" applyFill="1" applyBorder="1" applyAlignment="1">
      <alignment horizontal="left" vertical="center" indent="1"/>
    </xf>
    <xf numFmtId="0" fontId="159" fillId="59" borderId="14" xfId="0" applyFont="1" applyFill="1" applyBorder="1" applyAlignment="1">
      <alignment horizontal="left" vertical="center" indent="2"/>
    </xf>
    <xf numFmtId="167" fontId="53" fillId="45" borderId="21" xfId="0" applyNumberFormat="1" applyFont="1" applyFill="1" applyBorder="1" applyAlignment="1">
      <alignment horizontal="left" vertical="center" indent="1"/>
    </xf>
    <xf numFmtId="172" fontId="134" fillId="12" borderId="80" xfId="13" applyNumberFormat="1" applyFont="1" applyFill="1" applyBorder="1" applyAlignment="1">
      <alignment horizontal="left" vertical="center" indent="1" shrinkToFit="1"/>
    </xf>
    <xf numFmtId="164" fontId="134" fillId="12" borderId="80" xfId="13" applyNumberFormat="1" applyFont="1" applyFill="1" applyBorder="1" applyAlignment="1">
      <alignment horizontal="center" vertical="center" shrinkToFit="1"/>
    </xf>
    <xf numFmtId="186" fontId="134" fillId="12" borderId="80" xfId="13" applyNumberFormat="1" applyFont="1" applyFill="1" applyBorder="1" applyAlignment="1">
      <alignment horizontal="center" vertical="center" shrinkToFit="1"/>
    </xf>
    <xf numFmtId="177" fontId="203" fillId="0" borderId="4" xfId="34" applyNumberFormat="1" applyFont="1" applyBorder="1" applyAlignment="1">
      <alignment horizontal="right" vertical="center"/>
    </xf>
    <xf numFmtId="167" fontId="144" fillId="12" borderId="119" xfId="34" applyNumberFormat="1" applyFont="1" applyFill="1" applyBorder="1" applyAlignment="1">
      <alignment horizontal="center" vertical="center"/>
    </xf>
    <xf numFmtId="167" fontId="29" fillId="0" borderId="0" xfId="6" applyNumberFormat="1" applyFont="1" applyAlignment="1">
      <alignment horizontal="center"/>
    </xf>
    <xf numFmtId="204" fontId="33" fillId="46" borderId="24" xfId="6" applyNumberFormat="1" applyFont="1" applyFill="1" applyBorder="1" applyAlignment="1">
      <alignment vertical="center"/>
    </xf>
    <xf numFmtId="201" fontId="7" fillId="0" borderId="4" xfId="34" applyNumberFormat="1" applyBorder="1"/>
    <xf numFmtId="168" fontId="33" fillId="46" borderId="19" xfId="36" applyNumberFormat="1" applyFont="1" applyFill="1" applyBorder="1" applyAlignment="1">
      <alignment horizontal="center" vertical="top"/>
    </xf>
    <xf numFmtId="202" fontId="7" fillId="0" borderId="0" xfId="34" applyNumberFormat="1" applyAlignment="1">
      <alignment horizontal="left"/>
    </xf>
    <xf numFmtId="202" fontId="7" fillId="0" borderId="0" xfId="34" applyNumberFormat="1"/>
    <xf numFmtId="9" fontId="7" fillId="0" borderId="0" xfId="34" applyNumberFormat="1" applyAlignment="1">
      <alignment horizontal="left"/>
    </xf>
    <xf numFmtId="168" fontId="19" fillId="0" borderId="0" xfId="34" applyNumberFormat="1" applyFont="1" applyAlignment="1">
      <alignment horizontal="right"/>
    </xf>
    <xf numFmtId="167" fontId="121" fillId="0" borderId="133" xfId="0" applyNumberFormat="1" applyFont="1" applyBorder="1" applyAlignment="1">
      <alignment horizontal="center" vertical="center"/>
    </xf>
    <xf numFmtId="167" fontId="204" fillId="8" borderId="133" xfId="0" applyNumberFormat="1" applyFont="1" applyFill="1" applyBorder="1" applyAlignment="1">
      <alignment horizontal="center" vertical="center"/>
    </xf>
    <xf numFmtId="193" fontId="180" fillId="8" borderId="0" xfId="0" applyNumberFormat="1" applyFont="1" applyFill="1" applyAlignment="1">
      <alignment horizontal="center" vertical="center"/>
    </xf>
    <xf numFmtId="193" fontId="18" fillId="8" borderId="0" xfId="0" applyNumberFormat="1" applyFont="1" applyFill="1" applyAlignment="1">
      <alignment horizontal="center" vertical="center"/>
    </xf>
    <xf numFmtId="0" fontId="17" fillId="15" borderId="4" xfId="0" applyFont="1" applyFill="1" applyBorder="1" applyAlignment="1">
      <alignment horizontal="left" vertical="center" indent="1"/>
    </xf>
    <xf numFmtId="0" fontId="205" fillId="6" borderId="0" xfId="34" applyFont="1" applyFill="1"/>
    <xf numFmtId="0" fontId="206" fillId="0" borderId="0" xfId="0" applyFont="1"/>
    <xf numFmtId="0" fontId="81" fillId="0" borderId="0" xfId="0" applyFont="1" applyAlignment="1">
      <alignment vertical="center"/>
    </xf>
    <xf numFmtId="210" fontId="207" fillId="8" borderId="0" xfId="0" applyNumberFormat="1" applyFont="1" applyFill="1" applyAlignment="1">
      <alignment horizontal="center" vertical="center"/>
    </xf>
    <xf numFmtId="0" fontId="86" fillId="33" borderId="21" xfId="0" applyFont="1" applyFill="1" applyBorder="1" applyAlignment="1">
      <alignment horizontal="center" vertical="center"/>
    </xf>
    <xf numFmtId="167" fontId="167" fillId="35" borderId="52" xfId="11" applyNumberFormat="1" applyFont="1" applyFill="1" applyBorder="1" applyAlignment="1">
      <alignment horizontal="center" vertical="center" shrinkToFit="1"/>
    </xf>
    <xf numFmtId="0" fontId="145" fillId="12" borderId="41" xfId="15" applyFont="1" applyFill="1" applyBorder="1" applyAlignment="1">
      <alignment horizontal="left" vertical="center" indent="1"/>
    </xf>
    <xf numFmtId="167" fontId="131" fillId="12" borderId="43" xfId="11" applyNumberFormat="1" applyFont="1" applyFill="1" applyBorder="1" applyAlignment="1">
      <alignment horizontal="right" vertical="center" shrinkToFit="1"/>
    </xf>
    <xf numFmtId="167" fontId="131" fillId="35" borderId="62" xfId="11" applyNumberFormat="1" applyFont="1" applyFill="1" applyBorder="1" applyAlignment="1">
      <alignment horizontal="right" vertical="center" shrinkToFit="1"/>
    </xf>
    <xf numFmtId="167" fontId="131" fillId="12" borderId="55" xfId="11" applyNumberFormat="1" applyFont="1" applyFill="1" applyBorder="1" applyAlignment="1">
      <alignment horizontal="right" vertical="center" shrinkToFit="1"/>
    </xf>
    <xf numFmtId="167" fontId="131" fillId="35" borderId="63" xfId="11" applyNumberFormat="1" applyFont="1" applyFill="1" applyBorder="1" applyAlignment="1">
      <alignment horizontal="right" vertical="center" shrinkToFit="1"/>
    </xf>
    <xf numFmtId="167" fontId="145" fillId="4" borderId="54" xfId="11" applyNumberFormat="1" applyFont="1" applyFill="1" applyBorder="1" applyAlignment="1">
      <alignment horizontal="right" shrinkToFit="1"/>
    </xf>
    <xf numFmtId="167" fontId="131" fillId="4" borderId="54" xfId="11" applyNumberFormat="1" applyFont="1" applyFill="1" applyBorder="1" applyAlignment="1">
      <alignment horizontal="right" shrinkToFit="1"/>
    </xf>
    <xf numFmtId="167" fontId="131" fillId="35" borderId="64" xfId="11" applyNumberFormat="1" applyFont="1" applyFill="1" applyBorder="1" applyAlignment="1">
      <alignment horizontal="right" shrinkToFit="1"/>
    </xf>
    <xf numFmtId="178" fontId="131" fillId="4" borderId="41" xfId="15" applyNumberFormat="1" applyFont="1" applyFill="1" applyBorder="1" applyAlignment="1">
      <alignment horizontal="left" vertical="center" indent="1"/>
    </xf>
    <xf numFmtId="193" fontId="131" fillId="4" borderId="42" xfId="15" applyNumberFormat="1" applyFont="1" applyFill="1" applyBorder="1" applyAlignment="1">
      <alignment horizontal="center" vertical="center"/>
    </xf>
    <xf numFmtId="167" fontId="208" fillId="4" borderId="43" xfId="11" applyNumberFormat="1" applyFont="1" applyFill="1" applyBorder="1" applyAlignment="1">
      <alignment horizontal="right" vertical="center" shrinkToFit="1"/>
    </xf>
    <xf numFmtId="167" fontId="208" fillId="35" borderId="62" xfId="11" applyNumberFormat="1" applyFont="1" applyFill="1" applyBorder="1" applyAlignment="1">
      <alignment horizontal="right" vertical="center" shrinkToFit="1"/>
    </xf>
    <xf numFmtId="178" fontId="145" fillId="4" borderId="41" xfId="15" applyNumberFormat="1" applyFont="1" applyFill="1" applyBorder="1" applyAlignment="1">
      <alignment horizontal="left" indent="1"/>
    </xf>
    <xf numFmtId="193" fontId="145" fillId="4" borderId="42" xfId="15" applyNumberFormat="1" applyFont="1" applyFill="1" applyBorder="1" applyAlignment="1">
      <alignment horizontal="center"/>
    </xf>
    <xf numFmtId="167" fontId="145" fillId="4" borderId="43" xfId="11" applyNumberFormat="1" applyFont="1" applyFill="1" applyBorder="1" applyAlignment="1">
      <alignment horizontal="right" shrinkToFit="1"/>
    </xf>
    <xf numFmtId="167" fontId="145" fillId="35" borderId="62" xfId="11" applyNumberFormat="1" applyFont="1" applyFill="1" applyBorder="1" applyAlignment="1">
      <alignment horizontal="right" shrinkToFit="1"/>
    </xf>
    <xf numFmtId="178" fontId="131" fillId="4" borderId="41" xfId="15" applyNumberFormat="1" applyFont="1" applyFill="1" applyBorder="1" applyAlignment="1">
      <alignment horizontal="left" vertical="center" indent="2"/>
    </xf>
    <xf numFmtId="168" fontId="131" fillId="4" borderId="42" xfId="1" applyNumberFormat="1" applyFont="1" applyFill="1" applyBorder="1" applyAlignment="1">
      <alignment horizontal="center" vertical="center"/>
    </xf>
    <xf numFmtId="167" fontId="131" fillId="4" borderId="43" xfId="11" applyNumberFormat="1" applyFont="1" applyFill="1" applyBorder="1" applyAlignment="1">
      <alignment horizontal="right" vertical="center" shrinkToFit="1"/>
    </xf>
    <xf numFmtId="178" fontId="131" fillId="4" borderId="57" xfId="15" applyNumberFormat="1" applyFont="1" applyFill="1" applyBorder="1" applyAlignment="1">
      <alignment horizontal="left" vertical="center" indent="2"/>
    </xf>
    <xf numFmtId="168" fontId="131" fillId="4" borderId="58" xfId="1" applyNumberFormat="1" applyFont="1" applyFill="1" applyBorder="1" applyAlignment="1">
      <alignment horizontal="center" vertical="center"/>
    </xf>
    <xf numFmtId="167" fontId="208" fillId="4" borderId="59" xfId="11" applyNumberFormat="1" applyFont="1" applyFill="1" applyBorder="1" applyAlignment="1">
      <alignment horizontal="right" vertical="center" shrinkToFit="1"/>
    </xf>
    <xf numFmtId="167" fontId="208" fillId="35" borderId="65" xfId="11" applyNumberFormat="1" applyFont="1" applyFill="1" applyBorder="1" applyAlignment="1">
      <alignment horizontal="right" vertical="center" shrinkToFit="1"/>
    </xf>
    <xf numFmtId="178" fontId="145" fillId="4" borderId="49" xfId="15" applyNumberFormat="1" applyFont="1" applyFill="1" applyBorder="1" applyAlignment="1">
      <alignment horizontal="left" vertical="center" indent="1"/>
    </xf>
    <xf numFmtId="193" fontId="145" fillId="4" borderId="50" xfId="15" applyNumberFormat="1" applyFont="1" applyFill="1" applyBorder="1" applyAlignment="1">
      <alignment horizontal="center" vertical="center"/>
    </xf>
    <xf numFmtId="167" fontId="145" fillId="4" borderId="52" xfId="11" applyNumberFormat="1" applyFont="1" applyFill="1" applyBorder="1" applyAlignment="1">
      <alignment horizontal="right" vertical="center" shrinkToFit="1"/>
    </xf>
    <xf numFmtId="167" fontId="131" fillId="35" borderId="66" xfId="11" applyNumberFormat="1" applyFont="1" applyFill="1" applyBorder="1" applyAlignment="1">
      <alignment horizontal="right" vertical="center" shrinkToFit="1"/>
    </xf>
    <xf numFmtId="0" fontId="145" fillId="4" borderId="41" xfId="15" applyFont="1" applyFill="1" applyBorder="1" applyAlignment="1">
      <alignment horizontal="left" indent="1"/>
    </xf>
    <xf numFmtId="0" fontId="131" fillId="4" borderId="42" xfId="15" applyFont="1" applyFill="1" applyBorder="1" applyAlignment="1">
      <alignment horizontal="left" indent="1"/>
    </xf>
    <xf numFmtId="167" fontId="131" fillId="4" borderId="43" xfId="11" applyNumberFormat="1" applyFont="1" applyFill="1" applyBorder="1" applyAlignment="1">
      <alignment horizontal="left" indent="1" shrinkToFit="1"/>
    </xf>
    <xf numFmtId="167" fontId="131" fillId="35" borderId="62" xfId="11" applyNumberFormat="1" applyFont="1" applyFill="1" applyBorder="1" applyAlignment="1">
      <alignment horizontal="right" indent="1" shrinkToFit="1"/>
    </xf>
    <xf numFmtId="0" fontId="131" fillId="4" borderId="42" xfId="15" applyFont="1" applyFill="1" applyBorder="1" applyAlignment="1">
      <alignment horizontal="left" vertical="center" indent="3"/>
    </xf>
    <xf numFmtId="194" fontId="131" fillId="4" borderId="41" xfId="15" applyNumberFormat="1" applyFont="1" applyFill="1" applyBorder="1" applyAlignment="1">
      <alignment horizontal="right" vertical="center"/>
    </xf>
    <xf numFmtId="194" fontId="131" fillId="4" borderId="42" xfId="15" applyNumberFormat="1" applyFont="1" applyFill="1" applyBorder="1" applyAlignment="1">
      <alignment horizontal="left" vertical="center" indent="2"/>
    </xf>
    <xf numFmtId="194" fontId="131" fillId="4" borderId="41" xfId="15" applyNumberFormat="1" applyFont="1" applyFill="1" applyBorder="1" applyAlignment="1">
      <alignment horizontal="left" vertical="center" indent="3"/>
    </xf>
    <xf numFmtId="194" fontId="131" fillId="4" borderId="41" xfId="15" applyNumberFormat="1" applyFont="1" applyFill="1" applyBorder="1" applyAlignment="1">
      <alignment horizontal="left" vertical="center" indent="2"/>
    </xf>
    <xf numFmtId="194" fontId="131" fillId="4" borderId="57" xfId="15" applyNumberFormat="1" applyFont="1" applyFill="1" applyBorder="1" applyAlignment="1">
      <alignment horizontal="left" vertical="center" indent="2"/>
    </xf>
    <xf numFmtId="0" fontId="131" fillId="4" borderId="58" xfId="15" applyFont="1" applyFill="1" applyBorder="1" applyAlignment="1">
      <alignment horizontal="left" vertical="center" indent="3"/>
    </xf>
    <xf numFmtId="167" fontId="131" fillId="4" borderId="59" xfId="11" applyNumberFormat="1" applyFont="1" applyFill="1" applyBorder="1" applyAlignment="1">
      <alignment horizontal="right" vertical="center" shrinkToFit="1"/>
    </xf>
    <xf numFmtId="167" fontId="131" fillId="35" borderId="65" xfId="11" applyNumberFormat="1" applyFont="1" applyFill="1" applyBorder="1" applyAlignment="1">
      <alignment horizontal="right" vertical="center" shrinkToFit="1"/>
    </xf>
    <xf numFmtId="178" fontId="145" fillId="4" borderId="47" xfId="15" applyNumberFormat="1" applyFont="1" applyFill="1" applyBorder="1" applyAlignment="1">
      <alignment horizontal="left" vertical="center" indent="1"/>
    </xf>
    <xf numFmtId="193" fontId="131" fillId="4" borderId="0" xfId="15" applyNumberFormat="1" applyFont="1" applyFill="1" applyAlignment="1">
      <alignment horizontal="center" vertical="center"/>
    </xf>
    <xf numFmtId="167" fontId="131" fillId="4" borderId="46" xfId="11" applyNumberFormat="1" applyFont="1" applyFill="1" applyBorder="1" applyAlignment="1">
      <alignment horizontal="right" vertical="center" shrinkToFit="1"/>
    </xf>
    <xf numFmtId="167" fontId="131" fillId="35" borderId="67" xfId="11" applyNumberFormat="1" applyFont="1" applyFill="1" applyBorder="1" applyAlignment="1">
      <alignment horizontal="right" vertical="center" shrinkToFit="1"/>
    </xf>
    <xf numFmtId="178" fontId="145" fillId="13" borderId="69" xfId="15" applyNumberFormat="1" applyFont="1" applyFill="1" applyBorder="1" applyAlignment="1">
      <alignment horizontal="left" vertical="center" indent="1"/>
    </xf>
    <xf numFmtId="193" fontId="131" fillId="13" borderId="70" xfId="15" applyNumberFormat="1" applyFont="1" applyFill="1" applyBorder="1" applyAlignment="1">
      <alignment horizontal="center" vertical="center"/>
    </xf>
    <xf numFmtId="167" fontId="145" fillId="13" borderId="68" xfId="11" applyNumberFormat="1" applyFont="1" applyFill="1" applyBorder="1" applyAlignment="1">
      <alignment horizontal="right" vertical="center" shrinkToFit="1"/>
    </xf>
    <xf numFmtId="0" fontId="86" fillId="33" borderId="16" xfId="0" applyFont="1" applyFill="1" applyBorder="1" applyAlignment="1">
      <alignment horizontal="center"/>
    </xf>
    <xf numFmtId="0" fontId="86" fillId="33" borderId="22" xfId="0" applyFont="1" applyFill="1" applyBorder="1" applyAlignment="1">
      <alignment horizontal="center" vertical="center"/>
    </xf>
    <xf numFmtId="194" fontId="209" fillId="23" borderId="21" xfId="3" applyNumberFormat="1" applyFont="1" applyFill="1" applyBorder="1" applyAlignment="1">
      <alignment horizontal="center" vertical="center"/>
    </xf>
    <xf numFmtId="174" fontId="209" fillId="23" borderId="43" xfId="3" applyNumberFormat="1" applyFont="1" applyFill="1" applyBorder="1" applyAlignment="1">
      <alignment horizontal="center" vertical="center" wrapText="1"/>
    </xf>
    <xf numFmtId="167" fontId="53" fillId="45" borderId="13" xfId="0" applyNumberFormat="1" applyFont="1" applyFill="1" applyBorder="1" applyAlignment="1">
      <alignment horizontal="center" vertical="center" wrapText="1"/>
    </xf>
    <xf numFmtId="167" fontId="53" fillId="45" borderId="15" xfId="0" applyNumberFormat="1" applyFont="1" applyFill="1" applyBorder="1" applyAlignment="1">
      <alignment horizontal="center" vertical="center"/>
    </xf>
    <xf numFmtId="0" fontId="50" fillId="45" borderId="16" xfId="0" applyFont="1" applyFill="1" applyBorder="1" applyAlignment="1">
      <alignment horizontal="center"/>
    </xf>
    <xf numFmtId="0" fontId="54" fillId="45" borderId="16" xfId="0" applyFont="1" applyFill="1" applyBorder="1" applyAlignment="1">
      <alignment horizontal="center"/>
    </xf>
    <xf numFmtId="0" fontId="83" fillId="45" borderId="22" xfId="0" applyFont="1" applyFill="1" applyBorder="1" applyAlignment="1">
      <alignment horizontal="center" vertical="center"/>
    </xf>
    <xf numFmtId="0" fontId="83" fillId="45" borderId="21" xfId="0" applyFont="1" applyFill="1" applyBorder="1" applyAlignment="1">
      <alignment horizontal="center" vertical="center"/>
    </xf>
    <xf numFmtId="0" fontId="50" fillId="45" borderId="80" xfId="0" applyFont="1" applyFill="1" applyBorder="1" applyAlignment="1">
      <alignment horizontal="center" vertical="center"/>
    </xf>
    <xf numFmtId="0" fontId="159" fillId="59" borderId="14" xfId="0" applyFont="1" applyFill="1" applyBorder="1" applyAlignment="1">
      <alignment horizontal="right" vertical="center" indent="1"/>
    </xf>
    <xf numFmtId="174" fontId="94" fillId="23" borderId="25" xfId="3" applyNumberFormat="1" applyFont="1" applyFill="1" applyBorder="1" applyAlignment="1">
      <alignment horizontal="left" vertical="center" indent="1"/>
    </xf>
    <xf numFmtId="174" fontId="94" fillId="23" borderId="27" xfId="3" applyNumberFormat="1" applyFont="1" applyFill="1" applyBorder="1" applyAlignment="1">
      <alignment horizontal="left" vertical="center" indent="2"/>
    </xf>
    <xf numFmtId="0" fontId="35" fillId="59" borderId="14" xfId="0" applyFont="1" applyFill="1" applyBorder="1" applyAlignment="1">
      <alignment horizontal="left" vertical="center" indent="2"/>
    </xf>
    <xf numFmtId="188" fontId="159" fillId="59" borderId="14" xfId="0" applyNumberFormat="1" applyFont="1" applyFill="1" applyBorder="1" applyAlignment="1">
      <alignment horizontal="left" vertical="center" indent="1"/>
    </xf>
    <xf numFmtId="0" fontId="32" fillId="59" borderId="14" xfId="0" applyFont="1" applyFill="1" applyBorder="1" applyAlignment="1">
      <alignment horizontal="left" vertical="center" indent="1"/>
    </xf>
    <xf numFmtId="0" fontId="15" fillId="59" borderId="14" xfId="0" applyFont="1" applyFill="1" applyBorder="1" applyAlignment="1">
      <alignment horizontal="left" vertical="center" indent="1"/>
    </xf>
    <xf numFmtId="0" fontId="161" fillId="43" borderId="13" xfId="0" applyFont="1" applyFill="1" applyBorder="1" applyAlignment="1">
      <alignment horizontal="center" vertical="center"/>
    </xf>
    <xf numFmtId="0" fontId="161" fillId="43" borderId="14" xfId="0" applyFont="1" applyFill="1" applyBorder="1" applyAlignment="1">
      <alignment horizontal="center" vertical="center"/>
    </xf>
    <xf numFmtId="0" fontId="34" fillId="43" borderId="13" xfId="0" applyFont="1" applyFill="1" applyBorder="1" applyAlignment="1">
      <alignment horizontal="left" vertical="center" indent="1"/>
    </xf>
    <xf numFmtId="169" fontId="210" fillId="3" borderId="13" xfId="0" applyNumberFormat="1" applyFont="1" applyFill="1" applyBorder="1" applyAlignment="1" applyProtection="1">
      <alignment horizontal="center" vertical="center"/>
      <protection locked="0"/>
    </xf>
    <xf numFmtId="172" fontId="210" fillId="3" borderId="13" xfId="0" applyNumberFormat="1" applyFont="1" applyFill="1" applyBorder="1" applyAlignment="1" applyProtection="1">
      <alignment horizontal="center" vertical="center"/>
      <protection locked="0"/>
    </xf>
    <xf numFmtId="211" fontId="210" fillId="3" borderId="13" xfId="0" applyNumberFormat="1" applyFont="1" applyFill="1" applyBorder="1" applyAlignment="1" applyProtection="1">
      <alignment horizontal="center" vertical="center"/>
      <protection locked="0"/>
    </xf>
    <xf numFmtId="169" fontId="161" fillId="60" borderId="13" xfId="0" applyNumberFormat="1" applyFont="1" applyFill="1" applyBorder="1" applyAlignment="1" applyProtection="1">
      <alignment horizontal="center" vertical="center"/>
      <protection locked="0"/>
    </xf>
    <xf numFmtId="202" fontId="210" fillId="3" borderId="13" xfId="0" applyNumberFormat="1" applyFont="1" applyFill="1" applyBorder="1" applyAlignment="1" applyProtection="1">
      <alignment horizontal="center" vertical="center"/>
      <protection locked="0"/>
    </xf>
    <xf numFmtId="172" fontId="34" fillId="10" borderId="10" xfId="0" applyNumberFormat="1" applyFont="1" applyFill="1" applyBorder="1" applyAlignment="1">
      <alignment horizontal="centerContinuous" vertical="center" shrinkToFit="1"/>
    </xf>
    <xf numFmtId="172" fontId="34" fillId="10" borderId="12" xfId="0" applyNumberFormat="1" applyFont="1" applyFill="1" applyBorder="1" applyAlignment="1">
      <alignment horizontal="centerContinuous" vertical="center" shrinkToFit="1"/>
    </xf>
    <xf numFmtId="0" fontId="35" fillId="21" borderId="16" xfId="0" applyFont="1" applyFill="1" applyBorder="1" applyAlignment="1">
      <alignment horizontal="center" vertical="center" shrinkToFit="1"/>
    </xf>
    <xf numFmtId="0" fontId="34" fillId="21" borderId="78" xfId="0" applyFont="1" applyFill="1" applyBorder="1" applyAlignment="1">
      <alignment vertical="center" shrinkToFit="1"/>
    </xf>
    <xf numFmtId="0" fontId="34" fillId="21" borderId="79" xfId="0" applyFont="1" applyFill="1" applyBorder="1" applyAlignment="1">
      <alignment vertical="center" shrinkToFit="1"/>
    </xf>
    <xf numFmtId="0" fontId="35" fillId="21" borderId="8" xfId="0" applyFont="1" applyFill="1" applyBorder="1" applyAlignment="1">
      <alignment horizontal="center" vertical="center" shrinkToFit="1"/>
    </xf>
    <xf numFmtId="0" fontId="34" fillId="21" borderId="16" xfId="0" applyFont="1" applyFill="1" applyBorder="1" applyAlignment="1">
      <alignment horizontal="center" shrinkToFit="1"/>
    </xf>
    <xf numFmtId="0" fontId="35" fillId="21" borderId="22" xfId="0" applyFont="1" applyFill="1" applyBorder="1" applyAlignment="1">
      <alignment horizontal="center" vertical="top" shrinkToFit="1"/>
    </xf>
    <xf numFmtId="202" fontId="161" fillId="60" borderId="13" xfId="0" applyNumberFormat="1" applyFont="1" applyFill="1" applyBorder="1" applyAlignment="1" applyProtection="1">
      <alignment horizontal="center" vertical="center"/>
      <protection locked="0"/>
    </xf>
    <xf numFmtId="212" fontId="0" fillId="0" borderId="0" xfId="0" applyNumberFormat="1"/>
    <xf numFmtId="213" fontId="0" fillId="0" borderId="0" xfId="0" applyNumberFormat="1" applyAlignment="1">
      <alignment horizontal="left"/>
    </xf>
    <xf numFmtId="213" fontId="39" fillId="0" borderId="0" xfId="0" applyNumberFormat="1" applyFont="1" applyAlignment="1">
      <alignment horizontal="left" vertical="center"/>
    </xf>
    <xf numFmtId="0" fontId="34" fillId="29" borderId="124" xfId="0" applyFont="1" applyFill="1" applyBorder="1" applyAlignment="1">
      <alignment horizontal="center" vertical="center" wrapText="1"/>
    </xf>
    <xf numFmtId="167" fontId="100" fillId="24" borderId="21" xfId="0" applyNumberFormat="1" applyFont="1" applyFill="1" applyBorder="1" applyAlignment="1" applyProtection="1">
      <alignment horizontal="center" vertical="center"/>
      <protection locked="0"/>
    </xf>
    <xf numFmtId="170" fontId="3" fillId="0" borderId="91" xfId="34" applyNumberFormat="1" applyFont="1" applyBorder="1" applyAlignment="1">
      <alignment horizontal="left" indent="1"/>
    </xf>
    <xf numFmtId="167" fontId="100" fillId="3" borderId="13" xfId="0" applyNumberFormat="1" applyFont="1" applyFill="1" applyBorder="1" applyAlignment="1" applyProtection="1">
      <alignment horizontal="left" vertical="center" indent="2"/>
      <protection locked="0"/>
    </xf>
    <xf numFmtId="167" fontId="197" fillId="3" borderId="14" xfId="0" applyNumberFormat="1" applyFont="1" applyFill="1" applyBorder="1" applyAlignment="1" applyProtection="1">
      <alignment vertical="center"/>
      <protection locked="0"/>
    </xf>
    <xf numFmtId="170" fontId="197" fillId="3" borderId="14" xfId="0" applyNumberFormat="1" applyFont="1" applyFill="1" applyBorder="1" applyAlignment="1" applyProtection="1">
      <alignment vertical="center"/>
      <protection locked="0"/>
    </xf>
    <xf numFmtId="14" fontId="197" fillId="3" borderId="14" xfId="0" applyNumberFormat="1" applyFont="1" applyFill="1" applyBorder="1" applyAlignment="1" applyProtection="1">
      <alignment vertical="center"/>
      <protection locked="0"/>
    </xf>
    <xf numFmtId="0" fontId="3" fillId="0" borderId="0" xfId="0" applyFont="1" applyAlignment="1">
      <alignment horizontal="center"/>
    </xf>
    <xf numFmtId="192" fontId="3" fillId="0" borderId="0" xfId="0" applyNumberFormat="1" applyFont="1" applyAlignment="1">
      <alignment horizontal="center"/>
    </xf>
    <xf numFmtId="166" fontId="3" fillId="0" borderId="0" xfId="9" applyNumberFormat="1" applyFont="1" applyBorder="1"/>
    <xf numFmtId="10" fontId="45" fillId="39" borderId="76" xfId="1" applyNumberFormat="1" applyFont="1" applyFill="1" applyBorder="1" applyAlignment="1">
      <alignment horizontal="center" vertical="center" shrinkToFit="1"/>
    </xf>
    <xf numFmtId="0" fontId="98" fillId="9" borderId="1" xfId="16" applyFont="1" applyFill="1" applyBorder="1" applyAlignment="1">
      <alignment horizontal="center" vertical="center" shrinkToFit="1"/>
    </xf>
    <xf numFmtId="0" fontId="3" fillId="0" borderId="0" xfId="16" applyFont="1" applyAlignment="1">
      <alignment horizontal="center"/>
    </xf>
    <xf numFmtId="0" fontId="50" fillId="45" borderId="80" xfId="0" applyFont="1" applyFill="1" applyBorder="1" applyAlignment="1">
      <alignment horizontal="left" vertical="center" indent="1"/>
    </xf>
    <xf numFmtId="167" fontId="79" fillId="3" borderId="15" xfId="1" applyNumberFormat="1" applyFont="1" applyFill="1" applyBorder="1" applyAlignment="1" applyProtection="1">
      <alignment horizontal="center" vertical="center" shrinkToFit="1"/>
      <protection locked="0"/>
    </xf>
    <xf numFmtId="0" fontId="32" fillId="9" borderId="1" xfId="0" applyFont="1" applyFill="1" applyBorder="1" applyAlignment="1">
      <alignment horizontal="left" vertical="center" indent="1"/>
    </xf>
    <xf numFmtId="0" fontId="3" fillId="0" borderId="4" xfId="34" applyFont="1" applyBorder="1" applyAlignment="1">
      <alignment horizontal="left" indent="1"/>
    </xf>
    <xf numFmtId="0" fontId="159" fillId="59" borderId="14" xfId="0" applyFont="1" applyFill="1" applyBorder="1" applyAlignment="1">
      <alignment vertical="center"/>
    </xf>
    <xf numFmtId="167" fontId="211" fillId="24" borderId="21" xfId="0" applyNumberFormat="1" applyFont="1" applyFill="1" applyBorder="1" applyAlignment="1" applyProtection="1">
      <alignment horizontal="center" vertical="center"/>
      <protection locked="0"/>
    </xf>
    <xf numFmtId="9" fontId="0" fillId="0" borderId="0" xfId="0" applyNumberFormat="1" applyAlignment="1">
      <alignment horizontal="center"/>
    </xf>
    <xf numFmtId="184" fontId="6" fillId="4" borderId="21" xfId="1" applyNumberFormat="1" applyFont="1" applyFill="1" applyBorder="1" applyAlignment="1" applyProtection="1">
      <alignment horizontal="center" vertical="center" shrinkToFit="1"/>
      <protection locked="0"/>
    </xf>
    <xf numFmtId="167" fontId="80" fillId="12" borderId="21" xfId="1" applyNumberFormat="1" applyFont="1" applyFill="1" applyBorder="1" applyAlignment="1">
      <alignment horizontal="left" vertical="center" indent="1"/>
    </xf>
    <xf numFmtId="0" fontId="159" fillId="59" borderId="10" xfId="0" applyFont="1" applyFill="1" applyBorder="1" applyAlignment="1">
      <alignment horizontal="left" vertical="center" indent="1"/>
    </xf>
    <xf numFmtId="0" fontId="159" fillId="59" borderId="11" xfId="0" applyFont="1" applyFill="1" applyBorder="1" applyAlignment="1">
      <alignment horizontal="left" vertical="center" indent="1"/>
    </xf>
    <xf numFmtId="189" fontId="49" fillId="12" borderId="134" xfId="1" applyNumberFormat="1" applyFont="1" applyFill="1" applyBorder="1" applyAlignment="1">
      <alignment horizontal="center" vertical="center" shrinkToFit="1"/>
    </xf>
    <xf numFmtId="189" fontId="45" fillId="12" borderId="134" xfId="1" applyNumberFormat="1" applyFont="1" applyFill="1" applyBorder="1" applyAlignment="1">
      <alignment horizontal="center" shrinkToFit="1"/>
    </xf>
    <xf numFmtId="167" fontId="45" fillId="12" borderId="134" xfId="1" applyNumberFormat="1" applyFont="1" applyFill="1" applyBorder="1" applyAlignment="1">
      <alignment horizontal="center" shrinkToFit="1"/>
    </xf>
    <xf numFmtId="170" fontId="45" fillId="12" borderId="134" xfId="1" applyNumberFormat="1" applyFont="1" applyFill="1" applyBorder="1" applyAlignment="1">
      <alignment horizontal="center" shrinkToFit="1"/>
    </xf>
    <xf numFmtId="184" fontId="45" fillId="12" borderId="134" xfId="1" applyNumberFormat="1" applyFont="1" applyFill="1" applyBorder="1" applyAlignment="1">
      <alignment horizontal="center" shrinkToFit="1"/>
    </xf>
    <xf numFmtId="189" fontId="49" fillId="12" borderId="135" xfId="1" applyNumberFormat="1" applyFont="1" applyFill="1" applyBorder="1" applyAlignment="1">
      <alignment horizontal="center" vertical="center" shrinkToFit="1"/>
    </xf>
    <xf numFmtId="189" fontId="45" fillId="12" borderId="135" xfId="1" applyNumberFormat="1" applyFont="1" applyFill="1" applyBorder="1" applyAlignment="1">
      <alignment horizontal="center" shrinkToFit="1"/>
    </xf>
    <xf numFmtId="167" fontId="45" fillId="12" borderId="135" xfId="1" applyNumberFormat="1" applyFont="1" applyFill="1" applyBorder="1" applyAlignment="1">
      <alignment horizontal="center" shrinkToFit="1"/>
    </xf>
    <xf numFmtId="170" fontId="45" fillId="12" borderId="135" xfId="1" applyNumberFormat="1" applyFont="1" applyFill="1" applyBorder="1" applyAlignment="1">
      <alignment horizontal="center" shrinkToFit="1"/>
    </xf>
    <xf numFmtId="184" fontId="45" fillId="12" borderId="135" xfId="1" applyNumberFormat="1" applyFont="1" applyFill="1" applyBorder="1" applyAlignment="1">
      <alignment horizontal="center" shrinkToFit="1"/>
    </xf>
    <xf numFmtId="0" fontId="83" fillId="45" borderId="10" xfId="0" applyFont="1" applyFill="1" applyBorder="1" applyAlignment="1">
      <alignment horizontal="center" vertical="center"/>
    </xf>
    <xf numFmtId="0" fontId="83" fillId="45" borderId="8" xfId="0" applyFont="1" applyFill="1" applyBorder="1" applyAlignment="1">
      <alignment horizontal="center" vertical="center"/>
    </xf>
    <xf numFmtId="0" fontId="83" fillId="45" borderId="1" xfId="0" applyFont="1" applyFill="1" applyBorder="1" applyAlignment="1">
      <alignment horizontal="center" vertical="center"/>
    </xf>
    <xf numFmtId="189" fontId="83" fillId="58" borderId="134" xfId="1" applyNumberFormat="1" applyFont="1" applyFill="1" applyBorder="1" applyAlignment="1">
      <alignment horizontal="center" vertical="center" shrinkToFit="1"/>
    </xf>
    <xf numFmtId="189" fontId="54" fillId="58" borderId="134" xfId="1" applyNumberFormat="1" applyFont="1" applyFill="1" applyBorder="1" applyAlignment="1">
      <alignment horizontal="center" shrinkToFit="1"/>
    </xf>
    <xf numFmtId="167" fontId="54" fillId="58" borderId="134" xfId="1" applyNumberFormat="1" applyFont="1" applyFill="1" applyBorder="1" applyAlignment="1">
      <alignment horizontal="center" shrinkToFit="1"/>
    </xf>
    <xf numFmtId="170" fontId="54" fillId="58" borderId="134" xfId="1" applyNumberFormat="1" applyFont="1" applyFill="1" applyBorder="1" applyAlignment="1">
      <alignment horizontal="center" shrinkToFit="1"/>
    </xf>
    <xf numFmtId="184" fontId="54" fillId="58" borderId="134" xfId="1" applyNumberFormat="1" applyFont="1" applyFill="1" applyBorder="1" applyAlignment="1">
      <alignment horizontal="center" shrinkToFit="1"/>
    </xf>
    <xf numFmtId="0" fontId="54" fillId="29" borderId="16" xfId="0" applyFont="1" applyFill="1" applyBorder="1" applyAlignment="1">
      <alignment horizontal="center"/>
    </xf>
    <xf numFmtId="0" fontId="54" fillId="29" borderId="22" xfId="0" applyFont="1" applyFill="1" applyBorder="1" applyAlignment="1">
      <alignment horizontal="center" vertical="center"/>
    </xf>
    <xf numFmtId="195" fontId="72" fillId="0" borderId="91" xfId="16" applyNumberFormat="1" applyFont="1" applyBorder="1" applyAlignment="1" applyProtection="1">
      <alignment horizontal="center" vertical="center"/>
      <protection locked="0"/>
    </xf>
    <xf numFmtId="0" fontId="118" fillId="9" borderId="136" xfId="0" applyFont="1" applyFill="1" applyBorder="1" applyAlignment="1">
      <alignment horizontal="centerContinuous" vertical="center"/>
    </xf>
    <xf numFmtId="0" fontId="118" fillId="9" borderId="137" xfId="0" applyFont="1" applyFill="1" applyBorder="1" applyAlignment="1">
      <alignment horizontal="centerContinuous" vertical="center"/>
    </xf>
    <xf numFmtId="0" fontId="118" fillId="9" borderId="138" xfId="0" applyFont="1" applyFill="1" applyBorder="1" applyAlignment="1">
      <alignment horizontal="centerContinuous" vertical="center"/>
    </xf>
    <xf numFmtId="0" fontId="163" fillId="43" borderId="139" xfId="0" applyFont="1" applyFill="1" applyBorder="1" applyAlignment="1">
      <alignment horizontal="center" vertical="center" wrapText="1"/>
    </xf>
    <xf numFmtId="0" fontId="34" fillId="29" borderId="140" xfId="0" applyFont="1" applyFill="1" applyBorder="1" applyAlignment="1">
      <alignment horizontal="center" vertical="center" wrapText="1"/>
    </xf>
    <xf numFmtId="177" fontId="0" fillId="0" borderId="139" xfId="16" applyNumberFormat="1" applyFont="1" applyBorder="1" applyAlignment="1" applyProtection="1">
      <alignment horizontal="center" vertical="center"/>
      <protection locked="0"/>
    </xf>
    <xf numFmtId="177" fontId="201" fillId="0" borderId="141" xfId="16" applyNumberFormat="1" applyFont="1" applyBorder="1" applyAlignment="1" applyProtection="1">
      <alignment horizontal="right" vertical="center"/>
      <protection locked="0"/>
    </xf>
    <xf numFmtId="177" fontId="0" fillId="0" borderId="142" xfId="16" applyNumberFormat="1" applyFont="1" applyBorder="1" applyAlignment="1" applyProtection="1">
      <alignment horizontal="center" vertical="center"/>
      <protection locked="0"/>
    </xf>
    <xf numFmtId="177" fontId="0" fillId="0" borderId="143" xfId="16" applyNumberFormat="1" applyFont="1" applyBorder="1" applyAlignment="1" applyProtection="1">
      <alignment horizontal="center" vertical="center"/>
      <protection locked="0"/>
    </xf>
    <xf numFmtId="177" fontId="201" fillId="0" borderId="143" xfId="16" applyNumberFormat="1" applyFont="1" applyBorder="1" applyAlignment="1" applyProtection="1">
      <alignment horizontal="center" vertical="center"/>
      <protection locked="0"/>
    </xf>
    <xf numFmtId="177" fontId="201" fillId="0" borderId="144" xfId="16" applyNumberFormat="1" applyFont="1" applyBorder="1" applyAlignment="1" applyProtection="1">
      <alignment horizontal="right" vertical="center"/>
      <protection locked="0"/>
    </xf>
    <xf numFmtId="0" fontId="125" fillId="21" borderId="126" xfId="0" applyFont="1" applyFill="1" applyBorder="1" applyAlignment="1">
      <alignment vertical="center"/>
    </xf>
    <xf numFmtId="0" fontId="125" fillId="21" borderId="127" xfId="0" applyFont="1" applyFill="1" applyBorder="1" applyAlignment="1">
      <alignment vertical="center"/>
    </xf>
    <xf numFmtId="0" fontId="214" fillId="9" borderId="0" xfId="0" applyFont="1" applyFill="1" applyAlignment="1">
      <alignment horizontal="centerContinuous" vertical="center"/>
    </xf>
    <xf numFmtId="0" fontId="91" fillId="8" borderId="27" xfId="0" applyFont="1" applyFill="1" applyBorder="1" applyAlignment="1">
      <alignment horizontal="left" vertical="center" indent="1"/>
    </xf>
    <xf numFmtId="0" fontId="53" fillId="15" borderId="32" xfId="0" applyFont="1" applyFill="1" applyBorder="1" applyAlignment="1">
      <alignment horizontal="center" vertical="center"/>
    </xf>
    <xf numFmtId="0" fontId="53" fillId="15" borderId="94" xfId="0" applyFont="1" applyFill="1" applyBorder="1" applyAlignment="1">
      <alignment horizontal="center" vertical="center"/>
    </xf>
    <xf numFmtId="0" fontId="53" fillId="15" borderId="36" xfId="0" applyFont="1" applyFill="1" applyBorder="1" applyAlignment="1">
      <alignment horizontal="center" vertical="center"/>
    </xf>
    <xf numFmtId="167" fontId="57" fillId="0" borderId="0" xfId="15" applyNumberFormat="1" applyFont="1" applyAlignment="1">
      <alignment shrinkToFit="1"/>
    </xf>
    <xf numFmtId="177" fontId="131" fillId="12" borderId="43" xfId="11" applyNumberFormat="1" applyFont="1" applyFill="1" applyBorder="1" applyAlignment="1">
      <alignment horizontal="right" vertical="center" shrinkToFit="1"/>
    </xf>
    <xf numFmtId="177" fontId="131" fillId="12" borderId="52" xfId="11" applyNumberFormat="1" applyFont="1" applyFill="1" applyBorder="1" applyAlignment="1">
      <alignment horizontal="right" vertical="center" shrinkToFit="1"/>
    </xf>
    <xf numFmtId="177" fontId="167" fillId="12" borderId="52" xfId="11" applyNumberFormat="1" applyFont="1" applyFill="1" applyBorder="1" applyAlignment="1">
      <alignment horizontal="right" vertical="center" shrinkToFit="1"/>
    </xf>
    <xf numFmtId="177" fontId="167" fillId="12" borderId="43" xfId="11" applyNumberFormat="1" applyFont="1" applyFill="1" applyBorder="1" applyAlignment="1">
      <alignment horizontal="right" vertical="center" shrinkToFit="1"/>
    </xf>
    <xf numFmtId="177" fontId="131" fillId="12" borderId="59" xfId="11" applyNumberFormat="1" applyFont="1" applyFill="1" applyBorder="1" applyAlignment="1">
      <alignment horizontal="right" vertical="center" shrinkToFit="1"/>
    </xf>
    <xf numFmtId="177" fontId="167" fillId="12" borderId="59" xfId="11" applyNumberFormat="1" applyFont="1" applyFill="1" applyBorder="1" applyAlignment="1">
      <alignment horizontal="right" vertical="center" shrinkToFit="1"/>
    </xf>
    <xf numFmtId="0" fontId="114" fillId="8" borderId="25" xfId="0" applyFont="1" applyFill="1" applyBorder="1" applyAlignment="1">
      <alignment horizontal="center" vertical="center"/>
    </xf>
    <xf numFmtId="0" fontId="3" fillId="0" borderId="0" xfId="16" applyFont="1" applyAlignment="1">
      <alignment horizontal="left" indent="1"/>
    </xf>
    <xf numFmtId="167" fontId="87" fillId="13" borderId="6" xfId="13" applyNumberFormat="1" applyFont="1" applyFill="1" applyBorder="1" applyAlignment="1" applyProtection="1">
      <alignment horizontal="left" vertical="center" indent="1" shrinkToFit="1"/>
      <protection locked="0"/>
    </xf>
    <xf numFmtId="0" fontId="98" fillId="43" borderId="4" xfId="0" applyFont="1" applyFill="1" applyBorder="1" applyAlignment="1">
      <alignment horizontal="center" vertical="center"/>
    </xf>
    <xf numFmtId="0" fontId="105" fillId="8" borderId="0" xfId="0" applyFont="1" applyFill="1" applyAlignment="1">
      <alignment horizontal="center" vertical="center"/>
    </xf>
    <xf numFmtId="0" fontId="32" fillId="8" borderId="0" xfId="0" applyFont="1" applyFill="1" applyAlignment="1">
      <alignment horizontal="center" vertical="top"/>
    </xf>
    <xf numFmtId="0" fontId="106" fillId="8" borderId="0" xfId="34" applyFont="1" applyFill="1" applyAlignment="1">
      <alignment horizontal="center"/>
    </xf>
    <xf numFmtId="0" fontId="103" fillId="8" borderId="0" xfId="0" applyFont="1" applyFill="1" applyAlignment="1">
      <alignment horizontal="center" vertical="center"/>
    </xf>
    <xf numFmtId="167" fontId="21" fillId="0" borderId="9" xfId="11" applyNumberFormat="1" applyFont="1" applyFill="1" applyBorder="1" applyAlignment="1">
      <alignment horizontal="center" vertical="center" shrinkToFit="1"/>
    </xf>
    <xf numFmtId="167" fontId="21" fillId="0" borderId="131" xfId="11" applyNumberFormat="1" applyFont="1" applyFill="1" applyBorder="1" applyAlignment="1">
      <alignment horizontal="center" vertical="center" shrinkToFit="1"/>
    </xf>
    <xf numFmtId="167" fontId="110" fillId="0" borderId="130" xfId="11" applyNumberFormat="1" applyFont="1" applyFill="1" applyBorder="1" applyAlignment="1">
      <alignment horizontal="center" vertical="center" shrinkToFit="1"/>
    </xf>
    <xf numFmtId="167" fontId="29" fillId="0" borderId="131" xfId="11" applyNumberFormat="1" applyFont="1" applyFill="1" applyBorder="1" applyAlignment="1">
      <alignment horizontal="center" vertical="center" shrinkToFit="1"/>
    </xf>
    <xf numFmtId="167" fontId="29" fillId="0" borderId="6" xfId="11" applyNumberFormat="1" applyFont="1" applyFill="1" applyBorder="1" applyAlignment="1">
      <alignment horizontal="center" vertical="center" shrinkToFit="1"/>
    </xf>
    <xf numFmtId="167" fontId="21" fillId="0" borderId="4" xfId="11" applyNumberFormat="1" applyFont="1" applyFill="1" applyBorder="1" applyAlignment="1">
      <alignment horizontal="center" vertical="center" shrinkToFit="1"/>
    </xf>
    <xf numFmtId="214" fontId="131" fillId="12" borderId="103" xfId="15" applyNumberFormat="1" applyFont="1" applyFill="1" applyBorder="1" applyAlignment="1">
      <alignment horizontal="left" vertical="center"/>
    </xf>
    <xf numFmtId="209" fontId="131" fillId="12" borderId="42" xfId="15" applyNumberFormat="1" applyFont="1" applyFill="1" applyBorder="1" applyAlignment="1">
      <alignment horizontal="left" vertical="center"/>
    </xf>
    <xf numFmtId="215" fontId="131" fillId="12" borderId="42" xfId="15" applyNumberFormat="1" applyFont="1" applyFill="1" applyBorder="1" applyAlignment="1">
      <alignment horizontal="left" vertical="center"/>
    </xf>
    <xf numFmtId="215" fontId="131" fillId="12" borderId="42" xfId="15" applyNumberFormat="1" applyFont="1" applyFill="1" applyBorder="1" applyAlignment="1">
      <alignment horizontal="left" vertical="center" indent="2"/>
    </xf>
    <xf numFmtId="215" fontId="131" fillId="12" borderId="103" xfId="15" applyNumberFormat="1" applyFont="1" applyFill="1" applyBorder="1" applyAlignment="1">
      <alignment horizontal="left" vertical="center"/>
    </xf>
    <xf numFmtId="0" fontId="2" fillId="0" borderId="0" xfId="0" applyFont="1"/>
    <xf numFmtId="168" fontId="215" fillId="3" borderId="21" xfId="1" applyNumberFormat="1" applyFont="1" applyFill="1" applyBorder="1" applyAlignment="1" applyProtection="1">
      <alignment horizontal="center" vertical="center" shrinkToFit="1"/>
      <protection locked="0"/>
    </xf>
    <xf numFmtId="169" fontId="215" fillId="3" borderId="21" xfId="5" applyNumberFormat="1" applyFont="1" applyFill="1" applyBorder="1" applyAlignment="1" applyProtection="1">
      <alignment horizontal="center" vertical="center"/>
      <protection locked="0"/>
    </xf>
    <xf numFmtId="169" fontId="215" fillId="3" borderId="21" xfId="5" applyNumberFormat="1" applyFont="1" applyFill="1" applyBorder="1" applyAlignment="1" applyProtection="1">
      <alignment horizontal="center" vertical="center" shrinkToFit="1"/>
      <protection locked="0"/>
    </xf>
    <xf numFmtId="167" fontId="100" fillId="3" borderId="14" xfId="0" applyNumberFormat="1" applyFont="1" applyFill="1" applyBorder="1" applyAlignment="1" applyProtection="1">
      <alignment horizontal="left" vertical="center" indent="2"/>
      <protection locked="0"/>
    </xf>
    <xf numFmtId="168" fontId="197" fillId="3" borderId="13" xfId="1" applyNumberFormat="1" applyFont="1" applyFill="1" applyBorder="1" applyAlignment="1" applyProtection="1">
      <alignment horizontal="center" vertical="center"/>
      <protection locked="0"/>
    </xf>
    <xf numFmtId="167" fontId="197" fillId="3" borderId="13" xfId="0" applyNumberFormat="1" applyFont="1" applyFill="1" applyBorder="1" applyAlignment="1" applyProtection="1">
      <alignment horizontal="center" vertical="center"/>
      <protection locked="0"/>
    </xf>
    <xf numFmtId="201" fontId="197" fillId="3" borderId="13" xfId="0" applyNumberFormat="1" applyFont="1" applyFill="1" applyBorder="1" applyAlignment="1" applyProtection="1">
      <alignment horizontal="center" vertical="center"/>
      <protection locked="0"/>
    </xf>
    <xf numFmtId="198" fontId="197" fillId="3" borderId="13" xfId="0" applyNumberFormat="1" applyFont="1" applyFill="1" applyBorder="1" applyAlignment="1" applyProtection="1">
      <alignment horizontal="center" vertical="center"/>
      <protection locked="0"/>
    </xf>
    <xf numFmtId="167" fontId="219" fillId="0" borderId="0" xfId="13" applyNumberFormat="1" applyFont="1" applyFill="1" applyBorder="1" applyAlignment="1" applyProtection="1">
      <alignment horizontal="left" vertical="center" indent="1" shrinkToFit="1"/>
      <protection locked="0"/>
    </xf>
    <xf numFmtId="167" fontId="218" fillId="0" borderId="0" xfId="13" applyNumberFormat="1" applyFont="1" applyFill="1" applyBorder="1" applyAlignment="1" applyProtection="1">
      <alignment horizontal="center" vertical="center" shrinkToFit="1"/>
      <protection locked="0"/>
    </xf>
    <xf numFmtId="0" fontId="141" fillId="0" borderId="0" xfId="0" quotePrefix="1" applyFont="1"/>
    <xf numFmtId="197" fontId="39" fillId="0" borderId="91" xfId="16" applyNumberFormat="1" applyFont="1" applyBorder="1" applyAlignment="1" applyProtection="1">
      <alignment horizontal="center" vertical="center"/>
      <protection locked="0"/>
    </xf>
    <xf numFmtId="0" fontId="39" fillId="0" borderId="91" xfId="16" applyFont="1" applyBorder="1" applyAlignment="1" applyProtection="1">
      <alignment horizontal="center" vertical="center"/>
      <protection locked="0"/>
    </xf>
    <xf numFmtId="167" fontId="27" fillId="6" borderId="0" xfId="24" applyNumberFormat="1" applyFont="1" applyFill="1" applyAlignment="1">
      <alignment horizontal="center"/>
    </xf>
    <xf numFmtId="0" fontId="98" fillId="8" borderId="0" xfId="0" applyFont="1" applyFill="1"/>
    <xf numFmtId="0" fontId="98" fillId="8" borderId="0" xfId="0" applyFont="1" applyFill="1" applyAlignment="1">
      <alignment vertical="center"/>
    </xf>
    <xf numFmtId="0" fontId="183" fillId="8" borderId="0" xfId="22" applyFont="1" applyFill="1"/>
    <xf numFmtId="0" fontId="183" fillId="8" borderId="0" xfId="24" applyFont="1" applyFill="1"/>
    <xf numFmtId="0" fontId="27" fillId="0" borderId="0" xfId="24" applyFont="1"/>
    <xf numFmtId="0" fontId="118" fillId="59" borderId="14" xfId="0" applyFont="1" applyFill="1" applyBorder="1" applyAlignment="1">
      <alignment horizontal="left" vertical="center" indent="1"/>
    </xf>
    <xf numFmtId="194" fontId="94" fillId="23" borderId="22" xfId="3" applyNumberFormat="1" applyFont="1" applyFill="1" applyBorder="1" applyAlignment="1">
      <alignment horizontal="center" vertical="center"/>
    </xf>
    <xf numFmtId="174" fontId="94" fillId="23" borderId="22" xfId="3" applyNumberFormat="1" applyFont="1" applyFill="1" applyBorder="1" applyAlignment="1">
      <alignment horizontal="center" vertical="center" wrapText="1"/>
    </xf>
    <xf numFmtId="0" fontId="159" fillId="59" borderId="15" xfId="0" applyFont="1" applyFill="1" applyBorder="1" applyAlignment="1">
      <alignment horizontal="left" vertical="center" indent="2"/>
    </xf>
    <xf numFmtId="0" fontId="21" fillId="12" borderId="41" xfId="15" applyFont="1" applyFill="1" applyBorder="1" applyAlignment="1">
      <alignment horizontal="left" vertical="center" indent="4"/>
    </xf>
    <xf numFmtId="0" fontId="29" fillId="12" borderId="42" xfId="15" applyFont="1" applyFill="1" applyBorder="1" applyAlignment="1">
      <alignment horizontal="left" vertical="center" indent="4"/>
    </xf>
    <xf numFmtId="167" fontId="220" fillId="4" borderId="52" xfId="13" applyNumberFormat="1" applyFont="1" applyFill="1" applyBorder="1" applyAlignment="1" applyProtection="1">
      <alignment horizontal="center" vertical="center" shrinkToFit="1"/>
      <protection locked="0"/>
    </xf>
    <xf numFmtId="167" fontId="145" fillId="26" borderId="46" xfId="11" applyNumberFormat="1" applyFont="1" applyFill="1" applyBorder="1" applyAlignment="1">
      <alignment horizontal="center" vertical="center"/>
    </xf>
    <xf numFmtId="167" fontId="204" fillId="4" borderId="52" xfId="13" applyNumberFormat="1" applyFont="1" applyFill="1" applyBorder="1" applyAlignment="1" applyProtection="1">
      <alignment horizontal="center" vertical="center" shrinkToFit="1"/>
      <protection locked="0"/>
    </xf>
    <xf numFmtId="0" fontId="118" fillId="9" borderId="146" xfId="0" applyFont="1" applyFill="1" applyBorder="1" applyAlignment="1">
      <alignment horizontal="centerContinuous" vertical="center"/>
    </xf>
    <xf numFmtId="0" fontId="32" fillId="58" borderId="125" xfId="0" applyFont="1" applyFill="1" applyBorder="1" applyAlignment="1">
      <alignment horizontal="centerContinuous" vertical="center"/>
    </xf>
    <xf numFmtId="0" fontId="32" fillId="58" borderId="147" xfId="0" applyFont="1" applyFill="1" applyBorder="1" applyAlignment="1">
      <alignment horizontal="centerContinuous" vertical="center"/>
    </xf>
    <xf numFmtId="0" fontId="122" fillId="43" borderId="139" xfId="0" applyFont="1" applyFill="1" applyBorder="1" applyAlignment="1">
      <alignment horizontal="center" vertical="center" wrapText="1"/>
    </xf>
    <xf numFmtId="0" fontId="122" fillId="43" borderId="141" xfId="0" applyFont="1" applyFill="1" applyBorder="1" applyAlignment="1">
      <alignment horizontal="center" vertical="center" wrapText="1"/>
    </xf>
    <xf numFmtId="177" fontId="130" fillId="2" borderId="139" xfId="16" applyNumberFormat="1" applyFont="1" applyFill="1" applyBorder="1" applyAlignment="1" applyProtection="1">
      <alignment horizontal="center" vertical="center"/>
      <protection locked="0"/>
    </xf>
    <xf numFmtId="177" fontId="130" fillId="2" borderId="141" xfId="16" applyNumberFormat="1" applyFont="1" applyFill="1" applyBorder="1" applyAlignment="1" applyProtection="1">
      <alignment horizontal="center" vertical="center"/>
      <protection locked="0"/>
    </xf>
    <xf numFmtId="177" fontId="130" fillId="2" borderId="142" xfId="16" applyNumberFormat="1" applyFont="1" applyFill="1" applyBorder="1" applyAlignment="1" applyProtection="1">
      <alignment horizontal="center" vertical="center"/>
      <protection locked="0"/>
    </xf>
    <xf numFmtId="177" fontId="130" fillId="2" borderId="143" xfId="16" applyNumberFormat="1" applyFont="1" applyFill="1" applyBorder="1" applyAlignment="1" applyProtection="1">
      <alignment horizontal="center" vertical="center"/>
      <protection locked="0"/>
    </xf>
    <xf numFmtId="177" fontId="130" fillId="2" borderId="144" xfId="16" applyNumberFormat="1" applyFont="1" applyFill="1" applyBorder="1" applyAlignment="1" applyProtection="1">
      <alignment horizontal="center" vertical="center"/>
      <protection locked="0"/>
    </xf>
    <xf numFmtId="0" fontId="118" fillId="9" borderId="148" xfId="0" applyFont="1" applyFill="1" applyBorder="1" applyAlignment="1">
      <alignment horizontal="centerContinuous" vertical="center"/>
    </xf>
    <xf numFmtId="0" fontId="118" fillId="9" borderId="149" xfId="0" applyFont="1" applyFill="1" applyBorder="1" applyAlignment="1">
      <alignment horizontal="centerContinuous" vertical="center"/>
    </xf>
    <xf numFmtId="0" fontId="118" fillId="9" borderId="150" xfId="0" applyFont="1" applyFill="1" applyBorder="1" applyAlignment="1">
      <alignment horizontal="centerContinuous" vertical="center"/>
    </xf>
    <xf numFmtId="0" fontId="161" fillId="43" borderId="141" xfId="0" applyFont="1" applyFill="1" applyBorder="1" applyAlignment="1">
      <alignment horizontal="center" vertical="center" wrapText="1"/>
    </xf>
    <xf numFmtId="177" fontId="192" fillId="0" borderId="139" xfId="16" applyNumberFormat="1" applyFont="1" applyBorder="1" applyAlignment="1" applyProtection="1">
      <alignment horizontal="center" vertical="center"/>
      <protection locked="0"/>
    </xf>
    <xf numFmtId="177" fontId="201" fillId="0" borderId="141" xfId="16" applyNumberFormat="1" applyFont="1" applyBorder="1" applyAlignment="1" applyProtection="1">
      <alignment horizontal="center" vertical="center"/>
      <protection locked="0"/>
    </xf>
    <xf numFmtId="177" fontId="192" fillId="0" borderId="142" xfId="16" applyNumberFormat="1" applyFont="1" applyBorder="1" applyAlignment="1" applyProtection="1">
      <alignment horizontal="center" vertical="center"/>
      <protection locked="0"/>
    </xf>
    <xf numFmtId="177" fontId="192" fillId="0" borderId="143" xfId="16" applyNumberFormat="1" applyFont="1" applyBorder="1" applyAlignment="1" applyProtection="1">
      <alignment horizontal="center" vertical="center"/>
      <protection locked="0"/>
    </xf>
    <xf numFmtId="177" fontId="201" fillId="0" borderId="144" xfId="16" applyNumberFormat="1" applyFont="1" applyBorder="1" applyAlignment="1" applyProtection="1">
      <alignment horizontal="center" vertical="center"/>
      <protection locked="0"/>
    </xf>
    <xf numFmtId="0" fontId="32" fillId="19" borderId="148" xfId="0" applyFont="1" applyFill="1" applyBorder="1" applyAlignment="1">
      <alignment horizontal="left" vertical="center" indent="1"/>
    </xf>
    <xf numFmtId="0" fontId="16" fillId="19" borderId="149" xfId="0" applyFont="1" applyFill="1" applyBorder="1" applyAlignment="1">
      <alignment horizontal="centerContinuous" vertical="center" wrapText="1"/>
    </xf>
    <xf numFmtId="0" fontId="16" fillId="19" borderId="150" xfId="0" applyFont="1" applyFill="1" applyBorder="1" applyAlignment="1">
      <alignment horizontal="centerContinuous" vertical="center" wrapText="1"/>
    </xf>
    <xf numFmtId="194" fontId="41" fillId="44" borderId="139" xfId="3" applyNumberFormat="1" applyFont="1" applyFill="1" applyBorder="1" applyAlignment="1">
      <alignment horizontal="left" vertical="center" indent="1"/>
    </xf>
    <xf numFmtId="194" fontId="114" fillId="44" borderId="141" xfId="3" applyNumberFormat="1" applyFont="1" applyFill="1" applyBorder="1" applyAlignment="1">
      <alignment horizontal="center" vertical="center"/>
    </xf>
    <xf numFmtId="0" fontId="78" fillId="4" borderId="151" xfId="15" applyFont="1" applyFill="1" applyBorder="1" applyAlignment="1">
      <alignment horizontal="left" vertical="center" indent="2"/>
    </xf>
    <xf numFmtId="177" fontId="78" fillId="2" borderId="141" xfId="16" applyNumberFormat="1" applyFont="1" applyFill="1" applyBorder="1" applyAlignment="1" applyProtection="1">
      <alignment horizontal="center" vertical="center"/>
      <protection locked="0"/>
    </xf>
    <xf numFmtId="194" fontId="41" fillId="44" borderId="151" xfId="3" applyNumberFormat="1" applyFont="1" applyFill="1" applyBorder="1" applyAlignment="1">
      <alignment horizontal="left" vertical="center" indent="1"/>
    </xf>
    <xf numFmtId="0" fontId="78" fillId="4" borderId="152" xfId="15" applyFont="1" applyFill="1" applyBorder="1" applyAlignment="1">
      <alignment horizontal="left" vertical="center" indent="2"/>
    </xf>
    <xf numFmtId="0" fontId="78" fillId="4" borderId="153" xfId="15" applyFont="1" applyFill="1" applyBorder="1" applyAlignment="1">
      <alignment horizontal="left" vertical="center" indent="2"/>
    </xf>
    <xf numFmtId="177" fontId="78" fillId="2" borderId="143" xfId="16" applyNumberFormat="1" applyFont="1" applyFill="1" applyBorder="1" applyAlignment="1" applyProtection="1">
      <alignment horizontal="center" vertical="center"/>
      <protection locked="0"/>
    </xf>
    <xf numFmtId="177" fontId="78" fillId="2" borderId="144" xfId="16" applyNumberFormat="1" applyFont="1" applyFill="1" applyBorder="1" applyAlignment="1" applyProtection="1">
      <alignment horizontal="center" vertical="center"/>
      <protection locked="0"/>
    </xf>
    <xf numFmtId="0" fontId="34" fillId="21" borderId="154" xfId="0" applyFont="1" applyFill="1" applyBorder="1" applyAlignment="1">
      <alignment horizontal="center" wrapText="1"/>
    </xf>
    <xf numFmtId="0" fontId="34" fillId="21" borderId="155" xfId="0" applyFont="1" applyFill="1" applyBorder="1" applyAlignment="1">
      <alignment horizontal="center" wrapText="1"/>
    </xf>
    <xf numFmtId="0" fontId="34" fillId="43" borderId="155" xfId="0" applyFont="1" applyFill="1" applyBorder="1" applyAlignment="1">
      <alignment horizontal="center" wrapText="1"/>
    </xf>
    <xf numFmtId="0" fontId="34" fillId="21" borderId="158" xfId="0" applyFont="1" applyFill="1" applyBorder="1" applyAlignment="1">
      <alignment horizontal="center" vertical="center" wrapText="1"/>
    </xf>
    <xf numFmtId="0" fontId="53" fillId="43" borderId="141" xfId="0" applyFont="1" applyFill="1" applyBorder="1" applyAlignment="1">
      <alignment horizontal="center" vertical="center"/>
    </xf>
    <xf numFmtId="197" fontId="72" fillId="0" borderId="139" xfId="16" applyNumberFormat="1" applyFont="1" applyBorder="1" applyAlignment="1" applyProtection="1">
      <alignment horizontal="center" vertical="center"/>
      <protection locked="0"/>
    </xf>
    <xf numFmtId="177" fontId="72" fillId="0" borderId="141" xfId="16" applyNumberFormat="1" applyFont="1" applyBorder="1" applyAlignment="1" applyProtection="1">
      <alignment horizontal="center" vertical="center"/>
      <protection locked="0"/>
    </xf>
    <xf numFmtId="177" fontId="72" fillId="0" borderId="139" xfId="16" applyNumberFormat="1" applyFont="1" applyBorder="1" applyAlignment="1" applyProtection="1">
      <alignment horizontal="center" vertical="center"/>
      <protection locked="0"/>
    </xf>
    <xf numFmtId="177" fontId="72" fillId="2" borderId="159" xfId="16" applyNumberFormat="1" applyFont="1" applyFill="1" applyBorder="1" applyAlignment="1" applyProtection="1">
      <alignment horizontal="center" vertical="center"/>
      <protection locked="0"/>
    </xf>
    <xf numFmtId="177" fontId="72" fillId="2" borderId="160" xfId="16" applyNumberFormat="1" applyFont="1" applyFill="1" applyBorder="1" applyAlignment="1" applyProtection="1">
      <alignment horizontal="center" vertical="center"/>
      <protection locked="0"/>
    </xf>
    <xf numFmtId="177" fontId="72" fillId="13" borderId="161" xfId="16" applyNumberFormat="1" applyFont="1" applyFill="1" applyBorder="1" applyAlignment="1" applyProtection="1">
      <alignment horizontal="center" vertical="center"/>
      <protection locked="0"/>
    </xf>
    <xf numFmtId="177" fontId="72" fillId="13" borderId="162" xfId="16" applyNumberFormat="1" applyFont="1" applyFill="1" applyBorder="1" applyAlignment="1" applyProtection="1">
      <alignment horizontal="center" vertical="center"/>
      <protection locked="0"/>
    </xf>
    <xf numFmtId="177" fontId="72" fillId="13" borderId="163" xfId="16" applyNumberFormat="1" applyFont="1" applyFill="1" applyBorder="1" applyAlignment="1" applyProtection="1">
      <alignment horizontal="center" vertical="center"/>
      <protection locked="0"/>
    </xf>
    <xf numFmtId="14" fontId="197" fillId="3" borderId="13" xfId="0" applyNumberFormat="1" applyFont="1" applyFill="1" applyBorder="1" applyAlignment="1" applyProtection="1">
      <alignment horizontal="left" vertical="center" indent="1"/>
      <protection locked="0"/>
    </xf>
    <xf numFmtId="167" fontId="100" fillId="3" borderId="13" xfId="0" applyNumberFormat="1" applyFont="1" applyFill="1" applyBorder="1" applyAlignment="1" applyProtection="1">
      <alignment horizontal="left" vertical="center" indent="1"/>
      <protection locked="0"/>
    </xf>
    <xf numFmtId="170" fontId="100" fillId="3" borderId="13" xfId="0" applyNumberFormat="1" applyFont="1" applyFill="1" applyBorder="1" applyAlignment="1" applyProtection="1">
      <alignment horizontal="left" vertical="center" indent="1"/>
      <protection locked="0"/>
    </xf>
    <xf numFmtId="167" fontId="221" fillId="0" borderId="0" xfId="13" applyNumberFormat="1" applyFont="1" applyFill="1" applyBorder="1" applyAlignment="1">
      <alignment horizontal="center" vertical="center" shrinkToFit="1"/>
    </xf>
    <xf numFmtId="209" fontId="101" fillId="0" borderId="0" xfId="13" applyNumberFormat="1" applyFont="1" applyFill="1" applyBorder="1" applyAlignment="1">
      <alignment horizontal="left" vertical="center" indent="1" shrinkToFit="1"/>
    </xf>
    <xf numFmtId="209" fontId="87" fillId="0" borderId="0" xfId="13" applyNumberFormat="1" applyFont="1" applyFill="1" applyBorder="1" applyAlignment="1">
      <alignment horizontal="left" vertical="center" indent="1" shrinkToFit="1"/>
    </xf>
    <xf numFmtId="209" fontId="222" fillId="0" borderId="0" xfId="13" applyNumberFormat="1" applyFont="1" applyFill="1" applyBorder="1" applyAlignment="1">
      <alignment horizontal="left" vertical="center" shrinkToFit="1"/>
    </xf>
    <xf numFmtId="167" fontId="223" fillId="0" borderId="0" xfId="13" applyNumberFormat="1" applyFont="1" applyFill="1" applyBorder="1" applyAlignment="1">
      <alignment horizontal="right" vertical="center" shrinkToFit="1"/>
    </xf>
    <xf numFmtId="1" fontId="11" fillId="6" borderId="0" xfId="22" applyNumberFormat="1" applyFill="1" applyAlignment="1">
      <alignment horizontal="center" shrinkToFit="1"/>
    </xf>
    <xf numFmtId="167" fontId="97" fillId="0" borderId="0" xfId="13" applyNumberFormat="1" applyFont="1" applyFill="1" applyBorder="1" applyAlignment="1">
      <alignment horizontal="right" shrinkToFit="1"/>
    </xf>
    <xf numFmtId="167" fontId="149" fillId="0" borderId="0" xfId="13" applyNumberFormat="1" applyFont="1" applyFill="1" applyBorder="1" applyAlignment="1">
      <alignment horizontal="center" shrinkToFit="1"/>
    </xf>
    <xf numFmtId="167" fontId="38" fillId="0" borderId="0" xfId="13" applyNumberFormat="1" applyFont="1" applyFill="1" applyBorder="1" applyAlignment="1">
      <alignment horizontal="center" shrinkToFit="1"/>
    </xf>
    <xf numFmtId="167" fontId="87" fillId="0" borderId="0" xfId="13" applyNumberFormat="1" applyFont="1" applyFill="1" applyBorder="1" applyAlignment="1">
      <alignment horizontal="center" shrinkToFit="1"/>
    </xf>
    <xf numFmtId="209" fontId="87" fillId="0" borderId="0" xfId="13" applyNumberFormat="1" applyFont="1" applyFill="1" applyBorder="1" applyAlignment="1">
      <alignment horizontal="left" indent="1" shrinkToFit="1"/>
    </xf>
    <xf numFmtId="167" fontId="87" fillId="0" borderId="0" xfId="13" applyNumberFormat="1" applyFont="1" applyFill="1" applyBorder="1" applyAlignment="1">
      <alignment horizontal="left" vertical="center" indent="3" shrinkToFit="1"/>
    </xf>
    <xf numFmtId="167" fontId="223" fillId="0" borderId="149" xfId="13" applyNumberFormat="1" applyFont="1" applyFill="1" applyBorder="1" applyAlignment="1">
      <alignment horizontal="right" vertical="center" shrinkToFit="1"/>
    </xf>
    <xf numFmtId="167" fontId="223" fillId="0" borderId="149" xfId="13" applyNumberFormat="1" applyFont="1" applyFill="1" applyBorder="1" applyAlignment="1">
      <alignment horizontal="center" vertical="center" shrinkToFit="1"/>
    </xf>
    <xf numFmtId="167" fontId="224" fillId="0" borderId="0" xfId="13" applyNumberFormat="1" applyFont="1" applyFill="1" applyBorder="1" applyAlignment="1">
      <alignment horizontal="left" vertical="center" indent="3" shrinkToFit="1"/>
    </xf>
    <xf numFmtId="0" fontId="0" fillId="0" borderId="0" xfId="0" applyAlignment="1">
      <alignment horizontal="left" vertical="center" indent="2"/>
    </xf>
    <xf numFmtId="209" fontId="222" fillId="0" borderId="0" xfId="13" applyNumberFormat="1" applyFont="1" applyFill="1" applyBorder="1" applyAlignment="1">
      <alignment horizontal="left" indent="1" shrinkToFit="1"/>
    </xf>
    <xf numFmtId="167" fontId="3" fillId="0" borderId="0" xfId="13" applyNumberFormat="1" applyFont="1" applyFill="1" applyBorder="1" applyAlignment="1">
      <alignment horizontal="center" vertical="center" shrinkToFit="1"/>
    </xf>
    <xf numFmtId="167" fontId="136" fillId="0" borderId="0" xfId="13" applyNumberFormat="1" applyFont="1" applyFill="1" applyBorder="1" applyAlignment="1">
      <alignment horizontal="center" vertical="center" shrinkToFit="1"/>
    </xf>
    <xf numFmtId="167" fontId="136" fillId="0" borderId="0" xfId="13" applyNumberFormat="1" applyFont="1" applyFill="1" applyBorder="1" applyAlignment="1">
      <alignment horizontal="center" shrinkToFit="1"/>
    </xf>
    <xf numFmtId="167" fontId="223" fillId="0" borderId="0" xfId="13" applyNumberFormat="1" applyFont="1" applyFill="1" applyBorder="1" applyAlignment="1">
      <alignment horizontal="right" shrinkToFit="1"/>
    </xf>
    <xf numFmtId="209" fontId="101" fillId="0" borderId="0" xfId="13" applyNumberFormat="1" applyFont="1" applyFill="1" applyBorder="1" applyAlignment="1">
      <alignment horizontal="left" vertical="center" indent="2" shrinkToFit="1"/>
    </xf>
    <xf numFmtId="167" fontId="3" fillId="6" borderId="0" xfId="24" applyNumberFormat="1" applyFont="1" applyFill="1" applyAlignment="1">
      <alignment horizontal="center"/>
    </xf>
    <xf numFmtId="0" fontId="3" fillId="6" borderId="0" xfId="24" applyFont="1" applyFill="1"/>
    <xf numFmtId="0" fontId="93" fillId="8" borderId="0" xfId="0" applyFont="1" applyFill="1" applyAlignment="1">
      <alignment horizontal="center"/>
    </xf>
    <xf numFmtId="0" fontId="93" fillId="8" borderId="0" xfId="0" applyFont="1" applyFill="1"/>
    <xf numFmtId="0" fontId="3" fillId="0" borderId="0" xfId="24" applyFont="1" applyAlignment="1">
      <alignment horizontal="center"/>
    </xf>
    <xf numFmtId="0" fontId="3" fillId="0" borderId="0" xfId="24" applyFont="1"/>
    <xf numFmtId="167" fontId="3" fillId="0" borderId="0" xfId="24" applyNumberFormat="1" applyFont="1"/>
    <xf numFmtId="0" fontId="81" fillId="8" borderId="0" xfId="0" applyFont="1" applyFill="1" applyAlignment="1">
      <alignment horizontal="center" vertical="center"/>
    </xf>
    <xf numFmtId="0" fontId="41" fillId="15" borderId="9" xfId="0" applyFont="1" applyFill="1" applyBorder="1" applyAlignment="1">
      <alignment horizontal="center" vertical="center"/>
    </xf>
    <xf numFmtId="164" fontId="86" fillId="15" borderId="6" xfId="0" applyNumberFormat="1" applyFont="1" applyFill="1" applyBorder="1" applyAlignment="1">
      <alignment horizontal="center" vertical="top"/>
    </xf>
    <xf numFmtId="167" fontId="152" fillId="0" borderId="0" xfId="13" applyNumberFormat="1" applyFont="1" applyFill="1" applyBorder="1" applyAlignment="1">
      <alignment horizontal="center" vertical="center" shrinkToFit="1"/>
    </xf>
    <xf numFmtId="167" fontId="136" fillId="0" borderId="149" xfId="13" applyNumberFormat="1" applyFont="1" applyFill="1" applyBorder="1" applyAlignment="1">
      <alignment horizontal="center" vertical="center" shrinkToFit="1"/>
    </xf>
    <xf numFmtId="167" fontId="3" fillId="0" borderId="149" xfId="13" applyNumberFormat="1" applyFont="1" applyFill="1" applyBorder="1" applyAlignment="1">
      <alignment horizontal="center" vertical="center" shrinkToFit="1"/>
    </xf>
    <xf numFmtId="167" fontId="3" fillId="0" borderId="0" xfId="13" applyNumberFormat="1" applyFont="1" applyFill="1" applyBorder="1" applyAlignment="1">
      <alignment horizontal="center" shrinkToFit="1"/>
    </xf>
    <xf numFmtId="167" fontId="27" fillId="0" borderId="0" xfId="13" applyNumberFormat="1" applyFont="1" applyFill="1" applyBorder="1" applyAlignment="1">
      <alignment horizontal="right" indent="1" shrinkToFit="1"/>
    </xf>
    <xf numFmtId="167" fontId="27" fillId="0" borderId="5" xfId="13" applyNumberFormat="1" applyFont="1" applyFill="1" applyBorder="1" applyAlignment="1">
      <alignment horizontal="right" indent="1" shrinkToFit="1"/>
    </xf>
    <xf numFmtId="167" fontId="84" fillId="0" borderId="0" xfId="13" applyNumberFormat="1" applyFont="1" applyFill="1" applyBorder="1" applyAlignment="1">
      <alignment horizontal="left" shrinkToFit="1"/>
    </xf>
    <xf numFmtId="167" fontId="46" fillId="0" borderId="0" xfId="13" applyNumberFormat="1" applyFont="1" applyFill="1" applyBorder="1" applyAlignment="1">
      <alignment horizontal="right" vertical="center" indent="1" shrinkToFit="1"/>
    </xf>
    <xf numFmtId="0" fontId="1" fillId="0" borderId="0" xfId="0" applyFont="1"/>
    <xf numFmtId="167" fontId="1" fillId="0" borderId="0" xfId="13" applyNumberFormat="1" applyFont="1" applyFill="1" applyBorder="1" applyAlignment="1">
      <alignment horizontal="center" vertical="center" shrinkToFit="1"/>
    </xf>
    <xf numFmtId="0" fontId="1" fillId="0" borderId="4" xfId="34" applyFont="1" applyBorder="1"/>
    <xf numFmtId="167" fontId="141" fillId="0" borderId="0" xfId="13" applyNumberFormat="1" applyFont="1" applyFill="1" applyBorder="1" applyAlignment="1">
      <alignment horizontal="left" indent="1"/>
    </xf>
    <xf numFmtId="167" fontId="46" fillId="0" borderId="0" xfId="13" applyNumberFormat="1" applyFont="1" applyFill="1" applyBorder="1" applyAlignment="1">
      <alignment horizontal="right" indent="1" shrinkToFit="1"/>
    </xf>
    <xf numFmtId="167" fontId="57" fillId="0" borderId="0" xfId="13" applyNumberFormat="1" applyFont="1" applyFill="1" applyBorder="1" applyAlignment="1">
      <alignment horizontal="right" shrinkToFit="1"/>
    </xf>
    <xf numFmtId="167" fontId="141" fillId="0" borderId="0" xfId="13" applyNumberFormat="1" applyFont="1" applyFill="1" applyBorder="1" applyAlignment="1">
      <alignment horizontal="left" vertical="center" indent="1" shrinkToFit="1"/>
    </xf>
    <xf numFmtId="167" fontId="46" fillId="0" borderId="0" xfId="13" applyNumberFormat="1" applyFont="1" applyFill="1" applyBorder="1" applyAlignment="1">
      <alignment horizontal="right" vertical="center" shrinkToFit="1"/>
    </xf>
    <xf numFmtId="209" fontId="141" fillId="0" borderId="0" xfId="13" applyNumberFormat="1" applyFont="1" applyFill="1" applyBorder="1" applyAlignment="1">
      <alignment horizontal="left" vertical="center" indent="2" shrinkToFit="1"/>
    </xf>
    <xf numFmtId="167" fontId="46" fillId="0" borderId="5" xfId="13" applyNumberFormat="1" applyFont="1" applyFill="1" applyBorder="1" applyAlignment="1">
      <alignment horizontal="right" indent="1" shrinkToFit="1"/>
    </xf>
    <xf numFmtId="167" fontId="46" fillId="0" borderId="71" xfId="13" applyNumberFormat="1" applyFont="1" applyFill="1" applyBorder="1" applyAlignment="1">
      <alignment horizontal="right" vertical="center" shrinkToFit="1"/>
    </xf>
    <xf numFmtId="209" fontId="141" fillId="0" borderId="0" xfId="13" applyNumberFormat="1" applyFont="1" applyFill="1" applyBorder="1" applyAlignment="1">
      <alignment horizontal="left" vertical="center" indent="1" shrinkToFit="1"/>
    </xf>
    <xf numFmtId="209" fontId="147" fillId="0" borderId="0" xfId="13" applyNumberFormat="1" applyFont="1" applyFill="1" applyBorder="1" applyAlignment="1">
      <alignment horizontal="left" vertical="center" shrinkToFit="1"/>
    </xf>
    <xf numFmtId="209" fontId="141" fillId="0" borderId="0" xfId="13" applyNumberFormat="1" applyFont="1" applyFill="1" applyBorder="1" applyAlignment="1">
      <alignment horizontal="left" vertical="center" shrinkToFit="1"/>
    </xf>
    <xf numFmtId="167" fontId="225" fillId="0" borderId="0" xfId="13" applyNumberFormat="1" applyFont="1" applyFill="1" applyBorder="1" applyAlignment="1">
      <alignment horizontal="right" shrinkToFit="1"/>
    </xf>
    <xf numFmtId="0" fontId="46" fillId="0" borderId="4" xfId="34" applyFont="1" applyBorder="1" applyAlignment="1">
      <alignment horizontal="right"/>
    </xf>
    <xf numFmtId="167" fontId="45" fillId="0" borderId="0" xfId="13" applyNumberFormat="1" applyFont="1" applyFill="1" applyBorder="1" applyAlignment="1">
      <alignment horizontal="right" indent="1" shrinkToFit="1"/>
    </xf>
    <xf numFmtId="209" fontId="141" fillId="0" borderId="0" xfId="13" applyNumberFormat="1" applyFont="1" applyFill="1" applyBorder="1" applyAlignment="1">
      <alignment horizontal="left" indent="1" shrinkToFit="1"/>
    </xf>
    <xf numFmtId="167" fontId="46" fillId="0" borderId="0" xfId="13" applyNumberFormat="1" applyFont="1" applyFill="1" applyBorder="1" applyAlignment="1">
      <alignment horizontal="right" shrinkToFit="1"/>
    </xf>
    <xf numFmtId="212" fontId="1" fillId="0" borderId="0" xfId="13" applyNumberFormat="1" applyFont="1" applyFill="1" applyBorder="1" applyAlignment="1">
      <alignment horizontal="left" vertical="center" indent="2" shrinkToFit="1"/>
    </xf>
    <xf numFmtId="167" fontId="1" fillId="0" borderId="0" xfId="13" applyNumberFormat="1" applyFont="1" applyFill="1" applyBorder="1" applyAlignment="1">
      <alignment horizontal="left" vertical="center" indent="3" shrinkToFit="1"/>
    </xf>
    <xf numFmtId="167" fontId="57" fillId="0" borderId="0" xfId="13" applyNumberFormat="1" applyFont="1" applyFill="1" applyBorder="1" applyAlignment="1">
      <alignment horizontal="right" indent="1" shrinkToFit="1"/>
    </xf>
    <xf numFmtId="0" fontId="1" fillId="0" borderId="0" xfId="0" applyFont="1" applyAlignment="1">
      <alignment horizontal="left" vertical="center" indent="2"/>
    </xf>
    <xf numFmtId="167" fontId="46" fillId="0" borderId="0" xfId="13" applyNumberFormat="1" applyFont="1" applyFill="1" applyBorder="1" applyAlignment="1">
      <alignment horizontal="left" indent="1" shrinkToFit="1"/>
    </xf>
    <xf numFmtId="167" fontId="141" fillId="0" borderId="0" xfId="13" applyNumberFormat="1" applyFont="1" applyFill="1" applyBorder="1" applyAlignment="1">
      <alignment horizontal="left" vertical="center" indent="3" shrinkToFit="1"/>
    </xf>
    <xf numFmtId="167" fontId="46" fillId="0" borderId="5" xfId="13" applyNumberFormat="1" applyFont="1" applyFill="1" applyBorder="1" applyAlignment="1">
      <alignment horizontal="right" vertical="center" shrinkToFit="1"/>
    </xf>
    <xf numFmtId="209" fontId="147" fillId="0" borderId="0" xfId="13" applyNumberFormat="1" applyFont="1" applyFill="1" applyBorder="1" applyAlignment="1">
      <alignment horizontal="left" indent="1" shrinkToFit="1"/>
    </xf>
    <xf numFmtId="0" fontId="19" fillId="6" borderId="0" xfId="34" applyFont="1" applyFill="1"/>
    <xf numFmtId="0" fontId="19" fillId="6" borderId="0" xfId="24" applyFont="1" applyFill="1"/>
    <xf numFmtId="0" fontId="78" fillId="0" borderId="0" xfId="0" applyFont="1"/>
    <xf numFmtId="213" fontId="87" fillId="0" borderId="0" xfId="13" applyNumberFormat="1" applyFont="1" applyFill="1" applyBorder="1" applyAlignment="1">
      <alignment horizontal="left" vertical="center" indent="2" shrinkToFit="1"/>
    </xf>
    <xf numFmtId="213" fontId="0" fillId="0" borderId="0" xfId="0" applyNumberFormat="1"/>
    <xf numFmtId="0" fontId="163" fillId="15" borderId="128" xfId="0" applyFont="1" applyFill="1" applyBorder="1" applyAlignment="1">
      <alignment horizontal="left" vertical="center" wrapText="1" indent="1"/>
    </xf>
    <xf numFmtId="0" fontId="163" fillId="15" borderId="129" xfId="0" applyFont="1" applyFill="1" applyBorder="1" applyAlignment="1">
      <alignment horizontal="center" vertical="center" wrapText="1"/>
    </xf>
    <xf numFmtId="0" fontId="50" fillId="61" borderId="164" xfId="0" applyFont="1" applyFill="1" applyBorder="1" applyAlignment="1">
      <alignment horizontal="center" vertical="center"/>
    </xf>
    <xf numFmtId="167" fontId="48" fillId="12" borderId="21" xfId="1" applyNumberFormat="1" applyFont="1" applyFill="1" applyBorder="1" applyAlignment="1">
      <alignment horizontal="center" vertical="center" shrinkToFit="1"/>
    </xf>
    <xf numFmtId="167" fontId="48" fillId="12" borderId="16" xfId="1" applyNumberFormat="1" applyFont="1" applyFill="1" applyBorder="1" applyAlignment="1">
      <alignment horizontal="center" vertical="center" shrinkToFit="1"/>
    </xf>
    <xf numFmtId="0" fontId="83" fillId="45" borderId="22" xfId="0" applyFont="1" applyFill="1" applyBorder="1" applyAlignment="1">
      <alignment horizontal="center" vertical="top"/>
    </xf>
    <xf numFmtId="167" fontId="7" fillId="2" borderId="22" xfId="13" applyNumberFormat="1" applyFont="1" applyFill="1" applyBorder="1" applyAlignment="1">
      <alignment horizontal="center" vertical="center" shrinkToFit="1"/>
    </xf>
    <xf numFmtId="167" fontId="141" fillId="0" borderId="0" xfId="13" applyNumberFormat="1" applyFont="1" applyFill="1" applyBorder="1" applyAlignment="1">
      <alignment horizontal="left" vertical="center" indent="2" shrinkToFit="1"/>
    </xf>
    <xf numFmtId="167" fontId="224" fillId="0" borderId="0" xfId="13" applyNumberFormat="1" applyFont="1" applyFill="1" applyBorder="1" applyAlignment="1">
      <alignment horizontal="left" vertical="center" indent="2" shrinkToFit="1"/>
    </xf>
    <xf numFmtId="167" fontId="57" fillId="0" borderId="5" xfId="13" applyNumberFormat="1" applyFont="1" applyFill="1" applyBorder="1" applyAlignment="1">
      <alignment horizontal="right" vertical="center" shrinkToFit="1"/>
    </xf>
    <xf numFmtId="167" fontId="226" fillId="0" borderId="0" xfId="13" applyNumberFormat="1" applyFont="1" applyFill="1" applyBorder="1" applyAlignment="1">
      <alignment horizontal="right" indent="1" shrinkToFit="1"/>
    </xf>
    <xf numFmtId="167" fontId="226" fillId="0" borderId="0" xfId="13" applyNumberFormat="1" applyFont="1" applyFill="1" applyBorder="1" applyAlignment="1">
      <alignment horizontal="right" vertical="center" shrinkToFit="1"/>
    </xf>
    <xf numFmtId="167" fontId="141" fillId="0" borderId="0" xfId="13" applyNumberFormat="1" applyFont="1" applyFill="1" applyBorder="1" applyAlignment="1">
      <alignment horizontal="right" indent="1" shrinkToFit="1"/>
    </xf>
    <xf numFmtId="0" fontId="27" fillId="6" borderId="0" xfId="34" applyFont="1" applyFill="1" applyAlignment="1">
      <alignment vertical="center"/>
    </xf>
    <xf numFmtId="0" fontId="227" fillId="8" borderId="0" xfId="0" applyFont="1" applyFill="1" applyAlignment="1">
      <alignment horizontal="left" vertical="center"/>
    </xf>
    <xf numFmtId="0" fontId="34" fillId="8" borderId="0" xfId="0" applyFont="1" applyFill="1" applyAlignment="1">
      <alignment horizontal="left" vertical="center"/>
    </xf>
    <xf numFmtId="0" fontId="183" fillId="8" borderId="0" xfId="34" applyFont="1" applyFill="1" applyAlignment="1">
      <alignment vertical="center"/>
    </xf>
    <xf numFmtId="0" fontId="27" fillId="0" borderId="0" xfId="34" applyFont="1" applyAlignment="1">
      <alignment vertical="center"/>
    </xf>
    <xf numFmtId="170" fontId="39" fillId="0" borderId="0" xfId="0" applyNumberFormat="1" applyFont="1" applyAlignment="1">
      <alignment vertical="center"/>
    </xf>
    <xf numFmtId="167" fontId="141" fillId="0" borderId="0" xfId="0" applyNumberFormat="1" applyFont="1" applyAlignment="1">
      <alignment vertical="center"/>
    </xf>
    <xf numFmtId="8" fontId="39" fillId="42" borderId="21" xfId="1" applyNumberFormat="1" applyFont="1" applyFill="1" applyBorder="1" applyAlignment="1">
      <alignment horizontal="center" vertical="center" shrinkToFit="1"/>
    </xf>
    <xf numFmtId="0" fontId="23" fillId="0" borderId="0" xfId="0" applyFont="1"/>
    <xf numFmtId="0" fontId="83" fillId="45" borderId="16" xfId="0" applyFont="1" applyFill="1" applyBorder="1" applyAlignment="1">
      <alignment horizontal="center"/>
    </xf>
    <xf numFmtId="167" fontId="87" fillId="35" borderId="4" xfId="13" applyNumberFormat="1" applyFont="1" applyFill="1" applyBorder="1" applyAlignment="1" applyProtection="1">
      <alignment horizontal="center" vertical="center" shrinkToFit="1"/>
      <protection locked="0"/>
    </xf>
    <xf numFmtId="167" fontId="87" fillId="35" borderId="6" xfId="13" applyNumberFormat="1" applyFont="1" applyFill="1" applyBorder="1" applyAlignment="1" applyProtection="1">
      <alignment horizontal="center" vertical="center" shrinkToFit="1"/>
      <protection locked="0"/>
    </xf>
    <xf numFmtId="167" fontId="123" fillId="35" borderId="6" xfId="13" applyNumberFormat="1" applyFont="1" applyFill="1" applyBorder="1" applyAlignment="1" applyProtection="1">
      <alignment horizontal="center" vertical="center" shrinkToFit="1"/>
      <protection locked="0"/>
    </xf>
    <xf numFmtId="167" fontId="123" fillId="35" borderId="4" xfId="13" applyNumberFormat="1" applyFont="1" applyFill="1" applyBorder="1" applyAlignment="1" applyProtection="1">
      <alignment horizontal="center" vertical="center" shrinkToFit="1"/>
      <protection locked="0"/>
    </xf>
    <xf numFmtId="167" fontId="87" fillId="35" borderId="9" xfId="13" applyNumberFormat="1" applyFont="1" applyFill="1" applyBorder="1" applyAlignment="1" applyProtection="1">
      <alignment horizontal="center" vertical="center" shrinkToFit="1"/>
      <protection locked="0"/>
    </xf>
    <xf numFmtId="167" fontId="123" fillId="35" borderId="9" xfId="13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shrinkToFit="1"/>
    </xf>
    <xf numFmtId="0" fontId="84" fillId="0" borderId="5" xfId="0" applyFont="1" applyBorder="1" applyAlignment="1">
      <alignment vertical="center"/>
    </xf>
    <xf numFmtId="0" fontId="0" fillId="0" borderId="5" xfId="0" applyBorder="1" applyAlignment="1">
      <alignment vertical="center" shrinkToFit="1"/>
    </xf>
    <xf numFmtId="0" fontId="0" fillId="0" borderId="5" xfId="0" applyBorder="1" applyAlignment="1">
      <alignment horizontal="right" vertical="center" shrinkToFit="1"/>
    </xf>
    <xf numFmtId="0" fontId="0" fillId="0" borderId="5" xfId="0" applyBorder="1" applyAlignment="1">
      <alignment vertical="center"/>
    </xf>
    <xf numFmtId="216" fontId="51" fillId="8" borderId="0" xfId="0" applyNumberFormat="1" applyFont="1" applyFill="1" applyAlignment="1">
      <alignment horizontal="center" vertical="center"/>
    </xf>
    <xf numFmtId="167" fontId="230" fillId="0" borderId="0" xfId="0" applyNumberFormat="1" applyFont="1" applyAlignment="1">
      <alignment horizontal="right" vertical="center" indent="2"/>
    </xf>
    <xf numFmtId="172" fontId="33" fillId="10" borderId="12" xfId="0" applyNumberFormat="1" applyFont="1" applyFill="1" applyBorder="1" applyAlignment="1">
      <alignment horizontal="center" vertical="center" shrinkToFit="1"/>
    </xf>
    <xf numFmtId="0" fontId="55" fillId="15" borderId="22" xfId="0" applyFont="1" applyFill="1" applyBorder="1" applyAlignment="1">
      <alignment horizontal="center" vertical="center"/>
    </xf>
    <xf numFmtId="0" fontId="0" fillId="0" borderId="0" xfId="0" quotePrefix="1"/>
    <xf numFmtId="0" fontId="163" fillId="15" borderId="6" xfId="0" applyFont="1" applyFill="1" applyBorder="1" applyAlignment="1">
      <alignment horizontal="left" vertical="center" wrapText="1" indent="1"/>
    </xf>
    <xf numFmtId="0" fontId="34" fillId="15" borderId="72" xfId="0" applyFont="1" applyFill="1" applyBorder="1" applyAlignment="1">
      <alignment horizontal="left" indent="1"/>
    </xf>
    <xf numFmtId="0" fontId="159" fillId="59" borderId="1" xfId="0" applyFont="1" applyFill="1" applyBorder="1" applyAlignment="1">
      <alignment horizontal="left" vertical="center" indent="1"/>
    </xf>
    <xf numFmtId="0" fontId="159" fillId="59" borderId="2" xfId="0" applyFont="1" applyFill="1" applyBorder="1" applyAlignment="1">
      <alignment horizontal="left" vertical="center" indent="1"/>
    </xf>
    <xf numFmtId="0" fontId="159" fillId="59" borderId="2" xfId="0" applyFont="1" applyFill="1" applyBorder="1" applyAlignment="1">
      <alignment horizontal="left" vertical="center" indent="2"/>
    </xf>
    <xf numFmtId="0" fontId="159" fillId="59" borderId="3" xfId="0" applyFont="1" applyFill="1" applyBorder="1" applyAlignment="1">
      <alignment horizontal="left" vertical="center" indent="2"/>
    </xf>
    <xf numFmtId="0" fontId="163" fillId="15" borderId="7" xfId="0" applyFont="1" applyFill="1" applyBorder="1" applyAlignment="1">
      <alignment horizontal="left" vertical="center" wrapText="1" indent="1"/>
    </xf>
    <xf numFmtId="0" fontId="163" fillId="15" borderId="128" xfId="0" applyFont="1" applyFill="1" applyBorder="1" applyAlignment="1">
      <alignment horizontal="center" vertical="center" wrapText="1"/>
    </xf>
    <xf numFmtId="0" fontId="163" fillId="15" borderId="169" xfId="0" applyFont="1" applyFill="1" applyBorder="1" applyAlignment="1">
      <alignment horizontal="center" vertical="center" wrapText="1"/>
    </xf>
    <xf numFmtId="0" fontId="34" fillId="15" borderId="9" xfId="0" applyFont="1" applyFill="1" applyBorder="1" applyAlignment="1">
      <alignment horizontal="center"/>
    </xf>
    <xf numFmtId="0" fontId="163" fillId="15" borderId="6" xfId="0" applyFont="1" applyFill="1" applyBorder="1" applyAlignment="1">
      <alignment horizontal="center" vertical="top"/>
    </xf>
    <xf numFmtId="0" fontId="50" fillId="15" borderId="170" xfId="0" applyFont="1" applyFill="1" applyBorder="1" applyAlignment="1">
      <alignment horizontal="center" vertical="center"/>
    </xf>
    <xf numFmtId="0" fontId="50" fillId="15" borderId="171" xfId="0" applyFont="1" applyFill="1" applyBorder="1" applyAlignment="1">
      <alignment horizontal="center" vertical="center"/>
    </xf>
    <xf numFmtId="0" fontId="50" fillId="15" borderId="172" xfId="0" applyFont="1" applyFill="1" applyBorder="1" applyAlignment="1">
      <alignment horizontal="center" vertical="center"/>
    </xf>
    <xf numFmtId="197" fontId="190" fillId="0" borderId="112" xfId="16" applyNumberFormat="1" applyFont="1" applyBorder="1" applyAlignment="1" applyProtection="1">
      <alignment horizontal="left" vertical="center" indent="1"/>
      <protection locked="0"/>
    </xf>
    <xf numFmtId="197" fontId="39" fillId="0" borderId="112" xfId="16" applyNumberFormat="1" applyFont="1" applyBorder="1" applyAlignment="1" applyProtection="1">
      <alignment horizontal="left" vertical="center" indent="1"/>
      <protection locked="0"/>
    </xf>
    <xf numFmtId="177" fontId="39" fillId="0" borderId="112" xfId="16" applyNumberFormat="1" applyFont="1" applyBorder="1" applyAlignment="1" applyProtection="1">
      <alignment horizontal="center" vertical="center"/>
      <protection locked="0"/>
    </xf>
    <xf numFmtId="197" fontId="39" fillId="0" borderId="112" xfId="16" applyNumberFormat="1" applyFont="1" applyBorder="1" applyAlignment="1" applyProtection="1">
      <alignment horizontal="center" vertical="center"/>
      <protection locked="0"/>
    </xf>
    <xf numFmtId="177" fontId="39" fillId="0" borderId="112" xfId="16" applyNumberFormat="1" applyFont="1" applyBorder="1" applyAlignment="1" applyProtection="1">
      <alignment horizontal="right" vertical="center"/>
      <protection locked="0"/>
    </xf>
    <xf numFmtId="177" fontId="190" fillId="0" borderId="112" xfId="16" applyNumberFormat="1" applyFont="1" applyBorder="1" applyAlignment="1" applyProtection="1">
      <alignment horizontal="right" vertical="center"/>
      <protection locked="0"/>
    </xf>
    <xf numFmtId="177" fontId="194" fillId="0" borderId="112" xfId="16" applyNumberFormat="1" applyFont="1" applyBorder="1" applyAlignment="1" applyProtection="1">
      <alignment horizontal="right" vertical="center"/>
      <protection locked="0"/>
    </xf>
    <xf numFmtId="0" fontId="163" fillId="43" borderId="174" xfId="0" applyFont="1" applyFill="1" applyBorder="1" applyAlignment="1">
      <alignment horizontal="left" vertical="center" wrapText="1" indent="1"/>
    </xf>
    <xf numFmtId="0" fontId="163" fillId="43" borderId="175" xfId="0" applyFont="1" applyFill="1" applyBorder="1" applyAlignment="1">
      <alignment horizontal="left" vertical="center" wrapText="1" indent="1"/>
    </xf>
    <xf numFmtId="0" fontId="163" fillId="43" borderId="176" xfId="0" applyFont="1" applyFill="1" applyBorder="1" applyAlignment="1">
      <alignment horizontal="left" vertical="center" wrapText="1" indent="1"/>
    </xf>
    <xf numFmtId="177" fontId="163" fillId="43" borderId="173" xfId="0" applyNumberFormat="1" applyFont="1" applyFill="1" applyBorder="1" applyAlignment="1">
      <alignment horizontal="center" vertical="center"/>
    </xf>
    <xf numFmtId="0" fontId="163" fillId="43" borderId="173" xfId="0" applyFont="1" applyFill="1" applyBorder="1" applyAlignment="1">
      <alignment horizontal="left" vertical="center"/>
    </xf>
    <xf numFmtId="0" fontId="163" fillId="43" borderId="173" xfId="0" applyFont="1" applyFill="1" applyBorder="1" applyAlignment="1">
      <alignment horizontal="center" vertical="center"/>
    </xf>
    <xf numFmtId="177" fontId="163" fillId="43" borderId="173" xfId="0" applyNumberFormat="1" applyFont="1" applyFill="1" applyBorder="1" applyAlignment="1">
      <alignment horizontal="right" vertical="center"/>
    </xf>
    <xf numFmtId="1" fontId="83" fillId="43" borderId="173" xfId="0" applyNumberFormat="1" applyFont="1" applyFill="1" applyBorder="1" applyAlignment="1">
      <alignment horizontal="center" vertical="center"/>
    </xf>
    <xf numFmtId="0" fontId="50" fillId="43" borderId="173" xfId="0" applyFont="1" applyFill="1" applyBorder="1" applyAlignment="1">
      <alignment horizontal="right" vertical="center"/>
    </xf>
    <xf numFmtId="170" fontId="27" fillId="0" borderId="0" xfId="34" applyNumberFormat="1" applyFont="1" applyAlignment="1">
      <alignment horizontal="left" vertical="center"/>
    </xf>
    <xf numFmtId="170" fontId="27" fillId="0" borderId="0" xfId="34" applyNumberFormat="1" applyFont="1" applyAlignment="1">
      <alignment vertical="center"/>
    </xf>
    <xf numFmtId="0" fontId="7" fillId="0" borderId="0" xfId="16" applyFont="1" applyAlignment="1">
      <alignment horizontal="center" vertical="center"/>
    </xf>
    <xf numFmtId="2" fontId="7" fillId="0" borderId="0" xfId="16" applyNumberFormat="1" applyFont="1" applyAlignment="1">
      <alignment horizontal="center" vertical="center"/>
    </xf>
    <xf numFmtId="0" fontId="98" fillId="8" borderId="9" xfId="0" applyFont="1" applyFill="1" applyBorder="1" applyAlignment="1">
      <alignment horizontal="left" vertical="center" indent="1"/>
    </xf>
    <xf numFmtId="170" fontId="87" fillId="0" borderId="91" xfId="34" applyNumberFormat="1" applyFont="1" applyBorder="1" applyAlignment="1">
      <alignment horizontal="left" vertical="center" indent="1"/>
    </xf>
    <xf numFmtId="0" fontId="73" fillId="59" borderId="14" xfId="0" applyFont="1" applyFill="1" applyBorder="1" applyAlignment="1">
      <alignment horizontal="left" vertical="center" indent="2"/>
    </xf>
    <xf numFmtId="0" fontId="73" fillId="59" borderId="15" xfId="0" applyFont="1" applyFill="1" applyBorder="1" applyAlignment="1">
      <alignment horizontal="left" vertical="center" indent="2"/>
    </xf>
    <xf numFmtId="0" fontId="73" fillId="59" borderId="14" xfId="0" applyFont="1" applyFill="1" applyBorder="1" applyAlignment="1">
      <alignment horizontal="left" vertical="center" indent="1"/>
    </xf>
    <xf numFmtId="0" fontId="32" fillId="15" borderId="13" xfId="0" applyFont="1" applyFill="1" applyBorder="1" applyAlignment="1">
      <alignment horizontal="left" vertical="center" indent="1"/>
    </xf>
    <xf numFmtId="0" fontId="94" fillId="15" borderId="13" xfId="0" applyFont="1" applyFill="1" applyBorder="1" applyAlignment="1">
      <alignment horizontal="left" vertical="center" indent="1"/>
    </xf>
    <xf numFmtId="0" fontId="41" fillId="15" borderId="15" xfId="0" applyFont="1" applyFill="1" applyBorder="1" applyAlignment="1">
      <alignment horizontal="left" vertical="center" indent="1"/>
    </xf>
    <xf numFmtId="0" fontId="94" fillId="15" borderId="25" xfId="0" applyFont="1" applyFill="1" applyBorder="1" applyAlignment="1">
      <alignment horizontal="left" vertical="center" indent="1"/>
    </xf>
    <xf numFmtId="0" fontId="94" fillId="15" borderId="15" xfId="0" applyFont="1" applyFill="1" applyBorder="1" applyAlignment="1">
      <alignment horizontal="left" vertical="center" indent="2"/>
    </xf>
    <xf numFmtId="0" fontId="131" fillId="4" borderId="13" xfId="0" applyFont="1" applyFill="1" applyBorder="1" applyAlignment="1">
      <alignment horizontal="left" vertical="center" indent="2"/>
    </xf>
    <xf numFmtId="9" fontId="141" fillId="2" borderId="21" xfId="5" applyFont="1" applyFill="1" applyBorder="1" applyAlignment="1" applyProtection="1">
      <alignment horizontal="center" vertical="center" shrinkToFit="1"/>
    </xf>
    <xf numFmtId="0" fontId="80" fillId="5" borderId="13" xfId="0" applyFont="1" applyFill="1" applyBorder="1" applyAlignment="1">
      <alignment horizontal="left" vertical="center" indent="1"/>
    </xf>
    <xf numFmtId="167" fontId="141" fillId="5" borderId="21" xfId="0" applyNumberFormat="1" applyFont="1" applyFill="1" applyBorder="1" applyAlignment="1">
      <alignment horizontal="right" vertical="center"/>
    </xf>
    <xf numFmtId="0" fontId="131" fillId="4" borderId="17" xfId="0" applyFont="1" applyFill="1" applyBorder="1" applyAlignment="1">
      <alignment horizontal="left" vertical="center" indent="2"/>
    </xf>
    <xf numFmtId="167" fontId="80" fillId="12" borderId="21" xfId="1" applyNumberFormat="1" applyFont="1" applyFill="1" applyBorder="1" applyAlignment="1" applyProtection="1">
      <alignment horizontal="center" vertical="center" shrinkToFit="1"/>
    </xf>
    <xf numFmtId="184" fontId="80" fillId="12" borderId="21" xfId="1" applyNumberFormat="1" applyFont="1" applyFill="1" applyBorder="1" applyAlignment="1" applyProtection="1">
      <alignment horizontal="center" vertical="center" shrinkToFit="1"/>
    </xf>
    <xf numFmtId="169" fontId="80" fillId="5" borderId="21" xfId="5" applyNumberFormat="1" applyFont="1" applyFill="1" applyBorder="1" applyAlignment="1" applyProtection="1">
      <alignment horizontal="center" vertical="center" shrinkToFit="1"/>
    </xf>
    <xf numFmtId="167" fontId="141" fillId="5" borderId="16" xfId="0" applyNumberFormat="1" applyFont="1" applyFill="1" applyBorder="1" applyAlignment="1">
      <alignment horizontal="right" vertical="center"/>
    </xf>
    <xf numFmtId="0" fontId="121" fillId="5" borderId="34" xfId="0" applyFont="1" applyFill="1" applyBorder="1" applyAlignment="1">
      <alignment horizontal="left" vertical="center" indent="1"/>
    </xf>
    <xf numFmtId="167" fontId="147" fillId="5" borderId="33" xfId="0" applyNumberFormat="1" applyFont="1" applyFill="1" applyBorder="1" applyAlignment="1">
      <alignment horizontal="right" vertical="center"/>
    </xf>
    <xf numFmtId="0" fontId="32" fillId="15" borderId="14" xfId="0" applyFont="1" applyFill="1" applyBorder="1" applyAlignment="1">
      <alignment horizontal="left" vertical="center" indent="1"/>
    </xf>
    <xf numFmtId="0" fontId="32" fillId="15" borderId="14" xfId="0" applyFont="1" applyFill="1" applyBorder="1" applyAlignment="1">
      <alignment horizontal="center" vertical="center"/>
    </xf>
    <xf numFmtId="0" fontId="131" fillId="12" borderId="23" xfId="0" applyFont="1" applyFill="1" applyBorder="1" applyAlignment="1">
      <alignment horizontal="left" vertical="center" indent="2"/>
    </xf>
    <xf numFmtId="167" fontId="2" fillId="5" borderId="21" xfId="0" applyNumberFormat="1" applyFont="1" applyFill="1" applyBorder="1" applyAlignment="1">
      <alignment horizontal="right" vertical="center" shrinkToFit="1"/>
    </xf>
    <xf numFmtId="0" fontId="94" fillId="15" borderId="15" xfId="0" applyFont="1" applyFill="1" applyBorder="1" applyAlignment="1">
      <alignment horizontal="right" vertical="center" indent="2"/>
    </xf>
    <xf numFmtId="0" fontId="80" fillId="5" borderId="13" xfId="0" applyFont="1" applyFill="1" applyBorder="1" applyAlignment="1">
      <alignment horizontal="left" vertical="center" indent="2"/>
    </xf>
    <xf numFmtId="0" fontId="80" fillId="12" borderId="15" xfId="0" applyFont="1" applyFill="1" applyBorder="1" applyAlignment="1">
      <alignment horizontal="left" vertical="center" indent="2"/>
    </xf>
    <xf numFmtId="167" fontId="80" fillId="5" borderId="15" xfId="0" applyNumberFormat="1" applyFont="1" applyFill="1" applyBorder="1" applyAlignment="1">
      <alignment horizontal="right" vertical="center"/>
    </xf>
    <xf numFmtId="0" fontId="53" fillId="59" borderId="14" xfId="0" applyFont="1" applyFill="1" applyBorder="1" applyAlignment="1">
      <alignment horizontal="right" vertical="center" indent="2"/>
    </xf>
    <xf numFmtId="0" fontId="80" fillId="12" borderId="89" xfId="0" applyFont="1" applyFill="1" applyBorder="1" applyAlignment="1">
      <alignment horizontal="left" vertical="center" indent="2"/>
    </xf>
    <xf numFmtId="167" fontId="2" fillId="5" borderId="87" xfId="0" applyNumberFormat="1" applyFont="1" applyFill="1" applyBorder="1" applyAlignment="1">
      <alignment horizontal="right" vertical="center" shrinkToFit="1"/>
    </xf>
    <xf numFmtId="167" fontId="141" fillId="5" borderId="15" xfId="0" applyNumberFormat="1" applyFont="1" applyFill="1" applyBorder="1" applyAlignment="1">
      <alignment horizontal="center" vertical="center" shrinkToFit="1"/>
    </xf>
    <xf numFmtId="167" fontId="109" fillId="5" borderId="21" xfId="0" applyNumberFormat="1" applyFont="1" applyFill="1" applyBorder="1" applyAlignment="1">
      <alignment horizontal="right" vertical="center" shrinkToFit="1"/>
    </xf>
    <xf numFmtId="0" fontId="80" fillId="12" borderId="26" xfId="0" applyFont="1" applyFill="1" applyBorder="1" applyAlignment="1">
      <alignment horizontal="left" vertical="center" indent="2"/>
    </xf>
    <xf numFmtId="167" fontId="109" fillId="5" borderId="22" xfId="0" applyNumberFormat="1" applyFont="1" applyFill="1" applyBorder="1" applyAlignment="1">
      <alignment horizontal="right" vertical="center" shrinkToFit="1"/>
    </xf>
    <xf numFmtId="167" fontId="80" fillId="12" borderId="16" xfId="1" applyNumberFormat="1" applyFont="1" applyFill="1" applyBorder="1" applyAlignment="1" applyProtection="1">
      <alignment horizontal="center" vertical="center" shrinkToFit="1"/>
    </xf>
    <xf numFmtId="184" fontId="80" fillId="12" borderId="16" xfId="1" applyNumberFormat="1" applyFont="1" applyFill="1" applyBorder="1" applyAlignment="1" applyProtection="1">
      <alignment horizontal="center" vertical="center" shrinkToFit="1"/>
    </xf>
    <xf numFmtId="167" fontId="42" fillId="39" borderId="76" xfId="1" applyNumberFormat="1" applyFont="1" applyFill="1" applyBorder="1" applyAlignment="1" applyProtection="1">
      <alignment horizontal="center" vertical="center" shrinkToFit="1"/>
    </xf>
    <xf numFmtId="184" fontId="42" fillId="39" borderId="76" xfId="1" applyNumberFormat="1" applyFont="1" applyFill="1" applyBorder="1" applyAlignment="1" applyProtection="1">
      <alignment horizontal="center" vertical="center" shrinkToFit="1"/>
    </xf>
    <xf numFmtId="167" fontId="141" fillId="5" borderId="88" xfId="0" applyNumberFormat="1" applyFont="1" applyFill="1" applyBorder="1" applyAlignment="1">
      <alignment horizontal="left" vertical="center" indent="1"/>
    </xf>
    <xf numFmtId="167" fontId="141" fillId="5" borderId="89" xfId="0" applyNumberFormat="1" applyFont="1" applyFill="1" applyBorder="1" applyAlignment="1">
      <alignment horizontal="center" vertical="center" shrinkToFit="1"/>
    </xf>
    <xf numFmtId="167" fontId="109" fillId="5" borderId="87" xfId="0" applyNumberFormat="1" applyFont="1" applyFill="1" applyBorder="1" applyAlignment="1">
      <alignment horizontal="right" vertical="center" shrinkToFit="1"/>
    </xf>
    <xf numFmtId="167" fontId="141" fillId="5" borderId="25" xfId="0" applyNumberFormat="1" applyFont="1" applyFill="1" applyBorder="1" applyAlignment="1">
      <alignment horizontal="left" vertical="center" indent="1"/>
    </xf>
    <xf numFmtId="167" fontId="141" fillId="5" borderId="26" xfId="0" applyNumberFormat="1" applyFont="1" applyFill="1" applyBorder="1" applyAlignment="1">
      <alignment horizontal="center" vertical="center" shrinkToFit="1"/>
    </xf>
    <xf numFmtId="167" fontId="2" fillId="5" borderId="22" xfId="0" applyNumberFormat="1" applyFont="1" applyFill="1" applyBorder="1" applyAlignment="1">
      <alignment horizontal="right" vertical="center" shrinkToFit="1"/>
    </xf>
    <xf numFmtId="9" fontId="141" fillId="5" borderId="15" xfId="1" applyFont="1" applyFill="1" applyBorder="1" applyAlignment="1" applyProtection="1">
      <alignment horizontal="center" vertical="center" shrinkToFit="1"/>
    </xf>
    <xf numFmtId="9" fontId="2" fillId="5" borderId="21" xfId="1" applyFont="1" applyFill="1" applyBorder="1" applyAlignment="1" applyProtection="1">
      <alignment horizontal="right" vertical="center" shrinkToFit="1"/>
    </xf>
    <xf numFmtId="9" fontId="109" fillId="5" borderId="21" xfId="1" applyFont="1" applyFill="1" applyBorder="1" applyAlignment="1" applyProtection="1">
      <alignment horizontal="right" vertical="center" shrinkToFit="1"/>
    </xf>
    <xf numFmtId="0" fontId="80" fillId="5" borderId="17" xfId="0" applyFont="1" applyFill="1" applyBorder="1" applyAlignment="1">
      <alignment horizontal="left" vertical="center" indent="1"/>
    </xf>
    <xf numFmtId="0" fontId="94" fillId="14" borderId="14" xfId="0" applyFont="1" applyFill="1" applyBorder="1" applyAlignment="1">
      <alignment horizontal="left" vertical="center" indent="1"/>
    </xf>
    <xf numFmtId="0" fontId="73" fillId="14" borderId="14" xfId="0" applyFont="1" applyFill="1" applyBorder="1" applyAlignment="1">
      <alignment horizontal="left" vertical="center" indent="2"/>
    </xf>
    <xf numFmtId="0" fontId="73" fillId="14" borderId="14" xfId="0" applyFont="1" applyFill="1" applyBorder="1" applyAlignment="1">
      <alignment horizontal="left" vertical="center"/>
    </xf>
    <xf numFmtId="0" fontId="131" fillId="12" borderId="13" xfId="0" applyFont="1" applyFill="1" applyBorder="1" applyAlignment="1">
      <alignment horizontal="left" vertical="center" indent="2"/>
    </xf>
    <xf numFmtId="0" fontId="131" fillId="12" borderId="14" xfId="0" applyFont="1" applyFill="1" applyBorder="1" applyAlignment="1">
      <alignment horizontal="left" vertical="center" indent="2"/>
    </xf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right"/>
    </xf>
    <xf numFmtId="0" fontId="109" fillId="0" borderId="0" xfId="0" applyFont="1" applyAlignment="1">
      <alignment horizontal="right"/>
    </xf>
    <xf numFmtId="0" fontId="94" fillId="15" borderId="27" xfId="0" applyFont="1" applyFill="1" applyBorder="1" applyAlignment="1">
      <alignment horizontal="left" vertical="center" indent="1"/>
    </xf>
    <xf numFmtId="0" fontId="94" fillId="15" borderId="14" xfId="0" applyFont="1" applyFill="1" applyBorder="1" applyAlignment="1">
      <alignment horizontal="left" vertical="center" indent="2"/>
    </xf>
    <xf numFmtId="167" fontId="72" fillId="0" borderId="0" xfId="0" applyNumberFormat="1" applyFont="1" applyAlignment="1">
      <alignment horizontal="center"/>
    </xf>
    <xf numFmtId="0" fontId="141" fillId="4" borderId="13" xfId="0" applyFont="1" applyFill="1" applyBorder="1" applyAlignment="1">
      <alignment horizontal="left" vertical="center" indent="1"/>
    </xf>
    <xf numFmtId="0" fontId="141" fillId="4" borderId="14" xfId="0" applyFont="1" applyFill="1" applyBorder="1" applyAlignment="1">
      <alignment horizontal="left" vertical="center" indent="1"/>
    </xf>
    <xf numFmtId="0" fontId="141" fillId="4" borderId="14" xfId="0" applyFont="1" applyFill="1" applyBorder="1"/>
    <xf numFmtId="167" fontId="2" fillId="5" borderId="21" xfId="0" applyNumberFormat="1" applyFont="1" applyFill="1" applyBorder="1" applyAlignment="1">
      <alignment horizontal="center" vertical="center"/>
    </xf>
    <xf numFmtId="168" fontId="141" fillId="5" borderId="15" xfId="1" applyNumberFormat="1" applyFont="1" applyFill="1" applyBorder="1" applyAlignment="1" applyProtection="1">
      <alignment horizontal="center" vertical="center" shrinkToFit="1"/>
    </xf>
    <xf numFmtId="168" fontId="2" fillId="5" borderId="21" xfId="1" applyNumberFormat="1" applyFont="1" applyFill="1" applyBorder="1" applyAlignment="1" applyProtection="1">
      <alignment horizontal="right" vertical="center" shrinkToFit="1"/>
    </xf>
    <xf numFmtId="168" fontId="109" fillId="5" borderId="21" xfId="1" applyNumberFormat="1" applyFont="1" applyFill="1" applyBorder="1" applyAlignment="1" applyProtection="1">
      <alignment horizontal="right" vertical="center" shrinkToFit="1"/>
    </xf>
    <xf numFmtId="167" fontId="2" fillId="5" borderId="21" xfId="0" applyNumberFormat="1" applyFont="1" applyFill="1" applyBorder="1" applyAlignment="1">
      <alignment horizontal="right" vertical="center"/>
    </xf>
    <xf numFmtId="170" fontId="141" fillId="5" borderId="15" xfId="0" applyNumberFormat="1" applyFont="1" applyFill="1" applyBorder="1" applyAlignment="1">
      <alignment horizontal="center" vertical="center" shrinkToFit="1"/>
    </xf>
    <xf numFmtId="170" fontId="2" fillId="5" borderId="21" xfId="0" applyNumberFormat="1" applyFont="1" applyFill="1" applyBorder="1" applyAlignment="1">
      <alignment horizontal="right" vertical="center" shrinkToFit="1"/>
    </xf>
    <xf numFmtId="170" fontId="109" fillId="5" borderId="21" xfId="0" applyNumberFormat="1" applyFont="1" applyFill="1" applyBorder="1" applyAlignment="1">
      <alignment horizontal="right" vertical="center" shrinkToFit="1"/>
    </xf>
    <xf numFmtId="0" fontId="125" fillId="15" borderId="13" xfId="0" applyFont="1" applyFill="1" applyBorder="1" applyAlignment="1">
      <alignment horizontal="left" vertical="center" indent="1"/>
    </xf>
    <xf numFmtId="0" fontId="125" fillId="15" borderId="14" xfId="0" applyFont="1" applyFill="1" applyBorder="1" applyAlignment="1">
      <alignment horizontal="left" vertical="center" indent="1"/>
    </xf>
    <xf numFmtId="0" fontId="41" fillId="15" borderId="15" xfId="0" applyFont="1" applyFill="1" applyBorder="1" applyAlignment="1">
      <alignment horizontal="right" vertical="center"/>
    </xf>
    <xf numFmtId="200" fontId="2" fillId="5" borderId="21" xfId="0" applyNumberFormat="1" applyFont="1" applyFill="1" applyBorder="1" applyAlignment="1">
      <alignment horizontal="center" vertical="center"/>
    </xf>
    <xf numFmtId="0" fontId="94" fillId="59" borderId="13" xfId="0" applyFont="1" applyFill="1" applyBorder="1" applyAlignment="1">
      <alignment horizontal="left" vertical="center" indent="1"/>
    </xf>
    <xf numFmtId="3" fontId="1" fillId="0" borderId="0" xfId="0" applyNumberFormat="1" applyFont="1"/>
    <xf numFmtId="3" fontId="2" fillId="0" borderId="0" xfId="0" applyNumberFormat="1" applyFont="1"/>
    <xf numFmtId="0" fontId="170" fillId="59" borderId="179" xfId="0" applyFont="1" applyFill="1" applyBorder="1" applyAlignment="1">
      <alignment horizontal="left" vertical="center" indent="3"/>
    </xf>
    <xf numFmtId="0" fontId="170" fillId="15" borderId="179" xfId="0" applyFont="1" applyFill="1" applyBorder="1" applyAlignment="1">
      <alignment horizontal="left" vertical="center" indent="1"/>
    </xf>
    <xf numFmtId="168" fontId="74" fillId="62" borderId="21" xfId="0" applyNumberFormat="1" applyFont="1" applyFill="1" applyBorder="1" applyAlignment="1">
      <alignment horizontal="left" vertical="center" indent="1" shrinkToFit="1"/>
    </xf>
    <xf numFmtId="0" fontId="53" fillId="15" borderId="13" xfId="0" applyFont="1" applyFill="1" applyBorder="1" applyAlignment="1">
      <alignment horizontal="right" vertical="center" indent="1" shrinkToFit="1"/>
    </xf>
    <xf numFmtId="168" fontId="48" fillId="5" borderId="21" xfId="5" applyNumberFormat="1" applyFont="1" applyFill="1" applyBorder="1" applyAlignment="1" applyProtection="1">
      <alignment horizontal="center" vertical="center" shrinkToFit="1"/>
    </xf>
    <xf numFmtId="168" fontId="2" fillId="2" borderId="21" xfId="5" applyNumberFormat="1" applyFont="1" applyFill="1" applyBorder="1" applyAlignment="1" applyProtection="1">
      <alignment horizontal="center" vertical="center" shrinkToFit="1"/>
    </xf>
    <xf numFmtId="168" fontId="78" fillId="62" borderId="179" xfId="0" applyNumberFormat="1" applyFont="1" applyFill="1" applyBorder="1" applyAlignment="1">
      <alignment horizontal="left" vertical="center" indent="1" shrinkToFit="1"/>
    </xf>
    <xf numFmtId="0" fontId="50" fillId="15" borderId="13" xfId="0" applyFont="1" applyFill="1" applyBorder="1" applyAlignment="1">
      <alignment horizontal="center" vertical="center" shrinkToFit="1"/>
    </xf>
    <xf numFmtId="0" fontId="67" fillId="0" borderId="0" xfId="34" applyFont="1"/>
    <xf numFmtId="0" fontId="2" fillId="0" borderId="0" xfId="34" applyFont="1"/>
    <xf numFmtId="0" fontId="179" fillId="8" borderId="0" xfId="0" applyFont="1" applyFill="1" applyAlignment="1">
      <alignment horizontal="left" vertical="center" indent="2"/>
    </xf>
    <xf numFmtId="0" fontId="217" fillId="8" borderId="0" xfId="0" applyFont="1" applyFill="1" applyAlignment="1">
      <alignment horizontal="center" vertical="top"/>
    </xf>
    <xf numFmtId="0" fontId="191" fillId="8" borderId="0" xfId="34" applyFont="1" applyFill="1"/>
    <xf numFmtId="0" fontId="86" fillId="8" borderId="0" xfId="34" applyFont="1" applyFill="1"/>
    <xf numFmtId="0" fontId="170" fillId="59" borderId="177" xfId="0" applyFont="1" applyFill="1" applyBorder="1" applyAlignment="1">
      <alignment horizontal="left" vertical="center" indent="1"/>
    </xf>
    <xf numFmtId="0" fontId="229" fillId="59" borderId="14" xfId="0" applyFont="1" applyFill="1" applyBorder="1" applyAlignment="1">
      <alignment horizontal="right" vertical="center" indent="2"/>
    </xf>
    <xf numFmtId="0" fontId="73" fillId="59" borderId="13" xfId="0" applyFont="1" applyFill="1" applyBorder="1" applyAlignment="1">
      <alignment horizontal="left" vertical="center" indent="1"/>
    </xf>
    <xf numFmtId="0" fontId="32" fillId="15" borderId="14" xfId="0" applyFont="1" applyFill="1" applyBorder="1" applyAlignment="1">
      <alignment horizontal="left" vertical="center" indent="2"/>
    </xf>
    <xf numFmtId="0" fontId="32" fillId="15" borderId="178" xfId="0" applyFont="1" applyFill="1" applyBorder="1" applyAlignment="1">
      <alignment horizontal="left" vertical="center" indent="2"/>
    </xf>
    <xf numFmtId="0" fontId="41" fillId="15" borderId="14" xfId="0" applyFont="1" applyFill="1" applyBorder="1" applyAlignment="1">
      <alignment horizontal="left" vertical="center" indent="1"/>
    </xf>
    <xf numFmtId="0" fontId="53" fillId="15" borderId="13" xfId="0" applyFont="1" applyFill="1" applyBorder="1" applyAlignment="1">
      <alignment horizontal="center" vertical="center"/>
    </xf>
    <xf numFmtId="0" fontId="53" fillId="15" borderId="21" xfId="0" applyFont="1" applyFill="1" applyBorder="1" applyAlignment="1">
      <alignment horizontal="center" vertical="center"/>
    </xf>
    <xf numFmtId="0" fontId="94" fillId="15" borderId="13" xfId="0" applyFont="1" applyFill="1" applyBorder="1" applyAlignment="1">
      <alignment horizontal="left" vertical="center"/>
    </xf>
    <xf numFmtId="0" fontId="94" fillId="15" borderId="14" xfId="0" applyFont="1" applyFill="1" applyBorder="1" applyAlignment="1">
      <alignment horizontal="center" vertical="center"/>
    </xf>
    <xf numFmtId="168" fontId="74" fillId="62" borderId="179" xfId="0" applyNumberFormat="1" applyFont="1" applyFill="1" applyBorder="1" applyAlignment="1">
      <alignment horizontal="left" vertical="center" indent="1" shrinkToFit="1"/>
    </xf>
    <xf numFmtId="0" fontId="141" fillId="12" borderId="17" xfId="0" applyFont="1" applyFill="1" applyBorder="1" applyAlignment="1">
      <alignment vertical="center" wrapText="1"/>
    </xf>
    <xf numFmtId="0" fontId="141" fillId="12" borderId="23" xfId="0" applyFont="1" applyFill="1" applyBorder="1" applyAlignment="1">
      <alignment vertical="center" wrapText="1"/>
    </xf>
    <xf numFmtId="0" fontId="80" fillId="4" borderId="13" xfId="0" applyFont="1" applyFill="1" applyBorder="1" applyAlignment="1">
      <alignment horizontal="left" vertical="center" indent="1"/>
    </xf>
    <xf numFmtId="0" fontId="80" fillId="4" borderId="15" xfId="0" applyFont="1" applyFill="1" applyBorder="1" applyAlignment="1">
      <alignment horizontal="left" vertical="center" indent="2"/>
    </xf>
    <xf numFmtId="0" fontId="50" fillId="60" borderId="13" xfId="0" applyFont="1" applyFill="1" applyBorder="1" applyAlignment="1">
      <alignment horizontal="center" vertical="center"/>
    </xf>
    <xf numFmtId="0" fontId="141" fillId="12" borderId="20" xfId="0" applyFont="1" applyFill="1" applyBorder="1" applyAlignment="1">
      <alignment vertical="center" wrapText="1"/>
    </xf>
    <xf numFmtId="0" fontId="141" fillId="12" borderId="0" xfId="0" applyFont="1" applyFill="1" applyAlignment="1">
      <alignment vertical="center" wrapText="1"/>
    </xf>
    <xf numFmtId="167" fontId="2" fillId="5" borderId="21" xfId="0" applyNumberFormat="1" applyFont="1" applyFill="1" applyBorder="1" applyAlignment="1">
      <alignment horizontal="center" vertical="center" shrinkToFit="1"/>
    </xf>
    <xf numFmtId="0" fontId="141" fillId="12" borderId="25" xfId="0" applyFont="1" applyFill="1" applyBorder="1" applyAlignment="1">
      <alignment vertical="center" wrapText="1"/>
    </xf>
    <xf numFmtId="0" fontId="141" fillId="12" borderId="27" xfId="0" applyFont="1" applyFill="1" applyBorder="1" applyAlignment="1">
      <alignment vertical="center" wrapText="1"/>
    </xf>
    <xf numFmtId="0" fontId="53" fillId="15" borderId="13" xfId="0" applyFont="1" applyFill="1" applyBorder="1" applyAlignment="1">
      <alignment horizontal="center" vertical="center" shrinkToFit="1"/>
    </xf>
    <xf numFmtId="0" fontId="228" fillId="59" borderId="14" xfId="0" applyFont="1" applyFill="1" applyBorder="1" applyAlignment="1">
      <alignment horizontal="right" vertical="center" indent="2"/>
    </xf>
    <xf numFmtId="0" fontId="80" fillId="5" borderId="17" xfId="0" applyFont="1" applyFill="1" applyBorder="1" applyAlignment="1">
      <alignment horizontal="left" vertical="center" indent="2"/>
    </xf>
    <xf numFmtId="189" fontId="48" fillId="31" borderId="21" xfId="1" applyNumberFormat="1" applyFont="1" applyFill="1" applyBorder="1" applyAlignment="1" applyProtection="1">
      <alignment horizontal="center" vertical="center" shrinkToFit="1"/>
    </xf>
    <xf numFmtId="167" fontId="79" fillId="3" borderId="21" xfId="1" applyNumberFormat="1" applyFont="1" applyFill="1" applyBorder="1" applyAlignment="1" applyProtection="1">
      <alignment horizontal="left" vertical="center" indent="1" shrinkToFit="1"/>
      <protection locked="0"/>
    </xf>
    <xf numFmtId="167" fontId="212" fillId="24" borderId="21" xfId="1" applyNumberFormat="1" applyFont="1" applyFill="1" applyBorder="1" applyAlignment="1" applyProtection="1">
      <alignment horizontal="left" vertical="center" indent="1" shrinkToFit="1"/>
      <protection locked="0"/>
    </xf>
    <xf numFmtId="9" fontId="213" fillId="3" borderId="21" xfId="1" applyFont="1" applyFill="1" applyBorder="1" applyAlignment="1" applyProtection="1">
      <alignment horizontal="center" vertical="center" shrinkToFit="1"/>
      <protection locked="0"/>
    </xf>
    <xf numFmtId="184" fontId="48" fillId="31" borderId="21" xfId="1" applyNumberFormat="1" applyFont="1" applyFill="1" applyBorder="1" applyAlignment="1" applyProtection="1">
      <alignment horizontal="center" vertical="center" shrinkToFit="1"/>
    </xf>
    <xf numFmtId="167" fontId="48" fillId="31" borderId="21" xfId="1" applyNumberFormat="1" applyFont="1" applyFill="1" applyBorder="1" applyAlignment="1" applyProtection="1">
      <alignment horizontal="center" vertical="center" shrinkToFit="1"/>
    </xf>
    <xf numFmtId="167" fontId="142" fillId="25" borderId="43" xfId="11" applyNumberFormat="1" applyFont="1" applyFill="1" applyBorder="1" applyAlignment="1" applyProtection="1">
      <alignment horizontal="center" vertical="center"/>
      <protection locked="0"/>
    </xf>
    <xf numFmtId="177" fontId="131" fillId="12" borderId="52" xfId="11" applyNumberFormat="1" applyFont="1" applyFill="1" applyBorder="1" applyAlignment="1" applyProtection="1">
      <alignment horizontal="center" vertical="center" shrinkToFit="1"/>
      <protection locked="0"/>
    </xf>
    <xf numFmtId="177" fontId="131" fillId="12" borderId="59" xfId="11" applyNumberFormat="1" applyFont="1" applyFill="1" applyBorder="1" applyAlignment="1" applyProtection="1">
      <alignment horizontal="center" vertical="center" shrinkToFit="1"/>
      <protection locked="0"/>
    </xf>
    <xf numFmtId="188" fontId="198" fillId="8" borderId="21" xfId="0" applyNumberFormat="1" applyFont="1" applyFill="1" applyBorder="1" applyAlignment="1" applyProtection="1">
      <alignment horizontal="left" vertical="center" indent="1"/>
      <protection locked="0"/>
    </xf>
    <xf numFmtId="14" fontId="64" fillId="17" borderId="4" xfId="17" applyNumberFormat="1" applyFill="1" applyAlignment="1">
      <alignment horizontal="center" vertical="top" shrinkToFit="1"/>
    </xf>
    <xf numFmtId="0" fontId="34" fillId="9" borderId="1" xfId="0" applyFont="1" applyFill="1" applyBorder="1" applyAlignment="1">
      <alignment horizontal="centerContinuous" vertical="center"/>
    </xf>
    <xf numFmtId="0" fontId="34" fillId="9" borderId="2" xfId="0" applyFont="1" applyFill="1" applyBorder="1" applyAlignment="1">
      <alignment horizontal="centerContinuous" vertical="center"/>
    </xf>
    <xf numFmtId="0" fontId="35" fillId="43" borderId="91" xfId="0" applyFont="1" applyFill="1" applyBorder="1" applyAlignment="1">
      <alignment horizontal="center" vertical="center" wrapText="1"/>
    </xf>
    <xf numFmtId="177" fontId="35" fillId="43" borderId="91" xfId="0" applyNumberFormat="1" applyFont="1" applyFill="1" applyBorder="1" applyAlignment="1">
      <alignment horizontal="center" vertical="center" wrapText="1"/>
    </xf>
    <xf numFmtId="0" fontId="231" fillId="0" borderId="0" xfId="0" applyFont="1"/>
    <xf numFmtId="0" fontId="232" fillId="0" borderId="0" xfId="0" applyFont="1"/>
    <xf numFmtId="189" fontId="0" fillId="0" borderId="0" xfId="0" applyNumberFormat="1"/>
    <xf numFmtId="0" fontId="232" fillId="0" borderId="0" xfId="0" applyFont="1" applyAlignment="1">
      <alignment horizontal="center"/>
    </xf>
    <xf numFmtId="0" fontId="233" fillId="0" borderId="0" xfId="0" applyFont="1"/>
    <xf numFmtId="0" fontId="234" fillId="0" borderId="0" xfId="0" applyFont="1"/>
    <xf numFmtId="192" fontId="234" fillId="0" borderId="0" xfId="0" applyNumberFormat="1" applyFont="1"/>
    <xf numFmtId="0" fontId="131" fillId="12" borderId="17" xfId="0" applyFont="1" applyFill="1" applyBorder="1" applyAlignment="1">
      <alignment horizontal="left" vertical="center" indent="2"/>
    </xf>
    <xf numFmtId="0" fontId="131" fillId="12" borderId="18" xfId="0" applyFont="1" applyFill="1" applyBorder="1" applyAlignment="1">
      <alignment horizontal="left" vertical="center" indent="2"/>
    </xf>
    <xf numFmtId="0" fontId="131" fillId="12" borderId="15" xfId="0" applyFont="1" applyFill="1" applyBorder="1" applyAlignment="1">
      <alignment horizontal="left" vertical="center" indent="2"/>
    </xf>
    <xf numFmtId="0" fontId="131" fillId="12" borderId="17" xfId="0" applyFont="1" applyFill="1" applyBorder="1" applyAlignment="1">
      <alignment horizontal="left" vertical="center" indent="1"/>
    </xf>
    <xf numFmtId="167" fontId="141" fillId="12" borderId="21" xfId="0" applyNumberFormat="1" applyFont="1" applyFill="1" applyBorder="1" applyAlignment="1">
      <alignment horizontal="right" vertical="center" indent="1" shrinkToFit="1"/>
    </xf>
    <xf numFmtId="198" fontId="141" fillId="12" borderId="21" xfId="0" applyNumberFormat="1" applyFont="1" applyFill="1" applyBorder="1" applyAlignment="1">
      <alignment horizontal="right" vertical="center" indent="1" shrinkToFit="1"/>
    </xf>
    <xf numFmtId="168" fontId="141" fillId="12" borderId="21" xfId="1" applyNumberFormat="1" applyFont="1" applyFill="1" applyBorder="1" applyAlignment="1" applyProtection="1">
      <alignment horizontal="right" vertical="center" indent="1" shrinkToFit="1"/>
    </xf>
    <xf numFmtId="0" fontId="121" fillId="12" borderId="13" xfId="0" applyFont="1" applyFill="1" applyBorder="1" applyAlignment="1">
      <alignment horizontal="left" vertical="center" indent="1"/>
    </xf>
    <xf numFmtId="0" fontId="80" fillId="12" borderId="13" xfId="0" applyFont="1" applyFill="1" applyBorder="1" applyAlignment="1">
      <alignment horizontal="left" vertical="center" indent="1"/>
    </xf>
    <xf numFmtId="0" fontId="80" fillId="12" borderId="13" xfId="0" applyFont="1" applyFill="1" applyBorder="1" applyAlignment="1">
      <alignment horizontal="left" vertical="center" indent="2"/>
    </xf>
    <xf numFmtId="0" fontId="80" fillId="12" borderId="88" xfId="0" applyFont="1" applyFill="1" applyBorder="1" applyAlignment="1">
      <alignment horizontal="left" vertical="center" indent="2"/>
    </xf>
    <xf numFmtId="0" fontId="121" fillId="12" borderId="25" xfId="0" applyFont="1" applyFill="1" applyBorder="1" applyAlignment="1">
      <alignment horizontal="left" vertical="center" indent="1"/>
    </xf>
    <xf numFmtId="167" fontId="2" fillId="12" borderId="21" xfId="0" applyNumberFormat="1" applyFont="1" applyFill="1" applyBorder="1" applyAlignment="1">
      <alignment horizontal="right" vertical="center" indent="1" shrinkToFit="1"/>
    </xf>
    <xf numFmtId="167" fontId="2" fillId="12" borderId="21" xfId="0" applyNumberFormat="1" applyFont="1" applyFill="1" applyBorder="1" applyAlignment="1">
      <alignment horizontal="right" vertical="center" shrinkToFit="1"/>
    </xf>
    <xf numFmtId="167" fontId="2" fillId="12" borderId="21" xfId="0" applyNumberFormat="1" applyFont="1" applyFill="1" applyBorder="1" applyAlignment="1">
      <alignment vertical="center" shrinkToFit="1"/>
    </xf>
    <xf numFmtId="167" fontId="216" fillId="12" borderId="21" xfId="0" applyNumberFormat="1" applyFont="1" applyFill="1" applyBorder="1" applyAlignment="1">
      <alignment horizontal="right" vertical="center" indent="1" shrinkToFit="1"/>
    </xf>
    <xf numFmtId="167" fontId="216" fillId="12" borderId="21" xfId="0" applyNumberFormat="1" applyFont="1" applyFill="1" applyBorder="1" applyAlignment="1">
      <alignment horizontal="right" vertical="center" shrinkToFit="1"/>
    </xf>
    <xf numFmtId="167" fontId="216" fillId="12" borderId="21" xfId="0" applyNumberFormat="1" applyFont="1" applyFill="1" applyBorder="1" applyAlignment="1">
      <alignment vertical="center" shrinkToFit="1"/>
    </xf>
    <xf numFmtId="167" fontId="2" fillId="12" borderId="87" xfId="0" applyNumberFormat="1" applyFont="1" applyFill="1" applyBorder="1" applyAlignment="1">
      <alignment horizontal="right" vertical="center" indent="1" shrinkToFit="1"/>
    </xf>
    <xf numFmtId="167" fontId="2" fillId="12" borderId="87" xfId="0" applyNumberFormat="1" applyFont="1" applyFill="1" applyBorder="1" applyAlignment="1">
      <alignment horizontal="right" vertical="center" shrinkToFit="1"/>
    </xf>
    <xf numFmtId="167" fontId="2" fillId="12" borderId="87" xfId="0" applyNumberFormat="1" applyFont="1" applyFill="1" applyBorder="1" applyAlignment="1">
      <alignment vertical="center" shrinkToFit="1"/>
    </xf>
    <xf numFmtId="167" fontId="109" fillId="12" borderId="22" xfId="0" applyNumberFormat="1" applyFont="1" applyFill="1" applyBorder="1" applyAlignment="1">
      <alignment horizontal="right" vertical="center" indent="1" shrinkToFit="1"/>
    </xf>
    <xf numFmtId="167" fontId="109" fillId="12" borderId="22" xfId="0" applyNumberFormat="1" applyFont="1" applyFill="1" applyBorder="1" applyAlignment="1">
      <alignment horizontal="right" vertical="center" shrinkToFit="1"/>
    </xf>
    <xf numFmtId="167" fontId="109" fillId="12" borderId="22" xfId="0" applyNumberFormat="1" applyFont="1" applyFill="1" applyBorder="1" applyAlignment="1">
      <alignment vertical="center" shrinkToFit="1"/>
    </xf>
    <xf numFmtId="167" fontId="109" fillId="12" borderId="21" xfId="0" applyNumberFormat="1" applyFont="1" applyFill="1" applyBorder="1" applyAlignment="1">
      <alignment horizontal="right" vertical="center" indent="1" shrinkToFit="1"/>
    </xf>
    <xf numFmtId="0" fontId="80" fillId="12" borderId="13" xfId="0" applyFont="1" applyFill="1" applyBorder="1" applyAlignment="1">
      <alignment horizontal="left" vertical="center" indent="3"/>
    </xf>
    <xf numFmtId="0" fontId="80" fillId="12" borderId="88" xfId="0" applyFont="1" applyFill="1" applyBorder="1" applyAlignment="1">
      <alignment horizontal="left" vertical="center" indent="3"/>
    </xf>
    <xf numFmtId="167" fontId="2" fillId="12" borderId="16" xfId="0" applyNumberFormat="1" applyFont="1" applyFill="1" applyBorder="1" applyAlignment="1">
      <alignment horizontal="right" vertical="center" indent="1" shrinkToFit="1"/>
    </xf>
    <xf numFmtId="167" fontId="2" fillId="12" borderId="16" xfId="0" applyNumberFormat="1" applyFont="1" applyFill="1" applyBorder="1" applyAlignment="1">
      <alignment horizontal="right" vertical="center" shrinkToFit="1"/>
    </xf>
    <xf numFmtId="167" fontId="2" fillId="12" borderId="16" xfId="0" applyNumberFormat="1" applyFont="1" applyFill="1" applyBorder="1" applyAlignment="1">
      <alignment vertical="center" shrinkToFit="1"/>
    </xf>
    <xf numFmtId="0" fontId="80" fillId="12" borderId="25" xfId="0" applyFont="1" applyFill="1" applyBorder="1" applyAlignment="1">
      <alignment horizontal="left" vertical="center" indent="2"/>
    </xf>
    <xf numFmtId="167" fontId="109" fillId="12" borderId="33" xfId="0" applyNumberFormat="1" applyFont="1" applyFill="1" applyBorder="1" applyAlignment="1">
      <alignment horizontal="right" vertical="center" indent="1" shrinkToFit="1"/>
    </xf>
    <xf numFmtId="167" fontId="2" fillId="12" borderId="33" xfId="0" applyNumberFormat="1" applyFont="1" applyFill="1" applyBorder="1" applyAlignment="1">
      <alignment horizontal="right" vertical="center" shrinkToFit="1"/>
    </xf>
    <xf numFmtId="167" fontId="2" fillId="12" borderId="33" xfId="0" applyNumberFormat="1" applyFont="1" applyFill="1" applyBorder="1" applyAlignment="1">
      <alignment vertical="center" shrinkToFit="1"/>
    </xf>
    <xf numFmtId="0" fontId="121" fillId="12" borderId="13" xfId="0" applyFont="1" applyFill="1" applyBorder="1" applyAlignment="1">
      <alignment horizontal="left" vertical="center" indent="2"/>
    </xf>
    <xf numFmtId="167" fontId="2" fillId="12" borderId="22" xfId="0" applyNumberFormat="1" applyFont="1" applyFill="1" applyBorder="1" applyAlignment="1">
      <alignment horizontal="right" vertical="center" indent="1" shrinkToFit="1"/>
    </xf>
    <xf numFmtId="167" fontId="2" fillId="12" borderId="22" xfId="0" applyNumberFormat="1" applyFont="1" applyFill="1" applyBorder="1" applyAlignment="1">
      <alignment horizontal="right" vertical="center" shrinkToFit="1"/>
    </xf>
    <xf numFmtId="167" fontId="2" fillId="12" borderId="22" xfId="0" applyNumberFormat="1" applyFont="1" applyFill="1" applyBorder="1" applyAlignment="1">
      <alignment vertical="center" shrinkToFit="1"/>
    </xf>
    <xf numFmtId="0" fontId="121" fillId="12" borderId="34" xfId="0" applyFont="1" applyFill="1" applyBorder="1" applyAlignment="1">
      <alignment horizontal="left" vertical="center" indent="1"/>
    </xf>
    <xf numFmtId="167" fontId="109" fillId="12" borderId="33" xfId="0" applyNumberFormat="1" applyFont="1" applyFill="1" applyBorder="1" applyAlignment="1">
      <alignment horizontal="right" vertical="center" shrinkToFit="1"/>
    </xf>
    <xf numFmtId="167" fontId="109" fillId="12" borderId="33" xfId="0" applyNumberFormat="1" applyFont="1" applyFill="1" applyBorder="1" applyAlignment="1">
      <alignment vertical="center" shrinkToFit="1"/>
    </xf>
    <xf numFmtId="167" fontId="121" fillId="12" borderId="166" xfId="1" applyNumberFormat="1" applyFont="1" applyFill="1" applyBorder="1" applyAlignment="1" applyProtection="1">
      <alignment horizontal="left" vertical="center" indent="1" shrinkToFit="1"/>
    </xf>
    <xf numFmtId="167" fontId="121" fillId="12" borderId="165" xfId="1" applyNumberFormat="1" applyFont="1" applyFill="1" applyBorder="1" applyAlignment="1" applyProtection="1">
      <alignment horizontal="right" vertical="center" indent="1" shrinkToFit="1"/>
    </xf>
    <xf numFmtId="167" fontId="121" fillId="12" borderId="76" xfId="1" applyNumberFormat="1" applyFont="1" applyFill="1" applyBorder="1" applyAlignment="1" applyProtection="1">
      <alignment horizontal="right" vertical="center" indent="1" shrinkToFit="1"/>
    </xf>
    <xf numFmtId="167" fontId="121" fillId="12" borderId="76" xfId="1" applyNumberFormat="1" applyFont="1" applyFill="1" applyBorder="1" applyAlignment="1" applyProtection="1">
      <alignment vertical="center" shrinkToFit="1"/>
    </xf>
    <xf numFmtId="0" fontId="85" fillId="0" borderId="0" xfId="0" applyFont="1" applyAlignment="1">
      <alignment horizontal="left"/>
    </xf>
    <xf numFmtId="167" fontId="3" fillId="0" borderId="0" xfId="0" applyNumberFormat="1" applyFont="1" applyAlignment="1">
      <alignment horizontal="center"/>
    </xf>
    <xf numFmtId="0" fontId="238" fillId="0" borderId="0" xfId="0" applyFont="1" applyAlignment="1">
      <alignment horizontal="center"/>
    </xf>
    <xf numFmtId="9" fontId="197" fillId="3" borderId="21" xfId="1" applyFont="1" applyFill="1" applyBorder="1" applyAlignment="1" applyProtection="1">
      <alignment horizontal="center" vertical="center"/>
      <protection locked="0"/>
    </xf>
    <xf numFmtId="168" fontId="78" fillId="62" borderId="180" xfId="0" applyNumberFormat="1" applyFont="1" applyFill="1" applyBorder="1" applyAlignment="1">
      <alignment horizontal="center" vertical="center" wrapText="1" shrinkToFit="1"/>
    </xf>
    <xf numFmtId="168" fontId="78" fillId="62" borderId="181" xfId="0" applyNumberFormat="1" applyFont="1" applyFill="1" applyBorder="1" applyAlignment="1">
      <alignment horizontal="center" vertical="center" wrapText="1" shrinkToFit="1"/>
    </xf>
    <xf numFmtId="168" fontId="78" fillId="62" borderId="182" xfId="0" applyNumberFormat="1" applyFont="1" applyFill="1" applyBorder="1" applyAlignment="1">
      <alignment horizontal="center" vertical="center" wrapText="1" shrinkToFit="1"/>
    </xf>
    <xf numFmtId="0" fontId="83" fillId="45" borderId="17" xfId="0" applyFont="1" applyFill="1" applyBorder="1" applyAlignment="1">
      <alignment horizontal="center" vertical="center"/>
    </xf>
    <xf numFmtId="0" fontId="83" fillId="45" borderId="18" xfId="0" applyFont="1" applyFill="1" applyBorder="1" applyAlignment="1">
      <alignment horizontal="center" vertical="center"/>
    </xf>
    <xf numFmtId="0" fontId="159" fillId="59" borderId="14" xfId="0" applyFont="1" applyFill="1" applyBorder="1" applyAlignment="1">
      <alignment horizontal="center" vertical="center"/>
    </xf>
    <xf numFmtId="167" fontId="83" fillId="45" borderId="13" xfId="0" applyNumberFormat="1" applyFont="1" applyFill="1" applyBorder="1" applyAlignment="1">
      <alignment horizontal="center"/>
    </xf>
    <xf numFmtId="167" fontId="83" fillId="45" borderId="15" xfId="0" applyNumberFormat="1" applyFont="1" applyFill="1" applyBorder="1" applyAlignment="1">
      <alignment horizontal="center"/>
    </xf>
    <xf numFmtId="0" fontId="86" fillId="33" borderId="17" xfId="0" applyFont="1" applyFill="1" applyBorder="1" applyAlignment="1">
      <alignment horizontal="center" vertical="center"/>
    </xf>
    <xf numFmtId="0" fontId="86" fillId="33" borderId="23" xfId="0" applyFont="1" applyFill="1" applyBorder="1" applyAlignment="1">
      <alignment horizontal="center" vertical="center"/>
    </xf>
    <xf numFmtId="0" fontId="86" fillId="33" borderId="18" xfId="0" applyFont="1" applyFill="1" applyBorder="1" applyAlignment="1">
      <alignment horizontal="center" vertical="center"/>
    </xf>
    <xf numFmtId="0" fontId="125" fillId="10" borderId="13" xfId="0" applyFont="1" applyFill="1" applyBorder="1" applyAlignment="1">
      <alignment horizontal="center" vertical="center"/>
    </xf>
    <xf numFmtId="0" fontId="125" fillId="10" borderId="15" xfId="0" applyFont="1" applyFill="1" applyBorder="1" applyAlignment="1">
      <alignment horizontal="center" vertical="center"/>
    </xf>
    <xf numFmtId="0" fontId="34" fillId="21" borderId="13" xfId="0" applyFont="1" applyFill="1" applyBorder="1" applyAlignment="1">
      <alignment horizontal="center" vertical="center"/>
    </xf>
    <xf numFmtId="0" fontId="34" fillId="21" borderId="15" xfId="0" applyFont="1" applyFill="1" applyBorder="1" applyAlignment="1">
      <alignment horizontal="center" vertical="center"/>
    </xf>
    <xf numFmtId="0" fontId="50" fillId="21" borderId="17" xfId="0" applyFont="1" applyFill="1" applyBorder="1" applyAlignment="1">
      <alignment horizontal="center"/>
    </xf>
    <xf numFmtId="0" fontId="50" fillId="21" borderId="18" xfId="0" applyFont="1" applyFill="1" applyBorder="1" applyAlignment="1">
      <alignment horizontal="center"/>
    </xf>
    <xf numFmtId="0" fontId="18" fillId="9" borderId="2" xfId="16" applyFont="1" applyFill="1" applyBorder="1" applyAlignment="1">
      <alignment horizontal="center" vertical="center" shrinkToFit="1"/>
    </xf>
    <xf numFmtId="0" fontId="53" fillId="43" borderId="125" xfId="0" applyFont="1" applyFill="1" applyBorder="1" applyAlignment="1">
      <alignment horizontal="center" vertical="center"/>
    </xf>
    <xf numFmtId="0" fontId="53" fillId="43" borderId="147" xfId="0" applyFont="1" applyFill="1" applyBorder="1" applyAlignment="1">
      <alignment horizontal="center" vertical="center"/>
    </xf>
    <xf numFmtId="0" fontId="34" fillId="43" borderId="156" xfId="0" applyFont="1" applyFill="1" applyBorder="1" applyAlignment="1">
      <alignment horizontal="center" wrapText="1"/>
    </xf>
    <xf numFmtId="0" fontId="34" fillId="43" borderId="157" xfId="0" applyFont="1" applyFill="1" applyBorder="1" applyAlignment="1">
      <alignment horizontal="center" wrapText="1"/>
    </xf>
    <xf numFmtId="172" fontId="33" fillId="10" borderId="13" xfId="0" applyNumberFormat="1" applyFont="1" applyFill="1" applyBorder="1" applyAlignment="1">
      <alignment horizontal="center" vertical="center" shrinkToFit="1"/>
    </xf>
    <xf numFmtId="172" fontId="33" fillId="10" borderId="15" xfId="0" applyNumberFormat="1" applyFont="1" applyFill="1" applyBorder="1" applyAlignment="1">
      <alignment horizontal="center" vertical="center" shrinkToFit="1"/>
    </xf>
    <xf numFmtId="167" fontId="153" fillId="8" borderId="27" xfId="0" applyNumberFormat="1" applyFont="1" applyFill="1" applyBorder="1" applyAlignment="1">
      <alignment horizontal="center" vertical="center"/>
    </xf>
    <xf numFmtId="172" fontId="32" fillId="10" borderId="1" xfId="0" applyNumberFormat="1" applyFont="1" applyFill="1" applyBorder="1" applyAlignment="1">
      <alignment horizontal="center" vertical="center" shrinkToFit="1"/>
    </xf>
    <xf numFmtId="172" fontId="32" fillId="10" borderId="3" xfId="0" applyNumberFormat="1" applyFont="1" applyFill="1" applyBorder="1" applyAlignment="1">
      <alignment horizontal="center" vertical="center" shrinkToFit="1"/>
    </xf>
    <xf numFmtId="172" fontId="32" fillId="10" borderId="10" xfId="0" applyNumberFormat="1" applyFont="1" applyFill="1" applyBorder="1" applyAlignment="1">
      <alignment horizontal="center" vertical="center" shrinkToFit="1"/>
    </xf>
    <xf numFmtId="172" fontId="32" fillId="10" borderId="11" xfId="0" applyNumberFormat="1" applyFont="1" applyFill="1" applyBorder="1" applyAlignment="1">
      <alignment horizontal="center" vertical="center" shrinkToFit="1"/>
    </xf>
    <xf numFmtId="172" fontId="32" fillId="10" borderId="12" xfId="0" applyNumberFormat="1" applyFont="1" applyFill="1" applyBorder="1" applyAlignment="1">
      <alignment horizontal="center" vertical="center" shrinkToFit="1"/>
    </xf>
    <xf numFmtId="0" fontId="32" fillId="21" borderId="75" xfId="0" applyFont="1" applyFill="1" applyBorder="1" applyAlignment="1">
      <alignment horizontal="center" vertical="center" shrinkToFit="1"/>
    </xf>
    <xf numFmtId="0" fontId="32" fillId="21" borderId="78" xfId="0" applyFont="1" applyFill="1" applyBorder="1" applyAlignment="1">
      <alignment horizontal="center" vertical="center" shrinkToFit="1"/>
    </xf>
    <xf numFmtId="0" fontId="32" fillId="21" borderId="79" xfId="0" applyFont="1" applyFill="1" applyBorder="1" applyAlignment="1">
      <alignment horizontal="center" vertical="center" shrinkToFit="1"/>
    </xf>
    <xf numFmtId="0" fontId="159" fillId="49" borderId="17" xfId="6" applyFont="1" applyFill="1" applyBorder="1" applyAlignment="1">
      <alignment horizontal="center" vertical="center" wrapText="1"/>
    </xf>
    <xf numFmtId="0" fontId="159" fillId="49" borderId="18" xfId="6" applyFont="1" applyFill="1" applyBorder="1" applyAlignment="1">
      <alignment horizontal="center" vertical="center" wrapText="1"/>
    </xf>
    <xf numFmtId="0" fontId="159" fillId="49" borderId="25" xfId="6" applyFont="1" applyFill="1" applyBorder="1" applyAlignment="1">
      <alignment horizontal="center" vertical="center" wrapText="1"/>
    </xf>
    <xf numFmtId="0" fontId="159" fillId="49" borderId="26" xfId="6" applyFont="1" applyFill="1" applyBorder="1" applyAlignment="1">
      <alignment horizontal="center" vertical="center" wrapText="1"/>
    </xf>
    <xf numFmtId="0" fontId="33" fillId="46" borderId="16" xfId="6" applyFont="1" applyFill="1" applyBorder="1" applyAlignment="1">
      <alignment horizontal="center" vertical="center"/>
    </xf>
    <xf numFmtId="0" fontId="33" fillId="46" borderId="95" xfId="6" applyFont="1" applyFill="1" applyBorder="1" applyAlignment="1">
      <alignment horizontal="center" vertical="center"/>
    </xf>
    <xf numFmtId="0" fontId="54" fillId="45" borderId="1" xfId="0" applyFont="1" applyFill="1" applyBorder="1" applyAlignment="1">
      <alignment horizontal="center" vertical="center"/>
    </xf>
    <xf numFmtId="0" fontId="54" fillId="45" borderId="3" xfId="0" applyFont="1" applyFill="1" applyBorder="1" applyAlignment="1">
      <alignment horizontal="center" vertical="center"/>
    </xf>
    <xf numFmtId="0" fontId="34" fillId="15" borderId="167" xfId="0" applyFont="1" applyFill="1" applyBorder="1" applyAlignment="1">
      <alignment horizontal="center" vertical="center"/>
    </xf>
    <xf numFmtId="0" fontId="34" fillId="15" borderId="168" xfId="0" applyFont="1" applyFill="1" applyBorder="1" applyAlignment="1">
      <alignment horizontal="center" vertical="center"/>
    </xf>
    <xf numFmtId="0" fontId="34" fillId="15" borderId="145" xfId="0" applyFont="1" applyFill="1" applyBorder="1" applyAlignment="1">
      <alignment horizontal="center" vertical="center"/>
    </xf>
    <xf numFmtId="0" fontId="34" fillId="15" borderId="1" xfId="0" applyFont="1" applyFill="1" applyBorder="1" applyAlignment="1">
      <alignment horizontal="center" vertical="center"/>
    </xf>
    <xf numFmtId="0" fontId="34" fillId="15" borderId="2" xfId="0" applyFont="1" applyFill="1" applyBorder="1" applyAlignment="1">
      <alignment horizontal="center" vertical="center"/>
    </xf>
    <xf numFmtId="0" fontId="34" fillId="15" borderId="3" xfId="0" applyFont="1" applyFill="1" applyBorder="1" applyAlignment="1">
      <alignment horizontal="center" vertical="center"/>
    </xf>
    <xf numFmtId="0" fontId="102" fillId="8" borderId="4" xfId="3" applyFont="1" applyFill="1" applyBorder="1" applyAlignment="1">
      <alignment horizontal="center" vertical="center"/>
    </xf>
    <xf numFmtId="0" fontId="102" fillId="8" borderId="1" xfId="3" applyFont="1" applyFill="1" applyBorder="1" applyAlignment="1">
      <alignment horizontal="center" vertical="center"/>
    </xf>
    <xf numFmtId="0" fontId="102" fillId="8" borderId="2" xfId="3" applyFont="1" applyFill="1" applyBorder="1" applyAlignment="1">
      <alignment horizontal="center" vertical="center"/>
    </xf>
    <xf numFmtId="0" fontId="102" fillId="8" borderId="3" xfId="3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5" borderId="3" xfId="0" applyFont="1" applyFill="1" applyBorder="1" applyAlignment="1">
      <alignment horizontal="center" vertical="center"/>
    </xf>
    <xf numFmtId="167" fontId="211" fillId="25" borderId="43" xfId="11" applyNumberFormat="1" applyFont="1" applyFill="1" applyBorder="1" applyAlignment="1" applyProtection="1">
      <alignment horizontal="center" vertical="center"/>
      <protection locked="0"/>
    </xf>
    <xf numFmtId="0" fontId="147" fillId="0" borderId="42" xfId="3" applyFont="1" applyFill="1" applyBorder="1" applyAlignment="1">
      <alignment horizontal="left" vertical="center" indent="2"/>
    </xf>
    <xf numFmtId="0" fontId="141" fillId="0" borderId="41" xfId="3" applyFont="1" applyFill="1" applyBorder="1" applyAlignment="1">
      <alignment horizontal="left" vertical="center" indent="1"/>
    </xf>
    <xf numFmtId="194" fontId="143" fillId="34" borderId="21" xfId="3" applyNumberFormat="1" applyFont="1" applyFill="1" applyBorder="1" applyAlignment="1">
      <alignment horizontal="center" vertical="center"/>
    </xf>
    <xf numFmtId="0" fontId="131" fillId="12" borderId="41" xfId="15" applyFont="1" applyFill="1" applyBorder="1" applyAlignment="1">
      <alignment horizontal="left" vertical="center" indent="4"/>
    </xf>
    <xf numFmtId="0" fontId="94" fillId="23" borderId="0" xfId="3" applyFont="1" applyFill="1" applyBorder="1" applyAlignment="1">
      <alignment horizontal="left" vertical="center" indent="2"/>
    </xf>
    <xf numFmtId="0" fontId="145" fillId="12" borderId="50" xfId="15" applyFont="1" applyFill="1" applyBorder="1" applyAlignment="1">
      <alignment horizontal="left" vertical="center" indent="4"/>
    </xf>
    <xf numFmtId="0" fontId="29" fillId="12" borderId="50" xfId="15" applyFont="1" applyFill="1" applyBorder="1" applyAlignment="1">
      <alignment horizontal="left" vertical="center" indent="4"/>
    </xf>
    <xf numFmtId="194" fontId="125" fillId="23" borderId="21" xfId="3" applyNumberFormat="1" applyFont="1" applyFill="1" applyBorder="1" applyAlignment="1">
      <alignment horizontal="center" vertical="center" wrapText="1"/>
    </xf>
    <xf numFmtId="167" fontId="129" fillId="25" borderId="43" xfId="11" applyNumberFormat="1" applyFont="1" applyFill="1" applyBorder="1" applyAlignment="1" applyProtection="1">
      <alignment horizontal="center" vertical="center"/>
      <protection locked="0"/>
    </xf>
    <xf numFmtId="167" fontId="72" fillId="12" borderId="44" xfId="11" applyNumberFormat="1" applyFont="1" applyFill="1" applyBorder="1" applyAlignment="1">
      <alignment horizontal="center" vertical="center"/>
    </xf>
  </cellXfs>
  <cellStyles count="41">
    <cellStyle name="Comma" xfId="11" builtinId="3"/>
    <cellStyle name="Comma 2" xfId="9" xr:uid="{FFD9D940-8929-4508-878D-243C8F820320}"/>
    <cellStyle name="Comma 3" xfId="27" xr:uid="{203B5C38-306B-4EBC-9F90-E2700785EC14}"/>
    <cellStyle name="Comma 4" xfId="37" xr:uid="{B5EE3CA7-B620-8146-909C-832F8C3995AD}"/>
    <cellStyle name="Dark #" xfId="13" xr:uid="{3E46A398-5841-4591-9CDE-9D3BEEB352EF}"/>
    <cellStyle name="Dark $$" xfId="33" xr:uid="{93D2AC30-88E5-4024-90AE-397F561B1F9B}"/>
    <cellStyle name="Hyperlink" xfId="35" builtinId="8"/>
    <cellStyle name="Input: #,###" xfId="17" xr:uid="{17059789-E478-43C3-AF2C-EBEA55041210}"/>
    <cellStyle name="Input: $$" xfId="21" xr:uid="{EB1068AE-326A-441A-A45D-880EA6A06A90}"/>
    <cellStyle name="Input: Date" xfId="20" xr:uid="{0A86EACB-4718-4BAC-812B-EFAD198EB34E}"/>
    <cellStyle name="Label: Input" xfId="18" xr:uid="{B3BDDA89-B9E9-4A0B-B3D9-1E7FBDC646BE}"/>
    <cellStyle name="Normal" xfId="0" builtinId="0"/>
    <cellStyle name="Normal 10" xfId="34" xr:uid="{F4AD7985-02B6-434A-A19D-3C7552DA208B}"/>
    <cellStyle name="Normal 11" xfId="32" xr:uid="{3FF45D9E-8D3F-419E-8B98-F7293611D884}"/>
    <cellStyle name="Normal 12" xfId="39" xr:uid="{0729B1A7-8364-4432-91D3-DA90FE539924}"/>
    <cellStyle name="Normal 13" xfId="40" xr:uid="{FAA45B35-11A3-3B49-B2DE-3A0EFB78F1E0}"/>
    <cellStyle name="Normal 17" xfId="2" xr:uid="{01DA44C4-68ED-4874-9C8C-D83351C63F04}"/>
    <cellStyle name="Normal 2" xfId="3" xr:uid="{228E7428-7132-47F1-A69F-5943934E7185}"/>
    <cellStyle name="Normal 2 2" xfId="6" xr:uid="{60C7462B-82C8-4141-88AD-D93EFC56DD15}"/>
    <cellStyle name="Normal 2 2 2" xfId="14" xr:uid="{15120654-CC13-4F06-B732-9574DC7B840D}"/>
    <cellStyle name="Normal 2_iCosts" xfId="29" xr:uid="{72D0BB26-593D-490B-B0C2-00BEFA61D7BC}"/>
    <cellStyle name="Normal 22" xfId="23" xr:uid="{2CC04A02-E921-447C-AEBF-950E5836E6C8}"/>
    <cellStyle name="Normal 3" xfId="4" xr:uid="{EACE71E3-683B-4DA2-931A-0C75921B1413}"/>
    <cellStyle name="Normal 3 2" xfId="12" xr:uid="{C9F6898E-53BB-4E57-877E-2B763B95E4B2}"/>
    <cellStyle name="Normal 3_iCosts" xfId="30" xr:uid="{29C862CC-D2F2-47E1-814C-0FE1554BEBDC}"/>
    <cellStyle name="Normal 4" xfId="7" xr:uid="{1EF03FF8-AD01-45C4-867D-C6D961CAFF1A}"/>
    <cellStyle name="Normal 4 2" xfId="15" xr:uid="{3368D868-87BF-4AA0-A240-147D23C44578}"/>
    <cellStyle name="Normal 4_iCosts" xfId="31" xr:uid="{4DCC57B8-4F50-443F-9A99-BF644C7DFC31}"/>
    <cellStyle name="Normal 5" xfId="16" xr:uid="{897B816F-6955-4C48-8E9C-E2C5EDCF01FB}"/>
    <cellStyle name="Normal 6" xfId="22" xr:uid="{B325DEC8-8412-46D5-8220-3CB5FA9F87BC}"/>
    <cellStyle name="Normal 7" xfId="24" xr:uid="{716A8FD4-F883-40D7-A115-C2307735B080}"/>
    <cellStyle name="Normal 8" xfId="25" xr:uid="{E3615811-53B2-4DD5-BC1B-0158B6F8CC20}"/>
    <cellStyle name="Normal 9" xfId="28" xr:uid="{015F100A-5AF9-4217-885D-5C5A4FF544AF}"/>
    <cellStyle name="Normal 9 2" xfId="38" xr:uid="{19561BC1-9651-9646-90ED-3FCA4E5042F4}"/>
    <cellStyle name="Percent" xfId="1" builtinId="5"/>
    <cellStyle name="Percent 2" xfId="5" xr:uid="{28E39D0D-925F-4485-A3A1-D67767974DAA}"/>
    <cellStyle name="Percent 2 2" xfId="8" xr:uid="{1847A112-8A9C-47CE-AFFF-2024E254EC4F}"/>
    <cellStyle name="Percent 3" xfId="19" xr:uid="{52FEBDF8-DEA3-494C-A906-B3AB5D6E6A6D}"/>
    <cellStyle name="Percent 4" xfId="26" xr:uid="{831AA9C9-2BF8-4826-A582-05AAC091D75E}"/>
    <cellStyle name="Percent 5" xfId="10" xr:uid="{F1D7CF07-C0CE-43DE-B13B-11E6AE8348B9}"/>
    <cellStyle name="Percent 6" xfId="36" xr:uid="{52B3D937-F2AB-2543-862D-DC9FFC79AC01}"/>
  </cellStyles>
  <dxfs count="124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theme="2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0000"/>
        </patternFill>
      </fill>
    </dxf>
    <dxf>
      <fill>
        <patternFill>
          <bgColor theme="0" tint="-0.499984740745262"/>
        </patternFill>
      </fill>
    </dxf>
    <dxf>
      <border>
        <right style="hair">
          <color theme="0" tint="-0.14993743705557422"/>
        </right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AFAFA"/>
        </patternFill>
      </fill>
    </dxf>
    <dxf>
      <fill>
        <patternFill>
          <bgColor rgb="FFFAFAFA"/>
        </patternFill>
      </fill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rgb="FFFFCFCC"/>
      </font>
      <fill>
        <patternFill>
          <bgColor theme="0"/>
        </patternFill>
      </fill>
    </dxf>
    <dxf>
      <font>
        <b/>
        <i val="0"/>
        <color rgb="FF0000FF"/>
      </font>
      <fill>
        <patternFill>
          <bgColor rgb="FFFFFFCC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rgb="FFC4FFB5"/>
        </patternFill>
      </fill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rgb="FFC00000"/>
      </font>
      <fill>
        <patternFill>
          <bgColor theme="7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rgb="FFE6E6E6"/>
        </patternFill>
      </fill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rgb="FFE6E6E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Sans Serif"/>
        <family val="2"/>
        <scheme val="none"/>
      </font>
      <numFmt numFmtId="167" formatCode="_(#,##0_);\(#,##0\);_(&quot;-&quot;_)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1" readingOrder="0"/>
      <border diagonalUp="0" diagonalDown="0" outline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Microsoft Sans Serif"/>
        <family val="2"/>
        <scheme val="none"/>
      </font>
      <numFmt numFmtId="167" formatCode="_(#,##0_);\(#,##0\);_(&quot;-&quot;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border outline="0">
        <left style="thick">
          <color rgb="FFE1E1E1"/>
        </left>
        <bottom style="thick">
          <color rgb="FFE1E1E1"/>
        </bottom>
      </border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AFAFA"/>
        </patternFill>
      </fill>
      <alignment horizontal="right" vertical="center" textRotation="0" wrapText="0" indent="1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numFmt numFmtId="184" formatCode="_(#,##0.0_);\(#,##0.0\);_(&quot;-&quot;_)"/>
      <fill>
        <patternFill patternType="solid">
          <fgColor indexed="64"/>
          <bgColor rgb="FFFFFFDD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70" formatCode="_(#,##0.00_);\(#,##0.0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70" formatCode="_(#,##0.00_);\(#,##0.0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 style="thick">
          <color rgb="FFE1E1E1"/>
        </left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numFmt numFmtId="189" formatCode="_(#,##0.000_);\(#,##0.000\);_(&quot;-&quot;_)"/>
      <fill>
        <patternFill patternType="solid">
          <fgColor indexed="64"/>
          <bgColor rgb="FFFFFFDD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fill>
        <patternFill patternType="solid">
          <fgColor indexed="64"/>
          <bgColor rgb="FFFFFFCC"/>
        </patternFill>
      </fill>
      <alignment horizontal="left" vertical="center" textRotation="0" wrapText="0" indent="2" justifyLastLine="0" shrinkToFit="0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border outline="0">
        <top style="thick">
          <color rgb="FFE1E1E1"/>
        </top>
      </border>
    </dxf>
    <dxf>
      <border outline="0">
        <left style="thick">
          <color rgb="FFE1E1E1"/>
        </left>
        <bottom style="thick">
          <color rgb="FFE1E1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fill>
        <patternFill patternType="solid">
          <fgColor indexed="64"/>
          <bgColor rgb="FFFAFAFA"/>
        </patternFill>
      </fill>
      <alignment horizontal="right" vertical="center" textRotation="0" wrapText="0" indent="1" justifyLastLine="0" shrinkToFit="1" readingOrder="0"/>
      <protection locked="1" hidden="0"/>
    </dxf>
    <dxf>
      <border outline="0">
        <bottom style="thick">
          <color rgb="FFE1E1E1"/>
        </bottom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Microsoft Sans Serif"/>
        <family val="2"/>
        <scheme val="none"/>
      </font>
      <fill>
        <patternFill patternType="solid">
          <fgColor indexed="64"/>
          <bgColor rgb="FF3E5C76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Univers"/>
        <family val="2"/>
        <scheme val="none"/>
      </font>
      <numFmt numFmtId="172" formatCode="_(#,##0_);_(\(#,##0\);_(&quot;-&quot;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n">
          <color theme="4" tint="0.3999755851924192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Univers"/>
        <family val="2"/>
        <scheme val="none"/>
      </font>
      <numFmt numFmtId="172" formatCode="_(#,##0_);_(\(#,##0\);_(&quot;-&quot;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ck">
          <color rgb="FFE1E1E1"/>
        </left>
        <right style="thick">
          <color rgb="FFE1E1E1"/>
        </right>
        <top style="thin">
          <color theme="4" tint="0.3999755851924192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Univers"/>
        <family val="2"/>
        <scheme val="none"/>
      </font>
      <numFmt numFmtId="172" formatCode="_(#,##0_);_(\(#,##0\);_(&quot;-&quot;_)"/>
      <fill>
        <patternFill patternType="solid">
          <fgColor indexed="64"/>
          <bgColor rgb="FFFFFFE6"/>
        </patternFill>
      </fill>
      <alignment horizontal="center" vertical="center" textRotation="0" wrapText="0" indent="0" justifyLastLine="0" shrinkToFit="1" readingOrder="0"/>
      <border diagonalUp="0" diagonalDown="0">
        <left/>
        <right/>
        <top style="thin">
          <color theme="4" tint="0.3999755851924192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Univers"/>
        <family val="2"/>
        <scheme val="none"/>
      </font>
      <numFmt numFmtId="186" formatCode="#,###&quot; ac&quot;;;&quot;-&quot;"/>
      <fill>
        <patternFill patternType="solid">
          <fgColor indexed="64"/>
          <bgColor rgb="FFFFFFE6"/>
        </patternFill>
      </fill>
      <alignment horizontal="center" vertical="center" textRotation="0" wrapText="0" indent="0" justifyLastLine="0" shrinkToFit="1" readingOrder="0"/>
      <border diagonalUp="0" diagonalDown="0">
        <left/>
        <right style="thick">
          <color rgb="FFE1E1E1"/>
        </right>
        <top style="thick">
          <color rgb="FFE1E1E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Univers"/>
        <family val="2"/>
        <scheme val="none"/>
      </font>
      <numFmt numFmtId="187" formatCode="yyyy\-mm\-dd;@"/>
      <fill>
        <patternFill patternType="solid">
          <fgColor indexed="64"/>
          <bgColor rgb="FFFFFFE6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Univers"/>
        <family val="2"/>
        <scheme val="none"/>
      </font>
      <numFmt numFmtId="217" formatCode="##&quot; of&quot;;;"/>
      <fill>
        <patternFill patternType="solid">
          <fgColor indexed="64"/>
          <bgColor rgb="FFFFFFE6"/>
        </patternFill>
      </fill>
      <alignment horizontal="right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Univers"/>
        <family val="2"/>
        <scheme val="none"/>
      </font>
      <numFmt numFmtId="0" formatCode="General"/>
      <fill>
        <patternFill patternType="solid">
          <fgColor indexed="64"/>
          <bgColor rgb="FFFFFFE6"/>
        </patternFill>
      </fill>
      <alignment horizontal="left" vertical="center" textRotation="0" wrapText="0" relativeIndent="1" justifyLastLine="0" shrinkToFit="1" readingOrder="0"/>
      <border diagonalUp="0" diagonalDown="0">
        <left style="thick">
          <color rgb="FFE1E1E1"/>
        </left>
        <right/>
        <top style="thick">
          <color rgb="FFE1E1E1"/>
        </top>
        <bottom/>
      </border>
      <protection locked="0" hidden="0"/>
    </dxf>
    <dxf>
      <font>
        <strike val="0"/>
        <outline val="0"/>
        <shadow val="0"/>
        <vertAlign val="baseline"/>
        <sz val="12"/>
      </font>
    </dxf>
    <dxf>
      <border outline="0">
        <bottom style="thick">
          <color rgb="FFE1E1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3E5C76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rgb="FFE1E1E1"/>
        </left>
        <right style="thick">
          <color rgb="FFE1E1E1"/>
        </right>
        <top/>
        <bottom/>
      </border>
    </dxf>
    <dxf>
      <font>
        <b/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9"/>
        <color theme="1"/>
        <name val="Univers"/>
        <family val="2"/>
        <scheme val="none"/>
      </font>
      <fill>
        <patternFill patternType="solid">
          <bgColor rgb="FF2F3A47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9"/>
        <color theme="1"/>
        <name val="Univers"/>
        <family val="2"/>
        <scheme val="none"/>
      </font>
      <fill>
        <patternFill patternType="solid">
          <bgColor rgb="FF2F3A47"/>
        </patternFill>
      </fill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Invisible" pivot="0" table="0" count="0" xr9:uid="{3C94544F-7A97-4493-A678-C808A5C9439E}"/>
    <tableStyle name="Slicer NoBorder2" pivot="0" table="0" count="10" xr9:uid="{158834B1-CC69-464F-8D0A-E442F3302712}">
      <tableStyleElement type="wholeTable" dxfId="123"/>
      <tableStyleElement type="headerRow" dxfId="122"/>
    </tableStyle>
    <tableStyle name="Slicer NoBorder2 2" pivot="0" table="0" count="10" xr9:uid="{5A6ED5C1-ECF7-1442-AEEA-DE7B2EF2721A}">
      <tableStyleElement type="wholeTable" dxfId="121"/>
      <tableStyleElement type="headerRow" dxfId="120"/>
    </tableStyle>
  </tableStyles>
  <colors>
    <mruColors>
      <color rgb="FF0000FF"/>
      <color rgb="FFFFC2FF"/>
      <color rgb="FFFF0EFF"/>
      <color rgb="FFE1E1E1"/>
      <color rgb="FFE6E6E6"/>
      <color rgb="FF00FF99"/>
      <color rgb="FF576E87"/>
      <color rgb="FFFFFFCC"/>
      <color rgb="FFC0C0C0"/>
      <color rgb="FFFAFAFA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NoBorder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 NoBorder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.Demand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customXml" Target="../ink/ink2.xml"/><Relationship Id="rId7" Type="http://schemas.openxmlformats.org/officeDocument/2006/relationships/customXml" Target="../ink/ink5.xml"/><Relationship Id="rId2" Type="http://schemas.openxmlformats.org/officeDocument/2006/relationships/image" Target="../media/image40.png"/><Relationship Id="rId1" Type="http://schemas.openxmlformats.org/officeDocument/2006/relationships/customXml" Target="../ink/ink1.xml"/><Relationship Id="rId6" Type="http://schemas.openxmlformats.org/officeDocument/2006/relationships/customXml" Target="../ink/ink4.xml"/><Relationship Id="rId5" Type="http://schemas.openxmlformats.org/officeDocument/2006/relationships/customXml" Target="../ink/ink3.xml"/><Relationship Id="rId4" Type="http://schemas.openxmlformats.org/officeDocument/2006/relationships/image" Target="../media/image5.png"/><Relationship Id="rId9" Type="http://schemas.openxmlformats.org/officeDocument/2006/relationships/customXml" Target="../ink/ink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Projec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1480372</xdr:colOff>
      <xdr:row>13</xdr:row>
      <xdr:rowOff>56582</xdr:rowOff>
    </xdr:from>
    <xdr:to>
      <xdr:col>50</xdr:col>
      <xdr:colOff>1480372</xdr:colOff>
      <xdr:row>16</xdr:row>
      <xdr:rowOff>274954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787922" y="3542732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50</xdr:col>
      <xdr:colOff>66464</xdr:colOff>
      <xdr:row>13</xdr:row>
      <xdr:rowOff>12530</xdr:rowOff>
    </xdr:from>
    <xdr:to>
      <xdr:col>50</xdr:col>
      <xdr:colOff>66464</xdr:colOff>
      <xdr:row>16</xdr:row>
      <xdr:rowOff>230902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2374014" y="3498680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22487</xdr:colOff>
      <xdr:row>12</xdr:row>
      <xdr:rowOff>160331</xdr:rowOff>
    </xdr:from>
    <xdr:to>
      <xdr:col>56</xdr:col>
      <xdr:colOff>22487</xdr:colOff>
      <xdr:row>16</xdr:row>
      <xdr:rowOff>199408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7477387" y="909631"/>
          <a:ext cx="0" cy="940777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15917</xdr:colOff>
      <xdr:row>12</xdr:row>
      <xdr:rowOff>157545</xdr:rowOff>
    </xdr:from>
    <xdr:to>
      <xdr:col>49</xdr:col>
      <xdr:colOff>15917</xdr:colOff>
      <xdr:row>16</xdr:row>
      <xdr:rowOff>196622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0747080" y="3357945"/>
          <a:ext cx="0" cy="1467827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1552574</xdr:colOff>
      <xdr:row>13</xdr:row>
      <xdr:rowOff>33337</xdr:rowOff>
    </xdr:from>
    <xdr:to>
      <xdr:col>51</xdr:col>
      <xdr:colOff>1552574</xdr:colOff>
      <xdr:row>16</xdr:row>
      <xdr:rowOff>251709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25436512" y="3519487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1552574</xdr:colOff>
      <xdr:row>13</xdr:row>
      <xdr:rowOff>33337</xdr:rowOff>
    </xdr:from>
    <xdr:to>
      <xdr:col>52</xdr:col>
      <xdr:colOff>1552574</xdr:colOff>
      <xdr:row>16</xdr:row>
      <xdr:rowOff>251709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25436512" y="3519487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18084</xdr:colOff>
      <xdr:row>13</xdr:row>
      <xdr:rowOff>0</xdr:rowOff>
    </xdr:from>
    <xdr:to>
      <xdr:col>13</xdr:col>
      <xdr:colOff>2389220</xdr:colOff>
      <xdr:row>32</xdr:row>
      <xdr:rowOff>60290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A288A0E-7B0C-78F1-18D7-3A29B7BFE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86247" y="3175000"/>
          <a:ext cx="7425218" cy="4958861"/>
        </a:xfrm>
        <a:prstGeom prst="rect">
          <a:avLst/>
        </a:prstGeom>
      </xdr:spPr>
    </xdr:pic>
    <xdr:clientData/>
  </xdr:twoCellAnchor>
  <xdr:twoCellAnchor>
    <xdr:from>
      <xdr:col>25</xdr:col>
      <xdr:colOff>21166</xdr:colOff>
      <xdr:row>1</xdr:row>
      <xdr:rowOff>105833</xdr:rowOff>
    </xdr:from>
    <xdr:to>
      <xdr:col>25</xdr:col>
      <xdr:colOff>1100666</xdr:colOff>
      <xdr:row>1</xdr:row>
      <xdr:rowOff>518583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10AB821E-2F51-FBED-C042-3EF0E7040220}"/>
            </a:ext>
          </a:extLst>
        </xdr:cNvPr>
        <xdr:cNvSpPr/>
      </xdr:nvSpPr>
      <xdr:spPr>
        <a:xfrm>
          <a:off x="32617833" y="275166"/>
          <a:ext cx="1079500" cy="412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Napkin</a:t>
          </a:r>
        </a:p>
      </xdr:txBody>
    </xdr:sp>
    <xdr:clientData/>
  </xdr:twoCellAnchor>
  <xdr:twoCellAnchor>
    <xdr:from>
      <xdr:col>26</xdr:col>
      <xdr:colOff>52917</xdr:colOff>
      <xdr:row>1</xdr:row>
      <xdr:rowOff>95250</xdr:rowOff>
    </xdr:from>
    <xdr:to>
      <xdr:col>26</xdr:col>
      <xdr:colOff>1132417</xdr:colOff>
      <xdr:row>1</xdr:row>
      <xdr:rowOff>508000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DD3AF4B5-8011-FF48-AA66-3B62E8066D1F}"/>
            </a:ext>
          </a:extLst>
        </xdr:cNvPr>
        <xdr:cNvSpPr/>
      </xdr:nvSpPr>
      <xdr:spPr>
        <a:xfrm>
          <a:off x="33803167" y="264583"/>
          <a:ext cx="1079500" cy="4127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Basic</a:t>
          </a:r>
        </a:p>
      </xdr:txBody>
    </xdr:sp>
    <xdr:clientData/>
  </xdr:twoCellAnchor>
  <xdr:twoCellAnchor>
    <xdr:from>
      <xdr:col>26</xdr:col>
      <xdr:colOff>105834</xdr:colOff>
      <xdr:row>23</xdr:row>
      <xdr:rowOff>127000</xdr:rowOff>
    </xdr:from>
    <xdr:to>
      <xdr:col>27</xdr:col>
      <xdr:colOff>31751</xdr:colOff>
      <xdr:row>23</xdr:row>
      <xdr:rowOff>539750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225B8F39-2069-784B-84E8-2222BB83381E}"/>
            </a:ext>
          </a:extLst>
        </xdr:cNvPr>
        <xdr:cNvSpPr/>
      </xdr:nvSpPr>
      <xdr:spPr>
        <a:xfrm>
          <a:off x="33856084" y="5873750"/>
          <a:ext cx="1079500" cy="412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Basic</a:t>
          </a:r>
        </a:p>
      </xdr:txBody>
    </xdr:sp>
    <xdr:clientData/>
  </xdr:twoCellAnchor>
  <xdr:twoCellAnchor>
    <xdr:from>
      <xdr:col>27</xdr:col>
      <xdr:colOff>306918</xdr:colOff>
      <xdr:row>23</xdr:row>
      <xdr:rowOff>95250</xdr:rowOff>
    </xdr:from>
    <xdr:to>
      <xdr:col>28</xdr:col>
      <xdr:colOff>232834</xdr:colOff>
      <xdr:row>23</xdr:row>
      <xdr:rowOff>508000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7D8F2C77-306B-6C4D-8A6A-CBFF730B410D}"/>
            </a:ext>
          </a:extLst>
        </xdr:cNvPr>
        <xdr:cNvSpPr/>
      </xdr:nvSpPr>
      <xdr:spPr>
        <a:xfrm>
          <a:off x="35210751" y="5842000"/>
          <a:ext cx="1079500" cy="4127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+mn-lt"/>
              <a:ea typeface="+mn-ea"/>
              <a:cs typeface="+mn-cs"/>
            </a:rPr>
            <a:t>Detail</a:t>
          </a:r>
        </a:p>
      </xdr:txBody>
    </xdr:sp>
    <xdr:clientData/>
  </xdr:twoCellAnchor>
  <xdr:twoCellAnchor>
    <xdr:from>
      <xdr:col>37</xdr:col>
      <xdr:colOff>211667</xdr:colOff>
      <xdr:row>1</xdr:row>
      <xdr:rowOff>63500</xdr:rowOff>
    </xdr:from>
    <xdr:to>
      <xdr:col>38</xdr:col>
      <xdr:colOff>146050</xdr:colOff>
      <xdr:row>1</xdr:row>
      <xdr:rowOff>476250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ADA63523-E200-1E44-A5F3-D9724F5C57EB}"/>
            </a:ext>
          </a:extLst>
        </xdr:cNvPr>
        <xdr:cNvSpPr/>
      </xdr:nvSpPr>
      <xdr:spPr>
        <a:xfrm>
          <a:off x="45899917" y="232833"/>
          <a:ext cx="749300" cy="412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Detail</a:t>
          </a:r>
        </a:p>
      </xdr:txBody>
    </xdr:sp>
    <xdr:clientData/>
  </xdr:twoCellAnchor>
  <xdr:twoCellAnchor>
    <xdr:from>
      <xdr:col>27</xdr:col>
      <xdr:colOff>63500</xdr:colOff>
      <xdr:row>1</xdr:row>
      <xdr:rowOff>95250</xdr:rowOff>
    </xdr:from>
    <xdr:to>
      <xdr:col>27</xdr:col>
      <xdr:colOff>1143000</xdr:colOff>
      <xdr:row>1</xdr:row>
      <xdr:rowOff>508000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DC085C6F-C71D-7A4D-8046-D49551DED863}"/>
            </a:ext>
          </a:extLst>
        </xdr:cNvPr>
        <xdr:cNvSpPr/>
      </xdr:nvSpPr>
      <xdr:spPr>
        <a:xfrm>
          <a:off x="34967333" y="264583"/>
          <a:ext cx="1079500" cy="4127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Detail</a:t>
          </a:r>
        </a:p>
      </xdr:txBody>
    </xdr:sp>
    <xdr:clientData/>
  </xdr:twoCellAnchor>
  <xdr:twoCellAnchor>
    <xdr:from>
      <xdr:col>24</xdr:col>
      <xdr:colOff>1132417</xdr:colOff>
      <xdr:row>23</xdr:row>
      <xdr:rowOff>127000</xdr:rowOff>
    </xdr:from>
    <xdr:to>
      <xdr:col>25</xdr:col>
      <xdr:colOff>1058333</xdr:colOff>
      <xdr:row>23</xdr:row>
      <xdr:rowOff>539750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A797236F-997A-F642-A586-757398E15C87}"/>
            </a:ext>
          </a:extLst>
        </xdr:cNvPr>
        <xdr:cNvSpPr/>
      </xdr:nvSpPr>
      <xdr:spPr>
        <a:xfrm>
          <a:off x="32575500" y="5873750"/>
          <a:ext cx="1079500" cy="4127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Napkin</a:t>
          </a:r>
        </a:p>
      </xdr:txBody>
    </xdr:sp>
    <xdr:clientData/>
  </xdr:twoCellAnchor>
  <xdr:twoCellAnchor>
    <xdr:from>
      <xdr:col>36</xdr:col>
      <xdr:colOff>148166</xdr:colOff>
      <xdr:row>1</xdr:row>
      <xdr:rowOff>52917</xdr:rowOff>
    </xdr:from>
    <xdr:to>
      <xdr:col>37</xdr:col>
      <xdr:colOff>84666</xdr:colOff>
      <xdr:row>1</xdr:row>
      <xdr:rowOff>465667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73DC1206-C3BF-664A-88A4-60B1A767890F}"/>
            </a:ext>
          </a:extLst>
        </xdr:cNvPr>
        <xdr:cNvSpPr/>
      </xdr:nvSpPr>
      <xdr:spPr>
        <a:xfrm>
          <a:off x="44693416" y="222250"/>
          <a:ext cx="1079500" cy="4127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Basic</a:t>
          </a:r>
        </a:p>
      </xdr:txBody>
    </xdr:sp>
    <xdr:clientData/>
  </xdr:twoCellAnchor>
  <xdr:twoCellAnchor>
    <xdr:from>
      <xdr:col>34</xdr:col>
      <xdr:colOff>105833</xdr:colOff>
      <xdr:row>1</xdr:row>
      <xdr:rowOff>74083</xdr:rowOff>
    </xdr:from>
    <xdr:to>
      <xdr:col>36</xdr:col>
      <xdr:colOff>42333</xdr:colOff>
      <xdr:row>1</xdr:row>
      <xdr:rowOff>486833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19974239-3948-054A-B416-A1B9795F7394}"/>
            </a:ext>
          </a:extLst>
        </xdr:cNvPr>
        <xdr:cNvSpPr/>
      </xdr:nvSpPr>
      <xdr:spPr>
        <a:xfrm>
          <a:off x="43508083" y="243416"/>
          <a:ext cx="1079500" cy="4127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Napkin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73585</xdr:colOff>
      <xdr:row>5</xdr:row>
      <xdr:rowOff>41019</xdr:rowOff>
    </xdr:from>
    <xdr:to>
      <xdr:col>17</xdr:col>
      <xdr:colOff>942265</xdr:colOff>
      <xdr:row>5</xdr:row>
      <xdr:rowOff>320773</xdr:rowOff>
    </xdr:to>
    <xdr:sp macro="[0]!ToggleHelpVisibility" textlink="">
      <xdr:nvSpPr>
        <xdr:cNvPr id="9" name="btn_toggleHelp.Capital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/>
        </xdr:cNvSpPr>
      </xdr:nvSpPr>
      <xdr:spPr>
        <a:xfrm>
          <a:off x="19588833" y="908643"/>
          <a:ext cx="868680" cy="279754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  <a:ln w="3175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rPr>
            <a:t>Show Help &gt;&gt;</a:t>
          </a:r>
          <a:endParaRPr lang="en-US" sz="900">
            <a:latin typeface="Microsoft Sans Serif" panose="020B0604020202020204" pitchFamily="34" charset="0"/>
            <a:ea typeface="Microsoft Sans Serif" panose="020B0604020202020204" pitchFamily="34" charset="0"/>
            <a:cs typeface="Microsoft Sans Serif" panose="020B0604020202020204" pitchFamily="34" charset="0"/>
          </a:endParaRPr>
        </a:p>
      </xdr:txBody>
    </xdr:sp>
    <xdr:clientData/>
  </xdr:twoCellAnchor>
  <xdr:twoCellAnchor editAs="oneCell">
    <xdr:from>
      <xdr:col>4</xdr:col>
      <xdr:colOff>32039</xdr:colOff>
      <xdr:row>5</xdr:row>
      <xdr:rowOff>41017</xdr:rowOff>
    </xdr:from>
    <xdr:to>
      <xdr:col>4</xdr:col>
      <xdr:colOff>877966</xdr:colOff>
      <xdr:row>5</xdr:row>
      <xdr:rowOff>315337</xdr:rowOff>
    </xdr:to>
    <xdr:sp macro="[0]!ToggleHelpVisibility" textlink="">
      <xdr:nvSpPr>
        <xdr:cNvPr id="3" name="btn_toggleHelp.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/>
        </xdr:cNvSpPr>
      </xdr:nvSpPr>
      <xdr:spPr>
        <a:xfrm>
          <a:off x="3754019" y="908641"/>
          <a:ext cx="845927" cy="274320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  <a:ln w="3175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800">
              <a:solidFill>
                <a:schemeClr val="lt1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rPr>
            <a:t>Show Help &gt;&gt;</a:t>
          </a:r>
        </a:p>
      </xdr:txBody>
    </xdr:sp>
    <xdr:clientData/>
  </xdr:twoCellAnchor>
  <xdr:twoCellAnchor>
    <xdr:from>
      <xdr:col>10</xdr:col>
      <xdr:colOff>4585</xdr:colOff>
      <xdr:row>6</xdr:row>
      <xdr:rowOff>229242</xdr:rowOff>
    </xdr:from>
    <xdr:to>
      <xdr:col>11</xdr:col>
      <xdr:colOff>990325</xdr:colOff>
      <xdr:row>11</xdr:row>
      <xdr:rowOff>4585</xdr:rowOff>
    </xdr:to>
    <xdr:sp macro="[0]!NavButton_Land" textlink="">
      <xdr:nvSpPr>
        <xdr:cNvPr id="2" name="btn_gotoLan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/>
        </xdr:cNvSpPr>
      </xdr:nvSpPr>
      <xdr:spPr>
        <a:xfrm>
          <a:off x="9311805" y="1457978"/>
          <a:ext cx="2191552" cy="921553"/>
        </a:xfrm>
        <a:prstGeom prst="rect">
          <a:avLst/>
        </a:prstGeom>
        <a:noFill/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View</a:t>
          </a:r>
          <a:r>
            <a:rPr lang="en-US" sz="1200" baseline="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 </a:t>
          </a:r>
        </a:p>
        <a:p>
          <a:pPr algn="ctr"/>
          <a:r>
            <a:rPr lang="en-US" sz="1200" baseline="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Land Acqusition </a:t>
          </a:r>
        </a:p>
        <a:p>
          <a:pPr algn="ctr"/>
          <a:r>
            <a:rPr lang="en-US" sz="1200" baseline="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Input Detail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6</xdr:row>
          <xdr:rowOff>177800</xdr:rowOff>
        </xdr:from>
        <xdr:to>
          <xdr:col>22</xdr:col>
          <xdr:colOff>12700</xdr:colOff>
          <xdr:row>6</xdr:row>
          <xdr:rowOff>622300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5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Univ"/>
                </a:rPr>
                <a:t>Default Sale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863600</xdr:colOff>
          <xdr:row>6</xdr:row>
          <xdr:rowOff>139700</xdr:rowOff>
        </xdr:from>
        <xdr:to>
          <xdr:col>12</xdr:col>
          <xdr:colOff>673100</xdr:colOff>
          <xdr:row>6</xdr:row>
          <xdr:rowOff>622300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05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Univers"/>
                </a:rPr>
                <a:t>Default Budget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687294</xdr:colOff>
      <xdr:row>2</xdr:row>
      <xdr:rowOff>14941</xdr:rowOff>
    </xdr:from>
    <xdr:to>
      <xdr:col>31</xdr:col>
      <xdr:colOff>268941</xdr:colOff>
      <xdr:row>4</xdr:row>
      <xdr:rowOff>27641</xdr:rowOff>
    </xdr:to>
    <xdr:sp macro="" textlink="">
      <xdr:nvSpPr>
        <xdr:cNvPr id="2" name="btn_navto.rDeman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189882" y="14941"/>
          <a:ext cx="14448118" cy="565524"/>
        </a:xfrm>
        <a:prstGeom prst="rect">
          <a:avLst/>
        </a:prstGeom>
        <a:noFill/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5</xdr:row>
          <xdr:rowOff>38100</xdr:rowOff>
        </xdr:from>
        <xdr:to>
          <xdr:col>7</xdr:col>
          <xdr:colOff>1689100</xdr:colOff>
          <xdr:row>5</xdr:row>
          <xdr:rowOff>266700</xdr:rowOff>
        </xdr:to>
        <xdr:sp macro="" textlink="">
          <xdr:nvSpPr>
            <xdr:cNvPr id="106497" name="Button 1" descr="Upda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1301540</xdr:colOff>
      <xdr:row>15</xdr:row>
      <xdr:rowOff>107140</xdr:rowOff>
    </xdr:from>
    <xdr:to>
      <xdr:col>3</xdr:col>
      <xdr:colOff>1301900</xdr:colOff>
      <xdr:row>15</xdr:row>
      <xdr:rowOff>107500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3450AFA5-7A2C-32EA-FEE8-4F42D6D1CDA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1174100</xdr:colOff>
      <xdr:row>29</xdr:row>
      <xdr:rowOff>169500</xdr:rowOff>
    </xdr:from>
    <xdr:to>
      <xdr:col>3</xdr:col>
      <xdr:colOff>1174460</xdr:colOff>
      <xdr:row>29</xdr:row>
      <xdr:rowOff>169860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14:cNvPr>
            <xdr14:cNvContentPartPr/>
          </xdr14:nvContentPartPr>
          <xdr14:nvPr macro=""/>
          <xdr14:xfrm>
            <a:off x="3396600" y="744660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E7AA5787-2FC4-C747-C890-68A03AD95DA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378960" y="7338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3</xdr:col>
      <xdr:colOff>1301540</xdr:colOff>
      <xdr:row>20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906F6A8A-D138-7842-8F48-96FF4ADBBC4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1301540</xdr:colOff>
      <xdr:row>20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788D473C-0868-3E49-971F-7DB3F3B5A0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1301540</xdr:colOff>
      <xdr:row>19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7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F87114FC-142E-1647-A24C-660A36264C6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1301540</xdr:colOff>
      <xdr:row>19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9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8439236-0546-9747-A0FD-830C20C4968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816430</xdr:colOff>
      <xdr:row>5</xdr:row>
      <xdr:rowOff>18142</xdr:rowOff>
    </xdr:from>
    <xdr:to>
      <xdr:col>7</xdr:col>
      <xdr:colOff>466768</xdr:colOff>
      <xdr:row>5</xdr:row>
      <xdr:rowOff>294050</xdr:rowOff>
    </xdr:to>
    <xdr:sp macro="[0]!ToggleHelpVisibility" textlink="">
      <xdr:nvSpPr>
        <xdr:cNvPr id="4" name="btn_backtoSale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3438073" y="943428"/>
          <a:ext cx="1433286" cy="275908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  <a:ln w="3175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rPr>
            <a:t>&lt;&lt; Back to Sale Inputs</a:t>
          </a:r>
          <a:endParaRPr lang="en-US" sz="1000">
            <a:latin typeface="Microsoft Sans Serif" panose="020B0604020202020204" pitchFamily="34" charset="0"/>
            <a:ea typeface="Microsoft Sans Serif" panose="020B0604020202020204" pitchFamily="34" charset="0"/>
            <a:cs typeface="Microsoft Sans Serif" panose="020B0604020202020204" pitchFamily="34" charset="0"/>
          </a:endParaRP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5:36.809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5:38.571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0 16383,'0'0'0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5:58.516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7:00.363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7:02.999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7:03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40732D-40DD-42F6-AE0C-D6F394AEB947}" name="tbl_LandAcq" displayName="tbl_LandAcq" ref="C7:I20" totalsRowShown="0" headerRowDxfId="119" dataDxfId="117" headerRowBorderDxfId="118">
  <autoFilter ref="C7:I20" xr:uid="{4C40732D-40DD-42F6-AE0C-D6F394AEB9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C8:H20">
    <sortCondition ref="E8:E20"/>
  </sortState>
  <tableColumns count="7">
    <tableColumn id="2" xr3:uid="{BD5A783F-CAB8-421E-AC22-10EB184F640B}" name="Seller" dataDxfId="116" dataCellStyle="Dark #"/>
    <tableColumn id="3" xr3:uid="{EC9CC00E-A0A3-4CB9-82D8-67C205CD52D4}" name="Pmt#" dataDxfId="115" dataCellStyle="Dark #"/>
    <tableColumn id="6" xr3:uid="{7C373713-FC40-4893-BF5C-80CB796900F2}" name="Date" dataDxfId="114" dataCellStyle="Dark #"/>
    <tableColumn id="5" xr3:uid="{8DC9B25F-06B3-44E0-8204-9EA0991D44C4}" name="Land Conveyed" dataDxfId="113" dataCellStyle="Dark #"/>
    <tableColumn id="8" xr3:uid="{533F3F35-6FDA-41D8-B201-BC165A2CABF4}" name="$/AC" dataDxfId="112" dataCellStyle="Dark #"/>
    <tableColumn id="7" xr3:uid="{DEAB5F49-FD5D-439F-9A33-C46592249196}" name="Payment" dataDxfId="111" dataCellStyle="Dark #">
      <calculatedColumnFormula>IFERROR(tbl_LandAcq[[#This Row],[$/AC]]*tbl_LandAcq[[#This Row],[Land Conveyed]],"")</calculatedColumnFormula>
    </tableColumn>
    <tableColumn id="1" xr3:uid="{ACA43713-5CA3-4AC4-9637-E24E72A5A6D9}" name="Analysis Period" dataDxfId="110" dataCellStyle="Dark #">
      <calculatedColumnFormula>IFERROR(LOOKUP(E8,list_Dates.ALL,list_Periods.ALL),"")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69A66-298B-4036-8002-1E49CE82DAD1}" name="tbl_Planning" displayName="tbl_Planning" ref="D8:M50" totalsRowShown="0" headerRowDxfId="109" dataDxfId="107" headerRowBorderDxfId="108" tableBorderDxfId="106" totalsRowBorderDxfId="105" dataCellStyle="Percent">
  <autoFilter ref="D8:M50" xr:uid="{2AF69A66-298B-4036-8002-1E49CE82DA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xmlns:xlrd2="http://schemas.microsoft.com/office/spreadsheetml/2017/richdata2" ref="D9:K52">
    <sortCondition ref="G9:G52"/>
  </sortState>
  <tableColumns count="10">
    <tableColumn id="1" xr3:uid="{F4818337-0C99-4BE4-83BE-52CC58AF119A}" name="Area" dataDxfId="104"/>
    <tableColumn id="2" xr3:uid="{B4EDF3AF-7EF8-4AEB-A3B8-AF7DCF7517F0}" name="Phase" dataDxfId="103" dataCellStyle="Percent"/>
    <tableColumn id="4" xr3:uid="{BFE5165F-8754-4EC8-8091-8DA58F76CEEB}" name="Parcel" dataDxfId="102" dataCellStyle="Percent"/>
    <tableColumn id="18" xr3:uid="{BA2F64A5-6840-4A1D-90D8-C66ABE82A887}" name="Parcel ID" dataDxfId="101" dataCellStyle="Percent">
      <calculatedColumnFormula>IF(tbl_Planning[[#This Row],[Parcel]]=0,"",CONCATENATE(D9, ".", E9,  TEXT(F9, "00")))</calculatedColumnFormula>
    </tableColumn>
    <tableColumn id="3" xr3:uid="{ECA9B515-3D36-4A06-B293-19E2F90523B6}" name="Code" dataDxfId="100" dataCellStyle="Percent"/>
    <tableColumn id="5" xr3:uid="{9C83D44D-5F77-4BC9-9788-DEFEAFB93B76}" name="Acres" dataDxfId="99" dataCellStyle="Percent"/>
    <tableColumn id="6" xr3:uid="{539E0095-29AF-4619-8CA9-033111089793}" name="Product" dataDxfId="98" dataCellStyle="Percent"/>
    <tableColumn id="7" xr3:uid="{ACEF723D-9282-4D54-8B58-F94D876EB212}" name="Units" dataDxfId="97" dataCellStyle="Percent"/>
    <tableColumn id="11" xr3:uid="{89DFDD42-25D2-4F70-A110-36BC6543A898}" name="DU / Acre" dataDxfId="96" dataCellStyle="Percent">
      <calculatedColumnFormula array="1">IFERROR(_xlfn.XLOOKUP(tbl_Planning[[#This Row],[Product]],_xlfn.ANCHORARRAY(ADMIN!$AF$9),_xlfn.ANCHORARRAY(ADMIN!$AJ$9)),"")</calculatedColumnFormula>
    </tableColumn>
    <tableColumn id="12" xr3:uid="{B77C0778-6683-412F-B1D8-2C0881EB55DC}" name="FF/Acre" dataDxfId="95" dataCellStyle="Percent">
      <calculatedColumnFormula>IFERROR(tbl_Planning.Help[[#This Row],[Feet]]/tbl_Planning[[#This Row],[Acres]],"")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49A818-61C8-463C-A40D-D448FCBBE931}" name="tbl_Planning.Help" displayName="tbl_Planning.Help" ref="A8:B50" totalsRowShown="0" headerRowDxfId="94" dataDxfId="93" tableBorderDxfId="92">
  <autoFilter ref="A8:B50" xr:uid="{2149A818-61C8-463C-A40D-D448FCBBE931}">
    <filterColumn colId="0" hiddenButton="1"/>
    <filterColumn colId="1" hiddenButton="1"/>
  </autoFilter>
  <tableColumns count="2">
    <tableColumn id="1" xr3:uid="{7A531F2A-AB54-43BB-A78F-3257D799502A}" name="Feet" dataDxfId="91" dataCellStyle="Percent">
      <calculatedColumnFormula>IFERROR(LEFT(J9,2)*K9,"")</calculatedColumnFormula>
    </tableColumn>
    <tableColumn id="3" xr3:uid="{E3C8399A-7066-4A11-B0E1-E2BFD3DFD5DF}" name="Phase" dataDxfId="90" dataCellStyle="Percent">
      <calculatedColumnFormula>CONCATENATE(tbl_Planning[[#This Row],[Area]],".",tbl_Planning[[#This Row],[Phase]])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51BD840-97CC-4749-A151-64992BA81ED4}">
  <we:reference id="a19c72e1-6786-40f7-b977-f44d74d31275" version="2.1.0.0" store="EXCatalog" storeType="EXCatalog"/>
  <we:alternateReferences>
    <we:reference id="WA104379279" version="2.1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image" Target="../media/image3.png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image" Target="../media/image2.png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3.png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7DC04-93EE-4DE2-8C05-85796275A202}">
  <sheetPr codeName="Sheet19"/>
  <dimension ref="A1:AZ93"/>
  <sheetViews>
    <sheetView showGridLines="0" tabSelected="1" topLeftCell="AB1" zoomScale="97" zoomScaleNormal="97" workbookViewId="0">
      <selection activeCell="AF16" sqref="AF16"/>
    </sheetView>
  </sheetViews>
  <sheetFormatPr baseColWidth="10" defaultColWidth="4.33203125" defaultRowHeight="13.5" customHeight="1"/>
  <cols>
    <col min="1" max="1" width="9" hidden="1" customWidth="1"/>
    <col min="2" max="2" width="2" customWidth="1"/>
    <col min="3" max="3" width="12" customWidth="1"/>
    <col min="4" max="4" width="35.5" customWidth="1"/>
    <col min="5" max="5" width="7.33203125" customWidth="1"/>
    <col min="6" max="6" width="11.6640625" customWidth="1"/>
    <col min="7" max="7" width="14" bestFit="1" customWidth="1"/>
    <col min="8" max="8" width="10.1640625" bestFit="1" customWidth="1"/>
    <col min="9" max="12" width="6.5" customWidth="1"/>
    <col min="13" max="14" width="47" customWidth="1"/>
    <col min="15" max="15" width="31.5" customWidth="1"/>
    <col min="16" max="16" width="10.1640625" bestFit="1" customWidth="1"/>
    <col min="17" max="17" width="20.33203125" customWidth="1"/>
    <col min="18" max="18" width="47" customWidth="1"/>
    <col min="19" max="21" width="9" customWidth="1"/>
    <col min="22" max="22" width="28.6640625" bestFit="1" customWidth="1"/>
    <col min="23" max="23" width="20.33203125" bestFit="1" customWidth="1"/>
    <col min="24" max="28" width="15.1640625" customWidth="1"/>
    <col min="29" max="29" width="12.83203125" bestFit="1" customWidth="1"/>
    <col min="30" max="31" width="7.1640625" customWidth="1"/>
    <col min="32" max="32" width="28.6640625" bestFit="1" customWidth="1"/>
    <col min="33" max="33" width="20.33203125" bestFit="1" customWidth="1"/>
    <col min="34" max="34" width="25" customWidth="1"/>
    <col min="35" max="35" width="15" bestFit="1" customWidth="1"/>
    <col min="36" max="36" width="15" customWidth="1"/>
    <col min="37" max="37" width="15" bestFit="1" customWidth="1"/>
    <col min="38" max="38" width="11.6640625" bestFit="1" customWidth="1"/>
    <col min="39" max="39" width="10.5" bestFit="1" customWidth="1"/>
    <col min="40" max="40" width="8.33203125" customWidth="1"/>
    <col min="41" max="41" width="10.33203125" customWidth="1"/>
    <col min="42" max="42" width="15.83203125" customWidth="1"/>
    <col min="43" max="44" width="8.33203125" customWidth="1"/>
    <col min="45" max="45" width="12.83203125" bestFit="1" customWidth="1"/>
    <col min="46" max="48" width="7.1640625" customWidth="1"/>
  </cols>
  <sheetData>
    <row r="1" spans="1:52" ht="13.5" customHeight="1" thickBot="1"/>
    <row r="2" spans="1:52" ht="45" customHeight="1" thickTop="1" thickBot="1">
      <c r="A2" s="202"/>
      <c r="B2" s="31" t="str">
        <f>i_Project.Name</f>
        <v>Peoria Lakes</v>
      </c>
      <c r="C2" s="178"/>
      <c r="D2" s="179"/>
      <c r="V2" s="1642">
        <v>2</v>
      </c>
      <c r="W2" s="1315" t="s">
        <v>3</v>
      </c>
      <c r="X2" s="1095"/>
      <c r="Y2" s="1095"/>
      <c r="Z2" s="1094" t="s">
        <v>925</v>
      </c>
      <c r="AA2" s="1095" t="s">
        <v>926</v>
      </c>
      <c r="AB2" s="1095"/>
      <c r="AC2" s="1318"/>
      <c r="AF2" s="1642" t="s">
        <v>929</v>
      </c>
      <c r="AG2" s="1315" t="s">
        <v>3</v>
      </c>
      <c r="AH2" s="1315"/>
      <c r="AI2" s="1095"/>
      <c r="AJ2" s="1095"/>
      <c r="AK2" s="1095"/>
      <c r="AL2" s="1094"/>
      <c r="AM2" s="1095"/>
      <c r="AN2" s="1095"/>
      <c r="AO2" s="1095"/>
      <c r="AP2" s="1095"/>
      <c r="AQ2" s="1095"/>
      <c r="AR2" s="1095"/>
      <c r="AS2" s="1318"/>
    </row>
    <row r="3" spans="1:52" ht="41" customHeight="1" thickTop="1" thickBot="1">
      <c r="A3" s="202"/>
      <c r="B3" s="32" t="str">
        <f>i_Project.Location</f>
        <v>Peoria Lakes</v>
      </c>
      <c r="C3" s="180"/>
      <c r="D3" s="181"/>
      <c r="V3" s="1180" t="s">
        <v>38</v>
      </c>
      <c r="W3" s="1181"/>
      <c r="X3" s="1316" t="s">
        <v>923</v>
      </c>
      <c r="Y3" s="1316" t="s">
        <v>924</v>
      </c>
      <c r="Z3" s="1316"/>
      <c r="AA3" s="1316"/>
      <c r="AB3" s="1316"/>
      <c r="AC3" s="1317" t="s">
        <v>115</v>
      </c>
      <c r="AF3" s="417" t="s">
        <v>927</v>
      </c>
      <c r="AG3" s="418"/>
      <c r="AH3" s="1762"/>
      <c r="AI3" s="1765" t="s">
        <v>940</v>
      </c>
      <c r="AJ3" s="1765" t="s">
        <v>945</v>
      </c>
      <c r="AK3" s="1765" t="s">
        <v>941</v>
      </c>
      <c r="AL3" s="1765" t="s">
        <v>944</v>
      </c>
      <c r="AM3" s="1765" t="s">
        <v>942</v>
      </c>
      <c r="AN3" s="1765" t="s">
        <v>943</v>
      </c>
      <c r="AO3" s="1765" t="s">
        <v>948</v>
      </c>
      <c r="AP3" s="1765" t="s">
        <v>952</v>
      </c>
      <c r="AQ3" s="1765" t="s">
        <v>95</v>
      </c>
      <c r="AR3" s="1765" t="s">
        <v>95</v>
      </c>
      <c r="AS3" s="1765" t="s">
        <v>115</v>
      </c>
    </row>
    <row r="4" spans="1:52" ht="18" thickTop="1" thickBot="1">
      <c r="A4" s="202"/>
      <c r="B4" s="163"/>
      <c r="C4" s="182"/>
      <c r="D4" s="182"/>
      <c r="V4" s="417" t="s">
        <v>930</v>
      </c>
      <c r="W4" s="418"/>
      <c r="X4" s="1170" t="s">
        <v>923</v>
      </c>
      <c r="Y4" s="1170" t="s">
        <v>924</v>
      </c>
      <c r="Z4" s="1170"/>
      <c r="AA4" s="1170"/>
      <c r="AB4" s="1170"/>
      <c r="AC4" s="1171"/>
      <c r="AF4" s="421" t="s">
        <v>935</v>
      </c>
      <c r="AG4" s="421" t="s">
        <v>939</v>
      </c>
      <c r="AH4" s="421" t="s">
        <v>933</v>
      </c>
      <c r="AI4" s="1639">
        <v>1</v>
      </c>
      <c r="AJ4" s="1639" t="s">
        <v>946</v>
      </c>
      <c r="AK4" s="1639">
        <v>100000</v>
      </c>
      <c r="AL4" s="1766">
        <f>AI4*AK4</f>
        <v>100000</v>
      </c>
      <c r="AM4" s="1639">
        <v>1</v>
      </c>
      <c r="AN4" s="1639">
        <v>12</v>
      </c>
      <c r="AO4" s="1766">
        <f>AM4+AN4-1</f>
        <v>12</v>
      </c>
      <c r="AP4" s="1766" t="s">
        <v>931</v>
      </c>
      <c r="AQ4" s="1766">
        <v>0</v>
      </c>
      <c r="AR4" s="1766">
        <v>0</v>
      </c>
      <c r="AS4" s="409">
        <v>211500</v>
      </c>
    </row>
    <row r="5" spans="1:52" ht="18" thickTop="1" thickBot="1">
      <c r="A5" s="202"/>
      <c r="B5" s="160"/>
      <c r="C5" s="183"/>
      <c r="D5" s="183"/>
      <c r="V5" s="421" t="s">
        <v>106</v>
      </c>
      <c r="W5" s="422"/>
      <c r="X5" s="1639">
        <v>1</v>
      </c>
      <c r="Y5" s="1639">
        <v>42</v>
      </c>
      <c r="Z5" s="1639">
        <v>0</v>
      </c>
      <c r="AA5" s="1639">
        <v>0</v>
      </c>
      <c r="AB5" s="1639">
        <v>0</v>
      </c>
      <c r="AC5" s="409"/>
      <c r="AF5" s="421" t="s">
        <v>936</v>
      </c>
      <c r="AG5" s="421" t="s">
        <v>939</v>
      </c>
      <c r="AH5" s="421" t="s">
        <v>934</v>
      </c>
      <c r="AI5" s="1639">
        <v>2500</v>
      </c>
      <c r="AJ5" s="1639" t="s">
        <v>947</v>
      </c>
      <c r="AK5" s="1639">
        <v>1200</v>
      </c>
      <c r="AL5" s="1766">
        <f>AI5*AK5</f>
        <v>3000000</v>
      </c>
      <c r="AM5" s="1639">
        <v>0</v>
      </c>
      <c r="AN5" s="1639">
        <v>0</v>
      </c>
      <c r="AO5" s="1766">
        <v>0</v>
      </c>
      <c r="AP5" s="1766">
        <v>0</v>
      </c>
      <c r="AQ5" s="1766">
        <v>0</v>
      </c>
      <c r="AR5" s="1766">
        <v>0</v>
      </c>
      <c r="AS5" s="409">
        <v>1480500</v>
      </c>
    </row>
    <row r="6" spans="1:52" ht="23" thickTop="1" thickBot="1">
      <c r="A6" s="203"/>
      <c r="B6" s="161"/>
      <c r="C6" s="185" t="s">
        <v>154</v>
      </c>
      <c r="D6" s="176"/>
      <c r="V6" s="421" t="s">
        <v>107</v>
      </c>
      <c r="W6" s="422"/>
      <c r="X6" s="1639">
        <v>36</v>
      </c>
      <c r="Y6" s="1639">
        <v>24</v>
      </c>
      <c r="Z6" s="1639">
        <v>0</v>
      </c>
      <c r="AA6" s="1639">
        <v>0</v>
      </c>
      <c r="AB6" s="1639">
        <v>0</v>
      </c>
      <c r="AC6" s="409"/>
      <c r="AF6" s="421" t="s">
        <v>949</v>
      </c>
      <c r="AG6" s="421" t="s">
        <v>950</v>
      </c>
      <c r="AH6" s="421" t="s">
        <v>951</v>
      </c>
      <c r="AI6" s="1639">
        <v>2</v>
      </c>
      <c r="AJ6" s="1639">
        <v>2</v>
      </c>
      <c r="AK6" s="1639">
        <v>25000</v>
      </c>
      <c r="AL6" s="1766">
        <f>AI6*AK6</f>
        <v>50000</v>
      </c>
      <c r="AM6" s="1639">
        <v>0</v>
      </c>
      <c r="AN6" s="1639">
        <v>0</v>
      </c>
      <c r="AO6" s="1766">
        <v>0</v>
      </c>
      <c r="AP6" s="1766">
        <v>0</v>
      </c>
      <c r="AQ6" s="1766">
        <v>0</v>
      </c>
      <c r="AR6" s="1766">
        <v>0</v>
      </c>
      <c r="AS6" s="409">
        <v>3437500</v>
      </c>
    </row>
    <row r="7" spans="1:52" ht="18" thickTop="1" thickBot="1">
      <c r="A7" s="203"/>
      <c r="B7" s="186"/>
      <c r="C7" s="187" t="s">
        <v>153</v>
      </c>
      <c r="D7" s="298" t="s">
        <v>239</v>
      </c>
      <c r="F7" s="369"/>
      <c r="V7" s="421" t="s">
        <v>108</v>
      </c>
      <c r="W7" s="422"/>
      <c r="X7" s="423">
        <f>X6</f>
        <v>36</v>
      </c>
      <c r="Y7" s="423">
        <f>Y5+Y6</f>
        <v>66</v>
      </c>
      <c r="Z7" s="423">
        <v>0</v>
      </c>
      <c r="AA7" s="423">
        <v>0</v>
      </c>
      <c r="AB7" s="423">
        <v>0</v>
      </c>
      <c r="AC7" s="409"/>
      <c r="AF7" s="1761" t="s">
        <v>928</v>
      </c>
      <c r="AG7" s="421" t="s">
        <v>928</v>
      </c>
      <c r="AH7" s="421" t="s">
        <v>928</v>
      </c>
      <c r="AI7" s="1639">
        <v>10</v>
      </c>
      <c r="AJ7" s="1639">
        <v>10</v>
      </c>
      <c r="AK7" s="1639">
        <v>10000</v>
      </c>
      <c r="AL7" s="1766">
        <v>0</v>
      </c>
      <c r="AM7" s="1639">
        <v>0</v>
      </c>
      <c r="AN7" s="1639">
        <v>0</v>
      </c>
      <c r="AO7" s="1766">
        <v>0</v>
      </c>
      <c r="AP7" s="1766">
        <v>0</v>
      </c>
      <c r="AQ7" s="1766">
        <v>0</v>
      </c>
      <c r="AR7" s="1766">
        <v>0</v>
      </c>
      <c r="AS7" s="409">
        <v>6875000</v>
      </c>
      <c r="AW7" s="369" t="s">
        <v>835</v>
      </c>
      <c r="AX7" s="369" t="s">
        <v>836</v>
      </c>
      <c r="AY7" s="369" t="s">
        <v>837</v>
      </c>
      <c r="AZ7" s="369" t="s">
        <v>838</v>
      </c>
    </row>
    <row r="8" spans="1:52" ht="18" thickTop="1" thickBot="1">
      <c r="A8" s="203"/>
      <c r="B8" s="186"/>
      <c r="C8" s="299"/>
      <c r="D8" s="300"/>
      <c r="V8" s="417" t="s">
        <v>927</v>
      </c>
      <c r="W8" s="418"/>
      <c r="X8" s="518"/>
      <c r="Y8" s="419"/>
      <c r="Z8" s="419"/>
      <c r="AA8" s="419"/>
      <c r="AB8" s="419"/>
      <c r="AC8" s="419"/>
      <c r="AF8" s="1761" t="s">
        <v>928</v>
      </c>
      <c r="AG8" s="421" t="s">
        <v>928</v>
      </c>
      <c r="AH8" s="421" t="s">
        <v>928</v>
      </c>
      <c r="AI8" s="1639">
        <v>0</v>
      </c>
      <c r="AJ8" s="1639">
        <v>0</v>
      </c>
      <c r="AK8" s="1639">
        <v>0</v>
      </c>
      <c r="AL8" s="1766">
        <v>0</v>
      </c>
      <c r="AM8" s="1639">
        <v>0</v>
      </c>
      <c r="AN8" s="1639">
        <v>0</v>
      </c>
      <c r="AO8" s="1766">
        <v>0</v>
      </c>
      <c r="AP8" s="1766">
        <v>0</v>
      </c>
      <c r="AQ8" s="1766">
        <v>0</v>
      </c>
      <c r="AR8" s="1766">
        <v>0</v>
      </c>
      <c r="AS8" s="409">
        <v>0</v>
      </c>
    </row>
    <row r="9" spans="1:52" ht="18" thickTop="1" thickBot="1">
      <c r="A9" s="39" t="s">
        <v>160</v>
      </c>
      <c r="B9" s="186"/>
      <c r="C9" s="299"/>
      <c r="D9" s="300"/>
      <c r="V9" s="421" t="s">
        <v>933</v>
      </c>
      <c r="W9" s="422"/>
      <c r="X9" s="1639">
        <v>164750</v>
      </c>
      <c r="Y9" s="1639">
        <v>46750</v>
      </c>
      <c r="Z9" s="1639">
        <v>0</v>
      </c>
      <c r="AA9" s="1639">
        <v>0</v>
      </c>
      <c r="AB9" s="1639">
        <v>0</v>
      </c>
      <c r="AC9" s="409">
        <v>211500</v>
      </c>
      <c r="AF9" s="425" t="s">
        <v>10</v>
      </c>
      <c r="AG9" s="426"/>
      <c r="AH9" s="426"/>
      <c r="AI9" s="427">
        <v>995050</v>
      </c>
      <c r="AJ9" s="427">
        <v>995050</v>
      </c>
      <c r="AK9" s="427">
        <v>205400</v>
      </c>
      <c r="AL9" s="1767">
        <v>0</v>
      </c>
      <c r="AM9" s="1767">
        <v>0</v>
      </c>
      <c r="AN9" s="1767">
        <v>0</v>
      </c>
      <c r="AO9" s="1767">
        <v>0</v>
      </c>
      <c r="AP9" s="1767">
        <v>0</v>
      </c>
      <c r="AQ9" s="1767">
        <v>0</v>
      </c>
      <c r="AR9" s="1767">
        <v>0</v>
      </c>
      <c r="AS9" s="427">
        <v>1200450</v>
      </c>
      <c r="AW9" t="s">
        <v>839</v>
      </c>
    </row>
    <row r="10" spans="1:52" ht="18" thickTop="1" thickBot="1">
      <c r="A10" s="203" t="e" cm="1">
        <f t="array" ref="A10">TRANSPOSE(GetSheetNames)</f>
        <v>#NAME?</v>
      </c>
      <c r="B10" s="186"/>
      <c r="C10" s="299"/>
      <c r="D10" s="300"/>
      <c r="V10" s="421" t="s">
        <v>934</v>
      </c>
      <c r="W10" s="422"/>
      <c r="X10" s="1639">
        <v>1153250</v>
      </c>
      <c r="Y10" s="1639">
        <v>327250</v>
      </c>
      <c r="Z10" s="1639">
        <v>0</v>
      </c>
      <c r="AA10" s="1639">
        <v>0</v>
      </c>
      <c r="AB10" s="1639">
        <v>0</v>
      </c>
      <c r="AC10" s="409">
        <v>1480500</v>
      </c>
      <c r="AF10" s="428" t="s">
        <v>397</v>
      </c>
      <c r="AG10" s="429"/>
      <c r="AH10" s="429"/>
      <c r="AI10" s="1322">
        <v>10945550</v>
      </c>
      <c r="AJ10" s="1322"/>
      <c r="AK10" s="1322">
        <v>2259400</v>
      </c>
      <c r="AL10" s="1322">
        <v>0</v>
      </c>
      <c r="AM10" s="1322">
        <v>0</v>
      </c>
      <c r="AN10" s="1322">
        <v>0</v>
      </c>
      <c r="AO10" s="1322"/>
      <c r="AP10" s="1322"/>
      <c r="AQ10" s="1322"/>
      <c r="AR10" s="1322"/>
      <c r="AS10" s="1322">
        <v>13204950</v>
      </c>
    </row>
    <row r="11" spans="1:52" ht="18" thickTop="1" thickBot="1">
      <c r="V11" s="421" t="s">
        <v>928</v>
      </c>
      <c r="W11" s="422"/>
      <c r="X11" s="1639">
        <v>2877500</v>
      </c>
      <c r="Y11" s="1639">
        <v>560000</v>
      </c>
      <c r="Z11" s="1639">
        <v>0</v>
      </c>
      <c r="AA11" s="1639">
        <v>0</v>
      </c>
      <c r="AB11" s="1639">
        <v>0</v>
      </c>
      <c r="AC11" s="409">
        <v>3437500</v>
      </c>
      <c r="AF11" s="433" t="s">
        <v>114</v>
      </c>
      <c r="AG11" s="434"/>
      <c r="AH11" s="1763"/>
      <c r="AI11" s="1323">
        <v>11621514.81582169</v>
      </c>
      <c r="AJ11" s="1323"/>
      <c r="AK11" s="1323">
        <v>2547084.9307376216</v>
      </c>
      <c r="AL11" s="1323">
        <v>0</v>
      </c>
      <c r="AM11" s="1323">
        <v>0</v>
      </c>
      <c r="AN11" s="1323">
        <v>0</v>
      </c>
      <c r="AO11" s="1323"/>
      <c r="AP11" s="1323"/>
      <c r="AQ11" s="1323"/>
      <c r="AR11" s="1323"/>
      <c r="AS11" s="1323">
        <v>14168599.746559313</v>
      </c>
      <c r="AW11" t="s">
        <v>840</v>
      </c>
    </row>
    <row r="12" spans="1:52" ht="18" thickTop="1" thickBot="1">
      <c r="V12" s="421" t="s">
        <v>928</v>
      </c>
      <c r="W12" s="422"/>
      <c r="X12" s="1639">
        <v>5755000</v>
      </c>
      <c r="Y12" s="1639">
        <v>1120000</v>
      </c>
      <c r="Z12" s="1639">
        <v>0</v>
      </c>
      <c r="AA12" s="1639">
        <v>0</v>
      </c>
      <c r="AB12" s="1639">
        <v>0</v>
      </c>
      <c r="AC12" s="409">
        <v>6875000</v>
      </c>
      <c r="AF12" s="1319" t="s">
        <v>682</v>
      </c>
      <c r="AG12" s="1320"/>
      <c r="AH12" s="1764"/>
      <c r="AI12" s="1321">
        <v>44698.133907006501</v>
      </c>
      <c r="AJ12" s="1321"/>
      <c r="AK12" s="1321">
        <v>94483.860291233257</v>
      </c>
      <c r="AL12" s="1321"/>
      <c r="AM12" s="1321"/>
      <c r="AN12" s="1321"/>
      <c r="AO12" s="1321"/>
      <c r="AP12" s="1321"/>
      <c r="AQ12" s="1321"/>
      <c r="AR12" s="1321"/>
      <c r="AS12" s="1321">
        <v>139181.99419823976</v>
      </c>
      <c r="AW12" t="s">
        <v>839</v>
      </c>
    </row>
    <row r="13" spans="1:52" ht="20" thickTop="1" thickBot="1">
      <c r="O13" s="1094" t="s">
        <v>531</v>
      </c>
      <c r="P13" s="1095"/>
      <c r="Q13" s="1095"/>
      <c r="V13" s="421" t="s">
        <v>928</v>
      </c>
      <c r="W13" s="422"/>
      <c r="X13" s="1639">
        <v>0</v>
      </c>
      <c r="Y13" s="1639">
        <v>0</v>
      </c>
      <c r="Z13" s="1639">
        <v>0</v>
      </c>
      <c r="AA13" s="1639">
        <v>0</v>
      </c>
      <c r="AB13" s="1639">
        <v>0</v>
      </c>
      <c r="AC13" s="409">
        <v>0</v>
      </c>
    </row>
    <row r="14" spans="1:52" ht="18" thickTop="1" thickBot="1">
      <c r="O14" s="1537" t="s">
        <v>514</v>
      </c>
      <c r="P14" s="1538"/>
      <c r="Q14" s="1538"/>
      <c r="V14" s="425" t="s">
        <v>10</v>
      </c>
      <c r="W14" s="426"/>
      <c r="X14" s="427">
        <v>995050</v>
      </c>
      <c r="Y14" s="427">
        <v>205400</v>
      </c>
      <c r="Z14" s="427">
        <v>0</v>
      </c>
      <c r="AA14" s="427">
        <v>0</v>
      </c>
      <c r="AB14" s="427">
        <v>0</v>
      </c>
      <c r="AC14" s="427">
        <v>1200450</v>
      </c>
    </row>
    <row r="15" spans="1:52" ht="18" thickTop="1" thickBot="1">
      <c r="O15" s="1655" t="s">
        <v>914</v>
      </c>
      <c r="P15" s="1301">
        <v>500</v>
      </c>
      <c r="Q15" s="1301" t="s">
        <v>915</v>
      </c>
      <c r="R15" t="s">
        <v>917</v>
      </c>
      <c r="V15" s="428" t="s">
        <v>397</v>
      </c>
      <c r="W15" s="429"/>
      <c r="X15" s="1322">
        <v>10945550</v>
      </c>
      <c r="Y15" s="1322">
        <v>2259400</v>
      </c>
      <c r="Z15" s="1322">
        <v>0</v>
      </c>
      <c r="AA15" s="1322">
        <v>0</v>
      </c>
      <c r="AB15" s="1322">
        <v>0</v>
      </c>
      <c r="AC15" s="1322">
        <v>13204950</v>
      </c>
      <c r="AW15" t="s">
        <v>839</v>
      </c>
    </row>
    <row r="16" spans="1:52" ht="18" thickTop="1" thickBot="1">
      <c r="O16" s="1655" t="s">
        <v>10</v>
      </c>
      <c r="P16" s="1300">
        <v>0.1</v>
      </c>
      <c r="Q16" s="1301" t="s">
        <v>918</v>
      </c>
      <c r="R16" t="s">
        <v>919</v>
      </c>
      <c r="V16" s="433" t="s">
        <v>114</v>
      </c>
      <c r="W16" s="434"/>
      <c r="X16" s="1323">
        <v>11621514.81582169</v>
      </c>
      <c r="Y16" s="1323">
        <v>2547084.9307376216</v>
      </c>
      <c r="Z16" s="1323">
        <v>0</v>
      </c>
      <c r="AA16" s="1323">
        <v>0</v>
      </c>
      <c r="AB16" s="1323">
        <v>0</v>
      </c>
      <c r="AC16" s="1323">
        <v>14168599.746559313</v>
      </c>
    </row>
    <row r="17" spans="3:52" ht="20" thickTop="1" thickBot="1">
      <c r="C17" s="1223" t="s">
        <v>638</v>
      </c>
      <c r="D17" s="1223"/>
      <c r="E17" s="1223"/>
      <c r="F17" s="1223"/>
      <c r="G17" s="1223"/>
      <c r="O17" s="1655" t="s">
        <v>65</v>
      </c>
      <c r="P17" s="1300">
        <v>0.03</v>
      </c>
      <c r="Q17" s="1301" t="s">
        <v>913</v>
      </c>
      <c r="R17" t="s">
        <v>916</v>
      </c>
      <c r="V17" s="1319" t="s">
        <v>682</v>
      </c>
      <c r="W17" s="1320"/>
      <c r="X17" s="1321">
        <v>44698.133907006501</v>
      </c>
      <c r="Y17" s="1321">
        <v>94483.860291233257</v>
      </c>
      <c r="Z17" s="1321"/>
      <c r="AA17" s="1321"/>
      <c r="AB17" s="1321"/>
      <c r="AC17" s="1321">
        <v>139181.99419823976</v>
      </c>
      <c r="AY17" t="s">
        <v>841</v>
      </c>
    </row>
    <row r="18" spans="3:52" ht="18" thickTop="1" thickBot="1">
      <c r="C18" s="1219" t="s">
        <v>868</v>
      </c>
      <c r="D18" s="1219" t="s">
        <v>639</v>
      </c>
      <c r="E18" s="1178" t="s">
        <v>869</v>
      </c>
      <c r="F18" s="1178" t="s">
        <v>640</v>
      </c>
      <c r="G18" s="1178" t="s">
        <v>905</v>
      </c>
      <c r="O18" s="1655" t="s">
        <v>543</v>
      </c>
      <c r="P18" s="1300">
        <v>0.01</v>
      </c>
      <c r="Q18" s="1301" t="s">
        <v>913</v>
      </c>
      <c r="R18" t="s">
        <v>916</v>
      </c>
      <c r="AW18" t="s">
        <v>840</v>
      </c>
      <c r="AY18" t="s">
        <v>842</v>
      </c>
    </row>
    <row r="19" spans="3:52" ht="18" thickTop="1" thickBot="1">
      <c r="C19" s="1634" t="s">
        <v>54</v>
      </c>
      <c r="D19" s="1634" t="s">
        <v>91</v>
      </c>
      <c r="E19" s="1224" t="s">
        <v>629</v>
      </c>
      <c r="F19" s="1036">
        <v>10</v>
      </c>
      <c r="G19" s="1703">
        <v>0</v>
      </c>
      <c r="O19" s="1655" t="s">
        <v>95</v>
      </c>
      <c r="P19" s="1300">
        <v>0.01</v>
      </c>
      <c r="Q19" s="1301" t="s">
        <v>913</v>
      </c>
      <c r="R19" t="s">
        <v>916</v>
      </c>
      <c r="AW19" t="s">
        <v>840</v>
      </c>
      <c r="AY19" t="s">
        <v>843</v>
      </c>
    </row>
    <row r="20" spans="3:52" ht="18" thickTop="1" thickBot="1">
      <c r="C20" s="1634" t="s">
        <v>610</v>
      </c>
      <c r="D20" s="1634" t="s">
        <v>644</v>
      </c>
      <c r="E20" s="1224" t="s">
        <v>634</v>
      </c>
      <c r="F20" s="1036">
        <v>25000</v>
      </c>
      <c r="G20" s="1703">
        <v>0.01</v>
      </c>
      <c r="O20" s="1655" t="s">
        <v>95</v>
      </c>
      <c r="P20" s="1300">
        <v>0.01</v>
      </c>
      <c r="Q20" s="1301" t="s">
        <v>913</v>
      </c>
      <c r="R20" t="s">
        <v>916</v>
      </c>
    </row>
    <row r="21" spans="3:52" ht="18" thickTop="1" thickBot="1">
      <c r="C21" s="1634" t="s">
        <v>52</v>
      </c>
      <c r="D21" s="1634" t="s">
        <v>643</v>
      </c>
      <c r="E21" s="1224" t="s">
        <v>43</v>
      </c>
      <c r="F21" s="1036">
        <v>2400</v>
      </c>
      <c r="G21" s="1703" t="s">
        <v>907</v>
      </c>
      <c r="O21" s="1655" t="s">
        <v>95</v>
      </c>
      <c r="P21" s="1300">
        <v>0.01</v>
      </c>
      <c r="Q21" s="1301" t="s">
        <v>913</v>
      </c>
      <c r="R21" t="s">
        <v>916</v>
      </c>
      <c r="AX21" t="s">
        <v>844</v>
      </c>
      <c r="AY21" t="s">
        <v>845</v>
      </c>
    </row>
    <row r="22" spans="3:52" ht="18" thickTop="1" thickBot="1">
      <c r="C22" s="1634" t="s">
        <v>611</v>
      </c>
      <c r="D22" s="1634" t="s">
        <v>642</v>
      </c>
      <c r="E22" s="1224" t="s">
        <v>634</v>
      </c>
      <c r="F22" s="1036">
        <v>50000</v>
      </c>
      <c r="G22" s="1703" t="s">
        <v>906</v>
      </c>
      <c r="O22" s="1537" t="s">
        <v>530</v>
      </c>
      <c r="P22" s="1538"/>
      <c r="Q22" s="1538"/>
      <c r="AY22" t="s">
        <v>846</v>
      </c>
    </row>
    <row r="23" spans="3:52" ht="18" thickTop="1" thickBot="1">
      <c r="C23" s="1634" t="s">
        <v>613</v>
      </c>
      <c r="D23" s="1634" t="s">
        <v>641</v>
      </c>
      <c r="E23" s="1224" t="s">
        <v>43</v>
      </c>
      <c r="F23" s="1036">
        <v>2200</v>
      </c>
      <c r="G23" s="1703" t="s">
        <v>908</v>
      </c>
      <c r="O23" s="1655" t="s">
        <v>909</v>
      </c>
      <c r="P23" s="1300">
        <v>0.03</v>
      </c>
      <c r="Q23" s="1301" t="s">
        <v>918</v>
      </c>
      <c r="AX23" t="s">
        <v>844</v>
      </c>
      <c r="AY23" t="s">
        <v>847</v>
      </c>
      <c r="AZ23" t="s">
        <v>848</v>
      </c>
    </row>
    <row r="24" spans="3:52" ht="49" customHeight="1" thickTop="1" thickBot="1">
      <c r="C24" s="1634" t="s">
        <v>51</v>
      </c>
      <c r="D24" s="1634" t="s">
        <v>637</v>
      </c>
      <c r="E24" s="1224" t="s">
        <v>629</v>
      </c>
      <c r="F24" s="1036">
        <v>10</v>
      </c>
      <c r="G24" s="1703">
        <v>0.03</v>
      </c>
      <c r="O24" s="1655" t="s">
        <v>910</v>
      </c>
      <c r="P24" s="1300">
        <v>0.03</v>
      </c>
      <c r="Q24" s="1301" t="s">
        <v>918</v>
      </c>
      <c r="V24" s="1642">
        <v>2</v>
      </c>
      <c r="W24" s="1315" t="s">
        <v>3</v>
      </c>
      <c r="X24" s="1095"/>
      <c r="Y24" s="1095"/>
      <c r="Z24" s="1094" t="s">
        <v>925</v>
      </c>
      <c r="AA24" s="1095" t="s">
        <v>926</v>
      </c>
      <c r="AB24" s="1095"/>
      <c r="AC24" s="1318"/>
      <c r="AY24" t="s">
        <v>849</v>
      </c>
    </row>
    <row r="25" spans="3:52" ht="19" thickTop="1" thickBot="1">
      <c r="C25" s="1634" t="s">
        <v>612</v>
      </c>
      <c r="D25" s="1634" t="s">
        <v>645</v>
      </c>
      <c r="E25" s="1635" t="s">
        <v>141</v>
      </c>
      <c r="F25" s="1036"/>
      <c r="G25" s="1036"/>
      <c r="V25" s="1180" t="s">
        <v>38</v>
      </c>
      <c r="W25" s="1181"/>
      <c r="X25" s="1316" t="s">
        <v>923</v>
      </c>
      <c r="Y25" s="1316" t="s">
        <v>924</v>
      </c>
      <c r="Z25" s="1316"/>
      <c r="AA25" s="1316"/>
      <c r="AB25" s="1316"/>
      <c r="AC25" s="1317" t="s">
        <v>115</v>
      </c>
      <c r="AX25" t="s">
        <v>844</v>
      </c>
      <c r="AY25" t="s">
        <v>850</v>
      </c>
    </row>
    <row r="26" spans="3:52" ht="20" thickTop="1" thickBot="1">
      <c r="C26" s="1648"/>
      <c r="D26" s="1648"/>
      <c r="E26" s="1648"/>
      <c r="O26" s="1094" t="s">
        <v>3</v>
      </c>
      <c r="P26" s="1095"/>
      <c r="Q26" s="1095"/>
      <c r="V26" s="417" t="s">
        <v>930</v>
      </c>
      <c r="W26" s="418"/>
      <c r="X26" s="1170" t="s">
        <v>923</v>
      </c>
      <c r="Y26" s="1170" t="s">
        <v>924</v>
      </c>
      <c r="Z26" s="1170"/>
      <c r="AA26" s="1170"/>
      <c r="AB26" s="1170"/>
      <c r="AC26" s="1171"/>
      <c r="AW26" t="s">
        <v>839</v>
      </c>
      <c r="AX26" t="s">
        <v>851</v>
      </c>
    </row>
    <row r="27" spans="3:52" ht="18" thickTop="1" thickBot="1">
      <c r="C27" s="1649"/>
      <c r="D27" s="1649"/>
      <c r="E27" s="1649"/>
      <c r="O27" s="1537" t="s">
        <v>511</v>
      </c>
      <c r="P27" s="1538" t="s">
        <v>36</v>
      </c>
      <c r="Q27" s="1538" t="s">
        <v>655</v>
      </c>
      <c r="V27" s="421" t="s">
        <v>106</v>
      </c>
      <c r="W27" s="422"/>
      <c r="X27" s="1639">
        <v>1</v>
      </c>
      <c r="Y27" s="1639">
        <v>42</v>
      </c>
      <c r="Z27" s="1639">
        <v>0</v>
      </c>
      <c r="AA27" s="1639">
        <v>0</v>
      </c>
      <c r="AB27" s="1639">
        <v>0</v>
      </c>
      <c r="AC27" s="409"/>
      <c r="AY27" t="s">
        <v>852</v>
      </c>
    </row>
    <row r="28" spans="3:52" ht="18" thickTop="1" thickBot="1">
      <c r="C28" s="1649"/>
      <c r="D28" s="1649"/>
      <c r="E28" s="1649"/>
      <c r="O28" s="1569" t="s">
        <v>911</v>
      </c>
      <c r="P28" s="1301">
        <v>250</v>
      </c>
      <c r="Q28" s="1301" t="s">
        <v>43</v>
      </c>
      <c r="R28" t="s">
        <v>917</v>
      </c>
      <c r="V28" s="421" t="s">
        <v>107</v>
      </c>
      <c r="W28" s="422"/>
      <c r="X28" s="1639">
        <v>36</v>
      </c>
      <c r="Y28" s="1639">
        <v>24</v>
      </c>
      <c r="Z28" s="1639">
        <v>0</v>
      </c>
      <c r="AA28" s="1639">
        <v>0</v>
      </c>
      <c r="AB28" s="1639">
        <v>0</v>
      </c>
      <c r="AC28" s="409"/>
      <c r="AX28" t="s">
        <v>844</v>
      </c>
      <c r="AY28" t="s">
        <v>853</v>
      </c>
    </row>
    <row r="29" spans="3:52" ht="18" thickTop="1" thickBot="1">
      <c r="C29" s="1649"/>
      <c r="D29" s="1649"/>
      <c r="E29" s="1649"/>
      <c r="O29" s="1569" t="s">
        <v>912</v>
      </c>
      <c r="P29" s="1301">
        <v>1750</v>
      </c>
      <c r="Q29" s="1301" t="s">
        <v>133</v>
      </c>
      <c r="R29" t="s">
        <v>917</v>
      </c>
      <c r="V29" s="421" t="s">
        <v>108</v>
      </c>
      <c r="W29" s="422"/>
      <c r="X29" s="423">
        <f>X28</f>
        <v>36</v>
      </c>
      <c r="Y29" s="423">
        <f>Y27+Y28</f>
        <v>66</v>
      </c>
      <c r="Z29" s="423">
        <v>0</v>
      </c>
      <c r="AA29" s="423">
        <v>0</v>
      </c>
      <c r="AB29" s="423">
        <v>0</v>
      </c>
      <c r="AC29" s="409"/>
      <c r="AW29" t="s">
        <v>840</v>
      </c>
      <c r="AY29" t="s">
        <v>854</v>
      </c>
    </row>
    <row r="30" spans="3:52" ht="18" thickTop="1" thickBot="1">
      <c r="C30" s="1649"/>
      <c r="D30" s="1649"/>
      <c r="E30" s="1649"/>
      <c r="V30" s="417" t="s">
        <v>927</v>
      </c>
      <c r="W30" s="418"/>
      <c r="X30" s="518"/>
      <c r="Y30" s="419"/>
      <c r="Z30" s="419"/>
      <c r="AA30" s="419"/>
      <c r="AB30" s="419"/>
      <c r="AC30" s="419"/>
      <c r="AX30" t="s">
        <v>844</v>
      </c>
      <c r="AY30" t="s">
        <v>855</v>
      </c>
      <c r="AZ30" t="s">
        <v>856</v>
      </c>
    </row>
    <row r="31" spans="3:52" ht="18" thickTop="1" thickBot="1">
      <c r="C31" s="1649"/>
      <c r="D31" s="1649"/>
      <c r="E31" s="1649"/>
      <c r="V31" s="421" t="s">
        <v>935</v>
      </c>
      <c r="W31" s="421" t="s">
        <v>933</v>
      </c>
      <c r="X31" s="1639">
        <v>164750</v>
      </c>
      <c r="Y31" s="1639">
        <v>46750</v>
      </c>
      <c r="Z31" s="1639">
        <v>0</v>
      </c>
      <c r="AA31" s="1639">
        <v>0</v>
      </c>
      <c r="AB31" s="1639">
        <v>0</v>
      </c>
      <c r="AC31" s="409">
        <v>211500</v>
      </c>
      <c r="AY31" t="s">
        <v>857</v>
      </c>
    </row>
    <row r="32" spans="3:52" ht="18" thickTop="1" thickBot="1">
      <c r="C32" s="1649"/>
      <c r="D32" s="1649"/>
      <c r="E32" s="1649"/>
      <c r="O32" s="1537" t="s">
        <v>395</v>
      </c>
      <c r="P32" s="1538"/>
      <c r="Q32" s="1538" t="s">
        <v>655</v>
      </c>
      <c r="V32" s="421" t="s">
        <v>936</v>
      </c>
      <c r="W32" s="421" t="s">
        <v>934</v>
      </c>
      <c r="X32" s="1639">
        <v>1153250</v>
      </c>
      <c r="Y32" s="1639">
        <v>327250</v>
      </c>
      <c r="Z32" s="1639">
        <v>0</v>
      </c>
      <c r="AA32" s="1639">
        <v>0</v>
      </c>
      <c r="AB32" s="1639">
        <v>0</v>
      </c>
      <c r="AC32" s="409">
        <v>1480500</v>
      </c>
      <c r="AY32" t="s">
        <v>858</v>
      </c>
    </row>
    <row r="33" spans="3:52" ht="18" thickTop="1" thickBot="1">
      <c r="C33" s="1649"/>
      <c r="D33" s="1649"/>
      <c r="E33" s="1649"/>
      <c r="O33" s="1569" t="s">
        <v>567</v>
      </c>
      <c r="P33" s="1301">
        <v>100</v>
      </c>
      <c r="Q33" s="1301" t="s">
        <v>43</v>
      </c>
      <c r="R33" t="s">
        <v>917</v>
      </c>
      <c r="V33" s="1761" t="s">
        <v>937</v>
      </c>
      <c r="W33" s="421" t="s">
        <v>938</v>
      </c>
      <c r="X33" s="1639">
        <v>2877500</v>
      </c>
      <c r="Y33" s="1639">
        <v>560000</v>
      </c>
      <c r="Z33" s="1639">
        <v>0</v>
      </c>
      <c r="AA33" s="1639">
        <v>0</v>
      </c>
      <c r="AB33" s="1639">
        <v>0</v>
      </c>
      <c r="AC33" s="409">
        <v>3437500</v>
      </c>
      <c r="AY33" t="s">
        <v>859</v>
      </c>
    </row>
    <row r="34" spans="3:52" ht="18" thickTop="1" thickBot="1">
      <c r="C34" s="1649"/>
      <c r="D34" s="1649"/>
      <c r="E34" s="1649"/>
      <c r="O34" s="1569" t="s">
        <v>566</v>
      </c>
      <c r="P34" s="1301">
        <v>200</v>
      </c>
      <c r="Q34" s="1301" t="s">
        <v>43</v>
      </c>
      <c r="R34" t="s">
        <v>917</v>
      </c>
      <c r="V34" s="1761" t="s">
        <v>928</v>
      </c>
      <c r="W34" s="421" t="s">
        <v>928</v>
      </c>
      <c r="X34" s="1639">
        <v>5755000</v>
      </c>
      <c r="Y34" s="1639">
        <v>1120000</v>
      </c>
      <c r="Z34" s="1639">
        <v>0</v>
      </c>
      <c r="AA34" s="1639">
        <v>0</v>
      </c>
      <c r="AB34" s="1639">
        <v>0</v>
      </c>
      <c r="AC34" s="409">
        <v>6875000</v>
      </c>
      <c r="AY34" t="s">
        <v>860</v>
      </c>
    </row>
    <row r="35" spans="3:52" ht="18" thickTop="1" thickBot="1">
      <c r="C35" s="1649"/>
      <c r="D35" s="1649"/>
      <c r="E35" s="1649"/>
      <c r="O35" s="1569" t="s">
        <v>569</v>
      </c>
      <c r="P35" s="1302">
        <v>1300</v>
      </c>
      <c r="Q35" s="1301" t="s">
        <v>43</v>
      </c>
      <c r="R35" t="s">
        <v>917</v>
      </c>
      <c r="V35" s="1761" t="s">
        <v>928</v>
      </c>
      <c r="W35" s="421" t="s">
        <v>928</v>
      </c>
      <c r="X35" s="1639">
        <v>0</v>
      </c>
      <c r="Y35" s="1639">
        <v>0</v>
      </c>
      <c r="Z35" s="1639">
        <v>0</v>
      </c>
      <c r="AA35" s="1639">
        <v>0</v>
      </c>
      <c r="AB35" s="1639">
        <v>0</v>
      </c>
      <c r="AC35" s="409">
        <v>0</v>
      </c>
      <c r="AY35" t="s">
        <v>861</v>
      </c>
    </row>
    <row r="36" spans="3:52" ht="18" thickTop="1" thickBot="1">
      <c r="C36" s="1649"/>
      <c r="D36" s="1649"/>
      <c r="E36" s="1649"/>
      <c r="O36" s="1569" t="s">
        <v>512</v>
      </c>
      <c r="P36" s="1301"/>
      <c r="Q36" s="1301"/>
      <c r="R36" t="s">
        <v>917</v>
      </c>
      <c r="V36" s="425" t="s">
        <v>10</v>
      </c>
      <c r="W36" s="426"/>
      <c r="X36" s="427">
        <v>995050</v>
      </c>
      <c r="Y36" s="427">
        <v>205400</v>
      </c>
      <c r="Z36" s="427">
        <v>0</v>
      </c>
      <c r="AA36" s="427">
        <v>0</v>
      </c>
      <c r="AB36" s="427">
        <v>0</v>
      </c>
      <c r="AC36" s="427">
        <v>1200450</v>
      </c>
      <c r="AW36" t="s">
        <v>839</v>
      </c>
      <c r="AY36" t="s">
        <v>862</v>
      </c>
    </row>
    <row r="37" spans="3:52" ht="16" thickTop="1" thickBot="1">
      <c r="C37" s="1649"/>
      <c r="D37" s="1649"/>
      <c r="E37" s="1649"/>
    </row>
    <row r="38" spans="3:52" ht="18" thickTop="1" thickBot="1">
      <c r="C38" s="1649"/>
      <c r="D38" s="1649"/>
      <c r="E38" s="1649"/>
      <c r="V38" s="1759" t="s">
        <v>932</v>
      </c>
      <c r="W38" s="1758"/>
      <c r="X38" s="1757" t="s">
        <v>931</v>
      </c>
      <c r="Y38" s="1757" t="s">
        <v>931</v>
      </c>
      <c r="Z38" s="1639"/>
      <c r="AA38" s="1639"/>
      <c r="AB38" s="1639"/>
      <c r="AC38" s="1760"/>
    </row>
    <row r="39" spans="3:52" ht="18" thickTop="1" thickBot="1">
      <c r="C39" s="1649"/>
      <c r="D39" s="1649"/>
      <c r="E39" s="1649"/>
      <c r="O39" s="1537" t="s">
        <v>527</v>
      </c>
      <c r="P39" s="1538"/>
      <c r="Q39" s="1538" t="s">
        <v>920</v>
      </c>
    </row>
    <row r="40" spans="3:52" ht="18" thickTop="1" thickBot="1">
      <c r="C40" s="1649"/>
      <c r="D40" s="1649"/>
      <c r="E40" s="1649"/>
      <c r="F40" s="1700"/>
      <c r="O40" s="1569" t="s">
        <v>564</v>
      </c>
      <c r="P40" s="1301">
        <v>300000</v>
      </c>
      <c r="Q40" s="1301" t="s">
        <v>921</v>
      </c>
      <c r="R40" t="s">
        <v>917</v>
      </c>
      <c r="V40" s="428" t="s">
        <v>397</v>
      </c>
      <c r="W40" s="429"/>
      <c r="X40" s="1322">
        <v>10945550</v>
      </c>
      <c r="Y40" s="1322">
        <v>2259400</v>
      </c>
      <c r="Z40" s="1322">
        <v>0</v>
      </c>
      <c r="AA40" s="1322">
        <v>0</v>
      </c>
      <c r="AB40" s="1322">
        <v>0</v>
      </c>
      <c r="AC40" s="1322">
        <v>13204950</v>
      </c>
      <c r="AW40" s="369" t="s">
        <v>142</v>
      </c>
      <c r="AX40" s="369" t="s">
        <v>48</v>
      </c>
      <c r="AY40" s="369" t="s">
        <v>49</v>
      </c>
      <c r="AZ40" s="369" t="s">
        <v>44</v>
      </c>
    </row>
    <row r="41" spans="3:52" ht="18" thickTop="1" thickBot="1">
      <c r="C41" s="1649"/>
      <c r="D41" s="1649"/>
      <c r="E41" s="1649"/>
      <c r="F41" s="65"/>
      <c r="O41" s="1569" t="s">
        <v>12</v>
      </c>
      <c r="P41" s="1301">
        <v>50000</v>
      </c>
      <c r="Q41" s="1301" t="s">
        <v>921</v>
      </c>
      <c r="R41" t="s">
        <v>917</v>
      </c>
      <c r="V41" s="433" t="s">
        <v>114</v>
      </c>
      <c r="W41" s="434"/>
      <c r="X41" s="1323">
        <v>11621514.81582169</v>
      </c>
      <c r="Y41" s="1323">
        <v>2547084.9307376216</v>
      </c>
      <c r="Z41" s="1323">
        <v>0</v>
      </c>
      <c r="AA41" s="1323">
        <v>0</v>
      </c>
      <c r="AB41" s="1323">
        <v>0</v>
      </c>
      <c r="AC41" s="1323">
        <v>14168599.746559313</v>
      </c>
      <c r="AW41" t="s">
        <v>54</v>
      </c>
      <c r="AX41">
        <v>16.899999999999999</v>
      </c>
    </row>
    <row r="42" spans="3:52" ht="18" thickTop="1" thickBot="1">
      <c r="C42" s="1649"/>
      <c r="D42" s="1649"/>
      <c r="E42" s="1649"/>
      <c r="F42" s="65"/>
      <c r="O42" s="1569" t="s">
        <v>257</v>
      </c>
      <c r="P42" s="1301">
        <v>10000</v>
      </c>
      <c r="Q42" s="1301" t="s">
        <v>921</v>
      </c>
      <c r="R42" t="s">
        <v>917</v>
      </c>
      <c r="V42" s="1319" t="s">
        <v>682</v>
      </c>
      <c r="W42" s="1320"/>
      <c r="X42" s="1321">
        <v>44698.133907006501</v>
      </c>
      <c r="Y42" s="1321">
        <v>94483.860291233257</v>
      </c>
      <c r="Z42" s="1321"/>
      <c r="AA42" s="1321"/>
      <c r="AB42" s="1321"/>
      <c r="AC42" s="1321">
        <v>139181.99419823976</v>
      </c>
      <c r="AW42" t="s">
        <v>143</v>
      </c>
      <c r="AX42">
        <v>40</v>
      </c>
      <c r="AY42" t="s">
        <v>863</v>
      </c>
      <c r="AZ42">
        <v>86</v>
      </c>
    </row>
    <row r="43" spans="3:52" ht="19.5" customHeight="1" thickTop="1" thickBot="1">
      <c r="C43" s="1649"/>
      <c r="D43" s="1649"/>
      <c r="E43" s="1649"/>
      <c r="F43" s="65"/>
      <c r="O43" s="1569" t="s">
        <v>95</v>
      </c>
      <c r="P43" s="1301"/>
      <c r="Q43" s="1301" t="s">
        <v>921</v>
      </c>
      <c r="R43" t="s">
        <v>917</v>
      </c>
      <c r="AW43" t="s">
        <v>143</v>
      </c>
      <c r="AX43">
        <v>31.1</v>
      </c>
      <c r="AY43" t="s">
        <v>864</v>
      </c>
      <c r="AZ43">
        <v>95</v>
      </c>
    </row>
    <row r="44" spans="3:52" ht="19.5" customHeight="1" thickTop="1" thickBot="1">
      <c r="C44" s="1649"/>
      <c r="D44" s="1649"/>
      <c r="E44" s="1649"/>
      <c r="AW44" t="s">
        <v>865</v>
      </c>
      <c r="AX44" t="s">
        <v>865</v>
      </c>
      <c r="AY44" t="s">
        <v>865</v>
      </c>
      <c r="AZ44" t="s">
        <v>865</v>
      </c>
    </row>
    <row r="45" spans="3:52" ht="19.5" customHeight="1" thickTop="1" thickBot="1">
      <c r="C45" s="1649"/>
      <c r="D45" s="1649"/>
      <c r="E45" s="1649"/>
      <c r="O45" s="1521" t="s">
        <v>922</v>
      </c>
      <c r="P45" s="1538" t="s">
        <v>36</v>
      </c>
      <c r="Q45" s="1538" t="s">
        <v>655</v>
      </c>
    </row>
    <row r="46" spans="3:52" ht="19.5" customHeight="1" thickTop="1" thickBot="1">
      <c r="C46" s="1649"/>
      <c r="D46" s="1649"/>
      <c r="E46" s="1649"/>
      <c r="O46" s="1569" t="s">
        <v>529</v>
      </c>
      <c r="P46" s="1301">
        <v>50</v>
      </c>
      <c r="Q46" s="1301" t="s">
        <v>141</v>
      </c>
      <c r="R46" t="s">
        <v>917</v>
      </c>
    </row>
    <row r="47" spans="3:52" ht="36" customHeight="1" thickTop="1" thickBot="1">
      <c r="C47" s="1649"/>
      <c r="D47" s="1649"/>
      <c r="E47" s="1649"/>
      <c r="O47" s="1569" t="s">
        <v>129</v>
      </c>
      <c r="P47" s="1301">
        <v>20</v>
      </c>
      <c r="Q47" s="1301" t="s">
        <v>141</v>
      </c>
      <c r="R47" t="s">
        <v>917</v>
      </c>
    </row>
    <row r="48" spans="3:52" ht="19.5" customHeight="1" thickTop="1" thickBot="1">
      <c r="C48" s="1649"/>
      <c r="D48" s="1649"/>
      <c r="E48" s="1649"/>
      <c r="O48" s="1569" t="s">
        <v>512</v>
      </c>
      <c r="P48" s="1303"/>
      <c r="Q48" s="1301" t="s">
        <v>141</v>
      </c>
      <c r="R48" t="s">
        <v>917</v>
      </c>
    </row>
    <row r="49" spans="3:18" ht="18" thickTop="1" thickBot="1">
      <c r="C49" s="1649"/>
      <c r="D49" s="1649"/>
      <c r="E49" s="1649"/>
      <c r="O49" s="1569" t="s">
        <v>513</v>
      </c>
      <c r="P49" s="1301"/>
      <c r="Q49" s="1301" t="s">
        <v>141</v>
      </c>
      <c r="R49" t="s">
        <v>917</v>
      </c>
    </row>
    <row r="50" spans="3:18" ht="15" thickTop="1">
      <c r="C50" s="1649"/>
      <c r="D50" s="1649"/>
      <c r="E50" s="1649"/>
    </row>
    <row r="51" spans="3:18" ht="14">
      <c r="C51" s="1649"/>
      <c r="D51" s="1649"/>
      <c r="E51" s="1649"/>
    </row>
    <row r="52" spans="3:18" ht="14">
      <c r="C52" s="1649"/>
      <c r="D52" s="1649"/>
      <c r="E52" s="1649"/>
    </row>
    <row r="53" spans="3:18" ht="14">
      <c r="C53" s="1649"/>
      <c r="D53" s="1649"/>
      <c r="E53" s="1649"/>
    </row>
    <row r="54" spans="3:18" ht="14">
      <c r="C54" s="1649"/>
      <c r="D54" s="1649"/>
      <c r="E54" s="1649"/>
    </row>
    <row r="55" spans="3:18" ht="14">
      <c r="C55" s="1649"/>
      <c r="D55" s="1649"/>
      <c r="E55" s="1649"/>
      <c r="F55" s="369"/>
      <c r="G55" s="369" t="s">
        <v>48</v>
      </c>
      <c r="H55" s="369" t="s">
        <v>44</v>
      </c>
    </row>
    <row r="56" spans="3:18" ht="14">
      <c r="C56" s="1649"/>
      <c r="D56" s="1649"/>
      <c r="E56" s="1649"/>
      <c r="G56">
        <v>16.899999999999999</v>
      </c>
    </row>
    <row r="57" spans="3:18" ht="14">
      <c r="C57" s="1649"/>
      <c r="D57" s="1649"/>
      <c r="E57" s="1649"/>
      <c r="G57">
        <v>40</v>
      </c>
      <c r="H57">
        <v>86</v>
      </c>
    </row>
    <row r="58" spans="3:18" ht="14">
      <c r="C58" s="1649"/>
      <c r="D58" s="1649"/>
      <c r="E58" s="1649"/>
      <c r="G58">
        <v>31.1</v>
      </c>
      <c r="H58">
        <v>95</v>
      </c>
    </row>
    <row r="59" spans="3:18" ht="14">
      <c r="C59" s="1649"/>
      <c r="D59" s="1649"/>
      <c r="E59" s="1649"/>
    </row>
    <row r="60" spans="3:18" ht="14">
      <c r="C60" s="1649"/>
      <c r="D60" s="1649"/>
      <c r="E60" s="1649"/>
    </row>
    <row r="61" spans="3:18" ht="14">
      <c r="C61" s="1649"/>
      <c r="D61" s="1649"/>
      <c r="E61" s="1649"/>
    </row>
    <row r="62" spans="3:18" ht="14">
      <c r="C62" s="1649"/>
      <c r="D62" s="1649"/>
      <c r="E62" s="1649"/>
    </row>
    <row r="63" spans="3:18" ht="14">
      <c r="C63" s="1649"/>
      <c r="D63" s="1649"/>
      <c r="E63" s="1649"/>
    </row>
    <row r="64" spans="3:18" ht="14">
      <c r="C64" s="1649"/>
      <c r="D64" s="1649"/>
      <c r="E64" s="1649"/>
    </row>
    <row r="65" spans="3:5" ht="14">
      <c r="C65" s="1649"/>
      <c r="D65" s="1649"/>
      <c r="E65" s="1649"/>
    </row>
    <row r="66" spans="3:5" ht="14">
      <c r="C66" s="1649"/>
      <c r="D66" s="1649"/>
      <c r="E66" s="1649"/>
    </row>
    <row r="67" spans="3:5" ht="14">
      <c r="C67" s="1649"/>
      <c r="D67" s="1649"/>
      <c r="E67" s="1649"/>
    </row>
    <row r="91" spans="5:5" ht="15">
      <c r="E91" s="1208"/>
    </row>
    <row r="92" spans="5:5" ht="15">
      <c r="E92" s="1054"/>
    </row>
    <row r="93" spans="5:5" ht="15">
      <c r="E93" s="1054"/>
    </row>
  </sheetData>
  <conditionalFormatting sqref="C68:E87 C8:C16 C25:E25">
    <cfRule type="expression" dxfId="74" priority="24">
      <formula>NOT(ISBLANK(C8))</formula>
    </cfRule>
  </conditionalFormatting>
  <conditionalFormatting sqref="X5:AB6">
    <cfRule type="expression" dxfId="73" priority="19">
      <formula>_xlfn.ISFORMULA(X5)</formula>
    </cfRule>
  </conditionalFormatting>
  <conditionalFormatting sqref="X9:AB13">
    <cfRule type="expression" dxfId="72" priority="212">
      <formula>"&lt;&gt;I67"</formula>
    </cfRule>
    <cfRule type="expression" dxfId="71" priority="213">
      <formula>X$6=0</formula>
    </cfRule>
  </conditionalFormatting>
  <conditionalFormatting sqref="X5:AB6">
    <cfRule type="expression" dxfId="70" priority="214">
      <formula>X$6=0</formula>
    </cfRule>
  </conditionalFormatting>
  <conditionalFormatting sqref="X27:AB28">
    <cfRule type="expression" dxfId="69" priority="11">
      <formula>_xlfn.ISFORMULA(X27)</formula>
    </cfRule>
  </conditionalFormatting>
  <conditionalFormatting sqref="X31:AB35">
    <cfRule type="expression" dxfId="68" priority="12">
      <formula>"&lt;&gt;I67"</formula>
    </cfRule>
    <cfRule type="expression" dxfId="67" priority="13">
      <formula>X$6=0</formula>
    </cfRule>
  </conditionalFormatting>
  <conditionalFormatting sqref="X27:AB28">
    <cfRule type="expression" dxfId="66" priority="14">
      <formula>X$6=0</formula>
    </cfRule>
  </conditionalFormatting>
  <conditionalFormatting sqref="X38:AB38">
    <cfRule type="expression" dxfId="65" priority="9">
      <formula>"&lt;&gt;I67"</formula>
    </cfRule>
    <cfRule type="expression" dxfId="64" priority="10">
      <formula>X$6=0</formula>
    </cfRule>
  </conditionalFormatting>
  <conditionalFormatting sqref="AI4:AJ8">
    <cfRule type="expression" dxfId="63" priority="6">
      <formula>"&lt;&gt;I67"</formula>
    </cfRule>
    <cfRule type="expression" dxfId="62" priority="7">
      <formula>X$6=0</formula>
    </cfRule>
  </conditionalFormatting>
  <conditionalFormatting sqref="AK4:AK8">
    <cfRule type="expression" dxfId="61" priority="217">
      <formula>"&lt;&gt;I67"</formula>
    </cfRule>
    <cfRule type="expression" dxfId="60" priority="218">
      <formula>Y$6=0</formula>
    </cfRule>
  </conditionalFormatting>
  <conditionalFormatting sqref="AM4:AN8">
    <cfRule type="expression" dxfId="59" priority="1">
      <formula>"&lt;&gt;I67"</formula>
    </cfRule>
    <cfRule type="expression" dxfId="58" priority="2">
      <formula>AB$6=0</formula>
    </cfRule>
  </conditionalFormatting>
  <dataValidations disablePrompts="1" count="2">
    <dataValidation type="list" allowBlank="1" showInputMessage="1" showErrorMessage="1" sqref="E19:E24" xr:uid="{6F510468-651B-9644-B471-052A45991024}">
      <formula1>list_Measures</formula1>
    </dataValidation>
    <dataValidation type="list" allowBlank="1" showInputMessage="1" showErrorMessage="1" sqref="G21:G24" xr:uid="{85C1DEE0-3715-3B43-8944-8D18AB5904C3}">
      <formula1>"Global 3%, Custom 1, Custom 2, Custom 3"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3417E-7106-4877-88C0-67EEA6ED4AA5}">
  <sheetPr codeName="Sheet23">
    <tabColor rgb="FFFFC000"/>
  </sheetPr>
  <dimension ref="B2:S34"/>
  <sheetViews>
    <sheetView showGridLines="0" topLeftCell="B2" workbookViewId="0"/>
  </sheetViews>
  <sheetFormatPr baseColWidth="10" defaultColWidth="0" defaultRowHeight="13.5" customHeight="1"/>
  <cols>
    <col min="1" max="1" width="9" hidden="1" customWidth="1"/>
    <col min="2" max="2" width="1.83203125" customWidth="1"/>
    <col min="3" max="3" width="29.1640625" customWidth="1"/>
    <col min="4" max="4" width="13.33203125" customWidth="1"/>
    <col min="5" max="5" width="3.33203125" customWidth="1"/>
    <col min="6" max="18" width="13.5" style="28" customWidth="1"/>
    <col min="19" max="19" width="9" customWidth="1"/>
    <col min="20" max="16384" width="9" hidden="1"/>
  </cols>
  <sheetData>
    <row r="2" spans="2:18" ht="20">
      <c r="B2" s="1033" t="str">
        <f>i_Project.Name</f>
        <v>Peoria Lakes</v>
      </c>
      <c r="C2" s="178"/>
      <c r="D2" s="179"/>
      <c r="E2" s="179"/>
      <c r="F2" s="1280"/>
      <c r="G2" s="1280"/>
      <c r="H2" s="1280"/>
      <c r="I2" s="1280"/>
      <c r="J2" s="1280"/>
      <c r="K2" s="1280"/>
      <c r="L2" s="1280"/>
      <c r="M2" s="1280"/>
      <c r="N2" s="1280"/>
      <c r="O2" s="1280"/>
      <c r="P2" s="1280"/>
      <c r="Q2" s="1280"/>
      <c r="R2" s="1280"/>
    </row>
    <row r="3" spans="2:18" ht="16">
      <c r="B3" s="1035" t="str">
        <f>i_Project.Location</f>
        <v>Peoria Lakes</v>
      </c>
      <c r="C3" s="180"/>
      <c r="D3" s="181"/>
      <c r="E3" s="181"/>
      <c r="F3" s="1281"/>
      <c r="G3" s="1281"/>
      <c r="H3" s="1281"/>
      <c r="I3" s="1281"/>
      <c r="J3" s="1281"/>
      <c r="K3" s="1281"/>
      <c r="L3" s="1281"/>
      <c r="M3" s="1281"/>
      <c r="N3" s="1281"/>
      <c r="O3" s="1281"/>
      <c r="P3" s="1281"/>
      <c r="Q3" s="1281"/>
      <c r="R3" s="1281"/>
    </row>
    <row r="4" spans="2:18" ht="16">
      <c r="B4" s="1035"/>
      <c r="C4" s="182"/>
      <c r="D4" s="182"/>
      <c r="E4" s="182"/>
      <c r="F4" s="1282"/>
      <c r="G4" s="1282"/>
      <c r="H4" s="1282"/>
      <c r="I4" s="1282"/>
      <c r="J4" s="1282"/>
      <c r="K4" s="1282"/>
      <c r="L4" s="1282"/>
      <c r="M4" s="1282"/>
      <c r="N4" s="1282"/>
      <c r="O4" s="1282"/>
      <c r="P4" s="1282"/>
      <c r="Q4" s="1282"/>
      <c r="R4" s="1282"/>
    </row>
    <row r="5" spans="2:18" ht="16">
      <c r="B5" s="220"/>
      <c r="C5" s="183"/>
      <c r="D5" s="183"/>
      <c r="E5" s="183"/>
    </row>
    <row r="6" spans="2:18" ht="28" customHeight="1" thickBot="1">
      <c r="B6" s="36"/>
      <c r="C6" s="185" t="s">
        <v>545</v>
      </c>
      <c r="D6" s="176"/>
      <c r="E6" s="176"/>
      <c r="F6" s="1283"/>
      <c r="G6" s="1283"/>
      <c r="H6" s="1283"/>
      <c r="I6" s="1283"/>
      <c r="J6" s="1283"/>
      <c r="K6" s="1283"/>
      <c r="L6" s="1283"/>
      <c r="M6" s="1283"/>
      <c r="N6" s="1283"/>
      <c r="O6" s="1283"/>
      <c r="P6" s="1283"/>
      <c r="Q6" s="1283"/>
      <c r="R6" s="1283"/>
    </row>
    <row r="7" spans="2:18" ht="26.25" customHeight="1" thickTop="1" thickBot="1">
      <c r="B7" s="220"/>
      <c r="C7" s="1062" t="s">
        <v>8</v>
      </c>
      <c r="D7" s="1070" t="s">
        <v>546</v>
      </c>
      <c r="E7" s="1063"/>
      <c r="F7" s="1279" t="s">
        <v>711</v>
      </c>
      <c r="G7" s="1279" t="s">
        <v>550</v>
      </c>
      <c r="H7" s="1279" t="s">
        <v>555</v>
      </c>
      <c r="I7" s="1279" t="s">
        <v>556</v>
      </c>
      <c r="J7" s="1279" t="s">
        <v>547</v>
      </c>
      <c r="K7" s="1279" t="s">
        <v>548</v>
      </c>
      <c r="L7" s="1279" t="s">
        <v>549</v>
      </c>
      <c r="M7" s="1279" t="s">
        <v>551</v>
      </c>
      <c r="N7" s="1279" t="s">
        <v>552</v>
      </c>
      <c r="O7" s="1279" t="s">
        <v>553</v>
      </c>
      <c r="P7" s="1279" t="s">
        <v>554</v>
      </c>
      <c r="Q7" s="1279" t="s">
        <v>557</v>
      </c>
      <c r="R7" s="1279" t="s">
        <v>560</v>
      </c>
    </row>
    <row r="8" spans="2:18" ht="22.5" customHeight="1" thickTop="1" thickBot="1">
      <c r="B8" s="220"/>
      <c r="C8" t="str" cm="1">
        <f t="array" ref="C8:C14">TRANSPOSE(mProject!F8:L8)</f>
        <v>Single Family Revenue</v>
      </c>
      <c r="D8" s="1063" cm="1">
        <f t="array" ref="D8:D14">TRANSPOSE(mProject!F7:L7)</f>
        <v>304583853.51286304</v>
      </c>
      <c r="E8" s="1063"/>
      <c r="F8" s="1284">
        <f>'r.CFa'!D10</f>
        <v>304583853.51286304</v>
      </c>
      <c r="G8" s="1284">
        <f ca="1">'r.CF by Phase'!E29</f>
        <v>304583853.5128631</v>
      </c>
      <c r="H8" s="1284">
        <f ca="1">'r.Project_by_Phase'!D16</f>
        <v>304583853.5128631</v>
      </c>
      <c r="I8" s="1284">
        <f ca="1">'r.Sales'!L$63</f>
        <v>304583853.5128631</v>
      </c>
      <c r="J8" s="1284"/>
      <c r="K8" s="1284"/>
      <c r="L8" s="1284"/>
      <c r="M8" s="1284"/>
      <c r="N8" s="1284"/>
      <c r="O8" s="1284"/>
      <c r="P8" s="1284"/>
      <c r="Q8" s="1284"/>
      <c r="R8" s="1284"/>
    </row>
    <row r="9" spans="2:18" ht="22.5" customHeight="1" thickTop="1" thickBot="1">
      <c r="B9" s="220"/>
      <c r="C9" s="1065" t="str">
        <v>Commercial / Multifamily Revenue</v>
      </c>
      <c r="D9" s="1071">
        <v>205139491.66679096</v>
      </c>
      <c r="E9" s="1060"/>
      <c r="F9" s="1285">
        <f>'r.CFa'!D11</f>
        <v>205139491.66679096</v>
      </c>
      <c r="G9" s="1285">
        <f ca="1">'r.CF by Phase'!E30</f>
        <v>205139491.66679096</v>
      </c>
      <c r="H9" s="1285">
        <f ca="1">'r.Project_by_Phase'!D17</f>
        <v>205139491.66679096</v>
      </c>
      <c r="I9" s="1284">
        <f ca="1">'r.Sales'!M$63</f>
        <v>205139491.66679096</v>
      </c>
      <c r="J9" s="1285"/>
      <c r="K9" s="1285"/>
      <c r="L9" s="1285"/>
      <c r="M9" s="1285"/>
      <c r="N9" s="1285"/>
      <c r="O9" s="1285"/>
      <c r="P9" s="1285"/>
      <c r="Q9" s="1285"/>
      <c r="R9" s="1285"/>
    </row>
    <row r="10" spans="2:18" ht="22.5" customHeight="1" thickTop="1">
      <c r="B10" s="220"/>
      <c r="C10" s="1066" t="str">
        <v>Less: Subd Cost</v>
      </c>
      <c r="D10" s="1067">
        <v>-167488649.64694551</v>
      </c>
      <c r="E10" s="1064"/>
      <c r="F10" s="1286">
        <f>'r.CFa'!D12</f>
        <v>-167488649.64694551</v>
      </c>
      <c r="G10" s="1286">
        <f ca="1">-'r.CF by Phase'!E24</f>
        <v>-167488649.64694551</v>
      </c>
      <c r="H10" s="1286">
        <f ca="1">'r.Project_by_Phase'!D19</f>
        <v>-167488649.64694551</v>
      </c>
      <c r="I10" s="1284">
        <f ca="1">'r.Sales'!N63</f>
        <v>-167488649.64694554</v>
      </c>
      <c r="J10" s="1286"/>
      <c r="K10" s="1286"/>
      <c r="L10" s="1286"/>
      <c r="M10" s="1286"/>
      <c r="N10" s="1286"/>
      <c r="O10" s="1286"/>
      <c r="P10" s="1286"/>
      <c r="Q10" s="1286"/>
      <c r="R10" s="1286"/>
    </row>
    <row r="11" spans="2:18" ht="22.5" customHeight="1">
      <c r="B11" s="220"/>
      <c r="C11" s="1065" t="str">
        <v>Gross Revenue</v>
      </c>
      <c r="D11" s="1072">
        <v>342234695.53270853</v>
      </c>
      <c r="E11" s="1069"/>
      <c r="F11" s="1287">
        <f>'r.CFa'!D13</f>
        <v>342234695.53270853</v>
      </c>
      <c r="G11" s="1287">
        <f ca="1">'r.CF by Phase'!E32</f>
        <v>342234695.53270853</v>
      </c>
      <c r="H11" s="1287">
        <f ca="1">'r.Project_by_Phase'!D20</f>
        <v>342234695.53270853</v>
      </c>
      <c r="I11" s="1287">
        <f ca="1">'r.Sales'!O63</f>
        <v>342234695.53270864</v>
      </c>
      <c r="J11" s="1287"/>
      <c r="K11" s="1287"/>
      <c r="L11" s="1287"/>
      <c r="M11" s="1287"/>
      <c r="N11" s="1287"/>
      <c r="O11" s="1287"/>
      <c r="P11" s="1287"/>
      <c r="Q11" s="1287"/>
      <c r="R11" s="1287"/>
    </row>
    <row r="12" spans="2:18" ht="22.5" customHeight="1">
      <c r="B12" s="220"/>
      <c r="C12" s="1066" t="str">
        <v>Less: Commissions</v>
      </c>
      <c r="D12" s="1071">
        <v>-10267040.865981257</v>
      </c>
      <c r="E12" s="1060"/>
      <c r="F12" s="1285">
        <f>'r.CFa'!D14</f>
        <v>-10267040.865981257</v>
      </c>
      <c r="G12" s="1285">
        <f ca="1">'r.CF by Phase'!E33</f>
        <v>-10267040.865981257</v>
      </c>
      <c r="H12" s="1287">
        <f ca="1">'r.Project_by_Phase'!D21</f>
        <v>-10267040.865981257</v>
      </c>
      <c r="I12" s="1287"/>
      <c r="J12" s="1287"/>
      <c r="K12" s="1287"/>
      <c r="L12" s="1287"/>
      <c r="M12" s="1287"/>
      <c r="N12" s="1287"/>
      <c r="O12" s="1287"/>
      <c r="P12" s="1287"/>
      <c r="Q12" s="1287"/>
      <c r="R12" s="1287"/>
    </row>
    <row r="13" spans="2:18" ht="22.5" customHeight="1">
      <c r="B13" s="220"/>
      <c r="C13" s="1066" t="str">
        <v>Less: Cost of Sale</v>
      </c>
      <c r="D13" s="1067">
        <v>-3422346.9553270852</v>
      </c>
      <c r="E13" s="1064"/>
      <c r="F13" s="1286">
        <f>'r.CFa'!D15</f>
        <v>-3422346.9553270852</v>
      </c>
      <c r="G13" s="1286">
        <f ca="1">'r.CF by Phase'!E34</f>
        <v>-3422346.9553270852</v>
      </c>
      <c r="H13" s="1286">
        <f ca="1">'r.Project_by_Phase'!D22</f>
        <v>-3422346.9553270852</v>
      </c>
      <c r="I13" s="1286"/>
      <c r="J13" s="1286"/>
      <c r="K13" s="1286"/>
      <c r="L13" s="1286"/>
      <c r="M13" s="1286"/>
      <c r="N13" s="1286"/>
      <c r="O13" s="1286"/>
      <c r="P13" s="1286"/>
      <c r="Q13" s="1286"/>
      <c r="R13" s="1286"/>
    </row>
    <row r="14" spans="2:18" ht="22.5" customHeight="1">
      <c r="B14" s="36"/>
      <c r="C14" s="1065" t="str">
        <v>Net Sale Revenue</v>
      </c>
      <c r="D14" s="1072">
        <v>328545307.71140021</v>
      </c>
      <c r="E14" s="1069"/>
      <c r="F14" s="1287">
        <f>'r.CFa'!D16</f>
        <v>328545307.71140021</v>
      </c>
      <c r="G14" s="1287">
        <f ca="1">'r.CF by Phase'!E35</f>
        <v>328545307.71140021</v>
      </c>
      <c r="H14" s="1287">
        <f ca="1">'r.Project_by_Phase'!D23</f>
        <v>328545307.71140015</v>
      </c>
      <c r="I14" s="1287"/>
      <c r="J14" s="1287">
        <f>mAssets!N5</f>
        <v>328545307.71140021</v>
      </c>
      <c r="K14" s="1287"/>
      <c r="L14" s="1287"/>
      <c r="M14" s="1287"/>
      <c r="N14" s="1287"/>
      <c r="O14" s="1287"/>
      <c r="P14" s="1287"/>
      <c r="Q14" s="1287"/>
      <c r="R14" s="1287"/>
    </row>
    <row r="15" spans="2:18" ht="22.5" customHeight="1">
      <c r="B15" s="220"/>
      <c r="C15" s="1066" t="s">
        <v>558</v>
      </c>
      <c r="D15" s="1071">
        <f>-i.LandAcq!H21</f>
        <v>-105000000</v>
      </c>
      <c r="E15" s="1060"/>
      <c r="F15" s="1285">
        <f>'r.CFa'!D19</f>
        <v>105000000</v>
      </c>
      <c r="G15" s="1285">
        <f>-'r.CF by Phase'!E36</f>
        <v>105000000</v>
      </c>
      <c r="H15" s="1285"/>
      <c r="I15" s="1285"/>
      <c r="J15" s="1285">
        <f>mAssets!K5</f>
        <v>105000000</v>
      </c>
      <c r="K15" s="1285"/>
      <c r="L15" s="1285">
        <f>'r.Assumptions-Static'!D16</f>
        <v>105000000</v>
      </c>
      <c r="M15" s="1285"/>
      <c r="N15" s="1285"/>
      <c r="O15" s="1285"/>
      <c r="P15" s="1285"/>
      <c r="Q15" s="1285"/>
      <c r="R15" s="1285"/>
    </row>
    <row r="16" spans="2:18" ht="22.5" customHeight="1">
      <c r="B16" s="99"/>
      <c r="C16" s="1066" t="s">
        <v>3</v>
      </c>
      <c r="D16" s="1071">
        <f>-mProject!AX7</f>
        <v>-39235624.299927793</v>
      </c>
      <c r="E16" s="1060"/>
      <c r="F16" s="1285">
        <f>'r.CFa'!D46</f>
        <v>39235624.299927838</v>
      </c>
      <c r="G16" s="1285">
        <f>'r.CF by Phase'!E23</f>
        <v>39235624.299927838</v>
      </c>
      <c r="H16" s="1285">
        <f>'r.Project_by_Phase'!D37</f>
        <v>39235624.299927838</v>
      </c>
      <c r="I16" s="1285"/>
      <c r="J16" s="1285"/>
      <c r="K16" s="1285"/>
      <c r="L16" s="1285"/>
      <c r="M16" s="1285"/>
      <c r="N16" s="1285"/>
      <c r="O16" s="1285">
        <f>'r.Gantt'!E31</f>
        <v>39235624.299927838</v>
      </c>
      <c r="P16" s="1285"/>
      <c r="Q16" s="1285">
        <f>'r.Summary'!G20</f>
        <v>39235624.299927838</v>
      </c>
      <c r="R16" s="1285">
        <f>'r.Costs'!P40</f>
        <v>0</v>
      </c>
    </row>
    <row r="17" spans="3:18" ht="22.5" customHeight="1">
      <c r="C17" s="1066" t="s">
        <v>559</v>
      </c>
      <c r="D17" s="1071">
        <f ca="1">-mProject!BD7</f>
        <v>-541140.00000000023</v>
      </c>
      <c r="E17" s="1060"/>
      <c r="F17" s="1285">
        <f ca="1">-'r.CFa'!D52</f>
        <v>-541140.00000000012</v>
      </c>
      <c r="G17" s="1285">
        <f ca="1">'r.CF by Phase'!E38</f>
        <v>-541140.00000000023</v>
      </c>
      <c r="H17" s="1285"/>
      <c r="I17" s="1285"/>
      <c r="J17" s="1285"/>
      <c r="K17" s="1285"/>
      <c r="L17" s="1285"/>
      <c r="M17" s="1285"/>
      <c r="N17" s="1285"/>
      <c r="O17" s="1285"/>
      <c r="P17" s="1285"/>
      <c r="Q17" s="1285"/>
      <c r="R17" s="1285"/>
    </row>
    <row r="18" spans="3:18" ht="22.5" customHeight="1">
      <c r="C18" s="1066" t="s">
        <v>247</v>
      </c>
      <c r="D18" s="1067">
        <f>-mProject!BL7</f>
        <v>-7322346.9553270852</v>
      </c>
      <c r="E18" s="1064"/>
      <c r="F18" s="1286">
        <f>-'r.CFa'!D60</f>
        <v>-7322346.9553270862</v>
      </c>
      <c r="G18" s="1286">
        <f>'r.CF by Phase'!E39</f>
        <v>-7322346.9553270852</v>
      </c>
      <c r="H18" s="1286"/>
      <c r="I18" s="1286"/>
      <c r="J18" s="1286"/>
      <c r="K18" s="1286"/>
      <c r="L18" s="1286"/>
      <c r="M18" s="1286"/>
      <c r="N18" s="1286"/>
      <c r="O18" s="1286"/>
      <c r="P18" s="1286"/>
      <c r="Q18" s="1286"/>
      <c r="R18" s="1286"/>
    </row>
    <row r="19" spans="3:18" ht="22.5" customHeight="1" thickBot="1">
      <c r="C19" t="s">
        <v>261</v>
      </c>
      <c r="D19" s="1057">
        <f ca="1">mProject!BP7</f>
        <v>176446196.45614529</v>
      </c>
      <c r="E19" s="1057"/>
      <c r="F19" s="1288">
        <f ca="1">'r.CFa'!D62</f>
        <v>176446196.45614529</v>
      </c>
      <c r="G19" s="1288">
        <f ca="1">'r.CF by Phase'!E40</f>
        <v>176446196.45614529</v>
      </c>
      <c r="H19" s="1288"/>
      <c r="I19" s="1288"/>
      <c r="J19" s="1288"/>
      <c r="K19" s="1288">
        <f ca="1">mWaterfall!G46</f>
        <v>176446196.45614529</v>
      </c>
      <c r="L19" s="1288">
        <f ca="1">'r.Assumptions-Static'!I34</f>
        <v>176446196.45614547</v>
      </c>
      <c r="M19" s="1288"/>
      <c r="N19" s="1288"/>
      <c r="O19" s="1288"/>
      <c r="P19" s="1288"/>
      <c r="Q19" s="1288"/>
      <c r="R19" s="1288"/>
    </row>
    <row r="20" spans="3:18" ht="22.5" customHeight="1" thickTop="1" thickBot="1">
      <c r="D20" s="1056"/>
      <c r="E20" s="1056"/>
      <c r="F20" s="1289"/>
      <c r="G20" s="1289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</row>
    <row r="21" spans="3:18" ht="22.5" customHeight="1" thickTop="1" thickBot="1">
      <c r="D21" s="1056"/>
      <c r="E21" s="1056"/>
      <c r="F21" s="1289"/>
    </row>
    <row r="22" spans="3:18" ht="22.5" customHeight="1" thickTop="1" thickBot="1">
      <c r="D22" s="1056"/>
      <c r="E22" s="1056"/>
      <c r="F22" s="1289"/>
    </row>
    <row r="23" spans="3:18" ht="22.5" customHeight="1" thickTop="1" thickBot="1">
      <c r="C23" t="str">
        <f t="shared" ref="C23:C29" si="0">C8</f>
        <v>Single Family Revenue</v>
      </c>
      <c r="D23" s="204"/>
      <c r="E23" s="1061"/>
      <c r="F23" s="96">
        <f>INT(IF(F8=0,0,ABS($D8)-ABS(F8)))</f>
        <v>0</v>
      </c>
      <c r="G23" s="96">
        <f t="shared" ref="G23:R23" ca="1" si="1">IF(G8=0,0,ABS($D8)-ABS(G8))</f>
        <v>-5.9604644775390625E-8</v>
      </c>
      <c r="H23" s="96">
        <f t="shared" ca="1" si="1"/>
        <v>-5.9604644775390625E-8</v>
      </c>
      <c r="I23" s="96">
        <f t="shared" ca="1" si="1"/>
        <v>-5.9604644775390625E-8</v>
      </c>
      <c r="J23" s="96">
        <f t="shared" si="1"/>
        <v>0</v>
      </c>
      <c r="K23" s="96">
        <f t="shared" si="1"/>
        <v>0</v>
      </c>
      <c r="L23" s="96">
        <f t="shared" si="1"/>
        <v>0</v>
      </c>
      <c r="M23" s="96">
        <f t="shared" si="1"/>
        <v>0</v>
      </c>
      <c r="N23" s="96">
        <f t="shared" si="1"/>
        <v>0</v>
      </c>
      <c r="O23" s="96">
        <f t="shared" si="1"/>
        <v>0</v>
      </c>
      <c r="P23" s="96">
        <f t="shared" si="1"/>
        <v>0</v>
      </c>
      <c r="Q23" s="96">
        <f t="shared" si="1"/>
        <v>0</v>
      </c>
      <c r="R23" s="96">
        <f t="shared" si="1"/>
        <v>0</v>
      </c>
    </row>
    <row r="24" spans="3:18" ht="22.5" customHeight="1" thickTop="1" thickBot="1">
      <c r="C24" t="str">
        <f t="shared" si="0"/>
        <v>Commercial / Multifamily Revenue</v>
      </c>
      <c r="D24" s="204"/>
      <c r="E24" s="1061"/>
      <c r="F24" s="96">
        <f t="shared" ref="F24:R34" si="2">IF(F9=0,0,ABS($D9)-ABS(F9))</f>
        <v>0</v>
      </c>
      <c r="G24" s="96">
        <f t="shared" ca="1" si="2"/>
        <v>0</v>
      </c>
      <c r="H24" s="96">
        <f t="shared" ca="1" si="2"/>
        <v>0</v>
      </c>
      <c r="I24" s="96">
        <f t="shared" ca="1" si="2"/>
        <v>0</v>
      </c>
      <c r="J24" s="96">
        <f t="shared" si="2"/>
        <v>0</v>
      </c>
      <c r="K24" s="96">
        <f t="shared" si="2"/>
        <v>0</v>
      </c>
      <c r="L24" s="96">
        <f t="shared" si="2"/>
        <v>0</v>
      </c>
      <c r="M24" s="96">
        <f t="shared" si="2"/>
        <v>0</v>
      </c>
      <c r="N24" s="96">
        <f t="shared" si="2"/>
        <v>0</v>
      </c>
      <c r="O24" s="96">
        <f t="shared" si="2"/>
        <v>0</v>
      </c>
      <c r="P24" s="96">
        <f t="shared" si="2"/>
        <v>0</v>
      </c>
      <c r="Q24" s="96">
        <f t="shared" si="2"/>
        <v>0</v>
      </c>
      <c r="R24" s="96">
        <f t="shared" si="2"/>
        <v>0</v>
      </c>
    </row>
    <row r="25" spans="3:18" ht="22.5" customHeight="1" thickTop="1" thickBot="1">
      <c r="C25" t="str">
        <f t="shared" si="0"/>
        <v>Less: Subd Cost</v>
      </c>
      <c r="D25" s="204"/>
      <c r="E25" s="1061"/>
      <c r="F25" s="96">
        <f t="shared" si="2"/>
        <v>0</v>
      </c>
      <c r="G25" s="96">
        <f t="shared" ca="1" si="2"/>
        <v>0</v>
      </c>
      <c r="H25" s="96">
        <f t="shared" ca="1" si="2"/>
        <v>0</v>
      </c>
      <c r="I25" s="96">
        <f t="shared" ca="1" si="2"/>
        <v>-2.9802322387695312E-8</v>
      </c>
      <c r="J25" s="96">
        <f t="shared" si="2"/>
        <v>0</v>
      </c>
      <c r="K25" s="96">
        <f t="shared" si="2"/>
        <v>0</v>
      </c>
      <c r="L25" s="96">
        <f t="shared" si="2"/>
        <v>0</v>
      </c>
      <c r="M25" s="96">
        <f t="shared" si="2"/>
        <v>0</v>
      </c>
      <c r="N25" s="96">
        <f t="shared" si="2"/>
        <v>0</v>
      </c>
      <c r="O25" s="96">
        <f t="shared" si="2"/>
        <v>0</v>
      </c>
      <c r="P25" s="96">
        <f t="shared" si="2"/>
        <v>0</v>
      </c>
      <c r="Q25" s="96">
        <f t="shared" si="2"/>
        <v>0</v>
      </c>
      <c r="R25" s="96">
        <f t="shared" si="2"/>
        <v>0</v>
      </c>
    </row>
    <row r="26" spans="3:18" ht="22.5" customHeight="1" thickTop="1" thickBot="1">
      <c r="C26" t="str">
        <f t="shared" si="0"/>
        <v>Gross Revenue</v>
      </c>
      <c r="D26" s="204"/>
      <c r="E26" s="1061"/>
      <c r="F26" s="96">
        <f t="shared" si="2"/>
        <v>0</v>
      </c>
      <c r="G26" s="96">
        <f t="shared" ca="1" si="2"/>
        <v>0</v>
      </c>
      <c r="H26" s="96">
        <f t="shared" ca="1" si="2"/>
        <v>0</v>
      </c>
      <c r="I26" s="96">
        <f t="shared" ca="1" si="2"/>
        <v>-1.1920928955078125E-7</v>
      </c>
      <c r="J26" s="96">
        <f t="shared" si="2"/>
        <v>0</v>
      </c>
      <c r="K26" s="96">
        <f t="shared" si="2"/>
        <v>0</v>
      </c>
      <c r="L26" s="96">
        <f t="shared" si="2"/>
        <v>0</v>
      </c>
      <c r="M26" s="96">
        <f t="shared" si="2"/>
        <v>0</v>
      </c>
      <c r="N26" s="96">
        <f t="shared" si="2"/>
        <v>0</v>
      </c>
      <c r="O26" s="96">
        <f t="shared" si="2"/>
        <v>0</v>
      </c>
      <c r="P26" s="96">
        <f t="shared" si="2"/>
        <v>0</v>
      </c>
      <c r="Q26" s="96">
        <f t="shared" si="2"/>
        <v>0</v>
      </c>
      <c r="R26" s="96">
        <f t="shared" si="2"/>
        <v>0</v>
      </c>
    </row>
    <row r="27" spans="3:18" ht="22.5" customHeight="1" thickTop="1" thickBot="1">
      <c r="C27" t="str">
        <f t="shared" si="0"/>
        <v>Less: Commissions</v>
      </c>
      <c r="D27" s="204"/>
      <c r="E27" s="1061"/>
      <c r="F27" s="96">
        <f t="shared" si="2"/>
        <v>0</v>
      </c>
      <c r="G27" s="96">
        <f t="shared" ca="1" si="2"/>
        <v>0</v>
      </c>
      <c r="H27" s="96">
        <f t="shared" ca="1" si="2"/>
        <v>0</v>
      </c>
      <c r="I27" s="96">
        <f t="shared" si="2"/>
        <v>0</v>
      </c>
      <c r="J27" s="96">
        <f t="shared" si="2"/>
        <v>0</v>
      </c>
      <c r="K27" s="96">
        <f t="shared" si="2"/>
        <v>0</v>
      </c>
      <c r="L27" s="96">
        <f t="shared" si="2"/>
        <v>0</v>
      </c>
      <c r="M27" s="96">
        <f t="shared" si="2"/>
        <v>0</v>
      </c>
      <c r="N27" s="96">
        <f t="shared" si="2"/>
        <v>0</v>
      </c>
      <c r="O27" s="96">
        <f t="shared" si="2"/>
        <v>0</v>
      </c>
      <c r="P27" s="96">
        <f t="shared" si="2"/>
        <v>0</v>
      </c>
      <c r="Q27" s="96">
        <f t="shared" si="2"/>
        <v>0</v>
      </c>
      <c r="R27" s="96">
        <f t="shared" si="2"/>
        <v>0</v>
      </c>
    </row>
    <row r="28" spans="3:18" ht="22.5" customHeight="1" thickTop="1" thickBot="1">
      <c r="C28" t="str">
        <f t="shared" si="0"/>
        <v>Less: Cost of Sale</v>
      </c>
      <c r="D28" s="204"/>
      <c r="E28" s="1061"/>
      <c r="F28" s="96">
        <f t="shared" si="2"/>
        <v>0</v>
      </c>
      <c r="G28" s="96">
        <f t="shared" ca="1" si="2"/>
        <v>0</v>
      </c>
      <c r="H28" s="96">
        <f t="shared" ca="1" si="2"/>
        <v>0</v>
      </c>
      <c r="I28" s="96">
        <f t="shared" si="2"/>
        <v>0</v>
      </c>
      <c r="J28" s="96">
        <f t="shared" si="2"/>
        <v>0</v>
      </c>
      <c r="K28" s="96">
        <f t="shared" si="2"/>
        <v>0</v>
      </c>
      <c r="L28" s="96">
        <f t="shared" si="2"/>
        <v>0</v>
      </c>
      <c r="M28" s="96">
        <f t="shared" si="2"/>
        <v>0</v>
      </c>
      <c r="N28" s="96">
        <f t="shared" si="2"/>
        <v>0</v>
      </c>
      <c r="O28" s="96">
        <f t="shared" si="2"/>
        <v>0</v>
      </c>
      <c r="P28" s="96">
        <f t="shared" si="2"/>
        <v>0</v>
      </c>
      <c r="Q28" s="96">
        <f t="shared" si="2"/>
        <v>0</v>
      </c>
      <c r="R28" s="96">
        <f t="shared" si="2"/>
        <v>0</v>
      </c>
    </row>
    <row r="29" spans="3:18" ht="22.5" customHeight="1" thickTop="1" thickBot="1">
      <c r="C29" t="str">
        <f t="shared" si="0"/>
        <v>Net Sale Revenue</v>
      </c>
      <c r="D29" s="204"/>
      <c r="E29" s="1061"/>
      <c r="F29" s="96">
        <f t="shared" si="2"/>
        <v>0</v>
      </c>
      <c r="G29" s="96">
        <f t="shared" ca="1" si="2"/>
        <v>0</v>
      </c>
      <c r="H29" s="96">
        <f t="shared" ca="1" si="2"/>
        <v>5.9604644775390625E-8</v>
      </c>
      <c r="I29" s="96">
        <f t="shared" si="2"/>
        <v>0</v>
      </c>
      <c r="J29" s="96">
        <f t="shared" si="2"/>
        <v>0</v>
      </c>
      <c r="K29" s="96">
        <f t="shared" si="2"/>
        <v>0</v>
      </c>
      <c r="L29" s="96">
        <f t="shared" si="2"/>
        <v>0</v>
      </c>
      <c r="M29" s="96">
        <f t="shared" si="2"/>
        <v>0</v>
      </c>
      <c r="N29" s="96">
        <f t="shared" si="2"/>
        <v>0</v>
      </c>
      <c r="O29" s="96">
        <f t="shared" si="2"/>
        <v>0</v>
      </c>
      <c r="P29" s="96">
        <f t="shared" si="2"/>
        <v>0</v>
      </c>
      <c r="Q29" s="96">
        <f t="shared" si="2"/>
        <v>0</v>
      </c>
      <c r="R29" s="96">
        <f t="shared" si="2"/>
        <v>0</v>
      </c>
    </row>
    <row r="30" spans="3:18" ht="22.5" customHeight="1" thickTop="1" thickBot="1">
      <c r="C30" t="str">
        <f>C15</f>
        <v>Land Cost</v>
      </c>
      <c r="D30" s="204"/>
      <c r="E30" s="1061"/>
      <c r="F30" s="96">
        <f t="shared" si="2"/>
        <v>0</v>
      </c>
      <c r="G30" s="96">
        <f t="shared" si="2"/>
        <v>0</v>
      </c>
      <c r="H30" s="96">
        <f t="shared" si="2"/>
        <v>0</v>
      </c>
      <c r="I30" s="96">
        <f t="shared" si="2"/>
        <v>0</v>
      </c>
      <c r="J30" s="96">
        <f t="shared" si="2"/>
        <v>0</v>
      </c>
      <c r="K30" s="96">
        <f t="shared" si="2"/>
        <v>0</v>
      </c>
      <c r="L30" s="96">
        <f t="shared" si="2"/>
        <v>0</v>
      </c>
      <c r="M30" s="96">
        <f t="shared" si="2"/>
        <v>0</v>
      </c>
      <c r="N30" s="96">
        <f t="shared" si="2"/>
        <v>0</v>
      </c>
      <c r="O30" s="96">
        <f t="shared" si="2"/>
        <v>0</v>
      </c>
      <c r="P30" s="96">
        <f t="shared" si="2"/>
        <v>0</v>
      </c>
      <c r="Q30" s="96">
        <f t="shared" si="2"/>
        <v>0</v>
      </c>
      <c r="R30" s="96">
        <f t="shared" si="2"/>
        <v>0</v>
      </c>
    </row>
    <row r="31" spans="3:18" ht="22.5" customHeight="1" thickTop="1" thickBot="1">
      <c r="C31" t="str">
        <f>C16</f>
        <v>Project Costs</v>
      </c>
      <c r="D31" s="204"/>
      <c r="E31" s="1061"/>
      <c r="F31" s="96">
        <f t="shared" si="2"/>
        <v>-4.4703483581542969E-8</v>
      </c>
      <c r="G31" s="96">
        <f t="shared" si="2"/>
        <v>-4.4703483581542969E-8</v>
      </c>
      <c r="H31" s="96">
        <f t="shared" si="2"/>
        <v>-4.4703483581542969E-8</v>
      </c>
      <c r="I31" s="96">
        <f t="shared" si="2"/>
        <v>0</v>
      </c>
      <c r="J31" s="96">
        <f t="shared" si="2"/>
        <v>0</v>
      </c>
      <c r="K31" s="96">
        <f t="shared" si="2"/>
        <v>0</v>
      </c>
      <c r="L31" s="96">
        <f t="shared" si="2"/>
        <v>0</v>
      </c>
      <c r="M31" s="96">
        <f t="shared" si="2"/>
        <v>0</v>
      </c>
      <c r="N31" s="96">
        <f t="shared" si="2"/>
        <v>0</v>
      </c>
      <c r="O31" s="96">
        <f t="shared" si="2"/>
        <v>-4.4703483581542969E-8</v>
      </c>
      <c r="P31" s="96">
        <f t="shared" si="2"/>
        <v>0</v>
      </c>
      <c r="Q31" s="96">
        <f t="shared" si="2"/>
        <v>-4.4703483581542969E-8</v>
      </c>
      <c r="R31" s="96">
        <f t="shared" si="2"/>
        <v>0</v>
      </c>
    </row>
    <row r="32" spans="3:18" ht="22.5" customHeight="1" thickTop="1" thickBot="1">
      <c r="C32" t="str">
        <f>C17</f>
        <v>Carry Costs</v>
      </c>
      <c r="D32" s="204"/>
      <c r="E32" s="1061"/>
      <c r="F32" s="96">
        <f t="shared" ca="1" si="2"/>
        <v>1.1641532182693481E-10</v>
      </c>
      <c r="G32" s="96">
        <f t="shared" ca="1" si="2"/>
        <v>0</v>
      </c>
      <c r="H32" s="96">
        <f t="shared" si="2"/>
        <v>0</v>
      </c>
      <c r="I32" s="96">
        <f t="shared" si="2"/>
        <v>0</v>
      </c>
      <c r="J32" s="96">
        <f t="shared" si="2"/>
        <v>0</v>
      </c>
      <c r="K32" s="96">
        <f t="shared" si="2"/>
        <v>0</v>
      </c>
      <c r="L32" s="96">
        <f t="shared" si="2"/>
        <v>0</v>
      </c>
      <c r="M32" s="96">
        <f t="shared" si="2"/>
        <v>0</v>
      </c>
      <c r="N32" s="96">
        <f t="shared" si="2"/>
        <v>0</v>
      </c>
      <c r="O32" s="96">
        <f t="shared" si="2"/>
        <v>0</v>
      </c>
      <c r="P32" s="96">
        <f t="shared" si="2"/>
        <v>0</v>
      </c>
      <c r="Q32" s="96">
        <f t="shared" si="2"/>
        <v>0</v>
      </c>
      <c r="R32" s="96">
        <f t="shared" si="2"/>
        <v>0</v>
      </c>
    </row>
    <row r="33" spans="3:18" ht="22.5" customHeight="1" thickTop="1" thickBot="1">
      <c r="C33" t="str">
        <f>C18</f>
        <v>Overhead</v>
      </c>
      <c r="D33" s="204"/>
      <c r="E33" s="1061"/>
      <c r="F33" s="96">
        <f t="shared" si="2"/>
        <v>-9.3132257461547852E-10</v>
      </c>
      <c r="G33" s="96">
        <f t="shared" si="2"/>
        <v>0</v>
      </c>
      <c r="H33" s="96">
        <f t="shared" si="2"/>
        <v>0</v>
      </c>
      <c r="I33" s="96">
        <f t="shared" si="2"/>
        <v>0</v>
      </c>
      <c r="J33" s="96">
        <f t="shared" si="2"/>
        <v>0</v>
      </c>
      <c r="K33" s="96">
        <f t="shared" si="2"/>
        <v>0</v>
      </c>
      <c r="L33" s="96">
        <f t="shared" si="2"/>
        <v>0</v>
      </c>
      <c r="M33" s="96">
        <f t="shared" si="2"/>
        <v>0</v>
      </c>
      <c r="N33" s="96">
        <f t="shared" si="2"/>
        <v>0</v>
      </c>
      <c r="O33" s="96">
        <f t="shared" si="2"/>
        <v>0</v>
      </c>
      <c r="P33" s="96">
        <f t="shared" si="2"/>
        <v>0</v>
      </c>
      <c r="Q33" s="96">
        <f t="shared" si="2"/>
        <v>0</v>
      </c>
      <c r="R33" s="96">
        <f t="shared" si="2"/>
        <v>0</v>
      </c>
    </row>
    <row r="34" spans="3:18" ht="22.5" customHeight="1" thickTop="1" thickBot="1">
      <c r="C34" t="str">
        <f>C19</f>
        <v>Net Project Income</v>
      </c>
      <c r="D34" s="204"/>
      <c r="E34" s="1061"/>
      <c r="F34" s="96">
        <f t="shared" ca="1" si="2"/>
        <v>0</v>
      </c>
      <c r="G34" s="96">
        <f t="shared" ca="1" si="2"/>
        <v>0</v>
      </c>
      <c r="H34" s="96">
        <f t="shared" si="2"/>
        <v>0</v>
      </c>
      <c r="I34" s="96">
        <f t="shared" si="2"/>
        <v>0</v>
      </c>
      <c r="J34" s="96">
        <f t="shared" si="2"/>
        <v>0</v>
      </c>
      <c r="K34" s="96">
        <f t="shared" ca="1" si="2"/>
        <v>0</v>
      </c>
      <c r="L34" s="96">
        <f t="shared" ca="1" si="2"/>
        <v>-1.7881393432617188E-7</v>
      </c>
      <c r="M34" s="96">
        <f t="shared" si="2"/>
        <v>0</v>
      </c>
      <c r="N34" s="96">
        <f t="shared" si="2"/>
        <v>0</v>
      </c>
      <c r="O34" s="96">
        <f t="shared" si="2"/>
        <v>0</v>
      </c>
      <c r="P34" s="96">
        <f t="shared" si="2"/>
        <v>0</v>
      </c>
      <c r="Q34" s="96">
        <f t="shared" si="2"/>
        <v>0</v>
      </c>
      <c r="R34" s="96">
        <f t="shared" si="2"/>
        <v>0</v>
      </c>
    </row>
  </sheetData>
  <conditionalFormatting sqref="H14:R19 H8:R12">
    <cfRule type="expression" dxfId="57" priority="178">
      <formula>AND(H8&lt;&gt;0, ABS(H8)&lt;&gt;ABS($D8))</formula>
    </cfRule>
  </conditionalFormatting>
  <hyperlinks>
    <hyperlink ref="J7" location="'mAssets'!A1" display="mAssets" xr:uid="{1559E0BE-77B2-49FB-A77C-82480953B257}"/>
    <hyperlink ref="K7" location="'mWaterfall'!A1" display="mWaterfall" xr:uid="{60725CDC-2838-4709-9142-AFEA2D2798AA}"/>
    <hyperlink ref="L7" location="'r.Assumptions-Static'!A1" display="r.Assumptions-Static" xr:uid="{1D06D83F-83B3-484C-99E8-2C389AFBC651}"/>
    <hyperlink ref="G7" location="'r.CF by Phase'!A1" display="r.CF by Phase" xr:uid="{F8A7013C-9C11-433B-AD1F-8AA5429F9C7D}"/>
    <hyperlink ref="M7" location="'r.CFm'!A1" display="r.CFm" xr:uid="{9390F95C-52D3-4DE5-AB7D-B15C2CD1C60B}"/>
    <hyperlink ref="O7" location="'r.Gantt'!A1" display="r.Gantt" xr:uid="{0CBD5510-C578-4E39-B4A6-740BA1596EF5}"/>
    <hyperlink ref="P7" location="'r.Inventory'!A1" display="r.Inventory" xr:uid="{446F8659-6939-414C-86E6-9FCD4062BBE7}"/>
    <hyperlink ref="H7" location="'r.Project_by_Phase'!A1" display="r.Project_by_Phase" xr:uid="{A4E60F1B-2239-4B24-A97D-34B3BF3A240D}"/>
    <hyperlink ref="I7" location="'r.Sales'!A1" display="r.Sales" xr:uid="{DD868FAB-3645-4CD5-9CF2-11F338A60917}"/>
    <hyperlink ref="Q7" location="'r.Summary'!A1" display="r.Summary" xr:uid="{D7794DF4-1817-4608-B212-A678EDB3458B}"/>
    <hyperlink ref="N7" location="'r.Demand'!A1" display="r.Demand" xr:uid="{104C0C98-EC6E-43DD-BA72-51C02E2CABC1}"/>
    <hyperlink ref="F7" location="'r.CF Annual'!A1" display="r.CF Annual" xr:uid="{7E1B34E2-4555-46B5-9DD6-4479D401642F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30DD6-C443-4455-BC02-D802346FF400}">
  <sheetPr codeName="Sheet27">
    <tabColor rgb="FF3DFD9D"/>
  </sheetPr>
  <dimension ref="A1:AJ53"/>
  <sheetViews>
    <sheetView showGridLines="0" topLeftCell="B1" zoomScaleNormal="100" workbookViewId="0">
      <pane ySplit="4" topLeftCell="A14" activePane="bottomLeft" state="frozen"/>
      <selection activeCell="B2" sqref="B2"/>
      <selection pane="bottomLeft" activeCell="C13" sqref="C13:E42"/>
    </sheetView>
  </sheetViews>
  <sheetFormatPr baseColWidth="10" defaultColWidth="0" defaultRowHeight="0" customHeight="1" zeroHeight="1"/>
  <cols>
    <col min="1" max="1" width="9" hidden="1" customWidth="1"/>
    <col min="2" max="2" width="2" customWidth="1"/>
    <col min="3" max="3" width="34.33203125" customWidth="1"/>
    <col min="4" max="5" width="12.5" customWidth="1"/>
    <col min="6" max="6" width="43.5" style="1464" hidden="1" customWidth="1"/>
    <col min="7" max="7" width="5.5" customWidth="1"/>
    <col min="8" max="8" width="26.83203125" style="1295" customWidth="1"/>
    <col min="9" max="9" width="12" style="1295" customWidth="1"/>
    <col min="10" max="10" width="16.5" style="1295" customWidth="1"/>
    <col min="11" max="11" width="15.83203125" style="1295" customWidth="1"/>
    <col min="12" max="12" width="10.83203125" style="1295" customWidth="1"/>
    <col min="13" max="13" width="4.5" style="1295" customWidth="1"/>
    <col min="14" max="14" width="20.6640625" style="1295" customWidth="1"/>
    <col min="15" max="16" width="12.5" style="1295" customWidth="1"/>
    <col min="17" max="18" width="13.33203125" style="1295" customWidth="1"/>
    <col min="19" max="19" width="38.6640625" hidden="1" customWidth="1"/>
    <col min="20" max="20" width="5.5" style="1295" customWidth="1"/>
    <col min="21" max="21" width="35" style="1295" customWidth="1"/>
    <col min="22" max="22" width="14.6640625" style="1295" customWidth="1"/>
    <col min="23" max="23" width="5.5" style="1295" customWidth="1"/>
    <col min="24" max="24" width="10" style="1295" hidden="1" customWidth="1"/>
    <col min="25" max="25" width="9.83203125" style="1295" hidden="1" customWidth="1"/>
    <col min="26" max="26" width="8.33203125" style="1295" hidden="1" customWidth="1"/>
    <col min="27" max="27" width="9.5" style="1295" hidden="1" customWidth="1"/>
    <col min="28" max="28" width="12.5" style="1295" hidden="1" customWidth="1"/>
    <col min="29" max="29" width="12.33203125" style="1295" hidden="1" customWidth="1"/>
    <col min="30" max="30" width="5" hidden="1" customWidth="1"/>
    <col min="31" max="31" width="9" hidden="1" customWidth="1"/>
    <col min="32" max="36" width="12.33203125" hidden="1" customWidth="1"/>
    <col min="37" max="16384" width="9" hidden="1"/>
  </cols>
  <sheetData>
    <row r="1" spans="1:30" ht="16" hidden="1" customHeight="1">
      <c r="A1" s="160"/>
      <c r="B1" s="162"/>
      <c r="C1" s="177"/>
      <c r="D1" s="979"/>
      <c r="E1" s="162"/>
      <c r="F1" s="1603"/>
      <c r="G1" s="160"/>
      <c r="H1" s="1604"/>
      <c r="I1" s="1604"/>
      <c r="J1" s="1604"/>
      <c r="K1" s="1604"/>
      <c r="L1" s="1604"/>
      <c r="M1" s="1604"/>
      <c r="N1" s="1604"/>
      <c r="O1" s="1604"/>
      <c r="P1" s="1604"/>
      <c r="Q1" s="1604"/>
      <c r="R1" s="1604"/>
      <c r="S1" s="160"/>
      <c r="T1" s="1604"/>
      <c r="U1" s="1604"/>
      <c r="V1" s="1604"/>
      <c r="W1" s="1604"/>
      <c r="X1" s="1604"/>
      <c r="Y1" s="1604"/>
      <c r="Z1" s="1604"/>
      <c r="AA1" s="1604"/>
      <c r="AB1" s="1604"/>
      <c r="AC1" s="1604"/>
    </row>
    <row r="2" spans="1:30" ht="20">
      <c r="A2" s="202"/>
      <c r="B2" s="31" t="str">
        <f>i_Project.Name</f>
        <v>Peoria Lakes</v>
      </c>
      <c r="C2" s="178"/>
      <c r="D2" s="980"/>
      <c r="E2" s="169"/>
      <c r="F2" s="1605"/>
      <c r="G2" s="169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169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t="16">
      <c r="A3" s="202"/>
      <c r="B3" s="32" t="str">
        <f>i_Project.Location</f>
        <v>Peoria Lakes</v>
      </c>
      <c r="C3" s="180"/>
      <c r="D3" s="981"/>
      <c r="E3" s="981"/>
      <c r="F3" s="740"/>
      <c r="G3" s="981"/>
      <c r="H3" s="1606"/>
      <c r="I3" s="33"/>
      <c r="J3" s="33"/>
      <c r="K3" s="33"/>
      <c r="L3" s="33"/>
      <c r="M3" s="33"/>
      <c r="N3" s="33"/>
      <c r="O3" s="33"/>
      <c r="P3" s="33"/>
      <c r="Q3" s="33"/>
      <c r="R3" s="33"/>
      <c r="S3" s="981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</row>
    <row r="4" spans="1:30" ht="16">
      <c r="A4" s="202"/>
      <c r="B4" s="163"/>
      <c r="C4" s="182"/>
      <c r="D4" s="982"/>
      <c r="E4" s="163"/>
      <c r="F4" s="1607"/>
      <c r="G4" s="163"/>
      <c r="H4" s="1608"/>
      <c r="I4" s="1608"/>
      <c r="J4" s="1608"/>
      <c r="K4" s="1608"/>
      <c r="L4" s="1608"/>
      <c r="M4" s="1608"/>
      <c r="N4" s="1608"/>
      <c r="O4" s="1608"/>
      <c r="P4" s="1608"/>
      <c r="Q4" s="1608"/>
      <c r="R4" s="1608"/>
      <c r="S4" s="163"/>
      <c r="T4" s="1608"/>
      <c r="U4" s="1608"/>
      <c r="V4" s="1608"/>
      <c r="W4" s="1608"/>
      <c r="X4" s="1608"/>
      <c r="Y4" s="1608"/>
      <c r="Z4" s="1608"/>
      <c r="AA4" s="1608"/>
      <c r="AB4" s="1608"/>
      <c r="AC4" s="1608"/>
      <c r="AD4" s="1608"/>
    </row>
    <row r="5" spans="1:30" ht="17" thickBot="1">
      <c r="A5" s="202"/>
      <c r="B5" s="160"/>
      <c r="C5" s="183"/>
      <c r="D5" s="983"/>
      <c r="E5" s="160"/>
      <c r="F5" s="1603"/>
      <c r="G5" s="160"/>
      <c r="H5" s="1604"/>
      <c r="I5" s="1604"/>
      <c r="J5" s="1604"/>
      <c r="K5" s="1604"/>
      <c r="L5" s="1604"/>
      <c r="M5" s="1604"/>
      <c r="N5" s="1604"/>
      <c r="O5" s="1604"/>
      <c r="P5" s="1604"/>
      <c r="Q5" s="1604"/>
      <c r="R5" s="1604"/>
      <c r="S5" s="160"/>
      <c r="T5" s="1604"/>
      <c r="U5" s="1604"/>
      <c r="V5" s="1604"/>
      <c r="W5" s="1604"/>
      <c r="X5" s="1604"/>
      <c r="Y5" s="1604"/>
      <c r="Z5" s="1604"/>
      <c r="AA5" s="1604"/>
      <c r="AB5" s="1604"/>
      <c r="AC5" s="1604"/>
    </row>
    <row r="6" spans="1:30" ht="30" customHeight="1" thickTop="1" thickBot="1">
      <c r="A6" s="203"/>
      <c r="B6" s="160"/>
      <c r="C6" s="1094" t="s">
        <v>256</v>
      </c>
      <c r="D6" s="1095"/>
      <c r="E6" s="1095"/>
      <c r="F6" s="1609" t="s">
        <v>517</v>
      </c>
      <c r="G6" s="220"/>
      <c r="H6" s="1094" t="s">
        <v>707</v>
      </c>
      <c r="I6" s="1095"/>
      <c r="J6" s="1610" t="str">
        <f ca="1">IF(SUM(CHECKS!F23:R34)&lt;1,"OK","Incomplete")</f>
        <v>OK</v>
      </c>
      <c r="K6" s="1095"/>
      <c r="L6" s="1095"/>
      <c r="N6" s="1611" t="s">
        <v>379</v>
      </c>
      <c r="O6" s="1518"/>
      <c r="P6" s="1518"/>
      <c r="Q6" s="1518"/>
      <c r="R6" s="1519"/>
      <c r="S6" s="1609" t="s">
        <v>517</v>
      </c>
      <c r="U6" s="1520" t="s">
        <v>571</v>
      </c>
      <c r="V6" s="1518"/>
      <c r="X6" s="1520" t="s">
        <v>575</v>
      </c>
      <c r="Y6" s="1518"/>
      <c r="Z6" s="1518"/>
      <c r="AA6" s="1518"/>
      <c r="AB6" s="1518"/>
      <c r="AC6" s="1518"/>
    </row>
    <row r="7" spans="1:30" ht="24" customHeight="1" thickTop="1" thickBot="1">
      <c r="A7" s="203"/>
      <c r="B7" s="160"/>
      <c r="C7" s="1521" t="s">
        <v>63</v>
      </c>
      <c r="D7" s="1612"/>
      <c r="E7" s="1612"/>
      <c r="F7" s="1613"/>
      <c r="G7" s="220"/>
      <c r="H7" s="1522" t="s">
        <v>708</v>
      </c>
      <c r="I7" s="1614"/>
      <c r="J7" s="1612"/>
      <c r="K7" s="1612"/>
      <c r="L7" s="1612"/>
      <c r="N7" s="1522" t="s">
        <v>387</v>
      </c>
      <c r="O7" s="1523"/>
      <c r="P7" s="1615" t="s">
        <v>363</v>
      </c>
      <c r="Q7" s="1615" t="s">
        <v>362</v>
      </c>
      <c r="R7" s="1616" t="s">
        <v>1</v>
      </c>
      <c r="S7" s="1613"/>
      <c r="U7" s="1524" t="s">
        <v>572</v>
      </c>
      <c r="V7" s="1525"/>
      <c r="X7" s="1617" t="s">
        <v>443</v>
      </c>
      <c r="Y7" s="1618"/>
      <c r="Z7" s="1618"/>
      <c r="AA7" s="1618"/>
      <c r="AB7" s="1618"/>
      <c r="AC7" s="1618"/>
    </row>
    <row r="8" spans="1:30" ht="24" customHeight="1" thickTop="1" thickBot="1">
      <c r="A8" s="160"/>
      <c r="B8" s="160"/>
      <c r="C8" s="1569" t="s">
        <v>22</v>
      </c>
      <c r="D8" s="1369" t="s">
        <v>608</v>
      </c>
      <c r="E8" s="1210"/>
      <c r="F8" s="1619"/>
      <c r="G8" s="220"/>
      <c r="H8" s="1658" t="s">
        <v>703</v>
      </c>
      <c r="I8" s="1539"/>
      <c r="J8" s="1659">
        <f>i_Project.Acres</f>
        <v>1500</v>
      </c>
      <c r="K8" s="1620"/>
      <c r="L8" s="1621"/>
      <c r="N8" s="1622" t="s">
        <v>338</v>
      </c>
      <c r="O8" s="1623"/>
      <c r="P8" s="1296">
        <v>0.05</v>
      </c>
      <c r="Q8" s="1527" cm="1">
        <f t="array" ref="Q8">c_equity.LPshare</f>
        <v>0.95</v>
      </c>
      <c r="R8" s="1527">
        <f>i_equity.GPshare+Q8</f>
        <v>1</v>
      </c>
      <c r="S8" s="1619"/>
      <c r="U8" s="1528" t="s">
        <v>490</v>
      </c>
      <c r="V8" s="1529">
        <f>mProject!F7</f>
        <v>304583853.51286304</v>
      </c>
      <c r="X8" s="1624" t="s">
        <v>37</v>
      </c>
      <c r="Y8" s="1624" t="s">
        <v>117</v>
      </c>
      <c r="Z8" s="1624" t="s">
        <v>67</v>
      </c>
      <c r="AA8" s="1624" t="s">
        <v>48</v>
      </c>
      <c r="AB8" s="1624" t="s">
        <v>44</v>
      </c>
      <c r="AC8" s="1624" t="s">
        <v>93</v>
      </c>
    </row>
    <row r="9" spans="1:30" ht="24" customHeight="1" thickTop="1" thickBot="1">
      <c r="A9" s="160"/>
      <c r="B9" s="160"/>
      <c r="C9" s="1655" t="s">
        <v>26</v>
      </c>
      <c r="D9" s="1370" t="s">
        <v>14</v>
      </c>
      <c r="E9" s="1211"/>
      <c r="F9" s="1619"/>
      <c r="G9" s="220"/>
      <c r="H9" s="1658" t="s">
        <v>705</v>
      </c>
      <c r="I9" s="1539"/>
      <c r="J9" s="1659">
        <f>i.LandAcq!H21</f>
        <v>105000000</v>
      </c>
      <c r="K9" s="1625"/>
      <c r="L9" s="1626"/>
      <c r="N9" s="1622" t="s">
        <v>487</v>
      </c>
      <c r="O9" s="1623"/>
      <c r="P9" s="1627">
        <f ca="1">IFERROR(mWaterfall!H12,"Incompl")</f>
        <v>7323535.1313112043</v>
      </c>
      <c r="Q9" s="1627">
        <f ca="1">IFERROR(mWaterfall!I12,"Incompl")</f>
        <v>139147167.49491286</v>
      </c>
      <c r="R9" s="1627">
        <f ca="1">IFERROR(mWaterfall!J12,"Incompl")</f>
        <v>146470702.62622407</v>
      </c>
      <c r="S9" s="1619"/>
      <c r="U9" s="1528" t="s">
        <v>491</v>
      </c>
      <c r="V9" s="1529">
        <f>mProject!G7</f>
        <v>205139491.66679096</v>
      </c>
      <c r="X9" s="1531" cm="1">
        <f t="array" ref="X9:X12">IFERROR(_xlfn.ANCHORARRAY(i.Planning!U8),"")</f>
        <v>1</v>
      </c>
      <c r="Y9" s="1531" cm="1">
        <f t="array" ref="Y9">IF(X9="","",COUNTA(_xlfn.UNIQUE(_xlfn._xlws.FILTER(tbl_Planning[Phase],tbl_Planning[Area]=X9))))</f>
        <v>2</v>
      </c>
      <c r="Z9" s="1531">
        <f>IF(Y9="","",COUNTIF(tbl_Planning[Area],X9))</f>
        <v>10</v>
      </c>
      <c r="AA9" s="1531" cm="1">
        <f t="array" ref="AA9:AA12">IF(X9="","",_xlfn.ANCHORARRAY(i.Planning!X8))</f>
        <v>251</v>
      </c>
      <c r="AB9" s="1531" cm="1">
        <f t="array" ref="AB9:AB12">IF(X9="","",_xlfn.ANCHORARRAY(i.Planning!Y8))</f>
        <v>1111</v>
      </c>
      <c r="AC9" s="1532">
        <f t="shared" ref="AC9:AC22" si="0">IFERROR(AB9/AA9,"")</f>
        <v>4.4262948207171311</v>
      </c>
    </row>
    <row r="10" spans="1:30" ht="24" customHeight="1" thickTop="1" thickBot="1">
      <c r="A10" s="160"/>
      <c r="B10" s="160"/>
      <c r="C10" s="1569" t="s">
        <v>28</v>
      </c>
      <c r="D10" s="1369" t="s">
        <v>608</v>
      </c>
      <c r="E10" s="1210"/>
      <c r="F10" s="1619"/>
      <c r="G10" s="220"/>
      <c r="H10" s="1658" t="s">
        <v>705</v>
      </c>
      <c r="I10" s="1539"/>
      <c r="J10" s="1660">
        <f>i.LandAcq!G21</f>
        <v>70000</v>
      </c>
      <c r="K10" s="1625"/>
      <c r="L10" s="1626"/>
      <c r="S10" s="1295"/>
      <c r="U10" s="1528" t="s">
        <v>492</v>
      </c>
      <c r="V10" s="1529">
        <f ca="1">IFERROR(mWaterfall!I12,"Incompl")</f>
        <v>139147167.49491286</v>
      </c>
      <c r="X10" s="1531">
        <v>2</v>
      </c>
      <c r="Y10" s="1531" cm="1">
        <f t="array" ref="Y10">IF(X10="","",COUNTA(_xlfn.UNIQUE(_xlfn._xlws.FILTER(tbl_Planning[Phase],tbl_Planning[Area]=X10))))</f>
        <v>2</v>
      </c>
      <c r="Z10" s="1531">
        <f>IF(Y10="","",COUNTIF(tbl_Planning[Area],X10))</f>
        <v>16</v>
      </c>
      <c r="AA10" s="1531">
        <v>383</v>
      </c>
      <c r="AB10" s="1531">
        <v>1757</v>
      </c>
      <c r="AC10" s="1532">
        <f t="shared" si="0"/>
        <v>4.5874673629242819</v>
      </c>
    </row>
    <row r="11" spans="1:30" ht="24" customHeight="1" thickTop="1" thickBot="1">
      <c r="A11" s="160"/>
      <c r="B11" s="160"/>
      <c r="C11" s="1569" t="s">
        <v>40</v>
      </c>
      <c r="D11" s="1368">
        <v>45292</v>
      </c>
      <c r="E11" s="1212"/>
      <c r="F11" s="1619" t="s">
        <v>741</v>
      </c>
      <c r="G11" s="220"/>
      <c r="H11" s="1658" t="s">
        <v>704</v>
      </c>
      <c r="I11" s="1539"/>
      <c r="J11" s="1661">
        <f ca="1">P31</f>
        <v>0.36349046826362619</v>
      </c>
      <c r="K11" s="1628"/>
      <c r="L11" s="1629"/>
      <c r="N11" s="1522" t="s">
        <v>380</v>
      </c>
      <c r="O11" s="1615" t="s">
        <v>381</v>
      </c>
      <c r="P11" s="1630" t="s">
        <v>365</v>
      </c>
      <c r="Q11" s="1630" t="s">
        <v>363</v>
      </c>
      <c r="R11" s="1630" t="s">
        <v>362</v>
      </c>
      <c r="S11" s="1613"/>
      <c r="U11" s="1528" t="s">
        <v>493</v>
      </c>
      <c r="V11" s="1529">
        <f ca="1">IFERROR(mWaterfall!H12,"Incompl")</f>
        <v>7323535.1313112043</v>
      </c>
      <c r="X11" s="1531">
        <v>3</v>
      </c>
      <c r="Y11" s="1531" cm="1">
        <f t="array" ref="Y11">IF(X11="","",COUNTA(_xlfn.UNIQUE(_xlfn._xlws.FILTER(tbl_Planning[Phase],tbl_Planning[Area]=X11))))</f>
        <v>2</v>
      </c>
      <c r="Z11" s="1531">
        <f>IF(Y11="","",COUNTIF(tbl_Planning[Area],X11))</f>
        <v>5</v>
      </c>
      <c r="AA11" s="1531">
        <v>242</v>
      </c>
      <c r="AB11" s="1531">
        <v>0</v>
      </c>
      <c r="AC11" s="1532">
        <f t="shared" si="0"/>
        <v>0</v>
      </c>
    </row>
    <row r="12" spans="1:30" ht="24" customHeight="1" thickTop="1" thickBot="1">
      <c r="A12" s="160"/>
      <c r="B12" s="160"/>
      <c r="C12" s="220"/>
      <c r="D12" s="220"/>
      <c r="E12" s="220"/>
      <c r="F12" s="220"/>
      <c r="G12" s="220"/>
      <c r="H12" s="1520" t="s">
        <v>706</v>
      </c>
      <c r="I12" s="1095"/>
      <c r="J12" s="1631"/>
      <c r="K12" s="1518"/>
      <c r="L12" s="1518"/>
      <c r="N12" s="1528" t="s">
        <v>368</v>
      </c>
      <c r="O12" s="1297">
        <v>0.08</v>
      </c>
      <c r="P12" s="1533">
        <v>0</v>
      </c>
      <c r="Q12" s="1599">
        <f>i_equity.GPshare</f>
        <v>0.05</v>
      </c>
      <c r="R12" s="1599" cm="1">
        <f t="array" ref="R12">c_equity.LPshare</f>
        <v>0.95</v>
      </c>
      <c r="S12" s="1601" t="s">
        <v>757</v>
      </c>
      <c r="U12" s="1632"/>
      <c r="V12" s="1534"/>
      <c r="X12" s="1531">
        <v>4</v>
      </c>
      <c r="Y12" s="1531" cm="1">
        <f t="array" ref="Y12">IF(X12="","",COUNTA(_xlfn.UNIQUE(_xlfn._xlws.FILTER(tbl_Planning[Phase],tbl_Planning[Area]=X12))))</f>
        <v>2</v>
      </c>
      <c r="Z12" s="1531">
        <f>IF(Y12="","",COUNTIF(tbl_Planning[Area],X12))</f>
        <v>11</v>
      </c>
      <c r="AA12" s="1531">
        <v>214</v>
      </c>
      <c r="AB12" s="1531">
        <v>548</v>
      </c>
      <c r="AC12" s="1532">
        <f t="shared" si="0"/>
        <v>2.5607476635514019</v>
      </c>
    </row>
    <row r="13" spans="1:30" ht="24" customHeight="1" thickTop="1" thickBot="1">
      <c r="A13" s="160"/>
      <c r="B13" s="160"/>
      <c r="C13" s="1094" t="s">
        <v>531</v>
      </c>
      <c r="D13" s="1095"/>
      <c r="E13" s="1095"/>
      <c r="F13" s="1595"/>
      <c r="G13" s="220"/>
      <c r="H13" s="1524" t="str">
        <f>'r.CFa'!C9</f>
        <v>Project Revenue</v>
      </c>
      <c r="I13" s="1523"/>
      <c r="J13" s="1598" t="s">
        <v>1</v>
      </c>
      <c r="K13" s="1598" t="s">
        <v>574</v>
      </c>
      <c r="L13" s="1598" t="s">
        <v>43</v>
      </c>
      <c r="N13" s="1528" t="s">
        <v>369</v>
      </c>
      <c r="O13" s="1297">
        <v>0.1</v>
      </c>
      <c r="P13" s="1298">
        <v>0.1</v>
      </c>
      <c r="Q13" s="1600" cm="1">
        <f t="array" ref="Q13">1-(c_equity.LPshare*(1-P13))</f>
        <v>0.14500000000000002</v>
      </c>
      <c r="R13" s="1600">
        <f>1-Q13</f>
        <v>0.85499999999999998</v>
      </c>
      <c r="S13" s="1704" t="s">
        <v>759</v>
      </c>
      <c r="U13" s="1535" t="s">
        <v>498</v>
      </c>
      <c r="V13" s="1536">
        <f ca="1">SUM(V8:V12)</f>
        <v>656194047.80587804</v>
      </c>
      <c r="X13" s="1531"/>
      <c r="Y13" s="1531" t="str" cm="1">
        <f t="array" ref="Y13">IF(X13="","",COUNTA(_xlfn.UNIQUE(_xlfn._xlws.FILTER(tbl_Planning[Phase],tbl_Planning[Area]=X13))))</f>
        <v/>
      </c>
      <c r="Z13" s="1531" t="str">
        <f>IF(Y13="","",COUNTIF(tbl_Planning[Area],X13))</f>
        <v/>
      </c>
      <c r="AA13" s="1531"/>
      <c r="AB13" s="1531"/>
      <c r="AC13" s="1532" t="str">
        <f t="shared" si="0"/>
        <v/>
      </c>
    </row>
    <row r="14" spans="1:30" ht="24" customHeight="1" thickTop="1" thickBot="1">
      <c r="A14" s="160"/>
      <c r="B14" s="160"/>
      <c r="C14" s="1537" t="s">
        <v>530</v>
      </c>
      <c r="D14" s="1538"/>
      <c r="E14" s="1538"/>
      <c r="F14" s="1596"/>
      <c r="G14" s="220"/>
      <c r="H14" s="1662" t="str" cm="1">
        <f t="array" ref="H14:H20">TRANSPOSE(mProject!F8:L8)</f>
        <v>Single Family Revenue</v>
      </c>
      <c r="I14" s="1539"/>
      <c r="J14" s="1667">
        <f>IFERROR('r.CFa'!D10,"Incompl")</f>
        <v>304583853.51286304</v>
      </c>
      <c r="K14" s="1668" cm="1">
        <f t="array" ref="K14">J14/c_Acres.Total</f>
        <v>279434.72799345234</v>
      </c>
      <c r="L14" s="1669" cm="1">
        <f t="array" ref="L14">J14/c_FrontFeet</f>
        <v>2741.4054589160078</v>
      </c>
      <c r="N14" s="1528" t="s">
        <v>370</v>
      </c>
      <c r="O14" s="1297">
        <v>0.12</v>
      </c>
      <c r="P14" s="1298">
        <v>0.2</v>
      </c>
      <c r="Q14" s="1600" cm="1">
        <f t="array" ref="Q14">1-(c_equity.LPshare*(1-P14))</f>
        <v>0.24</v>
      </c>
      <c r="R14" s="1600">
        <f>1-Q14</f>
        <v>0.76</v>
      </c>
      <c r="S14" s="1705"/>
      <c r="X14" s="1531"/>
      <c r="Y14" s="1531" t="str" cm="1">
        <f t="array" ref="Y14">IF(X14="","",COUNTA(_xlfn.UNIQUE(_xlfn._xlws.FILTER(tbl_Planning[Phase],tbl_Planning[Area]=X14))))</f>
        <v/>
      </c>
      <c r="Z14" s="1531" t="str">
        <f>IF(Y14="","",COUNTIF(tbl_Planning[Area],X14))</f>
        <v/>
      </c>
      <c r="AA14" s="1531"/>
      <c r="AB14" s="1531"/>
      <c r="AC14" s="1532" t="str">
        <f t="shared" si="0"/>
        <v/>
      </c>
    </row>
    <row r="15" spans="1:30" ht="24" customHeight="1" thickTop="1" thickBot="1">
      <c r="A15" s="160"/>
      <c r="B15" s="160"/>
      <c r="C15" s="1655" t="s">
        <v>525</v>
      </c>
      <c r="D15" s="1539"/>
      <c r="E15" s="1300">
        <v>0.03</v>
      </c>
      <c r="F15" s="1597" t="s">
        <v>742</v>
      </c>
      <c r="G15" s="220"/>
      <c r="H15" s="1663" t="str">
        <v>Commercial / Multifamily Revenue</v>
      </c>
      <c r="I15" s="1539"/>
      <c r="J15" s="1667">
        <f>IFERROR('r.CFa'!D11,"Incompl")</f>
        <v>205139491.66679096</v>
      </c>
      <c r="K15" s="1668" cm="1">
        <f t="array" ref="K15">J15/c_Acres.Total</f>
        <v>188201.3685016431</v>
      </c>
      <c r="L15" s="1669" cm="1">
        <f t="array" ref="L15">J15/c_FrontFeet</f>
        <v>1846.3569746347237</v>
      </c>
      <c r="N15" s="1528" t="s">
        <v>371</v>
      </c>
      <c r="O15" s="1297">
        <v>0.14000000000000001</v>
      </c>
      <c r="P15" s="1298">
        <v>0.3</v>
      </c>
      <c r="Q15" s="1600" cm="1">
        <f t="array" ref="Q15">1-(c_equity.LPshare*(1-P15))</f>
        <v>0.33500000000000008</v>
      </c>
      <c r="R15" s="1600">
        <f>1-Q15</f>
        <v>0.66499999999999992</v>
      </c>
      <c r="S15" s="1706"/>
      <c r="U15" s="1522" t="s">
        <v>573</v>
      </c>
      <c r="V15" s="1541"/>
      <c r="X15" s="1531"/>
      <c r="Y15" s="1531" t="str" cm="1">
        <f t="array" ref="Y15">IF(X15="","",COUNTA(_xlfn.UNIQUE(_xlfn._xlws.FILTER(tbl_Planning[Phase],tbl_Planning[Area]=X15))))</f>
        <v/>
      </c>
      <c r="Z15" s="1531" t="str">
        <f>IF(Y15="","",COUNTIF(tbl_Planning[Area],X15))</f>
        <v/>
      </c>
      <c r="AA15" s="1531"/>
      <c r="AB15" s="1531"/>
      <c r="AC15" s="1532" t="str">
        <f t="shared" si="0"/>
        <v/>
      </c>
    </row>
    <row r="16" spans="1:30" ht="24" customHeight="1" thickTop="1" thickBot="1">
      <c r="A16" s="160"/>
      <c r="B16" s="160"/>
      <c r="C16" s="1655" t="s">
        <v>61</v>
      </c>
      <c r="D16" s="1539"/>
      <c r="E16" s="1300">
        <v>0.03</v>
      </c>
      <c r="F16" s="1597" t="s">
        <v>742</v>
      </c>
      <c r="G16" s="220"/>
      <c r="H16" s="1664" t="str">
        <v>Less: Subd Cost</v>
      </c>
      <c r="I16" s="1543"/>
      <c r="J16" s="1670">
        <f>IFERROR('r.CFa'!D12,"Incompl")</f>
        <v>-167488649.64694551</v>
      </c>
      <c r="K16" s="1671" cm="1">
        <f t="array" ref="K16">J16/c_Acres.Total</f>
        <v>-153659.31160270231</v>
      </c>
      <c r="L16" s="1672" cm="1">
        <f t="array" ref="L16">J16/c_FrontFeet</f>
        <v>-1507.480758264214</v>
      </c>
      <c r="N16" s="1528" t="s">
        <v>355</v>
      </c>
      <c r="O16" s="1544"/>
      <c r="P16" s="1298">
        <v>0.5</v>
      </c>
      <c r="Q16" s="1600">
        <f>P16</f>
        <v>0.5</v>
      </c>
      <c r="R16" s="1600">
        <f>1-Q16</f>
        <v>0.5</v>
      </c>
      <c r="S16" s="1601" t="s">
        <v>758</v>
      </c>
      <c r="U16" s="1528" t="s">
        <v>494</v>
      </c>
      <c r="V16" s="1529">
        <f>mProject!X7</f>
        <v>105000000</v>
      </c>
      <c r="X16" s="1531"/>
      <c r="Y16" s="1531" t="str" cm="1">
        <f t="array" ref="Y16">IF(X16="","",COUNTA(_xlfn.UNIQUE(_xlfn._xlws.FILTER(tbl_Planning[Phase],tbl_Planning[Area]=X16))))</f>
        <v/>
      </c>
      <c r="Z16" s="1531" t="str">
        <f>IF(Y16="","",COUNTIF(tbl_Planning[Area],X16))</f>
        <v/>
      </c>
      <c r="AA16" s="1531"/>
      <c r="AB16" s="1531"/>
      <c r="AC16" s="1532" t="str">
        <f t="shared" si="0"/>
        <v/>
      </c>
    </row>
    <row r="17" spans="1:30" ht="24" customHeight="1" thickTop="1" thickBot="1">
      <c r="A17" s="160"/>
      <c r="B17" s="160"/>
      <c r="C17" s="1537" t="s">
        <v>514</v>
      </c>
      <c r="D17" s="1537"/>
      <c r="E17" s="1538"/>
      <c r="F17" s="1596"/>
      <c r="G17" s="220"/>
      <c r="H17" s="1663" t="str">
        <v>Gross Revenue</v>
      </c>
      <c r="I17" s="1543"/>
      <c r="J17" s="1667">
        <f>IFERROR('r.CFa'!D13,"Incompl")</f>
        <v>342234695.53270853</v>
      </c>
      <c r="K17" s="1668" cm="1">
        <f t="array" ref="K17">J17/c_Acres.Total</f>
        <v>313976.78489239316</v>
      </c>
      <c r="L17" s="1669" cm="1">
        <f t="array" ref="L17">J17/c_FrontFeet</f>
        <v>3080.2816752865174</v>
      </c>
      <c r="U17" s="1528" t="s">
        <v>284</v>
      </c>
      <c r="V17" s="1529"/>
      <c r="X17" s="1531"/>
      <c r="Y17" s="1531" t="str" cm="1">
        <f t="array" ref="Y17">IF(X17="","",COUNTA(_xlfn.UNIQUE(_xlfn._xlws.FILTER(tbl_Planning[Phase],tbl_Planning[Area]=X17))))</f>
        <v/>
      </c>
      <c r="Z17" s="1531" t="str">
        <f>IF(Y17="","",COUNTIF(tbl_Planning[Area],X17))</f>
        <v/>
      </c>
      <c r="AA17" s="1531"/>
      <c r="AB17" s="1531"/>
      <c r="AC17" s="1532" t="str">
        <f t="shared" si="0"/>
        <v/>
      </c>
    </row>
    <row r="18" spans="1:30" ht="24" customHeight="1" thickTop="1" thickBot="1">
      <c r="A18" s="160"/>
      <c r="B18" s="160"/>
      <c r="C18" s="1655" t="s">
        <v>65</v>
      </c>
      <c r="D18" s="1656"/>
      <c r="E18" s="1300">
        <v>0.03</v>
      </c>
      <c r="F18" s="1597" t="s">
        <v>743</v>
      </c>
      <c r="G18" s="220"/>
      <c r="H18" s="1664" t="str">
        <v>Less: Commissions</v>
      </c>
      <c r="I18" s="1543"/>
      <c r="J18" s="1667">
        <f>IFERROR('r.CFa'!D14,"Incompl")</f>
        <v>-10267040.865981257</v>
      </c>
      <c r="K18" s="1668" cm="1">
        <f t="array" ref="K18">J18/c_Acres.Total</f>
        <v>-9419.3035467717946</v>
      </c>
      <c r="L18" s="1669" cm="1">
        <f t="array" ref="L18">J18/c_FrontFeet</f>
        <v>-92.408450258595536</v>
      </c>
      <c r="N18" s="1520" t="s">
        <v>372</v>
      </c>
      <c r="O18" s="1518"/>
      <c r="P18" s="1545" t="s">
        <v>1</v>
      </c>
      <c r="Q18" s="1545" t="s">
        <v>363</v>
      </c>
      <c r="R18" s="1545" t="s">
        <v>362</v>
      </c>
      <c r="S18" s="1295"/>
      <c r="U18" s="1542" t="s">
        <v>495</v>
      </c>
      <c r="V18" s="1529">
        <f>-mProject!H7</f>
        <v>167488649.64694551</v>
      </c>
      <c r="X18" s="1531"/>
      <c r="Y18" s="1531" t="str" cm="1">
        <f t="array" ref="Y18">IF(X18="","",COUNTA(_xlfn.UNIQUE(_xlfn._xlws.FILTER(tbl_Planning[Phase],tbl_Planning[Area]=X18))))</f>
        <v/>
      </c>
      <c r="Z18" s="1531" t="str">
        <f>IF(Y18="","",COUNTIF(tbl_Planning[Area],X18))</f>
        <v/>
      </c>
      <c r="AA18" s="1531"/>
      <c r="AB18" s="1531"/>
      <c r="AC18" s="1532" t="str">
        <f t="shared" si="0"/>
        <v/>
      </c>
    </row>
    <row r="19" spans="1:30" ht="24" customHeight="1" thickTop="1" thickBot="1">
      <c r="A19" s="160"/>
      <c r="B19" s="160"/>
      <c r="C19" s="1655" t="s">
        <v>543</v>
      </c>
      <c r="D19" s="1657"/>
      <c r="E19" s="1300">
        <v>0.01</v>
      </c>
      <c r="F19" s="1597" t="s">
        <v>744</v>
      </c>
      <c r="G19" s="220"/>
      <c r="H19" s="1665" t="str">
        <v>Less: Cost of Sale</v>
      </c>
      <c r="I19" s="1546"/>
      <c r="J19" s="1673">
        <f>IFERROR('r.CFa'!D15,"Incompl")</f>
        <v>-3422346.9553270852</v>
      </c>
      <c r="K19" s="1674" cm="1">
        <f t="array" ref="K19">J19/c_Acres.Total</f>
        <v>-3139.7678489239315</v>
      </c>
      <c r="L19" s="1675" cm="1">
        <f t="array" ref="L19">J19/c_FrontFeet</f>
        <v>-30.802816752865173</v>
      </c>
      <c r="N19" s="1528" t="s">
        <v>367</v>
      </c>
      <c r="O19" s="1548"/>
      <c r="P19" s="1540">
        <f ca="1">IFERROR(mWaterfall!H23,"Incompl")</f>
        <v>146470702.62622407</v>
      </c>
      <c r="Q19" s="1549">
        <f ca="1">IFERROR(mWaterfall!I23,"Incompl")</f>
        <v>7323535.1313112043</v>
      </c>
      <c r="R19" s="1540">
        <f ca="1">IFERROR(mWaterfall!J23,"Incompl")</f>
        <v>139147167.49491286</v>
      </c>
      <c r="S19" s="1295"/>
      <c r="U19" s="1542" t="s">
        <v>496</v>
      </c>
      <c r="V19" s="1529">
        <f>mProject!AX7</f>
        <v>39235624.299927793</v>
      </c>
      <c r="X19" s="1531"/>
      <c r="Y19" s="1531" t="str" cm="1">
        <f t="array" ref="Y19">IF(X19="","",COUNTA(_xlfn.UNIQUE(_xlfn._xlws.FILTER(tbl_Planning[Phase],tbl_Planning[Area]=X19))))</f>
        <v/>
      </c>
      <c r="Z19" s="1531" t="str">
        <f>IF(Y19="","",COUNTIF(tbl_Planning[Area],X19))</f>
        <v/>
      </c>
      <c r="AA19" s="1531"/>
      <c r="AB19" s="1531"/>
      <c r="AC19" s="1532" t="str">
        <f t="shared" si="0"/>
        <v/>
      </c>
    </row>
    <row r="20" spans="1:30" ht="24" customHeight="1" thickTop="1" thickBot="1">
      <c r="A20" s="160"/>
      <c r="B20" s="160"/>
      <c r="C20" s="1655" t="s">
        <v>526</v>
      </c>
      <c r="D20" s="1539"/>
      <c r="E20" s="1301">
        <v>500</v>
      </c>
      <c r="F20" s="1597" t="s">
        <v>745</v>
      </c>
      <c r="G20" s="220"/>
      <c r="H20" s="1666" t="str">
        <v>Net Sale Revenue</v>
      </c>
      <c r="I20" s="1550"/>
      <c r="J20" s="1676">
        <f>IFERROR('r.CFa'!D16,"Incompl")</f>
        <v>328545307.71140021</v>
      </c>
      <c r="K20" s="1677" cm="1">
        <f t="array" ref="K20">J20/c_Acres.Total</f>
        <v>301417.71349669743</v>
      </c>
      <c r="L20" s="1678" cm="1">
        <f t="array" ref="L20">J20/c_FrontFeet</f>
        <v>2957.0704082750572</v>
      </c>
      <c r="N20" s="1528" t="s">
        <v>368</v>
      </c>
      <c r="O20" s="1548"/>
      <c r="P20" s="1540">
        <f ca="1">IFERROR(mWaterfall!H24,"Incompl")</f>
        <v>24734791.91843871</v>
      </c>
      <c r="Q20" s="1549">
        <f ca="1">IFERROR(mWaterfall!I24,"Incompl")</f>
        <v>1236739.5959219323</v>
      </c>
      <c r="R20" s="1540">
        <f ca="1">IFERROR(mWaterfall!J24,"Incompl")</f>
        <v>23498052.322516877</v>
      </c>
      <c r="S20" s="1295"/>
      <c r="U20" s="1528" t="s">
        <v>65</v>
      </c>
      <c r="V20" s="1529">
        <f>-mProject!J7</f>
        <v>10267040.865981257</v>
      </c>
      <c r="X20" s="1531"/>
      <c r="Y20" s="1531" t="str" cm="1">
        <f t="array" ref="Y20">IF(X20="","",COUNTA(_xlfn.UNIQUE(_xlfn._xlws.FILTER(tbl_Planning[Phase],tbl_Planning[Area]=X20))))</f>
        <v/>
      </c>
      <c r="Z20" s="1531" t="str">
        <f>IF(Y20="","",COUNTIF(tbl_Planning[Area],X20))</f>
        <v/>
      </c>
      <c r="AA20" s="1531"/>
      <c r="AB20" s="1531"/>
      <c r="AC20" s="1532" t="str">
        <f t="shared" si="0"/>
        <v/>
      </c>
    </row>
    <row r="21" spans="1:30" ht="24" customHeight="1" thickTop="1" thickBot="1">
      <c r="A21" s="160"/>
      <c r="B21" s="160"/>
      <c r="C21" s="1655" t="s">
        <v>10</v>
      </c>
      <c r="D21" s="1539"/>
      <c r="E21" s="1300">
        <v>0.1</v>
      </c>
      <c r="F21" s="1597"/>
      <c r="G21" s="220"/>
      <c r="H21" s="1524" t="str">
        <f>'r.CFa'!C18</f>
        <v>Project Costs</v>
      </c>
      <c r="I21" s="1523"/>
      <c r="J21" s="1598"/>
      <c r="K21" s="1598"/>
      <c r="L21" s="1598"/>
      <c r="N21" s="1528" t="s">
        <v>369</v>
      </c>
      <c r="O21" s="1548"/>
      <c r="P21" s="1540">
        <f ca="1">IFERROR(mWaterfall!H25,"Incompl")</f>
        <v>7586764.8758593798</v>
      </c>
      <c r="Q21" s="1549">
        <f ca="1">IFERROR(mWaterfall!I25,"Incompl")</f>
        <v>1100080.9069996071</v>
      </c>
      <c r="R21" s="1540">
        <f ca="1">IFERROR(mWaterfall!J25,"Incompl")</f>
        <v>6486683.9688597731</v>
      </c>
      <c r="S21" s="1295"/>
      <c r="U21" s="1528" t="s">
        <v>2</v>
      </c>
      <c r="V21" s="1529">
        <f>-mProject!K7</f>
        <v>3422346.9553270852</v>
      </c>
      <c r="X21" s="1531"/>
      <c r="Y21" s="1531" t="str" cm="1">
        <f t="array" ref="Y21">IF(X21="","",COUNTA(_xlfn.UNIQUE(_xlfn._xlws.FILTER(tbl_Planning[Phase],tbl_Planning[Area]=X21))))</f>
        <v/>
      </c>
      <c r="Z21" s="1531" t="str">
        <f>IF(Y21="","",COUNTIF(tbl_Planning[Area],X21))</f>
        <v/>
      </c>
      <c r="AA21" s="1531"/>
      <c r="AB21" s="1531"/>
      <c r="AC21" s="1532" t="str">
        <f t="shared" si="0"/>
        <v/>
      </c>
    </row>
    <row r="22" spans="1:30" ht="24" customHeight="1" thickTop="1" thickBot="1">
      <c r="A22" s="160"/>
      <c r="B22" s="160"/>
      <c r="F22"/>
      <c r="G22" s="220"/>
      <c r="H22" s="1664" t="str">
        <f>'r.CFa'!C19</f>
        <v>Land</v>
      </c>
      <c r="I22" s="1543"/>
      <c r="J22" s="1679">
        <f>IFERROR(mProject!X7,"Incompl")</f>
        <v>105000000</v>
      </c>
      <c r="K22" s="1668" cm="1">
        <f t="array" ref="K22">IFERROR(J22/c_Acres.Total,"Incompl")</f>
        <v>96330.275229357794</v>
      </c>
      <c r="L22" s="1669" cm="1">
        <f t="array" ref="L22">J22/c_FrontFeet</f>
        <v>945.05197785878227</v>
      </c>
      <c r="N22" s="1528" t="s">
        <v>370</v>
      </c>
      <c r="O22" s="1548"/>
      <c r="P22" s="1540">
        <f ca="1">IFERROR(mWaterfall!H26,"Incompl")</f>
        <v>8869007.4321616776</v>
      </c>
      <c r="Q22" s="1549">
        <f ca="1">IFERROR(mWaterfall!I26,"Incompl")</f>
        <v>2128561.783718803</v>
      </c>
      <c r="R22" s="1540">
        <f ca="1">IFERROR(mWaterfall!J26,"Incompl")</f>
        <v>6740445.6484428756</v>
      </c>
      <c r="S22" s="1295"/>
      <c r="U22" s="1528" t="s">
        <v>497</v>
      </c>
      <c r="V22" s="1529">
        <f ca="1">mProject!BD7</f>
        <v>541140.00000000023</v>
      </c>
      <c r="X22" s="1552"/>
      <c r="Y22" s="1552" t="str" cm="1">
        <f t="array" ref="Y22">IF(X22="","",COUNTA(_xlfn.UNIQUE(_xlfn._xlws.FILTER(tbl_Planning[Phase],tbl_Planning[Area]=X22))))</f>
        <v/>
      </c>
      <c r="Z22" s="1552" t="str">
        <f>IF(Y22="","",COUNTIF(tbl_Planning[Area],X22))</f>
        <v/>
      </c>
      <c r="AA22" s="1552"/>
      <c r="AB22" s="1552"/>
      <c r="AC22" s="1553" t="str">
        <f t="shared" si="0"/>
        <v/>
      </c>
    </row>
    <row r="23" spans="1:30" ht="24" customHeight="1" thickTop="1" thickBot="1">
      <c r="A23" s="160"/>
      <c r="B23" s="160"/>
      <c r="C23" s="1094" t="s">
        <v>3</v>
      </c>
      <c r="D23" s="1094"/>
      <c r="E23" s="1095"/>
      <c r="F23" s="1595"/>
      <c r="G23" s="220"/>
      <c r="H23" s="1664" t="str">
        <f>'r.CFa'!C20</f>
        <v>Planning, Engineering &amp; Dev Cost</v>
      </c>
      <c r="I23" s="1543"/>
      <c r="J23" s="1679">
        <f>'r.CFa'!D46</f>
        <v>39235624.299927838</v>
      </c>
      <c r="K23" s="1668" cm="1">
        <f t="array" ref="K23">IFERROR(J23/c_Acres.Total,"Incompl")</f>
        <v>35995.985596264072</v>
      </c>
      <c r="L23" s="1669" cm="1">
        <f t="array" ref="L23">J23/c_FrontFeet</f>
        <v>353.14004140162763</v>
      </c>
      <c r="N23" s="1528" t="s">
        <v>371</v>
      </c>
      <c r="O23" s="1548"/>
      <c r="P23" s="1540">
        <f ca="1">IFERROR(mWaterfall!H27,"Incompl")</f>
        <v>10524292.001573382</v>
      </c>
      <c r="Q23" s="1549">
        <f ca="1">IFERROR(mWaterfall!I27,"Incompl")</f>
        <v>3525637.8205270832</v>
      </c>
      <c r="R23" s="1540">
        <f ca="1">IFERROR(mWaterfall!J27,"Incompl")</f>
        <v>6998654.1810462987</v>
      </c>
      <c r="S23" s="1295"/>
      <c r="U23" s="1528" t="s">
        <v>88</v>
      </c>
      <c r="V23" s="1529">
        <f>mProject!BL7</f>
        <v>7322346.9553270852</v>
      </c>
      <c r="X23" s="1554"/>
      <c r="Y23" s="1554">
        <f>SUM(Y9:Y22)</f>
        <v>8</v>
      </c>
      <c r="Z23" s="1554">
        <f>SUM(Z9:Z22)</f>
        <v>42</v>
      </c>
      <c r="AA23" s="1554">
        <f>SUM(_xlfn.ANCHORARRAY(AA9))</f>
        <v>1090</v>
      </c>
      <c r="AB23" s="1554">
        <f>SUM(_xlfn.ANCHORARRAY(AB9))</f>
        <v>3416</v>
      </c>
      <c r="AC23" s="1555">
        <f>IFERROR(AB23/AA23,0)</f>
        <v>3.1339449541284403</v>
      </c>
    </row>
    <row r="24" spans="1:30" ht="24" customHeight="1" thickTop="1" thickBot="1">
      <c r="A24" s="160"/>
      <c r="B24" s="160"/>
      <c r="C24" s="1537" t="s">
        <v>511</v>
      </c>
      <c r="D24" s="1537"/>
      <c r="E24" s="1538" t="s">
        <v>36</v>
      </c>
      <c r="F24" s="1596"/>
      <c r="G24" s="220"/>
      <c r="H24" s="1664" t="str">
        <f>'r.CFa'!C47</f>
        <v>Property Carry Cost</v>
      </c>
      <c r="I24" s="1543"/>
      <c r="J24" s="1667"/>
      <c r="K24" s="1668" cm="1">
        <f t="array" ref="K24">IFERROR(J24/c_Acres.Total,"Incompl")</f>
        <v>0</v>
      </c>
      <c r="L24" s="1669" cm="1">
        <f t="array" ref="L24">J24/c_FrontFeet</f>
        <v>0</v>
      </c>
      <c r="N24" s="1556" t="s">
        <v>355</v>
      </c>
      <c r="O24" s="1557"/>
      <c r="P24" s="1547">
        <f ca="1">IFERROR(mWaterfall!H28,"Incompl")</f>
        <v>124731340.22811219</v>
      </c>
      <c r="Q24" s="1558">
        <f ca="1">IFERROR(mWaterfall!I28,"Incompl")</f>
        <v>62365670.114056095</v>
      </c>
      <c r="R24" s="1547">
        <f ca="1">IFERROR(mWaterfall!J28,"Incompl")</f>
        <v>62365670.114056095</v>
      </c>
      <c r="S24" s="1295"/>
      <c r="U24" s="1528" t="s">
        <v>500</v>
      </c>
      <c r="V24" s="1529">
        <f ca="1">IFERROR(mWaterfall!J12,"Incompl")</f>
        <v>146470702.62622407</v>
      </c>
    </row>
    <row r="25" spans="1:30" ht="24" customHeight="1" thickTop="1" thickBot="1">
      <c r="A25" s="160"/>
      <c r="B25" s="160"/>
      <c r="C25" s="1569" t="s">
        <v>524</v>
      </c>
      <c r="D25" s="1570"/>
      <c r="E25" s="1301">
        <v>250</v>
      </c>
      <c r="F25" s="1597" t="s">
        <v>746</v>
      </c>
      <c r="G25" s="220"/>
      <c r="H25" s="1680" t="str">
        <f>'r.CFa'!C48</f>
        <v>Property Tax</v>
      </c>
      <c r="I25" s="1543"/>
      <c r="J25" s="1667">
        <f ca="1">'r.CFa'!D48</f>
        <v>338212.5</v>
      </c>
      <c r="K25" s="1668" cm="1">
        <f t="array" aca="1" ref="K25" ca="1">IFERROR(J25/c_Acres.Total,"Incompl")</f>
        <v>310.2866972477064</v>
      </c>
      <c r="L25" s="1669" cm="1">
        <f t="array" aca="1" ref="L25" ca="1">J25/c_FrontFeet</f>
        <v>3.0440799243958416</v>
      </c>
      <c r="N25" s="1559" t="s">
        <v>373</v>
      </c>
      <c r="O25" s="1560"/>
      <c r="P25" s="1561">
        <f ca="1">IFERROR(mWaterfall!H29,"Incompl")</f>
        <v>322916899.08236945</v>
      </c>
      <c r="Q25" s="1551">
        <f ca="1">IFERROR(mWaterfall!I29,"Incompl")</f>
        <v>77680225.352534726</v>
      </c>
      <c r="R25" s="1561">
        <f ca="1">IFERROR(mWaterfall!J29,"Incompl")</f>
        <v>245236673.72983479</v>
      </c>
      <c r="S25" s="1295"/>
      <c r="U25" s="1528" t="s">
        <v>501</v>
      </c>
      <c r="V25" s="1529">
        <f ca="1">mWaterfall!G46</f>
        <v>176446196.45614529</v>
      </c>
    </row>
    <row r="26" spans="1:30" ht="24" customHeight="1" thickTop="1" thickBot="1">
      <c r="A26" s="160"/>
      <c r="B26" s="160"/>
      <c r="C26" s="1569" t="s">
        <v>568</v>
      </c>
      <c r="D26" s="1570"/>
      <c r="E26" s="1301">
        <v>1750</v>
      </c>
      <c r="F26" s="1597" t="s">
        <v>747</v>
      </c>
      <c r="G26" s="220"/>
      <c r="H26" s="1680" t="str">
        <f>'r.CFa'!C49</f>
        <v>Insurance</v>
      </c>
      <c r="I26" s="1543"/>
      <c r="J26" s="1667">
        <f ca="1">'r.CFa'!D49</f>
        <v>202927.5</v>
      </c>
      <c r="K26" s="1668" cm="1">
        <f t="array" aca="1" ref="K26" ca="1">IFERROR(J26/c_Acres.Total,"Incompl")</f>
        <v>186.17201834862385</v>
      </c>
      <c r="L26" s="1669" cm="1">
        <f t="array" aca="1" ref="L26" ca="1">J26/c_FrontFeet</f>
        <v>1.826447954637505</v>
      </c>
      <c r="N26" s="1528" t="s">
        <v>374</v>
      </c>
      <c r="O26" s="1562"/>
      <c r="P26" s="1563">
        <f ca="1">IFERROR(mWaterfall!H30,"Incompl")</f>
        <v>1.0000000000000002</v>
      </c>
      <c r="Q26" s="1564">
        <f ca="1">IFERROR(mWaterfall!I30,"Incompl")</f>
        <v>0.24055794408183048</v>
      </c>
      <c r="R26" s="1563">
        <f ca="1">IFERROR(mWaterfall!J30,"Incompl")</f>
        <v>0.75944205591816971</v>
      </c>
      <c r="S26" s="1295"/>
      <c r="U26" s="1565"/>
      <c r="V26" s="1534"/>
      <c r="X26" s="1566" t="s">
        <v>303</v>
      </c>
      <c r="Y26" s="1566"/>
      <c r="Z26" s="1566"/>
      <c r="AA26" s="1567"/>
      <c r="AB26" s="1568"/>
      <c r="AD26" s="220"/>
    </row>
    <row r="27" spans="1:30" ht="24" customHeight="1" thickTop="1" thickBot="1">
      <c r="A27" s="160"/>
      <c r="B27" s="160"/>
      <c r="C27" s="1537" t="s">
        <v>395</v>
      </c>
      <c r="D27" s="1537"/>
      <c r="E27" s="1538"/>
      <c r="F27" s="1596"/>
      <c r="G27" s="220"/>
      <c r="H27" s="1680" t="str">
        <f>'r.CFa'!C50</f>
        <v>Other 1</v>
      </c>
      <c r="I27" s="1543"/>
      <c r="J27" s="1667">
        <f ca="1">'r.CFa'!D50</f>
        <v>0</v>
      </c>
      <c r="K27" s="1668" cm="1">
        <f t="array" aca="1" ref="K27" ca="1">IFERROR(J27/c_Acres.Total,"Incompl")</f>
        <v>0</v>
      </c>
      <c r="L27" s="1669" cm="1">
        <f t="array" aca="1" ref="L27" ca="1">J27/c_FrontFeet</f>
        <v>0</v>
      </c>
      <c r="N27" s="1571"/>
      <c r="P27" s="1572"/>
      <c r="Q27" s="1573"/>
      <c r="R27" s="1572"/>
      <c r="S27" s="1295"/>
      <c r="U27" s="1535" t="s">
        <v>499</v>
      </c>
      <c r="V27" s="1536">
        <f ca="1">SUM(V16:V26)</f>
        <v>656194047.80587804</v>
      </c>
      <c r="X27" s="1524" t="s">
        <v>295</v>
      </c>
      <c r="Y27" s="1574"/>
      <c r="Z27" s="1574"/>
      <c r="AA27" s="1575"/>
      <c r="AB27" s="1525"/>
      <c r="AD27" s="1576"/>
    </row>
    <row r="28" spans="1:30" ht="24" customHeight="1" thickTop="1" thickBot="1">
      <c r="A28" s="160"/>
      <c r="B28" s="160"/>
      <c r="C28" s="1569" t="s">
        <v>567</v>
      </c>
      <c r="D28" s="1570"/>
      <c r="E28" s="1301">
        <v>100</v>
      </c>
      <c r="F28" s="1597" t="s">
        <v>748</v>
      </c>
      <c r="G28" s="220"/>
      <c r="H28" s="1681" t="str">
        <f>'r.CFa'!C51</f>
        <v>Other 2</v>
      </c>
      <c r="I28" s="1546"/>
      <c r="J28" s="1682">
        <f ca="1">'r.CFa'!D51</f>
        <v>0</v>
      </c>
      <c r="K28" s="1683" cm="1">
        <f t="array" aca="1" ref="K28" ca="1">IFERROR(J28/c_Acres.Total,"Incompl")</f>
        <v>0</v>
      </c>
      <c r="L28" s="1684" cm="1">
        <f t="array" aca="1" ref="L28" ca="1">J28/c_FrontFeet</f>
        <v>0</v>
      </c>
      <c r="N28" s="1528" t="str" cm="1">
        <f t="array" ref="N28:N32">mWaterfall!C33:C37</f>
        <v>Total Investment</v>
      </c>
      <c r="O28" s="1548"/>
      <c r="P28" s="1540">
        <f ca="1">IFERROR(mWaterfall!H33,"Incompl")</f>
        <v>146470702.62622407</v>
      </c>
      <c r="Q28" s="1549">
        <f ca="1">IFERROR(mWaterfall!I33,"Incompl")</f>
        <v>7323535.1313112043</v>
      </c>
      <c r="R28" s="1540">
        <f ca="1">IFERROR(mWaterfall!J33,"Incompl")</f>
        <v>139147167.49491286</v>
      </c>
      <c r="S28" s="1295"/>
      <c r="X28" s="1577" t="s">
        <v>292</v>
      </c>
      <c r="Y28" s="1578"/>
      <c r="Z28" s="1578"/>
      <c r="AA28" s="1579"/>
      <c r="AB28" s="1580" cm="1">
        <f t="array" ref="AB28">COUNTA(_xlfn.UNIQUE(_xlfn._xlws.FILTER(tbl_LandAcq[Seller],tbl_LandAcq[Seller]&lt;&gt;0)))</f>
        <v>1</v>
      </c>
      <c r="AD28" s="220"/>
    </row>
    <row r="29" spans="1:30" ht="24" customHeight="1" thickTop="1" thickBot="1">
      <c r="A29" s="160"/>
      <c r="B29" s="160"/>
      <c r="C29" s="1569" t="s">
        <v>566</v>
      </c>
      <c r="D29" s="1570"/>
      <c r="E29" s="1301">
        <v>200</v>
      </c>
      <c r="F29" s="1597" t="s">
        <v>749</v>
      </c>
      <c r="G29" s="220"/>
      <c r="H29" s="1685" t="str">
        <f>'r.CFa'!C52</f>
        <v>Total: Property Carry Cost</v>
      </c>
      <c r="I29" s="1550"/>
      <c r="J29" s="1686">
        <f ca="1">'r.CFa'!D52</f>
        <v>541140.00000000012</v>
      </c>
      <c r="K29" s="1687" cm="1">
        <f t="array" aca="1" ref="K29" ca="1">IFERROR(J29/c_Acres.Total,"Incompl")</f>
        <v>496.45871559633036</v>
      </c>
      <c r="L29" s="1688" cm="1">
        <f t="array" aca="1" ref="L29" ca="1">J29/c_FrontFeet</f>
        <v>4.8705278790333475</v>
      </c>
      <c r="N29" s="1528" t="str">
        <v>Total Profit</v>
      </c>
      <c r="O29" s="1548"/>
      <c r="P29" s="1540">
        <f ca="1">IFERROR(mWaterfall!H34,"Incompl")</f>
        <v>176446196.45614547</v>
      </c>
      <c r="Q29" s="1549">
        <f ca="1">IFERROR(mWaterfall!I34,"Incompl")</f>
        <v>70356690.221223518</v>
      </c>
      <c r="R29" s="1540">
        <f ca="1">IFERROR(mWaterfall!J34,"Incompl")</f>
        <v>106089506.23492193</v>
      </c>
      <c r="S29" s="1295"/>
      <c r="X29" s="1577" t="s">
        <v>294</v>
      </c>
      <c r="Y29" s="1578"/>
      <c r="Z29" s="1578"/>
      <c r="AA29" s="1579"/>
      <c r="AB29" s="1580" cm="1">
        <f t="array" ref="AB29">COUNTA(_xlfn.UNIQUE(_xlfn._xlws.FILTER(tbl_LandAcq[Date],tbl_LandAcq[Date]&lt;&gt;0)))</f>
        <v>1</v>
      </c>
      <c r="AD29" s="220"/>
    </row>
    <row r="30" spans="1:30" ht="24" customHeight="1" thickTop="1" thickBot="1">
      <c r="A30" s="160"/>
      <c r="B30" s="160"/>
      <c r="C30" s="1569" t="s">
        <v>569</v>
      </c>
      <c r="D30" s="1570"/>
      <c r="E30" s="1302">
        <v>1300</v>
      </c>
      <c r="F30" s="1597" t="s">
        <v>750</v>
      </c>
      <c r="H30" s="1689" t="str">
        <f>'r.CFa'!C53</f>
        <v>Project Overhead</v>
      </c>
      <c r="I30" s="1543"/>
      <c r="J30" s="1667">
        <f>IFERROR('r.CFa'!D56,"Incompl")</f>
        <v>79166.666666666672</v>
      </c>
      <c r="K30" s="1668" cm="1">
        <f t="array" ref="K30">IFERROR(J30/c_Acres.Total,"Incompl")</f>
        <v>72.629969418960243</v>
      </c>
      <c r="L30" s="1669" cm="1">
        <f t="array" ref="L30">J30/c_FrontFeet</f>
        <v>0.71253918965543106</v>
      </c>
      <c r="N30" s="1528" t="str">
        <v>Total Distributions</v>
      </c>
      <c r="O30" s="1548"/>
      <c r="P30" s="1540">
        <f ca="1">IFERROR(mWaterfall!H35,"Incompl")</f>
        <v>322916899.08236957</v>
      </c>
      <c r="Q30" s="1549">
        <f ca="1">IFERROR(mWaterfall!I35,"Incompl")</f>
        <v>77680225.352534726</v>
      </c>
      <c r="R30" s="1540">
        <f ca="1">IFERROR(mWaterfall!J35,"Incompl")</f>
        <v>245236673.72983479</v>
      </c>
      <c r="S30" s="1295"/>
      <c r="X30" s="1577" t="s">
        <v>135</v>
      </c>
      <c r="Y30" s="1578"/>
      <c r="Z30" s="1578"/>
      <c r="AA30" s="1579"/>
      <c r="AB30" s="1580">
        <f>i.LandAcq!F21</f>
        <v>1500</v>
      </c>
      <c r="AD30" s="220"/>
    </row>
    <row r="31" spans="1:30" ht="24" customHeight="1" thickTop="1" thickBot="1">
      <c r="A31" s="160"/>
      <c r="B31" s="160"/>
      <c r="C31" s="1569" t="s">
        <v>512</v>
      </c>
      <c r="D31" s="1570"/>
      <c r="E31" s="1301"/>
      <c r="F31" s="1597"/>
      <c r="H31" s="1680" t="str">
        <f>'r.CFa'!C54</f>
        <v>Management Fees</v>
      </c>
      <c r="I31" s="1543"/>
      <c r="J31" s="1667">
        <f>'r.CFa'!D54</f>
        <v>2375000</v>
      </c>
      <c r="K31" s="1668" cm="1">
        <f t="array" ref="K31">IFERROR(J31/c_Acres.Total,"Incompl")</f>
        <v>2178.8990825688074</v>
      </c>
      <c r="L31" s="1669" cm="1">
        <f t="array" ref="L31">J31/c_FrontFeet</f>
        <v>21.376175689662933</v>
      </c>
      <c r="N31" s="1528" t="str">
        <v>Leveraged IRR</v>
      </c>
      <c r="O31" s="1581"/>
      <c r="P31" s="1582">
        <f ca="1">IFERROR(mWaterfall!H36,"Incompl")</f>
        <v>0.36349046826362619</v>
      </c>
      <c r="Q31" s="1583">
        <f ca="1">IFERROR(mWaterfall!I36,"Incompl")</f>
        <v>1.2272779583930973</v>
      </c>
      <c r="R31" s="1582">
        <f ca="1">IFERROR(mWaterfall!J36,"Incompl")</f>
        <v>0.26642361283302307</v>
      </c>
      <c r="S31" s="1295"/>
      <c r="X31" s="1577" t="s">
        <v>250</v>
      </c>
      <c r="Y31" s="1578"/>
      <c r="Z31" s="1578"/>
      <c r="AA31" s="1579"/>
      <c r="AB31" s="1584">
        <f>i.LandAcq!H21</f>
        <v>105000000</v>
      </c>
      <c r="AD31" s="220"/>
    </row>
    <row r="32" spans="1:30" ht="24" customHeight="1" thickTop="1" thickBot="1">
      <c r="A32" s="160"/>
      <c r="C32" s="1569" t="s">
        <v>513</v>
      </c>
      <c r="D32" s="1570"/>
      <c r="E32" s="1301"/>
      <c r="F32" s="1597"/>
      <c r="H32" s="1680" t="str">
        <f>'r.CFa'!C55</f>
        <v>General &amp; Administrative</v>
      </c>
      <c r="I32" s="1543"/>
      <c r="J32" s="1667">
        <f>'r.CFa'!D55</f>
        <v>395833.33333333326</v>
      </c>
      <c r="K32" s="1668" cm="1">
        <f t="array" ref="K32">IFERROR(J32/c_Acres.Total,"Incompl")</f>
        <v>363.14984709480115</v>
      </c>
      <c r="L32" s="1669" cm="1">
        <f t="array" ref="L32">J32/c_FrontFeet</f>
        <v>3.5626959482771547</v>
      </c>
      <c r="N32" s="1528" t="str">
        <v>Equity Multiple</v>
      </c>
      <c r="O32" s="1585"/>
      <c r="P32" s="1586">
        <f ca="1">IFERROR(mWaterfall!H37,"Incompl")</f>
        <v>3.2046518060776656</v>
      </c>
      <c r="Q32" s="1587">
        <f ca="1">IFERROR(mWaterfall!I37,"Incompl")</f>
        <v>11.606930117726748</v>
      </c>
      <c r="R32" s="1586">
        <f ca="1">IFERROR(mWaterfall!J37,"Incompl")</f>
        <v>2.762426631780345</v>
      </c>
      <c r="S32" s="1295"/>
      <c r="X32" s="1577" t="s">
        <v>293</v>
      </c>
      <c r="Y32" s="1578"/>
      <c r="Z32" s="1578"/>
      <c r="AA32" s="1579"/>
      <c r="AB32" s="1580">
        <f>AB31/AB30</f>
        <v>70000</v>
      </c>
      <c r="AD32" s="220"/>
    </row>
    <row r="33" spans="3:32" ht="24" customHeight="1" thickTop="1" thickBot="1">
      <c r="C33" s="1537" t="s">
        <v>527</v>
      </c>
      <c r="D33" s="1537"/>
      <c r="E33" s="1538" t="s">
        <v>267</v>
      </c>
      <c r="F33" s="1596"/>
      <c r="H33" s="1680" t="str">
        <f>'r.CFa'!C56</f>
        <v>Legal &amp; Accounting</v>
      </c>
      <c r="I33" s="1543"/>
      <c r="J33" s="1667">
        <f>'r.CFa'!D56</f>
        <v>79166.666666666672</v>
      </c>
      <c r="K33" s="1668" cm="1">
        <f t="array" ref="K33">IFERROR(J33/c_Acres.Total,"Incompl")</f>
        <v>72.629969418960243</v>
      </c>
      <c r="L33" s="1669" cm="1">
        <f t="array" ref="L33">J33/c_FrontFeet</f>
        <v>0.71253918965543106</v>
      </c>
      <c r="S33" s="1295"/>
      <c r="X33" s="1588" t="s">
        <v>302</v>
      </c>
      <c r="Y33" s="1589"/>
      <c r="Z33" s="1589"/>
      <c r="AA33" s="1575"/>
      <c r="AB33" s="1590"/>
    </row>
    <row r="34" spans="3:32" ht="24" customHeight="1" thickTop="1" thickBot="1">
      <c r="C34" s="1569" t="s">
        <v>564</v>
      </c>
      <c r="D34" s="1570"/>
      <c r="E34" s="1301">
        <v>300000</v>
      </c>
      <c r="F34" s="1597" t="s">
        <v>751</v>
      </c>
      <c r="H34" s="1680" t="str">
        <f>'r.CFa'!C57</f>
        <v>Other</v>
      </c>
      <c r="I34" s="1543"/>
      <c r="J34" s="1667">
        <f>'r.CFa'!D57</f>
        <v>0</v>
      </c>
      <c r="K34" s="1668" cm="1">
        <f t="array" ref="K34">IFERROR(J34/c_Acres.Total,"Incompl")</f>
        <v>0</v>
      </c>
      <c r="L34" s="1669" cm="1">
        <f t="array" ref="L34">J34/c_FrontFeet</f>
        <v>0</v>
      </c>
      <c r="S34" s="1295"/>
      <c r="X34" s="1577" t="s">
        <v>296</v>
      </c>
      <c r="Y34" s="1578"/>
      <c r="Z34" s="1578"/>
      <c r="AA34" s="1579"/>
      <c r="AB34" s="1580">
        <f>MAX(tbl_Planning[Area])</f>
        <v>4</v>
      </c>
    </row>
    <row r="35" spans="3:32" ht="24" customHeight="1" thickTop="1" thickBot="1">
      <c r="C35" s="1569" t="s">
        <v>12</v>
      </c>
      <c r="D35" s="1570"/>
      <c r="E35" s="1301">
        <v>50000</v>
      </c>
      <c r="F35" s="1597" t="s">
        <v>752</v>
      </c>
      <c r="H35" s="1680" t="str">
        <f>'r.CFa'!C58</f>
        <v>Acqusition Fee to GP [Land]</v>
      </c>
      <c r="I35" s="1543"/>
      <c r="J35" s="1667">
        <f>'r.CFa'!D58</f>
        <v>1050000</v>
      </c>
      <c r="K35" s="1668" cm="1">
        <f t="array" ref="K35">IFERROR(J35/c_Acres.Total,"Incompl")</f>
        <v>963.30275229357801</v>
      </c>
      <c r="L35" s="1669" cm="1">
        <f t="array" ref="L35">J35/c_FrontFeet</f>
        <v>9.4505197785878217</v>
      </c>
      <c r="S35" s="1295"/>
      <c r="X35" s="1577" t="s">
        <v>297</v>
      </c>
      <c r="Y35" s="1578"/>
      <c r="Z35" s="1578"/>
      <c r="AA35" s="1579"/>
      <c r="AB35" s="1580">
        <f ca="1">COUNTA(_xlfn.ANCHORARRAY(DATABASE!AP32))</f>
        <v>8</v>
      </c>
    </row>
    <row r="36" spans="3:32" ht="24" customHeight="1" thickTop="1" thickBot="1">
      <c r="C36" s="1569" t="s">
        <v>257</v>
      </c>
      <c r="D36" s="1570"/>
      <c r="E36" s="1301">
        <v>10000</v>
      </c>
      <c r="F36" s="1597"/>
      <c r="H36" s="1681" t="str">
        <f>'r.CFa'!C59</f>
        <v>Disposition Fee [Net Revenue]</v>
      </c>
      <c r="I36" s="1546"/>
      <c r="J36" s="1673">
        <f>'r.CFa'!D59</f>
        <v>3422346.9553270857</v>
      </c>
      <c r="K36" s="1674" cm="1">
        <f t="array" ref="K36">IFERROR(J36/c_Acres.Total,"Incompl")</f>
        <v>3139.767848923932</v>
      </c>
      <c r="L36" s="1675" cm="1">
        <f t="array" ref="L36">J36/c_FrontFeet</f>
        <v>30.80281675286518</v>
      </c>
      <c r="S36" s="1295"/>
      <c r="X36" s="1577" t="s">
        <v>67</v>
      </c>
      <c r="Y36" s="1578"/>
      <c r="Z36" s="1578"/>
      <c r="AA36" s="1579"/>
      <c r="AB36" s="1580">
        <f>COUNTA(tbl_Planning[Parcel ID])</f>
        <v>42</v>
      </c>
    </row>
    <row r="37" spans="3:32" ht="24" customHeight="1" thickTop="1" thickBot="1">
      <c r="C37" s="1569" t="s">
        <v>95</v>
      </c>
      <c r="D37" s="1570"/>
      <c r="E37" s="1301"/>
      <c r="F37" s="1597"/>
      <c r="H37" s="1685" t="str">
        <f>'r.CFa'!C60</f>
        <v>Total Project Overhead</v>
      </c>
      <c r="I37" s="1550"/>
      <c r="J37" s="1690">
        <f>'r.CFa'!D60</f>
        <v>7322346.9553270862</v>
      </c>
      <c r="K37" s="1691" cm="1">
        <f t="array" ref="K37">IFERROR(J37/c_Acres.Total,"Incompl")</f>
        <v>6717.7495003000795</v>
      </c>
      <c r="L37" s="1692" cm="1">
        <f t="array" ref="L37">J37/c_FrontFeet</f>
        <v>65.904747359048528</v>
      </c>
      <c r="N37" s="1594"/>
      <c r="S37" s="1295"/>
      <c r="X37" s="1577" t="s">
        <v>298</v>
      </c>
      <c r="Y37" s="1578"/>
      <c r="Z37" s="1578"/>
      <c r="AA37" s="1579"/>
      <c r="AB37" s="1580" cm="1">
        <f t="array" ref="AB37">c_Units.Total</f>
        <v>3416</v>
      </c>
    </row>
    <row r="38" spans="3:32" ht="24" customHeight="1" thickTop="1" thickBot="1">
      <c r="C38" s="1521" t="s">
        <v>528</v>
      </c>
      <c r="D38" s="1537"/>
      <c r="E38" s="1538" t="s">
        <v>36</v>
      </c>
      <c r="F38" s="1596"/>
      <c r="H38" s="1693" t="str">
        <f>'r.CFa'!C61</f>
        <v>Total Project Costs</v>
      </c>
      <c r="I38" s="1543"/>
      <c r="J38" s="1686">
        <f ca="1">J22+J23+J29+J37</f>
        <v>152099111.25525492</v>
      </c>
      <c r="K38" s="1694" cm="1">
        <f t="array" aca="1" ref="K38" ca="1">IFERROR(J38/c_Acres.Total,"Incompl")</f>
        <v>139540.46904151828</v>
      </c>
      <c r="L38" s="1695" cm="1">
        <f t="array" aca="1" ref="L38" ca="1">J38/c_FrontFeet</f>
        <v>1368.9672944984918</v>
      </c>
      <c r="S38" s="1295"/>
      <c r="X38" s="1577" t="s">
        <v>299</v>
      </c>
      <c r="Y38" s="1578"/>
      <c r="Z38" s="1578"/>
      <c r="AA38" s="1579"/>
      <c r="AB38" s="1591">
        <f>SUM(i.Planning!A9:A59)/AB37</f>
        <v>32.524882903981265</v>
      </c>
    </row>
    <row r="39" spans="3:32" ht="24" customHeight="1" thickTop="1" thickBot="1">
      <c r="C39" s="1569" t="s">
        <v>529</v>
      </c>
      <c r="D39" s="1570"/>
      <c r="E39" s="1303">
        <v>50</v>
      </c>
      <c r="F39" s="1597" t="s">
        <v>754</v>
      </c>
      <c r="H39" s="1696" t="s">
        <v>264</v>
      </c>
      <c r="I39" s="1697"/>
      <c r="J39" s="1698">
        <f ca="1">J20-J38</f>
        <v>176446196.45614529</v>
      </c>
      <c r="K39" s="1699" cm="1">
        <f t="array" aca="1" ref="K39" ca="1">IFERROR(J39/c_Acres.Total,"Incompl")</f>
        <v>161877.24445517917</v>
      </c>
      <c r="L39" s="1699" cm="1">
        <f t="array" aca="1" ref="L39" ca="1">J39/c_FrontFeet</f>
        <v>1588.1031137765654</v>
      </c>
      <c r="S39" s="1295"/>
      <c r="AD39" s="1295"/>
      <c r="AE39" s="1295"/>
      <c r="AF39" s="1295"/>
    </row>
    <row r="40" spans="3:32" ht="24" customHeight="1" thickTop="1" thickBot="1">
      <c r="C40" s="1569" t="s">
        <v>129</v>
      </c>
      <c r="D40" s="1570"/>
      <c r="E40" s="1303">
        <v>30</v>
      </c>
      <c r="F40" s="1597" t="s">
        <v>753</v>
      </c>
      <c r="S40" s="1295"/>
      <c r="AD40" s="1295"/>
      <c r="AE40" s="1295"/>
      <c r="AF40" s="1295"/>
    </row>
    <row r="41" spans="3:32" ht="24" customHeight="1" thickTop="1" thickBot="1">
      <c r="C41" s="1569" t="s">
        <v>512</v>
      </c>
      <c r="D41" s="1570"/>
      <c r="E41" s="1303"/>
      <c r="F41" s="1597"/>
      <c r="H41" s="1592" t="s">
        <v>680</v>
      </c>
      <c r="I41" s="1518"/>
      <c r="J41" s="1518"/>
      <c r="K41" s="1518"/>
      <c r="L41" s="1519"/>
      <c r="S41" s="1295"/>
      <c r="AD41" s="1295"/>
      <c r="AE41" s="1295"/>
      <c r="AF41" s="1295"/>
    </row>
    <row r="42" spans="3:32" ht="24" customHeight="1" thickTop="1" thickBot="1">
      <c r="C42" s="1569" t="s">
        <v>513</v>
      </c>
      <c r="D42" s="1570"/>
      <c r="E42" s="1301"/>
      <c r="F42" s="1597"/>
      <c r="H42" s="1209"/>
      <c r="I42" s="1299"/>
      <c r="J42" s="1299"/>
      <c r="K42" s="1299"/>
      <c r="L42" s="1299"/>
      <c r="S42" s="1295"/>
      <c r="AD42" s="1295"/>
      <c r="AE42" s="1295"/>
      <c r="AF42" s="1295"/>
    </row>
    <row r="43" spans="3:32" ht="24" customHeight="1" thickTop="1" thickBot="1">
      <c r="C43" s="1537" t="s">
        <v>532</v>
      </c>
      <c r="D43" s="1537"/>
      <c r="E43" s="1538"/>
      <c r="F43" s="1596"/>
      <c r="H43" s="1209"/>
      <c r="I43" s="1299"/>
      <c r="J43" s="1299"/>
      <c r="K43" s="1299"/>
      <c r="L43" s="1299"/>
      <c r="P43" s="1593"/>
      <c r="S43" s="1295"/>
      <c r="AD43" s="1295"/>
      <c r="AE43" s="1295"/>
      <c r="AF43" s="1295"/>
    </row>
    <row r="44" spans="3:32" ht="24" customHeight="1" thickTop="1" thickBot="1">
      <c r="C44" s="1569" t="s">
        <v>563</v>
      </c>
      <c r="D44" s="1570"/>
      <c r="E44" s="1300">
        <v>0.01</v>
      </c>
      <c r="F44" s="1597"/>
      <c r="H44" s="1209"/>
      <c r="I44" s="1299"/>
      <c r="J44" s="1299"/>
      <c r="K44" s="1299"/>
      <c r="L44" s="1299"/>
      <c r="S44" s="1295"/>
    </row>
    <row r="45" spans="3:32" ht="24" customHeight="1" thickTop="1" thickBot="1">
      <c r="C45" s="1569" t="s">
        <v>565</v>
      </c>
      <c r="D45" s="1570"/>
      <c r="E45" s="1300">
        <v>0.01</v>
      </c>
      <c r="F45" s="1597" t="s">
        <v>755</v>
      </c>
      <c r="H45" s="1209"/>
      <c r="I45" s="1299"/>
      <c r="J45" s="1299"/>
      <c r="K45" s="1299"/>
      <c r="L45" s="1299"/>
      <c r="S45" s="1295"/>
    </row>
    <row r="46" spans="3:32" ht="24" customHeight="1" thickTop="1" thickBot="1">
      <c r="H46" s="1209"/>
      <c r="I46" s="1299"/>
      <c r="J46" s="1299"/>
      <c r="K46" s="1299"/>
      <c r="L46" s="1299"/>
    </row>
    <row r="47" spans="3:32" ht="24" customHeight="1" thickTop="1" thickBot="1">
      <c r="H47" s="1209"/>
      <c r="I47" s="1299"/>
      <c r="J47" s="1299"/>
      <c r="K47" s="1299"/>
      <c r="L47" s="1299"/>
    </row>
    <row r="48" spans="3:32" ht="15" thickTop="1">
      <c r="H48"/>
      <c r="I48"/>
      <c r="J48"/>
      <c r="K48"/>
      <c r="L48"/>
    </row>
    <row r="49" spans="8:12" ht="14">
      <c r="H49"/>
      <c r="I49"/>
      <c r="J49"/>
      <c r="K49"/>
      <c r="L49"/>
    </row>
    <row r="50" spans="8:12" ht="14">
      <c r="H50"/>
      <c r="I50"/>
      <c r="J50"/>
      <c r="K50"/>
      <c r="L50"/>
    </row>
    <row r="51" spans="8:12" ht="14" hidden="1" customHeight="1">
      <c r="H51"/>
      <c r="I51"/>
      <c r="J51"/>
      <c r="K51"/>
      <c r="L51"/>
    </row>
    <row r="52" spans="8:12" ht="14" hidden="1" customHeight="1">
      <c r="H52"/>
      <c r="I52"/>
      <c r="J52"/>
      <c r="K52"/>
      <c r="L52"/>
    </row>
    <row r="53" spans="8:12" ht="14" hidden="1" customHeight="1">
      <c r="H53"/>
      <c r="I53"/>
      <c r="J53"/>
      <c r="K53"/>
      <c r="L53"/>
    </row>
  </sheetData>
  <sheetProtection formatCells="0" selectLockedCells="1"/>
  <mergeCells count="1">
    <mergeCell ref="S13:S15"/>
  </mergeCells>
  <pageMargins left="0.7" right="0.7" top="0.75" bottom="0.75" header="0.3" footer="0.3"/>
  <pageSetup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76701-A735-4DEE-A72F-967F5BA3939E}">
  <sheetPr codeName="Sheet16">
    <tabColor rgb="FF25FF88"/>
  </sheetPr>
  <dimension ref="A1:AA1048572"/>
  <sheetViews>
    <sheetView showGridLines="0" topLeftCell="B2" zoomScaleNormal="100" workbookViewId="0">
      <pane ySplit="3" topLeftCell="A5" activePane="bottomLeft" state="frozen"/>
      <selection activeCell="B2" sqref="B2"/>
      <selection pane="bottomLeft" activeCell="C6" sqref="C6:K21"/>
    </sheetView>
  </sheetViews>
  <sheetFormatPr baseColWidth="10" defaultColWidth="0" defaultRowHeight="0" customHeight="1" zeroHeight="1"/>
  <cols>
    <col min="1" max="1" width="11.5" style="1" hidden="1" customWidth="1"/>
    <col min="2" max="2" width="2.5" style="1034" customWidth="1"/>
    <col min="3" max="3" width="32.1640625" customWidth="1"/>
    <col min="4" max="4" width="11" customWidth="1"/>
    <col min="5" max="5" width="12" customWidth="1"/>
    <col min="6" max="6" width="10.6640625" customWidth="1"/>
    <col min="7" max="7" width="10.1640625" customWidth="1"/>
    <col min="8" max="9" width="17.33203125" customWidth="1"/>
    <col min="10" max="10" width="14" customWidth="1"/>
    <col min="11" max="11" width="11.6640625" customWidth="1"/>
    <col min="12" max="12" width="5" customWidth="1"/>
    <col min="13" max="13" width="14.1640625" customWidth="1"/>
    <col min="14" max="14" width="7.6640625" bestFit="1" customWidth="1"/>
    <col min="15" max="16" width="29.1640625" customWidth="1"/>
    <col min="17" max="17" width="10.83203125" customWidth="1"/>
    <col min="18" max="27" width="0" hidden="1" customWidth="1"/>
  </cols>
  <sheetData>
    <row r="1" spans="1:27" ht="16" hidden="1">
      <c r="A1" s="199" t="s">
        <v>159</v>
      </c>
      <c r="B1" s="89"/>
      <c r="C1" s="354"/>
      <c r="D1" s="354"/>
      <c r="E1" s="354"/>
      <c r="F1" s="354"/>
      <c r="G1" s="355"/>
      <c r="H1" s="354"/>
      <c r="I1" s="355"/>
      <c r="J1" s="354"/>
      <c r="K1" s="354"/>
      <c r="L1" s="354"/>
    </row>
    <row r="2" spans="1:27" ht="20">
      <c r="A2" s="1039"/>
      <c r="B2" s="1033" t="str">
        <f>i_Project.Name</f>
        <v>Peoria Lakes</v>
      </c>
      <c r="C2" s="144"/>
      <c r="D2" s="75"/>
      <c r="E2" s="144"/>
      <c r="F2" s="144"/>
      <c r="G2" s="144"/>
      <c r="H2" s="144"/>
      <c r="I2" s="144"/>
      <c r="J2" s="144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</row>
    <row r="3" spans="1:27" ht="16">
      <c r="A3" s="1040"/>
      <c r="B3" s="1035" t="str">
        <f>i_Project.Location</f>
        <v>Peoria Lakes</v>
      </c>
      <c r="C3" s="144"/>
      <c r="D3" s="75"/>
      <c r="E3" s="144"/>
      <c r="F3" s="144"/>
      <c r="G3" s="144"/>
      <c r="H3" s="75"/>
      <c r="I3" s="144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178"/>
      <c r="Z3" s="178"/>
      <c r="AA3" s="178"/>
    </row>
    <row r="4" spans="1:27" ht="7.25" customHeight="1">
      <c r="A4" s="1041"/>
      <c r="B4" s="1035"/>
      <c r="C4" s="144"/>
      <c r="D4" s="75"/>
      <c r="E4" s="144"/>
      <c r="F4" s="144"/>
      <c r="G4" s="144"/>
      <c r="H4" s="75"/>
      <c r="I4" s="144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</row>
    <row r="5" spans="1:27" ht="15" thickBot="1">
      <c r="B5"/>
    </row>
    <row r="6" spans="1:27" ht="34" customHeight="1" thickTop="1" thickBot="1">
      <c r="A6" s="1043"/>
      <c r="B6"/>
      <c r="C6" s="1094" t="s">
        <v>99</v>
      </c>
      <c r="D6" s="1094"/>
      <c r="E6" s="1094"/>
      <c r="F6" s="1094"/>
      <c r="G6" s="1094"/>
      <c r="H6" s="1094"/>
      <c r="I6" s="1094"/>
      <c r="J6" s="1094"/>
      <c r="K6" s="1094"/>
      <c r="M6" s="1094" t="s">
        <v>442</v>
      </c>
      <c r="N6" s="1094"/>
      <c r="O6" s="1094"/>
      <c r="P6" s="1094"/>
      <c r="R6" s="1094" t="s">
        <v>756</v>
      </c>
      <c r="S6" s="1094"/>
      <c r="T6" s="1094"/>
      <c r="U6" s="1094"/>
      <c r="V6" s="1094"/>
      <c r="W6" s="1094"/>
      <c r="X6" s="1094"/>
      <c r="Y6" s="1094"/>
      <c r="Z6" s="1094"/>
    </row>
    <row r="7" spans="1:27" ht="30" customHeight="1" thickTop="1" thickBot="1">
      <c r="A7" s="1044"/>
      <c r="B7"/>
      <c r="C7" s="1096" t="s">
        <v>100</v>
      </c>
      <c r="D7" s="756" t="s">
        <v>289</v>
      </c>
      <c r="E7" s="567" t="s">
        <v>6</v>
      </c>
      <c r="F7" s="567" t="s">
        <v>101</v>
      </c>
      <c r="G7" s="566" t="s">
        <v>128</v>
      </c>
      <c r="H7" s="756" t="s">
        <v>102</v>
      </c>
      <c r="I7" s="567" t="s">
        <v>288</v>
      </c>
      <c r="J7" s="1172" t="s">
        <v>103</v>
      </c>
      <c r="K7" s="1173"/>
      <c r="M7" s="566" t="s">
        <v>4</v>
      </c>
      <c r="N7" s="756" t="s">
        <v>48</v>
      </c>
      <c r="O7" s="567" t="s">
        <v>320</v>
      </c>
      <c r="P7" s="567" t="s">
        <v>105</v>
      </c>
      <c r="R7" s="1096" t="str" cm="1">
        <f t="array" ref="R7:Z7">C7:K7</f>
        <v>Seller</v>
      </c>
      <c r="S7" s="566" t="str">
        <v>Pmt#</v>
      </c>
      <c r="T7" s="566" t="str">
        <v>Date</v>
      </c>
      <c r="U7" s="567" t="str">
        <v>Land Conveyed</v>
      </c>
      <c r="V7" s="567" t="str">
        <v>$/AC</v>
      </c>
      <c r="W7" s="567" t="str">
        <v>Payment</v>
      </c>
      <c r="X7" s="567" t="str">
        <v>Analysis Period</v>
      </c>
      <c r="Y7" s="1172" t="str">
        <v>Notes</v>
      </c>
      <c r="Z7" s="1173">
        <v>0</v>
      </c>
    </row>
    <row r="8" spans="1:27" ht="20" customHeight="1" thickTop="1" thickBot="1">
      <c r="A8" s="1045" cm="1">
        <f t="array" ref="A8:A20">IF(tbl_LandAcq[Date]=0,"",YEAR(tbl_LandAcq[Date]))</f>
        <v>2025</v>
      </c>
      <c r="B8"/>
      <c r="C8" s="145" t="s">
        <v>609</v>
      </c>
      <c r="D8" s="141">
        <v>1</v>
      </c>
      <c r="E8" s="143">
        <v>45658</v>
      </c>
      <c r="F8" s="142">
        <v>1500</v>
      </c>
      <c r="G8" s="1207">
        <v>70000</v>
      </c>
      <c r="H8" s="359">
        <f>IFERROR(tbl_LandAcq[[#This Row],[$/AC]]*tbl_LandAcq[[#This Row],[Land Conveyed]],"")</f>
        <v>105000000</v>
      </c>
      <c r="I8" s="361">
        <f>IFERROR(LOOKUP(E8,list_Dates.ALL,list_Periods.ALL),"")</f>
        <v>13</v>
      </c>
      <c r="J8" s="985"/>
      <c r="K8" s="1047"/>
      <c r="M8" s="360" cm="1">
        <f t="array" ref="M8">IFERROR(_xlfn.UNIQUE(_xlfn._xlws.FILTER(_xlfn.ANCHORARRAY(A8),_xlfn.ANCHORARRAY(A8)&lt;&gt;"")),0)</f>
        <v>2025</v>
      </c>
      <c r="N8" s="360" cm="1">
        <f t="array" ref="N8">SUMIF(_xlfn.ANCHORARRAY(A8),_xlfn.ANCHORARRAY(M8),tbl_LandAcq[Land Conveyed])</f>
        <v>1500</v>
      </c>
      <c r="O8" s="360" cm="1">
        <f t="array" ref="O8">SUMIF(_xlfn.ANCHORARRAY($A$8),_xlfn.ANCHORARRAY($M8),tbl_LandAcq[Payment])</f>
        <v>105000000</v>
      </c>
      <c r="P8" s="360" cm="1">
        <f t="array" ref="P8">IFERROR(_xlfn.ANCHORARRAY(O8)/N8,0)</f>
        <v>70000</v>
      </c>
      <c r="R8" s="1097" t="str" cm="1">
        <f t="array" ref="R8">_xlfn._xlws.FILTER(tbl_LandAcq[Seller],tbl_LandAcq[Seller]&lt;&gt;0)</f>
        <v>ASLD</v>
      </c>
      <c r="S8" s="361" cm="1">
        <f t="array" ref="S8">_xlfn._xlws.FILTER(tbl_LandAcq[Pmt'#],tbl_LandAcq[Pmt'#]&lt;&gt;0)</f>
        <v>1</v>
      </c>
      <c r="T8" s="1098" cm="1">
        <f t="array" ref="T8">_xlfn._xlws.FILTER(tbl_LandAcq[Date],tbl_LandAcq[Date]&lt;&gt;0)</f>
        <v>45658</v>
      </c>
      <c r="U8" s="1099" cm="1">
        <f t="array" ref="U8">_xlfn._xlws.FILTER(tbl_LandAcq[Land Conveyed],tbl_LandAcq[Land Conveyed]&lt;&gt;0)</f>
        <v>1500</v>
      </c>
      <c r="V8" s="361" cm="1">
        <f t="array" ref="V8">_xlfn._xlws.FILTER(tbl_LandAcq[$/AC],tbl_LandAcq[$/AC]&lt;&gt;0)</f>
        <v>70000</v>
      </c>
      <c r="W8" s="361" cm="1">
        <f t="array" ref="W8">_xlfn._xlws.FILTER(tbl_LandAcq[Payment],tbl_LandAcq[Payment]&lt;&gt;0)</f>
        <v>105000000</v>
      </c>
      <c r="X8" s="361" cm="1">
        <f t="array" ref="X8">_xlfn._xlws.FILTER(tbl_LandAcq[Analysis Period],tbl_LandAcq[Analysis Period]&lt;&gt;"")</f>
        <v>13</v>
      </c>
      <c r="Y8" s="985"/>
      <c r="Z8" s="1047"/>
    </row>
    <row r="9" spans="1:27" ht="20" customHeight="1" thickTop="1" thickBot="1">
      <c r="A9" s="1045" t="str">
        <v/>
      </c>
      <c r="B9"/>
      <c r="C9" s="145"/>
      <c r="D9" s="141"/>
      <c r="E9" s="143"/>
      <c r="F9" s="142"/>
      <c r="G9" s="1207"/>
      <c r="H9" s="361">
        <f>IFERROR(tbl_LandAcq[[#This Row],[$/AC]]*tbl_LandAcq[[#This Row],[Land Conveyed]],"")</f>
        <v>0</v>
      </c>
      <c r="I9" s="361" t="str">
        <f>IFERROR(LOOKUP(E9,list_Dates.ALL,list_Periods.ALL),"")</f>
        <v/>
      </c>
      <c r="J9" s="985"/>
      <c r="K9" s="1047"/>
      <c r="R9" s="1097"/>
      <c r="S9" s="361"/>
      <c r="T9" s="1098"/>
      <c r="U9" s="1099"/>
      <c r="V9" s="361"/>
      <c r="W9" s="361"/>
      <c r="X9" s="361"/>
      <c r="Y9" s="985"/>
      <c r="Z9" s="1047"/>
    </row>
    <row r="10" spans="1:27" ht="20" customHeight="1" thickTop="1" thickBot="1">
      <c r="A10" s="1045" t="str">
        <v/>
      </c>
      <c r="B10"/>
      <c r="C10" s="146"/>
      <c r="D10" s="141"/>
      <c r="E10" s="143"/>
      <c r="F10" s="142"/>
      <c r="G10" s="1207"/>
      <c r="H10" s="361">
        <f>IFERROR(tbl_LandAcq[[#This Row],[$/AC]]*tbl_LandAcq[[#This Row],[Land Conveyed]],"")</f>
        <v>0</v>
      </c>
      <c r="I10" s="361" t="str">
        <f>IFERROR(LOOKUP(E10,list_Dates.ALL,list_Periods.ALL),"")</f>
        <v/>
      </c>
      <c r="J10" s="986"/>
      <c r="K10" s="1048"/>
      <c r="R10" s="1097"/>
      <c r="S10" s="361"/>
      <c r="T10" s="1098"/>
      <c r="U10" s="1099"/>
      <c r="V10" s="361"/>
      <c r="W10" s="361"/>
      <c r="X10" s="361"/>
      <c r="Y10" s="986"/>
      <c r="Z10" s="1048"/>
    </row>
    <row r="11" spans="1:27" ht="20" customHeight="1" thickTop="1" thickBot="1">
      <c r="A11" s="1045" t="str">
        <v/>
      </c>
      <c r="B11"/>
      <c r="C11" s="146"/>
      <c r="D11" s="141"/>
      <c r="E11" s="143"/>
      <c r="F11" s="142"/>
      <c r="G11" s="1207"/>
      <c r="H11" s="361">
        <f>IFERROR(tbl_LandAcq[[#This Row],[$/AC]]*tbl_LandAcq[[#This Row],[Land Conveyed]],"")</f>
        <v>0</v>
      </c>
      <c r="I11" s="361" t="str">
        <f>IFERROR(LOOKUP(E11,list_Dates.ALL,list_Periods.ALL),"")</f>
        <v/>
      </c>
      <c r="J11" s="986"/>
      <c r="K11" s="1048"/>
      <c r="R11" s="1097"/>
      <c r="S11" s="361"/>
      <c r="T11" s="1098"/>
      <c r="U11" s="1099"/>
      <c r="V11" s="361"/>
      <c r="W11" s="361"/>
      <c r="X11" s="361"/>
      <c r="Y11" s="986"/>
      <c r="Z11" s="1048"/>
    </row>
    <row r="12" spans="1:27" ht="20" customHeight="1" thickTop="1" thickBot="1">
      <c r="A12" s="1045" t="str">
        <v/>
      </c>
      <c r="B12"/>
      <c r="C12" s="146"/>
      <c r="D12" s="141"/>
      <c r="E12" s="143"/>
      <c r="F12" s="142"/>
      <c r="G12" s="1207"/>
      <c r="H12" s="361">
        <f>IFERROR(tbl_LandAcq[[#This Row],[$/AC]]*tbl_LandAcq[[#This Row],[Land Conveyed]],"")</f>
        <v>0</v>
      </c>
      <c r="I12" s="361" t="str">
        <f>IFERROR(LOOKUP(E12,list_Dates.ALL,list_Periods.ALL),"")</f>
        <v/>
      </c>
      <c r="J12" s="986"/>
      <c r="K12" s="1048"/>
      <c r="R12" s="1097"/>
      <c r="S12" s="361"/>
      <c r="T12" s="1098"/>
      <c r="U12" s="1099"/>
      <c r="V12" s="361"/>
      <c r="W12" s="361"/>
      <c r="X12" s="361"/>
      <c r="Y12" s="986"/>
      <c r="Z12" s="1048"/>
    </row>
    <row r="13" spans="1:27" ht="20" customHeight="1" thickTop="1" thickBot="1">
      <c r="A13" s="1045" t="str">
        <v/>
      </c>
      <c r="B13"/>
      <c r="C13" s="146"/>
      <c r="D13" s="141"/>
      <c r="E13" s="143"/>
      <c r="F13" s="142"/>
      <c r="G13" s="1207"/>
      <c r="H13" s="364">
        <f>IFERROR(tbl_LandAcq[[#This Row],[$/AC]]*tbl_LandAcq[[#This Row],[Land Conveyed]],"")</f>
        <v>0</v>
      </c>
      <c r="I13" s="364" t="str">
        <f>IFERROR(LOOKUP(E13,list_Dates.ALL,list_Periods.ALL),"")</f>
        <v/>
      </c>
      <c r="J13" s="986"/>
      <c r="K13" s="1048"/>
    </row>
    <row r="14" spans="1:27" ht="20" customHeight="1" thickTop="1" thickBot="1">
      <c r="A14" s="1045" t="str">
        <v/>
      </c>
      <c r="B14"/>
      <c r="C14" s="145"/>
      <c r="D14" s="141"/>
      <c r="E14" s="143"/>
      <c r="F14" s="142"/>
      <c r="G14" s="1207"/>
      <c r="H14" s="364">
        <f>IFERROR(tbl_LandAcq[[#This Row],[$/AC]]*tbl_LandAcq[[#This Row],[Land Conveyed]],"")</f>
        <v>0</v>
      </c>
      <c r="I14" s="364" t="str">
        <f>IFERROR(LOOKUP(E14,list_Dates.ALL,list_Periods.ALL),"")</f>
        <v/>
      </c>
      <c r="J14" s="985"/>
      <c r="K14" s="1047"/>
    </row>
    <row r="15" spans="1:27" ht="20" customHeight="1" thickTop="1" thickBot="1">
      <c r="A15" s="1045" t="str">
        <v/>
      </c>
      <c r="B15"/>
      <c r="C15" s="146"/>
      <c r="D15" s="141"/>
      <c r="E15" s="143"/>
      <c r="F15" s="142"/>
      <c r="G15" s="1207"/>
      <c r="H15" s="364">
        <f>IFERROR(tbl_LandAcq[[#This Row],[$/AC]]*tbl_LandAcq[[#This Row],[Land Conveyed]],"")</f>
        <v>0</v>
      </c>
      <c r="I15" s="364" t="str">
        <f>IFERROR(LOOKUP(E15,list_Dates.ALL,list_Periods.ALL),"")</f>
        <v/>
      </c>
      <c r="J15" s="987"/>
      <c r="K15" s="1049"/>
    </row>
    <row r="16" spans="1:27" ht="20" customHeight="1" thickTop="1" thickBot="1">
      <c r="A16" s="1045" t="str">
        <v/>
      </c>
      <c r="B16"/>
      <c r="C16" s="146"/>
      <c r="D16" s="141"/>
      <c r="E16" s="143"/>
      <c r="F16" s="142"/>
      <c r="G16" s="1207"/>
      <c r="H16" s="364">
        <f>IFERROR(tbl_LandAcq[[#This Row],[$/AC]]*tbl_LandAcq[[#This Row],[Land Conveyed]],"")</f>
        <v>0</v>
      </c>
      <c r="I16" s="364" t="str">
        <f>IFERROR(LOOKUP(E16,list_Dates.ALL,list_Periods.ALL),"")</f>
        <v/>
      </c>
      <c r="J16" s="987"/>
      <c r="K16" s="1049"/>
    </row>
    <row r="17" spans="1:11" ht="20" customHeight="1" thickTop="1" thickBot="1">
      <c r="A17" s="1045" t="str">
        <v/>
      </c>
      <c r="B17"/>
      <c r="C17" s="146"/>
      <c r="D17" s="141"/>
      <c r="E17" s="143"/>
      <c r="F17" s="142"/>
      <c r="G17" s="1207"/>
      <c r="H17" s="364">
        <f>IFERROR(tbl_LandAcq[[#This Row],[$/AC]]*tbl_LandAcq[[#This Row],[Land Conveyed]],"")</f>
        <v>0</v>
      </c>
      <c r="I17" s="364" t="str">
        <f>IFERROR(LOOKUP(E17,list_Dates.ALL,list_Periods.ALL),"")</f>
        <v/>
      </c>
      <c r="J17" s="987"/>
      <c r="K17" s="1049"/>
    </row>
    <row r="18" spans="1:11" ht="20" customHeight="1" thickTop="1" thickBot="1">
      <c r="A18" s="1045" t="str">
        <v/>
      </c>
      <c r="B18"/>
      <c r="C18" s="146"/>
      <c r="D18" s="141"/>
      <c r="E18" s="143"/>
      <c r="F18" s="142"/>
      <c r="G18" s="1207"/>
      <c r="H18" s="364">
        <f>IFERROR(tbl_LandAcq[[#This Row],[$/AC]]*tbl_LandAcq[[#This Row],[Land Conveyed]],"")</f>
        <v>0</v>
      </c>
      <c r="I18" s="364" t="str">
        <f>IFERROR(LOOKUP(E18,list_Dates.ALL,list_Periods.ALL),"")</f>
        <v/>
      </c>
      <c r="J18" s="987"/>
      <c r="K18" s="1049"/>
    </row>
    <row r="19" spans="1:11" ht="20" customHeight="1" thickTop="1" thickBot="1">
      <c r="A19" s="1045" t="str">
        <v/>
      </c>
      <c r="B19"/>
      <c r="C19" s="146"/>
      <c r="D19" s="141"/>
      <c r="E19" s="143"/>
      <c r="F19" s="142"/>
      <c r="G19" s="142"/>
      <c r="H19" s="364">
        <f>IFERROR(tbl_LandAcq[[#This Row],[$/AC]]*tbl_LandAcq[[#This Row],[Land Conveyed]],"")</f>
        <v>0</v>
      </c>
      <c r="I19" s="364" t="str">
        <f>IFERROR(LOOKUP(E19,list_Dates.ALL,list_Periods.ALL),"")</f>
        <v/>
      </c>
      <c r="J19" s="987"/>
      <c r="K19" s="1049"/>
    </row>
    <row r="20" spans="1:11" ht="20" customHeight="1" thickTop="1">
      <c r="A20" s="1045" t="str">
        <v/>
      </c>
      <c r="B20"/>
      <c r="C20" s="363"/>
      <c r="D20" s="513"/>
      <c r="E20" s="514"/>
      <c r="F20" s="515"/>
      <c r="G20" s="515"/>
      <c r="H20" s="516">
        <f>IFERROR(tbl_LandAcq[[#This Row],[$/AC]]*tbl_LandAcq[[#This Row],[Land Conveyed]],"")</f>
        <v>0</v>
      </c>
      <c r="I20" s="516" t="str">
        <f>IFERROR(LOOKUP(E20,list_Dates.ALL,list_Periods.ALL),"")</f>
        <v/>
      </c>
      <c r="J20" s="988"/>
      <c r="K20" s="1050"/>
    </row>
    <row r="21" spans="1:11" ht="21" customHeight="1">
      <c r="A21" s="1042"/>
      <c r="B21"/>
      <c r="C21" s="365" t="s">
        <v>1</v>
      </c>
      <c r="D21" s="508"/>
      <c r="E21" s="509"/>
      <c r="F21" s="510">
        <f>SUM(F8:F20)</f>
        <v>1500</v>
      </c>
      <c r="G21" s="511">
        <f>IFERROR(H21/F21,0)</f>
        <v>70000</v>
      </c>
      <c r="H21" s="512">
        <f>SUM(H8:H20)</f>
        <v>105000000</v>
      </c>
      <c r="I21" s="509"/>
      <c r="J21" s="509"/>
      <c r="K21" s="509"/>
    </row>
    <row r="22" spans="1:11" ht="21" customHeight="1">
      <c r="A22" s="1042"/>
      <c r="B22"/>
      <c r="C22" s="99"/>
      <c r="D22" s="99"/>
      <c r="E22" s="99"/>
      <c r="F22" s="99"/>
      <c r="G22" s="95"/>
      <c r="H22" s="99"/>
      <c r="I22" s="99"/>
      <c r="J22" s="357"/>
    </row>
    <row r="23" spans="1:11" ht="21" customHeight="1">
      <c r="B23"/>
    </row>
    <row r="24" spans="1:11" ht="21" customHeight="1">
      <c r="B24"/>
    </row>
    <row r="25" spans="1:11" ht="30" customHeight="1">
      <c r="B25"/>
    </row>
    <row r="26" spans="1:11" ht="21" hidden="1" customHeight="1">
      <c r="B26"/>
    </row>
    <row r="27" spans="1:11" ht="21" hidden="1" customHeight="1">
      <c r="B27"/>
    </row>
    <row r="28" spans="1:11" ht="21" hidden="1" customHeight="1">
      <c r="B28"/>
    </row>
    <row r="29" spans="1:11" ht="21" hidden="1" customHeight="1" thickBot="1">
      <c r="B29"/>
      <c r="H29" s="1046"/>
      <c r="I29" s="360"/>
      <c r="J29" s="360"/>
      <c r="K29" s="360"/>
    </row>
    <row r="30" spans="1:11" ht="22.25" hidden="1" customHeight="1" thickTop="1" thickBot="1">
      <c r="B30"/>
      <c r="H30" s="1046"/>
      <c r="I30" s="360"/>
      <c r="J30" s="360"/>
      <c r="K30" s="360"/>
    </row>
    <row r="31" spans="1:11" ht="22.25" hidden="1" customHeight="1" thickTop="1">
      <c r="B31"/>
    </row>
    <row r="32" spans="1:11" ht="27" hidden="1" customHeight="1">
      <c r="A32" s="1042"/>
      <c r="B32"/>
    </row>
    <row r="33" spans="1:12" ht="14" hidden="1">
      <c r="A33" s="1042"/>
    </row>
    <row r="34" spans="1:12" ht="16" hidden="1">
      <c r="A34" s="1042"/>
      <c r="K34" s="358"/>
      <c r="L34" s="99"/>
    </row>
    <row r="35" spans="1:12" ht="16" hidden="1">
      <c r="A35" s="1042"/>
      <c r="C35" s="99"/>
      <c r="D35" s="99"/>
      <c r="E35" s="99"/>
      <c r="F35" s="99"/>
      <c r="G35" s="357"/>
      <c r="H35" s="99"/>
      <c r="I35" s="99"/>
      <c r="J35" s="357"/>
      <c r="K35" s="358"/>
      <c r="L35" s="99"/>
    </row>
    <row r="36" spans="1:12" ht="16" hidden="1">
      <c r="A36" s="1042"/>
      <c r="C36" s="99"/>
      <c r="D36" s="99"/>
      <c r="E36" s="99"/>
      <c r="F36" s="99"/>
      <c r="G36" s="357"/>
      <c r="H36" s="99"/>
      <c r="I36" s="99"/>
      <c r="J36" s="357"/>
      <c r="K36" s="358"/>
      <c r="L36" s="99"/>
    </row>
    <row r="37" spans="1:12" ht="16" hidden="1">
      <c r="A37" s="1042"/>
      <c r="C37" s="99"/>
      <c r="D37" s="99"/>
      <c r="E37" s="99"/>
      <c r="F37" s="99"/>
      <c r="G37" s="357"/>
      <c r="H37" s="99"/>
      <c r="I37" s="99"/>
      <c r="J37" s="357"/>
      <c r="K37" s="358"/>
      <c r="L37" s="99"/>
    </row>
    <row r="38" spans="1:12" ht="16" hidden="1">
      <c r="A38" s="1042"/>
      <c r="C38" s="99"/>
      <c r="D38" s="99"/>
      <c r="E38" s="99"/>
      <c r="F38" s="99"/>
      <c r="G38" s="357"/>
      <c r="H38" s="99"/>
      <c r="I38" s="99"/>
      <c r="J38" s="357"/>
      <c r="K38" s="358"/>
      <c r="L38" s="99"/>
    </row>
    <row r="39" spans="1:12" ht="16" hidden="1">
      <c r="A39" s="1042"/>
      <c r="C39" s="99"/>
      <c r="D39" s="99"/>
      <c r="E39" s="99"/>
      <c r="F39" s="99"/>
      <c r="G39" s="357"/>
      <c r="H39" s="99"/>
      <c r="I39" s="99"/>
      <c r="J39" s="357"/>
      <c r="K39" s="358"/>
      <c r="L39" s="99"/>
    </row>
    <row r="40" spans="1:12" ht="16" hidden="1">
      <c r="A40" s="1042"/>
      <c r="C40" s="99"/>
      <c r="D40" s="99"/>
      <c r="E40" s="99"/>
      <c r="F40" s="99"/>
      <c r="G40" s="357"/>
      <c r="H40" s="99"/>
      <c r="I40" s="99"/>
      <c r="J40" s="357"/>
      <c r="K40" s="358"/>
      <c r="L40" s="99"/>
    </row>
    <row r="41" spans="1:12" ht="16" hidden="1">
      <c r="A41" s="1042"/>
      <c r="C41" s="99"/>
      <c r="D41" s="99"/>
      <c r="E41" s="99"/>
      <c r="F41" s="99"/>
      <c r="G41" s="357"/>
      <c r="H41" s="99"/>
      <c r="I41" s="99"/>
      <c r="J41" s="357"/>
      <c r="K41" s="358"/>
      <c r="L41" s="99"/>
    </row>
    <row r="42" spans="1:12" ht="16" hidden="1">
      <c r="A42" s="1042"/>
      <c r="C42" s="99"/>
      <c r="D42" s="99"/>
      <c r="E42" s="99"/>
      <c r="F42" s="99"/>
      <c r="G42" s="357"/>
      <c r="H42" s="99"/>
      <c r="I42" s="99"/>
      <c r="J42" s="357"/>
      <c r="K42" s="358"/>
      <c r="L42" s="99"/>
    </row>
    <row r="43" spans="1:12" ht="16" hidden="1">
      <c r="A43" s="1042"/>
      <c r="C43" s="99"/>
      <c r="D43" s="99"/>
      <c r="E43" s="99"/>
      <c r="F43" s="99"/>
      <c r="G43" s="357"/>
      <c r="H43" s="99"/>
      <c r="I43" s="99"/>
      <c r="J43" s="357"/>
      <c r="K43" s="358"/>
      <c r="L43" s="99"/>
    </row>
    <row r="44" spans="1:12" ht="16" hidden="1">
      <c r="A44" s="1042"/>
      <c r="C44" s="99"/>
      <c r="D44" s="99"/>
      <c r="E44" s="99"/>
      <c r="F44" s="99"/>
      <c r="G44" s="357"/>
      <c r="H44" s="99"/>
      <c r="I44" s="99"/>
      <c r="J44" s="357"/>
      <c r="K44" s="358"/>
      <c r="L44" s="99"/>
    </row>
    <row r="45" spans="1:12" ht="16" hidden="1">
      <c r="A45" s="1042"/>
      <c r="C45" s="99"/>
      <c r="D45" s="99"/>
      <c r="E45" s="99"/>
      <c r="F45" s="99"/>
      <c r="G45" s="357"/>
      <c r="H45" s="99"/>
      <c r="I45" s="99"/>
      <c r="J45" s="357"/>
      <c r="K45" s="358"/>
      <c r="L45" s="99"/>
    </row>
    <row r="46" spans="1:12" ht="16" hidden="1">
      <c r="A46" s="1042"/>
      <c r="C46" s="99"/>
      <c r="D46" s="99"/>
      <c r="E46" s="99"/>
      <c r="F46" s="99"/>
      <c r="G46" s="357"/>
      <c r="H46" s="99"/>
      <c r="I46" s="99"/>
      <c r="J46" s="357"/>
      <c r="K46" s="358"/>
      <c r="L46" s="99"/>
    </row>
    <row r="47" spans="1:12" ht="16" hidden="1">
      <c r="A47" s="1042"/>
      <c r="C47" s="99"/>
      <c r="D47" s="99"/>
      <c r="E47" s="99"/>
      <c r="F47" s="99"/>
      <c r="G47" s="357"/>
      <c r="H47" s="99"/>
      <c r="I47" s="99"/>
      <c r="J47" s="357"/>
      <c r="K47" s="358"/>
      <c r="L47" s="99"/>
    </row>
    <row r="48" spans="1:12" ht="16" hidden="1">
      <c r="A48" s="1042"/>
      <c r="C48" s="99"/>
      <c r="D48" s="99"/>
      <c r="E48" s="99"/>
      <c r="F48" s="99"/>
      <c r="G48" s="357"/>
      <c r="H48" s="99"/>
      <c r="I48" s="99"/>
      <c r="J48" s="357"/>
      <c r="K48" s="358"/>
      <c r="L48" s="99"/>
    </row>
    <row r="49" spans="1:12" ht="16" hidden="1">
      <c r="A49" s="1042"/>
      <c r="C49" s="99"/>
      <c r="D49" s="99"/>
      <c r="E49" s="99"/>
      <c r="F49" s="99"/>
      <c r="G49" s="357"/>
      <c r="H49" s="99"/>
      <c r="I49" s="99"/>
      <c r="J49" s="357"/>
      <c r="K49" s="358"/>
      <c r="L49" s="99"/>
    </row>
    <row r="50" spans="1:12" ht="16" hidden="1">
      <c r="A50" s="1042"/>
      <c r="C50" s="99"/>
      <c r="D50" s="99"/>
      <c r="E50" s="99"/>
      <c r="F50" s="99"/>
      <c r="G50" s="357"/>
      <c r="H50" s="99"/>
      <c r="I50" s="99"/>
      <c r="J50" s="357"/>
      <c r="K50" s="358"/>
      <c r="L50" s="99"/>
    </row>
    <row r="51" spans="1:12" ht="16" hidden="1">
      <c r="A51" s="1042"/>
      <c r="C51" s="99"/>
      <c r="D51" s="99"/>
      <c r="E51" s="99"/>
      <c r="F51" s="99"/>
      <c r="G51" s="357"/>
      <c r="H51" s="99"/>
      <c r="I51" s="99"/>
      <c r="J51" s="357"/>
      <c r="K51" s="358"/>
      <c r="L51" s="99"/>
    </row>
    <row r="52" spans="1:12" ht="16" hidden="1">
      <c r="A52" s="1042"/>
      <c r="C52" s="99"/>
      <c r="D52" s="99"/>
      <c r="E52" s="99"/>
      <c r="F52" s="99"/>
      <c r="G52" s="357"/>
      <c r="H52" s="99"/>
      <c r="I52" s="99"/>
      <c r="J52" s="357"/>
      <c r="K52" s="358"/>
      <c r="L52" s="99"/>
    </row>
    <row r="53" spans="1:12" ht="16" hidden="1">
      <c r="A53" s="1042"/>
      <c r="C53" s="99"/>
      <c r="D53" s="99"/>
      <c r="E53" s="99"/>
      <c r="F53" s="99"/>
      <c r="G53" s="357"/>
      <c r="H53" s="99"/>
      <c r="I53" s="99"/>
      <c r="J53" s="357"/>
      <c r="K53" s="358"/>
      <c r="L53" s="99"/>
    </row>
    <row r="54" spans="1:12" ht="16" hidden="1">
      <c r="A54" s="1042"/>
      <c r="C54" s="99"/>
      <c r="D54" s="99"/>
      <c r="E54" s="99"/>
      <c r="F54" s="99"/>
      <c r="G54" s="357"/>
      <c r="H54" s="99"/>
      <c r="I54" s="99"/>
      <c r="J54" s="357"/>
      <c r="K54" s="358"/>
      <c r="L54" s="99"/>
    </row>
    <row r="55" spans="1:12" ht="16" hidden="1">
      <c r="A55" s="1042"/>
      <c r="C55" s="99"/>
      <c r="D55" s="99"/>
      <c r="E55" s="99"/>
      <c r="F55" s="99"/>
      <c r="G55" s="357"/>
      <c r="H55" s="99"/>
      <c r="I55" s="99"/>
      <c r="J55" s="357"/>
      <c r="K55" s="358"/>
      <c r="L55" s="99"/>
    </row>
    <row r="56" spans="1:12" ht="16" hidden="1">
      <c r="A56" s="1042"/>
      <c r="C56" s="99"/>
      <c r="D56" s="99"/>
      <c r="E56" s="99"/>
      <c r="F56" s="99"/>
      <c r="G56" s="357"/>
      <c r="H56" s="99"/>
      <c r="I56" s="99"/>
      <c r="J56" s="357"/>
      <c r="K56" s="358"/>
      <c r="L56" s="99"/>
    </row>
    <row r="57" spans="1:12" ht="16" hidden="1">
      <c r="A57" s="1042"/>
      <c r="C57" s="99"/>
      <c r="D57" s="99"/>
      <c r="E57" s="99"/>
      <c r="F57" s="99"/>
      <c r="G57" s="357"/>
      <c r="H57" s="99"/>
      <c r="I57" s="99"/>
      <c r="J57" s="357"/>
      <c r="K57" s="358"/>
      <c r="L57" s="99"/>
    </row>
    <row r="58" spans="1:12" ht="16" hidden="1">
      <c r="A58" s="1042"/>
      <c r="C58" s="99"/>
      <c r="D58" s="99"/>
      <c r="E58" s="99"/>
      <c r="F58" s="99"/>
      <c r="G58" s="357"/>
      <c r="H58" s="99"/>
      <c r="I58" s="99"/>
      <c r="J58" s="357"/>
      <c r="K58" s="358"/>
      <c r="L58" s="99"/>
    </row>
    <row r="59" spans="1:12" ht="16" hidden="1">
      <c r="A59" s="1042"/>
      <c r="C59" s="99"/>
      <c r="D59" s="99"/>
      <c r="E59" s="99"/>
      <c r="F59" s="99"/>
      <c r="G59" s="357"/>
      <c r="H59" s="99"/>
      <c r="I59" s="99"/>
      <c r="J59" s="357"/>
      <c r="K59" s="358"/>
      <c r="L59" s="99"/>
    </row>
    <row r="60" spans="1:12" ht="16" hidden="1">
      <c r="A60" s="1042"/>
      <c r="C60" s="99"/>
      <c r="D60" s="99"/>
      <c r="E60" s="99"/>
      <c r="F60" s="99"/>
      <c r="G60" s="357"/>
      <c r="H60" s="99"/>
      <c r="I60" s="99"/>
      <c r="J60" s="357"/>
      <c r="K60" s="358"/>
      <c r="L60" s="99"/>
    </row>
    <row r="61" spans="1:12" ht="16" hidden="1">
      <c r="A61" s="1042"/>
      <c r="C61" s="99"/>
      <c r="D61" s="99"/>
      <c r="E61" s="99"/>
      <c r="F61" s="99"/>
      <c r="G61" s="357"/>
      <c r="H61" s="99"/>
      <c r="I61" s="99"/>
      <c r="J61" s="357"/>
      <c r="K61" s="358"/>
      <c r="L61" s="99"/>
    </row>
    <row r="62" spans="1:12" ht="16" hidden="1">
      <c r="A62" s="1042"/>
      <c r="C62" s="99"/>
      <c r="D62" s="99"/>
      <c r="E62" s="99"/>
      <c r="F62" s="99"/>
      <c r="G62" s="357"/>
      <c r="H62" s="99"/>
      <c r="I62" s="99"/>
      <c r="J62" s="357"/>
      <c r="K62" s="358"/>
      <c r="L62" s="99"/>
    </row>
    <row r="63" spans="1:12" ht="16" hidden="1">
      <c r="A63" s="1042"/>
      <c r="C63" s="99"/>
      <c r="D63" s="99"/>
      <c r="E63" s="99"/>
      <c r="F63" s="99"/>
      <c r="G63" s="357"/>
      <c r="H63" s="99"/>
      <c r="I63" s="99"/>
      <c r="J63" s="357"/>
      <c r="K63" s="358"/>
      <c r="L63" s="99"/>
    </row>
    <row r="64" spans="1:12" ht="16" hidden="1">
      <c r="A64" s="1042"/>
      <c r="C64" s="99"/>
      <c r="D64" s="99"/>
      <c r="E64" s="99"/>
      <c r="F64" s="99"/>
      <c r="G64" s="357"/>
      <c r="H64" s="99"/>
      <c r="I64" s="99"/>
      <c r="J64" s="357"/>
      <c r="K64" s="358"/>
      <c r="L64" s="99"/>
    </row>
    <row r="65" spans="1:12" ht="16" hidden="1">
      <c r="A65" s="1042"/>
      <c r="C65" s="99"/>
      <c r="D65" s="99"/>
      <c r="E65" s="99"/>
      <c r="F65" s="99"/>
      <c r="G65" s="357"/>
      <c r="H65" s="99"/>
      <c r="I65" s="99"/>
      <c r="J65" s="357"/>
      <c r="K65" s="358"/>
      <c r="L65" s="99"/>
    </row>
    <row r="66" spans="1:12" ht="16" hidden="1">
      <c r="A66" s="1042"/>
      <c r="C66" s="99"/>
      <c r="D66" s="99"/>
      <c r="E66" s="99"/>
      <c r="F66" s="99"/>
      <c r="G66" s="357"/>
      <c r="H66" s="99"/>
      <c r="I66" s="99"/>
      <c r="J66" s="357"/>
      <c r="K66" s="358"/>
      <c r="L66" s="99"/>
    </row>
    <row r="67" spans="1:12" ht="16" hidden="1">
      <c r="A67" s="1042"/>
      <c r="C67" s="99"/>
      <c r="D67" s="99"/>
      <c r="E67" s="99"/>
      <c r="F67" s="99"/>
      <c r="G67" s="357"/>
      <c r="H67" s="99"/>
      <c r="I67" s="99"/>
      <c r="J67" s="357"/>
      <c r="K67" s="358"/>
      <c r="L67" s="99"/>
    </row>
    <row r="68" spans="1:12" ht="16" hidden="1">
      <c r="A68" s="1042"/>
      <c r="C68" s="99"/>
      <c r="D68" s="99"/>
      <c r="E68" s="99"/>
      <c r="F68" s="99"/>
      <c r="G68" s="357"/>
      <c r="H68" s="99"/>
      <c r="I68" s="99"/>
      <c r="J68" s="357"/>
      <c r="K68" s="358"/>
      <c r="L68" s="99"/>
    </row>
    <row r="69" spans="1:12" ht="16" hidden="1">
      <c r="A69" s="1042"/>
      <c r="C69" s="99"/>
      <c r="D69" s="99"/>
      <c r="E69" s="99"/>
      <c r="F69" s="99"/>
      <c r="G69" s="357"/>
      <c r="H69" s="99"/>
      <c r="I69" s="99"/>
      <c r="J69" s="357"/>
      <c r="K69" s="358"/>
      <c r="L69" s="99"/>
    </row>
    <row r="70" spans="1:12" ht="16" hidden="1">
      <c r="A70" s="1042"/>
      <c r="C70" s="99"/>
      <c r="D70" s="99"/>
      <c r="E70" s="99"/>
      <c r="F70" s="99"/>
      <c r="G70" s="357"/>
      <c r="H70" s="99"/>
      <c r="I70" s="99"/>
      <c r="J70" s="357"/>
      <c r="K70" s="358"/>
      <c r="L70" s="99"/>
    </row>
    <row r="71" spans="1:12" ht="16" hidden="1">
      <c r="A71" s="1042"/>
      <c r="C71" s="99"/>
      <c r="D71" s="99"/>
      <c r="E71" s="99"/>
      <c r="F71" s="99"/>
      <c r="G71" s="357"/>
      <c r="H71" s="99"/>
      <c r="I71" s="99"/>
      <c r="J71" s="357"/>
      <c r="K71" s="358"/>
      <c r="L71" s="99"/>
    </row>
    <row r="72" spans="1:12" ht="16" hidden="1">
      <c r="A72" s="1042"/>
      <c r="C72" s="99"/>
      <c r="D72" s="99"/>
      <c r="E72" s="99"/>
      <c r="F72" s="99"/>
      <c r="G72" s="357"/>
      <c r="H72" s="99"/>
      <c r="I72" s="99"/>
      <c r="J72" s="357"/>
      <c r="K72" s="358"/>
      <c r="L72" s="99"/>
    </row>
    <row r="73" spans="1:12" ht="16" hidden="1">
      <c r="A73" s="1042"/>
      <c r="C73" s="99"/>
      <c r="D73" s="99"/>
      <c r="E73" s="99"/>
      <c r="F73" s="99"/>
      <c r="G73" s="357"/>
      <c r="H73" s="99"/>
      <c r="I73" s="99"/>
      <c r="J73" s="357"/>
      <c r="K73" s="358"/>
      <c r="L73" s="99"/>
    </row>
    <row r="74" spans="1:12" ht="16" hidden="1">
      <c r="A74" s="1042"/>
      <c r="C74" s="99"/>
      <c r="D74" s="99"/>
      <c r="E74" s="99"/>
      <c r="F74" s="99"/>
      <c r="G74" s="357"/>
      <c r="H74" s="99"/>
      <c r="I74" s="99"/>
      <c r="J74" s="357"/>
      <c r="K74" s="358"/>
      <c r="L74" s="99"/>
    </row>
    <row r="75" spans="1:12" ht="16" hidden="1">
      <c r="A75" s="1042"/>
      <c r="C75" s="99"/>
      <c r="D75" s="99"/>
      <c r="E75" s="99"/>
      <c r="F75" s="99"/>
      <c r="G75" s="357"/>
      <c r="H75" s="99"/>
      <c r="I75" s="99"/>
      <c r="J75" s="357"/>
      <c r="K75" s="358"/>
      <c r="L75" s="99"/>
    </row>
    <row r="76" spans="1:12" ht="16" hidden="1">
      <c r="A76" s="1042"/>
      <c r="C76" s="99"/>
      <c r="D76" s="99"/>
      <c r="E76" s="99"/>
      <c r="F76" s="99"/>
      <c r="G76" s="357"/>
      <c r="H76" s="99"/>
      <c r="I76" s="99"/>
      <c r="J76" s="357"/>
      <c r="K76" s="358"/>
      <c r="L76" s="99"/>
    </row>
    <row r="77" spans="1:12" ht="16" hidden="1">
      <c r="A77" s="1042"/>
      <c r="C77" s="99"/>
      <c r="D77" s="99"/>
      <c r="E77" s="99"/>
      <c r="F77" s="99"/>
      <c r="G77" s="357"/>
      <c r="H77" s="99"/>
      <c r="I77" s="99"/>
      <c r="J77" s="357"/>
      <c r="K77" s="358"/>
      <c r="L77" s="99"/>
    </row>
    <row r="78" spans="1:12" ht="16" hidden="1">
      <c r="A78" s="1042"/>
      <c r="C78" s="99"/>
      <c r="D78" s="99"/>
      <c r="E78" s="99"/>
      <c r="F78" s="99"/>
      <c r="G78" s="357"/>
      <c r="H78" s="99"/>
      <c r="I78" s="99"/>
      <c r="J78" s="357"/>
      <c r="K78" s="358"/>
      <c r="L78" s="99"/>
    </row>
    <row r="79" spans="1:12" ht="16" hidden="1">
      <c r="A79" s="1042"/>
      <c r="C79" s="99"/>
      <c r="D79" s="99"/>
      <c r="E79" s="99"/>
      <c r="F79" s="99"/>
      <c r="G79" s="357"/>
      <c r="H79" s="99"/>
      <c r="I79" s="99"/>
      <c r="J79" s="357"/>
      <c r="K79" s="358"/>
      <c r="L79" s="99"/>
    </row>
    <row r="80" spans="1:12" ht="16" hidden="1">
      <c r="A80" s="1042"/>
      <c r="C80" s="99"/>
      <c r="D80" s="99"/>
      <c r="E80" s="99"/>
      <c r="F80" s="99"/>
      <c r="G80" s="357"/>
      <c r="H80" s="99"/>
      <c r="I80" s="99"/>
      <c r="J80" s="357"/>
      <c r="K80" s="358"/>
      <c r="L80" s="99"/>
    </row>
    <row r="81" spans="1:12" ht="16" hidden="1">
      <c r="A81" s="1042"/>
      <c r="C81" s="99"/>
      <c r="D81" s="99"/>
      <c r="E81" s="99"/>
      <c r="F81" s="99"/>
      <c r="G81" s="357"/>
      <c r="H81" s="99"/>
      <c r="I81" s="99"/>
      <c r="J81" s="357"/>
      <c r="K81" s="358"/>
      <c r="L81" s="99"/>
    </row>
    <row r="82" spans="1:12" ht="16" hidden="1">
      <c r="A82" s="1042"/>
      <c r="C82" s="99"/>
      <c r="D82" s="99"/>
      <c r="E82" s="99"/>
      <c r="F82" s="99"/>
      <c r="G82" s="357"/>
      <c r="H82" s="362" t="s">
        <v>159</v>
      </c>
      <c r="I82" s="99"/>
      <c r="J82" s="357"/>
      <c r="K82" s="358"/>
      <c r="L82" s="99"/>
    </row>
    <row r="83" spans="1:12" ht="13.5" hidden="1" customHeight="1"/>
    <row r="84" spans="1:12" ht="13.5" hidden="1" customHeight="1"/>
    <row r="85" spans="1:12" ht="13.5" hidden="1" customHeight="1"/>
    <row r="86" spans="1:12" ht="13.5" hidden="1" customHeight="1"/>
    <row r="87" spans="1:12" ht="13.5" hidden="1" customHeight="1"/>
    <row r="88" spans="1:12" ht="13.5" hidden="1" customHeight="1"/>
    <row r="89" spans="1:12" ht="13.5" hidden="1" customHeight="1"/>
    <row r="90" spans="1:12" ht="13.5" hidden="1" customHeight="1"/>
    <row r="91" spans="1:12" ht="13.5" hidden="1" customHeight="1"/>
    <row r="92" spans="1:12" ht="13.5" hidden="1" customHeight="1"/>
    <row r="93" spans="1:12" ht="13.5" hidden="1" customHeight="1"/>
    <row r="94" spans="1:12" ht="13.5" hidden="1" customHeight="1"/>
    <row r="95" spans="1:12" ht="13.5" hidden="1" customHeight="1"/>
    <row r="96" spans="1:12" ht="13.5" hidden="1" customHeight="1"/>
    <row r="97" ht="13.5" hidden="1" customHeight="1"/>
    <row r="98" ht="13.5" hidden="1" customHeight="1"/>
    <row r="99" ht="13.5" hidden="1" customHeight="1"/>
    <row r="100" ht="13.5" hidden="1" customHeight="1"/>
    <row r="101" ht="13.5" hidden="1" customHeight="1"/>
    <row r="102" ht="13.5" hidden="1" customHeight="1"/>
    <row r="103" ht="13.5" hidden="1" customHeight="1"/>
    <row r="104" ht="13.5" hidden="1" customHeight="1"/>
    <row r="105" ht="13.5" hidden="1" customHeight="1"/>
    <row r="106" ht="13.5" hidden="1" customHeight="1"/>
    <row r="107" ht="13.5" hidden="1" customHeight="1"/>
    <row r="108" ht="13.5" hidden="1" customHeight="1"/>
    <row r="109" ht="13.5" hidden="1" customHeight="1"/>
    <row r="110" ht="13.5" hidden="1" customHeight="1"/>
    <row r="111" ht="13.5" hidden="1" customHeight="1"/>
    <row r="112" ht="13.5" hidden="1" customHeight="1"/>
    <row r="1048572" spans="4:4" ht="0" hidden="1" customHeight="1">
      <c r="D1048572">
        <v>4</v>
      </c>
    </row>
  </sheetData>
  <sheetProtection formatCells="0" selectLockedCells="1"/>
  <conditionalFormatting sqref="H29:K30">
    <cfRule type="expression" dxfId="56" priority="167">
      <formula>$H29=0</formula>
    </cfRule>
  </conditionalFormatting>
  <conditionalFormatting sqref="M8:P8">
    <cfRule type="expression" dxfId="55" priority="192">
      <formula>$M8=0</formula>
    </cfRule>
  </conditionalFormatting>
  <conditionalFormatting sqref="K34:L34">
    <cfRule type="expression" dxfId="54" priority="193">
      <formula>$O7=0</formula>
    </cfRule>
  </conditionalFormatting>
  <hyperlinks>
    <hyperlink ref="H82" location="Index" display="Back to Index" xr:uid="{2DFDF414-66A4-4BE3-B7F0-4919E0228A6F}"/>
    <hyperlink ref="A1" location="Index" display="Back to Index" xr:uid="{62AAAE8B-64DE-42C2-8309-63932CC35AAB}"/>
  </hyperlinks>
  <pageMargins left="0.7" right="0.7" top="0.75" bottom="0.75" header="0.3" footer="0.3"/>
  <pageSetup orientation="portrait" r:id="rId1"/>
  <picture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15B90-962C-46D0-AE60-78EC6A534BED}">
  <sheetPr codeName="Sheet8">
    <tabColor rgb="FF25FF88"/>
  </sheetPr>
  <dimension ref="A2:AZ102"/>
  <sheetViews>
    <sheetView showGridLines="0" zoomScale="140" zoomScaleNormal="140" workbookViewId="0">
      <pane xSplit="3" ySplit="4" topLeftCell="G5" activePane="bottomRight" state="frozen"/>
      <selection activeCell="C2" sqref="C2"/>
      <selection pane="topRight" activeCell="D2" sqref="D2"/>
      <selection pane="bottomLeft" activeCell="C5" sqref="C5"/>
      <selection pane="bottomRight" activeCell="P6" sqref="P6:S14"/>
    </sheetView>
  </sheetViews>
  <sheetFormatPr baseColWidth="10" defaultColWidth="0" defaultRowHeight="14" zeroHeight="1"/>
  <cols>
    <col min="1" max="1" width="7.5" hidden="1" customWidth="1"/>
    <col min="2" max="2" width="7.1640625" hidden="1" customWidth="1"/>
    <col min="3" max="3" width="2.5" customWidth="1"/>
    <col min="4" max="6" width="6.5" customWidth="1"/>
    <col min="7" max="8" width="11.6640625" customWidth="1"/>
    <col min="9" max="9" width="9" style="28" customWidth="1"/>
    <col min="10" max="11" width="9" customWidth="1"/>
    <col min="12" max="13" width="8.5" customWidth="1"/>
    <col min="14" max="15" width="2.5" customWidth="1"/>
    <col min="16" max="16" width="11.6640625" customWidth="1"/>
    <col min="17" max="17" width="29.5" bestFit="1" customWidth="1"/>
    <col min="18" max="18" width="9.83203125" customWidth="1"/>
    <col min="19" max="19" width="11.6640625" customWidth="1"/>
    <col min="20" max="20" width="2.6640625" customWidth="1"/>
    <col min="21" max="23" width="7.6640625" customWidth="1"/>
    <col min="24" max="24" width="8.5" customWidth="1"/>
    <col min="25" max="25" width="10.83203125" customWidth="1"/>
    <col min="26" max="26" width="6.5" customWidth="1"/>
    <col min="27" max="27" width="6.1640625" customWidth="1"/>
    <col min="28" max="28" width="8" customWidth="1"/>
    <col min="29" max="29" width="11" customWidth="1"/>
    <col min="30" max="32" width="8.83203125" customWidth="1"/>
    <col min="33" max="33" width="9" customWidth="1"/>
    <col min="34" max="34" width="13.1640625" customWidth="1"/>
    <col min="35" max="39" width="11.5" customWidth="1"/>
    <col min="40" max="40" width="2" hidden="1" customWidth="1"/>
    <col min="41" max="52" width="7.83203125" hidden="1" customWidth="1"/>
    <col min="53" max="16384" width="9" hidden="1"/>
  </cols>
  <sheetData>
    <row r="2" spans="1:41" ht="20">
      <c r="A2" s="119"/>
      <c r="B2" s="119"/>
      <c r="C2" s="1033" t="str">
        <f>i_Project.Name</f>
        <v>Peoria Lakes</v>
      </c>
      <c r="D2" s="29"/>
      <c r="E2" s="75"/>
      <c r="F2" s="29"/>
      <c r="G2" s="29"/>
      <c r="H2" s="29"/>
      <c r="I2" s="74"/>
      <c r="J2" s="74"/>
      <c r="K2" s="76"/>
      <c r="L2" s="76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92"/>
      <c r="AC2" s="92"/>
      <c r="AD2" s="150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</row>
    <row r="3" spans="1:41" ht="16">
      <c r="A3" s="120"/>
      <c r="B3" s="120"/>
      <c r="C3" s="1035" t="str">
        <f>i_Project.Location</f>
        <v>Peoria Lakes</v>
      </c>
      <c r="D3" s="29"/>
      <c r="E3" s="75"/>
      <c r="F3" s="29"/>
      <c r="G3" s="29"/>
      <c r="H3" s="29"/>
      <c r="I3" s="1051"/>
      <c r="J3" s="74"/>
      <c r="K3" s="76"/>
      <c r="L3" s="76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92"/>
      <c r="AC3" s="92"/>
      <c r="AD3" s="150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</row>
    <row r="4" spans="1:41" ht="16">
      <c r="A4" s="121"/>
      <c r="B4" s="121"/>
      <c r="C4" s="1035"/>
      <c r="D4" s="29"/>
      <c r="E4" s="75"/>
      <c r="F4" s="29"/>
      <c r="G4" s="29"/>
      <c r="H4" s="29"/>
      <c r="I4" s="74"/>
      <c r="J4" s="74"/>
      <c r="K4" s="76"/>
      <c r="L4" s="76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92"/>
      <c r="AC4" s="92"/>
      <c r="AD4" s="150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</row>
    <row r="5" spans="1:41" ht="15" thickBot="1">
      <c r="A5" s="122"/>
      <c r="B5" s="122"/>
      <c r="C5" s="1088"/>
      <c r="D5" s="5"/>
      <c r="E5" s="5"/>
      <c r="F5" s="5"/>
      <c r="G5" s="5"/>
      <c r="H5" s="5"/>
      <c r="J5" s="28"/>
      <c r="K5" s="96"/>
      <c r="L5" s="96"/>
      <c r="AB5" s="6"/>
      <c r="AC5" s="6"/>
      <c r="AD5" s="151"/>
    </row>
    <row r="6" spans="1:41" ht="34" customHeight="1" thickTop="1" thickBot="1">
      <c r="A6" s="1089" t="s">
        <v>522</v>
      </c>
      <c r="B6" s="1090"/>
      <c r="C6" s="1088"/>
      <c r="D6" s="1094" t="s">
        <v>96</v>
      </c>
      <c r="E6" s="1094"/>
      <c r="F6" s="1094"/>
      <c r="G6" s="1094"/>
      <c r="H6" s="1094"/>
      <c r="I6" s="1094"/>
      <c r="J6" s="1094"/>
      <c r="K6" s="1094"/>
      <c r="L6" s="1094"/>
      <c r="M6" s="1094"/>
      <c r="P6" s="1223" t="s">
        <v>638</v>
      </c>
      <c r="Q6" s="1223"/>
      <c r="R6" s="1223"/>
      <c r="S6" s="1223"/>
      <c r="U6" s="1709" t="s">
        <v>443</v>
      </c>
      <c r="V6" s="1709"/>
      <c r="W6" s="1709"/>
      <c r="X6" s="1709"/>
      <c r="Y6" s="1709"/>
      <c r="Z6" s="1709"/>
      <c r="AA6" s="1709"/>
      <c r="AC6" s="1709" t="s">
        <v>444</v>
      </c>
      <c r="AD6" s="1709"/>
      <c r="AE6" s="1709"/>
      <c r="AF6" s="1709"/>
      <c r="AG6" s="1709"/>
      <c r="AH6" s="1709"/>
    </row>
    <row r="7" spans="1:41" ht="16" thickTop="1" thickBot="1">
      <c r="A7" s="1445" t="s">
        <v>46</v>
      </c>
      <c r="B7" s="1445" t="s">
        <v>55</v>
      </c>
      <c r="C7" s="1088"/>
      <c r="D7" s="1174" t="s">
        <v>131</v>
      </c>
      <c r="E7" s="1174" t="s">
        <v>55</v>
      </c>
      <c r="F7" s="1707" t="s">
        <v>138</v>
      </c>
      <c r="G7" s="1708"/>
      <c r="H7" s="1465" t="s">
        <v>47</v>
      </c>
      <c r="I7" s="1465" t="s">
        <v>92</v>
      </c>
      <c r="J7" s="1465"/>
      <c r="K7" s="1465" t="s">
        <v>709</v>
      </c>
      <c r="L7" s="1710" t="s">
        <v>649</v>
      </c>
      <c r="M7" s="1711"/>
      <c r="P7" s="1178" t="s">
        <v>868</v>
      </c>
      <c r="Q7" s="1219" t="s">
        <v>639</v>
      </c>
      <c r="R7" s="1178" t="s">
        <v>869</v>
      </c>
      <c r="S7" s="1178" t="s">
        <v>640</v>
      </c>
      <c r="U7" s="1178" t="s">
        <v>37</v>
      </c>
      <c r="V7" s="1178" t="s">
        <v>117</v>
      </c>
      <c r="W7" s="1178" t="s">
        <v>67</v>
      </c>
      <c r="X7" s="1178" t="s">
        <v>48</v>
      </c>
      <c r="Y7" s="1178" t="s">
        <v>44</v>
      </c>
      <c r="Z7" s="1178" t="s">
        <v>93</v>
      </c>
      <c r="AA7" s="1178" t="s">
        <v>147</v>
      </c>
      <c r="AC7" s="1178" t="s">
        <v>90</v>
      </c>
      <c r="AD7" s="1178" t="s">
        <v>67</v>
      </c>
      <c r="AE7" s="1178" t="s">
        <v>48</v>
      </c>
      <c r="AF7" s="1178" t="s">
        <v>44</v>
      </c>
      <c r="AG7" s="1178" t="s">
        <v>93</v>
      </c>
      <c r="AH7" s="1178" t="s">
        <v>523</v>
      </c>
    </row>
    <row r="8" spans="1:41" ht="18" thickTop="1" thickBot="1">
      <c r="A8" s="1091" t="s">
        <v>50</v>
      </c>
      <c r="B8" s="1091" t="s">
        <v>38</v>
      </c>
      <c r="C8" s="1088"/>
      <c r="D8" s="1176" t="s">
        <v>37</v>
      </c>
      <c r="E8" s="1176" t="s">
        <v>38</v>
      </c>
      <c r="F8" s="1177" t="s">
        <v>39</v>
      </c>
      <c r="G8" s="1177" t="s">
        <v>138</v>
      </c>
      <c r="H8" s="1176" t="s">
        <v>89</v>
      </c>
      <c r="I8" s="1176" t="s">
        <v>48</v>
      </c>
      <c r="J8" s="1176" t="s">
        <v>49</v>
      </c>
      <c r="K8" s="1176" t="s">
        <v>237</v>
      </c>
      <c r="L8" s="1177" t="s">
        <v>651</v>
      </c>
      <c r="M8" s="1177" t="s">
        <v>650</v>
      </c>
      <c r="P8" s="1027" t="str" cm="1">
        <f t="array" ref="P8:P14">_xlfn._xlws.SORT(list_LandUses)</f>
        <v>C</v>
      </c>
      <c r="Q8" s="1634" t="s">
        <v>91</v>
      </c>
      <c r="R8" s="1224" t="s">
        <v>629</v>
      </c>
      <c r="S8" s="1036">
        <v>10</v>
      </c>
      <c r="U8" s="268" cm="1">
        <f t="array" ref="U8:U11">IFERROR(_xlfn.UNIQUE(_xlfn._xlws.FILTER(tbl_Planning[Area],tbl_Planning[Area]&lt;&gt;"")),"")</f>
        <v>1</v>
      </c>
      <c r="V8" s="268" cm="1">
        <f t="array" ref="V8">IF(U8="","",COUNTA(_xlfn.UNIQUE(_xlfn._xlws.FILTER(tbl_Planning[Phase],tbl_Planning[Area]=U8))))</f>
        <v>2</v>
      </c>
      <c r="W8" s="268">
        <f>IF(U8="","",COUNTIF(tbl_Planning[Area],U8))</f>
        <v>10</v>
      </c>
      <c r="X8" s="1074" cm="1">
        <f t="array" ref="X8:X11">SUMIF(tbl_Planning[Area],_xlfn.ANCHORARRAY($U8),tbl_Planning[Acres])</f>
        <v>251</v>
      </c>
      <c r="Y8" s="268" cm="1">
        <f t="array" ref="Y8:Y11">SUMIF(tbl_Planning[Area],_xlfn.ANCHORARRAY($U8),tbl_Planning[Units])</f>
        <v>1111</v>
      </c>
      <c r="Z8" s="269">
        <f t="shared" ref="Z8:Z21" si="0">IFERROR(Y8/X8,"")</f>
        <v>4.4262948207171311</v>
      </c>
      <c r="AA8" s="268" cm="1">
        <f t="array" ref="AA8:AA11">IFERROR(SUMIF(tbl_Planning[Area],_xlfn.ANCHORARRAY(U8),tbl_Planning.Help[Feet])/_xlfn.ANCHORARRAY(X8),"")</f>
        <v>150.63745019920319</v>
      </c>
      <c r="AC8" s="1027" t="str" cm="1">
        <f t="array" ref="AC8:AC14">IFERROR(_xlfn.UNIQUE(_xlfn._xlws.FILTER(tbl_Planning[Code],tbl_Planning[Code]&lt;&gt;"")),0)</f>
        <v>MDR</v>
      </c>
      <c r="AD8" s="268" cm="1">
        <f t="array" ref="AD8:AD14">COUNTIF(tbl_Planning[Code],_xlfn.ANCHORARRAY(AC8))</f>
        <v>20</v>
      </c>
      <c r="AE8" s="268" cm="1">
        <f t="array" ref="AE8:AE14">SUMIF(tbl_Planning[Code],_xlfn.ANCHORARRAY($AC8),tbl_Planning[Acres])</f>
        <v>442</v>
      </c>
      <c r="AF8" s="268" cm="1">
        <f t="array" ref="AF8:AF14">SUMIF(tbl_Planning[Code],_xlfn.ANCHORARRAY($AC8),tbl_Planning[Units])</f>
        <v>1883</v>
      </c>
      <c r="AG8" s="269">
        <f t="shared" ref="AG8:AG21" si="1">IFERROR(AF8/AE8,"")</f>
        <v>4.2601809954751131</v>
      </c>
      <c r="AH8" s="1030" cm="1">
        <f t="array" ref="AH8:AH14">IFERROR(_xlfn.ANCHORARRAY(AE8)/$AE$22,"")</f>
        <v>0.40550458715596333</v>
      </c>
    </row>
    <row r="9" spans="1:41" ht="18" thickTop="1" thickBot="1">
      <c r="A9" s="1092">
        <f t="shared" ref="A9:A40" si="2">IFERROR(LEFT(J9,2)*K9,"")</f>
        <v>6400</v>
      </c>
      <c r="B9" s="1093" t="str">
        <f>CONCATENATE(tbl_Planning[[#This Row],[Area]],".",tbl_Planning[[#This Row],[Phase]])</f>
        <v>1.1</v>
      </c>
      <c r="C9" s="1088"/>
      <c r="D9" s="132">
        <v>1</v>
      </c>
      <c r="E9" s="133">
        <v>1</v>
      </c>
      <c r="F9" s="133">
        <v>1</v>
      </c>
      <c r="G9" s="1633" t="str">
        <f>IF(tbl_Planning[[#This Row],[Parcel]]=0,"",CONCATENATE(D9, ".", E9,  TEXT(F9, "00")))</f>
        <v>1.101</v>
      </c>
      <c r="H9" s="133" t="s">
        <v>52</v>
      </c>
      <c r="I9" s="134">
        <v>32</v>
      </c>
      <c r="J9" s="134" t="s">
        <v>53</v>
      </c>
      <c r="K9" s="133">
        <v>128</v>
      </c>
      <c r="L9" s="1637" cm="1">
        <f t="array" ref="L9">IFERROR(_xlfn.XLOOKUP(tbl_Planning[[#This Row],[Product]],_xlfn.ANCHORARRAY(ADMIN!$AF$9),_xlfn.ANCHORARRAY(ADMIN!$AJ$9)),"")</f>
        <v>3.9726719999999998</v>
      </c>
      <c r="M9" s="1638">
        <f>IFERROR(tbl_Planning.Help[[#This Row],[Feet]]/tbl_Planning[[#This Row],[Acres]],"")</f>
        <v>200</v>
      </c>
      <c r="P9" s="1027" t="str">
        <v>HDR</v>
      </c>
      <c r="Q9" s="1634" t="s">
        <v>644</v>
      </c>
      <c r="R9" s="1224" t="s">
        <v>634</v>
      </c>
      <c r="S9" s="1036">
        <v>25000</v>
      </c>
      <c r="T9" s="1213"/>
      <c r="U9" s="268">
        <v>2</v>
      </c>
      <c r="V9" s="268" cm="1">
        <f t="array" ref="V9">IF(U9="","",COUNTA(_xlfn.UNIQUE(_xlfn._xlws.FILTER(tbl_Planning[Phase],tbl_Planning[Area]=U9))))</f>
        <v>2</v>
      </c>
      <c r="W9" s="268">
        <f>IF(U9="","",COUNTIF(tbl_Planning[Area],U9))</f>
        <v>16</v>
      </c>
      <c r="X9" s="1074">
        <v>383</v>
      </c>
      <c r="Y9" s="268">
        <v>1757</v>
      </c>
      <c r="Z9" s="269">
        <f t="shared" si="0"/>
        <v>4.5874673629242819</v>
      </c>
      <c r="AA9" s="268">
        <v>100.52219321148826</v>
      </c>
      <c r="AC9" s="1027" t="str">
        <v>MU</v>
      </c>
      <c r="AD9" s="268">
        <v>2</v>
      </c>
      <c r="AE9" s="268">
        <v>53</v>
      </c>
      <c r="AF9" s="268">
        <v>0</v>
      </c>
      <c r="AG9" s="269">
        <f t="shared" si="1"/>
        <v>0</v>
      </c>
      <c r="AH9" s="1030">
        <v>4.8623853211009177E-2</v>
      </c>
      <c r="AI9" s="3"/>
      <c r="AJ9" s="3"/>
      <c r="AK9" s="3"/>
      <c r="AL9" s="3"/>
      <c r="AM9" s="3"/>
      <c r="AN9" s="3"/>
      <c r="AO9" s="131" t="str">
        <f>IF(ISNUMBER(SEARCH("*Residential*",ADMIN!AO10)),"Y","N")</f>
        <v>N</v>
      </c>
    </row>
    <row r="10" spans="1:41" ht="18" thickTop="1" thickBot="1">
      <c r="A10" s="1092">
        <f t="shared" si="2"/>
        <v>4920</v>
      </c>
      <c r="B10" s="1093" t="str">
        <f>CONCATENATE(tbl_Planning[[#This Row],[Area]],".",tbl_Planning[[#This Row],[Phase]])</f>
        <v>1.1</v>
      </c>
      <c r="C10" s="1088"/>
      <c r="D10" s="132">
        <v>1</v>
      </c>
      <c r="E10" s="133">
        <v>1</v>
      </c>
      <c r="F10" s="133">
        <v>2</v>
      </c>
      <c r="G10" s="1633" t="str">
        <f>IF(tbl_Planning[[#This Row],[Parcel]]=0,"",CONCATENATE(D10, ".", E10,  TEXT(F10, "00")))</f>
        <v>1.102</v>
      </c>
      <c r="H10" s="133" t="s">
        <v>52</v>
      </c>
      <c r="I10" s="134">
        <v>25</v>
      </c>
      <c r="J10" s="134" t="s">
        <v>614</v>
      </c>
      <c r="K10" s="133">
        <v>82</v>
      </c>
      <c r="L10" s="1637" cm="1">
        <f t="array" ref="L10">IFERROR(_xlfn.XLOOKUP(tbl_Planning[[#This Row],[Product]],_xlfn.ANCHORARRAY(ADMIN!$AF$9),_xlfn.ANCHORARRAY(ADMIN!$AJ$9)),"")</f>
        <v>3.3105599999999997</v>
      </c>
      <c r="M10" s="1638">
        <f>IFERROR(tbl_Planning.Help[[#This Row],[Feet]]/tbl_Planning[[#This Row],[Acres]],"")</f>
        <v>196.8</v>
      </c>
      <c r="P10" s="1027" t="str">
        <v>MDR</v>
      </c>
      <c r="Q10" s="1634" t="s">
        <v>643</v>
      </c>
      <c r="R10" s="1224" t="s">
        <v>43</v>
      </c>
      <c r="S10" s="1036">
        <v>2400</v>
      </c>
      <c r="T10" s="1213"/>
      <c r="U10" s="268">
        <v>3</v>
      </c>
      <c r="V10" s="268" cm="1">
        <f t="array" ref="V10">IF(U10="","",COUNTA(_xlfn.UNIQUE(_xlfn._xlws.FILTER(tbl_Planning[Phase],tbl_Planning[Area]=U10))))</f>
        <v>2</v>
      </c>
      <c r="W10" s="268">
        <f>IF(U10="","",COUNTIF(tbl_Planning[Area],U10))</f>
        <v>5</v>
      </c>
      <c r="X10" s="1074">
        <v>242</v>
      </c>
      <c r="Y10" s="268">
        <v>0</v>
      </c>
      <c r="Z10" s="269">
        <f t="shared" si="0"/>
        <v>0</v>
      </c>
      <c r="AA10" s="268">
        <v>0</v>
      </c>
      <c r="AC10" s="1027" t="str">
        <v>HDR</v>
      </c>
      <c r="AD10" s="268">
        <v>2</v>
      </c>
      <c r="AE10" s="268">
        <v>38</v>
      </c>
      <c r="AF10" s="268">
        <v>760</v>
      </c>
      <c r="AG10" s="269">
        <f t="shared" si="1"/>
        <v>20</v>
      </c>
      <c r="AH10" s="1030">
        <v>3.4862385321100919E-2</v>
      </c>
      <c r="AO10" s="131" t="str">
        <f>IF(ISNUMBER(SEARCH("*Residential*",ADMIN!AO11)),"Y","N")</f>
        <v>N</v>
      </c>
    </row>
    <row r="11" spans="1:41" ht="18" thickTop="1" thickBot="1">
      <c r="A11" s="1092">
        <f t="shared" si="2"/>
        <v>5085</v>
      </c>
      <c r="B11" s="1093" t="str">
        <f>CONCATENATE(tbl_Planning[[#This Row],[Area]],".",tbl_Planning[[#This Row],[Phase]])</f>
        <v>1.1</v>
      </c>
      <c r="C11" s="1088"/>
      <c r="D11" s="132">
        <v>1</v>
      </c>
      <c r="E11" s="133">
        <v>1</v>
      </c>
      <c r="F11" s="133">
        <v>3</v>
      </c>
      <c r="G11" s="1633" t="str">
        <f>IF(tbl_Planning[[#This Row],[Parcel]]=0,"",CONCATENATE(D11, ".", E11,  TEXT(F11, "00")))</f>
        <v>1.103</v>
      </c>
      <c r="H11" s="133" t="s">
        <v>52</v>
      </c>
      <c r="I11" s="134">
        <v>21</v>
      </c>
      <c r="J11" s="134" t="s">
        <v>149</v>
      </c>
      <c r="K11" s="133">
        <v>113</v>
      </c>
      <c r="L11" s="1637" cm="1">
        <f t="array" ref="L11">IFERROR(_xlfn.XLOOKUP(tbl_Planning[[#This Row],[Product]],_xlfn.ANCHORARRAY(ADMIN!$AF$9),_xlfn.ANCHORARRAY(ADMIN!$AJ$9)),"")</f>
        <v>4.4140799999999993</v>
      </c>
      <c r="M11" s="1638">
        <f>IFERROR(tbl_Planning.Help[[#This Row],[Feet]]/tbl_Planning[[#This Row],[Acres]],"")</f>
        <v>242.14285714285714</v>
      </c>
      <c r="P11" s="1027" t="str">
        <v>MHDR</v>
      </c>
      <c r="Q11" s="1634" t="s">
        <v>642</v>
      </c>
      <c r="R11" s="1224" t="s">
        <v>634</v>
      </c>
      <c r="S11" s="1036">
        <v>50000</v>
      </c>
      <c r="T11" s="1213"/>
      <c r="U11" s="268">
        <v>4</v>
      </c>
      <c r="V11" s="268" cm="1">
        <f t="array" ref="V11">IF(U11="","",COUNTA(_xlfn.UNIQUE(_xlfn._xlws.FILTER(tbl_Planning[Phase],tbl_Planning[Area]=U11))))</f>
        <v>2</v>
      </c>
      <c r="W11" s="268">
        <f>IF(U11="","",COUNTIF(tbl_Planning[Area],U11))</f>
        <v>11</v>
      </c>
      <c r="X11" s="1074">
        <v>214</v>
      </c>
      <c r="Y11" s="268">
        <v>548</v>
      </c>
      <c r="Z11" s="269">
        <f t="shared" si="0"/>
        <v>2.5607476635514019</v>
      </c>
      <c r="AA11" s="268">
        <v>162.59345794392524</v>
      </c>
      <c r="AC11" s="1027" t="str">
        <v>MHDR</v>
      </c>
      <c r="AD11" s="268">
        <v>3</v>
      </c>
      <c r="AE11" s="268">
        <v>52</v>
      </c>
      <c r="AF11" s="268">
        <v>531</v>
      </c>
      <c r="AG11" s="269">
        <f t="shared" si="1"/>
        <v>10.211538461538462</v>
      </c>
      <c r="AH11" s="1030">
        <v>4.7706422018348627E-2</v>
      </c>
      <c r="AO11" s="131" t="str">
        <f>IF(ISNUMBER(SEARCH("*Residential*",ADMIN!AO12)),"Y","N")</f>
        <v>N</v>
      </c>
    </row>
    <row r="12" spans="1:41" ht="18" thickTop="1" thickBot="1">
      <c r="A12" s="1092" t="str">
        <f t="shared" si="2"/>
        <v/>
      </c>
      <c r="B12" s="1093" t="str">
        <f>CONCATENATE(tbl_Planning[[#This Row],[Area]],".",tbl_Planning[[#This Row],[Phase]])</f>
        <v>1.1</v>
      </c>
      <c r="C12" s="1088"/>
      <c r="D12" s="132">
        <v>1</v>
      </c>
      <c r="E12" s="133">
        <v>1</v>
      </c>
      <c r="F12" s="133">
        <v>4</v>
      </c>
      <c r="G12" s="1633" t="str">
        <f>IF(tbl_Planning[[#This Row],[Parcel]]=0,"",CONCATENATE(D12, ".", E12,  TEXT(F12, "00")))</f>
        <v>1.104</v>
      </c>
      <c r="H12" s="133" t="s">
        <v>51</v>
      </c>
      <c r="I12" s="134">
        <v>26</v>
      </c>
      <c r="J12" s="134" t="s">
        <v>51</v>
      </c>
      <c r="K12" s="133">
        <v>0</v>
      </c>
      <c r="L12" s="1637" t="str" cm="1">
        <f t="array" ref="L12">IFERROR(_xlfn.XLOOKUP(tbl_Planning[[#This Row],[Product]],_xlfn.ANCHORARRAY(ADMIN!$AF$9),_xlfn.ANCHORARRAY(ADMIN!$AJ$9)),"")</f>
        <v/>
      </c>
      <c r="M12" s="1638" t="str">
        <f>IFERROR(tbl_Planning.Help[[#This Row],[Feet]]/tbl_Planning[[#This Row],[Acres]],"")</f>
        <v/>
      </c>
      <c r="P12" s="1027" t="str">
        <v>MLDR</v>
      </c>
      <c r="Q12" s="1634" t="s">
        <v>641</v>
      </c>
      <c r="R12" s="1224" t="s">
        <v>43</v>
      </c>
      <c r="S12" s="1036">
        <v>2200</v>
      </c>
      <c r="T12" s="1213"/>
      <c r="U12" s="268"/>
      <c r="V12" s="268" t="str" cm="1">
        <f t="array" ref="V12">IF(U12="","",COUNTA(_xlfn.UNIQUE(_xlfn._xlws.FILTER(tbl_Planning[Phase],tbl_Planning[Area]=U12))))</f>
        <v/>
      </c>
      <c r="W12" s="268" t="str">
        <f>IF(U12="","",COUNTIF(tbl_Planning[Area],U12))</f>
        <v/>
      </c>
      <c r="X12" s="1074"/>
      <c r="Y12" s="268"/>
      <c r="Z12" s="269" t="str">
        <f t="shared" si="0"/>
        <v/>
      </c>
      <c r="AA12" s="268"/>
      <c r="AC12" s="1027" t="str">
        <v>OS</v>
      </c>
      <c r="AD12" s="268">
        <v>5</v>
      </c>
      <c r="AE12" s="268">
        <v>149</v>
      </c>
      <c r="AF12" s="268">
        <v>0</v>
      </c>
      <c r="AG12" s="269">
        <f t="shared" si="1"/>
        <v>0</v>
      </c>
      <c r="AH12" s="1030">
        <v>0.13669724770642203</v>
      </c>
      <c r="AO12" s="131" t="str">
        <f>IF(ISNUMBER(SEARCH("*Residential*",ADMIN!AO13)),"Y","N")</f>
        <v>N</v>
      </c>
    </row>
    <row r="13" spans="1:41" ht="18" thickTop="1" thickBot="1">
      <c r="A13" s="1092" t="str">
        <f t="shared" si="2"/>
        <v/>
      </c>
      <c r="B13" s="1093" t="str">
        <f>CONCATENATE(tbl_Planning[[#This Row],[Area]],".",tbl_Planning[[#This Row],[Phase]])</f>
        <v>1.2</v>
      </c>
      <c r="C13" s="1088"/>
      <c r="D13" s="132">
        <v>1</v>
      </c>
      <c r="E13" s="133">
        <v>2</v>
      </c>
      <c r="F13" s="133">
        <v>1</v>
      </c>
      <c r="G13" s="1633" t="str">
        <f>IF(tbl_Planning[[#This Row],[Parcel]]=0,"",CONCATENATE(D13, ".", E13,  TEXT(F13, "00")))</f>
        <v>1.201</v>
      </c>
      <c r="H13" s="133" t="s">
        <v>51</v>
      </c>
      <c r="I13" s="134">
        <v>27</v>
      </c>
      <c r="J13" s="134" t="s">
        <v>51</v>
      </c>
      <c r="K13" s="133">
        <v>0</v>
      </c>
      <c r="L13" s="1637" t="str" cm="1">
        <f t="array" ref="L13">IFERROR(_xlfn.XLOOKUP(tbl_Planning[[#This Row],[Product]],_xlfn.ANCHORARRAY(ADMIN!$AF$9),_xlfn.ANCHORARRAY(ADMIN!$AJ$9)),"")</f>
        <v/>
      </c>
      <c r="M13" s="1638" t="str">
        <f>IFERROR(tbl_Planning.Help[[#This Row],[Feet]]/tbl_Planning[[#This Row],[Acres]],"")</f>
        <v/>
      </c>
      <c r="P13" s="1027" t="str">
        <v>MU</v>
      </c>
      <c r="Q13" s="1634" t="s">
        <v>637</v>
      </c>
      <c r="R13" s="1224" t="s">
        <v>629</v>
      </c>
      <c r="S13" s="1036">
        <v>10</v>
      </c>
      <c r="T13" s="1213"/>
      <c r="U13" s="268"/>
      <c r="V13" s="268" t="str" cm="1">
        <f t="array" ref="V13">IF(U13="","",COUNTA(_xlfn.UNIQUE(_xlfn._xlws.FILTER(tbl_Planning[Phase],tbl_Planning[Area]=U13))))</f>
        <v/>
      </c>
      <c r="W13" s="268" t="str">
        <f>IF(U13="","",COUNTIF(tbl_Planning[Area],U13))</f>
        <v/>
      </c>
      <c r="X13" s="1074"/>
      <c r="Y13" s="268"/>
      <c r="Z13" s="269" t="str">
        <f t="shared" si="0"/>
        <v/>
      </c>
      <c r="AA13" s="268"/>
      <c r="AC13" s="1027" t="str">
        <v>C</v>
      </c>
      <c r="AD13" s="268">
        <v>6</v>
      </c>
      <c r="AE13" s="268">
        <v>260</v>
      </c>
      <c r="AF13" s="268">
        <v>0</v>
      </c>
      <c r="AG13" s="269">
        <f t="shared" si="1"/>
        <v>0</v>
      </c>
      <c r="AH13" s="1030">
        <v>0.23853211009174313</v>
      </c>
      <c r="AO13" s="131" t="str">
        <f>IF(ISNUMBER(SEARCH("*Residential*",ADMIN!AO14)),"Y","N")</f>
        <v>N</v>
      </c>
    </row>
    <row r="14" spans="1:41" ht="18" thickTop="1" thickBot="1">
      <c r="A14" s="1092" t="str">
        <f t="shared" si="2"/>
        <v/>
      </c>
      <c r="B14" s="1093" t="str">
        <f>CONCATENATE(tbl_Planning[[#This Row],[Area]],".",tbl_Planning[[#This Row],[Phase]])</f>
        <v>1.2</v>
      </c>
      <c r="C14" s="1088"/>
      <c r="D14" s="132">
        <v>1</v>
      </c>
      <c r="E14" s="133">
        <v>2</v>
      </c>
      <c r="F14" s="133">
        <v>2</v>
      </c>
      <c r="G14" s="1633" t="str">
        <f>IF(tbl_Planning[[#This Row],[Parcel]]=0,"",CONCATENATE(D14, ".", E14,  TEXT(F14, "00")))</f>
        <v>1.202</v>
      </c>
      <c r="H14" s="133" t="s">
        <v>610</v>
      </c>
      <c r="I14" s="134">
        <v>19</v>
      </c>
      <c r="J14" s="134" t="s">
        <v>615</v>
      </c>
      <c r="K14" s="133">
        <v>380</v>
      </c>
      <c r="L14" s="1637" t="str" cm="1">
        <f t="array" ref="L14">IFERROR(_xlfn.XLOOKUP(tbl_Planning[[#This Row],[Product]],_xlfn.ANCHORARRAY(ADMIN!$AF$9),_xlfn.ANCHORARRAY(ADMIN!$AJ$9)),"")</f>
        <v/>
      </c>
      <c r="M14" s="1638" t="str">
        <f>IFERROR(tbl_Planning.Help[[#This Row],[Feet]]/tbl_Planning[[#This Row],[Acres]],"")</f>
        <v/>
      </c>
      <c r="P14" s="1027" t="str">
        <v>OS</v>
      </c>
      <c r="Q14" s="1634" t="s">
        <v>645</v>
      </c>
      <c r="R14" s="1635" t="s">
        <v>141</v>
      </c>
      <c r="S14" s="1036"/>
      <c r="T14" s="1213"/>
      <c r="U14" s="268"/>
      <c r="V14" s="268" t="str" cm="1">
        <f t="array" ref="V14">IF(U14="","",COUNTA(_xlfn.UNIQUE(_xlfn._xlws.FILTER(tbl_Planning[Phase],tbl_Planning[Area]=U14))))</f>
        <v/>
      </c>
      <c r="W14" s="268" t="str">
        <f>IF(U14="","",COUNTIF(tbl_Planning[Area],U14))</f>
        <v/>
      </c>
      <c r="X14" s="1074"/>
      <c r="Y14" s="268"/>
      <c r="Z14" s="269" t="str">
        <f t="shared" si="0"/>
        <v/>
      </c>
      <c r="AA14" s="268"/>
      <c r="AC14" s="1028" t="str">
        <v>MLDR</v>
      </c>
      <c r="AD14" s="270">
        <v>4</v>
      </c>
      <c r="AE14" s="270">
        <v>96</v>
      </c>
      <c r="AF14" s="270">
        <v>242</v>
      </c>
      <c r="AG14" s="271">
        <f t="shared" si="1"/>
        <v>2.5208333333333335</v>
      </c>
      <c r="AH14" s="1031">
        <v>8.8073394495412849E-2</v>
      </c>
      <c r="AO14" s="131" t="str">
        <f>IF(ISNUMBER(SEARCH("*Residential*",ADMIN!AO15)),"Y","N")</f>
        <v>N</v>
      </c>
    </row>
    <row r="15" spans="1:41" ht="18" thickTop="1" thickBot="1">
      <c r="A15" s="1092">
        <f t="shared" si="2"/>
        <v>4200</v>
      </c>
      <c r="B15" s="1093" t="str">
        <f>CONCATENATE(tbl_Planning[[#This Row],[Area]],".",tbl_Planning[[#This Row],[Phase]])</f>
        <v>1.2</v>
      </c>
      <c r="C15" s="1088"/>
      <c r="D15" s="132">
        <v>1</v>
      </c>
      <c r="E15" s="133">
        <v>2</v>
      </c>
      <c r="F15" s="133">
        <v>3</v>
      </c>
      <c r="G15" s="1633" t="str">
        <f>IF(tbl_Planning[[#This Row],[Parcel]]=0,"",CONCATENATE(D15, ".", E15,  TEXT(F15, "00")))</f>
        <v>1.203</v>
      </c>
      <c r="H15" s="133" t="s">
        <v>52</v>
      </c>
      <c r="I15" s="134">
        <v>16</v>
      </c>
      <c r="J15" s="134" t="s">
        <v>616</v>
      </c>
      <c r="K15" s="133">
        <v>120</v>
      </c>
      <c r="L15" s="1637" cm="1">
        <f t="array" ref="L15">IFERROR(_xlfn.XLOOKUP(tbl_Planning[[#This Row],[Product]],_xlfn.ANCHORARRAY(ADMIN!$AF$9),_xlfn.ANCHORARRAY(ADMIN!$AJ$9)),"")</f>
        <v>5.6752457142857144</v>
      </c>
      <c r="M15" s="1638">
        <f>IFERROR(tbl_Planning.Help[[#This Row],[Feet]]/tbl_Planning[[#This Row],[Acres]],"")</f>
        <v>262.5</v>
      </c>
      <c r="P15" s="1027"/>
      <c r="Q15" s="1634"/>
      <c r="R15" s="1635"/>
      <c r="S15" s="1036"/>
      <c r="T15" s="1213"/>
      <c r="U15" s="268"/>
      <c r="V15" s="268" t="str" cm="1">
        <f t="array" ref="V15">IF(U15="","",COUNTA(_xlfn.UNIQUE(_xlfn._xlws.FILTER(tbl_Planning[Phase],tbl_Planning[Area]=U15))))</f>
        <v/>
      </c>
      <c r="W15" s="268" t="str">
        <f>IF(U15="","",COUNTIF(tbl_Planning[Area],U15))</f>
        <v/>
      </c>
      <c r="X15" s="1074"/>
      <c r="Y15" s="268"/>
      <c r="Z15" s="269" t="str">
        <f t="shared" si="0"/>
        <v/>
      </c>
      <c r="AA15" s="268"/>
      <c r="AC15" s="1028"/>
      <c r="AD15" s="270"/>
      <c r="AE15" s="270"/>
      <c r="AF15" s="270"/>
      <c r="AG15" s="271" t="str">
        <f t="shared" si="1"/>
        <v/>
      </c>
      <c r="AH15" s="1031"/>
      <c r="AO15" s="131" t="str">
        <f>IF(ISNUMBER(SEARCH("*Residential*",ADMIN!AO16)),"Y","N")</f>
        <v>N</v>
      </c>
    </row>
    <row r="16" spans="1:41" ht="18" thickTop="1" thickBot="1">
      <c r="A16" s="1092">
        <f t="shared" si="2"/>
        <v>4320</v>
      </c>
      <c r="B16" s="1093" t="str">
        <f>CONCATENATE(tbl_Planning[[#This Row],[Area]],".",tbl_Planning[[#This Row],[Phase]])</f>
        <v>1.2</v>
      </c>
      <c r="C16" s="1088"/>
      <c r="D16" s="132">
        <v>1</v>
      </c>
      <c r="E16" s="133">
        <v>2</v>
      </c>
      <c r="F16" s="133">
        <v>4</v>
      </c>
      <c r="G16" s="1633" t="str">
        <f>IF(tbl_Planning[[#This Row],[Parcel]]=0,"",CONCATENATE(D16, ".", E16,  TEXT(F16, "00")))</f>
        <v>1.204</v>
      </c>
      <c r="H16" s="133" t="s">
        <v>52</v>
      </c>
      <c r="I16" s="134">
        <v>20</v>
      </c>
      <c r="J16" s="134" t="s">
        <v>149</v>
      </c>
      <c r="K16" s="133">
        <v>96</v>
      </c>
      <c r="L16" s="1637" cm="1">
        <f t="array" ref="L16">IFERROR(_xlfn.XLOOKUP(tbl_Planning[[#This Row],[Product]],_xlfn.ANCHORARRAY(ADMIN!$AF$9),_xlfn.ANCHORARRAY(ADMIN!$AJ$9)),"")</f>
        <v>4.4140799999999993</v>
      </c>
      <c r="M16" s="1638">
        <f>IFERROR(tbl_Planning.Help[[#This Row],[Feet]]/tbl_Planning[[#This Row],[Acres]],"")</f>
        <v>216</v>
      </c>
      <c r="P16" s="1027"/>
      <c r="Q16" s="1634"/>
      <c r="R16" s="1635"/>
      <c r="S16" s="1036"/>
      <c r="T16" s="1213"/>
      <c r="U16" s="268"/>
      <c r="V16" s="268" t="str" cm="1">
        <f t="array" ref="V16">IF(U16="","",COUNTA(_xlfn.UNIQUE(_xlfn._xlws.FILTER(tbl_Planning[Phase],tbl_Planning[Area]=U16))))</f>
        <v/>
      </c>
      <c r="W16" s="268" t="str">
        <f>IF(U16="","",COUNTIF(tbl_Planning[Area],U16))</f>
        <v/>
      </c>
      <c r="X16" s="1074"/>
      <c r="Y16" s="268"/>
      <c r="Z16" s="269" t="str">
        <f t="shared" si="0"/>
        <v/>
      </c>
      <c r="AA16" s="268"/>
      <c r="AC16" s="1028"/>
      <c r="AD16" s="270"/>
      <c r="AE16" s="270"/>
      <c r="AF16" s="270"/>
      <c r="AG16" s="271" t="str">
        <f t="shared" si="1"/>
        <v/>
      </c>
      <c r="AH16" s="1031"/>
      <c r="AI16" s="99"/>
      <c r="AJ16" s="99"/>
      <c r="AK16" s="99"/>
      <c r="AL16" s="99"/>
      <c r="AM16" s="99"/>
      <c r="AN16" s="99"/>
      <c r="AO16" s="131" t="str">
        <f>IF(ISNUMBER(SEARCH("*Residential*",ADMIN!AO17)),"Y","N")</f>
        <v>N</v>
      </c>
    </row>
    <row r="17" spans="1:41" ht="18" thickTop="1" thickBot="1">
      <c r="A17" s="1092">
        <f t="shared" si="2"/>
        <v>7215</v>
      </c>
      <c r="B17" s="1093" t="str">
        <f>CONCATENATE(tbl_Planning[[#This Row],[Area]],".",tbl_Planning[[#This Row],[Phase]])</f>
        <v>1.2</v>
      </c>
      <c r="C17" s="1088"/>
      <c r="D17" s="132">
        <v>1</v>
      </c>
      <c r="E17" s="133">
        <v>2</v>
      </c>
      <c r="F17" s="133">
        <v>5</v>
      </c>
      <c r="G17" s="1633" t="str">
        <f>IF(tbl_Planning[[#This Row],[Parcel]]=0,"",CONCATENATE(D17, ".", E17,  TEXT(F17, "00")))</f>
        <v>1.205</v>
      </c>
      <c r="H17" s="133" t="s">
        <v>52</v>
      </c>
      <c r="I17" s="134">
        <v>36</v>
      </c>
      <c r="J17" s="134" t="s">
        <v>617</v>
      </c>
      <c r="K17" s="133">
        <v>111</v>
      </c>
      <c r="L17" s="1637" cm="1">
        <f t="array" ref="L17">IFERROR(_xlfn.XLOOKUP(tbl_Planning[[#This Row],[Product]],_xlfn.ANCHORARRAY(ADMIN!$AF$9),_xlfn.ANCHORARRAY(ADMIN!$AJ$9)),"")</f>
        <v>3.055901538461538</v>
      </c>
      <c r="M17" s="1638">
        <f>IFERROR(tbl_Planning.Help[[#This Row],[Feet]]/tbl_Planning[[#This Row],[Acres]],"")</f>
        <v>200.41666666666666</v>
      </c>
      <c r="N17" s="1213"/>
      <c r="O17" s="1213"/>
      <c r="P17" s="1213"/>
      <c r="Q17" s="1213"/>
      <c r="R17" s="1213"/>
      <c r="S17" s="1213"/>
      <c r="T17" s="1213"/>
      <c r="U17" s="268"/>
      <c r="V17" s="268" t="str" cm="1">
        <f t="array" ref="V17">IF(U17="","",COUNTA(_xlfn.UNIQUE(_xlfn._xlws.FILTER(tbl_Planning[Phase],tbl_Planning[Area]=U17))))</f>
        <v/>
      </c>
      <c r="W17" s="268" t="str">
        <f>IF(U17="","",COUNTIF(tbl_Planning[Area],U17))</f>
        <v/>
      </c>
      <c r="X17" s="1074"/>
      <c r="Y17" s="268"/>
      <c r="Z17" s="269" t="str">
        <f t="shared" si="0"/>
        <v/>
      </c>
      <c r="AA17" s="268"/>
      <c r="AC17" s="1028"/>
      <c r="AD17" s="270"/>
      <c r="AE17" s="270"/>
      <c r="AF17" s="270"/>
      <c r="AG17" s="271" t="str">
        <f t="shared" si="1"/>
        <v/>
      </c>
      <c r="AH17" s="1031"/>
      <c r="AO17" s="131" t="str">
        <f>IF(ISNUMBER(SEARCH("*Residential*",ADMIN!AO18)),"Y","N")</f>
        <v>N</v>
      </c>
    </row>
    <row r="18" spans="1:41" ht="18" thickTop="1" thickBot="1">
      <c r="A18" s="1092">
        <f t="shared" si="2"/>
        <v>5670</v>
      </c>
      <c r="B18" s="1093" t="str">
        <f>CONCATENATE(tbl_Planning[[#This Row],[Area]],".",tbl_Planning[[#This Row],[Phase]])</f>
        <v>1.2</v>
      </c>
      <c r="C18" s="1088"/>
      <c r="D18" s="132">
        <v>1</v>
      </c>
      <c r="E18" s="133">
        <v>2</v>
      </c>
      <c r="F18" s="1220">
        <v>6</v>
      </c>
      <c r="G18" s="1633" t="str">
        <f>IF(tbl_Planning[[#This Row],[Parcel]]=0,"",CONCATENATE(D18, ".", E18,  TEXT(F18, "00")))</f>
        <v>1.206</v>
      </c>
      <c r="H18" s="133" t="s">
        <v>52</v>
      </c>
      <c r="I18" s="134">
        <v>29</v>
      </c>
      <c r="J18" s="134" t="s">
        <v>618</v>
      </c>
      <c r="K18" s="133">
        <v>81</v>
      </c>
      <c r="L18" s="1637" cm="1">
        <f t="array" ref="L18">IFERROR(_xlfn.XLOOKUP(tbl_Planning[[#This Row],[Product]],_xlfn.ANCHORARRAY(ADMIN!$AF$9),_xlfn.ANCHORARRAY(ADMIN!$AJ$9)),"")</f>
        <v>2.8376228571428572</v>
      </c>
      <c r="M18" s="1638">
        <f>IFERROR(tbl_Planning.Help[[#This Row],[Feet]]/tbl_Planning[[#This Row],[Acres]],"")</f>
        <v>195.51724137931035</v>
      </c>
      <c r="N18" s="1213"/>
      <c r="O18" s="1213"/>
      <c r="P18" s="1213"/>
      <c r="Q18" s="1213"/>
      <c r="R18" s="1213"/>
      <c r="S18" s="1213"/>
      <c r="T18" s="1213"/>
      <c r="U18" s="268"/>
      <c r="V18" s="268" t="str" cm="1">
        <f t="array" ref="V18">IF(U18="","",COUNTA(_xlfn.UNIQUE(_xlfn._xlws.FILTER(tbl_Planning[Phase],tbl_Planning[Area]=U18))))</f>
        <v/>
      </c>
      <c r="W18" s="268" t="str">
        <f>IF(U18="","",COUNTIF(tbl_Planning[Area],U18))</f>
        <v/>
      </c>
      <c r="X18" s="1074"/>
      <c r="Y18" s="268"/>
      <c r="Z18" s="269" t="str">
        <f t="shared" si="0"/>
        <v/>
      </c>
      <c r="AA18" s="268"/>
      <c r="AC18" s="1028"/>
      <c r="AD18" s="270"/>
      <c r="AE18" s="270"/>
      <c r="AF18" s="270"/>
      <c r="AG18" s="271" t="str">
        <f t="shared" si="1"/>
        <v/>
      </c>
      <c r="AH18" s="1031"/>
    </row>
    <row r="19" spans="1:41" ht="18" thickTop="1" thickBot="1">
      <c r="A19" s="1092">
        <f t="shared" si="2"/>
        <v>3880</v>
      </c>
      <c r="B19" s="1093" t="str">
        <f>CONCATENATE(tbl_Planning[[#This Row],[Area]],".",tbl_Planning[[#This Row],[Phase]])</f>
        <v>2.1</v>
      </c>
      <c r="C19" s="1088"/>
      <c r="D19" s="132">
        <v>2</v>
      </c>
      <c r="E19" s="133">
        <v>1</v>
      </c>
      <c r="F19" s="1220">
        <v>1</v>
      </c>
      <c r="G19" s="1633" t="str">
        <f>IF(tbl_Planning[[#This Row],[Parcel]]=0,"",CONCATENATE(D19, ".", E19,  TEXT(F19, "00")))</f>
        <v>2.101</v>
      </c>
      <c r="H19" s="133" t="s">
        <v>52</v>
      </c>
      <c r="I19" s="134">
        <v>18</v>
      </c>
      <c r="J19" s="134" t="s">
        <v>148</v>
      </c>
      <c r="K19" s="133">
        <v>97</v>
      </c>
      <c r="L19" s="1637" cm="1">
        <f t="array" ref="L19">IFERROR(_xlfn.XLOOKUP(tbl_Planning[[#This Row],[Product]],_xlfn.ANCHORARRAY(ADMIN!$AF$9),_xlfn.ANCHORARRAY(ADMIN!$AJ$9)),"")</f>
        <v>4.9658399999999991</v>
      </c>
      <c r="M19" s="1638">
        <f>IFERROR(tbl_Planning.Help[[#This Row],[Feet]]/tbl_Planning[[#This Row],[Acres]],"")</f>
        <v>215.55555555555554</v>
      </c>
      <c r="N19" s="1213"/>
      <c r="O19" s="1213"/>
      <c r="P19" s="1227" t="s">
        <v>648</v>
      </c>
      <c r="Q19" s="1027"/>
      <c r="R19" s="1027"/>
      <c r="S19" s="1636">
        <v>0.56999999999999995</v>
      </c>
      <c r="T19" s="1213"/>
      <c r="U19" s="268"/>
      <c r="V19" s="268" t="str" cm="1">
        <f t="array" ref="V19">IF(U19="","",COUNTA(_xlfn.UNIQUE(_xlfn._xlws.FILTER(tbl_Planning[Phase],tbl_Planning[Area]=U19))))</f>
        <v/>
      </c>
      <c r="W19" s="268" t="str">
        <f>IF(U19="","",COUNTIF(tbl_Planning[Area],U19))</f>
        <v/>
      </c>
      <c r="X19" s="1074"/>
      <c r="Y19" s="268"/>
      <c r="Z19" s="269" t="str">
        <f t="shared" si="0"/>
        <v/>
      </c>
      <c r="AA19" s="268"/>
      <c r="AC19" s="1028"/>
      <c r="AD19" s="270"/>
      <c r="AE19" s="270"/>
      <c r="AF19" s="270"/>
      <c r="AG19" s="271" t="str">
        <f t="shared" si="1"/>
        <v/>
      </c>
      <c r="AH19" s="1031"/>
    </row>
    <row r="20" spans="1:41" ht="18" thickTop="1" thickBot="1">
      <c r="A20" s="1092">
        <f t="shared" si="2"/>
        <v>3645</v>
      </c>
      <c r="B20" s="1093" t="str">
        <f>CONCATENATE(tbl_Planning[[#This Row],[Area]],".",tbl_Planning[[#This Row],[Phase]])</f>
        <v>2.1</v>
      </c>
      <c r="C20" s="1088"/>
      <c r="D20" s="132">
        <v>2</v>
      </c>
      <c r="E20" s="133">
        <v>1</v>
      </c>
      <c r="F20" s="1220">
        <v>2</v>
      </c>
      <c r="G20" s="1633" t="str">
        <f>IF(tbl_Planning[[#This Row],[Parcel]]=0,"",CONCATENATE(D20, ".", E20,  TEXT(F20, "00")))</f>
        <v>2.102</v>
      </c>
      <c r="H20" s="133" t="s">
        <v>52</v>
      </c>
      <c r="I20" s="134">
        <v>17</v>
      </c>
      <c r="J20" s="134" t="s">
        <v>149</v>
      </c>
      <c r="K20" s="133">
        <v>81</v>
      </c>
      <c r="L20" s="1637" cm="1">
        <f t="array" ref="L20">IFERROR(_xlfn.XLOOKUP(tbl_Planning[[#This Row],[Product]],_xlfn.ANCHORARRAY(ADMIN!$AF$9),_xlfn.ANCHORARRAY(ADMIN!$AJ$9)),"")</f>
        <v>4.4140799999999993</v>
      </c>
      <c r="M20" s="1638">
        <f>IFERROR(tbl_Planning.Help[[#This Row],[Feet]]/tbl_Planning[[#This Row],[Acres]],"")</f>
        <v>214.41176470588235</v>
      </c>
      <c r="N20" s="1213"/>
      <c r="O20" s="1213"/>
      <c r="P20" s="1213"/>
      <c r="Q20" s="1213"/>
      <c r="R20" s="1213"/>
      <c r="S20" s="1213"/>
      <c r="T20" s="1213"/>
      <c r="U20" s="268"/>
      <c r="V20" s="268" t="str" cm="1">
        <f t="array" ref="V20">IF(U20="","",COUNTA(_xlfn.UNIQUE(_xlfn._xlws.FILTER(tbl_Planning[Phase],tbl_Planning[Area]=U20))))</f>
        <v/>
      </c>
      <c r="W20" s="268" t="str">
        <f>IF(U20="","",COUNTIF(tbl_Planning[Area],U20))</f>
        <v/>
      </c>
      <c r="X20" s="1074"/>
      <c r="Y20" s="268"/>
      <c r="Z20" s="269" t="str">
        <f t="shared" si="0"/>
        <v/>
      </c>
      <c r="AA20" s="268"/>
      <c r="AC20" s="1028"/>
      <c r="AD20" s="270"/>
      <c r="AE20" s="270"/>
      <c r="AF20" s="270"/>
      <c r="AG20" s="271" t="str">
        <f t="shared" si="1"/>
        <v/>
      </c>
      <c r="AH20" s="1031"/>
    </row>
    <row r="21" spans="1:41" ht="18" thickTop="1" thickBot="1">
      <c r="A21" s="1092">
        <f t="shared" si="2"/>
        <v>3250</v>
      </c>
      <c r="B21" s="1093" t="str">
        <f>CONCATENATE(tbl_Planning[[#This Row],[Area]],".",tbl_Planning[[#This Row],[Phase]])</f>
        <v>2.1</v>
      </c>
      <c r="C21" s="1088"/>
      <c r="D21" s="132">
        <v>2</v>
      </c>
      <c r="E21" s="133">
        <v>1</v>
      </c>
      <c r="F21" s="1220">
        <v>3</v>
      </c>
      <c r="G21" s="1633" t="str">
        <f>IF(tbl_Planning[[#This Row],[Parcel]]=0,"",CONCATENATE(D21, ".", E21,  TEXT(F21, "00")))</f>
        <v>2.103</v>
      </c>
      <c r="H21" s="133" t="s">
        <v>52</v>
      </c>
      <c r="I21" s="134">
        <v>16</v>
      </c>
      <c r="J21" s="134" t="s">
        <v>619</v>
      </c>
      <c r="K21" s="133">
        <v>65</v>
      </c>
      <c r="L21" s="1637" cm="1">
        <f t="array" ref="L21">IFERROR(_xlfn.XLOOKUP(tbl_Planning[[#This Row],[Product]],_xlfn.ANCHORARRAY(ADMIN!$AF$9),_xlfn.ANCHORARRAY(ADMIN!$AJ$9)),"")</f>
        <v>3.9726719999999998</v>
      </c>
      <c r="M21" s="1638">
        <f>IFERROR(tbl_Planning.Help[[#This Row],[Feet]]/tbl_Planning[[#This Row],[Acres]],"")</f>
        <v>203.125</v>
      </c>
      <c r="N21" s="1213"/>
      <c r="O21" s="1213"/>
      <c r="P21" s="1213"/>
      <c r="Q21" s="1213"/>
      <c r="R21" s="1213"/>
      <c r="S21" s="1213"/>
      <c r="T21" s="1213"/>
      <c r="U21" s="272"/>
      <c r="V21" s="272" t="str" cm="1">
        <f t="array" ref="V21">IF(U21="","",COUNTA(_xlfn.UNIQUE(_xlfn._xlws.FILTER(tbl_Planning[Phase],tbl_Planning[Area]=U21))))</f>
        <v/>
      </c>
      <c r="W21" s="272" t="str">
        <f>IF(U21="","",COUNTIF(tbl_Planning[Area],U21))</f>
        <v/>
      </c>
      <c r="X21" s="1075"/>
      <c r="Y21" s="272"/>
      <c r="Z21" s="273" t="str">
        <f t="shared" si="0"/>
        <v/>
      </c>
      <c r="AA21" s="272"/>
      <c r="AC21" s="1029"/>
      <c r="AD21" s="274"/>
      <c r="AE21" s="274"/>
      <c r="AF21" s="274"/>
      <c r="AG21" s="275" t="str">
        <f t="shared" si="1"/>
        <v/>
      </c>
      <c r="AH21" s="1032"/>
    </row>
    <row r="22" spans="1:41" ht="17" thickTop="1" thickBot="1">
      <c r="A22" s="1092">
        <f t="shared" si="2"/>
        <v>4520</v>
      </c>
      <c r="B22" s="1093" t="str">
        <f>CONCATENATE(tbl_Planning[[#This Row],[Area]],".",tbl_Planning[[#This Row],[Phase]])</f>
        <v>2.1</v>
      </c>
      <c r="C22" s="1088"/>
      <c r="D22" s="132">
        <v>2</v>
      </c>
      <c r="E22" s="133">
        <v>1</v>
      </c>
      <c r="F22" s="1220">
        <v>4</v>
      </c>
      <c r="G22" s="1633" t="str">
        <f>IF(tbl_Planning[[#This Row],[Parcel]]=0,"",CONCATENATE(D22, ".", E22,  TEXT(F22, "00")))</f>
        <v>2.104</v>
      </c>
      <c r="H22" s="133" t="s">
        <v>52</v>
      </c>
      <c r="I22" s="134">
        <v>21</v>
      </c>
      <c r="J22" s="134" t="s">
        <v>148</v>
      </c>
      <c r="K22" s="133">
        <v>113</v>
      </c>
      <c r="L22" s="1637" cm="1">
        <f t="array" ref="L22">IFERROR(_xlfn.XLOOKUP(tbl_Planning[[#This Row],[Product]],_xlfn.ANCHORARRAY(ADMIN!$AF$9),_xlfn.ANCHORARRAY(ADMIN!$AJ$9)),"")</f>
        <v>4.9658399999999991</v>
      </c>
      <c r="M22" s="1638">
        <f>IFERROR(tbl_Planning.Help[[#This Row],[Feet]]/tbl_Planning[[#This Row],[Acres]],"")</f>
        <v>215.23809523809524</v>
      </c>
      <c r="N22" s="1213"/>
      <c r="O22" s="1213"/>
      <c r="P22" s="1702"/>
      <c r="Q22" s="1702"/>
      <c r="R22" s="1702"/>
      <c r="S22" s="1213"/>
      <c r="T22" s="1213"/>
      <c r="U22" s="276"/>
      <c r="V22" s="276">
        <f>SUM(V8:V21)</f>
        <v>8</v>
      </c>
      <c r="W22" s="276">
        <f>SUM(W8:W21)</f>
        <v>42</v>
      </c>
      <c r="X22" s="1073">
        <f>SUM(_xlfn.ANCHORARRAY(X8))</f>
        <v>1090</v>
      </c>
      <c r="Y22" s="276">
        <f>SUM(_xlfn.ANCHORARRAY(Y8))</f>
        <v>3416</v>
      </c>
      <c r="Z22" s="277">
        <f>IFERROR(Y22/X22,0)</f>
        <v>3.1339449541284403</v>
      </c>
      <c r="AA22" s="276">
        <f>SUM(tbl_Planning.Help[Feet])/X22</f>
        <v>101.93119266055047</v>
      </c>
      <c r="AC22" s="276">
        <f>COUNTA(AC8:AC21)</f>
        <v>7</v>
      </c>
      <c r="AD22" s="276">
        <f>SUM(AD8:AD21)</f>
        <v>42</v>
      </c>
      <c r="AE22" s="276">
        <f>SUM(AE8:AE21)</f>
        <v>1090</v>
      </c>
      <c r="AF22" s="276">
        <f>SUM(AF8:AF21)</f>
        <v>3416</v>
      </c>
      <c r="AG22" s="278">
        <f>AF22/AE22</f>
        <v>3.1339449541284403</v>
      </c>
      <c r="AH22" s="1216"/>
    </row>
    <row r="23" spans="1:41" ht="17" thickTop="1" thickBot="1">
      <c r="A23" s="1092">
        <f t="shared" si="2"/>
        <v>4500</v>
      </c>
      <c r="B23" s="1093" t="str">
        <f>CONCATENATE(tbl_Planning[[#This Row],[Area]],".",tbl_Planning[[#This Row],[Phase]])</f>
        <v>2.1</v>
      </c>
      <c r="C23" s="1088"/>
      <c r="D23" s="132">
        <v>2</v>
      </c>
      <c r="E23" s="133">
        <v>1</v>
      </c>
      <c r="F23" s="133">
        <v>5</v>
      </c>
      <c r="G23" s="1633" t="str">
        <f>IF(tbl_Planning[[#This Row],[Parcel]]=0,"",CONCATENATE(D23, ".", E23,  TEXT(F23, "00")))</f>
        <v>2.105</v>
      </c>
      <c r="H23" s="133" t="s">
        <v>52</v>
      </c>
      <c r="I23" s="134">
        <v>21</v>
      </c>
      <c r="J23" s="134" t="s">
        <v>149</v>
      </c>
      <c r="K23" s="133">
        <v>100</v>
      </c>
      <c r="L23" s="1637" cm="1">
        <f t="array" ref="L23">IFERROR(_xlfn.XLOOKUP(tbl_Planning[[#This Row],[Product]],_xlfn.ANCHORARRAY(ADMIN!$AF$9),_xlfn.ANCHORARRAY(ADMIN!$AJ$9)),"")</f>
        <v>4.4140799999999993</v>
      </c>
      <c r="M23" s="1638">
        <f>IFERROR(tbl_Planning.Help[[#This Row],[Feet]]/tbl_Planning[[#This Row],[Acres]],"")</f>
        <v>214.28571428571428</v>
      </c>
      <c r="N23" s="1213"/>
      <c r="O23" s="1213"/>
      <c r="P23" s="1701"/>
      <c r="Q23" s="1701"/>
      <c r="R23" s="1701"/>
      <c r="S23" s="1213"/>
      <c r="T23" s="1213"/>
    </row>
    <row r="24" spans="1:41" ht="20" thickTop="1" thickBot="1">
      <c r="A24" s="1092">
        <f t="shared" si="2"/>
        <v>4300</v>
      </c>
      <c r="B24" s="1093" t="str">
        <f>CONCATENATE(tbl_Planning[[#This Row],[Area]],".",tbl_Planning[[#This Row],[Phase]])</f>
        <v>2.1</v>
      </c>
      <c r="C24" s="1088"/>
      <c r="D24" s="132">
        <v>2</v>
      </c>
      <c r="E24" s="133">
        <v>1</v>
      </c>
      <c r="F24" s="133">
        <v>6</v>
      </c>
      <c r="G24" s="1633" t="str">
        <f>IF(tbl_Planning[[#This Row],[Parcel]]=0,"",CONCATENATE(D24, ".", E24,  TEXT(F24, "00")))</f>
        <v>2.106</v>
      </c>
      <c r="H24" s="133" t="s">
        <v>52</v>
      </c>
      <c r="I24" s="134">
        <v>21</v>
      </c>
      <c r="J24" s="134" t="s">
        <v>619</v>
      </c>
      <c r="K24" s="133">
        <v>86</v>
      </c>
      <c r="L24" s="1637" cm="1">
        <f t="array" ref="L24">IFERROR(_xlfn.XLOOKUP(tbl_Planning[[#This Row],[Product]],_xlfn.ANCHORARRAY(ADMIN!$AF$9),_xlfn.ANCHORARRAY(ADMIN!$AJ$9)),"")</f>
        <v>3.9726719999999998</v>
      </c>
      <c r="M24" s="1638">
        <f>IFERROR(tbl_Planning.Help[[#This Row],[Feet]]/tbl_Planning[[#This Row],[Acres]],"")</f>
        <v>204.76190476190476</v>
      </c>
      <c r="N24" s="1213"/>
      <c r="O24" s="1213"/>
      <c r="P24" s="1701"/>
      <c r="Q24" s="1701"/>
      <c r="R24" s="1701"/>
      <c r="S24" s="1213"/>
      <c r="T24" s="1213"/>
      <c r="U24" s="1223" t="s">
        <v>691</v>
      </c>
      <c r="V24" s="1223"/>
      <c r="W24" s="1223"/>
      <c r="X24" s="1223"/>
      <c r="Y24" s="1223"/>
      <c r="Z24" s="1223"/>
      <c r="AA24" s="1223"/>
      <c r="AB24" s="1223"/>
      <c r="AC24" s="1175" t="s">
        <v>693</v>
      </c>
      <c r="AD24" s="1175" t="s">
        <v>11</v>
      </c>
    </row>
    <row r="25" spans="1:41" ht="17" thickTop="1" thickBot="1">
      <c r="A25" s="1092" t="str">
        <f t="shared" si="2"/>
        <v/>
      </c>
      <c r="B25" s="1093" t="str">
        <f>CONCATENATE(tbl_Planning[[#This Row],[Area]],".",tbl_Planning[[#This Row],[Phase]])</f>
        <v>2.1</v>
      </c>
      <c r="C25" s="1088"/>
      <c r="D25" s="132">
        <v>2</v>
      </c>
      <c r="E25" s="133">
        <v>1</v>
      </c>
      <c r="F25" s="133">
        <v>7</v>
      </c>
      <c r="G25" s="1633" t="str">
        <f>IF(tbl_Planning[[#This Row],[Parcel]]=0,"",CONCATENATE(D25, ".", E25,  TEXT(F25, "00")))</f>
        <v>2.107</v>
      </c>
      <c r="H25" s="133" t="s">
        <v>611</v>
      </c>
      <c r="I25" s="134">
        <v>16</v>
      </c>
      <c r="J25" s="134" t="s">
        <v>620</v>
      </c>
      <c r="K25" s="133">
        <v>168</v>
      </c>
      <c r="L25" s="1637" t="str" cm="1">
        <f t="array" ref="L25">IFERROR(_xlfn.XLOOKUP(tbl_Planning[[#This Row],[Product]],_xlfn.ANCHORARRAY(ADMIN!$AF$9),_xlfn.ANCHORARRAY(ADMIN!$AJ$9)),"")</f>
        <v/>
      </c>
      <c r="M25" s="1638" t="str">
        <f>IFERROR(tbl_Planning.Help[[#This Row],[Feet]]/tbl_Planning[[#This Row],[Acres]],"")</f>
        <v/>
      </c>
      <c r="N25" s="1213"/>
      <c r="O25" s="1213"/>
      <c r="P25" s="1701"/>
      <c r="Q25" s="1701"/>
      <c r="R25" s="1701"/>
      <c r="S25" s="1213"/>
      <c r="T25" s="1213"/>
      <c r="U25" s="1178" t="s">
        <v>90</v>
      </c>
      <c r="V25" s="1178" t="str" cm="1">
        <f t="array" ref="V25:AB25">TRANSPOSE(_xlfn.ANCHORARRAY(AC8))</f>
        <v>MDR</v>
      </c>
      <c r="W25" s="1178" t="str">
        <v>MU</v>
      </c>
      <c r="X25" s="1178" t="str">
        <v>HDR</v>
      </c>
      <c r="Y25" s="1178" t="str">
        <v>MHDR</v>
      </c>
      <c r="Z25" s="1178" t="str">
        <v>OS</v>
      </c>
      <c r="AA25" s="1178" t="str">
        <v>C</v>
      </c>
      <c r="AB25" s="1178" t="str">
        <v>MLDR</v>
      </c>
      <c r="AC25" s="1448" t="s">
        <v>48</v>
      </c>
      <c r="AD25" s="1448" t="s">
        <v>692</v>
      </c>
      <c r="AG25" t="s">
        <v>38</v>
      </c>
      <c r="AH25" t="s">
        <v>48</v>
      </c>
    </row>
    <row r="26" spans="1:41" ht="18" thickTop="1" thickBot="1">
      <c r="A26" s="1092" t="str">
        <f t="shared" si="2"/>
        <v/>
      </c>
      <c r="B26" s="1093" t="str">
        <f>CONCATENATE(tbl_Planning[[#This Row],[Area]],".",tbl_Planning[[#This Row],[Phase]])</f>
        <v>2.1</v>
      </c>
      <c r="C26" s="1088"/>
      <c r="D26" s="132">
        <v>2</v>
      </c>
      <c r="E26" s="133">
        <v>1</v>
      </c>
      <c r="F26" s="133">
        <v>8</v>
      </c>
      <c r="G26" s="1633" t="str">
        <f>IF(tbl_Planning[[#This Row],[Parcel]]=0,"",CONCATENATE(D26, ".", E26,  TEXT(F26, "00")))</f>
        <v>2.108</v>
      </c>
      <c r="H26" s="133" t="s">
        <v>611</v>
      </c>
      <c r="I26" s="134">
        <v>13</v>
      </c>
      <c r="J26" s="134" t="s">
        <v>621</v>
      </c>
      <c r="K26" s="133">
        <v>110</v>
      </c>
      <c r="L26" s="1637" t="str" cm="1">
        <f t="array" ref="L26">IFERROR(_xlfn.XLOOKUP(tbl_Planning[[#This Row],[Product]],_xlfn.ANCHORARRAY(ADMIN!$AF$9),_xlfn.ANCHORARRAY(ADMIN!$AJ$9)),"")</f>
        <v/>
      </c>
      <c r="M26" s="1638" t="str">
        <f>IFERROR(tbl_Planning.Help[[#This Row],[Feet]]/tbl_Planning[[#This Row],[Acres]],"")</f>
        <v/>
      </c>
      <c r="N26" s="1213"/>
      <c r="O26" s="1213"/>
      <c r="P26" s="1701"/>
      <c r="Q26" s="1701"/>
      <c r="R26" s="1701"/>
      <c r="S26" s="1213"/>
      <c r="T26" s="1213"/>
      <c r="U26" s="1027" t="str" cm="1">
        <f t="array" ref="U26:U33">list_Phases</f>
        <v>1.1</v>
      </c>
      <c r="V26" s="1446" cm="1">
        <f t="array" ref="V26:AB33">SUMIFS(tbl_Planning[Acres],tbl_Planning.Help[Phase],_xlfn.ANCHORARRAY(U26),tbl_Planning[Code],_xlfn.ANCHORARRAY(V25))</f>
        <v>78</v>
      </c>
      <c r="W26" s="1446">
        <v>26</v>
      </c>
      <c r="X26" s="1446">
        <v>0</v>
      </c>
      <c r="Y26" s="1446">
        <v>0</v>
      </c>
      <c r="Z26" s="1446">
        <v>0</v>
      </c>
      <c r="AA26" s="1446">
        <v>0</v>
      </c>
      <c r="AB26" s="1446">
        <v>0</v>
      </c>
      <c r="AC26" s="1446">
        <f>SUM(V26:AB26)</f>
        <v>104</v>
      </c>
      <c r="AD26" s="1446">
        <f t="shared" ref="AD26:AD39" si="3">SUM(V26:AB26)-Z26</f>
        <v>104</v>
      </c>
      <c r="AG26" s="135" t="str">
        <f>U26</f>
        <v>1.1</v>
      </c>
      <c r="AH26" s="135">
        <f>AC26</f>
        <v>104</v>
      </c>
    </row>
    <row r="27" spans="1:41" ht="18" thickTop="1" thickBot="1">
      <c r="A27" s="1092">
        <f t="shared" si="2"/>
        <v>4680</v>
      </c>
      <c r="B27" s="1093" t="str">
        <f>CONCATENATE(tbl_Planning[[#This Row],[Area]],".",tbl_Planning[[#This Row],[Phase]])</f>
        <v>2.1</v>
      </c>
      <c r="C27" s="1088"/>
      <c r="D27" s="132">
        <v>2</v>
      </c>
      <c r="E27" s="133">
        <v>1</v>
      </c>
      <c r="F27" s="133">
        <v>9</v>
      </c>
      <c r="G27" s="1633" t="str">
        <f>IF(tbl_Planning[[#This Row],[Parcel]]=0,"",CONCATENATE(D27, ".", E27,  TEXT(F27, "00")))</f>
        <v>2.109</v>
      </c>
      <c r="H27" s="133" t="s">
        <v>52</v>
      </c>
      <c r="I27" s="134">
        <v>19</v>
      </c>
      <c r="J27" s="134" t="s">
        <v>45</v>
      </c>
      <c r="K27" s="133">
        <v>117</v>
      </c>
      <c r="L27" s="1637" cm="1">
        <f t="array" ref="L27">IFERROR(_xlfn.XLOOKUP(tbl_Planning[[#This Row],[Product]],_xlfn.ANCHORARRAY(ADMIN!$AF$9),_xlfn.ANCHORARRAY(ADMIN!$AJ$9)),"")</f>
        <v>4.9658399999999991</v>
      </c>
      <c r="M27" s="1638">
        <f>IFERROR(tbl_Planning.Help[[#This Row],[Feet]]/tbl_Planning[[#This Row],[Acres]],"")</f>
        <v>246.31578947368422</v>
      </c>
      <c r="N27" s="1213"/>
      <c r="O27" s="1213"/>
      <c r="P27" s="1701"/>
      <c r="Q27" s="1701"/>
      <c r="R27" s="1701"/>
      <c r="S27" s="1213"/>
      <c r="T27" s="1213"/>
      <c r="U27" s="1027" t="str">
        <v>1.2</v>
      </c>
      <c r="V27" s="1446">
        <v>101</v>
      </c>
      <c r="W27" s="1446">
        <v>27</v>
      </c>
      <c r="X27" s="1446">
        <v>19</v>
      </c>
      <c r="Y27" s="1446">
        <v>0</v>
      </c>
      <c r="Z27" s="1446">
        <v>0</v>
      </c>
      <c r="AA27" s="1446">
        <v>0</v>
      </c>
      <c r="AB27" s="1446">
        <v>0</v>
      </c>
      <c r="AC27" s="1446">
        <f t="shared" ref="AC27:AC39" si="4">SUM(V27:AB27)</f>
        <v>147</v>
      </c>
      <c r="AD27" s="1446">
        <f t="shared" si="3"/>
        <v>147</v>
      </c>
      <c r="AG27" s="135" t="str">
        <f t="shared" ref="AG27:AG33" si="5">U27</f>
        <v>1.2</v>
      </c>
      <c r="AH27" s="135">
        <f t="shared" ref="AH27:AH33" si="6">AC27</f>
        <v>147</v>
      </c>
    </row>
    <row r="28" spans="1:41" ht="18" thickTop="1" thickBot="1">
      <c r="A28" s="1092" t="str">
        <f t="shared" si="2"/>
        <v/>
      </c>
      <c r="B28" s="1093" t="str">
        <f>CONCATENATE(tbl_Planning[[#This Row],[Area]],".",tbl_Planning[[#This Row],[Phase]])</f>
        <v>2.1</v>
      </c>
      <c r="C28" s="1088"/>
      <c r="D28" s="132">
        <v>2</v>
      </c>
      <c r="E28" s="133">
        <v>1</v>
      </c>
      <c r="F28" s="133">
        <v>10</v>
      </c>
      <c r="G28" s="1633" t="str">
        <f>IF(tbl_Planning[[#This Row],[Parcel]]=0,"",CONCATENATE(D28, ".", E28,  TEXT(F28, "00")))</f>
        <v>2.110</v>
      </c>
      <c r="H28" s="133" t="s">
        <v>611</v>
      </c>
      <c r="I28" s="134">
        <v>23</v>
      </c>
      <c r="J28" s="134" t="s">
        <v>622</v>
      </c>
      <c r="K28" s="133">
        <v>253</v>
      </c>
      <c r="L28" s="1637" t="str" cm="1">
        <f t="array" ref="L28">IFERROR(_xlfn.XLOOKUP(tbl_Planning[[#This Row],[Product]],_xlfn.ANCHORARRAY(ADMIN!$AF$9),_xlfn.ANCHORARRAY(ADMIN!$AJ$9)),"")</f>
        <v/>
      </c>
      <c r="M28" s="1638" t="str">
        <f>IFERROR(tbl_Planning.Help[[#This Row],[Feet]]/tbl_Planning[[#This Row],[Acres]],"")</f>
        <v/>
      </c>
      <c r="N28" s="1214"/>
      <c r="O28" s="1214"/>
      <c r="P28" s="1701"/>
      <c r="Q28" s="1701"/>
      <c r="R28" s="1701"/>
      <c r="S28" s="1214"/>
      <c r="T28" s="1214"/>
      <c r="U28" s="1027" t="str">
        <v>2.1</v>
      </c>
      <c r="V28" s="1446">
        <v>133</v>
      </c>
      <c r="W28" s="1446">
        <v>0</v>
      </c>
      <c r="X28" s="1446">
        <v>19</v>
      </c>
      <c r="Y28" s="1446">
        <v>52</v>
      </c>
      <c r="Z28" s="1446">
        <v>56</v>
      </c>
      <c r="AA28" s="1446">
        <v>0</v>
      </c>
      <c r="AB28" s="1446">
        <v>0</v>
      </c>
      <c r="AC28" s="1446">
        <f t="shared" si="4"/>
        <v>260</v>
      </c>
      <c r="AD28" s="1446">
        <f t="shared" si="3"/>
        <v>204</v>
      </c>
      <c r="AG28" s="135" t="str">
        <f t="shared" si="5"/>
        <v>2.1</v>
      </c>
      <c r="AH28" s="135">
        <f t="shared" si="6"/>
        <v>260</v>
      </c>
    </row>
    <row r="29" spans="1:41" ht="18" thickTop="1" thickBot="1">
      <c r="A29" s="1092" t="str">
        <f t="shared" si="2"/>
        <v/>
      </c>
      <c r="B29" s="1093" t="str">
        <f>CONCATENATE(tbl_Planning[[#This Row],[Area]],".",tbl_Planning[[#This Row],[Phase]])</f>
        <v>2.1</v>
      </c>
      <c r="C29" s="1088"/>
      <c r="D29" s="132">
        <v>2</v>
      </c>
      <c r="E29" s="133">
        <v>1</v>
      </c>
      <c r="F29" s="133">
        <v>11</v>
      </c>
      <c r="G29" s="1633" t="str">
        <f>IF(tbl_Planning[[#This Row],[Parcel]]=0,"",CONCATENATE(D29, ".", E29,  TEXT(F29, "00")))</f>
        <v>2.111</v>
      </c>
      <c r="H29" s="133" t="s">
        <v>610</v>
      </c>
      <c r="I29" s="134">
        <v>19</v>
      </c>
      <c r="J29" s="134" t="s">
        <v>615</v>
      </c>
      <c r="K29" s="133">
        <v>380</v>
      </c>
      <c r="L29" s="1637" t="str" cm="1">
        <f t="array" ref="L29">IFERROR(_xlfn.XLOOKUP(tbl_Planning[[#This Row],[Product]],_xlfn.ANCHORARRAY(ADMIN!$AF$9),_xlfn.ANCHORARRAY(ADMIN!$AJ$9)),"")</f>
        <v/>
      </c>
      <c r="M29" s="1638" t="str">
        <f>IFERROR(tbl_Planning.Help[[#This Row],[Feet]]/tbl_Planning[[#This Row],[Acres]],"")</f>
        <v/>
      </c>
      <c r="N29" s="1213"/>
      <c r="O29" s="1213"/>
      <c r="P29" s="1701"/>
      <c r="Q29" s="1701"/>
      <c r="R29" s="1701"/>
      <c r="S29" s="1213"/>
      <c r="T29" s="1213"/>
      <c r="U29" s="1027" t="str">
        <v>2.2</v>
      </c>
      <c r="V29" s="1446">
        <v>49</v>
      </c>
      <c r="W29" s="1446">
        <v>0</v>
      </c>
      <c r="X29" s="1446">
        <v>0</v>
      </c>
      <c r="Y29" s="1446">
        <v>0</v>
      </c>
      <c r="Z29" s="1446">
        <v>74</v>
      </c>
      <c r="AA29" s="1446">
        <v>0</v>
      </c>
      <c r="AB29" s="1446">
        <v>0</v>
      </c>
      <c r="AC29" s="1446">
        <f t="shared" si="4"/>
        <v>123</v>
      </c>
      <c r="AD29" s="1446">
        <f t="shared" si="3"/>
        <v>49</v>
      </c>
      <c r="AG29" s="135" t="str">
        <f t="shared" si="5"/>
        <v>2.2</v>
      </c>
      <c r="AH29" s="135">
        <f t="shared" si="6"/>
        <v>123</v>
      </c>
    </row>
    <row r="30" spans="1:41" ht="18" thickTop="1" thickBot="1">
      <c r="A30" s="1092" t="str">
        <f t="shared" si="2"/>
        <v/>
      </c>
      <c r="B30" s="1093" t="str">
        <f>CONCATENATE(tbl_Planning[[#This Row],[Area]],".",tbl_Planning[[#This Row],[Phase]])</f>
        <v>2.1</v>
      </c>
      <c r="C30" s="1088"/>
      <c r="D30" s="132">
        <v>2</v>
      </c>
      <c r="E30" s="133">
        <v>1</v>
      </c>
      <c r="F30" s="133">
        <v>12</v>
      </c>
      <c r="G30" s="1633" t="str">
        <f>IF(tbl_Planning[[#This Row],[Parcel]]=0,"",CONCATENATE(D30, ".", E30,  TEXT(F30, "00")))</f>
        <v>2.112</v>
      </c>
      <c r="H30" s="133" t="s">
        <v>612</v>
      </c>
      <c r="I30" s="134">
        <v>56</v>
      </c>
      <c r="J30" s="134" t="s">
        <v>612</v>
      </c>
      <c r="K30" s="133">
        <v>0</v>
      </c>
      <c r="L30" s="1637" t="str" cm="1">
        <f t="array" ref="L30">IFERROR(_xlfn.XLOOKUP(tbl_Planning[[#This Row],[Product]],_xlfn.ANCHORARRAY(ADMIN!$AF$9),_xlfn.ANCHORARRAY(ADMIN!$AJ$9)),"")</f>
        <v/>
      </c>
      <c r="M30" s="1638" t="str">
        <f>IFERROR(tbl_Planning.Help[[#This Row],[Feet]]/tbl_Planning[[#This Row],[Acres]],"")</f>
        <v/>
      </c>
      <c r="N30" s="1213"/>
      <c r="O30" s="1213"/>
      <c r="P30" s="1213"/>
      <c r="Q30" s="1213"/>
      <c r="R30" s="1213"/>
      <c r="S30" s="1213"/>
      <c r="T30" s="1213"/>
      <c r="U30" s="1027" t="str">
        <v>3.1</v>
      </c>
      <c r="V30" s="1446">
        <v>0</v>
      </c>
      <c r="W30" s="1446">
        <v>0</v>
      </c>
      <c r="X30" s="1446">
        <v>0</v>
      </c>
      <c r="Y30" s="1446">
        <v>0</v>
      </c>
      <c r="Z30" s="1446">
        <v>0</v>
      </c>
      <c r="AA30" s="1446">
        <v>137</v>
      </c>
      <c r="AB30" s="1446">
        <v>0</v>
      </c>
      <c r="AC30" s="1446">
        <f t="shared" si="4"/>
        <v>137</v>
      </c>
      <c r="AD30" s="1446">
        <f t="shared" si="3"/>
        <v>137</v>
      </c>
      <c r="AG30" s="135" t="str">
        <f t="shared" si="5"/>
        <v>3.1</v>
      </c>
      <c r="AH30" s="135">
        <f t="shared" si="6"/>
        <v>137</v>
      </c>
    </row>
    <row r="31" spans="1:41" ht="18" thickTop="1" thickBot="1">
      <c r="A31" s="1092">
        <f t="shared" si="2"/>
        <v>5600</v>
      </c>
      <c r="B31" s="1093" t="str">
        <f>CONCATENATE(tbl_Planning[[#This Row],[Area]],".",tbl_Planning[[#This Row],[Phase]])</f>
        <v>2.2</v>
      </c>
      <c r="C31" s="1088"/>
      <c r="D31" s="132">
        <v>2</v>
      </c>
      <c r="E31" s="133">
        <v>2</v>
      </c>
      <c r="F31" s="133">
        <v>1</v>
      </c>
      <c r="G31" s="1633" t="str">
        <f>IF(tbl_Planning[[#This Row],[Parcel]]=0,"",CONCATENATE(D31, ".", E31,  TEXT(F31, "00")))</f>
        <v>2.201</v>
      </c>
      <c r="H31" s="133" t="s">
        <v>52</v>
      </c>
      <c r="I31" s="134">
        <v>28</v>
      </c>
      <c r="J31" s="134" t="s">
        <v>53</v>
      </c>
      <c r="K31" s="133">
        <v>112</v>
      </c>
      <c r="L31" s="1637" cm="1">
        <f t="array" ref="L31">IFERROR(_xlfn.XLOOKUP(tbl_Planning[[#This Row],[Product]],_xlfn.ANCHORARRAY(ADMIN!$AF$9),_xlfn.ANCHORARRAY(ADMIN!$AJ$9)),"")</f>
        <v>3.9726719999999998</v>
      </c>
      <c r="M31" s="1638">
        <f>IFERROR(tbl_Planning.Help[[#This Row],[Feet]]/tbl_Planning[[#This Row],[Acres]],"")</f>
        <v>200</v>
      </c>
      <c r="N31" s="1213"/>
      <c r="O31" s="1213"/>
      <c r="P31" s="1213"/>
      <c r="Q31" s="1213"/>
      <c r="R31" s="1213"/>
      <c r="S31" s="1213"/>
      <c r="T31" s="1213"/>
      <c r="U31" s="1027" t="str">
        <v>3.2</v>
      </c>
      <c r="V31" s="1446">
        <v>0</v>
      </c>
      <c r="W31" s="1446">
        <v>0</v>
      </c>
      <c r="X31" s="1446">
        <v>0</v>
      </c>
      <c r="Y31" s="1446">
        <v>0</v>
      </c>
      <c r="Z31" s="1446">
        <v>0</v>
      </c>
      <c r="AA31" s="1446">
        <v>105</v>
      </c>
      <c r="AB31" s="1446">
        <v>0</v>
      </c>
      <c r="AC31" s="1446">
        <f t="shared" si="4"/>
        <v>105</v>
      </c>
      <c r="AD31" s="1446">
        <f t="shared" si="3"/>
        <v>105</v>
      </c>
      <c r="AG31" s="135" t="str">
        <f t="shared" si="5"/>
        <v>3.2</v>
      </c>
      <c r="AH31" s="135">
        <f t="shared" si="6"/>
        <v>105</v>
      </c>
    </row>
    <row r="32" spans="1:41" ht="17" thickTop="1" thickBot="1">
      <c r="A32" s="1092">
        <f t="shared" si="2"/>
        <v>4125</v>
      </c>
      <c r="B32" s="1093" t="str">
        <f>CONCATENATE(tbl_Planning[[#This Row],[Area]],".",tbl_Planning[[#This Row],[Phase]])</f>
        <v>2.2</v>
      </c>
      <c r="C32" s="1088"/>
      <c r="D32" s="132">
        <v>2</v>
      </c>
      <c r="E32" s="133">
        <v>2</v>
      </c>
      <c r="F32" s="133">
        <v>2</v>
      </c>
      <c r="G32" s="1633" t="str">
        <f>IF(tbl_Planning[[#This Row],[Parcel]]=0,"",CONCATENATE(D32, ".", E32,  TEXT(F32, "00")))</f>
        <v>2.202</v>
      </c>
      <c r="H32" s="133" t="s">
        <v>52</v>
      </c>
      <c r="I32" s="134">
        <v>21</v>
      </c>
      <c r="J32" s="134" t="s">
        <v>623</v>
      </c>
      <c r="K32" s="133">
        <v>75</v>
      </c>
      <c r="L32" s="1637" cm="1">
        <f t="array" ref="L32">IFERROR(_xlfn.XLOOKUP(tbl_Planning[[#This Row],[Product]],_xlfn.ANCHORARRAY(ADMIN!$AF$9),_xlfn.ANCHORARRAY(ADMIN!$AJ$9)),"")</f>
        <v>3.6115200000000001</v>
      </c>
      <c r="M32" s="1638">
        <f>IFERROR(tbl_Planning.Help[[#This Row],[Feet]]/tbl_Planning[[#This Row],[Acres]],"")</f>
        <v>196.42857142857142</v>
      </c>
      <c r="N32" s="1213"/>
      <c r="O32" s="1213"/>
      <c r="P32" s="1213"/>
      <c r="Q32" s="1213"/>
      <c r="R32" s="1213"/>
      <c r="S32" s="1213"/>
      <c r="T32" s="1213"/>
      <c r="U32" s="1028" t="str">
        <v>4.1</v>
      </c>
      <c r="V32" s="1446">
        <v>64</v>
      </c>
      <c r="W32" s="1446">
        <v>0</v>
      </c>
      <c r="X32" s="1446">
        <v>0</v>
      </c>
      <c r="Y32" s="1446">
        <v>0</v>
      </c>
      <c r="Z32" s="1446">
        <v>19</v>
      </c>
      <c r="AA32" s="1446">
        <v>0</v>
      </c>
      <c r="AB32" s="1446">
        <v>0</v>
      </c>
      <c r="AC32" s="1446">
        <f t="shared" si="4"/>
        <v>83</v>
      </c>
      <c r="AD32" s="1446">
        <f t="shared" si="3"/>
        <v>64</v>
      </c>
      <c r="AG32" s="135" t="str">
        <f t="shared" si="5"/>
        <v>4.1</v>
      </c>
      <c r="AH32" s="135">
        <f t="shared" si="6"/>
        <v>83</v>
      </c>
    </row>
    <row r="33" spans="1:36" ht="17" thickTop="1" thickBot="1">
      <c r="A33" s="1092" t="str">
        <f t="shared" si="2"/>
        <v/>
      </c>
      <c r="B33" s="1093" t="str">
        <f>CONCATENATE(tbl_Planning[[#This Row],[Area]],".",tbl_Planning[[#This Row],[Phase]])</f>
        <v>2.2</v>
      </c>
      <c r="C33" s="1088"/>
      <c r="D33" s="132">
        <v>2</v>
      </c>
      <c r="E33" s="133">
        <v>2</v>
      </c>
      <c r="F33" s="133">
        <v>3</v>
      </c>
      <c r="G33" s="1633" t="str">
        <f>IF(tbl_Planning[[#This Row],[Parcel]]=0,"",CONCATENATE(D33, ".", E33,  TEXT(F33, "00")))</f>
        <v>2.203</v>
      </c>
      <c r="H33" s="133" t="s">
        <v>612</v>
      </c>
      <c r="I33" s="134">
        <v>33</v>
      </c>
      <c r="J33" s="134" t="s">
        <v>612</v>
      </c>
      <c r="K33" s="133">
        <v>0</v>
      </c>
      <c r="L33" s="1637" t="str" cm="1">
        <f t="array" ref="L33">IFERROR(_xlfn.XLOOKUP(tbl_Planning[[#This Row],[Product]],_xlfn.ANCHORARRAY(ADMIN!$AF$9),_xlfn.ANCHORARRAY(ADMIN!$AJ$9)),"")</f>
        <v/>
      </c>
      <c r="M33" s="1638" t="str">
        <f>IFERROR(tbl_Planning.Help[[#This Row],[Feet]]/tbl_Planning[[#This Row],[Acres]],"")</f>
        <v/>
      </c>
      <c r="N33" s="1213"/>
      <c r="O33" s="1213"/>
      <c r="P33" s="1213"/>
      <c r="Q33" s="1213"/>
      <c r="R33" s="1213"/>
      <c r="S33" s="1213"/>
      <c r="T33" s="1213"/>
      <c r="U33" s="1028" t="str">
        <v>4.2</v>
      </c>
      <c r="V33" s="1446">
        <v>17</v>
      </c>
      <c r="W33" s="1446">
        <v>0</v>
      </c>
      <c r="X33" s="1446">
        <v>0</v>
      </c>
      <c r="Y33" s="1446">
        <v>0</v>
      </c>
      <c r="Z33" s="1446">
        <v>0</v>
      </c>
      <c r="AA33" s="1446">
        <v>18</v>
      </c>
      <c r="AB33" s="1446">
        <v>96</v>
      </c>
      <c r="AC33" s="1446">
        <f t="shared" si="4"/>
        <v>131</v>
      </c>
      <c r="AD33" s="1446">
        <f t="shared" si="3"/>
        <v>131</v>
      </c>
      <c r="AG33" s="135" t="str">
        <f t="shared" si="5"/>
        <v>4.2</v>
      </c>
      <c r="AH33" s="135">
        <f t="shared" si="6"/>
        <v>131</v>
      </c>
    </row>
    <row r="34" spans="1:36" ht="17" thickTop="1" thickBot="1">
      <c r="A34" s="1092" t="str">
        <f t="shared" si="2"/>
        <v/>
      </c>
      <c r="B34" s="1093" t="str">
        <f>CONCATENATE(tbl_Planning[[#This Row],[Area]],".",tbl_Planning[[#This Row],[Phase]])</f>
        <v>2.2</v>
      </c>
      <c r="C34" s="1088"/>
      <c r="D34" s="132">
        <v>2</v>
      </c>
      <c r="E34" s="133">
        <v>2</v>
      </c>
      <c r="F34" s="133">
        <v>4</v>
      </c>
      <c r="G34" s="1633" t="str">
        <f>IF(tbl_Planning[[#This Row],[Parcel]]=0,"",CONCATENATE(D34, ".", E34,  TEXT(F34, "00")))</f>
        <v>2.204</v>
      </c>
      <c r="H34" s="133" t="s">
        <v>612</v>
      </c>
      <c r="I34" s="134">
        <v>41</v>
      </c>
      <c r="J34" s="134" t="s">
        <v>624</v>
      </c>
      <c r="K34" s="133">
        <v>0</v>
      </c>
      <c r="L34" s="1637" t="str" cm="1">
        <f t="array" ref="L34">IFERROR(_xlfn.XLOOKUP(tbl_Planning[[#This Row],[Product]],_xlfn.ANCHORARRAY(ADMIN!$AF$9),_xlfn.ANCHORARRAY(ADMIN!$AJ$9)),"")</f>
        <v/>
      </c>
      <c r="M34" s="1638" t="str">
        <f>IFERROR(tbl_Planning.Help[[#This Row],[Feet]]/tbl_Planning[[#This Row],[Acres]],"")</f>
        <v/>
      </c>
      <c r="N34" s="1213"/>
      <c r="O34" s="1213"/>
      <c r="P34" s="1213"/>
      <c r="Q34" s="1213"/>
      <c r="R34" s="1213"/>
      <c r="S34" s="1213"/>
      <c r="T34" s="1213"/>
      <c r="U34" s="1028"/>
      <c r="V34" s="1446"/>
      <c r="W34" s="1446"/>
      <c r="X34" s="1446"/>
      <c r="Y34" s="1446"/>
      <c r="Z34" s="1446"/>
      <c r="AA34" s="1446"/>
      <c r="AB34" s="1446"/>
      <c r="AC34" s="1446">
        <f t="shared" si="4"/>
        <v>0</v>
      </c>
      <c r="AD34" s="1446">
        <f t="shared" si="3"/>
        <v>0</v>
      </c>
    </row>
    <row r="35" spans="1:36" ht="17" thickTop="1" thickBot="1">
      <c r="A35" s="1092" t="str">
        <f t="shared" si="2"/>
        <v/>
      </c>
      <c r="B35" s="1093" t="str">
        <f>CONCATENATE(tbl_Planning[[#This Row],[Area]],".",tbl_Planning[[#This Row],[Phase]])</f>
        <v>3.1</v>
      </c>
      <c r="C35" s="1088"/>
      <c r="D35" s="132">
        <v>3</v>
      </c>
      <c r="E35" s="133">
        <v>1</v>
      </c>
      <c r="F35" s="133">
        <v>1</v>
      </c>
      <c r="G35" s="1633" t="str">
        <f>IF(tbl_Planning[[#This Row],[Parcel]]=0,"",CONCATENATE(D35, ".", E35,  TEXT(F35, "00")))</f>
        <v>3.101</v>
      </c>
      <c r="H35" s="133" t="s">
        <v>54</v>
      </c>
      <c r="I35" s="134">
        <v>64</v>
      </c>
      <c r="J35" s="134" t="s">
        <v>54</v>
      </c>
      <c r="K35" s="133">
        <v>0</v>
      </c>
      <c r="L35" s="1637" t="str" cm="1">
        <f t="array" ref="L35">IFERROR(_xlfn.XLOOKUP(tbl_Planning[[#This Row],[Product]],_xlfn.ANCHORARRAY(ADMIN!$AF$9),_xlfn.ANCHORARRAY(ADMIN!$AJ$9)),"")</f>
        <v/>
      </c>
      <c r="M35" s="1638" t="str">
        <f>IFERROR(tbl_Planning.Help[[#This Row],[Feet]]/tbl_Planning[[#This Row],[Acres]],"")</f>
        <v/>
      </c>
      <c r="N35" s="1213"/>
      <c r="O35" s="1213"/>
      <c r="P35" s="1213"/>
      <c r="Q35" s="1213"/>
      <c r="R35" s="1213"/>
      <c r="S35" s="1213"/>
      <c r="T35" s="1213"/>
      <c r="U35" s="1028"/>
      <c r="V35" s="1446"/>
      <c r="W35" s="1446"/>
      <c r="X35" s="1446"/>
      <c r="Y35" s="1446"/>
      <c r="Z35" s="1446"/>
      <c r="AA35" s="1446"/>
      <c r="AB35" s="1446"/>
      <c r="AC35" s="1446">
        <f t="shared" si="4"/>
        <v>0</v>
      </c>
      <c r="AD35" s="1446">
        <f t="shared" si="3"/>
        <v>0</v>
      </c>
    </row>
    <row r="36" spans="1:36" ht="17" thickTop="1" thickBot="1">
      <c r="A36" s="1092" t="str">
        <f t="shared" si="2"/>
        <v/>
      </c>
      <c r="B36" s="1093" t="str">
        <f>CONCATENATE(tbl_Planning[[#This Row],[Area]],".",tbl_Planning[[#This Row],[Phase]])</f>
        <v>3.1</v>
      </c>
      <c r="C36" s="1088"/>
      <c r="D36" s="132">
        <v>3</v>
      </c>
      <c r="E36" s="133">
        <v>1</v>
      </c>
      <c r="F36" s="133">
        <v>2</v>
      </c>
      <c r="G36" s="1633" t="str">
        <f>IF(tbl_Planning[[#This Row],[Parcel]]=0,"",CONCATENATE(D36, ".", E36,  TEXT(F36, "00")))</f>
        <v>3.102</v>
      </c>
      <c r="H36" s="133" t="s">
        <v>54</v>
      </c>
      <c r="I36" s="134">
        <v>34</v>
      </c>
      <c r="J36" s="134" t="s">
        <v>54</v>
      </c>
      <c r="K36" s="133">
        <v>0</v>
      </c>
      <c r="L36" s="1637" t="str" cm="1">
        <f t="array" ref="L36">IFERROR(_xlfn.XLOOKUP(tbl_Planning[[#This Row],[Product]],_xlfn.ANCHORARRAY(ADMIN!$AF$9),_xlfn.ANCHORARRAY(ADMIN!$AJ$9)),"")</f>
        <v/>
      </c>
      <c r="M36" s="1638" t="str">
        <f>IFERROR(tbl_Planning.Help[[#This Row],[Feet]]/tbl_Planning[[#This Row],[Acres]],"")</f>
        <v/>
      </c>
      <c r="N36" s="1213"/>
      <c r="O36" s="1213"/>
      <c r="P36" s="1213"/>
      <c r="Q36" s="1213"/>
      <c r="R36" s="1213"/>
      <c r="S36" s="1213"/>
      <c r="T36" s="1213"/>
      <c r="U36" s="1028"/>
      <c r="V36" s="1446"/>
      <c r="W36" s="1446"/>
      <c r="X36" s="1446"/>
      <c r="Y36" s="1446"/>
      <c r="Z36" s="1446"/>
      <c r="AA36" s="1446"/>
      <c r="AB36" s="1446"/>
      <c r="AC36" s="1446">
        <f t="shared" si="4"/>
        <v>0</v>
      </c>
      <c r="AD36" s="1446">
        <f t="shared" si="3"/>
        <v>0</v>
      </c>
      <c r="AJ36" s="154"/>
    </row>
    <row r="37" spans="1:36" ht="17" thickTop="1" thickBot="1">
      <c r="A37" s="1092" t="str">
        <f t="shared" si="2"/>
        <v/>
      </c>
      <c r="B37" s="1093" t="str">
        <f>CONCATENATE(tbl_Planning[[#This Row],[Area]],".",tbl_Planning[[#This Row],[Phase]])</f>
        <v>3.1</v>
      </c>
      <c r="C37" s="1088"/>
      <c r="D37" s="132">
        <v>3</v>
      </c>
      <c r="E37" s="133">
        <v>1</v>
      </c>
      <c r="F37" s="133">
        <v>3</v>
      </c>
      <c r="G37" s="1633" t="str">
        <f>IF(tbl_Planning[[#This Row],[Parcel]]=0,"",CONCATENATE(D37, ".", E37,  TEXT(F37, "00")))</f>
        <v>3.103</v>
      </c>
      <c r="H37" s="133" t="s">
        <v>54</v>
      </c>
      <c r="I37" s="134">
        <v>39</v>
      </c>
      <c r="J37" s="134" t="s">
        <v>54</v>
      </c>
      <c r="K37" s="133">
        <v>0</v>
      </c>
      <c r="L37" s="1637" t="str" cm="1">
        <f t="array" ref="L37">IFERROR(_xlfn.XLOOKUP(tbl_Planning[[#This Row],[Product]],_xlfn.ANCHORARRAY(ADMIN!$AF$9),_xlfn.ANCHORARRAY(ADMIN!$AJ$9)),"")</f>
        <v/>
      </c>
      <c r="M37" s="1638" t="str">
        <f>IFERROR(tbl_Planning.Help[[#This Row],[Feet]]/tbl_Planning[[#This Row],[Acres]],"")</f>
        <v/>
      </c>
      <c r="N37" s="1213"/>
      <c r="O37" s="1213"/>
      <c r="P37" s="1213"/>
      <c r="Q37" s="1213"/>
      <c r="R37" s="1213"/>
      <c r="S37" s="1213"/>
      <c r="T37" s="1213"/>
      <c r="U37" s="1028"/>
      <c r="V37" s="1446"/>
      <c r="W37" s="1446"/>
      <c r="X37" s="1446"/>
      <c r="Y37" s="1446"/>
      <c r="Z37" s="1446"/>
      <c r="AA37" s="1446"/>
      <c r="AB37" s="1446"/>
      <c r="AC37" s="1446">
        <f t="shared" si="4"/>
        <v>0</v>
      </c>
      <c r="AD37" s="1446">
        <f t="shared" si="3"/>
        <v>0</v>
      </c>
    </row>
    <row r="38" spans="1:36" ht="17" thickTop="1" thickBot="1">
      <c r="A38" s="1092" t="str">
        <f t="shared" si="2"/>
        <v/>
      </c>
      <c r="B38" s="1093" t="str">
        <f>CONCATENATE(tbl_Planning[[#This Row],[Area]],".",tbl_Planning[[#This Row],[Phase]])</f>
        <v>3.2</v>
      </c>
      <c r="C38" s="1088"/>
      <c r="D38" s="132">
        <v>3</v>
      </c>
      <c r="E38" s="133">
        <v>2</v>
      </c>
      <c r="F38" s="133">
        <v>1</v>
      </c>
      <c r="G38" s="1633" t="str">
        <f>IF(tbl_Planning[[#This Row],[Parcel]]=0,"",CONCATENATE(D38, ".", E38,  TEXT(F38, "00")))</f>
        <v>3.201</v>
      </c>
      <c r="H38" s="133" t="s">
        <v>54</v>
      </c>
      <c r="I38" s="134">
        <v>45</v>
      </c>
      <c r="J38" s="134" t="s">
        <v>54</v>
      </c>
      <c r="K38" s="133">
        <v>0</v>
      </c>
      <c r="L38" s="1637" t="str" cm="1">
        <f t="array" ref="L38">IFERROR(_xlfn.XLOOKUP(tbl_Planning[[#This Row],[Product]],_xlfn.ANCHORARRAY(ADMIN!$AF$9),_xlfn.ANCHORARRAY(ADMIN!$AJ$9)),"")</f>
        <v/>
      </c>
      <c r="M38" s="1638" t="str">
        <f>IFERROR(tbl_Planning.Help[[#This Row],[Feet]]/tbl_Planning[[#This Row],[Acres]],"")</f>
        <v/>
      </c>
      <c r="N38" s="1213"/>
      <c r="O38" s="1213"/>
      <c r="P38" s="1213"/>
      <c r="Q38" s="1213"/>
      <c r="R38" s="1213"/>
      <c r="S38" s="1213"/>
      <c r="T38" s="1213"/>
      <c r="U38" s="1028"/>
      <c r="V38" s="1446"/>
      <c r="W38" s="1446"/>
      <c r="X38" s="1446"/>
      <c r="Y38" s="1446"/>
      <c r="Z38" s="1446"/>
      <c r="AA38" s="1446"/>
      <c r="AB38" s="1446"/>
      <c r="AC38" s="1446">
        <f t="shared" si="4"/>
        <v>0</v>
      </c>
      <c r="AD38" s="1446">
        <f t="shared" si="3"/>
        <v>0</v>
      </c>
    </row>
    <row r="39" spans="1:36" ht="17" thickTop="1" thickBot="1">
      <c r="A39" s="1092" t="str">
        <f t="shared" si="2"/>
        <v/>
      </c>
      <c r="B39" s="1093" t="str">
        <f>CONCATENATE(tbl_Planning[[#This Row],[Area]],".",tbl_Planning[[#This Row],[Phase]])</f>
        <v>3.2</v>
      </c>
      <c r="C39" s="1088"/>
      <c r="D39" s="132">
        <v>3</v>
      </c>
      <c r="E39" s="133">
        <v>2</v>
      </c>
      <c r="F39" s="133">
        <v>2</v>
      </c>
      <c r="G39" s="1633" t="str">
        <f>IF(tbl_Planning[[#This Row],[Parcel]]=0,"",CONCATENATE(D39, ".", E39,  TEXT(F39, "00")))</f>
        <v>3.202</v>
      </c>
      <c r="H39" s="133" t="s">
        <v>54</v>
      </c>
      <c r="I39" s="134">
        <v>60</v>
      </c>
      <c r="J39" s="134" t="s">
        <v>54</v>
      </c>
      <c r="K39" s="133">
        <v>0</v>
      </c>
      <c r="L39" s="1637" t="str" cm="1">
        <f t="array" ref="L39">IFERROR(_xlfn.XLOOKUP(tbl_Planning[[#This Row],[Product]],_xlfn.ANCHORARRAY(ADMIN!$AF$9),_xlfn.ANCHORARRAY(ADMIN!$AJ$9)),"")</f>
        <v/>
      </c>
      <c r="M39" s="1638" t="str">
        <f>IFERROR(tbl_Planning.Help[[#This Row],[Feet]]/tbl_Planning[[#This Row],[Acres]],"")</f>
        <v/>
      </c>
      <c r="N39" s="1213"/>
      <c r="O39" s="1213"/>
      <c r="P39" s="1213"/>
      <c r="Q39" s="1213"/>
      <c r="R39" s="1213"/>
      <c r="S39" s="1213"/>
      <c r="T39" s="1213"/>
      <c r="U39" s="1029"/>
      <c r="V39" s="1447"/>
      <c r="W39" s="1447"/>
      <c r="X39" s="1447"/>
      <c r="Y39" s="1446"/>
      <c r="Z39" s="1446"/>
      <c r="AA39" s="1446"/>
      <c r="AB39" s="1446"/>
      <c r="AC39" s="1446">
        <f t="shared" si="4"/>
        <v>0</v>
      </c>
      <c r="AD39" s="1446">
        <f t="shared" si="3"/>
        <v>0</v>
      </c>
    </row>
    <row r="40" spans="1:36" ht="17" thickTop="1" thickBot="1">
      <c r="A40" s="1092" t="str">
        <f t="shared" si="2"/>
        <v/>
      </c>
      <c r="B40" s="1093" t="str">
        <f>CONCATENATE(tbl_Planning[[#This Row],[Area]],".",tbl_Planning[[#This Row],[Phase]])</f>
        <v>4.1</v>
      </c>
      <c r="C40" s="1088"/>
      <c r="D40" s="132">
        <v>4</v>
      </c>
      <c r="E40" s="133">
        <v>1</v>
      </c>
      <c r="F40" s="133">
        <v>1</v>
      </c>
      <c r="G40" s="1633" t="str">
        <f>IF(tbl_Planning[[#This Row],[Parcel]]=0,"",CONCATENATE(D40, ".", E40,  TEXT(F40, "00")))</f>
        <v>4.101</v>
      </c>
      <c r="H40" s="133" t="s">
        <v>612</v>
      </c>
      <c r="I40" s="134">
        <v>9</v>
      </c>
      <c r="J40" s="134" t="s">
        <v>612</v>
      </c>
      <c r="K40" s="133">
        <v>0</v>
      </c>
      <c r="L40" s="1637" t="str" cm="1">
        <f t="array" ref="L40">IFERROR(_xlfn.XLOOKUP(tbl_Planning[[#This Row],[Product]],_xlfn.ANCHORARRAY(ADMIN!$AF$9),_xlfn.ANCHORARRAY(ADMIN!$AJ$9)),"")</f>
        <v/>
      </c>
      <c r="M40" s="1638" t="str">
        <f>IFERROR(tbl_Planning.Help[[#This Row],[Feet]]/tbl_Planning[[#This Row],[Acres]],"")</f>
        <v/>
      </c>
      <c r="N40" s="1213"/>
      <c r="O40" s="1213"/>
      <c r="P40" s="1213"/>
      <c r="Q40" s="1213"/>
      <c r="R40" s="1213"/>
      <c r="S40" s="1213"/>
      <c r="T40" s="1213"/>
      <c r="U40" s="276">
        <f>COUNTA(U26:U39)</f>
        <v>8</v>
      </c>
      <c r="V40" s="276">
        <f t="shared" ref="V40:AD40" si="7">SUM(V26:V39)</f>
        <v>442</v>
      </c>
      <c r="W40" s="276">
        <f t="shared" si="7"/>
        <v>53</v>
      </c>
      <c r="X40" s="276">
        <f t="shared" si="7"/>
        <v>38</v>
      </c>
      <c r="Y40" s="276">
        <f t="shared" si="7"/>
        <v>52</v>
      </c>
      <c r="Z40" s="276">
        <f t="shared" si="7"/>
        <v>149</v>
      </c>
      <c r="AA40" s="276">
        <f t="shared" si="7"/>
        <v>260</v>
      </c>
      <c r="AB40" s="276">
        <f t="shared" si="7"/>
        <v>96</v>
      </c>
      <c r="AC40" s="276">
        <f t="shared" si="7"/>
        <v>1090</v>
      </c>
      <c r="AD40" s="276">
        <f t="shared" si="7"/>
        <v>941</v>
      </c>
    </row>
    <row r="41" spans="1:36" ht="17" thickTop="1" thickBot="1">
      <c r="A41" s="1092">
        <f t="shared" ref="A41:A52" si="8">IFERROR(LEFT(J41,2)*K41,"")</f>
        <v>4785</v>
      </c>
      <c r="B41" s="1093" t="str">
        <f>CONCATENATE(tbl_Planning[[#This Row],[Area]],".",tbl_Planning[[#This Row],[Phase]])</f>
        <v>4.1</v>
      </c>
      <c r="C41" s="1088"/>
      <c r="D41" s="132">
        <v>4</v>
      </c>
      <c r="E41" s="133">
        <v>1</v>
      </c>
      <c r="F41" s="133">
        <v>2</v>
      </c>
      <c r="G41" s="1633" t="str">
        <f>IF(tbl_Planning[[#This Row],[Parcel]]=0,"",CONCATENATE(D41, ".", E41,  TEXT(F41, "00")))</f>
        <v>4.102</v>
      </c>
      <c r="H41" s="133" t="s">
        <v>52</v>
      </c>
      <c r="I41" s="134">
        <v>23</v>
      </c>
      <c r="J41" s="134" t="s">
        <v>625</v>
      </c>
      <c r="K41" s="133">
        <v>87</v>
      </c>
      <c r="L41" s="1637" cm="1">
        <f t="array" ref="L41">IFERROR(_xlfn.XLOOKUP(tbl_Planning[[#This Row],[Product]],_xlfn.ANCHORARRAY(ADMIN!$AF$9),_xlfn.ANCHORARRAY(ADMIN!$AJ$9)),"")</f>
        <v>3.6115200000000001</v>
      </c>
      <c r="M41" s="1638">
        <f>IFERROR(tbl_Planning.Help[[#This Row],[Feet]]/tbl_Planning[[#This Row],[Acres]],"")</f>
        <v>208.04347826086956</v>
      </c>
      <c r="N41" s="1213"/>
      <c r="O41" s="1213"/>
      <c r="P41" s="1213"/>
      <c r="Q41" s="1213"/>
      <c r="R41" s="1213"/>
      <c r="S41" s="1213"/>
      <c r="T41" s="1213"/>
      <c r="W41" s="1215"/>
      <c r="AA41" s="1213"/>
      <c r="AD41" s="65"/>
      <c r="AE41" s="65"/>
    </row>
    <row r="42" spans="1:36" ht="17" thickTop="1" thickBot="1">
      <c r="A42" s="1092" t="str">
        <f t="shared" si="8"/>
        <v/>
      </c>
      <c r="B42" s="1093" t="str">
        <f>CONCATENATE(tbl_Planning[[#This Row],[Area]],".",tbl_Planning[[#This Row],[Phase]])</f>
        <v>4.1</v>
      </c>
      <c r="C42" s="1088"/>
      <c r="D42" s="132">
        <v>4</v>
      </c>
      <c r="E42" s="133">
        <v>1</v>
      </c>
      <c r="F42" s="133">
        <v>3</v>
      </c>
      <c r="G42" s="1633" t="str">
        <f>IF(tbl_Planning[[#This Row],[Parcel]]=0,"",CONCATENATE(D42, ".", E42,  TEXT(F42, "00")))</f>
        <v>4.103</v>
      </c>
      <c r="H42" s="133" t="s">
        <v>612</v>
      </c>
      <c r="I42" s="134">
        <v>10</v>
      </c>
      <c r="J42" s="134" t="s">
        <v>612</v>
      </c>
      <c r="K42" s="133">
        <v>0</v>
      </c>
      <c r="L42" s="1637" t="str" cm="1">
        <f t="array" ref="L42">IFERROR(_xlfn.XLOOKUP(tbl_Planning[[#This Row],[Product]],_xlfn.ANCHORARRAY(ADMIN!$AF$9),_xlfn.ANCHORARRAY(ADMIN!$AJ$9)),"")</f>
        <v/>
      </c>
      <c r="M42" s="1638" t="str">
        <f>IFERROR(tbl_Planning.Help[[#This Row],[Feet]]/tbl_Planning[[#This Row],[Acres]],"")</f>
        <v/>
      </c>
      <c r="N42" s="1213"/>
      <c r="O42" s="1213"/>
      <c r="P42" s="1213"/>
      <c r="Q42" s="1213"/>
      <c r="R42" s="1213"/>
      <c r="S42" s="1213"/>
      <c r="T42" s="1213"/>
      <c r="W42" s="1215"/>
      <c r="AA42" s="1213"/>
      <c r="AD42" s="65"/>
      <c r="AE42" s="65"/>
    </row>
    <row r="43" spans="1:36" ht="17" thickTop="1" thickBot="1">
      <c r="A43" s="1092">
        <f t="shared" si="8"/>
        <v>4095</v>
      </c>
      <c r="B43" s="1093" t="str">
        <f>CONCATENATE(tbl_Planning[[#This Row],[Area]],".",tbl_Planning[[#This Row],[Phase]])</f>
        <v>4.1</v>
      </c>
      <c r="C43" s="1088"/>
      <c r="D43" s="132">
        <v>4</v>
      </c>
      <c r="E43" s="133">
        <v>1</v>
      </c>
      <c r="F43" s="133">
        <v>4</v>
      </c>
      <c r="G43" s="1633" t="str">
        <f>IF(tbl_Planning[[#This Row],[Parcel]]=0,"",CONCATENATE(D43, ".", E43,  TEXT(F43, "00")))</f>
        <v>4.104</v>
      </c>
      <c r="H43" s="133" t="s">
        <v>52</v>
      </c>
      <c r="I43" s="134">
        <v>19</v>
      </c>
      <c r="J43" s="134" t="s">
        <v>149</v>
      </c>
      <c r="K43" s="133">
        <v>91</v>
      </c>
      <c r="L43" s="1637" cm="1">
        <f t="array" ref="L43">IFERROR(_xlfn.XLOOKUP(tbl_Planning[[#This Row],[Product]],_xlfn.ANCHORARRAY(ADMIN!$AF$9),_xlfn.ANCHORARRAY(ADMIN!$AJ$9)),"")</f>
        <v>4.4140799999999993</v>
      </c>
      <c r="M43" s="1638">
        <f>IFERROR(tbl_Planning.Help[[#This Row],[Feet]]/tbl_Planning[[#This Row],[Acres]],"")</f>
        <v>215.52631578947367</v>
      </c>
      <c r="N43" s="1213"/>
      <c r="O43" s="1213"/>
      <c r="P43" s="1213"/>
      <c r="Q43" s="1213"/>
      <c r="R43" s="1213"/>
      <c r="S43" s="1213"/>
      <c r="T43" s="1213"/>
      <c r="W43" s="1215"/>
      <c r="AA43" s="1213"/>
      <c r="AD43" s="65"/>
      <c r="AE43" s="65"/>
    </row>
    <row r="44" spans="1:36" ht="17" thickTop="1" thickBot="1">
      <c r="A44" s="1092">
        <f t="shared" si="8"/>
        <v>4565</v>
      </c>
      <c r="B44" s="1093" t="str">
        <f>CONCATENATE(tbl_Planning[[#This Row],[Area]],".",tbl_Planning[[#This Row],[Phase]])</f>
        <v>4.1</v>
      </c>
      <c r="C44" s="1088"/>
      <c r="D44" s="132">
        <v>4</v>
      </c>
      <c r="E44" s="133">
        <v>1</v>
      </c>
      <c r="F44" s="133">
        <v>5</v>
      </c>
      <c r="G44" s="1633" t="str">
        <f>IF(tbl_Planning[[#This Row],[Parcel]]=0,"",CONCATENATE(D44, ".", E44,  TEXT(F44, "00")))</f>
        <v>4.105</v>
      </c>
      <c r="H44" s="133" t="s">
        <v>52</v>
      </c>
      <c r="I44" s="134">
        <v>22</v>
      </c>
      <c r="J44" s="134" t="s">
        <v>625</v>
      </c>
      <c r="K44" s="133">
        <v>83</v>
      </c>
      <c r="L44" s="1637" cm="1">
        <f t="array" ref="L44">IFERROR(_xlfn.XLOOKUP(tbl_Planning[[#This Row],[Product]],_xlfn.ANCHORARRAY(ADMIN!$AF$9),_xlfn.ANCHORARRAY(ADMIN!$AJ$9)),"")</f>
        <v>3.6115200000000001</v>
      </c>
      <c r="M44" s="1638">
        <f>IFERROR(tbl_Planning.Help[[#This Row],[Feet]]/tbl_Planning[[#This Row],[Acres]],"")</f>
        <v>207.5</v>
      </c>
      <c r="N44" s="1213"/>
      <c r="O44" s="1213"/>
      <c r="P44" s="1213"/>
      <c r="Q44" s="1213"/>
      <c r="R44" s="1213"/>
      <c r="S44" s="1213"/>
      <c r="T44" s="1213"/>
      <c r="W44" s="1215"/>
      <c r="AA44" s="1213"/>
      <c r="AD44" s="65"/>
      <c r="AE44" s="65"/>
    </row>
    <row r="45" spans="1:36" ht="17" thickTop="1" thickBot="1">
      <c r="A45" s="1092">
        <f t="shared" si="8"/>
        <v>3150</v>
      </c>
      <c r="B45" s="1093" t="str">
        <f>CONCATENATE(tbl_Planning[[#This Row],[Area]],".",tbl_Planning[[#This Row],[Phase]])</f>
        <v>4.2</v>
      </c>
      <c r="C45" s="1088"/>
      <c r="D45" s="132">
        <v>4</v>
      </c>
      <c r="E45" s="133">
        <v>2</v>
      </c>
      <c r="F45" s="133">
        <v>1</v>
      </c>
      <c r="G45" s="1633" t="str">
        <f>IF(tbl_Planning[[#This Row],[Parcel]]=0,"",CONCATENATE(D45, ".", E45,  TEXT(F45, "00")))</f>
        <v>4.201</v>
      </c>
      <c r="H45" s="133" t="s">
        <v>52</v>
      </c>
      <c r="I45" s="134">
        <v>17</v>
      </c>
      <c r="J45" s="134" t="s">
        <v>626</v>
      </c>
      <c r="K45" s="133">
        <v>45</v>
      </c>
      <c r="L45" s="1637" cm="1">
        <f t="array" ref="L45">IFERROR(_xlfn.XLOOKUP(tbl_Planning[[#This Row],[Product]],_xlfn.ANCHORARRAY(ADMIN!$AF$9),_xlfn.ANCHORARRAY(ADMIN!$AJ$9)),"")</f>
        <v>2.8376228571428572</v>
      </c>
      <c r="M45" s="1638">
        <f>IFERROR(tbl_Planning.Help[[#This Row],[Feet]]/tbl_Planning[[#This Row],[Acres]],"")</f>
        <v>185.29411764705881</v>
      </c>
      <c r="N45" s="1213"/>
      <c r="O45" s="1213"/>
      <c r="P45" s="1213"/>
      <c r="Q45" s="1213"/>
      <c r="R45" s="1213"/>
      <c r="S45" s="1213"/>
      <c r="T45" s="1213"/>
      <c r="W45" s="1215"/>
      <c r="AA45" s="1213"/>
      <c r="AD45" s="65"/>
    </row>
    <row r="46" spans="1:36" ht="17" thickTop="1" thickBot="1">
      <c r="A46" s="1092">
        <f t="shared" si="8"/>
        <v>4960</v>
      </c>
      <c r="B46" s="1093" t="str">
        <f>CONCATENATE(tbl_Planning[[#This Row],[Area]],".",tbl_Planning[[#This Row],[Phase]])</f>
        <v>4.2</v>
      </c>
      <c r="C46" s="1088"/>
      <c r="D46" s="132">
        <v>4</v>
      </c>
      <c r="E46" s="133">
        <v>2</v>
      </c>
      <c r="F46" s="133">
        <v>2</v>
      </c>
      <c r="G46" s="1633" t="str">
        <f>IF(tbl_Planning[[#This Row],[Parcel]]=0,"",CONCATENATE(D46, ".", E46,  TEXT(F46, "00")))</f>
        <v>4.202</v>
      </c>
      <c r="H46" s="133" t="s">
        <v>613</v>
      </c>
      <c r="I46" s="134">
        <v>26</v>
      </c>
      <c r="J46" s="134" t="s">
        <v>627</v>
      </c>
      <c r="K46" s="133">
        <v>62</v>
      </c>
      <c r="L46" s="1637" cm="1">
        <f t="array" ref="L46">IFERROR(_xlfn.XLOOKUP(tbl_Planning[[#This Row],[Product]],_xlfn.ANCHORARRAY(ADMIN!$AF$9),_xlfn.ANCHORARRAY(ADMIN!$AJ$9)),"")</f>
        <v>2.4829199999999996</v>
      </c>
      <c r="M46" s="1638">
        <f>IFERROR(tbl_Planning.Help[[#This Row],[Feet]]/tbl_Planning[[#This Row],[Acres]],"")</f>
        <v>190.76923076923077</v>
      </c>
      <c r="N46" s="1213"/>
      <c r="O46" s="1213"/>
      <c r="P46" s="1213"/>
      <c r="Q46" s="1213"/>
      <c r="R46" s="1213"/>
      <c r="S46" s="1213"/>
      <c r="T46" s="1213"/>
      <c r="W46" s="1215"/>
      <c r="AA46" s="1213"/>
      <c r="AD46" s="65"/>
    </row>
    <row r="47" spans="1:36" ht="17" thickTop="1" thickBot="1">
      <c r="A47" s="1092">
        <f t="shared" si="8"/>
        <v>3780</v>
      </c>
      <c r="B47" s="1093" t="str">
        <f>CONCATENATE(tbl_Planning[[#This Row],[Area]],".",tbl_Planning[[#This Row],[Phase]])</f>
        <v>4.2</v>
      </c>
      <c r="C47" s="1088"/>
      <c r="D47" s="132">
        <v>4</v>
      </c>
      <c r="E47" s="133">
        <v>2</v>
      </c>
      <c r="F47" s="133">
        <v>3</v>
      </c>
      <c r="G47" s="1633" t="str">
        <f>IF(tbl_Planning[[#This Row],[Parcel]]=0,"",CONCATENATE(D47, ".", E47,  TEXT(F47, "00")))</f>
        <v>4.203</v>
      </c>
      <c r="H47" s="133" t="s">
        <v>613</v>
      </c>
      <c r="I47" s="134">
        <v>20</v>
      </c>
      <c r="J47" s="134" t="s">
        <v>626</v>
      </c>
      <c r="K47" s="133">
        <v>54</v>
      </c>
      <c r="L47" s="1637" cm="1">
        <f t="array" ref="L47">IFERROR(_xlfn.XLOOKUP(tbl_Planning[[#This Row],[Product]],_xlfn.ANCHORARRAY(ADMIN!$AF$9),_xlfn.ANCHORARRAY(ADMIN!$AJ$9)),"")</f>
        <v>2.8376228571428572</v>
      </c>
      <c r="M47" s="1638">
        <f>IFERROR(tbl_Planning.Help[[#This Row],[Feet]]/tbl_Planning[[#This Row],[Acres]],"")</f>
        <v>189</v>
      </c>
      <c r="N47" s="1213"/>
      <c r="O47" s="1213"/>
      <c r="P47" s="1213"/>
      <c r="Q47" s="1213"/>
      <c r="R47" s="1213"/>
      <c r="S47" s="1213"/>
      <c r="T47" s="1213"/>
      <c r="W47" s="1215"/>
      <c r="AA47" s="1213"/>
      <c r="AD47" s="65"/>
    </row>
    <row r="48" spans="1:36" ht="17" thickTop="1" thickBot="1">
      <c r="A48" s="1092">
        <f t="shared" si="8"/>
        <v>4340</v>
      </c>
      <c r="B48" s="1093" t="str">
        <f>CONCATENATE(tbl_Planning[[#This Row],[Area]],".",tbl_Planning[[#This Row],[Phase]])</f>
        <v>4.2</v>
      </c>
      <c r="C48" s="1088"/>
      <c r="D48" s="132">
        <v>4</v>
      </c>
      <c r="E48" s="133">
        <v>2</v>
      </c>
      <c r="F48" s="133">
        <v>4</v>
      </c>
      <c r="G48" s="1633" t="str">
        <f>IF(tbl_Planning[[#This Row],[Parcel]]=0,"",CONCATENATE(D48, ".", E48,  TEXT(F48, "00")))</f>
        <v>4.204</v>
      </c>
      <c r="H48" s="133" t="s">
        <v>613</v>
      </c>
      <c r="I48" s="134">
        <v>23</v>
      </c>
      <c r="J48" s="134" t="s">
        <v>626</v>
      </c>
      <c r="K48" s="133">
        <v>62</v>
      </c>
      <c r="L48" s="1637" cm="1">
        <f t="array" ref="L48">IFERROR(_xlfn.XLOOKUP(tbl_Planning[[#This Row],[Product]],_xlfn.ANCHORARRAY(ADMIN!$AF$9),_xlfn.ANCHORARRAY(ADMIN!$AJ$9)),"")</f>
        <v>2.8376228571428572</v>
      </c>
      <c r="M48" s="1638">
        <f>IFERROR(tbl_Planning.Help[[#This Row],[Feet]]/tbl_Planning[[#This Row],[Acres]],"")</f>
        <v>188.69565217391303</v>
      </c>
      <c r="N48" s="1213"/>
      <c r="O48" s="1213"/>
      <c r="P48" s="1213"/>
      <c r="Q48" s="1213"/>
      <c r="R48" s="1213"/>
      <c r="S48" s="1213"/>
      <c r="T48" s="1213"/>
      <c r="V48" s="759"/>
      <c r="W48" s="1215"/>
      <c r="AA48" s="1213"/>
      <c r="AD48" s="65"/>
    </row>
    <row r="49" spans="1:30" ht="17" thickTop="1" thickBot="1">
      <c r="A49" s="1092">
        <f t="shared" si="8"/>
        <v>5120</v>
      </c>
      <c r="B49" s="1093" t="str">
        <f>CONCATENATE(tbl_Planning[[#This Row],[Area]],".",tbl_Planning[[#This Row],[Phase]])</f>
        <v>4.2</v>
      </c>
      <c r="C49" s="1088"/>
      <c r="D49" s="132">
        <v>4</v>
      </c>
      <c r="E49" s="133">
        <v>2</v>
      </c>
      <c r="F49" s="133">
        <v>5</v>
      </c>
      <c r="G49" s="1633" t="str">
        <f>IF(tbl_Planning[[#This Row],[Parcel]]=0,"",CONCATENATE(D49, ".", E49,  TEXT(F49, "00")))</f>
        <v>4.205</v>
      </c>
      <c r="H49" s="133" t="s">
        <v>613</v>
      </c>
      <c r="I49" s="134">
        <v>27</v>
      </c>
      <c r="J49" s="134" t="s">
        <v>627</v>
      </c>
      <c r="K49" s="133">
        <v>64</v>
      </c>
      <c r="L49" s="1637" cm="1">
        <f t="array" ref="L49">IFERROR(_xlfn.XLOOKUP(tbl_Planning[[#This Row],[Product]],_xlfn.ANCHORARRAY(ADMIN!$AF$9),_xlfn.ANCHORARRAY(ADMIN!$AJ$9)),"")</f>
        <v>2.4829199999999996</v>
      </c>
      <c r="M49" s="1638">
        <f>IFERROR(tbl_Planning.Help[[#This Row],[Feet]]/tbl_Planning[[#This Row],[Acres]],"")</f>
        <v>189.62962962962962</v>
      </c>
      <c r="N49" s="1213"/>
      <c r="O49" s="1213"/>
      <c r="P49" s="1213"/>
      <c r="Q49" s="1213"/>
      <c r="R49" s="1213"/>
      <c r="S49" s="1213"/>
      <c r="T49" s="1213"/>
      <c r="W49" s="1215"/>
      <c r="AA49" s="1213"/>
      <c r="AD49" s="65"/>
    </row>
    <row r="50" spans="1:30" ht="17" thickTop="1" thickBot="1">
      <c r="A50" s="1092" t="str">
        <f t="shared" si="8"/>
        <v/>
      </c>
      <c r="B50" s="1093" t="str">
        <f>CONCATENATE(tbl_Planning[[#This Row],[Area]],".",tbl_Planning[[#This Row],[Phase]])</f>
        <v>4.2</v>
      </c>
      <c r="C50" s="1088"/>
      <c r="D50" s="132">
        <v>4</v>
      </c>
      <c r="E50" s="133">
        <v>2</v>
      </c>
      <c r="F50" s="133">
        <v>6</v>
      </c>
      <c r="G50" s="1633" t="str">
        <f>IF(tbl_Planning[[#This Row],[Parcel]]=0,"",CONCATENATE(D50, ".", E50,  TEXT(F50, "00")))</f>
        <v>4.206</v>
      </c>
      <c r="H50" s="133" t="s">
        <v>54</v>
      </c>
      <c r="I50" s="134">
        <v>18</v>
      </c>
      <c r="J50" s="134" t="s">
        <v>54</v>
      </c>
      <c r="K50" s="133">
        <v>0</v>
      </c>
      <c r="L50" s="1637" t="str" cm="1">
        <f t="array" ref="L50">IFERROR(_xlfn.XLOOKUP(tbl_Planning[[#This Row],[Product]],_xlfn.ANCHORARRAY(ADMIN!$AF$9),_xlfn.ANCHORARRAY(ADMIN!$AJ$9)),"")</f>
        <v/>
      </c>
      <c r="M50" s="1638" t="str">
        <f>IFERROR(tbl_Planning.Help[[#This Row],[Feet]]/tbl_Planning[[#This Row],[Acres]],"")</f>
        <v/>
      </c>
      <c r="N50" s="1213"/>
      <c r="O50" s="1213"/>
      <c r="P50" s="1213"/>
      <c r="Q50" s="1213"/>
      <c r="R50" s="1213"/>
      <c r="S50" s="1213"/>
      <c r="T50" s="1213"/>
      <c r="W50" s="1215"/>
      <c r="AA50" s="1213"/>
      <c r="AD50" s="65"/>
    </row>
    <row r="51" spans="1:30" ht="17" thickTop="1" thickBot="1">
      <c r="A51" s="1092" t="str">
        <f t="shared" si="8"/>
        <v/>
      </c>
      <c r="B51" s="1093"/>
      <c r="C51" s="1088"/>
      <c r="I51"/>
      <c r="W51" s="1215"/>
      <c r="AA51" s="1213"/>
      <c r="AD51" s="65"/>
    </row>
    <row r="52" spans="1:30" ht="18.75" customHeight="1" thickTop="1" thickBot="1">
      <c r="A52" s="1092" t="str">
        <f t="shared" si="8"/>
        <v/>
      </c>
      <c r="B52" s="1093"/>
      <c r="C52" s="1088"/>
      <c r="I52"/>
      <c r="W52" s="1215"/>
      <c r="AA52" s="1213"/>
      <c r="AD52" s="65"/>
    </row>
    <row r="53" spans="1:30" ht="17" thickTop="1" thickBot="1">
      <c r="A53" s="1092" t="str">
        <f>IFERROR(LEFT(J53,2)*K53,"")</f>
        <v/>
      </c>
      <c r="B53" s="1093"/>
      <c r="W53" s="1215"/>
      <c r="AA53" s="1213"/>
      <c r="AD53" s="65"/>
    </row>
    <row r="54" spans="1:30" ht="17" hidden="1" thickTop="1" thickBot="1">
      <c r="A54" s="1092" t="str">
        <f>IFERROR(LEFT(J53,2)*K53,"")</f>
        <v/>
      </c>
      <c r="B54" s="1093"/>
      <c r="W54" s="1215"/>
      <c r="AA54" s="1213"/>
      <c r="AD54" s="65"/>
    </row>
    <row r="55" spans="1:30" ht="17" hidden="1" thickTop="1" thickBot="1">
      <c r="A55" s="124" t="str">
        <f>IFERROR(LEFT(J54,2)*K54,"")</f>
        <v/>
      </c>
      <c r="B55" s="123"/>
      <c r="W55" s="1215"/>
      <c r="AA55" s="1213"/>
      <c r="AD55" s="65"/>
    </row>
    <row r="56" spans="1:30" ht="17" hidden="1" thickTop="1" thickBot="1">
      <c r="A56" s="125"/>
      <c r="B56" s="126"/>
      <c r="W56" s="1215"/>
      <c r="AA56" s="1213"/>
      <c r="AD56" s="65"/>
    </row>
    <row r="57" spans="1:30" ht="17" hidden="1" thickTop="1" thickBot="1">
      <c r="A57" s="127"/>
      <c r="B57" s="123"/>
      <c r="G57" s="1648" t="s">
        <v>138</v>
      </c>
      <c r="H57" s="1648" t="s">
        <v>89</v>
      </c>
      <c r="I57" s="1648" t="s">
        <v>48</v>
      </c>
      <c r="K57" s="1652" t="s">
        <v>761</v>
      </c>
      <c r="L57" s="1652" t="s">
        <v>762</v>
      </c>
      <c r="M57" s="1652" t="s">
        <v>763</v>
      </c>
      <c r="W57" s="1215"/>
      <c r="AA57" s="1213"/>
      <c r="AD57" s="65"/>
    </row>
    <row r="58" spans="1:30" ht="17" hidden="1" thickTop="1" thickBot="1">
      <c r="A58" s="127"/>
      <c r="B58" s="128"/>
      <c r="F58" s="1650"/>
      <c r="G58" s="1651" t="s">
        <v>791</v>
      </c>
      <c r="H58" s="1651" t="s">
        <v>52</v>
      </c>
      <c r="I58" s="1651">
        <v>32</v>
      </c>
      <c r="K58" s="1653">
        <v>1.101</v>
      </c>
      <c r="L58" s="1653" t="s">
        <v>764</v>
      </c>
      <c r="M58" s="1653" t="s">
        <v>610</v>
      </c>
      <c r="Q58">
        <f>G58-K58</f>
        <v>0</v>
      </c>
      <c r="R58" t="b">
        <f>M58=H58</f>
        <v>0</v>
      </c>
      <c r="W58" s="1215"/>
      <c r="AA58" s="1213"/>
      <c r="AD58" s="65"/>
    </row>
    <row r="59" spans="1:30" ht="16" hidden="1" thickTop="1">
      <c r="A59" s="127"/>
      <c r="B59" s="129"/>
      <c r="G59" s="1651" t="s">
        <v>792</v>
      </c>
      <c r="H59" s="1651" t="s">
        <v>52</v>
      </c>
      <c r="I59" s="1651">
        <v>25</v>
      </c>
      <c r="K59" s="1653">
        <v>1.1020000000000001</v>
      </c>
      <c r="L59" s="1653" t="s">
        <v>766</v>
      </c>
      <c r="M59" s="1653" t="s">
        <v>610</v>
      </c>
      <c r="Q59">
        <f t="shared" ref="Q59:Q79" si="9">G59-K59</f>
        <v>0</v>
      </c>
      <c r="R59" t="b">
        <f t="shared" ref="R59:R79" si="10">M59=H59</f>
        <v>0</v>
      </c>
      <c r="W59" s="1215"/>
      <c r="AA59" s="1213"/>
      <c r="AD59" s="65"/>
    </row>
    <row r="60" spans="1:30" ht="15" hidden="1">
      <c r="A60" s="122"/>
      <c r="B60" s="122"/>
      <c r="D60" s="7"/>
      <c r="E60" s="7"/>
      <c r="F60" s="5"/>
      <c r="G60" s="1651" t="s">
        <v>793</v>
      </c>
      <c r="H60" s="1651" t="s">
        <v>52</v>
      </c>
      <c r="I60" s="1651">
        <v>21</v>
      </c>
      <c r="J60" s="5"/>
      <c r="K60" s="1653">
        <v>1.103</v>
      </c>
      <c r="L60" s="1653" t="s">
        <v>767</v>
      </c>
      <c r="M60" s="1653" t="s">
        <v>610</v>
      </c>
      <c r="Q60">
        <f t="shared" si="9"/>
        <v>0</v>
      </c>
      <c r="R60" t="b">
        <f t="shared" si="10"/>
        <v>0</v>
      </c>
      <c r="W60" s="1215"/>
      <c r="AA60" s="1213"/>
      <c r="AD60" s="65"/>
    </row>
    <row r="61" spans="1:30" ht="15" hidden="1">
      <c r="A61" s="122"/>
      <c r="B61" s="122"/>
      <c r="G61" s="28" t="s">
        <v>794</v>
      </c>
      <c r="H61" s="1651" t="s">
        <v>51</v>
      </c>
      <c r="I61" s="1651">
        <v>26</v>
      </c>
      <c r="K61" s="1653">
        <v>1.1040000000000001</v>
      </c>
      <c r="L61" s="1653" t="s">
        <v>790</v>
      </c>
      <c r="M61" s="1653" t="s">
        <v>610</v>
      </c>
      <c r="Q61">
        <f t="shared" si="9"/>
        <v>0</v>
      </c>
      <c r="R61" t="b">
        <f t="shared" si="10"/>
        <v>0</v>
      </c>
      <c r="W61" s="1215"/>
      <c r="AA61" s="1213"/>
      <c r="AD61" s="65"/>
    </row>
    <row r="62" spans="1:30" ht="15" hidden="1">
      <c r="A62" s="4"/>
      <c r="B62" s="4"/>
      <c r="G62" s="28" t="s">
        <v>795</v>
      </c>
      <c r="H62" s="1651" t="s">
        <v>51</v>
      </c>
      <c r="I62" s="1651">
        <v>27</v>
      </c>
      <c r="K62" s="1653">
        <v>1.2010000000000001</v>
      </c>
      <c r="L62" s="1653" t="s">
        <v>778</v>
      </c>
      <c r="M62" s="1653" t="s">
        <v>52</v>
      </c>
      <c r="Q62">
        <f t="shared" si="9"/>
        <v>0</v>
      </c>
      <c r="R62" t="b">
        <f t="shared" si="10"/>
        <v>0</v>
      </c>
      <c r="W62" s="1215"/>
      <c r="AA62" s="1213"/>
      <c r="AD62" s="65"/>
    </row>
    <row r="63" spans="1:30" ht="15" hidden="1">
      <c r="A63" s="4"/>
      <c r="B63" s="4"/>
      <c r="G63" s="28" t="s">
        <v>796</v>
      </c>
      <c r="H63" s="1651" t="s">
        <v>610</v>
      </c>
      <c r="I63" s="1651">
        <v>19</v>
      </c>
      <c r="K63" s="1653">
        <v>1.202</v>
      </c>
      <c r="L63" s="1653" t="s">
        <v>780</v>
      </c>
      <c r="M63" s="1653" t="s">
        <v>52</v>
      </c>
      <c r="Q63">
        <f t="shared" si="9"/>
        <v>0</v>
      </c>
      <c r="R63" t="b">
        <f t="shared" si="10"/>
        <v>0</v>
      </c>
      <c r="W63" s="1215"/>
      <c r="AA63" s="1213"/>
      <c r="AD63" s="65"/>
    </row>
    <row r="64" spans="1:30" ht="15" hidden="1">
      <c r="A64" s="4"/>
      <c r="B64" s="4"/>
      <c r="G64" s="1651" t="s">
        <v>797</v>
      </c>
      <c r="H64" s="1651" t="s">
        <v>52</v>
      </c>
      <c r="I64" s="1651">
        <v>16</v>
      </c>
      <c r="K64" s="1653">
        <v>1.2030000000000001</v>
      </c>
      <c r="L64" s="1653" t="s">
        <v>768</v>
      </c>
      <c r="M64" s="1653" t="s">
        <v>52</v>
      </c>
      <c r="Q64">
        <f t="shared" si="9"/>
        <v>0</v>
      </c>
      <c r="R64" t="b">
        <f t="shared" si="10"/>
        <v>1</v>
      </c>
      <c r="W64" s="1215"/>
      <c r="AA64" s="1213"/>
      <c r="AD64" s="65"/>
    </row>
    <row r="65" spans="5:18" hidden="1">
      <c r="G65" s="1651" t="s">
        <v>798</v>
      </c>
      <c r="H65" s="1651" t="s">
        <v>52</v>
      </c>
      <c r="I65" s="1651">
        <v>20</v>
      </c>
      <c r="K65" s="1653">
        <v>1.204</v>
      </c>
      <c r="L65" s="1653" t="s">
        <v>769</v>
      </c>
      <c r="M65" s="1653" t="s">
        <v>52</v>
      </c>
      <c r="Q65">
        <f t="shared" si="9"/>
        <v>0</v>
      </c>
      <c r="R65" t="b">
        <f t="shared" si="10"/>
        <v>1</v>
      </c>
    </row>
    <row r="66" spans="5:18" hidden="1">
      <c r="G66" s="1651" t="s">
        <v>799</v>
      </c>
      <c r="H66" s="1651" t="s">
        <v>52</v>
      </c>
      <c r="I66" s="1651">
        <v>36</v>
      </c>
      <c r="K66" s="1653">
        <v>1.2050000000000001</v>
      </c>
      <c r="L66" s="1653" t="s">
        <v>770</v>
      </c>
      <c r="M66" s="1653" t="s">
        <v>52</v>
      </c>
      <c r="Q66">
        <f t="shared" si="9"/>
        <v>0</v>
      </c>
      <c r="R66" t="b">
        <f t="shared" si="10"/>
        <v>1</v>
      </c>
    </row>
    <row r="67" spans="5:18" hidden="1">
      <c r="G67" s="1651" t="s">
        <v>800</v>
      </c>
      <c r="H67" s="1651" t="s">
        <v>52</v>
      </c>
      <c r="I67" s="1651">
        <v>29</v>
      </c>
      <c r="K67" s="1653">
        <v>1.206</v>
      </c>
      <c r="L67" s="1653" t="s">
        <v>771</v>
      </c>
      <c r="M67" s="1653" t="s">
        <v>52</v>
      </c>
      <c r="Q67">
        <f t="shared" si="9"/>
        <v>0</v>
      </c>
      <c r="R67" t="b">
        <f t="shared" si="10"/>
        <v>1</v>
      </c>
    </row>
    <row r="68" spans="5:18" hidden="1">
      <c r="G68" s="1651" t="s">
        <v>801</v>
      </c>
      <c r="H68" s="1651" t="s">
        <v>52</v>
      </c>
      <c r="I68" s="1651">
        <v>18</v>
      </c>
      <c r="K68" s="1653">
        <v>2.101</v>
      </c>
      <c r="L68" s="1653" t="s">
        <v>772</v>
      </c>
      <c r="M68" s="1653" t="s">
        <v>765</v>
      </c>
      <c r="Q68">
        <f t="shared" si="9"/>
        <v>0</v>
      </c>
      <c r="R68" t="b">
        <f t="shared" si="10"/>
        <v>0</v>
      </c>
    </row>
    <row r="69" spans="5:18" hidden="1">
      <c r="G69" s="1651" t="s">
        <v>802</v>
      </c>
      <c r="H69" s="1651" t="s">
        <v>52</v>
      </c>
      <c r="I69" s="1651">
        <v>17</v>
      </c>
      <c r="K69" s="1653">
        <v>2.1019999999999999</v>
      </c>
      <c r="L69" s="1653" t="s">
        <v>773</v>
      </c>
      <c r="M69" s="1653" t="s">
        <v>765</v>
      </c>
      <c r="Q69">
        <f t="shared" si="9"/>
        <v>0</v>
      </c>
      <c r="R69" t="b">
        <f t="shared" si="10"/>
        <v>0</v>
      </c>
    </row>
    <row r="70" spans="5:18" hidden="1">
      <c r="G70" s="1651" t="s">
        <v>803</v>
      </c>
      <c r="H70" s="1651" t="s">
        <v>52</v>
      </c>
      <c r="I70" s="1651">
        <v>16</v>
      </c>
      <c r="K70" s="1653">
        <v>2.1030000000000002</v>
      </c>
      <c r="L70" s="1653" t="s">
        <v>768</v>
      </c>
      <c r="M70" s="1653" t="s">
        <v>765</v>
      </c>
      <c r="Q70">
        <f t="shared" si="9"/>
        <v>0</v>
      </c>
      <c r="R70" t="b">
        <f t="shared" si="10"/>
        <v>0</v>
      </c>
    </row>
    <row r="71" spans="5:18" hidden="1">
      <c r="G71" s="1651" t="s">
        <v>804</v>
      </c>
      <c r="H71" s="1651" t="s">
        <v>52</v>
      </c>
      <c r="I71" s="1651">
        <v>21</v>
      </c>
      <c r="K71" s="1653">
        <v>2.1040000000000001</v>
      </c>
      <c r="L71" s="1653" t="s">
        <v>767</v>
      </c>
      <c r="M71" s="1653" t="s">
        <v>52</v>
      </c>
      <c r="Q71">
        <f t="shared" si="9"/>
        <v>0</v>
      </c>
      <c r="R71" t="b">
        <f t="shared" si="10"/>
        <v>1</v>
      </c>
    </row>
    <row r="72" spans="5:18" hidden="1">
      <c r="G72" s="1651" t="s">
        <v>805</v>
      </c>
      <c r="H72" s="1651" t="s">
        <v>52</v>
      </c>
      <c r="I72" s="1651">
        <v>21</v>
      </c>
      <c r="K72" s="1653">
        <v>2.105</v>
      </c>
      <c r="L72" s="1653" t="s">
        <v>767</v>
      </c>
      <c r="M72" s="1653" t="s">
        <v>52</v>
      </c>
      <c r="Q72">
        <f t="shared" si="9"/>
        <v>0</v>
      </c>
      <c r="R72" t="b">
        <f t="shared" si="10"/>
        <v>1</v>
      </c>
    </row>
    <row r="73" spans="5:18" hidden="1">
      <c r="G73" s="1651" t="s">
        <v>806</v>
      </c>
      <c r="H73" s="1651" t="s">
        <v>52</v>
      </c>
      <c r="I73" s="1651">
        <v>21</v>
      </c>
      <c r="K73" s="1653">
        <v>2.1059999999999999</v>
      </c>
      <c r="L73" s="1653" t="s">
        <v>767</v>
      </c>
      <c r="M73" s="1653" t="s">
        <v>52</v>
      </c>
      <c r="Q73">
        <f t="shared" si="9"/>
        <v>0</v>
      </c>
      <c r="R73" t="b">
        <f t="shared" si="10"/>
        <v>1</v>
      </c>
    </row>
    <row r="74" spans="5:18" hidden="1">
      <c r="G74" s="1651" t="s">
        <v>807</v>
      </c>
      <c r="H74" s="1651" t="s">
        <v>611</v>
      </c>
      <c r="I74" s="1651">
        <v>16</v>
      </c>
      <c r="K74" s="1653">
        <v>2.1070000000000002</v>
      </c>
      <c r="L74" s="1653" t="s">
        <v>768</v>
      </c>
      <c r="M74" s="1653" t="s">
        <v>52</v>
      </c>
      <c r="Q74">
        <f t="shared" si="9"/>
        <v>0</v>
      </c>
      <c r="R74" t="b">
        <f t="shared" si="10"/>
        <v>0</v>
      </c>
    </row>
    <row r="75" spans="5:18" hidden="1">
      <c r="G75" s="1651" t="s">
        <v>808</v>
      </c>
      <c r="H75" s="1651" t="s">
        <v>611</v>
      </c>
      <c r="I75" s="1651">
        <v>13</v>
      </c>
      <c r="K75" s="1653">
        <v>2.1080000000000001</v>
      </c>
      <c r="L75" s="1653" t="s">
        <v>774</v>
      </c>
      <c r="M75" s="1653" t="s">
        <v>52</v>
      </c>
      <c r="Q75">
        <f t="shared" si="9"/>
        <v>0</v>
      </c>
      <c r="R75" t="b">
        <f t="shared" si="10"/>
        <v>0</v>
      </c>
    </row>
    <row r="76" spans="5:18" hidden="1">
      <c r="G76" s="1651" t="s">
        <v>809</v>
      </c>
      <c r="H76" s="1651" t="s">
        <v>52</v>
      </c>
      <c r="I76" s="1651">
        <v>19</v>
      </c>
      <c r="K76" s="1653">
        <v>2.109</v>
      </c>
      <c r="L76" s="1653" t="s">
        <v>775</v>
      </c>
      <c r="M76" s="1653" t="s">
        <v>52</v>
      </c>
      <c r="Q76">
        <f t="shared" si="9"/>
        <v>0</v>
      </c>
      <c r="R76" t="b">
        <f t="shared" si="10"/>
        <v>1</v>
      </c>
    </row>
    <row r="77" spans="5:18" hidden="1">
      <c r="G77" s="1651" t="s">
        <v>810</v>
      </c>
      <c r="H77" s="1651" t="s">
        <v>611</v>
      </c>
      <c r="I77" s="1651">
        <v>23</v>
      </c>
      <c r="K77" s="1653">
        <v>2.11</v>
      </c>
      <c r="L77" s="1653" t="s">
        <v>776</v>
      </c>
      <c r="M77" s="1653" t="s">
        <v>52</v>
      </c>
      <c r="Q77">
        <f t="shared" si="9"/>
        <v>0</v>
      </c>
      <c r="R77" t="b">
        <f t="shared" si="10"/>
        <v>0</v>
      </c>
    </row>
    <row r="78" spans="5:18" hidden="1">
      <c r="G78" s="1651" t="s">
        <v>811</v>
      </c>
      <c r="H78" s="1651" t="s">
        <v>610</v>
      </c>
      <c r="I78" s="1651">
        <v>19</v>
      </c>
      <c r="K78" s="1653">
        <v>2.1110000000000002</v>
      </c>
      <c r="L78" s="1653" t="s">
        <v>775</v>
      </c>
      <c r="M78" s="1653" t="s">
        <v>52</v>
      </c>
      <c r="Q78">
        <f t="shared" si="9"/>
        <v>0</v>
      </c>
      <c r="R78" t="b">
        <f t="shared" si="10"/>
        <v>0</v>
      </c>
    </row>
    <row r="79" spans="5:18" hidden="1">
      <c r="E79" t="s">
        <v>833</v>
      </c>
      <c r="G79" s="1651" t="s">
        <v>812</v>
      </c>
      <c r="H79" s="1651" t="s">
        <v>612</v>
      </c>
      <c r="I79" s="1651">
        <v>56</v>
      </c>
      <c r="K79" s="1653">
        <v>2.1120000000000001</v>
      </c>
      <c r="L79" s="1653" t="s">
        <v>786</v>
      </c>
      <c r="M79" s="1653" t="s">
        <v>765</v>
      </c>
      <c r="Q79">
        <f t="shared" si="9"/>
        <v>0</v>
      </c>
      <c r="R79" t="b">
        <f t="shared" si="10"/>
        <v>0</v>
      </c>
    </row>
    <row r="80" spans="5:18" hidden="1">
      <c r="G80" s="1651" t="s">
        <v>813</v>
      </c>
      <c r="H80" s="1651" t="s">
        <v>52</v>
      </c>
      <c r="I80" s="1651">
        <v>28</v>
      </c>
      <c r="J80" t="s">
        <v>834</v>
      </c>
      <c r="K80" s="1654">
        <v>2.2000000000000002</v>
      </c>
      <c r="L80" s="1653" t="s">
        <v>777</v>
      </c>
      <c r="M80" s="1653" t="s">
        <v>51</v>
      </c>
      <c r="Q80">
        <f t="shared" ref="Q80:Q102" si="11">G80-K80</f>
        <v>9.9999999999988987E-4</v>
      </c>
      <c r="R80" t="b">
        <f t="shared" ref="R80:R101" si="12">M80=H80</f>
        <v>0</v>
      </c>
    </row>
    <row r="81" spans="5:18" hidden="1">
      <c r="G81" s="1651" t="s">
        <v>814</v>
      </c>
      <c r="H81" s="1651" t="s">
        <v>52</v>
      </c>
      <c r="I81" s="1651">
        <v>21</v>
      </c>
      <c r="K81" s="1653">
        <v>2.2010000000000001</v>
      </c>
      <c r="L81" s="1653" t="s">
        <v>767</v>
      </c>
      <c r="M81" s="1653" t="s">
        <v>52</v>
      </c>
      <c r="Q81">
        <f t="shared" si="11"/>
        <v>9.9999999999988987E-4</v>
      </c>
      <c r="R81" t="b">
        <f t="shared" si="12"/>
        <v>1</v>
      </c>
    </row>
    <row r="82" spans="5:18" hidden="1">
      <c r="G82" s="1651" t="s">
        <v>815</v>
      </c>
      <c r="H82" s="1651" t="s">
        <v>612</v>
      </c>
      <c r="I82" s="1651">
        <v>33</v>
      </c>
      <c r="K82" s="1653">
        <v>2.202</v>
      </c>
      <c r="L82" s="1653" t="s">
        <v>778</v>
      </c>
      <c r="M82" s="1653" t="s">
        <v>52</v>
      </c>
      <c r="Q82">
        <f t="shared" si="11"/>
        <v>9.9999999999988987E-4</v>
      </c>
      <c r="R82" t="b">
        <f t="shared" si="12"/>
        <v>0</v>
      </c>
    </row>
    <row r="83" spans="5:18" hidden="1">
      <c r="G83" s="1651" t="s">
        <v>816</v>
      </c>
      <c r="H83" s="1651" t="s">
        <v>612</v>
      </c>
      <c r="I83" s="1651">
        <v>41</v>
      </c>
      <c r="K83" s="1653">
        <v>2.2029999999999998</v>
      </c>
      <c r="L83" s="1653" t="s">
        <v>778</v>
      </c>
      <c r="M83" s="1653" t="s">
        <v>52</v>
      </c>
      <c r="Q83">
        <f t="shared" si="11"/>
        <v>1.000000000000334E-3</v>
      </c>
      <c r="R83" t="b">
        <f t="shared" si="12"/>
        <v>0</v>
      </c>
    </row>
    <row r="84" spans="5:18" hidden="1">
      <c r="E84" t="s">
        <v>833</v>
      </c>
      <c r="G84" s="1651" t="s">
        <v>817</v>
      </c>
      <c r="H84" s="1651" t="s">
        <v>54</v>
      </c>
      <c r="I84" s="1651">
        <v>64</v>
      </c>
      <c r="K84" s="1653">
        <v>2.2040000000000002</v>
      </c>
      <c r="L84" s="1653" t="s">
        <v>779</v>
      </c>
      <c r="M84" s="1653" t="s">
        <v>54</v>
      </c>
      <c r="Q84">
        <f t="shared" si="11"/>
        <v>0.8969999999999998</v>
      </c>
      <c r="R84" t="b">
        <f t="shared" si="12"/>
        <v>1</v>
      </c>
    </row>
    <row r="85" spans="5:18" hidden="1">
      <c r="G85" s="1651" t="s">
        <v>818</v>
      </c>
      <c r="H85" s="1651" t="s">
        <v>54</v>
      </c>
      <c r="I85" s="1651">
        <v>34</v>
      </c>
      <c r="K85" s="1653">
        <v>2.2050000000000001</v>
      </c>
      <c r="L85" s="1653" t="s">
        <v>780</v>
      </c>
      <c r="M85" s="1653" t="s">
        <v>52</v>
      </c>
      <c r="Q85">
        <f t="shared" si="11"/>
        <v>0.8969999999999998</v>
      </c>
      <c r="R85" t="b">
        <f t="shared" si="12"/>
        <v>0</v>
      </c>
    </row>
    <row r="86" spans="5:18" hidden="1">
      <c r="G86" s="1651" t="s">
        <v>819</v>
      </c>
      <c r="H86" s="1651" t="s">
        <v>54</v>
      </c>
      <c r="I86" s="1651">
        <v>39</v>
      </c>
      <c r="K86" s="1653">
        <v>3.101</v>
      </c>
      <c r="L86" s="1653" t="s">
        <v>781</v>
      </c>
      <c r="M86" s="1653" t="s">
        <v>610</v>
      </c>
      <c r="Q86">
        <f t="shared" si="11"/>
        <v>2.0000000000002238E-3</v>
      </c>
      <c r="R86" t="b">
        <f t="shared" si="12"/>
        <v>0</v>
      </c>
    </row>
    <row r="87" spans="5:18" hidden="1">
      <c r="G87" s="1651" t="s">
        <v>820</v>
      </c>
      <c r="H87" s="1651" t="s">
        <v>54</v>
      </c>
      <c r="I87" s="1651">
        <v>45</v>
      </c>
      <c r="K87" s="1653">
        <v>3.1019999999999999</v>
      </c>
      <c r="L87" s="1653" t="s">
        <v>782</v>
      </c>
      <c r="M87" s="1653" t="s">
        <v>610</v>
      </c>
      <c r="Q87">
        <f t="shared" si="11"/>
        <v>9.9000000000000199E-2</v>
      </c>
      <c r="R87" t="b">
        <f t="shared" si="12"/>
        <v>0</v>
      </c>
    </row>
    <row r="88" spans="5:18" hidden="1">
      <c r="G88" s="1651" t="s">
        <v>821</v>
      </c>
      <c r="H88" s="1651" t="s">
        <v>54</v>
      </c>
      <c r="I88" s="1651">
        <v>60</v>
      </c>
      <c r="K88" s="1653">
        <v>3.1030000000000002</v>
      </c>
      <c r="L88" s="1653" t="s">
        <v>783</v>
      </c>
      <c r="M88" s="1653" t="s">
        <v>610</v>
      </c>
      <c r="Q88">
        <f t="shared" si="11"/>
        <v>9.8999999999999755E-2</v>
      </c>
      <c r="R88" t="b">
        <f t="shared" si="12"/>
        <v>0</v>
      </c>
    </row>
    <row r="89" spans="5:18" hidden="1">
      <c r="G89" s="1651" t="s">
        <v>822</v>
      </c>
      <c r="H89" s="1651" t="s">
        <v>612</v>
      </c>
      <c r="I89" s="1651">
        <v>9</v>
      </c>
      <c r="K89" s="1653">
        <v>3.2010000000000001</v>
      </c>
      <c r="L89" s="1653" t="s">
        <v>784</v>
      </c>
      <c r="M89" s="1653" t="s">
        <v>610</v>
      </c>
      <c r="Q89">
        <f t="shared" si="11"/>
        <v>0.89999999999999991</v>
      </c>
      <c r="R89" t="b">
        <f t="shared" si="12"/>
        <v>0</v>
      </c>
    </row>
    <row r="90" spans="5:18" hidden="1">
      <c r="G90" s="1651" t="s">
        <v>823</v>
      </c>
      <c r="H90" s="1651" t="s">
        <v>52</v>
      </c>
      <c r="I90" s="1651">
        <v>23</v>
      </c>
      <c r="K90" s="1653">
        <v>3.202</v>
      </c>
      <c r="L90" s="1653" t="s">
        <v>785</v>
      </c>
      <c r="M90" s="1653" t="s">
        <v>610</v>
      </c>
      <c r="Q90">
        <f t="shared" si="11"/>
        <v>0.90000000000000036</v>
      </c>
      <c r="R90" t="b">
        <f t="shared" si="12"/>
        <v>0</v>
      </c>
    </row>
    <row r="91" spans="5:18" hidden="1">
      <c r="G91" s="1651" t="s">
        <v>824</v>
      </c>
      <c r="H91" s="1651" t="s">
        <v>612</v>
      </c>
      <c r="I91" s="1651">
        <v>10</v>
      </c>
      <c r="K91" s="1653">
        <v>3.2029999999999998</v>
      </c>
      <c r="L91" s="1653" t="s">
        <v>786</v>
      </c>
      <c r="M91" s="1653" t="s">
        <v>610</v>
      </c>
      <c r="Q91">
        <f t="shared" si="11"/>
        <v>0.89999999999999991</v>
      </c>
      <c r="R91" t="b">
        <f t="shared" si="12"/>
        <v>0</v>
      </c>
    </row>
    <row r="92" spans="5:18" hidden="1">
      <c r="G92" s="1651" t="s">
        <v>825</v>
      </c>
      <c r="H92" s="1651" t="s">
        <v>52</v>
      </c>
      <c r="I92" s="1651">
        <v>19</v>
      </c>
      <c r="K92" s="1653">
        <v>4.101</v>
      </c>
      <c r="L92" s="1653" t="s">
        <v>787</v>
      </c>
      <c r="M92" s="1653" t="s">
        <v>51</v>
      </c>
      <c r="Q92">
        <f t="shared" si="11"/>
        <v>3.0000000000001137E-3</v>
      </c>
      <c r="R92" t="b">
        <f t="shared" si="12"/>
        <v>0</v>
      </c>
    </row>
    <row r="93" spans="5:18" hidden="1">
      <c r="G93" s="1651" t="s">
        <v>826</v>
      </c>
      <c r="H93" s="1651" t="s">
        <v>52</v>
      </c>
      <c r="I93" s="1651">
        <v>22</v>
      </c>
      <c r="K93" s="1653">
        <v>4.1020000000000003</v>
      </c>
      <c r="L93" s="1653" t="s">
        <v>776</v>
      </c>
      <c r="M93" s="1653" t="s">
        <v>765</v>
      </c>
      <c r="Q93">
        <f t="shared" si="11"/>
        <v>3.0000000000001137E-3</v>
      </c>
      <c r="R93" t="b">
        <f t="shared" si="12"/>
        <v>0</v>
      </c>
    </row>
    <row r="94" spans="5:18" hidden="1">
      <c r="G94" s="1651" t="s">
        <v>827</v>
      </c>
      <c r="H94" s="1651" t="s">
        <v>52</v>
      </c>
      <c r="I94" s="1651">
        <v>17</v>
      </c>
      <c r="K94" s="1653">
        <v>4.1029999999999998</v>
      </c>
      <c r="L94" s="1653" t="s">
        <v>788</v>
      </c>
      <c r="M94" s="1653" t="s">
        <v>765</v>
      </c>
      <c r="Q94">
        <f t="shared" si="11"/>
        <v>9.7999999999999865E-2</v>
      </c>
      <c r="R94" t="b">
        <f t="shared" si="12"/>
        <v>0</v>
      </c>
    </row>
    <row r="95" spans="5:18" hidden="1">
      <c r="G95" s="1651" t="s">
        <v>828</v>
      </c>
      <c r="H95" s="1651" t="s">
        <v>613</v>
      </c>
      <c r="I95" s="1651">
        <v>26</v>
      </c>
      <c r="K95" s="1653">
        <v>4.1040000000000001</v>
      </c>
      <c r="L95" s="1653" t="s">
        <v>775</v>
      </c>
      <c r="M95" s="1653" t="s">
        <v>765</v>
      </c>
      <c r="Q95">
        <f t="shared" si="11"/>
        <v>9.7999999999999865E-2</v>
      </c>
      <c r="R95" t="b">
        <f t="shared" si="12"/>
        <v>0</v>
      </c>
    </row>
    <row r="96" spans="5:18" hidden="1">
      <c r="G96" s="1651" t="s">
        <v>829</v>
      </c>
      <c r="H96" s="1651" t="s">
        <v>613</v>
      </c>
      <c r="I96" s="1651">
        <v>20</v>
      </c>
      <c r="K96" s="1653">
        <v>4.1050000000000004</v>
      </c>
      <c r="L96" s="1653" t="s">
        <v>789</v>
      </c>
      <c r="M96" s="1653" t="s">
        <v>765</v>
      </c>
      <c r="Q96">
        <f t="shared" si="11"/>
        <v>9.7999999999999865E-2</v>
      </c>
      <c r="R96" t="b">
        <f t="shared" si="12"/>
        <v>0</v>
      </c>
    </row>
    <row r="97" spans="7:18" hidden="1">
      <c r="G97" s="1651" t="s">
        <v>830</v>
      </c>
      <c r="H97" s="1651" t="s">
        <v>613</v>
      </c>
      <c r="I97" s="1651">
        <v>23</v>
      </c>
      <c r="K97" s="1653">
        <v>4.2009999999999996</v>
      </c>
      <c r="L97" s="1653" t="s">
        <v>773</v>
      </c>
      <c r="M97" s="1653" t="s">
        <v>765</v>
      </c>
      <c r="Q97">
        <f t="shared" si="11"/>
        <v>3.0000000000001137E-3</v>
      </c>
      <c r="R97" t="b">
        <f t="shared" si="12"/>
        <v>0</v>
      </c>
    </row>
    <row r="98" spans="7:18" hidden="1">
      <c r="G98" s="1651" t="s">
        <v>831</v>
      </c>
      <c r="H98" s="1651" t="s">
        <v>613</v>
      </c>
      <c r="I98" s="1651">
        <v>27</v>
      </c>
      <c r="K98" s="1653">
        <v>4.202</v>
      </c>
      <c r="L98" s="1653" t="s">
        <v>790</v>
      </c>
      <c r="M98" s="1653" t="s">
        <v>765</v>
      </c>
      <c r="Q98">
        <f t="shared" si="11"/>
        <v>3.0000000000001137E-3</v>
      </c>
      <c r="R98" t="b">
        <f t="shared" si="12"/>
        <v>0</v>
      </c>
    </row>
    <row r="99" spans="7:18" hidden="1">
      <c r="G99" s="1651" t="s">
        <v>832</v>
      </c>
      <c r="H99" s="28" t="s">
        <v>54</v>
      </c>
      <c r="I99" s="28">
        <v>18</v>
      </c>
      <c r="K99" s="1653">
        <v>4.2030000000000003</v>
      </c>
      <c r="L99" s="1653" t="s">
        <v>769</v>
      </c>
      <c r="M99" s="1653" t="s">
        <v>765</v>
      </c>
      <c r="Q99">
        <f t="shared" si="11"/>
        <v>3.0000000000001137E-3</v>
      </c>
      <c r="R99" t="b">
        <f t="shared" si="12"/>
        <v>0</v>
      </c>
    </row>
    <row r="100" spans="7:18" hidden="1">
      <c r="G100" s="1651"/>
      <c r="H100" s="28"/>
      <c r="K100" s="1653">
        <v>4.2039999999999997</v>
      </c>
      <c r="L100" s="1653" t="s">
        <v>776</v>
      </c>
      <c r="M100" s="1653" t="s">
        <v>765</v>
      </c>
      <c r="Q100">
        <f t="shared" si="11"/>
        <v>-4.2039999999999997</v>
      </c>
      <c r="R100" t="b">
        <f t="shared" si="12"/>
        <v>0</v>
      </c>
    </row>
    <row r="101" spans="7:18" hidden="1">
      <c r="G101" s="1651"/>
      <c r="H101" s="28"/>
      <c r="K101" s="1653">
        <v>4.2050000000000001</v>
      </c>
      <c r="L101" s="1653" t="s">
        <v>780</v>
      </c>
      <c r="M101" s="1653" t="s">
        <v>765</v>
      </c>
      <c r="Q101">
        <f t="shared" si="11"/>
        <v>-4.2050000000000001</v>
      </c>
      <c r="R101" t="b">
        <f t="shared" si="12"/>
        <v>0</v>
      </c>
    </row>
    <row r="102" spans="7:18" hidden="1">
      <c r="G102" s="28"/>
      <c r="H102" s="28"/>
      <c r="K102" s="1653">
        <v>4.2060000000000004</v>
      </c>
      <c r="L102" s="1653" t="s">
        <v>772</v>
      </c>
      <c r="M102" s="1653" t="s">
        <v>765</v>
      </c>
      <c r="Q102">
        <f t="shared" si="11"/>
        <v>-4.2060000000000004</v>
      </c>
    </row>
  </sheetData>
  <sheetProtection formatCells="0" selectLockedCells="1"/>
  <mergeCells count="4">
    <mergeCell ref="F7:G7"/>
    <mergeCell ref="U6:AA6"/>
    <mergeCell ref="AC6:AH6"/>
    <mergeCell ref="L7:M7"/>
  </mergeCells>
  <phoneticPr fontId="74" type="noConversion"/>
  <dataValidations count="1">
    <dataValidation type="list" allowBlank="1" showInputMessage="1" showErrorMessage="1" sqref="R8:R13" xr:uid="{44631BE4-5D46-4903-9638-4DF1249278BE}">
      <formula1>list_Measures</formula1>
    </dataValidation>
  </dataValidations>
  <pageMargins left="0.7" right="0.7" top="0.75" bottom="0.75" header="0.3" footer="0.3"/>
  <pageSetup orientation="portrait" r:id="rId1"/>
  <picture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601C-E1A9-450F-A73D-A027ABEC1DBC}">
  <sheetPr codeName="Sheet3">
    <tabColor rgb="FF25FF88"/>
    <pageSetUpPr fitToPage="1"/>
  </sheetPr>
  <dimension ref="A1:ACG97"/>
  <sheetViews>
    <sheetView showGridLines="0" topLeftCell="D1" zoomScale="85" zoomScaleNormal="85" workbookViewId="0">
      <pane ySplit="5" topLeftCell="A6" activePane="bottomLeft" state="frozen"/>
      <selection activeCell="D3" sqref="D3"/>
      <selection pane="bottomLeft" activeCell="P24" sqref="P24"/>
    </sheetView>
  </sheetViews>
  <sheetFormatPr baseColWidth="10" defaultColWidth="0" defaultRowHeight="14" zeroHeight="1"/>
  <cols>
    <col min="1" max="1" width="9.5" hidden="1" customWidth="1"/>
    <col min="2" max="2" width="6" hidden="1" customWidth="1"/>
    <col min="3" max="3" width="7.83203125" hidden="1" customWidth="1"/>
    <col min="4" max="5" width="2.33203125" customWidth="1"/>
    <col min="6" max="6" width="22.1640625" customWidth="1"/>
    <col min="7" max="7" width="13.1640625" customWidth="1"/>
    <col min="8" max="10" width="14.6640625" customWidth="1"/>
    <col min="11" max="11" width="11.1640625" customWidth="1"/>
    <col min="12" max="13" width="14.6640625" customWidth="1"/>
    <col min="14" max="15" width="10.83203125" customWidth="1"/>
    <col min="16" max="20" width="11.6640625" customWidth="1"/>
    <col min="21" max="21" width="8.83203125" customWidth="1"/>
    <col min="22" max="22" width="8.6640625" customWidth="1"/>
    <col min="23" max="25" width="10.83203125" customWidth="1"/>
    <col min="26" max="26" width="14" bestFit="1" customWidth="1"/>
    <col min="27" max="27" width="12.83203125" bestFit="1" customWidth="1"/>
    <col min="28" max="28" width="13.5" bestFit="1" customWidth="1"/>
    <col min="29" max="29" width="12" bestFit="1" customWidth="1"/>
    <col min="30" max="30" width="5.33203125" bestFit="1" customWidth="1"/>
    <col min="31" max="31" width="7.5" bestFit="1" customWidth="1"/>
    <col min="32" max="32" width="7.1640625" bestFit="1" customWidth="1"/>
    <col min="33" max="33" width="12.1640625" bestFit="1" customWidth="1"/>
    <col min="34" max="34" width="3.83203125" customWidth="1"/>
    <col min="35" max="393" width="4.5" hidden="1" customWidth="1"/>
    <col min="394" max="394" width="4.5" hidden="1" customWidth="1" collapsed="1"/>
    <col min="395" max="760" width="4.5" hidden="1" customWidth="1"/>
    <col min="761" max="761" width="4.5" hidden="1" customWidth="1" collapsed="1"/>
    <col min="762" max="16384" width="0.5" hidden="1"/>
  </cols>
  <sheetData>
    <row r="1" spans="1:398" hidden="1">
      <c r="A1" s="206" t="s">
        <v>159</v>
      </c>
      <c r="B1" s="200"/>
      <c r="C1" s="8"/>
      <c r="D1" s="8"/>
      <c r="E1" s="8"/>
      <c r="F1" s="8"/>
      <c r="G1" s="8"/>
      <c r="H1" s="8"/>
      <c r="I1" s="8"/>
      <c r="J1" s="8"/>
      <c r="K1" s="8"/>
      <c r="L1" s="9"/>
      <c r="M1" s="8"/>
      <c r="N1" s="8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37"/>
      <c r="AL1" s="66"/>
      <c r="AM1" s="66"/>
      <c r="AN1" s="66">
        <f t="shared" ref="AN1:CY1" si="0">AM1*(1+(i_Inflate.Cost/12))</f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6">
        <f t="shared" si="0"/>
        <v>0</v>
      </c>
      <c r="AZ1" s="66">
        <f t="shared" si="0"/>
        <v>0</v>
      </c>
      <c r="BA1" s="66">
        <f t="shared" si="0"/>
        <v>0</v>
      </c>
      <c r="BB1" s="66">
        <f t="shared" si="0"/>
        <v>0</v>
      </c>
      <c r="BC1" s="66">
        <f t="shared" si="0"/>
        <v>0</v>
      </c>
      <c r="BD1" s="66">
        <f t="shared" si="0"/>
        <v>0</v>
      </c>
      <c r="BE1" s="66">
        <f t="shared" si="0"/>
        <v>0</v>
      </c>
      <c r="BF1" s="66">
        <f t="shared" si="0"/>
        <v>0</v>
      </c>
      <c r="BG1" s="66">
        <f t="shared" si="0"/>
        <v>0</v>
      </c>
      <c r="BH1" s="66">
        <f t="shared" si="0"/>
        <v>0</v>
      </c>
      <c r="BI1" s="66">
        <f t="shared" si="0"/>
        <v>0</v>
      </c>
      <c r="BJ1" s="66">
        <f t="shared" si="0"/>
        <v>0</v>
      </c>
      <c r="BK1" s="66">
        <f t="shared" si="0"/>
        <v>0</v>
      </c>
      <c r="BL1" s="66">
        <f t="shared" si="0"/>
        <v>0</v>
      </c>
      <c r="BM1" s="66">
        <f t="shared" si="0"/>
        <v>0</v>
      </c>
      <c r="BN1" s="66">
        <f t="shared" si="0"/>
        <v>0</v>
      </c>
      <c r="BO1" s="66">
        <f t="shared" si="0"/>
        <v>0</v>
      </c>
      <c r="BP1" s="66">
        <f t="shared" si="0"/>
        <v>0</v>
      </c>
      <c r="BQ1" s="66">
        <f t="shared" si="0"/>
        <v>0</v>
      </c>
      <c r="BR1" s="66">
        <f t="shared" si="0"/>
        <v>0</v>
      </c>
      <c r="BS1" s="66">
        <f t="shared" si="0"/>
        <v>0</v>
      </c>
      <c r="BT1" s="66">
        <f t="shared" si="0"/>
        <v>0</v>
      </c>
      <c r="BU1" s="66">
        <f t="shared" si="0"/>
        <v>0</v>
      </c>
      <c r="BV1" s="66">
        <f t="shared" si="0"/>
        <v>0</v>
      </c>
      <c r="BW1" s="66">
        <f t="shared" si="0"/>
        <v>0</v>
      </c>
      <c r="BX1" s="66">
        <f t="shared" si="0"/>
        <v>0</v>
      </c>
      <c r="BY1" s="66">
        <f t="shared" si="0"/>
        <v>0</v>
      </c>
      <c r="BZ1" s="66">
        <f t="shared" si="0"/>
        <v>0</v>
      </c>
      <c r="CA1" s="66">
        <f t="shared" si="0"/>
        <v>0</v>
      </c>
      <c r="CB1" s="66">
        <f t="shared" si="0"/>
        <v>0</v>
      </c>
      <c r="CC1" s="66">
        <f t="shared" si="0"/>
        <v>0</v>
      </c>
      <c r="CD1" s="66">
        <f t="shared" si="0"/>
        <v>0</v>
      </c>
      <c r="CE1" s="66">
        <f t="shared" si="0"/>
        <v>0</v>
      </c>
      <c r="CF1" s="66">
        <f t="shared" si="0"/>
        <v>0</v>
      </c>
      <c r="CG1" s="66">
        <f t="shared" si="0"/>
        <v>0</v>
      </c>
      <c r="CH1" s="66">
        <f t="shared" si="0"/>
        <v>0</v>
      </c>
      <c r="CI1" s="66">
        <f t="shared" si="0"/>
        <v>0</v>
      </c>
      <c r="CJ1" s="66">
        <f t="shared" si="0"/>
        <v>0</v>
      </c>
      <c r="CK1" s="66">
        <f t="shared" si="0"/>
        <v>0</v>
      </c>
      <c r="CL1" s="66">
        <f t="shared" si="0"/>
        <v>0</v>
      </c>
      <c r="CM1" s="66">
        <f t="shared" si="0"/>
        <v>0</v>
      </c>
      <c r="CN1" s="66">
        <f t="shared" si="0"/>
        <v>0</v>
      </c>
      <c r="CO1" s="66">
        <f t="shared" si="0"/>
        <v>0</v>
      </c>
      <c r="CP1" s="66">
        <f t="shared" si="0"/>
        <v>0</v>
      </c>
      <c r="CQ1" s="66">
        <f t="shared" si="0"/>
        <v>0</v>
      </c>
      <c r="CR1" s="66">
        <f t="shared" si="0"/>
        <v>0</v>
      </c>
      <c r="CS1" s="66">
        <f t="shared" si="0"/>
        <v>0</v>
      </c>
      <c r="CT1" s="66">
        <f t="shared" si="0"/>
        <v>0</v>
      </c>
      <c r="CU1" s="66">
        <f t="shared" si="0"/>
        <v>0</v>
      </c>
      <c r="CV1" s="66">
        <f t="shared" si="0"/>
        <v>0</v>
      </c>
      <c r="CW1" s="66">
        <f t="shared" si="0"/>
        <v>0</v>
      </c>
      <c r="CX1" s="66">
        <f t="shared" si="0"/>
        <v>0</v>
      </c>
      <c r="CY1" s="66">
        <f t="shared" si="0"/>
        <v>0</v>
      </c>
      <c r="CZ1" s="66">
        <f t="shared" ref="CZ1:FK1" si="1">CY1*(1+(i_Inflate.Cost/12))</f>
        <v>0</v>
      </c>
      <c r="DA1" s="66">
        <f t="shared" si="1"/>
        <v>0</v>
      </c>
      <c r="DB1" s="66">
        <f t="shared" si="1"/>
        <v>0</v>
      </c>
      <c r="DC1" s="66">
        <f t="shared" si="1"/>
        <v>0</v>
      </c>
      <c r="DD1" s="66">
        <f t="shared" si="1"/>
        <v>0</v>
      </c>
      <c r="DE1" s="66">
        <f t="shared" si="1"/>
        <v>0</v>
      </c>
      <c r="DF1" s="66">
        <f t="shared" si="1"/>
        <v>0</v>
      </c>
      <c r="DG1" s="66">
        <f t="shared" si="1"/>
        <v>0</v>
      </c>
      <c r="DH1" s="66">
        <f t="shared" si="1"/>
        <v>0</v>
      </c>
      <c r="DI1" s="66">
        <f t="shared" si="1"/>
        <v>0</v>
      </c>
      <c r="DJ1" s="66">
        <f t="shared" si="1"/>
        <v>0</v>
      </c>
      <c r="DK1" s="66">
        <f t="shared" si="1"/>
        <v>0</v>
      </c>
      <c r="DL1" s="66">
        <f t="shared" si="1"/>
        <v>0</v>
      </c>
      <c r="DM1" s="66">
        <f t="shared" si="1"/>
        <v>0</v>
      </c>
      <c r="DN1" s="66">
        <f t="shared" si="1"/>
        <v>0</v>
      </c>
      <c r="DO1" s="66">
        <f t="shared" si="1"/>
        <v>0</v>
      </c>
      <c r="DP1" s="66">
        <f t="shared" si="1"/>
        <v>0</v>
      </c>
      <c r="DQ1" s="66">
        <f t="shared" si="1"/>
        <v>0</v>
      </c>
      <c r="DR1" s="66">
        <f t="shared" si="1"/>
        <v>0</v>
      </c>
      <c r="DS1" s="66">
        <f t="shared" si="1"/>
        <v>0</v>
      </c>
      <c r="DT1" s="66">
        <f t="shared" si="1"/>
        <v>0</v>
      </c>
      <c r="DU1" s="66">
        <f t="shared" si="1"/>
        <v>0</v>
      </c>
      <c r="DV1" s="66">
        <f t="shared" si="1"/>
        <v>0</v>
      </c>
      <c r="DW1" s="66">
        <f t="shared" si="1"/>
        <v>0</v>
      </c>
      <c r="DX1" s="66">
        <f t="shared" si="1"/>
        <v>0</v>
      </c>
      <c r="DY1" s="66">
        <f t="shared" si="1"/>
        <v>0</v>
      </c>
      <c r="DZ1" s="66">
        <f t="shared" si="1"/>
        <v>0</v>
      </c>
      <c r="EA1" s="66">
        <f t="shared" si="1"/>
        <v>0</v>
      </c>
      <c r="EB1" s="66">
        <f t="shared" si="1"/>
        <v>0</v>
      </c>
      <c r="EC1" s="66">
        <f t="shared" si="1"/>
        <v>0</v>
      </c>
      <c r="ED1" s="66">
        <f t="shared" si="1"/>
        <v>0</v>
      </c>
      <c r="EE1" s="66">
        <f t="shared" si="1"/>
        <v>0</v>
      </c>
      <c r="EF1" s="66">
        <f t="shared" si="1"/>
        <v>0</v>
      </c>
      <c r="EG1" s="66">
        <f t="shared" si="1"/>
        <v>0</v>
      </c>
      <c r="EH1" s="66">
        <f t="shared" si="1"/>
        <v>0</v>
      </c>
      <c r="EI1" s="66">
        <f t="shared" si="1"/>
        <v>0</v>
      </c>
      <c r="EJ1" s="66">
        <f t="shared" si="1"/>
        <v>0</v>
      </c>
      <c r="EK1" s="66">
        <f t="shared" si="1"/>
        <v>0</v>
      </c>
      <c r="EL1" s="66">
        <f t="shared" si="1"/>
        <v>0</v>
      </c>
      <c r="EM1" s="66">
        <f t="shared" si="1"/>
        <v>0</v>
      </c>
      <c r="EN1" s="66">
        <f t="shared" si="1"/>
        <v>0</v>
      </c>
      <c r="EO1" s="66">
        <f t="shared" si="1"/>
        <v>0</v>
      </c>
      <c r="EP1" s="66">
        <f t="shared" si="1"/>
        <v>0</v>
      </c>
      <c r="EQ1" s="66">
        <f t="shared" si="1"/>
        <v>0</v>
      </c>
      <c r="ER1" s="66">
        <f t="shared" si="1"/>
        <v>0</v>
      </c>
      <c r="ES1" s="66">
        <f t="shared" si="1"/>
        <v>0</v>
      </c>
      <c r="ET1" s="66">
        <f t="shared" si="1"/>
        <v>0</v>
      </c>
      <c r="EU1" s="66">
        <f t="shared" si="1"/>
        <v>0</v>
      </c>
      <c r="EV1" s="66">
        <f t="shared" si="1"/>
        <v>0</v>
      </c>
      <c r="EW1" s="66">
        <f t="shared" si="1"/>
        <v>0</v>
      </c>
      <c r="EX1" s="66">
        <f t="shared" si="1"/>
        <v>0</v>
      </c>
      <c r="EY1" s="66">
        <f t="shared" si="1"/>
        <v>0</v>
      </c>
      <c r="EZ1" s="66">
        <f t="shared" si="1"/>
        <v>0</v>
      </c>
      <c r="FA1" s="66">
        <f t="shared" si="1"/>
        <v>0</v>
      </c>
      <c r="FB1" s="66">
        <f t="shared" si="1"/>
        <v>0</v>
      </c>
      <c r="FC1" s="66">
        <f t="shared" si="1"/>
        <v>0</v>
      </c>
      <c r="FD1" s="66">
        <f t="shared" si="1"/>
        <v>0</v>
      </c>
      <c r="FE1" s="66">
        <f t="shared" si="1"/>
        <v>0</v>
      </c>
      <c r="FF1" s="66">
        <f t="shared" si="1"/>
        <v>0</v>
      </c>
      <c r="FG1" s="66">
        <f t="shared" si="1"/>
        <v>0</v>
      </c>
      <c r="FH1" s="66">
        <f t="shared" si="1"/>
        <v>0</v>
      </c>
      <c r="FI1" s="66">
        <f t="shared" si="1"/>
        <v>0</v>
      </c>
      <c r="FJ1" s="66">
        <f t="shared" si="1"/>
        <v>0</v>
      </c>
      <c r="FK1" s="66">
        <f t="shared" si="1"/>
        <v>0</v>
      </c>
      <c r="FL1" s="66">
        <f t="shared" ref="FL1:HW1" si="2">FK1*(1+(i_Inflate.Cost/12))</f>
        <v>0</v>
      </c>
      <c r="FM1" s="66">
        <f t="shared" si="2"/>
        <v>0</v>
      </c>
      <c r="FN1" s="66">
        <f t="shared" si="2"/>
        <v>0</v>
      </c>
      <c r="FO1" s="66">
        <f t="shared" si="2"/>
        <v>0</v>
      </c>
      <c r="FP1" s="66">
        <f t="shared" si="2"/>
        <v>0</v>
      </c>
      <c r="FQ1" s="66">
        <f t="shared" si="2"/>
        <v>0</v>
      </c>
      <c r="FR1" s="66">
        <f t="shared" si="2"/>
        <v>0</v>
      </c>
      <c r="FS1" s="66">
        <f t="shared" si="2"/>
        <v>0</v>
      </c>
      <c r="FT1" s="66">
        <f t="shared" si="2"/>
        <v>0</v>
      </c>
      <c r="FU1" s="66">
        <f t="shared" si="2"/>
        <v>0</v>
      </c>
      <c r="FV1" s="66">
        <f t="shared" si="2"/>
        <v>0</v>
      </c>
      <c r="FW1" s="66">
        <f t="shared" si="2"/>
        <v>0</v>
      </c>
      <c r="FX1" s="66">
        <f t="shared" si="2"/>
        <v>0</v>
      </c>
      <c r="FY1" s="66">
        <f t="shared" si="2"/>
        <v>0</v>
      </c>
      <c r="FZ1" s="66">
        <f t="shared" si="2"/>
        <v>0</v>
      </c>
      <c r="GA1" s="66">
        <f t="shared" si="2"/>
        <v>0</v>
      </c>
      <c r="GB1" s="66">
        <f t="shared" si="2"/>
        <v>0</v>
      </c>
      <c r="GC1" s="66">
        <f t="shared" si="2"/>
        <v>0</v>
      </c>
      <c r="GD1" s="66">
        <f t="shared" si="2"/>
        <v>0</v>
      </c>
      <c r="GE1" s="66">
        <f t="shared" si="2"/>
        <v>0</v>
      </c>
      <c r="GF1" s="66">
        <f t="shared" si="2"/>
        <v>0</v>
      </c>
      <c r="GG1" s="66">
        <f t="shared" si="2"/>
        <v>0</v>
      </c>
      <c r="GH1" s="66">
        <f t="shared" si="2"/>
        <v>0</v>
      </c>
      <c r="GI1" s="66">
        <f t="shared" si="2"/>
        <v>0</v>
      </c>
      <c r="GJ1" s="66">
        <f t="shared" si="2"/>
        <v>0</v>
      </c>
      <c r="GK1" s="66">
        <f t="shared" si="2"/>
        <v>0</v>
      </c>
      <c r="GL1" s="66">
        <f t="shared" si="2"/>
        <v>0</v>
      </c>
      <c r="GM1" s="66">
        <f t="shared" si="2"/>
        <v>0</v>
      </c>
      <c r="GN1" s="66">
        <f t="shared" si="2"/>
        <v>0</v>
      </c>
      <c r="GO1" s="66">
        <f t="shared" si="2"/>
        <v>0</v>
      </c>
      <c r="GP1" s="66">
        <f t="shared" si="2"/>
        <v>0</v>
      </c>
      <c r="GQ1" s="66">
        <f t="shared" si="2"/>
        <v>0</v>
      </c>
      <c r="GR1" s="66">
        <f t="shared" si="2"/>
        <v>0</v>
      </c>
      <c r="GS1" s="66">
        <f t="shared" si="2"/>
        <v>0</v>
      </c>
      <c r="GT1" s="66">
        <f t="shared" si="2"/>
        <v>0</v>
      </c>
      <c r="GU1" s="66">
        <f t="shared" si="2"/>
        <v>0</v>
      </c>
      <c r="GV1" s="66">
        <f t="shared" si="2"/>
        <v>0</v>
      </c>
      <c r="GW1" s="66">
        <f t="shared" si="2"/>
        <v>0</v>
      </c>
      <c r="GX1" s="66">
        <f t="shared" si="2"/>
        <v>0</v>
      </c>
      <c r="GY1" s="66">
        <f t="shared" si="2"/>
        <v>0</v>
      </c>
      <c r="GZ1" s="66">
        <f t="shared" si="2"/>
        <v>0</v>
      </c>
      <c r="HA1" s="66">
        <f t="shared" si="2"/>
        <v>0</v>
      </c>
      <c r="HB1" s="66">
        <f t="shared" si="2"/>
        <v>0</v>
      </c>
      <c r="HC1" s="66">
        <f t="shared" si="2"/>
        <v>0</v>
      </c>
      <c r="HD1" s="66">
        <f t="shared" si="2"/>
        <v>0</v>
      </c>
      <c r="HE1" s="66">
        <f t="shared" si="2"/>
        <v>0</v>
      </c>
      <c r="HF1" s="66">
        <f t="shared" si="2"/>
        <v>0</v>
      </c>
      <c r="HG1" s="66">
        <f t="shared" si="2"/>
        <v>0</v>
      </c>
      <c r="HH1" s="66">
        <f t="shared" si="2"/>
        <v>0</v>
      </c>
      <c r="HI1" s="66">
        <f t="shared" si="2"/>
        <v>0</v>
      </c>
      <c r="HJ1" s="66">
        <f t="shared" si="2"/>
        <v>0</v>
      </c>
      <c r="HK1" s="66">
        <f t="shared" si="2"/>
        <v>0</v>
      </c>
      <c r="HL1" s="66">
        <f t="shared" si="2"/>
        <v>0</v>
      </c>
      <c r="HM1" s="66">
        <f t="shared" si="2"/>
        <v>0</v>
      </c>
      <c r="HN1" s="66">
        <f t="shared" si="2"/>
        <v>0</v>
      </c>
      <c r="HO1" s="66">
        <f t="shared" si="2"/>
        <v>0</v>
      </c>
      <c r="HP1" s="66">
        <f t="shared" si="2"/>
        <v>0</v>
      </c>
      <c r="HQ1" s="66">
        <f t="shared" si="2"/>
        <v>0</v>
      </c>
      <c r="HR1" s="66">
        <f t="shared" si="2"/>
        <v>0</v>
      </c>
      <c r="HS1" s="66">
        <f t="shared" si="2"/>
        <v>0</v>
      </c>
      <c r="HT1" s="66">
        <f t="shared" si="2"/>
        <v>0</v>
      </c>
      <c r="HU1" s="66">
        <f t="shared" si="2"/>
        <v>0</v>
      </c>
      <c r="HV1" s="66">
        <f t="shared" si="2"/>
        <v>0</v>
      </c>
      <c r="HW1" s="66">
        <f t="shared" si="2"/>
        <v>0</v>
      </c>
      <c r="HX1" s="66">
        <f t="shared" ref="HX1:KI1" si="3">HW1*(1+(i_Inflate.Cost/12))</f>
        <v>0</v>
      </c>
      <c r="HY1" s="66">
        <f t="shared" si="3"/>
        <v>0</v>
      </c>
      <c r="HZ1" s="66">
        <f t="shared" si="3"/>
        <v>0</v>
      </c>
      <c r="IA1" s="66">
        <f t="shared" si="3"/>
        <v>0</v>
      </c>
      <c r="IB1" s="66">
        <f t="shared" si="3"/>
        <v>0</v>
      </c>
      <c r="IC1" s="66">
        <f t="shared" si="3"/>
        <v>0</v>
      </c>
      <c r="ID1" s="66">
        <f t="shared" si="3"/>
        <v>0</v>
      </c>
      <c r="IE1" s="66">
        <f t="shared" si="3"/>
        <v>0</v>
      </c>
      <c r="IF1" s="66">
        <f t="shared" si="3"/>
        <v>0</v>
      </c>
      <c r="IG1" s="66">
        <f t="shared" si="3"/>
        <v>0</v>
      </c>
      <c r="IH1" s="66">
        <f t="shared" si="3"/>
        <v>0</v>
      </c>
      <c r="II1" s="66">
        <f t="shared" si="3"/>
        <v>0</v>
      </c>
      <c r="IJ1" s="66">
        <f t="shared" si="3"/>
        <v>0</v>
      </c>
      <c r="IK1" s="66">
        <f t="shared" si="3"/>
        <v>0</v>
      </c>
      <c r="IL1" s="66">
        <f t="shared" si="3"/>
        <v>0</v>
      </c>
      <c r="IM1" s="66">
        <f t="shared" si="3"/>
        <v>0</v>
      </c>
      <c r="IN1" s="66">
        <f t="shared" si="3"/>
        <v>0</v>
      </c>
      <c r="IO1" s="66">
        <f t="shared" si="3"/>
        <v>0</v>
      </c>
      <c r="IP1" s="66">
        <f t="shared" si="3"/>
        <v>0</v>
      </c>
      <c r="IQ1" s="66">
        <f t="shared" si="3"/>
        <v>0</v>
      </c>
      <c r="IR1" s="66">
        <f t="shared" si="3"/>
        <v>0</v>
      </c>
      <c r="IS1" s="66">
        <f t="shared" si="3"/>
        <v>0</v>
      </c>
      <c r="IT1" s="66">
        <f t="shared" si="3"/>
        <v>0</v>
      </c>
      <c r="IU1" s="66">
        <f t="shared" si="3"/>
        <v>0</v>
      </c>
      <c r="IV1" s="66">
        <f t="shared" si="3"/>
        <v>0</v>
      </c>
      <c r="IW1" s="66">
        <f t="shared" si="3"/>
        <v>0</v>
      </c>
      <c r="IX1" s="66">
        <f t="shared" si="3"/>
        <v>0</v>
      </c>
      <c r="IY1" s="66">
        <f t="shared" si="3"/>
        <v>0</v>
      </c>
      <c r="IZ1" s="66">
        <f t="shared" si="3"/>
        <v>0</v>
      </c>
      <c r="JA1" s="66">
        <f t="shared" si="3"/>
        <v>0</v>
      </c>
      <c r="JB1" s="66">
        <f t="shared" si="3"/>
        <v>0</v>
      </c>
      <c r="JC1" s="66">
        <f t="shared" si="3"/>
        <v>0</v>
      </c>
      <c r="JD1" s="66">
        <f t="shared" si="3"/>
        <v>0</v>
      </c>
      <c r="JE1" s="66">
        <f t="shared" si="3"/>
        <v>0</v>
      </c>
      <c r="JF1" s="66">
        <f t="shared" si="3"/>
        <v>0</v>
      </c>
      <c r="JG1" s="66">
        <f t="shared" si="3"/>
        <v>0</v>
      </c>
      <c r="JH1" s="66">
        <f t="shared" si="3"/>
        <v>0</v>
      </c>
      <c r="JI1" s="66">
        <f t="shared" si="3"/>
        <v>0</v>
      </c>
      <c r="JJ1" s="66">
        <f t="shared" si="3"/>
        <v>0</v>
      </c>
      <c r="JK1" s="66">
        <f t="shared" si="3"/>
        <v>0</v>
      </c>
      <c r="JL1" s="66">
        <f t="shared" si="3"/>
        <v>0</v>
      </c>
      <c r="JM1" s="66">
        <f t="shared" si="3"/>
        <v>0</v>
      </c>
      <c r="JN1" s="66">
        <f t="shared" si="3"/>
        <v>0</v>
      </c>
      <c r="JO1" s="66">
        <f t="shared" si="3"/>
        <v>0</v>
      </c>
      <c r="JP1" s="66">
        <f t="shared" si="3"/>
        <v>0</v>
      </c>
      <c r="JQ1" s="66">
        <f t="shared" si="3"/>
        <v>0</v>
      </c>
      <c r="JR1" s="66">
        <f t="shared" si="3"/>
        <v>0</v>
      </c>
      <c r="JS1" s="66">
        <f t="shared" si="3"/>
        <v>0</v>
      </c>
      <c r="JT1" s="66">
        <f t="shared" si="3"/>
        <v>0</v>
      </c>
      <c r="JU1" s="66">
        <f t="shared" si="3"/>
        <v>0</v>
      </c>
      <c r="JV1" s="66">
        <f t="shared" si="3"/>
        <v>0</v>
      </c>
      <c r="JW1" s="66">
        <f t="shared" si="3"/>
        <v>0</v>
      </c>
      <c r="JX1" s="66">
        <f t="shared" si="3"/>
        <v>0</v>
      </c>
      <c r="JY1" s="66">
        <f t="shared" si="3"/>
        <v>0</v>
      </c>
      <c r="JZ1" s="66">
        <f t="shared" si="3"/>
        <v>0</v>
      </c>
      <c r="KA1" s="66">
        <f t="shared" si="3"/>
        <v>0</v>
      </c>
      <c r="KB1" s="66">
        <f t="shared" si="3"/>
        <v>0</v>
      </c>
      <c r="KC1" s="66">
        <f t="shared" si="3"/>
        <v>0</v>
      </c>
      <c r="KD1" s="66">
        <f t="shared" si="3"/>
        <v>0</v>
      </c>
      <c r="KE1" s="66">
        <f t="shared" si="3"/>
        <v>0</v>
      </c>
      <c r="KF1" s="66">
        <f t="shared" si="3"/>
        <v>0</v>
      </c>
      <c r="KG1" s="66">
        <f t="shared" si="3"/>
        <v>0</v>
      </c>
      <c r="KH1" s="66">
        <f t="shared" si="3"/>
        <v>0</v>
      </c>
      <c r="KI1" s="66">
        <f t="shared" si="3"/>
        <v>0</v>
      </c>
      <c r="KJ1" s="66">
        <f t="shared" ref="KJ1:MU1" si="4">KI1*(1+(i_Inflate.Cost/12))</f>
        <v>0</v>
      </c>
      <c r="KK1" s="66">
        <f t="shared" si="4"/>
        <v>0</v>
      </c>
      <c r="KL1" s="66">
        <f t="shared" si="4"/>
        <v>0</v>
      </c>
      <c r="KM1" s="66">
        <f t="shared" si="4"/>
        <v>0</v>
      </c>
      <c r="KN1" s="66">
        <f t="shared" si="4"/>
        <v>0</v>
      </c>
      <c r="KO1" s="66">
        <f t="shared" si="4"/>
        <v>0</v>
      </c>
      <c r="KP1" s="66">
        <f t="shared" si="4"/>
        <v>0</v>
      </c>
      <c r="KQ1" s="66">
        <f t="shared" si="4"/>
        <v>0</v>
      </c>
      <c r="KR1" s="66">
        <f t="shared" si="4"/>
        <v>0</v>
      </c>
      <c r="KS1" s="66">
        <f t="shared" si="4"/>
        <v>0</v>
      </c>
      <c r="KT1" s="66">
        <f t="shared" si="4"/>
        <v>0</v>
      </c>
      <c r="KU1" s="66">
        <f t="shared" si="4"/>
        <v>0</v>
      </c>
      <c r="KV1" s="66">
        <f t="shared" si="4"/>
        <v>0</v>
      </c>
      <c r="KW1" s="66">
        <f t="shared" si="4"/>
        <v>0</v>
      </c>
      <c r="KX1" s="66">
        <f t="shared" si="4"/>
        <v>0</v>
      </c>
      <c r="KY1" s="66">
        <f t="shared" si="4"/>
        <v>0</v>
      </c>
      <c r="KZ1" s="66">
        <f t="shared" si="4"/>
        <v>0</v>
      </c>
      <c r="LA1" s="66">
        <f t="shared" si="4"/>
        <v>0</v>
      </c>
      <c r="LB1" s="66">
        <f t="shared" si="4"/>
        <v>0</v>
      </c>
      <c r="LC1" s="66">
        <f t="shared" si="4"/>
        <v>0</v>
      </c>
      <c r="LD1" s="66">
        <f t="shared" si="4"/>
        <v>0</v>
      </c>
      <c r="LE1" s="66">
        <f t="shared" si="4"/>
        <v>0</v>
      </c>
      <c r="LF1" s="66">
        <f t="shared" si="4"/>
        <v>0</v>
      </c>
      <c r="LG1" s="66">
        <f t="shared" si="4"/>
        <v>0</v>
      </c>
      <c r="LH1" s="66">
        <f t="shared" si="4"/>
        <v>0</v>
      </c>
      <c r="LI1" s="66">
        <f t="shared" si="4"/>
        <v>0</v>
      </c>
      <c r="LJ1" s="66">
        <f t="shared" si="4"/>
        <v>0</v>
      </c>
      <c r="LK1" s="66">
        <f t="shared" si="4"/>
        <v>0</v>
      </c>
      <c r="LL1" s="66">
        <f t="shared" si="4"/>
        <v>0</v>
      </c>
      <c r="LM1" s="66">
        <f t="shared" si="4"/>
        <v>0</v>
      </c>
      <c r="LN1" s="66">
        <f t="shared" si="4"/>
        <v>0</v>
      </c>
      <c r="LO1" s="66">
        <f t="shared" si="4"/>
        <v>0</v>
      </c>
      <c r="LP1" s="66">
        <f t="shared" si="4"/>
        <v>0</v>
      </c>
      <c r="LQ1" s="66">
        <f t="shared" si="4"/>
        <v>0</v>
      </c>
      <c r="LR1" s="66">
        <f t="shared" si="4"/>
        <v>0</v>
      </c>
      <c r="LS1" s="66">
        <f t="shared" si="4"/>
        <v>0</v>
      </c>
      <c r="LT1" s="66">
        <f t="shared" si="4"/>
        <v>0</v>
      </c>
      <c r="LU1" s="66">
        <f t="shared" si="4"/>
        <v>0</v>
      </c>
      <c r="LV1" s="66">
        <f t="shared" si="4"/>
        <v>0</v>
      </c>
      <c r="LW1" s="66">
        <f t="shared" si="4"/>
        <v>0</v>
      </c>
      <c r="LX1" s="66">
        <f t="shared" si="4"/>
        <v>0</v>
      </c>
      <c r="LY1" s="66">
        <f t="shared" si="4"/>
        <v>0</v>
      </c>
      <c r="LZ1" s="66">
        <f t="shared" si="4"/>
        <v>0</v>
      </c>
      <c r="MA1" s="66">
        <f t="shared" si="4"/>
        <v>0</v>
      </c>
      <c r="MB1" s="66">
        <f t="shared" si="4"/>
        <v>0</v>
      </c>
      <c r="MC1" s="66">
        <f t="shared" si="4"/>
        <v>0</v>
      </c>
      <c r="MD1" s="66">
        <f t="shared" si="4"/>
        <v>0</v>
      </c>
      <c r="ME1" s="66">
        <f t="shared" si="4"/>
        <v>0</v>
      </c>
      <c r="MF1" s="66">
        <f t="shared" si="4"/>
        <v>0</v>
      </c>
      <c r="MG1" s="66">
        <f t="shared" si="4"/>
        <v>0</v>
      </c>
      <c r="MH1" s="66">
        <f t="shared" si="4"/>
        <v>0</v>
      </c>
      <c r="MI1" s="66">
        <f t="shared" si="4"/>
        <v>0</v>
      </c>
      <c r="MJ1" s="66">
        <f t="shared" si="4"/>
        <v>0</v>
      </c>
      <c r="MK1" s="66">
        <f t="shared" si="4"/>
        <v>0</v>
      </c>
      <c r="ML1" s="66">
        <f t="shared" si="4"/>
        <v>0</v>
      </c>
      <c r="MM1" s="66">
        <f t="shared" si="4"/>
        <v>0</v>
      </c>
      <c r="MN1" s="66">
        <f t="shared" si="4"/>
        <v>0</v>
      </c>
      <c r="MO1" s="66">
        <f t="shared" si="4"/>
        <v>0</v>
      </c>
      <c r="MP1" s="66">
        <f t="shared" si="4"/>
        <v>0</v>
      </c>
      <c r="MQ1" s="66">
        <f t="shared" si="4"/>
        <v>0</v>
      </c>
      <c r="MR1" s="66">
        <f t="shared" si="4"/>
        <v>0</v>
      </c>
      <c r="MS1" s="66">
        <f t="shared" si="4"/>
        <v>0</v>
      </c>
      <c r="MT1" s="66">
        <f t="shared" si="4"/>
        <v>0</v>
      </c>
      <c r="MU1" s="66">
        <f t="shared" si="4"/>
        <v>0</v>
      </c>
      <c r="MV1" s="66">
        <f t="shared" ref="MV1:OG1" si="5">MU1*(1+(i_Inflate.Cost/12))</f>
        <v>0</v>
      </c>
      <c r="MW1" s="66">
        <f t="shared" si="5"/>
        <v>0</v>
      </c>
      <c r="MX1" s="66">
        <f t="shared" si="5"/>
        <v>0</v>
      </c>
      <c r="MY1" s="66">
        <f t="shared" si="5"/>
        <v>0</v>
      </c>
      <c r="MZ1" s="66">
        <f t="shared" si="5"/>
        <v>0</v>
      </c>
      <c r="NA1" s="66">
        <f t="shared" si="5"/>
        <v>0</v>
      </c>
      <c r="NB1" s="66">
        <f t="shared" si="5"/>
        <v>0</v>
      </c>
      <c r="NC1" s="66">
        <f t="shared" si="5"/>
        <v>0</v>
      </c>
      <c r="ND1" s="66">
        <f t="shared" si="5"/>
        <v>0</v>
      </c>
      <c r="NE1" s="66">
        <f t="shared" si="5"/>
        <v>0</v>
      </c>
      <c r="NF1" s="66">
        <f t="shared" si="5"/>
        <v>0</v>
      </c>
      <c r="NG1" s="66">
        <f t="shared" si="5"/>
        <v>0</v>
      </c>
      <c r="NH1" s="66">
        <f t="shared" si="5"/>
        <v>0</v>
      </c>
      <c r="NI1" s="66">
        <f t="shared" si="5"/>
        <v>0</v>
      </c>
      <c r="NJ1" s="66">
        <f t="shared" si="5"/>
        <v>0</v>
      </c>
      <c r="NK1" s="66">
        <f t="shared" si="5"/>
        <v>0</v>
      </c>
      <c r="NL1" s="66">
        <f t="shared" si="5"/>
        <v>0</v>
      </c>
      <c r="NM1" s="66">
        <f t="shared" si="5"/>
        <v>0</v>
      </c>
      <c r="NN1" s="66">
        <f t="shared" si="5"/>
        <v>0</v>
      </c>
      <c r="NO1" s="66">
        <f t="shared" si="5"/>
        <v>0</v>
      </c>
      <c r="NP1" s="66">
        <f t="shared" si="5"/>
        <v>0</v>
      </c>
      <c r="NQ1" s="66">
        <f t="shared" si="5"/>
        <v>0</v>
      </c>
      <c r="NR1" s="66">
        <f t="shared" si="5"/>
        <v>0</v>
      </c>
      <c r="NS1" s="66">
        <f t="shared" si="5"/>
        <v>0</v>
      </c>
      <c r="NT1" s="66">
        <f t="shared" si="5"/>
        <v>0</v>
      </c>
      <c r="NU1" s="66">
        <f t="shared" si="5"/>
        <v>0</v>
      </c>
      <c r="NV1" s="66">
        <f t="shared" si="5"/>
        <v>0</v>
      </c>
      <c r="NW1" s="66">
        <f t="shared" si="5"/>
        <v>0</v>
      </c>
      <c r="NX1" s="66">
        <f t="shared" si="5"/>
        <v>0</v>
      </c>
      <c r="NY1" s="66">
        <f t="shared" si="5"/>
        <v>0</v>
      </c>
      <c r="NZ1" s="66">
        <f t="shared" si="5"/>
        <v>0</v>
      </c>
      <c r="OA1" s="66">
        <f t="shared" si="5"/>
        <v>0</v>
      </c>
      <c r="OB1" s="66">
        <f t="shared" si="5"/>
        <v>0</v>
      </c>
      <c r="OC1" s="66">
        <f t="shared" si="5"/>
        <v>0</v>
      </c>
      <c r="OD1" s="66">
        <f t="shared" si="5"/>
        <v>0</v>
      </c>
      <c r="OE1" s="66">
        <f t="shared" si="5"/>
        <v>0</v>
      </c>
      <c r="OF1" s="66">
        <f t="shared" si="5"/>
        <v>0</v>
      </c>
      <c r="OG1" s="66">
        <f t="shared" si="5"/>
        <v>0</v>
      </c>
      <c r="OH1" s="66"/>
    </row>
    <row r="2" spans="1:398" ht="15" hidden="1" thickBot="1">
      <c r="A2" s="207"/>
      <c r="B2" s="70"/>
      <c r="C2" s="8"/>
      <c r="D2" s="8"/>
      <c r="E2" s="8"/>
      <c r="F2" s="8"/>
      <c r="G2" s="8"/>
      <c r="H2" s="8"/>
      <c r="I2" s="8"/>
      <c r="J2" s="8"/>
      <c r="K2" s="8"/>
      <c r="L2" s="9"/>
      <c r="M2" s="8"/>
      <c r="N2" s="8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37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7"/>
      <c r="DW2" s="67"/>
      <c r="DX2" s="67"/>
      <c r="DY2" s="67"/>
      <c r="DZ2" s="67"/>
      <c r="EA2" s="67"/>
      <c r="EB2" s="67"/>
      <c r="EC2" s="67"/>
      <c r="ED2" s="67"/>
      <c r="EE2" s="67"/>
      <c r="EF2" s="67"/>
      <c r="EG2" s="67"/>
      <c r="EH2" s="67"/>
      <c r="EI2" s="67"/>
      <c r="EJ2" s="67"/>
      <c r="EK2" s="67"/>
      <c r="EL2" s="67"/>
      <c r="EM2" s="67"/>
      <c r="EN2" s="67"/>
      <c r="EO2" s="67"/>
      <c r="EP2" s="67"/>
      <c r="EQ2" s="67"/>
      <c r="ER2" s="67"/>
      <c r="ES2" s="67"/>
      <c r="ET2" s="67"/>
      <c r="EU2" s="67"/>
      <c r="EV2" s="67"/>
      <c r="EW2" s="67"/>
      <c r="EX2" s="67"/>
      <c r="EY2" s="67"/>
      <c r="EZ2" s="67"/>
      <c r="FA2" s="67"/>
      <c r="FB2" s="67"/>
      <c r="FC2" s="67"/>
      <c r="FD2" s="67"/>
      <c r="FE2" s="67"/>
      <c r="FF2" s="67"/>
      <c r="FG2" s="67"/>
      <c r="FH2" s="67"/>
      <c r="FI2" s="67"/>
      <c r="FJ2" s="67"/>
      <c r="FK2" s="67"/>
      <c r="FL2" s="67"/>
      <c r="FM2" s="67"/>
      <c r="FN2" s="67"/>
      <c r="FO2" s="67"/>
      <c r="FP2" s="67"/>
      <c r="FQ2" s="67"/>
      <c r="FR2" s="67"/>
      <c r="FS2" s="67"/>
      <c r="FT2" s="67"/>
      <c r="FU2" s="67"/>
      <c r="FV2" s="67"/>
      <c r="FW2" s="67"/>
      <c r="FX2" s="67"/>
      <c r="FY2" s="67"/>
      <c r="FZ2" s="67"/>
      <c r="GA2" s="67"/>
      <c r="GB2" s="67"/>
      <c r="GC2" s="67"/>
      <c r="GD2" s="67"/>
      <c r="GE2" s="67"/>
      <c r="GF2" s="67"/>
      <c r="GG2" s="67"/>
      <c r="GH2" s="67"/>
      <c r="GI2" s="67"/>
      <c r="GJ2" s="67"/>
      <c r="GK2" s="67"/>
      <c r="GL2" s="67"/>
      <c r="GM2" s="67"/>
      <c r="GN2" s="67"/>
      <c r="GO2" s="67"/>
      <c r="GP2" s="67"/>
      <c r="GQ2" s="67"/>
      <c r="GR2" s="67"/>
      <c r="GS2" s="67"/>
      <c r="GT2" s="67"/>
      <c r="GU2" s="67"/>
      <c r="GV2" s="67"/>
      <c r="GW2" s="67"/>
      <c r="GX2" s="67"/>
      <c r="GY2" s="67"/>
      <c r="GZ2" s="67"/>
      <c r="HA2" s="67"/>
      <c r="HB2" s="67"/>
      <c r="HC2" s="67"/>
      <c r="HD2" s="67"/>
      <c r="HE2" s="67"/>
      <c r="HF2" s="67"/>
      <c r="HG2" s="67"/>
      <c r="HH2" s="67"/>
      <c r="HI2" s="67"/>
      <c r="HJ2" s="67"/>
      <c r="HK2" s="67"/>
      <c r="HL2" s="67"/>
      <c r="HM2" s="67"/>
      <c r="HN2" s="67"/>
      <c r="HO2" s="67"/>
      <c r="HP2" s="67"/>
      <c r="HQ2" s="67"/>
      <c r="HR2" s="67"/>
      <c r="HS2" s="67"/>
      <c r="HT2" s="67"/>
      <c r="HU2" s="67"/>
      <c r="HV2" s="67"/>
      <c r="HW2" s="67"/>
      <c r="HX2" s="67"/>
      <c r="HY2" s="67"/>
      <c r="HZ2" s="67"/>
      <c r="IA2" s="67"/>
      <c r="IB2" s="67"/>
      <c r="IC2" s="67"/>
      <c r="ID2" s="67"/>
      <c r="IE2" s="67"/>
      <c r="IF2" s="67"/>
      <c r="IG2" s="67"/>
      <c r="IH2" s="67"/>
      <c r="II2" s="67"/>
      <c r="IJ2" s="67"/>
      <c r="IK2" s="67"/>
      <c r="IL2" s="67"/>
      <c r="IM2" s="67"/>
      <c r="IN2" s="67"/>
      <c r="IO2" s="67"/>
      <c r="IP2" s="67"/>
      <c r="IQ2" s="67"/>
      <c r="IR2" s="67"/>
      <c r="IS2" s="67"/>
      <c r="IT2" s="67"/>
      <c r="IU2" s="67"/>
      <c r="IV2" s="67"/>
      <c r="IW2" s="67"/>
      <c r="IX2" s="67"/>
      <c r="IY2" s="67"/>
      <c r="IZ2" s="67"/>
      <c r="JA2" s="67"/>
      <c r="JB2" s="67"/>
      <c r="JC2" s="67"/>
      <c r="JD2" s="67"/>
      <c r="JE2" s="67"/>
      <c r="JF2" s="67"/>
      <c r="JG2" s="67"/>
      <c r="JH2" s="67"/>
      <c r="JI2" s="67"/>
      <c r="JJ2" s="67"/>
      <c r="JK2" s="67"/>
      <c r="JL2" s="67"/>
      <c r="JM2" s="67"/>
      <c r="JN2" s="67"/>
      <c r="JO2" s="67"/>
      <c r="JP2" s="67"/>
      <c r="JQ2" s="67"/>
      <c r="JR2" s="67"/>
      <c r="JS2" s="67"/>
      <c r="JT2" s="67"/>
      <c r="JU2" s="67"/>
      <c r="JV2" s="67"/>
      <c r="JW2" s="67"/>
      <c r="JX2" s="67"/>
      <c r="JY2" s="67"/>
      <c r="JZ2" s="67"/>
      <c r="KA2" s="67"/>
      <c r="KB2" s="67"/>
      <c r="KC2" s="67"/>
      <c r="KD2" s="67"/>
      <c r="KE2" s="67"/>
      <c r="KF2" s="67"/>
      <c r="KG2" s="67"/>
      <c r="KH2" s="67"/>
      <c r="KI2" s="67"/>
      <c r="KJ2" s="67"/>
      <c r="KK2" s="67"/>
      <c r="KL2" s="67"/>
      <c r="KM2" s="67"/>
      <c r="KN2" s="67"/>
      <c r="KO2" s="67"/>
      <c r="KP2" s="67"/>
      <c r="KQ2" s="67"/>
      <c r="KR2" s="67"/>
      <c r="KS2" s="67"/>
      <c r="KT2" s="67"/>
      <c r="KU2" s="67"/>
      <c r="KV2" s="67"/>
      <c r="KW2" s="67"/>
      <c r="KX2" s="67"/>
      <c r="KY2" s="67"/>
      <c r="KZ2" s="67"/>
      <c r="LA2" s="67"/>
      <c r="LB2" s="67"/>
      <c r="LC2" s="67"/>
      <c r="LD2" s="67"/>
      <c r="LE2" s="67"/>
      <c r="LF2" s="67"/>
      <c r="LG2" s="67"/>
      <c r="LH2" s="67"/>
      <c r="LI2" s="67"/>
      <c r="LJ2" s="67"/>
      <c r="LK2" s="67"/>
      <c r="LL2" s="67"/>
      <c r="LM2" s="67"/>
      <c r="LN2" s="67"/>
      <c r="LO2" s="67"/>
      <c r="LP2" s="67"/>
      <c r="LQ2" s="67"/>
      <c r="LR2" s="67"/>
      <c r="LS2" s="67"/>
      <c r="LT2" s="67"/>
      <c r="LU2" s="67"/>
      <c r="LV2" s="67"/>
      <c r="LW2" s="67"/>
      <c r="LX2" s="67"/>
      <c r="LY2" s="67"/>
      <c r="LZ2" s="67"/>
      <c r="MA2" s="67"/>
      <c r="MB2" s="67"/>
      <c r="MC2" s="67"/>
      <c r="MD2" s="67"/>
      <c r="ME2" s="67"/>
      <c r="MF2" s="67"/>
      <c r="MG2" s="67"/>
      <c r="MH2" s="67"/>
      <c r="MI2" s="67"/>
      <c r="MJ2" s="67"/>
      <c r="MK2" s="67"/>
      <c r="ML2" s="67"/>
      <c r="MM2" s="67"/>
      <c r="MN2" s="67"/>
      <c r="MO2" s="67"/>
      <c r="MP2" s="67"/>
      <c r="MQ2" s="67"/>
      <c r="MR2" s="67"/>
      <c r="MS2" s="67"/>
      <c r="MT2" s="67"/>
      <c r="MU2" s="67"/>
      <c r="MV2" s="67"/>
      <c r="MW2" s="67"/>
      <c r="MX2" s="67"/>
      <c r="MY2" s="67"/>
      <c r="MZ2" s="67"/>
      <c r="NA2" s="67"/>
      <c r="NB2" s="67"/>
      <c r="NC2" s="67"/>
      <c r="ND2" s="67"/>
      <c r="NE2" s="67"/>
      <c r="NF2" s="67"/>
      <c r="NG2" s="67"/>
      <c r="NH2" s="67"/>
      <c r="NI2" s="67"/>
      <c r="NJ2" s="67"/>
      <c r="NK2" s="67"/>
      <c r="NL2" s="67"/>
      <c r="NM2" s="67"/>
      <c r="NN2" s="67"/>
      <c r="NO2" s="67"/>
      <c r="NP2" s="67"/>
      <c r="NQ2" s="67"/>
      <c r="NR2" s="67"/>
      <c r="NS2" s="67"/>
      <c r="NT2" s="67"/>
      <c r="NU2" s="67"/>
      <c r="NV2" s="67"/>
      <c r="NW2" s="67"/>
      <c r="NX2" s="67"/>
      <c r="NY2" s="67"/>
      <c r="NZ2" s="67"/>
      <c r="OA2" s="67"/>
      <c r="OB2" s="67"/>
      <c r="OC2" s="67"/>
      <c r="OD2" s="67"/>
      <c r="OE2" s="67"/>
      <c r="OF2" s="67"/>
      <c r="OG2" s="67"/>
      <c r="OH2" s="67"/>
    </row>
    <row r="3" spans="1:398" ht="28.5" customHeight="1" thickTop="1" thickBot="1">
      <c r="A3" s="39"/>
      <c r="B3" s="39"/>
      <c r="C3" s="39"/>
      <c r="D3" s="31" t="str">
        <f>i_Project.Name</f>
        <v>Peoria Lakes</v>
      </c>
      <c r="E3" s="31"/>
      <c r="F3" s="31"/>
      <c r="G3" s="31"/>
      <c r="H3" s="31"/>
      <c r="I3" s="1118"/>
      <c r="J3" s="31"/>
      <c r="K3" s="31"/>
      <c r="L3" s="31"/>
      <c r="M3" s="31"/>
      <c r="N3" s="31"/>
      <c r="O3" s="1110">
        <f ca="1">'r.Demand'!G10</f>
        <v>0</v>
      </c>
      <c r="P3" s="1111">
        <f ca="1">'r.Demand'!H10</f>
        <v>0</v>
      </c>
      <c r="Q3" s="1111">
        <f ca="1">'r.Demand'!I10</f>
        <v>0</v>
      </c>
      <c r="R3" s="1111">
        <f ca="1">'r.Demand'!J10</f>
        <v>1858</v>
      </c>
      <c r="S3" s="1111">
        <f ca="1">'r.Demand'!K10</f>
        <v>1358</v>
      </c>
      <c r="T3" s="1111">
        <f ca="1">'r.Demand'!L10</f>
        <v>1045</v>
      </c>
      <c r="U3" s="1111">
        <f ca="1">'r.Demand'!M10</f>
        <v>806</v>
      </c>
      <c r="V3" s="1111">
        <f ca="1">'r.Demand'!N10</f>
        <v>593</v>
      </c>
      <c r="W3" s="1111">
        <f ca="1">'r.Demand'!O10</f>
        <v>93</v>
      </c>
      <c r="X3" s="1111" t="str">
        <f ca="1">'r.Demand'!P10</f>
        <v/>
      </c>
      <c r="Y3" s="1111" t="str">
        <f ca="1">'r.Demand'!R10</f>
        <v/>
      </c>
      <c r="Z3" s="1111" t="str">
        <f ca="1">'r.Demand'!S10</f>
        <v/>
      </c>
      <c r="AA3" s="1111" t="str">
        <f ca="1">'r.Demand'!T10</f>
        <v/>
      </c>
      <c r="AB3" s="1111" t="str">
        <f ca="1">'r.Demand'!U10</f>
        <v/>
      </c>
      <c r="AC3" s="76" t="str">
        <f ca="1">'r.Demand'!Z10</f>
        <v/>
      </c>
      <c r="AD3" s="76" t="str">
        <f ca="1">'r.Demand'!AA10</f>
        <v/>
      </c>
      <c r="AE3" s="76"/>
      <c r="AF3" s="76"/>
      <c r="AG3" s="76"/>
      <c r="AH3" s="76"/>
      <c r="AI3" s="76"/>
      <c r="AJ3" s="76"/>
      <c r="AK3" s="76"/>
      <c r="AL3" s="76"/>
      <c r="AM3" s="13"/>
      <c r="AN3" s="13"/>
      <c r="AO3" s="13"/>
      <c r="AP3" s="13"/>
      <c r="AQ3" s="13"/>
      <c r="AR3" s="52"/>
      <c r="AS3" s="52"/>
      <c r="AT3" s="52"/>
      <c r="AU3" s="73"/>
      <c r="AV3" s="52"/>
      <c r="AW3" s="52"/>
      <c r="AX3" s="42"/>
      <c r="AY3" s="54"/>
      <c r="AZ3" s="42"/>
      <c r="BA3" s="55"/>
      <c r="BB3" s="56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EE3" s="52"/>
      <c r="EF3" s="52"/>
      <c r="EG3" s="52"/>
      <c r="EH3" s="52"/>
      <c r="EI3" s="52"/>
      <c r="EJ3" s="52"/>
      <c r="EK3" s="52"/>
      <c r="EL3" s="52"/>
      <c r="EM3" s="52"/>
      <c r="EN3" s="52"/>
      <c r="EO3" s="52"/>
      <c r="EP3" s="52"/>
      <c r="EQ3" s="52"/>
      <c r="ER3" s="52"/>
      <c r="ES3" s="52"/>
      <c r="ET3" s="52"/>
      <c r="EU3" s="52"/>
      <c r="EV3" s="52"/>
      <c r="EW3" s="52"/>
      <c r="EX3" s="52"/>
      <c r="EY3" s="52"/>
      <c r="EZ3" s="52"/>
      <c r="FA3" s="52"/>
      <c r="FB3" s="52"/>
      <c r="FC3" s="52"/>
      <c r="FD3" s="52"/>
      <c r="FE3" s="52"/>
      <c r="FF3" s="52"/>
      <c r="FG3" s="52"/>
      <c r="FH3" s="52"/>
      <c r="FI3" s="52"/>
      <c r="FJ3" s="52"/>
      <c r="FK3" s="52"/>
      <c r="FL3" s="52"/>
      <c r="FM3" s="52"/>
      <c r="FN3" s="52"/>
      <c r="FO3" s="52"/>
      <c r="FP3" s="52"/>
      <c r="FQ3" s="52"/>
      <c r="FR3" s="52"/>
      <c r="FS3" s="52"/>
      <c r="FT3" s="52"/>
      <c r="FU3" s="52"/>
      <c r="FV3" s="52"/>
      <c r="FW3" s="52"/>
      <c r="FX3" s="52"/>
      <c r="FY3" s="52"/>
      <c r="FZ3" s="52"/>
      <c r="GA3" s="52"/>
      <c r="GB3" s="52"/>
      <c r="GC3" s="52"/>
      <c r="GD3" s="52"/>
      <c r="GE3" s="52"/>
      <c r="GF3" s="52"/>
      <c r="GG3" s="52"/>
      <c r="GH3" s="52"/>
      <c r="GI3" s="52"/>
      <c r="GJ3" s="52"/>
      <c r="GK3" s="52"/>
      <c r="GL3" s="52"/>
      <c r="GM3" s="52"/>
      <c r="GN3" s="52"/>
      <c r="GO3" s="52"/>
      <c r="GP3" s="52"/>
      <c r="GQ3" s="52"/>
      <c r="GR3" s="52"/>
      <c r="GS3" s="52"/>
      <c r="GT3" s="52"/>
      <c r="GU3" s="52"/>
      <c r="GV3" s="52"/>
      <c r="GW3" s="52"/>
      <c r="GX3" s="52"/>
      <c r="GY3" s="52"/>
      <c r="GZ3" s="52"/>
      <c r="HA3" s="52"/>
      <c r="HB3" s="52"/>
      <c r="HC3" s="52"/>
      <c r="HD3" s="52"/>
      <c r="HE3" s="52"/>
      <c r="HF3" s="52"/>
      <c r="HG3" s="52"/>
      <c r="HH3" s="52"/>
      <c r="HI3" s="52"/>
      <c r="HJ3" s="52"/>
      <c r="HK3" s="52"/>
      <c r="HL3" s="52"/>
      <c r="HM3" s="52"/>
      <c r="HN3" s="52"/>
      <c r="HO3" s="52"/>
      <c r="HP3" s="52"/>
      <c r="HQ3" s="52"/>
      <c r="HR3" s="52"/>
      <c r="HS3" s="52"/>
      <c r="HT3" s="52"/>
      <c r="HU3" s="52"/>
      <c r="HV3" s="52"/>
      <c r="HW3" s="52"/>
      <c r="HX3" s="52"/>
      <c r="HY3" s="52"/>
      <c r="HZ3" s="52"/>
      <c r="IA3" s="52"/>
      <c r="IB3" s="52"/>
      <c r="IC3" s="52"/>
      <c r="ID3" s="52"/>
      <c r="IE3" s="52"/>
      <c r="IF3" s="52"/>
      <c r="IG3" s="52"/>
      <c r="IH3" s="52"/>
      <c r="II3" s="52"/>
      <c r="IJ3" s="52"/>
      <c r="IK3" s="52"/>
      <c r="IL3" s="52"/>
      <c r="IM3" s="52"/>
      <c r="IN3" s="52"/>
      <c r="IO3" s="52"/>
      <c r="IP3" s="52"/>
      <c r="IQ3" s="52"/>
      <c r="IR3" s="52"/>
      <c r="IS3" s="52"/>
      <c r="IT3" s="52"/>
      <c r="IU3" s="52"/>
      <c r="IV3" s="52"/>
      <c r="IW3" s="52"/>
      <c r="IX3" s="52"/>
      <c r="IY3" s="52"/>
      <c r="IZ3" s="52"/>
      <c r="JA3" s="52"/>
      <c r="JB3" s="52"/>
      <c r="JC3" s="52"/>
      <c r="JD3" s="52"/>
      <c r="JE3" s="52"/>
      <c r="JF3" s="52"/>
      <c r="JG3" s="52"/>
      <c r="JH3" s="52"/>
      <c r="JI3" s="52"/>
      <c r="JJ3" s="52"/>
      <c r="JK3" s="52"/>
      <c r="JL3" s="52"/>
      <c r="JM3" s="52"/>
      <c r="JN3" s="52"/>
      <c r="JO3" s="52"/>
      <c r="JP3" s="52"/>
      <c r="JQ3" s="52"/>
      <c r="JR3" s="52"/>
      <c r="JS3" s="52"/>
      <c r="JT3" s="52"/>
      <c r="JU3" s="52"/>
      <c r="JV3" s="52"/>
      <c r="JW3" s="52"/>
      <c r="JX3" s="52"/>
      <c r="JY3" s="52"/>
      <c r="JZ3" s="52"/>
      <c r="KA3" s="52"/>
      <c r="KB3" s="52"/>
      <c r="KC3" s="52"/>
      <c r="KD3" s="52"/>
      <c r="KE3" s="52"/>
      <c r="KF3" s="52"/>
      <c r="KG3" s="52"/>
      <c r="KH3" s="52"/>
      <c r="KI3" s="52"/>
      <c r="KJ3" s="52"/>
      <c r="KK3" s="52"/>
      <c r="KL3" s="52"/>
      <c r="KM3" s="52"/>
      <c r="KN3" s="52"/>
      <c r="KO3" s="52"/>
      <c r="KP3" s="52"/>
      <c r="KQ3" s="52"/>
      <c r="KR3" s="52"/>
      <c r="KS3" s="52"/>
      <c r="KT3" s="52"/>
      <c r="KU3" s="52"/>
      <c r="KV3" s="52"/>
      <c r="KW3" s="52"/>
      <c r="KX3" s="52"/>
      <c r="KY3" s="52"/>
      <c r="KZ3" s="52"/>
      <c r="LA3" s="52"/>
      <c r="LB3" s="52"/>
      <c r="LC3" s="52"/>
      <c r="LD3" s="52"/>
      <c r="LE3" s="52"/>
      <c r="LF3" s="52"/>
      <c r="LG3" s="52"/>
      <c r="LH3" s="52"/>
      <c r="LI3" s="52"/>
      <c r="LJ3" s="52"/>
      <c r="LK3" s="52"/>
      <c r="LL3" s="52"/>
      <c r="LM3" s="52"/>
      <c r="LN3" s="52"/>
      <c r="LO3" s="52"/>
      <c r="LP3" s="52"/>
      <c r="LQ3" s="52"/>
      <c r="LR3" s="52"/>
      <c r="LS3" s="52"/>
      <c r="LT3" s="52"/>
      <c r="LU3" s="52"/>
      <c r="LV3" s="52"/>
      <c r="LW3" s="52"/>
      <c r="LX3" s="52"/>
      <c r="LY3" s="52"/>
      <c r="LZ3" s="52"/>
      <c r="MA3" s="52"/>
      <c r="MB3" s="52"/>
      <c r="MC3" s="52"/>
      <c r="MD3" s="52"/>
      <c r="ME3" s="52"/>
      <c r="MF3" s="52"/>
      <c r="MG3" s="52"/>
      <c r="MH3" s="52"/>
      <c r="MI3" s="52"/>
      <c r="MJ3" s="52"/>
      <c r="MK3" s="52"/>
      <c r="ML3" s="52"/>
      <c r="MM3" s="52"/>
      <c r="MN3" s="52"/>
      <c r="MO3" s="52"/>
      <c r="MP3" s="52"/>
      <c r="MQ3" s="52"/>
      <c r="MR3" s="52"/>
      <c r="MS3" s="52"/>
      <c r="MT3" s="52"/>
      <c r="MU3" s="52"/>
      <c r="MV3" s="52"/>
      <c r="MW3" s="52"/>
      <c r="MX3" s="52"/>
      <c r="MY3" s="52"/>
      <c r="MZ3" s="52"/>
      <c r="NA3" s="52"/>
      <c r="NB3" s="52"/>
      <c r="NC3" s="52"/>
      <c r="ND3" s="52"/>
      <c r="NE3" s="52"/>
      <c r="NF3" s="52"/>
      <c r="NG3" s="52"/>
      <c r="NH3" s="52"/>
      <c r="NI3" s="52"/>
      <c r="NJ3" s="52"/>
      <c r="NK3" s="52"/>
      <c r="NL3" s="52"/>
      <c r="NM3" s="52"/>
      <c r="NN3" s="52"/>
      <c r="NO3" s="52"/>
      <c r="NP3" s="52"/>
      <c r="NQ3" s="52"/>
      <c r="NR3" s="52"/>
      <c r="NS3" s="52"/>
      <c r="NT3" s="52"/>
      <c r="NU3" s="52"/>
      <c r="NV3" s="52"/>
      <c r="NW3" s="52"/>
      <c r="NX3" s="52"/>
      <c r="NY3" s="52"/>
      <c r="NZ3" s="52"/>
      <c r="OA3" s="52"/>
      <c r="OB3" s="52"/>
      <c r="OC3" s="52"/>
      <c r="OD3" s="52"/>
      <c r="OE3" s="52"/>
      <c r="OF3" s="52"/>
      <c r="OG3" s="52"/>
    </row>
    <row r="4" spans="1:398" ht="15" thickTop="1">
      <c r="A4" s="39"/>
      <c r="B4" s="439"/>
      <c r="C4" s="439"/>
      <c r="D4" s="32" t="str">
        <f>i_Project.Location</f>
        <v>Peoria Lakes</v>
      </c>
      <c r="E4" s="32"/>
      <c r="F4" s="32"/>
      <c r="G4" s="32"/>
      <c r="H4" s="32"/>
      <c r="I4" s="32"/>
      <c r="J4" s="32"/>
      <c r="K4" s="32"/>
      <c r="L4" s="32"/>
      <c r="M4" s="32"/>
      <c r="N4" s="32"/>
      <c r="O4" s="1477">
        <f ca="1">IF(O3&lt;&gt;"",'r.Demand'!G12,"")</f>
        <v>1</v>
      </c>
      <c r="P4" s="1477">
        <f ca="1">IF(P3&lt;&gt;"",'r.Demand'!H12,"")</f>
        <v>2</v>
      </c>
      <c r="Q4" s="1477">
        <f ca="1">IF(Q3&lt;&gt;"",'r.Demand'!I12,"")</f>
        <v>3</v>
      </c>
      <c r="R4" s="1477">
        <f ca="1">IF(R3&lt;&gt;"",'r.Demand'!J12,"")</f>
        <v>4</v>
      </c>
      <c r="S4" s="1477">
        <f ca="1">IF(S3&lt;&gt;"",'r.Demand'!K12,"")</f>
        <v>5</v>
      </c>
      <c r="T4" s="1477">
        <f ca="1">IF(T3&lt;&gt;"",'r.Demand'!L12,"")</f>
        <v>6</v>
      </c>
      <c r="U4" s="1477">
        <f ca="1">IF(U3&lt;&gt;"",'r.Demand'!M12,"")</f>
        <v>7</v>
      </c>
      <c r="V4" s="1477">
        <f ca="1">IF(V3&lt;&gt;"",'r.Demand'!N12,"")</f>
        <v>8</v>
      </c>
      <c r="W4" s="1477">
        <f ca="1">IF(W3&lt;&gt;"",'r.Demand'!O12,"")</f>
        <v>0</v>
      </c>
      <c r="X4" s="1477" t="str">
        <f ca="1">IF(X3&lt;&gt;"",'r.Demand'!P12,"")</f>
        <v/>
      </c>
      <c r="Y4" s="1477" t="str">
        <f ca="1">IF(Y3&lt;&gt;"",'r.Demand'!Q12,"")</f>
        <v/>
      </c>
      <c r="Z4" s="1477" t="str">
        <f ca="1">IF(Z3&lt;&gt;"",'r.Demand'!R12,"")</f>
        <v/>
      </c>
      <c r="AA4" s="1477" t="str">
        <f ca="1">IF(AA3&lt;&gt;"",'r.Demand'!S12,"")</f>
        <v/>
      </c>
      <c r="AB4" s="1112"/>
      <c r="AC4" s="1112"/>
      <c r="AD4" s="1112"/>
      <c r="AE4" s="1112"/>
      <c r="AF4" s="1113"/>
      <c r="AG4" s="1113"/>
      <c r="AH4" s="76"/>
      <c r="AI4" s="76"/>
      <c r="AJ4" s="77"/>
      <c r="AK4" s="29"/>
      <c r="AL4" s="78"/>
      <c r="AM4" s="13"/>
      <c r="AN4" s="13"/>
      <c r="AO4" s="13"/>
      <c r="AP4" s="13"/>
      <c r="AQ4" s="13"/>
      <c r="AR4" s="52"/>
      <c r="AS4" s="52"/>
      <c r="AT4" s="52"/>
      <c r="AU4" s="73"/>
      <c r="AV4" s="52"/>
      <c r="AW4" s="52"/>
      <c r="AX4" s="57"/>
      <c r="AY4" s="42"/>
      <c r="AZ4" s="58"/>
      <c r="BA4" s="59"/>
      <c r="BB4" s="60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52"/>
      <c r="DS4" s="52"/>
      <c r="DT4" s="52"/>
      <c r="DU4" s="52"/>
      <c r="DV4" s="52"/>
      <c r="DW4" s="52"/>
      <c r="DX4" s="52"/>
      <c r="DY4" s="52"/>
      <c r="DZ4" s="52"/>
      <c r="EA4" s="52"/>
      <c r="EB4" s="52"/>
      <c r="EC4" s="52"/>
      <c r="ED4" s="52"/>
      <c r="EE4" s="52"/>
      <c r="EF4" s="52"/>
      <c r="EG4" s="52"/>
      <c r="EH4" s="52"/>
      <c r="EI4" s="52"/>
      <c r="EJ4" s="52"/>
      <c r="EK4" s="52"/>
      <c r="EL4" s="52"/>
      <c r="EM4" s="52"/>
      <c r="EN4" s="52"/>
      <c r="EO4" s="52"/>
      <c r="EP4" s="52"/>
      <c r="EQ4" s="52"/>
      <c r="ER4" s="52"/>
      <c r="ES4" s="52"/>
      <c r="ET4" s="52"/>
      <c r="EU4" s="52"/>
      <c r="EV4" s="52"/>
      <c r="EW4" s="52"/>
      <c r="EX4" s="52"/>
      <c r="EY4" s="52"/>
      <c r="EZ4" s="52"/>
      <c r="FA4" s="52"/>
      <c r="FB4" s="52"/>
      <c r="FC4" s="52"/>
      <c r="FD4" s="52"/>
      <c r="FE4" s="52"/>
      <c r="FF4" s="52"/>
      <c r="FG4" s="52"/>
      <c r="FH4" s="52"/>
      <c r="FI4" s="52"/>
      <c r="FJ4" s="52"/>
      <c r="FK4" s="52"/>
      <c r="FL4" s="52"/>
      <c r="FM4" s="52"/>
      <c r="FN4" s="52"/>
      <c r="FO4" s="52"/>
      <c r="FP4" s="52"/>
      <c r="FQ4" s="52"/>
      <c r="FR4" s="52"/>
      <c r="FS4" s="52"/>
      <c r="FT4" s="52"/>
      <c r="FU4" s="52"/>
      <c r="FV4" s="52"/>
      <c r="FW4" s="52"/>
      <c r="FX4" s="52"/>
      <c r="FY4" s="52"/>
      <c r="FZ4" s="52"/>
      <c r="GA4" s="52"/>
      <c r="GB4" s="52"/>
      <c r="GC4" s="52"/>
      <c r="GD4" s="52"/>
      <c r="GE4" s="52"/>
      <c r="GF4" s="52"/>
      <c r="GG4" s="52"/>
      <c r="GH4" s="52"/>
      <c r="GI4" s="52"/>
      <c r="GJ4" s="52"/>
      <c r="GK4" s="52"/>
      <c r="GL4" s="52"/>
      <c r="GM4" s="52"/>
      <c r="GN4" s="52"/>
      <c r="GO4" s="52"/>
      <c r="GP4" s="52"/>
      <c r="GQ4" s="52"/>
      <c r="GR4" s="52"/>
      <c r="GS4" s="52"/>
      <c r="GT4" s="52"/>
      <c r="GU4" s="52"/>
      <c r="GV4" s="52"/>
      <c r="GW4" s="52"/>
      <c r="GX4" s="52"/>
      <c r="GY4" s="52"/>
      <c r="GZ4" s="52"/>
      <c r="HA4" s="52"/>
      <c r="HB4" s="52"/>
      <c r="HC4" s="52"/>
      <c r="HD4" s="52"/>
      <c r="HE4" s="52"/>
      <c r="HF4" s="52"/>
      <c r="HG4" s="52"/>
      <c r="HH4" s="52"/>
      <c r="HI4" s="52"/>
      <c r="HJ4" s="52"/>
      <c r="HK4" s="52"/>
      <c r="HL4" s="52"/>
      <c r="HM4" s="52"/>
      <c r="HN4" s="52"/>
      <c r="HO4" s="52"/>
      <c r="HP4" s="52"/>
      <c r="HQ4" s="52"/>
      <c r="HR4" s="52"/>
      <c r="HS4" s="52"/>
      <c r="HT4" s="52"/>
      <c r="HU4" s="52"/>
      <c r="HV4" s="52"/>
      <c r="HW4" s="52"/>
      <c r="HX4" s="52"/>
      <c r="HY4" s="52"/>
      <c r="HZ4" s="52"/>
      <c r="IA4" s="52"/>
      <c r="IB4" s="52"/>
      <c r="IC4" s="52"/>
      <c r="ID4" s="52"/>
      <c r="IE4" s="52"/>
      <c r="IF4" s="52"/>
      <c r="IG4" s="52"/>
      <c r="IH4" s="52"/>
      <c r="II4" s="52"/>
      <c r="IJ4" s="52"/>
      <c r="IK4" s="52"/>
      <c r="IL4" s="52"/>
      <c r="IM4" s="52"/>
      <c r="IN4" s="52"/>
      <c r="IO4" s="52"/>
      <c r="IP4" s="52"/>
      <c r="IQ4" s="52"/>
      <c r="IR4" s="52"/>
      <c r="IS4" s="52"/>
      <c r="IT4" s="52"/>
      <c r="IU4" s="52"/>
      <c r="IV4" s="52"/>
      <c r="IW4" s="52"/>
      <c r="IX4" s="52"/>
      <c r="IY4" s="52"/>
      <c r="IZ4" s="52"/>
      <c r="JA4" s="52"/>
      <c r="JB4" s="52"/>
      <c r="JC4" s="52"/>
      <c r="JD4" s="52"/>
      <c r="JE4" s="52"/>
      <c r="JF4" s="52"/>
      <c r="JG4" s="52"/>
      <c r="JH4" s="52"/>
      <c r="JI4" s="52"/>
      <c r="JJ4" s="52"/>
      <c r="JK4" s="52"/>
      <c r="JL4" s="52"/>
      <c r="JM4" s="52"/>
      <c r="JN4" s="52"/>
      <c r="JO4" s="52"/>
      <c r="JP4" s="52"/>
      <c r="JQ4" s="52"/>
      <c r="JR4" s="52"/>
      <c r="JS4" s="52"/>
      <c r="JT4" s="52"/>
      <c r="JU4" s="52"/>
      <c r="JV4" s="52"/>
      <c r="JW4" s="52"/>
      <c r="JX4" s="52"/>
      <c r="JY4" s="52"/>
      <c r="JZ4" s="52"/>
      <c r="KA4" s="52"/>
      <c r="KB4" s="52"/>
      <c r="KC4" s="52"/>
      <c r="KD4" s="52"/>
      <c r="KE4" s="52"/>
      <c r="KF4" s="52"/>
      <c r="KG4" s="52"/>
      <c r="KH4" s="52"/>
      <c r="KI4" s="52"/>
      <c r="KJ4" s="52"/>
      <c r="KK4" s="52"/>
      <c r="KL4" s="52"/>
      <c r="KM4" s="52"/>
      <c r="KN4" s="52"/>
      <c r="KO4" s="52"/>
      <c r="KP4" s="52"/>
      <c r="KQ4" s="52"/>
      <c r="KR4" s="52"/>
      <c r="KS4" s="52"/>
      <c r="KT4" s="52"/>
      <c r="KU4" s="52"/>
      <c r="KV4" s="52"/>
      <c r="KW4" s="52"/>
      <c r="KX4" s="52"/>
      <c r="KY4" s="52"/>
      <c r="KZ4" s="52"/>
      <c r="LA4" s="52"/>
      <c r="LB4" s="52"/>
      <c r="LC4" s="52"/>
      <c r="LD4" s="52"/>
      <c r="LE4" s="52"/>
      <c r="LF4" s="52"/>
      <c r="LG4" s="52"/>
      <c r="LH4" s="52"/>
      <c r="LI4" s="52"/>
      <c r="LJ4" s="52"/>
      <c r="LK4" s="52"/>
      <c r="LL4" s="52"/>
      <c r="LM4" s="52"/>
      <c r="LN4" s="52"/>
      <c r="LO4" s="52"/>
      <c r="LP4" s="52"/>
      <c r="LQ4" s="52"/>
      <c r="LR4" s="52"/>
      <c r="LS4" s="52"/>
      <c r="LT4" s="52"/>
      <c r="LU4" s="52"/>
      <c r="LV4" s="52"/>
      <c r="LW4" s="52"/>
      <c r="LX4" s="52"/>
      <c r="LY4" s="52"/>
      <c r="LZ4" s="52"/>
      <c r="MA4" s="52"/>
      <c r="MB4" s="52"/>
      <c r="MC4" s="52"/>
      <c r="MD4" s="52"/>
      <c r="ME4" s="52"/>
      <c r="MF4" s="52"/>
      <c r="MG4" s="52"/>
      <c r="MH4" s="52"/>
      <c r="MI4" s="52"/>
      <c r="MJ4" s="52"/>
      <c r="MK4" s="52"/>
      <c r="ML4" s="52"/>
      <c r="MM4" s="52"/>
      <c r="MN4" s="52"/>
      <c r="MO4" s="52"/>
      <c r="MP4" s="52"/>
      <c r="MQ4" s="52"/>
      <c r="MR4" s="52"/>
      <c r="MS4" s="52"/>
      <c r="MT4" s="52"/>
      <c r="MU4" s="52"/>
      <c r="MV4" s="52"/>
      <c r="MW4" s="52"/>
      <c r="MX4" s="52"/>
      <c r="MY4" s="52"/>
      <c r="MZ4" s="52"/>
      <c r="NA4" s="52"/>
      <c r="NB4" s="52"/>
      <c r="NC4" s="52"/>
      <c r="ND4" s="52"/>
      <c r="NE4" s="52"/>
      <c r="NF4" s="52"/>
      <c r="NG4" s="52"/>
      <c r="NH4" s="52"/>
      <c r="NI4" s="52"/>
      <c r="NJ4" s="52"/>
      <c r="NK4" s="52"/>
      <c r="NL4" s="52"/>
      <c r="NM4" s="52"/>
      <c r="NN4" s="52"/>
      <c r="NO4" s="52"/>
      <c r="NP4" s="52"/>
      <c r="NQ4" s="52"/>
      <c r="NR4" s="52"/>
      <c r="NS4" s="52"/>
      <c r="NT4" s="52"/>
      <c r="NU4" s="52"/>
      <c r="NV4" s="52"/>
      <c r="NW4" s="52"/>
      <c r="NX4" s="52"/>
      <c r="NY4" s="52"/>
      <c r="NZ4" s="52"/>
      <c r="OA4" s="52"/>
      <c r="OB4" s="52"/>
      <c r="OC4" s="52"/>
      <c r="OD4" s="52"/>
      <c r="OE4" s="52"/>
      <c r="OF4" s="52"/>
      <c r="OG4" s="52"/>
    </row>
    <row r="5" spans="1:398" ht="15">
      <c r="A5" s="39"/>
      <c r="B5" s="39"/>
      <c r="C5" s="39"/>
      <c r="D5" s="33"/>
      <c r="E5" s="33"/>
      <c r="F5" s="33"/>
      <c r="G5" s="33"/>
      <c r="H5" s="33"/>
      <c r="I5" s="33"/>
      <c r="J5" s="33"/>
      <c r="K5" s="33"/>
      <c r="L5" s="76"/>
      <c r="M5" s="33"/>
      <c r="N5" s="29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7"/>
      <c r="AK5" s="29"/>
      <c r="AL5" s="78"/>
      <c r="AM5" s="13"/>
      <c r="AN5" s="13"/>
      <c r="AO5" s="13"/>
      <c r="AP5" s="13"/>
      <c r="AQ5" s="13"/>
      <c r="AR5" s="52"/>
      <c r="AS5" s="52"/>
      <c r="AT5" s="52"/>
      <c r="AU5" s="73"/>
      <c r="AV5" s="52"/>
      <c r="AW5" s="52"/>
      <c r="AX5" s="61"/>
      <c r="AY5" s="35"/>
      <c r="AZ5" s="35"/>
      <c r="BA5" s="3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52"/>
      <c r="DT5" s="52"/>
      <c r="DU5" s="52"/>
      <c r="DV5" s="52"/>
      <c r="DW5" s="52"/>
      <c r="DX5" s="52"/>
      <c r="DY5" s="52"/>
      <c r="DZ5" s="52"/>
      <c r="EA5" s="52"/>
      <c r="EB5" s="52"/>
      <c r="EC5" s="52"/>
      <c r="ED5" s="52"/>
      <c r="EE5" s="52"/>
      <c r="EF5" s="52"/>
      <c r="EG5" s="52"/>
      <c r="EH5" s="52"/>
      <c r="EI5" s="52"/>
      <c r="EJ5" s="52"/>
      <c r="EK5" s="52"/>
      <c r="EL5" s="52"/>
      <c r="EM5" s="52"/>
      <c r="EN5" s="52"/>
      <c r="EO5" s="52"/>
      <c r="EP5" s="52"/>
      <c r="EQ5" s="52"/>
      <c r="ER5" s="52"/>
      <c r="ES5" s="52"/>
      <c r="ET5" s="52"/>
      <c r="EU5" s="52"/>
      <c r="EV5" s="52"/>
      <c r="EW5" s="52"/>
      <c r="EX5" s="52"/>
      <c r="EY5" s="52"/>
      <c r="EZ5" s="52"/>
      <c r="FA5" s="52"/>
      <c r="FB5" s="52"/>
      <c r="FC5" s="52"/>
      <c r="FD5" s="52"/>
      <c r="FE5" s="52"/>
      <c r="FF5" s="52"/>
      <c r="FG5" s="52"/>
      <c r="FH5" s="52"/>
      <c r="FI5" s="52"/>
      <c r="FJ5" s="52"/>
      <c r="FK5" s="52"/>
      <c r="FL5" s="52"/>
      <c r="FM5" s="52"/>
      <c r="FN5" s="52"/>
      <c r="FO5" s="52"/>
      <c r="FP5" s="52"/>
      <c r="FQ5" s="52"/>
      <c r="FR5" s="52"/>
      <c r="FS5" s="52"/>
      <c r="FT5" s="52"/>
      <c r="FU5" s="52"/>
      <c r="FV5" s="52"/>
      <c r="FW5" s="52"/>
      <c r="FX5" s="52"/>
      <c r="FY5" s="52"/>
      <c r="FZ5" s="52"/>
      <c r="GA5" s="52"/>
      <c r="GB5" s="52"/>
      <c r="GC5" s="52"/>
      <c r="GD5" s="52"/>
      <c r="GE5" s="52"/>
      <c r="GF5" s="52"/>
      <c r="GG5" s="52"/>
      <c r="GH5" s="52"/>
      <c r="GI5" s="52"/>
      <c r="GJ5" s="52"/>
      <c r="GK5" s="52"/>
      <c r="GL5" s="52"/>
      <c r="GM5" s="52"/>
      <c r="GN5" s="52"/>
      <c r="GO5" s="52"/>
      <c r="GP5" s="52"/>
      <c r="GQ5" s="52"/>
      <c r="GR5" s="52"/>
      <c r="GS5" s="52"/>
      <c r="GT5" s="52"/>
      <c r="GU5" s="52"/>
      <c r="GV5" s="52"/>
      <c r="GW5" s="52"/>
      <c r="GX5" s="52"/>
      <c r="GY5" s="52"/>
      <c r="GZ5" s="52"/>
      <c r="HA5" s="52"/>
      <c r="HB5" s="52"/>
      <c r="HC5" s="52"/>
      <c r="HD5" s="52"/>
      <c r="HE5" s="52"/>
      <c r="HF5" s="52"/>
      <c r="HG5" s="52"/>
      <c r="HH5" s="52"/>
      <c r="HI5" s="52"/>
      <c r="HJ5" s="52"/>
      <c r="HK5" s="52"/>
      <c r="HL5" s="52"/>
      <c r="HM5" s="52"/>
      <c r="HN5" s="52"/>
      <c r="HO5" s="52"/>
      <c r="HP5" s="52"/>
      <c r="HQ5" s="52"/>
      <c r="HR5" s="52"/>
      <c r="HS5" s="52"/>
      <c r="HT5" s="52"/>
      <c r="HU5" s="52"/>
      <c r="HV5" s="52"/>
      <c r="HW5" s="52"/>
      <c r="HX5" s="52"/>
      <c r="HY5" s="52"/>
      <c r="HZ5" s="52"/>
      <c r="IA5" s="52"/>
      <c r="IB5" s="52"/>
      <c r="IC5" s="52"/>
      <c r="ID5" s="52"/>
      <c r="IE5" s="52"/>
      <c r="IF5" s="52"/>
      <c r="IG5" s="52"/>
      <c r="IH5" s="52"/>
      <c r="II5" s="52"/>
      <c r="IJ5" s="52"/>
      <c r="IK5" s="52"/>
      <c r="IL5" s="52"/>
      <c r="IM5" s="52"/>
      <c r="IN5" s="52"/>
      <c r="IO5" s="52"/>
      <c r="IP5" s="52"/>
      <c r="IQ5" s="52"/>
      <c r="IR5" s="52"/>
      <c r="IS5" s="52"/>
      <c r="IT5" s="52"/>
      <c r="IU5" s="52"/>
      <c r="IV5" s="52"/>
      <c r="IW5" s="52"/>
      <c r="IX5" s="52"/>
      <c r="IY5" s="52"/>
      <c r="IZ5" s="52"/>
      <c r="JA5" s="52"/>
      <c r="JB5" s="52"/>
      <c r="JC5" s="52"/>
      <c r="JD5" s="52"/>
      <c r="JE5" s="52"/>
      <c r="JF5" s="52"/>
      <c r="JG5" s="52"/>
      <c r="JH5" s="52"/>
      <c r="JI5" s="52"/>
      <c r="JJ5" s="52"/>
      <c r="JK5" s="52"/>
      <c r="JL5" s="52"/>
      <c r="JM5" s="52"/>
      <c r="JN5" s="52"/>
      <c r="JO5" s="52"/>
      <c r="JP5" s="52"/>
      <c r="JQ5" s="52"/>
      <c r="JR5" s="52"/>
      <c r="JS5" s="52"/>
      <c r="JT5" s="52"/>
      <c r="JU5" s="52"/>
      <c r="JV5" s="52"/>
      <c r="JW5" s="52"/>
      <c r="JX5" s="52"/>
      <c r="JY5" s="52"/>
      <c r="JZ5" s="52"/>
      <c r="KA5" s="52"/>
      <c r="KB5" s="52"/>
      <c r="KC5" s="52"/>
      <c r="KD5" s="52"/>
      <c r="KE5" s="52"/>
      <c r="KF5" s="52"/>
      <c r="KG5" s="52"/>
      <c r="KH5" s="52"/>
      <c r="KI5" s="52"/>
      <c r="KJ5" s="52"/>
      <c r="KK5" s="52"/>
      <c r="KL5" s="52"/>
      <c r="KM5" s="52"/>
      <c r="KN5" s="52"/>
      <c r="KO5" s="52"/>
      <c r="KP5" s="52"/>
      <c r="KQ5" s="52"/>
      <c r="KR5" s="52"/>
      <c r="KS5" s="52"/>
      <c r="KT5" s="52"/>
      <c r="KU5" s="52"/>
      <c r="KV5" s="52"/>
      <c r="KW5" s="52"/>
      <c r="KX5" s="52"/>
      <c r="KY5" s="52"/>
      <c r="KZ5" s="52"/>
      <c r="LA5" s="52"/>
      <c r="LB5" s="52"/>
      <c r="LC5" s="52"/>
      <c r="LD5" s="52"/>
      <c r="LE5" s="52"/>
      <c r="LF5" s="52"/>
      <c r="LG5" s="52"/>
      <c r="LH5" s="52"/>
      <c r="LI5" s="52"/>
      <c r="LJ5" s="52"/>
      <c r="LK5" s="52"/>
      <c r="LL5" s="52"/>
      <c r="LM5" s="52"/>
      <c r="LN5" s="52"/>
      <c r="LO5" s="52"/>
      <c r="LP5" s="52"/>
      <c r="LQ5" s="52"/>
      <c r="LR5" s="52"/>
      <c r="LS5" s="52"/>
      <c r="LT5" s="52"/>
      <c r="LU5" s="52"/>
      <c r="LV5" s="52"/>
      <c r="LW5" s="52"/>
      <c r="LX5" s="52"/>
      <c r="LY5" s="52"/>
      <c r="LZ5" s="52"/>
      <c r="MA5" s="52"/>
      <c r="MB5" s="52"/>
      <c r="MC5" s="52"/>
      <c r="MD5" s="52"/>
      <c r="ME5" s="52"/>
      <c r="MF5" s="52"/>
      <c r="MG5" s="52"/>
      <c r="MH5" s="52"/>
      <c r="MI5" s="52"/>
      <c r="MJ5" s="52"/>
      <c r="MK5" s="52"/>
      <c r="ML5" s="52"/>
      <c r="MM5" s="52"/>
      <c r="MN5" s="52"/>
      <c r="MO5" s="52"/>
      <c r="MP5" s="52"/>
      <c r="MQ5" s="52"/>
      <c r="MR5" s="52"/>
      <c r="MS5" s="52"/>
      <c r="MT5" s="52"/>
      <c r="MU5" s="52"/>
      <c r="MV5" s="52"/>
      <c r="MW5" s="52"/>
      <c r="MX5" s="52"/>
      <c r="MY5" s="52"/>
      <c r="MZ5" s="52"/>
      <c r="NA5" s="52"/>
      <c r="NB5" s="52"/>
      <c r="NC5" s="52"/>
      <c r="ND5" s="52"/>
      <c r="NE5" s="52"/>
      <c r="NF5" s="52"/>
      <c r="NG5" s="52"/>
      <c r="NH5" s="52"/>
      <c r="NI5" s="52"/>
      <c r="NJ5" s="52"/>
      <c r="NK5" s="52"/>
      <c r="NL5" s="52"/>
      <c r="NM5" s="52"/>
      <c r="NN5" s="52"/>
      <c r="NO5" s="52"/>
      <c r="NP5" s="52"/>
      <c r="NQ5" s="52"/>
      <c r="NR5" s="52"/>
      <c r="NS5" s="52"/>
      <c r="NT5" s="52"/>
      <c r="NU5" s="52"/>
      <c r="NV5" s="52"/>
      <c r="NW5" s="52"/>
      <c r="NX5" s="52"/>
      <c r="NY5" s="52"/>
      <c r="NZ5" s="52"/>
      <c r="OA5" s="52"/>
      <c r="OB5" s="52"/>
      <c r="OC5" s="52"/>
      <c r="OD5" s="52"/>
      <c r="OE5" s="52"/>
      <c r="OF5" s="52"/>
      <c r="OG5" s="52"/>
    </row>
    <row r="6" spans="1:398" ht="15" thickBot="1">
      <c r="A6" s="208"/>
      <c r="B6" s="71"/>
      <c r="C6" s="71"/>
      <c r="D6" s="6"/>
      <c r="E6" s="6"/>
      <c r="F6" s="6"/>
      <c r="G6" s="6"/>
      <c r="H6" s="6"/>
      <c r="I6" s="6"/>
      <c r="J6" s="6"/>
      <c r="K6" s="6"/>
      <c r="L6" s="41"/>
      <c r="M6" s="10"/>
      <c r="N6" s="10"/>
      <c r="O6" s="41"/>
      <c r="P6" s="41"/>
      <c r="Q6" s="41"/>
      <c r="R6" s="41"/>
      <c r="S6" s="41"/>
      <c r="T6" s="41"/>
      <c r="U6" s="41"/>
      <c r="V6" s="41"/>
      <c r="W6" s="41"/>
      <c r="X6" s="1269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</row>
    <row r="7" spans="1:398" ht="56" customHeight="1" thickTop="1" thickBot="1">
      <c r="A7" s="209"/>
      <c r="B7" s="438"/>
      <c r="C7" s="438"/>
      <c r="D7" s="1037"/>
      <c r="E7" s="6"/>
      <c r="F7" s="1642">
        <v>2</v>
      </c>
      <c r="G7" s="1315" t="s">
        <v>3</v>
      </c>
      <c r="H7" s="1095"/>
      <c r="I7" s="1095"/>
      <c r="J7" s="1094"/>
      <c r="K7" s="1095"/>
      <c r="L7" s="1094"/>
      <c r="M7" s="1318"/>
      <c r="O7" s="1315" t="s">
        <v>155</v>
      </c>
      <c r="P7" s="1179"/>
      <c r="Q7" s="1095"/>
      <c r="R7" s="1095"/>
      <c r="S7" s="1095"/>
      <c r="T7" s="1095"/>
      <c r="U7" s="1095"/>
      <c r="V7" s="1095"/>
      <c r="W7" s="1182"/>
      <c r="X7" s="1095"/>
      <c r="Y7" s="1095"/>
      <c r="Z7" s="1095"/>
      <c r="AA7" s="1095"/>
      <c r="AB7" s="1095"/>
      <c r="AC7" s="1095"/>
      <c r="AD7" s="1095"/>
      <c r="AE7" s="1095"/>
      <c r="AF7" s="1095"/>
      <c r="AG7" s="1481"/>
    </row>
    <row r="8" spans="1:398" ht="19.25" customHeight="1" thickTop="1" thickBot="1">
      <c r="A8" s="317" t="s">
        <v>46</v>
      </c>
      <c r="B8" s="321" t="s">
        <v>68</v>
      </c>
      <c r="C8" s="1248" t="s">
        <v>14</v>
      </c>
      <c r="D8" s="1037"/>
      <c r="E8" s="6"/>
      <c r="F8" s="1180" t="s">
        <v>8</v>
      </c>
      <c r="G8" s="1181"/>
      <c r="H8" s="1316" t="str" cm="1">
        <f t="array" aca="1" ref="H8:I8" ca="1">TRANSPOSE(_xlfn.UNIQUE(_xlfn._xlws.FILTER(O10:O22,O10:O22&lt;&gt;0)))</f>
        <v>2.1</v>
      </c>
      <c r="I8" s="1316" t="str">
        <f ca="1"/>
        <v>2.2</v>
      </c>
      <c r="J8" s="1316"/>
      <c r="K8" s="1316"/>
      <c r="L8" s="1316"/>
      <c r="M8" s="1317" t="s">
        <v>115</v>
      </c>
      <c r="N8" s="99"/>
      <c r="O8" s="405" t="s">
        <v>55</v>
      </c>
      <c r="P8" s="405" t="s">
        <v>39</v>
      </c>
      <c r="Q8" s="405" t="s">
        <v>14</v>
      </c>
      <c r="R8" s="405" t="s">
        <v>92</v>
      </c>
      <c r="S8" s="405" t="s">
        <v>133</v>
      </c>
      <c r="T8" s="405" t="s">
        <v>655</v>
      </c>
      <c r="U8" s="1715" t="s">
        <v>97</v>
      </c>
      <c r="V8" s="1716"/>
      <c r="W8" s="1168" t="s">
        <v>139</v>
      </c>
      <c r="X8" s="1168" t="s">
        <v>139</v>
      </c>
      <c r="Y8" s="1168" t="s">
        <v>144</v>
      </c>
      <c r="Z8" s="1168" t="s">
        <v>92</v>
      </c>
      <c r="AA8" s="1168" t="s">
        <v>144</v>
      </c>
      <c r="AB8" s="1168" t="str">
        <f>AA8</f>
        <v>Less:</v>
      </c>
      <c r="AC8" s="1712" t="s">
        <v>15</v>
      </c>
      <c r="AD8" s="1713"/>
      <c r="AE8" s="1713"/>
      <c r="AF8" s="1714"/>
      <c r="AG8" s="99"/>
    </row>
    <row r="9" spans="1:398" ht="20" customHeight="1" thickTop="1" thickBot="1">
      <c r="A9" s="318" t="s">
        <v>50</v>
      </c>
      <c r="B9" s="322" t="s">
        <v>42</v>
      </c>
      <c r="C9" s="1249" t="s">
        <v>47</v>
      </c>
      <c r="D9" s="1037"/>
      <c r="E9" s="6"/>
      <c r="F9" s="406" t="s">
        <v>118</v>
      </c>
      <c r="G9" s="407"/>
      <c r="H9" s="408" cm="1">
        <f t="array" aca="1" ref="H9:I9" ca="1">SUMIFS(_xlfn.ANCHORARRAY(T10),_xlfn.ANCHORARRAY($A$10),"&gt;0",_xlfn.ANCHORARRAY($O10),_xlfn.ANCHORARRAY(H$8))</f>
        <v>659</v>
      </c>
      <c r="I9" s="408">
        <f ca="1"/>
        <v>187</v>
      </c>
      <c r="J9" s="408">
        <f ca="1">SUMIF($O10:$O22,J$8,$T10:$T22)</f>
        <v>0</v>
      </c>
      <c r="K9" s="408">
        <f ca="1">SUMIF($O10:$O22,K$8,$T10:$T22)</f>
        <v>0</v>
      </c>
      <c r="L9" s="408">
        <f ca="1">SUMIF($O10:$O22,L$8,$T10:$T22)</f>
        <v>0</v>
      </c>
      <c r="M9" s="409">
        <f ca="1">SUM(H9:J9)</f>
        <v>846</v>
      </c>
      <c r="N9" s="99"/>
      <c r="O9" s="410" t="s">
        <v>38</v>
      </c>
      <c r="P9" s="410" t="s">
        <v>70</v>
      </c>
      <c r="Q9" s="410" t="s">
        <v>47</v>
      </c>
      <c r="R9" s="410" t="s">
        <v>48</v>
      </c>
      <c r="S9" s="410" t="s">
        <v>49</v>
      </c>
      <c r="T9" s="410" t="s">
        <v>9</v>
      </c>
      <c r="U9" s="411" t="s">
        <v>17</v>
      </c>
      <c r="V9" s="411" t="s">
        <v>4</v>
      </c>
      <c r="W9" s="1169" t="s">
        <v>654</v>
      </c>
      <c r="X9" s="1169" t="s">
        <v>104</v>
      </c>
      <c r="Y9" s="1169" t="s">
        <v>145</v>
      </c>
      <c r="Z9" s="1169" t="s">
        <v>11</v>
      </c>
      <c r="AA9" s="1169" t="str">
        <f>i.General!C18</f>
        <v>Commissions</v>
      </c>
      <c r="AB9" s="1169" t="str">
        <f>i.General!C19</f>
        <v>Other / COS</v>
      </c>
      <c r="AC9" s="1119" t="s">
        <v>1</v>
      </c>
      <c r="AD9" s="1119" t="s">
        <v>43</v>
      </c>
      <c r="AE9" s="1119" t="s">
        <v>146</v>
      </c>
      <c r="AF9" s="1119" t="s">
        <v>141</v>
      </c>
      <c r="AG9" s="412"/>
      <c r="AH9" s="6"/>
    </row>
    <row r="10" spans="1:398" ht="20" customHeight="1" thickTop="1" thickBot="1">
      <c r="A10" s="319" cm="1">
        <f t="array" ref="A10:A25">IFERROR(_xlfn.TEXTBEFORE(_xlfn.ANCHORARRAY(S10),"x")*_xlfn.ANCHORARRAY(T10),"")</f>
        <v>3880</v>
      </c>
      <c r="B10" s="319" cm="1">
        <f t="array" aca="1" ref="B10:B25" ca="1">LOOKUP(_xlfn.ANCHORARRAY(O10),_xlfn.ANCHORARRAY(H8),$H$14:$L$14)</f>
        <v>47</v>
      </c>
      <c r="C10" s="319" t="str" cm="1">
        <f t="array" ref="C10:C25">IFERROR(LOOKUP(_xlfn.ANCHORARRAY(Q10),list_LandUses,list_landuse.Type),"")</f>
        <v>C</v>
      </c>
      <c r="E10" s="6"/>
      <c r="F10" s="413" t="s">
        <v>119</v>
      </c>
      <c r="G10" s="414"/>
      <c r="H10" s="408">
        <f ca="1">SUMIF($O10:$O22,H$8,$A10:$A22)</f>
        <v>28775</v>
      </c>
      <c r="I10" s="408">
        <f ca="1">SUMIF($O10:$O22,I$8,$A10:$A22)</f>
        <v>5600</v>
      </c>
      <c r="J10" s="408">
        <f ca="1">SUMIF($O10:$O22,J$8,$A10:$A22)</f>
        <v>0</v>
      </c>
      <c r="K10" s="408">
        <f ca="1">SUMIF($O10:$O22,K$8,$A10:$A22)</f>
        <v>0</v>
      </c>
      <c r="L10" s="408">
        <f ca="1">SUMIF($O10:$O22,L$8,$A10:$A22)</f>
        <v>0</v>
      </c>
      <c r="M10" s="409">
        <f ca="1">SUM(H10:J10)</f>
        <v>34375</v>
      </c>
      <c r="N10" s="412"/>
      <c r="O10" s="415" t="str" cm="1">
        <f t="array" aca="1" ref="O10:O25" ca="1">LOOKUP(_xlfn.ANCHORARRAY($P$10),tbl_Planning[Parcel ID],list_PhaseID)</f>
        <v>2.1</v>
      </c>
      <c r="P10" s="416" t="str" cm="1">
        <f t="array" ref="P10:P25">_xlfn._xlws.SORT(_xlfn._xlws.FILTER(tbl_Planning[Parcel ID], VALUE(LEFT(tbl_Planning[Parcel ID], FIND(".", tbl_Planning[Parcel ID])-1))=F7))</f>
        <v>2.101</v>
      </c>
      <c r="Q10" s="415" t="str" cm="1">
        <f t="array" ref="Q10:Q25">_xlfn.XLOOKUP(_xlfn.ANCHORARRAY($P$10),tbl_Planning[Parcel ID],tbl_Planning[Code])</f>
        <v>MDR</v>
      </c>
      <c r="R10" s="415" cm="1">
        <f t="array" ref="R10:R25">_xlfn.XLOOKUP(_xlfn.ANCHORARRAY($P$10),tbl_Planning[Parcel ID],tbl_Planning[Acres])</f>
        <v>18</v>
      </c>
      <c r="S10" s="440" t="str" cm="1">
        <f t="array" ref="S10:S25">_xlfn.XLOOKUP(_xlfn.ANCHORARRAY($P$10),tbl_Planning[Parcel ID],tbl_Planning[Product])</f>
        <v>40x115</v>
      </c>
      <c r="T10" s="440" cm="1">
        <f t="array" ref="T10:T25">_xlfn.XLOOKUP(_xlfn.ANCHORARRAY($P$10),tbl_Planning[Parcel ID],tbl_Planning[Units])</f>
        <v>97</v>
      </c>
      <c r="U10" s="1640">
        <v>48</v>
      </c>
      <c r="V10" s="442">
        <f>IFERROR(CEILING(U10, 12) / 12,"")</f>
        <v>4</v>
      </c>
      <c r="W10" s="440">
        <f>IFERROR(FV(i_Inflate.Price/12,U10,0,-LOOKUP(Q10,i.Planning!$P$8:$P$16,i.Planning!$S$8:$S$16)),0)</f>
        <v>2705.5872504958361</v>
      </c>
      <c r="X10" s="1270" cm="1">
        <f t="array" aca="1" ref="X10" ca="1">IFERROR(_xlfn.IFS(AK10="$/SF",R10*43560*W10,AK10="$/FF",A10*W10,AK10="$/Unit",T10*W10,AK10="C",R10*W10*43560),0)</f>
        <v>10497678.531923844</v>
      </c>
      <c r="Y10" s="1270">
        <f t="shared" ref="Y10:Y29" si="6">IF(A10="","",A10*FV(i_Inflate.Cost/12,U10,0,i_Cost.Subd))</f>
        <v>-5686242.5381254153</v>
      </c>
      <c r="Z10" s="1270">
        <f ca="1">SUM(X10:Y10)</f>
        <v>4811435.9937984282</v>
      </c>
      <c r="AA10" s="1270">
        <f ca="1">IFERROR(Z10*-i_Cost.Commisions,"")</f>
        <v>-144343.07981395285</v>
      </c>
      <c r="AB10" s="1270">
        <f ca="1">IFERROR(Z10*-i_Cost.OtherCOS,"")</f>
        <v>-48114.359937984285</v>
      </c>
      <c r="AC10" s="1271">
        <f ca="1">IFERROR(Z10+AA10+AB10,"")</f>
        <v>4618978.5540464912</v>
      </c>
      <c r="AD10" s="1272">
        <f t="shared" ref="AD10:AD20" ca="1" si="7">IFERROR(AC10/$A10,"")</f>
        <v>1190.4583902181678</v>
      </c>
      <c r="AE10" s="1272">
        <f ca="1">IFERROR($AC10/T10,"")</f>
        <v>47618.335608726717</v>
      </c>
      <c r="AF10" s="1272">
        <f t="shared" ref="AF10:AF28" ca="1" si="8">IFERROR($AC10/R10,"")</f>
        <v>256609.9196692495</v>
      </c>
      <c r="AG10" s="412"/>
      <c r="AK10" t="str" cm="1">
        <f t="array" aca="1" ref="AK10:AK25" ca="1">LOOKUP(_xlfn.ANCHORARRAY(Q10),_xlfn.ANCHORARRAY(i.Planning!P8),i.Planning!$R$8:$R$16)</f>
        <v>$/FF</v>
      </c>
      <c r="AL10" cm="1">
        <f t="array" aca="1" ref="AL10:AL25" ca="1">IFERROR(LOOKUP(_xlfn.ANCHORARRAY(O10),$H$8:$L$8,iv_dates.DevCompletion)+1,0)</f>
        <v>48</v>
      </c>
    </row>
    <row r="11" spans="1:398" ht="20" customHeight="1" thickTop="1" thickBot="1">
      <c r="A11" s="319">
        <v>3645</v>
      </c>
      <c r="B11" s="319">
        <f ca="1"/>
        <v>47</v>
      </c>
      <c r="C11" s="319" t="str">
        <v>C</v>
      </c>
      <c r="D11" s="1037"/>
      <c r="E11" s="6"/>
      <c r="F11" s="417" t="s">
        <v>161</v>
      </c>
      <c r="G11" s="418"/>
      <c r="H11" s="1170" t="str" cm="1">
        <f t="array" aca="1" ref="H11:I11" ca="1">_xlfn.ANCHORARRAY(H8)</f>
        <v>2.1</v>
      </c>
      <c r="I11" s="1170" t="str">
        <f ca="1"/>
        <v>2.2</v>
      </c>
      <c r="J11" s="1170"/>
      <c r="K11" s="1170"/>
      <c r="L11" s="1170"/>
      <c r="M11" s="1171"/>
      <c r="N11" s="412"/>
      <c r="O11" s="415" t="str">
        <f ca="1"/>
        <v>2.1</v>
      </c>
      <c r="P11" s="416" t="str">
        <v>2.102</v>
      </c>
      <c r="Q11" s="420" t="str">
        <v>MDR</v>
      </c>
      <c r="R11" s="420">
        <v>17</v>
      </c>
      <c r="S11" s="440" t="str">
        <v>45x115</v>
      </c>
      <c r="T11" s="440">
        <v>81</v>
      </c>
      <c r="U11" s="1640">
        <v>48</v>
      </c>
      <c r="V11" s="442">
        <f t="shared" ref="V11:V20" si="9">IFERROR(CEILING(U11, 12) / 12,"")</f>
        <v>4</v>
      </c>
      <c r="W11" s="440">
        <f>IFERROR(FV(i_Inflate.Price/12,U11,0,-LOOKUP(Q11,i.Planning!$P$8:$P$16,i.Planning!$S$8:$S$16)),0)</f>
        <v>2705.5872504958361</v>
      </c>
      <c r="X11" s="1270" cm="1">
        <f t="array" aca="1" ref="X11" ca="1">IFERROR(_xlfn.IFS(AK11="$/SF",R11*43560*W11,AK11="$/FF",A11*W11,AK11="$/Unit",T11*W11,AK11="C",R11*W11*43560),0)</f>
        <v>9861865.5280573219</v>
      </c>
      <c r="Y11" s="1270">
        <f t="shared" si="6"/>
        <v>-5341843.8276977167</v>
      </c>
      <c r="Z11" s="1270">
        <f t="shared" ref="Z11:Z29" ca="1" si="10">SUM(X11:Y11)</f>
        <v>4520021.7003596053</v>
      </c>
      <c r="AA11" s="1270">
        <f t="shared" ref="AA11:AA29" ca="1" si="11">IFERROR(Z11*-i_Cost.Commisions,"")</f>
        <v>-135600.65101078816</v>
      </c>
      <c r="AB11" s="1270">
        <f t="shared" ref="AB11:AB29" ca="1" si="12">IFERROR(Z11*-i_Cost.OtherCOS,"")</f>
        <v>-45200.217003596052</v>
      </c>
      <c r="AC11" s="1270">
        <f t="shared" ref="AC11:AC20" ca="1" si="13">IFERROR(Z11+AA11+AB11,"")</f>
        <v>4339220.8323452212</v>
      </c>
      <c r="AD11" s="1273">
        <f t="shared" ca="1" si="7"/>
        <v>1190.4583902181678</v>
      </c>
      <c r="AE11" s="1273">
        <f t="shared" ref="AE11:AE28" ca="1" si="14">IFERROR(AC11/T11,"")</f>
        <v>53570.627559817549</v>
      </c>
      <c r="AF11" s="1273">
        <f t="shared" ca="1" si="8"/>
        <v>255248.28425560123</v>
      </c>
      <c r="AG11" s="412"/>
      <c r="AH11" s="436"/>
      <c r="AK11" t="str">
        <f ca="1"/>
        <v>$/FF</v>
      </c>
      <c r="AL11">
        <f ca="1"/>
        <v>48</v>
      </c>
    </row>
    <row r="12" spans="1:398" ht="20" customHeight="1" thickTop="1" thickBot="1">
      <c r="A12" s="319">
        <v>3250</v>
      </c>
      <c r="B12" s="319">
        <f ca="1"/>
        <v>47</v>
      </c>
      <c r="C12" s="319" t="str">
        <v>C</v>
      </c>
      <c r="E12" s="6"/>
      <c r="F12" s="421" t="s">
        <v>106</v>
      </c>
      <c r="G12" s="422"/>
      <c r="H12" s="1639">
        <v>24</v>
      </c>
      <c r="I12" s="1639">
        <v>48</v>
      </c>
      <c r="J12" s="1639">
        <v>0</v>
      </c>
      <c r="K12" s="1639">
        <v>0</v>
      </c>
      <c r="L12" s="1639">
        <v>0</v>
      </c>
      <c r="M12" s="409">
        <f>MIN(H12:J12)</f>
        <v>0</v>
      </c>
      <c r="N12" s="412"/>
      <c r="O12" s="415" t="str">
        <f ca="1"/>
        <v>2.1</v>
      </c>
      <c r="P12" s="416" t="str">
        <v>2.103</v>
      </c>
      <c r="Q12" s="420" t="str">
        <v>MDR</v>
      </c>
      <c r="R12" s="420">
        <v>16</v>
      </c>
      <c r="S12" s="440" t="str">
        <v>50x120</v>
      </c>
      <c r="T12" s="440">
        <v>65</v>
      </c>
      <c r="U12" s="1640">
        <v>48</v>
      </c>
      <c r="V12" s="442">
        <f t="shared" si="9"/>
        <v>4</v>
      </c>
      <c r="W12" s="440">
        <f>IFERROR(FV(i_Inflate.Price/12,U12,0,-LOOKUP(Q12,i.Planning!$P$8:$P$16,i.Planning!$S$8:$S$16)),0)</f>
        <v>2705.5872504958361</v>
      </c>
      <c r="X12" s="1270" cm="1">
        <f t="array" aca="1" ref="X12" ca="1">IFERROR(_xlfn.IFS(AK12="$/SF",R12*43560*W12,AK12="$/FF",A12*W12,AK12="$/Unit",T12*W12,AK12="C",R12*W12*43560),0)</f>
        <v>8793158.5641114675</v>
      </c>
      <c r="Y12" s="1270">
        <f t="shared" si="6"/>
        <v>-4762960.8888937114</v>
      </c>
      <c r="Z12" s="1270">
        <f t="shared" ca="1" si="10"/>
        <v>4030197.6752177561</v>
      </c>
      <c r="AA12" s="1270">
        <f t="shared" ca="1" si="11"/>
        <v>-120905.93025653268</v>
      </c>
      <c r="AB12" s="1270">
        <f t="shared" ca="1" si="12"/>
        <v>-40301.976752177565</v>
      </c>
      <c r="AC12" s="1270">
        <f t="shared" ca="1" si="13"/>
        <v>3868989.7682090462</v>
      </c>
      <c r="AD12" s="1273">
        <f t="shared" ca="1" si="7"/>
        <v>1190.458390218168</v>
      </c>
      <c r="AE12" s="1273">
        <f t="shared" ca="1" si="14"/>
        <v>59522.919510908403</v>
      </c>
      <c r="AF12" s="1273">
        <f t="shared" ca="1" si="8"/>
        <v>241811.86051306539</v>
      </c>
      <c r="AG12" s="412"/>
      <c r="AH12" s="436"/>
      <c r="AK12" t="str">
        <f ca="1"/>
        <v>$/FF</v>
      </c>
      <c r="AL12">
        <f ca="1"/>
        <v>48</v>
      </c>
    </row>
    <row r="13" spans="1:398" ht="20" customHeight="1" thickTop="1" thickBot="1">
      <c r="A13" s="319">
        <v>4520</v>
      </c>
      <c r="B13" s="319">
        <f ca="1"/>
        <v>47</v>
      </c>
      <c r="C13" s="319" t="str">
        <v>C</v>
      </c>
      <c r="E13" s="6"/>
      <c r="F13" s="421" t="s">
        <v>107</v>
      </c>
      <c r="G13" s="422"/>
      <c r="H13" s="1639">
        <v>24</v>
      </c>
      <c r="I13" s="1639">
        <v>24</v>
      </c>
      <c r="J13" s="1639">
        <v>0</v>
      </c>
      <c r="K13" s="1639">
        <v>0</v>
      </c>
      <c r="L13" s="1639">
        <v>0</v>
      </c>
      <c r="M13" s="409">
        <f>M14-M12</f>
        <v>71</v>
      </c>
      <c r="N13" s="412"/>
      <c r="O13" s="415" t="str">
        <f ca="1"/>
        <v>2.1</v>
      </c>
      <c r="P13" s="416" t="str">
        <v>2.104</v>
      </c>
      <c r="Q13" s="420" t="str">
        <v>MDR</v>
      </c>
      <c r="R13" s="420">
        <v>21</v>
      </c>
      <c r="S13" s="440" t="str">
        <v>40x115</v>
      </c>
      <c r="T13" s="440">
        <v>113</v>
      </c>
      <c r="U13" s="1640">
        <v>48</v>
      </c>
      <c r="V13" s="443">
        <f t="shared" si="9"/>
        <v>4</v>
      </c>
      <c r="W13" s="440">
        <f>IFERROR(FV(i_Inflate.Price/12,U13,0,-LOOKUP(Q13,i.Planning!$P$8:$P$16,i.Planning!$S$8:$S$16)),0)</f>
        <v>2705.5872504958361</v>
      </c>
      <c r="X13" s="1270" cm="1">
        <f t="array" aca="1" ref="X13" ca="1">IFERROR(_xlfn.IFS(AK13="$/SF",R13*43560*W13,AK13="$/FF",A13*W13,AK13="$/Unit",T13*W13,AK13="C",R13*W13*43560),0)</f>
        <v>12229254.372241179</v>
      </c>
      <c r="Y13" s="1270">
        <f t="shared" si="6"/>
        <v>-6624179.4516306389</v>
      </c>
      <c r="Z13" s="1270">
        <f t="shared" ca="1" si="10"/>
        <v>5605074.9206105396</v>
      </c>
      <c r="AA13" s="1270">
        <f t="shared" ca="1" si="11"/>
        <v>-168152.24761831618</v>
      </c>
      <c r="AB13" s="1270">
        <f t="shared" ca="1" si="12"/>
        <v>-56050.7492061054</v>
      </c>
      <c r="AC13" s="1270">
        <f t="shared" ca="1" si="13"/>
        <v>5380871.9237861186</v>
      </c>
      <c r="AD13" s="1273">
        <f t="shared" ca="1" si="7"/>
        <v>1190.4583902181678</v>
      </c>
      <c r="AE13" s="1273">
        <f t="shared" ca="1" si="14"/>
        <v>47618.335608726717</v>
      </c>
      <c r="AF13" s="1273">
        <f t="shared" ca="1" si="8"/>
        <v>256231.99637076756</v>
      </c>
      <c r="AG13" s="412"/>
      <c r="AH13" s="436"/>
      <c r="AK13" t="str">
        <f ca="1"/>
        <v>$/FF</v>
      </c>
      <c r="AL13">
        <f ca="1"/>
        <v>48</v>
      </c>
    </row>
    <row r="14" spans="1:398" ht="20" customHeight="1" thickTop="1" thickBot="1">
      <c r="A14" s="319">
        <v>4500</v>
      </c>
      <c r="B14" s="319">
        <f ca="1"/>
        <v>47</v>
      </c>
      <c r="C14" s="319" t="str">
        <v>C</v>
      </c>
      <c r="D14" s="1037"/>
      <c r="E14" s="6"/>
      <c r="F14" s="421" t="s">
        <v>108</v>
      </c>
      <c r="G14" s="422"/>
      <c r="H14" s="423">
        <f>MAX(0,H12+H13-1)</f>
        <v>47</v>
      </c>
      <c r="I14" s="423">
        <f>MAX(0,I12+I13-1)</f>
        <v>71</v>
      </c>
      <c r="J14" s="423">
        <f>MAX(0,J12+J13-1)</f>
        <v>0</v>
      </c>
      <c r="K14" s="423">
        <f>MAX(0,K12+K13-1)</f>
        <v>0</v>
      </c>
      <c r="L14" s="423">
        <f>MAX(0,L12+L13-1)</f>
        <v>0</v>
      </c>
      <c r="M14" s="409">
        <f>MAX(H14:J14)</f>
        <v>71</v>
      </c>
      <c r="N14" s="412"/>
      <c r="O14" s="415" t="str">
        <f ca="1"/>
        <v>2.1</v>
      </c>
      <c r="P14" s="416" t="str">
        <v>2.105</v>
      </c>
      <c r="Q14" s="420" t="str">
        <v>MDR</v>
      </c>
      <c r="R14" s="420">
        <v>21</v>
      </c>
      <c r="S14" s="440" t="str">
        <v>45x115</v>
      </c>
      <c r="T14" s="440">
        <v>100</v>
      </c>
      <c r="U14" s="1640">
        <v>48</v>
      </c>
      <c r="V14" s="442">
        <f t="shared" si="9"/>
        <v>4</v>
      </c>
      <c r="W14" s="440">
        <f>IFERROR(FV(i_Inflate.Price/12,U14,0,-LOOKUP(Q14,i.Planning!$P$8:$P$16,i.Planning!$S$8:$S$16)),0)</f>
        <v>2705.5872504958361</v>
      </c>
      <c r="X14" s="1270" cm="1">
        <f t="array" aca="1" ref="X14" ca="1">IFERROR(_xlfn.IFS(AK14="$/SF",R14*43560*W14,AK14="$/FF",A14*W14,AK14="$/Unit",T14*W14,AK14="C",R14*W14*43560),0)</f>
        <v>12175142.627231263</v>
      </c>
      <c r="Y14" s="1270">
        <f t="shared" si="6"/>
        <v>-6594868.9230836006</v>
      </c>
      <c r="Z14" s="1270">
        <f t="shared" ca="1" si="10"/>
        <v>5580273.704147662</v>
      </c>
      <c r="AA14" s="1270">
        <f t="shared" ca="1" si="11"/>
        <v>-167408.21112442986</v>
      </c>
      <c r="AB14" s="1270">
        <f t="shared" ca="1" si="12"/>
        <v>-55802.737041476619</v>
      </c>
      <c r="AC14" s="1270">
        <f t="shared" ca="1" si="13"/>
        <v>5357062.7559817564</v>
      </c>
      <c r="AD14" s="1273">
        <f t="shared" ca="1" si="7"/>
        <v>1190.458390218168</v>
      </c>
      <c r="AE14" s="1273">
        <f t="shared" ca="1" si="14"/>
        <v>53570.627559817563</v>
      </c>
      <c r="AF14" s="1273">
        <f t="shared" ca="1" si="8"/>
        <v>255098.22647532175</v>
      </c>
      <c r="AG14" s="412"/>
      <c r="AH14" s="436"/>
      <c r="AK14" t="str">
        <f ca="1"/>
        <v>$/FF</v>
      </c>
      <c r="AL14">
        <f ca="1"/>
        <v>48</v>
      </c>
    </row>
    <row r="15" spans="1:398" ht="20" customHeight="1" thickTop="1" thickBot="1">
      <c r="A15" s="319">
        <v>4300</v>
      </c>
      <c r="B15" s="319">
        <f ca="1"/>
        <v>47</v>
      </c>
      <c r="C15" s="319" t="str">
        <v>C</v>
      </c>
      <c r="D15" s="1038"/>
      <c r="E15" s="6"/>
      <c r="F15" s="417" t="s">
        <v>162</v>
      </c>
      <c r="G15" s="418"/>
      <c r="H15" s="518"/>
      <c r="I15" s="419"/>
      <c r="J15" s="419"/>
      <c r="K15" s="419"/>
      <c r="L15" s="419"/>
      <c r="M15" s="419"/>
      <c r="N15" s="412"/>
      <c r="O15" s="415" t="str">
        <f ca="1"/>
        <v>2.1</v>
      </c>
      <c r="P15" s="416" t="str">
        <v>2.106</v>
      </c>
      <c r="Q15" s="420" t="str">
        <v>MDR</v>
      </c>
      <c r="R15" s="420">
        <v>21</v>
      </c>
      <c r="S15" s="440" t="str">
        <v>50x120</v>
      </c>
      <c r="T15" s="440">
        <v>86</v>
      </c>
      <c r="U15" s="1640">
        <v>48</v>
      </c>
      <c r="V15" s="442">
        <f t="shared" si="9"/>
        <v>4</v>
      </c>
      <c r="W15" s="440">
        <f>IFERROR(FV(i_Inflate.Price/12,U15,0,-LOOKUP(Q15,i.Planning!$P$8:$P$16,i.Planning!$S$8:$S$16)),0)</f>
        <v>2705.5872504958361</v>
      </c>
      <c r="X15" s="1270" cm="1">
        <f t="array" aca="1" ref="X15" ca="1">IFERROR(_xlfn.IFS(AK15="$/SF",R15*43560*W15,AK15="$/FF",A15*W15,AK15="$/Unit",T15*W15,AK15="C",R15*W15*43560),0)</f>
        <v>11634025.177132094</v>
      </c>
      <c r="Y15" s="1270">
        <f t="shared" si="6"/>
        <v>-6301763.6376132183</v>
      </c>
      <c r="Z15" s="1270">
        <f t="shared" ca="1" si="10"/>
        <v>5332261.539518876</v>
      </c>
      <c r="AA15" s="1270">
        <f t="shared" ca="1" si="11"/>
        <v>-159967.84618556628</v>
      </c>
      <c r="AB15" s="1270">
        <f t="shared" ca="1" si="12"/>
        <v>-53322.615395188761</v>
      </c>
      <c r="AC15" s="1270">
        <f t="shared" ca="1" si="13"/>
        <v>5118971.0779381217</v>
      </c>
      <c r="AD15" s="1273">
        <f t="shared" ca="1" si="7"/>
        <v>1190.4583902181678</v>
      </c>
      <c r="AE15" s="1273">
        <f t="shared" ca="1" si="14"/>
        <v>59522.919510908396</v>
      </c>
      <c r="AF15" s="1273">
        <f t="shared" ca="1" si="8"/>
        <v>243760.52752086293</v>
      </c>
      <c r="AG15" s="424"/>
      <c r="AH15" s="437"/>
      <c r="AK15" t="str">
        <f ca="1"/>
        <v>$/FF</v>
      </c>
      <c r="AL15">
        <f ca="1"/>
        <v>48</v>
      </c>
    </row>
    <row r="16" spans="1:398" ht="20" customHeight="1" thickTop="1" thickBot="1">
      <c r="A16" s="319" t="str">
        <v/>
      </c>
      <c r="B16" s="319">
        <f ca="1"/>
        <v>47</v>
      </c>
      <c r="C16" s="319" t="str">
        <v>MF</v>
      </c>
      <c r="E16" s="6"/>
      <c r="F16" s="421" t="s">
        <v>109</v>
      </c>
      <c r="G16" s="422"/>
      <c r="H16" s="1639">
        <v>164750</v>
      </c>
      <c r="I16" s="1639">
        <v>46750</v>
      </c>
      <c r="J16" s="1639">
        <v>0</v>
      </c>
      <c r="K16" s="1639">
        <v>0</v>
      </c>
      <c r="L16" s="1639">
        <v>0</v>
      </c>
      <c r="M16" s="409">
        <f t="shared" ref="M16:M25" si="15">SUM(H16:J16)</f>
        <v>211500</v>
      </c>
      <c r="N16" s="412"/>
      <c r="O16" s="415" t="str">
        <f ca="1"/>
        <v>2.1</v>
      </c>
      <c r="P16" s="416" t="str">
        <v>2.107</v>
      </c>
      <c r="Q16" s="420" t="str">
        <v>MHDR</v>
      </c>
      <c r="R16" s="420">
        <v>16</v>
      </c>
      <c r="S16" s="440" t="str">
        <v>7/8 Pack</v>
      </c>
      <c r="T16" s="440">
        <v>168</v>
      </c>
      <c r="U16" s="1640">
        <v>48</v>
      </c>
      <c r="V16" s="442">
        <f t="shared" si="9"/>
        <v>4</v>
      </c>
      <c r="W16" s="440">
        <f>IFERROR(FV(i_Inflate.Price/12,U16,0,-LOOKUP(Q16,i.Planning!$P$8:$P$16,i.Planning!$S$8:$S$16)),0)</f>
        <v>56366.401051996581</v>
      </c>
      <c r="X16" s="1270" cm="1">
        <f t="array" aca="1" ref="X16" ca="1">IFERROR(_xlfn.IFS(AK16="$/SF",R16*43560*W16,AK16="$/FF",A16*W16,AK16="$/Unit",T16*W16,AK16="C",R16*W16*43560),0)</f>
        <v>9469555.3767354265</v>
      </c>
      <c r="Y16" s="1270" t="str">
        <f t="shared" si="6"/>
        <v/>
      </c>
      <c r="Z16" s="1270">
        <f t="shared" ca="1" si="10"/>
        <v>9469555.3767354265</v>
      </c>
      <c r="AA16" s="1270">
        <f t="shared" ca="1" si="11"/>
        <v>-284086.6613020628</v>
      </c>
      <c r="AB16" s="1270">
        <f t="shared" ca="1" si="12"/>
        <v>-94695.553767354271</v>
      </c>
      <c r="AC16" s="1270">
        <f t="shared" ca="1" si="13"/>
        <v>9090773.1616660077</v>
      </c>
      <c r="AD16" s="1273" t="str">
        <f t="shared" ca="1" si="7"/>
        <v/>
      </c>
      <c r="AE16" s="1273">
        <f t="shared" ca="1" si="14"/>
        <v>54111.745009916711</v>
      </c>
      <c r="AF16" s="1273">
        <f t="shared" ca="1" si="8"/>
        <v>568173.32260412548</v>
      </c>
      <c r="AG16" s="424"/>
      <c r="AH16" s="437"/>
      <c r="AK16" t="str">
        <f ca="1"/>
        <v>$/Unit</v>
      </c>
      <c r="AL16">
        <f ca="1"/>
        <v>48</v>
      </c>
    </row>
    <row r="17" spans="1:38" ht="20" customHeight="1" thickTop="1" thickBot="1">
      <c r="A17" s="319" t="str">
        <v/>
      </c>
      <c r="B17" s="319">
        <f ca="1"/>
        <v>47</v>
      </c>
      <c r="C17" s="319" t="str">
        <v>MF</v>
      </c>
      <c r="D17" s="1037"/>
      <c r="E17" s="6"/>
      <c r="F17" s="421" t="s">
        <v>110</v>
      </c>
      <c r="G17" s="422"/>
      <c r="H17" s="1639">
        <v>1153250</v>
      </c>
      <c r="I17" s="1639">
        <v>327250</v>
      </c>
      <c r="J17" s="1639">
        <v>0</v>
      </c>
      <c r="K17" s="1639">
        <v>0</v>
      </c>
      <c r="L17" s="1639">
        <v>0</v>
      </c>
      <c r="M17" s="409">
        <f t="shared" si="15"/>
        <v>1480500</v>
      </c>
      <c r="N17" s="412"/>
      <c r="O17" s="415" t="str">
        <f ca="1"/>
        <v>2.1</v>
      </c>
      <c r="P17" s="416" t="str">
        <v>2.108</v>
      </c>
      <c r="Q17" s="420" t="str">
        <v>MHDR</v>
      </c>
      <c r="R17" s="420">
        <v>13</v>
      </c>
      <c r="S17" s="440" t="str">
        <v>6/6Pack</v>
      </c>
      <c r="T17" s="440">
        <v>110</v>
      </c>
      <c r="U17" s="1640">
        <v>48</v>
      </c>
      <c r="V17" s="442">
        <f t="shared" si="9"/>
        <v>4</v>
      </c>
      <c r="W17" s="440">
        <f>IFERROR(FV(i_Inflate.Price/12,U17,0,-LOOKUP(Q17,i.Planning!$P$8:$P$16,i.Planning!$S$8:$S$16)),0)</f>
        <v>56366.401051996581</v>
      </c>
      <c r="X17" s="1270" cm="1">
        <f t="array" aca="1" ref="X17" ca="1">IFERROR(_xlfn.IFS(AK17="$/SF",R17*43560*W17,AK17="$/FF",A17*W17,AK17="$/Unit",T17*W17,AK17="C",R17*W17*43560),0)</f>
        <v>6200304.1157196239</v>
      </c>
      <c r="Y17" s="1270" t="str">
        <f t="shared" si="6"/>
        <v/>
      </c>
      <c r="Z17" s="1270">
        <f t="shared" ca="1" si="10"/>
        <v>6200304.1157196239</v>
      </c>
      <c r="AA17" s="1270">
        <f t="shared" ca="1" si="11"/>
        <v>-186009.12347158871</v>
      </c>
      <c r="AB17" s="1270">
        <f t="shared" ca="1" si="12"/>
        <v>-62003.04115719624</v>
      </c>
      <c r="AC17" s="1270">
        <f t="shared" ca="1" si="13"/>
        <v>5952291.9510908388</v>
      </c>
      <c r="AD17" s="1273" t="str">
        <f t="shared" ca="1" si="7"/>
        <v/>
      </c>
      <c r="AE17" s="1273">
        <f t="shared" ca="1" si="14"/>
        <v>54111.745009916718</v>
      </c>
      <c r="AF17" s="1273">
        <f t="shared" ca="1" si="8"/>
        <v>457868.61162237223</v>
      </c>
      <c r="AG17" s="424"/>
      <c r="AH17" s="437"/>
      <c r="AK17" t="str">
        <f ca="1"/>
        <v>$/Unit</v>
      </c>
      <c r="AL17">
        <f ca="1"/>
        <v>48</v>
      </c>
    </row>
    <row r="18" spans="1:38" ht="20" customHeight="1" thickTop="1" thickBot="1">
      <c r="A18" s="319">
        <v>4680</v>
      </c>
      <c r="B18" s="319">
        <f ca="1"/>
        <v>47</v>
      </c>
      <c r="C18" s="319" t="str">
        <v>C</v>
      </c>
      <c r="D18" s="1037"/>
      <c r="E18" s="6"/>
      <c r="F18" s="421" t="s">
        <v>111</v>
      </c>
      <c r="G18" s="422"/>
      <c r="H18" s="1639">
        <v>2877500</v>
      </c>
      <c r="I18" s="1639">
        <v>560000</v>
      </c>
      <c r="J18" s="1639">
        <v>0</v>
      </c>
      <c r="K18" s="1639">
        <v>0</v>
      </c>
      <c r="L18" s="1639">
        <v>0</v>
      </c>
      <c r="M18" s="409">
        <f t="shared" si="15"/>
        <v>3437500</v>
      </c>
      <c r="N18" s="412"/>
      <c r="O18" s="415" t="str">
        <f ca="1"/>
        <v>2.1</v>
      </c>
      <c r="P18" s="416" t="str">
        <v>2.109</v>
      </c>
      <c r="Q18" s="420" t="str">
        <v>MDR</v>
      </c>
      <c r="R18" s="420">
        <v>19</v>
      </c>
      <c r="S18" s="440" t="str">
        <v>40x100</v>
      </c>
      <c r="T18" s="440">
        <v>117</v>
      </c>
      <c r="U18" s="1640">
        <v>48</v>
      </c>
      <c r="V18" s="442">
        <f t="shared" si="9"/>
        <v>4</v>
      </c>
      <c r="W18" s="440">
        <f>IFERROR(FV(i_Inflate.Price/12,U18,0,-LOOKUP(Q18,i.Planning!$P$8:$P$16,i.Planning!$S$8:$S$16)),0)</f>
        <v>2705.5872504958361</v>
      </c>
      <c r="X18" s="1270" cm="1">
        <f t="array" aca="1" ref="X18" ca="1">IFERROR(_xlfn.IFS(AK18="$/SF",R18*43560*W18,AK18="$/FF",A18*W18,AK18="$/Unit",T18*W18,AK18="C",R18*W18*43560),0)</f>
        <v>12662148.332320513</v>
      </c>
      <c r="Y18" s="1270">
        <f t="shared" si="6"/>
        <v>-6858663.6800069446</v>
      </c>
      <c r="Z18" s="1270">
        <f t="shared" ca="1" si="10"/>
        <v>5803484.6523135686</v>
      </c>
      <c r="AA18" s="1270">
        <f t="shared" ca="1" si="11"/>
        <v>-174104.53956940706</v>
      </c>
      <c r="AB18" s="1270">
        <f t="shared" ca="1" si="12"/>
        <v>-58034.846523135689</v>
      </c>
      <c r="AC18" s="1270">
        <f t="shared" ca="1" si="13"/>
        <v>5571345.266221026</v>
      </c>
      <c r="AD18" s="1273">
        <f t="shared" ca="1" si="7"/>
        <v>1190.458390218168</v>
      </c>
      <c r="AE18" s="1273">
        <f t="shared" ca="1" si="14"/>
        <v>47618.335608726717</v>
      </c>
      <c r="AF18" s="1273">
        <f t="shared" ca="1" si="8"/>
        <v>293228.69822215923</v>
      </c>
      <c r="AG18" s="424"/>
      <c r="AH18" s="437"/>
      <c r="AK18" t="str">
        <f ca="1"/>
        <v>$/FF</v>
      </c>
      <c r="AL18">
        <f ca="1"/>
        <v>48</v>
      </c>
    </row>
    <row r="19" spans="1:38" ht="20" customHeight="1" thickTop="1" thickBot="1">
      <c r="A19" s="319" t="str">
        <v/>
      </c>
      <c r="B19" s="319">
        <f ca="1"/>
        <v>47</v>
      </c>
      <c r="C19" s="319" t="str">
        <v>MF</v>
      </c>
      <c r="D19" s="1037"/>
      <c r="E19" s="6"/>
      <c r="F19" s="421" t="s">
        <v>112</v>
      </c>
      <c r="G19" s="422"/>
      <c r="H19" s="1639">
        <v>5755000</v>
      </c>
      <c r="I19" s="1639">
        <v>1120000</v>
      </c>
      <c r="J19" s="1639">
        <v>0</v>
      </c>
      <c r="K19" s="1639">
        <v>0</v>
      </c>
      <c r="L19" s="1639">
        <v>0</v>
      </c>
      <c r="M19" s="409">
        <f t="shared" si="15"/>
        <v>6875000</v>
      </c>
      <c r="N19" s="412"/>
      <c r="O19" s="415" t="str">
        <f ca="1"/>
        <v>2.1</v>
      </c>
      <c r="P19" s="416" t="str">
        <v>2.110</v>
      </c>
      <c r="Q19" s="420" t="str">
        <v>MHDR</v>
      </c>
      <c r="R19" s="420">
        <v>23</v>
      </c>
      <c r="S19" s="440" t="str">
        <v>BFR SFD</v>
      </c>
      <c r="T19" s="440">
        <v>253</v>
      </c>
      <c r="U19" s="1640">
        <v>48</v>
      </c>
      <c r="V19" s="442">
        <f t="shared" si="9"/>
        <v>4</v>
      </c>
      <c r="W19" s="440">
        <f>IFERROR(FV(i_Inflate.Price/12,U19,0,-LOOKUP(Q19,i.Planning!$P$8:$P$16,i.Planning!$S$8:$S$16)),0)</f>
        <v>56366.401051996581</v>
      </c>
      <c r="X19" s="1270" cm="1">
        <f t="array" aca="1" ref="X19" ca="1">IFERROR(_xlfn.IFS(AK19="$/SF",R19*43560*W19,AK19="$/FF",A19*W19,AK19="$/Unit",T19*W19,AK19="C",R19*W19*43560),0)</f>
        <v>14260699.466155136</v>
      </c>
      <c r="Y19" s="1270" t="str">
        <f t="shared" si="6"/>
        <v/>
      </c>
      <c r="Z19" s="1270">
        <f t="shared" ca="1" si="10"/>
        <v>14260699.466155136</v>
      </c>
      <c r="AA19" s="1270">
        <f t="shared" ca="1" si="11"/>
        <v>-427820.98398465407</v>
      </c>
      <c r="AB19" s="1270">
        <f t="shared" ca="1" si="12"/>
        <v>-142606.99466155138</v>
      </c>
      <c r="AC19" s="1270">
        <f t="shared" ca="1" si="13"/>
        <v>13690271.48750893</v>
      </c>
      <c r="AD19" s="1273" t="str">
        <f t="shared" ca="1" si="7"/>
        <v/>
      </c>
      <c r="AE19" s="1273">
        <f t="shared" ca="1" si="14"/>
        <v>54111.745009916718</v>
      </c>
      <c r="AF19" s="1273">
        <f t="shared" ca="1" si="8"/>
        <v>595229.1951090839</v>
      </c>
      <c r="AG19" s="424"/>
      <c r="AH19" s="437"/>
      <c r="AK19" t="str">
        <f ca="1"/>
        <v>$/Unit</v>
      </c>
      <c r="AL19">
        <f ca="1"/>
        <v>48</v>
      </c>
    </row>
    <row r="20" spans="1:38" ht="20" customHeight="1" thickTop="1" thickBot="1">
      <c r="A20" s="319" t="str">
        <v/>
      </c>
      <c r="B20" s="319">
        <f ca="1"/>
        <v>47</v>
      </c>
      <c r="C20" s="319" t="str">
        <v/>
      </c>
      <c r="D20" s="1037"/>
      <c r="E20" s="6"/>
      <c r="F20" s="421" t="s">
        <v>113</v>
      </c>
      <c r="G20" s="422"/>
      <c r="H20" s="1639">
        <v>0</v>
      </c>
      <c r="I20" s="1639">
        <v>0</v>
      </c>
      <c r="J20" s="1639">
        <v>0</v>
      </c>
      <c r="K20" s="1639">
        <v>0</v>
      </c>
      <c r="L20" s="1639">
        <v>0</v>
      </c>
      <c r="M20" s="409">
        <f t="shared" si="15"/>
        <v>0</v>
      </c>
      <c r="N20" s="412"/>
      <c r="O20" s="415" t="str">
        <f ca="1"/>
        <v>2.1</v>
      </c>
      <c r="P20" s="416" t="str">
        <v>2.111</v>
      </c>
      <c r="Q20" s="420" t="str">
        <v>HDR</v>
      </c>
      <c r="R20" s="420">
        <v>19</v>
      </c>
      <c r="S20" s="440" t="str">
        <v>APTS</v>
      </c>
      <c r="T20" s="440">
        <v>380</v>
      </c>
      <c r="U20" s="1640">
        <v>48</v>
      </c>
      <c r="V20" s="442">
        <f t="shared" si="9"/>
        <v>4</v>
      </c>
      <c r="W20" s="440">
        <f>IFERROR(FV(i_Inflate.Price/12,U20,0,-LOOKUP(Q20,i.Planning!$P$8:$P$16,i.Planning!$S$8:$S$16)),0)</f>
        <v>28183.200525998291</v>
      </c>
      <c r="X20" s="1270" cm="1">
        <f t="array" aca="1" ref="X20" ca="1">IFERROR(_xlfn.IFS(AK20="$/SF",R20*43560*W20,AK20="$/FF",A20*W20,AK20="$/Unit",T20*W20,AK20="C",R20*W20*43560),0)</f>
        <v>10709616.19987935</v>
      </c>
      <c r="Y20" s="1270" t="str">
        <f t="shared" si="6"/>
        <v/>
      </c>
      <c r="Z20" s="1270">
        <f t="shared" ca="1" si="10"/>
        <v>10709616.19987935</v>
      </c>
      <c r="AA20" s="1270">
        <f t="shared" ca="1" si="11"/>
        <v>-321288.48599638051</v>
      </c>
      <c r="AB20" s="1270">
        <f t="shared" ca="1" si="12"/>
        <v>-107096.1619987935</v>
      </c>
      <c r="AC20" s="1270">
        <f t="shared" ca="1" si="13"/>
        <v>10281231.551884176</v>
      </c>
      <c r="AD20" s="1273" t="str">
        <f t="shared" ca="1" si="7"/>
        <v/>
      </c>
      <c r="AE20" s="1273">
        <f t="shared" ca="1" si="14"/>
        <v>27055.872504958359</v>
      </c>
      <c r="AF20" s="1273">
        <f t="shared" ca="1" si="8"/>
        <v>541117.45009916718</v>
      </c>
      <c r="AG20" s="424"/>
      <c r="AH20" s="437"/>
      <c r="AK20" t="str">
        <f ca="1"/>
        <v>$/Unit</v>
      </c>
      <c r="AL20">
        <f ca="1"/>
        <v>48</v>
      </c>
    </row>
    <row r="21" spans="1:38" ht="20" customHeight="1" thickTop="1" thickBot="1">
      <c r="A21" s="319" t="str">
        <v/>
      </c>
      <c r="B21" s="319">
        <f ca="1"/>
        <v>47</v>
      </c>
      <c r="C21" s="319" t="str">
        <v>P</v>
      </c>
      <c r="D21" s="1037"/>
      <c r="E21" s="6"/>
      <c r="F21" s="425" t="s">
        <v>10</v>
      </c>
      <c r="G21" s="426"/>
      <c r="H21" s="427" cm="1">
        <f t="array" ref="H21">SUM(H16:H20*i.General!$E$21)</f>
        <v>995050</v>
      </c>
      <c r="I21" s="427" cm="1">
        <f t="array" ref="I21">SUM(I16:I20*i.General!$E$21)</f>
        <v>205400</v>
      </c>
      <c r="J21" s="427" cm="1">
        <f t="array" ref="J21">SUM(J16:J20*i.General!$E$21)</f>
        <v>0</v>
      </c>
      <c r="K21" s="427" cm="1">
        <f t="array" ref="K21">SUM(K16:K20*i.General!$E$21)</f>
        <v>0</v>
      </c>
      <c r="L21" s="427" cm="1">
        <f t="array" ref="L21">SUM(L16:L20*i.General!$E$21)</f>
        <v>0</v>
      </c>
      <c r="M21" s="427">
        <f t="shared" si="15"/>
        <v>1200450</v>
      </c>
      <c r="N21" s="412"/>
      <c r="O21" s="415" t="str">
        <f ca="1"/>
        <v>2.1</v>
      </c>
      <c r="P21" s="416" t="str">
        <v>2.112</v>
      </c>
      <c r="Q21" s="420" t="str">
        <v>OS</v>
      </c>
      <c r="R21" s="420">
        <v>56</v>
      </c>
      <c r="S21" s="440" t="str">
        <v>OS</v>
      </c>
      <c r="T21" s="440">
        <v>0</v>
      </c>
      <c r="U21" s="1640">
        <v>48</v>
      </c>
      <c r="V21" s="442">
        <f t="shared" ref="V21:V29" si="16">IFERROR(CEILING(U21, 12) / 12,"")</f>
        <v>4</v>
      </c>
      <c r="W21" s="440">
        <f>IFERROR(FV(i_Inflate.Price/12,U21,0,-LOOKUP(Q21,i.Planning!$P$8:$P$16,i.Planning!$S$8:$S$16)),0)</f>
        <v>0</v>
      </c>
      <c r="X21" s="1270" cm="1">
        <f t="array" aca="1" ref="X21" ca="1">IFERROR(_xlfn.IFS(AK21="$/SF",R21*43560*W21,AK21="$/FF",A21*W21,AK21="$/Unit",T21*W21,AK21="C",R21*W21*43560),0)</f>
        <v>0</v>
      </c>
      <c r="Y21" s="1270" t="str">
        <f t="shared" si="6"/>
        <v/>
      </c>
      <c r="Z21" s="1270">
        <f t="shared" ca="1" si="10"/>
        <v>0</v>
      </c>
      <c r="AA21" s="1270">
        <f t="shared" ca="1" si="11"/>
        <v>0</v>
      </c>
      <c r="AB21" s="1270">
        <f t="shared" ca="1" si="12"/>
        <v>0</v>
      </c>
      <c r="AC21" s="1270">
        <f t="shared" ref="AC21:AC28" ca="1" si="17">IFERROR(Z21+AA21+AB21,"")</f>
        <v>0</v>
      </c>
      <c r="AD21" s="1273" t="str">
        <f t="shared" ref="AD21:AD28" ca="1" si="18">IFERROR(AC21/$A21,"")</f>
        <v/>
      </c>
      <c r="AE21" s="1273" t="str">
        <f t="shared" ca="1" si="14"/>
        <v/>
      </c>
      <c r="AF21" s="1273">
        <f t="shared" ca="1" si="8"/>
        <v>0</v>
      </c>
      <c r="AG21" s="424"/>
      <c r="AH21" s="437"/>
      <c r="AK21" t="str">
        <f ca="1"/>
        <v>$/Acre</v>
      </c>
      <c r="AL21">
        <f ca="1"/>
        <v>48</v>
      </c>
    </row>
    <row r="22" spans="1:38" ht="20" customHeight="1" thickTop="1" thickBot="1">
      <c r="A22" s="319">
        <v>5600</v>
      </c>
      <c r="B22" s="319">
        <f ca="1"/>
        <v>71</v>
      </c>
      <c r="C22" s="319" t="str">
        <v>C</v>
      </c>
      <c r="D22" s="1037"/>
      <c r="E22" s="6"/>
      <c r="F22" s="428" t="s">
        <v>397</v>
      </c>
      <c r="G22" s="429"/>
      <c r="H22" s="1322">
        <f>SUM(H16:H21)</f>
        <v>10945550</v>
      </c>
      <c r="I22" s="1322">
        <f>SUM(I16:I21)</f>
        <v>2259400</v>
      </c>
      <c r="J22" s="1322">
        <f>SUM(J16:J21)</f>
        <v>0</v>
      </c>
      <c r="K22" s="1322">
        <f>SUM(K16:K21)</f>
        <v>0</v>
      </c>
      <c r="L22" s="1322">
        <f>SUM(L16:L21)</f>
        <v>0</v>
      </c>
      <c r="M22" s="1322">
        <f t="shared" si="15"/>
        <v>13204950</v>
      </c>
      <c r="N22" s="412"/>
      <c r="O22" s="415" t="str">
        <f ca="1"/>
        <v>2.2</v>
      </c>
      <c r="P22" s="416" t="str">
        <v>2.201</v>
      </c>
      <c r="Q22" s="420" t="str">
        <v>MDR</v>
      </c>
      <c r="R22" s="420">
        <v>28</v>
      </c>
      <c r="S22" s="440" t="str">
        <v>50x125</v>
      </c>
      <c r="T22" s="440">
        <v>112</v>
      </c>
      <c r="U22" s="1640">
        <v>72</v>
      </c>
      <c r="V22" s="442">
        <f t="shared" si="16"/>
        <v>6</v>
      </c>
      <c r="W22" s="440">
        <f>IFERROR(FV(i_Inflate.Price/12,U22,0,-LOOKUP(Q22,i.Planning!$P$8:$P$16,i.Planning!$S$8:$S$16)),0)</f>
        <v>2872.6763220793496</v>
      </c>
      <c r="X22" s="1270" cm="1">
        <f t="array" aca="1" ref="X22" ca="1">IFERROR(_xlfn.IFS(AK22="$/SF",R22*43560*W22,AK22="$/FF",A22*W22,AK22="$/Unit",T22*W22,AK22="C",R22*W22*43560),0)</f>
        <v>16086987.403644357</v>
      </c>
      <c r="Y22" s="1270">
        <f t="shared" si="6"/>
        <v>-8713784.8436406944</v>
      </c>
      <c r="Z22" s="1270">
        <f t="shared" ca="1" si="10"/>
        <v>7373202.5600036625</v>
      </c>
      <c r="AA22" s="1270">
        <f t="shared" ca="1" si="11"/>
        <v>-221196.07680010988</v>
      </c>
      <c r="AB22" s="1270">
        <f t="shared" ca="1" si="12"/>
        <v>-73732.025600036621</v>
      </c>
      <c r="AC22" s="1270">
        <f t="shared" ca="1" si="17"/>
        <v>7078274.4576035161</v>
      </c>
      <c r="AD22" s="1273">
        <f t="shared" ca="1" si="18"/>
        <v>1263.9775817149136</v>
      </c>
      <c r="AE22" s="1273">
        <f t="shared" ca="1" si="14"/>
        <v>63198.879085745677</v>
      </c>
      <c r="AF22" s="1273">
        <f t="shared" ca="1" si="8"/>
        <v>252795.51634298271</v>
      </c>
      <c r="AG22" s="424"/>
      <c r="AH22" s="437"/>
      <c r="AK22" t="str">
        <f ca="1"/>
        <v>$/FF</v>
      </c>
      <c r="AL22">
        <f ca="1"/>
        <v>72</v>
      </c>
    </row>
    <row r="23" spans="1:38" ht="20" customHeight="1" thickTop="1" thickBot="1">
      <c r="A23" s="319">
        <v>4125</v>
      </c>
      <c r="B23" s="319">
        <f ca="1"/>
        <v>71</v>
      </c>
      <c r="C23" s="319" t="str">
        <v>C</v>
      </c>
      <c r="D23" s="1037"/>
      <c r="E23" s="6"/>
      <c r="F23" s="433" t="s">
        <v>114</v>
      </c>
      <c r="G23" s="434"/>
      <c r="H23" s="1323">
        <f>FV(i_Inflate.Cost/12,H12,0,-H22)</f>
        <v>11621514.81582169</v>
      </c>
      <c r="I23" s="1323">
        <f>FV(i_Inflate.Cost/12,I12,0,-I22)</f>
        <v>2547084.9307376216</v>
      </c>
      <c r="J23" s="1323">
        <f>FV(i_Inflate.Cost/12,J12,0,-J22)</f>
        <v>0</v>
      </c>
      <c r="K23" s="1323">
        <f>FV(i_Inflate.Cost/12,K12,0,-K22)</f>
        <v>0</v>
      </c>
      <c r="L23" s="1323">
        <f>FV(i_Inflate.Cost/12,L12,0,-L22)</f>
        <v>0</v>
      </c>
      <c r="M23" s="1323">
        <f t="shared" si="15"/>
        <v>14168599.746559313</v>
      </c>
      <c r="N23" s="99"/>
      <c r="O23" s="415" t="str">
        <f ca="1"/>
        <v>2.2</v>
      </c>
      <c r="P23" s="416" t="str">
        <v>2.202</v>
      </c>
      <c r="Q23" s="420" t="str">
        <v>MDR</v>
      </c>
      <c r="R23" s="420">
        <v>21</v>
      </c>
      <c r="S23" s="440" t="str">
        <v>55x125</v>
      </c>
      <c r="T23" s="440">
        <v>75</v>
      </c>
      <c r="U23" s="1640">
        <v>73</v>
      </c>
      <c r="V23" s="442">
        <f t="shared" si="16"/>
        <v>7</v>
      </c>
      <c r="W23" s="440">
        <f>IFERROR(FV(i_Inflate.Price/12,U23,0,-LOOKUP(Q23,i.Planning!$P$8:$P$16,i.Planning!$S$8:$S$16)),0)</f>
        <v>2879.8580128845483</v>
      </c>
      <c r="X23" s="1270" cm="1">
        <f t="array" aca="1" ref="X23" ca="1">IFERROR(_xlfn.IFS(AK23="$/SF",R23*43560*W23,AK23="$/FF",A23*W23,AK23="$/Unit",T23*W23,AK23="C",R23*W23*43560),0)</f>
        <v>11879414.303148761</v>
      </c>
      <c r="Y23" s="1270">
        <f t="shared" si="6"/>
        <v>-6434682.7475389121</v>
      </c>
      <c r="Z23" s="1270">
        <f t="shared" ca="1" si="10"/>
        <v>5444731.5556098493</v>
      </c>
      <c r="AA23" s="1270">
        <f t="shared" ca="1" si="11"/>
        <v>-163341.94666829548</v>
      </c>
      <c r="AB23" s="1270">
        <f t="shared" ca="1" si="12"/>
        <v>-54447.315556098496</v>
      </c>
      <c r="AC23" s="1270">
        <f t="shared" ca="1" si="17"/>
        <v>5226942.2933854554</v>
      </c>
      <c r="AD23" s="1273">
        <f ca="1">IFERROR(AC23/$A30,"")</f>
        <v>181.64873304554146</v>
      </c>
      <c r="AE23" s="1273">
        <f t="shared" ca="1" si="14"/>
        <v>69692.563911806079</v>
      </c>
      <c r="AF23" s="1273">
        <f t="shared" ca="1" si="8"/>
        <v>248902.01397073598</v>
      </c>
      <c r="AG23" s="424"/>
      <c r="AH23" s="38"/>
      <c r="AK23" t="str">
        <f ca="1"/>
        <v>$/FF</v>
      </c>
      <c r="AL23">
        <f ca="1"/>
        <v>72</v>
      </c>
    </row>
    <row r="24" spans="1:38" ht="20" customHeight="1" thickTop="1" thickBot="1">
      <c r="A24" s="319" t="str">
        <v/>
      </c>
      <c r="B24" s="319">
        <f ca="1"/>
        <v>71</v>
      </c>
      <c r="C24" s="319" t="str">
        <v>P</v>
      </c>
      <c r="D24" s="1037"/>
      <c r="E24" s="6"/>
      <c r="F24" s="1319" t="s">
        <v>682</v>
      </c>
      <c r="G24" s="1320"/>
      <c r="H24" s="1321" cm="1">
        <f t="array" aca="1" ref="H24:I24" ca="1">_xlfn.ANCHORARRAY(H23)/SUMIF($O$10:$O$29,_xlfn.ANCHORARRAY(H8),R10:R29)</f>
        <v>44698.133907006501</v>
      </c>
      <c r="I24" s="1321">
        <f ca="1"/>
        <v>94483.860291233257</v>
      </c>
      <c r="J24" s="1321"/>
      <c r="K24" s="1321"/>
      <c r="L24" s="1321"/>
      <c r="M24" s="1321">
        <f t="shared" ca="1" si="15"/>
        <v>139181.99419823976</v>
      </c>
      <c r="N24" s="424"/>
      <c r="O24" s="415" t="str">
        <f ca="1"/>
        <v>2.2</v>
      </c>
      <c r="P24" s="416" t="str">
        <v>2.203</v>
      </c>
      <c r="Q24" s="420" t="str">
        <v>OS</v>
      </c>
      <c r="R24" s="420">
        <v>33</v>
      </c>
      <c r="S24" s="440" t="str">
        <v>OS</v>
      </c>
      <c r="T24" s="440">
        <v>0</v>
      </c>
      <c r="U24" s="1640">
        <v>72</v>
      </c>
      <c r="V24" s="442">
        <f t="shared" si="16"/>
        <v>6</v>
      </c>
      <c r="W24" s="440">
        <f>IFERROR(FV(i_Inflate.Price/12,U24,0,-LOOKUP(Q24,i.Planning!$P$8:$P$16,i.Planning!$S$8:$S$16)),0)</f>
        <v>0</v>
      </c>
      <c r="X24" s="1270" cm="1">
        <f t="array" aca="1" ref="X24" ca="1">IFERROR(_xlfn.IFS(AK24="$/SF",R24*43560*W24,AK24="$/FF",A24*W24,AK24="$/Unit",T24*W24,AK24="C",R24*W24*43560),0)</f>
        <v>0</v>
      </c>
      <c r="Y24" s="1270" t="str">
        <f t="shared" si="6"/>
        <v/>
      </c>
      <c r="Z24" s="1270">
        <f t="shared" ca="1" si="10"/>
        <v>0</v>
      </c>
      <c r="AA24" s="1270">
        <f t="shared" ca="1" si="11"/>
        <v>0</v>
      </c>
      <c r="AB24" s="1270">
        <f t="shared" ca="1" si="12"/>
        <v>0</v>
      </c>
      <c r="AC24" s="1270">
        <f t="shared" ca="1" si="17"/>
        <v>0</v>
      </c>
      <c r="AD24" s="1273" t="str">
        <f t="shared" ca="1" si="18"/>
        <v/>
      </c>
      <c r="AE24" s="1273" t="str">
        <f t="shared" ca="1" si="14"/>
        <v/>
      </c>
      <c r="AF24" s="1273">
        <f t="shared" ca="1" si="8"/>
        <v>0</v>
      </c>
      <c r="AG24" s="424"/>
      <c r="AH24" s="38"/>
      <c r="AJ24" s="68"/>
      <c r="AK24" t="str">
        <f ca="1"/>
        <v>$/Acre</v>
      </c>
      <c r="AL24">
        <f ca="1"/>
        <v>72</v>
      </c>
    </row>
    <row r="25" spans="1:38" ht="20" customHeight="1" thickTop="1" thickBot="1">
      <c r="A25" s="319" t="str">
        <v/>
      </c>
      <c r="B25" s="319">
        <f ca="1"/>
        <v>71</v>
      </c>
      <c r="C25" s="319" t="str">
        <v>P</v>
      </c>
      <c r="D25" s="1037"/>
      <c r="E25" s="6"/>
      <c r="F25" s="1319" t="s">
        <v>683</v>
      </c>
      <c r="G25" s="1320"/>
      <c r="H25" s="1321" cm="1">
        <f t="array" aca="1" ref="H25:I25" ca="1">_xlfn.ANCHORARRAY(H23)/SUMIF($O$10:$O$29,_xlfn.ANCHORARRAY(H8),_xlfn.ANCHORARRAY(T10))</f>
        <v>7402.2387361921592</v>
      </c>
      <c r="I25" s="1321">
        <f ca="1"/>
        <v>62147.138052522409</v>
      </c>
      <c r="J25" s="1321"/>
      <c r="K25" s="1321"/>
      <c r="L25" s="1321"/>
      <c r="M25" s="1321">
        <f t="shared" ca="1" si="15"/>
        <v>69549.376788714566</v>
      </c>
      <c r="N25" s="424"/>
      <c r="O25" s="415" t="str">
        <f ca="1"/>
        <v>2.2</v>
      </c>
      <c r="P25" s="416" t="str">
        <v>2.204</v>
      </c>
      <c r="Q25" s="420" t="str">
        <v>OS</v>
      </c>
      <c r="R25" s="420">
        <v>41</v>
      </c>
      <c r="S25" s="440" t="str">
        <v>BLM</v>
      </c>
      <c r="T25" s="440">
        <v>0</v>
      </c>
      <c r="U25" s="1640">
        <v>72</v>
      </c>
      <c r="V25" s="442">
        <f t="shared" si="16"/>
        <v>6</v>
      </c>
      <c r="W25" s="440">
        <f>IFERROR(FV(i_Inflate.Price/12,U25,0,-LOOKUP(Q25,i.Planning!$P$8:$P$16,i.Planning!$S$8:$S$16)),0)</f>
        <v>0</v>
      </c>
      <c r="X25" s="1270" cm="1">
        <f t="array" aca="1" ref="X25" ca="1">IFERROR(_xlfn.IFS(AK25="$/SF",R25*43560*W25,AK25="$/FF",A25*W25,AK25="$/Unit",T25*W25,AK25="C",R25*W25*43560),0)</f>
        <v>0</v>
      </c>
      <c r="Y25" s="1270" t="str">
        <f t="shared" si="6"/>
        <v/>
      </c>
      <c r="Z25" s="1270">
        <f t="shared" ca="1" si="10"/>
        <v>0</v>
      </c>
      <c r="AA25" s="1270">
        <f t="shared" ca="1" si="11"/>
        <v>0</v>
      </c>
      <c r="AB25" s="1270">
        <f t="shared" ca="1" si="12"/>
        <v>0</v>
      </c>
      <c r="AC25" s="1270">
        <f t="shared" ca="1" si="17"/>
        <v>0</v>
      </c>
      <c r="AD25" s="1273" t="str">
        <f t="shared" ca="1" si="18"/>
        <v/>
      </c>
      <c r="AE25" s="1273" t="str">
        <f t="shared" ca="1" si="14"/>
        <v/>
      </c>
      <c r="AF25" s="1273">
        <f t="shared" ca="1" si="8"/>
        <v>0</v>
      </c>
      <c r="AG25" s="424"/>
      <c r="AH25" s="38"/>
      <c r="AJ25" s="68"/>
      <c r="AK25" t="str">
        <f ca="1"/>
        <v>$/Acre</v>
      </c>
      <c r="AL25">
        <f ca="1"/>
        <v>72</v>
      </c>
    </row>
    <row r="26" spans="1:38" ht="20" customHeight="1" thickTop="1" thickBot="1">
      <c r="A26" s="319" t="str">
        <f>IFERROR(_xlfn.TEXTBEFORE(S26,"x")*T26,"")</f>
        <v/>
      </c>
      <c r="B26" s="319"/>
      <c r="C26" s="319"/>
      <c r="D26" s="1037"/>
      <c r="E26" s="6"/>
      <c r="F26" s="1306"/>
      <c r="G26" s="1304"/>
      <c r="H26" s="1305"/>
      <c r="I26" s="1305"/>
      <c r="J26" s="1305"/>
      <c r="K26" s="1305"/>
      <c r="L26" s="1305"/>
      <c r="M26" s="1305"/>
      <c r="N26" s="424"/>
      <c r="O26" s="415"/>
      <c r="P26" s="416"/>
      <c r="Q26" s="420"/>
      <c r="R26" s="420"/>
      <c r="S26" s="440"/>
      <c r="T26" s="440"/>
      <c r="U26" s="1640"/>
      <c r="V26" s="442">
        <f t="shared" si="16"/>
        <v>0</v>
      </c>
      <c r="W26" s="440">
        <f>IFERROR(FV(i_Inflate.Price/12,U26,0,-LOOKUP(Q26,i.Planning!$P$8:$P$16,i.Planning!$S$8:$S$16)),0)</f>
        <v>0</v>
      </c>
      <c r="X26" s="1270" cm="1">
        <f t="array" ref="X26">IFERROR(_xlfn.IFS(AK26="$/SF",R26*43560*W26,AK26="$/FF",A26*W26,AK26="$/Unit",T26*W26,AK26="C",R26*W26*43560),0)</f>
        <v>0</v>
      </c>
      <c r="Y26" s="1270" t="str">
        <f t="shared" si="6"/>
        <v/>
      </c>
      <c r="Z26" s="1270">
        <f t="shared" si="10"/>
        <v>0</v>
      </c>
      <c r="AA26" s="1270">
        <f t="shared" si="11"/>
        <v>0</v>
      </c>
      <c r="AB26" s="1270">
        <f t="shared" si="12"/>
        <v>0</v>
      </c>
      <c r="AC26" s="1270">
        <f t="shared" si="17"/>
        <v>0</v>
      </c>
      <c r="AD26" s="1273" t="str">
        <f t="shared" si="18"/>
        <v/>
      </c>
      <c r="AE26" s="1273" t="str">
        <f t="shared" si="14"/>
        <v/>
      </c>
      <c r="AF26" s="1273" t="str">
        <f t="shared" si="8"/>
        <v/>
      </c>
      <c r="AG26" s="424"/>
      <c r="AH26" s="38"/>
      <c r="AJ26" s="68"/>
    </row>
    <row r="27" spans="1:38" ht="20" customHeight="1" thickTop="1" thickBot="1">
      <c r="A27" s="319" t="str">
        <f>IFERROR(_xlfn.TEXTBEFORE(S27,"x")*T27,"")</f>
        <v/>
      </c>
      <c r="B27" s="319"/>
      <c r="C27" s="319"/>
      <c r="D27" s="1037"/>
      <c r="E27" s="6"/>
      <c r="F27" s="412"/>
      <c r="G27" s="1304"/>
      <c r="H27" s="1305"/>
      <c r="I27" s="1305"/>
      <c r="J27" s="1305"/>
      <c r="K27" s="1305"/>
      <c r="L27" s="1305"/>
      <c r="M27" s="1305"/>
      <c r="N27" s="424"/>
      <c r="O27" s="415"/>
      <c r="P27" s="416"/>
      <c r="Q27" s="420"/>
      <c r="R27" s="420"/>
      <c r="S27" s="440"/>
      <c r="T27" s="440"/>
      <c r="U27" s="1640"/>
      <c r="V27" s="442">
        <f t="shared" si="16"/>
        <v>0</v>
      </c>
      <c r="W27" s="440">
        <f>IFERROR(FV(i_Inflate.Price/12,U27,0,-LOOKUP(Q27,i.Planning!$P$8:$P$16,i.Planning!$S$8:$S$16)),0)</f>
        <v>0</v>
      </c>
      <c r="X27" s="1270" cm="1">
        <f t="array" ref="X27">IFERROR(_xlfn.IFS(AK27="$/SF",R27*43560*W27,AK27="$/FF",A27*W27,AK27="$/Unit",T27*W27,AK27="C",R27*W27*43560),0)</f>
        <v>0</v>
      </c>
      <c r="Y27" s="1270" t="str">
        <f t="shared" si="6"/>
        <v/>
      </c>
      <c r="Z27" s="1270">
        <f t="shared" si="10"/>
        <v>0</v>
      </c>
      <c r="AA27" s="1270">
        <f t="shared" si="11"/>
        <v>0</v>
      </c>
      <c r="AB27" s="1270">
        <f t="shared" si="12"/>
        <v>0</v>
      </c>
      <c r="AC27" s="1270">
        <f t="shared" si="17"/>
        <v>0</v>
      </c>
      <c r="AD27" s="1273" t="str">
        <f t="shared" si="18"/>
        <v/>
      </c>
      <c r="AE27" s="1273" t="str">
        <f t="shared" si="14"/>
        <v/>
      </c>
      <c r="AF27" s="1273" t="str">
        <f t="shared" si="8"/>
        <v/>
      </c>
      <c r="AG27" s="424"/>
      <c r="AH27" s="38"/>
      <c r="AJ27" s="68"/>
    </row>
    <row r="28" spans="1:38" ht="20" customHeight="1" thickTop="1" thickBot="1">
      <c r="A28" s="319" t="str">
        <f>IFERROR(_xlfn.TEXTBEFORE(S28,"x")*T28,"")</f>
        <v/>
      </c>
      <c r="B28" s="319"/>
      <c r="C28" s="319"/>
      <c r="D28" s="1037"/>
      <c r="E28" s="6"/>
      <c r="F28" s="412"/>
      <c r="G28" s="1304"/>
      <c r="H28" s="1305"/>
      <c r="I28" s="1305"/>
      <c r="J28" s="1305"/>
      <c r="K28" s="1305"/>
      <c r="L28" s="1305"/>
      <c r="M28" s="1305"/>
      <c r="N28" s="424"/>
      <c r="O28" s="415"/>
      <c r="P28" s="416"/>
      <c r="Q28" s="420"/>
      <c r="R28" s="420"/>
      <c r="S28" s="440"/>
      <c r="T28" s="440"/>
      <c r="U28" s="1640"/>
      <c r="V28" s="442">
        <f t="shared" si="16"/>
        <v>0</v>
      </c>
      <c r="W28" s="440">
        <f>IFERROR(FV(i_Inflate.Price/12,U28,0,-LOOKUP(Q28,i.Planning!$P$8:$P$16,i.Planning!$S$8:$S$16)),0)</f>
        <v>0</v>
      </c>
      <c r="X28" s="1270" cm="1">
        <f t="array" ref="X28">IFERROR(_xlfn.IFS(AK28="$/SF",R28*43560*W28,AK28="$/FF",A28*W28,AK28="$/Unit",T28*W28,AK28="C",R28*W28*43560),0)</f>
        <v>0</v>
      </c>
      <c r="Y28" s="1270" t="str">
        <f t="shared" si="6"/>
        <v/>
      </c>
      <c r="Z28" s="1270">
        <f t="shared" si="10"/>
        <v>0</v>
      </c>
      <c r="AA28" s="1270">
        <f t="shared" si="11"/>
        <v>0</v>
      </c>
      <c r="AB28" s="1270">
        <f t="shared" si="12"/>
        <v>0</v>
      </c>
      <c r="AC28" s="1270">
        <f t="shared" si="17"/>
        <v>0</v>
      </c>
      <c r="AD28" s="1273" t="str">
        <f t="shared" si="18"/>
        <v/>
      </c>
      <c r="AE28" s="1273" t="str">
        <f t="shared" si="14"/>
        <v/>
      </c>
      <c r="AF28" s="1273" t="str">
        <f t="shared" si="8"/>
        <v/>
      </c>
      <c r="AG28" s="424"/>
      <c r="AH28" s="38"/>
      <c r="AJ28" s="68"/>
    </row>
    <row r="29" spans="1:38" ht="20" customHeight="1" thickTop="1" thickBot="1">
      <c r="A29" s="319" t="str">
        <f>IFERROR(_xlfn.TEXTBEFORE(S29,"x")*T29,"")</f>
        <v/>
      </c>
      <c r="B29" s="319"/>
      <c r="C29" s="319"/>
      <c r="D29" s="1037"/>
      <c r="E29" s="6"/>
      <c r="F29" s="412"/>
      <c r="G29" s="1304"/>
      <c r="H29" s="1305"/>
      <c r="I29" s="1305"/>
      <c r="J29" s="1305"/>
      <c r="K29" s="1305"/>
      <c r="L29" s="1305"/>
      <c r="M29" s="1305"/>
      <c r="N29" s="424"/>
      <c r="O29" s="430"/>
      <c r="P29" s="431"/>
      <c r="Q29" s="432"/>
      <c r="R29" s="432"/>
      <c r="S29" s="444"/>
      <c r="T29" s="444"/>
      <c r="U29" s="1641"/>
      <c r="V29" s="444">
        <f t="shared" si="16"/>
        <v>0</v>
      </c>
      <c r="W29" s="444">
        <f>IFERROR(FV(i_Inflate.Price/12,U29,0,-LOOKUP(Q29,i.Planning!$P$8:$P$16,i.Planning!$S$8:$S$16)),0)</f>
        <v>0</v>
      </c>
      <c r="X29" s="1274" cm="1">
        <f t="array" ref="X29">IFERROR(_xlfn.IFS(AK29="$/SF",R29*43560*W29,AK29="$/FF",A29*W29,AK29="$/Unit",T29*W29,AK29="C",R29*W29*43560),0)</f>
        <v>0</v>
      </c>
      <c r="Y29" s="1274" t="str">
        <f t="shared" si="6"/>
        <v/>
      </c>
      <c r="Z29" s="1274">
        <f t="shared" si="10"/>
        <v>0</v>
      </c>
      <c r="AA29" s="1274">
        <f t="shared" si="11"/>
        <v>0</v>
      </c>
      <c r="AB29" s="1274">
        <f t="shared" si="12"/>
        <v>0</v>
      </c>
      <c r="AC29" s="1274"/>
      <c r="AD29" s="1275"/>
      <c r="AE29" s="1275"/>
      <c r="AF29" s="1275"/>
      <c r="AG29" s="424"/>
      <c r="AH29" s="38"/>
      <c r="AJ29" s="68"/>
    </row>
    <row r="30" spans="1:38" ht="20" customHeight="1" thickTop="1" thickBot="1">
      <c r="A30" s="320">
        <f>SUM(A10:A21)</f>
        <v>28775</v>
      </c>
      <c r="B30" s="320"/>
      <c r="C30" s="320"/>
      <c r="D30" s="1037"/>
      <c r="E30" s="6"/>
      <c r="F30" s="412"/>
      <c r="G30" s="1304"/>
      <c r="H30" s="1305"/>
      <c r="I30" s="1305"/>
      <c r="J30" s="1305"/>
      <c r="K30" s="1305"/>
      <c r="L30" s="1305"/>
      <c r="M30" s="1305"/>
      <c r="N30" s="424"/>
      <c r="O30" s="435" t="s">
        <v>1</v>
      </c>
      <c r="P30" s="435"/>
      <c r="Q30" s="435"/>
      <c r="R30" s="435">
        <f>SUM(_xlfn.ANCHORARRAY(R10))</f>
        <v>383</v>
      </c>
      <c r="S30" s="435">
        <f>IFERROR(A30/T30,0)</f>
        <v>16.377347751849744</v>
      </c>
      <c r="T30" s="435">
        <f>SUM(_xlfn.ANCHORARRAY(T10))</f>
        <v>1757</v>
      </c>
      <c r="U30" s="435">
        <f>COUNT(_xlfn.UNIQUE(U10:U22))</f>
        <v>2</v>
      </c>
      <c r="V30" s="435"/>
      <c r="W30" s="435"/>
      <c r="X30" s="435">
        <f ca="1">SUM(X10:X21)</f>
        <v>118493448.29150721</v>
      </c>
      <c r="Y30" s="435">
        <f>SUM(Y10:Y21)</f>
        <v>-42170522.947051242</v>
      </c>
      <c r="Z30" s="435">
        <f ca="1">IFERROR(X30+Y30,"")</f>
        <v>76322925.344455972</v>
      </c>
      <c r="AA30" s="435">
        <f ca="1">IFERROR(Z30*-i_Cost.Commisions,"")</f>
        <v>-2289687.7603336792</v>
      </c>
      <c r="AB30" s="435">
        <f ca="1">IFERROR(Z30*-i_Cost.OtherCOS,"")</f>
        <v>-763229.25344455976</v>
      </c>
      <c r="AC30" s="435">
        <f ca="1">IFERROR(Z30+AA30+AB30,"")</f>
        <v>73270008.330677748</v>
      </c>
      <c r="AD30" s="1120">
        <f ca="1">IFERROR(AC30/$A30,"")</f>
        <v>2546.3078481556126</v>
      </c>
      <c r="AE30" s="1120">
        <f ca="1">IFERROR(AC30/T30,"")</f>
        <v>41701.769112508679</v>
      </c>
      <c r="AF30" s="1120">
        <f ca="1">IFERROR($AC30/R30,"")</f>
        <v>191305.50477983747</v>
      </c>
      <c r="AG30" s="424"/>
      <c r="AH30" s="38"/>
      <c r="AJ30" s="68"/>
    </row>
    <row r="31" spans="1:38" ht="20" customHeight="1" thickTop="1" thickBot="1">
      <c r="A31" s="210"/>
      <c r="B31" s="72"/>
      <c r="C31" s="438"/>
      <c r="D31" s="1037"/>
      <c r="E31" s="6"/>
      <c r="F31" s="424"/>
      <c r="G31" s="424"/>
      <c r="H31" s="424"/>
      <c r="I31" s="424"/>
      <c r="J31" s="424"/>
      <c r="K31" s="424"/>
      <c r="L31" s="424"/>
      <c r="M31" s="424"/>
      <c r="N31" s="424"/>
      <c r="O31" s="424"/>
      <c r="P31" s="424"/>
      <c r="Q31" s="424"/>
      <c r="R31" s="424"/>
      <c r="S31" s="424"/>
      <c r="T31" s="1462"/>
      <c r="U31" s="424"/>
      <c r="V31" s="424"/>
      <c r="W31" s="424"/>
      <c r="X31" s="424"/>
      <c r="Y31" s="424"/>
      <c r="Z31" s="424"/>
      <c r="AA31" s="424"/>
      <c r="AB31" s="424"/>
      <c r="AC31" s="424"/>
      <c r="AD31" s="424"/>
      <c r="AE31" s="424"/>
      <c r="AF31" s="424"/>
      <c r="AG31" s="424"/>
      <c r="AH31" s="38"/>
      <c r="AJ31" s="68"/>
    </row>
    <row r="32" spans="1:38" ht="20" customHeight="1" thickTop="1" thickBot="1">
      <c r="A32" s="210"/>
      <c r="B32" s="72"/>
      <c r="C32" s="438"/>
      <c r="D32" s="1037"/>
      <c r="E32" s="6"/>
      <c r="F32" s="1183">
        <f>F7</f>
        <v>2</v>
      </c>
      <c r="G32" s="1183"/>
      <c r="H32" s="1183" t="s">
        <v>150</v>
      </c>
      <c r="I32" s="1183"/>
      <c r="J32" s="1183"/>
      <c r="K32" s="1183"/>
      <c r="L32" s="1183"/>
      <c r="M32" s="1183"/>
      <c r="N32" s="1183"/>
      <c r="O32" s="1183"/>
      <c r="P32" s="1183"/>
      <c r="Q32" s="1183"/>
      <c r="R32" s="1183"/>
      <c r="S32" s="1183"/>
      <c r="T32" s="1183"/>
      <c r="U32" s="1183"/>
      <c r="V32" s="1183"/>
      <c r="W32" s="1183"/>
      <c r="X32" s="1183"/>
      <c r="Y32" s="1183"/>
      <c r="Z32" s="1183"/>
      <c r="AA32" s="1183"/>
      <c r="AB32" s="1183"/>
      <c r="AC32" s="1183"/>
      <c r="AD32" s="1183"/>
      <c r="AE32" s="1183"/>
      <c r="AF32" s="1183"/>
      <c r="AG32" s="1183"/>
      <c r="AI32" s="38"/>
      <c r="AJ32" s="38"/>
      <c r="AK32" s="68"/>
    </row>
    <row r="33" spans="1:398" ht="20" customHeight="1" thickTop="1">
      <c r="A33" s="210"/>
      <c r="B33" s="72"/>
      <c r="C33" s="438"/>
      <c r="D33" s="1037"/>
      <c r="E33" s="6"/>
      <c r="F33" s="82"/>
      <c r="G33" s="110"/>
      <c r="H33" s="107" cm="1">
        <f t="array" ref="H33:AF33">TRANSPOSE(_xlfn.SEQUENCE(25))</f>
        <v>1</v>
      </c>
      <c r="I33" s="107">
        <v>2</v>
      </c>
      <c r="J33" s="107">
        <v>3</v>
      </c>
      <c r="K33" s="107">
        <v>4</v>
      </c>
      <c r="L33" s="107">
        <v>5</v>
      </c>
      <c r="M33" s="107">
        <v>6</v>
      </c>
      <c r="N33" s="107">
        <v>7</v>
      </c>
      <c r="O33" s="107">
        <v>8</v>
      </c>
      <c r="P33" s="107">
        <v>9</v>
      </c>
      <c r="Q33" s="107">
        <v>10</v>
      </c>
      <c r="R33" s="107">
        <v>11</v>
      </c>
      <c r="S33" s="107">
        <v>12</v>
      </c>
      <c r="T33" s="107">
        <v>13</v>
      </c>
      <c r="U33" s="107">
        <v>14</v>
      </c>
      <c r="V33" s="107">
        <v>15</v>
      </c>
      <c r="W33" s="107">
        <v>16</v>
      </c>
      <c r="X33" s="107">
        <v>17</v>
      </c>
      <c r="Y33" s="107">
        <v>18</v>
      </c>
      <c r="Z33" s="107">
        <v>19</v>
      </c>
      <c r="AA33" s="107">
        <v>20</v>
      </c>
      <c r="AB33" s="107">
        <v>21</v>
      </c>
      <c r="AC33" s="107">
        <v>22</v>
      </c>
      <c r="AD33" s="107">
        <v>23</v>
      </c>
      <c r="AE33" s="107">
        <v>24</v>
      </c>
      <c r="AF33" s="107">
        <v>25</v>
      </c>
      <c r="AG33" s="197"/>
      <c r="AH33" s="1116"/>
      <c r="AI33" s="1117"/>
      <c r="AJ33" s="38"/>
      <c r="AK33" s="68"/>
    </row>
    <row r="34" spans="1:398" ht="20" customHeight="1" thickBot="1">
      <c r="A34" s="210"/>
      <c r="B34" s="72"/>
      <c r="C34" s="438"/>
      <c r="D34" s="1037"/>
      <c r="E34" s="6"/>
      <c r="F34" s="109" t="s">
        <v>8</v>
      </c>
      <c r="G34" s="111"/>
      <c r="H34" s="86">
        <f>YEAR(i_Date.Start)</f>
        <v>2024</v>
      </c>
      <c r="I34" s="86">
        <f t="shared" ref="I34:AF34" si="19">H34+1</f>
        <v>2025</v>
      </c>
      <c r="J34" s="86">
        <f t="shared" si="19"/>
        <v>2026</v>
      </c>
      <c r="K34" s="86">
        <f t="shared" si="19"/>
        <v>2027</v>
      </c>
      <c r="L34" s="86">
        <f t="shared" si="19"/>
        <v>2028</v>
      </c>
      <c r="M34" s="86">
        <f t="shared" si="19"/>
        <v>2029</v>
      </c>
      <c r="N34" s="86">
        <f t="shared" si="19"/>
        <v>2030</v>
      </c>
      <c r="O34" s="86">
        <f t="shared" si="19"/>
        <v>2031</v>
      </c>
      <c r="P34" s="86">
        <f t="shared" si="19"/>
        <v>2032</v>
      </c>
      <c r="Q34" s="86">
        <f t="shared" si="19"/>
        <v>2033</v>
      </c>
      <c r="R34" s="86">
        <f t="shared" si="19"/>
        <v>2034</v>
      </c>
      <c r="S34" s="86">
        <f t="shared" si="19"/>
        <v>2035</v>
      </c>
      <c r="T34" s="86">
        <f t="shared" si="19"/>
        <v>2036</v>
      </c>
      <c r="U34" s="86">
        <f t="shared" si="19"/>
        <v>2037</v>
      </c>
      <c r="V34" s="86">
        <f t="shared" si="19"/>
        <v>2038</v>
      </c>
      <c r="W34" s="86">
        <f t="shared" si="19"/>
        <v>2039</v>
      </c>
      <c r="X34" s="86">
        <f t="shared" si="19"/>
        <v>2040</v>
      </c>
      <c r="Y34" s="86">
        <f t="shared" si="19"/>
        <v>2041</v>
      </c>
      <c r="Z34" s="86">
        <f t="shared" si="19"/>
        <v>2042</v>
      </c>
      <c r="AA34" s="86">
        <f t="shared" si="19"/>
        <v>2043</v>
      </c>
      <c r="AB34" s="86">
        <f t="shared" si="19"/>
        <v>2044</v>
      </c>
      <c r="AC34" s="86">
        <f t="shared" si="19"/>
        <v>2045</v>
      </c>
      <c r="AD34" s="86">
        <f t="shared" si="19"/>
        <v>2046</v>
      </c>
      <c r="AE34" s="86">
        <f t="shared" si="19"/>
        <v>2047</v>
      </c>
      <c r="AF34" s="86">
        <f t="shared" si="19"/>
        <v>2048</v>
      </c>
      <c r="AG34" s="196" t="s">
        <v>1</v>
      </c>
      <c r="AH34" s="1116"/>
      <c r="AI34" s="1117"/>
      <c r="AJ34" s="38"/>
      <c r="AK34" s="68"/>
    </row>
    <row r="35" spans="1:398" ht="20" customHeight="1" thickTop="1" thickBot="1">
      <c r="A35" s="210"/>
      <c r="B35" s="72"/>
      <c r="C35" s="438"/>
      <c r="D35" s="1037"/>
      <c r="E35" s="6"/>
      <c r="F35" s="1121" t="s">
        <v>151</v>
      </c>
      <c r="G35" s="422"/>
      <c r="H35" s="1122"/>
      <c r="I35" s="1122"/>
      <c r="J35" s="1122"/>
      <c r="K35" s="1122"/>
      <c r="L35" s="1122"/>
      <c r="M35" s="1122"/>
      <c r="N35" s="1122"/>
      <c r="O35" s="1122"/>
      <c r="P35" s="1122"/>
      <c r="Q35" s="1122"/>
      <c r="R35" s="1122"/>
      <c r="S35" s="1122"/>
      <c r="T35" s="1122"/>
      <c r="U35" s="1122"/>
      <c r="V35" s="1122"/>
      <c r="W35" s="1122"/>
      <c r="X35" s="1122"/>
      <c r="Y35" s="1122"/>
      <c r="Z35" s="1122"/>
      <c r="AA35" s="1122"/>
      <c r="AB35" s="1122"/>
      <c r="AC35" s="1122"/>
      <c r="AD35" s="1122"/>
      <c r="AE35" s="1122"/>
      <c r="AF35" s="1122"/>
      <c r="AG35" s="1123"/>
      <c r="AH35" s="1116"/>
      <c r="AI35" s="1117"/>
      <c r="AJ35" s="38"/>
      <c r="AK35" s="68"/>
    </row>
    <row r="36" spans="1:398" ht="18" customHeight="1" thickTop="1" thickBot="1">
      <c r="A36" s="319">
        <f ca="1">IF(F36=0,0,1)</f>
        <v>1</v>
      </c>
      <c r="B36" s="72"/>
      <c r="C36" s="438"/>
      <c r="D36" s="1037"/>
      <c r="F36" s="1293" cm="1">
        <f t="array" aca="1" ref="F36:F48" ca="1">VALUE(_xlfn._xlws.FILTER(P10:P29,cv_Sale.Prices&gt;0,))</f>
        <v>2.101</v>
      </c>
      <c r="G36" s="1291"/>
      <c r="H36" s="1122" cm="1">
        <f t="array" aca="1" ref="H36:AF36" ca="1">IF(_xlfn.ANCHORARRAY($V10)&lt;&gt;_xlfn.ANCHORARRAY(H$33),0,SUM($X10:$X10))</f>
        <v>0</v>
      </c>
      <c r="I36" s="1122">
        <f ca="1"/>
        <v>0</v>
      </c>
      <c r="J36" s="1122">
        <f ca="1"/>
        <v>0</v>
      </c>
      <c r="K36" s="1122">
        <f ca="1"/>
        <v>10497678.531923844</v>
      </c>
      <c r="L36" s="1122">
        <f ca="1"/>
        <v>0</v>
      </c>
      <c r="M36" s="1122">
        <f ca="1"/>
        <v>0</v>
      </c>
      <c r="N36" s="1122">
        <f ca="1"/>
        <v>0</v>
      </c>
      <c r="O36" s="1122">
        <f ca="1"/>
        <v>0</v>
      </c>
      <c r="P36" s="1122">
        <f ca="1"/>
        <v>0</v>
      </c>
      <c r="Q36" s="1122">
        <f ca="1"/>
        <v>0</v>
      </c>
      <c r="R36" s="1122">
        <f ca="1"/>
        <v>0</v>
      </c>
      <c r="S36" s="1122">
        <f ca="1"/>
        <v>0</v>
      </c>
      <c r="T36" s="1122">
        <f ca="1"/>
        <v>0</v>
      </c>
      <c r="U36" s="1122">
        <f ca="1"/>
        <v>0</v>
      </c>
      <c r="V36" s="1122">
        <f ca="1"/>
        <v>0</v>
      </c>
      <c r="W36" s="1122">
        <f ca="1"/>
        <v>0</v>
      </c>
      <c r="X36" s="1122">
        <f ca="1"/>
        <v>0</v>
      </c>
      <c r="Y36" s="1122">
        <f ca="1"/>
        <v>0</v>
      </c>
      <c r="Z36" s="1122">
        <f ca="1"/>
        <v>0</v>
      </c>
      <c r="AA36" s="1122">
        <f ca="1"/>
        <v>0</v>
      </c>
      <c r="AB36" s="1122">
        <f ca="1"/>
        <v>0</v>
      </c>
      <c r="AC36" s="1122">
        <f ca="1"/>
        <v>0</v>
      </c>
      <c r="AD36" s="1122">
        <f ca="1"/>
        <v>0</v>
      </c>
      <c r="AE36" s="1122">
        <f ca="1"/>
        <v>0</v>
      </c>
      <c r="AF36" s="1122">
        <f ca="1"/>
        <v>0</v>
      </c>
      <c r="AG36" s="1123">
        <f ca="1">SUM(H36:AF36)</f>
        <v>10497678.531923844</v>
      </c>
      <c r="AH36" s="1116">
        <f ca="1">A36</f>
        <v>1</v>
      </c>
      <c r="AJ36" s="38"/>
      <c r="AK36" s="68"/>
    </row>
    <row r="37" spans="1:398" ht="18" customHeight="1" thickTop="1" thickBot="1">
      <c r="A37" s="319">
        <f t="shared" ref="A37:A55" ca="1" si="20">IF(F37=0,0,1)</f>
        <v>1</v>
      </c>
      <c r="B37" s="72"/>
      <c r="C37" s="438"/>
      <c r="D37" s="1037"/>
      <c r="F37" s="1293">
        <f ca="1"/>
        <v>2.1019999999999999</v>
      </c>
      <c r="G37" s="1291"/>
      <c r="H37" s="1122" cm="1">
        <f t="array" aca="1" ref="H37:AF37" ca="1">IF(_xlfn.ANCHORARRAY($V11)&lt;&gt;_xlfn.ANCHORARRAY(H$33),0,SUM($X11:$X11))</f>
        <v>0</v>
      </c>
      <c r="I37" s="1122">
        <f ca="1"/>
        <v>0</v>
      </c>
      <c r="J37" s="1122">
        <f ca="1"/>
        <v>0</v>
      </c>
      <c r="K37" s="1122">
        <f ca="1"/>
        <v>9861865.5280573219</v>
      </c>
      <c r="L37" s="1122">
        <f ca="1"/>
        <v>0</v>
      </c>
      <c r="M37" s="1122">
        <f ca="1"/>
        <v>0</v>
      </c>
      <c r="N37" s="1122">
        <f ca="1"/>
        <v>0</v>
      </c>
      <c r="O37" s="1122">
        <f ca="1"/>
        <v>0</v>
      </c>
      <c r="P37" s="1122">
        <f ca="1"/>
        <v>0</v>
      </c>
      <c r="Q37" s="1122">
        <f ca="1"/>
        <v>0</v>
      </c>
      <c r="R37" s="1122">
        <f ca="1"/>
        <v>0</v>
      </c>
      <c r="S37" s="1122">
        <f ca="1"/>
        <v>0</v>
      </c>
      <c r="T37" s="1122">
        <f ca="1"/>
        <v>0</v>
      </c>
      <c r="U37" s="1122">
        <f ca="1"/>
        <v>0</v>
      </c>
      <c r="V37" s="1122">
        <f ca="1"/>
        <v>0</v>
      </c>
      <c r="W37" s="1122">
        <f ca="1"/>
        <v>0</v>
      </c>
      <c r="X37" s="1122">
        <f ca="1"/>
        <v>0</v>
      </c>
      <c r="Y37" s="1122">
        <f ca="1"/>
        <v>0</v>
      </c>
      <c r="Z37" s="1122">
        <f ca="1"/>
        <v>0</v>
      </c>
      <c r="AA37" s="1122">
        <f ca="1"/>
        <v>0</v>
      </c>
      <c r="AB37" s="1122">
        <f ca="1"/>
        <v>0</v>
      </c>
      <c r="AC37" s="1122">
        <f ca="1"/>
        <v>0</v>
      </c>
      <c r="AD37" s="1122">
        <f ca="1"/>
        <v>0</v>
      </c>
      <c r="AE37" s="1122">
        <f ca="1"/>
        <v>0</v>
      </c>
      <c r="AF37" s="1122">
        <f ca="1"/>
        <v>0</v>
      </c>
      <c r="AG37" s="1123"/>
      <c r="AH37" s="1116"/>
      <c r="AJ37" s="38"/>
      <c r="AK37" s="68"/>
    </row>
    <row r="38" spans="1:398" ht="18" customHeight="1" thickTop="1" thickBot="1">
      <c r="A38" s="319">
        <f t="shared" ca="1" si="20"/>
        <v>1</v>
      </c>
      <c r="B38" s="72"/>
      <c r="C38" s="438"/>
      <c r="D38" s="1037"/>
      <c r="F38" s="1293">
        <f ca="1"/>
        <v>2.1030000000000002</v>
      </c>
      <c r="G38" s="1291"/>
      <c r="H38" s="1122" cm="1">
        <f t="array" aca="1" ref="H38:AF38" ca="1">IF(_xlfn.ANCHORARRAY($V12)&lt;&gt;_xlfn.ANCHORARRAY(H$33),0,SUM($X12:$X12))</f>
        <v>0</v>
      </c>
      <c r="I38" s="1122">
        <f ca="1"/>
        <v>0</v>
      </c>
      <c r="J38" s="1122">
        <f ca="1"/>
        <v>0</v>
      </c>
      <c r="K38" s="1122">
        <f ca="1"/>
        <v>8793158.5641114675</v>
      </c>
      <c r="L38" s="1122">
        <f ca="1"/>
        <v>0</v>
      </c>
      <c r="M38" s="1122">
        <f ca="1"/>
        <v>0</v>
      </c>
      <c r="N38" s="1122">
        <f ca="1"/>
        <v>0</v>
      </c>
      <c r="O38" s="1122">
        <f ca="1"/>
        <v>0</v>
      </c>
      <c r="P38" s="1122">
        <f ca="1"/>
        <v>0</v>
      </c>
      <c r="Q38" s="1122">
        <f ca="1"/>
        <v>0</v>
      </c>
      <c r="R38" s="1122">
        <f ca="1"/>
        <v>0</v>
      </c>
      <c r="S38" s="1122">
        <f ca="1"/>
        <v>0</v>
      </c>
      <c r="T38" s="1122">
        <f ca="1"/>
        <v>0</v>
      </c>
      <c r="U38" s="1122">
        <f ca="1"/>
        <v>0</v>
      </c>
      <c r="V38" s="1122">
        <f ca="1"/>
        <v>0</v>
      </c>
      <c r="W38" s="1122">
        <f ca="1"/>
        <v>0</v>
      </c>
      <c r="X38" s="1122">
        <f ca="1"/>
        <v>0</v>
      </c>
      <c r="Y38" s="1122">
        <f ca="1"/>
        <v>0</v>
      </c>
      <c r="Z38" s="1122">
        <f ca="1"/>
        <v>0</v>
      </c>
      <c r="AA38" s="1122">
        <f ca="1"/>
        <v>0</v>
      </c>
      <c r="AB38" s="1122">
        <f ca="1"/>
        <v>0</v>
      </c>
      <c r="AC38" s="1122">
        <f ca="1"/>
        <v>0</v>
      </c>
      <c r="AD38" s="1122">
        <f ca="1"/>
        <v>0</v>
      </c>
      <c r="AE38" s="1122">
        <f ca="1"/>
        <v>0</v>
      </c>
      <c r="AF38" s="1122">
        <f ca="1"/>
        <v>0</v>
      </c>
      <c r="AG38" s="1123"/>
      <c r="AH38" s="1116"/>
      <c r="AJ38" s="38"/>
      <c r="AK38" s="68"/>
    </row>
    <row r="39" spans="1:398" ht="18" customHeight="1" thickTop="1" thickBot="1">
      <c r="A39" s="319">
        <f t="shared" ca="1" si="20"/>
        <v>1</v>
      </c>
      <c r="B39" s="72"/>
      <c r="C39" s="438"/>
      <c r="D39" s="1037"/>
      <c r="F39" s="1293">
        <f ca="1"/>
        <v>2.1040000000000001</v>
      </c>
      <c r="G39" s="1291"/>
      <c r="H39" s="1122" cm="1">
        <f t="array" aca="1" ref="H39:AF39" ca="1">IF(_xlfn.ANCHORARRAY($V13)&lt;&gt;_xlfn.ANCHORARRAY(H$33),0,SUM($X13:$X13))</f>
        <v>0</v>
      </c>
      <c r="I39" s="1122">
        <f ca="1"/>
        <v>0</v>
      </c>
      <c r="J39" s="1122">
        <f ca="1"/>
        <v>0</v>
      </c>
      <c r="K39" s="1122">
        <f ca="1"/>
        <v>12229254.372241179</v>
      </c>
      <c r="L39" s="1122">
        <f ca="1"/>
        <v>0</v>
      </c>
      <c r="M39" s="1122">
        <f ca="1"/>
        <v>0</v>
      </c>
      <c r="N39" s="1122">
        <f ca="1"/>
        <v>0</v>
      </c>
      <c r="O39" s="1122">
        <f ca="1"/>
        <v>0</v>
      </c>
      <c r="P39" s="1122">
        <f ca="1"/>
        <v>0</v>
      </c>
      <c r="Q39" s="1122">
        <f ca="1"/>
        <v>0</v>
      </c>
      <c r="R39" s="1122">
        <f ca="1"/>
        <v>0</v>
      </c>
      <c r="S39" s="1122">
        <f ca="1"/>
        <v>0</v>
      </c>
      <c r="T39" s="1122">
        <f ca="1"/>
        <v>0</v>
      </c>
      <c r="U39" s="1122">
        <f ca="1"/>
        <v>0</v>
      </c>
      <c r="V39" s="1122">
        <f ca="1"/>
        <v>0</v>
      </c>
      <c r="W39" s="1122">
        <f ca="1"/>
        <v>0</v>
      </c>
      <c r="X39" s="1122">
        <f ca="1"/>
        <v>0</v>
      </c>
      <c r="Y39" s="1122">
        <f ca="1"/>
        <v>0</v>
      </c>
      <c r="Z39" s="1122">
        <f ca="1"/>
        <v>0</v>
      </c>
      <c r="AA39" s="1122">
        <f ca="1"/>
        <v>0</v>
      </c>
      <c r="AB39" s="1122">
        <f ca="1"/>
        <v>0</v>
      </c>
      <c r="AC39" s="1122">
        <f ca="1"/>
        <v>0</v>
      </c>
      <c r="AD39" s="1122">
        <f ca="1"/>
        <v>0</v>
      </c>
      <c r="AE39" s="1122">
        <f ca="1"/>
        <v>0</v>
      </c>
      <c r="AF39" s="1122">
        <f ca="1"/>
        <v>0</v>
      </c>
      <c r="AG39" s="1123"/>
      <c r="AH39" s="1116"/>
      <c r="AJ39" s="38"/>
      <c r="AK39" s="68"/>
    </row>
    <row r="40" spans="1:398" ht="18" customHeight="1" thickTop="1" thickBot="1">
      <c r="A40" s="319">
        <f t="shared" ca="1" si="20"/>
        <v>1</v>
      </c>
      <c r="B40" s="72"/>
      <c r="C40" s="438"/>
      <c r="D40" s="1037"/>
      <c r="F40" s="1293">
        <f ca="1"/>
        <v>2.105</v>
      </c>
      <c r="G40" s="1291"/>
      <c r="H40" s="1122" cm="1">
        <f t="array" aca="1" ref="H40:AF40" ca="1">IF(_xlfn.ANCHORARRAY($V14)&lt;&gt;_xlfn.ANCHORARRAY(H$33),0,SUM($X14:$X14))</f>
        <v>0</v>
      </c>
      <c r="I40" s="1122">
        <f ca="1"/>
        <v>0</v>
      </c>
      <c r="J40" s="1122">
        <f ca="1"/>
        <v>0</v>
      </c>
      <c r="K40" s="1122">
        <f ca="1"/>
        <v>12175142.627231263</v>
      </c>
      <c r="L40" s="1122">
        <f ca="1"/>
        <v>0</v>
      </c>
      <c r="M40" s="1122">
        <f ca="1"/>
        <v>0</v>
      </c>
      <c r="N40" s="1122">
        <f ca="1"/>
        <v>0</v>
      </c>
      <c r="O40" s="1122">
        <f ca="1"/>
        <v>0</v>
      </c>
      <c r="P40" s="1122">
        <f ca="1"/>
        <v>0</v>
      </c>
      <c r="Q40" s="1122">
        <f ca="1"/>
        <v>0</v>
      </c>
      <c r="R40" s="1122">
        <f ca="1"/>
        <v>0</v>
      </c>
      <c r="S40" s="1122">
        <f ca="1"/>
        <v>0</v>
      </c>
      <c r="T40" s="1122">
        <f ca="1"/>
        <v>0</v>
      </c>
      <c r="U40" s="1122">
        <f ca="1"/>
        <v>0</v>
      </c>
      <c r="V40" s="1122">
        <f ca="1"/>
        <v>0</v>
      </c>
      <c r="W40" s="1122">
        <f ca="1"/>
        <v>0</v>
      </c>
      <c r="X40" s="1122">
        <f ca="1"/>
        <v>0</v>
      </c>
      <c r="Y40" s="1122">
        <f ca="1"/>
        <v>0</v>
      </c>
      <c r="Z40" s="1122">
        <f ca="1"/>
        <v>0</v>
      </c>
      <c r="AA40" s="1122">
        <f ca="1"/>
        <v>0</v>
      </c>
      <c r="AB40" s="1122">
        <f ca="1"/>
        <v>0</v>
      </c>
      <c r="AC40" s="1122">
        <f ca="1"/>
        <v>0</v>
      </c>
      <c r="AD40" s="1122">
        <f ca="1"/>
        <v>0</v>
      </c>
      <c r="AE40" s="1122">
        <f ca="1"/>
        <v>0</v>
      </c>
      <c r="AF40" s="1122">
        <f ca="1"/>
        <v>0</v>
      </c>
      <c r="AG40" s="1123"/>
      <c r="AH40" s="1116"/>
      <c r="AJ40" s="38"/>
      <c r="AK40" s="68"/>
    </row>
    <row r="41" spans="1:398" ht="18" customHeight="1" thickTop="1" thickBot="1">
      <c r="A41" s="319">
        <f t="shared" ca="1" si="20"/>
        <v>1</v>
      </c>
      <c r="B41" s="72"/>
      <c r="C41" s="438"/>
      <c r="D41" s="1037"/>
      <c r="F41" s="1293">
        <f ca="1"/>
        <v>2.1059999999999999</v>
      </c>
      <c r="G41" s="1291"/>
      <c r="H41" s="1122" cm="1">
        <f t="array" aca="1" ref="H41:AF41" ca="1">IF(_xlfn.ANCHORARRAY($V15)&lt;&gt;_xlfn.ANCHORARRAY(H$33),0,SUM($X15:$X15))</f>
        <v>0</v>
      </c>
      <c r="I41" s="1122">
        <f ca="1"/>
        <v>0</v>
      </c>
      <c r="J41" s="1122">
        <f ca="1"/>
        <v>0</v>
      </c>
      <c r="K41" s="1122">
        <f ca="1"/>
        <v>11634025.177132094</v>
      </c>
      <c r="L41" s="1122">
        <f ca="1"/>
        <v>0</v>
      </c>
      <c r="M41" s="1122">
        <f ca="1"/>
        <v>0</v>
      </c>
      <c r="N41" s="1122">
        <f ca="1"/>
        <v>0</v>
      </c>
      <c r="O41" s="1122">
        <f ca="1"/>
        <v>0</v>
      </c>
      <c r="P41" s="1122">
        <f ca="1"/>
        <v>0</v>
      </c>
      <c r="Q41" s="1122">
        <f ca="1"/>
        <v>0</v>
      </c>
      <c r="R41" s="1122">
        <f ca="1"/>
        <v>0</v>
      </c>
      <c r="S41" s="1122">
        <f ca="1"/>
        <v>0</v>
      </c>
      <c r="T41" s="1122">
        <f ca="1"/>
        <v>0</v>
      </c>
      <c r="U41" s="1122">
        <f ca="1"/>
        <v>0</v>
      </c>
      <c r="V41" s="1122">
        <f ca="1"/>
        <v>0</v>
      </c>
      <c r="W41" s="1122">
        <f ca="1"/>
        <v>0</v>
      </c>
      <c r="X41" s="1122">
        <f ca="1"/>
        <v>0</v>
      </c>
      <c r="Y41" s="1122">
        <f ca="1"/>
        <v>0</v>
      </c>
      <c r="Z41" s="1122">
        <f ca="1"/>
        <v>0</v>
      </c>
      <c r="AA41" s="1122">
        <f ca="1"/>
        <v>0</v>
      </c>
      <c r="AB41" s="1122">
        <f ca="1"/>
        <v>0</v>
      </c>
      <c r="AC41" s="1122">
        <f ca="1"/>
        <v>0</v>
      </c>
      <c r="AD41" s="1122">
        <f ca="1"/>
        <v>0</v>
      </c>
      <c r="AE41" s="1122">
        <f ca="1"/>
        <v>0</v>
      </c>
      <c r="AF41" s="1122">
        <f ca="1"/>
        <v>0</v>
      </c>
      <c r="AG41" s="1123"/>
      <c r="AH41" s="1116"/>
      <c r="AJ41" s="38"/>
      <c r="AK41" s="68"/>
    </row>
    <row r="42" spans="1:398" ht="18" customHeight="1" thickTop="1" thickBot="1">
      <c r="A42" s="319">
        <f t="shared" ca="1" si="20"/>
        <v>1</v>
      </c>
      <c r="B42" s="72"/>
      <c r="C42" s="438"/>
      <c r="D42" s="1037"/>
      <c r="F42" s="1293">
        <f ca="1"/>
        <v>2.1070000000000002</v>
      </c>
      <c r="G42" s="1291"/>
      <c r="H42" s="1122" cm="1">
        <f t="array" aca="1" ref="H42:AF42" ca="1">IF(_xlfn.ANCHORARRAY($V16)&lt;&gt;_xlfn.ANCHORARRAY(H$33),0,SUM($X16:$X16))</f>
        <v>0</v>
      </c>
      <c r="I42" s="1122">
        <f ca="1"/>
        <v>0</v>
      </c>
      <c r="J42" s="1122">
        <f ca="1"/>
        <v>0</v>
      </c>
      <c r="K42" s="1122">
        <f ca="1"/>
        <v>9469555.3767354265</v>
      </c>
      <c r="L42" s="1122">
        <f ca="1"/>
        <v>0</v>
      </c>
      <c r="M42" s="1122">
        <f ca="1"/>
        <v>0</v>
      </c>
      <c r="N42" s="1122">
        <f ca="1"/>
        <v>0</v>
      </c>
      <c r="O42" s="1122">
        <f ca="1"/>
        <v>0</v>
      </c>
      <c r="P42" s="1122">
        <f ca="1"/>
        <v>0</v>
      </c>
      <c r="Q42" s="1122">
        <f ca="1"/>
        <v>0</v>
      </c>
      <c r="R42" s="1122">
        <f ca="1"/>
        <v>0</v>
      </c>
      <c r="S42" s="1122">
        <f ca="1"/>
        <v>0</v>
      </c>
      <c r="T42" s="1122">
        <f ca="1"/>
        <v>0</v>
      </c>
      <c r="U42" s="1122">
        <f ca="1"/>
        <v>0</v>
      </c>
      <c r="V42" s="1122">
        <f ca="1"/>
        <v>0</v>
      </c>
      <c r="W42" s="1122">
        <f ca="1"/>
        <v>0</v>
      </c>
      <c r="X42" s="1122">
        <f ca="1"/>
        <v>0</v>
      </c>
      <c r="Y42" s="1122">
        <f ca="1"/>
        <v>0</v>
      </c>
      <c r="Z42" s="1122">
        <f ca="1"/>
        <v>0</v>
      </c>
      <c r="AA42" s="1122">
        <f ca="1"/>
        <v>0</v>
      </c>
      <c r="AB42" s="1122">
        <f ca="1"/>
        <v>0</v>
      </c>
      <c r="AC42" s="1122">
        <f ca="1"/>
        <v>0</v>
      </c>
      <c r="AD42" s="1122">
        <f ca="1"/>
        <v>0</v>
      </c>
      <c r="AE42" s="1122">
        <f ca="1"/>
        <v>0</v>
      </c>
      <c r="AF42" s="1122">
        <f ca="1"/>
        <v>0</v>
      </c>
      <c r="AG42" s="1123"/>
      <c r="AH42" s="1116"/>
      <c r="AJ42" s="38"/>
      <c r="AK42" s="68"/>
    </row>
    <row r="43" spans="1:398" ht="18" customHeight="1" thickTop="1" thickBot="1">
      <c r="A43" s="319">
        <f t="shared" ca="1" si="20"/>
        <v>1</v>
      </c>
      <c r="B43" s="72"/>
      <c r="C43" s="438"/>
      <c r="D43" s="1037"/>
      <c r="F43" s="1293">
        <f ca="1"/>
        <v>2.1080000000000001</v>
      </c>
      <c r="G43" s="1291"/>
      <c r="H43" s="1122" cm="1">
        <f t="array" aca="1" ref="H43:AF43" ca="1">IF(_xlfn.ANCHORARRAY($V17)&lt;&gt;_xlfn.ANCHORARRAY(H$33),0,SUM($X17:$X17))</f>
        <v>0</v>
      </c>
      <c r="I43" s="1122">
        <f ca="1"/>
        <v>0</v>
      </c>
      <c r="J43" s="1122">
        <f ca="1"/>
        <v>0</v>
      </c>
      <c r="K43" s="1122">
        <f ca="1"/>
        <v>6200304.1157196239</v>
      </c>
      <c r="L43" s="1122">
        <f ca="1"/>
        <v>0</v>
      </c>
      <c r="M43" s="1122">
        <f ca="1"/>
        <v>0</v>
      </c>
      <c r="N43" s="1122">
        <f ca="1"/>
        <v>0</v>
      </c>
      <c r="O43" s="1122">
        <f ca="1"/>
        <v>0</v>
      </c>
      <c r="P43" s="1122">
        <f ca="1"/>
        <v>0</v>
      </c>
      <c r="Q43" s="1122">
        <f ca="1"/>
        <v>0</v>
      </c>
      <c r="R43" s="1122">
        <f ca="1"/>
        <v>0</v>
      </c>
      <c r="S43" s="1122">
        <f ca="1"/>
        <v>0</v>
      </c>
      <c r="T43" s="1122">
        <f ca="1"/>
        <v>0</v>
      </c>
      <c r="U43" s="1122">
        <f ca="1"/>
        <v>0</v>
      </c>
      <c r="V43" s="1122">
        <f ca="1"/>
        <v>0</v>
      </c>
      <c r="W43" s="1122">
        <f ca="1"/>
        <v>0</v>
      </c>
      <c r="X43" s="1122">
        <f ca="1"/>
        <v>0</v>
      </c>
      <c r="Y43" s="1122">
        <f ca="1"/>
        <v>0</v>
      </c>
      <c r="Z43" s="1122">
        <f ca="1"/>
        <v>0</v>
      </c>
      <c r="AA43" s="1122">
        <f ca="1"/>
        <v>0</v>
      </c>
      <c r="AB43" s="1122">
        <f ca="1"/>
        <v>0</v>
      </c>
      <c r="AC43" s="1122">
        <f ca="1"/>
        <v>0</v>
      </c>
      <c r="AD43" s="1122">
        <f ca="1"/>
        <v>0</v>
      </c>
      <c r="AE43" s="1122">
        <f ca="1"/>
        <v>0</v>
      </c>
      <c r="AF43" s="1122">
        <f ca="1"/>
        <v>0</v>
      </c>
      <c r="AG43" s="1123"/>
      <c r="AH43" s="1116"/>
      <c r="AJ43" s="38"/>
      <c r="AK43" s="68"/>
    </row>
    <row r="44" spans="1:398" ht="18" customHeight="1" thickTop="1" thickBot="1">
      <c r="A44" s="319">
        <f t="shared" ca="1" si="20"/>
        <v>1</v>
      </c>
      <c r="B44" s="72"/>
      <c r="C44" s="438"/>
      <c r="D44" s="1037"/>
      <c r="E44" s="6"/>
      <c r="F44" s="1293">
        <f ca="1"/>
        <v>2.109</v>
      </c>
      <c r="G44" s="1291"/>
      <c r="H44" s="1122" cm="1">
        <f t="array" aca="1" ref="H44:AF44" ca="1">IF(_xlfn.ANCHORARRAY($V18)&lt;&gt;_xlfn.ANCHORARRAY(H$33),0,SUM($X18:$X18))</f>
        <v>0</v>
      </c>
      <c r="I44" s="1122">
        <f ca="1"/>
        <v>0</v>
      </c>
      <c r="J44" s="1122">
        <f ca="1"/>
        <v>0</v>
      </c>
      <c r="K44" s="1122">
        <f ca="1"/>
        <v>12662148.332320513</v>
      </c>
      <c r="L44" s="1122">
        <f ca="1"/>
        <v>0</v>
      </c>
      <c r="M44" s="1122">
        <f ca="1"/>
        <v>0</v>
      </c>
      <c r="N44" s="1122">
        <f ca="1"/>
        <v>0</v>
      </c>
      <c r="O44" s="1122">
        <f ca="1"/>
        <v>0</v>
      </c>
      <c r="P44" s="1122">
        <f ca="1"/>
        <v>0</v>
      </c>
      <c r="Q44" s="1122">
        <f ca="1"/>
        <v>0</v>
      </c>
      <c r="R44" s="1122">
        <f ca="1"/>
        <v>0</v>
      </c>
      <c r="S44" s="1122">
        <f ca="1"/>
        <v>0</v>
      </c>
      <c r="T44" s="1122">
        <f ca="1"/>
        <v>0</v>
      </c>
      <c r="U44" s="1122">
        <f ca="1"/>
        <v>0</v>
      </c>
      <c r="V44" s="1122">
        <f ca="1"/>
        <v>0</v>
      </c>
      <c r="W44" s="1122">
        <f ca="1"/>
        <v>0</v>
      </c>
      <c r="X44" s="1122">
        <f ca="1"/>
        <v>0</v>
      </c>
      <c r="Y44" s="1122">
        <f ca="1"/>
        <v>0</v>
      </c>
      <c r="Z44" s="1122">
        <f ca="1"/>
        <v>0</v>
      </c>
      <c r="AA44" s="1122">
        <f ca="1"/>
        <v>0</v>
      </c>
      <c r="AB44" s="1122">
        <f ca="1"/>
        <v>0</v>
      </c>
      <c r="AC44" s="1122">
        <f ca="1"/>
        <v>0</v>
      </c>
      <c r="AD44" s="1122">
        <f ca="1"/>
        <v>0</v>
      </c>
      <c r="AE44" s="1122">
        <f ca="1"/>
        <v>0</v>
      </c>
      <c r="AF44" s="1122">
        <f ca="1"/>
        <v>0</v>
      </c>
      <c r="AG44" s="1123">
        <f ca="1">SUM(H44:AF44)</f>
        <v>12662148.332320513</v>
      </c>
      <c r="AH44" s="1116"/>
      <c r="AI44" s="1085"/>
      <c r="AJ44" s="1086"/>
      <c r="AK44" s="68"/>
    </row>
    <row r="45" spans="1:398" ht="18" customHeight="1" thickTop="1" thickBot="1">
      <c r="A45" s="319">
        <f t="shared" ca="1" si="20"/>
        <v>1</v>
      </c>
      <c r="B45" s="72"/>
      <c r="C45" s="438"/>
      <c r="D45" s="1037"/>
      <c r="E45" s="6"/>
      <c r="F45" s="1293">
        <f ca="1"/>
        <v>2.11</v>
      </c>
      <c r="G45" s="1291"/>
      <c r="H45" s="1122" cm="1">
        <f t="array" aca="1" ref="H45:AF45" ca="1">IF(_xlfn.ANCHORARRAY($V19)&lt;&gt;_xlfn.ANCHORARRAY(H$33),0,SUM($X19:$X19))</f>
        <v>0</v>
      </c>
      <c r="I45" s="1122">
        <f ca="1"/>
        <v>0</v>
      </c>
      <c r="J45" s="1122">
        <f ca="1"/>
        <v>0</v>
      </c>
      <c r="K45" s="1122">
        <f ca="1"/>
        <v>14260699.466155136</v>
      </c>
      <c r="L45" s="1122">
        <f ca="1"/>
        <v>0</v>
      </c>
      <c r="M45" s="1122">
        <f ca="1"/>
        <v>0</v>
      </c>
      <c r="N45" s="1122">
        <f ca="1"/>
        <v>0</v>
      </c>
      <c r="O45" s="1122">
        <f ca="1"/>
        <v>0</v>
      </c>
      <c r="P45" s="1122">
        <f ca="1"/>
        <v>0</v>
      </c>
      <c r="Q45" s="1122">
        <f ca="1"/>
        <v>0</v>
      </c>
      <c r="R45" s="1122">
        <f ca="1"/>
        <v>0</v>
      </c>
      <c r="S45" s="1122">
        <f ca="1"/>
        <v>0</v>
      </c>
      <c r="T45" s="1122">
        <f ca="1"/>
        <v>0</v>
      </c>
      <c r="U45" s="1122">
        <f ca="1"/>
        <v>0</v>
      </c>
      <c r="V45" s="1122">
        <f ca="1"/>
        <v>0</v>
      </c>
      <c r="W45" s="1122">
        <f ca="1"/>
        <v>0</v>
      </c>
      <c r="X45" s="1122">
        <f ca="1"/>
        <v>0</v>
      </c>
      <c r="Y45" s="1122">
        <f ca="1"/>
        <v>0</v>
      </c>
      <c r="Z45" s="1122">
        <f ca="1"/>
        <v>0</v>
      </c>
      <c r="AA45" s="1122">
        <f ca="1"/>
        <v>0</v>
      </c>
      <c r="AB45" s="1122">
        <f ca="1"/>
        <v>0</v>
      </c>
      <c r="AC45" s="1122">
        <f ca="1"/>
        <v>0</v>
      </c>
      <c r="AD45" s="1122">
        <f ca="1"/>
        <v>0</v>
      </c>
      <c r="AE45" s="1122">
        <f ca="1"/>
        <v>0</v>
      </c>
      <c r="AF45" s="1122">
        <f ca="1"/>
        <v>0</v>
      </c>
      <c r="AG45" s="1123">
        <f ca="1">SUM(H45:AF45)</f>
        <v>14260699.466155136</v>
      </c>
      <c r="AI45" s="1085"/>
      <c r="AJ45" s="1086"/>
      <c r="AK45" s="68"/>
    </row>
    <row r="46" spans="1:398" ht="20" customHeight="1" thickTop="1" thickBot="1">
      <c r="A46" s="319">
        <f t="shared" ca="1" si="20"/>
        <v>1</v>
      </c>
      <c r="B46" s="72"/>
      <c r="C46" s="438"/>
      <c r="D46" s="1037"/>
      <c r="E46" s="6"/>
      <c r="F46" s="1293">
        <f ca="1"/>
        <v>2.1110000000000002</v>
      </c>
      <c r="G46" s="1291"/>
      <c r="H46" s="1122" cm="1">
        <f t="array" aca="1" ref="H46:AF46" ca="1">IF(_xlfn.ANCHORARRAY($V20)&lt;&gt;_xlfn.ANCHORARRAY(H$33),0,SUM($X20:$X20))</f>
        <v>0</v>
      </c>
      <c r="I46" s="1122">
        <f ca="1"/>
        <v>0</v>
      </c>
      <c r="J46" s="1122">
        <f ca="1"/>
        <v>0</v>
      </c>
      <c r="K46" s="1122">
        <f ca="1"/>
        <v>10709616.19987935</v>
      </c>
      <c r="L46" s="1122">
        <f ca="1"/>
        <v>0</v>
      </c>
      <c r="M46" s="1122">
        <f ca="1"/>
        <v>0</v>
      </c>
      <c r="N46" s="1122">
        <f ca="1"/>
        <v>0</v>
      </c>
      <c r="O46" s="1122">
        <f ca="1"/>
        <v>0</v>
      </c>
      <c r="P46" s="1122">
        <f ca="1"/>
        <v>0</v>
      </c>
      <c r="Q46" s="1122">
        <f ca="1"/>
        <v>0</v>
      </c>
      <c r="R46" s="1122">
        <f ca="1"/>
        <v>0</v>
      </c>
      <c r="S46" s="1122">
        <f ca="1"/>
        <v>0</v>
      </c>
      <c r="T46" s="1122">
        <f ca="1"/>
        <v>0</v>
      </c>
      <c r="U46" s="1122">
        <f ca="1"/>
        <v>0</v>
      </c>
      <c r="V46" s="1122">
        <f ca="1"/>
        <v>0</v>
      </c>
      <c r="W46" s="1122">
        <f ca="1"/>
        <v>0</v>
      </c>
      <c r="X46" s="1122">
        <f ca="1"/>
        <v>0</v>
      </c>
      <c r="Y46" s="1122">
        <f ca="1"/>
        <v>0</v>
      </c>
      <c r="Z46" s="1122">
        <f ca="1"/>
        <v>0</v>
      </c>
      <c r="AA46" s="1122">
        <f ca="1"/>
        <v>0</v>
      </c>
      <c r="AB46" s="1122">
        <f ca="1"/>
        <v>0</v>
      </c>
      <c r="AC46" s="1122">
        <f ca="1"/>
        <v>0</v>
      </c>
      <c r="AD46" s="1122">
        <f ca="1"/>
        <v>0</v>
      </c>
      <c r="AE46" s="1122">
        <f ca="1"/>
        <v>0</v>
      </c>
      <c r="AF46" s="1122">
        <f ca="1"/>
        <v>0</v>
      </c>
      <c r="AG46" s="1123">
        <f ca="1">SUM(H46:AF46)</f>
        <v>10709616.19987935</v>
      </c>
      <c r="AI46" s="1085"/>
      <c r="AJ46" s="1086"/>
      <c r="AK46" s="68"/>
    </row>
    <row r="47" spans="1:398" ht="20" customHeight="1" thickTop="1" thickBot="1">
      <c r="A47" s="319">
        <f t="shared" ca="1" si="20"/>
        <v>1</v>
      </c>
      <c r="B47" s="72"/>
      <c r="C47" s="438"/>
      <c r="E47" s="6"/>
      <c r="F47" s="1293">
        <f ca="1"/>
        <v>2.2010000000000001</v>
      </c>
      <c r="G47" s="1291"/>
      <c r="H47" s="1124" cm="1">
        <f t="array" aca="1" ref="H47:AF47" ca="1">IF(_xlfn.ANCHORARRAY($V21)&lt;&gt;_xlfn.ANCHORARRAY(H$33),0,SUM($X21:$X21))</f>
        <v>0</v>
      </c>
      <c r="I47" s="1124">
        <f ca="1"/>
        <v>0</v>
      </c>
      <c r="J47" s="1124">
        <f ca="1"/>
        <v>0</v>
      </c>
      <c r="K47" s="1124">
        <f ca="1"/>
        <v>0</v>
      </c>
      <c r="L47" s="1124">
        <f ca="1"/>
        <v>0</v>
      </c>
      <c r="M47" s="1124">
        <f ca="1"/>
        <v>0</v>
      </c>
      <c r="N47" s="1124">
        <f ca="1"/>
        <v>0</v>
      </c>
      <c r="O47" s="1124">
        <f ca="1"/>
        <v>0</v>
      </c>
      <c r="P47" s="1124">
        <f ca="1"/>
        <v>0</v>
      </c>
      <c r="Q47" s="1124">
        <f ca="1"/>
        <v>0</v>
      </c>
      <c r="R47" s="1124">
        <f ca="1"/>
        <v>0</v>
      </c>
      <c r="S47" s="1124">
        <f ca="1"/>
        <v>0</v>
      </c>
      <c r="T47" s="1124">
        <f ca="1"/>
        <v>0</v>
      </c>
      <c r="U47" s="1124">
        <f ca="1"/>
        <v>0</v>
      </c>
      <c r="V47" s="1124">
        <f ca="1"/>
        <v>0</v>
      </c>
      <c r="W47" s="1124">
        <f ca="1"/>
        <v>0</v>
      </c>
      <c r="X47" s="1124">
        <f ca="1"/>
        <v>0</v>
      </c>
      <c r="Y47" s="1124">
        <f ca="1"/>
        <v>0</v>
      </c>
      <c r="Z47" s="1124">
        <f ca="1"/>
        <v>0</v>
      </c>
      <c r="AA47" s="1124">
        <f ca="1"/>
        <v>0</v>
      </c>
      <c r="AB47" s="1124">
        <f ca="1"/>
        <v>0</v>
      </c>
      <c r="AC47" s="1124">
        <f ca="1"/>
        <v>0</v>
      </c>
      <c r="AD47" s="1124">
        <f ca="1"/>
        <v>0</v>
      </c>
      <c r="AE47" s="1124">
        <f ca="1"/>
        <v>0</v>
      </c>
      <c r="AF47" s="1124">
        <f ca="1"/>
        <v>0</v>
      </c>
      <c r="AG47" s="1125"/>
      <c r="AH47" s="1116"/>
      <c r="AI47" s="1085"/>
      <c r="AJ47" s="1086"/>
      <c r="AK47" s="68"/>
      <c r="AL47" s="118" t="s">
        <v>4</v>
      </c>
      <c r="AM47" s="190" cm="1">
        <f t="array" ref="AM47:ED47">TRANSPOSE(list_Periods.Yr)</f>
        <v>1</v>
      </c>
      <c r="AN47" s="190">
        <v>1</v>
      </c>
      <c r="AO47" s="190">
        <v>1</v>
      </c>
      <c r="AP47" s="190">
        <v>1</v>
      </c>
      <c r="AQ47" s="190">
        <v>1</v>
      </c>
      <c r="AR47" s="190">
        <v>1</v>
      </c>
      <c r="AS47" s="190">
        <v>1</v>
      </c>
      <c r="AT47" s="190">
        <v>1</v>
      </c>
      <c r="AU47" s="190">
        <v>1</v>
      </c>
      <c r="AV47" s="190">
        <v>1</v>
      </c>
      <c r="AW47" s="190">
        <v>1</v>
      </c>
      <c r="AX47" s="190">
        <v>1</v>
      </c>
      <c r="AY47" s="190">
        <v>2</v>
      </c>
      <c r="AZ47" s="190">
        <v>2</v>
      </c>
      <c r="BA47" s="190">
        <v>2</v>
      </c>
      <c r="BB47" s="190">
        <v>2</v>
      </c>
      <c r="BC47" s="190">
        <v>2</v>
      </c>
      <c r="BD47" s="190">
        <v>2</v>
      </c>
      <c r="BE47" s="190">
        <v>2</v>
      </c>
      <c r="BF47" s="190">
        <v>2</v>
      </c>
      <c r="BG47" s="190">
        <v>2</v>
      </c>
      <c r="BH47" s="190">
        <v>2</v>
      </c>
      <c r="BI47" s="190">
        <v>2</v>
      </c>
      <c r="BJ47" s="190">
        <v>2</v>
      </c>
      <c r="BK47" s="190">
        <v>3</v>
      </c>
      <c r="BL47" s="190">
        <v>3</v>
      </c>
      <c r="BM47" s="190">
        <v>3</v>
      </c>
      <c r="BN47" s="190">
        <v>3</v>
      </c>
      <c r="BO47" s="190">
        <v>3</v>
      </c>
      <c r="BP47" s="190">
        <v>3</v>
      </c>
      <c r="BQ47" s="190">
        <v>3</v>
      </c>
      <c r="BR47" s="190">
        <v>3</v>
      </c>
      <c r="BS47" s="190">
        <v>3</v>
      </c>
      <c r="BT47" s="190">
        <v>3</v>
      </c>
      <c r="BU47" s="190">
        <v>3</v>
      </c>
      <c r="BV47" s="190">
        <v>3</v>
      </c>
      <c r="BW47" s="190">
        <v>4</v>
      </c>
      <c r="BX47" s="190">
        <v>4</v>
      </c>
      <c r="BY47" s="190">
        <v>4</v>
      </c>
      <c r="BZ47" s="190">
        <v>4</v>
      </c>
      <c r="CA47" s="190">
        <v>4</v>
      </c>
      <c r="CB47" s="190">
        <v>4</v>
      </c>
      <c r="CC47" s="190">
        <v>4</v>
      </c>
      <c r="CD47" s="190">
        <v>4</v>
      </c>
      <c r="CE47" s="190">
        <v>4</v>
      </c>
      <c r="CF47" s="190">
        <v>4</v>
      </c>
      <c r="CG47" s="190">
        <v>4</v>
      </c>
      <c r="CH47" s="190">
        <v>4</v>
      </c>
      <c r="CI47" s="190">
        <v>5</v>
      </c>
      <c r="CJ47" s="190">
        <v>5</v>
      </c>
      <c r="CK47" s="190">
        <v>5</v>
      </c>
      <c r="CL47" s="190">
        <v>5</v>
      </c>
      <c r="CM47" s="190">
        <v>5</v>
      </c>
      <c r="CN47" s="190">
        <v>5</v>
      </c>
      <c r="CO47" s="190">
        <v>5</v>
      </c>
      <c r="CP47" s="190">
        <v>5</v>
      </c>
      <c r="CQ47" s="190">
        <v>5</v>
      </c>
      <c r="CR47" s="190">
        <v>5</v>
      </c>
      <c r="CS47" s="190">
        <v>5</v>
      </c>
      <c r="CT47" s="190">
        <v>5</v>
      </c>
      <c r="CU47" s="190">
        <v>6</v>
      </c>
      <c r="CV47">
        <v>6</v>
      </c>
      <c r="CW47">
        <v>6</v>
      </c>
      <c r="CX47">
        <v>6</v>
      </c>
      <c r="CY47">
        <v>6</v>
      </c>
      <c r="CZ47">
        <v>6</v>
      </c>
      <c r="DA47">
        <v>6</v>
      </c>
      <c r="DB47">
        <v>6</v>
      </c>
      <c r="DC47">
        <v>6</v>
      </c>
      <c r="DD47">
        <v>6</v>
      </c>
      <c r="DE47">
        <v>6</v>
      </c>
      <c r="DF47">
        <v>6</v>
      </c>
      <c r="DG47">
        <v>7</v>
      </c>
      <c r="DH47">
        <v>7</v>
      </c>
      <c r="DI47">
        <v>7</v>
      </c>
      <c r="DJ47">
        <v>7</v>
      </c>
      <c r="DK47">
        <v>7</v>
      </c>
      <c r="DL47">
        <v>7</v>
      </c>
      <c r="DM47">
        <v>7</v>
      </c>
      <c r="DN47">
        <v>7</v>
      </c>
      <c r="DO47">
        <v>7</v>
      </c>
      <c r="DP47">
        <v>7</v>
      </c>
      <c r="DQ47">
        <v>7</v>
      </c>
      <c r="DR47">
        <v>7</v>
      </c>
      <c r="DS47">
        <v>8</v>
      </c>
      <c r="DT47">
        <v>8</v>
      </c>
      <c r="DU47">
        <v>8</v>
      </c>
      <c r="DV47">
        <v>8</v>
      </c>
      <c r="DW47">
        <v>8</v>
      </c>
      <c r="DX47">
        <v>8</v>
      </c>
      <c r="DY47">
        <v>8</v>
      </c>
      <c r="DZ47">
        <v>8</v>
      </c>
      <c r="EA47">
        <v>8</v>
      </c>
      <c r="EB47">
        <v>8</v>
      </c>
      <c r="EC47">
        <v>8</v>
      </c>
      <c r="ED47">
        <v>8</v>
      </c>
    </row>
    <row r="48" spans="1:398" ht="20" customHeight="1" thickTop="1" thickBot="1">
      <c r="A48" s="319">
        <f t="shared" ca="1" si="20"/>
        <v>1</v>
      </c>
      <c r="B48" s="72"/>
      <c r="C48" s="438"/>
      <c r="E48" s="6"/>
      <c r="F48" s="1293">
        <f ca="1"/>
        <v>2.202</v>
      </c>
      <c r="G48" s="1291"/>
      <c r="H48" s="1124"/>
      <c r="I48" s="1124"/>
      <c r="J48" s="1124"/>
      <c r="K48" s="1124"/>
      <c r="L48" s="1124"/>
      <c r="M48" s="1124"/>
      <c r="N48" s="1124"/>
      <c r="O48" s="1124"/>
      <c r="P48" s="1124"/>
      <c r="Q48" s="1124"/>
      <c r="R48" s="1124"/>
      <c r="S48" s="1124"/>
      <c r="T48" s="1124"/>
      <c r="U48" s="1124"/>
      <c r="V48" s="1124"/>
      <c r="W48" s="1124"/>
      <c r="X48" s="1124"/>
      <c r="Y48" s="1124"/>
      <c r="Z48" s="1124"/>
      <c r="AA48" s="1124"/>
      <c r="AB48" s="1124"/>
      <c r="AC48" s="1124"/>
      <c r="AD48" s="1124"/>
      <c r="AE48" s="1124"/>
      <c r="AF48" s="1124"/>
      <c r="AG48" s="1125"/>
      <c r="AH48" s="1116"/>
      <c r="AI48" s="1085"/>
      <c r="AJ48" s="1086"/>
      <c r="AK48" s="68"/>
      <c r="AL48" s="118" t="s">
        <v>3</v>
      </c>
      <c r="AM48" s="190" cm="1">
        <f t="array" ref="AM48:ED48">TRANSPOSE(list_Periods.ALL)</f>
        <v>1</v>
      </c>
      <c r="AN48" s="190">
        <v>2</v>
      </c>
      <c r="AO48" s="190">
        <v>3</v>
      </c>
      <c r="AP48" s="190">
        <v>4</v>
      </c>
      <c r="AQ48" s="190">
        <v>5</v>
      </c>
      <c r="AR48" s="190">
        <v>6</v>
      </c>
      <c r="AS48" s="190">
        <v>7</v>
      </c>
      <c r="AT48" s="190">
        <v>8</v>
      </c>
      <c r="AU48" s="190">
        <v>9</v>
      </c>
      <c r="AV48" s="190">
        <v>10</v>
      </c>
      <c r="AW48" s="190">
        <v>11</v>
      </c>
      <c r="AX48" s="190">
        <v>12</v>
      </c>
      <c r="AY48" s="190">
        <v>13</v>
      </c>
      <c r="AZ48" s="190">
        <v>14</v>
      </c>
      <c r="BA48" s="190">
        <v>15</v>
      </c>
      <c r="BB48" s="190">
        <v>16</v>
      </c>
      <c r="BC48" s="190">
        <v>17</v>
      </c>
      <c r="BD48" s="190">
        <v>18</v>
      </c>
      <c r="BE48" s="190">
        <v>19</v>
      </c>
      <c r="BF48" s="190">
        <v>20</v>
      </c>
      <c r="BG48" s="190">
        <v>21</v>
      </c>
      <c r="BH48" s="190">
        <v>22</v>
      </c>
      <c r="BI48" s="190">
        <v>23</v>
      </c>
      <c r="BJ48" s="190">
        <v>24</v>
      </c>
      <c r="BK48" s="190">
        <v>25</v>
      </c>
      <c r="BL48" s="190">
        <v>26</v>
      </c>
      <c r="BM48" s="190">
        <v>27</v>
      </c>
      <c r="BN48" s="190">
        <v>28</v>
      </c>
      <c r="BO48" s="190">
        <v>29</v>
      </c>
      <c r="BP48" s="190">
        <v>30</v>
      </c>
      <c r="BQ48" s="190">
        <v>31</v>
      </c>
      <c r="BR48" s="190">
        <v>32</v>
      </c>
      <c r="BS48" s="190">
        <v>33</v>
      </c>
      <c r="BT48" s="190">
        <v>34</v>
      </c>
      <c r="BU48" s="190">
        <v>35</v>
      </c>
      <c r="BV48" s="190">
        <v>36</v>
      </c>
      <c r="BW48" s="190">
        <v>37</v>
      </c>
      <c r="BX48" s="190">
        <v>38</v>
      </c>
      <c r="BY48" s="190">
        <v>39</v>
      </c>
      <c r="BZ48" s="190">
        <v>40</v>
      </c>
      <c r="CA48" s="190">
        <v>41</v>
      </c>
      <c r="CB48" s="190">
        <v>42</v>
      </c>
      <c r="CC48" s="190">
        <v>43</v>
      </c>
      <c r="CD48" s="190">
        <v>44</v>
      </c>
      <c r="CE48" s="190">
        <v>45</v>
      </c>
      <c r="CF48" s="190">
        <v>46</v>
      </c>
      <c r="CG48" s="190">
        <v>47</v>
      </c>
      <c r="CH48" s="190">
        <v>48</v>
      </c>
      <c r="CI48" s="190">
        <v>49</v>
      </c>
      <c r="CJ48" s="190">
        <v>50</v>
      </c>
      <c r="CK48" s="190">
        <v>51</v>
      </c>
      <c r="CL48" s="190">
        <v>52</v>
      </c>
      <c r="CM48" s="190">
        <v>53</v>
      </c>
      <c r="CN48" s="190">
        <v>54</v>
      </c>
      <c r="CO48" s="190">
        <v>55</v>
      </c>
      <c r="CP48" s="190">
        <v>56</v>
      </c>
      <c r="CQ48" s="190">
        <v>57</v>
      </c>
      <c r="CR48" s="190">
        <v>58</v>
      </c>
      <c r="CS48" s="190">
        <v>59</v>
      </c>
      <c r="CT48" s="190">
        <v>60</v>
      </c>
      <c r="CU48" s="190">
        <v>61</v>
      </c>
      <c r="CV48" s="194">
        <v>62</v>
      </c>
      <c r="CW48" s="193">
        <v>63</v>
      </c>
      <c r="CX48" s="194">
        <v>64</v>
      </c>
      <c r="CY48" s="193">
        <v>65</v>
      </c>
      <c r="CZ48" s="194">
        <v>66</v>
      </c>
      <c r="DA48" s="193">
        <v>67</v>
      </c>
      <c r="DB48" s="194">
        <v>68</v>
      </c>
      <c r="DC48" s="193">
        <v>69</v>
      </c>
      <c r="DD48" s="194">
        <v>70</v>
      </c>
      <c r="DE48" s="193">
        <v>71</v>
      </c>
      <c r="DF48" s="194">
        <v>72</v>
      </c>
      <c r="DG48" s="193">
        <v>73</v>
      </c>
      <c r="DH48" s="194">
        <v>74</v>
      </c>
      <c r="DI48" s="193">
        <v>75</v>
      </c>
      <c r="DJ48" s="194">
        <v>76</v>
      </c>
      <c r="DK48" s="193">
        <v>77</v>
      </c>
      <c r="DL48" s="194">
        <v>78</v>
      </c>
      <c r="DM48" s="193">
        <v>79</v>
      </c>
      <c r="DN48" s="194">
        <v>80</v>
      </c>
      <c r="DO48" s="193">
        <v>81</v>
      </c>
      <c r="DP48" s="194">
        <v>82</v>
      </c>
      <c r="DQ48" s="193">
        <v>83</v>
      </c>
      <c r="DR48" s="194">
        <v>84</v>
      </c>
      <c r="DS48" s="193">
        <v>85</v>
      </c>
      <c r="DT48" s="194">
        <v>86</v>
      </c>
      <c r="DU48" s="193">
        <v>87</v>
      </c>
      <c r="DV48" s="194">
        <v>88</v>
      </c>
      <c r="DW48" s="193">
        <v>89</v>
      </c>
      <c r="DX48" s="194">
        <v>90</v>
      </c>
      <c r="DY48" s="193">
        <v>91</v>
      </c>
      <c r="DZ48" s="194">
        <v>92</v>
      </c>
      <c r="EA48" s="193">
        <v>93</v>
      </c>
      <c r="EB48" s="194">
        <v>94</v>
      </c>
      <c r="EC48" s="193">
        <v>95</v>
      </c>
      <c r="ED48" s="194">
        <v>96</v>
      </c>
      <c r="EE48" s="193"/>
      <c r="EF48" s="194"/>
      <c r="EG48" s="193"/>
      <c r="EH48" s="194"/>
      <c r="EI48" s="193"/>
      <c r="EJ48" s="194"/>
      <c r="EK48" s="193"/>
      <c r="EL48" s="194"/>
      <c r="EM48" s="193"/>
      <c r="EN48" s="194"/>
      <c r="EO48" s="193"/>
      <c r="EP48" s="194"/>
      <c r="EQ48" s="193"/>
      <c r="ER48" s="194"/>
      <c r="ES48" s="193"/>
      <c r="ET48" s="194"/>
      <c r="EU48" s="193"/>
      <c r="EV48" s="194"/>
      <c r="EW48" s="193"/>
      <c r="EX48" s="194"/>
      <c r="EY48" s="193"/>
      <c r="EZ48" s="194"/>
      <c r="FA48" s="193"/>
      <c r="FB48" s="194"/>
      <c r="FC48" s="193"/>
      <c r="FD48" s="194"/>
      <c r="FE48" s="193"/>
      <c r="FF48" s="194"/>
      <c r="FG48" s="193"/>
      <c r="FH48" s="194"/>
      <c r="FI48" s="193"/>
      <c r="FJ48" s="194"/>
      <c r="FK48" s="193"/>
      <c r="FL48" s="194"/>
      <c r="FM48" s="193"/>
      <c r="FN48" s="194"/>
      <c r="FO48" s="193"/>
      <c r="FP48" s="194"/>
      <c r="FQ48" s="193"/>
      <c r="FR48" s="194"/>
      <c r="FS48" s="193"/>
      <c r="FT48" s="194"/>
      <c r="FU48" s="193"/>
      <c r="FV48" s="194"/>
      <c r="FW48" s="193"/>
      <c r="FX48" s="194"/>
      <c r="FY48" s="193"/>
      <c r="FZ48" s="194"/>
      <c r="GA48" s="193"/>
      <c r="GB48" s="194"/>
      <c r="GC48" s="193"/>
      <c r="GD48" s="194"/>
      <c r="GE48" s="193"/>
      <c r="GF48" s="194"/>
      <c r="GG48" s="193"/>
      <c r="GH48" s="194"/>
      <c r="GI48" s="193"/>
      <c r="GJ48" s="194"/>
      <c r="GK48" s="193"/>
      <c r="GL48" s="194"/>
      <c r="GM48" s="193"/>
      <c r="GN48" s="194"/>
      <c r="GO48" s="193"/>
      <c r="GP48" s="194"/>
      <c r="GQ48" s="193"/>
      <c r="GR48" s="194"/>
      <c r="GS48" s="193"/>
      <c r="GT48" s="194"/>
      <c r="GU48" s="193"/>
      <c r="GV48" s="194"/>
      <c r="GW48" s="193"/>
      <c r="GX48" s="194"/>
      <c r="GY48" s="193"/>
      <c r="GZ48" s="194"/>
      <c r="HA48" s="193"/>
      <c r="HB48" s="194"/>
      <c r="HC48" s="193"/>
      <c r="HD48" s="194"/>
      <c r="HE48" s="193"/>
      <c r="HF48" s="194"/>
      <c r="HG48" s="193"/>
      <c r="HH48" s="194"/>
      <c r="HI48" s="193"/>
      <c r="HJ48" s="194"/>
      <c r="HK48" s="193"/>
      <c r="HL48" s="194"/>
      <c r="HM48" s="193"/>
      <c r="HN48" s="194"/>
      <c r="HO48" s="193"/>
      <c r="HP48" s="194"/>
      <c r="HQ48" s="193"/>
      <c r="HR48" s="194"/>
      <c r="HS48" s="193"/>
      <c r="HT48" s="194"/>
      <c r="HU48" s="193"/>
      <c r="HV48" s="194"/>
      <c r="HW48" s="193"/>
      <c r="HX48" s="194"/>
      <c r="HY48" s="193"/>
      <c r="HZ48" s="194"/>
      <c r="IA48" s="193"/>
      <c r="IB48" s="194"/>
      <c r="IC48" s="193"/>
      <c r="ID48" s="194"/>
      <c r="IE48" s="193"/>
      <c r="IF48" s="194"/>
      <c r="IG48" s="193"/>
      <c r="IH48" s="194"/>
      <c r="II48" s="193"/>
      <c r="IJ48" s="194"/>
      <c r="IK48" s="193"/>
      <c r="IL48" s="194"/>
      <c r="IM48" s="193"/>
      <c r="IN48" s="194"/>
      <c r="IO48" s="193"/>
      <c r="IP48" s="194"/>
      <c r="IQ48" s="193"/>
      <c r="IR48" s="194"/>
      <c r="IS48" s="193"/>
      <c r="IT48" s="194"/>
      <c r="IU48" s="193"/>
      <c r="IV48" s="194"/>
      <c r="IW48" s="193"/>
      <c r="IX48" s="194"/>
      <c r="IY48" s="193"/>
      <c r="IZ48" s="194"/>
      <c r="JA48" s="193"/>
      <c r="JB48" s="194"/>
      <c r="JC48" s="193"/>
      <c r="JD48" s="194"/>
      <c r="JE48" s="193"/>
      <c r="JF48" s="194"/>
      <c r="JG48" s="193"/>
      <c r="JH48" s="194"/>
      <c r="JI48" s="193"/>
      <c r="JJ48" s="194"/>
      <c r="JK48" s="193"/>
      <c r="JL48" s="194"/>
      <c r="JM48" s="193"/>
      <c r="JN48" s="194"/>
      <c r="JO48" s="193"/>
      <c r="JP48" s="194"/>
      <c r="JQ48" s="193"/>
      <c r="JR48" s="194"/>
      <c r="JS48" s="193"/>
      <c r="JT48" s="194"/>
      <c r="JU48" s="193"/>
      <c r="JV48" s="194"/>
      <c r="JW48" s="193"/>
      <c r="JX48" s="194"/>
      <c r="JY48" s="193"/>
      <c r="JZ48" s="194"/>
      <c r="KA48" s="193"/>
      <c r="KB48" s="194"/>
      <c r="KC48" s="193"/>
      <c r="KD48" s="194"/>
      <c r="KE48" s="193"/>
      <c r="KF48" s="194"/>
      <c r="KG48" s="193"/>
      <c r="KH48" s="194"/>
      <c r="KI48" s="193"/>
      <c r="KJ48" s="194"/>
      <c r="KK48" s="193"/>
      <c r="KL48" s="194"/>
      <c r="KM48" s="193"/>
      <c r="KN48" s="194"/>
      <c r="KO48" s="193"/>
      <c r="KP48" s="194"/>
      <c r="KQ48" s="193"/>
      <c r="KR48" s="194"/>
      <c r="KS48" s="193"/>
      <c r="KT48" s="194"/>
      <c r="KU48" s="193"/>
      <c r="KV48" s="194"/>
      <c r="KW48" s="193"/>
      <c r="KX48" s="194"/>
      <c r="KY48" s="193"/>
      <c r="KZ48" s="194"/>
      <c r="LA48" s="193"/>
      <c r="LB48" s="194"/>
      <c r="LC48" s="193"/>
      <c r="LD48" s="194"/>
      <c r="LE48" s="193"/>
      <c r="LF48" s="194"/>
      <c r="LG48" s="193"/>
      <c r="LH48" s="194"/>
      <c r="LI48" s="193"/>
      <c r="LJ48" s="194"/>
      <c r="LK48" s="193"/>
      <c r="LL48" s="194"/>
      <c r="LM48" s="193"/>
      <c r="LN48" s="194"/>
      <c r="LO48" s="193"/>
      <c r="LP48" s="194"/>
      <c r="LQ48" s="193"/>
      <c r="LR48" s="194"/>
      <c r="LS48" s="193"/>
      <c r="LT48" s="194"/>
      <c r="LU48" s="193"/>
      <c r="LV48" s="194"/>
      <c r="LW48" s="193"/>
      <c r="LX48" s="194"/>
      <c r="LY48" s="193"/>
      <c r="LZ48" s="194"/>
      <c r="MA48" s="193"/>
      <c r="MB48" s="194"/>
      <c r="MC48" s="193"/>
      <c r="MD48" s="194"/>
      <c r="ME48" s="193"/>
      <c r="MF48" s="194"/>
      <c r="MG48" s="193"/>
      <c r="MH48" s="194"/>
      <c r="MI48" s="193"/>
      <c r="MJ48" s="194"/>
      <c r="MK48" s="193"/>
      <c r="ML48" s="194"/>
      <c r="MM48" s="193"/>
      <c r="MN48" s="194"/>
      <c r="MO48" s="193"/>
      <c r="MP48" s="194"/>
      <c r="MQ48" s="193"/>
      <c r="MR48" s="194"/>
      <c r="MS48" s="193"/>
      <c r="MT48" s="194"/>
      <c r="MU48" s="193"/>
      <c r="MV48" s="194"/>
      <c r="MW48" s="193"/>
      <c r="MX48" s="194"/>
      <c r="MY48" s="193"/>
      <c r="MZ48" s="194"/>
      <c r="NA48" s="193"/>
      <c r="NB48" s="194"/>
      <c r="NC48" s="193"/>
      <c r="ND48" s="194"/>
      <c r="NE48" s="193"/>
      <c r="NF48" s="194"/>
      <c r="NG48" s="193"/>
      <c r="NH48" s="194"/>
      <c r="NI48" s="193"/>
      <c r="NJ48" s="194"/>
      <c r="NK48" s="193"/>
      <c r="NL48" s="194"/>
      <c r="NM48" s="193"/>
      <c r="NN48" s="194"/>
      <c r="NO48" s="193"/>
      <c r="NP48" s="194"/>
      <c r="NQ48" s="193"/>
      <c r="NR48" s="194"/>
      <c r="NS48" s="193"/>
      <c r="NT48" s="194"/>
      <c r="NU48" s="193"/>
      <c r="NV48" s="194"/>
      <c r="NW48" s="193"/>
      <c r="NX48" s="194"/>
      <c r="NY48" s="193"/>
      <c r="NZ48" s="194"/>
      <c r="OA48" s="193"/>
      <c r="OB48" s="194"/>
      <c r="OC48" s="193"/>
      <c r="OD48" s="194"/>
      <c r="OE48" s="193"/>
      <c r="OF48" s="194"/>
      <c r="OG48" s="193"/>
      <c r="OH48" s="193"/>
    </row>
    <row r="49" spans="1:398" ht="20" customHeight="1" thickTop="1" thickBot="1">
      <c r="A49" s="319">
        <f t="shared" si="20"/>
        <v>0</v>
      </c>
      <c r="B49" s="72"/>
      <c r="C49" s="438"/>
      <c r="E49" s="6"/>
      <c r="F49" s="1293"/>
      <c r="G49" s="1291"/>
      <c r="H49" s="1124"/>
      <c r="I49" s="1124"/>
      <c r="J49" s="1124"/>
      <c r="K49" s="1124"/>
      <c r="L49" s="1124"/>
      <c r="M49" s="1124"/>
      <c r="N49" s="1124"/>
      <c r="O49" s="1124"/>
      <c r="P49" s="1124"/>
      <c r="Q49" s="1124"/>
      <c r="R49" s="1124"/>
      <c r="S49" s="1124"/>
      <c r="T49" s="1124"/>
      <c r="U49" s="1124"/>
      <c r="V49" s="1124"/>
      <c r="W49" s="1124"/>
      <c r="X49" s="1124"/>
      <c r="Y49" s="1124"/>
      <c r="Z49" s="1124"/>
      <c r="AA49" s="1124"/>
      <c r="AB49" s="1124"/>
      <c r="AC49" s="1124"/>
      <c r="AD49" s="1124"/>
      <c r="AE49" s="1124"/>
      <c r="AF49" s="1124"/>
      <c r="AG49" s="1125"/>
      <c r="AH49" s="1116"/>
      <c r="AI49" s="1085"/>
      <c r="AJ49" s="1087"/>
      <c r="AK49" s="68"/>
      <c r="AL49" s="195" t="str" cm="1">
        <f t="array" aca="1" ref="AL49:AL50" ca="1">TRANSPOSE(_xlfn.ANCHORARRAY(H8))</f>
        <v>2.1</v>
      </c>
      <c r="AM49" s="192" cm="1">
        <f t="array" ref="AM49:ED49">IF((_xlfn.ANCHORARRAY(AM$48) &gt; H$12)*(_xlfn.ANCHORARRAY(AM$48) &lt;= $H$12 + $H$13), $H$23 / $H$13, 0)</f>
        <v>0</v>
      </c>
      <c r="AN49" s="192">
        <v>0</v>
      </c>
      <c r="AO49" s="192">
        <v>0</v>
      </c>
      <c r="AP49" s="192">
        <v>0</v>
      </c>
      <c r="AQ49" s="192">
        <v>0</v>
      </c>
      <c r="AR49" s="192">
        <v>0</v>
      </c>
      <c r="AS49" s="192">
        <v>0</v>
      </c>
      <c r="AT49" s="192">
        <v>0</v>
      </c>
      <c r="AU49" s="192">
        <v>0</v>
      </c>
      <c r="AV49" s="192">
        <v>0</v>
      </c>
      <c r="AW49" s="192">
        <v>0</v>
      </c>
      <c r="AX49" s="192">
        <v>0</v>
      </c>
      <c r="AY49" s="192">
        <v>0</v>
      </c>
      <c r="AZ49" s="192">
        <v>0</v>
      </c>
      <c r="BA49" s="192">
        <v>0</v>
      </c>
      <c r="BB49" s="192">
        <v>0</v>
      </c>
      <c r="BC49" s="192">
        <v>0</v>
      </c>
      <c r="BD49" s="192">
        <v>0</v>
      </c>
      <c r="BE49" s="192">
        <v>0</v>
      </c>
      <c r="BF49" s="192">
        <v>0</v>
      </c>
      <c r="BG49" s="192">
        <v>0</v>
      </c>
      <c r="BH49" s="192">
        <v>0</v>
      </c>
      <c r="BI49" s="192">
        <v>0</v>
      </c>
      <c r="BJ49" s="192">
        <v>0</v>
      </c>
      <c r="BK49" s="192">
        <v>484229.78399257042</v>
      </c>
      <c r="BL49" s="192">
        <v>484229.78399257042</v>
      </c>
      <c r="BM49" s="192">
        <v>484229.78399257042</v>
      </c>
      <c r="BN49" s="192">
        <v>484229.78399257042</v>
      </c>
      <c r="BO49" s="192">
        <v>484229.78399257042</v>
      </c>
      <c r="BP49" s="192">
        <v>484229.78399257042</v>
      </c>
      <c r="BQ49" s="192">
        <v>484229.78399257042</v>
      </c>
      <c r="BR49" s="192">
        <v>484229.78399257042</v>
      </c>
      <c r="BS49" s="192">
        <v>484229.78399257042</v>
      </c>
      <c r="BT49" s="192">
        <v>484229.78399257042</v>
      </c>
      <c r="BU49" s="192">
        <v>484229.78399257042</v>
      </c>
      <c r="BV49" s="192">
        <v>484229.78399257042</v>
      </c>
      <c r="BW49" s="192">
        <v>484229.78399257042</v>
      </c>
      <c r="BX49" s="192">
        <v>484229.78399257042</v>
      </c>
      <c r="BY49" s="192">
        <v>484229.78399257042</v>
      </c>
      <c r="BZ49" s="192">
        <v>484229.78399257042</v>
      </c>
      <c r="CA49" s="192">
        <v>484229.78399257042</v>
      </c>
      <c r="CB49" s="192">
        <v>484229.78399257042</v>
      </c>
      <c r="CC49" s="192">
        <v>484229.78399257042</v>
      </c>
      <c r="CD49" s="192">
        <v>484229.78399257042</v>
      </c>
      <c r="CE49" s="192">
        <v>484229.78399257042</v>
      </c>
      <c r="CF49" s="192">
        <v>484229.78399257042</v>
      </c>
      <c r="CG49" s="192">
        <v>484229.78399257042</v>
      </c>
      <c r="CH49" s="192">
        <v>484229.78399257042</v>
      </c>
      <c r="CI49" s="192">
        <v>0</v>
      </c>
      <c r="CJ49" s="192">
        <v>0</v>
      </c>
      <c r="CK49" s="192">
        <v>0</v>
      </c>
      <c r="CL49" s="192">
        <v>0</v>
      </c>
      <c r="CM49" s="192">
        <v>0</v>
      </c>
      <c r="CN49" s="192">
        <v>0</v>
      </c>
      <c r="CO49" s="192">
        <v>0</v>
      </c>
      <c r="CP49" s="192">
        <v>0</v>
      </c>
      <c r="CQ49" s="192">
        <v>0</v>
      </c>
      <c r="CR49" s="192">
        <v>0</v>
      </c>
      <c r="CS49" s="192">
        <v>0</v>
      </c>
      <c r="CT49" s="192">
        <v>0</v>
      </c>
      <c r="CU49" s="192">
        <v>0</v>
      </c>
      <c r="CV49" s="192">
        <v>0</v>
      </c>
      <c r="CW49" s="192">
        <v>0</v>
      </c>
      <c r="CX49" s="192">
        <v>0</v>
      </c>
      <c r="CY49" s="192">
        <v>0</v>
      </c>
      <c r="CZ49" s="192">
        <v>0</v>
      </c>
      <c r="DA49" s="192">
        <v>0</v>
      </c>
      <c r="DB49" s="192">
        <v>0</v>
      </c>
      <c r="DC49" s="192">
        <v>0</v>
      </c>
      <c r="DD49" s="192">
        <v>0</v>
      </c>
      <c r="DE49" s="192">
        <v>0</v>
      </c>
      <c r="DF49" s="192">
        <v>0</v>
      </c>
      <c r="DG49" s="192">
        <v>0</v>
      </c>
      <c r="DH49" s="192">
        <v>0</v>
      </c>
      <c r="DI49" s="192">
        <v>0</v>
      </c>
      <c r="DJ49" s="192">
        <v>0</v>
      </c>
      <c r="DK49" s="192">
        <v>0</v>
      </c>
      <c r="DL49" s="192">
        <v>0</v>
      </c>
      <c r="DM49" s="192">
        <v>0</v>
      </c>
      <c r="DN49" s="192">
        <v>0</v>
      </c>
      <c r="DO49" s="192">
        <v>0</v>
      </c>
      <c r="DP49" s="192">
        <v>0</v>
      </c>
      <c r="DQ49" s="192">
        <v>0</v>
      </c>
      <c r="DR49" s="192">
        <v>0</v>
      </c>
      <c r="DS49" s="192">
        <v>0</v>
      </c>
      <c r="DT49" s="192">
        <v>0</v>
      </c>
      <c r="DU49" s="192">
        <v>0</v>
      </c>
      <c r="DV49" s="192">
        <v>0</v>
      </c>
      <c r="DW49" s="192">
        <v>0</v>
      </c>
      <c r="DX49" s="192">
        <v>0</v>
      </c>
      <c r="DY49" s="192">
        <v>0</v>
      </c>
      <c r="DZ49" s="192">
        <v>0</v>
      </c>
      <c r="EA49" s="192">
        <v>0</v>
      </c>
      <c r="EB49" s="192">
        <v>0</v>
      </c>
      <c r="EC49" s="192">
        <v>0</v>
      </c>
      <c r="ED49" s="192">
        <v>0</v>
      </c>
      <c r="EE49" s="192"/>
      <c r="EF49" s="192"/>
      <c r="EG49" s="192"/>
      <c r="EH49" s="192"/>
      <c r="EI49" s="192"/>
      <c r="EJ49" s="192"/>
      <c r="EK49" s="192"/>
      <c r="EL49" s="192"/>
      <c r="EM49" s="192"/>
      <c r="EN49" s="192"/>
      <c r="EO49" s="192"/>
      <c r="EP49" s="192"/>
      <c r="EQ49" s="192"/>
      <c r="ER49" s="192"/>
      <c r="ES49" s="192"/>
      <c r="ET49" s="192"/>
      <c r="EU49" s="192"/>
      <c r="EV49" s="192"/>
      <c r="EW49" s="192"/>
      <c r="EX49" s="192"/>
      <c r="EY49" s="192"/>
      <c r="EZ49" s="192"/>
      <c r="FA49" s="192"/>
      <c r="FB49" s="192"/>
      <c r="FC49" s="192"/>
      <c r="FD49" s="192"/>
      <c r="FE49" s="192"/>
      <c r="FF49" s="192"/>
      <c r="FG49" s="192"/>
      <c r="FH49" s="192"/>
      <c r="FI49" s="192"/>
      <c r="FJ49" s="192"/>
      <c r="FK49" s="192"/>
      <c r="FL49" s="192"/>
      <c r="FM49" s="192"/>
      <c r="FN49" s="192"/>
      <c r="FO49" s="192"/>
      <c r="FP49" s="192"/>
      <c r="FQ49" s="192"/>
      <c r="FR49" s="192"/>
      <c r="FS49" s="192"/>
      <c r="FT49" s="192"/>
      <c r="FU49" s="192"/>
      <c r="FV49" s="192"/>
      <c r="FW49" s="192"/>
      <c r="FX49" s="192"/>
      <c r="FY49" s="192"/>
      <c r="FZ49" s="192"/>
      <c r="GA49" s="192"/>
      <c r="GB49" s="192"/>
      <c r="GC49" s="192"/>
      <c r="GD49" s="192"/>
      <c r="GE49" s="192"/>
      <c r="GF49" s="192"/>
      <c r="GG49" s="192"/>
      <c r="GH49" s="192"/>
      <c r="GI49" s="192"/>
      <c r="GJ49" s="192"/>
      <c r="GK49" s="192"/>
      <c r="GL49" s="192"/>
      <c r="GM49" s="192"/>
      <c r="GN49" s="192"/>
      <c r="GO49" s="192"/>
      <c r="GP49" s="192"/>
      <c r="GQ49" s="192"/>
      <c r="GR49" s="192"/>
      <c r="GS49" s="192"/>
      <c r="GT49" s="192"/>
      <c r="GU49" s="192"/>
      <c r="GV49" s="192"/>
      <c r="GW49" s="192"/>
      <c r="GX49" s="192"/>
      <c r="GY49" s="192"/>
      <c r="GZ49" s="192"/>
      <c r="HA49" s="192"/>
      <c r="HB49" s="192"/>
      <c r="HC49" s="192"/>
      <c r="HD49" s="192"/>
      <c r="HE49" s="192"/>
      <c r="HF49" s="192"/>
      <c r="HG49" s="192"/>
      <c r="HH49" s="192"/>
      <c r="HI49" s="192"/>
      <c r="HJ49" s="192"/>
      <c r="HK49" s="192"/>
      <c r="HL49" s="192"/>
      <c r="HM49" s="192"/>
      <c r="HN49" s="192"/>
      <c r="HO49" s="192"/>
      <c r="HP49" s="192"/>
      <c r="HQ49" s="192"/>
      <c r="HR49" s="192"/>
      <c r="HS49" s="192"/>
      <c r="HT49" s="192"/>
      <c r="HU49" s="192"/>
      <c r="HV49" s="192"/>
      <c r="HW49" s="192"/>
      <c r="HX49" s="192"/>
      <c r="HY49" s="192"/>
      <c r="HZ49" s="192"/>
      <c r="IA49" s="192"/>
      <c r="IB49" s="192"/>
      <c r="IC49" s="192"/>
      <c r="ID49" s="192"/>
      <c r="IE49" s="192"/>
      <c r="IF49" s="192"/>
      <c r="IG49" s="192"/>
      <c r="IH49" s="192"/>
      <c r="II49" s="192"/>
      <c r="IJ49" s="192"/>
      <c r="IK49" s="192"/>
      <c r="IL49" s="192"/>
      <c r="IM49" s="192"/>
      <c r="IN49" s="192"/>
      <c r="IO49" s="192"/>
      <c r="IP49" s="192"/>
      <c r="IQ49" s="192"/>
      <c r="IR49" s="192"/>
      <c r="IS49" s="192"/>
      <c r="IT49" s="192"/>
      <c r="IU49" s="192"/>
      <c r="IV49" s="192"/>
      <c r="IW49" s="192"/>
      <c r="IX49" s="192"/>
      <c r="IY49" s="192"/>
      <c r="IZ49" s="192"/>
      <c r="JA49" s="192"/>
      <c r="JB49" s="192"/>
      <c r="JC49" s="192"/>
      <c r="JD49" s="192"/>
      <c r="JE49" s="192"/>
      <c r="JF49" s="192"/>
      <c r="JG49" s="192"/>
      <c r="JH49" s="192"/>
      <c r="JI49" s="192"/>
      <c r="JJ49" s="192"/>
      <c r="JK49" s="192"/>
      <c r="JL49" s="192"/>
      <c r="JM49" s="192"/>
      <c r="JN49" s="192"/>
      <c r="JO49" s="192"/>
      <c r="JP49" s="192"/>
      <c r="JQ49" s="192"/>
      <c r="JR49" s="192"/>
      <c r="JS49" s="192"/>
      <c r="JT49" s="192"/>
      <c r="JU49" s="192"/>
      <c r="JV49" s="192"/>
      <c r="JW49" s="192"/>
      <c r="JX49" s="192"/>
      <c r="JY49" s="192"/>
      <c r="JZ49" s="192"/>
      <c r="KA49" s="192"/>
      <c r="KB49" s="192"/>
      <c r="KC49" s="192"/>
      <c r="KD49" s="192"/>
      <c r="KE49" s="192"/>
      <c r="KF49" s="192"/>
      <c r="KG49" s="192"/>
      <c r="KH49" s="192"/>
      <c r="KI49" s="192"/>
      <c r="KJ49" s="192"/>
      <c r="KK49" s="192"/>
      <c r="KL49" s="192"/>
      <c r="KM49" s="192"/>
      <c r="KN49" s="192"/>
      <c r="KO49" s="192"/>
      <c r="KP49" s="192"/>
      <c r="KQ49" s="192"/>
      <c r="KR49" s="192"/>
      <c r="KS49" s="192"/>
      <c r="KT49" s="192"/>
      <c r="KU49" s="192"/>
      <c r="KV49" s="192"/>
      <c r="KW49" s="192"/>
      <c r="KX49" s="192"/>
      <c r="KY49" s="192"/>
      <c r="KZ49" s="192"/>
      <c r="LA49" s="192"/>
      <c r="LB49" s="192"/>
      <c r="LC49" s="192"/>
      <c r="LD49" s="192"/>
      <c r="LE49" s="192"/>
      <c r="LF49" s="192"/>
      <c r="LG49" s="192"/>
      <c r="LH49" s="192"/>
      <c r="LI49" s="192"/>
      <c r="LJ49" s="192"/>
      <c r="LK49" s="192"/>
      <c r="LL49" s="192"/>
      <c r="LM49" s="192"/>
      <c r="LN49" s="192"/>
      <c r="LO49" s="192"/>
      <c r="LP49" s="192"/>
      <c r="LQ49" s="192"/>
      <c r="LR49" s="192"/>
      <c r="LS49" s="192"/>
      <c r="LT49" s="192"/>
      <c r="LU49" s="192"/>
      <c r="LV49" s="192"/>
      <c r="LW49" s="192"/>
      <c r="LX49" s="192"/>
      <c r="LY49" s="192"/>
      <c r="LZ49" s="192"/>
      <c r="MA49" s="192"/>
      <c r="MB49" s="192"/>
      <c r="MC49" s="192"/>
      <c r="MD49" s="192"/>
      <c r="ME49" s="192"/>
      <c r="MF49" s="192"/>
      <c r="MG49" s="192"/>
      <c r="MH49" s="192"/>
      <c r="MI49" s="192"/>
      <c r="MJ49" s="192"/>
      <c r="MK49" s="192"/>
      <c r="ML49" s="192"/>
      <c r="MM49" s="192"/>
      <c r="MN49" s="192"/>
      <c r="MO49" s="192"/>
      <c r="MP49" s="192"/>
      <c r="MQ49" s="192"/>
      <c r="MR49" s="192"/>
      <c r="MS49" s="192"/>
      <c r="MT49" s="192"/>
      <c r="MU49" s="192"/>
      <c r="MV49" s="192"/>
      <c r="MW49" s="192"/>
      <c r="MX49" s="192"/>
      <c r="MY49" s="192"/>
      <c r="MZ49" s="192"/>
      <c r="NA49" s="192"/>
      <c r="NB49" s="192"/>
      <c r="NC49" s="192"/>
      <c r="ND49" s="192"/>
      <c r="NE49" s="192"/>
      <c r="NF49" s="192"/>
      <c r="NG49" s="192"/>
      <c r="NH49" s="192"/>
      <c r="NI49" s="192"/>
      <c r="NJ49" s="192"/>
      <c r="NK49" s="192"/>
      <c r="NL49" s="192"/>
      <c r="NM49" s="192"/>
      <c r="NN49" s="192"/>
      <c r="NO49" s="192"/>
      <c r="NP49" s="192"/>
      <c r="NQ49" s="192"/>
      <c r="NR49" s="192"/>
      <c r="NS49" s="192"/>
      <c r="NT49" s="192"/>
      <c r="NU49" s="192"/>
      <c r="NV49" s="192"/>
      <c r="NW49" s="192"/>
      <c r="NX49" s="192"/>
      <c r="NY49" s="192"/>
      <c r="NZ49" s="192"/>
      <c r="OA49" s="192"/>
      <c r="OB49" s="192"/>
      <c r="OC49" s="192"/>
      <c r="OD49" s="192"/>
      <c r="OE49" s="192"/>
      <c r="OF49" s="192"/>
      <c r="OG49" s="192"/>
      <c r="OH49" s="192"/>
    </row>
    <row r="50" spans="1:398" ht="20" customHeight="1" thickTop="1" thickBot="1">
      <c r="A50" s="319">
        <f t="shared" si="20"/>
        <v>0</v>
      </c>
      <c r="B50" s="72"/>
      <c r="C50" s="438"/>
      <c r="E50" s="6"/>
      <c r="F50" s="1293"/>
      <c r="G50" s="1291"/>
      <c r="H50" s="1124"/>
      <c r="I50" s="1124"/>
      <c r="J50" s="1124"/>
      <c r="K50" s="1124"/>
      <c r="L50" s="1124"/>
      <c r="M50" s="1124"/>
      <c r="N50" s="1124"/>
      <c r="O50" s="1124"/>
      <c r="P50" s="1124"/>
      <c r="Q50" s="1124"/>
      <c r="R50" s="1124"/>
      <c r="S50" s="1124"/>
      <c r="T50" s="1124"/>
      <c r="U50" s="1124"/>
      <c r="V50" s="1124"/>
      <c r="W50" s="1124"/>
      <c r="X50" s="1124"/>
      <c r="Y50" s="1124"/>
      <c r="Z50" s="1124"/>
      <c r="AA50" s="1124"/>
      <c r="AB50" s="1124"/>
      <c r="AC50" s="1124"/>
      <c r="AD50" s="1124"/>
      <c r="AE50" s="1124"/>
      <c r="AF50" s="1124"/>
      <c r="AG50" s="1125"/>
      <c r="AH50" s="1116"/>
      <c r="AI50" s="1085"/>
      <c r="AJ50" s="1087"/>
      <c r="AK50" s="68"/>
      <c r="AL50" s="195" t="str">
        <f ca="1"/>
        <v>2.2</v>
      </c>
      <c r="AM50" s="192" cm="1">
        <f t="array" ref="AM50:ED50">IF((_xlfn.ANCHORARRAY(AM$48) &gt; I$12)*(_xlfn.ANCHORARRAY(AM$48) &lt;= $I$12 + $I$13), $I$23 / $I$13, 0)</f>
        <v>0</v>
      </c>
      <c r="AN50" s="192">
        <v>0</v>
      </c>
      <c r="AO50" s="192">
        <v>0</v>
      </c>
      <c r="AP50" s="192">
        <v>0</v>
      </c>
      <c r="AQ50" s="192">
        <v>0</v>
      </c>
      <c r="AR50" s="192">
        <v>0</v>
      </c>
      <c r="AS50" s="192">
        <v>0</v>
      </c>
      <c r="AT50" s="192">
        <v>0</v>
      </c>
      <c r="AU50" s="192">
        <v>0</v>
      </c>
      <c r="AV50" s="192">
        <v>0</v>
      </c>
      <c r="AW50" s="192">
        <v>0</v>
      </c>
      <c r="AX50" s="192">
        <v>0</v>
      </c>
      <c r="AY50" s="192">
        <v>0</v>
      </c>
      <c r="AZ50" s="192">
        <v>0</v>
      </c>
      <c r="BA50" s="192">
        <v>0</v>
      </c>
      <c r="BB50" s="192">
        <v>0</v>
      </c>
      <c r="BC50" s="192">
        <v>0</v>
      </c>
      <c r="BD50" s="192">
        <v>0</v>
      </c>
      <c r="BE50" s="192">
        <v>0</v>
      </c>
      <c r="BF50" s="192">
        <v>0</v>
      </c>
      <c r="BG50" s="192">
        <v>0</v>
      </c>
      <c r="BH50" s="192">
        <v>0</v>
      </c>
      <c r="BI50" s="192">
        <v>0</v>
      </c>
      <c r="BJ50" s="192">
        <v>0</v>
      </c>
      <c r="BK50" s="192">
        <v>0</v>
      </c>
      <c r="BL50" s="192">
        <v>0</v>
      </c>
      <c r="BM50" s="192">
        <v>0</v>
      </c>
      <c r="BN50" s="192">
        <v>0</v>
      </c>
      <c r="BO50" s="192">
        <v>0</v>
      </c>
      <c r="BP50" s="192">
        <v>0</v>
      </c>
      <c r="BQ50" s="192">
        <v>0</v>
      </c>
      <c r="BR50" s="192">
        <v>0</v>
      </c>
      <c r="BS50" s="192">
        <v>0</v>
      </c>
      <c r="BT50" s="192">
        <v>0</v>
      </c>
      <c r="BU50" s="192">
        <v>0</v>
      </c>
      <c r="BV50" s="192">
        <v>0</v>
      </c>
      <c r="BW50" s="192">
        <v>0</v>
      </c>
      <c r="BX50" s="192">
        <v>0</v>
      </c>
      <c r="BY50" s="192">
        <v>0</v>
      </c>
      <c r="BZ50" s="192">
        <v>0</v>
      </c>
      <c r="CA50" s="192">
        <v>0</v>
      </c>
      <c r="CB50" s="192">
        <v>0</v>
      </c>
      <c r="CC50" s="192">
        <v>0</v>
      </c>
      <c r="CD50" s="192">
        <v>0</v>
      </c>
      <c r="CE50" s="192">
        <v>0</v>
      </c>
      <c r="CF50" s="192">
        <v>0</v>
      </c>
      <c r="CG50" s="192">
        <v>0</v>
      </c>
      <c r="CH50" s="192">
        <v>0</v>
      </c>
      <c r="CI50" s="192">
        <v>106128.53878073423</v>
      </c>
      <c r="CJ50" s="192">
        <v>106128.53878073423</v>
      </c>
      <c r="CK50" s="192">
        <v>106128.53878073423</v>
      </c>
      <c r="CL50" s="192">
        <v>106128.53878073423</v>
      </c>
      <c r="CM50" s="192">
        <v>106128.53878073423</v>
      </c>
      <c r="CN50" s="192">
        <v>106128.53878073423</v>
      </c>
      <c r="CO50" s="192">
        <v>106128.53878073423</v>
      </c>
      <c r="CP50" s="192">
        <v>106128.53878073423</v>
      </c>
      <c r="CQ50" s="192">
        <v>106128.53878073423</v>
      </c>
      <c r="CR50" s="192">
        <v>106128.53878073423</v>
      </c>
      <c r="CS50" s="192">
        <v>106128.53878073423</v>
      </c>
      <c r="CT50" s="192">
        <v>106128.53878073423</v>
      </c>
      <c r="CU50" s="192">
        <v>106128.53878073423</v>
      </c>
      <c r="CV50" s="192">
        <v>106128.53878073423</v>
      </c>
      <c r="CW50" s="192">
        <v>106128.53878073423</v>
      </c>
      <c r="CX50" s="192">
        <v>106128.53878073423</v>
      </c>
      <c r="CY50" s="192">
        <v>106128.53878073423</v>
      </c>
      <c r="CZ50" s="192">
        <v>106128.53878073423</v>
      </c>
      <c r="DA50" s="192">
        <v>106128.53878073423</v>
      </c>
      <c r="DB50" s="192">
        <v>106128.53878073423</v>
      </c>
      <c r="DC50" s="192">
        <v>106128.53878073423</v>
      </c>
      <c r="DD50" s="192">
        <v>106128.53878073423</v>
      </c>
      <c r="DE50" s="192">
        <v>106128.53878073423</v>
      </c>
      <c r="DF50" s="192">
        <v>106128.53878073423</v>
      </c>
      <c r="DG50" s="192">
        <v>0</v>
      </c>
      <c r="DH50" s="192">
        <v>0</v>
      </c>
      <c r="DI50" s="192">
        <v>0</v>
      </c>
      <c r="DJ50" s="192">
        <v>0</v>
      </c>
      <c r="DK50" s="192">
        <v>0</v>
      </c>
      <c r="DL50" s="192">
        <v>0</v>
      </c>
      <c r="DM50" s="192">
        <v>0</v>
      </c>
      <c r="DN50" s="192">
        <v>0</v>
      </c>
      <c r="DO50" s="192">
        <v>0</v>
      </c>
      <c r="DP50" s="192">
        <v>0</v>
      </c>
      <c r="DQ50" s="192">
        <v>0</v>
      </c>
      <c r="DR50" s="192">
        <v>0</v>
      </c>
      <c r="DS50" s="192">
        <v>0</v>
      </c>
      <c r="DT50" s="192">
        <v>0</v>
      </c>
      <c r="DU50" s="192">
        <v>0</v>
      </c>
      <c r="DV50" s="192">
        <v>0</v>
      </c>
      <c r="DW50" s="192">
        <v>0</v>
      </c>
      <c r="DX50" s="192">
        <v>0</v>
      </c>
      <c r="DY50" s="192">
        <v>0</v>
      </c>
      <c r="DZ50" s="192">
        <v>0</v>
      </c>
      <c r="EA50" s="192">
        <v>0</v>
      </c>
      <c r="EB50" s="192">
        <v>0</v>
      </c>
      <c r="EC50" s="192">
        <v>0</v>
      </c>
      <c r="ED50" s="192">
        <v>0</v>
      </c>
      <c r="EE50" s="192"/>
      <c r="EF50" s="192"/>
      <c r="EG50" s="192"/>
      <c r="EH50" s="192"/>
      <c r="EI50" s="192"/>
      <c r="EJ50" s="192"/>
      <c r="EK50" s="192"/>
      <c r="EL50" s="192"/>
      <c r="EM50" s="192"/>
      <c r="EN50" s="192"/>
      <c r="EO50" s="192"/>
      <c r="EP50" s="192"/>
      <c r="EQ50" s="192"/>
      <c r="ER50" s="192"/>
      <c r="ES50" s="192"/>
      <c r="ET50" s="192"/>
      <c r="EU50" s="192"/>
      <c r="EV50" s="192"/>
      <c r="EW50" s="192"/>
      <c r="EX50" s="192"/>
      <c r="EY50" s="192"/>
      <c r="EZ50" s="192"/>
      <c r="FA50" s="192"/>
      <c r="FB50" s="192"/>
      <c r="FC50" s="192"/>
      <c r="FD50" s="192"/>
      <c r="FE50" s="192"/>
      <c r="FF50" s="192"/>
      <c r="FG50" s="192"/>
      <c r="FH50" s="192"/>
      <c r="FI50" s="192"/>
      <c r="FJ50" s="192"/>
      <c r="FK50" s="192"/>
      <c r="FL50" s="192"/>
      <c r="FM50" s="192"/>
      <c r="FN50" s="192"/>
      <c r="FO50" s="192"/>
      <c r="FP50" s="192"/>
      <c r="FQ50" s="192"/>
      <c r="FR50" s="192"/>
      <c r="FS50" s="192"/>
      <c r="FT50" s="192"/>
      <c r="FU50" s="192"/>
      <c r="FV50" s="192"/>
      <c r="FW50" s="192"/>
      <c r="FX50" s="192"/>
      <c r="FY50" s="192"/>
      <c r="FZ50" s="192"/>
      <c r="GA50" s="192"/>
      <c r="GB50" s="192"/>
      <c r="GC50" s="192"/>
      <c r="GD50" s="192"/>
      <c r="GE50" s="192"/>
      <c r="GF50" s="192"/>
      <c r="GG50" s="192"/>
      <c r="GH50" s="192"/>
      <c r="GI50" s="192"/>
      <c r="GJ50" s="192"/>
      <c r="GK50" s="192"/>
      <c r="GL50" s="192"/>
      <c r="GM50" s="192"/>
      <c r="GN50" s="192"/>
      <c r="GO50" s="192"/>
      <c r="GP50" s="192"/>
      <c r="GQ50" s="192"/>
      <c r="GR50" s="192"/>
      <c r="GS50" s="192"/>
      <c r="GT50" s="192"/>
      <c r="GU50" s="192"/>
      <c r="GV50" s="192"/>
      <c r="GW50" s="192"/>
      <c r="GX50" s="192"/>
      <c r="GY50" s="192"/>
      <c r="GZ50" s="192"/>
      <c r="HA50" s="192"/>
      <c r="HB50" s="192"/>
      <c r="HC50" s="192"/>
      <c r="HD50" s="192"/>
      <c r="HE50" s="192"/>
      <c r="HF50" s="192"/>
      <c r="HG50" s="192"/>
      <c r="HH50" s="192"/>
      <c r="HI50" s="192"/>
      <c r="HJ50" s="192"/>
      <c r="HK50" s="192"/>
      <c r="HL50" s="192"/>
      <c r="HM50" s="192"/>
      <c r="HN50" s="192"/>
      <c r="HO50" s="192"/>
      <c r="HP50" s="192"/>
      <c r="HQ50" s="192"/>
      <c r="HR50" s="192"/>
      <c r="HS50" s="192"/>
      <c r="HT50" s="192"/>
      <c r="HU50" s="192"/>
      <c r="HV50" s="192"/>
      <c r="HW50" s="192"/>
      <c r="HX50" s="192"/>
      <c r="HY50" s="192"/>
      <c r="HZ50" s="192"/>
      <c r="IA50" s="192"/>
      <c r="IB50" s="192"/>
      <c r="IC50" s="192"/>
      <c r="ID50" s="192"/>
      <c r="IE50" s="192"/>
      <c r="IF50" s="192"/>
      <c r="IG50" s="192"/>
      <c r="IH50" s="192"/>
      <c r="II50" s="192"/>
      <c r="IJ50" s="192"/>
      <c r="IK50" s="192"/>
      <c r="IL50" s="192"/>
      <c r="IM50" s="192"/>
      <c r="IN50" s="192"/>
      <c r="IO50" s="192"/>
      <c r="IP50" s="192"/>
      <c r="IQ50" s="192"/>
      <c r="IR50" s="192"/>
      <c r="IS50" s="192"/>
      <c r="IT50" s="192"/>
      <c r="IU50" s="192"/>
      <c r="IV50" s="192"/>
      <c r="IW50" s="192"/>
      <c r="IX50" s="192"/>
      <c r="IY50" s="192"/>
      <c r="IZ50" s="192"/>
      <c r="JA50" s="192"/>
      <c r="JB50" s="192"/>
      <c r="JC50" s="192"/>
      <c r="JD50" s="192"/>
      <c r="JE50" s="192"/>
      <c r="JF50" s="192"/>
      <c r="JG50" s="192"/>
      <c r="JH50" s="192"/>
      <c r="JI50" s="192"/>
      <c r="JJ50" s="192"/>
      <c r="JK50" s="192"/>
      <c r="JL50" s="192"/>
      <c r="JM50" s="192"/>
      <c r="JN50" s="192"/>
      <c r="JO50" s="192"/>
      <c r="JP50" s="192"/>
      <c r="JQ50" s="192"/>
      <c r="JR50" s="192"/>
      <c r="JS50" s="192"/>
      <c r="JT50" s="192"/>
      <c r="JU50" s="192"/>
      <c r="JV50" s="192"/>
      <c r="JW50" s="192"/>
      <c r="JX50" s="192"/>
      <c r="JY50" s="192"/>
      <c r="JZ50" s="192"/>
      <c r="KA50" s="192"/>
      <c r="KB50" s="192"/>
      <c r="KC50" s="192"/>
      <c r="KD50" s="192"/>
      <c r="KE50" s="192"/>
      <c r="KF50" s="192"/>
      <c r="KG50" s="192"/>
      <c r="KH50" s="192"/>
      <c r="KI50" s="192"/>
      <c r="KJ50" s="192"/>
      <c r="KK50" s="192"/>
      <c r="KL50" s="192"/>
      <c r="KM50" s="192"/>
      <c r="KN50" s="192"/>
      <c r="KO50" s="192"/>
      <c r="KP50" s="192"/>
      <c r="KQ50" s="192"/>
      <c r="KR50" s="192"/>
      <c r="KS50" s="192"/>
      <c r="KT50" s="192"/>
      <c r="KU50" s="192"/>
      <c r="KV50" s="192"/>
      <c r="KW50" s="192"/>
      <c r="KX50" s="192"/>
      <c r="KY50" s="192"/>
      <c r="KZ50" s="192"/>
      <c r="LA50" s="192"/>
      <c r="LB50" s="192"/>
      <c r="LC50" s="192"/>
      <c r="LD50" s="192"/>
      <c r="LE50" s="192"/>
      <c r="LF50" s="192"/>
      <c r="LG50" s="192"/>
      <c r="LH50" s="192"/>
      <c r="LI50" s="192"/>
      <c r="LJ50" s="192"/>
      <c r="LK50" s="192"/>
      <c r="LL50" s="192"/>
      <c r="LM50" s="192"/>
      <c r="LN50" s="192"/>
      <c r="LO50" s="192"/>
      <c r="LP50" s="192"/>
      <c r="LQ50" s="192"/>
      <c r="LR50" s="192"/>
      <c r="LS50" s="192"/>
      <c r="LT50" s="192"/>
      <c r="LU50" s="192"/>
      <c r="LV50" s="192"/>
      <c r="LW50" s="192"/>
      <c r="LX50" s="192"/>
      <c r="LY50" s="192"/>
      <c r="LZ50" s="192"/>
      <c r="MA50" s="192"/>
      <c r="MB50" s="192"/>
      <c r="MC50" s="192"/>
      <c r="MD50" s="192"/>
      <c r="ME50" s="192"/>
      <c r="MF50" s="192"/>
      <c r="MG50" s="192"/>
      <c r="MH50" s="192"/>
      <c r="MI50" s="192"/>
      <c r="MJ50" s="192"/>
      <c r="MK50" s="192"/>
      <c r="ML50" s="192"/>
      <c r="MM50" s="192"/>
      <c r="MN50" s="192"/>
      <c r="MO50" s="192"/>
      <c r="MP50" s="192"/>
      <c r="MQ50" s="192"/>
      <c r="MR50" s="192"/>
      <c r="MS50" s="192"/>
      <c r="MT50" s="192"/>
      <c r="MU50" s="192"/>
      <c r="MV50" s="192"/>
      <c r="MW50" s="192"/>
      <c r="MX50" s="192"/>
      <c r="MY50" s="192"/>
      <c r="MZ50" s="192"/>
      <c r="NA50" s="192"/>
      <c r="NB50" s="192"/>
      <c r="NC50" s="192"/>
      <c r="ND50" s="192"/>
      <c r="NE50" s="192"/>
      <c r="NF50" s="192"/>
      <c r="NG50" s="192"/>
      <c r="NH50" s="192"/>
      <c r="NI50" s="192"/>
      <c r="NJ50" s="192"/>
      <c r="NK50" s="192"/>
      <c r="NL50" s="192"/>
      <c r="NM50" s="192"/>
      <c r="NN50" s="192"/>
      <c r="NO50" s="192"/>
      <c r="NP50" s="192"/>
      <c r="NQ50" s="192"/>
      <c r="NR50" s="192"/>
      <c r="NS50" s="192"/>
      <c r="NT50" s="192"/>
      <c r="NU50" s="192"/>
      <c r="NV50" s="192"/>
      <c r="NW50" s="192"/>
      <c r="NX50" s="192"/>
      <c r="NY50" s="192"/>
      <c r="NZ50" s="192"/>
      <c r="OA50" s="192"/>
      <c r="OB50" s="192"/>
      <c r="OC50" s="192"/>
      <c r="OD50" s="192"/>
      <c r="OE50" s="192"/>
      <c r="OF50" s="192"/>
      <c r="OG50" s="192"/>
      <c r="OH50" s="192"/>
    </row>
    <row r="51" spans="1:398" ht="20" customHeight="1" thickTop="1" thickBot="1">
      <c r="A51" s="319">
        <f t="shared" si="20"/>
        <v>0</v>
      </c>
      <c r="B51" s="72"/>
      <c r="C51" s="438"/>
      <c r="E51" s="191"/>
      <c r="F51" s="1293"/>
      <c r="G51" s="1291"/>
      <c r="H51" s="1124"/>
      <c r="I51" s="1124"/>
      <c r="J51" s="1124"/>
      <c r="K51" s="1124"/>
      <c r="L51" s="1124"/>
      <c r="M51" s="1124"/>
      <c r="N51" s="1124"/>
      <c r="O51" s="1124"/>
      <c r="P51" s="1124"/>
      <c r="Q51" s="1124"/>
      <c r="R51" s="1124"/>
      <c r="S51" s="1124"/>
      <c r="T51" s="1124"/>
      <c r="U51" s="1124"/>
      <c r="V51" s="1124"/>
      <c r="W51" s="1124"/>
      <c r="X51" s="1124"/>
      <c r="Y51" s="1124"/>
      <c r="Z51" s="1124"/>
      <c r="AA51" s="1124"/>
      <c r="AB51" s="1124"/>
      <c r="AC51" s="1124"/>
      <c r="AD51" s="1124"/>
      <c r="AE51" s="1124"/>
      <c r="AF51" s="1124"/>
      <c r="AG51" s="1125"/>
      <c r="AH51" s="1116"/>
      <c r="AI51" s="1085"/>
      <c r="AJ51" s="1087"/>
      <c r="AK51" s="68"/>
      <c r="AL51" s="195"/>
      <c r="AM51" s="192" cm="1">
        <f t="array" ref="AM51:ED51">IF((_xlfn.ANCHORARRAY(AM$48) &gt; J$12)*(_xlfn.ANCHORARRAY(AM$48) &lt;=$J$12 + $J$13), $J$23 / $J$13, 0)</f>
        <v>0</v>
      </c>
      <c r="AN51" s="192">
        <v>0</v>
      </c>
      <c r="AO51" s="192">
        <v>0</v>
      </c>
      <c r="AP51" s="192">
        <v>0</v>
      </c>
      <c r="AQ51" s="192">
        <v>0</v>
      </c>
      <c r="AR51" s="192">
        <v>0</v>
      </c>
      <c r="AS51" s="192">
        <v>0</v>
      </c>
      <c r="AT51" s="192">
        <v>0</v>
      </c>
      <c r="AU51" s="192">
        <v>0</v>
      </c>
      <c r="AV51" s="192">
        <v>0</v>
      </c>
      <c r="AW51" s="192">
        <v>0</v>
      </c>
      <c r="AX51" s="192">
        <v>0</v>
      </c>
      <c r="AY51" s="192">
        <v>0</v>
      </c>
      <c r="AZ51" s="192">
        <v>0</v>
      </c>
      <c r="BA51" s="192">
        <v>0</v>
      </c>
      <c r="BB51" s="192">
        <v>0</v>
      </c>
      <c r="BC51" s="192">
        <v>0</v>
      </c>
      <c r="BD51" s="192">
        <v>0</v>
      </c>
      <c r="BE51" s="192">
        <v>0</v>
      </c>
      <c r="BF51" s="192">
        <v>0</v>
      </c>
      <c r="BG51" s="192">
        <v>0</v>
      </c>
      <c r="BH51" s="192">
        <v>0</v>
      </c>
      <c r="BI51" s="192">
        <v>0</v>
      </c>
      <c r="BJ51" s="192">
        <v>0</v>
      </c>
      <c r="BK51" s="192">
        <v>0</v>
      </c>
      <c r="BL51" s="192">
        <v>0</v>
      </c>
      <c r="BM51" s="192">
        <v>0</v>
      </c>
      <c r="BN51" s="192">
        <v>0</v>
      </c>
      <c r="BO51" s="192">
        <v>0</v>
      </c>
      <c r="BP51" s="192">
        <v>0</v>
      </c>
      <c r="BQ51" s="192">
        <v>0</v>
      </c>
      <c r="BR51" s="192">
        <v>0</v>
      </c>
      <c r="BS51" s="192">
        <v>0</v>
      </c>
      <c r="BT51" s="192">
        <v>0</v>
      </c>
      <c r="BU51" s="192">
        <v>0</v>
      </c>
      <c r="BV51" s="192">
        <v>0</v>
      </c>
      <c r="BW51" s="192">
        <v>0</v>
      </c>
      <c r="BX51" s="192">
        <v>0</v>
      </c>
      <c r="BY51" s="192">
        <v>0</v>
      </c>
      <c r="BZ51" s="192">
        <v>0</v>
      </c>
      <c r="CA51" s="192">
        <v>0</v>
      </c>
      <c r="CB51" s="192">
        <v>0</v>
      </c>
      <c r="CC51" s="192">
        <v>0</v>
      </c>
      <c r="CD51" s="192">
        <v>0</v>
      </c>
      <c r="CE51" s="192">
        <v>0</v>
      </c>
      <c r="CF51" s="192">
        <v>0</v>
      </c>
      <c r="CG51" s="192">
        <v>0</v>
      </c>
      <c r="CH51" s="192">
        <v>0</v>
      </c>
      <c r="CI51" s="192">
        <v>0</v>
      </c>
      <c r="CJ51" s="192">
        <v>0</v>
      </c>
      <c r="CK51" s="192">
        <v>0</v>
      </c>
      <c r="CL51" s="192">
        <v>0</v>
      </c>
      <c r="CM51" s="192">
        <v>0</v>
      </c>
      <c r="CN51" s="192">
        <v>0</v>
      </c>
      <c r="CO51" s="192">
        <v>0</v>
      </c>
      <c r="CP51" s="192">
        <v>0</v>
      </c>
      <c r="CQ51" s="192">
        <v>0</v>
      </c>
      <c r="CR51" s="192">
        <v>0</v>
      </c>
      <c r="CS51" s="192">
        <v>0</v>
      </c>
      <c r="CT51" s="192">
        <v>0</v>
      </c>
      <c r="CU51" s="192">
        <v>0</v>
      </c>
      <c r="CV51" s="192">
        <v>0</v>
      </c>
      <c r="CW51" s="192">
        <v>0</v>
      </c>
      <c r="CX51" s="192">
        <v>0</v>
      </c>
      <c r="CY51" s="192">
        <v>0</v>
      </c>
      <c r="CZ51" s="192">
        <v>0</v>
      </c>
      <c r="DA51" s="192">
        <v>0</v>
      </c>
      <c r="DB51" s="192">
        <v>0</v>
      </c>
      <c r="DC51" s="192">
        <v>0</v>
      </c>
      <c r="DD51" s="192">
        <v>0</v>
      </c>
      <c r="DE51" s="192">
        <v>0</v>
      </c>
      <c r="DF51" s="192">
        <v>0</v>
      </c>
      <c r="DG51" s="192">
        <v>0</v>
      </c>
      <c r="DH51" s="192">
        <v>0</v>
      </c>
      <c r="DI51" s="192">
        <v>0</v>
      </c>
      <c r="DJ51" s="192">
        <v>0</v>
      </c>
      <c r="DK51" s="192">
        <v>0</v>
      </c>
      <c r="DL51" s="192">
        <v>0</v>
      </c>
      <c r="DM51" s="192">
        <v>0</v>
      </c>
      <c r="DN51" s="192">
        <v>0</v>
      </c>
      <c r="DO51" s="192">
        <v>0</v>
      </c>
      <c r="DP51" s="192">
        <v>0</v>
      </c>
      <c r="DQ51" s="192">
        <v>0</v>
      </c>
      <c r="DR51" s="192">
        <v>0</v>
      </c>
      <c r="DS51" s="192">
        <v>0</v>
      </c>
      <c r="DT51" s="192">
        <v>0</v>
      </c>
      <c r="DU51" s="192">
        <v>0</v>
      </c>
      <c r="DV51" s="192">
        <v>0</v>
      </c>
      <c r="DW51" s="192">
        <v>0</v>
      </c>
      <c r="DX51" s="192">
        <v>0</v>
      </c>
      <c r="DY51" s="192">
        <v>0</v>
      </c>
      <c r="DZ51" s="192">
        <v>0</v>
      </c>
      <c r="EA51" s="192">
        <v>0</v>
      </c>
      <c r="EB51" s="192">
        <v>0</v>
      </c>
      <c r="EC51" s="192">
        <v>0</v>
      </c>
      <c r="ED51" s="192">
        <v>0</v>
      </c>
      <c r="EE51" s="192"/>
      <c r="EF51" s="192"/>
      <c r="EG51" s="192"/>
      <c r="EH51" s="192"/>
      <c r="EI51" s="192"/>
      <c r="EJ51" s="192"/>
      <c r="EK51" s="192"/>
      <c r="EL51" s="192"/>
      <c r="EM51" s="192"/>
      <c r="EN51" s="192"/>
      <c r="EO51" s="192"/>
      <c r="EP51" s="192"/>
      <c r="EQ51" s="192"/>
      <c r="ER51" s="192"/>
      <c r="ES51" s="192"/>
      <c r="ET51" s="192"/>
      <c r="EU51" s="192"/>
      <c r="EV51" s="192"/>
      <c r="EW51" s="192"/>
      <c r="EX51" s="192"/>
      <c r="EY51" s="192"/>
      <c r="EZ51" s="192"/>
      <c r="FA51" s="192"/>
      <c r="FB51" s="192"/>
      <c r="FC51" s="192"/>
      <c r="FD51" s="192"/>
      <c r="FE51" s="192"/>
      <c r="FF51" s="192"/>
      <c r="FG51" s="192"/>
      <c r="FH51" s="192"/>
      <c r="FI51" s="192"/>
      <c r="FJ51" s="192"/>
      <c r="FK51" s="192"/>
      <c r="FL51" s="192"/>
      <c r="FM51" s="192"/>
      <c r="FN51" s="192"/>
      <c r="FO51" s="192"/>
      <c r="FP51" s="192"/>
      <c r="FQ51" s="192"/>
      <c r="FR51" s="192"/>
      <c r="FS51" s="192"/>
      <c r="FT51" s="192"/>
      <c r="FU51" s="192"/>
      <c r="FV51" s="192"/>
      <c r="FW51" s="192"/>
      <c r="FX51" s="192"/>
      <c r="FY51" s="192"/>
      <c r="FZ51" s="192"/>
      <c r="GA51" s="192"/>
      <c r="GB51" s="192"/>
      <c r="GC51" s="192"/>
      <c r="GD51" s="192"/>
      <c r="GE51" s="192"/>
      <c r="GF51" s="192"/>
      <c r="GG51" s="192"/>
      <c r="GH51" s="192"/>
      <c r="GI51" s="192"/>
      <c r="GJ51" s="192"/>
      <c r="GK51" s="192"/>
      <c r="GL51" s="192"/>
      <c r="GM51" s="192"/>
      <c r="GN51" s="192"/>
      <c r="GO51" s="192"/>
      <c r="GP51" s="192"/>
      <c r="GQ51" s="192"/>
      <c r="GR51" s="192"/>
      <c r="GS51" s="192"/>
      <c r="GT51" s="192"/>
      <c r="GU51" s="192"/>
      <c r="GV51" s="192"/>
      <c r="GW51" s="192"/>
      <c r="GX51" s="192"/>
      <c r="GY51" s="192"/>
      <c r="GZ51" s="192"/>
      <c r="HA51" s="192"/>
      <c r="HB51" s="192"/>
      <c r="HC51" s="192"/>
      <c r="HD51" s="192"/>
      <c r="HE51" s="192"/>
      <c r="HF51" s="192"/>
      <c r="HG51" s="192"/>
      <c r="HH51" s="192"/>
      <c r="HI51" s="192"/>
      <c r="HJ51" s="192"/>
      <c r="HK51" s="192"/>
      <c r="HL51" s="192"/>
      <c r="HM51" s="192"/>
      <c r="HN51" s="192"/>
      <c r="HO51" s="192"/>
      <c r="HP51" s="192"/>
      <c r="HQ51" s="192"/>
      <c r="HR51" s="192"/>
      <c r="HS51" s="192"/>
      <c r="HT51" s="192"/>
      <c r="HU51" s="192"/>
      <c r="HV51" s="192"/>
      <c r="HW51" s="192"/>
      <c r="HX51" s="192"/>
      <c r="HY51" s="192"/>
      <c r="HZ51" s="192"/>
      <c r="IA51" s="192"/>
      <c r="IB51" s="192"/>
      <c r="IC51" s="192"/>
      <c r="ID51" s="192"/>
      <c r="IE51" s="192"/>
      <c r="IF51" s="192"/>
      <c r="IG51" s="192"/>
      <c r="IH51" s="192"/>
      <c r="II51" s="192"/>
      <c r="IJ51" s="192"/>
      <c r="IK51" s="192"/>
      <c r="IL51" s="192"/>
      <c r="IM51" s="192"/>
      <c r="IN51" s="192"/>
      <c r="IO51" s="192"/>
      <c r="IP51" s="192"/>
      <c r="IQ51" s="192"/>
      <c r="IR51" s="192"/>
      <c r="IS51" s="192"/>
      <c r="IT51" s="192"/>
      <c r="IU51" s="192"/>
      <c r="IV51" s="192"/>
      <c r="IW51" s="192"/>
      <c r="IX51" s="192"/>
      <c r="IY51" s="192"/>
      <c r="IZ51" s="192"/>
      <c r="JA51" s="192"/>
      <c r="JB51" s="192"/>
      <c r="JC51" s="192"/>
      <c r="JD51" s="192"/>
      <c r="JE51" s="192"/>
      <c r="JF51" s="192"/>
      <c r="JG51" s="192"/>
      <c r="JH51" s="192"/>
      <c r="JI51" s="192"/>
      <c r="JJ51" s="192"/>
      <c r="JK51" s="192"/>
      <c r="JL51" s="192"/>
      <c r="JM51" s="192"/>
      <c r="JN51" s="192"/>
      <c r="JO51" s="192"/>
      <c r="JP51" s="192"/>
      <c r="JQ51" s="192"/>
      <c r="JR51" s="192"/>
      <c r="JS51" s="192"/>
      <c r="JT51" s="192"/>
      <c r="JU51" s="192"/>
      <c r="JV51" s="192"/>
      <c r="JW51" s="192"/>
      <c r="JX51" s="192"/>
      <c r="JY51" s="192"/>
      <c r="JZ51" s="192"/>
      <c r="KA51" s="192"/>
      <c r="KB51" s="192"/>
      <c r="KC51" s="192"/>
      <c r="KD51" s="192"/>
      <c r="KE51" s="192"/>
      <c r="KF51" s="192"/>
      <c r="KG51" s="192"/>
      <c r="KH51" s="192"/>
      <c r="KI51" s="192"/>
      <c r="KJ51" s="192"/>
      <c r="KK51" s="192"/>
      <c r="KL51" s="192"/>
      <c r="KM51" s="192"/>
      <c r="KN51" s="192"/>
      <c r="KO51" s="192"/>
      <c r="KP51" s="192"/>
      <c r="KQ51" s="192"/>
      <c r="KR51" s="192"/>
      <c r="KS51" s="192"/>
      <c r="KT51" s="192"/>
      <c r="KU51" s="192"/>
      <c r="KV51" s="192"/>
      <c r="KW51" s="192"/>
      <c r="KX51" s="192"/>
      <c r="KY51" s="192"/>
      <c r="KZ51" s="192"/>
      <c r="LA51" s="192"/>
      <c r="LB51" s="192"/>
      <c r="LC51" s="192"/>
      <c r="LD51" s="192"/>
      <c r="LE51" s="192"/>
      <c r="LF51" s="192"/>
      <c r="LG51" s="192"/>
      <c r="LH51" s="192"/>
      <c r="LI51" s="192"/>
      <c r="LJ51" s="192"/>
      <c r="LK51" s="192"/>
      <c r="LL51" s="192"/>
      <c r="LM51" s="192"/>
      <c r="LN51" s="192"/>
      <c r="LO51" s="192"/>
      <c r="LP51" s="192"/>
      <c r="LQ51" s="192"/>
      <c r="LR51" s="192"/>
      <c r="LS51" s="192"/>
      <c r="LT51" s="192"/>
      <c r="LU51" s="192"/>
      <c r="LV51" s="192"/>
      <c r="LW51" s="192"/>
      <c r="LX51" s="192"/>
      <c r="LY51" s="192"/>
      <c r="LZ51" s="192"/>
      <c r="MA51" s="192"/>
      <c r="MB51" s="192"/>
      <c r="MC51" s="192"/>
      <c r="MD51" s="192"/>
      <c r="ME51" s="192"/>
      <c r="MF51" s="192"/>
      <c r="MG51" s="192"/>
      <c r="MH51" s="192"/>
      <c r="MI51" s="192"/>
      <c r="MJ51" s="192"/>
      <c r="MK51" s="192"/>
      <c r="ML51" s="192"/>
      <c r="MM51" s="192"/>
      <c r="MN51" s="192"/>
      <c r="MO51" s="192"/>
      <c r="MP51" s="192"/>
      <c r="MQ51" s="192"/>
      <c r="MR51" s="192"/>
      <c r="MS51" s="192"/>
      <c r="MT51" s="192"/>
      <c r="MU51" s="192"/>
      <c r="MV51" s="192"/>
      <c r="MW51" s="192"/>
      <c r="MX51" s="192"/>
      <c r="MY51" s="192"/>
      <c r="MZ51" s="192"/>
      <c r="NA51" s="192"/>
      <c r="NB51" s="192"/>
      <c r="NC51" s="192"/>
      <c r="ND51" s="192"/>
      <c r="NE51" s="192"/>
      <c r="NF51" s="192"/>
      <c r="NG51" s="192"/>
      <c r="NH51" s="192"/>
      <c r="NI51" s="192"/>
      <c r="NJ51" s="192"/>
      <c r="NK51" s="192"/>
      <c r="NL51" s="192"/>
      <c r="NM51" s="192"/>
      <c r="NN51" s="192"/>
      <c r="NO51" s="192"/>
      <c r="NP51" s="192"/>
      <c r="NQ51" s="192"/>
      <c r="NR51" s="192"/>
      <c r="NS51" s="192"/>
      <c r="NT51" s="192"/>
      <c r="NU51" s="192"/>
      <c r="NV51" s="192"/>
      <c r="NW51" s="192"/>
      <c r="NX51" s="192"/>
      <c r="NY51" s="192"/>
      <c r="NZ51" s="192"/>
      <c r="OA51" s="192"/>
      <c r="OB51" s="192"/>
      <c r="OC51" s="192"/>
      <c r="OD51" s="192"/>
      <c r="OE51" s="192"/>
      <c r="OF51" s="192"/>
      <c r="OG51" s="192"/>
      <c r="OH51" s="192"/>
    </row>
    <row r="52" spans="1:398" ht="20" customHeight="1" thickTop="1" thickBot="1">
      <c r="A52" s="319">
        <f t="shared" si="20"/>
        <v>0</v>
      </c>
      <c r="B52" s="72"/>
      <c r="C52" s="438"/>
      <c r="E52" s="6"/>
      <c r="F52" s="1292"/>
      <c r="G52" s="1291"/>
      <c r="H52" s="1124"/>
      <c r="I52" s="1124"/>
      <c r="J52" s="1124"/>
      <c r="K52" s="1124"/>
      <c r="L52" s="1124"/>
      <c r="M52" s="1124"/>
      <c r="N52" s="1124"/>
      <c r="O52" s="1124"/>
      <c r="P52" s="1124"/>
      <c r="Q52" s="1124"/>
      <c r="R52" s="1124"/>
      <c r="S52" s="1124"/>
      <c r="T52" s="1124"/>
      <c r="U52" s="1124"/>
      <c r="V52" s="1124"/>
      <c r="W52" s="1124"/>
      <c r="X52" s="1124"/>
      <c r="Y52" s="1124"/>
      <c r="Z52" s="1124"/>
      <c r="AA52" s="1124"/>
      <c r="AB52" s="1124"/>
      <c r="AC52" s="1124"/>
      <c r="AD52" s="1124"/>
      <c r="AE52" s="1124"/>
      <c r="AF52" s="1124"/>
      <c r="AG52" s="1125"/>
      <c r="AH52" s="1116"/>
      <c r="AI52" s="1085"/>
      <c r="AJ52" s="1087"/>
      <c r="AK52" s="68"/>
      <c r="AL52" s="195"/>
      <c r="AM52" s="192" cm="1">
        <f t="array" ref="AM52:ED52">IF((_xlfn.ANCHORARRAY(AM$48) &gt; K$12)*(_xlfn.ANCHORARRAY(AM$48) &lt;= $K$12 + $K$13), $K$23 / $K$13, 0)</f>
        <v>0</v>
      </c>
      <c r="AN52" s="192">
        <v>0</v>
      </c>
      <c r="AO52" s="192">
        <v>0</v>
      </c>
      <c r="AP52" s="192">
        <v>0</v>
      </c>
      <c r="AQ52" s="192">
        <v>0</v>
      </c>
      <c r="AR52" s="192">
        <v>0</v>
      </c>
      <c r="AS52" s="192">
        <v>0</v>
      </c>
      <c r="AT52" s="192">
        <v>0</v>
      </c>
      <c r="AU52" s="192">
        <v>0</v>
      </c>
      <c r="AV52" s="192">
        <v>0</v>
      </c>
      <c r="AW52" s="192">
        <v>0</v>
      </c>
      <c r="AX52" s="192">
        <v>0</v>
      </c>
      <c r="AY52" s="192">
        <v>0</v>
      </c>
      <c r="AZ52" s="192">
        <v>0</v>
      </c>
      <c r="BA52" s="192">
        <v>0</v>
      </c>
      <c r="BB52" s="192">
        <v>0</v>
      </c>
      <c r="BC52" s="192">
        <v>0</v>
      </c>
      <c r="BD52" s="192">
        <v>0</v>
      </c>
      <c r="BE52" s="192">
        <v>0</v>
      </c>
      <c r="BF52" s="192">
        <v>0</v>
      </c>
      <c r="BG52" s="192">
        <v>0</v>
      </c>
      <c r="BH52" s="192">
        <v>0</v>
      </c>
      <c r="BI52" s="192">
        <v>0</v>
      </c>
      <c r="BJ52" s="192">
        <v>0</v>
      </c>
      <c r="BK52" s="192">
        <v>0</v>
      </c>
      <c r="BL52" s="192">
        <v>0</v>
      </c>
      <c r="BM52" s="192">
        <v>0</v>
      </c>
      <c r="BN52" s="192">
        <v>0</v>
      </c>
      <c r="BO52" s="192">
        <v>0</v>
      </c>
      <c r="BP52" s="192">
        <v>0</v>
      </c>
      <c r="BQ52" s="192">
        <v>0</v>
      </c>
      <c r="BR52" s="192">
        <v>0</v>
      </c>
      <c r="BS52" s="192">
        <v>0</v>
      </c>
      <c r="BT52" s="192">
        <v>0</v>
      </c>
      <c r="BU52" s="192">
        <v>0</v>
      </c>
      <c r="BV52" s="192">
        <v>0</v>
      </c>
      <c r="BW52" s="192">
        <v>0</v>
      </c>
      <c r="BX52" s="192">
        <v>0</v>
      </c>
      <c r="BY52" s="192">
        <v>0</v>
      </c>
      <c r="BZ52" s="192">
        <v>0</v>
      </c>
      <c r="CA52" s="192">
        <v>0</v>
      </c>
      <c r="CB52" s="192">
        <v>0</v>
      </c>
      <c r="CC52" s="192">
        <v>0</v>
      </c>
      <c r="CD52" s="192">
        <v>0</v>
      </c>
      <c r="CE52" s="192">
        <v>0</v>
      </c>
      <c r="CF52" s="192">
        <v>0</v>
      </c>
      <c r="CG52" s="192">
        <v>0</v>
      </c>
      <c r="CH52" s="192">
        <v>0</v>
      </c>
      <c r="CI52" s="192">
        <v>0</v>
      </c>
      <c r="CJ52" s="192">
        <v>0</v>
      </c>
      <c r="CK52" s="192">
        <v>0</v>
      </c>
      <c r="CL52" s="192">
        <v>0</v>
      </c>
      <c r="CM52" s="192">
        <v>0</v>
      </c>
      <c r="CN52" s="192">
        <v>0</v>
      </c>
      <c r="CO52" s="192">
        <v>0</v>
      </c>
      <c r="CP52" s="192">
        <v>0</v>
      </c>
      <c r="CQ52" s="192">
        <v>0</v>
      </c>
      <c r="CR52" s="192">
        <v>0</v>
      </c>
      <c r="CS52" s="192">
        <v>0</v>
      </c>
      <c r="CT52" s="192">
        <v>0</v>
      </c>
      <c r="CU52" s="192">
        <v>0</v>
      </c>
      <c r="CV52" s="192">
        <v>0</v>
      </c>
      <c r="CW52" s="192">
        <v>0</v>
      </c>
      <c r="CX52" s="192">
        <v>0</v>
      </c>
      <c r="CY52" s="192">
        <v>0</v>
      </c>
      <c r="CZ52" s="192">
        <v>0</v>
      </c>
      <c r="DA52" s="192">
        <v>0</v>
      </c>
      <c r="DB52" s="192">
        <v>0</v>
      </c>
      <c r="DC52" s="192">
        <v>0</v>
      </c>
      <c r="DD52" s="192">
        <v>0</v>
      </c>
      <c r="DE52" s="192">
        <v>0</v>
      </c>
      <c r="DF52" s="192">
        <v>0</v>
      </c>
      <c r="DG52" s="192">
        <v>0</v>
      </c>
      <c r="DH52" s="192">
        <v>0</v>
      </c>
      <c r="DI52" s="192">
        <v>0</v>
      </c>
      <c r="DJ52" s="192">
        <v>0</v>
      </c>
      <c r="DK52" s="192">
        <v>0</v>
      </c>
      <c r="DL52" s="192">
        <v>0</v>
      </c>
      <c r="DM52" s="192">
        <v>0</v>
      </c>
      <c r="DN52" s="192">
        <v>0</v>
      </c>
      <c r="DO52" s="192">
        <v>0</v>
      </c>
      <c r="DP52" s="192">
        <v>0</v>
      </c>
      <c r="DQ52" s="192">
        <v>0</v>
      </c>
      <c r="DR52" s="192">
        <v>0</v>
      </c>
      <c r="DS52" s="192">
        <v>0</v>
      </c>
      <c r="DT52" s="192">
        <v>0</v>
      </c>
      <c r="DU52" s="192">
        <v>0</v>
      </c>
      <c r="DV52" s="192">
        <v>0</v>
      </c>
      <c r="DW52" s="192">
        <v>0</v>
      </c>
      <c r="DX52" s="192">
        <v>0</v>
      </c>
      <c r="DY52" s="192">
        <v>0</v>
      </c>
      <c r="DZ52" s="192">
        <v>0</v>
      </c>
      <c r="EA52" s="192">
        <v>0</v>
      </c>
      <c r="EB52" s="192">
        <v>0</v>
      </c>
      <c r="EC52" s="192">
        <v>0</v>
      </c>
      <c r="ED52" s="192">
        <v>0</v>
      </c>
      <c r="EE52" s="192"/>
      <c r="EF52" s="192"/>
      <c r="EG52" s="192"/>
      <c r="EH52" s="192"/>
      <c r="EI52" s="192"/>
      <c r="EJ52" s="192"/>
      <c r="EK52" s="192"/>
      <c r="EL52" s="192"/>
      <c r="EM52" s="192"/>
      <c r="EN52" s="192"/>
      <c r="EO52" s="192"/>
      <c r="EP52" s="192"/>
      <c r="EQ52" s="192"/>
      <c r="ER52" s="192"/>
      <c r="ES52" s="192"/>
      <c r="ET52" s="192"/>
      <c r="EU52" s="192"/>
      <c r="EV52" s="192"/>
      <c r="EW52" s="192"/>
      <c r="EX52" s="192"/>
      <c r="EY52" s="192"/>
      <c r="EZ52" s="192"/>
      <c r="FA52" s="192"/>
      <c r="FB52" s="192"/>
      <c r="FC52" s="192"/>
      <c r="FD52" s="192"/>
      <c r="FE52" s="192"/>
      <c r="FF52" s="192"/>
      <c r="FG52" s="192"/>
      <c r="FH52" s="192"/>
      <c r="FI52" s="192"/>
      <c r="FJ52" s="192"/>
      <c r="FK52" s="192"/>
      <c r="FL52" s="192"/>
      <c r="FM52" s="192"/>
      <c r="FN52" s="192"/>
      <c r="FO52" s="192"/>
      <c r="FP52" s="192"/>
      <c r="FQ52" s="192"/>
      <c r="FR52" s="192"/>
      <c r="FS52" s="192"/>
      <c r="FT52" s="192"/>
      <c r="FU52" s="192"/>
      <c r="FV52" s="192"/>
      <c r="FW52" s="192"/>
      <c r="FX52" s="192"/>
      <c r="FY52" s="192"/>
      <c r="FZ52" s="192"/>
      <c r="GA52" s="192"/>
      <c r="GB52" s="192"/>
      <c r="GC52" s="192"/>
      <c r="GD52" s="192"/>
      <c r="GE52" s="192"/>
      <c r="GF52" s="192"/>
      <c r="GG52" s="192"/>
      <c r="GH52" s="192"/>
      <c r="GI52" s="192"/>
      <c r="GJ52" s="192"/>
      <c r="GK52" s="192"/>
      <c r="GL52" s="192"/>
      <c r="GM52" s="192"/>
      <c r="GN52" s="192"/>
      <c r="GO52" s="192"/>
      <c r="GP52" s="192"/>
      <c r="GQ52" s="192"/>
      <c r="GR52" s="192"/>
      <c r="GS52" s="192"/>
      <c r="GT52" s="192"/>
      <c r="GU52" s="192"/>
      <c r="GV52" s="192"/>
      <c r="GW52" s="192"/>
      <c r="GX52" s="192"/>
      <c r="GY52" s="192"/>
      <c r="GZ52" s="192"/>
      <c r="HA52" s="192"/>
      <c r="HB52" s="192"/>
      <c r="HC52" s="192"/>
      <c r="HD52" s="192"/>
      <c r="HE52" s="192"/>
      <c r="HF52" s="192"/>
      <c r="HG52" s="192"/>
      <c r="HH52" s="192"/>
      <c r="HI52" s="192"/>
      <c r="HJ52" s="192"/>
      <c r="HK52" s="192"/>
      <c r="HL52" s="192"/>
      <c r="HM52" s="192"/>
      <c r="HN52" s="192"/>
      <c r="HO52" s="192"/>
      <c r="HP52" s="192"/>
      <c r="HQ52" s="192"/>
      <c r="HR52" s="192"/>
      <c r="HS52" s="192"/>
      <c r="HT52" s="192"/>
      <c r="HU52" s="192"/>
      <c r="HV52" s="192"/>
      <c r="HW52" s="192"/>
      <c r="HX52" s="192"/>
      <c r="HY52" s="192"/>
      <c r="HZ52" s="192"/>
      <c r="IA52" s="192"/>
      <c r="IB52" s="192"/>
      <c r="IC52" s="192"/>
      <c r="ID52" s="192"/>
      <c r="IE52" s="192"/>
      <c r="IF52" s="192"/>
      <c r="IG52" s="192"/>
      <c r="IH52" s="192"/>
      <c r="II52" s="192"/>
      <c r="IJ52" s="192"/>
      <c r="IK52" s="192"/>
      <c r="IL52" s="192"/>
      <c r="IM52" s="192"/>
      <c r="IN52" s="192"/>
      <c r="IO52" s="192"/>
      <c r="IP52" s="192"/>
      <c r="IQ52" s="192"/>
      <c r="IR52" s="192"/>
      <c r="IS52" s="192"/>
      <c r="IT52" s="192"/>
      <c r="IU52" s="192"/>
      <c r="IV52" s="192"/>
      <c r="IW52" s="192"/>
      <c r="IX52" s="192"/>
      <c r="IY52" s="192"/>
      <c r="IZ52" s="192"/>
      <c r="JA52" s="192"/>
      <c r="JB52" s="192"/>
      <c r="JC52" s="192"/>
      <c r="JD52" s="192"/>
      <c r="JE52" s="192"/>
      <c r="JF52" s="192"/>
      <c r="JG52" s="192"/>
      <c r="JH52" s="192"/>
      <c r="JI52" s="192"/>
      <c r="JJ52" s="192"/>
      <c r="JK52" s="192"/>
      <c r="JL52" s="192"/>
      <c r="JM52" s="192"/>
      <c r="JN52" s="192"/>
      <c r="JO52" s="192"/>
      <c r="JP52" s="192"/>
      <c r="JQ52" s="192"/>
      <c r="JR52" s="192"/>
      <c r="JS52" s="192"/>
      <c r="JT52" s="192"/>
      <c r="JU52" s="192"/>
      <c r="JV52" s="192"/>
      <c r="JW52" s="192"/>
      <c r="JX52" s="192"/>
      <c r="JY52" s="192"/>
      <c r="JZ52" s="192"/>
      <c r="KA52" s="192"/>
      <c r="KB52" s="192"/>
      <c r="KC52" s="192"/>
      <c r="KD52" s="192"/>
      <c r="KE52" s="192"/>
      <c r="KF52" s="192"/>
      <c r="KG52" s="192"/>
      <c r="KH52" s="192"/>
      <c r="KI52" s="192"/>
      <c r="KJ52" s="192"/>
      <c r="KK52" s="192"/>
      <c r="KL52" s="192"/>
      <c r="KM52" s="192"/>
      <c r="KN52" s="192"/>
      <c r="KO52" s="192"/>
      <c r="KP52" s="192"/>
      <c r="KQ52" s="192"/>
      <c r="KR52" s="192"/>
      <c r="KS52" s="192"/>
      <c r="KT52" s="192"/>
      <c r="KU52" s="192"/>
      <c r="KV52" s="192"/>
      <c r="KW52" s="192"/>
      <c r="KX52" s="192"/>
      <c r="KY52" s="192"/>
      <c r="KZ52" s="192"/>
      <c r="LA52" s="192"/>
      <c r="LB52" s="192"/>
      <c r="LC52" s="192"/>
      <c r="LD52" s="192"/>
      <c r="LE52" s="192"/>
      <c r="LF52" s="192"/>
      <c r="LG52" s="192"/>
      <c r="LH52" s="192"/>
      <c r="LI52" s="192"/>
      <c r="LJ52" s="192"/>
      <c r="LK52" s="192"/>
      <c r="LL52" s="192"/>
      <c r="LM52" s="192"/>
      <c r="LN52" s="192"/>
      <c r="LO52" s="192"/>
      <c r="LP52" s="192"/>
      <c r="LQ52" s="192"/>
      <c r="LR52" s="192"/>
      <c r="LS52" s="192"/>
      <c r="LT52" s="192"/>
      <c r="LU52" s="192"/>
      <c r="LV52" s="192"/>
      <c r="LW52" s="192"/>
      <c r="LX52" s="192"/>
      <c r="LY52" s="192"/>
      <c r="LZ52" s="192"/>
      <c r="MA52" s="192"/>
      <c r="MB52" s="192"/>
      <c r="MC52" s="192"/>
      <c r="MD52" s="192"/>
      <c r="ME52" s="192"/>
      <c r="MF52" s="192"/>
      <c r="MG52" s="192"/>
      <c r="MH52" s="192"/>
      <c r="MI52" s="192"/>
      <c r="MJ52" s="192"/>
      <c r="MK52" s="192"/>
      <c r="ML52" s="192"/>
      <c r="MM52" s="192"/>
      <c r="MN52" s="192"/>
      <c r="MO52" s="192"/>
      <c r="MP52" s="192"/>
      <c r="MQ52" s="192"/>
      <c r="MR52" s="192"/>
      <c r="MS52" s="192"/>
      <c r="MT52" s="192"/>
      <c r="MU52" s="192"/>
      <c r="MV52" s="192"/>
      <c r="MW52" s="192"/>
      <c r="MX52" s="192"/>
      <c r="MY52" s="192"/>
      <c r="MZ52" s="192"/>
      <c r="NA52" s="192"/>
      <c r="NB52" s="192"/>
      <c r="NC52" s="192"/>
      <c r="ND52" s="192"/>
      <c r="NE52" s="192"/>
      <c r="NF52" s="192"/>
      <c r="NG52" s="192"/>
      <c r="NH52" s="192"/>
      <c r="NI52" s="192"/>
      <c r="NJ52" s="192"/>
      <c r="NK52" s="192"/>
      <c r="NL52" s="192"/>
      <c r="NM52" s="192"/>
      <c r="NN52" s="192"/>
      <c r="NO52" s="192"/>
      <c r="NP52" s="192"/>
      <c r="NQ52" s="192"/>
      <c r="NR52" s="192"/>
      <c r="NS52" s="192"/>
      <c r="NT52" s="192"/>
      <c r="NU52" s="192"/>
      <c r="NV52" s="192"/>
      <c r="NW52" s="192"/>
      <c r="NX52" s="192"/>
      <c r="NY52" s="192"/>
      <c r="NZ52" s="192"/>
      <c r="OA52" s="192"/>
      <c r="OB52" s="192"/>
      <c r="OC52" s="192"/>
      <c r="OD52" s="192"/>
      <c r="OE52" s="192"/>
      <c r="OF52" s="192"/>
      <c r="OG52" s="192"/>
      <c r="OH52" s="192"/>
    </row>
    <row r="53" spans="1:398" ht="20" customHeight="1" thickTop="1" thickBot="1">
      <c r="A53" s="319">
        <f t="shared" si="20"/>
        <v>0</v>
      </c>
      <c r="B53" s="72"/>
      <c r="C53" s="438"/>
      <c r="E53" s="205"/>
      <c r="F53" s="1292"/>
      <c r="G53" s="1291"/>
      <c r="H53" s="1124"/>
      <c r="I53" s="1124"/>
      <c r="J53" s="1124"/>
      <c r="K53" s="1124"/>
      <c r="L53" s="1124"/>
      <c r="M53" s="1124"/>
      <c r="N53" s="1124"/>
      <c r="O53" s="1124"/>
      <c r="P53" s="1124"/>
      <c r="Q53" s="1124"/>
      <c r="R53" s="1124"/>
      <c r="S53" s="1124"/>
      <c r="T53" s="1124"/>
      <c r="U53" s="1124"/>
      <c r="V53" s="1124"/>
      <c r="W53" s="1124"/>
      <c r="X53" s="1124"/>
      <c r="Y53" s="1124"/>
      <c r="Z53" s="1124"/>
      <c r="AA53" s="1124"/>
      <c r="AB53" s="1124"/>
      <c r="AC53" s="1124"/>
      <c r="AD53" s="1124"/>
      <c r="AE53" s="1124"/>
      <c r="AF53" s="1124"/>
      <c r="AG53" s="1125"/>
      <c r="AH53" s="1116"/>
      <c r="AI53" s="1085"/>
      <c r="AJ53" s="1086"/>
      <c r="AK53" s="68"/>
      <c r="AL53" s="195"/>
      <c r="AM53" s="192" cm="1">
        <f t="array" ref="AM53:ED53">IF((_xlfn.ANCHORARRAY(AM$48) &gt;= L$12)*(_xlfn.ANCHORARRAY(AM$48) &lt;= $L$12 + $L$13), $L$23 / $L$13, 0)</f>
        <v>0</v>
      </c>
      <c r="AN53" s="192">
        <v>0</v>
      </c>
      <c r="AO53" s="192">
        <v>0</v>
      </c>
      <c r="AP53" s="192">
        <v>0</v>
      </c>
      <c r="AQ53" s="192">
        <v>0</v>
      </c>
      <c r="AR53" s="192">
        <v>0</v>
      </c>
      <c r="AS53" s="192">
        <v>0</v>
      </c>
      <c r="AT53" s="192">
        <v>0</v>
      </c>
      <c r="AU53" s="192">
        <v>0</v>
      </c>
      <c r="AV53" s="192">
        <v>0</v>
      </c>
      <c r="AW53" s="192">
        <v>0</v>
      </c>
      <c r="AX53" s="192">
        <v>0</v>
      </c>
      <c r="AY53" s="192">
        <v>0</v>
      </c>
      <c r="AZ53" s="192">
        <v>0</v>
      </c>
      <c r="BA53" s="192">
        <v>0</v>
      </c>
      <c r="BB53" s="192">
        <v>0</v>
      </c>
      <c r="BC53" s="192">
        <v>0</v>
      </c>
      <c r="BD53" s="192">
        <v>0</v>
      </c>
      <c r="BE53" s="192">
        <v>0</v>
      </c>
      <c r="BF53" s="192">
        <v>0</v>
      </c>
      <c r="BG53" s="192">
        <v>0</v>
      </c>
      <c r="BH53" s="192">
        <v>0</v>
      </c>
      <c r="BI53" s="192">
        <v>0</v>
      </c>
      <c r="BJ53" s="192">
        <v>0</v>
      </c>
      <c r="BK53" s="192">
        <v>0</v>
      </c>
      <c r="BL53" s="192">
        <v>0</v>
      </c>
      <c r="BM53" s="192">
        <v>0</v>
      </c>
      <c r="BN53" s="192">
        <v>0</v>
      </c>
      <c r="BO53" s="192">
        <v>0</v>
      </c>
      <c r="BP53" s="192">
        <v>0</v>
      </c>
      <c r="BQ53" s="192">
        <v>0</v>
      </c>
      <c r="BR53" s="192">
        <v>0</v>
      </c>
      <c r="BS53" s="192">
        <v>0</v>
      </c>
      <c r="BT53" s="192">
        <v>0</v>
      </c>
      <c r="BU53" s="192">
        <v>0</v>
      </c>
      <c r="BV53" s="192">
        <v>0</v>
      </c>
      <c r="BW53" s="192">
        <v>0</v>
      </c>
      <c r="BX53" s="192">
        <v>0</v>
      </c>
      <c r="BY53" s="192">
        <v>0</v>
      </c>
      <c r="BZ53" s="192">
        <v>0</v>
      </c>
      <c r="CA53" s="192">
        <v>0</v>
      </c>
      <c r="CB53" s="192">
        <v>0</v>
      </c>
      <c r="CC53" s="192">
        <v>0</v>
      </c>
      <c r="CD53" s="192">
        <v>0</v>
      </c>
      <c r="CE53" s="192">
        <v>0</v>
      </c>
      <c r="CF53" s="192">
        <v>0</v>
      </c>
      <c r="CG53" s="192">
        <v>0</v>
      </c>
      <c r="CH53" s="192">
        <v>0</v>
      </c>
      <c r="CI53" s="192">
        <v>0</v>
      </c>
      <c r="CJ53" s="192">
        <v>0</v>
      </c>
      <c r="CK53" s="192">
        <v>0</v>
      </c>
      <c r="CL53" s="192">
        <v>0</v>
      </c>
      <c r="CM53" s="192">
        <v>0</v>
      </c>
      <c r="CN53" s="192">
        <v>0</v>
      </c>
      <c r="CO53" s="192">
        <v>0</v>
      </c>
      <c r="CP53" s="192">
        <v>0</v>
      </c>
      <c r="CQ53" s="192">
        <v>0</v>
      </c>
      <c r="CR53" s="192">
        <v>0</v>
      </c>
      <c r="CS53" s="192">
        <v>0</v>
      </c>
      <c r="CT53" s="192">
        <v>0</v>
      </c>
      <c r="CU53" s="192">
        <v>0</v>
      </c>
      <c r="CV53" s="192">
        <v>0</v>
      </c>
      <c r="CW53" s="192">
        <v>0</v>
      </c>
      <c r="CX53" s="192">
        <v>0</v>
      </c>
      <c r="CY53" s="192">
        <v>0</v>
      </c>
      <c r="CZ53" s="192">
        <v>0</v>
      </c>
      <c r="DA53" s="192">
        <v>0</v>
      </c>
      <c r="DB53" s="192">
        <v>0</v>
      </c>
      <c r="DC53" s="192">
        <v>0</v>
      </c>
      <c r="DD53" s="192">
        <v>0</v>
      </c>
      <c r="DE53" s="192">
        <v>0</v>
      </c>
      <c r="DF53" s="192">
        <v>0</v>
      </c>
      <c r="DG53" s="192">
        <v>0</v>
      </c>
      <c r="DH53" s="192">
        <v>0</v>
      </c>
      <c r="DI53" s="192">
        <v>0</v>
      </c>
      <c r="DJ53" s="192">
        <v>0</v>
      </c>
      <c r="DK53" s="192">
        <v>0</v>
      </c>
      <c r="DL53" s="192">
        <v>0</v>
      </c>
      <c r="DM53" s="192">
        <v>0</v>
      </c>
      <c r="DN53" s="192">
        <v>0</v>
      </c>
      <c r="DO53" s="192">
        <v>0</v>
      </c>
      <c r="DP53" s="192">
        <v>0</v>
      </c>
      <c r="DQ53" s="192">
        <v>0</v>
      </c>
      <c r="DR53" s="192">
        <v>0</v>
      </c>
      <c r="DS53" s="192">
        <v>0</v>
      </c>
      <c r="DT53" s="192">
        <v>0</v>
      </c>
      <c r="DU53" s="192">
        <v>0</v>
      </c>
      <c r="DV53" s="192">
        <v>0</v>
      </c>
      <c r="DW53" s="192">
        <v>0</v>
      </c>
      <c r="DX53" s="192">
        <v>0</v>
      </c>
      <c r="DY53" s="192">
        <v>0</v>
      </c>
      <c r="DZ53" s="192">
        <v>0</v>
      </c>
      <c r="EA53" s="192">
        <v>0</v>
      </c>
      <c r="EB53" s="192">
        <v>0</v>
      </c>
      <c r="EC53" s="192">
        <v>0</v>
      </c>
      <c r="ED53" s="192">
        <v>0</v>
      </c>
      <c r="EE53" s="192"/>
      <c r="EF53" s="192"/>
      <c r="EG53" s="192"/>
      <c r="EH53" s="192"/>
      <c r="EI53" s="192"/>
      <c r="EJ53" s="192"/>
      <c r="EK53" s="192"/>
      <c r="EL53" s="192"/>
      <c r="EM53" s="192"/>
      <c r="EN53" s="192"/>
      <c r="EO53" s="192"/>
      <c r="EP53" s="192"/>
      <c r="EQ53" s="192"/>
      <c r="ER53" s="192"/>
      <c r="ES53" s="192"/>
      <c r="ET53" s="192"/>
      <c r="EU53" s="192"/>
      <c r="EV53" s="192"/>
      <c r="EW53" s="192"/>
      <c r="EX53" s="192"/>
      <c r="EY53" s="192"/>
      <c r="EZ53" s="192"/>
      <c r="FA53" s="192"/>
      <c r="FB53" s="192"/>
      <c r="FC53" s="192"/>
      <c r="FD53" s="192"/>
      <c r="FE53" s="192"/>
      <c r="FF53" s="192"/>
      <c r="FG53" s="192"/>
      <c r="FH53" s="192"/>
      <c r="FI53" s="192"/>
      <c r="FJ53" s="192"/>
      <c r="FK53" s="192"/>
      <c r="FL53" s="192"/>
      <c r="FM53" s="192"/>
      <c r="FN53" s="192"/>
      <c r="FO53" s="192"/>
      <c r="FP53" s="192"/>
      <c r="FQ53" s="192"/>
      <c r="FR53" s="192"/>
      <c r="FS53" s="192"/>
      <c r="FT53" s="192"/>
      <c r="FU53" s="192"/>
      <c r="FV53" s="192"/>
      <c r="FW53" s="192"/>
      <c r="FX53" s="192"/>
      <c r="FY53" s="192"/>
      <c r="FZ53" s="192"/>
      <c r="GA53" s="192"/>
      <c r="GB53" s="192"/>
      <c r="GC53" s="192"/>
      <c r="GD53" s="192"/>
      <c r="GE53" s="192"/>
      <c r="GF53" s="192"/>
      <c r="GG53" s="192"/>
      <c r="GH53" s="192"/>
      <c r="GI53" s="192"/>
      <c r="GJ53" s="192"/>
      <c r="GK53" s="192"/>
      <c r="GL53" s="192"/>
      <c r="GM53" s="192"/>
      <c r="GN53" s="192"/>
      <c r="GO53" s="192"/>
      <c r="GP53" s="192"/>
      <c r="GQ53" s="192"/>
      <c r="GR53" s="192"/>
      <c r="GS53" s="192"/>
      <c r="GT53" s="192"/>
      <c r="GU53" s="192"/>
      <c r="GV53" s="192"/>
      <c r="GW53" s="192"/>
      <c r="GX53" s="192"/>
      <c r="GY53" s="192"/>
      <c r="GZ53" s="192"/>
      <c r="HA53" s="192"/>
      <c r="HB53" s="192"/>
      <c r="HC53" s="192"/>
      <c r="HD53" s="192"/>
      <c r="HE53" s="192"/>
      <c r="HF53" s="192"/>
      <c r="HG53" s="192"/>
      <c r="HH53" s="192"/>
      <c r="HI53" s="192"/>
      <c r="HJ53" s="192"/>
      <c r="HK53" s="192"/>
      <c r="HL53" s="192"/>
      <c r="HM53" s="192"/>
      <c r="HN53" s="192"/>
      <c r="HO53" s="192"/>
      <c r="HP53" s="192"/>
      <c r="HQ53" s="192"/>
      <c r="HR53" s="192"/>
      <c r="HS53" s="192"/>
      <c r="HT53" s="192"/>
      <c r="HU53" s="192"/>
      <c r="HV53" s="192"/>
      <c r="HW53" s="192"/>
      <c r="HX53" s="192"/>
      <c r="HY53" s="192"/>
      <c r="HZ53" s="192"/>
      <c r="IA53" s="192"/>
      <c r="IB53" s="192"/>
      <c r="IC53" s="192"/>
      <c r="ID53" s="192"/>
      <c r="IE53" s="192"/>
      <c r="IF53" s="192"/>
      <c r="IG53" s="192"/>
      <c r="IH53" s="192"/>
      <c r="II53" s="192"/>
      <c r="IJ53" s="192"/>
      <c r="IK53" s="192"/>
      <c r="IL53" s="192"/>
      <c r="IM53" s="192"/>
      <c r="IN53" s="192"/>
      <c r="IO53" s="192"/>
      <c r="IP53" s="192"/>
      <c r="IQ53" s="192"/>
      <c r="IR53" s="192"/>
      <c r="IS53" s="192"/>
      <c r="IT53" s="192"/>
      <c r="IU53" s="192"/>
      <c r="IV53" s="192"/>
      <c r="IW53" s="192"/>
      <c r="IX53" s="192"/>
      <c r="IY53" s="192"/>
      <c r="IZ53" s="192"/>
      <c r="JA53" s="192"/>
      <c r="JB53" s="192"/>
      <c r="JC53" s="192"/>
      <c r="JD53" s="192"/>
      <c r="JE53" s="192"/>
      <c r="JF53" s="192"/>
      <c r="JG53" s="192"/>
      <c r="JH53" s="192"/>
      <c r="JI53" s="192"/>
      <c r="JJ53" s="192"/>
      <c r="JK53" s="192"/>
      <c r="JL53" s="192"/>
      <c r="JM53" s="192"/>
      <c r="JN53" s="192"/>
      <c r="JO53" s="192"/>
      <c r="JP53" s="192"/>
      <c r="JQ53" s="192"/>
      <c r="JR53" s="192"/>
      <c r="JS53" s="192"/>
      <c r="JT53" s="192"/>
      <c r="JU53" s="192"/>
      <c r="JV53" s="192"/>
      <c r="JW53" s="192"/>
      <c r="JX53" s="192"/>
      <c r="JY53" s="192"/>
      <c r="JZ53" s="192"/>
      <c r="KA53" s="192"/>
      <c r="KB53" s="192"/>
      <c r="KC53" s="192"/>
      <c r="KD53" s="192"/>
      <c r="KE53" s="192"/>
      <c r="KF53" s="192"/>
      <c r="KG53" s="192"/>
      <c r="KH53" s="192"/>
      <c r="KI53" s="192"/>
      <c r="KJ53" s="192"/>
      <c r="KK53" s="192"/>
      <c r="KL53" s="192"/>
      <c r="KM53" s="192"/>
      <c r="KN53" s="192"/>
      <c r="KO53" s="192"/>
      <c r="KP53" s="192"/>
      <c r="KQ53" s="192"/>
      <c r="KR53" s="192"/>
      <c r="KS53" s="192"/>
      <c r="KT53" s="192"/>
      <c r="KU53" s="192"/>
      <c r="KV53" s="192"/>
      <c r="KW53" s="192"/>
      <c r="KX53" s="192"/>
      <c r="KY53" s="192"/>
      <c r="KZ53" s="192"/>
      <c r="LA53" s="192"/>
      <c r="LB53" s="192"/>
      <c r="LC53" s="192"/>
      <c r="LD53" s="192"/>
      <c r="LE53" s="192"/>
      <c r="LF53" s="192"/>
      <c r="LG53" s="192"/>
      <c r="LH53" s="192"/>
      <c r="LI53" s="192"/>
      <c r="LJ53" s="192"/>
      <c r="LK53" s="192"/>
      <c r="LL53" s="192"/>
      <c r="LM53" s="192"/>
      <c r="LN53" s="192"/>
      <c r="LO53" s="192"/>
      <c r="LP53" s="192"/>
      <c r="LQ53" s="192"/>
      <c r="LR53" s="192"/>
      <c r="LS53" s="192"/>
      <c r="LT53" s="192"/>
      <c r="LU53" s="192"/>
      <c r="LV53" s="192"/>
      <c r="LW53" s="192"/>
      <c r="LX53" s="192"/>
      <c r="LY53" s="192"/>
      <c r="LZ53" s="192"/>
      <c r="MA53" s="192"/>
      <c r="MB53" s="192"/>
      <c r="MC53" s="192"/>
      <c r="MD53" s="192"/>
      <c r="ME53" s="192"/>
      <c r="MF53" s="192"/>
      <c r="MG53" s="192"/>
      <c r="MH53" s="192"/>
      <c r="MI53" s="192"/>
      <c r="MJ53" s="192"/>
      <c r="MK53" s="192"/>
      <c r="ML53" s="192"/>
      <c r="MM53" s="192"/>
      <c r="MN53" s="192"/>
      <c r="MO53" s="192"/>
      <c r="MP53" s="192"/>
      <c r="MQ53" s="192"/>
      <c r="MR53" s="192"/>
      <c r="MS53" s="192"/>
      <c r="MT53" s="192"/>
      <c r="MU53" s="192"/>
      <c r="MV53" s="192"/>
      <c r="MW53" s="192"/>
      <c r="MX53" s="192"/>
      <c r="MY53" s="192"/>
      <c r="MZ53" s="192"/>
      <c r="NA53" s="192"/>
      <c r="NB53" s="192"/>
      <c r="NC53" s="192"/>
      <c r="ND53" s="192"/>
      <c r="NE53" s="192"/>
      <c r="NF53" s="192"/>
      <c r="NG53" s="192"/>
      <c r="NH53" s="192"/>
      <c r="NI53" s="192"/>
      <c r="NJ53" s="192"/>
      <c r="NK53" s="192"/>
      <c r="NL53" s="192"/>
      <c r="NM53" s="192"/>
      <c r="NN53" s="192"/>
      <c r="NO53" s="192"/>
      <c r="NP53" s="192"/>
      <c r="NQ53" s="192"/>
      <c r="NR53" s="192"/>
      <c r="NS53" s="192"/>
      <c r="NT53" s="192"/>
      <c r="NU53" s="192"/>
      <c r="NV53" s="192"/>
      <c r="NW53" s="192"/>
      <c r="NX53" s="192"/>
      <c r="NY53" s="192"/>
      <c r="NZ53" s="192"/>
      <c r="OA53" s="192"/>
      <c r="OB53" s="192"/>
      <c r="OC53" s="192"/>
      <c r="OD53" s="192"/>
      <c r="OE53" s="192"/>
      <c r="OF53" s="192"/>
      <c r="OG53" s="192"/>
      <c r="OH53" s="192"/>
    </row>
    <row r="54" spans="1:398" ht="20" customHeight="1" thickTop="1" thickBot="1">
      <c r="A54" s="319">
        <f t="shared" si="20"/>
        <v>0</v>
      </c>
      <c r="B54" s="72"/>
      <c r="C54" s="438"/>
      <c r="E54" s="205"/>
      <c r="F54" s="1292"/>
      <c r="G54" s="1291"/>
      <c r="H54" s="1124"/>
      <c r="I54" s="1124"/>
      <c r="J54" s="1124"/>
      <c r="K54" s="1124"/>
      <c r="L54" s="1124"/>
      <c r="M54" s="1124"/>
      <c r="N54" s="1124"/>
      <c r="O54" s="1124"/>
      <c r="P54" s="1124"/>
      <c r="Q54" s="1124"/>
      <c r="R54" s="1124"/>
      <c r="S54" s="1124"/>
      <c r="T54" s="1124"/>
      <c r="U54" s="1124"/>
      <c r="V54" s="1124"/>
      <c r="W54" s="1124"/>
      <c r="X54" s="1124"/>
      <c r="Y54" s="1124"/>
      <c r="Z54" s="1124"/>
      <c r="AA54" s="1124"/>
      <c r="AB54" s="1124"/>
      <c r="AC54" s="1124"/>
      <c r="AD54" s="1124"/>
      <c r="AE54" s="1124"/>
      <c r="AF54" s="1124"/>
      <c r="AG54" s="1125"/>
      <c r="AH54" s="1116"/>
      <c r="AI54" s="1085"/>
      <c r="AJ54" s="1086"/>
      <c r="AK54" s="68"/>
      <c r="AL54" s="188" t="s">
        <v>13</v>
      </c>
      <c r="AM54" s="189">
        <f t="shared" ref="AM54:BR54" si="21">SUM(AM49:AM53)</f>
        <v>0</v>
      </c>
      <c r="AN54" s="189">
        <f t="shared" si="21"/>
        <v>0</v>
      </c>
      <c r="AO54" s="189">
        <f t="shared" si="21"/>
        <v>0</v>
      </c>
      <c r="AP54" s="189">
        <f t="shared" si="21"/>
        <v>0</v>
      </c>
      <c r="AQ54" s="189">
        <f t="shared" si="21"/>
        <v>0</v>
      </c>
      <c r="AR54" s="189">
        <f t="shared" si="21"/>
        <v>0</v>
      </c>
      <c r="AS54" s="189">
        <f t="shared" si="21"/>
        <v>0</v>
      </c>
      <c r="AT54" s="189">
        <f t="shared" si="21"/>
        <v>0</v>
      </c>
      <c r="AU54" s="189">
        <f t="shared" si="21"/>
        <v>0</v>
      </c>
      <c r="AV54" s="189">
        <f t="shared" si="21"/>
        <v>0</v>
      </c>
      <c r="AW54" s="189">
        <f t="shared" si="21"/>
        <v>0</v>
      </c>
      <c r="AX54" s="189">
        <f t="shared" si="21"/>
        <v>0</v>
      </c>
      <c r="AY54" s="189">
        <f t="shared" si="21"/>
        <v>0</v>
      </c>
      <c r="AZ54" s="189">
        <f t="shared" si="21"/>
        <v>0</v>
      </c>
      <c r="BA54" s="189">
        <f t="shared" si="21"/>
        <v>0</v>
      </c>
      <c r="BB54" s="189">
        <f t="shared" si="21"/>
        <v>0</v>
      </c>
      <c r="BC54" s="189">
        <f t="shared" si="21"/>
        <v>0</v>
      </c>
      <c r="BD54" s="189">
        <f t="shared" si="21"/>
        <v>0</v>
      </c>
      <c r="BE54" s="189">
        <f t="shared" si="21"/>
        <v>0</v>
      </c>
      <c r="BF54" s="189">
        <f t="shared" si="21"/>
        <v>0</v>
      </c>
      <c r="BG54" s="189">
        <f t="shared" si="21"/>
        <v>0</v>
      </c>
      <c r="BH54" s="189">
        <f t="shared" si="21"/>
        <v>0</v>
      </c>
      <c r="BI54" s="189">
        <f t="shared" si="21"/>
        <v>0</v>
      </c>
      <c r="BJ54" s="189">
        <f t="shared" si="21"/>
        <v>0</v>
      </c>
      <c r="BK54" s="189">
        <f t="shared" si="21"/>
        <v>484229.78399257042</v>
      </c>
      <c r="BL54" s="189">
        <f t="shared" si="21"/>
        <v>484229.78399257042</v>
      </c>
      <c r="BM54" s="189">
        <f t="shared" si="21"/>
        <v>484229.78399257042</v>
      </c>
      <c r="BN54" s="189">
        <f t="shared" si="21"/>
        <v>484229.78399257042</v>
      </c>
      <c r="BO54" s="189">
        <f t="shared" si="21"/>
        <v>484229.78399257042</v>
      </c>
      <c r="BP54" s="189">
        <f t="shared" si="21"/>
        <v>484229.78399257042</v>
      </c>
      <c r="BQ54" s="189">
        <f t="shared" si="21"/>
        <v>484229.78399257042</v>
      </c>
      <c r="BR54" s="189">
        <f t="shared" si="21"/>
        <v>484229.78399257042</v>
      </c>
      <c r="BS54" s="189">
        <f t="shared" ref="BS54:CX54" si="22">SUM(BS49:BS53)</f>
        <v>484229.78399257042</v>
      </c>
      <c r="BT54" s="189">
        <f t="shared" si="22"/>
        <v>484229.78399257042</v>
      </c>
      <c r="BU54" s="189">
        <f t="shared" si="22"/>
        <v>484229.78399257042</v>
      </c>
      <c r="BV54" s="189">
        <f t="shared" si="22"/>
        <v>484229.78399257042</v>
      </c>
      <c r="BW54" s="189">
        <f t="shared" si="22"/>
        <v>484229.78399257042</v>
      </c>
      <c r="BX54" s="189">
        <f t="shared" si="22"/>
        <v>484229.78399257042</v>
      </c>
      <c r="BY54" s="189">
        <f t="shared" si="22"/>
        <v>484229.78399257042</v>
      </c>
      <c r="BZ54" s="189">
        <f t="shared" si="22"/>
        <v>484229.78399257042</v>
      </c>
      <c r="CA54" s="189">
        <f t="shared" si="22"/>
        <v>484229.78399257042</v>
      </c>
      <c r="CB54" s="189">
        <f t="shared" si="22"/>
        <v>484229.78399257042</v>
      </c>
      <c r="CC54" s="189">
        <f t="shared" si="22"/>
        <v>484229.78399257042</v>
      </c>
      <c r="CD54" s="189">
        <f t="shared" si="22"/>
        <v>484229.78399257042</v>
      </c>
      <c r="CE54" s="189">
        <f t="shared" si="22"/>
        <v>484229.78399257042</v>
      </c>
      <c r="CF54" s="189">
        <f t="shared" si="22"/>
        <v>484229.78399257042</v>
      </c>
      <c r="CG54" s="189">
        <f t="shared" si="22"/>
        <v>484229.78399257042</v>
      </c>
      <c r="CH54" s="189">
        <f t="shared" si="22"/>
        <v>484229.78399257042</v>
      </c>
      <c r="CI54" s="189">
        <f t="shared" si="22"/>
        <v>106128.53878073423</v>
      </c>
      <c r="CJ54" s="189">
        <f t="shared" si="22"/>
        <v>106128.53878073423</v>
      </c>
      <c r="CK54" s="189">
        <f t="shared" si="22"/>
        <v>106128.53878073423</v>
      </c>
      <c r="CL54" s="189">
        <f t="shared" si="22"/>
        <v>106128.53878073423</v>
      </c>
      <c r="CM54" s="189">
        <f t="shared" si="22"/>
        <v>106128.53878073423</v>
      </c>
      <c r="CN54" s="189">
        <f t="shared" si="22"/>
        <v>106128.53878073423</v>
      </c>
      <c r="CO54" s="189">
        <f t="shared" si="22"/>
        <v>106128.53878073423</v>
      </c>
      <c r="CP54" s="189">
        <f t="shared" si="22"/>
        <v>106128.53878073423</v>
      </c>
      <c r="CQ54" s="189">
        <f t="shared" si="22"/>
        <v>106128.53878073423</v>
      </c>
      <c r="CR54" s="189">
        <f t="shared" si="22"/>
        <v>106128.53878073423</v>
      </c>
      <c r="CS54" s="189">
        <f t="shared" si="22"/>
        <v>106128.53878073423</v>
      </c>
      <c r="CT54" s="189">
        <f t="shared" si="22"/>
        <v>106128.53878073423</v>
      </c>
      <c r="CU54" s="189">
        <f t="shared" si="22"/>
        <v>106128.53878073423</v>
      </c>
      <c r="CV54" s="189">
        <f t="shared" si="22"/>
        <v>106128.53878073423</v>
      </c>
      <c r="CW54" s="189">
        <f t="shared" si="22"/>
        <v>106128.53878073423</v>
      </c>
      <c r="CX54" s="189">
        <f t="shared" si="22"/>
        <v>106128.53878073423</v>
      </c>
      <c r="CY54" s="189">
        <f t="shared" ref="CY54:ED54" si="23">SUM(CY49:CY53)</f>
        <v>106128.53878073423</v>
      </c>
      <c r="CZ54" s="189">
        <f t="shared" si="23"/>
        <v>106128.53878073423</v>
      </c>
      <c r="DA54" s="189">
        <f t="shared" si="23"/>
        <v>106128.53878073423</v>
      </c>
      <c r="DB54" s="189">
        <f t="shared" si="23"/>
        <v>106128.53878073423</v>
      </c>
      <c r="DC54" s="189">
        <f t="shared" si="23"/>
        <v>106128.53878073423</v>
      </c>
      <c r="DD54" s="189">
        <f t="shared" si="23"/>
        <v>106128.53878073423</v>
      </c>
      <c r="DE54" s="189">
        <f t="shared" si="23"/>
        <v>106128.53878073423</v>
      </c>
      <c r="DF54" s="189">
        <f t="shared" si="23"/>
        <v>106128.53878073423</v>
      </c>
      <c r="DG54" s="189">
        <f t="shared" si="23"/>
        <v>0</v>
      </c>
      <c r="DH54" s="189">
        <f t="shared" si="23"/>
        <v>0</v>
      </c>
      <c r="DI54" s="189">
        <f t="shared" si="23"/>
        <v>0</v>
      </c>
      <c r="DJ54" s="189">
        <f t="shared" si="23"/>
        <v>0</v>
      </c>
      <c r="DK54" s="189">
        <f t="shared" si="23"/>
        <v>0</v>
      </c>
      <c r="DL54" s="189">
        <f t="shared" si="23"/>
        <v>0</v>
      </c>
      <c r="DM54" s="189">
        <f t="shared" si="23"/>
        <v>0</v>
      </c>
      <c r="DN54" s="189">
        <f t="shared" si="23"/>
        <v>0</v>
      </c>
      <c r="DO54" s="189">
        <f t="shared" si="23"/>
        <v>0</v>
      </c>
      <c r="DP54" s="189">
        <f t="shared" si="23"/>
        <v>0</v>
      </c>
      <c r="DQ54" s="189">
        <f t="shared" si="23"/>
        <v>0</v>
      </c>
      <c r="DR54" s="189">
        <f t="shared" si="23"/>
        <v>0</v>
      </c>
      <c r="DS54" s="189">
        <f t="shared" si="23"/>
        <v>0</v>
      </c>
      <c r="DT54" s="189">
        <f t="shared" si="23"/>
        <v>0</v>
      </c>
      <c r="DU54" s="189">
        <f t="shared" si="23"/>
        <v>0</v>
      </c>
      <c r="DV54" s="189">
        <f t="shared" si="23"/>
        <v>0</v>
      </c>
      <c r="DW54" s="189">
        <f t="shared" si="23"/>
        <v>0</v>
      </c>
      <c r="DX54" s="189">
        <f t="shared" si="23"/>
        <v>0</v>
      </c>
      <c r="DY54" s="189">
        <f t="shared" si="23"/>
        <v>0</v>
      </c>
      <c r="DZ54" s="189">
        <f t="shared" si="23"/>
        <v>0</v>
      </c>
      <c r="EA54" s="189">
        <f t="shared" si="23"/>
        <v>0</v>
      </c>
      <c r="EB54" s="189">
        <f t="shared" si="23"/>
        <v>0</v>
      </c>
      <c r="EC54" s="189">
        <f t="shared" si="23"/>
        <v>0</v>
      </c>
      <c r="ED54" s="189">
        <f t="shared" si="23"/>
        <v>0</v>
      </c>
      <c r="EE54" s="189">
        <f t="shared" ref="EE54:EP54" si="24">SUM(EE49:EE53)</f>
        <v>0</v>
      </c>
      <c r="EF54" s="189">
        <f t="shared" si="24"/>
        <v>0</v>
      </c>
      <c r="EG54" s="189">
        <f t="shared" si="24"/>
        <v>0</v>
      </c>
      <c r="EH54" s="189">
        <f t="shared" si="24"/>
        <v>0</v>
      </c>
      <c r="EI54" s="189">
        <f t="shared" si="24"/>
        <v>0</v>
      </c>
      <c r="EJ54" s="189">
        <f t="shared" si="24"/>
        <v>0</v>
      </c>
      <c r="EK54" s="189">
        <f t="shared" si="24"/>
        <v>0</v>
      </c>
      <c r="EL54" s="189">
        <f t="shared" si="24"/>
        <v>0</v>
      </c>
      <c r="EM54" s="189">
        <f t="shared" si="24"/>
        <v>0</v>
      </c>
      <c r="EN54" s="189">
        <f t="shared" si="24"/>
        <v>0</v>
      </c>
      <c r="EO54" s="189">
        <f t="shared" si="24"/>
        <v>0</v>
      </c>
      <c r="EP54" s="189">
        <f t="shared" si="24"/>
        <v>0</v>
      </c>
      <c r="EQ54" s="189">
        <f t="shared" ref="EQ54:FK54" si="25">SUM(EQ49:EQ53)</f>
        <v>0</v>
      </c>
      <c r="ER54" s="189">
        <f t="shared" si="25"/>
        <v>0</v>
      </c>
      <c r="ES54" s="189">
        <f t="shared" si="25"/>
        <v>0</v>
      </c>
      <c r="ET54" s="189">
        <f t="shared" si="25"/>
        <v>0</v>
      </c>
      <c r="EU54" s="189">
        <f t="shared" si="25"/>
        <v>0</v>
      </c>
      <c r="EV54" s="189">
        <f t="shared" si="25"/>
        <v>0</v>
      </c>
      <c r="EW54" s="189">
        <f t="shared" si="25"/>
        <v>0</v>
      </c>
      <c r="EX54" s="189">
        <f t="shared" si="25"/>
        <v>0</v>
      </c>
      <c r="EY54" s="189">
        <f t="shared" si="25"/>
        <v>0</v>
      </c>
      <c r="EZ54" s="189">
        <f t="shared" si="25"/>
        <v>0</v>
      </c>
      <c r="FA54" s="189">
        <f t="shared" si="25"/>
        <v>0</v>
      </c>
      <c r="FB54" s="189">
        <f t="shared" si="25"/>
        <v>0</v>
      </c>
      <c r="FC54" s="189">
        <f t="shared" si="25"/>
        <v>0</v>
      </c>
      <c r="FD54" s="189">
        <f t="shared" si="25"/>
        <v>0</v>
      </c>
      <c r="FE54" s="189">
        <f t="shared" si="25"/>
        <v>0</v>
      </c>
      <c r="FF54" s="189">
        <f t="shared" si="25"/>
        <v>0</v>
      </c>
      <c r="FG54" s="189">
        <f t="shared" si="25"/>
        <v>0</v>
      </c>
      <c r="FH54" s="189">
        <f t="shared" si="25"/>
        <v>0</v>
      </c>
      <c r="FI54" s="189">
        <f t="shared" si="25"/>
        <v>0</v>
      </c>
      <c r="FJ54" s="189">
        <f t="shared" si="25"/>
        <v>0</v>
      </c>
      <c r="FK54" s="189">
        <f t="shared" si="25"/>
        <v>0</v>
      </c>
      <c r="FL54" s="189">
        <f t="shared" ref="FL54:HW54" si="26">SUM(FL49:FL53)</f>
        <v>0</v>
      </c>
      <c r="FM54" s="189">
        <f t="shared" si="26"/>
        <v>0</v>
      </c>
      <c r="FN54" s="189">
        <f t="shared" si="26"/>
        <v>0</v>
      </c>
      <c r="FO54" s="189">
        <f t="shared" si="26"/>
        <v>0</v>
      </c>
      <c r="FP54" s="189">
        <f t="shared" si="26"/>
        <v>0</v>
      </c>
      <c r="FQ54" s="189">
        <f t="shared" si="26"/>
        <v>0</v>
      </c>
      <c r="FR54" s="189">
        <f t="shared" si="26"/>
        <v>0</v>
      </c>
      <c r="FS54" s="189">
        <f t="shared" si="26"/>
        <v>0</v>
      </c>
      <c r="FT54" s="189">
        <f t="shared" si="26"/>
        <v>0</v>
      </c>
      <c r="FU54" s="189">
        <f t="shared" si="26"/>
        <v>0</v>
      </c>
      <c r="FV54" s="189">
        <f t="shared" si="26"/>
        <v>0</v>
      </c>
      <c r="FW54" s="189">
        <f t="shared" si="26"/>
        <v>0</v>
      </c>
      <c r="FX54" s="189">
        <f t="shared" si="26"/>
        <v>0</v>
      </c>
      <c r="FY54" s="189">
        <f t="shared" si="26"/>
        <v>0</v>
      </c>
      <c r="FZ54" s="189">
        <f t="shared" si="26"/>
        <v>0</v>
      </c>
      <c r="GA54" s="189">
        <f t="shared" si="26"/>
        <v>0</v>
      </c>
      <c r="GB54" s="189">
        <f t="shared" si="26"/>
        <v>0</v>
      </c>
      <c r="GC54" s="189">
        <f t="shared" si="26"/>
        <v>0</v>
      </c>
      <c r="GD54" s="189">
        <f t="shared" si="26"/>
        <v>0</v>
      </c>
      <c r="GE54" s="189">
        <f t="shared" si="26"/>
        <v>0</v>
      </c>
      <c r="GF54" s="189">
        <f t="shared" si="26"/>
        <v>0</v>
      </c>
      <c r="GG54" s="189">
        <f t="shared" si="26"/>
        <v>0</v>
      </c>
      <c r="GH54" s="189">
        <f t="shared" si="26"/>
        <v>0</v>
      </c>
      <c r="GI54" s="189">
        <f t="shared" si="26"/>
        <v>0</v>
      </c>
      <c r="GJ54" s="189">
        <f t="shared" si="26"/>
        <v>0</v>
      </c>
      <c r="GK54" s="189">
        <f t="shared" si="26"/>
        <v>0</v>
      </c>
      <c r="GL54" s="189">
        <f t="shared" si="26"/>
        <v>0</v>
      </c>
      <c r="GM54" s="189">
        <f t="shared" si="26"/>
        <v>0</v>
      </c>
      <c r="GN54" s="189">
        <f t="shared" si="26"/>
        <v>0</v>
      </c>
      <c r="GO54" s="189">
        <f t="shared" si="26"/>
        <v>0</v>
      </c>
      <c r="GP54" s="189">
        <f t="shared" si="26"/>
        <v>0</v>
      </c>
      <c r="GQ54" s="189">
        <f t="shared" si="26"/>
        <v>0</v>
      </c>
      <c r="GR54" s="189">
        <f t="shared" si="26"/>
        <v>0</v>
      </c>
      <c r="GS54" s="189">
        <f t="shared" si="26"/>
        <v>0</v>
      </c>
      <c r="GT54" s="189">
        <f t="shared" si="26"/>
        <v>0</v>
      </c>
      <c r="GU54" s="189">
        <f t="shared" si="26"/>
        <v>0</v>
      </c>
      <c r="GV54" s="189">
        <f t="shared" si="26"/>
        <v>0</v>
      </c>
      <c r="GW54" s="189">
        <f t="shared" si="26"/>
        <v>0</v>
      </c>
      <c r="GX54" s="189">
        <f t="shared" si="26"/>
        <v>0</v>
      </c>
      <c r="GY54" s="189">
        <f t="shared" si="26"/>
        <v>0</v>
      </c>
      <c r="GZ54" s="189">
        <f t="shared" si="26"/>
        <v>0</v>
      </c>
      <c r="HA54" s="189">
        <f t="shared" si="26"/>
        <v>0</v>
      </c>
      <c r="HB54" s="189">
        <f t="shared" si="26"/>
        <v>0</v>
      </c>
      <c r="HC54" s="189">
        <f t="shared" si="26"/>
        <v>0</v>
      </c>
      <c r="HD54" s="189">
        <f t="shared" si="26"/>
        <v>0</v>
      </c>
      <c r="HE54" s="189">
        <f t="shared" si="26"/>
        <v>0</v>
      </c>
      <c r="HF54" s="189">
        <f t="shared" si="26"/>
        <v>0</v>
      </c>
      <c r="HG54" s="189">
        <f t="shared" si="26"/>
        <v>0</v>
      </c>
      <c r="HH54" s="189">
        <f t="shared" si="26"/>
        <v>0</v>
      </c>
      <c r="HI54" s="189">
        <f t="shared" si="26"/>
        <v>0</v>
      </c>
      <c r="HJ54" s="189">
        <f t="shared" si="26"/>
        <v>0</v>
      </c>
      <c r="HK54" s="189">
        <f t="shared" si="26"/>
        <v>0</v>
      </c>
      <c r="HL54" s="189">
        <f t="shared" si="26"/>
        <v>0</v>
      </c>
      <c r="HM54" s="189">
        <f t="shared" si="26"/>
        <v>0</v>
      </c>
      <c r="HN54" s="189">
        <f t="shared" si="26"/>
        <v>0</v>
      </c>
      <c r="HO54" s="189">
        <f t="shared" si="26"/>
        <v>0</v>
      </c>
      <c r="HP54" s="189">
        <f t="shared" si="26"/>
        <v>0</v>
      </c>
      <c r="HQ54" s="189">
        <f t="shared" si="26"/>
        <v>0</v>
      </c>
      <c r="HR54" s="189">
        <f t="shared" si="26"/>
        <v>0</v>
      </c>
      <c r="HS54" s="189">
        <f t="shared" si="26"/>
        <v>0</v>
      </c>
      <c r="HT54" s="189">
        <f t="shared" si="26"/>
        <v>0</v>
      </c>
      <c r="HU54" s="189">
        <f t="shared" si="26"/>
        <v>0</v>
      </c>
      <c r="HV54" s="189">
        <f t="shared" si="26"/>
        <v>0</v>
      </c>
      <c r="HW54" s="189">
        <f t="shared" si="26"/>
        <v>0</v>
      </c>
      <c r="HX54" s="189">
        <f t="shared" ref="HX54:KI54" si="27">SUM(HX49:HX53)</f>
        <v>0</v>
      </c>
      <c r="HY54" s="189">
        <f t="shared" si="27"/>
        <v>0</v>
      </c>
      <c r="HZ54" s="189">
        <f t="shared" si="27"/>
        <v>0</v>
      </c>
      <c r="IA54" s="189">
        <f t="shared" si="27"/>
        <v>0</v>
      </c>
      <c r="IB54" s="189">
        <f t="shared" si="27"/>
        <v>0</v>
      </c>
      <c r="IC54" s="189">
        <f t="shared" si="27"/>
        <v>0</v>
      </c>
      <c r="ID54" s="189">
        <f t="shared" si="27"/>
        <v>0</v>
      </c>
      <c r="IE54" s="189">
        <f t="shared" si="27"/>
        <v>0</v>
      </c>
      <c r="IF54" s="189">
        <f t="shared" si="27"/>
        <v>0</v>
      </c>
      <c r="IG54" s="189">
        <f t="shared" si="27"/>
        <v>0</v>
      </c>
      <c r="IH54" s="189">
        <f t="shared" si="27"/>
        <v>0</v>
      </c>
      <c r="II54" s="189">
        <f t="shared" si="27"/>
        <v>0</v>
      </c>
      <c r="IJ54" s="189">
        <f t="shared" si="27"/>
        <v>0</v>
      </c>
      <c r="IK54" s="189">
        <f t="shared" si="27"/>
        <v>0</v>
      </c>
      <c r="IL54" s="189">
        <f t="shared" si="27"/>
        <v>0</v>
      </c>
      <c r="IM54" s="189">
        <f t="shared" si="27"/>
        <v>0</v>
      </c>
      <c r="IN54" s="189">
        <f t="shared" si="27"/>
        <v>0</v>
      </c>
      <c r="IO54" s="189">
        <f t="shared" si="27"/>
        <v>0</v>
      </c>
      <c r="IP54" s="189">
        <f t="shared" si="27"/>
        <v>0</v>
      </c>
      <c r="IQ54" s="189">
        <f t="shared" si="27"/>
        <v>0</v>
      </c>
      <c r="IR54" s="189">
        <f t="shared" si="27"/>
        <v>0</v>
      </c>
      <c r="IS54" s="189">
        <f t="shared" si="27"/>
        <v>0</v>
      </c>
      <c r="IT54" s="189">
        <f t="shared" si="27"/>
        <v>0</v>
      </c>
      <c r="IU54" s="189">
        <f t="shared" si="27"/>
        <v>0</v>
      </c>
      <c r="IV54" s="189">
        <f t="shared" si="27"/>
        <v>0</v>
      </c>
      <c r="IW54" s="189">
        <f t="shared" si="27"/>
        <v>0</v>
      </c>
      <c r="IX54" s="189">
        <f t="shared" si="27"/>
        <v>0</v>
      </c>
      <c r="IY54" s="189">
        <f t="shared" si="27"/>
        <v>0</v>
      </c>
      <c r="IZ54" s="189">
        <f t="shared" si="27"/>
        <v>0</v>
      </c>
      <c r="JA54" s="189">
        <f t="shared" si="27"/>
        <v>0</v>
      </c>
      <c r="JB54" s="189">
        <f t="shared" si="27"/>
        <v>0</v>
      </c>
      <c r="JC54" s="189">
        <f t="shared" si="27"/>
        <v>0</v>
      </c>
      <c r="JD54" s="189">
        <f t="shared" si="27"/>
        <v>0</v>
      </c>
      <c r="JE54" s="189">
        <f t="shared" si="27"/>
        <v>0</v>
      </c>
      <c r="JF54" s="189">
        <f t="shared" si="27"/>
        <v>0</v>
      </c>
      <c r="JG54" s="189">
        <f t="shared" si="27"/>
        <v>0</v>
      </c>
      <c r="JH54" s="189">
        <f t="shared" si="27"/>
        <v>0</v>
      </c>
      <c r="JI54" s="189">
        <f t="shared" si="27"/>
        <v>0</v>
      </c>
      <c r="JJ54" s="189">
        <f t="shared" si="27"/>
        <v>0</v>
      </c>
      <c r="JK54" s="189">
        <f t="shared" si="27"/>
        <v>0</v>
      </c>
      <c r="JL54" s="189">
        <f t="shared" si="27"/>
        <v>0</v>
      </c>
      <c r="JM54" s="189">
        <f t="shared" si="27"/>
        <v>0</v>
      </c>
      <c r="JN54" s="189">
        <f t="shared" si="27"/>
        <v>0</v>
      </c>
      <c r="JO54" s="189">
        <f t="shared" si="27"/>
        <v>0</v>
      </c>
      <c r="JP54" s="189">
        <f t="shared" si="27"/>
        <v>0</v>
      </c>
      <c r="JQ54" s="189">
        <f t="shared" si="27"/>
        <v>0</v>
      </c>
      <c r="JR54" s="189">
        <f t="shared" si="27"/>
        <v>0</v>
      </c>
      <c r="JS54" s="189">
        <f t="shared" si="27"/>
        <v>0</v>
      </c>
      <c r="JT54" s="189">
        <f t="shared" si="27"/>
        <v>0</v>
      </c>
      <c r="JU54" s="189">
        <f t="shared" si="27"/>
        <v>0</v>
      </c>
      <c r="JV54" s="189">
        <f t="shared" si="27"/>
        <v>0</v>
      </c>
      <c r="JW54" s="189">
        <f t="shared" si="27"/>
        <v>0</v>
      </c>
      <c r="JX54" s="189">
        <f t="shared" si="27"/>
        <v>0</v>
      </c>
      <c r="JY54" s="189">
        <f t="shared" si="27"/>
        <v>0</v>
      </c>
      <c r="JZ54" s="189">
        <f t="shared" si="27"/>
        <v>0</v>
      </c>
      <c r="KA54" s="189">
        <f t="shared" si="27"/>
        <v>0</v>
      </c>
      <c r="KB54" s="189">
        <f t="shared" si="27"/>
        <v>0</v>
      </c>
      <c r="KC54" s="189">
        <f t="shared" si="27"/>
        <v>0</v>
      </c>
      <c r="KD54" s="189">
        <f t="shared" si="27"/>
        <v>0</v>
      </c>
      <c r="KE54" s="189">
        <f t="shared" si="27"/>
        <v>0</v>
      </c>
      <c r="KF54" s="189">
        <f t="shared" si="27"/>
        <v>0</v>
      </c>
      <c r="KG54" s="189">
        <f t="shared" si="27"/>
        <v>0</v>
      </c>
      <c r="KH54" s="189">
        <f t="shared" si="27"/>
        <v>0</v>
      </c>
      <c r="KI54" s="189">
        <f t="shared" si="27"/>
        <v>0</v>
      </c>
      <c r="KJ54" s="189">
        <f t="shared" ref="KJ54:MU54" si="28">SUM(KJ49:KJ53)</f>
        <v>0</v>
      </c>
      <c r="KK54" s="189">
        <f t="shared" si="28"/>
        <v>0</v>
      </c>
      <c r="KL54" s="189">
        <f t="shared" si="28"/>
        <v>0</v>
      </c>
      <c r="KM54" s="189">
        <f t="shared" si="28"/>
        <v>0</v>
      </c>
      <c r="KN54" s="189">
        <f t="shared" si="28"/>
        <v>0</v>
      </c>
      <c r="KO54" s="189">
        <f t="shared" si="28"/>
        <v>0</v>
      </c>
      <c r="KP54" s="189">
        <f t="shared" si="28"/>
        <v>0</v>
      </c>
      <c r="KQ54" s="189">
        <f t="shared" si="28"/>
        <v>0</v>
      </c>
      <c r="KR54" s="189">
        <f t="shared" si="28"/>
        <v>0</v>
      </c>
      <c r="KS54" s="189">
        <f t="shared" si="28"/>
        <v>0</v>
      </c>
      <c r="KT54" s="189">
        <f t="shared" si="28"/>
        <v>0</v>
      </c>
      <c r="KU54" s="189">
        <f t="shared" si="28"/>
        <v>0</v>
      </c>
      <c r="KV54" s="189">
        <f t="shared" si="28"/>
        <v>0</v>
      </c>
      <c r="KW54" s="189">
        <f t="shared" si="28"/>
        <v>0</v>
      </c>
      <c r="KX54" s="189">
        <f t="shared" si="28"/>
        <v>0</v>
      </c>
      <c r="KY54" s="189">
        <f t="shared" si="28"/>
        <v>0</v>
      </c>
      <c r="KZ54" s="189">
        <f t="shared" si="28"/>
        <v>0</v>
      </c>
      <c r="LA54" s="189">
        <f t="shared" si="28"/>
        <v>0</v>
      </c>
      <c r="LB54" s="189">
        <f t="shared" si="28"/>
        <v>0</v>
      </c>
      <c r="LC54" s="189">
        <f t="shared" si="28"/>
        <v>0</v>
      </c>
      <c r="LD54" s="189">
        <f t="shared" si="28"/>
        <v>0</v>
      </c>
      <c r="LE54" s="189">
        <f t="shared" si="28"/>
        <v>0</v>
      </c>
      <c r="LF54" s="189">
        <f t="shared" si="28"/>
        <v>0</v>
      </c>
      <c r="LG54" s="189">
        <f t="shared" si="28"/>
        <v>0</v>
      </c>
      <c r="LH54" s="189">
        <f t="shared" si="28"/>
        <v>0</v>
      </c>
      <c r="LI54" s="189">
        <f t="shared" si="28"/>
        <v>0</v>
      </c>
      <c r="LJ54" s="189">
        <f t="shared" si="28"/>
        <v>0</v>
      </c>
      <c r="LK54" s="189">
        <f t="shared" si="28"/>
        <v>0</v>
      </c>
      <c r="LL54" s="189">
        <f t="shared" si="28"/>
        <v>0</v>
      </c>
      <c r="LM54" s="189">
        <f t="shared" si="28"/>
        <v>0</v>
      </c>
      <c r="LN54" s="189">
        <f t="shared" si="28"/>
        <v>0</v>
      </c>
      <c r="LO54" s="189">
        <f t="shared" si="28"/>
        <v>0</v>
      </c>
      <c r="LP54" s="189">
        <f t="shared" si="28"/>
        <v>0</v>
      </c>
      <c r="LQ54" s="189">
        <f t="shared" si="28"/>
        <v>0</v>
      </c>
      <c r="LR54" s="189">
        <f t="shared" si="28"/>
        <v>0</v>
      </c>
      <c r="LS54" s="189">
        <f t="shared" si="28"/>
        <v>0</v>
      </c>
      <c r="LT54" s="189">
        <f t="shared" si="28"/>
        <v>0</v>
      </c>
      <c r="LU54" s="189">
        <f t="shared" si="28"/>
        <v>0</v>
      </c>
      <c r="LV54" s="189">
        <f t="shared" si="28"/>
        <v>0</v>
      </c>
      <c r="LW54" s="189">
        <f t="shared" si="28"/>
        <v>0</v>
      </c>
      <c r="LX54" s="189">
        <f t="shared" si="28"/>
        <v>0</v>
      </c>
      <c r="LY54" s="189">
        <f t="shared" si="28"/>
        <v>0</v>
      </c>
      <c r="LZ54" s="189">
        <f t="shared" si="28"/>
        <v>0</v>
      </c>
      <c r="MA54" s="189">
        <f t="shared" si="28"/>
        <v>0</v>
      </c>
      <c r="MB54" s="189">
        <f t="shared" si="28"/>
        <v>0</v>
      </c>
      <c r="MC54" s="189">
        <f t="shared" si="28"/>
        <v>0</v>
      </c>
      <c r="MD54" s="189">
        <f t="shared" si="28"/>
        <v>0</v>
      </c>
      <c r="ME54" s="189">
        <f t="shared" si="28"/>
        <v>0</v>
      </c>
      <c r="MF54" s="189">
        <f t="shared" si="28"/>
        <v>0</v>
      </c>
      <c r="MG54" s="189">
        <f t="shared" si="28"/>
        <v>0</v>
      </c>
      <c r="MH54" s="189">
        <f t="shared" si="28"/>
        <v>0</v>
      </c>
      <c r="MI54" s="189">
        <f t="shared" si="28"/>
        <v>0</v>
      </c>
      <c r="MJ54" s="189">
        <f t="shared" si="28"/>
        <v>0</v>
      </c>
      <c r="MK54" s="189">
        <f t="shared" si="28"/>
        <v>0</v>
      </c>
      <c r="ML54" s="189">
        <f t="shared" si="28"/>
        <v>0</v>
      </c>
      <c r="MM54" s="189">
        <f t="shared" si="28"/>
        <v>0</v>
      </c>
      <c r="MN54" s="189">
        <f t="shared" si="28"/>
        <v>0</v>
      </c>
      <c r="MO54" s="189">
        <f t="shared" si="28"/>
        <v>0</v>
      </c>
      <c r="MP54" s="189">
        <f t="shared" si="28"/>
        <v>0</v>
      </c>
      <c r="MQ54" s="189">
        <f t="shared" si="28"/>
        <v>0</v>
      </c>
      <c r="MR54" s="189">
        <f t="shared" si="28"/>
        <v>0</v>
      </c>
      <c r="MS54" s="189">
        <f t="shared" si="28"/>
        <v>0</v>
      </c>
      <c r="MT54" s="189">
        <f t="shared" si="28"/>
        <v>0</v>
      </c>
      <c r="MU54" s="189">
        <f t="shared" si="28"/>
        <v>0</v>
      </c>
      <c r="MV54" s="189">
        <f t="shared" ref="MV54:OG54" si="29">SUM(MV49:MV53)</f>
        <v>0</v>
      </c>
      <c r="MW54" s="189">
        <f t="shared" si="29"/>
        <v>0</v>
      </c>
      <c r="MX54" s="189">
        <f t="shared" si="29"/>
        <v>0</v>
      </c>
      <c r="MY54" s="189">
        <f t="shared" si="29"/>
        <v>0</v>
      </c>
      <c r="MZ54" s="189">
        <f t="shared" si="29"/>
        <v>0</v>
      </c>
      <c r="NA54" s="189">
        <f t="shared" si="29"/>
        <v>0</v>
      </c>
      <c r="NB54" s="189">
        <f t="shared" si="29"/>
        <v>0</v>
      </c>
      <c r="NC54" s="189">
        <f t="shared" si="29"/>
        <v>0</v>
      </c>
      <c r="ND54" s="189">
        <f t="shared" si="29"/>
        <v>0</v>
      </c>
      <c r="NE54" s="189">
        <f t="shared" si="29"/>
        <v>0</v>
      </c>
      <c r="NF54" s="189">
        <f t="shared" si="29"/>
        <v>0</v>
      </c>
      <c r="NG54" s="189">
        <f t="shared" si="29"/>
        <v>0</v>
      </c>
      <c r="NH54" s="189">
        <f t="shared" si="29"/>
        <v>0</v>
      </c>
      <c r="NI54" s="189">
        <f t="shared" si="29"/>
        <v>0</v>
      </c>
      <c r="NJ54" s="189">
        <f t="shared" si="29"/>
        <v>0</v>
      </c>
      <c r="NK54" s="189">
        <f t="shared" si="29"/>
        <v>0</v>
      </c>
      <c r="NL54" s="189">
        <f t="shared" si="29"/>
        <v>0</v>
      </c>
      <c r="NM54" s="189">
        <f t="shared" si="29"/>
        <v>0</v>
      </c>
      <c r="NN54" s="189">
        <f t="shared" si="29"/>
        <v>0</v>
      </c>
      <c r="NO54" s="189">
        <f t="shared" si="29"/>
        <v>0</v>
      </c>
      <c r="NP54" s="189">
        <f t="shared" si="29"/>
        <v>0</v>
      </c>
      <c r="NQ54" s="189">
        <f t="shared" si="29"/>
        <v>0</v>
      </c>
      <c r="NR54" s="189">
        <f t="shared" si="29"/>
        <v>0</v>
      </c>
      <c r="NS54" s="189">
        <f t="shared" si="29"/>
        <v>0</v>
      </c>
      <c r="NT54" s="189">
        <f t="shared" si="29"/>
        <v>0</v>
      </c>
      <c r="NU54" s="189">
        <f t="shared" si="29"/>
        <v>0</v>
      </c>
      <c r="NV54" s="189">
        <f t="shared" si="29"/>
        <v>0</v>
      </c>
      <c r="NW54" s="189">
        <f t="shared" si="29"/>
        <v>0</v>
      </c>
      <c r="NX54" s="189">
        <f t="shared" si="29"/>
        <v>0</v>
      </c>
      <c r="NY54" s="189">
        <f t="shared" si="29"/>
        <v>0</v>
      </c>
      <c r="NZ54" s="189">
        <f t="shared" si="29"/>
        <v>0</v>
      </c>
      <c r="OA54" s="189">
        <f t="shared" si="29"/>
        <v>0</v>
      </c>
      <c r="OB54" s="189">
        <f t="shared" si="29"/>
        <v>0</v>
      </c>
      <c r="OC54" s="189">
        <f t="shared" si="29"/>
        <v>0</v>
      </c>
      <c r="OD54" s="189">
        <f t="shared" si="29"/>
        <v>0</v>
      </c>
      <c r="OE54" s="189">
        <f t="shared" si="29"/>
        <v>0</v>
      </c>
      <c r="OF54" s="189">
        <f t="shared" si="29"/>
        <v>0</v>
      </c>
      <c r="OG54" s="189">
        <f t="shared" si="29"/>
        <v>0</v>
      </c>
      <c r="OH54" s="189"/>
    </row>
    <row r="55" spans="1:398" ht="18" thickTop="1" thickBot="1">
      <c r="A55" s="319">
        <f t="shared" si="20"/>
        <v>0</v>
      </c>
      <c r="B55" s="72"/>
      <c r="C55" s="438"/>
      <c r="E55" s="205"/>
      <c r="F55" s="1294"/>
      <c r="G55" s="1290"/>
      <c r="H55" s="1124" cm="1">
        <f t="array" aca="1" ref="H55:AF55" ca="1">IF(_xlfn.ANCHORARRAY($V22)&lt;&gt;_xlfn.ANCHORARRAY(H$33),0,SUM($X22:$X22))</f>
        <v>0</v>
      </c>
      <c r="I55" s="1124">
        <f ca="1"/>
        <v>0</v>
      </c>
      <c r="J55" s="1124">
        <f ca="1"/>
        <v>0</v>
      </c>
      <c r="K55" s="1124">
        <f ca="1"/>
        <v>0</v>
      </c>
      <c r="L55" s="1124">
        <f ca="1"/>
        <v>0</v>
      </c>
      <c r="M55" s="1124">
        <f ca="1"/>
        <v>16086987.403644357</v>
      </c>
      <c r="N55" s="1124">
        <f ca="1"/>
        <v>0</v>
      </c>
      <c r="O55" s="1124">
        <f ca="1"/>
        <v>0</v>
      </c>
      <c r="P55" s="1124">
        <f ca="1"/>
        <v>0</v>
      </c>
      <c r="Q55" s="1124">
        <f ca="1"/>
        <v>0</v>
      </c>
      <c r="R55" s="1124">
        <f ca="1"/>
        <v>0</v>
      </c>
      <c r="S55" s="1124">
        <f ca="1"/>
        <v>0</v>
      </c>
      <c r="T55" s="1124">
        <f ca="1"/>
        <v>0</v>
      </c>
      <c r="U55" s="1124">
        <f ca="1"/>
        <v>0</v>
      </c>
      <c r="V55" s="1124">
        <f ca="1"/>
        <v>0</v>
      </c>
      <c r="W55" s="1124">
        <f ca="1"/>
        <v>0</v>
      </c>
      <c r="X55" s="1124">
        <f ca="1"/>
        <v>0</v>
      </c>
      <c r="Y55" s="1124">
        <f ca="1"/>
        <v>0</v>
      </c>
      <c r="Z55" s="1124">
        <f ca="1"/>
        <v>0</v>
      </c>
      <c r="AA55" s="1124">
        <f ca="1"/>
        <v>0</v>
      </c>
      <c r="AB55" s="1124">
        <f ca="1"/>
        <v>0</v>
      </c>
      <c r="AC55" s="1124">
        <f ca="1"/>
        <v>0</v>
      </c>
      <c r="AD55" s="1124">
        <f ca="1"/>
        <v>0</v>
      </c>
      <c r="AE55" s="1124">
        <f ca="1"/>
        <v>0</v>
      </c>
      <c r="AF55" s="1124">
        <f ca="1"/>
        <v>0</v>
      </c>
      <c r="AG55" s="1125">
        <f t="shared" ref="AG55:AG61" ca="1" si="30">SUM(H55:AF55)</f>
        <v>16086987.403644357</v>
      </c>
      <c r="AI55" s="1085"/>
      <c r="AJ55" s="1086"/>
      <c r="AK55" s="68"/>
    </row>
    <row r="56" spans="1:398" ht="18" thickTop="1" thickBot="1">
      <c r="A56" s="210"/>
      <c r="B56" s="149"/>
      <c r="C56" s="438"/>
      <c r="E56" s="205"/>
      <c r="F56" s="1127" t="s">
        <v>157</v>
      </c>
      <c r="G56" s="1127"/>
      <c r="H56" s="1127">
        <f t="shared" ref="H56:AF56" ca="1" si="31">SUM(H36:H55)</f>
        <v>0</v>
      </c>
      <c r="I56" s="1127">
        <f t="shared" ca="1" si="31"/>
        <v>0</v>
      </c>
      <c r="J56" s="1127">
        <f t="shared" ca="1" si="31"/>
        <v>0</v>
      </c>
      <c r="K56" s="1127">
        <f t="shared" ca="1" si="31"/>
        <v>118493448.29150721</v>
      </c>
      <c r="L56" s="1127">
        <f t="shared" ca="1" si="31"/>
        <v>0</v>
      </c>
      <c r="M56" s="1126">
        <f t="shared" ca="1" si="31"/>
        <v>16086987.403644357</v>
      </c>
      <c r="N56" s="1126">
        <f t="shared" ca="1" si="31"/>
        <v>0</v>
      </c>
      <c r="O56" s="1126">
        <f t="shared" ca="1" si="31"/>
        <v>0</v>
      </c>
      <c r="P56" s="1126">
        <f t="shared" ca="1" si="31"/>
        <v>0</v>
      </c>
      <c r="Q56" s="1126">
        <f t="shared" ca="1" si="31"/>
        <v>0</v>
      </c>
      <c r="R56" s="1126">
        <f t="shared" ca="1" si="31"/>
        <v>0</v>
      </c>
      <c r="S56" s="1126">
        <f t="shared" ca="1" si="31"/>
        <v>0</v>
      </c>
      <c r="T56" s="1126">
        <f t="shared" ca="1" si="31"/>
        <v>0</v>
      </c>
      <c r="U56" s="1126">
        <f t="shared" ca="1" si="31"/>
        <v>0</v>
      </c>
      <c r="V56" s="1126">
        <f t="shared" ca="1" si="31"/>
        <v>0</v>
      </c>
      <c r="W56" s="1126">
        <f t="shared" ca="1" si="31"/>
        <v>0</v>
      </c>
      <c r="X56" s="1126">
        <f t="shared" ca="1" si="31"/>
        <v>0</v>
      </c>
      <c r="Y56" s="1126">
        <f t="shared" ca="1" si="31"/>
        <v>0</v>
      </c>
      <c r="Z56" s="1126">
        <f t="shared" ca="1" si="31"/>
        <v>0</v>
      </c>
      <c r="AA56" s="1126">
        <f t="shared" ca="1" si="31"/>
        <v>0</v>
      </c>
      <c r="AB56" s="1126">
        <f t="shared" ca="1" si="31"/>
        <v>0</v>
      </c>
      <c r="AC56" s="1126">
        <f t="shared" ca="1" si="31"/>
        <v>0</v>
      </c>
      <c r="AD56" s="1126">
        <f t="shared" ca="1" si="31"/>
        <v>0</v>
      </c>
      <c r="AE56" s="1126">
        <f t="shared" ca="1" si="31"/>
        <v>0</v>
      </c>
      <c r="AF56" s="1126">
        <f t="shared" ca="1" si="31"/>
        <v>0</v>
      </c>
      <c r="AG56" s="1128">
        <f t="shared" ca="1" si="30"/>
        <v>134580435.69515157</v>
      </c>
      <c r="AI56" s="1085"/>
      <c r="AJ56" s="1086"/>
      <c r="AK56" s="68"/>
    </row>
    <row r="57" spans="1:398" ht="19.5" customHeight="1" thickTop="1" thickBot="1">
      <c r="A57" s="210"/>
      <c r="B57" s="149"/>
      <c r="C57" s="438"/>
      <c r="E57" s="205"/>
      <c r="F57" s="1129" t="s">
        <v>156</v>
      </c>
      <c r="G57" s="1130"/>
      <c r="H57" s="1131" cm="1">
        <f t="array" aca="1" ref="H57:AF57" ca="1">SUMIF(iv_Sale.Years,_xlfn.ANCHORARRAY(H33),Y10:Y22)</f>
        <v>0</v>
      </c>
      <c r="I57" s="1131">
        <f ca="1"/>
        <v>0</v>
      </c>
      <c r="J57" s="1131">
        <f ca="1"/>
        <v>0</v>
      </c>
      <c r="K57" s="1131">
        <f ca="1"/>
        <v>-42170522.947051242</v>
      </c>
      <c r="L57" s="1131">
        <f ca="1"/>
        <v>0</v>
      </c>
      <c r="M57" s="1131">
        <f ca="1"/>
        <v>-8713784.8436406944</v>
      </c>
      <c r="N57" s="1131">
        <f ca="1"/>
        <v>-6434682.7475389121</v>
      </c>
      <c r="O57" s="1131">
        <f ca="1"/>
        <v>0</v>
      </c>
      <c r="P57" s="1131">
        <f ca="1"/>
        <v>0</v>
      </c>
      <c r="Q57" s="1131">
        <f ca="1"/>
        <v>0</v>
      </c>
      <c r="R57" s="1131">
        <f ca="1"/>
        <v>0</v>
      </c>
      <c r="S57" s="1131">
        <f ca="1"/>
        <v>0</v>
      </c>
      <c r="T57" s="1131">
        <f ca="1"/>
        <v>0</v>
      </c>
      <c r="U57" s="1131">
        <f ca="1"/>
        <v>0</v>
      </c>
      <c r="V57" s="1131">
        <f ca="1"/>
        <v>0</v>
      </c>
      <c r="W57" s="1131">
        <f ca="1"/>
        <v>0</v>
      </c>
      <c r="X57" s="1131">
        <f ca="1"/>
        <v>0</v>
      </c>
      <c r="Y57" s="1131">
        <f ca="1"/>
        <v>0</v>
      </c>
      <c r="Z57" s="1131">
        <f ca="1"/>
        <v>0</v>
      </c>
      <c r="AA57" s="1131">
        <f ca="1"/>
        <v>0</v>
      </c>
      <c r="AB57" s="1131">
        <f ca="1"/>
        <v>0</v>
      </c>
      <c r="AC57" s="1131">
        <f ca="1"/>
        <v>0</v>
      </c>
      <c r="AD57" s="1131">
        <f ca="1"/>
        <v>0</v>
      </c>
      <c r="AE57" s="1131">
        <f ca="1"/>
        <v>0</v>
      </c>
      <c r="AF57" s="1131">
        <f ca="1"/>
        <v>0</v>
      </c>
      <c r="AG57" s="1132">
        <f t="shared" ca="1" si="30"/>
        <v>-57318990.538230844</v>
      </c>
      <c r="AI57" s="1085"/>
      <c r="AJ57" s="1086"/>
      <c r="AK57" s="68"/>
    </row>
    <row r="58" spans="1:398" ht="18" thickTop="1" thickBot="1">
      <c r="A58" s="210"/>
      <c r="B58" s="149"/>
      <c r="C58" s="438"/>
      <c r="E58" s="205"/>
      <c r="F58" s="1133" t="s">
        <v>152</v>
      </c>
      <c r="G58" s="1134"/>
      <c r="H58" s="1135">
        <f t="shared" ref="H58:AF58" ca="1" si="32">H56+H57</f>
        <v>0</v>
      </c>
      <c r="I58" s="1135">
        <f t="shared" ca="1" si="32"/>
        <v>0</v>
      </c>
      <c r="J58" s="1135">
        <f t="shared" ca="1" si="32"/>
        <v>0</v>
      </c>
      <c r="K58" s="1135">
        <f t="shared" ca="1" si="32"/>
        <v>76322925.344455972</v>
      </c>
      <c r="L58" s="1135">
        <f t="shared" ca="1" si="32"/>
        <v>0</v>
      </c>
      <c r="M58" s="1135">
        <f t="shared" ca="1" si="32"/>
        <v>7373202.5600036625</v>
      </c>
      <c r="N58" s="1135">
        <f t="shared" ca="1" si="32"/>
        <v>-6434682.7475389121</v>
      </c>
      <c r="O58" s="1135">
        <f t="shared" ca="1" si="32"/>
        <v>0</v>
      </c>
      <c r="P58" s="1135">
        <f t="shared" ca="1" si="32"/>
        <v>0</v>
      </c>
      <c r="Q58" s="1135">
        <f t="shared" ca="1" si="32"/>
        <v>0</v>
      </c>
      <c r="R58" s="1135">
        <f t="shared" ca="1" si="32"/>
        <v>0</v>
      </c>
      <c r="S58" s="1135">
        <f t="shared" ca="1" si="32"/>
        <v>0</v>
      </c>
      <c r="T58" s="1135">
        <f t="shared" ca="1" si="32"/>
        <v>0</v>
      </c>
      <c r="U58" s="1135">
        <f t="shared" ca="1" si="32"/>
        <v>0</v>
      </c>
      <c r="V58" s="1135">
        <f t="shared" ca="1" si="32"/>
        <v>0</v>
      </c>
      <c r="W58" s="1135">
        <f t="shared" ca="1" si="32"/>
        <v>0</v>
      </c>
      <c r="X58" s="1135">
        <f t="shared" ca="1" si="32"/>
        <v>0</v>
      </c>
      <c r="Y58" s="1135">
        <f t="shared" ca="1" si="32"/>
        <v>0</v>
      </c>
      <c r="Z58" s="1135">
        <f t="shared" ca="1" si="32"/>
        <v>0</v>
      </c>
      <c r="AA58" s="1135">
        <f t="shared" ca="1" si="32"/>
        <v>0</v>
      </c>
      <c r="AB58" s="1135">
        <f t="shared" ca="1" si="32"/>
        <v>0</v>
      </c>
      <c r="AC58" s="1135">
        <f t="shared" ca="1" si="32"/>
        <v>0</v>
      </c>
      <c r="AD58" s="1135">
        <f t="shared" ca="1" si="32"/>
        <v>0</v>
      </c>
      <c r="AE58" s="1135">
        <f t="shared" ca="1" si="32"/>
        <v>0</v>
      </c>
      <c r="AF58" s="1135">
        <f t="shared" ca="1" si="32"/>
        <v>0</v>
      </c>
      <c r="AG58" s="1136">
        <f t="shared" ca="1" si="30"/>
        <v>77261445.156920731</v>
      </c>
      <c r="AI58" s="1085"/>
      <c r="AJ58" s="1086"/>
      <c r="AK58" s="68"/>
    </row>
    <row r="59" spans="1:398" ht="18" thickTop="1" thickBot="1">
      <c r="A59" s="210"/>
      <c r="B59" s="149"/>
      <c r="C59" s="438"/>
      <c r="E59" s="205"/>
      <c r="F59" s="1137" t="str">
        <f>AA9</f>
        <v>Commissions</v>
      </c>
      <c r="G59" s="1138">
        <f>i_Cost.Commisions</f>
        <v>0.03</v>
      </c>
      <c r="H59" s="1139">
        <f t="shared" ref="H59:Q60" ca="1" si="33">H$58*-$G59</f>
        <v>0</v>
      </c>
      <c r="I59" s="1139">
        <f t="shared" ca="1" si="33"/>
        <v>0</v>
      </c>
      <c r="J59" s="1139">
        <f t="shared" ca="1" si="33"/>
        <v>0</v>
      </c>
      <c r="K59" s="1139">
        <f t="shared" ca="1" si="33"/>
        <v>-2289687.7603336792</v>
      </c>
      <c r="L59" s="1139">
        <f t="shared" ca="1" si="33"/>
        <v>0</v>
      </c>
      <c r="M59" s="1139">
        <f t="shared" ca="1" si="33"/>
        <v>-221196.07680010988</v>
      </c>
      <c r="N59" s="1139">
        <f t="shared" ca="1" si="33"/>
        <v>193040.48242616735</v>
      </c>
      <c r="O59" s="1139">
        <f t="shared" ca="1" si="33"/>
        <v>0</v>
      </c>
      <c r="P59" s="1139">
        <f t="shared" ca="1" si="33"/>
        <v>0</v>
      </c>
      <c r="Q59" s="1139">
        <f t="shared" ca="1" si="33"/>
        <v>0</v>
      </c>
      <c r="R59" s="1139">
        <f t="shared" ref="R59:AF60" ca="1" si="34">R$58*-$G59</f>
        <v>0</v>
      </c>
      <c r="S59" s="1139">
        <f t="shared" ca="1" si="34"/>
        <v>0</v>
      </c>
      <c r="T59" s="1139">
        <f t="shared" ca="1" si="34"/>
        <v>0</v>
      </c>
      <c r="U59" s="1139">
        <f t="shared" ca="1" si="34"/>
        <v>0</v>
      </c>
      <c r="V59" s="1139">
        <f t="shared" ca="1" si="34"/>
        <v>0</v>
      </c>
      <c r="W59" s="1139">
        <f t="shared" ca="1" si="34"/>
        <v>0</v>
      </c>
      <c r="X59" s="1139">
        <f t="shared" ca="1" si="34"/>
        <v>0</v>
      </c>
      <c r="Y59" s="1139">
        <f t="shared" ca="1" si="34"/>
        <v>0</v>
      </c>
      <c r="Z59" s="1139">
        <f t="shared" ca="1" si="34"/>
        <v>0</v>
      </c>
      <c r="AA59" s="1139">
        <f t="shared" ca="1" si="34"/>
        <v>0</v>
      </c>
      <c r="AB59" s="1139">
        <f t="shared" ca="1" si="34"/>
        <v>0</v>
      </c>
      <c r="AC59" s="1139">
        <f t="shared" ca="1" si="34"/>
        <v>0</v>
      </c>
      <c r="AD59" s="1139">
        <f t="shared" ca="1" si="34"/>
        <v>0</v>
      </c>
      <c r="AE59" s="1139">
        <f t="shared" ca="1" si="34"/>
        <v>0</v>
      </c>
      <c r="AF59" s="1139">
        <f t="shared" ca="1" si="34"/>
        <v>0</v>
      </c>
      <c r="AG59" s="1123">
        <f t="shared" ca="1" si="30"/>
        <v>-2317843.3547076215</v>
      </c>
      <c r="AH59" s="1116"/>
      <c r="AI59" s="1085"/>
      <c r="AJ59" s="1086"/>
      <c r="AK59" s="68"/>
    </row>
    <row r="60" spans="1:398" ht="20" customHeight="1" thickTop="1">
      <c r="A60" s="210"/>
      <c r="B60" s="149"/>
      <c r="C60" s="438"/>
      <c r="E60" s="205"/>
      <c r="F60" s="1140" t="str">
        <f>AB9</f>
        <v>Other / COS</v>
      </c>
      <c r="G60" s="1141">
        <f>i_Cost.OtherCOS</f>
        <v>0.01</v>
      </c>
      <c r="H60" s="1142">
        <f t="shared" ca="1" si="33"/>
        <v>0</v>
      </c>
      <c r="I60" s="1142">
        <f t="shared" ca="1" si="33"/>
        <v>0</v>
      </c>
      <c r="J60" s="1142">
        <f t="shared" ca="1" si="33"/>
        <v>0</v>
      </c>
      <c r="K60" s="1142">
        <f t="shared" ca="1" si="33"/>
        <v>-763229.25344455976</v>
      </c>
      <c r="L60" s="1142">
        <f t="shared" ca="1" si="33"/>
        <v>0</v>
      </c>
      <c r="M60" s="1142">
        <f t="shared" ca="1" si="33"/>
        <v>-73732.025600036621</v>
      </c>
      <c r="N60" s="1142">
        <f t="shared" ca="1" si="33"/>
        <v>64346.827475389124</v>
      </c>
      <c r="O60" s="1142">
        <f t="shared" ca="1" si="33"/>
        <v>0</v>
      </c>
      <c r="P60" s="1142">
        <f t="shared" ca="1" si="33"/>
        <v>0</v>
      </c>
      <c r="Q60" s="1142">
        <f t="shared" ca="1" si="33"/>
        <v>0</v>
      </c>
      <c r="R60" s="1142">
        <f t="shared" ca="1" si="34"/>
        <v>0</v>
      </c>
      <c r="S60" s="1142">
        <f t="shared" ca="1" si="34"/>
        <v>0</v>
      </c>
      <c r="T60" s="1142">
        <f t="shared" ca="1" si="34"/>
        <v>0</v>
      </c>
      <c r="U60" s="1142">
        <f t="shared" ca="1" si="34"/>
        <v>0</v>
      </c>
      <c r="V60" s="1142">
        <f t="shared" ca="1" si="34"/>
        <v>0</v>
      </c>
      <c r="W60" s="1142">
        <f t="shared" ca="1" si="34"/>
        <v>0</v>
      </c>
      <c r="X60" s="1142">
        <f t="shared" ca="1" si="34"/>
        <v>0</v>
      </c>
      <c r="Y60" s="1142">
        <f t="shared" ca="1" si="34"/>
        <v>0</v>
      </c>
      <c r="Z60" s="1142">
        <f t="shared" ca="1" si="34"/>
        <v>0</v>
      </c>
      <c r="AA60" s="1142">
        <f t="shared" ca="1" si="34"/>
        <v>0</v>
      </c>
      <c r="AB60" s="1142">
        <f t="shared" ca="1" si="34"/>
        <v>0</v>
      </c>
      <c r="AC60" s="1142">
        <f t="shared" ca="1" si="34"/>
        <v>0</v>
      </c>
      <c r="AD60" s="1142">
        <f t="shared" ca="1" si="34"/>
        <v>0</v>
      </c>
      <c r="AE60" s="1142">
        <f t="shared" ca="1" si="34"/>
        <v>0</v>
      </c>
      <c r="AF60" s="1142">
        <f t="shared" ca="1" si="34"/>
        <v>0</v>
      </c>
      <c r="AG60" s="1143">
        <f t="shared" ca="1" si="30"/>
        <v>-772614.45156920725</v>
      </c>
      <c r="AH60" s="1116"/>
      <c r="AI60" s="1085"/>
      <c r="AJ60" s="38"/>
      <c r="AK60" s="69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140"/>
      <c r="BP60" s="140"/>
      <c r="BQ60" s="140"/>
      <c r="BR60" s="140"/>
      <c r="BS60" s="140"/>
      <c r="BT60" s="140"/>
      <c r="BU60" s="140"/>
      <c r="BV60" s="140"/>
      <c r="BW60" s="140"/>
      <c r="BX60" s="140"/>
      <c r="BY60" s="140"/>
      <c r="BZ60" s="140"/>
      <c r="CA60" s="140"/>
      <c r="CB60" s="140"/>
      <c r="CC60" s="140"/>
      <c r="CD60" s="140"/>
      <c r="CE60" s="140"/>
      <c r="CF60" s="140"/>
      <c r="CG60" s="140"/>
      <c r="CH60" s="140"/>
      <c r="CI60" s="140"/>
      <c r="CJ60" s="140"/>
      <c r="CK60" s="140"/>
      <c r="CL60" s="140"/>
      <c r="CM60" s="140"/>
      <c r="CN60" s="140"/>
      <c r="CO60" s="140"/>
      <c r="CP60" s="140"/>
      <c r="CQ60" s="140"/>
      <c r="CR60" s="140"/>
      <c r="CS60" s="140"/>
      <c r="CT60" s="140"/>
      <c r="CU60" s="140"/>
      <c r="CV60" s="140"/>
      <c r="CW60" s="140"/>
      <c r="CX60" s="140"/>
      <c r="CY60" s="140"/>
      <c r="CZ60" s="140"/>
      <c r="DA60" s="140"/>
      <c r="DB60" s="140"/>
      <c r="DC60" s="140"/>
      <c r="DD60" s="140"/>
      <c r="DE60" s="140"/>
      <c r="DF60" s="140"/>
      <c r="DG60" s="140"/>
      <c r="DH60" s="140"/>
      <c r="DI60" s="140"/>
      <c r="DJ60" s="140"/>
      <c r="DK60" s="140"/>
      <c r="DL60" s="140"/>
      <c r="DM60" s="140"/>
      <c r="DN60" s="140"/>
      <c r="DO60" s="140"/>
      <c r="DP60" s="140"/>
      <c r="DQ60" s="140"/>
      <c r="DR60" s="140"/>
      <c r="DS60" s="140"/>
      <c r="DT60" s="140"/>
      <c r="DU60" s="140"/>
      <c r="DV60" s="140"/>
      <c r="DW60" s="140"/>
      <c r="DX60" s="140"/>
      <c r="DY60" s="140"/>
      <c r="DZ60" s="140"/>
      <c r="EA60" s="140"/>
      <c r="EB60" s="140"/>
      <c r="EC60" s="140"/>
      <c r="ED60" s="140"/>
      <c r="EE60" s="140"/>
      <c r="EF60" s="140"/>
      <c r="EG60" s="140"/>
      <c r="EH60" s="140"/>
      <c r="EI60" s="140"/>
      <c r="EJ60" s="140"/>
      <c r="EK60" s="140"/>
      <c r="EL60" s="140"/>
      <c r="EM60" s="140"/>
      <c r="EN60" s="140"/>
      <c r="EO60" s="140"/>
      <c r="EP60" s="140"/>
      <c r="EQ60" s="140"/>
      <c r="ER60" s="140"/>
      <c r="ES60" s="140"/>
      <c r="ET60" s="140"/>
      <c r="EU60" s="140"/>
      <c r="EV60" s="140"/>
      <c r="EW60" s="140"/>
      <c r="EX60" s="140"/>
      <c r="EY60" s="140"/>
      <c r="EZ60" s="140"/>
      <c r="FA60" s="140"/>
      <c r="FB60" s="140"/>
      <c r="FC60" s="140"/>
      <c r="FD60" s="140"/>
      <c r="FE60" s="140"/>
      <c r="FF60" s="140"/>
      <c r="FG60" s="140"/>
      <c r="FH60" s="140"/>
      <c r="FI60" s="140"/>
      <c r="FJ60" s="140"/>
      <c r="FK60" s="140"/>
      <c r="FL60" s="140"/>
      <c r="FM60" s="140"/>
      <c r="FN60" s="140"/>
      <c r="FO60" s="140"/>
      <c r="FP60" s="140"/>
      <c r="FQ60" s="140"/>
      <c r="FR60" s="140"/>
      <c r="FS60" s="140"/>
      <c r="FT60" s="140"/>
      <c r="FU60" s="140"/>
      <c r="FV60" s="140"/>
      <c r="FW60" s="140"/>
      <c r="FX60" s="140"/>
      <c r="FY60" s="140"/>
      <c r="FZ60" s="140"/>
      <c r="GA60" s="140"/>
      <c r="GB60" s="140"/>
      <c r="GC60" s="140"/>
      <c r="GD60" s="140"/>
      <c r="GE60" s="140"/>
      <c r="GF60" s="140"/>
      <c r="GG60" s="140"/>
      <c r="GH60" s="140"/>
      <c r="GI60" s="140"/>
      <c r="GJ60" s="140"/>
      <c r="GK60" s="140"/>
      <c r="GL60" s="140"/>
      <c r="GM60" s="140"/>
      <c r="GN60" s="140"/>
      <c r="GO60" s="140"/>
      <c r="GP60" s="140"/>
      <c r="GQ60" s="140"/>
      <c r="GR60" s="140"/>
      <c r="GS60" s="140"/>
      <c r="GT60" s="140"/>
      <c r="GU60" s="140"/>
      <c r="GV60" s="140"/>
      <c r="GW60" s="140"/>
      <c r="GX60" s="140"/>
      <c r="GY60" s="140"/>
      <c r="GZ60" s="140"/>
      <c r="HA60" s="140"/>
      <c r="HB60" s="140"/>
      <c r="HC60" s="140"/>
      <c r="HD60" s="140"/>
      <c r="HE60" s="140"/>
      <c r="HF60" s="140"/>
      <c r="HG60" s="140"/>
      <c r="HH60" s="140"/>
      <c r="HI60" s="140"/>
      <c r="HJ60" s="140"/>
      <c r="HK60" s="140"/>
      <c r="HL60" s="140"/>
      <c r="HM60" s="140"/>
      <c r="HN60" s="140"/>
      <c r="HO60" s="140"/>
      <c r="HP60" s="140"/>
      <c r="HQ60" s="140"/>
      <c r="HR60" s="140"/>
      <c r="HS60" s="140"/>
      <c r="HT60" s="140"/>
      <c r="HU60" s="140"/>
      <c r="HV60" s="140"/>
      <c r="HW60" s="140"/>
      <c r="HX60" s="140"/>
      <c r="HY60" s="140"/>
      <c r="HZ60" s="140"/>
      <c r="IA60" s="140"/>
      <c r="IB60" s="140"/>
      <c r="IC60" s="140"/>
      <c r="ID60" s="140"/>
      <c r="IE60" s="140"/>
      <c r="IF60" s="140"/>
      <c r="IG60" s="140"/>
      <c r="IH60" s="140"/>
      <c r="II60" s="140"/>
      <c r="IJ60" s="140"/>
      <c r="IK60" s="140"/>
      <c r="IL60" s="140"/>
      <c r="IM60" s="140"/>
      <c r="IN60" s="140"/>
      <c r="IO60" s="140"/>
      <c r="IP60" s="140"/>
      <c r="IQ60" s="140"/>
      <c r="IR60" s="140"/>
      <c r="IS60" s="140"/>
      <c r="IT60" s="140"/>
      <c r="IU60" s="140"/>
      <c r="IV60" s="140"/>
      <c r="IW60" s="140"/>
      <c r="IX60" s="140"/>
      <c r="IY60" s="140"/>
      <c r="IZ60" s="140"/>
      <c r="JA60" s="140"/>
      <c r="JB60" s="140"/>
      <c r="JC60" s="140"/>
      <c r="JD60" s="140"/>
      <c r="JE60" s="140"/>
      <c r="JF60" s="140"/>
      <c r="JG60" s="140"/>
      <c r="JH60" s="140"/>
      <c r="JI60" s="140"/>
      <c r="JJ60" s="140"/>
      <c r="JK60" s="140"/>
      <c r="JL60" s="140"/>
      <c r="JM60" s="140"/>
      <c r="JN60" s="140"/>
      <c r="JO60" s="140"/>
      <c r="JP60" s="140"/>
      <c r="JQ60" s="140"/>
      <c r="JR60" s="140"/>
      <c r="JS60" s="140"/>
      <c r="JT60" s="140"/>
      <c r="JU60" s="140"/>
      <c r="JV60" s="140"/>
      <c r="JW60" s="140"/>
      <c r="JX60" s="140"/>
      <c r="JY60" s="140"/>
      <c r="JZ60" s="140"/>
      <c r="KA60" s="140"/>
      <c r="KB60" s="140"/>
      <c r="KC60" s="140"/>
      <c r="KD60" s="140"/>
      <c r="KE60" s="140"/>
      <c r="KF60" s="140"/>
      <c r="KG60" s="140"/>
      <c r="KH60" s="140"/>
      <c r="KI60" s="140"/>
      <c r="KJ60" s="140"/>
      <c r="KK60" s="140"/>
      <c r="KL60" s="140"/>
      <c r="KM60" s="140"/>
      <c r="KN60" s="140"/>
      <c r="KO60" s="140"/>
      <c r="KP60" s="140"/>
      <c r="KQ60" s="140"/>
      <c r="KR60" s="140"/>
      <c r="KS60" s="140"/>
      <c r="KT60" s="140"/>
      <c r="KU60" s="140"/>
      <c r="KV60" s="140"/>
      <c r="KW60" s="140"/>
      <c r="KX60" s="140"/>
      <c r="KY60" s="140"/>
      <c r="KZ60" s="140"/>
      <c r="LA60" s="140"/>
      <c r="LB60" s="140"/>
      <c r="LC60" s="140"/>
      <c r="LD60" s="140"/>
      <c r="LE60" s="140"/>
      <c r="LF60" s="140"/>
      <c r="LG60" s="140"/>
      <c r="LH60" s="140"/>
      <c r="LI60" s="140"/>
      <c r="LJ60" s="140"/>
      <c r="LK60" s="140"/>
      <c r="LL60" s="140"/>
      <c r="LM60" s="140"/>
      <c r="LN60" s="140"/>
      <c r="LO60" s="140"/>
      <c r="LP60" s="140"/>
      <c r="LQ60" s="140"/>
      <c r="LR60" s="140"/>
      <c r="LS60" s="140"/>
      <c r="LT60" s="140"/>
      <c r="LU60" s="140"/>
      <c r="LV60" s="140"/>
      <c r="LW60" s="140"/>
      <c r="LX60" s="140"/>
      <c r="LY60" s="140"/>
      <c r="LZ60" s="140"/>
      <c r="MA60" s="140"/>
      <c r="MB60" s="140"/>
      <c r="MC60" s="140"/>
      <c r="MD60" s="140"/>
      <c r="ME60" s="140"/>
      <c r="MF60" s="140"/>
      <c r="MG60" s="140"/>
      <c r="MH60" s="140"/>
      <c r="MI60" s="140"/>
      <c r="MJ60" s="140"/>
      <c r="MK60" s="140"/>
      <c r="ML60" s="140"/>
      <c r="MM60" s="140"/>
      <c r="MN60" s="140"/>
      <c r="MO60" s="140"/>
      <c r="MP60" s="140"/>
      <c r="MQ60" s="140"/>
      <c r="MR60" s="140"/>
      <c r="MS60" s="140"/>
      <c r="MT60" s="140"/>
      <c r="MU60" s="140"/>
      <c r="MV60" s="140"/>
      <c r="MW60" s="140"/>
      <c r="MX60" s="140"/>
      <c r="MY60" s="140"/>
      <c r="MZ60" s="140"/>
      <c r="NA60" s="140"/>
      <c r="NB60" s="140"/>
      <c r="NC60" s="140"/>
      <c r="ND60" s="140"/>
      <c r="NE60" s="140"/>
      <c r="NF60" s="140"/>
      <c r="NG60" s="140"/>
      <c r="NH60" s="140"/>
      <c r="NI60" s="140"/>
      <c r="NJ60" s="140"/>
      <c r="NK60" s="140"/>
      <c r="NL60" s="140"/>
      <c r="NM60" s="140"/>
      <c r="NN60" s="140"/>
      <c r="NO60" s="140"/>
      <c r="NP60" s="140"/>
      <c r="NQ60" s="140"/>
      <c r="NR60" s="140"/>
      <c r="NS60" s="140"/>
      <c r="NT60" s="140"/>
      <c r="NU60" s="140"/>
      <c r="NV60" s="140"/>
      <c r="NW60" s="140"/>
      <c r="NX60" s="140"/>
      <c r="NY60" s="140"/>
      <c r="NZ60" s="140"/>
      <c r="OA60" s="140"/>
      <c r="OB60" s="140"/>
      <c r="OC60" s="140"/>
      <c r="OD60" s="140"/>
      <c r="OE60" s="140"/>
      <c r="OF60" s="140"/>
      <c r="OG60" s="140"/>
      <c r="OH60" s="140"/>
    </row>
    <row r="61" spans="1:398" ht="17" thickBot="1">
      <c r="A61" s="210"/>
      <c r="B61" s="149"/>
      <c r="C61" s="438"/>
      <c r="D61" s="205"/>
      <c r="E61" s="205"/>
      <c r="F61" s="1144" t="s">
        <v>158</v>
      </c>
      <c r="G61" s="1145"/>
      <c r="H61" s="1146">
        <f t="shared" ref="H61:AF61" ca="1" si="35">SUM(H58:H60)</f>
        <v>0</v>
      </c>
      <c r="I61" s="1146">
        <f t="shared" ca="1" si="35"/>
        <v>0</v>
      </c>
      <c r="J61" s="1146">
        <f t="shared" ca="1" si="35"/>
        <v>0</v>
      </c>
      <c r="K61" s="1146">
        <f t="shared" ca="1" si="35"/>
        <v>73270008.330677748</v>
      </c>
      <c r="L61" s="1146">
        <f t="shared" ca="1" si="35"/>
        <v>0</v>
      </c>
      <c r="M61" s="1146">
        <f t="shared" ca="1" si="35"/>
        <v>7078274.4576035161</v>
      </c>
      <c r="N61" s="1146">
        <f t="shared" ca="1" si="35"/>
        <v>-6177295.4376373552</v>
      </c>
      <c r="O61" s="1146">
        <f t="shared" ca="1" si="35"/>
        <v>0</v>
      </c>
      <c r="P61" s="1146">
        <f t="shared" ca="1" si="35"/>
        <v>0</v>
      </c>
      <c r="Q61" s="1146">
        <f t="shared" ca="1" si="35"/>
        <v>0</v>
      </c>
      <c r="R61" s="1146">
        <f t="shared" ca="1" si="35"/>
        <v>0</v>
      </c>
      <c r="S61" s="1146">
        <f t="shared" ca="1" si="35"/>
        <v>0</v>
      </c>
      <c r="T61" s="1146">
        <f t="shared" ca="1" si="35"/>
        <v>0</v>
      </c>
      <c r="U61" s="1146">
        <f t="shared" ca="1" si="35"/>
        <v>0</v>
      </c>
      <c r="V61" s="1146">
        <f t="shared" ca="1" si="35"/>
        <v>0</v>
      </c>
      <c r="W61" s="1146">
        <f t="shared" ca="1" si="35"/>
        <v>0</v>
      </c>
      <c r="X61" s="1146">
        <f t="shared" ca="1" si="35"/>
        <v>0</v>
      </c>
      <c r="Y61" s="1146">
        <f t="shared" ca="1" si="35"/>
        <v>0</v>
      </c>
      <c r="Z61" s="1146">
        <f t="shared" ca="1" si="35"/>
        <v>0</v>
      </c>
      <c r="AA61" s="1146">
        <f t="shared" ca="1" si="35"/>
        <v>0</v>
      </c>
      <c r="AB61" s="1146">
        <f t="shared" ca="1" si="35"/>
        <v>0</v>
      </c>
      <c r="AC61" s="1146">
        <f t="shared" ca="1" si="35"/>
        <v>0</v>
      </c>
      <c r="AD61" s="1146">
        <f t="shared" ca="1" si="35"/>
        <v>0</v>
      </c>
      <c r="AE61" s="1146">
        <f t="shared" ca="1" si="35"/>
        <v>0</v>
      </c>
      <c r="AF61" s="1146">
        <f t="shared" ca="1" si="35"/>
        <v>0</v>
      </c>
      <c r="AG61" s="1147">
        <f t="shared" ca="1" si="30"/>
        <v>74170987.350643903</v>
      </c>
      <c r="AH61" s="1116"/>
      <c r="AI61" s="1085"/>
    </row>
    <row r="62" spans="1:398" ht="18" thickTop="1" thickBot="1">
      <c r="A62" s="210"/>
      <c r="B62" s="149"/>
      <c r="C62" s="438"/>
      <c r="D62" s="205"/>
      <c r="E62" s="205"/>
      <c r="F62" s="1148"/>
      <c r="G62" s="1149"/>
      <c r="H62" s="1150"/>
      <c r="I62" s="1150"/>
      <c r="J62" s="1150"/>
      <c r="K62" s="1150"/>
      <c r="L62" s="1150"/>
      <c r="M62" s="1150"/>
      <c r="N62" s="1150"/>
      <c r="O62" s="1150"/>
      <c r="P62" s="1150"/>
      <c r="Q62" s="1150"/>
      <c r="R62" s="1150"/>
      <c r="S62" s="1150"/>
      <c r="T62" s="1150"/>
      <c r="U62" s="1150"/>
      <c r="V62" s="1150"/>
      <c r="W62" s="1150"/>
      <c r="X62" s="1150"/>
      <c r="Y62" s="1150"/>
      <c r="Z62" s="1150"/>
      <c r="AA62" s="1150"/>
      <c r="AB62" s="1150"/>
      <c r="AC62" s="1150"/>
      <c r="AD62" s="1150"/>
      <c r="AE62" s="1150"/>
      <c r="AF62" s="1150"/>
      <c r="AG62" s="1151"/>
      <c r="AI62" s="1085"/>
    </row>
    <row r="63" spans="1:398" ht="18" thickTop="1" thickBot="1">
      <c r="A63" s="210"/>
      <c r="B63" s="149"/>
      <c r="C63" s="438"/>
      <c r="F63" s="1133" t="s">
        <v>3</v>
      </c>
      <c r="G63" s="1152"/>
      <c r="H63" s="1139"/>
      <c r="I63" s="1139"/>
      <c r="J63" s="1139"/>
      <c r="K63" s="1139"/>
      <c r="L63" s="1139"/>
      <c r="M63" s="1139"/>
      <c r="N63" s="1139"/>
      <c r="O63" s="1139"/>
      <c r="P63" s="1139"/>
      <c r="Q63" s="1139"/>
      <c r="R63" s="1139"/>
      <c r="S63" s="1139"/>
      <c r="T63" s="1139"/>
      <c r="U63" s="1139"/>
      <c r="V63" s="1139"/>
      <c r="W63" s="1139"/>
      <c r="X63" s="1139"/>
      <c r="Y63" s="1139"/>
      <c r="Z63" s="1139"/>
      <c r="AA63" s="1139"/>
      <c r="AB63" s="1139"/>
      <c r="AC63" s="1139"/>
      <c r="AD63" s="1139"/>
      <c r="AE63" s="1139"/>
      <c r="AF63" s="1139"/>
      <c r="AG63" s="1123"/>
    </row>
    <row r="64" spans="1:398" ht="18" thickTop="1" thickBot="1">
      <c r="A64" s="210"/>
      <c r="B64" s="149"/>
      <c r="C64" s="438"/>
      <c r="F64" s="1153" t="str">
        <f ca="1">IF(G64=0,"","Development Phase")</f>
        <v>Development Phase</v>
      </c>
      <c r="G64" s="1154" t="str" cm="1">
        <f t="array" aca="1" ref="G64:G65" ca="1">TRANSPOSE(_xlfn.ANCHORARRAY(H8))</f>
        <v>2.1</v>
      </c>
      <c r="H64" s="1139" cm="1">
        <f t="array" ref="H64:AF64">SUMIF(_xlfn.ANCHORARRAY($AM$47),_xlfn.ANCHORARRAY(H$33),$AM49:MY49)</f>
        <v>0</v>
      </c>
      <c r="I64" s="1139">
        <v>0</v>
      </c>
      <c r="J64" s="1139">
        <v>5810757.4079108462</v>
      </c>
      <c r="K64" s="1139">
        <v>5810757.4079108462</v>
      </c>
      <c r="L64" s="1139">
        <v>0</v>
      </c>
      <c r="M64" s="1139">
        <v>0</v>
      </c>
      <c r="N64" s="1139">
        <v>0</v>
      </c>
      <c r="O64" s="1139">
        <v>0</v>
      </c>
      <c r="P64" s="1139">
        <v>0</v>
      </c>
      <c r="Q64" s="1139">
        <v>0</v>
      </c>
      <c r="R64" s="1139">
        <v>0</v>
      </c>
      <c r="S64" s="1139">
        <v>0</v>
      </c>
      <c r="T64" s="1139">
        <v>0</v>
      </c>
      <c r="U64" s="1139">
        <v>0</v>
      </c>
      <c r="V64" s="1139">
        <v>0</v>
      </c>
      <c r="W64" s="1139">
        <v>0</v>
      </c>
      <c r="X64" s="1139">
        <v>0</v>
      </c>
      <c r="Y64" s="1139">
        <v>0</v>
      </c>
      <c r="Z64" s="1139">
        <v>0</v>
      </c>
      <c r="AA64" s="1139">
        <v>0</v>
      </c>
      <c r="AB64" s="1139">
        <v>0</v>
      </c>
      <c r="AC64" s="1139">
        <v>0</v>
      </c>
      <c r="AD64" s="1139">
        <v>0</v>
      </c>
      <c r="AE64" s="1139">
        <v>0</v>
      </c>
      <c r="AF64" s="1139">
        <v>0</v>
      </c>
      <c r="AG64" s="1123">
        <f t="shared" ref="AG64:AG70" si="36">SUM(H64:AF64)</f>
        <v>11621514.815821692</v>
      </c>
    </row>
    <row r="65" spans="1:33" ht="18" thickTop="1" thickBot="1">
      <c r="A65" s="210"/>
      <c r="B65" s="149"/>
      <c r="C65" s="438"/>
      <c r="F65" s="1153" t="str">
        <f ca="1">IF(G65=0,"","Development Phase")</f>
        <v>Development Phase</v>
      </c>
      <c r="G65" s="1154" t="str">
        <f ca="1"/>
        <v>2.2</v>
      </c>
      <c r="H65" s="1139" cm="1">
        <f t="array" ref="H65:AF65">SUMIF(_xlfn.ANCHORARRAY($AM$47),_xlfn.ANCHORARRAY(H$33),$AM50:MY50)</f>
        <v>0</v>
      </c>
      <c r="I65" s="1139">
        <v>0</v>
      </c>
      <c r="J65" s="1139">
        <v>0</v>
      </c>
      <c r="K65" s="1139">
        <v>0</v>
      </c>
      <c r="L65" s="1139">
        <v>1273542.4653688103</v>
      </c>
      <c r="M65" s="1139">
        <v>1273542.4653688103</v>
      </c>
      <c r="N65" s="1139">
        <v>0</v>
      </c>
      <c r="O65" s="1139">
        <v>0</v>
      </c>
      <c r="P65" s="1139">
        <v>0</v>
      </c>
      <c r="Q65" s="1139">
        <v>0</v>
      </c>
      <c r="R65" s="1139">
        <v>0</v>
      </c>
      <c r="S65" s="1139">
        <v>0</v>
      </c>
      <c r="T65" s="1139">
        <v>0</v>
      </c>
      <c r="U65" s="1139">
        <v>0</v>
      </c>
      <c r="V65" s="1139">
        <v>0</v>
      </c>
      <c r="W65" s="1139">
        <v>0</v>
      </c>
      <c r="X65" s="1139">
        <v>0</v>
      </c>
      <c r="Y65" s="1139">
        <v>0</v>
      </c>
      <c r="Z65" s="1139">
        <v>0</v>
      </c>
      <c r="AA65" s="1139">
        <v>0</v>
      </c>
      <c r="AB65" s="1139">
        <v>0</v>
      </c>
      <c r="AC65" s="1139">
        <v>0</v>
      </c>
      <c r="AD65" s="1139">
        <v>0</v>
      </c>
      <c r="AE65" s="1139">
        <v>0</v>
      </c>
      <c r="AF65" s="1139">
        <v>0</v>
      </c>
      <c r="AG65" s="1123">
        <f t="shared" si="36"/>
        <v>2547084.9307376207</v>
      </c>
    </row>
    <row r="66" spans="1:33" ht="18" thickTop="1" thickBot="1">
      <c r="A66" s="210"/>
      <c r="B66" s="149"/>
      <c r="C66" s="438"/>
      <c r="F66" s="1155" t="str">
        <f>IF(G66=0,"","Development Phase")</f>
        <v/>
      </c>
      <c r="G66" s="1154"/>
      <c r="H66" s="1139" cm="1">
        <f t="array" ref="H66:AF66">SUMIF(_xlfn.ANCHORARRAY($AM$47),_xlfn.ANCHORARRAY(H$33),$AM51:MY51)</f>
        <v>0</v>
      </c>
      <c r="I66" s="1139">
        <v>0</v>
      </c>
      <c r="J66" s="1139">
        <v>0</v>
      </c>
      <c r="K66" s="1139">
        <v>0</v>
      </c>
      <c r="L66" s="1139">
        <v>0</v>
      </c>
      <c r="M66" s="1139">
        <v>0</v>
      </c>
      <c r="N66" s="1139">
        <v>0</v>
      </c>
      <c r="O66" s="1139">
        <v>0</v>
      </c>
      <c r="P66" s="1139">
        <v>0</v>
      </c>
      <c r="Q66" s="1139">
        <v>0</v>
      </c>
      <c r="R66" s="1139">
        <v>0</v>
      </c>
      <c r="S66" s="1139">
        <v>0</v>
      </c>
      <c r="T66" s="1139">
        <v>0</v>
      </c>
      <c r="U66" s="1139">
        <v>0</v>
      </c>
      <c r="V66" s="1139">
        <v>0</v>
      </c>
      <c r="W66" s="1139">
        <v>0</v>
      </c>
      <c r="X66" s="1139">
        <v>0</v>
      </c>
      <c r="Y66" s="1139">
        <v>0</v>
      </c>
      <c r="Z66" s="1139">
        <v>0</v>
      </c>
      <c r="AA66" s="1139">
        <v>0</v>
      </c>
      <c r="AB66" s="1139">
        <v>0</v>
      </c>
      <c r="AC66" s="1139">
        <v>0</v>
      </c>
      <c r="AD66" s="1139">
        <v>0</v>
      </c>
      <c r="AE66" s="1139">
        <v>0</v>
      </c>
      <c r="AF66" s="1139">
        <v>0</v>
      </c>
      <c r="AG66" s="1123">
        <f t="shared" si="36"/>
        <v>0</v>
      </c>
    </row>
    <row r="67" spans="1:33" ht="18" thickTop="1" thickBot="1">
      <c r="A67" s="210"/>
      <c r="B67" s="149"/>
      <c r="C67" s="438"/>
      <c r="F67" s="1156" t="str">
        <f>IF(G67=0,"","Development Phase")</f>
        <v/>
      </c>
      <c r="G67" s="1154"/>
      <c r="H67" s="1139" cm="1">
        <f t="array" ref="H67:AF67">SUMIF(_xlfn.ANCHORARRAY($AM$47),_xlfn.ANCHORARRAY(H$33),$AM52:MY52)</f>
        <v>0</v>
      </c>
      <c r="I67" s="1139">
        <v>0</v>
      </c>
      <c r="J67" s="1139">
        <v>0</v>
      </c>
      <c r="K67" s="1139">
        <v>0</v>
      </c>
      <c r="L67" s="1139">
        <v>0</v>
      </c>
      <c r="M67" s="1139">
        <v>0</v>
      </c>
      <c r="N67" s="1139">
        <v>0</v>
      </c>
      <c r="O67" s="1139">
        <v>0</v>
      </c>
      <c r="P67" s="1139">
        <v>0</v>
      </c>
      <c r="Q67" s="1139">
        <v>0</v>
      </c>
      <c r="R67" s="1139">
        <v>0</v>
      </c>
      <c r="S67" s="1139">
        <v>0</v>
      </c>
      <c r="T67" s="1139">
        <v>0</v>
      </c>
      <c r="U67" s="1139">
        <v>0</v>
      </c>
      <c r="V67" s="1139">
        <v>0</v>
      </c>
      <c r="W67" s="1139">
        <v>0</v>
      </c>
      <c r="X67" s="1139">
        <v>0</v>
      </c>
      <c r="Y67" s="1139">
        <v>0</v>
      </c>
      <c r="Z67" s="1139">
        <v>0</v>
      </c>
      <c r="AA67" s="1139">
        <v>0</v>
      </c>
      <c r="AB67" s="1139">
        <v>0</v>
      </c>
      <c r="AC67" s="1139">
        <v>0</v>
      </c>
      <c r="AD67" s="1139">
        <v>0</v>
      </c>
      <c r="AE67" s="1139">
        <v>0</v>
      </c>
      <c r="AF67" s="1139">
        <v>0</v>
      </c>
      <c r="AG67" s="1123">
        <f t="shared" si="36"/>
        <v>0</v>
      </c>
    </row>
    <row r="68" spans="1:33" ht="17" thickTop="1">
      <c r="A68" s="210"/>
      <c r="B68" s="149"/>
      <c r="C68" s="438"/>
      <c r="F68" s="1157" t="str">
        <f>IF(G68=0,"","Development Phase")</f>
        <v/>
      </c>
      <c r="G68" s="1158"/>
      <c r="H68" s="1159" cm="1">
        <f t="array" ref="H68:AF68">SUMIF(_xlfn.ANCHORARRAY($AM$47),_xlfn.ANCHORARRAY(H$33),$AM53:MY53)</f>
        <v>0</v>
      </c>
      <c r="I68" s="1159">
        <v>0</v>
      </c>
      <c r="J68" s="1159">
        <v>0</v>
      </c>
      <c r="K68" s="1159">
        <v>0</v>
      </c>
      <c r="L68" s="1159">
        <v>0</v>
      </c>
      <c r="M68" s="1159">
        <v>0</v>
      </c>
      <c r="N68" s="1159">
        <v>0</v>
      </c>
      <c r="O68" s="1159">
        <v>0</v>
      </c>
      <c r="P68" s="1159">
        <v>0</v>
      </c>
      <c r="Q68" s="1159">
        <v>0</v>
      </c>
      <c r="R68" s="1159">
        <v>0</v>
      </c>
      <c r="S68" s="1159">
        <v>0</v>
      </c>
      <c r="T68" s="1159">
        <v>0</v>
      </c>
      <c r="U68" s="1159">
        <v>0</v>
      </c>
      <c r="V68" s="1159">
        <v>0</v>
      </c>
      <c r="W68" s="1159">
        <v>0</v>
      </c>
      <c r="X68" s="1159">
        <v>0</v>
      </c>
      <c r="Y68" s="1159">
        <v>0</v>
      </c>
      <c r="Z68" s="1159">
        <v>0</v>
      </c>
      <c r="AA68" s="1159">
        <v>0</v>
      </c>
      <c r="AB68" s="1159">
        <v>0</v>
      </c>
      <c r="AC68" s="1159">
        <v>0</v>
      </c>
      <c r="AD68" s="1159">
        <v>0</v>
      </c>
      <c r="AE68" s="1159">
        <v>0</v>
      </c>
      <c r="AF68" s="1159">
        <v>0</v>
      </c>
      <c r="AG68" s="1160">
        <f t="shared" si="36"/>
        <v>0</v>
      </c>
    </row>
    <row r="69" spans="1:33" ht="17" thickBot="1">
      <c r="A69" s="210"/>
      <c r="B69" s="149"/>
      <c r="C69" s="438"/>
      <c r="F69" s="1161" t="str">
        <f>F22</f>
        <v>Total Development Costs</v>
      </c>
      <c r="G69" s="1162"/>
      <c r="H69" s="1163" cm="1">
        <f t="array" ref="H69:AF69">_xlfn.ANCHORARRAY(H64)+_xlfn.ANCHORARRAY(H65)+_xlfn.ANCHORARRAY(H66)+_xlfn.ANCHORARRAY(H67)+_xlfn.ANCHORARRAY(H68)</f>
        <v>0</v>
      </c>
      <c r="I69" s="1163">
        <v>0</v>
      </c>
      <c r="J69" s="1163">
        <v>5810757.4079108462</v>
      </c>
      <c r="K69" s="1163">
        <v>5810757.4079108462</v>
      </c>
      <c r="L69" s="1163">
        <v>1273542.4653688103</v>
      </c>
      <c r="M69" s="1163">
        <v>1273542.4653688103</v>
      </c>
      <c r="N69" s="1163">
        <v>0</v>
      </c>
      <c r="O69" s="1163">
        <v>0</v>
      </c>
      <c r="P69" s="1163">
        <v>0</v>
      </c>
      <c r="Q69" s="1163">
        <v>0</v>
      </c>
      <c r="R69" s="1163">
        <v>0</v>
      </c>
      <c r="S69" s="1163">
        <v>0</v>
      </c>
      <c r="T69" s="1163">
        <v>0</v>
      </c>
      <c r="U69" s="1163">
        <v>0</v>
      </c>
      <c r="V69" s="1163">
        <v>0</v>
      </c>
      <c r="W69" s="1163">
        <v>0</v>
      </c>
      <c r="X69" s="1163">
        <v>0</v>
      </c>
      <c r="Y69" s="1163">
        <v>0</v>
      </c>
      <c r="Z69" s="1163">
        <v>0</v>
      </c>
      <c r="AA69" s="1163">
        <v>0</v>
      </c>
      <c r="AB69" s="1163">
        <v>0</v>
      </c>
      <c r="AC69" s="1163">
        <v>0</v>
      </c>
      <c r="AD69" s="1163">
        <v>0</v>
      </c>
      <c r="AE69" s="1163">
        <v>0</v>
      </c>
      <c r="AF69" s="1163">
        <v>0</v>
      </c>
      <c r="AG69" s="1164">
        <f t="shared" si="36"/>
        <v>14168599.746559314</v>
      </c>
    </row>
    <row r="70" spans="1:33" ht="18" thickTop="1" thickBot="1">
      <c r="A70" s="210"/>
      <c r="B70" s="149"/>
      <c r="C70" s="438"/>
      <c r="F70" s="1165" t="str">
        <f>CONCATENATE("Cash Flow: Plan Area ",F7)</f>
        <v>Cash Flow: Plan Area 2</v>
      </c>
      <c r="G70" s="1166"/>
      <c r="H70" s="1167">
        <f t="shared" ref="H70:AF70" ca="1" si="37">H61-H69</f>
        <v>0</v>
      </c>
      <c r="I70" s="1167">
        <f t="shared" ca="1" si="37"/>
        <v>0</v>
      </c>
      <c r="J70" s="1167">
        <f t="shared" ca="1" si="37"/>
        <v>-5810757.4079108462</v>
      </c>
      <c r="K70" s="1167">
        <f t="shared" ca="1" si="37"/>
        <v>67459250.922766894</v>
      </c>
      <c r="L70" s="1167">
        <f t="shared" ca="1" si="37"/>
        <v>-1273542.4653688103</v>
      </c>
      <c r="M70" s="1167">
        <f t="shared" ca="1" si="37"/>
        <v>5804731.9922347059</v>
      </c>
      <c r="N70" s="1167">
        <f t="shared" ca="1" si="37"/>
        <v>-6177295.4376373552</v>
      </c>
      <c r="O70" s="1167">
        <f t="shared" ca="1" si="37"/>
        <v>0</v>
      </c>
      <c r="P70" s="1167">
        <f t="shared" ca="1" si="37"/>
        <v>0</v>
      </c>
      <c r="Q70" s="1167">
        <f t="shared" ca="1" si="37"/>
        <v>0</v>
      </c>
      <c r="R70" s="1167">
        <f t="shared" ca="1" si="37"/>
        <v>0</v>
      </c>
      <c r="S70" s="1167">
        <f t="shared" ca="1" si="37"/>
        <v>0</v>
      </c>
      <c r="T70" s="1167">
        <f t="shared" ca="1" si="37"/>
        <v>0</v>
      </c>
      <c r="U70" s="1167">
        <f t="shared" ca="1" si="37"/>
        <v>0</v>
      </c>
      <c r="V70" s="1167">
        <f t="shared" ca="1" si="37"/>
        <v>0</v>
      </c>
      <c r="W70" s="1167">
        <f t="shared" ca="1" si="37"/>
        <v>0</v>
      </c>
      <c r="X70" s="1167">
        <f t="shared" ca="1" si="37"/>
        <v>0</v>
      </c>
      <c r="Y70" s="1167">
        <f t="shared" ca="1" si="37"/>
        <v>0</v>
      </c>
      <c r="Z70" s="1167">
        <f t="shared" ca="1" si="37"/>
        <v>0</v>
      </c>
      <c r="AA70" s="1167">
        <f t="shared" ca="1" si="37"/>
        <v>0</v>
      </c>
      <c r="AB70" s="1167">
        <f t="shared" ca="1" si="37"/>
        <v>0</v>
      </c>
      <c r="AC70" s="1167">
        <f t="shared" ca="1" si="37"/>
        <v>0</v>
      </c>
      <c r="AD70" s="1167">
        <f t="shared" ca="1" si="37"/>
        <v>0</v>
      </c>
      <c r="AE70" s="1167">
        <f t="shared" ca="1" si="37"/>
        <v>0</v>
      </c>
      <c r="AF70" s="1167">
        <f t="shared" ca="1" si="37"/>
        <v>0</v>
      </c>
      <c r="AG70" s="1167">
        <f t="shared" ca="1" si="36"/>
        <v>60002387.604084596</v>
      </c>
    </row>
    <row r="71" spans="1:33" ht="17" thickTop="1">
      <c r="A71" s="210"/>
      <c r="B71" s="149"/>
      <c r="C71" s="438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</row>
    <row r="72" spans="1:33">
      <c r="A72" s="210"/>
      <c r="B72" s="149"/>
      <c r="C72" s="438"/>
      <c r="O72" s="65"/>
    </row>
    <row r="73" spans="1:33" ht="18" hidden="1" thickTop="1" thickBot="1">
      <c r="A73" s="210"/>
      <c r="B73" s="149"/>
      <c r="C73" s="438"/>
      <c r="F73" s="417" t="s">
        <v>318</v>
      </c>
      <c r="G73" s="418"/>
      <c r="H73" s="518" t="str">
        <f ca="1">H8</f>
        <v>2.1</v>
      </c>
      <c r="I73" s="518" t="str">
        <f ca="1">I8</f>
        <v>2.2</v>
      </c>
      <c r="J73" s="518">
        <f>J8</f>
        <v>0</v>
      </c>
      <c r="K73" s="518">
        <f>K8</f>
        <v>0</v>
      </c>
      <c r="L73" s="518">
        <f>L8</f>
        <v>0</v>
      </c>
      <c r="P73" s="28"/>
      <c r="Q73" s="28"/>
      <c r="R73" s="28"/>
      <c r="S73" s="28"/>
      <c r="T73" s="28"/>
      <c r="U73" s="1266" t="s">
        <v>659</v>
      </c>
    </row>
    <row r="74" spans="1:33" ht="18" hidden="1" thickTop="1" thickBot="1">
      <c r="A74" s="210"/>
      <c r="B74" s="149"/>
      <c r="C74" s="438"/>
      <c r="F74" s="421" t="s">
        <v>109</v>
      </c>
      <c r="G74" s="422"/>
      <c r="H74" s="565">
        <f ca="1">H$9*i_Cost.Entitlemt</f>
        <v>164750</v>
      </c>
      <c r="I74" s="565">
        <f ca="1">I$9*i_Cost.Entitlemt</f>
        <v>46750</v>
      </c>
      <c r="J74" s="565">
        <f ca="1">J$9*i_Cost.Entitlemt</f>
        <v>0</v>
      </c>
      <c r="K74" s="565">
        <f ca="1">K$9*i_Cost.Entitlemt</f>
        <v>0</v>
      </c>
      <c r="L74" s="565">
        <f ca="1">L$9*i_Cost.Entitlemt</f>
        <v>0</v>
      </c>
      <c r="U74" s="1267" t="s">
        <v>68</v>
      </c>
    </row>
    <row r="75" spans="1:33" ht="18" hidden="1" thickTop="1" thickBot="1">
      <c r="A75" s="210"/>
      <c r="B75" s="149"/>
      <c r="C75" s="438"/>
      <c r="F75" s="421" t="s">
        <v>110</v>
      </c>
      <c r="G75" s="422"/>
      <c r="H75" s="565">
        <f ca="1">H$9*i_Cost.Engineer</f>
        <v>1153250</v>
      </c>
      <c r="I75" s="565">
        <f ca="1">I$9*i_Cost.Engineer</f>
        <v>327250</v>
      </c>
      <c r="J75" s="565">
        <f ca="1">J$9*i_Cost.Engineer</f>
        <v>0</v>
      </c>
      <c r="K75" s="565">
        <f ca="1">K$9*i_Cost.Engineer</f>
        <v>0</v>
      </c>
      <c r="L75" s="565">
        <f ca="1">L$9*i_Cost.Engineer</f>
        <v>0</v>
      </c>
      <c r="U75" s="1268" t="s">
        <v>660</v>
      </c>
    </row>
    <row r="76" spans="1:33" ht="18" hidden="1" thickTop="1" thickBot="1">
      <c r="A76" s="210"/>
      <c r="B76" s="149"/>
      <c r="C76" s="438"/>
      <c r="F76" s="421" t="s">
        <v>111</v>
      </c>
      <c r="G76" s="422"/>
      <c r="H76" s="565">
        <f ca="1">H$10*i_cost.Offsite</f>
        <v>2877500</v>
      </c>
      <c r="I76" s="565">
        <f ca="1">I$10*i_cost.Offsite</f>
        <v>560000</v>
      </c>
      <c r="J76" s="565">
        <f ca="1">J$10*i_cost.Offsite</f>
        <v>0</v>
      </c>
      <c r="K76" s="565">
        <f ca="1">K$10*i_cost.Offsite</f>
        <v>0</v>
      </c>
      <c r="L76" s="565">
        <f ca="1">L$10*i_cost.Offsite</f>
        <v>0</v>
      </c>
      <c r="N76" s="65"/>
      <c r="O76" s="65"/>
      <c r="P76" s="65"/>
      <c r="Q76" s="65"/>
      <c r="R76" s="65"/>
      <c r="S76" s="65"/>
      <c r="T76" s="65"/>
      <c r="U76" s="441" cm="1">
        <f t="array" aca="1" ref="U76:U91" ca="1">IFERROR(LOOKUP(_xlfn.ANCHORARRAY(O10),$H$8:$L$8,iv_dates.DevCompletion)+1,0)</f>
        <v>48</v>
      </c>
      <c r="V76" s="65"/>
      <c r="W76" s="65"/>
      <c r="X76" s="65"/>
      <c r="Y76" s="65"/>
    </row>
    <row r="77" spans="1:33" ht="18" hidden="1" thickTop="1" thickBot="1">
      <c r="A77" s="210"/>
      <c r="B77" s="149"/>
      <c r="C77" s="438"/>
      <c r="F77" s="421" t="s">
        <v>112</v>
      </c>
      <c r="G77" s="422"/>
      <c r="H77" s="565">
        <f ca="1">H$10*i_Cost.Onsite</f>
        <v>5755000</v>
      </c>
      <c r="I77" s="565">
        <f ca="1">I$10*i_Cost.Onsite</f>
        <v>1120000</v>
      </c>
      <c r="J77" s="565">
        <f ca="1">J$10*i_Cost.Onsite</f>
        <v>0</v>
      </c>
      <c r="K77" s="565">
        <f ca="1">K$10*i_Cost.Onsite</f>
        <v>0</v>
      </c>
      <c r="L77" s="565">
        <f ca="1">L$10*i_Cost.Onsite</f>
        <v>0</v>
      </c>
      <c r="N77" s="65"/>
      <c r="O77" s="65"/>
      <c r="P77" s="65"/>
      <c r="Q77" s="65"/>
      <c r="R77" s="65"/>
      <c r="S77" s="65"/>
      <c r="T77" s="65"/>
      <c r="U77" s="441">
        <f ca="1"/>
        <v>48</v>
      </c>
      <c r="V77" s="65"/>
      <c r="W77" s="65"/>
      <c r="X77" s="65"/>
      <c r="Y77" s="65"/>
    </row>
    <row r="78" spans="1:33" ht="18" hidden="1" thickTop="1" thickBot="1">
      <c r="A78" s="210"/>
      <c r="B78" s="149"/>
      <c r="C78" s="438"/>
      <c r="N78" s="65"/>
      <c r="O78" s="65"/>
      <c r="P78" s="65"/>
      <c r="Q78" s="65"/>
      <c r="R78" s="65"/>
      <c r="S78" s="65"/>
      <c r="T78" s="65"/>
      <c r="U78" s="441">
        <f ca="1"/>
        <v>48</v>
      </c>
      <c r="V78" s="65"/>
      <c r="W78" s="65"/>
      <c r="X78" s="65"/>
      <c r="Y78" s="65"/>
    </row>
    <row r="79" spans="1:33" ht="18" hidden="1" thickTop="1" thickBot="1">
      <c r="A79" s="210"/>
      <c r="B79" s="149"/>
      <c r="C79" s="438"/>
      <c r="F79" s="417" t="s">
        <v>319</v>
      </c>
      <c r="G79" s="418"/>
      <c r="H79" s="518" t="str">
        <f ca="1">H73</f>
        <v>2.1</v>
      </c>
      <c r="I79" s="518" t="str">
        <f ca="1">I73</f>
        <v>2.2</v>
      </c>
      <c r="J79" s="518">
        <f>J73</f>
        <v>0</v>
      </c>
      <c r="K79" s="518">
        <f>K73</f>
        <v>0</v>
      </c>
      <c r="L79" s="518">
        <f>L73</f>
        <v>0</v>
      </c>
      <c r="U79" s="441">
        <f ca="1"/>
        <v>48</v>
      </c>
    </row>
    <row r="80" spans="1:33" ht="18" hidden="1" thickTop="1" thickBot="1">
      <c r="A80" s="210"/>
      <c r="B80" s="149"/>
      <c r="C80" s="438"/>
      <c r="F80" s="421" t="s">
        <v>109</v>
      </c>
      <c r="G80" s="422"/>
      <c r="H80" s="565"/>
      <c r="I80" s="565"/>
      <c r="J80" s="565">
        <v>0</v>
      </c>
      <c r="K80" s="565">
        <v>0</v>
      </c>
      <c r="L80" s="565">
        <v>0</v>
      </c>
      <c r="U80" s="441">
        <f ca="1"/>
        <v>48</v>
      </c>
    </row>
    <row r="81" spans="1:25" ht="18" hidden="1" thickTop="1" thickBot="1">
      <c r="A81" s="210"/>
      <c r="B81" s="149"/>
      <c r="C81" s="438"/>
      <c r="F81" s="421" t="s">
        <v>110</v>
      </c>
      <c r="G81" s="422"/>
      <c r="H81" s="565">
        <v>500000</v>
      </c>
      <c r="I81" s="565">
        <v>600000</v>
      </c>
      <c r="J81" s="565">
        <v>0</v>
      </c>
      <c r="K81" s="565">
        <v>0</v>
      </c>
      <c r="L81" s="565">
        <v>0</v>
      </c>
      <c r="U81" s="441">
        <f ca="1"/>
        <v>48</v>
      </c>
    </row>
    <row r="82" spans="1:25" ht="18" hidden="1" thickTop="1" thickBot="1">
      <c r="A82" s="210"/>
      <c r="B82" s="149"/>
      <c r="C82" s="438"/>
      <c r="F82" s="421" t="s">
        <v>111</v>
      </c>
      <c r="G82" s="422"/>
      <c r="H82" s="565"/>
      <c r="I82" s="565"/>
      <c r="J82" s="565">
        <v>0</v>
      </c>
      <c r="K82" s="565">
        <v>0</v>
      </c>
      <c r="L82" s="565">
        <v>0</v>
      </c>
      <c r="N82" s="65"/>
      <c r="O82" s="65"/>
      <c r="P82" s="65"/>
      <c r="Q82" s="65"/>
      <c r="R82" s="65"/>
      <c r="S82" s="65"/>
      <c r="T82" s="65"/>
      <c r="U82" s="441">
        <f ca="1"/>
        <v>48</v>
      </c>
      <c r="V82" s="65"/>
      <c r="W82" s="65"/>
      <c r="X82" s="65"/>
      <c r="Y82" s="65"/>
    </row>
    <row r="83" spans="1:25" ht="18" hidden="1" thickTop="1" thickBot="1">
      <c r="F83" s="421" t="s">
        <v>112</v>
      </c>
      <c r="G83" s="422"/>
      <c r="H83" s="565">
        <v>672250</v>
      </c>
      <c r="I83" s="565">
        <v>750000</v>
      </c>
      <c r="J83" s="565">
        <v>0</v>
      </c>
      <c r="K83" s="565">
        <v>0</v>
      </c>
      <c r="L83" s="565">
        <v>0</v>
      </c>
      <c r="N83" s="65"/>
      <c r="O83" s="65"/>
      <c r="P83" s="65"/>
      <c r="Q83" s="65"/>
      <c r="R83" s="65"/>
      <c r="S83" s="65"/>
      <c r="T83" s="65"/>
      <c r="U83" s="441">
        <f ca="1"/>
        <v>48</v>
      </c>
      <c r="V83" s="65"/>
      <c r="W83" s="65"/>
      <c r="X83" s="65"/>
      <c r="Y83" s="65"/>
    </row>
    <row r="84" spans="1:25" ht="18" hidden="1" thickTop="1" thickBot="1">
      <c r="N84" s="65"/>
      <c r="O84" s="65"/>
      <c r="P84" s="65"/>
      <c r="Q84" s="65"/>
      <c r="R84" s="65"/>
      <c r="S84" s="65"/>
      <c r="T84" s="65"/>
      <c r="U84" s="441">
        <f ca="1"/>
        <v>48</v>
      </c>
      <c r="V84" s="65"/>
      <c r="W84" s="65"/>
      <c r="X84" s="65"/>
      <c r="Y84" s="65"/>
    </row>
    <row r="85" spans="1:25" ht="18" hidden="1" thickTop="1" thickBot="1">
      <c r="F85" t="str">
        <f>IF($W382=1, INDEX(iProject!$G$65:$K$66, 1, MATCH(X$381, iProject!$G$64:$K$64, 0)), IF($W382=2, INDEX(iProject!$G$65:$K$66, 1, MATCH(X$381, iProject!$G$64:$K$64, 0)), IF($W382=3, INDEX(iProject!$G$65:$K$66, 1, MATCH(X$381, iProject!$G$64:$K$64, 0)), IF($W382=4, INDEX(iProject!$G$65:$K$66, 1, MATCH(X$381, iProject!$G$64:$K$64, 0)), IF($W382=5, INDEX(iProject!$G$65:$K$66, 1, MATCH(X$381, iProject!$G$64:$K$64, 0)), "")))))</f>
        <v/>
      </c>
      <c r="N85" s="65"/>
      <c r="O85" s="28"/>
      <c r="P85" s="957"/>
      <c r="Q85" s="957"/>
      <c r="R85" s="957"/>
      <c r="S85" s="957"/>
      <c r="T85" s="957"/>
      <c r="U85" s="441">
        <f ca="1"/>
        <v>48</v>
      </c>
      <c r="V85" s="957"/>
    </row>
    <row r="86" spans="1:25" ht="18" hidden="1" thickTop="1" thickBot="1">
      <c r="N86" s="65"/>
      <c r="O86" s="28"/>
      <c r="P86" s="957"/>
      <c r="Q86" s="957"/>
      <c r="R86" s="957"/>
      <c r="S86" s="957"/>
      <c r="T86" s="957"/>
      <c r="U86" s="441">
        <f ca="1"/>
        <v>48</v>
      </c>
      <c r="V86" s="957"/>
    </row>
    <row r="87" spans="1:25" ht="18" hidden="1" thickTop="1" thickBot="1">
      <c r="N87" s="65"/>
      <c r="O87" s="28"/>
      <c r="P87" s="957"/>
      <c r="Q87" s="957"/>
      <c r="R87" s="957"/>
      <c r="S87" s="957"/>
      <c r="T87" s="957"/>
      <c r="U87" s="441">
        <f ca="1"/>
        <v>48</v>
      </c>
      <c r="V87" s="957"/>
    </row>
    <row r="88" spans="1:25" ht="18" hidden="1" thickTop="1" thickBot="1">
      <c r="N88" s="65"/>
      <c r="O88" s="28"/>
      <c r="P88" s="957"/>
      <c r="Q88" s="957"/>
      <c r="R88" s="957"/>
      <c r="S88" s="957"/>
      <c r="T88" s="957"/>
      <c r="U88" s="441">
        <f ca="1"/>
        <v>72</v>
      </c>
      <c r="V88" s="957"/>
    </row>
    <row r="89" spans="1:25" ht="18" hidden="1" thickTop="1" thickBot="1">
      <c r="U89" s="441">
        <f ca="1"/>
        <v>72</v>
      </c>
    </row>
    <row r="90" spans="1:25" ht="18" hidden="1" thickTop="1" thickBot="1">
      <c r="U90" s="441">
        <f ca="1"/>
        <v>72</v>
      </c>
    </row>
    <row r="91" spans="1:25" ht="18" hidden="1" thickTop="1" thickBot="1">
      <c r="U91" s="441">
        <f ca="1"/>
        <v>72</v>
      </c>
    </row>
    <row r="92" spans="1:25" ht="18" hidden="1" thickTop="1" thickBot="1">
      <c r="U92" s="441"/>
    </row>
    <row r="93" spans="1:25" ht="18" hidden="1" thickTop="1" thickBot="1">
      <c r="U93" s="441"/>
    </row>
    <row r="94" spans="1:25" ht="18" hidden="1" thickTop="1" thickBot="1">
      <c r="U94" s="441"/>
    </row>
    <row r="95" spans="1:25" ht="17" hidden="1" thickTop="1">
      <c r="U95" s="445"/>
    </row>
    <row r="96" spans="1:25" ht="17" hidden="1" thickBot="1">
      <c r="U96" s="435">
        <f ca="1">COUNT(_xlfn.UNIQUE(U76:U88))</f>
        <v>2</v>
      </c>
    </row>
    <row r="97" ht="15" hidden="1" thickTop="1"/>
  </sheetData>
  <sheetProtection formatCells="0" selectLockedCells="1"/>
  <autoFilter ref="A36:A55" xr:uid="{C2C9601C-E1A9-450F-A73D-A027ABEC1DBC}"/>
  <mergeCells count="2">
    <mergeCell ref="AC8:AF8"/>
    <mergeCell ref="U8:V8"/>
  </mergeCells>
  <phoneticPr fontId="74" type="noConversion"/>
  <conditionalFormatting sqref="H36:AF54">
    <cfRule type="expression" dxfId="53" priority="14">
      <formula>H$33=$B36</formula>
    </cfRule>
  </conditionalFormatting>
  <conditionalFormatting sqref="H16:L20">
    <cfRule type="expression" dxfId="52" priority="12">
      <formula>"&lt;&gt;I67"</formula>
    </cfRule>
    <cfRule type="expression" dxfId="51" priority="19">
      <formula>H$8=0</formula>
    </cfRule>
  </conditionalFormatting>
  <conditionalFormatting sqref="H12:L13">
    <cfRule type="expression" dxfId="50" priority="11">
      <formula>H$8=0</formula>
    </cfRule>
  </conditionalFormatting>
  <conditionalFormatting sqref="H12:L13">
    <cfRule type="expression" dxfId="49" priority="10">
      <formula>_xlfn.ISFORMULA(H12)</formula>
    </cfRule>
  </conditionalFormatting>
  <conditionalFormatting sqref="U10:U29">
    <cfRule type="expression" dxfId="48" priority="2">
      <formula>U10&lt;&gt;AL10</formula>
    </cfRule>
  </conditionalFormatting>
  <conditionalFormatting sqref="O3:AF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6:U95">
    <cfRule type="expression" dxfId="47" priority="189">
      <formula>_xlfn.IFS($T74=0,$O74&lt;&gt;0)</formula>
    </cfRule>
    <cfRule type="expression" dxfId="46" priority="190">
      <formula>$U76&lt;_xlfn.ANCHORARRAY($B67)</formula>
    </cfRule>
  </conditionalFormatting>
  <hyperlinks>
    <hyperlink ref="A1" location="Index" display="Back to Index" xr:uid="{F7B67DE2-6CCB-4C87-BE24-A459ABDC6342}"/>
  </hyperlinks>
  <pageMargins left="0.25" right="0.25" top="0.75" bottom="0.75" header="0.3" footer="0.3"/>
  <pageSetup scale="27" orientation="landscape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405" r:id="rId5" name="Button 13">
              <controlPr defaultSize="0" print="0" autoFill="0" autoPict="0" macro="[0]!Paste_DefaultSaleSchedule">
                <anchor moveWithCells="1" sizeWithCells="1">
                  <from>
                    <xdr:col>20</xdr:col>
                    <xdr:colOff>12700</xdr:colOff>
                    <xdr:row>6</xdr:row>
                    <xdr:rowOff>177800</xdr:rowOff>
                  </from>
                  <to>
                    <xdr:col>22</xdr:col>
                    <xdr:colOff>12700</xdr:colOff>
                    <xdr:row>6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6" name="Button 30">
              <controlPr defaultSize="0" print="0" autoFill="0" autoPict="0" macro="[0]!RestoreBudgetFormulas">
                <anchor>
                  <from>
                    <xdr:col>11</xdr:col>
                    <xdr:colOff>863600</xdr:colOff>
                    <xdr:row>6</xdr:row>
                    <xdr:rowOff>139700</xdr:rowOff>
                  </from>
                  <to>
                    <xdr:col>12</xdr:col>
                    <xdr:colOff>673100</xdr:colOff>
                    <xdr:row>6</xdr:row>
                    <xdr:rowOff>622300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430B90-7D5E-4348-A17E-6F9FDF1526C3}">
          <x14:formula1>
            <xm:f>_xlfn.ANCHORARRAY(ADMIN!$Z$9)</xm:f>
          </x14:formula1>
          <xm:sqref>F7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180C7-712C-4940-947D-3AA55AF1FC30}">
  <sheetPr codeName="Sheet25">
    <tabColor rgb="FF3DFD9D"/>
  </sheetPr>
  <dimension ref="A2:AE39"/>
  <sheetViews>
    <sheetView showGridLines="0" topLeftCell="B2" workbookViewId="0">
      <pane xSplit="1" ySplit="3" topLeftCell="C5" activePane="bottomRight" state="frozen"/>
      <selection activeCell="B2" sqref="B2"/>
      <selection pane="topRight" activeCell="C2" sqref="C2"/>
      <selection pane="bottomLeft" activeCell="B5" sqref="B5"/>
      <selection pane="bottomRight" activeCell="E20" sqref="E20"/>
    </sheetView>
  </sheetViews>
  <sheetFormatPr baseColWidth="10" defaultColWidth="0" defaultRowHeight="16" zeroHeight="1"/>
  <cols>
    <col min="1" max="1" width="9" style="160" hidden="1" customWidth="1"/>
    <col min="2" max="2" width="2" style="160" customWidth="1"/>
    <col min="3" max="3" width="32" style="183" customWidth="1"/>
    <col min="4" max="4" width="11.83203125" style="183" customWidth="1"/>
    <col min="5" max="5" width="8" style="983" customWidth="1"/>
    <col min="6" max="6" width="22" style="160" bestFit="1" customWidth="1"/>
    <col min="7" max="7" width="8" style="160" customWidth="1"/>
    <col min="8" max="14" width="9" style="160" customWidth="1"/>
    <col min="15" max="15" width="4.6640625" style="160" hidden="1" customWidth="1"/>
    <col min="16" max="31" width="10.83203125" style="160" hidden="1" customWidth="1"/>
    <col min="32" max="16384" width="0" style="160" hidden="1"/>
  </cols>
  <sheetData>
    <row r="2" spans="2:30" s="2" customFormat="1" ht="20">
      <c r="B2" s="31" t="str">
        <f>i_Project.Name</f>
        <v>Peoria Lakes</v>
      </c>
      <c r="C2" s="178"/>
      <c r="D2" s="179"/>
      <c r="E2" s="980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</row>
    <row r="3" spans="2:30" s="2" customFormat="1">
      <c r="B3" s="32" t="str">
        <f>i_Project.Location</f>
        <v>Peoria Lakes</v>
      </c>
      <c r="C3" s="180"/>
      <c r="D3" s="181"/>
      <c r="E3" s="981"/>
      <c r="F3" s="170"/>
      <c r="G3" s="1115" t="s">
        <v>578</v>
      </c>
      <c r="H3" s="1115"/>
      <c r="I3" s="1115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0"/>
      <c r="AD3" s="170"/>
    </row>
    <row r="4" spans="2:30">
      <c r="B4" s="163"/>
      <c r="C4" s="182"/>
      <c r="D4" s="182"/>
      <c r="E4" s="982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</row>
    <row r="5" spans="2:30" ht="17" thickBot="1"/>
    <row r="6" spans="2:30" ht="28" customHeight="1" thickTop="1" thickBot="1">
      <c r="C6" s="1094" t="s">
        <v>760</v>
      </c>
      <c r="D6" s="1095"/>
      <c r="E6" s="160"/>
      <c r="P6" s="185" t="s">
        <v>577</v>
      </c>
      <c r="Q6" s="176"/>
      <c r="R6" s="984"/>
      <c r="S6" s="984"/>
      <c r="T6" s="984"/>
    </row>
    <row r="7" spans="2:30" ht="23" customHeight="1" thickTop="1" thickBot="1">
      <c r="C7" s="1521" t="s">
        <v>585</v>
      </c>
      <c r="D7" s="1602" t="s">
        <v>586</v>
      </c>
      <c r="E7" s="160"/>
      <c r="P7" s="1114" t="s">
        <v>579</v>
      </c>
      <c r="Q7" s="298"/>
      <c r="R7" s="298"/>
      <c r="S7" s="298"/>
      <c r="T7" s="298"/>
    </row>
    <row r="8" spans="2:30" ht="18" thickTop="1" thickBot="1">
      <c r="C8" s="1526" t="s">
        <v>14</v>
      </c>
      <c r="D8" s="1189">
        <v>0</v>
      </c>
      <c r="E8" s="160"/>
      <c r="P8" s="183"/>
      <c r="Q8" s="183"/>
      <c r="R8" s="983"/>
    </row>
    <row r="9" spans="2:30" ht="18" thickTop="1" thickBot="1">
      <c r="C9" s="1530" t="s">
        <v>3</v>
      </c>
      <c r="D9" s="1189">
        <v>0.5</v>
      </c>
      <c r="E9"/>
      <c r="P9" s="1115" t="s">
        <v>578</v>
      </c>
      <c r="Q9" s="1115"/>
      <c r="R9" s="1115"/>
      <c r="S9" s="1115"/>
    </row>
    <row r="10" spans="2:30" ht="18" thickTop="1" thickBot="1">
      <c r="C10" s="1526" t="s">
        <v>584</v>
      </c>
      <c r="D10" s="1189">
        <v>0.5</v>
      </c>
      <c r="E10"/>
      <c r="P10" s="183"/>
      <c r="Q10" s="183"/>
      <c r="R10" s="983"/>
    </row>
    <row r="11" spans="2:30" ht="18" thickTop="1" thickBot="1">
      <c r="C11" s="1521" t="s">
        <v>587</v>
      </c>
      <c r="D11" s="1187"/>
      <c r="E11"/>
    </row>
    <row r="12" spans="2:30" ht="18" thickTop="1" thickBot="1">
      <c r="C12" s="1526" t="s">
        <v>587</v>
      </c>
      <c r="D12" s="1193">
        <v>1.4999999999999999E-2</v>
      </c>
      <c r="E12"/>
    </row>
    <row r="13" spans="2:30" ht="18" thickTop="1" thickBot="1">
      <c r="C13" s="1530" t="s">
        <v>588</v>
      </c>
      <c r="D13" s="1190"/>
    </row>
    <row r="14" spans="2:30" ht="18" thickTop="1" thickBot="1">
      <c r="C14" s="1526" t="s">
        <v>589</v>
      </c>
      <c r="D14" s="1190"/>
    </row>
    <row r="15" spans="2:30" ht="18" thickTop="1" thickBot="1">
      <c r="C15" s="1526" t="s">
        <v>590</v>
      </c>
      <c r="D15" s="1191"/>
    </row>
    <row r="16" spans="2:30" ht="15" thickTop="1">
      <c r="B16" s="983"/>
      <c r="C16" s="983"/>
      <c r="D16" s="983"/>
    </row>
    <row r="17" spans="3:4" ht="14">
      <c r="C17" s="160"/>
      <c r="D17" s="160"/>
    </row>
    <row r="18" spans="3:4" ht="14">
      <c r="C18" s="983"/>
      <c r="D18" s="983"/>
    </row>
    <row r="19" spans="3:4" ht="14">
      <c r="C19" s="983"/>
      <c r="D19" s="983"/>
    </row>
    <row r="20" spans="3:4"/>
    <row r="21" spans="3:4"/>
    <row r="22" spans="3:4"/>
    <row r="23" spans="3:4"/>
    <row r="24" spans="3:4"/>
    <row r="25" spans="3:4"/>
    <row r="26" spans="3:4"/>
    <row r="27" spans="3:4"/>
    <row r="28" spans="3:4"/>
    <row r="29" spans="3:4"/>
    <row r="30" spans="3:4"/>
    <row r="31" spans="3:4"/>
    <row r="32" spans="3:4"/>
    <row r="33"/>
    <row r="34"/>
    <row r="35"/>
    <row r="36"/>
    <row r="37"/>
    <row r="38"/>
    <row r="39"/>
  </sheetData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E9AA3-3FC5-4A53-B84C-2D22ED35EEFC}">
  <sheetPr codeName="Sheet4">
    <tabColor rgb="FF7030A0"/>
    <pageSetUpPr autoPageBreaks="0"/>
  </sheetPr>
  <dimension ref="A1:AT113"/>
  <sheetViews>
    <sheetView showGridLines="0" topLeftCell="B3" zoomScale="85" zoomScaleNormal="85" workbookViewId="0">
      <selection activeCell="G8" sqref="G8"/>
    </sheetView>
  </sheetViews>
  <sheetFormatPr baseColWidth="10" defaultColWidth="9" defaultRowHeight="13.5" customHeight="1"/>
  <cols>
    <col min="1" max="1" width="1.6640625" hidden="1" customWidth="1"/>
    <col min="2" max="2" width="2.6640625" customWidth="1"/>
    <col min="3" max="3" width="26.5" bestFit="1" customWidth="1"/>
    <col min="4" max="4" width="24.33203125" customWidth="1"/>
    <col min="5" max="5" width="20.5" customWidth="1"/>
    <col min="6" max="6" width="4.1640625" customWidth="1"/>
    <col min="7" max="7" width="31.83203125" style="497" customWidth="1"/>
    <col min="8" max="8" width="43.33203125" style="497" customWidth="1"/>
    <col min="9" max="9" width="12.5" style="497" customWidth="1"/>
    <col min="10" max="10" width="28.83203125" customWidth="1"/>
    <col min="11" max="11" width="9" customWidth="1"/>
    <col min="12" max="12" width="26.33203125" customWidth="1"/>
    <col min="13" max="13" width="3.1640625" customWidth="1"/>
    <col min="14" max="14" width="11.1640625" customWidth="1"/>
    <col min="15" max="15" width="11" customWidth="1"/>
    <col min="16" max="23" width="9" customWidth="1"/>
    <col min="24" max="25" width="13.6640625" customWidth="1"/>
    <col min="26" max="26" width="11" customWidth="1"/>
    <col min="27" max="27" width="13.1640625" customWidth="1"/>
    <col min="28" max="29" width="2.33203125" customWidth="1"/>
    <col min="41" max="41" width="23" bestFit="1" customWidth="1"/>
    <col min="46" max="46" width="18.1640625" customWidth="1"/>
  </cols>
  <sheetData>
    <row r="1" spans="1:46" ht="44.25" hidden="1" customHeight="1" thickTop="1" thickBot="1">
      <c r="A1" s="198" t="s">
        <v>159</v>
      </c>
      <c r="B1" s="14"/>
      <c r="C1" s="15"/>
      <c r="D1" s="15"/>
      <c r="E1" s="15"/>
      <c r="F1" s="15"/>
      <c r="G1" s="1456"/>
      <c r="H1" s="1456"/>
      <c r="I1" s="145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</row>
    <row r="2" spans="1:46" ht="23.25" customHeight="1">
      <c r="A2" s="17"/>
      <c r="B2" s="18" t="str">
        <f>i_Header.ProjectName</f>
        <v>Peoria Lakes</v>
      </c>
      <c r="C2" s="15"/>
      <c r="D2" s="15"/>
      <c r="E2" s="19"/>
      <c r="F2" s="15"/>
      <c r="G2" s="1457"/>
      <c r="H2" s="1457"/>
      <c r="I2" s="1457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</row>
    <row r="3" spans="1:46" ht="15">
      <c r="A3" s="17"/>
      <c r="B3" s="20" t="str">
        <f>i_Header.ModelDescr</f>
        <v>Land</v>
      </c>
      <c r="C3" s="15"/>
      <c r="D3" s="15"/>
      <c r="E3" s="19"/>
      <c r="F3" s="15"/>
      <c r="G3" s="1458"/>
      <c r="H3" s="1458"/>
      <c r="I3" s="1458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</row>
    <row r="4" spans="1:46" ht="21.75" customHeight="1">
      <c r="A4" s="17"/>
      <c r="B4" s="21" t="str" cm="1">
        <f t="array" aca="1" ref="B4" ca="1">REPLACE(MID(CELL("filename",A1),FIND("]",CELL("filename",A1))+1,255),1,0,"")</f>
        <v>ADMIN</v>
      </c>
      <c r="C4" s="15"/>
      <c r="D4" s="15"/>
      <c r="E4" s="19"/>
      <c r="F4" s="15"/>
      <c r="G4" s="1459"/>
      <c r="H4" s="1459"/>
      <c r="I4" s="1459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</row>
    <row r="5" spans="1:46" ht="15">
      <c r="A5" s="16"/>
      <c r="B5" s="16"/>
      <c r="C5" s="16"/>
      <c r="D5" s="16"/>
      <c r="E5" s="16"/>
      <c r="F5" s="16"/>
      <c r="G5" s="1460"/>
      <c r="H5" s="1460"/>
      <c r="I5" s="1460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</row>
    <row r="6" spans="1:46" ht="30" customHeight="1" thickBot="1">
      <c r="A6" s="16"/>
      <c r="B6" s="16"/>
      <c r="C6" s="22" t="s">
        <v>18</v>
      </c>
      <c r="D6" s="22"/>
      <c r="E6" s="23"/>
      <c r="F6" s="16"/>
      <c r="G6" s="22" t="s">
        <v>193</v>
      </c>
      <c r="H6" s="22"/>
      <c r="I6" s="1512"/>
      <c r="J6" s="22" t="s">
        <v>19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16"/>
      <c r="X6" s="22" t="s">
        <v>20</v>
      </c>
      <c r="Y6" s="22"/>
      <c r="Z6" s="22"/>
      <c r="AA6" s="147" t="s">
        <v>130</v>
      </c>
      <c r="AB6" s="16"/>
      <c r="AC6" s="16"/>
    </row>
    <row r="7" spans="1:46" ht="29.25" customHeight="1" thickTop="1" thickBot="1">
      <c r="A7" s="16"/>
      <c r="B7" s="16"/>
      <c r="C7" s="26" t="s">
        <v>8</v>
      </c>
      <c r="D7" s="27"/>
      <c r="E7" s="24" t="s">
        <v>21</v>
      </c>
      <c r="F7" s="212"/>
      <c r="G7" s="1516" t="s">
        <v>194</v>
      </c>
      <c r="H7" s="1516" t="s">
        <v>195</v>
      </c>
      <c r="I7" s="1512"/>
      <c r="J7" s="558" t="s">
        <v>217</v>
      </c>
      <c r="K7" s="218"/>
      <c r="L7" s="219"/>
      <c r="M7" s="220"/>
      <c r="N7" s="1721" t="s">
        <v>208</v>
      </c>
      <c r="O7" s="1721"/>
      <c r="P7" s="1721"/>
      <c r="Q7" s="1721"/>
      <c r="R7" s="1721"/>
      <c r="S7" s="1721"/>
      <c r="T7" s="1721"/>
      <c r="U7" s="219"/>
      <c r="V7" s="219"/>
      <c r="W7" s="212"/>
      <c r="X7" s="556" t="s">
        <v>209</v>
      </c>
      <c r="Y7" s="221"/>
      <c r="Z7" s="221"/>
      <c r="AA7" s="557" t="s">
        <v>117</v>
      </c>
      <c r="AB7" s="212"/>
      <c r="AC7" s="212"/>
      <c r="AD7" s="1217" t="s">
        <v>628</v>
      </c>
      <c r="AF7" s="1217" t="s">
        <v>49</v>
      </c>
      <c r="AG7" s="97"/>
      <c r="AH7" s="97"/>
      <c r="AI7" s="97"/>
      <c r="AJ7" s="97" t="s">
        <v>93</v>
      </c>
      <c r="AM7" s="97" t="s">
        <v>636</v>
      </c>
      <c r="AN7" s="97"/>
      <c r="AO7" s="12"/>
      <c r="AP7" s="12"/>
      <c r="AQ7" s="12"/>
      <c r="AR7" s="12"/>
      <c r="AS7" s="12"/>
      <c r="AT7" s="12"/>
    </row>
    <row r="8" spans="1:46" ht="20" customHeight="1" thickTop="1" thickBot="1">
      <c r="A8" s="16"/>
      <c r="B8" s="16"/>
      <c r="C8" s="25" t="str">
        <f>i.General!C8</f>
        <v>Project Name</v>
      </c>
      <c r="D8" s="237" t="str">
        <f>i_Project.Name</f>
        <v>Peoria Lakes</v>
      </c>
      <c r="E8" s="223" t="s">
        <v>23</v>
      </c>
      <c r="F8" s="212"/>
      <c r="G8" s="1517" t="s">
        <v>163</v>
      </c>
      <c r="H8" s="1517" t="s">
        <v>164</v>
      </c>
      <c r="I8" s="1512"/>
      <c r="J8" s="224" t="s">
        <v>33</v>
      </c>
      <c r="K8" s="225">
        <f>i_Date.Start</f>
        <v>45292</v>
      </c>
      <c r="L8" s="226" t="s">
        <v>34</v>
      </c>
      <c r="M8" s="220"/>
      <c r="N8" s="227" t="s">
        <v>24</v>
      </c>
      <c r="O8" s="227" t="s">
        <v>189</v>
      </c>
      <c r="P8" s="227" t="s">
        <v>25</v>
      </c>
      <c r="Q8" s="554" t="s">
        <v>315</v>
      </c>
      <c r="R8" s="227" t="s">
        <v>308</v>
      </c>
      <c r="S8" s="227" t="s">
        <v>309</v>
      </c>
      <c r="T8" s="227" t="s">
        <v>185</v>
      </c>
      <c r="U8" s="227" t="s">
        <v>218</v>
      </c>
      <c r="V8" s="227" t="s">
        <v>734</v>
      </c>
      <c r="W8" s="212"/>
      <c r="X8" s="227" t="s">
        <v>186</v>
      </c>
      <c r="Y8" s="227" t="s">
        <v>301</v>
      </c>
      <c r="Z8" s="227" t="s">
        <v>132</v>
      </c>
      <c r="AA8" s="227" t="s">
        <v>196</v>
      </c>
      <c r="AB8" s="212"/>
      <c r="AC8" s="212"/>
      <c r="AD8" s="227" t="s">
        <v>630</v>
      </c>
      <c r="AF8" s="227" t="s">
        <v>49</v>
      </c>
      <c r="AG8" s="28" t="s">
        <v>866</v>
      </c>
      <c r="AH8" s="28" t="s">
        <v>867</v>
      </c>
      <c r="AI8" s="28" t="s">
        <v>647</v>
      </c>
      <c r="AJ8" s="1225" cm="1">
        <f t="array" ref="AJ8">i_factorDUA</f>
        <v>0.56999999999999995</v>
      </c>
      <c r="AM8" s="1719" t="s">
        <v>90</v>
      </c>
      <c r="AN8" s="1720"/>
      <c r="AO8" s="153"/>
      <c r="AP8" s="1717" t="s">
        <v>135</v>
      </c>
      <c r="AQ8" s="1718"/>
      <c r="AR8" s="1717" t="s">
        <v>136</v>
      </c>
      <c r="AS8" s="1718"/>
      <c r="AT8" s="152"/>
    </row>
    <row r="9" spans="1:46" ht="20" customHeight="1" thickTop="1" thickBot="1">
      <c r="A9" s="16"/>
      <c r="B9" s="16"/>
      <c r="C9" s="25" t="str">
        <f>i.General!C9</f>
        <v>Project Description</v>
      </c>
      <c r="D9" s="237" t="str">
        <f>i_Project.Descr</f>
        <v>Land</v>
      </c>
      <c r="E9" s="226" t="s">
        <v>27</v>
      </c>
      <c r="F9" s="212"/>
      <c r="G9" s="1517" t="s">
        <v>163</v>
      </c>
      <c r="H9" s="1517" t="s">
        <v>164</v>
      </c>
      <c r="I9" s="1512"/>
      <c r="J9" s="224" t="s">
        <v>123</v>
      </c>
      <c r="K9" s="228">
        <f>MAX(DATABASE!S32:S84)</f>
        <v>96</v>
      </c>
      <c r="L9" s="226" t="s">
        <v>211</v>
      </c>
      <c r="M9" s="220"/>
      <c r="N9" s="1514" t="str" cm="1">
        <f t="array" ref="N9:N20">list_MonthNames</f>
        <v>Jan</v>
      </c>
      <c r="O9" s="1514" cm="1">
        <f t="array" ref="O9:O104">list_Periods.ALL</f>
        <v>1</v>
      </c>
      <c r="P9" s="1514" cm="1">
        <f t="array" ref="P9:P104">list_Periods.Yr</f>
        <v>1</v>
      </c>
      <c r="Q9" s="1514" cm="1">
        <f t="array" ref="Q9:Q104">list_Years.Calendar</f>
        <v>2024</v>
      </c>
      <c r="R9" s="1514" cm="1">
        <f t="array" ref="R9:R104">list_Periods.Qtr</f>
        <v>1</v>
      </c>
      <c r="S9" s="1515" t="str" cm="1">
        <f t="array" ref="S9:S104">list_Dates.Qtr</f>
        <v>Q1-24</v>
      </c>
      <c r="T9" s="229" cm="1">
        <f t="array" ref="T9:T104">list_Dates.ALL</f>
        <v>45292</v>
      </c>
      <c r="U9" s="238" cm="1">
        <f t="array" ref="U9:U16">list_Years.2XXX</f>
        <v>2024</v>
      </c>
      <c r="V9" s="238" cm="1">
        <f t="array" ref="V9:V16">list_Term.Years</f>
        <v>1</v>
      </c>
      <c r="W9" s="212"/>
      <c r="X9" s="236" t="str" cm="1">
        <f t="array" ref="X9:X15">list_LandUses</f>
        <v>MDR</v>
      </c>
      <c r="Y9" s="230" t="str" cm="1">
        <f t="array" ref="Y9:Y17">list_landuse.Type</f>
        <v>C</v>
      </c>
      <c r="Z9" s="222" cm="1">
        <f t="array" ref="Z9:Z12">VALUE(list_PlanArea)</f>
        <v>1</v>
      </c>
      <c r="AA9" s="222" t="str" cm="1">
        <f t="array" ref="AA9:AA16">list_Phases</f>
        <v>1.1</v>
      </c>
      <c r="AB9" s="212"/>
      <c r="AC9" s="212"/>
      <c r="AD9" s="1218" t="s">
        <v>629</v>
      </c>
      <c r="AF9" s="168" t="str" cm="1">
        <f t="array" ref="AF9:AF21">_xlfn.UNIQUE(_xlfn._xlws.FILTER(tbl_Planning[Product], ISNUMBER(SEARCH("x", LOWER(tbl_Planning[Product])))))</f>
        <v>50x125</v>
      </c>
      <c r="AG9" s="168" t="str" cm="1">
        <f t="array" ref="AG9:AG21">IFERROR(LEFT(_xlfn.ANCHORARRAY(AF9), SEARCH("X", AF9, 1)-1), AF9)</f>
        <v>50</v>
      </c>
      <c r="AH9" s="168" t="str" cm="1">
        <f t="array" ref="AH9:AH21">_xlfn.TEXTAFTER(_xlfn.ANCHORARRAY(AF9),"x",,1)</f>
        <v>125</v>
      </c>
      <c r="AI9" s="168" cm="1">
        <f t="array" ref="AI9:AI21">_xlfn.ANCHORARRAY(AG9)*AH9</f>
        <v>6250</v>
      </c>
      <c r="AJ9" s="1226" cm="1">
        <f t="array" ref="AJ9:AJ21">43560/_xlfn.ANCHORARRAY(AI9)*AJ8</f>
        <v>3.9726719999999998</v>
      </c>
      <c r="AM9" s="155" t="s">
        <v>89</v>
      </c>
      <c r="AN9" s="155" t="s">
        <v>142</v>
      </c>
      <c r="AO9" s="155" t="s">
        <v>104</v>
      </c>
      <c r="AP9" s="155" t="s">
        <v>1</v>
      </c>
      <c r="AQ9" s="155" t="s">
        <v>0</v>
      </c>
      <c r="AR9" s="155" t="s">
        <v>137</v>
      </c>
      <c r="AS9" s="155" t="s">
        <v>0</v>
      </c>
      <c r="AT9" s="130" t="s">
        <v>134</v>
      </c>
    </row>
    <row r="10" spans="1:46" ht="20" customHeight="1" thickTop="1" thickBot="1">
      <c r="A10" s="16"/>
      <c r="B10" s="16"/>
      <c r="C10" s="25" t="str">
        <f>i.General!C10</f>
        <v>Project Location</v>
      </c>
      <c r="D10" s="1277" t="s">
        <v>679</v>
      </c>
      <c r="E10" s="226" t="s">
        <v>64</v>
      </c>
      <c r="F10" s="212"/>
      <c r="G10" s="1517" t="s">
        <v>210</v>
      </c>
      <c r="H10" s="1517" t="s">
        <v>732</v>
      </c>
      <c r="I10" s="1512"/>
      <c r="J10" s="224" t="s">
        <v>122</v>
      </c>
      <c r="K10" s="225">
        <f>EDATE($K$8,K9)</f>
        <v>48214</v>
      </c>
      <c r="L10" s="226" t="s">
        <v>214</v>
      </c>
      <c r="M10" s="220"/>
      <c r="N10" s="1514" t="str">
        <v>Feb</v>
      </c>
      <c r="O10" s="1514">
        <v>2</v>
      </c>
      <c r="P10" s="1514">
        <v>1</v>
      </c>
      <c r="Q10" s="1514">
        <v>2024</v>
      </c>
      <c r="R10" s="1514">
        <v>1</v>
      </c>
      <c r="S10" s="1515" t="str">
        <v>Q1-24</v>
      </c>
      <c r="T10" s="229">
        <v>45323</v>
      </c>
      <c r="U10" s="238">
        <v>2025</v>
      </c>
      <c r="V10" s="238">
        <v>2</v>
      </c>
      <c r="W10" s="212"/>
      <c r="X10" s="236" t="str">
        <v>MU</v>
      </c>
      <c r="Y10" s="230" t="str">
        <v>MF</v>
      </c>
      <c r="Z10" s="222">
        <v>2</v>
      </c>
      <c r="AA10" s="222" t="str">
        <v>1.2</v>
      </c>
      <c r="AB10" s="212"/>
      <c r="AC10" s="212"/>
      <c r="AD10" s="1218" t="s">
        <v>43</v>
      </c>
      <c r="AF10" s="168" t="str">
        <v>60x125</v>
      </c>
      <c r="AG10" s="168" t="str">
        <v>60</v>
      </c>
      <c r="AH10" s="168" t="str">
        <v>125</v>
      </c>
      <c r="AI10" s="168">
        <v>7500</v>
      </c>
      <c r="AJ10" s="1226">
        <v>3.3105599999999997</v>
      </c>
      <c r="AM10" s="174" t="str" cm="1">
        <f t="array" ref="AM10:AM16">_xlfn._xlws.SORT(list_LandUses)</f>
        <v>C</v>
      </c>
      <c r="AN10" s="174" t="s">
        <v>54</v>
      </c>
      <c r="AO10" s="757" t="str">
        <f>IFERROR(LOOKUP(AN10,#REF!,i.Planning!$S$8:$S$12),"")</f>
        <v/>
      </c>
      <c r="AP10" s="168" cm="1">
        <f t="array" ref="AP10:AP16">SUMIF(tbl_Planning[Code],_xlfn.ANCHORARRAY($AM10),tbl_Planning[Acres])</f>
        <v>260</v>
      </c>
      <c r="AQ10" s="167" cm="1">
        <f t="array" ref="AQ10">AP10/c_Acres.Total</f>
        <v>0.23853211009174313</v>
      </c>
      <c r="AR10" s="168" cm="1">
        <f t="array" ref="AR10:AR16">SUMIF(tbl_Planning[Code],_xlfn.ANCHORARRAY(AM10),tbl_Planning[Units])</f>
        <v>0</v>
      </c>
      <c r="AS10" s="167" cm="1">
        <f t="array" ref="AS10">AR10/c_Units.Total</f>
        <v>0</v>
      </c>
      <c r="AT10" s="758"/>
    </row>
    <row r="11" spans="1:46" ht="20" customHeight="1" thickTop="1" thickBot="1">
      <c r="A11" s="16"/>
      <c r="B11" s="16"/>
      <c r="C11" s="212"/>
      <c r="D11" s="237"/>
      <c r="E11" s="212"/>
      <c r="F11" s="212"/>
      <c r="G11" s="1517" t="s">
        <v>127</v>
      </c>
      <c r="H11" s="1517" t="s">
        <v>870</v>
      </c>
      <c r="I11" s="1512"/>
      <c r="J11" s="224" t="s">
        <v>124</v>
      </c>
      <c r="K11" s="228">
        <f>MAX(DATABASE!G16:G43)</f>
        <v>95</v>
      </c>
      <c r="L11" s="226" t="s">
        <v>216</v>
      </c>
      <c r="M11" s="220"/>
      <c r="N11" s="1514" t="str">
        <v>Mar</v>
      </c>
      <c r="O11" s="1514">
        <v>3</v>
      </c>
      <c r="P11" s="1514">
        <v>1</v>
      </c>
      <c r="Q11" s="1514">
        <v>2024</v>
      </c>
      <c r="R11" s="1514">
        <v>1</v>
      </c>
      <c r="S11" s="1515" t="str">
        <v>Q1-24</v>
      </c>
      <c r="T11" s="229">
        <v>45352</v>
      </c>
      <c r="U11" s="238">
        <v>2026</v>
      </c>
      <c r="V11" s="238">
        <v>3</v>
      </c>
      <c r="W11" s="212"/>
      <c r="X11" s="236" t="str">
        <v>HDR</v>
      </c>
      <c r="Y11" s="230" t="str">
        <v>R</v>
      </c>
      <c r="Z11" s="222">
        <v>3</v>
      </c>
      <c r="AA11" s="222" t="str">
        <v>2.1</v>
      </c>
      <c r="AB11" s="212"/>
      <c r="AC11" s="212"/>
      <c r="AD11" s="1218" t="s">
        <v>141</v>
      </c>
      <c r="AF11" s="168" t="str">
        <v>45x115</v>
      </c>
      <c r="AG11" s="168" t="str">
        <v>45</v>
      </c>
      <c r="AH11" s="168" t="str">
        <v>115</v>
      </c>
      <c r="AI11" s="168">
        <v>5625</v>
      </c>
      <c r="AJ11" s="1226">
        <v>4.4140799999999993</v>
      </c>
      <c r="AM11" s="175" t="str">
        <v>HDR</v>
      </c>
      <c r="AN11" s="175" t="s">
        <v>635</v>
      </c>
      <c r="AO11" s="757" t="str">
        <f>IFERROR(LOOKUP(AN11,#REF!,i.Planning!$S$8:$S$12),"")</f>
        <v/>
      </c>
      <c r="AP11" s="168">
        <v>38</v>
      </c>
      <c r="AQ11" s="167" cm="1">
        <f t="array" ref="AQ11">AP11/c_Acres.Total</f>
        <v>3.4862385321100919E-2</v>
      </c>
      <c r="AR11" s="168">
        <v>760</v>
      </c>
      <c r="AS11" s="167" cm="1">
        <f t="array" ref="AS11">AR11/c_Units.Total</f>
        <v>0.22248243559718969</v>
      </c>
      <c r="AT11" s="758"/>
    </row>
    <row r="12" spans="1:46" ht="20" customHeight="1" thickTop="1" thickBot="1">
      <c r="A12" s="16"/>
      <c r="B12" s="16"/>
      <c r="C12" s="25" t="s">
        <v>29</v>
      </c>
      <c r="D12" s="237" t="str">
        <f>i_Project.Name</f>
        <v>Peoria Lakes</v>
      </c>
      <c r="E12" s="226" t="s">
        <v>30</v>
      </c>
      <c r="F12" s="212"/>
      <c r="G12" s="1517" t="s">
        <v>424</v>
      </c>
      <c r="H12" s="1517" t="s">
        <v>425</v>
      </c>
      <c r="I12" s="1512"/>
      <c r="J12" s="224" t="s">
        <v>125</v>
      </c>
      <c r="K12" s="225">
        <f>EDATE($K$8,K11)</f>
        <v>48183</v>
      </c>
      <c r="L12" s="226" t="s">
        <v>210</v>
      </c>
      <c r="M12" s="220"/>
      <c r="N12" s="1514" t="str">
        <v>Apr</v>
      </c>
      <c r="O12" s="1514">
        <v>4</v>
      </c>
      <c r="P12" s="1514">
        <v>1</v>
      </c>
      <c r="Q12" s="1514">
        <v>2024</v>
      </c>
      <c r="R12" s="1514">
        <v>2</v>
      </c>
      <c r="S12" s="1515" t="str">
        <v>Q2-24</v>
      </c>
      <c r="T12" s="229">
        <v>45383</v>
      </c>
      <c r="U12" s="238">
        <v>2027</v>
      </c>
      <c r="V12" s="238">
        <v>4</v>
      </c>
      <c r="W12" s="212"/>
      <c r="X12" s="236" t="str">
        <v>MHDR</v>
      </c>
      <c r="Y12" s="230" t="str">
        <v>MF</v>
      </c>
      <c r="Z12" s="222">
        <v>4</v>
      </c>
      <c r="AA12" s="222" t="str">
        <v>2.2</v>
      </c>
      <c r="AB12" s="212"/>
      <c r="AC12" s="212"/>
      <c r="AD12" s="1218" t="s">
        <v>634</v>
      </c>
      <c r="AF12" s="168" t="str">
        <v>35x95</v>
      </c>
      <c r="AG12" s="168" t="str">
        <v>35</v>
      </c>
      <c r="AH12" s="168" t="str">
        <v>95</v>
      </c>
      <c r="AI12" s="168">
        <v>4375</v>
      </c>
      <c r="AJ12" s="1226">
        <v>5.6752457142857144</v>
      </c>
      <c r="AM12" s="175" t="str">
        <v>MDR</v>
      </c>
      <c r="AN12" s="175" t="s">
        <v>143</v>
      </c>
      <c r="AO12" s="757" t="str">
        <f>IFERROR(LOOKUP(AN12,#REF!,i.Planning!$S$8:$S$12),"")</f>
        <v/>
      </c>
      <c r="AP12" s="168">
        <v>442</v>
      </c>
      <c r="AQ12" s="167" cm="1">
        <f t="array" ref="AQ12">AP12/c_Acres.Total</f>
        <v>0.40550458715596333</v>
      </c>
      <c r="AR12" s="168">
        <v>1883</v>
      </c>
      <c r="AS12" s="167" cm="1">
        <f t="array" ref="AS12">AR12/c_Units.Total</f>
        <v>0.55122950819672134</v>
      </c>
      <c r="AT12" s="758"/>
    </row>
    <row r="13" spans="1:46" ht="20" customHeight="1" thickTop="1" thickBot="1">
      <c r="A13" s="16"/>
      <c r="B13" s="16"/>
      <c r="C13" s="25" t="s">
        <v>31</v>
      </c>
      <c r="D13" s="237" t="str">
        <f>i_Project.Descr</f>
        <v>Land</v>
      </c>
      <c r="E13" s="226" t="s">
        <v>32</v>
      </c>
      <c r="F13" s="212"/>
      <c r="G13" s="1517" t="s">
        <v>165</v>
      </c>
      <c r="H13" s="1517" t="s">
        <v>533</v>
      </c>
      <c r="I13" s="1512"/>
      <c r="J13" s="231" t="s">
        <v>215</v>
      </c>
      <c r="K13" s="228">
        <f>MAX(c_Period.Revenue_Final,c_Period.Cost_Final)</f>
        <v>96</v>
      </c>
      <c r="L13" s="226" t="s">
        <v>166</v>
      </c>
      <c r="M13" s="220"/>
      <c r="N13" s="1514" t="str">
        <v>May</v>
      </c>
      <c r="O13" s="1514">
        <v>5</v>
      </c>
      <c r="P13" s="1514">
        <v>1</v>
      </c>
      <c r="Q13" s="1514">
        <v>2024</v>
      </c>
      <c r="R13" s="1514">
        <v>2</v>
      </c>
      <c r="S13" s="1515" t="str">
        <v>Q2-24</v>
      </c>
      <c r="T13" s="229">
        <v>45413</v>
      </c>
      <c r="U13" s="238">
        <v>2028</v>
      </c>
      <c r="V13" s="238">
        <v>5</v>
      </c>
      <c r="W13" s="212"/>
      <c r="X13" s="236" t="str">
        <v>OS</v>
      </c>
      <c r="Y13" s="230" t="str">
        <v>R</v>
      </c>
      <c r="Z13" s="222"/>
      <c r="AA13" s="222" t="str">
        <v>3.1</v>
      </c>
      <c r="AB13" s="212"/>
      <c r="AC13" s="212"/>
      <c r="AD13" s="222"/>
      <c r="AF13" s="168" t="str">
        <v>65x125</v>
      </c>
      <c r="AG13" s="168" t="str">
        <v>65</v>
      </c>
      <c r="AH13" s="168" t="str">
        <v>125</v>
      </c>
      <c r="AI13" s="168">
        <v>8125</v>
      </c>
      <c r="AJ13" s="1226">
        <v>3.055901538461538</v>
      </c>
      <c r="AM13" s="175" t="str">
        <v>MHDR</v>
      </c>
      <c r="AN13" s="175" t="s">
        <v>635</v>
      </c>
      <c r="AO13" s="757" t="str">
        <f>IFERROR(LOOKUP(AN13,#REF!,i.Planning!$S$8:$S$12),"")</f>
        <v/>
      </c>
      <c r="AP13" s="168">
        <v>52</v>
      </c>
      <c r="AQ13" s="167" cm="1">
        <f t="array" ref="AQ13">AP13/c_Acres.Total</f>
        <v>4.7706422018348627E-2</v>
      </c>
      <c r="AR13" s="168">
        <v>531</v>
      </c>
      <c r="AS13" s="167" cm="1">
        <f t="array" ref="AS13">AR13/c_Units.Total</f>
        <v>0.15544496487119439</v>
      </c>
      <c r="AT13" s="758"/>
    </row>
    <row r="14" spans="1:46" ht="20" customHeight="1" thickTop="1" thickBot="1">
      <c r="A14" s="16"/>
      <c r="B14" s="16"/>
      <c r="C14" s="212"/>
      <c r="D14" s="212"/>
      <c r="E14" s="212"/>
      <c r="F14" s="212"/>
      <c r="G14" s="1517" t="s">
        <v>478</v>
      </c>
      <c r="H14" s="1517" t="s">
        <v>482</v>
      </c>
      <c r="I14" s="1512"/>
      <c r="J14" s="231" t="s">
        <v>126</v>
      </c>
      <c r="K14" s="225">
        <f>EDATE($K$8,K13)</f>
        <v>48214</v>
      </c>
      <c r="L14" s="226" t="s">
        <v>127</v>
      </c>
      <c r="M14" s="220"/>
      <c r="N14" s="1514" t="str">
        <v>Jun</v>
      </c>
      <c r="O14" s="1514">
        <v>6</v>
      </c>
      <c r="P14" s="1514">
        <v>1</v>
      </c>
      <c r="Q14" s="1514">
        <v>2024</v>
      </c>
      <c r="R14" s="1514">
        <v>2</v>
      </c>
      <c r="S14" s="1515" t="str">
        <v>Q2-24</v>
      </c>
      <c r="T14" s="229">
        <v>45444</v>
      </c>
      <c r="U14" s="238">
        <v>2029</v>
      </c>
      <c r="V14" s="238">
        <v>6</v>
      </c>
      <c r="W14" s="212"/>
      <c r="X14" s="236" t="str">
        <v>C</v>
      </c>
      <c r="Y14" s="230" t="str">
        <v>C</v>
      </c>
      <c r="Z14" s="222"/>
      <c r="AA14" s="222" t="str">
        <v>3.2</v>
      </c>
      <c r="AB14" s="212"/>
      <c r="AC14" s="212"/>
      <c r="AD14" s="222"/>
      <c r="AF14" s="168" t="str">
        <v>70x125</v>
      </c>
      <c r="AG14" s="168" t="str">
        <v>70</v>
      </c>
      <c r="AH14" s="168" t="str">
        <v>125</v>
      </c>
      <c r="AI14" s="168">
        <v>8750</v>
      </c>
      <c r="AJ14" s="1226">
        <v>2.8376228571428572</v>
      </c>
      <c r="AM14" s="175" t="str">
        <v>MLDR</v>
      </c>
      <c r="AN14" s="175" t="s">
        <v>143</v>
      </c>
      <c r="AO14" s="757" t="str">
        <f>IFERROR(LOOKUP(AN14,#REF!,i.Planning!$S$8:$S$12),"")</f>
        <v/>
      </c>
      <c r="AP14" s="168">
        <v>96</v>
      </c>
      <c r="AQ14" s="167" cm="1">
        <f t="array" ref="AQ14">AP14/c_Acres.Total</f>
        <v>8.8073394495412849E-2</v>
      </c>
      <c r="AR14" s="168">
        <v>242</v>
      </c>
      <c r="AS14" s="167" cm="1">
        <f t="array" ref="AS14">AR14/c_Units.Total</f>
        <v>7.0843091334894609E-2</v>
      </c>
      <c r="AT14" s="758"/>
    </row>
    <row r="15" spans="1:46" ht="20" customHeight="1" thickTop="1" thickBot="1">
      <c r="A15" s="16"/>
      <c r="B15" s="16"/>
      <c r="C15" s="558" t="s">
        <v>81</v>
      </c>
      <c r="D15" s="218"/>
      <c r="E15" s="212"/>
      <c r="F15" s="212"/>
      <c r="G15" s="1517" t="s">
        <v>479</v>
      </c>
      <c r="H15" s="1517" t="s">
        <v>483</v>
      </c>
      <c r="I15" s="1512"/>
      <c r="J15" s="232"/>
      <c r="K15" s="232"/>
      <c r="L15" s="232"/>
      <c r="M15" s="220"/>
      <c r="N15" s="1514" t="str">
        <v>Jul</v>
      </c>
      <c r="O15" s="1514">
        <v>7</v>
      </c>
      <c r="P15" s="1514">
        <v>1</v>
      </c>
      <c r="Q15" s="1514">
        <v>2024</v>
      </c>
      <c r="R15" s="1514">
        <v>3</v>
      </c>
      <c r="S15" s="1515" t="str">
        <v>Q3-24</v>
      </c>
      <c r="T15" s="229">
        <v>45474</v>
      </c>
      <c r="U15" s="238">
        <v>2030</v>
      </c>
      <c r="V15" s="238">
        <v>7</v>
      </c>
      <c r="W15" s="212"/>
      <c r="X15" s="236" t="str">
        <v>MLDR</v>
      </c>
      <c r="Y15" s="230" t="str">
        <v>P</v>
      </c>
      <c r="Z15" s="222"/>
      <c r="AA15" s="222" t="str">
        <v>4.1</v>
      </c>
      <c r="AB15" s="212"/>
      <c r="AC15" s="212"/>
      <c r="AD15" s="222"/>
      <c r="AF15" s="168" t="str">
        <v>40x115</v>
      </c>
      <c r="AG15" s="168" t="str">
        <v>40</v>
      </c>
      <c r="AH15" s="168" t="str">
        <v>115</v>
      </c>
      <c r="AI15" s="168">
        <v>5000</v>
      </c>
      <c r="AJ15" s="1226">
        <v>4.9658399999999991</v>
      </c>
      <c r="AM15" s="175" t="str">
        <v>MU</v>
      </c>
      <c r="AN15" s="175" t="s">
        <v>54</v>
      </c>
      <c r="AO15" s="757" t="str">
        <f>IFERROR(LOOKUP(AN15,#REF!,i.Planning!$S$8:$S$12),"")</f>
        <v/>
      </c>
      <c r="AP15" s="168">
        <v>53</v>
      </c>
      <c r="AQ15" s="167" cm="1">
        <f t="array" ref="AQ15">AP15/c_Acres.Total</f>
        <v>4.8623853211009177E-2</v>
      </c>
      <c r="AR15" s="168">
        <v>0</v>
      </c>
      <c r="AS15" s="167" cm="1">
        <f t="array" ref="AS15">AR15/c_Units.Total</f>
        <v>0</v>
      </c>
      <c r="AT15" s="758"/>
    </row>
    <row r="16" spans="1:46" ht="20" customHeight="1" thickTop="1" thickBot="1">
      <c r="A16" s="16"/>
      <c r="B16" s="16"/>
      <c r="C16" s="224" t="s">
        <v>82</v>
      </c>
      <c r="D16" s="233" t="s">
        <v>282</v>
      </c>
      <c r="E16" s="223" t="s">
        <v>735</v>
      </c>
      <c r="F16" s="212"/>
      <c r="G16" s="1517" t="s">
        <v>480</v>
      </c>
      <c r="H16" s="1517" t="s">
        <v>484</v>
      </c>
      <c r="I16" s="1512"/>
      <c r="J16" s="231" t="s">
        <v>220</v>
      </c>
      <c r="K16" s="228">
        <f>LOOKUP(K17,list_Dates.ALL,_xlfn.ANCHORARRAY(O9))</f>
        <v>13</v>
      </c>
      <c r="L16" s="226" t="s">
        <v>166</v>
      </c>
      <c r="M16" s="220"/>
      <c r="N16" s="1514" t="str">
        <v>Aug</v>
      </c>
      <c r="O16" s="1514">
        <v>8</v>
      </c>
      <c r="P16" s="1514">
        <v>1</v>
      </c>
      <c r="Q16" s="1514">
        <v>2024</v>
      </c>
      <c r="R16" s="1514">
        <v>3</v>
      </c>
      <c r="S16" s="1515" t="str">
        <v>Q3-24</v>
      </c>
      <c r="T16" s="229">
        <v>45505</v>
      </c>
      <c r="U16" s="238">
        <v>2031</v>
      </c>
      <c r="V16" s="238">
        <v>8</v>
      </c>
      <c r="W16" s="212"/>
      <c r="X16" s="236"/>
      <c r="Y16" s="230">
        <v>0</v>
      </c>
      <c r="Z16" s="222"/>
      <c r="AA16" s="222" t="str">
        <v>4.2</v>
      </c>
      <c r="AB16" s="212"/>
      <c r="AC16" s="212"/>
      <c r="AD16" s="222"/>
      <c r="AF16" s="168" t="str">
        <v>50x120</v>
      </c>
      <c r="AG16" s="168" t="str">
        <v>50</v>
      </c>
      <c r="AH16" s="168" t="str">
        <v>120</v>
      </c>
      <c r="AI16" s="168">
        <v>6250</v>
      </c>
      <c r="AJ16" s="1226">
        <v>3.9726719999999998</v>
      </c>
      <c r="AM16" s="175" t="str">
        <v>OS</v>
      </c>
      <c r="AN16" s="175" t="s">
        <v>16</v>
      </c>
      <c r="AO16" s="757" t="str">
        <f>IFERROR(LOOKUP(AN16,#REF!,i.Planning!$S$8:$S$12),"")</f>
        <v/>
      </c>
      <c r="AP16" s="168">
        <v>149</v>
      </c>
      <c r="AQ16" s="167" cm="1">
        <f t="array" ref="AQ16">AP16/c_Acres.Total</f>
        <v>0.13669724770642203</v>
      </c>
      <c r="AR16" s="168">
        <v>0</v>
      </c>
      <c r="AS16" s="167" cm="1">
        <f t="array" ref="AS16">AR16/c_Units.Total</f>
        <v>0</v>
      </c>
      <c r="AT16" s="758"/>
    </row>
    <row r="17" spans="3:46" ht="20" customHeight="1" thickTop="1" thickBot="1">
      <c r="C17" s="224" t="s">
        <v>83</v>
      </c>
      <c r="D17" s="234" t="str">
        <f>D8</f>
        <v>Peoria Lakes</v>
      </c>
      <c r="E17" s="223" t="s">
        <v>736</v>
      </c>
      <c r="F17" s="212"/>
      <c r="G17" s="1517" t="s">
        <v>216</v>
      </c>
      <c r="H17" s="1517" t="s">
        <v>871</v>
      </c>
      <c r="I17" s="1512"/>
      <c r="J17" s="231" t="s">
        <v>219</v>
      </c>
      <c r="K17" s="225">
        <f>MIN(tbl_LandAcq[Date])</f>
        <v>45658</v>
      </c>
      <c r="L17" s="226" t="s">
        <v>127</v>
      </c>
      <c r="M17" s="220"/>
      <c r="N17" s="1514" t="str">
        <v>Sep</v>
      </c>
      <c r="O17" s="1514">
        <v>9</v>
      </c>
      <c r="P17" s="1514">
        <v>1</v>
      </c>
      <c r="Q17" s="1514">
        <v>2024</v>
      </c>
      <c r="R17" s="1514">
        <v>3</v>
      </c>
      <c r="S17" s="1515" t="str">
        <v>Q3-24</v>
      </c>
      <c r="T17" s="229">
        <v>45536</v>
      </c>
      <c r="U17" s="238"/>
      <c r="V17" s="238"/>
      <c r="W17" s="212"/>
      <c r="X17" s="236"/>
      <c r="Y17" s="230">
        <v>0</v>
      </c>
      <c r="Z17" s="222"/>
      <c r="AA17" s="222"/>
      <c r="AB17" s="212"/>
      <c r="AC17" s="212"/>
      <c r="AF17" s="168" t="str">
        <v>40x100</v>
      </c>
      <c r="AG17" s="168" t="str">
        <v>40</v>
      </c>
      <c r="AH17" s="168" t="str">
        <v>100</v>
      </c>
      <c r="AI17" s="168">
        <v>5000</v>
      </c>
      <c r="AJ17" s="1226">
        <v>4.9658399999999991</v>
      </c>
      <c r="AM17" s="175"/>
      <c r="AN17" s="175"/>
      <c r="AO17" s="757" t="str">
        <f>IFERROR(LOOKUP(AN17,#REF!,i.Planning!$S$8:$S$12),"")</f>
        <v/>
      </c>
      <c r="AP17" s="168"/>
      <c r="AQ17" s="167" cm="1">
        <f t="array" ref="AQ17">AP17/c_Acres.Total</f>
        <v>0</v>
      </c>
      <c r="AR17" s="168"/>
      <c r="AS17" s="167" cm="1">
        <f t="array" ref="AS17">AR17/c_Units.Total</f>
        <v>0</v>
      </c>
      <c r="AT17" s="758"/>
    </row>
    <row r="18" spans="3:46" ht="20" customHeight="1" thickTop="1" thickBot="1">
      <c r="C18" s="224" t="s">
        <v>84</v>
      </c>
      <c r="D18" s="1643">
        <f ca="1">NOW()</f>
        <v>45911.574028240742</v>
      </c>
      <c r="E18" s="223" t="s">
        <v>737</v>
      </c>
      <c r="F18" s="212"/>
      <c r="G18" s="1517" t="s">
        <v>211</v>
      </c>
      <c r="H18" s="1517" t="s">
        <v>872</v>
      </c>
      <c r="I18" s="1512"/>
      <c r="J18" s="231" t="s">
        <v>221</v>
      </c>
      <c r="K18" s="252">
        <f>DATEDIF(K8,K19,"M")+1</f>
        <v>13</v>
      </c>
      <c r="L18" s="226" t="s">
        <v>166</v>
      </c>
      <c r="M18" s="220"/>
      <c r="N18" s="1514" t="str">
        <v>Oct</v>
      </c>
      <c r="O18" s="1514">
        <v>10</v>
      </c>
      <c r="P18" s="1514">
        <v>1</v>
      </c>
      <c r="Q18" s="1514">
        <v>2024</v>
      </c>
      <c r="R18" s="1514">
        <v>4</v>
      </c>
      <c r="S18" s="1515" t="str">
        <v>Q4-24</v>
      </c>
      <c r="T18" s="229">
        <v>45566</v>
      </c>
      <c r="U18" s="238"/>
      <c r="V18" s="238"/>
      <c r="W18" s="212"/>
      <c r="X18" s="236"/>
      <c r="Y18" s="230"/>
      <c r="Z18" s="222"/>
      <c r="AA18" s="222"/>
      <c r="AB18" s="212"/>
      <c r="AC18" s="212"/>
      <c r="AF18" s="168" t="str">
        <v>55x125</v>
      </c>
      <c r="AG18" s="168" t="str">
        <v>55</v>
      </c>
      <c r="AH18" s="168" t="str">
        <v>125</v>
      </c>
      <c r="AI18" s="168">
        <v>6875</v>
      </c>
      <c r="AJ18" s="1226">
        <v>3.6115200000000001</v>
      </c>
      <c r="AM18" s="175"/>
      <c r="AN18" s="175"/>
      <c r="AO18" s="757" t="str">
        <f>IFERROR(LOOKUP(AN18,#REF!,i.Planning!$S$8:$S$12),"")</f>
        <v/>
      </c>
      <c r="AP18" s="168"/>
      <c r="AQ18" s="167"/>
      <c r="AR18" s="168"/>
      <c r="AS18" s="167" cm="1">
        <f t="array" ref="AS18">AR18/c_Units.Total</f>
        <v>0</v>
      </c>
      <c r="AT18" s="758"/>
    </row>
    <row r="19" spans="3:46" ht="20" customHeight="1" thickTop="1" thickBot="1">
      <c r="C19" s="224" t="s">
        <v>85</v>
      </c>
      <c r="D19" s="233"/>
      <c r="E19" s="223" t="s">
        <v>738</v>
      </c>
      <c r="F19" s="212"/>
      <c r="G19" s="1517" t="s">
        <v>166</v>
      </c>
      <c r="H19" s="1517" t="s">
        <v>731</v>
      </c>
      <c r="I19" s="1512"/>
      <c r="J19" s="231" t="s">
        <v>224</v>
      </c>
      <c r="K19" s="225">
        <f>MAX(c_Period.Revenue_Final,c_Period.Cost_Final,tbl_LandAcq[Date])</f>
        <v>45658</v>
      </c>
      <c r="L19" s="226" t="s">
        <v>127</v>
      </c>
      <c r="M19" s="220"/>
      <c r="N19" s="1514" t="str">
        <v>Nov</v>
      </c>
      <c r="O19" s="1514">
        <v>11</v>
      </c>
      <c r="P19" s="1514">
        <v>1</v>
      </c>
      <c r="Q19" s="1514">
        <v>2024</v>
      </c>
      <c r="R19" s="1514">
        <v>4</v>
      </c>
      <c r="S19" s="1515" t="str">
        <v>Q4-24</v>
      </c>
      <c r="T19" s="229">
        <v>45597</v>
      </c>
      <c r="U19" s="238"/>
      <c r="V19" s="238"/>
      <c r="W19" s="212"/>
      <c r="X19" s="236"/>
      <c r="Y19" s="230"/>
      <c r="Z19" s="222"/>
      <c r="AA19" s="222"/>
      <c r="AB19" s="212"/>
      <c r="AC19" s="212"/>
      <c r="AF19" s="168" t="str">
        <v>55x120</v>
      </c>
      <c r="AG19" s="168" t="str">
        <v>55</v>
      </c>
      <c r="AH19" s="168" t="str">
        <v>120</v>
      </c>
      <c r="AI19" s="168">
        <v>6875</v>
      </c>
      <c r="AJ19" s="1226">
        <v>3.6115200000000001</v>
      </c>
      <c r="AM19" s="158"/>
      <c r="AN19" s="173"/>
      <c r="AO19" s="159"/>
      <c r="AP19" s="157" cm="1">
        <f t="array" ref="AP19">c_Acres.Total</f>
        <v>1090</v>
      </c>
      <c r="AQ19" s="156" cm="1">
        <f t="array" ref="AQ19">AP19/c_Acres.Total</f>
        <v>1</v>
      </c>
      <c r="AR19" s="157">
        <f>SUM(AR10:AR18)</f>
        <v>3416</v>
      </c>
      <c r="AS19" s="156" cm="1">
        <f t="array" ref="AS19">AR19/c_Acres.Total</f>
        <v>3.1339449541284403</v>
      </c>
      <c r="AT19" s="159"/>
    </row>
    <row r="20" spans="3:46" ht="20" customHeight="1" thickTop="1" thickBot="1">
      <c r="C20" s="224" t="s">
        <v>86</v>
      </c>
      <c r="D20" s="233"/>
      <c r="E20" s="223" t="s">
        <v>739</v>
      </c>
      <c r="F20" s="212"/>
      <c r="G20" s="1517" t="s">
        <v>382</v>
      </c>
      <c r="H20" s="1517" t="s">
        <v>426</v>
      </c>
      <c r="I20" s="1512"/>
      <c r="J20" s="212"/>
      <c r="K20" s="212"/>
      <c r="L20" s="212"/>
      <c r="M20" s="212"/>
      <c r="N20" s="1514" t="str">
        <v>Dec</v>
      </c>
      <c r="O20" s="1514">
        <v>12</v>
      </c>
      <c r="P20" s="1514">
        <v>1</v>
      </c>
      <c r="Q20" s="1514">
        <v>2024</v>
      </c>
      <c r="R20" s="1514">
        <v>4</v>
      </c>
      <c r="S20" s="1515" t="str">
        <v>Q4-24</v>
      </c>
      <c r="T20" s="229">
        <v>45627</v>
      </c>
      <c r="U20" s="238"/>
      <c r="V20" s="238"/>
      <c r="W20" s="212"/>
      <c r="X20" s="236"/>
      <c r="Y20" s="230"/>
      <c r="Z20" s="222"/>
      <c r="AA20" s="222"/>
      <c r="AB20" s="212"/>
      <c r="AC20" s="212"/>
      <c r="AF20" s="168" t="str">
        <v>70x130</v>
      </c>
      <c r="AG20" s="168" t="str">
        <v>70</v>
      </c>
      <c r="AH20" s="168" t="str">
        <v>130</v>
      </c>
      <c r="AI20" s="168">
        <v>8750</v>
      </c>
      <c r="AJ20" s="1226">
        <v>2.8376228571428572</v>
      </c>
    </row>
    <row r="21" spans="3:46" ht="20" customHeight="1" thickTop="1" thickBot="1">
      <c r="C21" s="224" t="s">
        <v>87</v>
      </c>
      <c r="D21" s="233" t="s">
        <v>283</v>
      </c>
      <c r="E21" s="223" t="s">
        <v>740</v>
      </c>
      <c r="F21" s="212"/>
      <c r="G21" s="1517" t="s">
        <v>383</v>
      </c>
      <c r="H21" s="1517" t="s">
        <v>427</v>
      </c>
      <c r="I21" s="1512"/>
      <c r="J21" s="212"/>
      <c r="K21" s="212"/>
      <c r="L21" s="212"/>
      <c r="M21" s="212"/>
      <c r="N21" s="1514"/>
      <c r="O21" s="1514">
        <v>13</v>
      </c>
      <c r="P21" s="1514">
        <v>2</v>
      </c>
      <c r="Q21" s="1514">
        <v>2025</v>
      </c>
      <c r="R21" s="1514">
        <v>5</v>
      </c>
      <c r="S21" s="1515" t="str">
        <v>Q1-25</v>
      </c>
      <c r="T21" s="229">
        <v>45658</v>
      </c>
      <c r="U21" s="238"/>
      <c r="V21" s="238"/>
      <c r="W21" s="212"/>
      <c r="X21" s="236"/>
      <c r="Y21" s="230"/>
      <c r="Z21" s="222"/>
      <c r="AA21" s="222"/>
      <c r="AB21" s="212"/>
      <c r="AC21" s="212"/>
      <c r="AF21" s="168" t="str">
        <v>80x130</v>
      </c>
      <c r="AG21" s="168" t="str">
        <v>80</v>
      </c>
      <c r="AH21" s="168" t="str">
        <v>130</v>
      </c>
      <c r="AI21" s="168">
        <v>10000</v>
      </c>
      <c r="AJ21" s="1226">
        <v>2.4829199999999996</v>
      </c>
    </row>
    <row r="22" spans="3:46" ht="20" customHeight="1" thickTop="1" thickBot="1">
      <c r="C22" s="212"/>
      <c r="D22" s="212"/>
      <c r="E22" s="212"/>
      <c r="F22" s="212"/>
      <c r="G22" s="1517" t="s">
        <v>384</v>
      </c>
      <c r="H22" s="1517" t="s">
        <v>428</v>
      </c>
      <c r="I22" s="1512"/>
      <c r="J22" s="212"/>
      <c r="K22" s="212"/>
      <c r="L22" s="212"/>
      <c r="M22" s="212"/>
      <c r="N22" s="1514"/>
      <c r="O22" s="1514">
        <v>14</v>
      </c>
      <c r="P22" s="1514">
        <v>2</v>
      </c>
      <c r="Q22" s="1514">
        <v>2025</v>
      </c>
      <c r="R22" s="1514">
        <v>5</v>
      </c>
      <c r="S22" s="1515" t="str">
        <v>Q1-25</v>
      </c>
      <c r="T22" s="229">
        <v>45689</v>
      </c>
      <c r="U22" s="238"/>
      <c r="V22" s="238"/>
      <c r="W22" s="212"/>
      <c r="X22" s="236"/>
      <c r="Y22" s="230"/>
      <c r="Z22" s="222"/>
      <c r="AA22" s="222"/>
      <c r="AB22" s="212"/>
      <c r="AC22" s="212"/>
      <c r="AG22" s="1218"/>
      <c r="AH22" s="1218"/>
      <c r="AM22" t="e" cm="1">
        <f t="array" ref="AM22">#REF!</f>
        <v>#REF!</v>
      </c>
    </row>
    <row r="23" spans="3:46" ht="20" customHeight="1" thickTop="1" thickBot="1">
      <c r="C23" s="558" t="s">
        <v>419</v>
      </c>
      <c r="D23" s="218"/>
      <c r="E23" s="212"/>
      <c r="F23" s="212"/>
      <c r="G23" s="1517" t="s">
        <v>385</v>
      </c>
      <c r="H23" s="1517" t="s">
        <v>429</v>
      </c>
      <c r="I23" s="1512"/>
      <c r="J23" s="212"/>
      <c r="K23" s="212"/>
      <c r="L23" s="212"/>
      <c r="M23" s="212"/>
      <c r="N23" s="1514"/>
      <c r="O23" s="1514">
        <v>15</v>
      </c>
      <c r="P23" s="1514">
        <v>2</v>
      </c>
      <c r="Q23" s="1514">
        <v>2025</v>
      </c>
      <c r="R23" s="1514">
        <v>5</v>
      </c>
      <c r="S23" s="1515" t="str">
        <v>Q1-25</v>
      </c>
      <c r="T23" s="229">
        <v>45717</v>
      </c>
      <c r="U23" s="238"/>
      <c r="V23" s="238"/>
      <c r="W23" s="229"/>
      <c r="X23" s="236"/>
      <c r="Y23" s="230"/>
      <c r="Z23" s="222"/>
      <c r="AA23" s="222"/>
      <c r="AB23" s="212"/>
      <c r="AC23" s="212"/>
      <c r="AG23" s="1218"/>
      <c r="AH23" s="1218"/>
    </row>
    <row r="24" spans="3:46" ht="20" customHeight="1" thickTop="1" thickBot="1">
      <c r="C24" s="224" t="s">
        <v>423</v>
      </c>
      <c r="D24" s="234">
        <v>30</v>
      </c>
      <c r="E24" s="212"/>
      <c r="F24" s="212"/>
      <c r="G24" s="1517" t="s">
        <v>167</v>
      </c>
      <c r="H24" s="1517" t="s">
        <v>662</v>
      </c>
      <c r="I24" s="1512"/>
      <c r="J24" s="212"/>
      <c r="K24" s="212"/>
      <c r="L24" s="212"/>
      <c r="M24" s="212"/>
      <c r="N24" s="1514"/>
      <c r="O24" s="1514">
        <v>16</v>
      </c>
      <c r="P24" s="1514">
        <v>2</v>
      </c>
      <c r="Q24" s="1514">
        <v>2025</v>
      </c>
      <c r="R24" s="1514">
        <v>6</v>
      </c>
      <c r="S24" s="1515" t="str">
        <v>Q2-25</v>
      </c>
      <c r="T24" s="229">
        <v>45748</v>
      </c>
      <c r="U24" s="238"/>
      <c r="V24" s="238"/>
      <c r="W24" s="229"/>
      <c r="X24" s="236"/>
      <c r="Y24" s="230"/>
      <c r="Z24" s="222"/>
      <c r="AA24" s="222"/>
      <c r="AB24" s="212"/>
      <c r="AC24" s="212"/>
    </row>
    <row r="25" spans="3:46" ht="20" customHeight="1" thickTop="1" thickBot="1">
      <c r="C25" s="224" t="s">
        <v>420</v>
      </c>
      <c r="D25" s="234">
        <v>20</v>
      </c>
      <c r="E25" s="212"/>
      <c r="F25" s="212"/>
      <c r="G25" s="1517" t="s">
        <v>503</v>
      </c>
      <c r="H25" s="1517" t="s">
        <v>712</v>
      </c>
      <c r="I25" s="1512"/>
      <c r="J25" s="212"/>
      <c r="K25" s="212"/>
      <c r="L25" s="212"/>
      <c r="M25" s="212"/>
      <c r="N25" s="1514"/>
      <c r="O25" s="1514">
        <v>17</v>
      </c>
      <c r="P25" s="1514">
        <v>2</v>
      </c>
      <c r="Q25" s="1514">
        <v>2025</v>
      </c>
      <c r="R25" s="1514">
        <v>6</v>
      </c>
      <c r="S25" s="1515" t="str">
        <v>Q2-25</v>
      </c>
      <c r="T25" s="229">
        <v>45778</v>
      </c>
      <c r="U25" s="238"/>
      <c r="V25" s="238"/>
      <c r="W25" s="229"/>
      <c r="X25" s="236"/>
      <c r="Y25" s="230"/>
      <c r="Z25" s="222"/>
      <c r="AA25" s="222"/>
      <c r="AB25" s="212"/>
      <c r="AC25" s="212"/>
    </row>
    <row r="26" spans="3:46" ht="20" customHeight="1" thickTop="1" thickBot="1">
      <c r="C26" s="224" t="s">
        <v>421</v>
      </c>
      <c r="D26" s="234">
        <v>15</v>
      </c>
      <c r="E26" s="235"/>
      <c r="F26" s="212"/>
      <c r="G26" s="1517" t="s">
        <v>505</v>
      </c>
      <c r="H26" s="1517" t="s">
        <v>713</v>
      </c>
      <c r="I26" s="1512"/>
      <c r="J26" s="555"/>
      <c r="K26" s="212"/>
      <c r="L26" s="212"/>
      <c r="M26" s="220"/>
      <c r="N26" s="1514"/>
      <c r="O26" s="1514">
        <v>18</v>
      </c>
      <c r="P26" s="1514">
        <v>2</v>
      </c>
      <c r="Q26" s="1514">
        <v>2025</v>
      </c>
      <c r="R26" s="1514">
        <v>6</v>
      </c>
      <c r="S26" s="1515" t="str">
        <v>Q2-25</v>
      </c>
      <c r="T26" s="229">
        <v>45809</v>
      </c>
      <c r="U26" s="238"/>
      <c r="V26" s="238"/>
      <c r="W26" s="229"/>
      <c r="X26" s="236"/>
      <c r="Y26" s="230"/>
      <c r="Z26" s="222"/>
      <c r="AA26" s="222"/>
      <c r="AB26" s="212"/>
      <c r="AC26" s="212"/>
    </row>
    <row r="27" spans="3:46" ht="20" customHeight="1" thickTop="1" thickBot="1">
      <c r="C27" s="224" t="s">
        <v>422</v>
      </c>
      <c r="D27" s="234">
        <v>10</v>
      </c>
      <c r="E27" s="212"/>
      <c r="F27" s="212"/>
      <c r="G27" s="1517" t="s">
        <v>504</v>
      </c>
      <c r="H27" s="1517" t="s">
        <v>714</v>
      </c>
      <c r="I27" s="1512"/>
      <c r="J27" s="553"/>
      <c r="K27" s="212"/>
      <c r="L27" s="212"/>
      <c r="M27" s="220"/>
      <c r="N27" s="1514"/>
      <c r="O27" s="1514">
        <v>19</v>
      </c>
      <c r="P27" s="1514">
        <v>2</v>
      </c>
      <c r="Q27" s="1514">
        <v>2025</v>
      </c>
      <c r="R27" s="1514">
        <v>7</v>
      </c>
      <c r="S27" s="1515" t="str">
        <v>Q3-25</v>
      </c>
      <c r="T27" s="229">
        <v>45839</v>
      </c>
      <c r="U27" s="238"/>
      <c r="V27" s="238"/>
      <c r="W27" s="229"/>
      <c r="X27" s="212"/>
      <c r="Y27" s="212"/>
      <c r="Z27" s="222"/>
      <c r="AA27" s="222"/>
      <c r="AB27" s="212"/>
      <c r="AC27" s="212"/>
    </row>
    <row r="28" spans="3:46" ht="20" customHeight="1" thickTop="1" thickBot="1">
      <c r="C28" s="212"/>
      <c r="D28" s="212"/>
      <c r="E28" s="212"/>
      <c r="G28" s="1517" t="s">
        <v>199</v>
      </c>
      <c r="H28" s="1517" t="s">
        <v>715</v>
      </c>
      <c r="I28" s="1512"/>
      <c r="L28" s="212"/>
      <c r="M28" s="220"/>
      <c r="N28" s="1514"/>
      <c r="O28" s="1514">
        <v>20</v>
      </c>
      <c r="P28" s="1514">
        <v>2</v>
      </c>
      <c r="Q28" s="1514">
        <v>2025</v>
      </c>
      <c r="R28" s="1514">
        <v>7</v>
      </c>
      <c r="S28" s="1515" t="str">
        <v>Q3-25</v>
      </c>
      <c r="T28" s="229">
        <v>45870</v>
      </c>
      <c r="U28" s="238"/>
      <c r="V28" s="238"/>
      <c r="W28" s="229"/>
      <c r="X28" s="212"/>
      <c r="Y28" s="212"/>
      <c r="Z28" s="222"/>
      <c r="AA28" s="222"/>
      <c r="AB28" s="212"/>
      <c r="AC28" s="212"/>
    </row>
    <row r="29" spans="3:46" ht="20" customHeight="1" thickTop="1" thickBot="1">
      <c r="F29" s="212"/>
      <c r="G29" s="1517" t="s">
        <v>200</v>
      </c>
      <c r="H29" s="1517" t="s">
        <v>716</v>
      </c>
      <c r="I29" s="1512"/>
      <c r="J29" s="212"/>
      <c r="K29" s="212"/>
      <c r="L29" s="212"/>
      <c r="M29" s="220"/>
      <c r="N29" s="1514"/>
      <c r="O29" s="1514">
        <v>21</v>
      </c>
      <c r="P29" s="1514">
        <v>2</v>
      </c>
      <c r="Q29" s="1514">
        <v>2025</v>
      </c>
      <c r="R29" s="1514">
        <v>7</v>
      </c>
      <c r="S29" s="1515" t="str">
        <v>Q3-25</v>
      </c>
      <c r="T29" s="229">
        <v>45901</v>
      </c>
      <c r="U29" s="238"/>
      <c r="V29" s="238"/>
      <c r="W29" s="229"/>
      <c r="X29" s="212"/>
      <c r="Y29" s="212"/>
      <c r="Z29" s="212"/>
      <c r="AA29" s="212"/>
      <c r="AB29" s="212"/>
      <c r="AC29" s="212"/>
    </row>
    <row r="30" spans="3:46" ht="20" customHeight="1" thickTop="1" thickBot="1">
      <c r="F30" s="212"/>
      <c r="G30" s="1517" t="s">
        <v>201</v>
      </c>
      <c r="H30" s="1517" t="s">
        <v>631</v>
      </c>
      <c r="I30" s="1512"/>
      <c r="J30" s="212"/>
      <c r="K30" s="212"/>
      <c r="L30" s="212"/>
      <c r="M30" s="220"/>
      <c r="N30" s="1514"/>
      <c r="O30" s="1514">
        <v>22</v>
      </c>
      <c r="P30" s="1514">
        <v>2</v>
      </c>
      <c r="Q30" s="1514">
        <v>2025</v>
      </c>
      <c r="R30" s="1514">
        <v>8</v>
      </c>
      <c r="S30" s="1515" t="str">
        <v>Q4-25</v>
      </c>
      <c r="T30" s="229">
        <v>45931</v>
      </c>
      <c r="U30" s="238"/>
      <c r="V30" s="238"/>
      <c r="W30" s="229"/>
      <c r="X30" s="212"/>
      <c r="Y30" s="212"/>
      <c r="Z30" s="212"/>
      <c r="AA30" s="212"/>
      <c r="AB30" s="212"/>
      <c r="AC30" s="212"/>
    </row>
    <row r="31" spans="3:46" ht="20" customHeight="1" thickTop="1" thickBot="1">
      <c r="F31" s="212"/>
      <c r="G31" s="1517" t="s">
        <v>168</v>
      </c>
      <c r="H31" s="1517" t="s">
        <v>632</v>
      </c>
      <c r="I31" s="1512"/>
      <c r="J31" s="212"/>
      <c r="K31" s="212"/>
      <c r="L31" s="212"/>
      <c r="M31" s="220"/>
      <c r="N31" s="1514"/>
      <c r="O31" s="1514">
        <v>23</v>
      </c>
      <c r="P31" s="1514">
        <v>2</v>
      </c>
      <c r="Q31" s="1514">
        <v>2025</v>
      </c>
      <c r="R31" s="1514">
        <v>8</v>
      </c>
      <c r="S31" s="1515" t="str">
        <v>Q4-25</v>
      </c>
      <c r="T31" s="229">
        <v>45962</v>
      </c>
      <c r="U31" s="238"/>
      <c r="V31" s="238"/>
      <c r="W31" s="229"/>
      <c r="X31" s="212"/>
      <c r="Y31" s="212"/>
      <c r="Z31" s="222"/>
      <c r="AA31" s="222"/>
      <c r="AB31" s="212"/>
      <c r="AC31" s="212"/>
    </row>
    <row r="32" spans="3:46" ht="20" customHeight="1" thickTop="1" thickBot="1">
      <c r="F32" s="212"/>
      <c r="G32" s="1517" t="s">
        <v>322</v>
      </c>
      <c r="H32" s="1517" t="s">
        <v>665</v>
      </c>
      <c r="I32" s="1512"/>
      <c r="J32" s="212"/>
      <c r="K32" s="212"/>
      <c r="L32" s="212"/>
      <c r="M32" s="220"/>
      <c r="N32" s="1514"/>
      <c r="O32" s="1514">
        <v>24</v>
      </c>
      <c r="P32" s="1514">
        <v>2</v>
      </c>
      <c r="Q32" s="1514">
        <v>2025</v>
      </c>
      <c r="R32" s="1514">
        <v>8</v>
      </c>
      <c r="S32" s="1515" t="str">
        <v>Q4-25</v>
      </c>
      <c r="T32" s="229">
        <v>45992</v>
      </c>
      <c r="U32" s="238"/>
      <c r="V32" s="238"/>
      <c r="W32" s="229"/>
      <c r="X32" s="212"/>
      <c r="Y32" s="212"/>
      <c r="Z32" s="212"/>
      <c r="AA32" s="212"/>
      <c r="AB32" s="212"/>
      <c r="AC32" s="212"/>
    </row>
    <row r="33" spans="7:22" ht="20" customHeight="1" thickTop="1" thickBot="1">
      <c r="G33" s="1517" t="s">
        <v>323</v>
      </c>
      <c r="H33" s="1517" t="s">
        <v>873</v>
      </c>
      <c r="I33" s="1512"/>
      <c r="J33" s="212"/>
      <c r="K33" s="212"/>
      <c r="L33" s="212"/>
      <c r="M33" s="220"/>
      <c r="N33" s="1514"/>
      <c r="O33" s="1514">
        <v>25</v>
      </c>
      <c r="P33" s="1514">
        <v>3</v>
      </c>
      <c r="Q33" s="1514">
        <v>2026</v>
      </c>
      <c r="R33" s="1514">
        <v>9</v>
      </c>
      <c r="S33" s="1515" t="str">
        <v>Q1-26</v>
      </c>
      <c r="T33" s="229">
        <v>46023</v>
      </c>
      <c r="U33" s="238"/>
      <c r="V33" s="238"/>
    </row>
    <row r="34" spans="7:22" ht="20" customHeight="1" thickTop="1" thickBot="1">
      <c r="G34" s="1517" t="s">
        <v>324</v>
      </c>
      <c r="H34" s="1517" t="s">
        <v>874</v>
      </c>
      <c r="I34" s="1512"/>
      <c r="J34" s="212"/>
      <c r="K34" s="212"/>
      <c r="L34" s="212"/>
      <c r="M34" s="220"/>
      <c r="N34" s="1514"/>
      <c r="O34" s="1514">
        <v>26</v>
      </c>
      <c r="P34" s="1514">
        <v>3</v>
      </c>
      <c r="Q34" s="1514">
        <v>2026</v>
      </c>
      <c r="R34" s="1514">
        <v>9</v>
      </c>
      <c r="S34" s="1515" t="str">
        <v>Q1-26</v>
      </c>
      <c r="T34" s="229">
        <v>46054</v>
      </c>
      <c r="U34" s="238"/>
      <c r="V34" s="238"/>
    </row>
    <row r="35" spans="7:22" ht="20" customHeight="1" thickTop="1" thickBot="1">
      <c r="G35" s="1517" t="s">
        <v>325</v>
      </c>
      <c r="H35" s="1517" t="s">
        <v>717</v>
      </c>
      <c r="I35" s="1512"/>
      <c r="J35" s="212"/>
      <c r="K35" s="212"/>
      <c r="L35" s="212"/>
      <c r="M35" s="220"/>
      <c r="N35" s="1514"/>
      <c r="O35" s="1514">
        <v>27</v>
      </c>
      <c r="P35" s="1514">
        <v>3</v>
      </c>
      <c r="Q35" s="1514">
        <v>2026</v>
      </c>
      <c r="R35" s="1514">
        <v>9</v>
      </c>
      <c r="S35" s="1515" t="str">
        <v>Q1-26</v>
      </c>
      <c r="T35" s="229">
        <v>46082</v>
      </c>
      <c r="U35" s="238"/>
      <c r="V35" s="238"/>
    </row>
    <row r="36" spans="7:22" ht="20" customHeight="1" thickTop="1" thickBot="1">
      <c r="G36" s="1517" t="s">
        <v>326</v>
      </c>
      <c r="H36" s="1517" t="s">
        <v>875</v>
      </c>
      <c r="I36" s="1512"/>
      <c r="J36" s="212"/>
      <c r="K36" s="212"/>
      <c r="L36" s="212"/>
      <c r="M36" s="220"/>
      <c r="N36" s="1514"/>
      <c r="O36" s="1514">
        <v>28</v>
      </c>
      <c r="P36" s="1514">
        <v>3</v>
      </c>
      <c r="Q36" s="1514">
        <v>2026</v>
      </c>
      <c r="R36" s="1514">
        <v>10</v>
      </c>
      <c r="S36" s="1515" t="str">
        <v>Q2-26</v>
      </c>
      <c r="T36" s="229">
        <v>46113</v>
      </c>
      <c r="U36" s="238"/>
      <c r="V36" s="238"/>
    </row>
    <row r="37" spans="7:22" ht="20" customHeight="1" thickTop="1" thickBot="1">
      <c r="G37" s="1517" t="s">
        <v>169</v>
      </c>
      <c r="H37" s="1517" t="s">
        <v>663</v>
      </c>
      <c r="I37" s="1512"/>
      <c r="J37" s="212"/>
      <c r="K37" s="212"/>
      <c r="L37" s="212"/>
      <c r="M37" s="220"/>
      <c r="N37" s="1514"/>
      <c r="O37" s="1514">
        <v>29</v>
      </c>
      <c r="P37" s="1514">
        <v>3</v>
      </c>
      <c r="Q37" s="1514">
        <v>2026</v>
      </c>
      <c r="R37" s="1514">
        <v>10</v>
      </c>
      <c r="S37" s="1515" t="str">
        <v>Q2-26</v>
      </c>
      <c r="T37" s="229">
        <v>46143</v>
      </c>
      <c r="U37" s="238"/>
      <c r="V37" s="238"/>
    </row>
    <row r="38" spans="7:22" ht="20" customHeight="1" thickTop="1" thickBot="1">
      <c r="G38" s="1517" t="s">
        <v>170</v>
      </c>
      <c r="H38" s="1517" t="s">
        <v>718</v>
      </c>
      <c r="I38" s="1512"/>
      <c r="J38" s="212"/>
      <c r="K38" s="212"/>
      <c r="L38" s="212"/>
      <c r="M38" s="220"/>
      <c r="N38" s="1514"/>
      <c r="O38" s="1514">
        <v>30</v>
      </c>
      <c r="P38" s="1514">
        <v>3</v>
      </c>
      <c r="Q38" s="1514">
        <v>2026</v>
      </c>
      <c r="R38" s="1514">
        <v>10</v>
      </c>
      <c r="S38" s="1515" t="str">
        <v>Q2-26</v>
      </c>
      <c r="T38" s="229">
        <v>46174</v>
      </c>
      <c r="U38" s="238"/>
      <c r="V38" s="238"/>
    </row>
    <row r="39" spans="7:22" ht="20" customHeight="1" thickTop="1" thickBot="1">
      <c r="G39" s="1517" t="s">
        <v>34</v>
      </c>
      <c r="H39" s="1517" t="s">
        <v>664</v>
      </c>
      <c r="I39" s="1512"/>
      <c r="J39" s="212"/>
      <c r="K39" s="212"/>
      <c r="L39" s="212"/>
      <c r="M39" s="220"/>
      <c r="N39" s="1514"/>
      <c r="O39" s="1514">
        <v>31</v>
      </c>
      <c r="P39" s="1514">
        <v>3</v>
      </c>
      <c r="Q39" s="1514">
        <v>2026</v>
      </c>
      <c r="R39" s="1514">
        <v>11</v>
      </c>
      <c r="S39" s="1515" t="str">
        <v>Q3-26</v>
      </c>
      <c r="T39" s="229">
        <v>46204</v>
      </c>
      <c r="U39" s="238"/>
      <c r="V39" s="238"/>
    </row>
    <row r="40" spans="7:22" ht="20" customHeight="1" thickTop="1" thickBot="1">
      <c r="G40" s="1517" t="s">
        <v>171</v>
      </c>
      <c r="H40" s="1517" t="s">
        <v>876</v>
      </c>
      <c r="I40" s="1512"/>
      <c r="J40" s="212"/>
      <c r="K40" s="212"/>
      <c r="L40" s="212"/>
      <c r="M40" s="220"/>
      <c r="N40" s="1514"/>
      <c r="O40" s="1514">
        <v>32</v>
      </c>
      <c r="P40" s="1514">
        <v>3</v>
      </c>
      <c r="Q40" s="1514">
        <v>2026</v>
      </c>
      <c r="R40" s="1514">
        <v>11</v>
      </c>
      <c r="S40" s="1515" t="str">
        <v>Q3-26</v>
      </c>
      <c r="T40" s="229">
        <v>46235</v>
      </c>
      <c r="U40" s="238"/>
      <c r="V40" s="238"/>
    </row>
    <row r="41" spans="7:22" ht="20" customHeight="1" thickTop="1" thickBot="1">
      <c r="G41" s="1517" t="s">
        <v>430</v>
      </c>
      <c r="H41" s="1517" t="s">
        <v>877</v>
      </c>
      <c r="I41" s="1512"/>
      <c r="J41" s="212"/>
      <c r="K41" s="212"/>
      <c r="L41" s="212"/>
      <c r="M41" s="220"/>
      <c r="N41" s="1514"/>
      <c r="O41" s="1514">
        <v>33</v>
      </c>
      <c r="P41" s="1514">
        <v>3</v>
      </c>
      <c r="Q41" s="1514">
        <v>2026</v>
      </c>
      <c r="R41" s="1514">
        <v>11</v>
      </c>
      <c r="S41" s="1515" t="str">
        <v>Q3-26</v>
      </c>
      <c r="T41" s="229">
        <v>46266</v>
      </c>
      <c r="U41" s="238"/>
      <c r="V41" s="238"/>
    </row>
    <row r="42" spans="7:22" ht="20" customHeight="1" thickTop="1" thickBot="1">
      <c r="G42" s="1517" t="s">
        <v>666</v>
      </c>
      <c r="H42" s="1517" t="s">
        <v>878</v>
      </c>
      <c r="I42" s="1512"/>
      <c r="J42" s="212"/>
      <c r="K42" s="212"/>
      <c r="L42" s="212"/>
      <c r="M42" s="220"/>
      <c r="N42" s="1514"/>
      <c r="O42" s="1514">
        <v>34</v>
      </c>
      <c r="P42" s="1514">
        <v>3</v>
      </c>
      <c r="Q42" s="1514">
        <v>2026</v>
      </c>
      <c r="R42" s="1514">
        <v>12</v>
      </c>
      <c r="S42" s="1515" t="str">
        <v>Q4-26</v>
      </c>
      <c r="T42" s="229">
        <v>46296</v>
      </c>
      <c r="U42" s="238"/>
      <c r="V42" s="238"/>
    </row>
    <row r="43" spans="7:22" ht="20" customHeight="1" thickTop="1" thickBot="1">
      <c r="G43" s="1517" t="s">
        <v>32</v>
      </c>
      <c r="H43" s="1517" t="s">
        <v>534</v>
      </c>
      <c r="I43" s="1512"/>
      <c r="J43" s="212"/>
      <c r="K43" s="212"/>
      <c r="L43" s="212"/>
      <c r="M43" s="220"/>
      <c r="N43" s="1514"/>
      <c r="O43" s="1514">
        <v>35</v>
      </c>
      <c r="P43" s="1514">
        <v>3</v>
      </c>
      <c r="Q43" s="1514">
        <v>2026</v>
      </c>
      <c r="R43" s="1514">
        <v>12</v>
      </c>
      <c r="S43" s="1515" t="str">
        <v>Q4-26</v>
      </c>
      <c r="T43" s="229">
        <v>46327</v>
      </c>
      <c r="U43" s="238"/>
      <c r="V43" s="238"/>
    </row>
    <row r="44" spans="7:22" ht="20" customHeight="1" thickTop="1" thickBot="1">
      <c r="G44" s="1517" t="s">
        <v>30</v>
      </c>
      <c r="H44" s="1517" t="s">
        <v>879</v>
      </c>
      <c r="I44" s="1512"/>
      <c r="J44" s="212"/>
      <c r="K44" s="212"/>
      <c r="L44" s="212"/>
      <c r="M44" s="220"/>
      <c r="N44" s="1514"/>
      <c r="O44" s="1514">
        <v>36</v>
      </c>
      <c r="P44" s="1514">
        <v>3</v>
      </c>
      <c r="Q44" s="1514">
        <v>2026</v>
      </c>
      <c r="R44" s="1514">
        <v>12</v>
      </c>
      <c r="S44" s="1515" t="str">
        <v>Q4-26</v>
      </c>
      <c r="T44" s="229">
        <v>46357</v>
      </c>
      <c r="U44" s="238"/>
      <c r="V44" s="238"/>
    </row>
    <row r="45" spans="7:22" ht="20" customHeight="1" thickTop="1" thickBot="1">
      <c r="G45" s="1517" t="s">
        <v>172</v>
      </c>
      <c r="H45" s="1517" t="s">
        <v>667</v>
      </c>
      <c r="I45" s="1512"/>
      <c r="J45" s="212"/>
      <c r="K45" s="212"/>
      <c r="L45" s="212"/>
      <c r="M45" s="220"/>
      <c r="N45" s="1514"/>
      <c r="O45" s="1514">
        <v>37</v>
      </c>
      <c r="P45" s="1514">
        <v>4</v>
      </c>
      <c r="Q45" s="1514">
        <v>2027</v>
      </c>
      <c r="R45" s="1514">
        <v>13</v>
      </c>
      <c r="S45" s="1515" t="str">
        <v>Q1-27</v>
      </c>
      <c r="T45" s="229">
        <v>46388</v>
      </c>
      <c r="U45" s="238"/>
      <c r="V45" s="238"/>
    </row>
    <row r="46" spans="7:22" ht="20" customHeight="1" thickTop="1" thickBot="1">
      <c r="G46" s="1517" t="s">
        <v>173</v>
      </c>
      <c r="H46" s="1517" t="s">
        <v>668</v>
      </c>
      <c r="I46" s="1512"/>
      <c r="J46" s="212"/>
      <c r="K46" s="212"/>
      <c r="L46" s="212"/>
      <c r="M46" s="220"/>
      <c r="N46" s="1514"/>
      <c r="O46" s="1514">
        <v>38</v>
      </c>
      <c r="P46" s="1514">
        <v>4</v>
      </c>
      <c r="Q46" s="1514">
        <v>2027</v>
      </c>
      <c r="R46" s="1514">
        <v>13</v>
      </c>
      <c r="S46" s="1515" t="str">
        <v>Q1-27</v>
      </c>
      <c r="T46" s="229">
        <v>46419</v>
      </c>
      <c r="U46" s="238"/>
      <c r="V46" s="238"/>
    </row>
    <row r="47" spans="7:22" ht="20" customHeight="1" thickTop="1" thickBot="1">
      <c r="G47" s="1517" t="s">
        <v>174</v>
      </c>
      <c r="H47" s="1517" t="s">
        <v>723</v>
      </c>
      <c r="I47" s="1512"/>
      <c r="J47" s="212"/>
      <c r="K47" s="212"/>
      <c r="L47" s="212"/>
      <c r="M47" s="220"/>
      <c r="N47" s="1514"/>
      <c r="O47" s="1514">
        <v>39</v>
      </c>
      <c r="P47" s="1514">
        <v>4</v>
      </c>
      <c r="Q47" s="1514">
        <v>2027</v>
      </c>
      <c r="R47" s="1514">
        <v>13</v>
      </c>
      <c r="S47" s="1515" t="str">
        <v>Q1-27</v>
      </c>
      <c r="T47" s="229">
        <v>46447</v>
      </c>
      <c r="U47" s="238"/>
      <c r="V47" s="238"/>
    </row>
    <row r="48" spans="7:22" ht="20" customHeight="1" thickTop="1" thickBot="1">
      <c r="G48" s="1517" t="s">
        <v>175</v>
      </c>
      <c r="H48" s="1517" t="s">
        <v>880</v>
      </c>
      <c r="I48" s="1512"/>
      <c r="J48" s="212"/>
      <c r="K48" s="212"/>
      <c r="L48" s="212"/>
      <c r="M48" s="220"/>
      <c r="N48" s="1514"/>
      <c r="O48" s="1514">
        <v>40</v>
      </c>
      <c r="P48" s="1514">
        <v>4</v>
      </c>
      <c r="Q48" s="1514">
        <v>2027</v>
      </c>
      <c r="R48" s="1514">
        <v>14</v>
      </c>
      <c r="S48" s="1515" t="str">
        <v>Q2-27</v>
      </c>
      <c r="T48" s="229">
        <v>46478</v>
      </c>
      <c r="U48" s="238"/>
      <c r="V48" s="238"/>
    </row>
    <row r="49" spans="7:22" ht="20" customHeight="1" thickTop="1" thickBot="1">
      <c r="G49" s="1517" t="s">
        <v>518</v>
      </c>
      <c r="H49" s="1517" t="s">
        <v>881</v>
      </c>
      <c r="I49" s="1512"/>
      <c r="J49" s="212"/>
      <c r="K49" s="212"/>
      <c r="L49" s="212"/>
      <c r="M49" s="220"/>
      <c r="N49" s="1514"/>
      <c r="O49" s="1514">
        <v>41</v>
      </c>
      <c r="P49" s="1514">
        <v>4</v>
      </c>
      <c r="Q49" s="1514">
        <v>2027</v>
      </c>
      <c r="R49" s="1514">
        <v>14</v>
      </c>
      <c r="S49" s="1515" t="str">
        <v>Q2-27</v>
      </c>
      <c r="T49" s="229">
        <v>46508</v>
      </c>
      <c r="U49" s="238"/>
      <c r="V49" s="238"/>
    </row>
    <row r="50" spans="7:22" ht="20" customHeight="1" thickTop="1" thickBot="1">
      <c r="G50" s="1517" t="s">
        <v>176</v>
      </c>
      <c r="H50" s="1517" t="s">
        <v>580</v>
      </c>
      <c r="I50" s="1512"/>
      <c r="J50" s="212"/>
      <c r="K50" s="212"/>
      <c r="L50" s="212"/>
      <c r="M50" s="220"/>
      <c r="N50" s="1514"/>
      <c r="O50" s="1514">
        <v>42</v>
      </c>
      <c r="P50" s="1514">
        <v>4</v>
      </c>
      <c r="Q50" s="1514">
        <v>2027</v>
      </c>
      <c r="R50" s="1514">
        <v>14</v>
      </c>
      <c r="S50" s="1515" t="str">
        <v>Q2-27</v>
      </c>
      <c r="T50" s="229">
        <v>46539</v>
      </c>
      <c r="U50" s="238"/>
      <c r="V50" s="238"/>
    </row>
    <row r="51" spans="7:22" ht="20" customHeight="1" thickTop="1" thickBot="1">
      <c r="G51" s="1517" t="s">
        <v>177</v>
      </c>
      <c r="H51" s="1517" t="s">
        <v>669</v>
      </c>
      <c r="I51" s="1512"/>
      <c r="J51" s="212"/>
      <c r="K51" s="212"/>
      <c r="L51" s="212"/>
      <c r="M51" s="220"/>
      <c r="N51" s="1514"/>
      <c r="O51" s="1514">
        <v>43</v>
      </c>
      <c r="P51" s="1514">
        <v>4</v>
      </c>
      <c r="Q51" s="1514">
        <v>2027</v>
      </c>
      <c r="R51" s="1514">
        <v>15</v>
      </c>
      <c r="S51" s="1515" t="str">
        <v>Q3-27</v>
      </c>
      <c r="T51" s="229">
        <v>46569</v>
      </c>
      <c r="U51" s="238"/>
      <c r="V51" s="238"/>
    </row>
    <row r="52" spans="7:22" ht="20" customHeight="1" thickTop="1" thickBot="1">
      <c r="G52" s="1517" t="s">
        <v>178</v>
      </c>
      <c r="H52" s="1517" t="s">
        <v>670</v>
      </c>
      <c r="I52" s="1512"/>
      <c r="J52" s="212"/>
      <c r="K52" s="212"/>
      <c r="L52" s="212"/>
      <c r="M52" s="220"/>
      <c r="N52" s="1514"/>
      <c r="O52" s="1514">
        <v>44</v>
      </c>
      <c r="P52" s="1514">
        <v>4</v>
      </c>
      <c r="Q52" s="1514">
        <v>2027</v>
      </c>
      <c r="R52" s="1514">
        <v>15</v>
      </c>
      <c r="S52" s="1515" t="str">
        <v>Q3-27</v>
      </c>
      <c r="T52" s="229">
        <v>46600</v>
      </c>
      <c r="U52" s="238"/>
      <c r="V52" s="238"/>
    </row>
    <row r="53" spans="7:22" ht="20" customHeight="1" thickTop="1" thickBot="1">
      <c r="G53" s="1517" t="s">
        <v>179</v>
      </c>
      <c r="H53" s="1517" t="s">
        <v>671</v>
      </c>
      <c r="I53" s="1512"/>
      <c r="J53" s="212"/>
      <c r="K53" s="212"/>
      <c r="L53" s="212"/>
      <c r="M53" s="220"/>
      <c r="N53" s="1514"/>
      <c r="O53" s="1514">
        <v>45</v>
      </c>
      <c r="P53" s="1514">
        <v>4</v>
      </c>
      <c r="Q53" s="1514">
        <v>2027</v>
      </c>
      <c r="R53" s="1514">
        <v>15</v>
      </c>
      <c r="S53" s="1515" t="str">
        <v>Q3-27</v>
      </c>
      <c r="T53" s="229">
        <v>46631</v>
      </c>
      <c r="U53" s="238"/>
      <c r="V53" s="238"/>
    </row>
    <row r="54" spans="7:22" ht="20" customHeight="1" thickTop="1" thickBot="1">
      <c r="G54" s="1517" t="s">
        <v>431</v>
      </c>
      <c r="H54" s="1517" t="s">
        <v>719</v>
      </c>
      <c r="I54" s="1512"/>
      <c r="J54" s="212"/>
      <c r="K54" s="212"/>
      <c r="L54" s="212"/>
      <c r="M54" s="212"/>
      <c r="N54" s="1514"/>
      <c r="O54" s="1514">
        <v>46</v>
      </c>
      <c r="P54" s="1514">
        <v>4</v>
      </c>
      <c r="Q54" s="1514">
        <v>2027</v>
      </c>
      <c r="R54" s="1514">
        <v>16</v>
      </c>
      <c r="S54" s="1515" t="str">
        <v>Q4-27</v>
      </c>
      <c r="T54" s="229">
        <v>46661</v>
      </c>
      <c r="U54" s="238"/>
      <c r="V54" s="238"/>
    </row>
    <row r="55" spans="7:22" ht="20" customHeight="1" thickTop="1" thickBot="1">
      <c r="G55" s="1517" t="s">
        <v>432</v>
      </c>
      <c r="H55" s="1517" t="s">
        <v>720</v>
      </c>
      <c r="I55" s="1512"/>
      <c r="J55" s="212"/>
      <c r="K55" s="212"/>
      <c r="L55" s="212"/>
      <c r="M55" s="212"/>
      <c r="N55" s="1514"/>
      <c r="O55" s="1514">
        <v>47</v>
      </c>
      <c r="P55" s="1514">
        <v>4</v>
      </c>
      <c r="Q55" s="1514">
        <v>2027</v>
      </c>
      <c r="R55" s="1514">
        <v>16</v>
      </c>
      <c r="S55" s="1515" t="str">
        <v>Q4-27</v>
      </c>
      <c r="T55" s="229">
        <v>46692</v>
      </c>
      <c r="U55" s="238"/>
      <c r="V55" s="238"/>
    </row>
    <row r="56" spans="7:22" ht="20" customHeight="1" thickTop="1" thickBot="1">
      <c r="G56" s="1517" t="s">
        <v>477</v>
      </c>
      <c r="H56" s="1517" t="s">
        <v>721</v>
      </c>
      <c r="I56" s="1512"/>
      <c r="J56" s="212"/>
      <c r="K56" s="212"/>
      <c r="L56" s="212"/>
      <c r="M56" s="212"/>
      <c r="N56" s="236"/>
      <c r="O56" s="1514">
        <v>48</v>
      </c>
      <c r="P56" s="1514">
        <v>4</v>
      </c>
      <c r="Q56" s="1514">
        <v>2027</v>
      </c>
      <c r="R56" s="1514">
        <v>16</v>
      </c>
      <c r="S56" s="1515" t="str">
        <v>Q4-27</v>
      </c>
      <c r="T56" s="229">
        <v>46722</v>
      </c>
      <c r="U56" s="238"/>
      <c r="V56" s="238"/>
    </row>
    <row r="57" spans="7:22" ht="20" customHeight="1" thickTop="1" thickBot="1">
      <c r="G57" s="1517" t="s">
        <v>433</v>
      </c>
      <c r="H57" s="1517" t="s">
        <v>882</v>
      </c>
      <c r="I57" s="1512"/>
      <c r="J57" s="212"/>
      <c r="K57" s="212"/>
      <c r="L57" s="212"/>
      <c r="M57" s="212"/>
      <c r="N57" s="236"/>
      <c r="O57" s="1514">
        <v>49</v>
      </c>
      <c r="P57" s="1514">
        <v>5</v>
      </c>
      <c r="Q57" s="1514">
        <v>2028</v>
      </c>
      <c r="R57" s="1514">
        <v>17</v>
      </c>
      <c r="S57" s="1515" t="str">
        <v>Q1-28</v>
      </c>
      <c r="T57" s="229">
        <v>46753</v>
      </c>
      <c r="U57" s="238"/>
      <c r="V57" s="238"/>
    </row>
    <row r="58" spans="7:22" ht="20" customHeight="1" thickTop="1" thickBot="1">
      <c r="G58" s="1517" t="s">
        <v>434</v>
      </c>
      <c r="H58" s="1517" t="s">
        <v>883</v>
      </c>
      <c r="I58" s="1512"/>
      <c r="N58" s="140"/>
      <c r="O58" s="1514">
        <v>50</v>
      </c>
      <c r="P58" s="1514">
        <v>5</v>
      </c>
      <c r="Q58" s="1514">
        <v>2028</v>
      </c>
      <c r="R58" s="1514">
        <v>17</v>
      </c>
      <c r="S58" s="1515" t="str">
        <v>Q1-28</v>
      </c>
      <c r="T58" s="229">
        <v>46784</v>
      </c>
      <c r="U58" s="238"/>
      <c r="V58" s="238"/>
    </row>
    <row r="59" spans="7:22" ht="20" customHeight="1" thickTop="1" thickBot="1">
      <c r="G59" s="1517" t="s">
        <v>435</v>
      </c>
      <c r="H59" s="1517" t="s">
        <v>884</v>
      </c>
      <c r="I59" s="1512"/>
      <c r="N59" s="140"/>
      <c r="O59" s="1514">
        <v>51</v>
      </c>
      <c r="P59" s="1514">
        <v>5</v>
      </c>
      <c r="Q59" s="1514">
        <v>2028</v>
      </c>
      <c r="R59" s="1514">
        <v>17</v>
      </c>
      <c r="S59" s="1515" t="str">
        <v>Q1-28</v>
      </c>
      <c r="T59" s="229">
        <v>46813</v>
      </c>
      <c r="U59" s="238"/>
      <c r="V59" s="238"/>
    </row>
    <row r="60" spans="7:22" ht="20" customHeight="1" thickTop="1" thickBot="1">
      <c r="G60" s="1517" t="s">
        <v>436</v>
      </c>
      <c r="H60" s="1517" t="s">
        <v>885</v>
      </c>
      <c r="I60" s="1512"/>
      <c r="N60" s="140"/>
      <c r="O60" s="1514">
        <v>52</v>
      </c>
      <c r="P60" s="1514">
        <v>5</v>
      </c>
      <c r="Q60" s="1514">
        <v>2028</v>
      </c>
      <c r="R60" s="1514">
        <v>18</v>
      </c>
      <c r="S60" s="1515" t="str">
        <v>Q2-28</v>
      </c>
      <c r="T60" s="229">
        <v>46844</v>
      </c>
      <c r="U60" s="238"/>
      <c r="V60" s="238"/>
    </row>
    <row r="61" spans="7:22" ht="20" customHeight="1" thickTop="1" thickBot="1">
      <c r="G61" s="1517" t="s">
        <v>722</v>
      </c>
      <c r="H61" s="1517" t="s">
        <v>723</v>
      </c>
      <c r="I61" s="1512"/>
      <c r="N61" s="140"/>
      <c r="O61" s="1514">
        <v>53</v>
      </c>
      <c r="P61" s="1514">
        <v>5</v>
      </c>
      <c r="Q61" s="1514">
        <v>2028</v>
      </c>
      <c r="R61" s="1514">
        <v>18</v>
      </c>
      <c r="S61" s="1515" t="str">
        <v>Q2-28</v>
      </c>
      <c r="T61" s="229">
        <v>46874</v>
      </c>
      <c r="U61" s="238"/>
      <c r="V61" s="238"/>
    </row>
    <row r="62" spans="7:22" ht="20" customHeight="1" thickTop="1" thickBot="1">
      <c r="G62" s="1517" t="s">
        <v>437</v>
      </c>
      <c r="H62" s="1517" t="s">
        <v>886</v>
      </c>
      <c r="I62" s="1512"/>
      <c r="N62" s="140"/>
      <c r="O62" s="1514">
        <v>54</v>
      </c>
      <c r="P62" s="1514">
        <v>5</v>
      </c>
      <c r="Q62" s="1514">
        <v>2028</v>
      </c>
      <c r="R62" s="1514">
        <v>18</v>
      </c>
      <c r="S62" s="1515" t="str">
        <v>Q2-28</v>
      </c>
      <c r="T62" s="229">
        <v>46905</v>
      </c>
      <c r="U62" s="238"/>
      <c r="V62" s="238"/>
    </row>
    <row r="63" spans="7:22" ht="20" customHeight="1" thickTop="1" thickBot="1">
      <c r="G63" s="1517" t="s">
        <v>438</v>
      </c>
      <c r="H63" s="1517" t="s">
        <v>887</v>
      </c>
      <c r="I63" s="1512"/>
      <c r="N63" s="140"/>
      <c r="O63" s="1514">
        <v>55</v>
      </c>
      <c r="P63" s="1514">
        <v>5</v>
      </c>
      <c r="Q63" s="1514">
        <v>2028</v>
      </c>
      <c r="R63" s="1514">
        <v>19</v>
      </c>
      <c r="S63" s="1515" t="str">
        <v>Q3-28</v>
      </c>
      <c r="T63" s="229">
        <v>46935</v>
      </c>
      <c r="U63" s="238"/>
      <c r="V63" s="238"/>
    </row>
    <row r="64" spans="7:22" ht="20" customHeight="1" thickTop="1" thickBot="1">
      <c r="G64" s="1517" t="s">
        <v>581</v>
      </c>
      <c r="H64" s="1517" t="s">
        <v>597</v>
      </c>
      <c r="I64" s="1512"/>
      <c r="N64" s="140"/>
      <c r="O64" s="1514">
        <v>56</v>
      </c>
      <c r="P64" s="1514">
        <v>5</v>
      </c>
      <c r="Q64" s="1514">
        <v>2028</v>
      </c>
      <c r="R64" s="1514">
        <v>19</v>
      </c>
      <c r="S64" s="1515" t="str">
        <v>Q3-28</v>
      </c>
      <c r="T64" s="229">
        <v>46966</v>
      </c>
      <c r="U64" s="238"/>
      <c r="V64" s="238"/>
    </row>
    <row r="65" spans="7:22" ht="20" customHeight="1" thickTop="1" thickBot="1">
      <c r="G65" s="1517" t="s">
        <v>520</v>
      </c>
      <c r="H65" s="1517" t="s">
        <v>888</v>
      </c>
      <c r="I65" s="1512"/>
      <c r="N65" s="140"/>
      <c r="O65" s="1514">
        <v>57</v>
      </c>
      <c r="P65" s="1514">
        <v>5</v>
      </c>
      <c r="Q65" s="1514">
        <v>2028</v>
      </c>
      <c r="R65" s="1514">
        <v>19</v>
      </c>
      <c r="S65" s="1515" t="str">
        <v>Q3-28</v>
      </c>
      <c r="T65" s="229">
        <v>46997</v>
      </c>
      <c r="U65" s="238"/>
      <c r="V65" s="238"/>
    </row>
    <row r="66" spans="7:22" ht="20" customHeight="1" thickTop="1" thickBot="1">
      <c r="G66" s="1517" t="s">
        <v>515</v>
      </c>
      <c r="H66" s="1517" t="s">
        <v>889</v>
      </c>
      <c r="I66" s="1512"/>
      <c r="N66" s="140"/>
      <c r="O66" s="1514">
        <v>58</v>
      </c>
      <c r="P66" s="1514">
        <v>5</v>
      </c>
      <c r="Q66" s="1514">
        <v>2028</v>
      </c>
      <c r="R66" s="1514">
        <v>20</v>
      </c>
      <c r="S66" s="1515" t="str">
        <v>Q4-28</v>
      </c>
      <c r="T66" s="229">
        <v>47027</v>
      </c>
      <c r="U66" s="238"/>
      <c r="V66" s="238"/>
    </row>
    <row r="67" spans="7:22" ht="20" customHeight="1" thickTop="1" thickBot="1">
      <c r="G67" s="1517" t="s">
        <v>516</v>
      </c>
      <c r="H67" s="1517" t="s">
        <v>890</v>
      </c>
      <c r="I67" s="1512"/>
      <c r="N67" s="140"/>
      <c r="O67" s="1514">
        <v>59</v>
      </c>
      <c r="P67" s="1514">
        <v>5</v>
      </c>
      <c r="Q67" s="1514">
        <v>2028</v>
      </c>
      <c r="R67" s="1514">
        <v>20</v>
      </c>
      <c r="S67" s="1515" t="str">
        <v>Q4-28</v>
      </c>
      <c r="T67" s="229">
        <v>47058</v>
      </c>
      <c r="U67" s="238"/>
      <c r="V67" s="238"/>
    </row>
    <row r="68" spans="7:22" ht="20" customHeight="1" thickTop="1" thickBot="1">
      <c r="G68" s="1517" t="s">
        <v>582</v>
      </c>
      <c r="H68" s="1517" t="s">
        <v>724</v>
      </c>
      <c r="I68" s="1512"/>
      <c r="N68" s="140"/>
      <c r="O68" s="1514">
        <v>60</v>
      </c>
      <c r="P68" s="1514">
        <v>5</v>
      </c>
      <c r="Q68" s="1514">
        <v>2028</v>
      </c>
      <c r="R68" s="1514">
        <v>20</v>
      </c>
      <c r="S68" s="1515" t="str">
        <v>Q4-28</v>
      </c>
      <c r="T68" s="229">
        <v>47088</v>
      </c>
      <c r="U68" s="238"/>
      <c r="V68" s="238"/>
    </row>
    <row r="69" spans="7:22" ht="20" customHeight="1" thickTop="1" thickBot="1">
      <c r="G69" s="1517" t="s">
        <v>519</v>
      </c>
      <c r="H69" s="1517" t="s">
        <v>891</v>
      </c>
      <c r="I69" s="1512"/>
      <c r="N69" s="140"/>
      <c r="O69" s="1514">
        <v>61</v>
      </c>
      <c r="P69" s="1514">
        <v>6</v>
      </c>
      <c r="Q69" s="1514">
        <v>2029</v>
      </c>
      <c r="R69" s="1514">
        <v>21</v>
      </c>
      <c r="S69" s="1515" t="str">
        <v>Q1-29</v>
      </c>
      <c r="T69" s="229">
        <v>47119</v>
      </c>
      <c r="U69" s="238"/>
      <c r="V69" s="238"/>
    </row>
    <row r="70" spans="7:22" ht="20" customHeight="1" thickTop="1" thickBot="1">
      <c r="G70" s="1517" t="s">
        <v>598</v>
      </c>
      <c r="H70" s="1517" t="s">
        <v>725</v>
      </c>
      <c r="I70" s="1512"/>
      <c r="N70" s="140"/>
      <c r="O70" s="1514">
        <v>62</v>
      </c>
      <c r="P70" s="1514">
        <v>6</v>
      </c>
      <c r="Q70" s="1514">
        <v>2029</v>
      </c>
      <c r="R70" s="1514">
        <v>21</v>
      </c>
      <c r="S70" s="1515" t="str">
        <v>Q1-29</v>
      </c>
      <c r="T70" s="229">
        <v>47150</v>
      </c>
      <c r="U70" s="238"/>
      <c r="V70" s="238"/>
    </row>
    <row r="71" spans="7:22" ht="20" customHeight="1" thickTop="1" thickBot="1">
      <c r="G71" s="1517" t="s">
        <v>180</v>
      </c>
      <c r="H71" s="1517" t="s">
        <v>726</v>
      </c>
      <c r="I71" s="1512"/>
      <c r="N71" s="140"/>
      <c r="O71" s="1514">
        <v>63</v>
      </c>
      <c r="P71" s="1514">
        <v>6</v>
      </c>
      <c r="Q71" s="1514">
        <v>2029</v>
      </c>
      <c r="R71" s="1514">
        <v>21</v>
      </c>
      <c r="S71" s="1515" t="str">
        <v>Q1-29</v>
      </c>
      <c r="T71" s="229">
        <v>47178</v>
      </c>
      <c r="U71" s="238"/>
      <c r="V71" s="238"/>
    </row>
    <row r="72" spans="7:22" ht="20" customHeight="1" thickTop="1" thickBot="1">
      <c r="G72" s="1517" t="s">
        <v>181</v>
      </c>
      <c r="H72" s="1517" t="s">
        <v>727</v>
      </c>
      <c r="I72" s="1512"/>
      <c r="N72" s="140"/>
      <c r="O72" s="1514">
        <v>64</v>
      </c>
      <c r="P72" s="1514">
        <v>6</v>
      </c>
      <c r="Q72" s="1514">
        <v>2029</v>
      </c>
      <c r="R72" s="1514">
        <v>22</v>
      </c>
      <c r="S72" s="1515" t="str">
        <v>Q2-29</v>
      </c>
      <c r="T72" s="229">
        <v>47209</v>
      </c>
      <c r="U72" s="238"/>
      <c r="V72" s="238"/>
    </row>
    <row r="73" spans="7:22" ht="20" customHeight="1" thickTop="1" thickBot="1">
      <c r="G73" s="1517" t="s">
        <v>182</v>
      </c>
      <c r="H73" s="1517" t="s">
        <v>672</v>
      </c>
      <c r="I73" s="1512"/>
      <c r="N73" s="140"/>
      <c r="O73" s="1514">
        <v>65</v>
      </c>
      <c r="P73" s="1514">
        <v>6</v>
      </c>
      <c r="Q73" s="1514">
        <v>2029</v>
      </c>
      <c r="R73" s="1514">
        <v>22</v>
      </c>
      <c r="S73" s="1515" t="str">
        <v>Q2-29</v>
      </c>
      <c r="T73" s="229">
        <v>47239</v>
      </c>
      <c r="U73" s="238"/>
      <c r="V73" s="238"/>
    </row>
    <row r="74" spans="7:22" ht="20" customHeight="1" thickTop="1" thickBot="1">
      <c r="G74" s="1517" t="s">
        <v>183</v>
      </c>
      <c r="H74" s="1517" t="s">
        <v>728</v>
      </c>
      <c r="I74" s="1512"/>
      <c r="N74" s="140"/>
      <c r="O74" s="1514">
        <v>66</v>
      </c>
      <c r="P74" s="1514">
        <v>6</v>
      </c>
      <c r="Q74" s="1514">
        <v>2029</v>
      </c>
      <c r="R74" s="1514">
        <v>22</v>
      </c>
      <c r="S74" s="1515" t="str">
        <v>Q2-29</v>
      </c>
      <c r="T74" s="229">
        <v>47270</v>
      </c>
      <c r="U74" s="238"/>
      <c r="V74" s="238"/>
    </row>
    <row r="75" spans="7:22" ht="20" customHeight="1" thickTop="1" thickBot="1">
      <c r="G75" s="1517" t="s">
        <v>184</v>
      </c>
      <c r="H75" s="1517" t="s">
        <v>633</v>
      </c>
      <c r="I75" s="1512"/>
      <c r="N75" s="140"/>
      <c r="O75" s="1514">
        <v>67</v>
      </c>
      <c r="P75" s="1514">
        <v>6</v>
      </c>
      <c r="Q75" s="1514">
        <v>2029</v>
      </c>
      <c r="R75" s="1514">
        <v>23</v>
      </c>
      <c r="S75" s="1515" t="str">
        <v>Q3-29</v>
      </c>
      <c r="T75" s="229">
        <v>47300</v>
      </c>
      <c r="U75" s="238"/>
      <c r="V75" s="238"/>
    </row>
    <row r="76" spans="7:22" ht="20" customHeight="1" thickTop="1" thickBot="1">
      <c r="G76" s="1517" t="s">
        <v>583</v>
      </c>
      <c r="H76" s="1517" t="s">
        <v>733</v>
      </c>
      <c r="I76" s="1512"/>
      <c r="N76" s="140"/>
      <c r="O76" s="1514">
        <v>68</v>
      </c>
      <c r="P76" s="1514">
        <v>6</v>
      </c>
      <c r="Q76" s="1514">
        <v>2029</v>
      </c>
      <c r="R76" s="1514">
        <v>23</v>
      </c>
      <c r="S76" s="1515" t="str">
        <v>Q3-29</v>
      </c>
      <c r="T76" s="229">
        <v>47331</v>
      </c>
      <c r="U76" s="238"/>
      <c r="V76" s="238"/>
    </row>
    <row r="77" spans="7:22" ht="20" customHeight="1" thickTop="1" thickBot="1">
      <c r="G77" s="1517" t="s">
        <v>538</v>
      </c>
      <c r="H77" s="1517" t="s">
        <v>502</v>
      </c>
      <c r="I77" s="1512"/>
      <c r="N77" s="140"/>
      <c r="O77" s="1514">
        <v>69</v>
      </c>
      <c r="P77" s="1514">
        <v>6</v>
      </c>
      <c r="Q77" s="1514">
        <v>2029</v>
      </c>
      <c r="R77" s="1514">
        <v>23</v>
      </c>
      <c r="S77" s="1515" t="str">
        <v>Q3-29</v>
      </c>
      <c r="T77" s="229">
        <v>47362</v>
      </c>
      <c r="U77" s="238"/>
      <c r="V77" s="238"/>
    </row>
    <row r="78" spans="7:22" ht="20" customHeight="1" thickTop="1" thickBot="1">
      <c r="G78" s="1517" t="s">
        <v>309</v>
      </c>
      <c r="H78" s="1517" t="s">
        <v>539</v>
      </c>
      <c r="I78" s="1512"/>
      <c r="N78" s="140"/>
      <c r="O78" s="1514">
        <v>70</v>
      </c>
      <c r="P78" s="1514">
        <v>6</v>
      </c>
      <c r="Q78" s="1514">
        <v>2029</v>
      </c>
      <c r="R78" s="1514">
        <v>24</v>
      </c>
      <c r="S78" s="1515" t="str">
        <v>Q4-29</v>
      </c>
      <c r="T78" s="229">
        <v>47392</v>
      </c>
      <c r="U78" s="238"/>
      <c r="V78" s="238"/>
    </row>
    <row r="79" spans="7:22" ht="20" customHeight="1" thickTop="1" thickBot="1">
      <c r="G79" s="1517" t="s">
        <v>310</v>
      </c>
      <c r="H79" s="1517" t="s">
        <v>892</v>
      </c>
      <c r="I79" s="1512"/>
      <c r="N79" s="140"/>
      <c r="O79" s="1514">
        <v>71</v>
      </c>
      <c r="P79" s="1514">
        <v>6</v>
      </c>
      <c r="Q79" s="1514">
        <v>2029</v>
      </c>
      <c r="R79" s="1514">
        <v>24</v>
      </c>
      <c r="S79" s="1515" t="str">
        <v>Q4-29</v>
      </c>
      <c r="T79" s="229">
        <v>47423</v>
      </c>
      <c r="U79" s="238"/>
      <c r="V79" s="238"/>
    </row>
    <row r="80" spans="7:22" ht="20" customHeight="1" thickTop="1" thickBot="1">
      <c r="G80" s="1517" t="s">
        <v>327</v>
      </c>
      <c r="H80" s="1517" t="s">
        <v>893</v>
      </c>
      <c r="I80" s="1512"/>
      <c r="N80" s="140"/>
      <c r="O80" s="1514">
        <v>72</v>
      </c>
      <c r="P80" s="1514">
        <v>6</v>
      </c>
      <c r="Q80" s="1514">
        <v>2029</v>
      </c>
      <c r="R80" s="1514">
        <v>24</v>
      </c>
      <c r="S80" s="1515" t="str">
        <v>Q4-29</v>
      </c>
      <c r="T80" s="229">
        <v>47453</v>
      </c>
      <c r="U80" s="238"/>
      <c r="V80" s="238"/>
    </row>
    <row r="81" spans="7:22" ht="20" customHeight="1" thickTop="1" thickBot="1">
      <c r="G81" s="1517" t="s">
        <v>186</v>
      </c>
      <c r="H81" s="1517" t="s">
        <v>187</v>
      </c>
      <c r="I81" s="1512"/>
      <c r="N81" s="140"/>
      <c r="O81" s="1514">
        <v>73</v>
      </c>
      <c r="P81" s="1514">
        <v>7</v>
      </c>
      <c r="Q81" s="1514">
        <v>2030</v>
      </c>
      <c r="R81" s="1514">
        <v>25</v>
      </c>
      <c r="S81" s="1515" t="str">
        <v>Q1-30</v>
      </c>
      <c r="T81" s="229">
        <v>47484</v>
      </c>
      <c r="U81" s="238"/>
      <c r="V81" s="238"/>
    </row>
    <row r="82" spans="7:22" ht="20" customHeight="1" thickTop="1" thickBot="1">
      <c r="G82" s="1517" t="s">
        <v>630</v>
      </c>
      <c r="H82" s="1517" t="s">
        <v>894</v>
      </c>
      <c r="I82" s="1512"/>
      <c r="N82" s="140"/>
      <c r="O82" s="1514">
        <v>74</v>
      </c>
      <c r="P82" s="1514">
        <v>7</v>
      </c>
      <c r="Q82" s="1514">
        <v>2030</v>
      </c>
      <c r="R82" s="1514">
        <v>25</v>
      </c>
      <c r="S82" s="1515" t="str">
        <v>Q1-30</v>
      </c>
      <c r="T82" s="229">
        <v>47515</v>
      </c>
      <c r="U82" s="238"/>
      <c r="V82" s="238"/>
    </row>
    <row r="83" spans="7:22" ht="20" customHeight="1" thickTop="1" thickBot="1">
      <c r="G83" s="1517" t="s">
        <v>188</v>
      </c>
      <c r="H83" s="1517" t="s">
        <v>314</v>
      </c>
      <c r="I83" s="1512"/>
      <c r="N83" s="140"/>
      <c r="O83" s="1514">
        <v>75</v>
      </c>
      <c r="P83" s="1514">
        <v>7</v>
      </c>
      <c r="Q83" s="1514">
        <v>2030</v>
      </c>
      <c r="R83" s="1514">
        <v>25</v>
      </c>
      <c r="S83" s="1515" t="str">
        <v>Q1-30</v>
      </c>
      <c r="T83" s="229">
        <v>47543</v>
      </c>
      <c r="U83" s="238"/>
      <c r="V83" s="238"/>
    </row>
    <row r="84" spans="7:22" ht="20" customHeight="1" thickTop="1" thickBot="1">
      <c r="G84" s="1517" t="s">
        <v>197</v>
      </c>
      <c r="H84" s="1517" t="s">
        <v>673</v>
      </c>
      <c r="I84" s="1512"/>
      <c r="N84" s="140"/>
      <c r="O84" s="1514">
        <v>76</v>
      </c>
      <c r="P84" s="1514">
        <v>7</v>
      </c>
      <c r="Q84" s="1514">
        <v>2030</v>
      </c>
      <c r="R84" s="1514">
        <v>26</v>
      </c>
      <c r="S84" s="1515" t="str">
        <v>Q2-30</v>
      </c>
      <c r="T84" s="229">
        <v>47574</v>
      </c>
      <c r="U84" s="238"/>
      <c r="V84" s="238"/>
    </row>
    <row r="85" spans="7:22" ht="20" customHeight="1" thickTop="1" thickBot="1">
      <c r="G85" s="1517" t="s">
        <v>328</v>
      </c>
      <c r="H85" s="1517" t="s">
        <v>329</v>
      </c>
      <c r="I85" s="1512"/>
      <c r="N85" s="140"/>
      <c r="O85" s="1514">
        <v>77</v>
      </c>
      <c r="P85" s="1514">
        <v>7</v>
      </c>
      <c r="Q85" s="1514">
        <v>2030</v>
      </c>
      <c r="R85" s="1514">
        <v>26</v>
      </c>
      <c r="S85" s="1515" t="str">
        <v>Q2-30</v>
      </c>
      <c r="T85" s="229">
        <v>47604</v>
      </c>
      <c r="U85" s="238"/>
      <c r="V85" s="238"/>
    </row>
    <row r="86" spans="7:22" ht="20" customHeight="1" thickTop="1" thickBot="1">
      <c r="G86" s="1517" t="s">
        <v>308</v>
      </c>
      <c r="H86" s="1517" t="s">
        <v>540</v>
      </c>
      <c r="I86" s="1512"/>
      <c r="N86" s="140"/>
      <c r="O86" s="1514">
        <v>78</v>
      </c>
      <c r="P86" s="1514">
        <v>7</v>
      </c>
      <c r="Q86" s="1514">
        <v>2030</v>
      </c>
      <c r="R86" s="1514">
        <v>26</v>
      </c>
      <c r="S86" s="1515" t="str">
        <v>Q2-30</v>
      </c>
      <c r="T86" s="229">
        <v>47635</v>
      </c>
      <c r="U86" s="238"/>
      <c r="V86" s="238"/>
    </row>
    <row r="87" spans="7:22" ht="20" customHeight="1" thickTop="1" thickBot="1">
      <c r="G87" s="1517" t="s">
        <v>25</v>
      </c>
      <c r="H87" s="1517" t="s">
        <v>330</v>
      </c>
      <c r="I87" s="1512"/>
      <c r="N87" s="140"/>
      <c r="O87" s="1514">
        <v>79</v>
      </c>
      <c r="P87" s="1514">
        <v>7</v>
      </c>
      <c r="Q87" s="1514">
        <v>2030</v>
      </c>
      <c r="R87" s="1514">
        <v>27</v>
      </c>
      <c r="S87" s="1515" t="str">
        <v>Q3-30</v>
      </c>
      <c r="T87" s="229">
        <v>47665</v>
      </c>
      <c r="U87" s="238"/>
      <c r="V87" s="238"/>
    </row>
    <row r="88" spans="7:22" ht="20" customHeight="1" thickTop="1" thickBot="1">
      <c r="G88" s="1517" t="s">
        <v>202</v>
      </c>
      <c r="H88" s="1517" t="s">
        <v>895</v>
      </c>
      <c r="I88" s="1512"/>
      <c r="N88" s="140"/>
      <c r="O88" s="1514">
        <v>80</v>
      </c>
      <c r="P88" s="1514">
        <v>7</v>
      </c>
      <c r="Q88" s="1514">
        <v>2030</v>
      </c>
      <c r="R88" s="1514">
        <v>27</v>
      </c>
      <c r="S88" s="1515" t="str">
        <v>Q3-30</v>
      </c>
      <c r="T88" s="229">
        <v>47696</v>
      </c>
      <c r="U88" s="238"/>
      <c r="V88" s="238"/>
    </row>
    <row r="89" spans="7:22" ht="20" customHeight="1" thickTop="1" thickBot="1">
      <c r="G89" s="1517" t="s">
        <v>196</v>
      </c>
      <c r="H89" s="1517" t="s">
        <v>476</v>
      </c>
      <c r="I89" s="1512"/>
      <c r="N89" s="140"/>
      <c r="O89" s="1514">
        <v>81</v>
      </c>
      <c r="P89" s="1514">
        <v>7</v>
      </c>
      <c r="Q89" s="1514">
        <v>2030</v>
      </c>
      <c r="R89" s="1514">
        <v>27</v>
      </c>
      <c r="S89" s="1515" t="str">
        <v>Q3-30</v>
      </c>
      <c r="T89" s="229">
        <v>47727</v>
      </c>
      <c r="U89" s="238"/>
      <c r="V89" s="238"/>
    </row>
    <row r="90" spans="7:22" ht="20" customHeight="1" thickTop="1" thickBot="1">
      <c r="G90" s="1517" t="s">
        <v>132</v>
      </c>
      <c r="H90" s="1517" t="s">
        <v>190</v>
      </c>
      <c r="I90" s="1512"/>
      <c r="N90" s="140"/>
      <c r="O90" s="1514">
        <v>82</v>
      </c>
      <c r="P90" s="1514">
        <v>7</v>
      </c>
      <c r="Q90" s="1514">
        <v>2030</v>
      </c>
      <c r="R90" s="1514">
        <v>28</v>
      </c>
      <c r="S90" s="1515" t="str">
        <v>Q4-30</v>
      </c>
      <c r="T90" s="229">
        <v>47757</v>
      </c>
      <c r="U90" s="238"/>
      <c r="V90" s="238"/>
    </row>
    <row r="91" spans="7:22" ht="20" customHeight="1" thickTop="1" thickBot="1">
      <c r="G91" s="1517" t="s">
        <v>386</v>
      </c>
      <c r="H91" s="1517" t="s">
        <v>896</v>
      </c>
      <c r="I91" s="1512"/>
      <c r="N91" s="140"/>
      <c r="O91" s="1514">
        <v>83</v>
      </c>
      <c r="P91" s="1514">
        <v>7</v>
      </c>
      <c r="Q91" s="1514">
        <v>2030</v>
      </c>
      <c r="R91" s="1514">
        <v>28</v>
      </c>
      <c r="S91" s="1515" t="str">
        <v>Q4-30</v>
      </c>
      <c r="T91" s="229">
        <v>47788</v>
      </c>
      <c r="U91" s="238"/>
      <c r="V91" s="238"/>
    </row>
    <row r="92" spans="7:22" ht="20" customHeight="1" thickTop="1" thickBot="1">
      <c r="G92" s="1517" t="s">
        <v>316</v>
      </c>
      <c r="H92" s="1517" t="s">
        <v>541</v>
      </c>
      <c r="I92" s="1512"/>
      <c r="N92" s="140"/>
      <c r="O92" s="1514">
        <v>84</v>
      </c>
      <c r="P92" s="1514">
        <v>7</v>
      </c>
      <c r="Q92" s="1514">
        <v>2030</v>
      </c>
      <c r="R92" s="1514">
        <v>28</v>
      </c>
      <c r="S92" s="1515" t="str">
        <v>Q4-30</v>
      </c>
      <c r="T92" s="229">
        <v>47818</v>
      </c>
      <c r="U92" s="238"/>
      <c r="V92" s="238"/>
    </row>
    <row r="93" spans="7:22" ht="20" customHeight="1" thickTop="1" thickBot="1">
      <c r="G93" s="1517" t="s">
        <v>317</v>
      </c>
      <c r="H93" s="1517" t="s">
        <v>542</v>
      </c>
      <c r="I93" s="1512"/>
      <c r="N93" s="140"/>
      <c r="O93" s="1514">
        <v>85</v>
      </c>
      <c r="P93" s="1514">
        <v>8</v>
      </c>
      <c r="Q93" s="1514">
        <v>2031</v>
      </c>
      <c r="R93" s="1514">
        <v>29</v>
      </c>
      <c r="S93" s="1515" t="str">
        <v>Q1-31</v>
      </c>
      <c r="T93" s="229">
        <v>47849</v>
      </c>
      <c r="U93" s="238"/>
      <c r="V93" s="238"/>
    </row>
    <row r="94" spans="7:22" ht="20" customHeight="1" thickTop="1" thickBot="1">
      <c r="G94" s="1517" t="s">
        <v>191</v>
      </c>
      <c r="H94" s="1517" t="s">
        <v>897</v>
      </c>
      <c r="I94" s="1512"/>
      <c r="N94" s="140"/>
      <c r="O94" s="1514">
        <v>86</v>
      </c>
      <c r="P94" s="1514">
        <v>8</v>
      </c>
      <c r="Q94" s="1514">
        <v>2031</v>
      </c>
      <c r="R94" s="1514">
        <v>29</v>
      </c>
      <c r="S94" s="1515" t="str">
        <v>Q1-31</v>
      </c>
      <c r="T94" s="229">
        <v>47880</v>
      </c>
      <c r="U94" s="238"/>
      <c r="V94" s="238"/>
    </row>
    <row r="95" spans="7:22" ht="20" customHeight="1" thickTop="1" thickBot="1">
      <c r="G95" s="1517" t="s">
        <v>604</v>
      </c>
      <c r="H95" s="1517" t="s">
        <v>605</v>
      </c>
      <c r="I95" s="1512"/>
      <c r="N95" s="140"/>
      <c r="O95" s="1514">
        <v>87</v>
      </c>
      <c r="P95" s="1514">
        <v>8</v>
      </c>
      <c r="Q95" s="1514">
        <v>2031</v>
      </c>
      <c r="R95" s="1514">
        <v>29</v>
      </c>
      <c r="S95" s="1515" t="str">
        <v>Q1-31</v>
      </c>
      <c r="T95" s="229">
        <v>47908</v>
      </c>
      <c r="U95" s="238"/>
      <c r="V95" s="238"/>
    </row>
    <row r="96" spans="7:22" ht="20" customHeight="1" thickTop="1" thickBot="1">
      <c r="G96" s="1517" t="s">
        <v>268</v>
      </c>
      <c r="H96" s="1517" t="s">
        <v>599</v>
      </c>
      <c r="I96" s="1512"/>
      <c r="N96" s="140"/>
      <c r="O96" s="1514">
        <v>88</v>
      </c>
      <c r="P96" s="1514">
        <v>8</v>
      </c>
      <c r="Q96" s="1514">
        <v>2031</v>
      </c>
      <c r="R96" s="1514">
        <v>30</v>
      </c>
      <c r="S96" s="1515" t="str">
        <v>Q2-31</v>
      </c>
      <c r="T96" s="229">
        <v>47939</v>
      </c>
      <c r="U96" s="238"/>
      <c r="V96" s="238"/>
    </row>
    <row r="97" spans="7:22" ht="20" customHeight="1" thickTop="1" thickBot="1">
      <c r="G97" s="1517" t="s">
        <v>278</v>
      </c>
      <c r="H97" s="1517" t="s">
        <v>600</v>
      </c>
      <c r="I97" s="1512"/>
      <c r="N97" s="140"/>
      <c r="O97" s="1514">
        <v>89</v>
      </c>
      <c r="P97" s="1514">
        <v>8</v>
      </c>
      <c r="Q97" s="1514">
        <v>2031</v>
      </c>
      <c r="R97" s="1514">
        <v>30</v>
      </c>
      <c r="S97" s="1515" t="str">
        <v>Q2-31</v>
      </c>
      <c r="T97" s="229">
        <v>47969</v>
      </c>
      <c r="U97" s="238"/>
      <c r="V97" s="238"/>
    </row>
    <row r="98" spans="7:22" ht="20" customHeight="1" thickTop="1" thickBot="1">
      <c r="G98" s="1517" t="s">
        <v>603</v>
      </c>
      <c r="H98" s="1517" t="s">
        <v>674</v>
      </c>
      <c r="I98" s="1512"/>
      <c r="N98" s="140"/>
      <c r="O98" s="1514">
        <v>90</v>
      </c>
      <c r="P98" s="1514">
        <v>8</v>
      </c>
      <c r="Q98" s="1514">
        <v>2031</v>
      </c>
      <c r="R98" s="1514">
        <v>30</v>
      </c>
      <c r="S98" s="1515" t="str">
        <v>Q2-31</v>
      </c>
      <c r="T98" s="229">
        <v>48000</v>
      </c>
      <c r="U98" s="238"/>
      <c r="V98" s="238"/>
    </row>
    <row r="99" spans="7:22" ht="20" customHeight="1" thickTop="1" thickBot="1">
      <c r="G99" s="1517" t="s">
        <v>607</v>
      </c>
      <c r="H99" s="1517" t="s">
        <v>898</v>
      </c>
      <c r="I99" s="1512"/>
      <c r="N99" s="140"/>
      <c r="O99" s="1514">
        <v>91</v>
      </c>
      <c r="P99" s="1514">
        <v>8</v>
      </c>
      <c r="Q99" s="1514">
        <v>2031</v>
      </c>
      <c r="R99" s="1514">
        <v>31</v>
      </c>
      <c r="S99" s="1515" t="str">
        <v>Q3-31</v>
      </c>
      <c r="T99" s="229">
        <v>48030</v>
      </c>
      <c r="U99" s="238"/>
      <c r="V99" s="238"/>
    </row>
    <row r="100" spans="7:22" ht="20" customHeight="1" thickTop="1" thickBot="1">
      <c r="G100" s="1517" t="s">
        <v>606</v>
      </c>
      <c r="H100" s="1517" t="s">
        <v>899</v>
      </c>
      <c r="I100" s="1512"/>
      <c r="N100" s="140"/>
      <c r="O100" s="1514">
        <v>92</v>
      </c>
      <c r="P100" s="1514">
        <v>8</v>
      </c>
      <c r="Q100" s="1514">
        <v>2031</v>
      </c>
      <c r="R100" s="1514">
        <v>31</v>
      </c>
      <c r="S100" s="1515" t="str">
        <v>Q3-31</v>
      </c>
      <c r="T100" s="229">
        <v>48061</v>
      </c>
      <c r="U100" s="238"/>
      <c r="V100" s="238"/>
    </row>
    <row r="101" spans="7:22" ht="20" customHeight="1" thickTop="1" thickBot="1">
      <c r="G101" s="1517" t="s">
        <v>535</v>
      </c>
      <c r="H101" s="1517" t="s">
        <v>536</v>
      </c>
      <c r="I101" s="1513"/>
      <c r="N101" s="140"/>
      <c r="O101" s="1514">
        <v>93</v>
      </c>
      <c r="P101" s="1514">
        <v>8</v>
      </c>
      <c r="Q101" s="1514">
        <v>2031</v>
      </c>
      <c r="R101" s="1514">
        <v>31</v>
      </c>
      <c r="S101" s="1515" t="str">
        <v>Q3-31</v>
      </c>
      <c r="T101" s="229">
        <v>48092</v>
      </c>
      <c r="U101" s="238"/>
      <c r="V101" s="238"/>
    </row>
    <row r="102" spans="7:22" ht="20" customHeight="1" thickTop="1" thickBot="1">
      <c r="G102" s="1517" t="s">
        <v>509</v>
      </c>
      <c r="H102" s="1517" t="s">
        <v>675</v>
      </c>
      <c r="I102" s="1513"/>
      <c r="N102" s="140"/>
      <c r="O102" s="1514">
        <v>94</v>
      </c>
      <c r="P102" s="1514">
        <v>8</v>
      </c>
      <c r="Q102" s="1514">
        <v>2031</v>
      </c>
      <c r="R102" s="1514">
        <v>32</v>
      </c>
      <c r="S102" s="1515" t="str">
        <v>Q4-31</v>
      </c>
      <c r="T102" s="229">
        <v>48122</v>
      </c>
      <c r="U102" s="238"/>
      <c r="V102" s="238"/>
    </row>
    <row r="103" spans="7:22" ht="20" customHeight="1" thickTop="1" thickBot="1">
      <c r="G103" s="1517" t="s">
        <v>510</v>
      </c>
      <c r="H103" s="1517" t="s">
        <v>676</v>
      </c>
      <c r="I103" s="1513"/>
      <c r="N103" s="140"/>
      <c r="O103" s="1514">
        <v>95</v>
      </c>
      <c r="P103" s="1514">
        <v>8</v>
      </c>
      <c r="Q103" s="1514">
        <v>2031</v>
      </c>
      <c r="R103" s="1514">
        <v>32</v>
      </c>
      <c r="S103" s="1515" t="str">
        <v>Q4-31</v>
      </c>
      <c r="T103" s="229">
        <v>48153</v>
      </c>
      <c r="U103" s="238"/>
      <c r="V103" s="238"/>
    </row>
    <row r="104" spans="7:22" ht="20" customHeight="1" thickTop="1" thickBot="1">
      <c r="G104" s="1517" t="s">
        <v>900</v>
      </c>
      <c r="H104" s="1517" t="s">
        <v>901</v>
      </c>
      <c r="I104" s="1513"/>
      <c r="N104" s="140"/>
      <c r="O104" s="1514">
        <v>96</v>
      </c>
      <c r="P104" s="1514">
        <v>8</v>
      </c>
      <c r="Q104" s="1514">
        <v>2031</v>
      </c>
      <c r="R104" s="1514">
        <v>32</v>
      </c>
      <c r="S104" s="1515" t="str">
        <v>Q4-31</v>
      </c>
      <c r="T104" s="229">
        <v>48183</v>
      </c>
      <c r="U104" s="238"/>
      <c r="V104" s="238"/>
    </row>
    <row r="105" spans="7:22" ht="20" customHeight="1" thickTop="1" thickBot="1">
      <c r="G105" s="1517" t="s">
        <v>537</v>
      </c>
      <c r="H105" s="1517" t="s">
        <v>729</v>
      </c>
      <c r="I105" s="1513"/>
      <c r="N105" s="140"/>
      <c r="O105" s="1514"/>
      <c r="P105" s="1514"/>
      <c r="Q105" s="1514"/>
      <c r="R105" s="1514"/>
      <c r="S105" s="1515"/>
      <c r="T105" s="229"/>
      <c r="U105" s="238"/>
      <c r="V105" s="238"/>
    </row>
    <row r="106" spans="7:22" ht="20" customHeight="1" thickTop="1" thickBot="1">
      <c r="G106" s="1517" t="s">
        <v>902</v>
      </c>
      <c r="H106" s="1517" t="s">
        <v>903</v>
      </c>
      <c r="I106" s="1513"/>
      <c r="N106" s="140"/>
      <c r="O106" s="1514"/>
      <c r="P106" s="1514"/>
      <c r="Q106" s="1514"/>
      <c r="R106" s="1514"/>
      <c r="S106" s="1515"/>
      <c r="T106" s="229"/>
      <c r="U106" s="238"/>
      <c r="V106" s="238"/>
    </row>
    <row r="107" spans="7:22" ht="20" customHeight="1" thickTop="1" thickBot="1">
      <c r="G107" s="1517" t="s">
        <v>192</v>
      </c>
      <c r="H107" s="1517" t="s">
        <v>730</v>
      </c>
      <c r="I107" s="1513"/>
      <c r="N107" s="140"/>
      <c r="O107" s="1514"/>
      <c r="P107" s="1514"/>
      <c r="Q107" s="1514"/>
      <c r="R107" s="1514"/>
      <c r="S107" s="1515"/>
      <c r="T107" s="229"/>
      <c r="U107" s="238"/>
      <c r="V107" s="238"/>
    </row>
    <row r="108" spans="7:22" ht="20" customHeight="1" thickTop="1" thickBot="1">
      <c r="G108" s="1517" t="s">
        <v>904</v>
      </c>
      <c r="H108" s="1517" t="s">
        <v>729</v>
      </c>
      <c r="I108" s="1461"/>
      <c r="N108" s="140"/>
      <c r="O108" s="1514"/>
      <c r="P108" s="1514"/>
      <c r="Q108" s="1514"/>
      <c r="R108" s="1514"/>
      <c r="S108" s="1515"/>
      <c r="T108" s="229"/>
      <c r="U108" s="238"/>
      <c r="V108" s="238"/>
    </row>
    <row r="109" spans="7:22" ht="20" customHeight="1" thickTop="1" thickBot="1">
      <c r="G109" s="1517" t="s">
        <v>203</v>
      </c>
      <c r="H109" s="1517" t="s">
        <v>601</v>
      </c>
      <c r="N109" s="140"/>
      <c r="O109" s="1514"/>
      <c r="P109" s="1514"/>
      <c r="Q109" s="1514"/>
      <c r="R109" s="1514"/>
      <c r="S109" s="1515"/>
      <c r="T109" s="229"/>
      <c r="U109" s="238"/>
      <c r="V109" s="238"/>
    </row>
    <row r="110" spans="7:22" ht="13.5" customHeight="1">
      <c r="G110" s="1517" t="s">
        <v>204</v>
      </c>
      <c r="H110" s="1517" t="s">
        <v>602</v>
      </c>
    </row>
    <row r="111" spans="7:22" ht="13.5" customHeight="1">
      <c r="G111" s="1517" t="s">
        <v>212</v>
      </c>
      <c r="H111" s="1517" t="s">
        <v>677</v>
      </c>
    </row>
    <row r="112" spans="7:22" ht="13.5" customHeight="1">
      <c r="G112" s="1517" t="s">
        <v>213</v>
      </c>
      <c r="H112" s="1517" t="s">
        <v>678</v>
      </c>
    </row>
    <row r="113" spans="7:8" ht="13.5" customHeight="1">
      <c r="G113" s="1517" t="s">
        <v>439</v>
      </c>
      <c r="H113" s="1517" t="s">
        <v>440</v>
      </c>
    </row>
  </sheetData>
  <mergeCells count="4">
    <mergeCell ref="AR8:AS8"/>
    <mergeCell ref="AM8:AN8"/>
    <mergeCell ref="N7:T7"/>
    <mergeCell ref="AP8:AQ8"/>
  </mergeCells>
  <conditionalFormatting sqref="D8:D10 D12:D13 K16 K19 AP7:AT19 O9:S368 X9:Y26">
    <cfRule type="cellIs" dxfId="45" priority="46" operator="notEqual">
      <formula>0</formula>
    </cfRule>
  </conditionalFormatting>
  <conditionalFormatting sqref="AA9:AA27">
    <cfRule type="cellIs" dxfId="44" priority="45" operator="notEqual">
      <formula>0</formula>
    </cfRule>
  </conditionalFormatting>
  <conditionalFormatting sqref="T9:V368">
    <cfRule type="cellIs" dxfId="43" priority="38" operator="notEqual">
      <formula>0</formula>
    </cfRule>
  </conditionalFormatting>
  <conditionalFormatting sqref="N9:N55">
    <cfRule type="cellIs" dxfId="42" priority="35" operator="notEqual">
      <formula>0</formula>
    </cfRule>
  </conditionalFormatting>
  <conditionalFormatting sqref="Z9:Z27">
    <cfRule type="cellIs" dxfId="41" priority="34" operator="notEqual">
      <formula>0</formula>
    </cfRule>
  </conditionalFormatting>
  <conditionalFormatting sqref="K8:K14">
    <cfRule type="cellIs" dxfId="40" priority="33" operator="notEqual">
      <formula>0</formula>
    </cfRule>
  </conditionalFormatting>
  <conditionalFormatting sqref="K17">
    <cfRule type="cellIs" dxfId="39" priority="30" operator="notEqual">
      <formula>0</formula>
    </cfRule>
  </conditionalFormatting>
  <conditionalFormatting sqref="K18">
    <cfRule type="cellIs" dxfId="38" priority="29" operator="notEqual">
      <formula>0</formula>
    </cfRule>
  </conditionalFormatting>
  <conditionalFormatting sqref="W23:W46">
    <cfRule type="cellIs" dxfId="37" priority="13" operator="notEqual">
      <formula>0</formula>
    </cfRule>
  </conditionalFormatting>
  <conditionalFormatting sqref="AD9:AD16">
    <cfRule type="cellIs" dxfId="36" priority="6" operator="notEqual">
      <formula>0</formula>
    </cfRule>
  </conditionalFormatting>
  <conditionalFormatting sqref="AG22:AH23">
    <cfRule type="cellIs" dxfId="35" priority="4" operator="notEqual">
      <formula>0</formula>
    </cfRule>
  </conditionalFormatting>
  <conditionalFormatting sqref="AF9:AJ21">
    <cfRule type="cellIs" dxfId="34" priority="2" operator="notEqual">
      <formula>0</formula>
    </cfRule>
  </conditionalFormatting>
  <hyperlinks>
    <hyperlink ref="A1" location="Index" display="Back to Index" xr:uid="{5F33CEB7-3869-4C81-9984-884EB41417C6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NamedRange_Lists" altText="Update">
                <anchor moveWithCells="1" sizeWithCells="1">
                  <from>
                    <xdr:col>7</xdr:col>
                    <xdr:colOff>114300</xdr:colOff>
                    <xdr:row>5</xdr:row>
                    <xdr:rowOff>38100</xdr:rowOff>
                  </from>
                  <to>
                    <xdr:col>7</xdr:col>
                    <xdr:colOff>1689100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1224B-984C-0144-9623-74D1917E8445}">
  <sheetPr codeName="Sheet5">
    <tabColor rgb="FF7030A0"/>
  </sheetPr>
  <dimension ref="A2:BA111"/>
  <sheetViews>
    <sheetView showGridLines="0" topLeftCell="B1" zoomScale="66" zoomScaleNormal="66" workbookViewId="0">
      <selection activeCell="R32" sqref="R32"/>
    </sheetView>
  </sheetViews>
  <sheetFormatPr baseColWidth="10" defaultColWidth="9" defaultRowHeight="13.5" customHeight="1"/>
  <cols>
    <col min="1" max="1" width="13.33203125" hidden="1" customWidth="1"/>
    <col min="2" max="2" width="2.5" customWidth="1"/>
    <col min="3" max="3" width="4" customWidth="1"/>
    <col min="4" max="4" width="12.1640625" customWidth="1"/>
    <col min="5" max="5" width="13.5" customWidth="1"/>
    <col min="6" max="7" width="11.6640625" customWidth="1"/>
    <col min="8" max="11" width="13.5" customWidth="1"/>
    <col min="12" max="13" width="14" customWidth="1"/>
    <col min="14" max="14" width="12.5" customWidth="1"/>
    <col min="15" max="15" width="11.6640625" bestFit="1" customWidth="1"/>
    <col min="16" max="16" width="12.1640625" customWidth="1"/>
    <col min="17" max="17" width="4.5" customWidth="1"/>
    <col min="18" max="22" width="11.5" customWidth="1"/>
    <col min="23" max="23" width="12.6640625" bestFit="1" customWidth="1"/>
    <col min="24" max="28" width="15.5" customWidth="1"/>
    <col min="29" max="29" width="9.1640625" customWidth="1"/>
    <col min="30" max="30" width="9" bestFit="1" customWidth="1"/>
    <col min="31" max="31" width="10.83203125" customWidth="1"/>
    <col min="32" max="32" width="2.83203125" customWidth="1"/>
    <col min="33" max="33" width="10.6640625" customWidth="1"/>
    <col min="34" max="37" width="10.83203125" bestFit="1" customWidth="1"/>
    <col min="38" max="38" width="10.6640625" customWidth="1"/>
    <col min="39" max="39" width="9.6640625" customWidth="1"/>
    <col min="40" max="40" width="3" customWidth="1"/>
    <col min="41" max="44" width="10.6640625" customWidth="1"/>
    <col min="45" max="46" width="12.6640625" bestFit="1" customWidth="1"/>
    <col min="47" max="47" width="13.5" bestFit="1" customWidth="1"/>
    <col min="48" max="52" width="13.83203125" customWidth="1"/>
  </cols>
  <sheetData>
    <row r="2" spans="2:23" ht="20">
      <c r="B2" s="216" t="s">
        <v>56</v>
      </c>
      <c r="C2" s="15"/>
      <c r="D2" s="15"/>
      <c r="E2" s="15"/>
      <c r="F2" s="15"/>
      <c r="G2" s="15"/>
      <c r="H2" s="15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4"/>
      <c r="T2" s="344"/>
      <c r="U2" s="344"/>
      <c r="V2" s="344"/>
      <c r="W2" s="344"/>
    </row>
    <row r="3" spans="2:23" ht="16">
      <c r="B3" s="217" t="str">
        <f>i_Project.Location</f>
        <v>Peoria Lakes</v>
      </c>
      <c r="C3" s="15"/>
      <c r="D3" s="15"/>
      <c r="E3" s="15"/>
      <c r="F3" s="15"/>
      <c r="G3" s="15"/>
      <c r="H3" s="15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44"/>
    </row>
    <row r="4" spans="2:23" ht="16"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344"/>
      <c r="S4" s="344"/>
      <c r="T4" s="344"/>
      <c r="U4" s="344"/>
      <c r="V4" s="344"/>
      <c r="W4" s="344"/>
    </row>
    <row r="5" spans="2:23" ht="5" hidden="1" customHeight="1">
      <c r="R5" s="99"/>
      <c r="S5" s="99"/>
      <c r="T5" s="99"/>
      <c r="U5" s="99"/>
      <c r="V5" s="99"/>
      <c r="W5" s="99"/>
    </row>
    <row r="6" spans="2:23" ht="5" customHeight="1">
      <c r="R6" s="99"/>
      <c r="S6" s="99"/>
      <c r="T6" s="99"/>
      <c r="U6" s="99"/>
      <c r="V6" s="99"/>
      <c r="W6" s="99"/>
    </row>
    <row r="7" spans="2:23" ht="20">
      <c r="D7" s="1334" t="s">
        <v>206</v>
      </c>
      <c r="E7" s="1335"/>
      <c r="F7" s="1335"/>
      <c r="G7" s="1335"/>
      <c r="H7" s="1335"/>
      <c r="I7" s="1335"/>
      <c r="J7" s="1335"/>
      <c r="K7" s="1335"/>
      <c r="L7" s="1335"/>
      <c r="M7" s="1335"/>
      <c r="N7" s="1335"/>
      <c r="O7" s="1336"/>
      <c r="R7" s="1324" t="s">
        <v>207</v>
      </c>
      <c r="S7" s="1325"/>
      <c r="T7" s="1325"/>
      <c r="U7" s="1325"/>
      <c r="V7" s="1325"/>
      <c r="W7" s="1326"/>
    </row>
    <row r="8" spans="2:23" ht="38.25" customHeight="1">
      <c r="C8" s="16"/>
      <c r="D8" s="1254" t="s">
        <v>198</v>
      </c>
      <c r="E8" s="966" t="str">
        <f>iProject!F12</f>
        <v>Start Month</v>
      </c>
      <c r="F8" s="966" t="str">
        <f>iProject!F13</f>
        <v>Months to Complete</v>
      </c>
      <c r="G8" s="966" t="str">
        <f>iProject!F14</f>
        <v>Thru Month</v>
      </c>
      <c r="H8" s="966" t="str" cm="1">
        <f t="array" ref="H8:O8">TRANSPOSE(iProject!F16:F23)</f>
        <v>Entitlements</v>
      </c>
      <c r="I8" s="966" t="str">
        <v>Engineering</v>
      </c>
      <c r="J8" s="966" t="str">
        <v>Development &gt; Offsite</v>
      </c>
      <c r="K8" s="966" t="str">
        <v>Development &gt; OnSite</v>
      </c>
      <c r="L8" s="966" t="str">
        <v>Development &gt; Other</v>
      </c>
      <c r="M8" s="966" t="str">
        <v>Contingency</v>
      </c>
      <c r="N8" s="966" t="str">
        <v>Total Development Costs</v>
      </c>
      <c r="O8" s="1337" t="str">
        <v>Inflated</v>
      </c>
      <c r="R8" s="1327" t="s">
        <v>138</v>
      </c>
      <c r="S8" s="967" t="s">
        <v>97</v>
      </c>
      <c r="T8" s="967" t="s">
        <v>222</v>
      </c>
      <c r="U8" s="967" t="s">
        <v>135</v>
      </c>
      <c r="V8" s="967" t="s">
        <v>656</v>
      </c>
      <c r="W8" s="1328" t="s">
        <v>252</v>
      </c>
    </row>
    <row r="9" spans="2:23" ht="16">
      <c r="C9" s="211"/>
      <c r="D9" s="1338" t="str" cm="1">
        <f t="array" aca="1" ref="D9:D10" ca="1">TRANSPOSE(_xlfn.ANCHORARRAY(iProject!H11))</f>
        <v>2.1</v>
      </c>
      <c r="E9" s="977" cm="1">
        <f t="array" ref="E9:G9">TRANSPOSE(iProject!H$12:H$14)</f>
        <v>24</v>
      </c>
      <c r="F9" s="977">
        <v>24</v>
      </c>
      <c r="G9" s="977">
        <v>47</v>
      </c>
      <c r="H9" s="977" cm="1">
        <f t="array" ref="H9:N9">TRANSPOSE(iProject!H$16:H$22)</f>
        <v>164750</v>
      </c>
      <c r="I9" s="977">
        <v>1153250</v>
      </c>
      <c r="J9" s="977">
        <v>2877500</v>
      </c>
      <c r="K9" s="977">
        <v>5755000</v>
      </c>
      <c r="L9" s="977">
        <v>0</v>
      </c>
      <c r="M9" s="977">
        <v>995050</v>
      </c>
      <c r="N9" s="977">
        <v>10945550</v>
      </c>
      <c r="O9" s="1339">
        <f>FV(i_Inflate.Cost/12,E9,0,-N9)</f>
        <v>11621514.81582169</v>
      </c>
      <c r="R9" s="1329" t="str" cm="1">
        <f t="array" ref="R9:R24">_xlfn.ANCHORARRAY(iProject!P10)</f>
        <v>2.101</v>
      </c>
      <c r="S9" s="968" cm="1">
        <f t="array" ref="S9:S28">iv_Sale.Months</f>
        <v>48</v>
      </c>
      <c r="T9" s="968" cm="1">
        <f t="array" ref="T9:T28">iProject!A10:A29</f>
        <v>3880</v>
      </c>
      <c r="U9" s="968" cm="1">
        <f t="array" ref="U9:U28">iProject!R10:R29</f>
        <v>18</v>
      </c>
      <c r="V9" s="968" cm="1">
        <f t="array" ref="V9:V28">iProject!T10:T29</f>
        <v>97</v>
      </c>
      <c r="W9" s="1330" cm="1">
        <f t="array" aca="1" ref="W9:W28" ca="1">iProject!X10:X29</f>
        <v>10497678.531923844</v>
      </c>
    </row>
    <row r="10" spans="2:23" ht="16">
      <c r="C10" s="211"/>
      <c r="D10" s="1338" t="str">
        <f ca="1"/>
        <v>2.2</v>
      </c>
      <c r="E10" s="977" cm="1">
        <f t="array" ref="E10:G10">TRANSPOSE(iProject!I$12:I$14)</f>
        <v>48</v>
      </c>
      <c r="F10" s="977">
        <v>24</v>
      </c>
      <c r="G10" s="977">
        <v>71</v>
      </c>
      <c r="H10" s="977" cm="1">
        <f t="array" ref="H10:N10">TRANSPOSE(iProject!I$16:I$22)</f>
        <v>46750</v>
      </c>
      <c r="I10" s="977">
        <v>327250</v>
      </c>
      <c r="J10" s="977">
        <v>560000</v>
      </c>
      <c r="K10" s="977">
        <v>1120000</v>
      </c>
      <c r="L10" s="977">
        <v>0</v>
      </c>
      <c r="M10" s="977">
        <v>205400</v>
      </c>
      <c r="N10" s="977">
        <v>2259400</v>
      </c>
      <c r="O10" s="1339">
        <f>FV(i_Inflate.Cost/12,E10,0,-N10)</f>
        <v>2547084.9307376216</v>
      </c>
      <c r="R10" s="1329" t="str">
        <v>2.102</v>
      </c>
      <c r="S10" s="968">
        <v>48</v>
      </c>
      <c r="T10" s="968">
        <v>3645</v>
      </c>
      <c r="U10" s="968">
        <v>17</v>
      </c>
      <c r="V10" s="968">
        <v>81</v>
      </c>
      <c r="W10" s="1330">
        <f ca="1"/>
        <v>9861865.5280573219</v>
      </c>
    </row>
    <row r="11" spans="2:23" ht="16">
      <c r="C11" s="211"/>
      <c r="D11" s="1338"/>
      <c r="E11" s="977" cm="1">
        <f t="array" ref="E11:G11">TRANSPOSE(iProject!J$12:J$14)</f>
        <v>0</v>
      </c>
      <c r="F11" s="977">
        <v>0</v>
      </c>
      <c r="G11" s="977">
        <v>0</v>
      </c>
      <c r="H11" s="977" cm="1">
        <f t="array" ref="H11:N11">TRANSPOSE(iProject!J$16:J$22)</f>
        <v>0</v>
      </c>
      <c r="I11" s="977">
        <v>0</v>
      </c>
      <c r="J11" s="977">
        <v>0</v>
      </c>
      <c r="K11" s="977">
        <v>0</v>
      </c>
      <c r="L11" s="977">
        <v>0</v>
      </c>
      <c r="M11" s="977">
        <v>0</v>
      </c>
      <c r="N11" s="977">
        <v>0</v>
      </c>
      <c r="O11" s="1339">
        <f>FV(i_Inflate.Cost/12,E11,0,-N11)</f>
        <v>0</v>
      </c>
      <c r="R11" s="1329" t="str">
        <v>2.103</v>
      </c>
      <c r="S11" s="968">
        <v>48</v>
      </c>
      <c r="T11" s="968">
        <v>3250</v>
      </c>
      <c r="U11" s="968">
        <v>16</v>
      </c>
      <c r="V11" s="968">
        <v>65</v>
      </c>
      <c r="W11" s="1330">
        <f ca="1"/>
        <v>8793158.5641114675</v>
      </c>
    </row>
    <row r="12" spans="2:23" ht="16">
      <c r="C12" s="211"/>
      <c r="D12" s="1338"/>
      <c r="E12" s="977" cm="1">
        <f t="array" ref="E12:G12">TRANSPOSE(iProject!K$12:K$14)</f>
        <v>0</v>
      </c>
      <c r="F12" s="977">
        <v>0</v>
      </c>
      <c r="G12" s="977">
        <v>0</v>
      </c>
      <c r="H12" s="977" cm="1">
        <f t="array" ref="H12:N12">TRANSPOSE(iProject!K$16:K$22)</f>
        <v>0</v>
      </c>
      <c r="I12" s="977">
        <v>0</v>
      </c>
      <c r="J12" s="977">
        <v>0</v>
      </c>
      <c r="K12" s="977">
        <v>0</v>
      </c>
      <c r="L12" s="977">
        <v>0</v>
      </c>
      <c r="M12" s="977">
        <v>0</v>
      </c>
      <c r="N12" s="977">
        <v>0</v>
      </c>
      <c r="O12" s="1339">
        <f>FV(i_Inflate.Cost/12,E12,0,-N12)</f>
        <v>0</v>
      </c>
      <c r="R12" s="1329" t="str">
        <v>2.104</v>
      </c>
      <c r="S12" s="968">
        <v>48</v>
      </c>
      <c r="T12" s="968">
        <v>4520</v>
      </c>
      <c r="U12" s="968">
        <v>21</v>
      </c>
      <c r="V12" s="968">
        <v>113</v>
      </c>
      <c r="W12" s="1330">
        <f ca="1"/>
        <v>12229254.372241179</v>
      </c>
    </row>
    <row r="13" spans="2:23" ht="16">
      <c r="C13" s="211"/>
      <c r="D13" s="1340"/>
      <c r="E13" s="1341" cm="1">
        <f t="array" ref="E13:G13">TRANSPOSE(iProject!L$12:L$14)</f>
        <v>0</v>
      </c>
      <c r="F13" s="1341">
        <v>0</v>
      </c>
      <c r="G13" s="1341">
        <v>0</v>
      </c>
      <c r="H13" s="1341" cm="1">
        <f t="array" ref="H13:N13">TRANSPOSE(iProject!L$16:L$22)</f>
        <v>0</v>
      </c>
      <c r="I13" s="1341">
        <v>0</v>
      </c>
      <c r="J13" s="1341">
        <v>0</v>
      </c>
      <c r="K13" s="1341">
        <v>0</v>
      </c>
      <c r="L13" s="1341">
        <v>0</v>
      </c>
      <c r="M13" s="1341">
        <v>0</v>
      </c>
      <c r="N13" s="1341">
        <v>0</v>
      </c>
      <c r="O13" s="1342">
        <f>FV(i_Inflate.Cost/12,E13,0,-N13)</f>
        <v>0</v>
      </c>
      <c r="R13" s="1329" t="str">
        <v>2.105</v>
      </c>
      <c r="S13" s="968">
        <v>48</v>
      </c>
      <c r="T13" s="968">
        <v>4500</v>
      </c>
      <c r="U13" s="968">
        <v>21</v>
      </c>
      <c r="V13" s="968">
        <v>100</v>
      </c>
      <c r="W13" s="1330">
        <f ca="1"/>
        <v>12175142.627231263</v>
      </c>
    </row>
    <row r="14" spans="2:23" ht="24" customHeight="1" thickBot="1">
      <c r="C14" s="211"/>
      <c r="D14" s="1251" t="s">
        <v>205</v>
      </c>
      <c r="E14" s="1252"/>
      <c r="F14" s="1252"/>
      <c r="G14" s="1252"/>
      <c r="H14" s="1252"/>
      <c r="I14" s="1252"/>
      <c r="J14" s="1252"/>
      <c r="K14" s="1252"/>
      <c r="L14" s="1252"/>
      <c r="M14" s="1252"/>
      <c r="N14" s="1252"/>
      <c r="O14" s="1252"/>
      <c r="P14" s="1253"/>
      <c r="R14" s="1329" t="str">
        <v>2.106</v>
      </c>
      <c r="S14" s="968">
        <v>48</v>
      </c>
      <c r="T14" s="968">
        <v>4300</v>
      </c>
      <c r="U14" s="968">
        <v>21</v>
      </c>
      <c r="V14" s="968">
        <v>86</v>
      </c>
      <c r="W14" s="1330">
        <f ca="1"/>
        <v>11634025.177132094</v>
      </c>
    </row>
    <row r="15" spans="2:23" ht="36" customHeight="1" thickTop="1">
      <c r="C15" s="211"/>
      <c r="D15" s="1254" t="s">
        <v>240</v>
      </c>
      <c r="E15" s="966" t="str">
        <f>E8</f>
        <v>Start Month</v>
      </c>
      <c r="F15" s="966" t="str">
        <f t="shared" ref="F15:N15" si="0">F8</f>
        <v>Months to Complete</v>
      </c>
      <c r="G15" s="966" t="str">
        <f t="shared" si="0"/>
        <v>Thru Month</v>
      </c>
      <c r="H15" s="966" t="str">
        <f t="shared" si="0"/>
        <v>Entitlements</v>
      </c>
      <c r="I15" s="966" t="str">
        <f t="shared" si="0"/>
        <v>Engineering</v>
      </c>
      <c r="J15" s="966" t="str">
        <f t="shared" si="0"/>
        <v>Development &gt; Offsite</v>
      </c>
      <c r="K15" s="966" t="str">
        <f t="shared" si="0"/>
        <v>Development &gt; OnSite</v>
      </c>
      <c r="L15" s="966" t="str">
        <f t="shared" si="0"/>
        <v>Development &gt; Other</v>
      </c>
      <c r="M15" s="966" t="str">
        <f t="shared" si="0"/>
        <v>Contingency</v>
      </c>
      <c r="N15" s="966" t="str">
        <f t="shared" si="0"/>
        <v>Total Development Costs</v>
      </c>
      <c r="O15" s="1206" t="s">
        <v>596</v>
      </c>
      <c r="P15" s="1255" t="s">
        <v>576</v>
      </c>
      <c r="R15" s="1329" t="str">
        <v>2.107</v>
      </c>
      <c r="S15" s="968">
        <v>48</v>
      </c>
      <c r="T15" s="968" t="str">
        <v/>
      </c>
      <c r="U15" s="968">
        <v>16</v>
      </c>
      <c r="V15" s="968">
        <v>168</v>
      </c>
      <c r="W15" s="1330">
        <f ca="1"/>
        <v>9469555.3767354265</v>
      </c>
    </row>
    <row r="16" spans="2:23" ht="16">
      <c r="C16" s="211"/>
      <c r="D16" s="1256" t="str" cm="1">
        <f t="array" ref="D16:D23">list_Phases</f>
        <v>1.1</v>
      </c>
      <c r="E16" s="976">
        <v>1</v>
      </c>
      <c r="F16" s="976">
        <v>25</v>
      </c>
      <c r="G16" s="976">
        <v>25</v>
      </c>
      <c r="H16" s="976">
        <v>80750</v>
      </c>
      <c r="I16" s="976">
        <v>565250</v>
      </c>
      <c r="J16" s="976">
        <v>1640500</v>
      </c>
      <c r="K16" s="976">
        <v>3281000</v>
      </c>
      <c r="L16" s="976">
        <v>0</v>
      </c>
      <c r="M16" s="976">
        <v>556750</v>
      </c>
      <c r="N16" s="976">
        <v>6124250</v>
      </c>
      <c r="O16" s="1083">
        <f t="shared" ref="O16:O43" si="1">FV(i_Inflate.Cost/12,E16,0,-N16)</f>
        <v>6139560.625</v>
      </c>
      <c r="P16" s="1257" cm="1">
        <f t="array" aca="1" ref="P16:P23" ca="1">-SUMIF(_xlfn.ANCHORARRAY(AH32),list_Phases,$X$32:$X$84)</f>
        <v>22756920.934735361</v>
      </c>
      <c r="Q16" s="958"/>
      <c r="R16" s="1329" t="str">
        <v>2.108</v>
      </c>
      <c r="S16" s="968">
        <v>48</v>
      </c>
      <c r="T16" s="968" t="str">
        <v/>
      </c>
      <c r="U16" s="968">
        <v>13</v>
      </c>
      <c r="V16" s="968">
        <v>110</v>
      </c>
      <c r="W16" s="1330">
        <f ca="1"/>
        <v>6200304.1157196239</v>
      </c>
    </row>
    <row r="17" spans="4:53" ht="16">
      <c r="D17" s="1256" t="str">
        <v>1.2</v>
      </c>
      <c r="E17" s="976">
        <v>24</v>
      </c>
      <c r="F17" s="976">
        <v>18</v>
      </c>
      <c r="G17" s="976">
        <v>41</v>
      </c>
      <c r="H17" s="976">
        <v>102000</v>
      </c>
      <c r="I17" s="976">
        <v>714000</v>
      </c>
      <c r="J17" s="976">
        <v>2140500</v>
      </c>
      <c r="K17" s="976">
        <v>4281000</v>
      </c>
      <c r="L17" s="976">
        <v>0</v>
      </c>
      <c r="M17" s="976">
        <v>723750</v>
      </c>
      <c r="N17" s="976">
        <v>7961250</v>
      </c>
      <c r="O17" s="1083">
        <f t="shared" si="1"/>
        <v>8452913.2686306704</v>
      </c>
      <c r="P17" s="1257">
        <f ca="1"/>
        <v>30903139.244144909</v>
      </c>
      <c r="Q17" s="958"/>
      <c r="R17" s="1329" t="str">
        <v>2.109</v>
      </c>
      <c r="S17" s="968">
        <v>48</v>
      </c>
      <c r="T17" s="968">
        <v>4680</v>
      </c>
      <c r="U17" s="968">
        <v>19</v>
      </c>
      <c r="V17" s="968">
        <v>117</v>
      </c>
      <c r="W17" s="1330">
        <f ca="1"/>
        <v>12662148.332320513</v>
      </c>
      <c r="X17" s="99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99"/>
      <c r="AL17" s="99"/>
    </row>
    <row r="18" spans="4:53" ht="16">
      <c r="D18" s="1256" t="str">
        <v>2.1</v>
      </c>
      <c r="E18" s="976">
        <v>24</v>
      </c>
      <c r="F18" s="976">
        <v>24</v>
      </c>
      <c r="G18" s="976">
        <v>47</v>
      </c>
      <c r="H18" s="976">
        <v>164750</v>
      </c>
      <c r="I18" s="976">
        <v>1153250</v>
      </c>
      <c r="J18" s="976">
        <v>2877500</v>
      </c>
      <c r="K18" s="976">
        <v>5755000</v>
      </c>
      <c r="L18" s="976">
        <v>0</v>
      </c>
      <c r="M18" s="976">
        <v>995050</v>
      </c>
      <c r="N18" s="976">
        <v>10945550</v>
      </c>
      <c r="O18" s="1083">
        <f t="shared" si="1"/>
        <v>11621514.81582169</v>
      </c>
      <c r="P18" s="1257">
        <f ca="1"/>
        <v>42170522.947051242</v>
      </c>
      <c r="Q18" s="958"/>
      <c r="R18" s="1329" t="str">
        <v>2.110</v>
      </c>
      <c r="S18" s="968">
        <v>48</v>
      </c>
      <c r="T18" s="968" t="str">
        <v/>
      </c>
      <c r="U18" s="968">
        <v>23</v>
      </c>
      <c r="V18" s="968">
        <v>253</v>
      </c>
      <c r="W18" s="1330">
        <f ca="1"/>
        <v>14260699.466155136</v>
      </c>
      <c r="X18" s="99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99"/>
      <c r="AL18" s="99"/>
    </row>
    <row r="19" spans="4:53" ht="16">
      <c r="D19" s="1256" t="str">
        <v>2.2</v>
      </c>
      <c r="E19" s="976">
        <v>48</v>
      </c>
      <c r="F19" s="976">
        <v>24</v>
      </c>
      <c r="G19" s="976">
        <v>71</v>
      </c>
      <c r="H19" s="976">
        <v>46750</v>
      </c>
      <c r="I19" s="976">
        <v>327250</v>
      </c>
      <c r="J19" s="976">
        <v>560000</v>
      </c>
      <c r="K19" s="976">
        <v>1120000</v>
      </c>
      <c r="L19" s="976">
        <v>0</v>
      </c>
      <c r="M19" s="976">
        <v>205400</v>
      </c>
      <c r="N19" s="976">
        <v>2259400</v>
      </c>
      <c r="O19" s="1083">
        <f t="shared" si="1"/>
        <v>2547084.9307376216</v>
      </c>
      <c r="P19" s="1257">
        <f ca="1"/>
        <v>15148467.591179606</v>
      </c>
      <c r="Q19" s="958"/>
      <c r="R19" s="1329" t="str">
        <v>2.111</v>
      </c>
      <c r="S19" s="968">
        <v>48</v>
      </c>
      <c r="T19" s="968" t="str">
        <v/>
      </c>
      <c r="U19" s="968">
        <v>19</v>
      </c>
      <c r="V19" s="968">
        <v>380</v>
      </c>
      <c r="W19" s="1330">
        <f ca="1"/>
        <v>10709616.19987935</v>
      </c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</row>
    <row r="20" spans="4:53" ht="16">
      <c r="D20" s="1256" t="str">
        <v>3.1</v>
      </c>
      <c r="E20" s="976">
        <v>24</v>
      </c>
      <c r="F20" s="976">
        <v>24</v>
      </c>
      <c r="G20" s="976">
        <v>47</v>
      </c>
      <c r="H20" s="976">
        <v>0</v>
      </c>
      <c r="I20" s="976">
        <v>0</v>
      </c>
      <c r="J20" s="976">
        <v>0</v>
      </c>
      <c r="K20" s="976">
        <v>0</v>
      </c>
      <c r="L20" s="976">
        <v>0</v>
      </c>
      <c r="M20" s="976">
        <v>0</v>
      </c>
      <c r="N20" s="976">
        <v>0</v>
      </c>
      <c r="O20" s="1083">
        <f t="shared" si="1"/>
        <v>0</v>
      </c>
      <c r="P20" s="1257">
        <f ca="1"/>
        <v>0</v>
      </c>
      <c r="Q20" s="958"/>
      <c r="R20" s="1329" t="str">
        <v>2.112</v>
      </c>
      <c r="S20" s="968">
        <v>48</v>
      </c>
      <c r="T20" s="968" t="str">
        <v/>
      </c>
      <c r="U20" s="968">
        <v>56</v>
      </c>
      <c r="V20" s="968">
        <v>0</v>
      </c>
      <c r="W20" s="1330">
        <f ca="1"/>
        <v>0</v>
      </c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99"/>
      <c r="AL20" s="99"/>
    </row>
    <row r="21" spans="4:53" ht="16">
      <c r="D21" s="1256" t="str">
        <v>3.2</v>
      </c>
      <c r="E21" s="976">
        <v>24</v>
      </c>
      <c r="F21" s="976">
        <v>24</v>
      </c>
      <c r="G21" s="976">
        <v>47</v>
      </c>
      <c r="H21" s="976">
        <v>0</v>
      </c>
      <c r="I21" s="976">
        <v>0</v>
      </c>
      <c r="J21" s="976">
        <v>0</v>
      </c>
      <c r="K21" s="976">
        <v>0</v>
      </c>
      <c r="L21" s="976">
        <v>0</v>
      </c>
      <c r="M21" s="976">
        <v>0</v>
      </c>
      <c r="N21" s="976">
        <v>0</v>
      </c>
      <c r="O21" s="1083">
        <f t="shared" si="1"/>
        <v>0</v>
      </c>
      <c r="P21" s="1257">
        <f ca="1"/>
        <v>0</v>
      </c>
      <c r="Q21" s="958"/>
      <c r="R21" s="1329" t="str">
        <v>2.201</v>
      </c>
      <c r="S21" s="968">
        <v>72</v>
      </c>
      <c r="T21" s="968">
        <v>5600</v>
      </c>
      <c r="U21" s="968">
        <v>28</v>
      </c>
      <c r="V21" s="968">
        <v>112</v>
      </c>
      <c r="W21" s="1330">
        <f ca="1"/>
        <v>16086987.403644357</v>
      </c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</row>
    <row r="22" spans="4:53" ht="16">
      <c r="D22" s="1256" t="str">
        <v>4.1</v>
      </c>
      <c r="E22" s="976">
        <v>60</v>
      </c>
      <c r="F22" s="976">
        <v>18</v>
      </c>
      <c r="G22" s="976">
        <v>77</v>
      </c>
      <c r="H22" s="976">
        <v>50000</v>
      </c>
      <c r="I22" s="976">
        <v>391500</v>
      </c>
      <c r="J22" s="976">
        <v>672250</v>
      </c>
      <c r="K22" s="976">
        <v>2016750</v>
      </c>
      <c r="L22" s="976">
        <v>0</v>
      </c>
      <c r="M22" s="976">
        <v>313050</v>
      </c>
      <c r="N22" s="976">
        <v>3443550</v>
      </c>
      <c r="O22" s="1083">
        <f t="shared" si="1"/>
        <v>4000085.4681246532</v>
      </c>
      <c r="P22" s="1257">
        <f ca="1"/>
        <v>21236644.627644084</v>
      </c>
      <c r="Q22" s="958"/>
      <c r="R22" s="1329" t="str">
        <v>2.202</v>
      </c>
      <c r="S22" s="968">
        <v>73</v>
      </c>
      <c r="T22" s="968">
        <v>4125</v>
      </c>
      <c r="U22" s="968">
        <v>21</v>
      </c>
      <c r="V22" s="968">
        <v>75</v>
      </c>
      <c r="W22" s="1330">
        <f ca="1"/>
        <v>11879414.303148761</v>
      </c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</row>
    <row r="23" spans="4:53" ht="27" customHeight="1">
      <c r="D23" s="1256" t="str">
        <v>4.2</v>
      </c>
      <c r="E23" s="976">
        <v>84</v>
      </c>
      <c r="F23" s="976">
        <v>12</v>
      </c>
      <c r="G23" s="976">
        <v>95</v>
      </c>
      <c r="H23" s="976">
        <v>71750</v>
      </c>
      <c r="I23" s="976">
        <v>430500</v>
      </c>
      <c r="J23" s="976">
        <v>1067500</v>
      </c>
      <c r="K23" s="976">
        <v>3202500</v>
      </c>
      <c r="L23" s="976">
        <v>0</v>
      </c>
      <c r="M23" s="976">
        <v>477225</v>
      </c>
      <c r="N23" s="976">
        <v>5249475</v>
      </c>
      <c r="O23" s="1083">
        <f t="shared" si="1"/>
        <v>6474465.1916132011</v>
      </c>
      <c r="P23" s="1257">
        <f ca="1"/>
        <v>35272954.302190296</v>
      </c>
      <c r="Q23" s="958"/>
      <c r="R23" s="1329" t="str">
        <v>2.203</v>
      </c>
      <c r="S23" s="968">
        <v>72</v>
      </c>
      <c r="T23" s="968" t="str">
        <v/>
      </c>
      <c r="U23" s="968">
        <v>33</v>
      </c>
      <c r="V23" s="968">
        <v>0</v>
      </c>
      <c r="W23" s="1330">
        <f ca="1"/>
        <v>0</v>
      </c>
      <c r="X23" s="99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</row>
    <row r="24" spans="4:53" ht="25" customHeight="1">
      <c r="D24" s="1256"/>
      <c r="E24" s="976">
        <v>0</v>
      </c>
      <c r="F24" s="976">
        <v>0</v>
      </c>
      <c r="G24" s="976">
        <v>0</v>
      </c>
      <c r="H24" s="976">
        <v>0</v>
      </c>
      <c r="I24" s="976">
        <v>0</v>
      </c>
      <c r="J24" s="976">
        <v>0</v>
      </c>
      <c r="K24" s="976">
        <v>0</v>
      </c>
      <c r="L24" s="976">
        <v>0</v>
      </c>
      <c r="M24" s="976">
        <v>0</v>
      </c>
      <c r="N24" s="976">
        <v>0</v>
      </c>
      <c r="O24" s="1083">
        <f t="shared" si="1"/>
        <v>0</v>
      </c>
      <c r="P24" s="1257"/>
      <c r="Q24" s="958"/>
      <c r="R24" s="1329" t="str">
        <v>2.204</v>
      </c>
      <c r="S24" s="968">
        <v>72</v>
      </c>
      <c r="T24" s="968" t="str">
        <v/>
      </c>
      <c r="U24" s="968">
        <v>41</v>
      </c>
      <c r="V24" s="968">
        <v>0</v>
      </c>
      <c r="W24" s="1330">
        <f ca="1"/>
        <v>0</v>
      </c>
      <c r="X24" s="99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</row>
    <row r="25" spans="4:53" ht="19.25" customHeight="1">
      <c r="D25" s="1256"/>
      <c r="E25" s="976"/>
      <c r="F25" s="976"/>
      <c r="G25" s="976"/>
      <c r="H25" s="976"/>
      <c r="I25" s="976"/>
      <c r="J25" s="976"/>
      <c r="K25" s="976"/>
      <c r="L25" s="976"/>
      <c r="M25" s="976"/>
      <c r="N25" s="976"/>
      <c r="O25" s="1083">
        <f t="shared" si="1"/>
        <v>0</v>
      </c>
      <c r="P25" s="1257"/>
      <c r="Q25" s="958"/>
      <c r="R25" s="1329"/>
      <c r="S25" s="968">
        <v>0</v>
      </c>
      <c r="T25" s="968" t="str">
        <v/>
      </c>
      <c r="U25" s="968">
        <v>0</v>
      </c>
      <c r="V25" s="968">
        <v>0</v>
      </c>
      <c r="W25" s="1330">
        <f ca="1"/>
        <v>0</v>
      </c>
      <c r="X25" s="99"/>
      <c r="Y25" s="99"/>
      <c r="Z25" s="99"/>
      <c r="AA25" s="99"/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</row>
    <row r="26" spans="4:53" ht="16">
      <c r="D26" s="1256"/>
      <c r="E26" s="976"/>
      <c r="F26" s="976"/>
      <c r="G26" s="976"/>
      <c r="H26" s="976"/>
      <c r="I26" s="976"/>
      <c r="J26" s="976"/>
      <c r="K26" s="976"/>
      <c r="L26" s="976"/>
      <c r="M26" s="976"/>
      <c r="N26" s="976"/>
      <c r="O26" s="1083">
        <f t="shared" si="1"/>
        <v>0</v>
      </c>
      <c r="P26" s="1257"/>
      <c r="Q26" s="958"/>
      <c r="R26" s="1329"/>
      <c r="S26" s="968">
        <v>0</v>
      </c>
      <c r="T26" s="968" t="str">
        <v/>
      </c>
      <c r="U26" s="968">
        <v>0</v>
      </c>
      <c r="V26" s="968">
        <v>0</v>
      </c>
      <c r="W26" s="1330">
        <f ca="1"/>
        <v>0</v>
      </c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</row>
    <row r="27" spans="4:53" ht="16">
      <c r="D27" s="1256"/>
      <c r="E27" s="976"/>
      <c r="F27" s="976"/>
      <c r="G27" s="976"/>
      <c r="H27" s="976"/>
      <c r="I27" s="976"/>
      <c r="J27" s="976"/>
      <c r="K27" s="976"/>
      <c r="L27" s="976"/>
      <c r="M27" s="976"/>
      <c r="N27" s="976"/>
      <c r="O27" s="1083">
        <f t="shared" si="1"/>
        <v>0</v>
      </c>
      <c r="P27" s="1257"/>
      <c r="Q27" s="958"/>
      <c r="R27" s="1329"/>
      <c r="S27" s="968">
        <v>0</v>
      </c>
      <c r="T27" s="968" t="str">
        <v/>
      </c>
      <c r="U27" s="968">
        <v>0</v>
      </c>
      <c r="V27" s="968">
        <v>0</v>
      </c>
      <c r="W27" s="1330">
        <f ca="1"/>
        <v>0</v>
      </c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</row>
    <row r="28" spans="4:53" ht="17" thickBot="1">
      <c r="D28" s="1256"/>
      <c r="E28" s="976"/>
      <c r="F28" s="976"/>
      <c r="G28" s="976"/>
      <c r="H28" s="976"/>
      <c r="I28" s="976"/>
      <c r="J28" s="976"/>
      <c r="K28" s="976"/>
      <c r="L28" s="976"/>
      <c r="M28" s="976"/>
      <c r="N28" s="976"/>
      <c r="O28" s="1083">
        <f t="shared" si="1"/>
        <v>0</v>
      </c>
      <c r="P28" s="1257"/>
      <c r="Q28" s="958"/>
      <c r="R28" s="1331"/>
      <c r="S28" s="1332">
        <v>0</v>
      </c>
      <c r="T28" s="1332" t="str">
        <v/>
      </c>
      <c r="U28" s="1332">
        <v>0</v>
      </c>
      <c r="V28" s="1332">
        <v>0</v>
      </c>
      <c r="W28" s="1333">
        <f ca="1"/>
        <v>0</v>
      </c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</row>
    <row r="29" spans="4:53" ht="18" thickTop="1" thickBot="1">
      <c r="D29" s="1256"/>
      <c r="E29" s="976"/>
      <c r="F29" s="976"/>
      <c r="G29" s="976"/>
      <c r="H29" s="976"/>
      <c r="I29" s="976"/>
      <c r="J29" s="976"/>
      <c r="K29" s="976"/>
      <c r="L29" s="976"/>
      <c r="M29" s="976"/>
      <c r="N29" s="976"/>
      <c r="O29" s="1083">
        <f t="shared" si="1"/>
        <v>0</v>
      </c>
      <c r="P29" s="1257"/>
      <c r="Q29" s="958"/>
      <c r="R29" s="969"/>
      <c r="S29" s="969"/>
      <c r="T29" s="1264"/>
      <c r="U29" s="969"/>
      <c r="V29" s="969"/>
      <c r="W29" s="969"/>
      <c r="X29" s="969"/>
      <c r="Y29" s="969"/>
      <c r="Z29" s="969"/>
      <c r="AA29" s="969"/>
      <c r="AB29" s="969"/>
      <c r="AC29" s="969"/>
      <c r="AD29" s="969"/>
      <c r="AE29" s="969"/>
      <c r="AF29" s="99"/>
      <c r="AG29" s="345"/>
      <c r="AH29" s="345"/>
      <c r="AI29" s="345"/>
      <c r="AJ29" s="345"/>
      <c r="AK29" s="345"/>
      <c r="AL29" s="345"/>
      <c r="AM29" s="345"/>
      <c r="AO29" s="345" t="s">
        <v>508</v>
      </c>
      <c r="AP29" s="345"/>
      <c r="AQ29" s="345"/>
      <c r="AR29" s="345"/>
      <c r="AS29" s="345"/>
      <c r="AT29" s="345"/>
      <c r="AU29" s="345"/>
      <c r="AV29" s="345"/>
      <c r="AW29" s="345"/>
      <c r="AX29" s="345"/>
      <c r="AY29" s="345"/>
      <c r="AZ29" s="345"/>
      <c r="BA29" s="345"/>
    </row>
    <row r="30" spans="4:53" ht="36" thickTop="1" thickBot="1">
      <c r="D30" s="1256"/>
      <c r="E30" s="976"/>
      <c r="F30" s="976"/>
      <c r="G30" s="976"/>
      <c r="H30" s="976"/>
      <c r="I30" s="976"/>
      <c r="J30" s="976"/>
      <c r="K30" s="976"/>
      <c r="L30" s="976"/>
      <c r="M30" s="976"/>
      <c r="N30" s="976"/>
      <c r="O30" s="1083">
        <f t="shared" si="1"/>
        <v>0</v>
      </c>
      <c r="P30" s="1257"/>
      <c r="Q30" s="958"/>
      <c r="R30" s="1355"/>
      <c r="S30" s="1356" t="s">
        <v>68</v>
      </c>
      <c r="T30" s="1356" t="s">
        <v>39</v>
      </c>
      <c r="U30" s="1356" t="s">
        <v>92</v>
      </c>
      <c r="V30" s="1356" t="s">
        <v>655</v>
      </c>
      <c r="W30" s="1356" t="s">
        <v>139</v>
      </c>
      <c r="X30" s="1357" t="str">
        <f>iProject!Y8</f>
        <v>Less:</v>
      </c>
      <c r="Y30" s="1357" t="str">
        <f>iProject!Z8</f>
        <v>Gross</v>
      </c>
      <c r="Z30" s="1724" t="s">
        <v>2</v>
      </c>
      <c r="AA30" s="1725"/>
      <c r="AB30" s="1722" t="str">
        <f>iProject!AC8</f>
        <v>Net Sale Proceeds</v>
      </c>
      <c r="AC30" s="1722">
        <f>iProject!AD8</f>
        <v>0</v>
      </c>
      <c r="AD30" s="1722">
        <f>iProject!AE8</f>
        <v>0</v>
      </c>
      <c r="AE30" s="1723">
        <f>iProject!AF8</f>
        <v>0</v>
      </c>
      <c r="AF30" s="99"/>
      <c r="AG30" s="560" t="s">
        <v>248</v>
      </c>
      <c r="AH30" s="561"/>
      <c r="AI30" s="561"/>
      <c r="AJ30" s="562"/>
      <c r="AK30" s="562"/>
      <c r="AL30" s="562"/>
      <c r="AM30" s="562"/>
      <c r="AO30" s="343" t="s">
        <v>249</v>
      </c>
      <c r="AP30" s="343"/>
      <c r="AQ30" s="343"/>
      <c r="AR30" s="343"/>
      <c r="AS30" s="1262" t="s">
        <v>11</v>
      </c>
      <c r="AT30" s="1263"/>
      <c r="AU30" s="346" t="s">
        <v>139</v>
      </c>
      <c r="AV30" s="346" t="str">
        <f t="shared" ref="AV30:AZ31" si="2">X30</f>
        <v>Less:</v>
      </c>
      <c r="AW30" s="346" t="str">
        <f t="shared" si="2"/>
        <v>Gross</v>
      </c>
      <c r="AX30" s="346" t="str">
        <f t="shared" si="2"/>
        <v>Cost of Sale</v>
      </c>
      <c r="AY30" s="346">
        <f t="shared" si="2"/>
        <v>0</v>
      </c>
      <c r="AZ30" s="346" t="str">
        <f t="shared" si="2"/>
        <v>Net Sale Proceeds</v>
      </c>
      <c r="BA30" s="346" t="s">
        <v>104</v>
      </c>
    </row>
    <row r="31" spans="4:53" ht="19" thickTop="1" thickBot="1">
      <c r="D31" s="1256"/>
      <c r="E31" s="976"/>
      <c r="F31" s="976"/>
      <c r="G31" s="976"/>
      <c r="H31" s="976"/>
      <c r="I31" s="976"/>
      <c r="J31" s="976"/>
      <c r="K31" s="976"/>
      <c r="L31" s="976"/>
      <c r="M31" s="976"/>
      <c r="N31" s="976"/>
      <c r="O31" s="1083">
        <f t="shared" si="1"/>
        <v>0</v>
      </c>
      <c r="P31" s="1257"/>
      <c r="Q31" s="958"/>
      <c r="R31" s="1358" t="s">
        <v>138</v>
      </c>
      <c r="S31" s="1016" t="s">
        <v>5</v>
      </c>
      <c r="T31" s="1016" t="s">
        <v>223</v>
      </c>
      <c r="U31" s="1016" t="s">
        <v>48</v>
      </c>
      <c r="V31" s="1016" t="s">
        <v>9</v>
      </c>
      <c r="W31" s="1016" t="s">
        <v>104</v>
      </c>
      <c r="X31" s="1017" t="str">
        <f>iProject!Y9</f>
        <v>Subd Cost</v>
      </c>
      <c r="Y31" s="1017" t="str">
        <f>iProject!Z9</f>
        <v>Revenue</v>
      </c>
      <c r="Z31" s="1017" t="str">
        <f>iProject!AA9</f>
        <v>Commissions</v>
      </c>
      <c r="AA31" s="1017" t="s">
        <v>95</v>
      </c>
      <c r="AB31" s="1015" t="str">
        <f>iProject!AC9</f>
        <v>Total</v>
      </c>
      <c r="AC31" s="1015" t="str">
        <f>iProject!AD9</f>
        <v>$/FF</v>
      </c>
      <c r="AD31" s="1015" t="str">
        <f>iProject!AE9</f>
        <v>$/Lot</v>
      </c>
      <c r="AE31" s="1359" t="str">
        <f>iProject!AF9</f>
        <v>$/Acre</v>
      </c>
      <c r="AF31" s="99"/>
      <c r="AG31" s="563" t="s">
        <v>37</v>
      </c>
      <c r="AH31" s="563" t="s">
        <v>38</v>
      </c>
      <c r="AI31" s="563" t="s">
        <v>48</v>
      </c>
      <c r="AJ31" s="563" t="s">
        <v>44</v>
      </c>
      <c r="AK31" s="563" t="s">
        <v>4</v>
      </c>
      <c r="AL31" s="564" t="s">
        <v>321</v>
      </c>
      <c r="AM31" s="564" t="s">
        <v>47</v>
      </c>
      <c r="AO31" s="353" t="s">
        <v>37</v>
      </c>
      <c r="AP31" s="353" t="s">
        <v>38</v>
      </c>
      <c r="AQ31" s="353" t="s">
        <v>44</v>
      </c>
      <c r="AR31" s="353" t="s">
        <v>242</v>
      </c>
      <c r="AS31" s="353" t="s">
        <v>300</v>
      </c>
      <c r="AT31" s="353" t="s">
        <v>95</v>
      </c>
      <c r="AU31" s="347" t="s">
        <v>104</v>
      </c>
      <c r="AV31" s="347" t="str">
        <f t="shared" si="2"/>
        <v>Subd Cost</v>
      </c>
      <c r="AW31" s="347" t="str">
        <f t="shared" si="2"/>
        <v>Revenue</v>
      </c>
      <c r="AX31" s="347" t="str">
        <f t="shared" si="2"/>
        <v>Commissions</v>
      </c>
      <c r="AY31" s="347" t="str">
        <f t="shared" si="2"/>
        <v>Other</v>
      </c>
      <c r="AZ31" s="347" t="str">
        <f t="shared" si="2"/>
        <v>Total</v>
      </c>
      <c r="BA31" s="347" t="str">
        <f>AC31</f>
        <v>$/FF</v>
      </c>
    </row>
    <row r="32" spans="4:53" ht="18" thickTop="1" thickBot="1">
      <c r="D32" s="1256"/>
      <c r="E32" s="976"/>
      <c r="F32" s="976"/>
      <c r="G32" s="976"/>
      <c r="H32" s="976"/>
      <c r="I32" s="976"/>
      <c r="J32" s="976"/>
      <c r="K32" s="976"/>
      <c r="L32" s="976"/>
      <c r="M32" s="976"/>
      <c r="N32" s="976"/>
      <c r="O32" s="1083">
        <f t="shared" si="1"/>
        <v>0</v>
      </c>
      <c r="P32" s="1257"/>
      <c r="Q32" s="958"/>
      <c r="R32" s="1360" t="str" cm="1">
        <f t="array" ref="R32:R73">tbl_Planning[Parcel ID]</f>
        <v>1.101</v>
      </c>
      <c r="S32" s="975">
        <v>26</v>
      </c>
      <c r="T32" s="975">
        <v>6400</v>
      </c>
      <c r="U32" s="975">
        <v>32</v>
      </c>
      <c r="V32" s="975">
        <v>128</v>
      </c>
      <c r="W32" s="975">
        <v>16390233.069539547</v>
      </c>
      <c r="X32" s="975">
        <f t="shared" ref="X32:X73" si="3">IF(T32=0,0,T32*FV(i_Inflate.Cost/12,S32,0,i_Cost.Subd))</f>
        <v>-8878042.912667254</v>
      </c>
      <c r="Y32" s="975">
        <f>W32+X32</f>
        <v>7512190.156872293</v>
      </c>
      <c r="Z32" s="975">
        <f t="shared" ref="Z32:Z45" si="4">IFERROR(Y32*-i_Cost.Commisions,"")</f>
        <v>-225365.70470616879</v>
      </c>
      <c r="AA32" s="975">
        <f t="shared" ref="AA32:AA45" si="5">IFERROR(Y32*-i_Cost.OtherCOS,"")</f>
        <v>-75121.901568722926</v>
      </c>
      <c r="AB32" s="975">
        <f t="shared" ref="AB32:AB45" si="6">IFERROR(Y32+Z32+AA32,"")</f>
        <v>7211702.5505974013</v>
      </c>
      <c r="AC32" s="975">
        <f t="shared" ref="AC32:AC73" si="7">IFERROR(AB32/T32,"")</f>
        <v>1126.828523530844</v>
      </c>
      <c r="AD32" s="975">
        <f t="shared" ref="AD32:AD63" si="8">IFERROR(AB32/AJ32,"")</f>
        <v>56341.426176542198</v>
      </c>
      <c r="AE32" s="1361">
        <f>IFERROR(AB32/U32,"")</f>
        <v>225365.70470616879</v>
      </c>
      <c r="AF32" s="99"/>
      <c r="AG32" s="975" t="str" cm="1">
        <f t="array" aca="1" ref="AG32:AG73" ca="1">IFERROR(LEFT(_xlfn.ANCHORARRAY(AH32), FIND(".",_xlfn.ANCHORARRAY( AH32))-1),_xlfn.ANCHORARRAY( AH32))</f>
        <v>1</v>
      </c>
      <c r="AH32" s="1250" cm="1">
        <f t="array" aca="1" ref="AH32:AH73" ca="1">VALUE(list_PhaseID)</f>
        <v>1.1000000000000001</v>
      </c>
      <c r="AI32" s="975" cm="1">
        <f t="array" ref="AI32:AI73">tbl_Planning[Acres]</f>
        <v>32</v>
      </c>
      <c r="AJ32" s="975" cm="1">
        <f t="array" ref="AJ32:AJ73">tbl_Planning[Units]</f>
        <v>128</v>
      </c>
      <c r="AK32" s="975" cm="1">
        <f t="array" ref="AK32:AK84">CEILING(S32:S84/12,1)</f>
        <v>3</v>
      </c>
      <c r="AL32" s="975" cm="1">
        <f t="array" ref="AL32:AL84">S32:S84</f>
        <v>26</v>
      </c>
      <c r="AM32" s="975" t="e" cm="1">
        <f t="array" ref="AM32">#REF!</f>
        <v>#REF!</v>
      </c>
      <c r="AO32" s="349" cm="1">
        <f t="array" aca="1" ref="AO32:AO39" ca="1">VALUE(LOOKUP(_xlfn.ANCHORARRAY(AP32),_xlfn.ANCHORARRAY(AH32),_xlfn.ANCHORARRAY(AG32)))</f>
        <v>1</v>
      </c>
      <c r="AP32" s="351" cm="1">
        <f t="array" aca="1" ref="AP32:AP39" ca="1">_xlfn.UNIQUE(_xlfn.ANCHORARRAY(AH32))</f>
        <v>1.1000000000000001</v>
      </c>
      <c r="AQ32" s="351" cm="1">
        <f t="array" aca="1" ref="AQ32:AQ39" ca="1">SUMIF(_xlfn.ANCHORARRAY(AH32),_xlfn.ANCHORARRAY(AP32),_xlfn.ANCHORARRAY(AJ32))</f>
        <v>323</v>
      </c>
      <c r="AR32" s="349" cm="1">
        <f t="array" aca="1" ref="AR32:AR39" ca="1">COUNTIF(_xlfn.ANCHORARRAY(AH32),_xlfn.ANCHORARRAY(AP32))</f>
        <v>4</v>
      </c>
      <c r="AS32" s="349" cm="1">
        <f t="array" aca="1" ref="AS32:AS39" ca="1">SUMIFS($W$32:$W$84, $AH$32:$AH$84,_xlfn.ANCHORARRAY( $AP32), $T$32:$T$84, "&lt;&gt;0")-_xlfn.ANCHORARRAY(AT32)</f>
        <v>42012777.110280663</v>
      </c>
      <c r="AT32" s="349" cm="1">
        <f t="array" aca="1" ref="AT32:AT39" ca="1">SUMIFS($W$32:$W$84, $AH$32:$AH$84,_xlfn.ANCHORARRAY( $AP32), $T$32:$T$84, "")</f>
        <v>12085235.914868301</v>
      </c>
      <c r="AU32" s="349" cm="1">
        <f t="array" aca="1" ref="AU32:AU39" ca="1">SUMIF(_xlfn.ANCHORARRAY($AH$32),_xlfn.ANCHORARRAY($AP$32),W32:W84)</f>
        <v>54098013.025148965</v>
      </c>
      <c r="AV32" s="349" cm="1">
        <f t="array" aca="1" ref="AV32:AV39" ca="1">SUMIF(_xlfn.ANCHORARRAY($AH$32),_xlfn.ANCHORARRAY($AP$32),X32:X84)</f>
        <v>-22756920.934735361</v>
      </c>
      <c r="AW32" s="349" cm="1">
        <f t="array" aca="1" ref="AW32:AW39" ca="1">SUMIF(_xlfn.ANCHORARRAY($AH$32),_xlfn.ANCHORARRAY($AP$32),Y32:Y84)</f>
        <v>31341092.090413608</v>
      </c>
      <c r="AX32" s="349" cm="1">
        <f t="array" aca="1" ref="AX32:AX39" ca="1">SUMIF(_xlfn.ANCHORARRAY($AH$32),_xlfn.ANCHORARRAY($AP$32),Z32:Z84)</f>
        <v>-940232.76271240832</v>
      </c>
      <c r="AY32" s="349" cm="1">
        <f t="array" aca="1" ref="AY32:AY39" ca="1">SUMIF(_xlfn.ANCHORARRAY($AH$32),_xlfn.ANCHORARRAY($AP$32),AA32:AA84)</f>
        <v>-313410.92090413609</v>
      </c>
      <c r="AZ32" s="349" cm="1">
        <f t="array" aca="1" ref="AZ32:AZ39" ca="1">SUMIF(_xlfn.ANCHORARRAY($AH$32),_xlfn.ANCHORARRAY($AP$32),AB32:AB84)</f>
        <v>30087448.406797066</v>
      </c>
      <c r="BA32" s="349" cm="1">
        <f t="array" aca="1" ref="BA32:BA39" ca="1">SUMIF(_xlfn.ANCHORARRAY($AH$32),_xlfn.ANCHORARRAY($AP$32),AC32:AC84)</f>
        <v>3380.485570592532</v>
      </c>
    </row>
    <row r="33" spans="4:53" ht="18" thickTop="1" thickBot="1">
      <c r="D33" s="1256"/>
      <c r="E33" s="976"/>
      <c r="F33" s="976"/>
      <c r="G33" s="976"/>
      <c r="H33" s="976"/>
      <c r="I33" s="976"/>
      <c r="J33" s="976"/>
      <c r="K33" s="976"/>
      <c r="L33" s="976"/>
      <c r="M33" s="976"/>
      <c r="N33" s="976"/>
      <c r="O33" s="1083">
        <f t="shared" si="1"/>
        <v>0</v>
      </c>
      <c r="P33" s="1257"/>
      <c r="Q33" s="958"/>
      <c r="R33" s="1360" t="str">
        <v>1.102</v>
      </c>
      <c r="S33" s="975">
        <v>26</v>
      </c>
      <c r="T33" s="975">
        <v>4920</v>
      </c>
      <c r="U33" s="975">
        <v>25</v>
      </c>
      <c r="V33" s="975">
        <v>82</v>
      </c>
      <c r="W33" s="975">
        <v>12599991.672208527</v>
      </c>
      <c r="X33" s="975">
        <f t="shared" si="3"/>
        <v>-6824995.4891129518</v>
      </c>
      <c r="Y33" s="975">
        <f t="shared" ref="Y33:Y84" si="9">W33+X33</f>
        <v>5774996.1830955753</v>
      </c>
      <c r="Z33" s="975">
        <f t="shared" si="4"/>
        <v>-173249.88549286727</v>
      </c>
      <c r="AA33" s="975">
        <f t="shared" si="5"/>
        <v>-57749.961830955755</v>
      </c>
      <c r="AB33" s="975">
        <f t="shared" si="6"/>
        <v>5543996.3357717525</v>
      </c>
      <c r="AC33" s="975">
        <f t="shared" si="7"/>
        <v>1126.828523530844</v>
      </c>
      <c r="AD33" s="975">
        <f t="shared" si="8"/>
        <v>67609.711411850643</v>
      </c>
      <c r="AE33" s="1361">
        <f t="shared" ref="AE33:AE84" si="10">IFERROR(AB33/U33,"")</f>
        <v>221759.85343087011</v>
      </c>
      <c r="AF33" s="99"/>
      <c r="AG33" s="975" t="str">
        <f ca="1"/>
        <v>1</v>
      </c>
      <c r="AH33" s="1250">
        <f ca="1"/>
        <v>1.1000000000000001</v>
      </c>
      <c r="AI33" s="975">
        <v>25</v>
      </c>
      <c r="AJ33" s="975">
        <v>82</v>
      </c>
      <c r="AK33" s="975">
        <v>3</v>
      </c>
      <c r="AL33" s="975">
        <v>26</v>
      </c>
      <c r="AM33" s="975"/>
      <c r="AO33" s="348">
        <f ca="1"/>
        <v>1</v>
      </c>
      <c r="AP33" s="352">
        <f ca="1"/>
        <v>1.2</v>
      </c>
      <c r="AQ33" s="348">
        <f ca="1"/>
        <v>788</v>
      </c>
      <c r="AR33" s="348">
        <f ca="1"/>
        <v>6</v>
      </c>
      <c r="AS33" s="349">
        <f ca="1"/>
        <v>57051949.373806</v>
      </c>
      <c r="AT33" s="349">
        <f ca="1"/>
        <v>23611946.313679904</v>
      </c>
      <c r="AU33" s="348">
        <f ca="1"/>
        <v>80663895.687485904</v>
      </c>
      <c r="AV33" s="348">
        <f ca="1"/>
        <v>-30903139.244144909</v>
      </c>
      <c r="AW33" s="348">
        <f ca="1"/>
        <v>49760756.443340987</v>
      </c>
      <c r="AX33" s="348">
        <f ca="1"/>
        <v>-1492822.69330023</v>
      </c>
      <c r="AY33" s="348">
        <f ca="1"/>
        <v>-497607.56443340995</v>
      </c>
      <c r="AZ33" s="348">
        <f ca="1"/>
        <v>47770326.185607359</v>
      </c>
      <c r="BA33" s="348">
        <f ca="1"/>
        <v>4691.0269048305809</v>
      </c>
    </row>
    <row r="34" spans="4:53" ht="18" thickTop="1" thickBot="1">
      <c r="D34" s="1256"/>
      <c r="E34" s="976"/>
      <c r="F34" s="976"/>
      <c r="G34" s="976"/>
      <c r="H34" s="976"/>
      <c r="I34" s="976"/>
      <c r="J34" s="976"/>
      <c r="K34" s="976"/>
      <c r="L34" s="976"/>
      <c r="M34" s="976"/>
      <c r="N34" s="976"/>
      <c r="O34" s="1083">
        <f t="shared" si="1"/>
        <v>0</v>
      </c>
      <c r="P34" s="1257"/>
      <c r="Q34" s="958"/>
      <c r="R34" s="1360" t="str">
        <v>1.103</v>
      </c>
      <c r="S34" s="975">
        <v>26</v>
      </c>
      <c r="T34" s="975">
        <v>5085</v>
      </c>
      <c r="U34" s="975">
        <v>21</v>
      </c>
      <c r="V34" s="975">
        <v>113</v>
      </c>
      <c r="W34" s="975">
        <v>13022552.368532594</v>
      </c>
      <c r="X34" s="975">
        <f t="shared" si="3"/>
        <v>-7053882.5329551548</v>
      </c>
      <c r="Y34" s="975">
        <f t="shared" si="9"/>
        <v>5968669.8355774395</v>
      </c>
      <c r="Z34" s="975">
        <f t="shared" si="4"/>
        <v>-179060.09506732319</v>
      </c>
      <c r="AA34" s="975">
        <f t="shared" si="5"/>
        <v>-59686.698355774395</v>
      </c>
      <c r="AB34" s="975">
        <f t="shared" si="6"/>
        <v>5729923.0421543419</v>
      </c>
      <c r="AC34" s="975">
        <f t="shared" si="7"/>
        <v>1126.828523530844</v>
      </c>
      <c r="AD34" s="975">
        <f t="shared" si="8"/>
        <v>50707.283558887983</v>
      </c>
      <c r="AE34" s="1361">
        <f t="shared" si="10"/>
        <v>272853.47819782578</v>
      </c>
      <c r="AF34" s="99"/>
      <c r="AG34" s="975" t="str">
        <f ca="1"/>
        <v>1</v>
      </c>
      <c r="AH34" s="1250">
        <f ca="1"/>
        <v>1.1000000000000001</v>
      </c>
      <c r="AI34" s="975">
        <v>21</v>
      </c>
      <c r="AJ34" s="975">
        <v>113</v>
      </c>
      <c r="AK34" s="975">
        <v>3</v>
      </c>
      <c r="AL34" s="975">
        <v>26</v>
      </c>
      <c r="AM34" s="975"/>
      <c r="AO34" s="348">
        <f ca="1"/>
        <v>2</v>
      </c>
      <c r="AP34" s="352">
        <f ca="1"/>
        <v>2.1</v>
      </c>
      <c r="AQ34" s="348">
        <f ca="1"/>
        <v>1570</v>
      </c>
      <c r="AR34" s="348">
        <f ca="1"/>
        <v>12</v>
      </c>
      <c r="AS34" s="349">
        <f ca="1"/>
        <v>77853273.133017689</v>
      </c>
      <c r="AT34" s="349">
        <f ca="1"/>
        <v>40640175.158489533</v>
      </c>
      <c r="AU34" s="348">
        <f ca="1"/>
        <v>118493448.29150721</v>
      </c>
      <c r="AV34" s="348">
        <f ca="1"/>
        <v>-42170522.947051242</v>
      </c>
      <c r="AW34" s="348">
        <f ca="1"/>
        <v>76322925.344455972</v>
      </c>
      <c r="AX34" s="348">
        <f ca="1"/>
        <v>-2289687.7603336792</v>
      </c>
      <c r="AY34" s="348">
        <f ca="1"/>
        <v>-763229.25344455964</v>
      </c>
      <c r="AZ34" s="348">
        <f ca="1"/>
        <v>73270008.330677733</v>
      </c>
      <c r="BA34" s="348">
        <f ca="1"/>
        <v>8333.2087315271747</v>
      </c>
    </row>
    <row r="35" spans="4:53" ht="18" thickTop="1" thickBot="1">
      <c r="D35" s="1256"/>
      <c r="E35" s="976"/>
      <c r="F35" s="976"/>
      <c r="G35" s="976"/>
      <c r="H35" s="976"/>
      <c r="I35" s="976"/>
      <c r="J35" s="976"/>
      <c r="K35" s="976"/>
      <c r="L35" s="976"/>
      <c r="M35" s="976"/>
      <c r="N35" s="976"/>
      <c r="O35" s="1083">
        <f t="shared" si="1"/>
        <v>0</v>
      </c>
      <c r="P35" s="1257"/>
      <c r="Q35" s="958"/>
      <c r="R35" s="1360" t="str">
        <v>1.104</v>
      </c>
      <c r="S35" s="975">
        <v>26</v>
      </c>
      <c r="T35" s="975"/>
      <c r="U35" s="975">
        <v>26</v>
      </c>
      <c r="V35" s="975">
        <v>0</v>
      </c>
      <c r="W35" s="975">
        <v>12085235.914868301</v>
      </c>
      <c r="X35" s="975">
        <f t="shared" si="3"/>
        <v>0</v>
      </c>
      <c r="Y35" s="975">
        <f t="shared" si="9"/>
        <v>12085235.914868301</v>
      </c>
      <c r="Z35" s="975">
        <f t="shared" si="4"/>
        <v>-362557.07744604902</v>
      </c>
      <c r="AA35" s="975">
        <f t="shared" si="5"/>
        <v>-120852.35914868301</v>
      </c>
      <c r="AB35" s="975">
        <f t="shared" si="6"/>
        <v>11601826.478273569</v>
      </c>
      <c r="AC35" s="975" t="str">
        <f t="shared" si="7"/>
        <v/>
      </c>
      <c r="AD35" s="975" t="str">
        <f t="shared" si="8"/>
        <v/>
      </c>
      <c r="AE35" s="1361">
        <f t="shared" si="10"/>
        <v>446224.09531821415</v>
      </c>
      <c r="AF35" s="99"/>
      <c r="AG35" s="975" t="str">
        <f ca="1"/>
        <v>1</v>
      </c>
      <c r="AH35" s="1250">
        <f ca="1"/>
        <v>1.1000000000000001</v>
      </c>
      <c r="AI35" s="975">
        <v>26</v>
      </c>
      <c r="AJ35" s="975">
        <v>0</v>
      </c>
      <c r="AK35" s="975">
        <v>3</v>
      </c>
      <c r="AL35" s="975">
        <v>26</v>
      </c>
      <c r="AM35" s="975"/>
      <c r="AO35" s="348">
        <f ca="1"/>
        <v>2</v>
      </c>
      <c r="AP35" s="352">
        <f ca="1"/>
        <v>2.2000000000000002</v>
      </c>
      <c r="AQ35" s="348">
        <f ca="1"/>
        <v>187</v>
      </c>
      <c r="AR35" s="348">
        <f ca="1"/>
        <v>4</v>
      </c>
      <c r="AS35" s="349">
        <f ca="1"/>
        <v>27966401.706793118</v>
      </c>
      <c r="AT35" s="349">
        <f ca="1"/>
        <v>0</v>
      </c>
      <c r="AU35" s="348">
        <f ca="1"/>
        <v>27966401.706793118</v>
      </c>
      <c r="AV35" s="348">
        <f ca="1"/>
        <v>-15148467.591179606</v>
      </c>
      <c r="AW35" s="348">
        <f ca="1"/>
        <v>12817934.115613513</v>
      </c>
      <c r="AX35" s="348">
        <f ca="1"/>
        <v>-384538.02346840536</v>
      </c>
      <c r="AY35" s="348">
        <f ca="1"/>
        <v>-128179.34115613511</v>
      </c>
      <c r="AZ35" s="348">
        <f ca="1"/>
        <v>12305216.750988971</v>
      </c>
      <c r="BA35" s="348">
        <f ca="1"/>
        <v>2531.1151073841147</v>
      </c>
    </row>
    <row r="36" spans="4:53" ht="18" thickTop="1" thickBot="1">
      <c r="D36" s="1256"/>
      <c r="E36" s="976"/>
      <c r="F36" s="976"/>
      <c r="G36" s="976"/>
      <c r="H36" s="976"/>
      <c r="I36" s="976"/>
      <c r="J36" s="976"/>
      <c r="K36" s="976"/>
      <c r="L36" s="976"/>
      <c r="M36" s="976"/>
      <c r="N36" s="976"/>
      <c r="O36" s="1083">
        <f t="shared" si="1"/>
        <v>0</v>
      </c>
      <c r="P36" s="1257"/>
      <c r="R36" s="1360" t="str">
        <v>1.201</v>
      </c>
      <c r="S36" s="975">
        <v>42</v>
      </c>
      <c r="T36" s="975"/>
      <c r="U36" s="975">
        <v>27</v>
      </c>
      <c r="V36" s="975">
        <v>0</v>
      </c>
      <c r="W36" s="975">
        <v>13061578.038137645</v>
      </c>
      <c r="X36" s="975">
        <f t="shared" si="3"/>
        <v>0</v>
      </c>
      <c r="Y36" s="975">
        <f t="shared" si="9"/>
        <v>13061578.038137645</v>
      </c>
      <c r="Z36" s="975">
        <f t="shared" si="4"/>
        <v>-391847.34114412934</v>
      </c>
      <c r="AA36" s="975">
        <f t="shared" si="5"/>
        <v>-130615.78038137645</v>
      </c>
      <c r="AB36" s="975">
        <f t="shared" si="6"/>
        <v>12539114.916612139</v>
      </c>
      <c r="AC36" s="975" t="str">
        <f t="shared" si="7"/>
        <v/>
      </c>
      <c r="AD36" s="975" t="str">
        <f t="shared" si="8"/>
        <v/>
      </c>
      <c r="AE36" s="1361">
        <f t="shared" si="10"/>
        <v>464411.6635782274</v>
      </c>
      <c r="AF36" s="99"/>
      <c r="AG36" s="975" t="str">
        <f ca="1"/>
        <v>1</v>
      </c>
      <c r="AH36" s="1250">
        <f ca="1"/>
        <v>1.2</v>
      </c>
      <c r="AI36" s="975">
        <v>27</v>
      </c>
      <c r="AJ36" s="975">
        <v>0</v>
      </c>
      <c r="AK36" s="975">
        <v>4</v>
      </c>
      <c r="AL36" s="975">
        <v>42</v>
      </c>
      <c r="AM36" s="975"/>
      <c r="AO36" s="348">
        <f ca="1"/>
        <v>3</v>
      </c>
      <c r="AP36" s="352">
        <f ca="1"/>
        <v>3.1</v>
      </c>
      <c r="AQ36" s="348">
        <f ca="1"/>
        <v>0</v>
      </c>
      <c r="AR36" s="348">
        <f ca="1"/>
        <v>3</v>
      </c>
      <c r="AS36" s="349">
        <f ca="1"/>
        <v>0</v>
      </c>
      <c r="AT36" s="349">
        <f ca="1"/>
        <v>67275779.777204216</v>
      </c>
      <c r="AU36" s="348">
        <f ca="1"/>
        <v>67275779.777204216</v>
      </c>
      <c r="AV36" s="348">
        <f ca="1"/>
        <v>0</v>
      </c>
      <c r="AW36" s="348">
        <f ca="1"/>
        <v>67275779.777204216</v>
      </c>
      <c r="AX36" s="348">
        <f ca="1"/>
        <v>-2018273.3933161264</v>
      </c>
      <c r="AY36" s="348">
        <f ca="1"/>
        <v>-672757.79777204222</v>
      </c>
      <c r="AZ36" s="348">
        <f ca="1"/>
        <v>64584748.586116046</v>
      </c>
      <c r="BA36" s="348">
        <f ca="1"/>
        <v>0</v>
      </c>
    </row>
    <row r="37" spans="4:53" ht="18" thickTop="1" thickBot="1">
      <c r="D37" s="1256"/>
      <c r="E37" s="976"/>
      <c r="F37" s="976"/>
      <c r="G37" s="976"/>
      <c r="H37" s="976"/>
      <c r="I37" s="976"/>
      <c r="J37" s="976"/>
      <c r="K37" s="976"/>
      <c r="L37" s="976"/>
      <c r="M37" s="976"/>
      <c r="N37" s="976"/>
      <c r="O37" s="1083">
        <f t="shared" si="1"/>
        <v>0</v>
      </c>
      <c r="P37" s="1257"/>
      <c r="R37" s="1360" t="str">
        <v>1.202</v>
      </c>
      <c r="S37" s="975">
        <v>42</v>
      </c>
      <c r="T37" s="975"/>
      <c r="U37" s="975">
        <v>19</v>
      </c>
      <c r="V37" s="975">
        <v>380</v>
      </c>
      <c r="W37" s="975">
        <v>10550368.275542259</v>
      </c>
      <c r="X37" s="975">
        <f t="shared" si="3"/>
        <v>0</v>
      </c>
      <c r="Y37" s="975">
        <f t="shared" si="9"/>
        <v>10550368.275542259</v>
      </c>
      <c r="Z37" s="975">
        <f t="shared" si="4"/>
        <v>-316511.04826626775</v>
      </c>
      <c r="AA37" s="975">
        <f t="shared" si="5"/>
        <v>-105503.68275542259</v>
      </c>
      <c r="AB37" s="975">
        <f t="shared" si="6"/>
        <v>10128353.54452057</v>
      </c>
      <c r="AC37" s="975" t="str">
        <f t="shared" si="7"/>
        <v/>
      </c>
      <c r="AD37" s="975">
        <f t="shared" si="8"/>
        <v>26653.561959264658</v>
      </c>
      <c r="AE37" s="1361">
        <f t="shared" si="10"/>
        <v>533071.23918529321</v>
      </c>
      <c r="AF37" s="99"/>
      <c r="AG37" s="975" t="str">
        <f ca="1"/>
        <v>1</v>
      </c>
      <c r="AH37" s="1250">
        <f ca="1"/>
        <v>1.2</v>
      </c>
      <c r="AI37" s="975">
        <v>19</v>
      </c>
      <c r="AJ37" s="975">
        <v>380</v>
      </c>
      <c r="AK37" s="975">
        <v>4</v>
      </c>
      <c r="AL37" s="975">
        <v>42</v>
      </c>
      <c r="AM37" s="975"/>
      <c r="AO37" s="348">
        <f ca="1"/>
        <v>3</v>
      </c>
      <c r="AP37" s="352">
        <f ca="1"/>
        <v>3.2</v>
      </c>
      <c r="AQ37" s="348">
        <f ca="1"/>
        <v>0</v>
      </c>
      <c r="AR37" s="348">
        <f ca="1"/>
        <v>2</v>
      </c>
      <c r="AS37" s="349">
        <f ca="1"/>
        <v>0</v>
      </c>
      <c r="AT37" s="349">
        <f ca="1"/>
        <v>51561729.026324399</v>
      </c>
      <c r="AU37" s="348">
        <f ca="1"/>
        <v>51561729.026324399</v>
      </c>
      <c r="AV37" s="348">
        <f ca="1"/>
        <v>0</v>
      </c>
      <c r="AW37" s="348">
        <f ca="1"/>
        <v>51561729.026324399</v>
      </c>
      <c r="AX37" s="348">
        <f ca="1"/>
        <v>-1546851.8707897319</v>
      </c>
      <c r="AY37" s="348">
        <f ca="1"/>
        <v>-515617.29026324395</v>
      </c>
      <c r="AZ37" s="348">
        <f ca="1"/>
        <v>49499259.865271419</v>
      </c>
      <c r="BA37" s="348">
        <f ca="1"/>
        <v>0</v>
      </c>
    </row>
    <row r="38" spans="4:53" ht="18" thickTop="1" thickBot="1">
      <c r="D38" s="1256"/>
      <c r="E38" s="976"/>
      <c r="F38" s="976"/>
      <c r="G38" s="976"/>
      <c r="H38" s="976"/>
      <c r="I38" s="976"/>
      <c r="J38" s="976"/>
      <c r="K38" s="976"/>
      <c r="L38" s="976"/>
      <c r="M38" s="976"/>
      <c r="N38" s="976"/>
      <c r="O38" s="1083">
        <f t="shared" si="1"/>
        <v>0</v>
      </c>
      <c r="P38" s="1257"/>
      <c r="R38" s="1360" t="str">
        <v>1.203</v>
      </c>
      <c r="S38" s="975">
        <v>42</v>
      </c>
      <c r="T38" s="975">
        <v>4200</v>
      </c>
      <c r="U38" s="975">
        <v>16</v>
      </c>
      <c r="V38" s="975">
        <v>120</v>
      </c>
      <c r="W38" s="975">
        <v>11194496.022891156</v>
      </c>
      <c r="X38" s="975">
        <f t="shared" si="3"/>
        <v>-6063685.3457327085</v>
      </c>
      <c r="Y38" s="975">
        <f t="shared" si="9"/>
        <v>5130810.6771584479</v>
      </c>
      <c r="Z38" s="975">
        <f t="shared" si="4"/>
        <v>-153924.32031475342</v>
      </c>
      <c r="AA38" s="975">
        <f t="shared" si="5"/>
        <v>-51308.106771584484</v>
      </c>
      <c r="AB38" s="975">
        <f t="shared" si="6"/>
        <v>4925578.2500721095</v>
      </c>
      <c r="AC38" s="975">
        <f t="shared" si="7"/>
        <v>1172.7567262076452</v>
      </c>
      <c r="AD38" s="975">
        <f t="shared" si="8"/>
        <v>41046.485417267577</v>
      </c>
      <c r="AE38" s="1361">
        <f t="shared" si="10"/>
        <v>307848.64062950684</v>
      </c>
      <c r="AF38" s="99"/>
      <c r="AG38" s="975" t="str">
        <f ca="1"/>
        <v>1</v>
      </c>
      <c r="AH38" s="1250">
        <f ca="1"/>
        <v>1.2</v>
      </c>
      <c r="AI38" s="975">
        <v>16</v>
      </c>
      <c r="AJ38" s="975">
        <v>120</v>
      </c>
      <c r="AK38" s="975">
        <v>4</v>
      </c>
      <c r="AL38" s="975">
        <v>42</v>
      </c>
      <c r="AM38" s="975"/>
      <c r="AO38" s="348">
        <f ca="1"/>
        <v>4</v>
      </c>
      <c r="AP38" s="352">
        <f ca="1"/>
        <v>4.0999999999999996</v>
      </c>
      <c r="AQ38" s="348">
        <f ca="1"/>
        <v>261</v>
      </c>
      <c r="AR38" s="348">
        <f ca="1"/>
        <v>5</v>
      </c>
      <c r="AS38" s="349">
        <f ca="1"/>
        <v>39206113.158727534</v>
      </c>
      <c r="AT38" s="349">
        <f ca="1"/>
        <v>0</v>
      </c>
      <c r="AU38" s="348">
        <f ca="1"/>
        <v>39206113.158727534</v>
      </c>
      <c r="AV38" s="348">
        <f ca="1"/>
        <v>-21236644.627644084</v>
      </c>
      <c r="AW38" s="348">
        <f ca="1"/>
        <v>17969468.531083453</v>
      </c>
      <c r="AX38" s="348">
        <f ca="1"/>
        <v>-539084.05593250366</v>
      </c>
      <c r="AY38" s="348">
        <f ca="1"/>
        <v>-179694.68531083455</v>
      </c>
      <c r="AZ38" s="348">
        <f ca="1"/>
        <v>17250689.789840117</v>
      </c>
      <c r="BA38" s="348">
        <f ca="1"/>
        <v>3849.1684172198102</v>
      </c>
    </row>
    <row r="39" spans="4:53" ht="18" thickTop="1" thickBot="1">
      <c r="D39" s="1256"/>
      <c r="E39" s="976"/>
      <c r="F39" s="976"/>
      <c r="G39" s="976"/>
      <c r="H39" s="976"/>
      <c r="I39" s="976"/>
      <c r="J39" s="976"/>
      <c r="K39" s="976"/>
      <c r="L39" s="976"/>
      <c r="M39" s="976"/>
      <c r="N39" s="976"/>
      <c r="O39" s="1083">
        <f t="shared" si="1"/>
        <v>0</v>
      </c>
      <c r="P39" s="1257"/>
      <c r="R39" s="1360" t="str">
        <v>1.204</v>
      </c>
      <c r="S39" s="975">
        <v>42</v>
      </c>
      <c r="T39" s="975">
        <v>4320</v>
      </c>
      <c r="U39" s="975">
        <v>20</v>
      </c>
      <c r="V39" s="975">
        <v>96</v>
      </c>
      <c r="W39" s="975">
        <v>11514338.766402332</v>
      </c>
      <c r="X39" s="975">
        <f t="shared" si="3"/>
        <v>-6236933.4984679287</v>
      </c>
      <c r="Y39" s="975">
        <f t="shared" si="9"/>
        <v>5277405.2679344034</v>
      </c>
      <c r="Z39" s="975">
        <f t="shared" si="4"/>
        <v>-158322.1580380321</v>
      </c>
      <c r="AA39" s="975">
        <f t="shared" si="5"/>
        <v>-52774.052679344037</v>
      </c>
      <c r="AB39" s="975">
        <f t="shared" si="6"/>
        <v>5066309.0572170271</v>
      </c>
      <c r="AC39" s="975">
        <f t="shared" si="7"/>
        <v>1172.7567262076452</v>
      </c>
      <c r="AD39" s="975">
        <f t="shared" si="8"/>
        <v>52774.052679344029</v>
      </c>
      <c r="AE39" s="1361">
        <f t="shared" si="10"/>
        <v>253315.45286085136</v>
      </c>
      <c r="AF39" s="99"/>
      <c r="AG39" s="975" t="str">
        <f ca="1"/>
        <v>1</v>
      </c>
      <c r="AH39" s="1250">
        <f ca="1"/>
        <v>1.2</v>
      </c>
      <c r="AI39" s="975">
        <v>20</v>
      </c>
      <c r="AJ39" s="975">
        <v>96</v>
      </c>
      <c r="AK39" s="975">
        <v>4</v>
      </c>
      <c r="AL39" s="975">
        <v>42</v>
      </c>
      <c r="AM39" s="975"/>
      <c r="AO39" s="348">
        <f ca="1"/>
        <v>4</v>
      </c>
      <c r="AP39" s="352">
        <f ca="1"/>
        <v>4.2</v>
      </c>
      <c r="AQ39" s="348">
        <f ca="1"/>
        <v>287</v>
      </c>
      <c r="AR39" s="348">
        <f ca="1"/>
        <v>6</v>
      </c>
      <c r="AS39" s="349">
        <f ca="1"/>
        <v>60493339.030238084</v>
      </c>
      <c r="AT39" s="349">
        <f ca="1"/>
        <v>9964625.4762245957</v>
      </c>
      <c r="AU39" s="348">
        <f ca="1"/>
        <v>70457964.506462678</v>
      </c>
      <c r="AV39" s="348">
        <f ca="1"/>
        <v>-35272954.302190296</v>
      </c>
      <c r="AW39" s="348">
        <f ca="1"/>
        <v>35185010.204272382</v>
      </c>
      <c r="AX39" s="348">
        <f ca="1"/>
        <v>-1055550.3061281715</v>
      </c>
      <c r="AY39" s="348">
        <f ca="1"/>
        <v>-351850.1020427238</v>
      </c>
      <c r="AZ39" s="348">
        <f ca="1"/>
        <v>33777609.796101488</v>
      </c>
      <c r="BA39" s="348">
        <f ca="1"/>
        <v>5734.158523202399</v>
      </c>
    </row>
    <row r="40" spans="4:53" ht="18" thickTop="1" thickBot="1">
      <c r="D40" s="1256"/>
      <c r="E40" s="976"/>
      <c r="F40" s="976"/>
      <c r="G40" s="976"/>
      <c r="H40" s="976"/>
      <c r="I40" s="976"/>
      <c r="J40" s="976"/>
      <c r="K40" s="976"/>
      <c r="L40" s="976"/>
      <c r="M40" s="976"/>
      <c r="N40" s="976"/>
      <c r="O40" s="1083">
        <f t="shared" si="1"/>
        <v>0</v>
      </c>
      <c r="P40" s="1257"/>
      <c r="R40" s="1360" t="str">
        <v>1.205</v>
      </c>
      <c r="S40" s="975">
        <v>42</v>
      </c>
      <c r="T40" s="975">
        <v>7215</v>
      </c>
      <c r="U40" s="975">
        <v>36</v>
      </c>
      <c r="V40" s="975">
        <v>111</v>
      </c>
      <c r="W40" s="975">
        <v>19230544.953609452</v>
      </c>
      <c r="X40" s="975">
        <f t="shared" si="3"/>
        <v>-10416545.183205117</v>
      </c>
      <c r="Y40" s="975">
        <f t="shared" si="9"/>
        <v>8813999.7704043351</v>
      </c>
      <c r="Z40" s="975">
        <f t="shared" si="4"/>
        <v>-264419.99311213003</v>
      </c>
      <c r="AA40" s="975">
        <f t="shared" si="5"/>
        <v>-88139.997704043359</v>
      </c>
      <c r="AB40" s="975">
        <f t="shared" si="6"/>
        <v>8461439.779588161</v>
      </c>
      <c r="AC40" s="975">
        <f t="shared" si="7"/>
        <v>1172.7567262076452</v>
      </c>
      <c r="AD40" s="975">
        <f t="shared" si="8"/>
        <v>76229.187203496942</v>
      </c>
      <c r="AE40" s="1361">
        <f t="shared" si="10"/>
        <v>235039.99387744893</v>
      </c>
      <c r="AF40" s="99"/>
      <c r="AG40" s="975" t="str">
        <f ca="1"/>
        <v>1</v>
      </c>
      <c r="AH40" s="1250">
        <f ca="1"/>
        <v>1.2</v>
      </c>
      <c r="AI40" s="975">
        <v>36</v>
      </c>
      <c r="AJ40" s="975">
        <v>111</v>
      </c>
      <c r="AK40" s="975">
        <v>4</v>
      </c>
      <c r="AL40" s="975">
        <v>42</v>
      </c>
      <c r="AM40" s="975"/>
      <c r="AO40" s="352"/>
      <c r="AP40" s="352"/>
      <c r="AQ40" s="348"/>
      <c r="AR40" s="348"/>
      <c r="AS40" s="349"/>
      <c r="AT40" s="348"/>
      <c r="AU40" s="348"/>
      <c r="AV40" s="348"/>
      <c r="AW40" s="348"/>
      <c r="AX40" s="348"/>
      <c r="AY40" s="348"/>
      <c r="AZ40" s="348"/>
      <c r="BA40" s="348"/>
    </row>
    <row r="41" spans="4:53" ht="18" thickTop="1" thickBot="1">
      <c r="D41" s="1256"/>
      <c r="E41" s="976"/>
      <c r="F41" s="976"/>
      <c r="G41" s="976"/>
      <c r="H41" s="976"/>
      <c r="I41" s="976"/>
      <c r="J41" s="976"/>
      <c r="K41" s="976"/>
      <c r="L41" s="976"/>
      <c r="M41" s="976"/>
      <c r="N41" s="976"/>
      <c r="O41" s="1083">
        <f t="shared" si="1"/>
        <v>0</v>
      </c>
      <c r="P41" s="1257"/>
      <c r="R41" s="1360" t="str">
        <v>1.206</v>
      </c>
      <c r="S41" s="975">
        <v>42</v>
      </c>
      <c r="T41" s="975">
        <v>5670</v>
      </c>
      <c r="U41" s="975">
        <v>29</v>
      </c>
      <c r="V41" s="975">
        <v>81</v>
      </c>
      <c r="W41" s="975">
        <v>15112569.630903061</v>
      </c>
      <c r="X41" s="975">
        <f t="shared" si="3"/>
        <v>-8185975.2167391563</v>
      </c>
      <c r="Y41" s="975">
        <f t="shared" si="9"/>
        <v>6926594.4141639052</v>
      </c>
      <c r="Z41" s="975">
        <f t="shared" si="4"/>
        <v>-207797.83242491714</v>
      </c>
      <c r="AA41" s="975">
        <f t="shared" si="5"/>
        <v>-69265.944141639047</v>
      </c>
      <c r="AB41" s="975">
        <f t="shared" si="6"/>
        <v>6649530.6375973485</v>
      </c>
      <c r="AC41" s="975">
        <f t="shared" si="7"/>
        <v>1172.7567262076452</v>
      </c>
      <c r="AD41" s="975">
        <f t="shared" si="8"/>
        <v>82092.970834535168</v>
      </c>
      <c r="AE41" s="1361">
        <f t="shared" si="10"/>
        <v>229294.15991714995</v>
      </c>
      <c r="AF41" s="99"/>
      <c r="AG41" s="975" t="str">
        <f ca="1"/>
        <v>1</v>
      </c>
      <c r="AH41" s="1250">
        <f ca="1"/>
        <v>1.2</v>
      </c>
      <c r="AI41" s="975">
        <v>29</v>
      </c>
      <c r="AJ41" s="975">
        <v>81</v>
      </c>
      <c r="AK41" s="975">
        <v>4</v>
      </c>
      <c r="AL41" s="975">
        <v>42</v>
      </c>
      <c r="AM41" s="975"/>
      <c r="AO41" s="352"/>
      <c r="AP41" s="352"/>
      <c r="AQ41" s="348"/>
      <c r="AR41" s="348"/>
      <c r="AS41" s="349"/>
      <c r="AT41" s="348"/>
      <c r="AU41" s="348"/>
      <c r="AV41" s="348"/>
      <c r="AW41" s="348"/>
      <c r="AX41" s="348"/>
      <c r="AY41" s="348"/>
      <c r="AZ41" s="348"/>
      <c r="BA41" s="348"/>
    </row>
    <row r="42" spans="4:53" ht="18" thickTop="1" thickBot="1">
      <c r="D42" s="1256"/>
      <c r="E42" s="976"/>
      <c r="F42" s="976"/>
      <c r="G42" s="976"/>
      <c r="H42" s="976"/>
      <c r="I42" s="976"/>
      <c r="J42" s="976"/>
      <c r="K42" s="976"/>
      <c r="L42" s="976"/>
      <c r="M42" s="976"/>
      <c r="N42" s="976"/>
      <c r="O42" s="1083">
        <f t="shared" si="1"/>
        <v>0</v>
      </c>
      <c r="P42" s="1257"/>
      <c r="R42" s="1360" t="str">
        <v>2.101</v>
      </c>
      <c r="S42" s="975">
        <v>48</v>
      </c>
      <c r="T42" s="975">
        <v>3880</v>
      </c>
      <c r="U42" s="975">
        <v>18</v>
      </c>
      <c r="V42" s="975">
        <v>97</v>
      </c>
      <c r="W42" s="975">
        <v>10497678.531923844</v>
      </c>
      <c r="X42" s="975">
        <f t="shared" si="3"/>
        <v>-5686242.5381254153</v>
      </c>
      <c r="Y42" s="975">
        <f t="shared" si="9"/>
        <v>4811435.9937984282</v>
      </c>
      <c r="Z42" s="975">
        <f t="shared" si="4"/>
        <v>-144343.07981395285</v>
      </c>
      <c r="AA42" s="975">
        <f t="shared" si="5"/>
        <v>-48114.359937984285</v>
      </c>
      <c r="AB42" s="975">
        <f t="shared" si="6"/>
        <v>4618978.5540464912</v>
      </c>
      <c r="AC42" s="975">
        <f t="shared" si="7"/>
        <v>1190.4583902181678</v>
      </c>
      <c r="AD42" s="975">
        <f t="shared" si="8"/>
        <v>47618.335608726717</v>
      </c>
      <c r="AE42" s="1361">
        <f t="shared" si="10"/>
        <v>256609.9196692495</v>
      </c>
      <c r="AF42" s="99"/>
      <c r="AG42" s="975" t="str">
        <f ca="1"/>
        <v>2</v>
      </c>
      <c r="AH42" s="1250">
        <f ca="1"/>
        <v>2.1</v>
      </c>
      <c r="AI42" s="975">
        <v>18</v>
      </c>
      <c r="AJ42" s="975">
        <v>97</v>
      </c>
      <c r="AK42" s="975">
        <v>4</v>
      </c>
      <c r="AL42" s="975">
        <v>48</v>
      </c>
      <c r="AM42" s="975"/>
      <c r="AO42" s="352"/>
      <c r="AP42" s="352"/>
      <c r="AQ42" s="348"/>
      <c r="AR42" s="348"/>
      <c r="AS42" s="349"/>
      <c r="AT42" s="348"/>
      <c r="AU42" s="348"/>
      <c r="AV42" s="348"/>
      <c r="AW42" s="348"/>
      <c r="AX42" s="348"/>
      <c r="AY42" s="348"/>
      <c r="AZ42" s="348"/>
      <c r="BA42" s="348"/>
    </row>
    <row r="43" spans="4:53" ht="18" thickTop="1" thickBot="1">
      <c r="D43" s="1258"/>
      <c r="E43" s="1259"/>
      <c r="F43" s="1259"/>
      <c r="G43" s="1259"/>
      <c r="H43" s="1259"/>
      <c r="I43" s="1259"/>
      <c r="J43" s="1259"/>
      <c r="K43" s="1259"/>
      <c r="L43" s="1259"/>
      <c r="M43" s="1259"/>
      <c r="N43" s="1259"/>
      <c r="O43" s="1260">
        <f t="shared" si="1"/>
        <v>0</v>
      </c>
      <c r="P43" s="1261"/>
      <c r="R43" s="1360" t="str">
        <v>2.102</v>
      </c>
      <c r="S43" s="975">
        <v>48</v>
      </c>
      <c r="T43" s="975">
        <v>3645</v>
      </c>
      <c r="U43" s="975">
        <v>17</v>
      </c>
      <c r="V43" s="975">
        <v>81</v>
      </c>
      <c r="W43" s="975">
        <v>9861865.5280573219</v>
      </c>
      <c r="X43" s="975">
        <f t="shared" si="3"/>
        <v>-5341843.8276977167</v>
      </c>
      <c r="Y43" s="975">
        <f t="shared" si="9"/>
        <v>4520021.7003596053</v>
      </c>
      <c r="Z43" s="975">
        <f t="shared" si="4"/>
        <v>-135600.65101078816</v>
      </c>
      <c r="AA43" s="975">
        <f t="shared" si="5"/>
        <v>-45200.217003596052</v>
      </c>
      <c r="AB43" s="975">
        <f t="shared" si="6"/>
        <v>4339220.8323452212</v>
      </c>
      <c r="AC43" s="975">
        <f t="shared" si="7"/>
        <v>1190.4583902181678</v>
      </c>
      <c r="AD43" s="975">
        <f t="shared" si="8"/>
        <v>53570.627559817549</v>
      </c>
      <c r="AE43" s="1361">
        <f t="shared" si="10"/>
        <v>255248.28425560123</v>
      </c>
      <c r="AF43" s="99"/>
      <c r="AG43" s="975" t="str">
        <f ca="1"/>
        <v>2</v>
      </c>
      <c r="AH43" s="1250">
        <f ca="1"/>
        <v>2.1</v>
      </c>
      <c r="AI43" s="975">
        <v>17</v>
      </c>
      <c r="AJ43" s="975">
        <v>81</v>
      </c>
      <c r="AK43" s="975">
        <v>4</v>
      </c>
      <c r="AL43" s="975">
        <v>48</v>
      </c>
      <c r="AM43" s="975"/>
      <c r="AO43" s="352"/>
      <c r="AP43" s="352"/>
      <c r="AQ43" s="348"/>
      <c r="AR43" s="348"/>
      <c r="AS43" s="349"/>
      <c r="AT43" s="348"/>
      <c r="AU43" s="348"/>
      <c r="AV43" s="348"/>
      <c r="AW43" s="348"/>
      <c r="AX43" s="348"/>
      <c r="AY43" s="348"/>
      <c r="AZ43" s="348"/>
      <c r="BA43" s="348"/>
    </row>
    <row r="44" spans="4:53" ht="18" thickTop="1" thickBot="1">
      <c r="D44" s="16"/>
      <c r="E44" s="16"/>
      <c r="F44" s="16"/>
      <c r="G44" s="16"/>
      <c r="H44" s="16"/>
      <c r="I44" s="16"/>
      <c r="O44" s="1084"/>
      <c r="R44" s="1360" t="str">
        <v>2.103</v>
      </c>
      <c r="S44" s="975">
        <v>48</v>
      </c>
      <c r="T44" s="975">
        <v>3250</v>
      </c>
      <c r="U44" s="975">
        <v>16</v>
      </c>
      <c r="V44" s="975">
        <v>65</v>
      </c>
      <c r="W44" s="975">
        <v>8793158.5641114675</v>
      </c>
      <c r="X44" s="975">
        <f t="shared" si="3"/>
        <v>-4762960.8888937114</v>
      </c>
      <c r="Y44" s="975">
        <f t="shared" si="9"/>
        <v>4030197.6752177561</v>
      </c>
      <c r="Z44" s="975">
        <f t="shared" si="4"/>
        <v>-120905.93025653268</v>
      </c>
      <c r="AA44" s="975">
        <f t="shared" si="5"/>
        <v>-40301.976752177565</v>
      </c>
      <c r="AB44" s="975">
        <f t="shared" si="6"/>
        <v>3868989.7682090462</v>
      </c>
      <c r="AC44" s="975">
        <f t="shared" si="7"/>
        <v>1190.458390218168</v>
      </c>
      <c r="AD44" s="975">
        <f t="shared" si="8"/>
        <v>59522.919510908403</v>
      </c>
      <c r="AE44" s="1361">
        <f t="shared" si="10"/>
        <v>241811.86051306539</v>
      </c>
      <c r="AF44" s="99"/>
      <c r="AG44" s="975" t="str">
        <f ca="1"/>
        <v>2</v>
      </c>
      <c r="AH44" s="1250">
        <f ca="1"/>
        <v>2.1</v>
      </c>
      <c r="AI44" s="975">
        <v>16</v>
      </c>
      <c r="AJ44" s="975">
        <v>65</v>
      </c>
      <c r="AK44" s="975">
        <v>4</v>
      </c>
      <c r="AL44" s="975">
        <v>48</v>
      </c>
      <c r="AM44" s="975"/>
      <c r="AO44" s="352"/>
      <c r="AP44" s="352"/>
      <c r="AQ44" s="348"/>
      <c r="AR44" s="348"/>
      <c r="AS44" s="349"/>
      <c r="AT44" s="348"/>
      <c r="AU44" s="348"/>
      <c r="AV44" s="348"/>
      <c r="AW44" s="348"/>
      <c r="AX44" s="348"/>
      <c r="AY44" s="348"/>
      <c r="AZ44" s="348"/>
      <c r="BA44" s="348"/>
    </row>
    <row r="45" spans="4:53" ht="18" thickTop="1" thickBot="1">
      <c r="D45" s="16"/>
      <c r="E45" s="16"/>
      <c r="G45" s="517"/>
      <c r="H45" s="16"/>
      <c r="I45" s="16"/>
      <c r="J45" s="16"/>
      <c r="R45" s="1360" t="str">
        <v>2.104</v>
      </c>
      <c r="S45" s="975">
        <v>48</v>
      </c>
      <c r="T45" s="975">
        <v>4520</v>
      </c>
      <c r="U45" s="975">
        <v>21</v>
      </c>
      <c r="V45" s="975">
        <v>113</v>
      </c>
      <c r="W45" s="975">
        <v>12229254.372241179</v>
      </c>
      <c r="X45" s="975">
        <f t="shared" si="3"/>
        <v>-6624179.4516306389</v>
      </c>
      <c r="Y45" s="975">
        <f t="shared" si="9"/>
        <v>5605074.9206105396</v>
      </c>
      <c r="Z45" s="975">
        <f t="shared" si="4"/>
        <v>-168152.24761831618</v>
      </c>
      <c r="AA45" s="975">
        <f t="shared" si="5"/>
        <v>-56050.7492061054</v>
      </c>
      <c r="AB45" s="975">
        <f t="shared" si="6"/>
        <v>5380871.9237861186</v>
      </c>
      <c r="AC45" s="975">
        <f t="shared" si="7"/>
        <v>1190.4583902181678</v>
      </c>
      <c r="AD45" s="975">
        <f t="shared" si="8"/>
        <v>47618.335608726717</v>
      </c>
      <c r="AE45" s="1361">
        <f t="shared" si="10"/>
        <v>256231.99637076756</v>
      </c>
      <c r="AF45" s="99"/>
      <c r="AG45" s="975" t="str">
        <f ca="1"/>
        <v>2</v>
      </c>
      <c r="AH45" s="1250">
        <f ca="1"/>
        <v>2.1</v>
      </c>
      <c r="AI45" s="975">
        <v>21</v>
      </c>
      <c r="AJ45" s="975">
        <v>113</v>
      </c>
      <c r="AK45" s="975">
        <v>4</v>
      </c>
      <c r="AL45" s="975">
        <v>48</v>
      </c>
      <c r="AM45" s="975"/>
      <c r="AO45" s="352"/>
      <c r="AP45" s="352"/>
      <c r="AQ45" s="348"/>
      <c r="AR45" s="348"/>
      <c r="AS45" s="349"/>
      <c r="AT45" s="348"/>
      <c r="AU45" s="348"/>
      <c r="AV45" s="348"/>
      <c r="AW45" s="348"/>
      <c r="AX45" s="348"/>
      <c r="AY45" s="348"/>
      <c r="AZ45" s="348"/>
      <c r="BA45" s="348"/>
    </row>
    <row r="46" spans="4:53" ht="18" thickTop="1" thickBot="1">
      <c r="D46" s="16"/>
      <c r="E46" s="16"/>
      <c r="G46" s="16"/>
      <c r="H46" s="16"/>
      <c r="I46" s="16"/>
      <c r="R46" s="1360" t="str">
        <v>2.105</v>
      </c>
      <c r="S46" s="975">
        <v>48</v>
      </c>
      <c r="T46" s="975">
        <v>4500</v>
      </c>
      <c r="U46" s="975">
        <v>21</v>
      </c>
      <c r="V46" s="975">
        <v>100</v>
      </c>
      <c r="W46" s="975">
        <v>12175142.627231263</v>
      </c>
      <c r="X46" s="975">
        <f t="shared" si="3"/>
        <v>-6594868.9230836006</v>
      </c>
      <c r="Y46" s="975">
        <f t="shared" si="9"/>
        <v>5580273.704147662</v>
      </c>
      <c r="Z46" s="975">
        <f t="shared" ref="Z46:Z53" si="11">IFERROR(Y46*-i_Cost.Commisions,"")</f>
        <v>-167408.21112442986</v>
      </c>
      <c r="AA46" s="975">
        <f t="shared" ref="AA46:AA53" si="12">IFERROR(Y46*-i_Cost.OtherCOS,"")</f>
        <v>-55802.737041476619</v>
      </c>
      <c r="AB46" s="975">
        <f t="shared" ref="AB46:AB53" si="13">IFERROR(Y46+Z46+AA46,"")</f>
        <v>5357062.7559817564</v>
      </c>
      <c r="AC46" s="975">
        <f t="shared" si="7"/>
        <v>1190.458390218168</v>
      </c>
      <c r="AD46" s="975">
        <f t="shared" si="8"/>
        <v>53570.627559817563</v>
      </c>
      <c r="AE46" s="1361">
        <f t="shared" si="10"/>
        <v>255098.22647532175</v>
      </c>
      <c r="AF46" s="99"/>
      <c r="AG46" s="975" t="str">
        <f ca="1"/>
        <v>2</v>
      </c>
      <c r="AH46" s="1250">
        <f ca="1"/>
        <v>2.1</v>
      </c>
      <c r="AI46" s="975">
        <v>21</v>
      </c>
      <c r="AJ46" s="975">
        <v>100</v>
      </c>
      <c r="AK46" s="975">
        <v>4</v>
      </c>
      <c r="AL46" s="975">
        <v>48</v>
      </c>
      <c r="AM46" s="975"/>
      <c r="AO46" s="352"/>
      <c r="AP46" s="352"/>
      <c r="AQ46" s="348"/>
      <c r="AR46" s="348"/>
      <c r="AS46" s="349"/>
      <c r="AT46" s="348"/>
      <c r="AU46" s="348"/>
      <c r="AV46" s="348"/>
      <c r="AW46" s="348"/>
      <c r="AX46" s="348"/>
      <c r="AY46" s="348"/>
      <c r="AZ46" s="348"/>
      <c r="BA46" s="348"/>
    </row>
    <row r="47" spans="4:53" ht="18" thickTop="1" thickBot="1">
      <c r="D47" s="212"/>
      <c r="E47" s="16"/>
      <c r="F47" s="16"/>
      <c r="G47" s="16"/>
      <c r="H47" s="16"/>
      <c r="I47" s="16"/>
      <c r="R47" s="1360" t="str">
        <v>2.106</v>
      </c>
      <c r="S47" s="975">
        <v>48</v>
      </c>
      <c r="T47" s="975">
        <v>4300</v>
      </c>
      <c r="U47" s="975">
        <v>21</v>
      </c>
      <c r="V47" s="975">
        <v>86</v>
      </c>
      <c r="W47" s="975">
        <v>11634025.177132094</v>
      </c>
      <c r="X47" s="975">
        <f t="shared" si="3"/>
        <v>-6301763.6376132183</v>
      </c>
      <c r="Y47" s="975">
        <f t="shared" si="9"/>
        <v>5332261.539518876</v>
      </c>
      <c r="Z47" s="975">
        <f t="shared" si="11"/>
        <v>-159967.84618556628</v>
      </c>
      <c r="AA47" s="975">
        <f t="shared" si="12"/>
        <v>-53322.615395188761</v>
      </c>
      <c r="AB47" s="975">
        <f t="shared" si="13"/>
        <v>5118971.0779381217</v>
      </c>
      <c r="AC47" s="975">
        <f t="shared" si="7"/>
        <v>1190.4583902181678</v>
      </c>
      <c r="AD47" s="975">
        <f t="shared" si="8"/>
        <v>59522.919510908396</v>
      </c>
      <c r="AE47" s="1361">
        <f t="shared" si="10"/>
        <v>243760.52752086293</v>
      </c>
      <c r="AF47" s="99"/>
      <c r="AG47" s="975" t="str">
        <f ca="1"/>
        <v>2</v>
      </c>
      <c r="AH47" s="1250">
        <f ca="1"/>
        <v>2.1</v>
      </c>
      <c r="AI47" s="975">
        <v>21</v>
      </c>
      <c r="AJ47" s="975">
        <v>86</v>
      </c>
      <c r="AK47" s="975">
        <v>4</v>
      </c>
      <c r="AL47" s="975">
        <v>48</v>
      </c>
      <c r="AM47" s="975"/>
      <c r="AO47" s="352"/>
      <c r="AP47" s="352"/>
      <c r="AQ47" s="348"/>
      <c r="AR47" s="348"/>
      <c r="AS47" s="349"/>
      <c r="AT47" s="348"/>
      <c r="AU47" s="348"/>
      <c r="AV47" s="348"/>
      <c r="AW47" s="348"/>
      <c r="AX47" s="348"/>
      <c r="AY47" s="348"/>
      <c r="AZ47" s="348"/>
      <c r="BA47" s="348"/>
    </row>
    <row r="48" spans="4:53" ht="18" thickTop="1" thickBot="1">
      <c r="D48" s="1343"/>
      <c r="E48" s="1344"/>
      <c r="F48" s="1344"/>
      <c r="G48" s="1344"/>
      <c r="H48" s="1344"/>
      <c r="I48" s="1344"/>
      <c r="J48" s="1345"/>
      <c r="R48" s="1360" t="str">
        <v>2.107</v>
      </c>
      <c r="S48" s="975">
        <v>48</v>
      </c>
      <c r="T48" s="975"/>
      <c r="U48" s="975">
        <v>16</v>
      </c>
      <c r="V48" s="975">
        <v>168</v>
      </c>
      <c r="W48" s="975">
        <v>9469555.3767354265</v>
      </c>
      <c r="X48" s="975">
        <f t="shared" si="3"/>
        <v>0</v>
      </c>
      <c r="Y48" s="975">
        <f t="shared" si="9"/>
        <v>9469555.3767354265</v>
      </c>
      <c r="Z48" s="975">
        <f t="shared" si="11"/>
        <v>-284086.6613020628</v>
      </c>
      <c r="AA48" s="975">
        <f t="shared" si="12"/>
        <v>-94695.553767354271</v>
      </c>
      <c r="AB48" s="975">
        <f t="shared" si="13"/>
        <v>9090773.1616660077</v>
      </c>
      <c r="AC48" s="975" t="str">
        <f t="shared" si="7"/>
        <v/>
      </c>
      <c r="AD48" s="975">
        <f t="shared" si="8"/>
        <v>54111.745009916711</v>
      </c>
      <c r="AE48" s="1361">
        <f t="shared" si="10"/>
        <v>568173.32260412548</v>
      </c>
      <c r="AF48" s="99"/>
      <c r="AG48" s="975" t="str">
        <f ca="1"/>
        <v>2</v>
      </c>
      <c r="AH48" s="1250">
        <f ca="1"/>
        <v>2.1</v>
      </c>
      <c r="AI48" s="975">
        <v>16</v>
      </c>
      <c r="AJ48" s="975">
        <v>168</v>
      </c>
      <c r="AK48" s="975">
        <v>4</v>
      </c>
      <c r="AL48" s="975">
        <v>48</v>
      </c>
      <c r="AM48" s="975"/>
      <c r="AO48" s="352"/>
      <c r="AP48" s="352"/>
      <c r="AQ48" s="348"/>
      <c r="AR48" s="348"/>
      <c r="AS48" s="349"/>
      <c r="AT48" s="348"/>
      <c r="AU48" s="348"/>
      <c r="AV48" s="348"/>
      <c r="AW48" s="348"/>
      <c r="AX48" s="348"/>
      <c r="AY48" s="348"/>
      <c r="AZ48" s="348"/>
      <c r="BA48" s="348"/>
    </row>
    <row r="49" spans="4:39" ht="18" thickTop="1" thickBot="1">
      <c r="D49" s="1346" t="s">
        <v>161</v>
      </c>
      <c r="E49" s="963"/>
      <c r="F49" s="963" t="str" cm="1">
        <f t="array" aca="1" ref="F49:G49" ca="1">_xlfn.ANCHORARRAY(iProject!H8)</f>
        <v>2.1</v>
      </c>
      <c r="G49" s="963" t="str">
        <f ca="1"/>
        <v>2.2</v>
      </c>
      <c r="H49" s="963"/>
      <c r="I49" s="963"/>
      <c r="J49" s="1347"/>
      <c r="R49" s="1360" t="str">
        <v>2.108</v>
      </c>
      <c r="S49" s="975">
        <v>48</v>
      </c>
      <c r="T49" s="975"/>
      <c r="U49" s="975">
        <v>13</v>
      </c>
      <c r="V49" s="975">
        <v>110</v>
      </c>
      <c r="W49" s="975">
        <v>6200304.1157196239</v>
      </c>
      <c r="X49" s="975">
        <f t="shared" si="3"/>
        <v>0</v>
      </c>
      <c r="Y49" s="975">
        <f t="shared" si="9"/>
        <v>6200304.1157196239</v>
      </c>
      <c r="Z49" s="975">
        <f t="shared" si="11"/>
        <v>-186009.12347158871</v>
      </c>
      <c r="AA49" s="975">
        <f t="shared" si="12"/>
        <v>-62003.04115719624</v>
      </c>
      <c r="AB49" s="975">
        <f t="shared" si="13"/>
        <v>5952291.9510908388</v>
      </c>
      <c r="AC49" s="975" t="str">
        <f t="shared" si="7"/>
        <v/>
      </c>
      <c r="AD49" s="975">
        <f t="shared" si="8"/>
        <v>54111.745009916718</v>
      </c>
      <c r="AE49" s="1361">
        <f t="shared" si="10"/>
        <v>457868.61162237223</v>
      </c>
      <c r="AF49" s="99"/>
      <c r="AG49" s="975" t="str">
        <f ca="1"/>
        <v>2</v>
      </c>
      <c r="AH49" s="1250">
        <f ca="1"/>
        <v>2.1</v>
      </c>
      <c r="AI49" s="975">
        <v>13</v>
      </c>
      <c r="AJ49" s="975">
        <v>110</v>
      </c>
      <c r="AK49" s="975">
        <v>4</v>
      </c>
      <c r="AL49" s="975">
        <v>48</v>
      </c>
      <c r="AM49" s="975"/>
    </row>
    <row r="50" spans="4:39" ht="18" thickTop="1" thickBot="1">
      <c r="D50" s="1348" t="s">
        <v>106</v>
      </c>
      <c r="E50" s="964"/>
      <c r="F50" s="1053">
        <f ca="1">IFERROR(LOOKUP(F$49,_xlfn.ANCHORARRAY($D$16),$E$16:$E$43),0)</f>
        <v>24</v>
      </c>
      <c r="G50" s="1053">
        <f ca="1">IFERROR(LOOKUP(G$49,_xlfn.ANCHORARRAY($D$16),$E$16:$E$43),0)</f>
        <v>48</v>
      </c>
      <c r="H50" s="1053">
        <f>IFERROR(LOOKUP(H$49,_xlfn.ANCHORARRAY($D$16),$E$16:$E$43),0)</f>
        <v>0</v>
      </c>
      <c r="I50" s="1053">
        <f>IFERROR(LOOKUP(I$49,_xlfn.ANCHORARRAY($D$16),$E$16:$E$43),0)</f>
        <v>0</v>
      </c>
      <c r="J50" s="1349">
        <f>IFERROR(LOOKUP(J$49,_xlfn.ANCHORARRAY($D$16),$E$16:$E$43),0)</f>
        <v>0</v>
      </c>
      <c r="K50" s="266"/>
      <c r="L50" s="266"/>
      <c r="N50" s="266"/>
      <c r="O50" s="266"/>
      <c r="R50" s="1360" t="str">
        <v>2.109</v>
      </c>
      <c r="S50" s="975">
        <v>48</v>
      </c>
      <c r="T50" s="975">
        <v>4680</v>
      </c>
      <c r="U50" s="975">
        <v>19</v>
      </c>
      <c r="V50" s="975">
        <v>117</v>
      </c>
      <c r="W50" s="975">
        <v>12662148.332320513</v>
      </c>
      <c r="X50" s="975">
        <f t="shared" si="3"/>
        <v>-6858663.6800069446</v>
      </c>
      <c r="Y50" s="975">
        <f t="shared" si="9"/>
        <v>5803484.6523135686</v>
      </c>
      <c r="Z50" s="975">
        <f t="shared" si="11"/>
        <v>-174104.53956940706</v>
      </c>
      <c r="AA50" s="975">
        <f t="shared" si="12"/>
        <v>-58034.846523135689</v>
      </c>
      <c r="AB50" s="975">
        <f t="shared" si="13"/>
        <v>5571345.266221026</v>
      </c>
      <c r="AC50" s="975">
        <f t="shared" si="7"/>
        <v>1190.458390218168</v>
      </c>
      <c r="AD50" s="975">
        <f t="shared" si="8"/>
        <v>47618.335608726717</v>
      </c>
      <c r="AE50" s="1361">
        <f t="shared" si="10"/>
        <v>293228.69822215923</v>
      </c>
      <c r="AF50" s="99"/>
      <c r="AG50" s="975" t="str">
        <f ca="1"/>
        <v>2</v>
      </c>
      <c r="AH50" s="1250">
        <f ca="1"/>
        <v>2.1</v>
      </c>
      <c r="AI50" s="975">
        <v>19</v>
      </c>
      <c r="AJ50" s="975">
        <v>117</v>
      </c>
      <c r="AK50" s="975">
        <v>4</v>
      </c>
      <c r="AL50" s="975">
        <v>48</v>
      </c>
      <c r="AM50" s="975"/>
    </row>
    <row r="51" spans="4:39" ht="18" thickTop="1" thickBot="1">
      <c r="D51" s="1348" t="s">
        <v>107</v>
      </c>
      <c r="E51" s="964"/>
      <c r="F51" s="1053">
        <f ca="1">IFERROR(LOOKUP(F$49,_xlfn.ANCHORARRAY($D$16),$F$16:$F$43),0)</f>
        <v>24</v>
      </c>
      <c r="G51" s="1053">
        <f ca="1">IFERROR(LOOKUP(G$49,_xlfn.ANCHORARRAY($D$16),$F$16:$F$43),0)</f>
        <v>24</v>
      </c>
      <c r="H51" s="1053">
        <f>IFERROR(LOOKUP(H$49,_xlfn.ANCHORARRAY($D$16),$F$16:$F$43),0)</f>
        <v>0</v>
      </c>
      <c r="I51" s="1053">
        <f>IFERROR(LOOKUP(I$49,_xlfn.ANCHORARRAY($D$16),$F$16:$F$43),0)</f>
        <v>0</v>
      </c>
      <c r="J51" s="1349">
        <f>IFERROR(LOOKUP(J$49,_xlfn.ANCHORARRAY($D$16),$F$16:$F$43),0)</f>
        <v>0</v>
      </c>
      <c r="K51" s="266"/>
      <c r="L51" s="266"/>
      <c r="N51" s="266"/>
      <c r="O51" s="266"/>
      <c r="R51" s="1360" t="str">
        <v>2.110</v>
      </c>
      <c r="S51" s="975">
        <v>48</v>
      </c>
      <c r="T51" s="975"/>
      <c r="U51" s="975">
        <v>23</v>
      </c>
      <c r="V51" s="975">
        <v>253</v>
      </c>
      <c r="W51" s="975">
        <v>14260699.466155136</v>
      </c>
      <c r="X51" s="975">
        <f t="shared" si="3"/>
        <v>0</v>
      </c>
      <c r="Y51" s="975">
        <f t="shared" si="9"/>
        <v>14260699.466155136</v>
      </c>
      <c r="Z51" s="975">
        <f t="shared" si="11"/>
        <v>-427820.98398465407</v>
      </c>
      <c r="AA51" s="975">
        <f t="shared" si="12"/>
        <v>-142606.99466155138</v>
      </c>
      <c r="AB51" s="975">
        <f t="shared" si="13"/>
        <v>13690271.48750893</v>
      </c>
      <c r="AC51" s="975" t="str">
        <f t="shared" si="7"/>
        <v/>
      </c>
      <c r="AD51" s="975">
        <f t="shared" si="8"/>
        <v>54111.745009916718</v>
      </c>
      <c r="AE51" s="1361">
        <f t="shared" si="10"/>
        <v>595229.1951090839</v>
      </c>
      <c r="AF51" s="99"/>
      <c r="AG51" s="975" t="str">
        <f ca="1"/>
        <v>2</v>
      </c>
      <c r="AH51" s="1250">
        <f ca="1"/>
        <v>2.1</v>
      </c>
      <c r="AI51" s="975">
        <v>23</v>
      </c>
      <c r="AJ51" s="975">
        <v>253</v>
      </c>
      <c r="AK51" s="975">
        <v>4</v>
      </c>
      <c r="AL51" s="975">
        <v>48</v>
      </c>
      <c r="AM51" s="975"/>
    </row>
    <row r="52" spans="4:39" ht="18" thickTop="1" thickBot="1">
      <c r="D52" s="1348" t="s">
        <v>108</v>
      </c>
      <c r="E52" s="964"/>
      <c r="F52" s="1053">
        <f ca="1">IF(F49=0,0,F50+F51-1)</f>
        <v>47</v>
      </c>
      <c r="G52" s="1053">
        <f ca="1">IF(G49=0,0,G50+G51-1)</f>
        <v>71</v>
      </c>
      <c r="H52" s="1053">
        <f>IF(H49=0,0,H50+H51-1)</f>
        <v>0</v>
      </c>
      <c r="I52" s="1053">
        <f>IF(I49=0,0,I50+I51-1)</f>
        <v>0</v>
      </c>
      <c r="J52" s="1349">
        <f>IF(J49=0,0,J50+J51-1)</f>
        <v>0</v>
      </c>
      <c r="K52" s="266"/>
      <c r="L52" s="266"/>
      <c r="N52" s="266"/>
      <c r="O52" s="266"/>
      <c r="R52" s="1360" t="str">
        <v>2.111</v>
      </c>
      <c r="S52" s="975">
        <v>48</v>
      </c>
      <c r="T52" s="975"/>
      <c r="U52" s="975">
        <v>19</v>
      </c>
      <c r="V52" s="975">
        <v>380</v>
      </c>
      <c r="W52" s="975">
        <v>10709616.19987935</v>
      </c>
      <c r="X52" s="975">
        <f t="shared" si="3"/>
        <v>0</v>
      </c>
      <c r="Y52" s="975">
        <f t="shared" si="9"/>
        <v>10709616.19987935</v>
      </c>
      <c r="Z52" s="975">
        <f t="shared" si="11"/>
        <v>-321288.48599638051</v>
      </c>
      <c r="AA52" s="975">
        <f t="shared" si="12"/>
        <v>-107096.1619987935</v>
      </c>
      <c r="AB52" s="975">
        <f t="shared" si="13"/>
        <v>10281231.551884176</v>
      </c>
      <c r="AC52" s="975" t="str">
        <f t="shared" si="7"/>
        <v/>
      </c>
      <c r="AD52" s="975">
        <f t="shared" si="8"/>
        <v>27055.872504958359</v>
      </c>
      <c r="AE52" s="1361">
        <f t="shared" si="10"/>
        <v>541117.45009916718</v>
      </c>
      <c r="AF52" s="99"/>
      <c r="AG52" s="975" t="str">
        <f ca="1"/>
        <v>2</v>
      </c>
      <c r="AH52" s="1250">
        <f ca="1"/>
        <v>2.1</v>
      </c>
      <c r="AI52" s="975">
        <v>19</v>
      </c>
      <c r="AJ52" s="975">
        <v>380</v>
      </c>
      <c r="AK52" s="975">
        <v>4</v>
      </c>
      <c r="AL52" s="975">
        <v>48</v>
      </c>
      <c r="AM52" s="975"/>
    </row>
    <row r="53" spans="4:39" ht="18" thickTop="1" thickBot="1">
      <c r="D53" s="1350" t="s">
        <v>162</v>
      </c>
      <c r="E53" s="965"/>
      <c r="F53" s="963"/>
      <c r="G53" s="963"/>
      <c r="H53" s="963"/>
      <c r="I53" s="963"/>
      <c r="J53" s="1347"/>
      <c r="K53" s="212"/>
      <c r="R53" s="1360" t="str">
        <v>2.112</v>
      </c>
      <c r="S53" s="975">
        <v>48</v>
      </c>
      <c r="T53" s="975"/>
      <c r="U53" s="975">
        <v>56</v>
      </c>
      <c r="V53" s="975">
        <v>0</v>
      </c>
      <c r="W53" s="975">
        <v>0</v>
      </c>
      <c r="X53" s="975">
        <f t="shared" si="3"/>
        <v>0</v>
      </c>
      <c r="Y53" s="975">
        <f t="shared" si="9"/>
        <v>0</v>
      </c>
      <c r="Z53" s="975">
        <f t="shared" si="11"/>
        <v>0</v>
      </c>
      <c r="AA53" s="975">
        <f t="shared" si="12"/>
        <v>0</v>
      </c>
      <c r="AB53" s="975">
        <f t="shared" si="13"/>
        <v>0</v>
      </c>
      <c r="AC53" s="975" t="str">
        <f t="shared" si="7"/>
        <v/>
      </c>
      <c r="AD53" s="975" t="str">
        <f t="shared" si="8"/>
        <v/>
      </c>
      <c r="AE53" s="1361">
        <f t="shared" si="10"/>
        <v>0</v>
      </c>
      <c r="AF53" s="99"/>
      <c r="AG53" s="975" t="str">
        <f ca="1"/>
        <v>2</v>
      </c>
      <c r="AH53" s="1250">
        <f ca="1"/>
        <v>2.1</v>
      </c>
      <c r="AI53" s="975">
        <v>56</v>
      </c>
      <c r="AJ53" s="975">
        <v>0</v>
      </c>
      <c r="AK53" s="975">
        <v>4</v>
      </c>
      <c r="AL53" s="975">
        <v>48</v>
      </c>
      <c r="AM53" s="975"/>
    </row>
    <row r="54" spans="4:39" ht="18" thickTop="1" thickBot="1">
      <c r="D54" s="1348" t="s">
        <v>109</v>
      </c>
      <c r="E54" s="964"/>
      <c r="F54" s="1053">
        <f ca="1">IFERROR(LOOKUP(F$49,_xlfn.ANCHORARRAY($D$16),$H$16:$H$43),0)</f>
        <v>164750</v>
      </c>
      <c r="G54" s="1053">
        <f ca="1">IFERROR(LOOKUP(G$49,_xlfn.ANCHORARRAY($D$16),$H$16:$H$43),0)</f>
        <v>46750</v>
      </c>
      <c r="H54" s="1053">
        <f>IFERROR(LOOKUP(H$49,_xlfn.ANCHORARRAY($D$16),$H$16:$H$43),0)</f>
        <v>0</v>
      </c>
      <c r="I54" s="1053">
        <f>IFERROR(LOOKUP(I$49,_xlfn.ANCHORARRAY($D$16),$H$16:$H$43),0)</f>
        <v>0</v>
      </c>
      <c r="J54" s="1349">
        <f>IFERROR(LOOKUP(J$49,_xlfn.ANCHORARRAY($D$16),$H$16:$H$43),0)</f>
        <v>0</v>
      </c>
      <c r="K54" s="212"/>
      <c r="R54" s="1360" t="str">
        <v>2.201</v>
      </c>
      <c r="S54" s="975">
        <v>72</v>
      </c>
      <c r="T54" s="975">
        <v>5600</v>
      </c>
      <c r="U54" s="975">
        <v>28</v>
      </c>
      <c r="V54" s="975">
        <v>112</v>
      </c>
      <c r="W54" s="975">
        <v>16086987.403644357</v>
      </c>
      <c r="X54" s="975">
        <f t="shared" si="3"/>
        <v>-8713784.8436406944</v>
      </c>
      <c r="Y54" s="975">
        <f t="shared" si="9"/>
        <v>7373202.5600036625</v>
      </c>
      <c r="Z54" s="975">
        <f t="shared" ref="Z54:Z73" si="14">IFERROR(Y54*-i_Cost.Commisions,"")</f>
        <v>-221196.07680010988</v>
      </c>
      <c r="AA54" s="975">
        <f t="shared" ref="AA54:AA73" si="15">IFERROR(Y54*-i_Cost.OtherCOS,"")</f>
        <v>-73732.025600036621</v>
      </c>
      <c r="AB54" s="975">
        <f t="shared" ref="AB54:AB73" si="16">IFERROR(Y54+Z54+AA54,"")</f>
        <v>7078274.4576035161</v>
      </c>
      <c r="AC54" s="975">
        <f t="shared" si="7"/>
        <v>1263.9775817149136</v>
      </c>
      <c r="AD54" s="975">
        <f t="shared" si="8"/>
        <v>63198.879085745677</v>
      </c>
      <c r="AE54" s="1361">
        <f t="shared" si="10"/>
        <v>252795.51634298271</v>
      </c>
      <c r="AF54" s="99"/>
      <c r="AG54" s="975" t="str">
        <f ca="1"/>
        <v>2</v>
      </c>
      <c r="AH54" s="1250">
        <f ca="1"/>
        <v>2.2000000000000002</v>
      </c>
      <c r="AI54" s="975">
        <v>28</v>
      </c>
      <c r="AJ54" s="975">
        <v>112</v>
      </c>
      <c r="AK54" s="975">
        <v>6</v>
      </c>
      <c r="AL54" s="975">
        <v>72</v>
      </c>
      <c r="AM54" s="975"/>
    </row>
    <row r="55" spans="4:39" ht="18" thickTop="1" thickBot="1">
      <c r="D55" s="1348" t="s">
        <v>110</v>
      </c>
      <c r="E55" s="964"/>
      <c r="F55" s="1053">
        <f ca="1">IFERROR(LOOKUP(F$49,_xlfn.ANCHORARRAY($D$16),$I$16:$I$43),0)</f>
        <v>1153250</v>
      </c>
      <c r="G55" s="1053">
        <f ca="1">IFERROR(LOOKUP(G$49,_xlfn.ANCHORARRAY($D$16),$I$16:$I$43),0)</f>
        <v>327250</v>
      </c>
      <c r="H55" s="1053">
        <f>IFERROR(LOOKUP(H$49,_xlfn.ANCHORARRAY($D$16),$I$16:$I$43),0)</f>
        <v>0</v>
      </c>
      <c r="I55" s="1053">
        <f>IFERROR(LOOKUP(I$49,_xlfn.ANCHORARRAY($D$16),$I$16:$I$43),0)</f>
        <v>0</v>
      </c>
      <c r="J55" s="1349">
        <f>IFERROR(LOOKUP(J$49,_xlfn.ANCHORARRAY($D$16),$I$16:$I$43),0)</f>
        <v>0</v>
      </c>
      <c r="K55" s="212"/>
      <c r="R55" s="1360" t="str">
        <v>2.202</v>
      </c>
      <c r="S55" s="975">
        <v>73</v>
      </c>
      <c r="T55" s="975">
        <v>4125</v>
      </c>
      <c r="U55" s="975">
        <v>21</v>
      </c>
      <c r="V55" s="975">
        <v>75</v>
      </c>
      <c r="W55" s="975">
        <v>11879414.303148761</v>
      </c>
      <c r="X55" s="975">
        <f t="shared" si="3"/>
        <v>-6434682.7475389121</v>
      </c>
      <c r="Y55" s="975">
        <f t="shared" si="9"/>
        <v>5444731.5556098493</v>
      </c>
      <c r="Z55" s="975">
        <f t="shared" si="14"/>
        <v>-163341.94666829548</v>
      </c>
      <c r="AA55" s="975">
        <f t="shared" si="15"/>
        <v>-54447.315556098496</v>
      </c>
      <c r="AB55" s="975">
        <f t="shared" si="16"/>
        <v>5226942.2933854554</v>
      </c>
      <c r="AC55" s="975">
        <f t="shared" si="7"/>
        <v>1267.1375256692013</v>
      </c>
      <c r="AD55" s="975">
        <f t="shared" si="8"/>
        <v>69692.563911806079</v>
      </c>
      <c r="AE55" s="1361">
        <f t="shared" si="10"/>
        <v>248902.01397073598</v>
      </c>
      <c r="AF55" s="99"/>
      <c r="AG55" s="975" t="str">
        <f ca="1"/>
        <v>2</v>
      </c>
      <c r="AH55" s="1250">
        <f ca="1"/>
        <v>2.2000000000000002</v>
      </c>
      <c r="AI55" s="975">
        <v>21</v>
      </c>
      <c r="AJ55" s="975">
        <v>75</v>
      </c>
      <c r="AK55" s="975">
        <v>7</v>
      </c>
      <c r="AL55" s="975">
        <v>73</v>
      </c>
      <c r="AM55" s="975"/>
    </row>
    <row r="56" spans="4:39" ht="17" thickTop="1">
      <c r="D56" s="1348" t="s">
        <v>111</v>
      </c>
      <c r="E56" s="964"/>
      <c r="F56" s="1053">
        <f ca="1">IFERROR(LOOKUP(F$49,_xlfn.ANCHORARRAY($D$16),$J$16:$J$43),0)</f>
        <v>2877500</v>
      </c>
      <c r="G56" s="1053">
        <f ca="1">IFERROR(LOOKUP(G$49,_xlfn.ANCHORARRAY($D$16),$J$16:$J$43),0)</f>
        <v>560000</v>
      </c>
      <c r="H56" s="1053">
        <f>IFERROR(LOOKUP(H$49,_xlfn.ANCHORARRAY($D$16),$J$16:$J$43),0)</f>
        <v>0</v>
      </c>
      <c r="I56" s="1053">
        <f>IFERROR(LOOKUP(I$49,_xlfn.ANCHORARRAY($D$16),$J$16:$J$43),0)</f>
        <v>0</v>
      </c>
      <c r="J56" s="1349">
        <f>IFERROR(LOOKUP(J$49,_xlfn.ANCHORARRAY($D$16),$J$16:$J$43),0)</f>
        <v>0</v>
      </c>
      <c r="K56" s="212"/>
      <c r="R56" s="1360" t="str">
        <v>2.203</v>
      </c>
      <c r="S56" s="975">
        <v>72</v>
      </c>
      <c r="T56" s="975"/>
      <c r="U56" s="975">
        <v>33</v>
      </c>
      <c r="V56" s="975">
        <v>0</v>
      </c>
      <c r="W56" s="975">
        <v>0</v>
      </c>
      <c r="X56" s="975">
        <f t="shared" si="3"/>
        <v>0</v>
      </c>
      <c r="Y56" s="975">
        <f t="shared" si="9"/>
        <v>0</v>
      </c>
      <c r="Z56" s="975">
        <f t="shared" si="14"/>
        <v>0</v>
      </c>
      <c r="AA56" s="975">
        <f t="shared" si="15"/>
        <v>0</v>
      </c>
      <c r="AB56" s="975">
        <f t="shared" si="16"/>
        <v>0</v>
      </c>
      <c r="AC56" s="975" t="str">
        <f t="shared" si="7"/>
        <v/>
      </c>
      <c r="AD56" s="975" t="str">
        <f t="shared" si="8"/>
        <v/>
      </c>
      <c r="AE56" s="1361">
        <f t="shared" si="10"/>
        <v>0</v>
      </c>
      <c r="AF56" s="99"/>
      <c r="AG56" s="975" t="str">
        <f ca="1"/>
        <v>2</v>
      </c>
      <c r="AH56" s="1250">
        <f ca="1"/>
        <v>2.2000000000000002</v>
      </c>
      <c r="AI56" s="975">
        <v>33</v>
      </c>
      <c r="AJ56" s="975">
        <v>0</v>
      </c>
      <c r="AK56" s="975">
        <v>6</v>
      </c>
      <c r="AL56" s="975">
        <v>72</v>
      </c>
      <c r="AM56" s="975"/>
    </row>
    <row r="57" spans="4:39" ht="16">
      <c r="D57" s="1348" t="s">
        <v>112</v>
      </c>
      <c r="E57" s="964"/>
      <c r="F57" s="1053">
        <f ca="1">IFERROR(LOOKUP(F$49,_xlfn.ANCHORARRAY($D$16),$K$16:$K$43),0)</f>
        <v>5755000</v>
      </c>
      <c r="G57" s="1053">
        <f ca="1">IFERROR(LOOKUP(G$49,_xlfn.ANCHORARRAY($D$16),$K$16:$K$43),0)</f>
        <v>1120000</v>
      </c>
      <c r="H57" s="1053">
        <f>IFERROR(LOOKUP(H$49,_xlfn.ANCHORARRAY($D$16),$K$16:$K$43),0)</f>
        <v>0</v>
      </c>
      <c r="I57" s="1053">
        <f>IFERROR(LOOKUP(I$49,_xlfn.ANCHORARRAY($D$16),$K$16:$K$43),0)</f>
        <v>0</v>
      </c>
      <c r="J57" s="1349">
        <f>IFERROR(LOOKUP(J$49,_xlfn.ANCHORARRAY($D$16),$K$16:$K$43),0)</f>
        <v>0</v>
      </c>
      <c r="K57" s="212"/>
      <c r="R57" s="1360" t="str">
        <v>2.204</v>
      </c>
      <c r="S57" s="975">
        <v>72</v>
      </c>
      <c r="T57" s="975"/>
      <c r="U57" s="975">
        <v>41</v>
      </c>
      <c r="V57" s="975">
        <v>0</v>
      </c>
      <c r="W57" s="975">
        <v>0</v>
      </c>
      <c r="X57" s="975">
        <f t="shared" si="3"/>
        <v>0</v>
      </c>
      <c r="Y57" s="975">
        <f t="shared" si="9"/>
        <v>0</v>
      </c>
      <c r="Z57" s="975">
        <f t="shared" si="14"/>
        <v>0</v>
      </c>
      <c r="AA57" s="975">
        <f t="shared" si="15"/>
        <v>0</v>
      </c>
      <c r="AB57" s="975">
        <f t="shared" si="16"/>
        <v>0</v>
      </c>
      <c r="AC57" s="975" t="str">
        <f t="shared" si="7"/>
        <v/>
      </c>
      <c r="AD57" s="975" t="str">
        <f t="shared" si="8"/>
        <v/>
      </c>
      <c r="AE57" s="1361">
        <f t="shared" si="10"/>
        <v>0</v>
      </c>
      <c r="AF57" s="99"/>
      <c r="AG57" s="975" t="str">
        <f ca="1"/>
        <v>2</v>
      </c>
      <c r="AH57" s="1250">
        <f ca="1"/>
        <v>2.2000000000000002</v>
      </c>
      <c r="AI57" s="975">
        <v>41</v>
      </c>
      <c r="AJ57" s="975">
        <v>0</v>
      </c>
      <c r="AK57" s="975">
        <v>6</v>
      </c>
      <c r="AL57" s="975">
        <v>72</v>
      </c>
      <c r="AM57" s="975"/>
    </row>
    <row r="58" spans="4:39" ht="16">
      <c r="D58" s="1351" t="s">
        <v>113</v>
      </c>
      <c r="E58" s="1352"/>
      <c r="F58" s="1353">
        <f ca="1">IFERROR(LOOKUP(F$49,_xlfn.ANCHORARRAY($D$16),$L$16:$L$43),0)</f>
        <v>0</v>
      </c>
      <c r="G58" s="1353">
        <f ca="1">IFERROR(LOOKUP(G$49,_xlfn.ANCHORARRAY($D$16),$L$16:$L$43),0)</f>
        <v>0</v>
      </c>
      <c r="H58" s="1353">
        <f>IFERROR(LOOKUP(H$49,_xlfn.ANCHORARRAY($D$16),$L$16:$L$43),0)</f>
        <v>0</v>
      </c>
      <c r="I58" s="1353">
        <f>IFERROR(LOOKUP(I$49,_xlfn.ANCHORARRAY($D$16),$L$16:$L$43),0)</f>
        <v>0</v>
      </c>
      <c r="J58" s="1354">
        <f>IFERROR(LOOKUP(J$49,_xlfn.ANCHORARRAY($D$16),$L$16:$L$43),0)</f>
        <v>0</v>
      </c>
      <c r="K58" s="212"/>
      <c r="R58" s="1360" t="str">
        <v>3.101</v>
      </c>
      <c r="S58" s="975">
        <v>48</v>
      </c>
      <c r="T58" s="975"/>
      <c r="U58" s="975">
        <v>64</v>
      </c>
      <c r="V58" s="975">
        <v>0</v>
      </c>
      <c r="W58" s="975">
        <v>31428101.501759633</v>
      </c>
      <c r="X58" s="975">
        <f t="shared" si="3"/>
        <v>0</v>
      </c>
      <c r="Y58" s="975">
        <f t="shared" si="9"/>
        <v>31428101.501759633</v>
      </c>
      <c r="Z58" s="975">
        <f t="shared" si="14"/>
        <v>-942843.04505278892</v>
      </c>
      <c r="AA58" s="975">
        <f t="shared" si="15"/>
        <v>-314281.01501759636</v>
      </c>
      <c r="AB58" s="975">
        <f t="shared" si="16"/>
        <v>30170977.441689249</v>
      </c>
      <c r="AC58" s="975" t="str">
        <f t="shared" si="7"/>
        <v/>
      </c>
      <c r="AD58" s="975" t="str">
        <f t="shared" si="8"/>
        <v/>
      </c>
      <c r="AE58" s="1361">
        <f t="shared" si="10"/>
        <v>471421.52252639452</v>
      </c>
      <c r="AF58" s="99"/>
      <c r="AG58" s="975" t="str">
        <f ca="1"/>
        <v>3</v>
      </c>
      <c r="AH58" s="1250">
        <f ca="1"/>
        <v>3.1</v>
      </c>
      <c r="AI58" s="975">
        <v>64</v>
      </c>
      <c r="AJ58" s="975">
        <v>0</v>
      </c>
      <c r="AK58" s="975">
        <v>4</v>
      </c>
      <c r="AL58" s="975">
        <v>48</v>
      </c>
      <c r="AM58" s="975"/>
    </row>
    <row r="59" spans="4:39" ht="16">
      <c r="G59" s="213"/>
      <c r="H59" s="213"/>
      <c r="I59" s="213"/>
      <c r="J59" s="213"/>
      <c r="K59" s="212"/>
      <c r="R59" s="1360" t="str">
        <v>3.102</v>
      </c>
      <c r="S59" s="975">
        <v>48</v>
      </c>
      <c r="T59" s="975"/>
      <c r="U59" s="975">
        <v>34</v>
      </c>
      <c r="V59" s="975">
        <v>0</v>
      </c>
      <c r="W59" s="975">
        <v>16696178.922809806</v>
      </c>
      <c r="X59" s="975">
        <f t="shared" si="3"/>
        <v>0</v>
      </c>
      <c r="Y59" s="975">
        <f t="shared" si="9"/>
        <v>16696178.922809806</v>
      </c>
      <c r="Z59" s="975">
        <f t="shared" si="14"/>
        <v>-500885.36768429418</v>
      </c>
      <c r="AA59" s="975">
        <f t="shared" si="15"/>
        <v>-166961.78922809806</v>
      </c>
      <c r="AB59" s="975">
        <f t="shared" si="16"/>
        <v>16028331.765897414</v>
      </c>
      <c r="AC59" s="975" t="str">
        <f t="shared" si="7"/>
        <v/>
      </c>
      <c r="AD59" s="975" t="str">
        <f t="shared" si="8"/>
        <v/>
      </c>
      <c r="AE59" s="1361">
        <f t="shared" si="10"/>
        <v>471421.52252639452</v>
      </c>
      <c r="AF59" s="99"/>
      <c r="AG59" s="975" t="str">
        <f ca="1"/>
        <v>3</v>
      </c>
      <c r="AH59" s="1250">
        <f ca="1"/>
        <v>3.1</v>
      </c>
      <c r="AI59" s="975">
        <v>34</v>
      </c>
      <c r="AJ59" s="975">
        <v>0</v>
      </c>
      <c r="AK59" s="975">
        <v>4</v>
      </c>
      <c r="AL59" s="975">
        <v>48</v>
      </c>
      <c r="AM59" s="975"/>
    </row>
    <row r="60" spans="4:39" ht="16">
      <c r="G60" s="213"/>
      <c r="H60" s="213"/>
      <c r="I60" s="213"/>
      <c r="J60" s="212"/>
      <c r="K60" s="212"/>
      <c r="R60" s="1360" t="str">
        <v>3.103</v>
      </c>
      <c r="S60" s="975">
        <v>48</v>
      </c>
      <c r="T60" s="975"/>
      <c r="U60" s="975">
        <v>39</v>
      </c>
      <c r="V60" s="975">
        <v>0</v>
      </c>
      <c r="W60" s="975">
        <v>19151499.352634776</v>
      </c>
      <c r="X60" s="975">
        <f t="shared" si="3"/>
        <v>0</v>
      </c>
      <c r="Y60" s="975">
        <f t="shared" si="9"/>
        <v>19151499.352634776</v>
      </c>
      <c r="Z60" s="975">
        <f t="shared" si="14"/>
        <v>-574544.98057904327</v>
      </c>
      <c r="AA60" s="975">
        <f t="shared" si="15"/>
        <v>-191514.99352634777</v>
      </c>
      <c r="AB60" s="975">
        <f t="shared" si="16"/>
        <v>18385439.378529385</v>
      </c>
      <c r="AC60" s="975" t="str">
        <f t="shared" si="7"/>
        <v/>
      </c>
      <c r="AD60" s="975" t="str">
        <f t="shared" si="8"/>
        <v/>
      </c>
      <c r="AE60" s="1361">
        <f t="shared" si="10"/>
        <v>471421.52252639446</v>
      </c>
      <c r="AF60" s="99"/>
      <c r="AG60" s="975" t="str">
        <f ca="1"/>
        <v>3</v>
      </c>
      <c r="AH60" s="1250">
        <f ca="1"/>
        <v>3.1</v>
      </c>
      <c r="AI60" s="975">
        <v>39</v>
      </c>
      <c r="AJ60" s="975">
        <v>0</v>
      </c>
      <c r="AK60" s="975">
        <v>4</v>
      </c>
      <c r="AL60" s="975">
        <v>48</v>
      </c>
      <c r="AM60" s="975"/>
    </row>
    <row r="61" spans="4:39" ht="16">
      <c r="G61" s="213"/>
      <c r="H61" s="213"/>
      <c r="I61" s="213"/>
      <c r="J61" s="212"/>
      <c r="K61" s="212"/>
      <c r="R61" s="1360" t="str">
        <v>3.201</v>
      </c>
      <c r="S61" s="975">
        <v>48</v>
      </c>
      <c r="T61" s="975"/>
      <c r="U61" s="975">
        <v>45</v>
      </c>
      <c r="V61" s="975">
        <v>0</v>
      </c>
      <c r="W61" s="975">
        <v>22097883.868424743</v>
      </c>
      <c r="X61" s="975">
        <f t="shared" si="3"/>
        <v>0</v>
      </c>
      <c r="Y61" s="975">
        <f t="shared" si="9"/>
        <v>22097883.868424743</v>
      </c>
      <c r="Z61" s="975">
        <f t="shared" si="14"/>
        <v>-662936.51605274226</v>
      </c>
      <c r="AA61" s="975">
        <f t="shared" si="15"/>
        <v>-220978.83868424743</v>
      </c>
      <c r="AB61" s="975">
        <f t="shared" si="16"/>
        <v>21213968.513687756</v>
      </c>
      <c r="AC61" s="975" t="str">
        <f t="shared" si="7"/>
        <v/>
      </c>
      <c r="AD61" s="975" t="str">
        <f t="shared" si="8"/>
        <v/>
      </c>
      <c r="AE61" s="1361">
        <f t="shared" si="10"/>
        <v>471421.52252639458</v>
      </c>
      <c r="AF61" s="99"/>
      <c r="AG61" s="975" t="str">
        <f ca="1"/>
        <v>3</v>
      </c>
      <c r="AH61" s="1250">
        <f ca="1"/>
        <v>3.2</v>
      </c>
      <c r="AI61" s="975">
        <v>45</v>
      </c>
      <c r="AJ61" s="975">
        <v>0</v>
      </c>
      <c r="AK61" s="975">
        <v>4</v>
      </c>
      <c r="AL61" s="975">
        <v>48</v>
      </c>
      <c r="AM61" s="975"/>
    </row>
    <row r="62" spans="4:39" ht="16">
      <c r="G62" s="213"/>
      <c r="H62" s="213"/>
      <c r="I62" s="213"/>
      <c r="J62" s="212"/>
      <c r="K62" s="212"/>
      <c r="R62" s="1360" t="str">
        <v>3.202</v>
      </c>
      <c r="S62" s="975">
        <v>48</v>
      </c>
      <c r="T62" s="975"/>
      <c r="U62" s="975">
        <v>60</v>
      </c>
      <c r="V62" s="975">
        <v>0</v>
      </c>
      <c r="W62" s="975">
        <v>29463845.157899655</v>
      </c>
      <c r="X62" s="975">
        <f t="shared" si="3"/>
        <v>0</v>
      </c>
      <c r="Y62" s="975">
        <f t="shared" si="9"/>
        <v>29463845.157899655</v>
      </c>
      <c r="Z62" s="975">
        <f t="shared" si="14"/>
        <v>-883915.3547369896</v>
      </c>
      <c r="AA62" s="975">
        <f t="shared" si="15"/>
        <v>-294638.45157899655</v>
      </c>
      <c r="AB62" s="975">
        <f t="shared" si="16"/>
        <v>28285291.351583667</v>
      </c>
      <c r="AC62" s="975" t="str">
        <f t="shared" si="7"/>
        <v/>
      </c>
      <c r="AD62" s="975" t="str">
        <f t="shared" si="8"/>
        <v/>
      </c>
      <c r="AE62" s="1361">
        <f t="shared" si="10"/>
        <v>471421.52252639446</v>
      </c>
      <c r="AF62" s="99"/>
      <c r="AG62" s="975" t="str">
        <f ca="1"/>
        <v>3</v>
      </c>
      <c r="AH62" s="1250">
        <f ca="1"/>
        <v>3.2</v>
      </c>
      <c r="AI62" s="975">
        <v>60</v>
      </c>
      <c r="AJ62" s="975">
        <v>0</v>
      </c>
      <c r="AK62" s="975">
        <v>4</v>
      </c>
      <c r="AL62" s="975">
        <v>48</v>
      </c>
      <c r="AM62" s="975"/>
    </row>
    <row r="63" spans="4:39" ht="16">
      <c r="G63" s="213"/>
      <c r="H63" s="213"/>
      <c r="I63" s="213"/>
      <c r="J63" s="212"/>
      <c r="K63" s="212"/>
      <c r="R63" s="1360" t="str">
        <v>4.101</v>
      </c>
      <c r="S63" s="975">
        <v>78</v>
      </c>
      <c r="T63" s="975"/>
      <c r="U63" s="975">
        <v>9</v>
      </c>
      <c r="V63" s="975">
        <v>0</v>
      </c>
      <c r="W63" s="975">
        <v>0</v>
      </c>
      <c r="X63" s="975">
        <f t="shared" si="3"/>
        <v>0</v>
      </c>
      <c r="Y63" s="975">
        <f t="shared" si="9"/>
        <v>0</v>
      </c>
      <c r="Z63" s="975">
        <f t="shared" si="14"/>
        <v>0</v>
      </c>
      <c r="AA63" s="975">
        <f t="shared" si="15"/>
        <v>0</v>
      </c>
      <c r="AB63" s="975">
        <f t="shared" si="16"/>
        <v>0</v>
      </c>
      <c r="AC63" s="975" t="str">
        <f t="shared" si="7"/>
        <v/>
      </c>
      <c r="AD63" s="975" t="str">
        <f t="shared" si="8"/>
        <v/>
      </c>
      <c r="AE63" s="1361">
        <f t="shared" si="10"/>
        <v>0</v>
      </c>
      <c r="AF63" s="99"/>
      <c r="AG63" s="975" t="str">
        <f ca="1"/>
        <v>4</v>
      </c>
      <c r="AH63" s="1250">
        <f ca="1"/>
        <v>4.0999999999999996</v>
      </c>
      <c r="AI63" s="975">
        <v>9</v>
      </c>
      <c r="AJ63" s="975">
        <v>0</v>
      </c>
      <c r="AK63" s="975">
        <v>7</v>
      </c>
      <c r="AL63" s="975">
        <v>78</v>
      </c>
      <c r="AM63" s="975"/>
    </row>
    <row r="64" spans="4:39" ht="16">
      <c r="G64" s="213"/>
      <c r="H64" s="213"/>
      <c r="I64" s="213"/>
      <c r="J64" s="212"/>
      <c r="K64" s="212"/>
      <c r="R64" s="1360" t="str">
        <v>4.102</v>
      </c>
      <c r="S64" s="975">
        <v>78</v>
      </c>
      <c r="T64" s="975">
        <v>4785</v>
      </c>
      <c r="U64" s="975">
        <v>23</v>
      </c>
      <c r="V64" s="975">
        <v>87</v>
      </c>
      <c r="W64" s="975">
        <v>13953235.512421811</v>
      </c>
      <c r="X64" s="975">
        <f t="shared" si="3"/>
        <v>-7558002.5692284815</v>
      </c>
      <c r="Y64" s="975">
        <f t="shared" si="9"/>
        <v>6395232.9431933295</v>
      </c>
      <c r="Z64" s="975">
        <f t="shared" si="14"/>
        <v>-191856.98829579988</v>
      </c>
      <c r="AA64" s="975">
        <f t="shared" si="15"/>
        <v>-63952.3294319333</v>
      </c>
      <c r="AB64" s="975">
        <f t="shared" si="16"/>
        <v>6139423.6254655961</v>
      </c>
      <c r="AC64" s="975">
        <f t="shared" si="7"/>
        <v>1283.0561390732698</v>
      </c>
      <c r="AD64" s="975">
        <f t="shared" ref="AD64:AD73" si="17">IFERROR(AB64/AJ64,"")</f>
        <v>70568.08764902984</v>
      </c>
      <c r="AE64" s="1361">
        <f t="shared" si="10"/>
        <v>266931.46197676507</v>
      </c>
      <c r="AF64" s="99"/>
      <c r="AG64" s="975" t="str">
        <f ca="1"/>
        <v>4</v>
      </c>
      <c r="AH64" s="1250">
        <f ca="1"/>
        <v>4.0999999999999996</v>
      </c>
      <c r="AI64" s="975">
        <v>23</v>
      </c>
      <c r="AJ64" s="975">
        <v>87</v>
      </c>
      <c r="AK64" s="975">
        <v>7</v>
      </c>
      <c r="AL64" s="975">
        <v>78</v>
      </c>
      <c r="AM64" s="975"/>
    </row>
    <row r="65" spans="18:39" ht="16">
      <c r="R65" s="1360" t="str">
        <v>4.103</v>
      </c>
      <c r="S65" s="975">
        <v>78</v>
      </c>
      <c r="T65" s="975"/>
      <c r="U65" s="975">
        <v>10</v>
      </c>
      <c r="V65" s="975">
        <v>0</v>
      </c>
      <c r="W65" s="975">
        <v>0</v>
      </c>
      <c r="X65" s="975">
        <f t="shared" si="3"/>
        <v>0</v>
      </c>
      <c r="Y65" s="975">
        <f t="shared" si="9"/>
        <v>0</v>
      </c>
      <c r="Z65" s="975">
        <f t="shared" si="14"/>
        <v>0</v>
      </c>
      <c r="AA65" s="975">
        <f t="shared" si="15"/>
        <v>0</v>
      </c>
      <c r="AB65" s="975">
        <f t="shared" si="16"/>
        <v>0</v>
      </c>
      <c r="AC65" s="975" t="str">
        <f t="shared" si="7"/>
        <v/>
      </c>
      <c r="AD65" s="975" t="str">
        <f t="shared" si="17"/>
        <v/>
      </c>
      <c r="AE65" s="1361">
        <f t="shared" si="10"/>
        <v>0</v>
      </c>
      <c r="AF65" s="99"/>
      <c r="AG65" s="975" t="str">
        <f ca="1"/>
        <v>4</v>
      </c>
      <c r="AH65" s="1250">
        <f ca="1"/>
        <v>4.0999999999999996</v>
      </c>
      <c r="AI65" s="975">
        <v>10</v>
      </c>
      <c r="AJ65" s="975">
        <v>0</v>
      </c>
      <c r="AK65" s="975">
        <v>7</v>
      </c>
      <c r="AL65" s="975">
        <v>78</v>
      </c>
      <c r="AM65" s="975"/>
    </row>
    <row r="66" spans="18:39" ht="16">
      <c r="R66" s="1360" t="str">
        <v>4.104</v>
      </c>
      <c r="S66" s="975">
        <v>78</v>
      </c>
      <c r="T66" s="975">
        <v>4095</v>
      </c>
      <c r="U66" s="975">
        <v>19</v>
      </c>
      <c r="V66" s="975">
        <v>91</v>
      </c>
      <c r="W66" s="975">
        <v>11941170.203420548</v>
      </c>
      <c r="X66" s="975">
        <f t="shared" si="3"/>
        <v>-6468133.8601861298</v>
      </c>
      <c r="Y66" s="975">
        <f t="shared" si="9"/>
        <v>5473036.343234418</v>
      </c>
      <c r="Z66" s="975">
        <f t="shared" si="14"/>
        <v>-164191.09029703253</v>
      </c>
      <c r="AA66" s="975">
        <f t="shared" si="15"/>
        <v>-54730.36343234418</v>
      </c>
      <c r="AB66" s="975">
        <f t="shared" si="16"/>
        <v>5254114.8895050418</v>
      </c>
      <c r="AC66" s="975">
        <f t="shared" si="7"/>
        <v>1283.0561390732703</v>
      </c>
      <c r="AD66" s="975">
        <f t="shared" si="17"/>
        <v>57737.526258297163</v>
      </c>
      <c r="AE66" s="1361">
        <f t="shared" si="10"/>
        <v>276532.3626055285</v>
      </c>
      <c r="AF66" s="99"/>
      <c r="AG66" s="975" t="str">
        <f ca="1"/>
        <v>4</v>
      </c>
      <c r="AH66" s="1250">
        <f ca="1"/>
        <v>4.0999999999999996</v>
      </c>
      <c r="AI66" s="975">
        <v>19</v>
      </c>
      <c r="AJ66" s="975">
        <v>91</v>
      </c>
      <c r="AK66" s="975">
        <v>7</v>
      </c>
      <c r="AL66" s="975">
        <v>78</v>
      </c>
      <c r="AM66" s="975"/>
    </row>
    <row r="67" spans="18:39" ht="16">
      <c r="R67" s="1360" t="str">
        <v>4.105</v>
      </c>
      <c r="S67" s="975">
        <v>78</v>
      </c>
      <c r="T67" s="975">
        <v>4565</v>
      </c>
      <c r="U67" s="975">
        <v>22</v>
      </c>
      <c r="V67" s="975">
        <v>83</v>
      </c>
      <c r="W67" s="975">
        <v>13311707.442885177</v>
      </c>
      <c r="X67" s="975">
        <f t="shared" si="3"/>
        <v>-7210508.1982294712</v>
      </c>
      <c r="Y67" s="975">
        <f t="shared" si="9"/>
        <v>6101199.244655706</v>
      </c>
      <c r="Z67" s="975">
        <f t="shared" si="14"/>
        <v>-183035.97733967117</v>
      </c>
      <c r="AA67" s="975">
        <f t="shared" si="15"/>
        <v>-61011.992446557058</v>
      </c>
      <c r="AB67" s="975">
        <f t="shared" si="16"/>
        <v>5857151.2748694783</v>
      </c>
      <c r="AC67" s="975">
        <f t="shared" si="7"/>
        <v>1283.0561390732701</v>
      </c>
      <c r="AD67" s="975">
        <f t="shared" si="17"/>
        <v>70568.087649029854</v>
      </c>
      <c r="AE67" s="1361">
        <f t="shared" si="10"/>
        <v>266234.14885770355</v>
      </c>
      <c r="AF67" s="99"/>
      <c r="AG67" s="975" t="str">
        <f ca="1"/>
        <v>4</v>
      </c>
      <c r="AH67" s="1250">
        <f ca="1"/>
        <v>4.0999999999999996</v>
      </c>
      <c r="AI67" s="975">
        <v>22</v>
      </c>
      <c r="AJ67" s="975">
        <v>83</v>
      </c>
      <c r="AK67" s="975">
        <v>7</v>
      </c>
      <c r="AL67" s="975">
        <v>78</v>
      </c>
      <c r="AM67" s="975"/>
    </row>
    <row r="68" spans="18:39" ht="16">
      <c r="R68" s="1360" t="str">
        <v>4.201</v>
      </c>
      <c r="S68" s="975">
        <v>96</v>
      </c>
      <c r="T68" s="975">
        <v>3150</v>
      </c>
      <c r="U68" s="975">
        <v>17</v>
      </c>
      <c r="V68" s="975">
        <v>45</v>
      </c>
      <c r="W68" s="975">
        <v>9607765.6106848717</v>
      </c>
      <c r="X68" s="975">
        <f t="shared" si="3"/>
        <v>-5204206.3724543061</v>
      </c>
      <c r="Y68" s="975">
        <f t="shared" si="9"/>
        <v>4403559.2382305656</v>
      </c>
      <c r="Z68" s="975">
        <f t="shared" si="14"/>
        <v>-132106.77714691695</v>
      </c>
      <c r="AA68" s="975">
        <f t="shared" si="15"/>
        <v>-44035.592382305658</v>
      </c>
      <c r="AB68" s="975">
        <f t="shared" si="16"/>
        <v>4227416.8687013434</v>
      </c>
      <c r="AC68" s="975">
        <f t="shared" si="7"/>
        <v>1342.0371011750296</v>
      </c>
      <c r="AD68" s="975">
        <f t="shared" si="17"/>
        <v>93942.597082252076</v>
      </c>
      <c r="AE68" s="1361">
        <f t="shared" si="10"/>
        <v>248671.58051184373</v>
      </c>
      <c r="AF68" s="99"/>
      <c r="AG68" s="975" t="str">
        <f ca="1"/>
        <v>4</v>
      </c>
      <c r="AH68" s="1250">
        <f ca="1"/>
        <v>4.2</v>
      </c>
      <c r="AI68" s="975">
        <v>17</v>
      </c>
      <c r="AJ68" s="975">
        <v>45</v>
      </c>
      <c r="AK68" s="975">
        <v>8</v>
      </c>
      <c r="AL68" s="975">
        <v>96</v>
      </c>
      <c r="AM68" s="975"/>
    </row>
    <row r="69" spans="18:39" ht="16">
      <c r="R69" s="1360" t="str">
        <v>4.202</v>
      </c>
      <c r="S69" s="975">
        <v>96</v>
      </c>
      <c r="T69" s="975">
        <v>4960</v>
      </c>
      <c r="U69" s="975">
        <v>26</v>
      </c>
      <c r="V69" s="975">
        <v>62</v>
      </c>
      <c r="W69" s="975">
        <v>13867716.712141974</v>
      </c>
      <c r="X69" s="975">
        <f t="shared" si="3"/>
        <v>-8194559.8753566211</v>
      </c>
      <c r="Y69" s="975">
        <f t="shared" si="9"/>
        <v>5673156.8367853528</v>
      </c>
      <c r="Z69" s="975">
        <f t="shared" si="14"/>
        <v>-170194.70510356058</v>
      </c>
      <c r="AA69" s="975">
        <f t="shared" si="15"/>
        <v>-56731.568367853528</v>
      </c>
      <c r="AB69" s="975">
        <f t="shared" si="16"/>
        <v>5446230.5633139387</v>
      </c>
      <c r="AC69" s="975">
        <f t="shared" si="7"/>
        <v>1098.0303555068424</v>
      </c>
      <c r="AD69" s="975">
        <f t="shared" si="17"/>
        <v>87842.428440547403</v>
      </c>
      <c r="AE69" s="1361">
        <f t="shared" si="10"/>
        <v>209470.40628130533</v>
      </c>
      <c r="AF69" s="99"/>
      <c r="AG69" s="975" t="str">
        <f ca="1"/>
        <v>4</v>
      </c>
      <c r="AH69" s="1250">
        <f ca="1"/>
        <v>4.2</v>
      </c>
      <c r="AI69" s="975">
        <v>26</v>
      </c>
      <c r="AJ69" s="975">
        <v>62</v>
      </c>
      <c r="AK69" s="975">
        <v>8</v>
      </c>
      <c r="AL69" s="975">
        <v>96</v>
      </c>
      <c r="AM69" s="975"/>
    </row>
    <row r="70" spans="18:39" ht="16">
      <c r="R70" s="1360" t="str">
        <v>4.203</v>
      </c>
      <c r="S70" s="975">
        <v>96</v>
      </c>
      <c r="T70" s="975">
        <v>3780</v>
      </c>
      <c r="U70" s="975">
        <v>20</v>
      </c>
      <c r="V70" s="975">
        <v>54</v>
      </c>
      <c r="W70" s="975">
        <v>10568542.17175336</v>
      </c>
      <c r="X70" s="975">
        <f t="shared" si="3"/>
        <v>-6245047.6469451673</v>
      </c>
      <c r="Y70" s="975">
        <f t="shared" si="9"/>
        <v>4323494.5248081926</v>
      </c>
      <c r="Z70" s="975">
        <f t="shared" si="14"/>
        <v>-129704.83574424578</v>
      </c>
      <c r="AA70" s="975">
        <f t="shared" si="15"/>
        <v>-43234.945248081924</v>
      </c>
      <c r="AB70" s="975">
        <f t="shared" si="16"/>
        <v>4150554.7438158649</v>
      </c>
      <c r="AC70" s="975">
        <f t="shared" si="7"/>
        <v>1098.0303555068426</v>
      </c>
      <c r="AD70" s="975">
        <f t="shared" si="17"/>
        <v>76862.124885478974</v>
      </c>
      <c r="AE70" s="1361">
        <f t="shared" si="10"/>
        <v>207527.73719079324</v>
      </c>
      <c r="AF70" s="99"/>
      <c r="AG70" s="975" t="str">
        <f ca="1"/>
        <v>4</v>
      </c>
      <c r="AH70" s="1250">
        <f ca="1"/>
        <v>4.2</v>
      </c>
      <c r="AI70" s="975">
        <v>20</v>
      </c>
      <c r="AJ70" s="975">
        <v>54</v>
      </c>
      <c r="AK70" s="975">
        <v>8</v>
      </c>
      <c r="AL70" s="975">
        <v>96</v>
      </c>
      <c r="AM70" s="975"/>
    </row>
    <row r="71" spans="18:39" ht="16">
      <c r="R71" s="1360" t="str">
        <v>4.204</v>
      </c>
      <c r="S71" s="975">
        <v>96</v>
      </c>
      <c r="T71" s="975">
        <v>4340</v>
      </c>
      <c r="U71" s="975">
        <v>23</v>
      </c>
      <c r="V71" s="975">
        <v>62</v>
      </c>
      <c r="W71" s="975">
        <v>12134252.123124227</v>
      </c>
      <c r="X71" s="975">
        <f t="shared" si="3"/>
        <v>-7170239.8909370434</v>
      </c>
      <c r="Y71" s="975">
        <f t="shared" si="9"/>
        <v>4964012.2321871836</v>
      </c>
      <c r="Z71" s="975">
        <f t="shared" si="14"/>
        <v>-148920.36696561551</v>
      </c>
      <c r="AA71" s="975">
        <f t="shared" si="15"/>
        <v>-49640.122321871837</v>
      </c>
      <c r="AB71" s="975">
        <f t="shared" si="16"/>
        <v>4765451.7428996963</v>
      </c>
      <c r="AC71" s="975">
        <f t="shared" si="7"/>
        <v>1098.0303555068424</v>
      </c>
      <c r="AD71" s="975">
        <f t="shared" si="17"/>
        <v>76862.124885478974</v>
      </c>
      <c r="AE71" s="1361">
        <f t="shared" si="10"/>
        <v>207193.55403911724</v>
      </c>
      <c r="AF71" s="99"/>
      <c r="AG71" s="975" t="str">
        <f ca="1"/>
        <v>4</v>
      </c>
      <c r="AH71" s="1250">
        <f ca="1"/>
        <v>4.2</v>
      </c>
      <c r="AI71" s="975">
        <v>23</v>
      </c>
      <c r="AJ71" s="975">
        <v>62</v>
      </c>
      <c r="AK71" s="975">
        <v>8</v>
      </c>
      <c r="AL71" s="975">
        <v>96</v>
      </c>
      <c r="AM71" s="975"/>
    </row>
    <row r="72" spans="18:39" ht="16">
      <c r="R72" s="1360" t="str">
        <v>4.205</v>
      </c>
      <c r="S72" s="975">
        <v>96</v>
      </c>
      <c r="T72" s="975">
        <v>5120</v>
      </c>
      <c r="U72" s="975">
        <v>27</v>
      </c>
      <c r="V72" s="975">
        <v>64</v>
      </c>
      <c r="W72" s="975">
        <v>14315062.41253365</v>
      </c>
      <c r="X72" s="975">
        <f t="shared" si="3"/>
        <v>-8458900.5164971575</v>
      </c>
      <c r="Y72" s="975">
        <f t="shared" si="9"/>
        <v>5856161.8960364927</v>
      </c>
      <c r="Z72" s="975">
        <f t="shared" si="14"/>
        <v>-175684.85688109478</v>
      </c>
      <c r="AA72" s="975">
        <f t="shared" si="15"/>
        <v>-58561.618960364925</v>
      </c>
      <c r="AB72" s="975">
        <f t="shared" si="16"/>
        <v>5621915.4201950328</v>
      </c>
      <c r="AC72" s="975">
        <f t="shared" si="7"/>
        <v>1098.0303555068424</v>
      </c>
      <c r="AD72" s="975">
        <f t="shared" si="17"/>
        <v>87842.428440547388</v>
      </c>
      <c r="AE72" s="1361">
        <f t="shared" si="10"/>
        <v>208219.08963685308</v>
      </c>
      <c r="AF72" s="99"/>
      <c r="AG72" s="975" t="str">
        <f ca="1"/>
        <v>4</v>
      </c>
      <c r="AH72" s="1250">
        <f ca="1"/>
        <v>4.2</v>
      </c>
      <c r="AI72" s="975">
        <v>27</v>
      </c>
      <c r="AJ72" s="975">
        <v>64</v>
      </c>
      <c r="AK72" s="975">
        <v>8</v>
      </c>
      <c r="AL72" s="975">
        <v>96</v>
      </c>
      <c r="AM72" s="975"/>
    </row>
    <row r="73" spans="18:39" ht="16">
      <c r="R73" s="1360" t="str">
        <v>4.206</v>
      </c>
      <c r="S73" s="975">
        <v>96</v>
      </c>
      <c r="T73" s="975"/>
      <c r="U73" s="975">
        <v>18</v>
      </c>
      <c r="V73" s="975">
        <v>0</v>
      </c>
      <c r="W73" s="975">
        <v>9964625.4762245957</v>
      </c>
      <c r="X73" s="975">
        <f t="shared" si="3"/>
        <v>0</v>
      </c>
      <c r="Y73" s="975">
        <f t="shared" si="9"/>
        <v>9964625.4762245957</v>
      </c>
      <c r="Z73" s="975">
        <f t="shared" si="14"/>
        <v>-298938.76428673783</v>
      </c>
      <c r="AA73" s="975">
        <f t="shared" si="15"/>
        <v>-99646.254762245953</v>
      </c>
      <c r="AB73" s="975">
        <f t="shared" si="16"/>
        <v>9566040.4571756124</v>
      </c>
      <c r="AC73" s="975" t="str">
        <f t="shared" si="7"/>
        <v/>
      </c>
      <c r="AD73" s="975" t="str">
        <f t="shared" si="17"/>
        <v/>
      </c>
      <c r="AE73" s="1361">
        <f t="shared" si="10"/>
        <v>531446.69206531183</v>
      </c>
      <c r="AF73" s="99"/>
      <c r="AG73" s="975" t="str">
        <f ca="1"/>
        <v>4</v>
      </c>
      <c r="AH73" s="1250">
        <f ca="1"/>
        <v>4.2</v>
      </c>
      <c r="AI73" s="975">
        <v>18</v>
      </c>
      <c r="AJ73" s="975">
        <v>0</v>
      </c>
      <c r="AK73" s="975">
        <v>8</v>
      </c>
      <c r="AL73" s="975">
        <v>96</v>
      </c>
      <c r="AM73" s="975"/>
    </row>
    <row r="74" spans="18:39" ht="16">
      <c r="R74" s="1360"/>
      <c r="S74" s="975">
        <v>0</v>
      </c>
      <c r="T74" s="975"/>
      <c r="U74" s="975">
        <v>0</v>
      </c>
      <c r="V74" s="975">
        <v>0</v>
      </c>
      <c r="W74" s="975">
        <v>0</v>
      </c>
      <c r="X74" s="975"/>
      <c r="Y74" s="975">
        <f t="shared" si="9"/>
        <v>0</v>
      </c>
      <c r="Z74" s="975"/>
      <c r="AA74" s="975"/>
      <c r="AB74" s="975"/>
      <c r="AC74" s="975"/>
      <c r="AD74" s="975"/>
      <c r="AE74" s="1361" t="str">
        <f t="shared" si="10"/>
        <v/>
      </c>
      <c r="AF74" s="99"/>
      <c r="AG74" s="975"/>
      <c r="AH74" s="1250"/>
      <c r="AI74" s="975"/>
      <c r="AJ74" s="975"/>
      <c r="AK74" s="975">
        <v>0</v>
      </c>
      <c r="AL74" s="975">
        <v>0</v>
      </c>
      <c r="AM74" s="975"/>
    </row>
    <row r="75" spans="18:39" ht="16">
      <c r="R75" s="1360"/>
      <c r="S75" s="975"/>
      <c r="T75" s="975"/>
      <c r="U75" s="975"/>
      <c r="V75" s="975"/>
      <c r="W75" s="975"/>
      <c r="X75" s="975"/>
      <c r="Y75" s="975">
        <f t="shared" si="9"/>
        <v>0</v>
      </c>
      <c r="Z75" s="975"/>
      <c r="AA75" s="975"/>
      <c r="AB75" s="975"/>
      <c r="AC75" s="975"/>
      <c r="AD75" s="975"/>
      <c r="AE75" s="1361" t="str">
        <f t="shared" si="10"/>
        <v/>
      </c>
      <c r="AF75" s="99"/>
      <c r="AG75" s="975"/>
      <c r="AH75" s="1250"/>
      <c r="AI75" s="975"/>
      <c r="AJ75" s="975"/>
      <c r="AK75" s="975">
        <v>0</v>
      </c>
      <c r="AL75" s="975">
        <v>0</v>
      </c>
      <c r="AM75" s="975"/>
    </row>
    <row r="76" spans="18:39" ht="16">
      <c r="R76" s="1362"/>
      <c r="S76" s="975"/>
      <c r="T76" s="975"/>
      <c r="U76" s="975"/>
      <c r="V76" s="975"/>
      <c r="W76" s="975"/>
      <c r="X76" s="975"/>
      <c r="Y76" s="975">
        <f t="shared" si="9"/>
        <v>0</v>
      </c>
      <c r="Z76" s="975"/>
      <c r="AA76" s="975"/>
      <c r="AB76" s="975"/>
      <c r="AC76" s="975"/>
      <c r="AD76" s="975"/>
      <c r="AE76" s="1361" t="str">
        <f t="shared" si="10"/>
        <v/>
      </c>
      <c r="AF76" s="99"/>
      <c r="AG76" s="975"/>
      <c r="AH76" s="1250"/>
      <c r="AI76" s="975"/>
      <c r="AJ76" s="975"/>
      <c r="AK76" s="975">
        <v>0</v>
      </c>
      <c r="AL76" s="975">
        <v>0</v>
      </c>
      <c r="AM76" s="975"/>
    </row>
    <row r="77" spans="18:39" ht="16">
      <c r="R77" s="1362"/>
      <c r="S77" s="975"/>
      <c r="T77" s="975"/>
      <c r="U77" s="975"/>
      <c r="V77" s="975"/>
      <c r="W77" s="975"/>
      <c r="X77" s="975"/>
      <c r="Y77" s="975">
        <f t="shared" si="9"/>
        <v>0</v>
      </c>
      <c r="Z77" s="975"/>
      <c r="AA77" s="975"/>
      <c r="AB77" s="975"/>
      <c r="AC77" s="975"/>
      <c r="AD77" s="975"/>
      <c r="AE77" s="1361" t="str">
        <f t="shared" si="10"/>
        <v/>
      </c>
      <c r="AF77" s="99"/>
      <c r="AG77" s="975"/>
      <c r="AH77" s="1250"/>
      <c r="AI77" s="975"/>
      <c r="AJ77" s="975"/>
      <c r="AK77" s="975">
        <v>0</v>
      </c>
      <c r="AL77" s="975">
        <v>0</v>
      </c>
      <c r="AM77" s="975"/>
    </row>
    <row r="78" spans="18:39" ht="16">
      <c r="R78" s="1362"/>
      <c r="S78" s="975"/>
      <c r="T78" s="975"/>
      <c r="U78" s="975"/>
      <c r="V78" s="975"/>
      <c r="W78" s="975"/>
      <c r="X78" s="975"/>
      <c r="Y78" s="975">
        <f t="shared" si="9"/>
        <v>0</v>
      </c>
      <c r="Z78" s="975"/>
      <c r="AA78" s="975"/>
      <c r="AB78" s="975"/>
      <c r="AC78" s="975"/>
      <c r="AD78" s="975"/>
      <c r="AE78" s="1361" t="str">
        <f t="shared" si="10"/>
        <v/>
      </c>
      <c r="AF78" s="99"/>
      <c r="AG78" s="975"/>
      <c r="AH78" s="1250"/>
      <c r="AI78" s="975"/>
      <c r="AJ78" s="975"/>
      <c r="AK78" s="975">
        <v>0</v>
      </c>
      <c r="AL78" s="975">
        <v>0</v>
      </c>
      <c r="AM78" s="975"/>
    </row>
    <row r="79" spans="18:39" ht="16">
      <c r="R79" s="1362"/>
      <c r="S79" s="975"/>
      <c r="T79" s="975"/>
      <c r="U79" s="975"/>
      <c r="V79" s="975"/>
      <c r="W79" s="975"/>
      <c r="X79" s="975"/>
      <c r="Y79" s="975">
        <f t="shared" si="9"/>
        <v>0</v>
      </c>
      <c r="Z79" s="975"/>
      <c r="AA79" s="975"/>
      <c r="AB79" s="975"/>
      <c r="AC79" s="975"/>
      <c r="AD79" s="975"/>
      <c r="AE79" s="1361" t="str">
        <f t="shared" si="10"/>
        <v/>
      </c>
      <c r="AF79" s="99"/>
      <c r="AG79" s="975"/>
      <c r="AH79" s="1250"/>
      <c r="AI79" s="975"/>
      <c r="AJ79" s="975"/>
      <c r="AK79" s="975">
        <v>0</v>
      </c>
      <c r="AL79" s="975">
        <v>0</v>
      </c>
      <c r="AM79" s="975"/>
    </row>
    <row r="80" spans="18:39" ht="16">
      <c r="R80" s="1362"/>
      <c r="S80" s="975"/>
      <c r="T80" s="975"/>
      <c r="U80" s="975"/>
      <c r="V80" s="975"/>
      <c r="W80" s="975"/>
      <c r="X80" s="975"/>
      <c r="Y80" s="975">
        <f t="shared" si="9"/>
        <v>0</v>
      </c>
      <c r="Z80" s="975"/>
      <c r="AA80" s="975"/>
      <c r="AB80" s="975"/>
      <c r="AC80" s="975"/>
      <c r="AD80" s="975"/>
      <c r="AE80" s="1361" t="str">
        <f t="shared" si="10"/>
        <v/>
      </c>
      <c r="AF80" s="99"/>
      <c r="AG80" s="975"/>
      <c r="AH80" s="975"/>
      <c r="AI80" s="975"/>
      <c r="AJ80" s="975"/>
      <c r="AK80" s="975">
        <v>0</v>
      </c>
      <c r="AL80" s="975">
        <v>0</v>
      </c>
      <c r="AM80" s="975"/>
    </row>
    <row r="81" spans="18:47" ht="16">
      <c r="R81" s="1362"/>
      <c r="S81" s="975"/>
      <c r="T81" s="975"/>
      <c r="U81" s="975"/>
      <c r="V81" s="975"/>
      <c r="W81" s="975"/>
      <c r="X81" s="975"/>
      <c r="Y81" s="975">
        <f t="shared" si="9"/>
        <v>0</v>
      </c>
      <c r="Z81" s="975"/>
      <c r="AA81" s="975"/>
      <c r="AB81" s="975"/>
      <c r="AC81" s="975"/>
      <c r="AD81" s="975"/>
      <c r="AE81" s="1361" t="str">
        <f t="shared" si="10"/>
        <v/>
      </c>
      <c r="AF81" s="99"/>
      <c r="AG81" s="975"/>
      <c r="AH81" s="975"/>
      <c r="AI81" s="975"/>
      <c r="AJ81" s="975"/>
      <c r="AK81" s="975">
        <v>0</v>
      </c>
      <c r="AL81" s="975">
        <v>0</v>
      </c>
      <c r="AM81" s="975"/>
    </row>
    <row r="82" spans="18:47" ht="16">
      <c r="R82" s="1362"/>
      <c r="S82" s="975"/>
      <c r="T82" s="975"/>
      <c r="U82" s="975"/>
      <c r="V82" s="975"/>
      <c r="W82" s="975"/>
      <c r="X82" s="975"/>
      <c r="Y82" s="975">
        <f t="shared" si="9"/>
        <v>0</v>
      </c>
      <c r="Z82" s="975"/>
      <c r="AA82" s="975"/>
      <c r="AB82" s="975"/>
      <c r="AC82" s="975"/>
      <c r="AD82" s="975"/>
      <c r="AE82" s="1361" t="str">
        <f t="shared" si="10"/>
        <v/>
      </c>
      <c r="AF82" s="99"/>
      <c r="AG82" s="975"/>
      <c r="AH82" s="975"/>
      <c r="AI82" s="975"/>
      <c r="AJ82" s="975"/>
      <c r="AK82" s="975">
        <v>0</v>
      </c>
      <c r="AL82" s="975">
        <v>0</v>
      </c>
      <c r="AM82" s="975"/>
    </row>
    <row r="83" spans="18:47" ht="16">
      <c r="R83" s="1362"/>
      <c r="S83" s="975"/>
      <c r="T83" s="975"/>
      <c r="U83" s="975"/>
      <c r="V83" s="975"/>
      <c r="W83" s="975"/>
      <c r="X83" s="975"/>
      <c r="Y83" s="975">
        <f t="shared" si="9"/>
        <v>0</v>
      </c>
      <c r="Z83" s="975"/>
      <c r="AA83" s="975"/>
      <c r="AB83" s="975"/>
      <c r="AC83" s="975"/>
      <c r="AD83" s="975"/>
      <c r="AE83" s="1361" t="str">
        <f t="shared" si="10"/>
        <v/>
      </c>
      <c r="AF83" s="99"/>
      <c r="AG83" s="975"/>
      <c r="AH83" s="975"/>
      <c r="AI83" s="975"/>
      <c r="AJ83" s="975"/>
      <c r="AK83" s="975">
        <v>0</v>
      </c>
      <c r="AL83" s="975">
        <v>0</v>
      </c>
      <c r="AM83" s="975"/>
    </row>
    <row r="84" spans="18:47" ht="16">
      <c r="R84" s="1363"/>
      <c r="S84" s="970"/>
      <c r="T84" s="970"/>
      <c r="U84" s="970"/>
      <c r="V84" s="970"/>
      <c r="W84" s="970"/>
      <c r="X84" s="559"/>
      <c r="Y84" s="975">
        <f t="shared" si="9"/>
        <v>0</v>
      </c>
      <c r="Z84" s="559"/>
      <c r="AA84" s="559"/>
      <c r="AB84" s="559"/>
      <c r="AC84" s="559"/>
      <c r="AD84" s="559"/>
      <c r="AE84" s="1364" t="str">
        <f t="shared" si="10"/>
        <v/>
      </c>
      <c r="AF84" s="99"/>
      <c r="AG84" s="975"/>
      <c r="AH84" s="975"/>
      <c r="AI84" s="975"/>
      <c r="AJ84" s="975"/>
      <c r="AK84" s="975">
        <v>0</v>
      </c>
      <c r="AL84" s="975">
        <v>0</v>
      </c>
      <c r="AM84" s="975"/>
    </row>
    <row r="85" spans="18:47" ht="16">
      <c r="R85" s="1365"/>
      <c r="S85" s="1366"/>
      <c r="T85" s="1366">
        <f t="shared" ref="T85:AB85" si="18">SUM(T32:T84)</f>
        <v>111105</v>
      </c>
      <c r="U85" s="1366"/>
      <c r="V85" s="1366"/>
      <c r="W85" s="1366">
        <f t="shared" si="18"/>
        <v>509723345.179654</v>
      </c>
      <c r="X85" s="1366">
        <f t="shared" si="18"/>
        <v>-167488649.64694554</v>
      </c>
      <c r="Y85" s="1366">
        <f t="shared" si="18"/>
        <v>342234695.53270864</v>
      </c>
      <c r="Z85" s="1366">
        <f t="shared" si="18"/>
        <v>-10267040.865981257</v>
      </c>
      <c r="AA85" s="1366">
        <f t="shared" si="18"/>
        <v>-3422346.9553270852</v>
      </c>
      <c r="AB85" s="1366">
        <f t="shared" si="18"/>
        <v>328545307.71140027</v>
      </c>
      <c r="AC85" s="1366" cm="1">
        <f t="array" ref="AC85">AB85/c_FrontFeet</f>
        <v>2957.0704082750576</v>
      </c>
      <c r="AD85" s="1366" cm="1">
        <f t="array" ref="AD85">AB85/c_Units.Total</f>
        <v>96178.368767974316</v>
      </c>
      <c r="AE85" s="1367"/>
      <c r="AF85" s="99"/>
      <c r="AG85" s="971"/>
      <c r="AH85" s="971"/>
      <c r="AI85" s="971">
        <f>SUM(tbl_Planning[Acres])</f>
        <v>1090</v>
      </c>
      <c r="AJ85" s="971">
        <f t="shared" ref="AJ85:AU85" si="19">SUM(AJ32:AJ84)</f>
        <v>3416</v>
      </c>
      <c r="AK85" s="971"/>
      <c r="AL85" s="971"/>
      <c r="AM85" s="971"/>
      <c r="AN85" s="971"/>
      <c r="AO85" s="971"/>
      <c r="AP85" s="971"/>
      <c r="AQ85" s="971">
        <f t="shared" ca="1" si="19"/>
        <v>3416</v>
      </c>
      <c r="AR85" s="971">
        <f t="shared" ca="1" si="19"/>
        <v>42</v>
      </c>
      <c r="AS85" s="971">
        <f t="shared" ca="1" si="19"/>
        <v>304583853.5128631</v>
      </c>
      <c r="AT85" s="971">
        <f t="shared" ca="1" si="19"/>
        <v>205139491.66679096</v>
      </c>
      <c r="AU85" s="971">
        <f t="shared" ca="1" si="19"/>
        <v>509723345.179654</v>
      </c>
    </row>
    <row r="86" spans="18:47" ht="16"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99"/>
      <c r="AK86" s="99"/>
      <c r="AL86" s="99"/>
    </row>
    <row r="87" spans="18:47" ht="16"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9"/>
      <c r="AI87" s="99"/>
      <c r="AJ87" s="99"/>
      <c r="AK87" s="99"/>
      <c r="AL87" s="99"/>
    </row>
    <row r="88" spans="18:47" ht="17" thickBot="1">
      <c r="R88" s="350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9"/>
      <c r="AI88" s="99"/>
      <c r="AJ88" s="99"/>
      <c r="AK88" s="99"/>
      <c r="AL88" s="99"/>
    </row>
    <row r="89" spans="18:47" ht="17" thickTop="1">
      <c r="R89" s="972" t="s">
        <v>507</v>
      </c>
      <c r="S89" s="973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9"/>
      <c r="AI89" s="99"/>
      <c r="AJ89" s="99"/>
      <c r="AK89" s="99"/>
      <c r="AL89" s="99"/>
    </row>
    <row r="90" spans="18:47" ht="34">
      <c r="R90" s="974" t="s">
        <v>138</v>
      </c>
      <c r="S90" s="974" t="s">
        <v>97</v>
      </c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9"/>
      <c r="AI90" s="99"/>
      <c r="AJ90" s="99"/>
      <c r="AK90" s="99"/>
      <c r="AL90" s="99"/>
    </row>
    <row r="91" spans="18:47" ht="16">
      <c r="R91" s="978" t="str" cm="1">
        <f t="array" ref="R91:R106">_xlfn.ANCHORARRAY(R9)</f>
        <v>2.101</v>
      </c>
      <c r="S91" s="978" cm="1">
        <f t="array" aca="1" ref="S91:S106" ca="1">IFERROR(LOOKUP(_xlfn.ANCHORARRAY(R$91),_xlfn.ANCHORARRAY($R$32),S$32:S$75),0)</f>
        <v>48</v>
      </c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9"/>
      <c r="AI91" s="99"/>
      <c r="AJ91" s="99"/>
      <c r="AK91" s="99"/>
      <c r="AL91" s="99"/>
    </row>
    <row r="92" spans="18:47" ht="16">
      <c r="R92" s="978" t="str">
        <v>2.102</v>
      </c>
      <c r="S92" s="978">
        <f ca="1"/>
        <v>48</v>
      </c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9"/>
      <c r="AI92" s="99"/>
      <c r="AJ92" s="99"/>
      <c r="AK92" s="99"/>
      <c r="AL92" s="99"/>
    </row>
    <row r="93" spans="18:47" ht="16">
      <c r="R93" s="978" t="str">
        <v>2.103</v>
      </c>
      <c r="S93" s="978">
        <f ca="1"/>
        <v>48</v>
      </c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9"/>
    </row>
    <row r="94" spans="18:47" ht="16">
      <c r="R94" s="978" t="str">
        <v>2.104</v>
      </c>
      <c r="S94" s="978">
        <f ca="1"/>
        <v>48</v>
      </c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9"/>
      <c r="AI94" s="99"/>
      <c r="AJ94" s="99"/>
      <c r="AK94" s="99"/>
      <c r="AL94" s="99"/>
    </row>
    <row r="95" spans="18:47" ht="16">
      <c r="R95" s="978" t="str">
        <v>2.105</v>
      </c>
      <c r="S95" s="978">
        <f ca="1"/>
        <v>48</v>
      </c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99"/>
    </row>
    <row r="96" spans="18:47" ht="16">
      <c r="R96" s="978" t="str">
        <v>2.106</v>
      </c>
      <c r="S96" s="978">
        <f ca="1"/>
        <v>48</v>
      </c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9"/>
      <c r="AI96" s="99"/>
      <c r="AJ96" s="99"/>
      <c r="AK96" s="99"/>
      <c r="AL96" s="99"/>
    </row>
    <row r="97" spans="3:20" ht="16">
      <c r="C97" s="16"/>
      <c r="D97" s="16"/>
      <c r="E97" s="16"/>
      <c r="F97" s="16"/>
      <c r="G97" s="16"/>
      <c r="H97" s="16"/>
      <c r="I97" s="16"/>
      <c r="L97" s="16"/>
      <c r="M97" s="16"/>
      <c r="N97" s="16"/>
      <c r="O97" s="16"/>
      <c r="P97" s="16"/>
      <c r="R97" s="978" t="str">
        <v>2.107</v>
      </c>
      <c r="S97" s="978">
        <f ca="1"/>
        <v>48</v>
      </c>
      <c r="T97" s="99"/>
    </row>
    <row r="98" spans="3:20" ht="16">
      <c r="C98" s="16"/>
      <c r="D98" s="16"/>
      <c r="E98" s="16"/>
      <c r="F98" s="16"/>
      <c r="G98" s="16"/>
      <c r="H98" s="16"/>
      <c r="I98" s="16"/>
      <c r="L98" s="16"/>
      <c r="M98" s="16"/>
      <c r="N98" s="16"/>
      <c r="O98" s="16"/>
      <c r="P98" s="16"/>
      <c r="R98" s="978" t="str">
        <v>2.108</v>
      </c>
      <c r="S98" s="978">
        <f ca="1"/>
        <v>48</v>
      </c>
      <c r="T98" s="99"/>
    </row>
    <row r="99" spans="3:20" ht="16">
      <c r="C99" s="212" t="str" cm="1">
        <f t="array" ref="C99">IFERROR(INDEX($D$15:$O$43,SMALL(IF($D$15:$D$43&lt;&gt;"",ROW($D$15:$D$43)-ROW($D$15)+1),ROW()-ROW($D$15)+1),COLUMN()-COLUMN($D$15)+1),"")</f>
        <v/>
      </c>
      <c r="D99" s="16"/>
      <c r="E99" s="16"/>
      <c r="F99" s="16"/>
      <c r="G99" s="16"/>
      <c r="H99" s="16"/>
      <c r="I99" s="16"/>
      <c r="L99" s="16"/>
      <c r="M99" s="16"/>
      <c r="N99" s="16"/>
      <c r="O99" s="16"/>
      <c r="P99" s="16"/>
      <c r="R99" s="978" t="str">
        <v>2.109</v>
      </c>
      <c r="S99" s="978">
        <f ca="1"/>
        <v>48</v>
      </c>
      <c r="T99" s="99"/>
    </row>
    <row r="100" spans="3:20" ht="16">
      <c r="C100" s="212"/>
      <c r="D100" s="16"/>
      <c r="E100" s="16"/>
      <c r="F100" s="16"/>
      <c r="G100" s="16"/>
      <c r="H100" s="16"/>
      <c r="I100" s="16"/>
      <c r="L100" s="16"/>
      <c r="M100" s="16"/>
      <c r="N100" s="16"/>
      <c r="O100" s="16"/>
      <c r="P100" s="16"/>
      <c r="R100" s="978" t="str">
        <v>2.110</v>
      </c>
      <c r="S100" s="978">
        <f ca="1"/>
        <v>48</v>
      </c>
      <c r="T100" s="99"/>
    </row>
    <row r="101" spans="3:20" ht="16">
      <c r="C101" s="16"/>
      <c r="D101" s="16" t="str" cm="1">
        <f t="array" ref="D101">IFERROR(INDEX($A$1:$A$10, SMALL(IF($A$1:$A$10&lt;&gt;"", ROW($A$1:$A$10)-MIN(ROW($A$1:$A$10))+1), ROWS($A$1:A1))), "")</f>
        <v/>
      </c>
      <c r="E101" s="16"/>
      <c r="F101" s="16"/>
      <c r="G101" s="16"/>
      <c r="H101" s="16"/>
      <c r="I101" s="16"/>
      <c r="L101" s="16"/>
      <c r="M101" s="16"/>
      <c r="N101" s="16"/>
      <c r="O101" s="16"/>
      <c r="P101" s="16"/>
      <c r="R101" s="978" t="str">
        <v>2.111</v>
      </c>
      <c r="S101" s="978">
        <f ca="1"/>
        <v>48</v>
      </c>
      <c r="T101" s="99"/>
    </row>
    <row r="102" spans="3:20" ht="13.5" customHeight="1">
      <c r="R102" s="978" t="str">
        <v>2.112</v>
      </c>
      <c r="S102" s="978">
        <f ca="1"/>
        <v>48</v>
      </c>
      <c r="T102" s="99"/>
    </row>
    <row r="103" spans="3:20" ht="13.5" customHeight="1">
      <c r="R103" s="978" t="str">
        <v>2.201</v>
      </c>
      <c r="S103" s="978">
        <f ca="1"/>
        <v>72</v>
      </c>
      <c r="T103" s="99"/>
    </row>
    <row r="104" spans="3:20" ht="13.5" customHeight="1">
      <c r="R104" s="978" t="str">
        <v>2.202</v>
      </c>
      <c r="S104" s="978">
        <f ca="1"/>
        <v>73</v>
      </c>
      <c r="T104" s="99"/>
    </row>
    <row r="105" spans="3:20" ht="13.5" customHeight="1">
      <c r="R105" s="978" t="str">
        <v>2.203</v>
      </c>
      <c r="S105" s="978">
        <f ca="1"/>
        <v>72</v>
      </c>
      <c r="T105" s="99"/>
    </row>
    <row r="106" spans="3:20" ht="13.5" customHeight="1">
      <c r="R106" s="978" t="str">
        <v>2.204</v>
      </c>
      <c r="S106" s="978">
        <f ca="1"/>
        <v>72</v>
      </c>
      <c r="T106" s="99"/>
    </row>
    <row r="107" spans="3:20" ht="13.5" customHeight="1">
      <c r="R107" s="978"/>
      <c r="S107" s="978"/>
      <c r="T107" s="99"/>
    </row>
    <row r="108" spans="3:20" ht="13.5" customHeight="1">
      <c r="R108" s="978"/>
      <c r="S108" s="978"/>
      <c r="T108" s="99"/>
    </row>
    <row r="109" spans="3:20" ht="13.5" customHeight="1">
      <c r="R109" s="978"/>
      <c r="S109" s="978"/>
      <c r="T109" s="99"/>
    </row>
    <row r="110" spans="3:20" ht="13.5" customHeight="1">
      <c r="R110" s="978"/>
      <c r="S110" s="978"/>
      <c r="T110" s="99"/>
    </row>
    <row r="111" spans="3:20" ht="13.5" customHeight="1">
      <c r="T111" s="99"/>
    </row>
  </sheetData>
  <mergeCells count="2">
    <mergeCell ref="AB30:AE30"/>
    <mergeCell ref="Z30:AA3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80096-03D0-424F-9CC0-FF2EB68DE7E3}">
  <sheetPr codeName="Sheet10" filterMode="1">
    <tabColor rgb="FFFF0000"/>
    <pageSetUpPr fitToPage="1"/>
  </sheetPr>
  <dimension ref="A2:BU383"/>
  <sheetViews>
    <sheetView showGridLines="0" topLeftCell="C1" zoomScale="85" zoomScaleNormal="85" workbookViewId="0"/>
  </sheetViews>
  <sheetFormatPr baseColWidth="10" defaultColWidth="8.83203125" defaultRowHeight="14" outlineLevelCol="1"/>
  <cols>
    <col min="1" max="1" width="8.83203125" hidden="1" customWidth="1"/>
    <col min="2" max="2" width="4.83203125" hidden="1" customWidth="1"/>
    <col min="3" max="3" width="2.83203125" customWidth="1"/>
    <col min="4" max="4" width="5.5" bestFit="1" customWidth="1"/>
    <col min="6" max="6" width="8.33203125" hidden="1" customWidth="1" outlineLevel="1"/>
    <col min="7" max="7" width="13.1640625" hidden="1" customWidth="1" outlineLevel="1"/>
    <col min="8" max="11" width="8.83203125" hidden="1" customWidth="1" outlineLevel="1"/>
    <col min="12" max="12" width="13.1640625" customWidth="1" collapsed="1"/>
    <col min="13" max="13" width="2.6640625" customWidth="1"/>
    <col min="14" max="23" width="0" hidden="1" customWidth="1" outlineLevel="1"/>
    <col min="24" max="24" width="12.83203125" customWidth="1" collapsed="1"/>
    <col min="25" max="25" width="3.33203125" customWidth="1"/>
    <col min="26" max="49" width="0" hidden="1" customWidth="1" outlineLevel="1"/>
    <col min="50" max="50" width="14.33203125" customWidth="1" collapsed="1"/>
    <col min="51" max="51" width="2.6640625" customWidth="1"/>
    <col min="52" max="55" width="8.83203125" hidden="1" customWidth="1" outlineLevel="1"/>
    <col min="56" max="56" width="14.33203125" customWidth="1" collapsed="1"/>
    <col min="57" max="57" width="3.83203125" customWidth="1"/>
    <col min="58" max="61" width="8.83203125" hidden="1" customWidth="1" outlineLevel="1"/>
    <col min="62" max="62" width="9.83203125" hidden="1" customWidth="1" outlineLevel="1"/>
    <col min="63" max="63" width="13.1640625" hidden="1" customWidth="1" outlineLevel="1"/>
    <col min="64" max="64" width="14.33203125" customWidth="1" collapsed="1"/>
    <col min="65" max="65" width="2.33203125" customWidth="1"/>
    <col min="66" max="66" width="14.33203125" customWidth="1"/>
    <col min="67" max="67" width="4" customWidth="1"/>
    <col min="68" max="68" width="14.33203125" customWidth="1"/>
    <col min="69" max="69" width="4.1640625" customWidth="1"/>
    <col min="70" max="70" width="14.33203125" customWidth="1"/>
    <col min="71" max="71" width="3.33203125" customWidth="1"/>
    <col min="72" max="73" width="14.33203125" customWidth="1"/>
    <col min="75" max="75" width="12.83203125" bestFit="1" customWidth="1"/>
    <col min="76" max="76" width="13" bestFit="1" customWidth="1"/>
    <col min="78" max="78" width="12.33203125" bestFit="1" customWidth="1"/>
    <col min="82" max="82" width="13.83203125" bestFit="1" customWidth="1"/>
  </cols>
  <sheetData>
    <row r="2" spans="1:73" s="163" customFormat="1" ht="20">
      <c r="A2" s="162"/>
      <c r="C2" s="31" t="str">
        <f>i_Project.Name</f>
        <v>Peoria Lakes</v>
      </c>
    </row>
    <row r="3" spans="1:73" s="163" customFormat="1" ht="22.25" customHeight="1">
      <c r="A3" s="162"/>
      <c r="C3" s="217" t="str">
        <f>i_Project.Location</f>
        <v>Peoria Lakes</v>
      </c>
    </row>
    <row r="4" spans="1:73" s="163" customFormat="1" ht="16">
      <c r="A4" s="162"/>
      <c r="C4" s="165"/>
    </row>
    <row r="6" spans="1:73" ht="19" thickBot="1">
      <c r="A6" s="1"/>
      <c r="B6" s="1"/>
      <c r="D6" s="370"/>
      <c r="E6" s="370"/>
      <c r="F6" s="490" t="s">
        <v>121</v>
      </c>
      <c r="G6" s="1265"/>
      <c r="H6" s="491"/>
      <c r="I6" s="491"/>
      <c r="J6" s="491"/>
      <c r="K6" s="491"/>
      <c r="L6" s="1276" t="s">
        <v>11</v>
      </c>
      <c r="N6" s="490" t="s">
        <v>234</v>
      </c>
      <c r="O6" s="491"/>
      <c r="P6" s="491"/>
      <c r="Q6" s="491"/>
      <c r="R6" s="491"/>
      <c r="S6" s="491"/>
      <c r="T6" s="491"/>
      <c r="U6" s="491"/>
      <c r="V6" s="491"/>
      <c r="W6" s="491"/>
      <c r="X6" s="1276" t="s">
        <v>14</v>
      </c>
      <c r="Z6" s="490" t="s">
        <v>290</v>
      </c>
      <c r="AA6" s="491"/>
      <c r="AB6" s="491"/>
      <c r="AC6" s="491"/>
      <c r="AD6" s="491"/>
      <c r="AE6" s="491"/>
      <c r="AF6" s="491"/>
      <c r="AG6" s="491"/>
      <c r="AH6" s="491"/>
      <c r="AI6" s="491"/>
      <c r="AJ6" s="491"/>
      <c r="AK6" s="491"/>
      <c r="AL6" s="491"/>
      <c r="AM6" s="491"/>
      <c r="AN6" s="491"/>
      <c r="AO6" s="491"/>
      <c r="AP6" s="491"/>
      <c r="AQ6" s="491"/>
      <c r="AR6" s="491"/>
      <c r="AS6" s="491"/>
      <c r="AT6" s="491"/>
      <c r="AU6" s="491"/>
      <c r="AV6" s="491"/>
      <c r="AW6" s="491"/>
      <c r="AX6" s="492" t="s">
        <v>55</v>
      </c>
      <c r="AZ6" s="492" t="s">
        <v>291</v>
      </c>
      <c r="BA6" s="491"/>
      <c r="BB6" s="491"/>
      <c r="BC6" s="491"/>
      <c r="BD6" s="492" t="s">
        <v>304</v>
      </c>
      <c r="BF6" s="492" t="s">
        <v>88</v>
      </c>
      <c r="BG6" s="491"/>
      <c r="BH6" s="491"/>
      <c r="BI6" s="491"/>
      <c r="BJ6" s="491"/>
      <c r="BK6" s="491"/>
      <c r="BL6" s="492" t="s">
        <v>247</v>
      </c>
      <c r="BM6" s="264"/>
      <c r="BN6" s="496" t="s">
        <v>305</v>
      </c>
      <c r="BP6" s="496" t="s">
        <v>306</v>
      </c>
      <c r="BR6" s="496" t="s">
        <v>702</v>
      </c>
      <c r="BT6" s="1728" t="s">
        <v>699</v>
      </c>
      <c r="BU6" s="1728"/>
    </row>
    <row r="7" spans="1:73" ht="22.25" customHeight="1" thickTop="1" thickBot="1">
      <c r="A7" s="1"/>
      <c r="B7" s="1"/>
      <c r="D7" s="1726" t="s">
        <v>5</v>
      </c>
      <c r="E7" s="1727"/>
      <c r="F7" s="489">
        <f t="shared" ref="F7:L7" si="0">SUM(_xlfn.ANCHORARRAY(F9))</f>
        <v>304583853.51286304</v>
      </c>
      <c r="G7" s="489">
        <f t="shared" si="0"/>
        <v>205139491.66679096</v>
      </c>
      <c r="H7" s="489">
        <f t="shared" si="0"/>
        <v>-167488649.64694551</v>
      </c>
      <c r="I7" s="489">
        <f t="shared" si="0"/>
        <v>342234695.53270853</v>
      </c>
      <c r="J7" s="489">
        <f t="shared" si="0"/>
        <v>-10267040.865981257</v>
      </c>
      <c r="K7" s="489">
        <f t="shared" si="0"/>
        <v>-3422346.9553270852</v>
      </c>
      <c r="L7" s="489">
        <f t="shared" si="0"/>
        <v>328545307.71140021</v>
      </c>
      <c r="M7" s="46"/>
      <c r="N7" s="489">
        <f t="shared" ref="N7:X7" si="1">SUM(_xlfn.ANCHORARRAY(N9))</f>
        <v>105000000</v>
      </c>
      <c r="O7" s="489">
        <f t="shared" si="1"/>
        <v>0</v>
      </c>
      <c r="P7" s="489">
        <f t="shared" si="1"/>
        <v>0</v>
      </c>
      <c r="Q7" s="489">
        <f t="shared" si="1"/>
        <v>0</v>
      </c>
      <c r="R7" s="489">
        <f t="shared" si="1"/>
        <v>0</v>
      </c>
      <c r="S7" s="489">
        <f t="shared" si="1"/>
        <v>0</v>
      </c>
      <c r="T7" s="489">
        <f t="shared" si="1"/>
        <v>0</v>
      </c>
      <c r="U7" s="489">
        <f t="shared" si="1"/>
        <v>0</v>
      </c>
      <c r="V7" s="489">
        <f t="shared" si="1"/>
        <v>0</v>
      </c>
      <c r="W7" s="489">
        <f t="shared" si="1"/>
        <v>0</v>
      </c>
      <c r="X7" s="489">
        <f t="shared" si="1"/>
        <v>105000000</v>
      </c>
      <c r="Z7" s="489">
        <f t="shared" ref="Z7:AX7" si="2">SUM(_xlfn.ANCHORARRAY(Z9))</f>
        <v>6139560.6249999972</v>
      </c>
      <c r="AA7" s="489">
        <f t="shared" si="2"/>
        <v>8452913.2686306667</v>
      </c>
      <c r="AB7" s="489">
        <f t="shared" si="2"/>
        <v>11621514.81582169</v>
      </c>
      <c r="AC7" s="489">
        <f t="shared" si="2"/>
        <v>2547084.9307376216</v>
      </c>
      <c r="AD7" s="489">
        <f t="shared" si="2"/>
        <v>0</v>
      </c>
      <c r="AE7" s="489">
        <f t="shared" si="2"/>
        <v>0</v>
      </c>
      <c r="AF7" s="489">
        <f t="shared" si="2"/>
        <v>4000085.4681246514</v>
      </c>
      <c r="AG7" s="489">
        <f t="shared" si="2"/>
        <v>6474465.1916132011</v>
      </c>
      <c r="AH7" s="489">
        <f t="shared" si="2"/>
        <v>0</v>
      </c>
      <c r="AI7" s="489">
        <f t="shared" si="2"/>
        <v>0</v>
      </c>
      <c r="AJ7" s="489">
        <f t="shared" si="2"/>
        <v>0</v>
      </c>
      <c r="AK7" s="489">
        <f t="shared" si="2"/>
        <v>0</v>
      </c>
      <c r="AL7" s="489">
        <f t="shared" si="2"/>
        <v>0</v>
      </c>
      <c r="AM7" s="489">
        <f t="shared" si="2"/>
        <v>0</v>
      </c>
      <c r="AN7" s="489">
        <f t="shared" si="2"/>
        <v>0</v>
      </c>
      <c r="AO7" s="489">
        <f t="shared" si="2"/>
        <v>0</v>
      </c>
      <c r="AP7" s="489">
        <f t="shared" si="2"/>
        <v>0</v>
      </c>
      <c r="AQ7" s="489">
        <f t="shared" si="2"/>
        <v>0</v>
      </c>
      <c r="AR7" s="489">
        <f t="shared" si="2"/>
        <v>0</v>
      </c>
      <c r="AS7" s="489">
        <f t="shared" si="2"/>
        <v>0</v>
      </c>
      <c r="AT7" s="489">
        <f t="shared" si="2"/>
        <v>0</v>
      </c>
      <c r="AU7" s="489">
        <f t="shared" si="2"/>
        <v>0</v>
      </c>
      <c r="AV7" s="489">
        <f t="shared" si="2"/>
        <v>0</v>
      </c>
      <c r="AW7" s="489">
        <f t="shared" si="2"/>
        <v>0</v>
      </c>
      <c r="AX7" s="489">
        <f t="shared" si="2"/>
        <v>39235624.299927793</v>
      </c>
      <c r="AZ7" s="489">
        <f ca="1">SUM(_xlfn.ANCHORARRAY(AZ9))</f>
        <v>338212.50000000023</v>
      </c>
      <c r="BA7" s="489">
        <f ca="1">SUM(_xlfn.ANCHORARRAY(BA9))</f>
        <v>202927.5</v>
      </c>
      <c r="BB7" s="489">
        <f ca="1">SUM(_xlfn.ANCHORARRAY(BB9))</f>
        <v>0</v>
      </c>
      <c r="BC7" s="489">
        <f ca="1">SUM(_xlfn.ANCHORARRAY(BC9))</f>
        <v>0</v>
      </c>
      <c r="BD7" s="489">
        <f ca="1">SUM(_xlfn.ANCHORARRAY(BD9))</f>
        <v>541140.00000000023</v>
      </c>
      <c r="BF7" s="489">
        <f t="shared" ref="BF7:BL7" si="3">SUM(_xlfn.ANCHORARRAY(BF9))</f>
        <v>2375000</v>
      </c>
      <c r="BG7" s="489">
        <f t="shared" si="3"/>
        <v>395833.33333333372</v>
      </c>
      <c r="BH7" s="489">
        <f t="shared" si="3"/>
        <v>79166.666666666657</v>
      </c>
      <c r="BI7" s="489">
        <f t="shared" si="3"/>
        <v>0</v>
      </c>
      <c r="BJ7" s="489">
        <f t="shared" si="3"/>
        <v>1050000</v>
      </c>
      <c r="BK7" s="489">
        <f t="shared" si="3"/>
        <v>3422346.9553270857</v>
      </c>
      <c r="BL7" s="489">
        <f t="shared" si="3"/>
        <v>7322346.9553270852</v>
      </c>
      <c r="BM7" s="264"/>
      <c r="BN7" s="489">
        <f ca="1">SUM(_xlfn.ANCHORARRAY(BN9))</f>
        <v>152099111.25525495</v>
      </c>
      <c r="BP7" s="489">
        <f ca="1">SUM(_xlfn.ANCHORARRAY(BP9))</f>
        <v>176446196.45614529</v>
      </c>
      <c r="BR7" s="1463"/>
      <c r="BT7" s="489">
        <f ca="1">SUM(_xlfn.ANCHORARRAY(BT9))</f>
        <v>-146470702.62622407</v>
      </c>
      <c r="BU7" s="489">
        <f ca="1">SUM(_xlfn.ANCHORARRAY(BU9))</f>
        <v>322916899.08236945</v>
      </c>
    </row>
    <row r="8" spans="1:73" ht="62" thickTop="1" thickBot="1">
      <c r="A8" s="1"/>
      <c r="B8" s="1"/>
      <c r="D8" s="382" t="s">
        <v>35</v>
      </c>
      <c r="E8" s="382" t="s">
        <v>6</v>
      </c>
      <c r="F8" s="377" t="s">
        <v>657</v>
      </c>
      <c r="G8" s="377" t="s">
        <v>658</v>
      </c>
      <c r="H8" s="377" t="s">
        <v>258</v>
      </c>
      <c r="I8" s="377" t="s">
        <v>98</v>
      </c>
      <c r="J8" s="377" t="s">
        <v>259</v>
      </c>
      <c r="K8" s="377" t="s">
        <v>260</v>
      </c>
      <c r="L8" s="378" t="s">
        <v>253</v>
      </c>
      <c r="M8" s="264"/>
      <c r="N8" s="381" cm="1">
        <f t="array" ref="N8:R8">TRANSPOSE(i.LandAcq!Q8:Q12)</f>
        <v>0</v>
      </c>
      <c r="O8" s="381">
        <v>0</v>
      </c>
      <c r="P8" s="381">
        <v>0</v>
      </c>
      <c r="Q8" s="381">
        <v>0</v>
      </c>
      <c r="R8" s="381">
        <v>0</v>
      </c>
      <c r="S8" s="381"/>
      <c r="T8" s="381"/>
      <c r="U8" s="381"/>
      <c r="V8" s="381"/>
      <c r="W8" s="381"/>
      <c r="X8" s="263" t="s">
        <v>250</v>
      </c>
      <c r="Z8" s="488" cm="1">
        <f t="array" ref="Z8:AG8">TRANSPOSE(VALUE(_xlfn.ANCHORARRAY(DATABASE!D16)))</f>
        <v>1.1000000000000001</v>
      </c>
      <c r="AA8" s="488">
        <v>1.2</v>
      </c>
      <c r="AB8" s="488">
        <v>2.1</v>
      </c>
      <c r="AC8" s="488">
        <v>2.2000000000000002</v>
      </c>
      <c r="AD8" s="488">
        <v>3.1</v>
      </c>
      <c r="AE8" s="488">
        <v>3.2</v>
      </c>
      <c r="AF8" s="488">
        <v>4.0999999999999996</v>
      </c>
      <c r="AG8" s="488">
        <v>4.2</v>
      </c>
      <c r="AH8" s="488"/>
      <c r="AI8" s="488"/>
      <c r="AJ8" s="488"/>
      <c r="AK8" s="488"/>
      <c r="AL8" s="488"/>
      <c r="AM8" s="488"/>
      <c r="AN8" s="488"/>
      <c r="AO8" s="488"/>
      <c r="AP8" s="488"/>
      <c r="AQ8" s="488"/>
      <c r="AR8" s="488"/>
      <c r="AS8" s="488"/>
      <c r="AT8" s="488"/>
      <c r="AU8" s="488"/>
      <c r="AV8" s="488"/>
      <c r="AW8" s="488"/>
      <c r="AX8" s="381" t="s">
        <v>251</v>
      </c>
      <c r="AZ8" s="381" t="str" cm="1">
        <f t="array" ref="AZ8:BC8">TRANSPOSE(i.General!C39:C42)</f>
        <v>Property Tax</v>
      </c>
      <c r="BA8" s="381" t="str">
        <v>Insurance</v>
      </c>
      <c r="BB8" s="381" t="str">
        <v>Other 1</v>
      </c>
      <c r="BC8" s="381" t="str">
        <v>Other 2</v>
      </c>
      <c r="BD8" s="381" t="s">
        <v>254</v>
      </c>
      <c r="BF8" s="381" t="str">
        <f>i.General!C34</f>
        <v>Management Fees</v>
      </c>
      <c r="BG8" s="381" t="str">
        <f>i.General!C35</f>
        <v>General &amp; Administrative</v>
      </c>
      <c r="BH8" s="381" t="str">
        <f>i.General!C36</f>
        <v>Legal &amp; Accounting</v>
      </c>
      <c r="BI8" s="381" t="str">
        <f>i.General!C37</f>
        <v>Other</v>
      </c>
      <c r="BJ8" s="381" t="s">
        <v>696</v>
      </c>
      <c r="BK8" s="381" t="str">
        <f>i.General!C45</f>
        <v>Disposition Fee [Net Revenue]</v>
      </c>
      <c r="BL8" s="367" t="s">
        <v>255</v>
      </c>
      <c r="BM8" s="264"/>
      <c r="BN8" s="381" t="s">
        <v>13</v>
      </c>
      <c r="BP8" s="383" t="s">
        <v>261</v>
      </c>
      <c r="BR8" s="383" t="s">
        <v>681</v>
      </c>
      <c r="BT8" s="383" t="s">
        <v>700</v>
      </c>
      <c r="BU8" s="383" t="s">
        <v>701</v>
      </c>
    </row>
    <row r="9" spans="1:73" ht="16.5" customHeight="1" thickTop="1" thickBot="1">
      <c r="A9" s="1" cm="1">
        <f t="array" ref="A9:A104">list_Periods.Yr</f>
        <v>1</v>
      </c>
      <c r="B9" s="1">
        <f t="shared" ref="B9:B72" si="4">IF(D9=0,0,1)</f>
        <v>1</v>
      </c>
      <c r="D9" s="98" cm="1">
        <f t="array" ref="D9:D104">list_Periods.ALL</f>
        <v>1</v>
      </c>
      <c r="E9" s="239" cm="1">
        <f t="array" ref="E9:E104">list_Dates.ALL</f>
        <v>45292</v>
      </c>
      <c r="F9" s="243" cm="1">
        <f t="array" ref="F9:F104">SUMIFS(DATABASE!$W$32:$W$84,DATABASE!$S$32:$S$84,_xlfn.ANCHORARRAY($D9),DATABASE!$W$32:$W$84,"&gt;0")-_xlfn.ANCHORARRAY(G9)</f>
        <v>0</v>
      </c>
      <c r="G9" s="243" cm="1">
        <f t="array" ref="G9:G104">SUMIFS(DATABASE!$W$32:$W$84,DATABASE!$S$32:$S$84,_xlfn.ANCHORARRAY($D9),DATABASE!$T$32:$T$84,"")</f>
        <v>0</v>
      </c>
      <c r="H9" s="243" cm="1">
        <f t="array" ref="H9:H104">SUMIF(DATABASE!$S$32:$S$84,_xlfn.ANCHORARRAY($D9),DATABASE!X$32:X$84)</f>
        <v>0</v>
      </c>
      <c r="I9" s="243" cm="1">
        <f t="array" ref="I9:I104">SUMIF(DATABASE!$S$32:$S$84,_xlfn.ANCHORARRAY($D9),DATABASE!Y$32:Y$84)</f>
        <v>0</v>
      </c>
      <c r="J9" s="243" cm="1">
        <f t="array" ref="J9:J104">SUMIF(DATABASE!$S$32:$S$84,_xlfn.ANCHORARRAY($D9),DATABASE!Z$32:Z$84)</f>
        <v>0</v>
      </c>
      <c r="K9" s="243" cm="1">
        <f t="array" ref="K9:K104">SUMIF(DATABASE!$S$32:$S$84,_xlfn.ANCHORARRAY($D9),DATABASE!AA$32:AA$84)</f>
        <v>0</v>
      </c>
      <c r="L9" s="366" cm="1">
        <f t="array" ref="L9:L104">SUMIF(DATABASE!$S$32:$S$84,_xlfn.ANCHORARRAY($D9),DATABASE!AB$32:AB$84)</f>
        <v>0</v>
      </c>
      <c r="M9" s="46"/>
      <c r="N9" s="243" cm="1">
        <f t="array" ref="N9:N104">IFERROR(IF(_xlfn.ANCHORARRAY($D9)=_xlfn.ANCHORARRAY(i.LandAcq!$X8),_xlfn.ANCHORARRAY(i.LandAcq!$W8),0),0)</f>
        <v>0</v>
      </c>
      <c r="O9" s="243" cm="1">
        <f t="array" ref="O9:O104">IFERROR(IF(_xlfn.ANCHORARRAY($D9)=i.LandAcq!$X9,i.LandAcq!$W$9,0),0)</f>
        <v>0</v>
      </c>
      <c r="P9" s="243" cm="1">
        <f t="array" ref="P9:P104">IFERROR(IF(_xlfn.ANCHORARRAY($D9)=i.LandAcq!$X10,i.LandAcq!$W$10,0),0)</f>
        <v>0</v>
      </c>
      <c r="Q9" s="243" cm="1">
        <f t="array" ref="Q9:Q104">IFERROR(IF(_xlfn.ANCHORARRAY($D9)=i.LandAcq!$X11,i.LandAcq!$W$11,0),0)</f>
        <v>0</v>
      </c>
      <c r="R9" s="243" cm="1">
        <f t="array" ref="R9:R104">IFERROR(IF(_xlfn.ANCHORARRAY($D9)=i.LandAcq!$X12,i.LandAcq!$W$12,0),0)</f>
        <v>0</v>
      </c>
      <c r="S9" s="243" cm="1">
        <f t="array" ref="S9:S104">IFERROR(IF(_xlfn.ANCHORARRAY($D9)=i.LandAcq!$W13,i.LandAcq!$V$13,0),0)</f>
        <v>0</v>
      </c>
      <c r="T9" s="243" cm="1">
        <f t="array" ref="T9:T104">IFERROR(IF(_xlfn.ANCHORARRAY($D9)=i.LandAcq!$W14,i.LandAcq!$V$14,0),0)</f>
        <v>0</v>
      </c>
      <c r="U9" s="243" cm="1">
        <f t="array" ref="U9:U104">IFERROR(IF(_xlfn.ANCHORARRAY($D9)=i.LandAcq!$W15,i.LandAcq!$V$15,0),0)</f>
        <v>0</v>
      </c>
      <c r="V9" s="243" cm="1">
        <f t="array" ref="V9:V104">IFERROR(IF(_xlfn.ANCHORARRAY($D9)=i.LandAcq!$W16,i.LandAcq!$V$16,0),0)</f>
        <v>0</v>
      </c>
      <c r="W9" s="243" cm="1">
        <f t="array" ref="W9:W104">IFERROR(IF(_xlfn.ANCHORARRAY($D9)=i.LandAcq!$W17,i.LandAcq!$V$17,0),0)</f>
        <v>0</v>
      </c>
      <c r="X9" s="265" cm="1">
        <f t="array" ref="X9:X104">_xlfn.ANCHORARRAY(N9)+_xlfn.ANCHORARRAY(O9)+_xlfn.ANCHORARRAY(P9)+_xlfn.ANCHORARRAY(Q9)+_xlfn.ANCHORARRAY(R9)+_xlfn.ANCHORARRAY(S9)+_xlfn.ANCHORARRAY(T9)+_xlfn.ANCHORARRAY(U9)+_xlfn.ANCHORARRAY(V9)+_xlfn.ANCHORARRAY(W9)</f>
        <v>0</v>
      </c>
      <c r="Y9" s="253"/>
      <c r="Z9" s="254" cm="1">
        <f t="array" ref="Z9:Z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245582.42499999999</v>
      </c>
      <c r="AA9" s="254" cm="1">
        <f t="array" ref="AA9:AA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B9" s="254" cm="1">
        <f t="array" ref="AB9:AB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C9" s="254" cm="1">
        <f t="array" ref="AC9:AC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D9" s="254" cm="1">
        <f t="array" ref="AD9:AD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E9" s="254" cm="1">
        <f t="array" ref="AE9:AE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F9" s="254" cm="1">
        <f t="array" ref="AF9:AF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G9" s="254" cm="1">
        <f t="array" ref="AG9:AG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H9" s="254" cm="1">
        <f t="array" ref="AH9:AH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I9" s="254" cm="1">
        <f t="array" ref="AI9:AI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J9" s="254" cm="1">
        <f t="array" ref="AJ9:AJ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K9" s="254" cm="1">
        <f t="array" ref="AK9:AK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L9" s="254" cm="1">
        <f t="array" ref="AL9:AL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M9" s="254" cm="1">
        <f t="array" ref="AM9:AM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N9" s="254" cm="1">
        <f t="array" ref="AN9:AN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O9" s="254" cm="1">
        <f t="array" ref="AO9:AO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P9" s="254" cm="1">
        <f t="array" ref="AP9:AP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Q9" s="254" cm="1">
        <f t="array" ref="AQ9:AQ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R9" s="254" cm="1">
        <f t="array" ref="AR9:AR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S9" s="254" cm="1">
        <f t="array" ref="AS9:AS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T9" s="254" cm="1">
        <f t="array" ref="AT9:AT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U9" s="254" cm="1">
        <f t="array" ref="AU9:AU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V9" s="254" cm="1">
        <f t="array" ref="AV9:AV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W9" s="254" cm="1">
        <f t="array" ref="AW9:AW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X9" s="256" cm="1">
        <f t="array" ref="AX9:AX104">_xlfn.ANCHORARRAY(Z9) +_xlfn.ANCHORARRAY( AA9) +_xlfn.ANCHORARRAY( AB9) +_xlfn.ANCHORARRAY( AC9) +_xlfn.ANCHORARRAY( AD9) +_xlfn.ANCHORARRAY( AE9) +_xlfn.ANCHORARRAY( AF9) +_xlfn.ANCHORARRAY( AG9) +_xlfn.ANCHORARRAY( AH9) +_xlfn.ANCHORARRAY( AI9) +_xlfn.ANCHORARRAY( AJ9) +_xlfn.ANCHORARRAY( AK9) +_xlfn.ANCHORARRAY( AL9) +_xlfn.ANCHORARRAY( AM9) +_xlfn.ANCHORARRAY( AN9) +_xlfn.ANCHORARRAY( AO9) +_xlfn.ANCHORARRAY( AP9) +_xlfn.ANCHORARRAY( AQ9) +_xlfn.ANCHORARRAY( AR9) +_xlfn.ANCHORARRAY( AS9) +_xlfn.ANCHORARRAY( AT9) +_xlfn.ANCHORARRAY( AU9) +_xlfn.ANCHORARRAY( AV9) +_xlfn.ANCHORARRAY( AW9)</f>
        <v>245582.42499999999</v>
      </c>
      <c r="AZ9" s="254" cm="1">
        <f t="array" aca="1" ref="AZ9:AZ368" ca="1">IFERROR(IF(_xlfn.ANCHORARRAY($D9)&lt;=c_Period.Revenue_Final+1,mAssets!$H$9:$H$368*i.General!$E$39/12,0),"")</f>
        <v>0</v>
      </c>
      <c r="BA9" s="254" cm="1">
        <f t="array" aca="1" ref="BA9:BA368" ca="1">IFERROR(IF(_xlfn.ANCHORARRAY($D9)&lt;=c_Period.Revenue_Final+1,mAssets!$H$9:$H$368*i.General!$E$40/12,0),"")</f>
        <v>0</v>
      </c>
      <c r="BB9" s="254" cm="1">
        <f t="array" aca="1" ref="BB9:BB368" ca="1">IFERROR(IF(_xlfn.ANCHORARRAY($D9)&lt;=c_Period.Revenue_Final+1,mAssets!$H$9:$H$368*i.General!$E$41,0),"")</f>
        <v>0</v>
      </c>
      <c r="BC9" s="254" cm="1">
        <f t="array" aca="1" ref="BC9:BC368" ca="1">IFERROR(IF(_xlfn.ANCHORARRAY($D9)&lt;=c_Period.Revenue_Final+1,mAssets!$H$9:$H$368*i.General!$E$42,0),"")</f>
        <v>0</v>
      </c>
      <c r="BD9" s="256" cm="1">
        <f t="array" aca="1" ref="BD9:BD368" ca="1">IFERROR(_xlfn.ANCHORARRAY(AZ9)+_xlfn.ANCHORARRAY(BA9)+_xlfn.ANCHORARRAY(BB9)+_xlfn.ANCHORARRAY(BC9),0)</f>
        <v>0</v>
      </c>
      <c r="BF9" s="254" cm="1">
        <f t="array" ref="BF9:BF104">IF(_xlfn.ANCHORARRAY($D9)&lt;c_Periods.Final,i.General!$E$34/12,0)</f>
        <v>25000</v>
      </c>
      <c r="BG9" s="254" cm="1">
        <f t="array" ref="BG9:BG104">IF(_xlfn.ANCHORARRAY($D9)&lt;c_Periods.Final,i.General!$E$35/12,0)</f>
        <v>4166.666666666667</v>
      </c>
      <c r="BH9" s="254" cm="1">
        <f t="array" ref="BH9:BH104">IF(_xlfn.ANCHORARRAY($D9)&lt;c_Periods.Final,i.General!$E$36/12,0)</f>
        <v>833.33333333333337</v>
      </c>
      <c r="BI9" s="254" cm="1">
        <f t="array" ref="BI9:BI104">IF(_xlfn.ANCHORARRAY($D9)&lt;c_Periods.Final,i.General!$E$37/12,0)</f>
        <v>0</v>
      </c>
      <c r="BJ9" s="1449" cm="1">
        <f t="array" ref="BJ9:BJ104">i.General!$E$44*_xlfn.ANCHORARRAY(X9)</f>
        <v>0</v>
      </c>
      <c r="BK9" s="254" cm="1">
        <f t="array" ref="BK9:BK104">i.General!$E$44*_xlfn.ANCHORARRAY(I9)</f>
        <v>0</v>
      </c>
      <c r="BL9" s="256" cm="1">
        <f t="array" ref="BL9:BL104">_xlfn.ANCHORARRAY(BF9)+_xlfn.ANCHORARRAY(BG9)+_xlfn.ANCHORARRAY(BH9)+_xlfn.ANCHORARRAY(BI9)+_xlfn.ANCHORARRAY(BJ9)+_xlfn.ANCHORARRAY(BK9)</f>
        <v>30000</v>
      </c>
      <c r="BM9" s="46"/>
      <c r="BN9" s="256" cm="1">
        <f t="array" aca="1" ref="BN9:BN368" ca="1">IFERROR(_xlfn.ANCHORARRAY(X9)+_xlfn.ANCHORARRAY(AX9)+_xlfn.ANCHORARRAY(BD9)+_xlfn.ANCHORARRAY(BL9),0)</f>
        <v>275582.42499999999</v>
      </c>
      <c r="BP9" s="248" cm="1">
        <f t="array" aca="1" ref="BP9:BP368" ca="1">IFERROR(_xlfn.ANCHORARRAY($L$9)-_xlfn.ANCHORARRAY($BN$9),0)</f>
        <v>-275582.42499999999</v>
      </c>
      <c r="BR9" s="248" cm="1">
        <f t="array" aca="1" ref="BR9:BR368" ca="1">IFERROR(_xlfn.ANCHORARRAY($L$9)-_xlfn.ANCHORARRAY($BN$9)+_xlfn.ANCHORARRAY(X9)+_xlfn.ANCHORARRAY(BJ9),0)</f>
        <v>-275582.42499999999</v>
      </c>
      <c r="BT9" s="248" cm="1">
        <f t="array" aca="1" ref="BT9:BT368" ca="1">IF(_xlfn.ANCHORARRAY(BP9)&lt;0,_xlfn.ANCHORARRAY(BP9),0)</f>
        <v>-275582.42499999999</v>
      </c>
      <c r="BU9" s="248" cm="1">
        <f t="array" aca="1" ref="BU9:BU368" ca="1">IF(_xlfn.ANCHORARRAY(BT9)=0,_xlfn.ANCHORARRAY(BP9),0)</f>
        <v>0</v>
      </c>
    </row>
    <row r="10" spans="1:73" ht="15" customHeight="1" thickTop="1" thickBot="1">
      <c r="A10" s="1">
        <v>1</v>
      </c>
      <c r="B10" s="1">
        <f t="shared" si="4"/>
        <v>1</v>
      </c>
      <c r="D10" s="98">
        <v>2</v>
      </c>
      <c r="E10" s="239">
        <v>45323</v>
      </c>
      <c r="F10" s="243">
        <v>0</v>
      </c>
      <c r="G10" s="243">
        <v>0</v>
      </c>
      <c r="H10" s="243">
        <v>0</v>
      </c>
      <c r="I10" s="243">
        <v>0</v>
      </c>
      <c r="J10" s="243">
        <v>0</v>
      </c>
      <c r="K10" s="243">
        <v>0</v>
      </c>
      <c r="L10" s="366">
        <v>0</v>
      </c>
      <c r="M10" s="46"/>
      <c r="N10" s="243">
        <v>0</v>
      </c>
      <c r="O10" s="243">
        <v>0</v>
      </c>
      <c r="P10" s="243">
        <v>0</v>
      </c>
      <c r="Q10" s="243">
        <v>0</v>
      </c>
      <c r="R10" s="243">
        <v>0</v>
      </c>
      <c r="S10" s="243">
        <v>0</v>
      </c>
      <c r="T10" s="243">
        <v>0</v>
      </c>
      <c r="U10" s="243">
        <v>0</v>
      </c>
      <c r="V10" s="243">
        <v>0</v>
      </c>
      <c r="W10" s="243">
        <v>0</v>
      </c>
      <c r="X10" s="256">
        <v>0</v>
      </c>
      <c r="Y10" s="253"/>
      <c r="Z10" s="254">
        <v>245582.42499999999</v>
      </c>
      <c r="AA10" s="254">
        <v>0</v>
      </c>
      <c r="AB10" s="254">
        <v>0</v>
      </c>
      <c r="AC10" s="254">
        <v>0</v>
      </c>
      <c r="AD10" s="254">
        <v>0</v>
      </c>
      <c r="AE10" s="254">
        <v>0</v>
      </c>
      <c r="AF10" s="254">
        <v>0</v>
      </c>
      <c r="AG10" s="254">
        <v>0</v>
      </c>
      <c r="AH10" s="254">
        <v>0</v>
      </c>
      <c r="AI10" s="254">
        <v>0</v>
      </c>
      <c r="AJ10" s="254">
        <v>0</v>
      </c>
      <c r="AK10" s="254">
        <v>0</v>
      </c>
      <c r="AL10" s="254">
        <v>0</v>
      </c>
      <c r="AM10" s="254">
        <v>0</v>
      </c>
      <c r="AN10" s="254">
        <v>0</v>
      </c>
      <c r="AO10" s="254">
        <v>0</v>
      </c>
      <c r="AP10" s="254">
        <v>0</v>
      </c>
      <c r="AQ10" s="254">
        <v>0</v>
      </c>
      <c r="AR10" s="254">
        <v>0</v>
      </c>
      <c r="AS10" s="254">
        <v>0</v>
      </c>
      <c r="AT10" s="254">
        <v>0</v>
      </c>
      <c r="AU10" s="254">
        <v>0</v>
      </c>
      <c r="AV10" s="254">
        <v>0</v>
      </c>
      <c r="AW10" s="254">
        <v>0</v>
      </c>
      <c r="AX10" s="256">
        <v>245582.42499999999</v>
      </c>
      <c r="AZ10" s="254">
        <f ca="1"/>
        <v>0</v>
      </c>
      <c r="BA10" s="254">
        <f ca="1"/>
        <v>0</v>
      </c>
      <c r="BB10" s="254">
        <f ca="1"/>
        <v>0</v>
      </c>
      <c r="BC10" s="254">
        <f ca="1"/>
        <v>0</v>
      </c>
      <c r="BD10" s="256">
        <f ca="1"/>
        <v>0</v>
      </c>
      <c r="BF10" s="254">
        <v>25000</v>
      </c>
      <c r="BG10" s="254">
        <v>4166.666666666667</v>
      </c>
      <c r="BH10" s="254">
        <v>833.33333333333337</v>
      </c>
      <c r="BI10" s="254">
        <v>0</v>
      </c>
      <c r="BJ10" s="243">
        <v>0</v>
      </c>
      <c r="BK10" s="254">
        <v>0</v>
      </c>
      <c r="BL10" s="256">
        <v>30000</v>
      </c>
      <c r="BM10" s="46"/>
      <c r="BN10" s="256">
        <f ca="1"/>
        <v>275582.42499999999</v>
      </c>
      <c r="BP10" s="248">
        <f ca="1"/>
        <v>-275582.42499999999</v>
      </c>
      <c r="BR10" s="248">
        <f ca="1"/>
        <v>-275582.42499999999</v>
      </c>
      <c r="BT10" s="248">
        <f ca="1"/>
        <v>-275582.42499999999</v>
      </c>
      <c r="BU10" s="248">
        <f ca="1"/>
        <v>0</v>
      </c>
    </row>
    <row r="11" spans="1:73" ht="15" customHeight="1" thickTop="1" thickBot="1">
      <c r="A11" s="1">
        <v>1</v>
      </c>
      <c r="B11" s="1">
        <f t="shared" si="4"/>
        <v>1</v>
      </c>
      <c r="D11" s="98">
        <v>3</v>
      </c>
      <c r="E11" s="239">
        <v>45352</v>
      </c>
      <c r="F11" s="243">
        <v>0</v>
      </c>
      <c r="G11" s="243">
        <v>0</v>
      </c>
      <c r="H11" s="243">
        <v>0</v>
      </c>
      <c r="I11" s="243">
        <v>0</v>
      </c>
      <c r="J11" s="243">
        <v>0</v>
      </c>
      <c r="K11" s="243">
        <v>0</v>
      </c>
      <c r="L11" s="366">
        <v>0</v>
      </c>
      <c r="M11" s="46"/>
      <c r="N11" s="243">
        <v>0</v>
      </c>
      <c r="O11" s="243">
        <v>0</v>
      </c>
      <c r="P11" s="243">
        <v>0</v>
      </c>
      <c r="Q11" s="243">
        <v>0</v>
      </c>
      <c r="R11" s="243">
        <v>0</v>
      </c>
      <c r="S11" s="243">
        <v>0</v>
      </c>
      <c r="T11" s="243">
        <v>0</v>
      </c>
      <c r="U11" s="243">
        <v>0</v>
      </c>
      <c r="V11" s="243">
        <v>0</v>
      </c>
      <c r="W11" s="243">
        <v>0</v>
      </c>
      <c r="X11" s="256">
        <v>0</v>
      </c>
      <c r="Y11" s="253"/>
      <c r="Z11" s="254">
        <v>245582.42499999999</v>
      </c>
      <c r="AA11" s="254">
        <v>0</v>
      </c>
      <c r="AB11" s="254">
        <v>0</v>
      </c>
      <c r="AC11" s="254">
        <v>0</v>
      </c>
      <c r="AD11" s="254">
        <v>0</v>
      </c>
      <c r="AE11" s="254">
        <v>0</v>
      </c>
      <c r="AF11" s="254">
        <v>0</v>
      </c>
      <c r="AG11" s="254">
        <v>0</v>
      </c>
      <c r="AH11" s="254">
        <v>0</v>
      </c>
      <c r="AI11" s="254">
        <v>0</v>
      </c>
      <c r="AJ11" s="254">
        <v>0</v>
      </c>
      <c r="AK11" s="254">
        <v>0</v>
      </c>
      <c r="AL11" s="254">
        <v>0</v>
      </c>
      <c r="AM11" s="254">
        <v>0</v>
      </c>
      <c r="AN11" s="254">
        <v>0</v>
      </c>
      <c r="AO11" s="254">
        <v>0</v>
      </c>
      <c r="AP11" s="254">
        <v>0</v>
      </c>
      <c r="AQ11" s="254">
        <v>0</v>
      </c>
      <c r="AR11" s="254">
        <v>0</v>
      </c>
      <c r="AS11" s="254">
        <v>0</v>
      </c>
      <c r="AT11" s="254">
        <v>0</v>
      </c>
      <c r="AU11" s="254">
        <v>0</v>
      </c>
      <c r="AV11" s="254">
        <v>0</v>
      </c>
      <c r="AW11" s="254">
        <v>0</v>
      </c>
      <c r="AX11" s="256">
        <v>245582.42499999999</v>
      </c>
      <c r="AZ11" s="254">
        <f ca="1"/>
        <v>0</v>
      </c>
      <c r="BA11" s="254">
        <f ca="1"/>
        <v>0</v>
      </c>
      <c r="BB11" s="254">
        <f ca="1"/>
        <v>0</v>
      </c>
      <c r="BC11" s="254">
        <f ca="1"/>
        <v>0</v>
      </c>
      <c r="BD11" s="256">
        <f ca="1"/>
        <v>0</v>
      </c>
      <c r="BF11" s="254">
        <v>25000</v>
      </c>
      <c r="BG11" s="254">
        <v>4166.666666666667</v>
      </c>
      <c r="BH11" s="254">
        <v>833.33333333333337</v>
      </c>
      <c r="BI11" s="254">
        <v>0</v>
      </c>
      <c r="BJ11" s="243">
        <v>0</v>
      </c>
      <c r="BK11" s="254">
        <v>0</v>
      </c>
      <c r="BL11" s="256">
        <v>30000</v>
      </c>
      <c r="BM11" s="46"/>
      <c r="BN11" s="256">
        <f ca="1"/>
        <v>275582.42499999999</v>
      </c>
      <c r="BP11" s="248">
        <f ca="1"/>
        <v>-275582.42499999999</v>
      </c>
      <c r="BR11" s="248">
        <f ca="1"/>
        <v>-275582.42499999999</v>
      </c>
      <c r="BT11" s="248">
        <f ca="1"/>
        <v>-275582.42499999999</v>
      </c>
      <c r="BU11" s="248">
        <f ca="1"/>
        <v>0</v>
      </c>
    </row>
    <row r="12" spans="1:73" ht="15" customHeight="1" thickTop="1" thickBot="1">
      <c r="A12" s="1">
        <v>1</v>
      </c>
      <c r="B12" s="1">
        <f t="shared" si="4"/>
        <v>1</v>
      </c>
      <c r="D12" s="98">
        <v>4</v>
      </c>
      <c r="E12" s="239">
        <v>45383</v>
      </c>
      <c r="F12" s="243">
        <v>0</v>
      </c>
      <c r="G12" s="243">
        <v>0</v>
      </c>
      <c r="H12" s="243">
        <v>0</v>
      </c>
      <c r="I12" s="243">
        <v>0</v>
      </c>
      <c r="J12" s="243">
        <v>0</v>
      </c>
      <c r="K12" s="243">
        <v>0</v>
      </c>
      <c r="L12" s="366">
        <v>0</v>
      </c>
      <c r="M12" s="46"/>
      <c r="N12" s="243">
        <v>0</v>
      </c>
      <c r="O12" s="243">
        <v>0</v>
      </c>
      <c r="P12" s="243">
        <v>0</v>
      </c>
      <c r="Q12" s="243">
        <v>0</v>
      </c>
      <c r="R12" s="243">
        <v>0</v>
      </c>
      <c r="S12" s="243">
        <v>0</v>
      </c>
      <c r="T12" s="243">
        <v>0</v>
      </c>
      <c r="U12" s="243">
        <v>0</v>
      </c>
      <c r="V12" s="243">
        <v>0</v>
      </c>
      <c r="W12" s="243">
        <v>0</v>
      </c>
      <c r="X12" s="256">
        <v>0</v>
      </c>
      <c r="Y12" s="253"/>
      <c r="Z12" s="254">
        <v>245582.42499999999</v>
      </c>
      <c r="AA12" s="254">
        <v>0</v>
      </c>
      <c r="AB12" s="254">
        <v>0</v>
      </c>
      <c r="AC12" s="254">
        <v>0</v>
      </c>
      <c r="AD12" s="254">
        <v>0</v>
      </c>
      <c r="AE12" s="254">
        <v>0</v>
      </c>
      <c r="AF12" s="254">
        <v>0</v>
      </c>
      <c r="AG12" s="254">
        <v>0</v>
      </c>
      <c r="AH12" s="254">
        <v>0</v>
      </c>
      <c r="AI12" s="254">
        <v>0</v>
      </c>
      <c r="AJ12" s="254">
        <v>0</v>
      </c>
      <c r="AK12" s="254">
        <v>0</v>
      </c>
      <c r="AL12" s="254">
        <v>0</v>
      </c>
      <c r="AM12" s="254">
        <v>0</v>
      </c>
      <c r="AN12" s="254">
        <v>0</v>
      </c>
      <c r="AO12" s="254">
        <v>0</v>
      </c>
      <c r="AP12" s="254">
        <v>0</v>
      </c>
      <c r="AQ12" s="254">
        <v>0</v>
      </c>
      <c r="AR12" s="254">
        <v>0</v>
      </c>
      <c r="AS12" s="254">
        <v>0</v>
      </c>
      <c r="AT12" s="254">
        <v>0</v>
      </c>
      <c r="AU12" s="254">
        <v>0</v>
      </c>
      <c r="AV12" s="254">
        <v>0</v>
      </c>
      <c r="AW12" s="254">
        <v>0</v>
      </c>
      <c r="AX12" s="256">
        <v>245582.42499999999</v>
      </c>
      <c r="AZ12" s="254">
        <f ca="1"/>
        <v>0</v>
      </c>
      <c r="BA12" s="254">
        <f ca="1"/>
        <v>0</v>
      </c>
      <c r="BB12" s="254">
        <f ca="1"/>
        <v>0</v>
      </c>
      <c r="BC12" s="254">
        <f ca="1"/>
        <v>0</v>
      </c>
      <c r="BD12" s="256">
        <f ca="1"/>
        <v>0</v>
      </c>
      <c r="BF12" s="254">
        <v>25000</v>
      </c>
      <c r="BG12" s="254">
        <v>4166.666666666667</v>
      </c>
      <c r="BH12" s="254">
        <v>833.33333333333337</v>
      </c>
      <c r="BI12" s="254">
        <v>0</v>
      </c>
      <c r="BJ12" s="243">
        <v>0</v>
      </c>
      <c r="BK12" s="254">
        <v>0</v>
      </c>
      <c r="BL12" s="256">
        <v>30000</v>
      </c>
      <c r="BM12" s="46"/>
      <c r="BN12" s="256">
        <f ca="1"/>
        <v>275582.42499999999</v>
      </c>
      <c r="BP12" s="248">
        <f ca="1"/>
        <v>-275582.42499999999</v>
      </c>
      <c r="BR12" s="248">
        <f ca="1"/>
        <v>-275582.42499999999</v>
      </c>
      <c r="BT12" s="248">
        <f ca="1"/>
        <v>-275582.42499999999</v>
      </c>
      <c r="BU12" s="248">
        <f ca="1"/>
        <v>0</v>
      </c>
    </row>
    <row r="13" spans="1:73" ht="15" customHeight="1" thickTop="1" thickBot="1">
      <c r="A13" s="1">
        <v>1</v>
      </c>
      <c r="B13" s="1">
        <f t="shared" si="4"/>
        <v>1</v>
      </c>
      <c r="D13" s="98">
        <v>5</v>
      </c>
      <c r="E13" s="239">
        <v>45413</v>
      </c>
      <c r="F13" s="243">
        <v>0</v>
      </c>
      <c r="G13" s="243">
        <v>0</v>
      </c>
      <c r="H13" s="243">
        <v>0</v>
      </c>
      <c r="I13" s="243">
        <v>0</v>
      </c>
      <c r="J13" s="243">
        <v>0</v>
      </c>
      <c r="K13" s="243">
        <v>0</v>
      </c>
      <c r="L13" s="366">
        <v>0</v>
      </c>
      <c r="M13" s="46"/>
      <c r="N13" s="243">
        <v>0</v>
      </c>
      <c r="O13" s="243">
        <v>0</v>
      </c>
      <c r="P13" s="243">
        <v>0</v>
      </c>
      <c r="Q13" s="243">
        <v>0</v>
      </c>
      <c r="R13" s="243">
        <v>0</v>
      </c>
      <c r="S13" s="243">
        <v>0</v>
      </c>
      <c r="T13" s="243">
        <v>0</v>
      </c>
      <c r="U13" s="243">
        <v>0</v>
      </c>
      <c r="V13" s="243">
        <v>0</v>
      </c>
      <c r="W13" s="243">
        <v>0</v>
      </c>
      <c r="X13" s="256">
        <v>0</v>
      </c>
      <c r="Y13" s="253"/>
      <c r="Z13" s="254">
        <v>245582.42499999999</v>
      </c>
      <c r="AA13" s="254">
        <v>0</v>
      </c>
      <c r="AB13" s="254">
        <v>0</v>
      </c>
      <c r="AC13" s="254">
        <v>0</v>
      </c>
      <c r="AD13" s="254">
        <v>0</v>
      </c>
      <c r="AE13" s="254">
        <v>0</v>
      </c>
      <c r="AF13" s="254">
        <v>0</v>
      </c>
      <c r="AG13" s="254">
        <v>0</v>
      </c>
      <c r="AH13" s="254">
        <v>0</v>
      </c>
      <c r="AI13" s="254">
        <v>0</v>
      </c>
      <c r="AJ13" s="254">
        <v>0</v>
      </c>
      <c r="AK13" s="254">
        <v>0</v>
      </c>
      <c r="AL13" s="254">
        <v>0</v>
      </c>
      <c r="AM13" s="254">
        <v>0</v>
      </c>
      <c r="AN13" s="254">
        <v>0</v>
      </c>
      <c r="AO13" s="254">
        <v>0</v>
      </c>
      <c r="AP13" s="254">
        <v>0</v>
      </c>
      <c r="AQ13" s="254">
        <v>0</v>
      </c>
      <c r="AR13" s="254">
        <v>0</v>
      </c>
      <c r="AS13" s="254">
        <v>0</v>
      </c>
      <c r="AT13" s="254">
        <v>0</v>
      </c>
      <c r="AU13" s="254">
        <v>0</v>
      </c>
      <c r="AV13" s="254">
        <v>0</v>
      </c>
      <c r="AW13" s="254">
        <v>0</v>
      </c>
      <c r="AX13" s="256">
        <v>245582.42499999999</v>
      </c>
      <c r="AZ13" s="254">
        <f ca="1"/>
        <v>0</v>
      </c>
      <c r="BA13" s="254">
        <f ca="1"/>
        <v>0</v>
      </c>
      <c r="BB13" s="254">
        <f ca="1"/>
        <v>0</v>
      </c>
      <c r="BC13" s="254">
        <f ca="1"/>
        <v>0</v>
      </c>
      <c r="BD13" s="256">
        <f ca="1"/>
        <v>0</v>
      </c>
      <c r="BF13" s="254">
        <v>25000</v>
      </c>
      <c r="BG13" s="254">
        <v>4166.666666666667</v>
      </c>
      <c r="BH13" s="254">
        <v>833.33333333333337</v>
      </c>
      <c r="BI13" s="254">
        <v>0</v>
      </c>
      <c r="BJ13" s="243">
        <v>0</v>
      </c>
      <c r="BK13" s="254">
        <v>0</v>
      </c>
      <c r="BL13" s="256">
        <v>30000</v>
      </c>
      <c r="BM13" s="46"/>
      <c r="BN13" s="256">
        <f ca="1"/>
        <v>275582.42499999999</v>
      </c>
      <c r="BP13" s="248">
        <f ca="1"/>
        <v>-275582.42499999999</v>
      </c>
      <c r="BR13" s="248">
        <f ca="1"/>
        <v>-275582.42499999999</v>
      </c>
      <c r="BT13" s="248">
        <f ca="1"/>
        <v>-275582.42499999999</v>
      </c>
      <c r="BU13" s="248">
        <f ca="1"/>
        <v>0</v>
      </c>
    </row>
    <row r="14" spans="1:73" ht="15" customHeight="1" thickTop="1" thickBot="1">
      <c r="A14" s="1">
        <v>1</v>
      </c>
      <c r="B14" s="1">
        <f t="shared" si="4"/>
        <v>1</v>
      </c>
      <c r="D14" s="98">
        <v>6</v>
      </c>
      <c r="E14" s="239">
        <v>45444</v>
      </c>
      <c r="F14" s="243">
        <v>0</v>
      </c>
      <c r="G14" s="243">
        <v>0</v>
      </c>
      <c r="H14" s="243">
        <v>0</v>
      </c>
      <c r="I14" s="243">
        <v>0</v>
      </c>
      <c r="J14" s="243">
        <v>0</v>
      </c>
      <c r="K14" s="243">
        <v>0</v>
      </c>
      <c r="L14" s="366">
        <v>0</v>
      </c>
      <c r="M14" s="46"/>
      <c r="N14" s="243">
        <v>0</v>
      </c>
      <c r="O14" s="243">
        <v>0</v>
      </c>
      <c r="P14" s="243">
        <v>0</v>
      </c>
      <c r="Q14" s="243">
        <v>0</v>
      </c>
      <c r="R14" s="243">
        <v>0</v>
      </c>
      <c r="S14" s="243">
        <v>0</v>
      </c>
      <c r="T14" s="243">
        <v>0</v>
      </c>
      <c r="U14" s="243">
        <v>0</v>
      </c>
      <c r="V14" s="243">
        <v>0</v>
      </c>
      <c r="W14" s="243">
        <v>0</v>
      </c>
      <c r="X14" s="256">
        <v>0</v>
      </c>
      <c r="Y14" s="253"/>
      <c r="Z14" s="254">
        <v>245582.42499999999</v>
      </c>
      <c r="AA14" s="254">
        <v>0</v>
      </c>
      <c r="AB14" s="254">
        <v>0</v>
      </c>
      <c r="AC14" s="254">
        <v>0</v>
      </c>
      <c r="AD14" s="254">
        <v>0</v>
      </c>
      <c r="AE14" s="254">
        <v>0</v>
      </c>
      <c r="AF14" s="254">
        <v>0</v>
      </c>
      <c r="AG14" s="254">
        <v>0</v>
      </c>
      <c r="AH14" s="254">
        <v>0</v>
      </c>
      <c r="AI14" s="254">
        <v>0</v>
      </c>
      <c r="AJ14" s="254">
        <v>0</v>
      </c>
      <c r="AK14" s="254">
        <v>0</v>
      </c>
      <c r="AL14" s="254">
        <v>0</v>
      </c>
      <c r="AM14" s="254">
        <v>0</v>
      </c>
      <c r="AN14" s="254">
        <v>0</v>
      </c>
      <c r="AO14" s="254">
        <v>0</v>
      </c>
      <c r="AP14" s="254">
        <v>0</v>
      </c>
      <c r="AQ14" s="254">
        <v>0</v>
      </c>
      <c r="AR14" s="254">
        <v>0</v>
      </c>
      <c r="AS14" s="254">
        <v>0</v>
      </c>
      <c r="AT14" s="254">
        <v>0</v>
      </c>
      <c r="AU14" s="254">
        <v>0</v>
      </c>
      <c r="AV14" s="254">
        <v>0</v>
      </c>
      <c r="AW14" s="254">
        <v>0</v>
      </c>
      <c r="AX14" s="256">
        <v>245582.42499999999</v>
      </c>
      <c r="AZ14" s="254">
        <f ca="1"/>
        <v>0</v>
      </c>
      <c r="BA14" s="254">
        <f ca="1"/>
        <v>0</v>
      </c>
      <c r="BB14" s="254">
        <f ca="1"/>
        <v>0</v>
      </c>
      <c r="BC14" s="254">
        <f ca="1"/>
        <v>0</v>
      </c>
      <c r="BD14" s="256">
        <f ca="1"/>
        <v>0</v>
      </c>
      <c r="BF14" s="254">
        <v>25000</v>
      </c>
      <c r="BG14" s="254">
        <v>4166.666666666667</v>
      </c>
      <c r="BH14" s="254">
        <v>833.33333333333337</v>
      </c>
      <c r="BI14" s="254">
        <v>0</v>
      </c>
      <c r="BJ14" s="243">
        <v>0</v>
      </c>
      <c r="BK14" s="254">
        <v>0</v>
      </c>
      <c r="BL14" s="256">
        <v>30000</v>
      </c>
      <c r="BM14" s="46"/>
      <c r="BN14" s="256">
        <f ca="1"/>
        <v>275582.42499999999</v>
      </c>
      <c r="BP14" s="248">
        <f ca="1"/>
        <v>-275582.42499999999</v>
      </c>
      <c r="BR14" s="248">
        <f ca="1"/>
        <v>-275582.42499999999</v>
      </c>
      <c r="BT14" s="248">
        <f ca="1"/>
        <v>-275582.42499999999</v>
      </c>
      <c r="BU14" s="248">
        <f ca="1"/>
        <v>0</v>
      </c>
    </row>
    <row r="15" spans="1:73" ht="15" customHeight="1" thickTop="1" thickBot="1">
      <c r="A15" s="1">
        <v>1</v>
      </c>
      <c r="B15" s="1">
        <f t="shared" si="4"/>
        <v>1</v>
      </c>
      <c r="D15" s="98">
        <v>7</v>
      </c>
      <c r="E15" s="239">
        <v>45474</v>
      </c>
      <c r="F15" s="243">
        <v>0</v>
      </c>
      <c r="G15" s="243">
        <v>0</v>
      </c>
      <c r="H15" s="243">
        <v>0</v>
      </c>
      <c r="I15" s="243">
        <v>0</v>
      </c>
      <c r="J15" s="243">
        <v>0</v>
      </c>
      <c r="K15" s="243">
        <v>0</v>
      </c>
      <c r="L15" s="366">
        <v>0</v>
      </c>
      <c r="M15" s="46"/>
      <c r="N15" s="243">
        <v>0</v>
      </c>
      <c r="O15" s="243">
        <v>0</v>
      </c>
      <c r="P15" s="243">
        <v>0</v>
      </c>
      <c r="Q15" s="243">
        <v>0</v>
      </c>
      <c r="R15" s="243">
        <v>0</v>
      </c>
      <c r="S15" s="243">
        <v>0</v>
      </c>
      <c r="T15" s="243">
        <v>0</v>
      </c>
      <c r="U15" s="243">
        <v>0</v>
      </c>
      <c r="V15" s="243">
        <v>0</v>
      </c>
      <c r="W15" s="243">
        <v>0</v>
      </c>
      <c r="X15" s="256">
        <v>0</v>
      </c>
      <c r="Y15" s="253"/>
      <c r="Z15" s="254">
        <v>245582.42499999999</v>
      </c>
      <c r="AA15" s="254">
        <v>0</v>
      </c>
      <c r="AB15" s="254">
        <v>0</v>
      </c>
      <c r="AC15" s="254">
        <v>0</v>
      </c>
      <c r="AD15" s="254">
        <v>0</v>
      </c>
      <c r="AE15" s="254">
        <v>0</v>
      </c>
      <c r="AF15" s="254">
        <v>0</v>
      </c>
      <c r="AG15" s="254">
        <v>0</v>
      </c>
      <c r="AH15" s="254">
        <v>0</v>
      </c>
      <c r="AI15" s="254">
        <v>0</v>
      </c>
      <c r="AJ15" s="254">
        <v>0</v>
      </c>
      <c r="AK15" s="254">
        <v>0</v>
      </c>
      <c r="AL15" s="254">
        <v>0</v>
      </c>
      <c r="AM15" s="254">
        <v>0</v>
      </c>
      <c r="AN15" s="254">
        <v>0</v>
      </c>
      <c r="AO15" s="254">
        <v>0</v>
      </c>
      <c r="AP15" s="254">
        <v>0</v>
      </c>
      <c r="AQ15" s="254">
        <v>0</v>
      </c>
      <c r="AR15" s="254">
        <v>0</v>
      </c>
      <c r="AS15" s="254">
        <v>0</v>
      </c>
      <c r="AT15" s="254">
        <v>0</v>
      </c>
      <c r="AU15" s="254">
        <v>0</v>
      </c>
      <c r="AV15" s="254">
        <v>0</v>
      </c>
      <c r="AW15" s="254">
        <v>0</v>
      </c>
      <c r="AX15" s="256">
        <v>245582.42499999999</v>
      </c>
      <c r="AZ15" s="254">
        <f ca="1"/>
        <v>0</v>
      </c>
      <c r="BA15" s="254">
        <f ca="1"/>
        <v>0</v>
      </c>
      <c r="BB15" s="254">
        <f ca="1"/>
        <v>0</v>
      </c>
      <c r="BC15" s="254">
        <f ca="1"/>
        <v>0</v>
      </c>
      <c r="BD15" s="256">
        <f ca="1"/>
        <v>0</v>
      </c>
      <c r="BF15" s="254">
        <v>25000</v>
      </c>
      <c r="BG15" s="254">
        <v>4166.666666666667</v>
      </c>
      <c r="BH15" s="254">
        <v>833.33333333333337</v>
      </c>
      <c r="BI15" s="254">
        <v>0</v>
      </c>
      <c r="BJ15" s="243">
        <v>0</v>
      </c>
      <c r="BK15" s="254">
        <v>0</v>
      </c>
      <c r="BL15" s="256">
        <v>30000</v>
      </c>
      <c r="BM15" s="46"/>
      <c r="BN15" s="256">
        <f ca="1"/>
        <v>275582.42499999999</v>
      </c>
      <c r="BP15" s="248">
        <f ca="1"/>
        <v>-275582.42499999999</v>
      </c>
      <c r="BR15" s="248">
        <f ca="1"/>
        <v>-275582.42499999999</v>
      </c>
      <c r="BT15" s="248">
        <f ca="1"/>
        <v>-275582.42499999999</v>
      </c>
      <c r="BU15" s="248">
        <f ca="1"/>
        <v>0</v>
      </c>
    </row>
    <row r="16" spans="1:73" ht="15" customHeight="1" thickTop="1" thickBot="1">
      <c r="A16" s="1">
        <v>1</v>
      </c>
      <c r="B16" s="1">
        <f t="shared" si="4"/>
        <v>1</v>
      </c>
      <c r="C16" s="99"/>
      <c r="D16" s="98">
        <v>8</v>
      </c>
      <c r="E16" s="239">
        <v>45505</v>
      </c>
      <c r="F16" s="243">
        <v>0</v>
      </c>
      <c r="G16" s="243">
        <v>0</v>
      </c>
      <c r="H16" s="243">
        <v>0</v>
      </c>
      <c r="I16" s="243">
        <v>0</v>
      </c>
      <c r="J16" s="243">
        <v>0</v>
      </c>
      <c r="K16" s="243">
        <v>0</v>
      </c>
      <c r="L16" s="366">
        <v>0</v>
      </c>
      <c r="M16" s="46"/>
      <c r="N16" s="243">
        <v>0</v>
      </c>
      <c r="O16" s="243">
        <v>0</v>
      </c>
      <c r="P16" s="243">
        <v>0</v>
      </c>
      <c r="Q16" s="243">
        <v>0</v>
      </c>
      <c r="R16" s="243">
        <v>0</v>
      </c>
      <c r="S16" s="243">
        <v>0</v>
      </c>
      <c r="T16" s="243">
        <v>0</v>
      </c>
      <c r="U16" s="243">
        <v>0</v>
      </c>
      <c r="V16" s="243">
        <v>0</v>
      </c>
      <c r="W16" s="243">
        <v>0</v>
      </c>
      <c r="X16" s="256">
        <v>0</v>
      </c>
      <c r="Y16" s="253"/>
      <c r="Z16" s="254">
        <v>245582.42499999999</v>
      </c>
      <c r="AA16" s="254">
        <v>0</v>
      </c>
      <c r="AB16" s="254">
        <v>0</v>
      </c>
      <c r="AC16" s="254">
        <v>0</v>
      </c>
      <c r="AD16" s="254">
        <v>0</v>
      </c>
      <c r="AE16" s="254">
        <v>0</v>
      </c>
      <c r="AF16" s="254">
        <v>0</v>
      </c>
      <c r="AG16" s="254">
        <v>0</v>
      </c>
      <c r="AH16" s="254">
        <v>0</v>
      </c>
      <c r="AI16" s="254">
        <v>0</v>
      </c>
      <c r="AJ16" s="254">
        <v>0</v>
      </c>
      <c r="AK16" s="254">
        <v>0</v>
      </c>
      <c r="AL16" s="254">
        <v>0</v>
      </c>
      <c r="AM16" s="254">
        <v>0</v>
      </c>
      <c r="AN16" s="254">
        <v>0</v>
      </c>
      <c r="AO16" s="254">
        <v>0</v>
      </c>
      <c r="AP16" s="254">
        <v>0</v>
      </c>
      <c r="AQ16" s="254">
        <v>0</v>
      </c>
      <c r="AR16" s="254">
        <v>0</v>
      </c>
      <c r="AS16" s="254">
        <v>0</v>
      </c>
      <c r="AT16" s="254">
        <v>0</v>
      </c>
      <c r="AU16" s="254">
        <v>0</v>
      </c>
      <c r="AV16" s="254">
        <v>0</v>
      </c>
      <c r="AW16" s="254">
        <v>0</v>
      </c>
      <c r="AX16" s="256">
        <v>245582.42499999999</v>
      </c>
      <c r="AZ16" s="254">
        <f ca="1"/>
        <v>0</v>
      </c>
      <c r="BA16" s="254">
        <f ca="1"/>
        <v>0</v>
      </c>
      <c r="BB16" s="254">
        <f ca="1"/>
        <v>0</v>
      </c>
      <c r="BC16" s="254">
        <f ca="1"/>
        <v>0</v>
      </c>
      <c r="BD16" s="256">
        <f ca="1"/>
        <v>0</v>
      </c>
      <c r="BF16" s="254">
        <v>25000</v>
      </c>
      <c r="BG16" s="254">
        <v>4166.666666666667</v>
      </c>
      <c r="BH16" s="254">
        <v>833.33333333333337</v>
      </c>
      <c r="BI16" s="254">
        <v>0</v>
      </c>
      <c r="BJ16" s="243">
        <v>0</v>
      </c>
      <c r="BK16" s="254">
        <v>0</v>
      </c>
      <c r="BL16" s="256">
        <v>30000</v>
      </c>
      <c r="BM16" s="46"/>
      <c r="BN16" s="256">
        <f ca="1"/>
        <v>275582.42499999999</v>
      </c>
      <c r="BP16" s="248">
        <f ca="1"/>
        <v>-275582.42499999999</v>
      </c>
      <c r="BR16" s="248">
        <f ca="1"/>
        <v>-275582.42499999999</v>
      </c>
      <c r="BT16" s="248">
        <f ca="1"/>
        <v>-275582.42499999999</v>
      </c>
      <c r="BU16" s="248">
        <f ca="1"/>
        <v>0</v>
      </c>
    </row>
    <row r="17" spans="1:73" ht="15" customHeight="1" thickTop="1" thickBot="1">
      <c r="A17" s="1">
        <v>1</v>
      </c>
      <c r="B17" s="1">
        <f t="shared" si="4"/>
        <v>1</v>
      </c>
      <c r="D17" s="98">
        <v>9</v>
      </c>
      <c r="E17" s="239">
        <v>45536</v>
      </c>
      <c r="F17" s="243">
        <v>0</v>
      </c>
      <c r="G17" s="243">
        <v>0</v>
      </c>
      <c r="H17" s="243">
        <v>0</v>
      </c>
      <c r="I17" s="243">
        <v>0</v>
      </c>
      <c r="J17" s="243">
        <v>0</v>
      </c>
      <c r="K17" s="243">
        <v>0</v>
      </c>
      <c r="L17" s="366">
        <v>0</v>
      </c>
      <c r="M17" s="46"/>
      <c r="N17" s="243">
        <v>0</v>
      </c>
      <c r="O17" s="243">
        <v>0</v>
      </c>
      <c r="P17" s="243">
        <v>0</v>
      </c>
      <c r="Q17" s="243">
        <v>0</v>
      </c>
      <c r="R17" s="243">
        <v>0</v>
      </c>
      <c r="S17" s="243">
        <v>0</v>
      </c>
      <c r="T17" s="243">
        <v>0</v>
      </c>
      <c r="U17" s="243">
        <v>0</v>
      </c>
      <c r="V17" s="243">
        <v>0</v>
      </c>
      <c r="W17" s="243">
        <v>0</v>
      </c>
      <c r="X17" s="256">
        <v>0</v>
      </c>
      <c r="Y17" s="253"/>
      <c r="Z17" s="254">
        <v>245582.42499999999</v>
      </c>
      <c r="AA17" s="254">
        <v>0</v>
      </c>
      <c r="AB17" s="254">
        <v>0</v>
      </c>
      <c r="AC17" s="254">
        <v>0</v>
      </c>
      <c r="AD17" s="254">
        <v>0</v>
      </c>
      <c r="AE17" s="254">
        <v>0</v>
      </c>
      <c r="AF17" s="254">
        <v>0</v>
      </c>
      <c r="AG17" s="254">
        <v>0</v>
      </c>
      <c r="AH17" s="254">
        <v>0</v>
      </c>
      <c r="AI17" s="254">
        <v>0</v>
      </c>
      <c r="AJ17" s="254">
        <v>0</v>
      </c>
      <c r="AK17" s="254">
        <v>0</v>
      </c>
      <c r="AL17" s="254">
        <v>0</v>
      </c>
      <c r="AM17" s="254">
        <v>0</v>
      </c>
      <c r="AN17" s="254">
        <v>0</v>
      </c>
      <c r="AO17" s="254">
        <v>0</v>
      </c>
      <c r="AP17" s="254">
        <v>0</v>
      </c>
      <c r="AQ17" s="254">
        <v>0</v>
      </c>
      <c r="AR17" s="254">
        <v>0</v>
      </c>
      <c r="AS17" s="254">
        <v>0</v>
      </c>
      <c r="AT17" s="254">
        <v>0</v>
      </c>
      <c r="AU17" s="254">
        <v>0</v>
      </c>
      <c r="AV17" s="254">
        <v>0</v>
      </c>
      <c r="AW17" s="254">
        <v>0</v>
      </c>
      <c r="AX17" s="256">
        <v>245582.42499999999</v>
      </c>
      <c r="AZ17" s="254">
        <f ca="1"/>
        <v>0</v>
      </c>
      <c r="BA17" s="254">
        <f ca="1"/>
        <v>0</v>
      </c>
      <c r="BB17" s="254">
        <f ca="1"/>
        <v>0</v>
      </c>
      <c r="BC17" s="254">
        <f ca="1"/>
        <v>0</v>
      </c>
      <c r="BD17" s="256">
        <f ca="1"/>
        <v>0</v>
      </c>
      <c r="BF17" s="254">
        <v>25000</v>
      </c>
      <c r="BG17" s="254">
        <v>4166.666666666667</v>
      </c>
      <c r="BH17" s="254">
        <v>833.33333333333337</v>
      </c>
      <c r="BI17" s="254">
        <v>0</v>
      </c>
      <c r="BJ17" s="243">
        <v>0</v>
      </c>
      <c r="BK17" s="254">
        <v>0</v>
      </c>
      <c r="BL17" s="256">
        <v>30000</v>
      </c>
      <c r="BM17" s="46"/>
      <c r="BN17" s="256">
        <f ca="1"/>
        <v>275582.42499999999</v>
      </c>
      <c r="BP17" s="248">
        <f ca="1"/>
        <v>-275582.42499999999</v>
      </c>
      <c r="BR17" s="248">
        <f ca="1"/>
        <v>-275582.42499999999</v>
      </c>
      <c r="BT17" s="248">
        <f ca="1"/>
        <v>-275582.42499999999</v>
      </c>
      <c r="BU17" s="248">
        <f ca="1"/>
        <v>0</v>
      </c>
    </row>
    <row r="18" spans="1:73" ht="15" customHeight="1" thickTop="1" thickBot="1">
      <c r="A18" s="1">
        <v>1</v>
      </c>
      <c r="B18" s="1">
        <f t="shared" si="4"/>
        <v>1</v>
      </c>
      <c r="D18" s="98">
        <v>10</v>
      </c>
      <c r="E18" s="239">
        <v>45566</v>
      </c>
      <c r="F18" s="243">
        <v>0</v>
      </c>
      <c r="G18" s="243">
        <v>0</v>
      </c>
      <c r="H18" s="243">
        <v>0</v>
      </c>
      <c r="I18" s="243">
        <v>0</v>
      </c>
      <c r="J18" s="243">
        <v>0</v>
      </c>
      <c r="K18" s="243">
        <v>0</v>
      </c>
      <c r="L18" s="366">
        <v>0</v>
      </c>
      <c r="M18" s="46"/>
      <c r="N18" s="243">
        <v>0</v>
      </c>
      <c r="O18" s="243">
        <v>0</v>
      </c>
      <c r="P18" s="243">
        <v>0</v>
      </c>
      <c r="Q18" s="243">
        <v>0</v>
      </c>
      <c r="R18" s="243">
        <v>0</v>
      </c>
      <c r="S18" s="243">
        <v>0</v>
      </c>
      <c r="T18" s="243">
        <v>0</v>
      </c>
      <c r="U18" s="243">
        <v>0</v>
      </c>
      <c r="V18" s="243">
        <v>0</v>
      </c>
      <c r="W18" s="243">
        <v>0</v>
      </c>
      <c r="X18" s="256">
        <v>0</v>
      </c>
      <c r="Y18" s="253"/>
      <c r="Z18" s="254">
        <v>245582.42499999999</v>
      </c>
      <c r="AA18" s="254">
        <v>0</v>
      </c>
      <c r="AB18" s="254">
        <v>0</v>
      </c>
      <c r="AC18" s="254">
        <v>0</v>
      </c>
      <c r="AD18" s="254">
        <v>0</v>
      </c>
      <c r="AE18" s="254">
        <v>0</v>
      </c>
      <c r="AF18" s="254">
        <v>0</v>
      </c>
      <c r="AG18" s="254">
        <v>0</v>
      </c>
      <c r="AH18" s="254">
        <v>0</v>
      </c>
      <c r="AI18" s="254">
        <v>0</v>
      </c>
      <c r="AJ18" s="254">
        <v>0</v>
      </c>
      <c r="AK18" s="254">
        <v>0</v>
      </c>
      <c r="AL18" s="254">
        <v>0</v>
      </c>
      <c r="AM18" s="254">
        <v>0</v>
      </c>
      <c r="AN18" s="254">
        <v>0</v>
      </c>
      <c r="AO18" s="254">
        <v>0</v>
      </c>
      <c r="AP18" s="254">
        <v>0</v>
      </c>
      <c r="AQ18" s="254">
        <v>0</v>
      </c>
      <c r="AR18" s="254">
        <v>0</v>
      </c>
      <c r="AS18" s="254">
        <v>0</v>
      </c>
      <c r="AT18" s="254">
        <v>0</v>
      </c>
      <c r="AU18" s="254">
        <v>0</v>
      </c>
      <c r="AV18" s="254">
        <v>0</v>
      </c>
      <c r="AW18" s="254">
        <v>0</v>
      </c>
      <c r="AX18" s="256">
        <v>245582.42499999999</v>
      </c>
      <c r="AZ18" s="254">
        <f ca="1"/>
        <v>0</v>
      </c>
      <c r="BA18" s="254">
        <f ca="1"/>
        <v>0</v>
      </c>
      <c r="BB18" s="254">
        <f ca="1"/>
        <v>0</v>
      </c>
      <c r="BC18" s="254">
        <f ca="1"/>
        <v>0</v>
      </c>
      <c r="BD18" s="256">
        <f ca="1"/>
        <v>0</v>
      </c>
      <c r="BF18" s="254">
        <v>25000</v>
      </c>
      <c r="BG18" s="254">
        <v>4166.666666666667</v>
      </c>
      <c r="BH18" s="254">
        <v>833.33333333333337</v>
      </c>
      <c r="BI18" s="254">
        <v>0</v>
      </c>
      <c r="BJ18" s="243">
        <v>0</v>
      </c>
      <c r="BK18" s="254">
        <v>0</v>
      </c>
      <c r="BL18" s="256">
        <v>30000</v>
      </c>
      <c r="BM18" s="46"/>
      <c r="BN18" s="256">
        <f ca="1"/>
        <v>275582.42499999999</v>
      </c>
      <c r="BP18" s="248">
        <f ca="1"/>
        <v>-275582.42499999999</v>
      </c>
      <c r="BR18" s="248">
        <f ca="1"/>
        <v>-275582.42499999999</v>
      </c>
      <c r="BT18" s="248">
        <f ca="1"/>
        <v>-275582.42499999999</v>
      </c>
      <c r="BU18" s="248">
        <f ca="1"/>
        <v>0</v>
      </c>
    </row>
    <row r="19" spans="1:73" ht="15" customHeight="1" thickTop="1" thickBot="1">
      <c r="A19" s="1">
        <v>1</v>
      </c>
      <c r="B19" s="1">
        <f t="shared" si="4"/>
        <v>1</v>
      </c>
      <c r="D19" s="98">
        <v>11</v>
      </c>
      <c r="E19" s="239">
        <v>45597</v>
      </c>
      <c r="F19" s="243">
        <v>0</v>
      </c>
      <c r="G19" s="243">
        <v>0</v>
      </c>
      <c r="H19" s="243">
        <v>0</v>
      </c>
      <c r="I19" s="243">
        <v>0</v>
      </c>
      <c r="J19" s="243">
        <v>0</v>
      </c>
      <c r="K19" s="243">
        <v>0</v>
      </c>
      <c r="L19" s="366">
        <v>0</v>
      </c>
      <c r="M19" s="46"/>
      <c r="N19" s="243">
        <v>0</v>
      </c>
      <c r="O19" s="243">
        <v>0</v>
      </c>
      <c r="P19" s="243">
        <v>0</v>
      </c>
      <c r="Q19" s="243">
        <v>0</v>
      </c>
      <c r="R19" s="243">
        <v>0</v>
      </c>
      <c r="S19" s="243">
        <v>0</v>
      </c>
      <c r="T19" s="243">
        <v>0</v>
      </c>
      <c r="U19" s="243">
        <v>0</v>
      </c>
      <c r="V19" s="243">
        <v>0</v>
      </c>
      <c r="W19" s="243">
        <v>0</v>
      </c>
      <c r="X19" s="256">
        <v>0</v>
      </c>
      <c r="Y19" s="253"/>
      <c r="Z19" s="254">
        <v>245582.42499999999</v>
      </c>
      <c r="AA19" s="254">
        <v>0</v>
      </c>
      <c r="AB19" s="254">
        <v>0</v>
      </c>
      <c r="AC19" s="254">
        <v>0</v>
      </c>
      <c r="AD19" s="254">
        <v>0</v>
      </c>
      <c r="AE19" s="254">
        <v>0</v>
      </c>
      <c r="AF19" s="254">
        <v>0</v>
      </c>
      <c r="AG19" s="254">
        <v>0</v>
      </c>
      <c r="AH19" s="254">
        <v>0</v>
      </c>
      <c r="AI19" s="254">
        <v>0</v>
      </c>
      <c r="AJ19" s="254">
        <v>0</v>
      </c>
      <c r="AK19" s="254">
        <v>0</v>
      </c>
      <c r="AL19" s="254">
        <v>0</v>
      </c>
      <c r="AM19" s="254">
        <v>0</v>
      </c>
      <c r="AN19" s="254">
        <v>0</v>
      </c>
      <c r="AO19" s="254">
        <v>0</v>
      </c>
      <c r="AP19" s="254">
        <v>0</v>
      </c>
      <c r="AQ19" s="254">
        <v>0</v>
      </c>
      <c r="AR19" s="254">
        <v>0</v>
      </c>
      <c r="AS19" s="254">
        <v>0</v>
      </c>
      <c r="AT19" s="254">
        <v>0</v>
      </c>
      <c r="AU19" s="254">
        <v>0</v>
      </c>
      <c r="AV19" s="254">
        <v>0</v>
      </c>
      <c r="AW19" s="254">
        <v>0</v>
      </c>
      <c r="AX19" s="256">
        <v>245582.42499999999</v>
      </c>
      <c r="AZ19" s="254">
        <f ca="1"/>
        <v>0</v>
      </c>
      <c r="BA19" s="254">
        <f ca="1"/>
        <v>0</v>
      </c>
      <c r="BB19" s="254">
        <f ca="1"/>
        <v>0</v>
      </c>
      <c r="BC19" s="254">
        <f ca="1"/>
        <v>0</v>
      </c>
      <c r="BD19" s="256">
        <f ca="1"/>
        <v>0</v>
      </c>
      <c r="BF19" s="254">
        <v>25000</v>
      </c>
      <c r="BG19" s="254">
        <v>4166.666666666667</v>
      </c>
      <c r="BH19" s="254">
        <v>833.33333333333337</v>
      </c>
      <c r="BI19" s="254">
        <v>0</v>
      </c>
      <c r="BJ19" s="243">
        <v>0</v>
      </c>
      <c r="BK19" s="254">
        <v>0</v>
      </c>
      <c r="BL19" s="256">
        <v>30000</v>
      </c>
      <c r="BM19" s="46"/>
      <c r="BN19" s="256">
        <f ca="1"/>
        <v>275582.42499999999</v>
      </c>
      <c r="BP19" s="248">
        <f ca="1"/>
        <v>-275582.42499999999</v>
      </c>
      <c r="BR19" s="248">
        <f ca="1"/>
        <v>-275582.42499999999</v>
      </c>
      <c r="BT19" s="248">
        <f ca="1"/>
        <v>-275582.42499999999</v>
      </c>
      <c r="BU19" s="248">
        <f ca="1"/>
        <v>0</v>
      </c>
    </row>
    <row r="20" spans="1:73" ht="15" customHeight="1" thickTop="1" thickBot="1">
      <c r="A20" s="1">
        <v>1</v>
      </c>
      <c r="B20" s="1">
        <f t="shared" si="4"/>
        <v>1</v>
      </c>
      <c r="D20" s="98">
        <v>12</v>
      </c>
      <c r="E20" s="239">
        <v>45627</v>
      </c>
      <c r="F20" s="243">
        <v>0</v>
      </c>
      <c r="G20" s="243">
        <v>0</v>
      </c>
      <c r="H20" s="243">
        <v>0</v>
      </c>
      <c r="I20" s="243">
        <v>0</v>
      </c>
      <c r="J20" s="243">
        <v>0</v>
      </c>
      <c r="K20" s="243">
        <v>0</v>
      </c>
      <c r="L20" s="366">
        <v>0</v>
      </c>
      <c r="M20" s="46"/>
      <c r="N20" s="243">
        <v>0</v>
      </c>
      <c r="O20" s="243">
        <v>0</v>
      </c>
      <c r="P20" s="243">
        <v>0</v>
      </c>
      <c r="Q20" s="243">
        <v>0</v>
      </c>
      <c r="R20" s="243">
        <v>0</v>
      </c>
      <c r="S20" s="243">
        <v>0</v>
      </c>
      <c r="T20" s="243">
        <v>0</v>
      </c>
      <c r="U20" s="243">
        <v>0</v>
      </c>
      <c r="V20" s="243">
        <v>0</v>
      </c>
      <c r="W20" s="243">
        <v>0</v>
      </c>
      <c r="X20" s="256">
        <v>0</v>
      </c>
      <c r="Y20" s="253"/>
      <c r="Z20" s="254">
        <v>245582.42499999999</v>
      </c>
      <c r="AA20" s="254">
        <v>0</v>
      </c>
      <c r="AB20" s="254">
        <v>0</v>
      </c>
      <c r="AC20" s="254">
        <v>0</v>
      </c>
      <c r="AD20" s="254">
        <v>0</v>
      </c>
      <c r="AE20" s="254">
        <v>0</v>
      </c>
      <c r="AF20" s="254">
        <v>0</v>
      </c>
      <c r="AG20" s="254">
        <v>0</v>
      </c>
      <c r="AH20" s="254">
        <v>0</v>
      </c>
      <c r="AI20" s="254">
        <v>0</v>
      </c>
      <c r="AJ20" s="254">
        <v>0</v>
      </c>
      <c r="AK20" s="254">
        <v>0</v>
      </c>
      <c r="AL20" s="254">
        <v>0</v>
      </c>
      <c r="AM20" s="254">
        <v>0</v>
      </c>
      <c r="AN20" s="254">
        <v>0</v>
      </c>
      <c r="AO20" s="254">
        <v>0</v>
      </c>
      <c r="AP20" s="254">
        <v>0</v>
      </c>
      <c r="AQ20" s="254">
        <v>0</v>
      </c>
      <c r="AR20" s="254">
        <v>0</v>
      </c>
      <c r="AS20" s="254">
        <v>0</v>
      </c>
      <c r="AT20" s="254">
        <v>0</v>
      </c>
      <c r="AU20" s="254">
        <v>0</v>
      </c>
      <c r="AV20" s="254">
        <v>0</v>
      </c>
      <c r="AW20" s="254">
        <v>0</v>
      </c>
      <c r="AX20" s="256">
        <v>245582.42499999999</v>
      </c>
      <c r="AZ20" s="254">
        <f ca="1"/>
        <v>0</v>
      </c>
      <c r="BA20" s="254">
        <f ca="1"/>
        <v>0</v>
      </c>
      <c r="BB20" s="254">
        <f ca="1"/>
        <v>0</v>
      </c>
      <c r="BC20" s="254">
        <f ca="1"/>
        <v>0</v>
      </c>
      <c r="BD20" s="256">
        <f ca="1"/>
        <v>0</v>
      </c>
      <c r="BF20" s="254">
        <v>25000</v>
      </c>
      <c r="BG20" s="254">
        <v>4166.666666666667</v>
      </c>
      <c r="BH20" s="254">
        <v>833.33333333333337</v>
      </c>
      <c r="BI20" s="254">
        <v>0</v>
      </c>
      <c r="BJ20" s="243">
        <v>0</v>
      </c>
      <c r="BK20" s="254">
        <v>0</v>
      </c>
      <c r="BL20" s="256">
        <v>30000</v>
      </c>
      <c r="BM20" s="46"/>
      <c r="BN20" s="256">
        <f ca="1"/>
        <v>275582.42499999999</v>
      </c>
      <c r="BP20" s="248">
        <f ca="1"/>
        <v>-275582.42499999999</v>
      </c>
      <c r="BR20" s="248">
        <f ca="1"/>
        <v>-275582.42499999999</v>
      </c>
      <c r="BT20" s="248">
        <f ca="1"/>
        <v>-275582.42499999999</v>
      </c>
      <c r="BU20" s="248">
        <f ca="1"/>
        <v>0</v>
      </c>
    </row>
    <row r="21" spans="1:73" ht="15" customHeight="1" thickTop="1" thickBot="1">
      <c r="A21" s="1">
        <v>2</v>
      </c>
      <c r="B21" s="1">
        <f t="shared" si="4"/>
        <v>1</v>
      </c>
      <c r="D21" s="98">
        <v>13</v>
      </c>
      <c r="E21" s="239">
        <v>45658</v>
      </c>
      <c r="F21" s="243">
        <v>0</v>
      </c>
      <c r="G21" s="243">
        <v>0</v>
      </c>
      <c r="H21" s="243">
        <v>0</v>
      </c>
      <c r="I21" s="243">
        <v>0</v>
      </c>
      <c r="J21" s="243">
        <v>0</v>
      </c>
      <c r="K21" s="243">
        <v>0</v>
      </c>
      <c r="L21" s="366">
        <v>0</v>
      </c>
      <c r="M21" s="46"/>
      <c r="N21" s="243">
        <v>105000000</v>
      </c>
      <c r="O21" s="243">
        <v>0</v>
      </c>
      <c r="P21" s="243">
        <v>0</v>
      </c>
      <c r="Q21" s="243">
        <v>0</v>
      </c>
      <c r="R21" s="243">
        <v>0</v>
      </c>
      <c r="S21" s="243">
        <v>0</v>
      </c>
      <c r="T21" s="243">
        <v>0</v>
      </c>
      <c r="U21" s="243">
        <v>0</v>
      </c>
      <c r="V21" s="243">
        <v>0</v>
      </c>
      <c r="W21" s="243">
        <v>0</v>
      </c>
      <c r="X21" s="256">
        <v>105000000</v>
      </c>
      <c r="Y21" s="253"/>
      <c r="Z21" s="254">
        <v>245582.42499999999</v>
      </c>
      <c r="AA21" s="254">
        <v>0</v>
      </c>
      <c r="AB21" s="254">
        <v>0</v>
      </c>
      <c r="AC21" s="254">
        <v>0</v>
      </c>
      <c r="AD21" s="254">
        <v>0</v>
      </c>
      <c r="AE21" s="254">
        <v>0</v>
      </c>
      <c r="AF21" s="254">
        <v>0</v>
      </c>
      <c r="AG21" s="254">
        <v>0</v>
      </c>
      <c r="AH21" s="254">
        <v>0</v>
      </c>
      <c r="AI21" s="254">
        <v>0</v>
      </c>
      <c r="AJ21" s="254">
        <v>0</v>
      </c>
      <c r="AK21" s="254">
        <v>0</v>
      </c>
      <c r="AL21" s="254">
        <v>0</v>
      </c>
      <c r="AM21" s="254">
        <v>0</v>
      </c>
      <c r="AN21" s="254">
        <v>0</v>
      </c>
      <c r="AO21" s="254">
        <v>0</v>
      </c>
      <c r="AP21" s="254">
        <v>0</v>
      </c>
      <c r="AQ21" s="254">
        <v>0</v>
      </c>
      <c r="AR21" s="254">
        <v>0</v>
      </c>
      <c r="AS21" s="254">
        <v>0</v>
      </c>
      <c r="AT21" s="254">
        <v>0</v>
      </c>
      <c r="AU21" s="254">
        <v>0</v>
      </c>
      <c r="AV21" s="254">
        <v>0</v>
      </c>
      <c r="AW21" s="254">
        <v>0</v>
      </c>
      <c r="AX21" s="256">
        <v>245582.42499999999</v>
      </c>
      <c r="AZ21" s="254">
        <f ca="1"/>
        <v>6250</v>
      </c>
      <c r="BA21" s="254">
        <f ca="1"/>
        <v>3750</v>
      </c>
      <c r="BB21" s="254">
        <f ca="1"/>
        <v>0</v>
      </c>
      <c r="BC21" s="254">
        <f ca="1"/>
        <v>0</v>
      </c>
      <c r="BD21" s="256">
        <f ca="1"/>
        <v>10000</v>
      </c>
      <c r="BF21" s="254">
        <v>25000</v>
      </c>
      <c r="BG21" s="254">
        <v>4166.666666666667</v>
      </c>
      <c r="BH21" s="254">
        <v>833.33333333333337</v>
      </c>
      <c r="BI21" s="254">
        <v>0</v>
      </c>
      <c r="BJ21" s="243">
        <v>1050000</v>
      </c>
      <c r="BK21" s="254">
        <v>0</v>
      </c>
      <c r="BL21" s="256">
        <v>1080000</v>
      </c>
      <c r="BM21" s="46"/>
      <c r="BN21" s="256">
        <f ca="1"/>
        <v>106335582.425</v>
      </c>
      <c r="BP21" s="248">
        <f ca="1"/>
        <v>-106335582.425</v>
      </c>
      <c r="BR21" s="248">
        <f ca="1"/>
        <v>-285582.42499999702</v>
      </c>
      <c r="BT21" s="248">
        <f ca="1"/>
        <v>-106335582.425</v>
      </c>
      <c r="BU21" s="248">
        <f ca="1"/>
        <v>0</v>
      </c>
    </row>
    <row r="22" spans="1:73" ht="15" customHeight="1" thickTop="1" thickBot="1">
      <c r="A22" s="1">
        <v>2</v>
      </c>
      <c r="B22" s="1">
        <f t="shared" si="4"/>
        <v>1</v>
      </c>
      <c r="D22" s="98">
        <v>14</v>
      </c>
      <c r="E22" s="239">
        <v>45689</v>
      </c>
      <c r="F22" s="243">
        <v>0</v>
      </c>
      <c r="G22" s="243">
        <v>0</v>
      </c>
      <c r="H22" s="243">
        <v>0</v>
      </c>
      <c r="I22" s="243">
        <v>0</v>
      </c>
      <c r="J22" s="243">
        <v>0</v>
      </c>
      <c r="K22" s="243">
        <v>0</v>
      </c>
      <c r="L22" s="366">
        <v>0</v>
      </c>
      <c r="M22" s="46"/>
      <c r="N22" s="243">
        <v>0</v>
      </c>
      <c r="O22" s="243">
        <v>0</v>
      </c>
      <c r="P22" s="243">
        <v>0</v>
      </c>
      <c r="Q22" s="243">
        <v>0</v>
      </c>
      <c r="R22" s="243">
        <v>0</v>
      </c>
      <c r="S22" s="243">
        <v>0</v>
      </c>
      <c r="T22" s="243">
        <v>0</v>
      </c>
      <c r="U22" s="243">
        <v>0</v>
      </c>
      <c r="V22" s="243">
        <v>0</v>
      </c>
      <c r="W22" s="243">
        <v>0</v>
      </c>
      <c r="X22" s="256">
        <v>0</v>
      </c>
      <c r="Y22" s="253"/>
      <c r="Z22" s="254">
        <v>245582.42499999999</v>
      </c>
      <c r="AA22" s="254">
        <v>0</v>
      </c>
      <c r="AB22" s="254">
        <v>0</v>
      </c>
      <c r="AC22" s="254">
        <v>0</v>
      </c>
      <c r="AD22" s="254">
        <v>0</v>
      </c>
      <c r="AE22" s="254">
        <v>0</v>
      </c>
      <c r="AF22" s="254">
        <v>0</v>
      </c>
      <c r="AG22" s="254">
        <v>0</v>
      </c>
      <c r="AH22" s="254">
        <v>0</v>
      </c>
      <c r="AI22" s="254">
        <v>0</v>
      </c>
      <c r="AJ22" s="254">
        <v>0</v>
      </c>
      <c r="AK22" s="254">
        <v>0</v>
      </c>
      <c r="AL22" s="254">
        <v>0</v>
      </c>
      <c r="AM22" s="254">
        <v>0</v>
      </c>
      <c r="AN22" s="254">
        <v>0</v>
      </c>
      <c r="AO22" s="254">
        <v>0</v>
      </c>
      <c r="AP22" s="254">
        <v>0</v>
      </c>
      <c r="AQ22" s="254">
        <v>0</v>
      </c>
      <c r="AR22" s="254">
        <v>0</v>
      </c>
      <c r="AS22" s="254">
        <v>0</v>
      </c>
      <c r="AT22" s="254">
        <v>0</v>
      </c>
      <c r="AU22" s="254">
        <v>0</v>
      </c>
      <c r="AV22" s="254">
        <v>0</v>
      </c>
      <c r="AW22" s="254">
        <v>0</v>
      </c>
      <c r="AX22" s="256">
        <v>245582.42499999999</v>
      </c>
      <c r="AZ22" s="254">
        <f ca="1"/>
        <v>6250</v>
      </c>
      <c r="BA22" s="254">
        <f ca="1"/>
        <v>3750</v>
      </c>
      <c r="BB22" s="254">
        <f ca="1"/>
        <v>0</v>
      </c>
      <c r="BC22" s="254">
        <f ca="1"/>
        <v>0</v>
      </c>
      <c r="BD22" s="256">
        <f ca="1"/>
        <v>10000</v>
      </c>
      <c r="BF22" s="254">
        <v>25000</v>
      </c>
      <c r="BG22" s="254">
        <v>4166.666666666667</v>
      </c>
      <c r="BH22" s="254">
        <v>833.33333333333337</v>
      </c>
      <c r="BI22" s="254">
        <v>0</v>
      </c>
      <c r="BJ22" s="243">
        <v>0</v>
      </c>
      <c r="BK22" s="254">
        <v>0</v>
      </c>
      <c r="BL22" s="256">
        <v>30000</v>
      </c>
      <c r="BM22" s="46"/>
      <c r="BN22" s="256">
        <f ca="1"/>
        <v>285582.42499999999</v>
      </c>
      <c r="BP22" s="248">
        <f ca="1"/>
        <v>-285582.42499999999</v>
      </c>
      <c r="BR22" s="248">
        <f ca="1"/>
        <v>-285582.42499999999</v>
      </c>
      <c r="BT22" s="248">
        <f ca="1"/>
        <v>-285582.42499999999</v>
      </c>
      <c r="BU22" s="248">
        <f ca="1"/>
        <v>0</v>
      </c>
    </row>
    <row r="23" spans="1:73" ht="15" customHeight="1" thickTop="1" thickBot="1">
      <c r="A23" s="1">
        <v>2</v>
      </c>
      <c r="B23" s="1">
        <f t="shared" si="4"/>
        <v>1</v>
      </c>
      <c r="D23" s="98">
        <v>15</v>
      </c>
      <c r="E23" s="239">
        <v>45717</v>
      </c>
      <c r="F23" s="243">
        <v>0</v>
      </c>
      <c r="G23" s="243">
        <v>0</v>
      </c>
      <c r="H23" s="243">
        <v>0</v>
      </c>
      <c r="I23" s="243">
        <v>0</v>
      </c>
      <c r="J23" s="243">
        <v>0</v>
      </c>
      <c r="K23" s="243">
        <v>0</v>
      </c>
      <c r="L23" s="366">
        <v>0</v>
      </c>
      <c r="M23" s="46"/>
      <c r="N23" s="243">
        <v>0</v>
      </c>
      <c r="O23" s="243">
        <v>0</v>
      </c>
      <c r="P23" s="243">
        <v>0</v>
      </c>
      <c r="Q23" s="243">
        <v>0</v>
      </c>
      <c r="R23" s="243">
        <v>0</v>
      </c>
      <c r="S23" s="243">
        <v>0</v>
      </c>
      <c r="T23" s="243">
        <v>0</v>
      </c>
      <c r="U23" s="243">
        <v>0</v>
      </c>
      <c r="V23" s="243">
        <v>0</v>
      </c>
      <c r="W23" s="243">
        <v>0</v>
      </c>
      <c r="X23" s="256">
        <v>0</v>
      </c>
      <c r="Y23" s="253"/>
      <c r="Z23" s="254">
        <v>245582.42499999999</v>
      </c>
      <c r="AA23" s="254">
        <v>0</v>
      </c>
      <c r="AB23" s="254">
        <v>0</v>
      </c>
      <c r="AC23" s="254">
        <v>0</v>
      </c>
      <c r="AD23" s="254">
        <v>0</v>
      </c>
      <c r="AE23" s="254">
        <v>0</v>
      </c>
      <c r="AF23" s="254">
        <v>0</v>
      </c>
      <c r="AG23" s="254">
        <v>0</v>
      </c>
      <c r="AH23" s="254">
        <v>0</v>
      </c>
      <c r="AI23" s="254">
        <v>0</v>
      </c>
      <c r="AJ23" s="254">
        <v>0</v>
      </c>
      <c r="AK23" s="254">
        <v>0</v>
      </c>
      <c r="AL23" s="254">
        <v>0</v>
      </c>
      <c r="AM23" s="254">
        <v>0</v>
      </c>
      <c r="AN23" s="254">
        <v>0</v>
      </c>
      <c r="AO23" s="254">
        <v>0</v>
      </c>
      <c r="AP23" s="254">
        <v>0</v>
      </c>
      <c r="AQ23" s="254">
        <v>0</v>
      </c>
      <c r="AR23" s="254">
        <v>0</v>
      </c>
      <c r="AS23" s="254">
        <v>0</v>
      </c>
      <c r="AT23" s="254">
        <v>0</v>
      </c>
      <c r="AU23" s="254">
        <v>0</v>
      </c>
      <c r="AV23" s="254">
        <v>0</v>
      </c>
      <c r="AW23" s="254">
        <v>0</v>
      </c>
      <c r="AX23" s="256">
        <v>245582.42499999999</v>
      </c>
      <c r="AZ23" s="254">
        <f ca="1"/>
        <v>6250</v>
      </c>
      <c r="BA23" s="254">
        <f ca="1"/>
        <v>3750</v>
      </c>
      <c r="BB23" s="254">
        <f ca="1"/>
        <v>0</v>
      </c>
      <c r="BC23" s="254">
        <f ca="1"/>
        <v>0</v>
      </c>
      <c r="BD23" s="256">
        <f ca="1"/>
        <v>10000</v>
      </c>
      <c r="BF23" s="254">
        <v>25000</v>
      </c>
      <c r="BG23" s="254">
        <v>4166.666666666667</v>
      </c>
      <c r="BH23" s="254">
        <v>833.33333333333337</v>
      </c>
      <c r="BI23" s="254">
        <v>0</v>
      </c>
      <c r="BJ23" s="243">
        <v>0</v>
      </c>
      <c r="BK23" s="254">
        <v>0</v>
      </c>
      <c r="BL23" s="256">
        <v>30000</v>
      </c>
      <c r="BM23" s="46"/>
      <c r="BN23" s="256">
        <f ca="1"/>
        <v>285582.42499999999</v>
      </c>
      <c r="BP23" s="248">
        <f ca="1"/>
        <v>-285582.42499999999</v>
      </c>
      <c r="BR23" s="248">
        <f ca="1"/>
        <v>-285582.42499999999</v>
      </c>
      <c r="BT23" s="248">
        <f ca="1"/>
        <v>-285582.42499999999</v>
      </c>
      <c r="BU23" s="248">
        <f ca="1"/>
        <v>0</v>
      </c>
    </row>
    <row r="24" spans="1:73" ht="15" customHeight="1" thickTop="1" thickBot="1">
      <c r="A24" s="1">
        <v>2</v>
      </c>
      <c r="B24" s="1">
        <f t="shared" si="4"/>
        <v>1</v>
      </c>
      <c r="D24" s="98">
        <v>16</v>
      </c>
      <c r="E24" s="239">
        <v>45748</v>
      </c>
      <c r="F24" s="243">
        <v>0</v>
      </c>
      <c r="G24" s="243">
        <v>0</v>
      </c>
      <c r="H24" s="243">
        <v>0</v>
      </c>
      <c r="I24" s="243">
        <v>0</v>
      </c>
      <c r="J24" s="243">
        <v>0</v>
      </c>
      <c r="K24" s="243">
        <v>0</v>
      </c>
      <c r="L24" s="366">
        <v>0</v>
      </c>
      <c r="M24" s="46"/>
      <c r="N24" s="243">
        <v>0</v>
      </c>
      <c r="O24" s="243">
        <v>0</v>
      </c>
      <c r="P24" s="243">
        <v>0</v>
      </c>
      <c r="Q24" s="243">
        <v>0</v>
      </c>
      <c r="R24" s="243">
        <v>0</v>
      </c>
      <c r="S24" s="243">
        <v>0</v>
      </c>
      <c r="T24" s="243">
        <v>0</v>
      </c>
      <c r="U24" s="243">
        <v>0</v>
      </c>
      <c r="V24" s="243">
        <v>0</v>
      </c>
      <c r="W24" s="243">
        <v>0</v>
      </c>
      <c r="X24" s="256">
        <v>0</v>
      </c>
      <c r="Y24" s="253"/>
      <c r="Z24" s="254">
        <v>245582.42499999999</v>
      </c>
      <c r="AA24" s="254">
        <v>0</v>
      </c>
      <c r="AB24" s="254">
        <v>0</v>
      </c>
      <c r="AC24" s="254">
        <v>0</v>
      </c>
      <c r="AD24" s="254">
        <v>0</v>
      </c>
      <c r="AE24" s="254">
        <v>0</v>
      </c>
      <c r="AF24" s="254">
        <v>0</v>
      </c>
      <c r="AG24" s="254">
        <v>0</v>
      </c>
      <c r="AH24" s="254">
        <v>0</v>
      </c>
      <c r="AI24" s="254">
        <v>0</v>
      </c>
      <c r="AJ24" s="254">
        <v>0</v>
      </c>
      <c r="AK24" s="254">
        <v>0</v>
      </c>
      <c r="AL24" s="254">
        <v>0</v>
      </c>
      <c r="AM24" s="254">
        <v>0</v>
      </c>
      <c r="AN24" s="254">
        <v>0</v>
      </c>
      <c r="AO24" s="254">
        <v>0</v>
      </c>
      <c r="AP24" s="254">
        <v>0</v>
      </c>
      <c r="AQ24" s="254">
        <v>0</v>
      </c>
      <c r="AR24" s="254">
        <v>0</v>
      </c>
      <c r="AS24" s="254">
        <v>0</v>
      </c>
      <c r="AT24" s="254">
        <v>0</v>
      </c>
      <c r="AU24" s="254">
        <v>0</v>
      </c>
      <c r="AV24" s="254">
        <v>0</v>
      </c>
      <c r="AW24" s="254">
        <v>0</v>
      </c>
      <c r="AX24" s="256">
        <v>245582.42499999999</v>
      </c>
      <c r="AZ24" s="254">
        <f ca="1"/>
        <v>6250</v>
      </c>
      <c r="BA24" s="254">
        <f ca="1"/>
        <v>3750</v>
      </c>
      <c r="BB24" s="254">
        <f ca="1"/>
        <v>0</v>
      </c>
      <c r="BC24" s="254">
        <f ca="1"/>
        <v>0</v>
      </c>
      <c r="BD24" s="256">
        <f ca="1"/>
        <v>10000</v>
      </c>
      <c r="BF24" s="254">
        <v>25000</v>
      </c>
      <c r="BG24" s="254">
        <v>4166.666666666667</v>
      </c>
      <c r="BH24" s="254">
        <v>833.33333333333337</v>
      </c>
      <c r="BI24" s="254">
        <v>0</v>
      </c>
      <c r="BJ24" s="243">
        <v>0</v>
      </c>
      <c r="BK24" s="254">
        <v>0</v>
      </c>
      <c r="BL24" s="256">
        <v>30000</v>
      </c>
      <c r="BM24" s="46"/>
      <c r="BN24" s="256">
        <f ca="1"/>
        <v>285582.42499999999</v>
      </c>
      <c r="BP24" s="248">
        <f ca="1"/>
        <v>-285582.42499999999</v>
      </c>
      <c r="BR24" s="248">
        <f ca="1"/>
        <v>-285582.42499999999</v>
      </c>
      <c r="BT24" s="248">
        <f ca="1"/>
        <v>-285582.42499999999</v>
      </c>
      <c r="BU24" s="248">
        <f ca="1"/>
        <v>0</v>
      </c>
    </row>
    <row r="25" spans="1:73" ht="15" customHeight="1" thickTop="1" thickBot="1">
      <c r="A25" s="1">
        <v>2</v>
      </c>
      <c r="B25" s="1">
        <f t="shared" si="4"/>
        <v>1</v>
      </c>
      <c r="D25" s="98">
        <v>17</v>
      </c>
      <c r="E25" s="239">
        <v>45778</v>
      </c>
      <c r="F25" s="243">
        <v>0</v>
      </c>
      <c r="G25" s="243">
        <v>0</v>
      </c>
      <c r="H25" s="243">
        <v>0</v>
      </c>
      <c r="I25" s="243">
        <v>0</v>
      </c>
      <c r="J25" s="243">
        <v>0</v>
      </c>
      <c r="K25" s="243">
        <v>0</v>
      </c>
      <c r="L25" s="366">
        <v>0</v>
      </c>
      <c r="M25" s="46"/>
      <c r="N25" s="243">
        <v>0</v>
      </c>
      <c r="O25" s="243">
        <v>0</v>
      </c>
      <c r="P25" s="243">
        <v>0</v>
      </c>
      <c r="Q25" s="243">
        <v>0</v>
      </c>
      <c r="R25" s="243">
        <v>0</v>
      </c>
      <c r="S25" s="243">
        <v>0</v>
      </c>
      <c r="T25" s="243">
        <v>0</v>
      </c>
      <c r="U25" s="243">
        <v>0</v>
      </c>
      <c r="V25" s="243">
        <v>0</v>
      </c>
      <c r="W25" s="243">
        <v>0</v>
      </c>
      <c r="X25" s="256">
        <v>0</v>
      </c>
      <c r="Y25" s="253"/>
      <c r="Z25" s="254">
        <v>245582.42499999999</v>
      </c>
      <c r="AA25" s="254">
        <v>0</v>
      </c>
      <c r="AB25" s="254">
        <v>0</v>
      </c>
      <c r="AC25" s="254">
        <v>0</v>
      </c>
      <c r="AD25" s="254">
        <v>0</v>
      </c>
      <c r="AE25" s="254">
        <v>0</v>
      </c>
      <c r="AF25" s="254">
        <v>0</v>
      </c>
      <c r="AG25" s="254">
        <v>0</v>
      </c>
      <c r="AH25" s="254">
        <v>0</v>
      </c>
      <c r="AI25" s="254">
        <v>0</v>
      </c>
      <c r="AJ25" s="254">
        <v>0</v>
      </c>
      <c r="AK25" s="254">
        <v>0</v>
      </c>
      <c r="AL25" s="254">
        <v>0</v>
      </c>
      <c r="AM25" s="254">
        <v>0</v>
      </c>
      <c r="AN25" s="254">
        <v>0</v>
      </c>
      <c r="AO25" s="254">
        <v>0</v>
      </c>
      <c r="AP25" s="254">
        <v>0</v>
      </c>
      <c r="AQ25" s="254">
        <v>0</v>
      </c>
      <c r="AR25" s="254">
        <v>0</v>
      </c>
      <c r="AS25" s="254">
        <v>0</v>
      </c>
      <c r="AT25" s="254">
        <v>0</v>
      </c>
      <c r="AU25" s="254">
        <v>0</v>
      </c>
      <c r="AV25" s="254">
        <v>0</v>
      </c>
      <c r="AW25" s="254">
        <v>0</v>
      </c>
      <c r="AX25" s="256">
        <v>245582.42499999999</v>
      </c>
      <c r="AZ25" s="254">
        <f ca="1"/>
        <v>6250</v>
      </c>
      <c r="BA25" s="254">
        <f ca="1"/>
        <v>3750</v>
      </c>
      <c r="BB25" s="254">
        <f ca="1"/>
        <v>0</v>
      </c>
      <c r="BC25" s="254">
        <f ca="1"/>
        <v>0</v>
      </c>
      <c r="BD25" s="256">
        <f ca="1"/>
        <v>10000</v>
      </c>
      <c r="BF25" s="254">
        <v>25000</v>
      </c>
      <c r="BG25" s="254">
        <v>4166.666666666667</v>
      </c>
      <c r="BH25" s="254">
        <v>833.33333333333337</v>
      </c>
      <c r="BI25" s="254">
        <v>0</v>
      </c>
      <c r="BJ25" s="243">
        <v>0</v>
      </c>
      <c r="BK25" s="254">
        <v>0</v>
      </c>
      <c r="BL25" s="256">
        <v>30000</v>
      </c>
      <c r="BM25" s="46"/>
      <c r="BN25" s="256">
        <f ca="1"/>
        <v>285582.42499999999</v>
      </c>
      <c r="BP25" s="248">
        <f ca="1"/>
        <v>-285582.42499999999</v>
      </c>
      <c r="BR25" s="248">
        <f ca="1"/>
        <v>-285582.42499999999</v>
      </c>
      <c r="BT25" s="248">
        <f ca="1"/>
        <v>-285582.42499999999</v>
      </c>
      <c r="BU25" s="248">
        <f ca="1"/>
        <v>0</v>
      </c>
    </row>
    <row r="26" spans="1:73" ht="15" customHeight="1" thickTop="1" thickBot="1">
      <c r="A26" s="1">
        <v>2</v>
      </c>
      <c r="B26" s="1">
        <f t="shared" si="4"/>
        <v>1</v>
      </c>
      <c r="D26" s="98">
        <v>18</v>
      </c>
      <c r="E26" s="239">
        <v>45809</v>
      </c>
      <c r="F26" s="243">
        <v>0</v>
      </c>
      <c r="G26" s="243">
        <v>0</v>
      </c>
      <c r="H26" s="243">
        <v>0</v>
      </c>
      <c r="I26" s="243">
        <v>0</v>
      </c>
      <c r="J26" s="243">
        <v>0</v>
      </c>
      <c r="K26" s="243">
        <v>0</v>
      </c>
      <c r="L26" s="366">
        <v>0</v>
      </c>
      <c r="M26" s="46"/>
      <c r="N26" s="243">
        <v>0</v>
      </c>
      <c r="O26" s="243">
        <v>0</v>
      </c>
      <c r="P26" s="243">
        <v>0</v>
      </c>
      <c r="Q26" s="243">
        <v>0</v>
      </c>
      <c r="R26" s="243">
        <v>0</v>
      </c>
      <c r="S26" s="243">
        <v>0</v>
      </c>
      <c r="T26" s="243">
        <v>0</v>
      </c>
      <c r="U26" s="243">
        <v>0</v>
      </c>
      <c r="V26" s="243">
        <v>0</v>
      </c>
      <c r="W26" s="243">
        <v>0</v>
      </c>
      <c r="X26" s="256">
        <v>0</v>
      </c>
      <c r="Y26" s="253"/>
      <c r="Z26" s="254">
        <v>245582.42499999999</v>
      </c>
      <c r="AA26" s="254">
        <v>0</v>
      </c>
      <c r="AB26" s="254">
        <v>0</v>
      </c>
      <c r="AC26" s="254">
        <v>0</v>
      </c>
      <c r="AD26" s="254">
        <v>0</v>
      </c>
      <c r="AE26" s="254">
        <v>0</v>
      </c>
      <c r="AF26" s="254">
        <v>0</v>
      </c>
      <c r="AG26" s="254">
        <v>0</v>
      </c>
      <c r="AH26" s="254">
        <v>0</v>
      </c>
      <c r="AI26" s="254">
        <v>0</v>
      </c>
      <c r="AJ26" s="254">
        <v>0</v>
      </c>
      <c r="AK26" s="254">
        <v>0</v>
      </c>
      <c r="AL26" s="254">
        <v>0</v>
      </c>
      <c r="AM26" s="254">
        <v>0</v>
      </c>
      <c r="AN26" s="254">
        <v>0</v>
      </c>
      <c r="AO26" s="254">
        <v>0</v>
      </c>
      <c r="AP26" s="254">
        <v>0</v>
      </c>
      <c r="AQ26" s="254">
        <v>0</v>
      </c>
      <c r="AR26" s="254">
        <v>0</v>
      </c>
      <c r="AS26" s="254">
        <v>0</v>
      </c>
      <c r="AT26" s="254">
        <v>0</v>
      </c>
      <c r="AU26" s="254">
        <v>0</v>
      </c>
      <c r="AV26" s="254">
        <v>0</v>
      </c>
      <c r="AW26" s="254">
        <v>0</v>
      </c>
      <c r="AX26" s="256">
        <v>245582.42499999999</v>
      </c>
      <c r="AZ26" s="254">
        <f ca="1"/>
        <v>6250</v>
      </c>
      <c r="BA26" s="254">
        <f ca="1"/>
        <v>3750</v>
      </c>
      <c r="BB26" s="254">
        <f ca="1"/>
        <v>0</v>
      </c>
      <c r="BC26" s="254">
        <f ca="1"/>
        <v>0</v>
      </c>
      <c r="BD26" s="256">
        <f ca="1"/>
        <v>10000</v>
      </c>
      <c r="BF26" s="254">
        <v>25000</v>
      </c>
      <c r="BG26" s="254">
        <v>4166.666666666667</v>
      </c>
      <c r="BH26" s="254">
        <v>833.33333333333337</v>
      </c>
      <c r="BI26" s="254">
        <v>0</v>
      </c>
      <c r="BJ26" s="243">
        <v>0</v>
      </c>
      <c r="BK26" s="254">
        <v>0</v>
      </c>
      <c r="BL26" s="256">
        <v>30000</v>
      </c>
      <c r="BM26" s="46"/>
      <c r="BN26" s="256">
        <f ca="1"/>
        <v>285582.42499999999</v>
      </c>
      <c r="BP26" s="248">
        <f ca="1"/>
        <v>-285582.42499999999</v>
      </c>
      <c r="BR26" s="248">
        <f ca="1"/>
        <v>-285582.42499999999</v>
      </c>
      <c r="BT26" s="248">
        <f ca="1"/>
        <v>-285582.42499999999</v>
      </c>
      <c r="BU26" s="248">
        <f ca="1"/>
        <v>0</v>
      </c>
    </row>
    <row r="27" spans="1:73" ht="15" customHeight="1" thickTop="1" thickBot="1">
      <c r="A27" s="1">
        <v>2</v>
      </c>
      <c r="B27" s="1">
        <f t="shared" si="4"/>
        <v>1</v>
      </c>
      <c r="D27" s="98">
        <v>19</v>
      </c>
      <c r="E27" s="239">
        <v>45839</v>
      </c>
      <c r="F27" s="243">
        <v>0</v>
      </c>
      <c r="G27" s="243">
        <v>0</v>
      </c>
      <c r="H27" s="243">
        <v>0</v>
      </c>
      <c r="I27" s="243">
        <v>0</v>
      </c>
      <c r="J27" s="243">
        <v>0</v>
      </c>
      <c r="K27" s="243">
        <v>0</v>
      </c>
      <c r="L27" s="366">
        <v>0</v>
      </c>
      <c r="M27" s="46"/>
      <c r="N27" s="243">
        <v>0</v>
      </c>
      <c r="O27" s="243">
        <v>0</v>
      </c>
      <c r="P27" s="243">
        <v>0</v>
      </c>
      <c r="Q27" s="243">
        <v>0</v>
      </c>
      <c r="R27" s="243">
        <v>0</v>
      </c>
      <c r="S27" s="243">
        <v>0</v>
      </c>
      <c r="T27" s="243">
        <v>0</v>
      </c>
      <c r="U27" s="243">
        <v>0</v>
      </c>
      <c r="V27" s="243">
        <v>0</v>
      </c>
      <c r="W27" s="243">
        <v>0</v>
      </c>
      <c r="X27" s="256">
        <v>0</v>
      </c>
      <c r="Y27" s="253"/>
      <c r="Z27" s="254">
        <v>245582.42499999999</v>
      </c>
      <c r="AA27" s="254">
        <v>0</v>
      </c>
      <c r="AB27" s="254">
        <v>0</v>
      </c>
      <c r="AC27" s="254">
        <v>0</v>
      </c>
      <c r="AD27" s="254">
        <v>0</v>
      </c>
      <c r="AE27" s="254">
        <v>0</v>
      </c>
      <c r="AF27" s="254">
        <v>0</v>
      </c>
      <c r="AG27" s="254">
        <v>0</v>
      </c>
      <c r="AH27" s="254">
        <v>0</v>
      </c>
      <c r="AI27" s="254">
        <v>0</v>
      </c>
      <c r="AJ27" s="254">
        <v>0</v>
      </c>
      <c r="AK27" s="254">
        <v>0</v>
      </c>
      <c r="AL27" s="254">
        <v>0</v>
      </c>
      <c r="AM27" s="254">
        <v>0</v>
      </c>
      <c r="AN27" s="254">
        <v>0</v>
      </c>
      <c r="AO27" s="254">
        <v>0</v>
      </c>
      <c r="AP27" s="254">
        <v>0</v>
      </c>
      <c r="AQ27" s="254">
        <v>0</v>
      </c>
      <c r="AR27" s="254">
        <v>0</v>
      </c>
      <c r="AS27" s="254">
        <v>0</v>
      </c>
      <c r="AT27" s="254">
        <v>0</v>
      </c>
      <c r="AU27" s="254">
        <v>0</v>
      </c>
      <c r="AV27" s="254">
        <v>0</v>
      </c>
      <c r="AW27" s="254">
        <v>0</v>
      </c>
      <c r="AX27" s="256">
        <v>245582.42499999999</v>
      </c>
      <c r="AZ27" s="254">
        <f ca="1"/>
        <v>6250</v>
      </c>
      <c r="BA27" s="254">
        <f ca="1"/>
        <v>3750</v>
      </c>
      <c r="BB27" s="254">
        <f ca="1"/>
        <v>0</v>
      </c>
      <c r="BC27" s="254">
        <f ca="1"/>
        <v>0</v>
      </c>
      <c r="BD27" s="256">
        <f ca="1"/>
        <v>10000</v>
      </c>
      <c r="BF27" s="254">
        <v>25000</v>
      </c>
      <c r="BG27" s="254">
        <v>4166.666666666667</v>
      </c>
      <c r="BH27" s="254">
        <v>833.33333333333337</v>
      </c>
      <c r="BI27" s="254">
        <v>0</v>
      </c>
      <c r="BJ27" s="243">
        <v>0</v>
      </c>
      <c r="BK27" s="254">
        <v>0</v>
      </c>
      <c r="BL27" s="256">
        <v>30000</v>
      </c>
      <c r="BM27" s="46"/>
      <c r="BN27" s="256">
        <f ca="1"/>
        <v>285582.42499999999</v>
      </c>
      <c r="BP27" s="248">
        <f ca="1"/>
        <v>-285582.42499999999</v>
      </c>
      <c r="BR27" s="248">
        <f ca="1"/>
        <v>-285582.42499999999</v>
      </c>
      <c r="BT27" s="248">
        <f ca="1"/>
        <v>-285582.42499999999</v>
      </c>
      <c r="BU27" s="248">
        <f ca="1"/>
        <v>0</v>
      </c>
    </row>
    <row r="28" spans="1:73" ht="15" customHeight="1" thickTop="1" thickBot="1">
      <c r="A28" s="1">
        <v>2</v>
      </c>
      <c r="B28" s="1">
        <f t="shared" si="4"/>
        <v>1</v>
      </c>
      <c r="D28" s="98">
        <v>20</v>
      </c>
      <c r="E28" s="239">
        <v>45870</v>
      </c>
      <c r="F28" s="243">
        <v>0</v>
      </c>
      <c r="G28" s="243">
        <v>0</v>
      </c>
      <c r="H28" s="243">
        <v>0</v>
      </c>
      <c r="I28" s="243">
        <v>0</v>
      </c>
      <c r="J28" s="243">
        <v>0</v>
      </c>
      <c r="K28" s="243">
        <v>0</v>
      </c>
      <c r="L28" s="366">
        <v>0</v>
      </c>
      <c r="M28" s="46"/>
      <c r="N28" s="243">
        <v>0</v>
      </c>
      <c r="O28" s="243">
        <v>0</v>
      </c>
      <c r="P28" s="243">
        <v>0</v>
      </c>
      <c r="Q28" s="243">
        <v>0</v>
      </c>
      <c r="R28" s="243">
        <v>0</v>
      </c>
      <c r="S28" s="243">
        <v>0</v>
      </c>
      <c r="T28" s="243">
        <v>0</v>
      </c>
      <c r="U28" s="243">
        <v>0</v>
      </c>
      <c r="V28" s="243">
        <v>0</v>
      </c>
      <c r="W28" s="243">
        <v>0</v>
      </c>
      <c r="X28" s="256">
        <v>0</v>
      </c>
      <c r="Y28" s="253"/>
      <c r="Z28" s="254">
        <v>245582.42499999999</v>
      </c>
      <c r="AA28" s="254">
        <v>0</v>
      </c>
      <c r="AB28" s="254">
        <v>0</v>
      </c>
      <c r="AC28" s="254">
        <v>0</v>
      </c>
      <c r="AD28" s="254">
        <v>0</v>
      </c>
      <c r="AE28" s="254">
        <v>0</v>
      </c>
      <c r="AF28" s="254">
        <v>0</v>
      </c>
      <c r="AG28" s="254">
        <v>0</v>
      </c>
      <c r="AH28" s="254">
        <v>0</v>
      </c>
      <c r="AI28" s="254">
        <v>0</v>
      </c>
      <c r="AJ28" s="254">
        <v>0</v>
      </c>
      <c r="AK28" s="254">
        <v>0</v>
      </c>
      <c r="AL28" s="254">
        <v>0</v>
      </c>
      <c r="AM28" s="254">
        <v>0</v>
      </c>
      <c r="AN28" s="254">
        <v>0</v>
      </c>
      <c r="AO28" s="254">
        <v>0</v>
      </c>
      <c r="AP28" s="254">
        <v>0</v>
      </c>
      <c r="AQ28" s="254">
        <v>0</v>
      </c>
      <c r="AR28" s="254">
        <v>0</v>
      </c>
      <c r="AS28" s="254">
        <v>0</v>
      </c>
      <c r="AT28" s="254">
        <v>0</v>
      </c>
      <c r="AU28" s="254">
        <v>0</v>
      </c>
      <c r="AV28" s="254">
        <v>0</v>
      </c>
      <c r="AW28" s="254">
        <v>0</v>
      </c>
      <c r="AX28" s="256">
        <v>245582.42499999999</v>
      </c>
      <c r="AZ28" s="254">
        <f ca="1"/>
        <v>6250</v>
      </c>
      <c r="BA28" s="254">
        <f ca="1"/>
        <v>3750</v>
      </c>
      <c r="BB28" s="254">
        <f ca="1"/>
        <v>0</v>
      </c>
      <c r="BC28" s="254">
        <f ca="1"/>
        <v>0</v>
      </c>
      <c r="BD28" s="256">
        <f ca="1"/>
        <v>10000</v>
      </c>
      <c r="BF28" s="254">
        <v>25000</v>
      </c>
      <c r="BG28" s="254">
        <v>4166.666666666667</v>
      </c>
      <c r="BH28" s="254">
        <v>833.33333333333337</v>
      </c>
      <c r="BI28" s="254">
        <v>0</v>
      </c>
      <c r="BJ28" s="243">
        <v>0</v>
      </c>
      <c r="BK28" s="254">
        <v>0</v>
      </c>
      <c r="BL28" s="256">
        <v>30000</v>
      </c>
      <c r="BM28" s="46"/>
      <c r="BN28" s="256">
        <f ca="1"/>
        <v>285582.42499999999</v>
      </c>
      <c r="BP28" s="248">
        <f ca="1"/>
        <v>-285582.42499999999</v>
      </c>
      <c r="BR28" s="248">
        <f ca="1"/>
        <v>-285582.42499999999</v>
      </c>
      <c r="BT28" s="248">
        <f ca="1"/>
        <v>-285582.42499999999</v>
      </c>
      <c r="BU28" s="248">
        <f ca="1"/>
        <v>0</v>
      </c>
    </row>
    <row r="29" spans="1:73" ht="15" customHeight="1" thickTop="1" thickBot="1">
      <c r="A29" s="1">
        <v>2</v>
      </c>
      <c r="B29" s="1">
        <f t="shared" si="4"/>
        <v>1</v>
      </c>
      <c r="D29" s="98">
        <v>21</v>
      </c>
      <c r="E29" s="239">
        <v>45901</v>
      </c>
      <c r="F29" s="243">
        <v>0</v>
      </c>
      <c r="G29" s="243">
        <v>0</v>
      </c>
      <c r="H29" s="243">
        <v>0</v>
      </c>
      <c r="I29" s="243">
        <v>0</v>
      </c>
      <c r="J29" s="243">
        <v>0</v>
      </c>
      <c r="K29" s="243">
        <v>0</v>
      </c>
      <c r="L29" s="366">
        <v>0</v>
      </c>
      <c r="M29" s="46"/>
      <c r="N29" s="243">
        <v>0</v>
      </c>
      <c r="O29" s="243">
        <v>0</v>
      </c>
      <c r="P29" s="243">
        <v>0</v>
      </c>
      <c r="Q29" s="243">
        <v>0</v>
      </c>
      <c r="R29" s="243">
        <v>0</v>
      </c>
      <c r="S29" s="243">
        <v>0</v>
      </c>
      <c r="T29" s="243">
        <v>0</v>
      </c>
      <c r="U29" s="243">
        <v>0</v>
      </c>
      <c r="V29" s="243">
        <v>0</v>
      </c>
      <c r="W29" s="243">
        <v>0</v>
      </c>
      <c r="X29" s="256">
        <v>0</v>
      </c>
      <c r="Y29" s="253"/>
      <c r="Z29" s="254">
        <v>245582.42499999999</v>
      </c>
      <c r="AA29" s="254">
        <v>0</v>
      </c>
      <c r="AB29" s="254">
        <v>0</v>
      </c>
      <c r="AC29" s="254">
        <v>0</v>
      </c>
      <c r="AD29" s="254">
        <v>0</v>
      </c>
      <c r="AE29" s="254">
        <v>0</v>
      </c>
      <c r="AF29" s="254">
        <v>0</v>
      </c>
      <c r="AG29" s="254">
        <v>0</v>
      </c>
      <c r="AH29" s="254">
        <v>0</v>
      </c>
      <c r="AI29" s="254">
        <v>0</v>
      </c>
      <c r="AJ29" s="254">
        <v>0</v>
      </c>
      <c r="AK29" s="254">
        <v>0</v>
      </c>
      <c r="AL29" s="254">
        <v>0</v>
      </c>
      <c r="AM29" s="254">
        <v>0</v>
      </c>
      <c r="AN29" s="254">
        <v>0</v>
      </c>
      <c r="AO29" s="254">
        <v>0</v>
      </c>
      <c r="AP29" s="254">
        <v>0</v>
      </c>
      <c r="AQ29" s="254">
        <v>0</v>
      </c>
      <c r="AR29" s="254">
        <v>0</v>
      </c>
      <c r="AS29" s="254">
        <v>0</v>
      </c>
      <c r="AT29" s="254">
        <v>0</v>
      </c>
      <c r="AU29" s="254">
        <v>0</v>
      </c>
      <c r="AV29" s="254">
        <v>0</v>
      </c>
      <c r="AW29" s="254">
        <v>0</v>
      </c>
      <c r="AX29" s="256">
        <v>245582.42499999999</v>
      </c>
      <c r="AZ29" s="254">
        <f ca="1"/>
        <v>6250</v>
      </c>
      <c r="BA29" s="254">
        <f ca="1"/>
        <v>3750</v>
      </c>
      <c r="BB29" s="254">
        <f ca="1"/>
        <v>0</v>
      </c>
      <c r="BC29" s="254">
        <f ca="1"/>
        <v>0</v>
      </c>
      <c r="BD29" s="256">
        <f ca="1"/>
        <v>10000</v>
      </c>
      <c r="BF29" s="254">
        <v>25000</v>
      </c>
      <c r="BG29" s="254">
        <v>4166.666666666667</v>
      </c>
      <c r="BH29" s="254">
        <v>833.33333333333337</v>
      </c>
      <c r="BI29" s="254">
        <v>0</v>
      </c>
      <c r="BJ29" s="243">
        <v>0</v>
      </c>
      <c r="BK29" s="254">
        <v>0</v>
      </c>
      <c r="BL29" s="256">
        <v>30000</v>
      </c>
      <c r="BM29" s="46"/>
      <c r="BN29" s="256">
        <f ca="1"/>
        <v>285582.42499999999</v>
      </c>
      <c r="BP29" s="248">
        <f ca="1"/>
        <v>-285582.42499999999</v>
      </c>
      <c r="BR29" s="248">
        <f ca="1"/>
        <v>-285582.42499999999</v>
      </c>
      <c r="BT29" s="248">
        <f ca="1"/>
        <v>-285582.42499999999</v>
      </c>
      <c r="BU29" s="248">
        <f ca="1"/>
        <v>0</v>
      </c>
    </row>
    <row r="30" spans="1:73" ht="15" customHeight="1" thickTop="1" thickBot="1">
      <c r="A30" s="1">
        <v>2</v>
      </c>
      <c r="B30" s="1">
        <f t="shared" si="4"/>
        <v>1</v>
      </c>
      <c r="D30" s="98">
        <v>22</v>
      </c>
      <c r="E30" s="239">
        <v>45931</v>
      </c>
      <c r="F30" s="243">
        <v>0</v>
      </c>
      <c r="G30" s="243">
        <v>0</v>
      </c>
      <c r="H30" s="243">
        <v>0</v>
      </c>
      <c r="I30" s="243">
        <v>0</v>
      </c>
      <c r="J30" s="243">
        <v>0</v>
      </c>
      <c r="K30" s="243">
        <v>0</v>
      </c>
      <c r="L30" s="366">
        <v>0</v>
      </c>
      <c r="M30" s="46"/>
      <c r="N30" s="243">
        <v>0</v>
      </c>
      <c r="O30" s="243">
        <v>0</v>
      </c>
      <c r="P30" s="243">
        <v>0</v>
      </c>
      <c r="Q30" s="243">
        <v>0</v>
      </c>
      <c r="R30" s="243">
        <v>0</v>
      </c>
      <c r="S30" s="243">
        <v>0</v>
      </c>
      <c r="T30" s="243">
        <v>0</v>
      </c>
      <c r="U30" s="243">
        <v>0</v>
      </c>
      <c r="V30" s="243">
        <v>0</v>
      </c>
      <c r="W30" s="243">
        <v>0</v>
      </c>
      <c r="X30" s="256">
        <v>0</v>
      </c>
      <c r="Y30" s="253"/>
      <c r="Z30" s="254">
        <v>245582.42499999999</v>
      </c>
      <c r="AA30" s="254">
        <v>0</v>
      </c>
      <c r="AB30" s="254">
        <v>0</v>
      </c>
      <c r="AC30" s="254">
        <v>0</v>
      </c>
      <c r="AD30" s="254">
        <v>0</v>
      </c>
      <c r="AE30" s="254">
        <v>0</v>
      </c>
      <c r="AF30" s="254">
        <v>0</v>
      </c>
      <c r="AG30" s="254">
        <v>0</v>
      </c>
      <c r="AH30" s="254">
        <v>0</v>
      </c>
      <c r="AI30" s="254">
        <v>0</v>
      </c>
      <c r="AJ30" s="254">
        <v>0</v>
      </c>
      <c r="AK30" s="254">
        <v>0</v>
      </c>
      <c r="AL30" s="254">
        <v>0</v>
      </c>
      <c r="AM30" s="254">
        <v>0</v>
      </c>
      <c r="AN30" s="254">
        <v>0</v>
      </c>
      <c r="AO30" s="254">
        <v>0</v>
      </c>
      <c r="AP30" s="254">
        <v>0</v>
      </c>
      <c r="AQ30" s="254">
        <v>0</v>
      </c>
      <c r="AR30" s="254">
        <v>0</v>
      </c>
      <c r="AS30" s="254">
        <v>0</v>
      </c>
      <c r="AT30" s="254">
        <v>0</v>
      </c>
      <c r="AU30" s="254">
        <v>0</v>
      </c>
      <c r="AV30" s="254">
        <v>0</v>
      </c>
      <c r="AW30" s="254">
        <v>0</v>
      </c>
      <c r="AX30" s="256">
        <v>245582.42499999999</v>
      </c>
      <c r="AZ30" s="254">
        <f ca="1"/>
        <v>6250</v>
      </c>
      <c r="BA30" s="254">
        <f ca="1"/>
        <v>3750</v>
      </c>
      <c r="BB30" s="254">
        <f ca="1"/>
        <v>0</v>
      </c>
      <c r="BC30" s="254">
        <f ca="1"/>
        <v>0</v>
      </c>
      <c r="BD30" s="256">
        <f ca="1"/>
        <v>10000</v>
      </c>
      <c r="BF30" s="254">
        <v>25000</v>
      </c>
      <c r="BG30" s="254">
        <v>4166.666666666667</v>
      </c>
      <c r="BH30" s="254">
        <v>833.33333333333337</v>
      </c>
      <c r="BI30" s="254">
        <v>0</v>
      </c>
      <c r="BJ30" s="243">
        <v>0</v>
      </c>
      <c r="BK30" s="254">
        <v>0</v>
      </c>
      <c r="BL30" s="256">
        <v>30000</v>
      </c>
      <c r="BM30" s="46"/>
      <c r="BN30" s="256">
        <f ca="1"/>
        <v>285582.42499999999</v>
      </c>
      <c r="BP30" s="248">
        <f ca="1"/>
        <v>-285582.42499999999</v>
      </c>
      <c r="BR30" s="248">
        <f ca="1"/>
        <v>-285582.42499999999</v>
      </c>
      <c r="BT30" s="248">
        <f ca="1"/>
        <v>-285582.42499999999</v>
      </c>
      <c r="BU30" s="248">
        <f ca="1"/>
        <v>0</v>
      </c>
    </row>
    <row r="31" spans="1:73" ht="15" customHeight="1" thickTop="1" thickBot="1">
      <c r="A31" s="1">
        <v>2</v>
      </c>
      <c r="B31" s="1">
        <f t="shared" si="4"/>
        <v>1</v>
      </c>
      <c r="D31" s="98">
        <v>23</v>
      </c>
      <c r="E31" s="239">
        <v>45962</v>
      </c>
      <c r="F31" s="243">
        <v>0</v>
      </c>
      <c r="G31" s="243">
        <v>0</v>
      </c>
      <c r="H31" s="243">
        <v>0</v>
      </c>
      <c r="I31" s="243">
        <v>0</v>
      </c>
      <c r="J31" s="243">
        <v>0</v>
      </c>
      <c r="K31" s="243">
        <v>0</v>
      </c>
      <c r="L31" s="366">
        <v>0</v>
      </c>
      <c r="M31" s="46"/>
      <c r="N31" s="243">
        <v>0</v>
      </c>
      <c r="O31" s="243">
        <v>0</v>
      </c>
      <c r="P31" s="243">
        <v>0</v>
      </c>
      <c r="Q31" s="243">
        <v>0</v>
      </c>
      <c r="R31" s="243">
        <v>0</v>
      </c>
      <c r="S31" s="243">
        <v>0</v>
      </c>
      <c r="T31" s="243">
        <v>0</v>
      </c>
      <c r="U31" s="243">
        <v>0</v>
      </c>
      <c r="V31" s="243">
        <v>0</v>
      </c>
      <c r="W31" s="243">
        <v>0</v>
      </c>
      <c r="X31" s="256">
        <v>0</v>
      </c>
      <c r="Y31" s="253"/>
      <c r="Z31" s="254">
        <v>245582.42499999999</v>
      </c>
      <c r="AA31" s="254">
        <v>0</v>
      </c>
      <c r="AB31" s="254">
        <v>0</v>
      </c>
      <c r="AC31" s="254">
        <v>0</v>
      </c>
      <c r="AD31" s="254">
        <v>0</v>
      </c>
      <c r="AE31" s="254">
        <v>0</v>
      </c>
      <c r="AF31" s="254">
        <v>0</v>
      </c>
      <c r="AG31" s="254">
        <v>0</v>
      </c>
      <c r="AH31" s="254">
        <v>0</v>
      </c>
      <c r="AI31" s="254">
        <v>0</v>
      </c>
      <c r="AJ31" s="254">
        <v>0</v>
      </c>
      <c r="AK31" s="254">
        <v>0</v>
      </c>
      <c r="AL31" s="254">
        <v>0</v>
      </c>
      <c r="AM31" s="254">
        <v>0</v>
      </c>
      <c r="AN31" s="254">
        <v>0</v>
      </c>
      <c r="AO31" s="254">
        <v>0</v>
      </c>
      <c r="AP31" s="254">
        <v>0</v>
      </c>
      <c r="AQ31" s="254">
        <v>0</v>
      </c>
      <c r="AR31" s="254">
        <v>0</v>
      </c>
      <c r="AS31" s="254">
        <v>0</v>
      </c>
      <c r="AT31" s="254">
        <v>0</v>
      </c>
      <c r="AU31" s="254">
        <v>0</v>
      </c>
      <c r="AV31" s="254">
        <v>0</v>
      </c>
      <c r="AW31" s="254">
        <v>0</v>
      </c>
      <c r="AX31" s="256">
        <v>245582.42499999999</v>
      </c>
      <c r="AZ31" s="254">
        <f ca="1"/>
        <v>6250</v>
      </c>
      <c r="BA31" s="254">
        <f ca="1"/>
        <v>3750</v>
      </c>
      <c r="BB31" s="254">
        <f ca="1"/>
        <v>0</v>
      </c>
      <c r="BC31" s="254">
        <f ca="1"/>
        <v>0</v>
      </c>
      <c r="BD31" s="256">
        <f ca="1"/>
        <v>10000</v>
      </c>
      <c r="BF31" s="254">
        <v>25000</v>
      </c>
      <c r="BG31" s="254">
        <v>4166.666666666667</v>
      </c>
      <c r="BH31" s="254">
        <v>833.33333333333337</v>
      </c>
      <c r="BI31" s="254">
        <v>0</v>
      </c>
      <c r="BJ31" s="243">
        <v>0</v>
      </c>
      <c r="BK31" s="254">
        <v>0</v>
      </c>
      <c r="BL31" s="256">
        <v>30000</v>
      </c>
      <c r="BM31" s="46"/>
      <c r="BN31" s="256">
        <f ca="1"/>
        <v>285582.42499999999</v>
      </c>
      <c r="BP31" s="248">
        <f ca="1"/>
        <v>-285582.42499999999</v>
      </c>
      <c r="BR31" s="248">
        <f ca="1"/>
        <v>-285582.42499999999</v>
      </c>
      <c r="BT31" s="248">
        <f ca="1"/>
        <v>-285582.42499999999</v>
      </c>
      <c r="BU31" s="248">
        <f ca="1"/>
        <v>0</v>
      </c>
    </row>
    <row r="32" spans="1:73" ht="15" customHeight="1" thickTop="1" thickBot="1">
      <c r="A32" s="1">
        <v>2</v>
      </c>
      <c r="B32" s="1">
        <f t="shared" si="4"/>
        <v>1</v>
      </c>
      <c r="D32" s="98">
        <v>24</v>
      </c>
      <c r="E32" s="239">
        <v>45992</v>
      </c>
      <c r="F32" s="243">
        <v>0</v>
      </c>
      <c r="G32" s="243">
        <v>0</v>
      </c>
      <c r="H32" s="243">
        <v>0</v>
      </c>
      <c r="I32" s="243">
        <v>0</v>
      </c>
      <c r="J32" s="243">
        <v>0</v>
      </c>
      <c r="K32" s="243">
        <v>0</v>
      </c>
      <c r="L32" s="366">
        <v>0</v>
      </c>
      <c r="M32" s="46"/>
      <c r="N32" s="243">
        <v>0</v>
      </c>
      <c r="O32" s="243">
        <v>0</v>
      </c>
      <c r="P32" s="243">
        <v>0</v>
      </c>
      <c r="Q32" s="243">
        <v>0</v>
      </c>
      <c r="R32" s="243">
        <v>0</v>
      </c>
      <c r="S32" s="243">
        <v>0</v>
      </c>
      <c r="T32" s="243">
        <v>0</v>
      </c>
      <c r="U32" s="243">
        <v>0</v>
      </c>
      <c r="V32" s="243">
        <v>0</v>
      </c>
      <c r="W32" s="243">
        <v>0</v>
      </c>
      <c r="X32" s="256">
        <v>0</v>
      </c>
      <c r="Y32" s="253"/>
      <c r="Z32" s="254">
        <v>245582.42499999999</v>
      </c>
      <c r="AA32" s="254">
        <v>469606.2927017039</v>
      </c>
      <c r="AB32" s="254">
        <v>484229.78399257042</v>
      </c>
      <c r="AC32" s="254">
        <v>0</v>
      </c>
      <c r="AD32" s="254">
        <v>0</v>
      </c>
      <c r="AE32" s="254">
        <v>0</v>
      </c>
      <c r="AF32" s="254">
        <v>0</v>
      </c>
      <c r="AG32" s="254">
        <v>0</v>
      </c>
      <c r="AH32" s="254">
        <v>0</v>
      </c>
      <c r="AI32" s="254">
        <v>0</v>
      </c>
      <c r="AJ32" s="254">
        <v>0</v>
      </c>
      <c r="AK32" s="254">
        <v>0</v>
      </c>
      <c r="AL32" s="254">
        <v>0</v>
      </c>
      <c r="AM32" s="254">
        <v>0</v>
      </c>
      <c r="AN32" s="254">
        <v>0</v>
      </c>
      <c r="AO32" s="254">
        <v>0</v>
      </c>
      <c r="AP32" s="254">
        <v>0</v>
      </c>
      <c r="AQ32" s="254">
        <v>0</v>
      </c>
      <c r="AR32" s="254">
        <v>0</v>
      </c>
      <c r="AS32" s="254">
        <v>0</v>
      </c>
      <c r="AT32" s="254">
        <v>0</v>
      </c>
      <c r="AU32" s="254">
        <v>0</v>
      </c>
      <c r="AV32" s="254">
        <v>0</v>
      </c>
      <c r="AW32" s="254">
        <v>0</v>
      </c>
      <c r="AX32" s="256">
        <v>1199418.5016942744</v>
      </c>
      <c r="AZ32" s="254">
        <f ca="1"/>
        <v>6250</v>
      </c>
      <c r="BA32" s="254">
        <f ca="1"/>
        <v>3750</v>
      </c>
      <c r="BB32" s="254">
        <f ca="1"/>
        <v>0</v>
      </c>
      <c r="BC32" s="254">
        <f ca="1"/>
        <v>0</v>
      </c>
      <c r="BD32" s="256">
        <f ca="1"/>
        <v>10000</v>
      </c>
      <c r="BF32" s="254">
        <v>25000</v>
      </c>
      <c r="BG32" s="254">
        <v>4166.666666666667</v>
      </c>
      <c r="BH32" s="254">
        <v>833.33333333333337</v>
      </c>
      <c r="BI32" s="254">
        <v>0</v>
      </c>
      <c r="BJ32" s="243">
        <v>0</v>
      </c>
      <c r="BK32" s="254">
        <v>0</v>
      </c>
      <c r="BL32" s="256">
        <v>30000</v>
      </c>
      <c r="BM32" s="46"/>
      <c r="BN32" s="256">
        <f ca="1"/>
        <v>1239418.5016942744</v>
      </c>
      <c r="BP32" s="248">
        <f ca="1"/>
        <v>-1239418.5016942744</v>
      </c>
      <c r="BR32" s="248">
        <f ca="1"/>
        <v>-1239418.5016942744</v>
      </c>
      <c r="BT32" s="248">
        <f ca="1"/>
        <v>-1239418.5016942744</v>
      </c>
      <c r="BU32" s="248">
        <f ca="1"/>
        <v>0</v>
      </c>
    </row>
    <row r="33" spans="1:73" ht="15" customHeight="1" thickTop="1" thickBot="1">
      <c r="A33" s="1">
        <v>3</v>
      </c>
      <c r="B33" s="1">
        <f t="shared" si="4"/>
        <v>1</v>
      </c>
      <c r="D33" s="98">
        <v>25</v>
      </c>
      <c r="E33" s="239">
        <v>46023</v>
      </c>
      <c r="F33" s="243">
        <v>0</v>
      </c>
      <c r="G33" s="243">
        <v>0</v>
      </c>
      <c r="H33" s="243">
        <v>0</v>
      </c>
      <c r="I33" s="243">
        <v>0</v>
      </c>
      <c r="J33" s="243">
        <v>0</v>
      </c>
      <c r="K33" s="243">
        <v>0</v>
      </c>
      <c r="L33" s="366">
        <v>0</v>
      </c>
      <c r="M33" s="46"/>
      <c r="N33" s="243">
        <v>0</v>
      </c>
      <c r="O33" s="243">
        <v>0</v>
      </c>
      <c r="P33" s="243">
        <v>0</v>
      </c>
      <c r="Q33" s="243">
        <v>0</v>
      </c>
      <c r="R33" s="243">
        <v>0</v>
      </c>
      <c r="S33" s="243">
        <v>0</v>
      </c>
      <c r="T33" s="243">
        <v>0</v>
      </c>
      <c r="U33" s="243">
        <v>0</v>
      </c>
      <c r="V33" s="243">
        <v>0</v>
      </c>
      <c r="W33" s="243">
        <v>0</v>
      </c>
      <c r="X33" s="256">
        <v>0</v>
      </c>
      <c r="Y33" s="253"/>
      <c r="Z33" s="254">
        <v>245582.42499999999</v>
      </c>
      <c r="AA33" s="254">
        <v>469606.2927017039</v>
      </c>
      <c r="AB33" s="254">
        <v>484229.78399257042</v>
      </c>
      <c r="AC33" s="254">
        <v>0</v>
      </c>
      <c r="AD33" s="254">
        <v>0</v>
      </c>
      <c r="AE33" s="254">
        <v>0</v>
      </c>
      <c r="AF33" s="254">
        <v>0</v>
      </c>
      <c r="AG33" s="254">
        <v>0</v>
      </c>
      <c r="AH33" s="254">
        <v>0</v>
      </c>
      <c r="AI33" s="254">
        <v>0</v>
      </c>
      <c r="AJ33" s="254">
        <v>0</v>
      </c>
      <c r="AK33" s="254">
        <v>0</v>
      </c>
      <c r="AL33" s="254">
        <v>0</v>
      </c>
      <c r="AM33" s="254">
        <v>0</v>
      </c>
      <c r="AN33" s="254">
        <v>0</v>
      </c>
      <c r="AO33" s="254">
        <v>0</v>
      </c>
      <c r="AP33" s="254">
        <v>0</v>
      </c>
      <c r="AQ33" s="254">
        <v>0</v>
      </c>
      <c r="AR33" s="254">
        <v>0</v>
      </c>
      <c r="AS33" s="254">
        <v>0</v>
      </c>
      <c r="AT33" s="254">
        <v>0</v>
      </c>
      <c r="AU33" s="254">
        <v>0</v>
      </c>
      <c r="AV33" s="254">
        <v>0</v>
      </c>
      <c r="AW33" s="254">
        <v>0</v>
      </c>
      <c r="AX33" s="256">
        <v>1199418.5016942744</v>
      </c>
      <c r="AZ33" s="254">
        <f ca="1"/>
        <v>6250</v>
      </c>
      <c r="BA33" s="254">
        <f ca="1"/>
        <v>3750</v>
      </c>
      <c r="BB33" s="254">
        <f ca="1"/>
        <v>0</v>
      </c>
      <c r="BC33" s="254">
        <f ca="1"/>
        <v>0</v>
      </c>
      <c r="BD33" s="256">
        <f ca="1"/>
        <v>10000</v>
      </c>
      <c r="BF33" s="254">
        <v>25000</v>
      </c>
      <c r="BG33" s="254">
        <v>4166.666666666667</v>
      </c>
      <c r="BH33" s="254">
        <v>833.33333333333337</v>
      </c>
      <c r="BI33" s="254">
        <v>0</v>
      </c>
      <c r="BJ33" s="243">
        <v>0</v>
      </c>
      <c r="BK33" s="254">
        <v>0</v>
      </c>
      <c r="BL33" s="256">
        <v>30000</v>
      </c>
      <c r="BM33" s="46"/>
      <c r="BN33" s="256">
        <f ca="1"/>
        <v>1239418.5016942744</v>
      </c>
      <c r="BP33" s="248">
        <f ca="1"/>
        <v>-1239418.5016942744</v>
      </c>
      <c r="BR33" s="248">
        <f ca="1"/>
        <v>-1239418.5016942744</v>
      </c>
      <c r="BT33" s="248">
        <f ca="1"/>
        <v>-1239418.5016942744</v>
      </c>
      <c r="BU33" s="248">
        <f ca="1"/>
        <v>0</v>
      </c>
    </row>
    <row r="34" spans="1:73" ht="15" customHeight="1" thickTop="1" thickBot="1">
      <c r="A34" s="1">
        <v>3</v>
      </c>
      <c r="B34" s="1">
        <f t="shared" si="4"/>
        <v>1</v>
      </c>
      <c r="D34" s="98">
        <v>26</v>
      </c>
      <c r="E34" s="239">
        <v>46054</v>
      </c>
      <c r="F34" s="243">
        <v>42012777.110280663</v>
      </c>
      <c r="G34" s="243">
        <v>12085235.914868301</v>
      </c>
      <c r="H34" s="243">
        <v>-22756920.934735361</v>
      </c>
      <c r="I34" s="243">
        <v>31341092.090413608</v>
      </c>
      <c r="J34" s="243">
        <v>-940232.76271240832</v>
      </c>
      <c r="K34" s="243">
        <v>-313410.92090413609</v>
      </c>
      <c r="L34" s="366">
        <v>30087448.406797066</v>
      </c>
      <c r="M34" s="46"/>
      <c r="N34" s="243">
        <v>0</v>
      </c>
      <c r="O34" s="243">
        <v>0</v>
      </c>
      <c r="P34" s="243">
        <v>0</v>
      </c>
      <c r="Q34" s="243">
        <v>0</v>
      </c>
      <c r="R34" s="243">
        <v>0</v>
      </c>
      <c r="S34" s="243">
        <v>0</v>
      </c>
      <c r="T34" s="243">
        <v>0</v>
      </c>
      <c r="U34" s="243">
        <v>0</v>
      </c>
      <c r="V34" s="243">
        <v>0</v>
      </c>
      <c r="W34" s="243">
        <v>0</v>
      </c>
      <c r="X34" s="256">
        <v>0</v>
      </c>
      <c r="Y34" s="253"/>
      <c r="Z34" s="254">
        <v>0</v>
      </c>
      <c r="AA34" s="254">
        <v>469606.2927017039</v>
      </c>
      <c r="AB34" s="254">
        <v>484229.78399257042</v>
      </c>
      <c r="AC34" s="254">
        <v>0</v>
      </c>
      <c r="AD34" s="254">
        <v>0</v>
      </c>
      <c r="AE34" s="254">
        <v>0</v>
      </c>
      <c r="AF34" s="254">
        <v>0</v>
      </c>
      <c r="AG34" s="254">
        <v>0</v>
      </c>
      <c r="AH34" s="254">
        <v>0</v>
      </c>
      <c r="AI34" s="254">
        <v>0</v>
      </c>
      <c r="AJ34" s="254">
        <v>0</v>
      </c>
      <c r="AK34" s="254">
        <v>0</v>
      </c>
      <c r="AL34" s="254">
        <v>0</v>
      </c>
      <c r="AM34" s="254">
        <v>0</v>
      </c>
      <c r="AN34" s="254">
        <v>0</v>
      </c>
      <c r="AO34" s="254">
        <v>0</v>
      </c>
      <c r="AP34" s="254">
        <v>0</v>
      </c>
      <c r="AQ34" s="254">
        <v>0</v>
      </c>
      <c r="AR34" s="254">
        <v>0</v>
      </c>
      <c r="AS34" s="254">
        <v>0</v>
      </c>
      <c r="AT34" s="254">
        <v>0</v>
      </c>
      <c r="AU34" s="254">
        <v>0</v>
      </c>
      <c r="AV34" s="254">
        <v>0</v>
      </c>
      <c r="AW34" s="254">
        <v>0</v>
      </c>
      <c r="AX34" s="256">
        <v>953836.07669427432</v>
      </c>
      <c r="AZ34" s="254">
        <f ca="1"/>
        <v>5816.666666666667</v>
      </c>
      <c r="BA34" s="254">
        <f ca="1"/>
        <v>3490</v>
      </c>
      <c r="BB34" s="254">
        <f ca="1"/>
        <v>0</v>
      </c>
      <c r="BC34" s="254">
        <f ca="1"/>
        <v>0</v>
      </c>
      <c r="BD34" s="256">
        <f ca="1"/>
        <v>9306.6666666666679</v>
      </c>
      <c r="BF34" s="254">
        <v>25000</v>
      </c>
      <c r="BG34" s="254">
        <v>4166.666666666667</v>
      </c>
      <c r="BH34" s="254">
        <v>833.33333333333337</v>
      </c>
      <c r="BI34" s="254">
        <v>0</v>
      </c>
      <c r="BJ34" s="243">
        <v>0</v>
      </c>
      <c r="BK34" s="254">
        <v>313410.92090413609</v>
      </c>
      <c r="BL34" s="256">
        <v>343410.92090413609</v>
      </c>
      <c r="BM34" s="46"/>
      <c r="BN34" s="256">
        <f ca="1"/>
        <v>1306553.6642650771</v>
      </c>
      <c r="BP34" s="248">
        <f ca="1"/>
        <v>28780894.742531989</v>
      </c>
      <c r="BR34" s="248">
        <f ca="1"/>
        <v>28780894.742531989</v>
      </c>
      <c r="BT34" s="248">
        <f ca="1"/>
        <v>0</v>
      </c>
      <c r="BU34" s="248">
        <f ca="1"/>
        <v>28780894.742531989</v>
      </c>
    </row>
    <row r="35" spans="1:73" ht="15" customHeight="1" thickTop="1" thickBot="1">
      <c r="A35" s="1">
        <v>3</v>
      </c>
      <c r="B35" s="1">
        <f t="shared" si="4"/>
        <v>1</v>
      </c>
      <c r="D35" s="98">
        <v>27</v>
      </c>
      <c r="E35" s="239">
        <v>46082</v>
      </c>
      <c r="F35" s="243">
        <v>0</v>
      </c>
      <c r="G35" s="243">
        <v>0</v>
      </c>
      <c r="H35" s="243">
        <v>0</v>
      </c>
      <c r="I35" s="243">
        <v>0</v>
      </c>
      <c r="J35" s="243">
        <v>0</v>
      </c>
      <c r="K35" s="243">
        <v>0</v>
      </c>
      <c r="L35" s="366">
        <v>0</v>
      </c>
      <c r="M35" s="46"/>
      <c r="N35" s="243">
        <v>0</v>
      </c>
      <c r="O35" s="243">
        <v>0</v>
      </c>
      <c r="P35" s="243">
        <v>0</v>
      </c>
      <c r="Q35" s="243">
        <v>0</v>
      </c>
      <c r="R35" s="243">
        <v>0</v>
      </c>
      <c r="S35" s="243">
        <v>0</v>
      </c>
      <c r="T35" s="243">
        <v>0</v>
      </c>
      <c r="U35" s="243">
        <v>0</v>
      </c>
      <c r="V35" s="243">
        <v>0</v>
      </c>
      <c r="W35" s="243">
        <v>0</v>
      </c>
      <c r="X35" s="256">
        <v>0</v>
      </c>
      <c r="Y35" s="253"/>
      <c r="Z35" s="254">
        <v>0</v>
      </c>
      <c r="AA35" s="254">
        <v>469606.2927017039</v>
      </c>
      <c r="AB35" s="254">
        <v>484229.78399257042</v>
      </c>
      <c r="AC35" s="254">
        <v>0</v>
      </c>
      <c r="AD35" s="254">
        <v>0</v>
      </c>
      <c r="AE35" s="254">
        <v>0</v>
      </c>
      <c r="AF35" s="254">
        <v>0</v>
      </c>
      <c r="AG35" s="254">
        <v>0</v>
      </c>
      <c r="AH35" s="254">
        <v>0</v>
      </c>
      <c r="AI35" s="254">
        <v>0</v>
      </c>
      <c r="AJ35" s="254">
        <v>0</v>
      </c>
      <c r="AK35" s="254">
        <v>0</v>
      </c>
      <c r="AL35" s="254">
        <v>0</v>
      </c>
      <c r="AM35" s="254">
        <v>0</v>
      </c>
      <c r="AN35" s="254">
        <v>0</v>
      </c>
      <c r="AO35" s="254">
        <v>0</v>
      </c>
      <c r="AP35" s="254">
        <v>0</v>
      </c>
      <c r="AQ35" s="254">
        <v>0</v>
      </c>
      <c r="AR35" s="254">
        <v>0</v>
      </c>
      <c r="AS35" s="254">
        <v>0</v>
      </c>
      <c r="AT35" s="254">
        <v>0</v>
      </c>
      <c r="AU35" s="254">
        <v>0</v>
      </c>
      <c r="AV35" s="254">
        <v>0</v>
      </c>
      <c r="AW35" s="254">
        <v>0</v>
      </c>
      <c r="AX35" s="256">
        <v>953836.07669427432</v>
      </c>
      <c r="AZ35" s="254">
        <f ca="1"/>
        <v>5816.666666666667</v>
      </c>
      <c r="BA35" s="254">
        <f ca="1"/>
        <v>3490</v>
      </c>
      <c r="BB35" s="254">
        <f ca="1"/>
        <v>0</v>
      </c>
      <c r="BC35" s="254">
        <f ca="1"/>
        <v>0</v>
      </c>
      <c r="BD35" s="256">
        <f ca="1"/>
        <v>9306.6666666666679</v>
      </c>
      <c r="BF35" s="254">
        <v>25000</v>
      </c>
      <c r="BG35" s="254">
        <v>4166.666666666667</v>
      </c>
      <c r="BH35" s="254">
        <v>833.33333333333337</v>
      </c>
      <c r="BI35" s="254">
        <v>0</v>
      </c>
      <c r="BJ35" s="243">
        <v>0</v>
      </c>
      <c r="BK35" s="254">
        <v>0</v>
      </c>
      <c r="BL35" s="256">
        <v>30000</v>
      </c>
      <c r="BM35" s="46"/>
      <c r="BN35" s="256">
        <f ca="1"/>
        <v>993142.74336094095</v>
      </c>
      <c r="BP35" s="248">
        <f ca="1"/>
        <v>-993142.74336094095</v>
      </c>
      <c r="BR35" s="248">
        <f ca="1"/>
        <v>-993142.74336094095</v>
      </c>
      <c r="BT35" s="248">
        <f ca="1"/>
        <v>-993142.74336094095</v>
      </c>
      <c r="BU35" s="248">
        <f ca="1"/>
        <v>0</v>
      </c>
    </row>
    <row r="36" spans="1:73" ht="15" customHeight="1" thickTop="1" thickBot="1">
      <c r="A36" s="1">
        <v>3</v>
      </c>
      <c r="B36" s="1">
        <f t="shared" si="4"/>
        <v>1</v>
      </c>
      <c r="D36" s="98">
        <v>28</v>
      </c>
      <c r="E36" s="239">
        <v>46113</v>
      </c>
      <c r="F36" s="243">
        <v>0</v>
      </c>
      <c r="G36" s="243">
        <v>0</v>
      </c>
      <c r="H36" s="243">
        <v>0</v>
      </c>
      <c r="I36" s="243">
        <v>0</v>
      </c>
      <c r="J36" s="243">
        <v>0</v>
      </c>
      <c r="K36" s="243">
        <v>0</v>
      </c>
      <c r="L36" s="366">
        <v>0</v>
      </c>
      <c r="M36" s="46"/>
      <c r="N36" s="243">
        <v>0</v>
      </c>
      <c r="O36" s="243">
        <v>0</v>
      </c>
      <c r="P36" s="243">
        <v>0</v>
      </c>
      <c r="Q36" s="243">
        <v>0</v>
      </c>
      <c r="R36" s="243">
        <v>0</v>
      </c>
      <c r="S36" s="243">
        <v>0</v>
      </c>
      <c r="T36" s="243">
        <v>0</v>
      </c>
      <c r="U36" s="243">
        <v>0</v>
      </c>
      <c r="V36" s="243">
        <v>0</v>
      </c>
      <c r="W36" s="243">
        <v>0</v>
      </c>
      <c r="X36" s="256">
        <v>0</v>
      </c>
      <c r="Y36" s="253"/>
      <c r="Z36" s="254">
        <v>0</v>
      </c>
      <c r="AA36" s="254">
        <v>469606.2927017039</v>
      </c>
      <c r="AB36" s="254">
        <v>484229.78399257042</v>
      </c>
      <c r="AC36" s="254">
        <v>0</v>
      </c>
      <c r="AD36" s="254">
        <v>0</v>
      </c>
      <c r="AE36" s="254">
        <v>0</v>
      </c>
      <c r="AF36" s="254">
        <v>0</v>
      </c>
      <c r="AG36" s="254">
        <v>0</v>
      </c>
      <c r="AH36" s="254">
        <v>0</v>
      </c>
      <c r="AI36" s="254">
        <v>0</v>
      </c>
      <c r="AJ36" s="254">
        <v>0</v>
      </c>
      <c r="AK36" s="254">
        <v>0</v>
      </c>
      <c r="AL36" s="254">
        <v>0</v>
      </c>
      <c r="AM36" s="254">
        <v>0</v>
      </c>
      <c r="AN36" s="254">
        <v>0</v>
      </c>
      <c r="AO36" s="254">
        <v>0</v>
      </c>
      <c r="AP36" s="254">
        <v>0</v>
      </c>
      <c r="AQ36" s="254">
        <v>0</v>
      </c>
      <c r="AR36" s="254">
        <v>0</v>
      </c>
      <c r="AS36" s="254">
        <v>0</v>
      </c>
      <c r="AT36" s="254">
        <v>0</v>
      </c>
      <c r="AU36" s="254">
        <v>0</v>
      </c>
      <c r="AV36" s="254">
        <v>0</v>
      </c>
      <c r="AW36" s="254">
        <v>0</v>
      </c>
      <c r="AX36" s="256">
        <v>953836.07669427432</v>
      </c>
      <c r="AZ36" s="254">
        <f ca="1"/>
        <v>5816.666666666667</v>
      </c>
      <c r="BA36" s="254">
        <f ca="1"/>
        <v>3490</v>
      </c>
      <c r="BB36" s="254">
        <f ca="1"/>
        <v>0</v>
      </c>
      <c r="BC36" s="254">
        <f ca="1"/>
        <v>0</v>
      </c>
      <c r="BD36" s="256">
        <f ca="1"/>
        <v>9306.6666666666679</v>
      </c>
      <c r="BF36" s="254">
        <v>25000</v>
      </c>
      <c r="BG36" s="254">
        <v>4166.666666666667</v>
      </c>
      <c r="BH36" s="254">
        <v>833.33333333333337</v>
      </c>
      <c r="BI36" s="254">
        <v>0</v>
      </c>
      <c r="BJ36" s="243">
        <v>0</v>
      </c>
      <c r="BK36" s="254">
        <v>0</v>
      </c>
      <c r="BL36" s="256">
        <v>30000</v>
      </c>
      <c r="BM36" s="46"/>
      <c r="BN36" s="256">
        <f ca="1"/>
        <v>993142.74336094095</v>
      </c>
      <c r="BP36" s="248">
        <f ca="1"/>
        <v>-993142.74336094095</v>
      </c>
      <c r="BR36" s="248">
        <f ca="1"/>
        <v>-993142.74336094095</v>
      </c>
      <c r="BT36" s="248">
        <f ca="1"/>
        <v>-993142.74336094095</v>
      </c>
      <c r="BU36" s="248">
        <f ca="1"/>
        <v>0</v>
      </c>
    </row>
    <row r="37" spans="1:73" ht="15" customHeight="1" thickTop="1" thickBot="1">
      <c r="A37" s="1">
        <v>3</v>
      </c>
      <c r="B37" s="1">
        <f t="shared" si="4"/>
        <v>1</v>
      </c>
      <c r="D37" s="98">
        <v>29</v>
      </c>
      <c r="E37" s="239">
        <v>46143</v>
      </c>
      <c r="F37" s="243">
        <v>0</v>
      </c>
      <c r="G37" s="243">
        <v>0</v>
      </c>
      <c r="H37" s="243">
        <v>0</v>
      </c>
      <c r="I37" s="243">
        <v>0</v>
      </c>
      <c r="J37" s="243">
        <v>0</v>
      </c>
      <c r="K37" s="243">
        <v>0</v>
      </c>
      <c r="L37" s="366">
        <v>0</v>
      </c>
      <c r="M37" s="46"/>
      <c r="N37" s="243">
        <v>0</v>
      </c>
      <c r="O37" s="243">
        <v>0</v>
      </c>
      <c r="P37" s="243">
        <v>0</v>
      </c>
      <c r="Q37" s="243">
        <v>0</v>
      </c>
      <c r="R37" s="243">
        <v>0</v>
      </c>
      <c r="S37" s="243">
        <v>0</v>
      </c>
      <c r="T37" s="243">
        <v>0</v>
      </c>
      <c r="U37" s="243">
        <v>0</v>
      </c>
      <c r="V37" s="243">
        <v>0</v>
      </c>
      <c r="W37" s="243">
        <v>0</v>
      </c>
      <c r="X37" s="256">
        <v>0</v>
      </c>
      <c r="Y37" s="253"/>
      <c r="Z37" s="254">
        <v>0</v>
      </c>
      <c r="AA37" s="254">
        <v>469606.2927017039</v>
      </c>
      <c r="AB37" s="254">
        <v>484229.78399257042</v>
      </c>
      <c r="AC37" s="254">
        <v>0</v>
      </c>
      <c r="AD37" s="254">
        <v>0</v>
      </c>
      <c r="AE37" s="254">
        <v>0</v>
      </c>
      <c r="AF37" s="254">
        <v>0</v>
      </c>
      <c r="AG37" s="254">
        <v>0</v>
      </c>
      <c r="AH37" s="254">
        <v>0</v>
      </c>
      <c r="AI37" s="254">
        <v>0</v>
      </c>
      <c r="AJ37" s="254">
        <v>0</v>
      </c>
      <c r="AK37" s="254">
        <v>0</v>
      </c>
      <c r="AL37" s="254">
        <v>0</v>
      </c>
      <c r="AM37" s="254">
        <v>0</v>
      </c>
      <c r="AN37" s="254">
        <v>0</v>
      </c>
      <c r="AO37" s="254">
        <v>0</v>
      </c>
      <c r="AP37" s="254">
        <v>0</v>
      </c>
      <c r="AQ37" s="254">
        <v>0</v>
      </c>
      <c r="AR37" s="254">
        <v>0</v>
      </c>
      <c r="AS37" s="254">
        <v>0</v>
      </c>
      <c r="AT37" s="254">
        <v>0</v>
      </c>
      <c r="AU37" s="254">
        <v>0</v>
      </c>
      <c r="AV37" s="254">
        <v>0</v>
      </c>
      <c r="AW37" s="254">
        <v>0</v>
      </c>
      <c r="AX37" s="256">
        <v>953836.07669427432</v>
      </c>
      <c r="AZ37" s="254">
        <f ca="1"/>
        <v>5816.666666666667</v>
      </c>
      <c r="BA37" s="254">
        <f ca="1"/>
        <v>3490</v>
      </c>
      <c r="BB37" s="254">
        <f ca="1"/>
        <v>0</v>
      </c>
      <c r="BC37" s="254">
        <f ca="1"/>
        <v>0</v>
      </c>
      <c r="BD37" s="256">
        <f ca="1"/>
        <v>9306.6666666666679</v>
      </c>
      <c r="BF37" s="254">
        <v>25000</v>
      </c>
      <c r="BG37" s="254">
        <v>4166.666666666667</v>
      </c>
      <c r="BH37" s="254">
        <v>833.33333333333337</v>
      </c>
      <c r="BI37" s="254">
        <v>0</v>
      </c>
      <c r="BJ37" s="243">
        <v>0</v>
      </c>
      <c r="BK37" s="254">
        <v>0</v>
      </c>
      <c r="BL37" s="256">
        <v>30000</v>
      </c>
      <c r="BM37" s="46"/>
      <c r="BN37" s="256">
        <f ca="1"/>
        <v>993142.74336094095</v>
      </c>
      <c r="BP37" s="248">
        <f ca="1"/>
        <v>-993142.74336094095</v>
      </c>
      <c r="BR37" s="248">
        <f ca="1"/>
        <v>-993142.74336094095</v>
      </c>
      <c r="BT37" s="248">
        <f ca="1"/>
        <v>-993142.74336094095</v>
      </c>
      <c r="BU37" s="248">
        <f ca="1"/>
        <v>0</v>
      </c>
    </row>
    <row r="38" spans="1:73" ht="15" customHeight="1" thickTop="1" thickBot="1">
      <c r="A38" s="1">
        <v>3</v>
      </c>
      <c r="B38" s="1">
        <f t="shared" si="4"/>
        <v>1</v>
      </c>
      <c r="D38" s="98">
        <v>30</v>
      </c>
      <c r="E38" s="239">
        <v>46174</v>
      </c>
      <c r="F38" s="243">
        <v>0</v>
      </c>
      <c r="G38" s="243">
        <v>0</v>
      </c>
      <c r="H38" s="243">
        <v>0</v>
      </c>
      <c r="I38" s="243">
        <v>0</v>
      </c>
      <c r="J38" s="243">
        <v>0</v>
      </c>
      <c r="K38" s="243">
        <v>0</v>
      </c>
      <c r="L38" s="366">
        <v>0</v>
      </c>
      <c r="M38" s="46"/>
      <c r="N38" s="243">
        <v>0</v>
      </c>
      <c r="O38" s="243">
        <v>0</v>
      </c>
      <c r="P38" s="243">
        <v>0</v>
      </c>
      <c r="Q38" s="243">
        <v>0</v>
      </c>
      <c r="R38" s="243">
        <v>0</v>
      </c>
      <c r="S38" s="243">
        <v>0</v>
      </c>
      <c r="T38" s="243">
        <v>0</v>
      </c>
      <c r="U38" s="243">
        <v>0</v>
      </c>
      <c r="V38" s="243">
        <v>0</v>
      </c>
      <c r="W38" s="243">
        <v>0</v>
      </c>
      <c r="X38" s="256">
        <v>0</v>
      </c>
      <c r="Y38" s="253"/>
      <c r="Z38" s="254">
        <v>0</v>
      </c>
      <c r="AA38" s="254">
        <v>469606.2927017039</v>
      </c>
      <c r="AB38" s="254">
        <v>484229.78399257042</v>
      </c>
      <c r="AC38" s="254">
        <v>0</v>
      </c>
      <c r="AD38" s="254">
        <v>0</v>
      </c>
      <c r="AE38" s="254">
        <v>0</v>
      </c>
      <c r="AF38" s="254">
        <v>0</v>
      </c>
      <c r="AG38" s="254">
        <v>0</v>
      </c>
      <c r="AH38" s="254">
        <v>0</v>
      </c>
      <c r="AI38" s="254">
        <v>0</v>
      </c>
      <c r="AJ38" s="254">
        <v>0</v>
      </c>
      <c r="AK38" s="254">
        <v>0</v>
      </c>
      <c r="AL38" s="254">
        <v>0</v>
      </c>
      <c r="AM38" s="254">
        <v>0</v>
      </c>
      <c r="AN38" s="254">
        <v>0</v>
      </c>
      <c r="AO38" s="254">
        <v>0</v>
      </c>
      <c r="AP38" s="254">
        <v>0</v>
      </c>
      <c r="AQ38" s="254">
        <v>0</v>
      </c>
      <c r="AR38" s="254">
        <v>0</v>
      </c>
      <c r="AS38" s="254">
        <v>0</v>
      </c>
      <c r="AT38" s="254">
        <v>0</v>
      </c>
      <c r="AU38" s="254">
        <v>0</v>
      </c>
      <c r="AV38" s="254">
        <v>0</v>
      </c>
      <c r="AW38" s="254">
        <v>0</v>
      </c>
      <c r="AX38" s="256">
        <v>953836.07669427432</v>
      </c>
      <c r="AZ38" s="254">
        <f ca="1"/>
        <v>5816.666666666667</v>
      </c>
      <c r="BA38" s="254">
        <f ca="1"/>
        <v>3490</v>
      </c>
      <c r="BB38" s="254">
        <f ca="1"/>
        <v>0</v>
      </c>
      <c r="BC38" s="254">
        <f ca="1"/>
        <v>0</v>
      </c>
      <c r="BD38" s="256">
        <f ca="1"/>
        <v>9306.6666666666679</v>
      </c>
      <c r="BF38" s="254">
        <v>25000</v>
      </c>
      <c r="BG38" s="254">
        <v>4166.666666666667</v>
      </c>
      <c r="BH38" s="254">
        <v>833.33333333333337</v>
      </c>
      <c r="BI38" s="254">
        <v>0</v>
      </c>
      <c r="BJ38" s="243">
        <v>0</v>
      </c>
      <c r="BK38" s="254">
        <v>0</v>
      </c>
      <c r="BL38" s="256">
        <v>30000</v>
      </c>
      <c r="BM38" s="46"/>
      <c r="BN38" s="256">
        <f ca="1"/>
        <v>993142.74336094095</v>
      </c>
      <c r="BP38" s="248">
        <f ca="1"/>
        <v>-993142.74336094095</v>
      </c>
      <c r="BR38" s="248">
        <f ca="1"/>
        <v>-993142.74336094095</v>
      </c>
      <c r="BT38" s="248">
        <f ca="1"/>
        <v>-993142.74336094095</v>
      </c>
      <c r="BU38" s="248">
        <f ca="1"/>
        <v>0</v>
      </c>
    </row>
    <row r="39" spans="1:73" ht="15" customHeight="1" thickTop="1" thickBot="1">
      <c r="A39" s="1">
        <v>3</v>
      </c>
      <c r="B39" s="1">
        <f t="shared" si="4"/>
        <v>1</v>
      </c>
      <c r="D39" s="98">
        <v>31</v>
      </c>
      <c r="E39" s="239">
        <v>46204</v>
      </c>
      <c r="F39" s="243">
        <v>0</v>
      </c>
      <c r="G39" s="243">
        <v>0</v>
      </c>
      <c r="H39" s="243">
        <v>0</v>
      </c>
      <c r="I39" s="243">
        <v>0</v>
      </c>
      <c r="J39" s="243">
        <v>0</v>
      </c>
      <c r="K39" s="243">
        <v>0</v>
      </c>
      <c r="L39" s="366">
        <v>0</v>
      </c>
      <c r="M39" s="46"/>
      <c r="N39" s="243">
        <v>0</v>
      </c>
      <c r="O39" s="243">
        <v>0</v>
      </c>
      <c r="P39" s="243">
        <v>0</v>
      </c>
      <c r="Q39" s="243">
        <v>0</v>
      </c>
      <c r="R39" s="243">
        <v>0</v>
      </c>
      <c r="S39" s="243">
        <v>0</v>
      </c>
      <c r="T39" s="243">
        <v>0</v>
      </c>
      <c r="U39" s="243">
        <v>0</v>
      </c>
      <c r="V39" s="243">
        <v>0</v>
      </c>
      <c r="W39" s="243">
        <v>0</v>
      </c>
      <c r="X39" s="256">
        <v>0</v>
      </c>
      <c r="Y39" s="253"/>
      <c r="Z39" s="254">
        <v>0</v>
      </c>
      <c r="AA39" s="254">
        <v>469606.2927017039</v>
      </c>
      <c r="AB39" s="254">
        <v>484229.78399257042</v>
      </c>
      <c r="AC39" s="254">
        <v>0</v>
      </c>
      <c r="AD39" s="254">
        <v>0</v>
      </c>
      <c r="AE39" s="254">
        <v>0</v>
      </c>
      <c r="AF39" s="254">
        <v>0</v>
      </c>
      <c r="AG39" s="254">
        <v>0</v>
      </c>
      <c r="AH39" s="254">
        <v>0</v>
      </c>
      <c r="AI39" s="254">
        <v>0</v>
      </c>
      <c r="AJ39" s="254">
        <v>0</v>
      </c>
      <c r="AK39" s="254">
        <v>0</v>
      </c>
      <c r="AL39" s="254">
        <v>0</v>
      </c>
      <c r="AM39" s="254">
        <v>0</v>
      </c>
      <c r="AN39" s="254">
        <v>0</v>
      </c>
      <c r="AO39" s="254">
        <v>0</v>
      </c>
      <c r="AP39" s="254">
        <v>0</v>
      </c>
      <c r="AQ39" s="254">
        <v>0</v>
      </c>
      <c r="AR39" s="254">
        <v>0</v>
      </c>
      <c r="AS39" s="254">
        <v>0</v>
      </c>
      <c r="AT39" s="254">
        <v>0</v>
      </c>
      <c r="AU39" s="254">
        <v>0</v>
      </c>
      <c r="AV39" s="254">
        <v>0</v>
      </c>
      <c r="AW39" s="254">
        <v>0</v>
      </c>
      <c r="AX39" s="256">
        <v>953836.07669427432</v>
      </c>
      <c r="AZ39" s="254">
        <f ca="1"/>
        <v>5816.666666666667</v>
      </c>
      <c r="BA39" s="254">
        <f ca="1"/>
        <v>3490</v>
      </c>
      <c r="BB39" s="254">
        <f ca="1"/>
        <v>0</v>
      </c>
      <c r="BC39" s="254">
        <f ca="1"/>
        <v>0</v>
      </c>
      <c r="BD39" s="256">
        <f ca="1"/>
        <v>9306.6666666666679</v>
      </c>
      <c r="BF39" s="254">
        <v>25000</v>
      </c>
      <c r="BG39" s="254">
        <v>4166.666666666667</v>
      </c>
      <c r="BH39" s="254">
        <v>833.33333333333337</v>
      </c>
      <c r="BI39" s="254">
        <v>0</v>
      </c>
      <c r="BJ39" s="243">
        <v>0</v>
      </c>
      <c r="BK39" s="254">
        <v>0</v>
      </c>
      <c r="BL39" s="256">
        <v>30000</v>
      </c>
      <c r="BM39" s="46"/>
      <c r="BN39" s="256">
        <f ca="1"/>
        <v>993142.74336094095</v>
      </c>
      <c r="BP39" s="248">
        <f ca="1"/>
        <v>-993142.74336094095</v>
      </c>
      <c r="BR39" s="248">
        <f ca="1"/>
        <v>-993142.74336094095</v>
      </c>
      <c r="BT39" s="248">
        <f ca="1"/>
        <v>-993142.74336094095</v>
      </c>
      <c r="BU39" s="248">
        <f ca="1"/>
        <v>0</v>
      </c>
    </row>
    <row r="40" spans="1:73" ht="15" customHeight="1" thickTop="1" thickBot="1">
      <c r="A40" s="1">
        <v>3</v>
      </c>
      <c r="B40" s="1">
        <f t="shared" si="4"/>
        <v>1</v>
      </c>
      <c r="D40" s="98">
        <v>32</v>
      </c>
      <c r="E40" s="239">
        <v>46235</v>
      </c>
      <c r="F40" s="243">
        <v>0</v>
      </c>
      <c r="G40" s="243">
        <v>0</v>
      </c>
      <c r="H40" s="243">
        <v>0</v>
      </c>
      <c r="I40" s="243">
        <v>0</v>
      </c>
      <c r="J40" s="243">
        <v>0</v>
      </c>
      <c r="K40" s="243">
        <v>0</v>
      </c>
      <c r="L40" s="366">
        <v>0</v>
      </c>
      <c r="M40" s="46"/>
      <c r="N40" s="243">
        <v>0</v>
      </c>
      <c r="O40" s="243">
        <v>0</v>
      </c>
      <c r="P40" s="243">
        <v>0</v>
      </c>
      <c r="Q40" s="243">
        <v>0</v>
      </c>
      <c r="R40" s="243">
        <v>0</v>
      </c>
      <c r="S40" s="243">
        <v>0</v>
      </c>
      <c r="T40" s="243">
        <v>0</v>
      </c>
      <c r="U40" s="243">
        <v>0</v>
      </c>
      <c r="V40" s="243">
        <v>0</v>
      </c>
      <c r="W40" s="243">
        <v>0</v>
      </c>
      <c r="X40" s="256">
        <v>0</v>
      </c>
      <c r="Y40" s="253"/>
      <c r="Z40" s="254">
        <v>0</v>
      </c>
      <c r="AA40" s="254">
        <v>469606.2927017039</v>
      </c>
      <c r="AB40" s="254">
        <v>484229.78399257042</v>
      </c>
      <c r="AC40" s="254">
        <v>0</v>
      </c>
      <c r="AD40" s="254">
        <v>0</v>
      </c>
      <c r="AE40" s="254">
        <v>0</v>
      </c>
      <c r="AF40" s="254">
        <v>0</v>
      </c>
      <c r="AG40" s="254">
        <v>0</v>
      </c>
      <c r="AH40" s="254">
        <v>0</v>
      </c>
      <c r="AI40" s="254">
        <v>0</v>
      </c>
      <c r="AJ40" s="254">
        <v>0</v>
      </c>
      <c r="AK40" s="254">
        <v>0</v>
      </c>
      <c r="AL40" s="254">
        <v>0</v>
      </c>
      <c r="AM40" s="254">
        <v>0</v>
      </c>
      <c r="AN40" s="254">
        <v>0</v>
      </c>
      <c r="AO40" s="254">
        <v>0</v>
      </c>
      <c r="AP40" s="254">
        <v>0</v>
      </c>
      <c r="AQ40" s="254">
        <v>0</v>
      </c>
      <c r="AR40" s="254">
        <v>0</v>
      </c>
      <c r="AS40" s="254">
        <v>0</v>
      </c>
      <c r="AT40" s="254">
        <v>0</v>
      </c>
      <c r="AU40" s="254">
        <v>0</v>
      </c>
      <c r="AV40" s="254">
        <v>0</v>
      </c>
      <c r="AW40" s="254">
        <v>0</v>
      </c>
      <c r="AX40" s="256">
        <v>953836.07669427432</v>
      </c>
      <c r="AZ40" s="254">
        <f ca="1"/>
        <v>5816.666666666667</v>
      </c>
      <c r="BA40" s="254">
        <f ca="1"/>
        <v>3490</v>
      </c>
      <c r="BB40" s="254">
        <f ca="1"/>
        <v>0</v>
      </c>
      <c r="BC40" s="254">
        <f ca="1"/>
        <v>0</v>
      </c>
      <c r="BD40" s="256">
        <f ca="1"/>
        <v>9306.6666666666679</v>
      </c>
      <c r="BF40" s="254">
        <v>25000</v>
      </c>
      <c r="BG40" s="254">
        <v>4166.666666666667</v>
      </c>
      <c r="BH40" s="254">
        <v>833.33333333333337</v>
      </c>
      <c r="BI40" s="254">
        <v>0</v>
      </c>
      <c r="BJ40" s="243">
        <v>0</v>
      </c>
      <c r="BK40" s="254">
        <v>0</v>
      </c>
      <c r="BL40" s="256">
        <v>30000</v>
      </c>
      <c r="BM40" s="46"/>
      <c r="BN40" s="256">
        <f ca="1"/>
        <v>993142.74336094095</v>
      </c>
      <c r="BP40" s="248">
        <f ca="1"/>
        <v>-993142.74336094095</v>
      </c>
      <c r="BR40" s="248">
        <f ca="1"/>
        <v>-993142.74336094095</v>
      </c>
      <c r="BT40" s="248">
        <f ca="1"/>
        <v>-993142.74336094095</v>
      </c>
      <c r="BU40" s="248">
        <f ca="1"/>
        <v>0</v>
      </c>
    </row>
    <row r="41" spans="1:73" ht="15" customHeight="1" thickTop="1" thickBot="1">
      <c r="A41" s="1">
        <v>3</v>
      </c>
      <c r="B41" s="1">
        <f t="shared" si="4"/>
        <v>1</v>
      </c>
      <c r="D41" s="98">
        <v>33</v>
      </c>
      <c r="E41" s="239">
        <v>46266</v>
      </c>
      <c r="F41" s="243">
        <v>0</v>
      </c>
      <c r="G41" s="243">
        <v>0</v>
      </c>
      <c r="H41" s="243">
        <v>0</v>
      </c>
      <c r="I41" s="243">
        <v>0</v>
      </c>
      <c r="J41" s="243">
        <v>0</v>
      </c>
      <c r="K41" s="243">
        <v>0</v>
      </c>
      <c r="L41" s="366">
        <v>0</v>
      </c>
      <c r="M41" s="46"/>
      <c r="N41" s="243">
        <v>0</v>
      </c>
      <c r="O41" s="243">
        <v>0</v>
      </c>
      <c r="P41" s="243">
        <v>0</v>
      </c>
      <c r="Q41" s="243">
        <v>0</v>
      </c>
      <c r="R41" s="243">
        <v>0</v>
      </c>
      <c r="S41" s="243">
        <v>0</v>
      </c>
      <c r="T41" s="243">
        <v>0</v>
      </c>
      <c r="U41" s="243">
        <v>0</v>
      </c>
      <c r="V41" s="243">
        <v>0</v>
      </c>
      <c r="W41" s="243">
        <v>0</v>
      </c>
      <c r="X41" s="256">
        <v>0</v>
      </c>
      <c r="Y41" s="253"/>
      <c r="Z41" s="254">
        <v>0</v>
      </c>
      <c r="AA41" s="254">
        <v>469606.2927017039</v>
      </c>
      <c r="AB41" s="254">
        <v>484229.78399257042</v>
      </c>
      <c r="AC41" s="254">
        <v>0</v>
      </c>
      <c r="AD41" s="254">
        <v>0</v>
      </c>
      <c r="AE41" s="254">
        <v>0</v>
      </c>
      <c r="AF41" s="254">
        <v>0</v>
      </c>
      <c r="AG41" s="254">
        <v>0</v>
      </c>
      <c r="AH41" s="254">
        <v>0</v>
      </c>
      <c r="AI41" s="254">
        <v>0</v>
      </c>
      <c r="AJ41" s="254">
        <v>0</v>
      </c>
      <c r="AK41" s="254">
        <v>0</v>
      </c>
      <c r="AL41" s="254">
        <v>0</v>
      </c>
      <c r="AM41" s="254">
        <v>0</v>
      </c>
      <c r="AN41" s="254">
        <v>0</v>
      </c>
      <c r="AO41" s="254">
        <v>0</v>
      </c>
      <c r="AP41" s="254">
        <v>0</v>
      </c>
      <c r="AQ41" s="254">
        <v>0</v>
      </c>
      <c r="AR41" s="254">
        <v>0</v>
      </c>
      <c r="AS41" s="254">
        <v>0</v>
      </c>
      <c r="AT41" s="254">
        <v>0</v>
      </c>
      <c r="AU41" s="254">
        <v>0</v>
      </c>
      <c r="AV41" s="254">
        <v>0</v>
      </c>
      <c r="AW41" s="254">
        <v>0</v>
      </c>
      <c r="AX41" s="256">
        <v>953836.07669427432</v>
      </c>
      <c r="AZ41" s="254">
        <f ca="1"/>
        <v>5816.666666666667</v>
      </c>
      <c r="BA41" s="254">
        <f ca="1"/>
        <v>3490</v>
      </c>
      <c r="BB41" s="254">
        <f ca="1"/>
        <v>0</v>
      </c>
      <c r="BC41" s="254">
        <f ca="1"/>
        <v>0</v>
      </c>
      <c r="BD41" s="256">
        <f ca="1"/>
        <v>9306.6666666666679</v>
      </c>
      <c r="BF41" s="254">
        <v>25000</v>
      </c>
      <c r="BG41" s="254">
        <v>4166.666666666667</v>
      </c>
      <c r="BH41" s="254">
        <v>833.33333333333337</v>
      </c>
      <c r="BI41" s="254">
        <v>0</v>
      </c>
      <c r="BJ41" s="243">
        <v>0</v>
      </c>
      <c r="BK41" s="254">
        <v>0</v>
      </c>
      <c r="BL41" s="256">
        <v>30000</v>
      </c>
      <c r="BM41" s="46"/>
      <c r="BN41" s="256">
        <f ca="1"/>
        <v>993142.74336094095</v>
      </c>
      <c r="BP41" s="248">
        <f ca="1"/>
        <v>-993142.74336094095</v>
      </c>
      <c r="BR41" s="248">
        <f ca="1"/>
        <v>-993142.74336094095</v>
      </c>
      <c r="BT41" s="248">
        <f ca="1"/>
        <v>-993142.74336094095</v>
      </c>
      <c r="BU41" s="248">
        <f ca="1"/>
        <v>0</v>
      </c>
    </row>
    <row r="42" spans="1:73" ht="15" customHeight="1" thickTop="1" thickBot="1">
      <c r="A42" s="1">
        <v>3</v>
      </c>
      <c r="B42" s="1">
        <f t="shared" si="4"/>
        <v>1</v>
      </c>
      <c r="D42" s="98">
        <v>34</v>
      </c>
      <c r="E42" s="239">
        <v>46296</v>
      </c>
      <c r="F42" s="243">
        <v>0</v>
      </c>
      <c r="G42" s="243">
        <v>0</v>
      </c>
      <c r="H42" s="243">
        <v>0</v>
      </c>
      <c r="I42" s="243">
        <v>0</v>
      </c>
      <c r="J42" s="243">
        <v>0</v>
      </c>
      <c r="K42" s="243">
        <v>0</v>
      </c>
      <c r="L42" s="366">
        <v>0</v>
      </c>
      <c r="M42" s="46"/>
      <c r="N42" s="243">
        <v>0</v>
      </c>
      <c r="O42" s="243">
        <v>0</v>
      </c>
      <c r="P42" s="243">
        <v>0</v>
      </c>
      <c r="Q42" s="243">
        <v>0</v>
      </c>
      <c r="R42" s="243">
        <v>0</v>
      </c>
      <c r="S42" s="243">
        <v>0</v>
      </c>
      <c r="T42" s="243">
        <v>0</v>
      </c>
      <c r="U42" s="243">
        <v>0</v>
      </c>
      <c r="V42" s="243">
        <v>0</v>
      </c>
      <c r="W42" s="243">
        <v>0</v>
      </c>
      <c r="X42" s="256">
        <v>0</v>
      </c>
      <c r="Y42" s="253"/>
      <c r="Z42" s="254">
        <v>0</v>
      </c>
      <c r="AA42" s="254">
        <v>469606.2927017039</v>
      </c>
      <c r="AB42" s="254">
        <v>484229.78399257042</v>
      </c>
      <c r="AC42" s="254">
        <v>0</v>
      </c>
      <c r="AD42" s="254">
        <v>0</v>
      </c>
      <c r="AE42" s="254">
        <v>0</v>
      </c>
      <c r="AF42" s="254">
        <v>0</v>
      </c>
      <c r="AG42" s="254">
        <v>0</v>
      </c>
      <c r="AH42" s="254">
        <v>0</v>
      </c>
      <c r="AI42" s="254">
        <v>0</v>
      </c>
      <c r="AJ42" s="254">
        <v>0</v>
      </c>
      <c r="AK42" s="254">
        <v>0</v>
      </c>
      <c r="AL42" s="254">
        <v>0</v>
      </c>
      <c r="AM42" s="254">
        <v>0</v>
      </c>
      <c r="AN42" s="254">
        <v>0</v>
      </c>
      <c r="AO42" s="254">
        <v>0</v>
      </c>
      <c r="AP42" s="254">
        <v>0</v>
      </c>
      <c r="AQ42" s="254">
        <v>0</v>
      </c>
      <c r="AR42" s="254">
        <v>0</v>
      </c>
      <c r="AS42" s="254">
        <v>0</v>
      </c>
      <c r="AT42" s="254">
        <v>0</v>
      </c>
      <c r="AU42" s="254">
        <v>0</v>
      </c>
      <c r="AV42" s="254">
        <v>0</v>
      </c>
      <c r="AW42" s="254">
        <v>0</v>
      </c>
      <c r="AX42" s="256">
        <v>953836.07669427432</v>
      </c>
      <c r="AZ42" s="254">
        <f ca="1"/>
        <v>5816.666666666667</v>
      </c>
      <c r="BA42" s="254">
        <f ca="1"/>
        <v>3490</v>
      </c>
      <c r="BB42" s="254">
        <f ca="1"/>
        <v>0</v>
      </c>
      <c r="BC42" s="254">
        <f ca="1"/>
        <v>0</v>
      </c>
      <c r="BD42" s="256">
        <f ca="1"/>
        <v>9306.6666666666679</v>
      </c>
      <c r="BF42" s="254">
        <v>25000</v>
      </c>
      <c r="BG42" s="254">
        <v>4166.666666666667</v>
      </c>
      <c r="BH42" s="254">
        <v>833.33333333333337</v>
      </c>
      <c r="BI42" s="254">
        <v>0</v>
      </c>
      <c r="BJ42" s="243">
        <v>0</v>
      </c>
      <c r="BK42" s="254">
        <v>0</v>
      </c>
      <c r="BL42" s="256">
        <v>30000</v>
      </c>
      <c r="BM42" s="46"/>
      <c r="BN42" s="256">
        <f ca="1"/>
        <v>993142.74336094095</v>
      </c>
      <c r="BP42" s="248">
        <f ca="1"/>
        <v>-993142.74336094095</v>
      </c>
      <c r="BR42" s="248">
        <f ca="1"/>
        <v>-993142.74336094095</v>
      </c>
      <c r="BT42" s="248">
        <f ca="1"/>
        <v>-993142.74336094095</v>
      </c>
      <c r="BU42" s="248">
        <f ca="1"/>
        <v>0</v>
      </c>
    </row>
    <row r="43" spans="1:73" ht="15" customHeight="1" thickTop="1" thickBot="1">
      <c r="A43" s="1">
        <v>3</v>
      </c>
      <c r="B43" s="1">
        <f t="shared" si="4"/>
        <v>1</v>
      </c>
      <c r="D43" s="98">
        <v>35</v>
      </c>
      <c r="E43" s="239">
        <v>46327</v>
      </c>
      <c r="F43" s="243">
        <v>0</v>
      </c>
      <c r="G43" s="243">
        <v>0</v>
      </c>
      <c r="H43" s="243">
        <v>0</v>
      </c>
      <c r="I43" s="243">
        <v>0</v>
      </c>
      <c r="J43" s="243">
        <v>0</v>
      </c>
      <c r="K43" s="243">
        <v>0</v>
      </c>
      <c r="L43" s="366">
        <v>0</v>
      </c>
      <c r="M43" s="46"/>
      <c r="N43" s="243">
        <v>0</v>
      </c>
      <c r="O43" s="243">
        <v>0</v>
      </c>
      <c r="P43" s="243">
        <v>0</v>
      </c>
      <c r="Q43" s="243">
        <v>0</v>
      </c>
      <c r="R43" s="243">
        <v>0</v>
      </c>
      <c r="S43" s="243">
        <v>0</v>
      </c>
      <c r="T43" s="243">
        <v>0</v>
      </c>
      <c r="U43" s="243">
        <v>0</v>
      </c>
      <c r="V43" s="243">
        <v>0</v>
      </c>
      <c r="W43" s="243">
        <v>0</v>
      </c>
      <c r="X43" s="256">
        <v>0</v>
      </c>
      <c r="Y43" s="253"/>
      <c r="Z43" s="254">
        <v>0</v>
      </c>
      <c r="AA43" s="254">
        <v>469606.2927017039</v>
      </c>
      <c r="AB43" s="254">
        <v>484229.78399257042</v>
      </c>
      <c r="AC43" s="254">
        <v>0</v>
      </c>
      <c r="AD43" s="254">
        <v>0</v>
      </c>
      <c r="AE43" s="254">
        <v>0</v>
      </c>
      <c r="AF43" s="254">
        <v>0</v>
      </c>
      <c r="AG43" s="254">
        <v>0</v>
      </c>
      <c r="AH43" s="254">
        <v>0</v>
      </c>
      <c r="AI43" s="254">
        <v>0</v>
      </c>
      <c r="AJ43" s="254">
        <v>0</v>
      </c>
      <c r="AK43" s="254">
        <v>0</v>
      </c>
      <c r="AL43" s="254">
        <v>0</v>
      </c>
      <c r="AM43" s="254">
        <v>0</v>
      </c>
      <c r="AN43" s="254">
        <v>0</v>
      </c>
      <c r="AO43" s="254">
        <v>0</v>
      </c>
      <c r="AP43" s="254">
        <v>0</v>
      </c>
      <c r="AQ43" s="254">
        <v>0</v>
      </c>
      <c r="AR43" s="254">
        <v>0</v>
      </c>
      <c r="AS43" s="254">
        <v>0</v>
      </c>
      <c r="AT43" s="254">
        <v>0</v>
      </c>
      <c r="AU43" s="254">
        <v>0</v>
      </c>
      <c r="AV43" s="254">
        <v>0</v>
      </c>
      <c r="AW43" s="254">
        <v>0</v>
      </c>
      <c r="AX43" s="256">
        <v>953836.07669427432</v>
      </c>
      <c r="AZ43" s="254">
        <f ca="1"/>
        <v>5816.666666666667</v>
      </c>
      <c r="BA43" s="254">
        <f ca="1"/>
        <v>3490</v>
      </c>
      <c r="BB43" s="254">
        <f ca="1"/>
        <v>0</v>
      </c>
      <c r="BC43" s="254">
        <f ca="1"/>
        <v>0</v>
      </c>
      <c r="BD43" s="256">
        <f ca="1"/>
        <v>9306.6666666666679</v>
      </c>
      <c r="BF43" s="254">
        <v>25000</v>
      </c>
      <c r="BG43" s="254">
        <v>4166.666666666667</v>
      </c>
      <c r="BH43" s="254">
        <v>833.33333333333337</v>
      </c>
      <c r="BI43" s="254">
        <v>0</v>
      </c>
      <c r="BJ43" s="243">
        <v>0</v>
      </c>
      <c r="BK43" s="254">
        <v>0</v>
      </c>
      <c r="BL43" s="256">
        <v>30000</v>
      </c>
      <c r="BM43" s="46"/>
      <c r="BN43" s="256">
        <f ca="1"/>
        <v>993142.74336094095</v>
      </c>
      <c r="BP43" s="248">
        <f ca="1"/>
        <v>-993142.74336094095</v>
      </c>
      <c r="BR43" s="248">
        <f ca="1"/>
        <v>-993142.74336094095</v>
      </c>
      <c r="BT43" s="248">
        <f ca="1"/>
        <v>-993142.74336094095</v>
      </c>
      <c r="BU43" s="248">
        <f ca="1"/>
        <v>0</v>
      </c>
    </row>
    <row r="44" spans="1:73" ht="15" customHeight="1" thickTop="1" thickBot="1">
      <c r="A44" s="1">
        <v>3</v>
      </c>
      <c r="B44" s="1">
        <f t="shared" si="4"/>
        <v>1</v>
      </c>
      <c r="D44" s="98">
        <v>36</v>
      </c>
      <c r="E44" s="239">
        <v>46357</v>
      </c>
      <c r="F44" s="243">
        <v>0</v>
      </c>
      <c r="G44" s="243">
        <v>0</v>
      </c>
      <c r="H44" s="243">
        <v>0</v>
      </c>
      <c r="I44" s="243">
        <v>0</v>
      </c>
      <c r="J44" s="243">
        <v>0</v>
      </c>
      <c r="K44" s="243">
        <v>0</v>
      </c>
      <c r="L44" s="366">
        <v>0</v>
      </c>
      <c r="M44" s="46"/>
      <c r="N44" s="243">
        <v>0</v>
      </c>
      <c r="O44" s="243">
        <v>0</v>
      </c>
      <c r="P44" s="243">
        <v>0</v>
      </c>
      <c r="Q44" s="243">
        <v>0</v>
      </c>
      <c r="R44" s="243">
        <v>0</v>
      </c>
      <c r="S44" s="243">
        <v>0</v>
      </c>
      <c r="T44" s="243">
        <v>0</v>
      </c>
      <c r="U44" s="243">
        <v>0</v>
      </c>
      <c r="V44" s="243">
        <v>0</v>
      </c>
      <c r="W44" s="243">
        <v>0</v>
      </c>
      <c r="X44" s="256">
        <v>0</v>
      </c>
      <c r="Y44" s="253"/>
      <c r="Z44" s="254">
        <v>0</v>
      </c>
      <c r="AA44" s="254">
        <v>469606.2927017039</v>
      </c>
      <c r="AB44" s="254">
        <v>484229.78399257042</v>
      </c>
      <c r="AC44" s="254">
        <v>0</v>
      </c>
      <c r="AD44" s="254">
        <v>0</v>
      </c>
      <c r="AE44" s="254">
        <v>0</v>
      </c>
      <c r="AF44" s="254">
        <v>0</v>
      </c>
      <c r="AG44" s="254">
        <v>0</v>
      </c>
      <c r="AH44" s="254">
        <v>0</v>
      </c>
      <c r="AI44" s="254">
        <v>0</v>
      </c>
      <c r="AJ44" s="254">
        <v>0</v>
      </c>
      <c r="AK44" s="254">
        <v>0</v>
      </c>
      <c r="AL44" s="254">
        <v>0</v>
      </c>
      <c r="AM44" s="254">
        <v>0</v>
      </c>
      <c r="AN44" s="254">
        <v>0</v>
      </c>
      <c r="AO44" s="254">
        <v>0</v>
      </c>
      <c r="AP44" s="254">
        <v>0</v>
      </c>
      <c r="AQ44" s="254">
        <v>0</v>
      </c>
      <c r="AR44" s="254">
        <v>0</v>
      </c>
      <c r="AS44" s="254">
        <v>0</v>
      </c>
      <c r="AT44" s="254">
        <v>0</v>
      </c>
      <c r="AU44" s="254">
        <v>0</v>
      </c>
      <c r="AV44" s="254">
        <v>0</v>
      </c>
      <c r="AW44" s="254">
        <v>0</v>
      </c>
      <c r="AX44" s="256">
        <v>953836.07669427432</v>
      </c>
      <c r="AZ44" s="254">
        <f ca="1"/>
        <v>5816.666666666667</v>
      </c>
      <c r="BA44" s="254">
        <f ca="1"/>
        <v>3490</v>
      </c>
      <c r="BB44" s="254">
        <f ca="1"/>
        <v>0</v>
      </c>
      <c r="BC44" s="254">
        <f ca="1"/>
        <v>0</v>
      </c>
      <c r="BD44" s="256">
        <f ca="1"/>
        <v>9306.6666666666679</v>
      </c>
      <c r="BF44" s="254">
        <v>25000</v>
      </c>
      <c r="BG44" s="254">
        <v>4166.666666666667</v>
      </c>
      <c r="BH44" s="254">
        <v>833.33333333333337</v>
      </c>
      <c r="BI44" s="254">
        <v>0</v>
      </c>
      <c r="BJ44" s="243">
        <v>0</v>
      </c>
      <c r="BK44" s="254">
        <v>0</v>
      </c>
      <c r="BL44" s="256">
        <v>30000</v>
      </c>
      <c r="BM44" s="46"/>
      <c r="BN44" s="256">
        <f ca="1"/>
        <v>993142.74336094095</v>
      </c>
      <c r="BP44" s="248">
        <f ca="1"/>
        <v>-993142.74336094095</v>
      </c>
      <c r="BR44" s="248">
        <f ca="1"/>
        <v>-993142.74336094095</v>
      </c>
      <c r="BT44" s="248">
        <f ca="1"/>
        <v>-993142.74336094095</v>
      </c>
      <c r="BU44" s="248">
        <f ca="1"/>
        <v>0</v>
      </c>
    </row>
    <row r="45" spans="1:73" ht="15" customHeight="1" thickTop="1" thickBot="1">
      <c r="A45" s="1">
        <v>4</v>
      </c>
      <c r="B45" s="1">
        <f t="shared" si="4"/>
        <v>1</v>
      </c>
      <c r="D45" s="98">
        <v>37</v>
      </c>
      <c r="E45" s="239">
        <v>46388</v>
      </c>
      <c r="F45" s="243">
        <v>0</v>
      </c>
      <c r="G45" s="243">
        <v>0</v>
      </c>
      <c r="H45" s="243">
        <v>0</v>
      </c>
      <c r="I45" s="243">
        <v>0</v>
      </c>
      <c r="J45" s="243">
        <v>0</v>
      </c>
      <c r="K45" s="243">
        <v>0</v>
      </c>
      <c r="L45" s="366">
        <v>0</v>
      </c>
      <c r="M45" s="46"/>
      <c r="N45" s="243">
        <v>0</v>
      </c>
      <c r="O45" s="243">
        <v>0</v>
      </c>
      <c r="P45" s="243">
        <v>0</v>
      </c>
      <c r="Q45" s="243">
        <v>0</v>
      </c>
      <c r="R45" s="243">
        <v>0</v>
      </c>
      <c r="S45" s="243">
        <v>0</v>
      </c>
      <c r="T45" s="243">
        <v>0</v>
      </c>
      <c r="U45" s="243">
        <v>0</v>
      </c>
      <c r="V45" s="243">
        <v>0</v>
      </c>
      <c r="W45" s="243">
        <v>0</v>
      </c>
      <c r="X45" s="256">
        <v>0</v>
      </c>
      <c r="Y45" s="253"/>
      <c r="Z45" s="254">
        <v>0</v>
      </c>
      <c r="AA45" s="254">
        <v>469606.2927017039</v>
      </c>
      <c r="AB45" s="254">
        <v>484229.78399257042</v>
      </c>
      <c r="AC45" s="254">
        <v>0</v>
      </c>
      <c r="AD45" s="254">
        <v>0</v>
      </c>
      <c r="AE45" s="254">
        <v>0</v>
      </c>
      <c r="AF45" s="254">
        <v>0</v>
      </c>
      <c r="AG45" s="254">
        <v>0</v>
      </c>
      <c r="AH45" s="254">
        <v>0</v>
      </c>
      <c r="AI45" s="254">
        <v>0</v>
      </c>
      <c r="AJ45" s="254">
        <v>0</v>
      </c>
      <c r="AK45" s="254">
        <v>0</v>
      </c>
      <c r="AL45" s="254">
        <v>0</v>
      </c>
      <c r="AM45" s="254">
        <v>0</v>
      </c>
      <c r="AN45" s="254">
        <v>0</v>
      </c>
      <c r="AO45" s="254">
        <v>0</v>
      </c>
      <c r="AP45" s="254">
        <v>0</v>
      </c>
      <c r="AQ45" s="254">
        <v>0</v>
      </c>
      <c r="AR45" s="254">
        <v>0</v>
      </c>
      <c r="AS45" s="254">
        <v>0</v>
      </c>
      <c r="AT45" s="254">
        <v>0</v>
      </c>
      <c r="AU45" s="254">
        <v>0</v>
      </c>
      <c r="AV45" s="254">
        <v>0</v>
      </c>
      <c r="AW45" s="254">
        <v>0</v>
      </c>
      <c r="AX45" s="256">
        <v>953836.07669427432</v>
      </c>
      <c r="AZ45" s="254">
        <f ca="1"/>
        <v>5816.666666666667</v>
      </c>
      <c r="BA45" s="254">
        <f ca="1"/>
        <v>3490</v>
      </c>
      <c r="BB45" s="254">
        <f ca="1"/>
        <v>0</v>
      </c>
      <c r="BC45" s="254">
        <f ca="1"/>
        <v>0</v>
      </c>
      <c r="BD45" s="256">
        <f ca="1"/>
        <v>9306.6666666666679</v>
      </c>
      <c r="BF45" s="254">
        <v>25000</v>
      </c>
      <c r="BG45" s="254">
        <v>4166.666666666667</v>
      </c>
      <c r="BH45" s="254">
        <v>833.33333333333337</v>
      </c>
      <c r="BI45" s="254">
        <v>0</v>
      </c>
      <c r="BJ45" s="243">
        <v>0</v>
      </c>
      <c r="BK45" s="254">
        <v>0</v>
      </c>
      <c r="BL45" s="256">
        <v>30000</v>
      </c>
      <c r="BM45" s="46"/>
      <c r="BN45" s="256">
        <f ca="1"/>
        <v>993142.74336094095</v>
      </c>
      <c r="BP45" s="248">
        <f ca="1"/>
        <v>-993142.74336094095</v>
      </c>
      <c r="BR45" s="248">
        <f ca="1"/>
        <v>-993142.74336094095</v>
      </c>
      <c r="BT45" s="248">
        <f ca="1"/>
        <v>-993142.74336094095</v>
      </c>
      <c r="BU45" s="248">
        <f ca="1"/>
        <v>0</v>
      </c>
    </row>
    <row r="46" spans="1:73" ht="15" customHeight="1" thickTop="1" thickBot="1">
      <c r="A46" s="1">
        <v>4</v>
      </c>
      <c r="B46" s="1">
        <f t="shared" si="4"/>
        <v>1</v>
      </c>
      <c r="D46" s="98">
        <v>38</v>
      </c>
      <c r="E46" s="239">
        <v>46419</v>
      </c>
      <c r="F46" s="243">
        <v>0</v>
      </c>
      <c r="G46" s="243">
        <v>0</v>
      </c>
      <c r="H46" s="243">
        <v>0</v>
      </c>
      <c r="I46" s="243">
        <v>0</v>
      </c>
      <c r="J46" s="243">
        <v>0</v>
      </c>
      <c r="K46" s="243">
        <v>0</v>
      </c>
      <c r="L46" s="366">
        <v>0</v>
      </c>
      <c r="M46" s="46"/>
      <c r="N46" s="243">
        <v>0</v>
      </c>
      <c r="O46" s="243">
        <v>0</v>
      </c>
      <c r="P46" s="243">
        <v>0</v>
      </c>
      <c r="Q46" s="243">
        <v>0</v>
      </c>
      <c r="R46" s="243">
        <v>0</v>
      </c>
      <c r="S46" s="243">
        <v>0</v>
      </c>
      <c r="T46" s="243">
        <v>0</v>
      </c>
      <c r="U46" s="243">
        <v>0</v>
      </c>
      <c r="V46" s="243">
        <v>0</v>
      </c>
      <c r="W46" s="243">
        <v>0</v>
      </c>
      <c r="X46" s="256">
        <v>0</v>
      </c>
      <c r="Y46" s="253"/>
      <c r="Z46" s="254">
        <v>0</v>
      </c>
      <c r="AA46" s="254">
        <v>469606.2927017039</v>
      </c>
      <c r="AB46" s="254">
        <v>484229.78399257042</v>
      </c>
      <c r="AC46" s="254">
        <v>0</v>
      </c>
      <c r="AD46" s="254">
        <v>0</v>
      </c>
      <c r="AE46" s="254">
        <v>0</v>
      </c>
      <c r="AF46" s="254">
        <v>0</v>
      </c>
      <c r="AG46" s="254">
        <v>0</v>
      </c>
      <c r="AH46" s="254">
        <v>0</v>
      </c>
      <c r="AI46" s="254">
        <v>0</v>
      </c>
      <c r="AJ46" s="254">
        <v>0</v>
      </c>
      <c r="AK46" s="254">
        <v>0</v>
      </c>
      <c r="AL46" s="254">
        <v>0</v>
      </c>
      <c r="AM46" s="254">
        <v>0</v>
      </c>
      <c r="AN46" s="254">
        <v>0</v>
      </c>
      <c r="AO46" s="254">
        <v>0</v>
      </c>
      <c r="AP46" s="254">
        <v>0</v>
      </c>
      <c r="AQ46" s="254">
        <v>0</v>
      </c>
      <c r="AR46" s="254">
        <v>0</v>
      </c>
      <c r="AS46" s="254">
        <v>0</v>
      </c>
      <c r="AT46" s="254">
        <v>0</v>
      </c>
      <c r="AU46" s="254">
        <v>0</v>
      </c>
      <c r="AV46" s="254">
        <v>0</v>
      </c>
      <c r="AW46" s="254">
        <v>0</v>
      </c>
      <c r="AX46" s="256">
        <v>953836.07669427432</v>
      </c>
      <c r="AZ46" s="254">
        <f ca="1"/>
        <v>5816.666666666667</v>
      </c>
      <c r="BA46" s="254">
        <f ca="1"/>
        <v>3490</v>
      </c>
      <c r="BB46" s="254">
        <f ca="1"/>
        <v>0</v>
      </c>
      <c r="BC46" s="254">
        <f ca="1"/>
        <v>0</v>
      </c>
      <c r="BD46" s="256">
        <f ca="1"/>
        <v>9306.6666666666679</v>
      </c>
      <c r="BF46" s="254">
        <v>25000</v>
      </c>
      <c r="BG46" s="254">
        <v>4166.666666666667</v>
      </c>
      <c r="BH46" s="254">
        <v>833.33333333333337</v>
      </c>
      <c r="BI46" s="254">
        <v>0</v>
      </c>
      <c r="BJ46" s="243">
        <v>0</v>
      </c>
      <c r="BK46" s="254">
        <v>0</v>
      </c>
      <c r="BL46" s="256">
        <v>30000</v>
      </c>
      <c r="BM46" s="46"/>
      <c r="BN46" s="256">
        <f ca="1"/>
        <v>993142.74336094095</v>
      </c>
      <c r="BP46" s="248">
        <f ca="1"/>
        <v>-993142.74336094095</v>
      </c>
      <c r="BR46" s="248">
        <f ca="1"/>
        <v>-993142.74336094095</v>
      </c>
      <c r="BT46" s="248">
        <f ca="1"/>
        <v>-993142.74336094095</v>
      </c>
      <c r="BU46" s="248">
        <f ca="1"/>
        <v>0</v>
      </c>
    </row>
    <row r="47" spans="1:73" ht="15" customHeight="1" thickTop="1" thickBot="1">
      <c r="A47" s="1">
        <v>4</v>
      </c>
      <c r="B47" s="1">
        <f t="shared" si="4"/>
        <v>1</v>
      </c>
      <c r="D47" s="98">
        <v>39</v>
      </c>
      <c r="E47" s="239">
        <v>46447</v>
      </c>
      <c r="F47" s="243">
        <v>0</v>
      </c>
      <c r="G47" s="243">
        <v>0</v>
      </c>
      <c r="H47" s="243">
        <v>0</v>
      </c>
      <c r="I47" s="243">
        <v>0</v>
      </c>
      <c r="J47" s="243">
        <v>0</v>
      </c>
      <c r="K47" s="243">
        <v>0</v>
      </c>
      <c r="L47" s="366">
        <v>0</v>
      </c>
      <c r="M47" s="46"/>
      <c r="N47" s="243">
        <v>0</v>
      </c>
      <c r="O47" s="243">
        <v>0</v>
      </c>
      <c r="P47" s="243">
        <v>0</v>
      </c>
      <c r="Q47" s="243">
        <v>0</v>
      </c>
      <c r="R47" s="243">
        <v>0</v>
      </c>
      <c r="S47" s="243">
        <v>0</v>
      </c>
      <c r="T47" s="243">
        <v>0</v>
      </c>
      <c r="U47" s="243">
        <v>0</v>
      </c>
      <c r="V47" s="243">
        <v>0</v>
      </c>
      <c r="W47" s="243">
        <v>0</v>
      </c>
      <c r="X47" s="256">
        <v>0</v>
      </c>
      <c r="Y47" s="253"/>
      <c r="Z47" s="254">
        <v>0</v>
      </c>
      <c r="AA47" s="254">
        <v>469606.2927017039</v>
      </c>
      <c r="AB47" s="254">
        <v>484229.78399257042</v>
      </c>
      <c r="AC47" s="254">
        <v>0</v>
      </c>
      <c r="AD47" s="254">
        <v>0</v>
      </c>
      <c r="AE47" s="254">
        <v>0</v>
      </c>
      <c r="AF47" s="254">
        <v>0</v>
      </c>
      <c r="AG47" s="254">
        <v>0</v>
      </c>
      <c r="AH47" s="254">
        <v>0</v>
      </c>
      <c r="AI47" s="254">
        <v>0</v>
      </c>
      <c r="AJ47" s="254">
        <v>0</v>
      </c>
      <c r="AK47" s="254">
        <v>0</v>
      </c>
      <c r="AL47" s="254">
        <v>0</v>
      </c>
      <c r="AM47" s="254">
        <v>0</v>
      </c>
      <c r="AN47" s="254">
        <v>0</v>
      </c>
      <c r="AO47" s="254">
        <v>0</v>
      </c>
      <c r="AP47" s="254">
        <v>0</v>
      </c>
      <c r="AQ47" s="254">
        <v>0</v>
      </c>
      <c r="AR47" s="254">
        <v>0</v>
      </c>
      <c r="AS47" s="254">
        <v>0</v>
      </c>
      <c r="AT47" s="254">
        <v>0</v>
      </c>
      <c r="AU47" s="254">
        <v>0</v>
      </c>
      <c r="AV47" s="254">
        <v>0</v>
      </c>
      <c r="AW47" s="254">
        <v>0</v>
      </c>
      <c r="AX47" s="256">
        <v>953836.07669427432</v>
      </c>
      <c r="AZ47" s="254">
        <f ca="1"/>
        <v>5816.666666666667</v>
      </c>
      <c r="BA47" s="254">
        <f ca="1"/>
        <v>3490</v>
      </c>
      <c r="BB47" s="254">
        <f ca="1"/>
        <v>0</v>
      </c>
      <c r="BC47" s="254">
        <f ca="1"/>
        <v>0</v>
      </c>
      <c r="BD47" s="256">
        <f ca="1"/>
        <v>9306.6666666666679</v>
      </c>
      <c r="BF47" s="254">
        <v>25000</v>
      </c>
      <c r="BG47" s="254">
        <v>4166.666666666667</v>
      </c>
      <c r="BH47" s="254">
        <v>833.33333333333337</v>
      </c>
      <c r="BI47" s="254">
        <v>0</v>
      </c>
      <c r="BJ47" s="243">
        <v>0</v>
      </c>
      <c r="BK47" s="254">
        <v>0</v>
      </c>
      <c r="BL47" s="256">
        <v>30000</v>
      </c>
      <c r="BM47" s="46"/>
      <c r="BN47" s="256">
        <f ca="1"/>
        <v>993142.74336094095</v>
      </c>
      <c r="BP47" s="248">
        <f ca="1"/>
        <v>-993142.74336094095</v>
      </c>
      <c r="BR47" s="248">
        <f ca="1"/>
        <v>-993142.74336094095</v>
      </c>
      <c r="BT47" s="248">
        <f ca="1"/>
        <v>-993142.74336094095</v>
      </c>
      <c r="BU47" s="248">
        <f ca="1"/>
        <v>0</v>
      </c>
    </row>
    <row r="48" spans="1:73" ht="15" customHeight="1" thickTop="1" thickBot="1">
      <c r="A48" s="1">
        <v>4</v>
      </c>
      <c r="B48" s="1">
        <f t="shared" si="4"/>
        <v>1</v>
      </c>
      <c r="D48" s="98">
        <v>40</v>
      </c>
      <c r="E48" s="239">
        <v>46478</v>
      </c>
      <c r="F48" s="243">
        <v>0</v>
      </c>
      <c r="G48" s="243">
        <v>0</v>
      </c>
      <c r="H48" s="243">
        <v>0</v>
      </c>
      <c r="I48" s="243">
        <v>0</v>
      </c>
      <c r="J48" s="243">
        <v>0</v>
      </c>
      <c r="K48" s="243">
        <v>0</v>
      </c>
      <c r="L48" s="366">
        <v>0</v>
      </c>
      <c r="M48" s="46"/>
      <c r="N48" s="243">
        <v>0</v>
      </c>
      <c r="O48" s="243">
        <v>0</v>
      </c>
      <c r="P48" s="243">
        <v>0</v>
      </c>
      <c r="Q48" s="243">
        <v>0</v>
      </c>
      <c r="R48" s="243">
        <v>0</v>
      </c>
      <c r="S48" s="243">
        <v>0</v>
      </c>
      <c r="T48" s="243">
        <v>0</v>
      </c>
      <c r="U48" s="243">
        <v>0</v>
      </c>
      <c r="V48" s="243">
        <v>0</v>
      </c>
      <c r="W48" s="243">
        <v>0</v>
      </c>
      <c r="X48" s="256">
        <v>0</v>
      </c>
      <c r="Y48" s="253"/>
      <c r="Z48" s="254">
        <v>0</v>
      </c>
      <c r="AA48" s="254">
        <v>469606.2927017039</v>
      </c>
      <c r="AB48" s="254">
        <v>484229.78399257042</v>
      </c>
      <c r="AC48" s="254">
        <v>0</v>
      </c>
      <c r="AD48" s="254">
        <v>0</v>
      </c>
      <c r="AE48" s="254">
        <v>0</v>
      </c>
      <c r="AF48" s="254">
        <v>0</v>
      </c>
      <c r="AG48" s="254">
        <v>0</v>
      </c>
      <c r="AH48" s="254">
        <v>0</v>
      </c>
      <c r="AI48" s="254">
        <v>0</v>
      </c>
      <c r="AJ48" s="254">
        <v>0</v>
      </c>
      <c r="AK48" s="254">
        <v>0</v>
      </c>
      <c r="AL48" s="254">
        <v>0</v>
      </c>
      <c r="AM48" s="254">
        <v>0</v>
      </c>
      <c r="AN48" s="254">
        <v>0</v>
      </c>
      <c r="AO48" s="254">
        <v>0</v>
      </c>
      <c r="AP48" s="254">
        <v>0</v>
      </c>
      <c r="AQ48" s="254">
        <v>0</v>
      </c>
      <c r="AR48" s="254">
        <v>0</v>
      </c>
      <c r="AS48" s="254">
        <v>0</v>
      </c>
      <c r="AT48" s="254">
        <v>0</v>
      </c>
      <c r="AU48" s="254">
        <v>0</v>
      </c>
      <c r="AV48" s="254">
        <v>0</v>
      </c>
      <c r="AW48" s="254">
        <v>0</v>
      </c>
      <c r="AX48" s="256">
        <v>953836.07669427432</v>
      </c>
      <c r="AZ48" s="254">
        <f ca="1"/>
        <v>5816.666666666667</v>
      </c>
      <c r="BA48" s="254">
        <f ca="1"/>
        <v>3490</v>
      </c>
      <c r="BB48" s="254">
        <f ca="1"/>
        <v>0</v>
      </c>
      <c r="BC48" s="254">
        <f ca="1"/>
        <v>0</v>
      </c>
      <c r="BD48" s="256">
        <f ca="1"/>
        <v>9306.6666666666679</v>
      </c>
      <c r="BF48" s="254">
        <v>25000</v>
      </c>
      <c r="BG48" s="254">
        <v>4166.666666666667</v>
      </c>
      <c r="BH48" s="254">
        <v>833.33333333333337</v>
      </c>
      <c r="BI48" s="254">
        <v>0</v>
      </c>
      <c r="BJ48" s="243">
        <v>0</v>
      </c>
      <c r="BK48" s="254">
        <v>0</v>
      </c>
      <c r="BL48" s="256">
        <v>30000</v>
      </c>
      <c r="BM48" s="46"/>
      <c r="BN48" s="256">
        <f ca="1"/>
        <v>993142.74336094095</v>
      </c>
      <c r="BP48" s="248">
        <f ca="1"/>
        <v>-993142.74336094095</v>
      </c>
      <c r="BR48" s="248">
        <f ca="1"/>
        <v>-993142.74336094095</v>
      </c>
      <c r="BT48" s="248">
        <f ca="1"/>
        <v>-993142.74336094095</v>
      </c>
      <c r="BU48" s="248">
        <f ca="1"/>
        <v>0</v>
      </c>
    </row>
    <row r="49" spans="1:73" ht="15" customHeight="1" thickTop="1" thickBot="1">
      <c r="A49" s="1">
        <v>4</v>
      </c>
      <c r="B49" s="1">
        <f t="shared" si="4"/>
        <v>1</v>
      </c>
      <c r="D49" s="98">
        <v>41</v>
      </c>
      <c r="E49" s="239">
        <v>46508</v>
      </c>
      <c r="F49" s="243">
        <v>0</v>
      </c>
      <c r="G49" s="243">
        <v>0</v>
      </c>
      <c r="H49" s="243">
        <v>0</v>
      </c>
      <c r="I49" s="243">
        <v>0</v>
      </c>
      <c r="J49" s="243">
        <v>0</v>
      </c>
      <c r="K49" s="243">
        <v>0</v>
      </c>
      <c r="L49" s="366">
        <v>0</v>
      </c>
      <c r="M49" s="46"/>
      <c r="N49" s="243">
        <v>0</v>
      </c>
      <c r="O49" s="243">
        <v>0</v>
      </c>
      <c r="P49" s="243">
        <v>0</v>
      </c>
      <c r="Q49" s="243">
        <v>0</v>
      </c>
      <c r="R49" s="243">
        <v>0</v>
      </c>
      <c r="S49" s="243">
        <v>0</v>
      </c>
      <c r="T49" s="243">
        <v>0</v>
      </c>
      <c r="U49" s="243">
        <v>0</v>
      </c>
      <c r="V49" s="243">
        <v>0</v>
      </c>
      <c r="W49" s="243">
        <v>0</v>
      </c>
      <c r="X49" s="256">
        <v>0</v>
      </c>
      <c r="Y49" s="253"/>
      <c r="Z49" s="254">
        <v>0</v>
      </c>
      <c r="AA49" s="254">
        <v>469606.2927017039</v>
      </c>
      <c r="AB49" s="254">
        <v>484229.78399257042</v>
      </c>
      <c r="AC49" s="254">
        <v>0</v>
      </c>
      <c r="AD49" s="254">
        <v>0</v>
      </c>
      <c r="AE49" s="254">
        <v>0</v>
      </c>
      <c r="AF49" s="254">
        <v>0</v>
      </c>
      <c r="AG49" s="254">
        <v>0</v>
      </c>
      <c r="AH49" s="254">
        <v>0</v>
      </c>
      <c r="AI49" s="254">
        <v>0</v>
      </c>
      <c r="AJ49" s="254">
        <v>0</v>
      </c>
      <c r="AK49" s="254">
        <v>0</v>
      </c>
      <c r="AL49" s="254">
        <v>0</v>
      </c>
      <c r="AM49" s="254">
        <v>0</v>
      </c>
      <c r="AN49" s="254">
        <v>0</v>
      </c>
      <c r="AO49" s="254">
        <v>0</v>
      </c>
      <c r="AP49" s="254">
        <v>0</v>
      </c>
      <c r="AQ49" s="254">
        <v>0</v>
      </c>
      <c r="AR49" s="254">
        <v>0</v>
      </c>
      <c r="AS49" s="254">
        <v>0</v>
      </c>
      <c r="AT49" s="254">
        <v>0</v>
      </c>
      <c r="AU49" s="254">
        <v>0</v>
      </c>
      <c r="AV49" s="254">
        <v>0</v>
      </c>
      <c r="AW49" s="254">
        <v>0</v>
      </c>
      <c r="AX49" s="256">
        <v>953836.07669427432</v>
      </c>
      <c r="AZ49" s="254">
        <f ca="1"/>
        <v>5816.666666666667</v>
      </c>
      <c r="BA49" s="254">
        <f ca="1"/>
        <v>3490</v>
      </c>
      <c r="BB49" s="254">
        <f ca="1"/>
        <v>0</v>
      </c>
      <c r="BC49" s="254">
        <f ca="1"/>
        <v>0</v>
      </c>
      <c r="BD49" s="256">
        <f ca="1"/>
        <v>9306.6666666666679</v>
      </c>
      <c r="BF49" s="254">
        <v>25000</v>
      </c>
      <c r="BG49" s="254">
        <v>4166.666666666667</v>
      </c>
      <c r="BH49" s="254">
        <v>833.33333333333337</v>
      </c>
      <c r="BI49" s="254">
        <v>0</v>
      </c>
      <c r="BJ49" s="243">
        <v>0</v>
      </c>
      <c r="BK49" s="254">
        <v>0</v>
      </c>
      <c r="BL49" s="256">
        <v>30000</v>
      </c>
      <c r="BM49" s="46"/>
      <c r="BN49" s="256">
        <f ca="1"/>
        <v>993142.74336094095</v>
      </c>
      <c r="BP49" s="248">
        <f ca="1"/>
        <v>-993142.74336094095</v>
      </c>
      <c r="BR49" s="248">
        <f ca="1"/>
        <v>-993142.74336094095</v>
      </c>
      <c r="BT49" s="248">
        <f ca="1"/>
        <v>-993142.74336094095</v>
      </c>
      <c r="BU49" s="248">
        <f ca="1"/>
        <v>0</v>
      </c>
    </row>
    <row r="50" spans="1:73" ht="15" customHeight="1" thickTop="1" thickBot="1">
      <c r="A50" s="1">
        <v>4</v>
      </c>
      <c r="B50" s="1">
        <f t="shared" si="4"/>
        <v>1</v>
      </c>
      <c r="D50" s="98">
        <v>42</v>
      </c>
      <c r="E50" s="239">
        <v>46539</v>
      </c>
      <c r="F50" s="243">
        <v>57051949.373806</v>
      </c>
      <c r="G50" s="243">
        <v>23611946.313679904</v>
      </c>
      <c r="H50" s="243">
        <v>-30903139.244144909</v>
      </c>
      <c r="I50" s="243">
        <v>49760756.443340987</v>
      </c>
      <c r="J50" s="243">
        <v>-1492822.69330023</v>
      </c>
      <c r="K50" s="243">
        <v>-497607.56443340995</v>
      </c>
      <c r="L50" s="366">
        <v>47770326.185607359</v>
      </c>
      <c r="M50" s="46"/>
      <c r="N50" s="243">
        <v>0</v>
      </c>
      <c r="O50" s="243">
        <v>0</v>
      </c>
      <c r="P50" s="243">
        <v>0</v>
      </c>
      <c r="Q50" s="243">
        <v>0</v>
      </c>
      <c r="R50" s="243">
        <v>0</v>
      </c>
      <c r="S50" s="243">
        <v>0</v>
      </c>
      <c r="T50" s="243">
        <v>0</v>
      </c>
      <c r="U50" s="243">
        <v>0</v>
      </c>
      <c r="V50" s="243">
        <v>0</v>
      </c>
      <c r="W50" s="243">
        <v>0</v>
      </c>
      <c r="X50" s="256">
        <v>0</v>
      </c>
      <c r="Y50" s="253"/>
      <c r="Z50" s="254">
        <v>0</v>
      </c>
      <c r="AA50" s="254">
        <v>0</v>
      </c>
      <c r="AB50" s="254">
        <v>484229.78399257042</v>
      </c>
      <c r="AC50" s="254">
        <v>0</v>
      </c>
      <c r="AD50" s="254">
        <v>0</v>
      </c>
      <c r="AE50" s="254">
        <v>0</v>
      </c>
      <c r="AF50" s="254">
        <v>0</v>
      </c>
      <c r="AG50" s="254">
        <v>0</v>
      </c>
      <c r="AH50" s="254">
        <v>0</v>
      </c>
      <c r="AI50" s="254">
        <v>0</v>
      </c>
      <c r="AJ50" s="254">
        <v>0</v>
      </c>
      <c r="AK50" s="254">
        <v>0</v>
      </c>
      <c r="AL50" s="254">
        <v>0</v>
      </c>
      <c r="AM50" s="254">
        <v>0</v>
      </c>
      <c r="AN50" s="254">
        <v>0</v>
      </c>
      <c r="AO50" s="254">
        <v>0</v>
      </c>
      <c r="AP50" s="254">
        <v>0</v>
      </c>
      <c r="AQ50" s="254">
        <v>0</v>
      </c>
      <c r="AR50" s="254">
        <v>0</v>
      </c>
      <c r="AS50" s="254">
        <v>0</v>
      </c>
      <c r="AT50" s="254">
        <v>0</v>
      </c>
      <c r="AU50" s="254">
        <v>0</v>
      </c>
      <c r="AV50" s="254">
        <v>0</v>
      </c>
      <c r="AW50" s="254">
        <v>0</v>
      </c>
      <c r="AX50" s="256">
        <v>484229.78399257042</v>
      </c>
      <c r="AZ50" s="254">
        <f ca="1"/>
        <v>5204.166666666667</v>
      </c>
      <c r="BA50" s="254">
        <f ca="1"/>
        <v>3122.5</v>
      </c>
      <c r="BB50" s="254">
        <f ca="1"/>
        <v>0</v>
      </c>
      <c r="BC50" s="254">
        <f ca="1"/>
        <v>0</v>
      </c>
      <c r="BD50" s="256">
        <f ca="1"/>
        <v>8326.6666666666679</v>
      </c>
      <c r="BF50" s="254">
        <v>25000</v>
      </c>
      <c r="BG50" s="254">
        <v>4166.666666666667</v>
      </c>
      <c r="BH50" s="254">
        <v>833.33333333333337</v>
      </c>
      <c r="BI50" s="254">
        <v>0</v>
      </c>
      <c r="BJ50" s="243">
        <v>0</v>
      </c>
      <c r="BK50" s="254">
        <v>497607.56443340989</v>
      </c>
      <c r="BL50" s="256">
        <v>527607.56443340983</v>
      </c>
      <c r="BM50" s="46"/>
      <c r="BN50" s="256">
        <f ca="1"/>
        <v>1020164.0150926469</v>
      </c>
      <c r="BP50" s="248">
        <f ca="1"/>
        <v>46750162.17051471</v>
      </c>
      <c r="BR50" s="248">
        <f ca="1"/>
        <v>46750162.17051471</v>
      </c>
      <c r="BT50" s="248">
        <f ca="1"/>
        <v>0</v>
      </c>
      <c r="BU50" s="248">
        <f ca="1"/>
        <v>46750162.17051471</v>
      </c>
    </row>
    <row r="51" spans="1:73" ht="15" customHeight="1" thickTop="1" thickBot="1">
      <c r="A51" s="1">
        <v>4</v>
      </c>
      <c r="B51" s="1">
        <f t="shared" si="4"/>
        <v>1</v>
      </c>
      <c r="D51" s="98">
        <v>43</v>
      </c>
      <c r="E51" s="239">
        <v>46569</v>
      </c>
      <c r="F51" s="243">
        <v>0</v>
      </c>
      <c r="G51" s="243">
        <v>0</v>
      </c>
      <c r="H51" s="243">
        <v>0</v>
      </c>
      <c r="I51" s="243">
        <v>0</v>
      </c>
      <c r="J51" s="243">
        <v>0</v>
      </c>
      <c r="K51" s="243">
        <v>0</v>
      </c>
      <c r="L51" s="366">
        <v>0</v>
      </c>
      <c r="M51" s="46"/>
      <c r="N51" s="243">
        <v>0</v>
      </c>
      <c r="O51" s="243">
        <v>0</v>
      </c>
      <c r="P51" s="243">
        <v>0</v>
      </c>
      <c r="Q51" s="243">
        <v>0</v>
      </c>
      <c r="R51" s="243">
        <v>0</v>
      </c>
      <c r="S51" s="243">
        <v>0</v>
      </c>
      <c r="T51" s="243">
        <v>0</v>
      </c>
      <c r="U51" s="243">
        <v>0</v>
      </c>
      <c r="V51" s="243">
        <v>0</v>
      </c>
      <c r="W51" s="243">
        <v>0</v>
      </c>
      <c r="X51" s="256">
        <v>0</v>
      </c>
      <c r="Y51" s="253"/>
      <c r="Z51" s="254">
        <v>0</v>
      </c>
      <c r="AA51" s="254">
        <v>0</v>
      </c>
      <c r="AB51" s="254">
        <v>484229.78399257042</v>
      </c>
      <c r="AC51" s="254">
        <v>0</v>
      </c>
      <c r="AD51" s="254">
        <v>0</v>
      </c>
      <c r="AE51" s="254">
        <v>0</v>
      </c>
      <c r="AF51" s="254">
        <v>0</v>
      </c>
      <c r="AG51" s="254">
        <v>0</v>
      </c>
      <c r="AH51" s="254">
        <v>0</v>
      </c>
      <c r="AI51" s="254">
        <v>0</v>
      </c>
      <c r="AJ51" s="254">
        <v>0</v>
      </c>
      <c r="AK51" s="254">
        <v>0</v>
      </c>
      <c r="AL51" s="254">
        <v>0</v>
      </c>
      <c r="AM51" s="254">
        <v>0</v>
      </c>
      <c r="AN51" s="254">
        <v>0</v>
      </c>
      <c r="AO51" s="254">
        <v>0</v>
      </c>
      <c r="AP51" s="254">
        <v>0</v>
      </c>
      <c r="AQ51" s="254">
        <v>0</v>
      </c>
      <c r="AR51" s="254">
        <v>0</v>
      </c>
      <c r="AS51" s="254">
        <v>0</v>
      </c>
      <c r="AT51" s="254">
        <v>0</v>
      </c>
      <c r="AU51" s="254">
        <v>0</v>
      </c>
      <c r="AV51" s="254">
        <v>0</v>
      </c>
      <c r="AW51" s="254">
        <v>0</v>
      </c>
      <c r="AX51" s="256">
        <v>484229.78399257042</v>
      </c>
      <c r="AZ51" s="254">
        <f ca="1"/>
        <v>5204.166666666667</v>
      </c>
      <c r="BA51" s="254">
        <f ca="1"/>
        <v>3122.5</v>
      </c>
      <c r="BB51" s="254">
        <f ca="1"/>
        <v>0</v>
      </c>
      <c r="BC51" s="254">
        <f ca="1"/>
        <v>0</v>
      </c>
      <c r="BD51" s="256">
        <f ca="1"/>
        <v>8326.6666666666679</v>
      </c>
      <c r="BF51" s="254">
        <v>25000</v>
      </c>
      <c r="BG51" s="254">
        <v>4166.666666666667</v>
      </c>
      <c r="BH51" s="254">
        <v>833.33333333333337</v>
      </c>
      <c r="BI51" s="254">
        <v>0</v>
      </c>
      <c r="BJ51" s="243">
        <v>0</v>
      </c>
      <c r="BK51" s="254">
        <v>0</v>
      </c>
      <c r="BL51" s="256">
        <v>30000</v>
      </c>
      <c r="BM51" s="46"/>
      <c r="BN51" s="256">
        <f ca="1"/>
        <v>522556.4506592371</v>
      </c>
      <c r="BP51" s="248">
        <f ca="1"/>
        <v>-522556.4506592371</v>
      </c>
      <c r="BR51" s="248">
        <f ca="1"/>
        <v>-522556.4506592371</v>
      </c>
      <c r="BT51" s="248">
        <f ca="1"/>
        <v>-522556.4506592371</v>
      </c>
      <c r="BU51" s="248">
        <f ca="1"/>
        <v>0</v>
      </c>
    </row>
    <row r="52" spans="1:73" ht="16" thickTop="1" thickBot="1">
      <c r="A52" s="1">
        <v>4</v>
      </c>
      <c r="B52" s="1">
        <f t="shared" si="4"/>
        <v>1</v>
      </c>
      <c r="D52" s="98">
        <v>44</v>
      </c>
      <c r="E52" s="239">
        <v>46600</v>
      </c>
      <c r="F52" s="243">
        <v>0</v>
      </c>
      <c r="G52" s="243">
        <v>0</v>
      </c>
      <c r="H52" s="243">
        <v>0</v>
      </c>
      <c r="I52" s="243">
        <v>0</v>
      </c>
      <c r="J52" s="243">
        <v>0</v>
      </c>
      <c r="K52" s="243">
        <v>0</v>
      </c>
      <c r="L52" s="366">
        <v>0</v>
      </c>
      <c r="M52" s="46"/>
      <c r="N52" s="243">
        <v>0</v>
      </c>
      <c r="O52" s="243">
        <v>0</v>
      </c>
      <c r="P52" s="243">
        <v>0</v>
      </c>
      <c r="Q52" s="243">
        <v>0</v>
      </c>
      <c r="R52" s="243">
        <v>0</v>
      </c>
      <c r="S52" s="243">
        <v>0</v>
      </c>
      <c r="T52" s="243">
        <v>0</v>
      </c>
      <c r="U52" s="243">
        <v>0</v>
      </c>
      <c r="V52" s="243">
        <v>0</v>
      </c>
      <c r="W52" s="243">
        <v>0</v>
      </c>
      <c r="X52" s="256">
        <v>0</v>
      </c>
      <c r="Y52" s="253"/>
      <c r="Z52" s="254">
        <v>0</v>
      </c>
      <c r="AA52" s="254">
        <v>0</v>
      </c>
      <c r="AB52" s="254">
        <v>484229.78399257042</v>
      </c>
      <c r="AC52" s="254">
        <v>0</v>
      </c>
      <c r="AD52" s="254">
        <v>0</v>
      </c>
      <c r="AE52" s="254">
        <v>0</v>
      </c>
      <c r="AF52" s="254">
        <v>0</v>
      </c>
      <c r="AG52" s="254">
        <v>0</v>
      </c>
      <c r="AH52" s="254">
        <v>0</v>
      </c>
      <c r="AI52" s="254">
        <v>0</v>
      </c>
      <c r="AJ52" s="254">
        <v>0</v>
      </c>
      <c r="AK52" s="254">
        <v>0</v>
      </c>
      <c r="AL52" s="254">
        <v>0</v>
      </c>
      <c r="AM52" s="254">
        <v>0</v>
      </c>
      <c r="AN52" s="254">
        <v>0</v>
      </c>
      <c r="AO52" s="254">
        <v>0</v>
      </c>
      <c r="AP52" s="254">
        <v>0</v>
      </c>
      <c r="AQ52" s="254">
        <v>0</v>
      </c>
      <c r="AR52" s="254">
        <v>0</v>
      </c>
      <c r="AS52" s="254">
        <v>0</v>
      </c>
      <c r="AT52" s="254">
        <v>0</v>
      </c>
      <c r="AU52" s="254">
        <v>0</v>
      </c>
      <c r="AV52" s="254">
        <v>0</v>
      </c>
      <c r="AW52" s="254">
        <v>0</v>
      </c>
      <c r="AX52" s="256">
        <v>484229.78399257042</v>
      </c>
      <c r="AZ52" s="254">
        <f ca="1"/>
        <v>5204.166666666667</v>
      </c>
      <c r="BA52" s="254">
        <f ca="1"/>
        <v>3122.5</v>
      </c>
      <c r="BB52" s="254">
        <f ca="1"/>
        <v>0</v>
      </c>
      <c r="BC52" s="254">
        <f ca="1"/>
        <v>0</v>
      </c>
      <c r="BD52" s="256">
        <f ca="1"/>
        <v>8326.6666666666679</v>
      </c>
      <c r="BF52" s="254">
        <v>25000</v>
      </c>
      <c r="BG52" s="254">
        <v>4166.666666666667</v>
      </c>
      <c r="BH52" s="254">
        <v>833.33333333333337</v>
      </c>
      <c r="BI52" s="254">
        <v>0</v>
      </c>
      <c r="BJ52" s="243">
        <v>0</v>
      </c>
      <c r="BK52" s="254">
        <v>0</v>
      </c>
      <c r="BL52" s="256">
        <v>30000</v>
      </c>
      <c r="BM52" s="46"/>
      <c r="BN52" s="256">
        <f ca="1"/>
        <v>522556.4506592371</v>
      </c>
      <c r="BP52" s="248">
        <f ca="1"/>
        <v>-522556.4506592371</v>
      </c>
      <c r="BR52" s="248">
        <f ca="1"/>
        <v>-522556.4506592371</v>
      </c>
      <c r="BT52" s="248">
        <f ca="1"/>
        <v>-522556.4506592371</v>
      </c>
      <c r="BU52" s="248">
        <f ca="1"/>
        <v>0</v>
      </c>
    </row>
    <row r="53" spans="1:73" ht="16" thickTop="1" thickBot="1">
      <c r="A53" s="1">
        <v>4</v>
      </c>
      <c r="B53" s="1">
        <f t="shared" si="4"/>
        <v>1</v>
      </c>
      <c r="D53" s="98">
        <v>45</v>
      </c>
      <c r="E53" s="239">
        <v>46631</v>
      </c>
      <c r="F53" s="243">
        <v>0</v>
      </c>
      <c r="G53" s="243">
        <v>0</v>
      </c>
      <c r="H53" s="243">
        <v>0</v>
      </c>
      <c r="I53" s="243">
        <v>0</v>
      </c>
      <c r="J53" s="243">
        <v>0</v>
      </c>
      <c r="K53" s="243">
        <v>0</v>
      </c>
      <c r="L53" s="366">
        <v>0</v>
      </c>
      <c r="M53" s="46"/>
      <c r="N53" s="243">
        <v>0</v>
      </c>
      <c r="O53" s="243">
        <v>0</v>
      </c>
      <c r="P53" s="243">
        <v>0</v>
      </c>
      <c r="Q53" s="243">
        <v>0</v>
      </c>
      <c r="R53" s="243">
        <v>0</v>
      </c>
      <c r="S53" s="243">
        <v>0</v>
      </c>
      <c r="T53" s="243">
        <v>0</v>
      </c>
      <c r="U53" s="243">
        <v>0</v>
      </c>
      <c r="V53" s="243">
        <v>0</v>
      </c>
      <c r="W53" s="243">
        <v>0</v>
      </c>
      <c r="X53" s="256">
        <v>0</v>
      </c>
      <c r="Y53" s="253"/>
      <c r="Z53" s="254">
        <v>0</v>
      </c>
      <c r="AA53" s="254">
        <v>0</v>
      </c>
      <c r="AB53" s="254">
        <v>484229.78399257042</v>
      </c>
      <c r="AC53" s="254">
        <v>0</v>
      </c>
      <c r="AD53" s="254">
        <v>0</v>
      </c>
      <c r="AE53" s="254">
        <v>0</v>
      </c>
      <c r="AF53" s="254">
        <v>0</v>
      </c>
      <c r="AG53" s="254">
        <v>0</v>
      </c>
      <c r="AH53" s="254">
        <v>0</v>
      </c>
      <c r="AI53" s="254">
        <v>0</v>
      </c>
      <c r="AJ53" s="254">
        <v>0</v>
      </c>
      <c r="AK53" s="254">
        <v>0</v>
      </c>
      <c r="AL53" s="254">
        <v>0</v>
      </c>
      <c r="AM53" s="254">
        <v>0</v>
      </c>
      <c r="AN53" s="254">
        <v>0</v>
      </c>
      <c r="AO53" s="254">
        <v>0</v>
      </c>
      <c r="AP53" s="254">
        <v>0</v>
      </c>
      <c r="AQ53" s="254">
        <v>0</v>
      </c>
      <c r="AR53" s="254">
        <v>0</v>
      </c>
      <c r="AS53" s="254">
        <v>0</v>
      </c>
      <c r="AT53" s="254">
        <v>0</v>
      </c>
      <c r="AU53" s="254">
        <v>0</v>
      </c>
      <c r="AV53" s="254">
        <v>0</v>
      </c>
      <c r="AW53" s="254">
        <v>0</v>
      </c>
      <c r="AX53" s="256">
        <v>484229.78399257042</v>
      </c>
      <c r="AZ53" s="254">
        <f ca="1"/>
        <v>5204.166666666667</v>
      </c>
      <c r="BA53" s="254">
        <f ca="1"/>
        <v>3122.5</v>
      </c>
      <c r="BB53" s="254">
        <f ca="1"/>
        <v>0</v>
      </c>
      <c r="BC53" s="254">
        <f ca="1"/>
        <v>0</v>
      </c>
      <c r="BD53" s="256">
        <f ca="1"/>
        <v>8326.6666666666679</v>
      </c>
      <c r="BF53" s="254">
        <v>25000</v>
      </c>
      <c r="BG53" s="254">
        <v>4166.666666666667</v>
      </c>
      <c r="BH53" s="254">
        <v>833.33333333333337</v>
      </c>
      <c r="BI53" s="254">
        <v>0</v>
      </c>
      <c r="BJ53" s="243">
        <v>0</v>
      </c>
      <c r="BK53" s="254">
        <v>0</v>
      </c>
      <c r="BL53" s="256">
        <v>30000</v>
      </c>
      <c r="BM53" s="46"/>
      <c r="BN53" s="256">
        <f ca="1"/>
        <v>522556.4506592371</v>
      </c>
      <c r="BP53" s="248">
        <f ca="1"/>
        <v>-522556.4506592371</v>
      </c>
      <c r="BR53" s="248">
        <f ca="1"/>
        <v>-522556.4506592371</v>
      </c>
      <c r="BT53" s="248">
        <f ca="1"/>
        <v>-522556.4506592371</v>
      </c>
      <c r="BU53" s="248">
        <f ca="1"/>
        <v>0</v>
      </c>
    </row>
    <row r="54" spans="1:73" ht="16" thickTop="1" thickBot="1">
      <c r="A54" s="1">
        <v>4</v>
      </c>
      <c r="B54" s="1">
        <f t="shared" si="4"/>
        <v>1</v>
      </c>
      <c r="D54" s="98">
        <v>46</v>
      </c>
      <c r="E54" s="239">
        <v>46661</v>
      </c>
      <c r="F54" s="243">
        <v>0</v>
      </c>
      <c r="G54" s="243">
        <v>0</v>
      </c>
      <c r="H54" s="243">
        <v>0</v>
      </c>
      <c r="I54" s="243">
        <v>0</v>
      </c>
      <c r="J54" s="243">
        <v>0</v>
      </c>
      <c r="K54" s="243">
        <v>0</v>
      </c>
      <c r="L54" s="366">
        <v>0</v>
      </c>
      <c r="M54" s="46"/>
      <c r="N54" s="243">
        <v>0</v>
      </c>
      <c r="O54" s="243">
        <v>0</v>
      </c>
      <c r="P54" s="243">
        <v>0</v>
      </c>
      <c r="Q54" s="243">
        <v>0</v>
      </c>
      <c r="R54" s="243">
        <v>0</v>
      </c>
      <c r="S54" s="243">
        <v>0</v>
      </c>
      <c r="T54" s="243">
        <v>0</v>
      </c>
      <c r="U54" s="243">
        <v>0</v>
      </c>
      <c r="V54" s="243">
        <v>0</v>
      </c>
      <c r="W54" s="243">
        <v>0</v>
      </c>
      <c r="X54" s="256">
        <v>0</v>
      </c>
      <c r="Y54" s="253"/>
      <c r="Z54" s="254">
        <v>0</v>
      </c>
      <c r="AA54" s="254">
        <v>0</v>
      </c>
      <c r="AB54" s="254">
        <v>484229.78399257042</v>
      </c>
      <c r="AC54" s="254">
        <v>0</v>
      </c>
      <c r="AD54" s="254">
        <v>0</v>
      </c>
      <c r="AE54" s="254">
        <v>0</v>
      </c>
      <c r="AF54" s="254">
        <v>0</v>
      </c>
      <c r="AG54" s="254">
        <v>0</v>
      </c>
      <c r="AH54" s="254">
        <v>0</v>
      </c>
      <c r="AI54" s="254">
        <v>0</v>
      </c>
      <c r="AJ54" s="254">
        <v>0</v>
      </c>
      <c r="AK54" s="254">
        <v>0</v>
      </c>
      <c r="AL54" s="254">
        <v>0</v>
      </c>
      <c r="AM54" s="254">
        <v>0</v>
      </c>
      <c r="AN54" s="254">
        <v>0</v>
      </c>
      <c r="AO54" s="254">
        <v>0</v>
      </c>
      <c r="AP54" s="254">
        <v>0</v>
      </c>
      <c r="AQ54" s="254">
        <v>0</v>
      </c>
      <c r="AR54" s="254">
        <v>0</v>
      </c>
      <c r="AS54" s="254">
        <v>0</v>
      </c>
      <c r="AT54" s="254">
        <v>0</v>
      </c>
      <c r="AU54" s="254">
        <v>0</v>
      </c>
      <c r="AV54" s="254">
        <v>0</v>
      </c>
      <c r="AW54" s="254">
        <v>0</v>
      </c>
      <c r="AX54" s="256">
        <v>484229.78399257042</v>
      </c>
      <c r="AZ54" s="254">
        <f ca="1"/>
        <v>5204.166666666667</v>
      </c>
      <c r="BA54" s="254">
        <f ca="1"/>
        <v>3122.5</v>
      </c>
      <c r="BB54" s="254">
        <f ca="1"/>
        <v>0</v>
      </c>
      <c r="BC54" s="254">
        <f ca="1"/>
        <v>0</v>
      </c>
      <c r="BD54" s="256">
        <f ca="1"/>
        <v>8326.6666666666679</v>
      </c>
      <c r="BF54" s="254">
        <v>25000</v>
      </c>
      <c r="BG54" s="254">
        <v>4166.666666666667</v>
      </c>
      <c r="BH54" s="254">
        <v>833.33333333333337</v>
      </c>
      <c r="BI54" s="254">
        <v>0</v>
      </c>
      <c r="BJ54" s="243">
        <v>0</v>
      </c>
      <c r="BK54" s="254">
        <v>0</v>
      </c>
      <c r="BL54" s="256">
        <v>30000</v>
      </c>
      <c r="BM54" s="46"/>
      <c r="BN54" s="256">
        <f ca="1"/>
        <v>522556.4506592371</v>
      </c>
      <c r="BP54" s="248">
        <f ca="1"/>
        <v>-522556.4506592371</v>
      </c>
      <c r="BR54" s="248">
        <f ca="1"/>
        <v>-522556.4506592371</v>
      </c>
      <c r="BT54" s="248">
        <f ca="1"/>
        <v>-522556.4506592371</v>
      </c>
      <c r="BU54" s="248">
        <f ca="1"/>
        <v>0</v>
      </c>
    </row>
    <row r="55" spans="1:73" ht="16" thickTop="1" thickBot="1">
      <c r="A55" s="1">
        <v>4</v>
      </c>
      <c r="B55" s="1">
        <f t="shared" si="4"/>
        <v>1</v>
      </c>
      <c r="D55" s="98">
        <v>47</v>
      </c>
      <c r="E55" s="239">
        <v>46692</v>
      </c>
      <c r="F55" s="243">
        <v>0</v>
      </c>
      <c r="G55" s="243">
        <v>0</v>
      </c>
      <c r="H55" s="243">
        <v>0</v>
      </c>
      <c r="I55" s="243">
        <v>0</v>
      </c>
      <c r="J55" s="243">
        <v>0</v>
      </c>
      <c r="K55" s="243">
        <v>0</v>
      </c>
      <c r="L55" s="366">
        <v>0</v>
      </c>
      <c r="M55" s="46"/>
      <c r="N55" s="243">
        <v>0</v>
      </c>
      <c r="O55" s="243">
        <v>0</v>
      </c>
      <c r="P55" s="243">
        <v>0</v>
      </c>
      <c r="Q55" s="243">
        <v>0</v>
      </c>
      <c r="R55" s="243">
        <v>0</v>
      </c>
      <c r="S55" s="243">
        <v>0</v>
      </c>
      <c r="T55" s="243">
        <v>0</v>
      </c>
      <c r="U55" s="243">
        <v>0</v>
      </c>
      <c r="V55" s="243">
        <v>0</v>
      </c>
      <c r="W55" s="243">
        <v>0</v>
      </c>
      <c r="X55" s="256">
        <v>0</v>
      </c>
      <c r="Y55" s="253"/>
      <c r="Z55" s="254">
        <v>0</v>
      </c>
      <c r="AA55" s="254">
        <v>0</v>
      </c>
      <c r="AB55" s="254">
        <v>484229.78399257042</v>
      </c>
      <c r="AC55" s="254">
        <v>0</v>
      </c>
      <c r="AD55" s="254">
        <v>0</v>
      </c>
      <c r="AE55" s="254">
        <v>0</v>
      </c>
      <c r="AF55" s="254">
        <v>0</v>
      </c>
      <c r="AG55" s="254">
        <v>0</v>
      </c>
      <c r="AH55" s="254">
        <v>0</v>
      </c>
      <c r="AI55" s="254">
        <v>0</v>
      </c>
      <c r="AJ55" s="254">
        <v>0</v>
      </c>
      <c r="AK55" s="254">
        <v>0</v>
      </c>
      <c r="AL55" s="254">
        <v>0</v>
      </c>
      <c r="AM55" s="254">
        <v>0</v>
      </c>
      <c r="AN55" s="254">
        <v>0</v>
      </c>
      <c r="AO55" s="254">
        <v>0</v>
      </c>
      <c r="AP55" s="254">
        <v>0</v>
      </c>
      <c r="AQ55" s="254">
        <v>0</v>
      </c>
      <c r="AR55" s="254">
        <v>0</v>
      </c>
      <c r="AS55" s="254">
        <v>0</v>
      </c>
      <c r="AT55" s="254">
        <v>0</v>
      </c>
      <c r="AU55" s="254">
        <v>0</v>
      </c>
      <c r="AV55" s="254">
        <v>0</v>
      </c>
      <c r="AW55" s="254">
        <v>0</v>
      </c>
      <c r="AX55" s="256">
        <v>484229.78399257042</v>
      </c>
      <c r="AZ55" s="254">
        <f ca="1"/>
        <v>5204.166666666667</v>
      </c>
      <c r="BA55" s="254">
        <f ca="1"/>
        <v>3122.5</v>
      </c>
      <c r="BB55" s="254">
        <f ca="1"/>
        <v>0</v>
      </c>
      <c r="BC55" s="254">
        <f ca="1"/>
        <v>0</v>
      </c>
      <c r="BD55" s="256">
        <f ca="1"/>
        <v>8326.6666666666679</v>
      </c>
      <c r="BF55" s="254">
        <v>25000</v>
      </c>
      <c r="BG55" s="254">
        <v>4166.666666666667</v>
      </c>
      <c r="BH55" s="254">
        <v>833.33333333333337</v>
      </c>
      <c r="BI55" s="254">
        <v>0</v>
      </c>
      <c r="BJ55" s="243">
        <v>0</v>
      </c>
      <c r="BK55" s="254">
        <v>0</v>
      </c>
      <c r="BL55" s="256">
        <v>30000</v>
      </c>
      <c r="BM55" s="46"/>
      <c r="BN55" s="256">
        <f ca="1"/>
        <v>522556.4506592371</v>
      </c>
      <c r="BP55" s="248">
        <f ca="1"/>
        <v>-522556.4506592371</v>
      </c>
      <c r="BR55" s="248">
        <f ca="1"/>
        <v>-522556.4506592371</v>
      </c>
      <c r="BT55" s="248">
        <f ca="1"/>
        <v>-522556.4506592371</v>
      </c>
      <c r="BU55" s="248">
        <f ca="1"/>
        <v>0</v>
      </c>
    </row>
    <row r="56" spans="1:73" ht="16" thickTop="1" thickBot="1">
      <c r="A56" s="1">
        <v>4</v>
      </c>
      <c r="B56" s="1">
        <f t="shared" si="4"/>
        <v>1</v>
      </c>
      <c r="D56" s="98">
        <v>48</v>
      </c>
      <c r="E56" s="239">
        <v>46722</v>
      </c>
      <c r="F56" s="243">
        <v>77853273.133017659</v>
      </c>
      <c r="G56" s="243">
        <v>159477683.96201816</v>
      </c>
      <c r="H56" s="243">
        <v>-42170522.947051242</v>
      </c>
      <c r="I56" s="243">
        <v>195160434.14798459</v>
      </c>
      <c r="J56" s="243">
        <v>-5854813.024439537</v>
      </c>
      <c r="K56" s="243">
        <v>-1951604.3414798456</v>
      </c>
      <c r="L56" s="366">
        <v>187354016.78206518</v>
      </c>
      <c r="M56" s="46"/>
      <c r="N56" s="243">
        <v>0</v>
      </c>
      <c r="O56" s="243">
        <v>0</v>
      </c>
      <c r="P56" s="243">
        <v>0</v>
      </c>
      <c r="Q56" s="243">
        <v>0</v>
      </c>
      <c r="R56" s="243">
        <v>0</v>
      </c>
      <c r="S56" s="243">
        <v>0</v>
      </c>
      <c r="T56" s="243">
        <v>0</v>
      </c>
      <c r="U56" s="243">
        <v>0</v>
      </c>
      <c r="V56" s="243">
        <v>0</v>
      </c>
      <c r="W56" s="243">
        <v>0</v>
      </c>
      <c r="X56" s="256">
        <v>0</v>
      </c>
      <c r="Y56" s="253"/>
      <c r="Z56" s="254">
        <v>0</v>
      </c>
      <c r="AA56" s="254">
        <v>0</v>
      </c>
      <c r="AB56" s="254">
        <v>0</v>
      </c>
      <c r="AC56" s="254">
        <v>106128.53878073423</v>
      </c>
      <c r="AD56" s="254">
        <v>0</v>
      </c>
      <c r="AE56" s="254">
        <v>0</v>
      </c>
      <c r="AF56" s="254">
        <v>0</v>
      </c>
      <c r="AG56" s="254">
        <v>0</v>
      </c>
      <c r="AH56" s="254">
        <v>0</v>
      </c>
      <c r="AI56" s="254">
        <v>0</v>
      </c>
      <c r="AJ56" s="254">
        <v>0</v>
      </c>
      <c r="AK56" s="254">
        <v>0</v>
      </c>
      <c r="AL56" s="254">
        <v>0</v>
      </c>
      <c r="AM56" s="254">
        <v>0</v>
      </c>
      <c r="AN56" s="254">
        <v>0</v>
      </c>
      <c r="AO56" s="254">
        <v>0</v>
      </c>
      <c r="AP56" s="254">
        <v>0</v>
      </c>
      <c r="AQ56" s="254">
        <v>0</v>
      </c>
      <c r="AR56" s="254">
        <v>0</v>
      </c>
      <c r="AS56" s="254">
        <v>0</v>
      </c>
      <c r="AT56" s="254">
        <v>0</v>
      </c>
      <c r="AU56" s="254">
        <v>0</v>
      </c>
      <c r="AV56" s="254">
        <v>0</v>
      </c>
      <c r="AW56" s="254">
        <v>0</v>
      </c>
      <c r="AX56" s="256">
        <v>106128.53878073423</v>
      </c>
      <c r="AZ56" s="254">
        <f ca="1"/>
        <v>3112.5</v>
      </c>
      <c r="BA56" s="254">
        <f ca="1"/>
        <v>1867.5</v>
      </c>
      <c r="BB56" s="254">
        <f ca="1"/>
        <v>0</v>
      </c>
      <c r="BC56" s="254">
        <f ca="1"/>
        <v>0</v>
      </c>
      <c r="BD56" s="256">
        <f ca="1"/>
        <v>4980</v>
      </c>
      <c r="BF56" s="254">
        <v>25000</v>
      </c>
      <c r="BG56" s="254">
        <v>4166.666666666667</v>
      </c>
      <c r="BH56" s="254">
        <v>833.33333333333337</v>
      </c>
      <c r="BI56" s="254">
        <v>0</v>
      </c>
      <c r="BJ56" s="243">
        <v>0</v>
      </c>
      <c r="BK56" s="254">
        <v>1951604.341479846</v>
      </c>
      <c r="BL56" s="256">
        <v>1981604.341479846</v>
      </c>
      <c r="BM56" s="46"/>
      <c r="BN56" s="256">
        <f ca="1"/>
        <v>2092712.8802605802</v>
      </c>
      <c r="BP56" s="248">
        <f ca="1"/>
        <v>185261303.9018046</v>
      </c>
      <c r="BR56" s="248">
        <f ca="1"/>
        <v>185261303.9018046</v>
      </c>
      <c r="BT56" s="248">
        <f ca="1"/>
        <v>0</v>
      </c>
      <c r="BU56" s="248">
        <f ca="1"/>
        <v>185261303.9018046</v>
      </c>
    </row>
    <row r="57" spans="1:73" ht="16" thickTop="1" thickBot="1">
      <c r="A57" s="1">
        <v>5</v>
      </c>
      <c r="B57" s="1">
        <f t="shared" si="4"/>
        <v>1</v>
      </c>
      <c r="D57" s="98">
        <v>49</v>
      </c>
      <c r="E57" s="239">
        <v>46753</v>
      </c>
      <c r="F57" s="243">
        <v>0</v>
      </c>
      <c r="G57" s="243">
        <v>0</v>
      </c>
      <c r="H57" s="243">
        <v>0</v>
      </c>
      <c r="I57" s="243">
        <v>0</v>
      </c>
      <c r="J57" s="243">
        <v>0</v>
      </c>
      <c r="K57" s="243">
        <v>0</v>
      </c>
      <c r="L57" s="366">
        <v>0</v>
      </c>
      <c r="M57" s="46"/>
      <c r="N57" s="243">
        <v>0</v>
      </c>
      <c r="O57" s="243">
        <v>0</v>
      </c>
      <c r="P57" s="243">
        <v>0</v>
      </c>
      <c r="Q57" s="243">
        <v>0</v>
      </c>
      <c r="R57" s="243">
        <v>0</v>
      </c>
      <c r="S57" s="243">
        <v>0</v>
      </c>
      <c r="T57" s="243">
        <v>0</v>
      </c>
      <c r="U57" s="243">
        <v>0</v>
      </c>
      <c r="V57" s="243">
        <v>0</v>
      </c>
      <c r="W57" s="243">
        <v>0</v>
      </c>
      <c r="X57" s="256">
        <v>0</v>
      </c>
      <c r="Y57" s="253"/>
      <c r="Z57" s="254">
        <v>0</v>
      </c>
      <c r="AA57" s="254">
        <v>0</v>
      </c>
      <c r="AB57" s="254">
        <v>0</v>
      </c>
      <c r="AC57" s="254">
        <v>106128.53878073423</v>
      </c>
      <c r="AD57" s="254">
        <v>0</v>
      </c>
      <c r="AE57" s="254">
        <v>0</v>
      </c>
      <c r="AF57" s="254">
        <v>0</v>
      </c>
      <c r="AG57" s="254">
        <v>0</v>
      </c>
      <c r="AH57" s="254">
        <v>0</v>
      </c>
      <c r="AI57" s="254">
        <v>0</v>
      </c>
      <c r="AJ57" s="254">
        <v>0</v>
      </c>
      <c r="AK57" s="254">
        <v>0</v>
      </c>
      <c r="AL57" s="254">
        <v>0</v>
      </c>
      <c r="AM57" s="254">
        <v>0</v>
      </c>
      <c r="AN57" s="254">
        <v>0</v>
      </c>
      <c r="AO57" s="254">
        <v>0</v>
      </c>
      <c r="AP57" s="254">
        <v>0</v>
      </c>
      <c r="AQ57" s="254">
        <v>0</v>
      </c>
      <c r="AR57" s="254">
        <v>0</v>
      </c>
      <c r="AS57" s="254">
        <v>0</v>
      </c>
      <c r="AT57" s="254">
        <v>0</v>
      </c>
      <c r="AU57" s="254">
        <v>0</v>
      </c>
      <c r="AV57" s="254">
        <v>0</v>
      </c>
      <c r="AW57" s="254">
        <v>0</v>
      </c>
      <c r="AX57" s="256">
        <v>106128.53878073423</v>
      </c>
      <c r="AZ57" s="254">
        <f ca="1"/>
        <v>3112.5</v>
      </c>
      <c r="BA57" s="254">
        <f ca="1"/>
        <v>1867.5</v>
      </c>
      <c r="BB57" s="254">
        <f ca="1"/>
        <v>0</v>
      </c>
      <c r="BC57" s="254">
        <f ca="1"/>
        <v>0</v>
      </c>
      <c r="BD57" s="256">
        <f ca="1"/>
        <v>4980</v>
      </c>
      <c r="BF57" s="254">
        <v>25000</v>
      </c>
      <c r="BG57" s="254">
        <v>4166.666666666667</v>
      </c>
      <c r="BH57" s="254">
        <v>833.33333333333337</v>
      </c>
      <c r="BI57" s="254">
        <v>0</v>
      </c>
      <c r="BJ57" s="243">
        <v>0</v>
      </c>
      <c r="BK57" s="254">
        <v>0</v>
      </c>
      <c r="BL57" s="256">
        <v>30000</v>
      </c>
      <c r="BM57" s="46"/>
      <c r="BN57" s="256">
        <f ca="1"/>
        <v>141108.53878073423</v>
      </c>
      <c r="BP57" s="248">
        <f ca="1"/>
        <v>-141108.53878073423</v>
      </c>
      <c r="BR57" s="248">
        <f ca="1"/>
        <v>-141108.53878073423</v>
      </c>
      <c r="BT57" s="248">
        <f ca="1"/>
        <v>-141108.53878073423</v>
      </c>
      <c r="BU57" s="248">
        <f ca="1"/>
        <v>0</v>
      </c>
    </row>
    <row r="58" spans="1:73" ht="16" thickTop="1" thickBot="1">
      <c r="A58" s="1">
        <v>5</v>
      </c>
      <c r="B58" s="1">
        <f t="shared" si="4"/>
        <v>1</v>
      </c>
      <c r="D58" s="98">
        <v>50</v>
      </c>
      <c r="E58" s="239">
        <v>46784</v>
      </c>
      <c r="F58" s="243">
        <v>0</v>
      </c>
      <c r="G58" s="243">
        <v>0</v>
      </c>
      <c r="H58" s="243">
        <v>0</v>
      </c>
      <c r="I58" s="243">
        <v>0</v>
      </c>
      <c r="J58" s="243">
        <v>0</v>
      </c>
      <c r="K58" s="243">
        <v>0</v>
      </c>
      <c r="L58" s="366">
        <v>0</v>
      </c>
      <c r="M58" s="46"/>
      <c r="N58" s="243">
        <v>0</v>
      </c>
      <c r="O58" s="243">
        <v>0</v>
      </c>
      <c r="P58" s="243">
        <v>0</v>
      </c>
      <c r="Q58" s="243">
        <v>0</v>
      </c>
      <c r="R58" s="243">
        <v>0</v>
      </c>
      <c r="S58" s="243">
        <v>0</v>
      </c>
      <c r="T58" s="243">
        <v>0</v>
      </c>
      <c r="U58" s="243">
        <v>0</v>
      </c>
      <c r="V58" s="243">
        <v>0</v>
      </c>
      <c r="W58" s="243">
        <v>0</v>
      </c>
      <c r="X58" s="256">
        <v>0</v>
      </c>
      <c r="Y58" s="253"/>
      <c r="Z58" s="254">
        <v>0</v>
      </c>
      <c r="AA58" s="254">
        <v>0</v>
      </c>
      <c r="AB58" s="254">
        <v>0</v>
      </c>
      <c r="AC58" s="254">
        <v>106128.53878073423</v>
      </c>
      <c r="AD58" s="254">
        <v>0</v>
      </c>
      <c r="AE58" s="254">
        <v>0</v>
      </c>
      <c r="AF58" s="254">
        <v>0</v>
      </c>
      <c r="AG58" s="254">
        <v>0</v>
      </c>
      <c r="AH58" s="254">
        <v>0</v>
      </c>
      <c r="AI58" s="254">
        <v>0</v>
      </c>
      <c r="AJ58" s="254">
        <v>0</v>
      </c>
      <c r="AK58" s="254">
        <v>0</v>
      </c>
      <c r="AL58" s="254">
        <v>0</v>
      </c>
      <c r="AM58" s="254">
        <v>0</v>
      </c>
      <c r="AN58" s="254">
        <v>0</v>
      </c>
      <c r="AO58" s="254">
        <v>0</v>
      </c>
      <c r="AP58" s="254">
        <v>0</v>
      </c>
      <c r="AQ58" s="254">
        <v>0</v>
      </c>
      <c r="AR58" s="254">
        <v>0</v>
      </c>
      <c r="AS58" s="254">
        <v>0</v>
      </c>
      <c r="AT58" s="254">
        <v>0</v>
      </c>
      <c r="AU58" s="254">
        <v>0</v>
      </c>
      <c r="AV58" s="254">
        <v>0</v>
      </c>
      <c r="AW58" s="254">
        <v>0</v>
      </c>
      <c r="AX58" s="256">
        <v>106128.53878073423</v>
      </c>
      <c r="AZ58" s="254">
        <f ca="1"/>
        <v>3112.5</v>
      </c>
      <c r="BA58" s="254">
        <f ca="1"/>
        <v>1867.5</v>
      </c>
      <c r="BB58" s="254">
        <f ca="1"/>
        <v>0</v>
      </c>
      <c r="BC58" s="254">
        <f ca="1"/>
        <v>0</v>
      </c>
      <c r="BD58" s="256">
        <f ca="1"/>
        <v>4980</v>
      </c>
      <c r="BF58" s="254">
        <v>25000</v>
      </c>
      <c r="BG58" s="254">
        <v>4166.666666666667</v>
      </c>
      <c r="BH58" s="254">
        <v>833.33333333333337</v>
      </c>
      <c r="BI58" s="254">
        <v>0</v>
      </c>
      <c r="BJ58" s="243">
        <v>0</v>
      </c>
      <c r="BK58" s="254">
        <v>0</v>
      </c>
      <c r="BL58" s="256">
        <v>30000</v>
      </c>
      <c r="BM58" s="46"/>
      <c r="BN58" s="256">
        <f ca="1"/>
        <v>141108.53878073423</v>
      </c>
      <c r="BP58" s="248">
        <f ca="1"/>
        <v>-141108.53878073423</v>
      </c>
      <c r="BR58" s="248">
        <f ca="1"/>
        <v>-141108.53878073423</v>
      </c>
      <c r="BT58" s="248">
        <f ca="1"/>
        <v>-141108.53878073423</v>
      </c>
      <c r="BU58" s="248">
        <f ca="1"/>
        <v>0</v>
      </c>
    </row>
    <row r="59" spans="1:73" ht="16" thickTop="1" thickBot="1">
      <c r="A59" s="1">
        <v>5</v>
      </c>
      <c r="B59" s="1">
        <f t="shared" si="4"/>
        <v>1</v>
      </c>
      <c r="D59" s="98">
        <v>51</v>
      </c>
      <c r="E59" s="239">
        <v>46813</v>
      </c>
      <c r="F59" s="243">
        <v>0</v>
      </c>
      <c r="G59" s="243">
        <v>0</v>
      </c>
      <c r="H59" s="243">
        <v>0</v>
      </c>
      <c r="I59" s="243">
        <v>0</v>
      </c>
      <c r="J59" s="243">
        <v>0</v>
      </c>
      <c r="K59" s="243">
        <v>0</v>
      </c>
      <c r="L59" s="366">
        <v>0</v>
      </c>
      <c r="M59" s="46"/>
      <c r="N59" s="243">
        <v>0</v>
      </c>
      <c r="O59" s="243">
        <v>0</v>
      </c>
      <c r="P59" s="243">
        <v>0</v>
      </c>
      <c r="Q59" s="243">
        <v>0</v>
      </c>
      <c r="R59" s="243">
        <v>0</v>
      </c>
      <c r="S59" s="243">
        <v>0</v>
      </c>
      <c r="T59" s="243">
        <v>0</v>
      </c>
      <c r="U59" s="243">
        <v>0</v>
      </c>
      <c r="V59" s="243">
        <v>0</v>
      </c>
      <c r="W59" s="243">
        <v>0</v>
      </c>
      <c r="X59" s="256">
        <v>0</v>
      </c>
      <c r="Y59" s="253"/>
      <c r="Z59" s="254">
        <v>0</v>
      </c>
      <c r="AA59" s="254">
        <v>0</v>
      </c>
      <c r="AB59" s="254">
        <v>0</v>
      </c>
      <c r="AC59" s="254">
        <v>106128.53878073423</v>
      </c>
      <c r="AD59" s="254">
        <v>0</v>
      </c>
      <c r="AE59" s="254">
        <v>0</v>
      </c>
      <c r="AF59" s="254">
        <v>0</v>
      </c>
      <c r="AG59" s="254">
        <v>0</v>
      </c>
      <c r="AH59" s="254">
        <v>0</v>
      </c>
      <c r="AI59" s="254">
        <v>0</v>
      </c>
      <c r="AJ59" s="254">
        <v>0</v>
      </c>
      <c r="AK59" s="254">
        <v>0</v>
      </c>
      <c r="AL59" s="254">
        <v>0</v>
      </c>
      <c r="AM59" s="254">
        <v>0</v>
      </c>
      <c r="AN59" s="254">
        <v>0</v>
      </c>
      <c r="AO59" s="254">
        <v>0</v>
      </c>
      <c r="AP59" s="254">
        <v>0</v>
      </c>
      <c r="AQ59" s="254">
        <v>0</v>
      </c>
      <c r="AR59" s="254">
        <v>0</v>
      </c>
      <c r="AS59" s="254">
        <v>0</v>
      </c>
      <c r="AT59" s="254">
        <v>0</v>
      </c>
      <c r="AU59" s="254">
        <v>0</v>
      </c>
      <c r="AV59" s="254">
        <v>0</v>
      </c>
      <c r="AW59" s="254">
        <v>0</v>
      </c>
      <c r="AX59" s="256">
        <v>106128.53878073423</v>
      </c>
      <c r="AZ59" s="254">
        <f ca="1"/>
        <v>3112.5</v>
      </c>
      <c r="BA59" s="254">
        <f ca="1"/>
        <v>1867.5</v>
      </c>
      <c r="BB59" s="254">
        <f ca="1"/>
        <v>0</v>
      </c>
      <c r="BC59" s="254">
        <f ca="1"/>
        <v>0</v>
      </c>
      <c r="BD59" s="256">
        <f ca="1"/>
        <v>4980</v>
      </c>
      <c r="BF59" s="254">
        <v>25000</v>
      </c>
      <c r="BG59" s="254">
        <v>4166.666666666667</v>
      </c>
      <c r="BH59" s="254">
        <v>833.33333333333337</v>
      </c>
      <c r="BI59" s="254">
        <v>0</v>
      </c>
      <c r="BJ59" s="243">
        <v>0</v>
      </c>
      <c r="BK59" s="254">
        <v>0</v>
      </c>
      <c r="BL59" s="256">
        <v>30000</v>
      </c>
      <c r="BM59" s="46"/>
      <c r="BN59" s="256">
        <f ca="1"/>
        <v>141108.53878073423</v>
      </c>
      <c r="BP59" s="248">
        <f ca="1"/>
        <v>-141108.53878073423</v>
      </c>
      <c r="BR59" s="248">
        <f ca="1"/>
        <v>-141108.53878073423</v>
      </c>
      <c r="BT59" s="248">
        <f ca="1"/>
        <v>-141108.53878073423</v>
      </c>
      <c r="BU59" s="248">
        <f ca="1"/>
        <v>0</v>
      </c>
    </row>
    <row r="60" spans="1:73" ht="16" thickTop="1" thickBot="1">
      <c r="A60" s="1">
        <v>5</v>
      </c>
      <c r="B60" s="1">
        <f t="shared" si="4"/>
        <v>1</v>
      </c>
      <c r="D60" s="98">
        <v>52</v>
      </c>
      <c r="E60" s="239">
        <v>46844</v>
      </c>
      <c r="F60" s="243">
        <v>0</v>
      </c>
      <c r="G60" s="243">
        <v>0</v>
      </c>
      <c r="H60" s="243">
        <v>0</v>
      </c>
      <c r="I60" s="243">
        <v>0</v>
      </c>
      <c r="J60" s="243">
        <v>0</v>
      </c>
      <c r="K60" s="243">
        <v>0</v>
      </c>
      <c r="L60" s="366">
        <v>0</v>
      </c>
      <c r="M60" s="46"/>
      <c r="N60" s="243">
        <v>0</v>
      </c>
      <c r="O60" s="243">
        <v>0</v>
      </c>
      <c r="P60" s="243">
        <v>0</v>
      </c>
      <c r="Q60" s="243">
        <v>0</v>
      </c>
      <c r="R60" s="243">
        <v>0</v>
      </c>
      <c r="S60" s="243">
        <v>0</v>
      </c>
      <c r="T60" s="243">
        <v>0</v>
      </c>
      <c r="U60" s="243">
        <v>0</v>
      </c>
      <c r="V60" s="243">
        <v>0</v>
      </c>
      <c r="W60" s="243">
        <v>0</v>
      </c>
      <c r="X60" s="256">
        <v>0</v>
      </c>
      <c r="Y60" s="253"/>
      <c r="Z60" s="254">
        <v>0</v>
      </c>
      <c r="AA60" s="254">
        <v>0</v>
      </c>
      <c r="AB60" s="254">
        <v>0</v>
      </c>
      <c r="AC60" s="254">
        <v>106128.53878073423</v>
      </c>
      <c r="AD60" s="254">
        <v>0</v>
      </c>
      <c r="AE60" s="254">
        <v>0</v>
      </c>
      <c r="AF60" s="254">
        <v>0</v>
      </c>
      <c r="AG60" s="254">
        <v>0</v>
      </c>
      <c r="AH60" s="254">
        <v>0</v>
      </c>
      <c r="AI60" s="254">
        <v>0</v>
      </c>
      <c r="AJ60" s="254">
        <v>0</v>
      </c>
      <c r="AK60" s="254">
        <v>0</v>
      </c>
      <c r="AL60" s="254">
        <v>0</v>
      </c>
      <c r="AM60" s="254">
        <v>0</v>
      </c>
      <c r="AN60" s="254">
        <v>0</v>
      </c>
      <c r="AO60" s="254">
        <v>0</v>
      </c>
      <c r="AP60" s="254">
        <v>0</v>
      </c>
      <c r="AQ60" s="254">
        <v>0</v>
      </c>
      <c r="AR60" s="254">
        <v>0</v>
      </c>
      <c r="AS60" s="254">
        <v>0</v>
      </c>
      <c r="AT60" s="254">
        <v>0</v>
      </c>
      <c r="AU60" s="254">
        <v>0</v>
      </c>
      <c r="AV60" s="254">
        <v>0</v>
      </c>
      <c r="AW60" s="254">
        <v>0</v>
      </c>
      <c r="AX60" s="256">
        <v>106128.53878073423</v>
      </c>
      <c r="AZ60" s="254">
        <f ca="1"/>
        <v>3112.5</v>
      </c>
      <c r="BA60" s="254">
        <f ca="1"/>
        <v>1867.5</v>
      </c>
      <c r="BB60" s="254">
        <f ca="1"/>
        <v>0</v>
      </c>
      <c r="BC60" s="254">
        <f ca="1"/>
        <v>0</v>
      </c>
      <c r="BD60" s="256">
        <f ca="1"/>
        <v>4980</v>
      </c>
      <c r="BF60" s="254">
        <v>25000</v>
      </c>
      <c r="BG60" s="254">
        <v>4166.666666666667</v>
      </c>
      <c r="BH60" s="254">
        <v>833.33333333333337</v>
      </c>
      <c r="BI60" s="254">
        <v>0</v>
      </c>
      <c r="BJ60" s="243">
        <v>0</v>
      </c>
      <c r="BK60" s="254">
        <v>0</v>
      </c>
      <c r="BL60" s="256">
        <v>30000</v>
      </c>
      <c r="BM60" s="46"/>
      <c r="BN60" s="256">
        <f ca="1"/>
        <v>141108.53878073423</v>
      </c>
      <c r="BP60" s="248">
        <f ca="1"/>
        <v>-141108.53878073423</v>
      </c>
      <c r="BR60" s="248">
        <f ca="1"/>
        <v>-141108.53878073423</v>
      </c>
      <c r="BT60" s="248">
        <f ca="1"/>
        <v>-141108.53878073423</v>
      </c>
      <c r="BU60" s="248">
        <f ca="1"/>
        <v>0</v>
      </c>
    </row>
    <row r="61" spans="1:73" ht="16" thickTop="1" thickBot="1">
      <c r="A61" s="1">
        <v>5</v>
      </c>
      <c r="B61" s="1">
        <f t="shared" si="4"/>
        <v>1</v>
      </c>
      <c r="D61" s="98">
        <v>53</v>
      </c>
      <c r="E61" s="239">
        <v>46874</v>
      </c>
      <c r="F61" s="243">
        <v>0</v>
      </c>
      <c r="G61" s="243">
        <v>0</v>
      </c>
      <c r="H61" s="243">
        <v>0</v>
      </c>
      <c r="I61" s="243">
        <v>0</v>
      </c>
      <c r="J61" s="243">
        <v>0</v>
      </c>
      <c r="K61" s="243">
        <v>0</v>
      </c>
      <c r="L61" s="366">
        <v>0</v>
      </c>
      <c r="M61" s="46"/>
      <c r="N61" s="243">
        <v>0</v>
      </c>
      <c r="O61" s="243">
        <v>0</v>
      </c>
      <c r="P61" s="243">
        <v>0</v>
      </c>
      <c r="Q61" s="243">
        <v>0</v>
      </c>
      <c r="R61" s="243">
        <v>0</v>
      </c>
      <c r="S61" s="243">
        <v>0</v>
      </c>
      <c r="T61" s="243">
        <v>0</v>
      </c>
      <c r="U61" s="243">
        <v>0</v>
      </c>
      <c r="V61" s="243">
        <v>0</v>
      </c>
      <c r="W61" s="243">
        <v>0</v>
      </c>
      <c r="X61" s="256">
        <v>0</v>
      </c>
      <c r="Y61" s="253"/>
      <c r="Z61" s="254">
        <v>0</v>
      </c>
      <c r="AA61" s="254">
        <v>0</v>
      </c>
      <c r="AB61" s="254">
        <v>0</v>
      </c>
      <c r="AC61" s="254">
        <v>106128.53878073423</v>
      </c>
      <c r="AD61" s="254">
        <v>0</v>
      </c>
      <c r="AE61" s="254">
        <v>0</v>
      </c>
      <c r="AF61" s="254">
        <v>0</v>
      </c>
      <c r="AG61" s="254">
        <v>0</v>
      </c>
      <c r="AH61" s="254">
        <v>0</v>
      </c>
      <c r="AI61" s="254">
        <v>0</v>
      </c>
      <c r="AJ61" s="254">
        <v>0</v>
      </c>
      <c r="AK61" s="254">
        <v>0</v>
      </c>
      <c r="AL61" s="254">
        <v>0</v>
      </c>
      <c r="AM61" s="254">
        <v>0</v>
      </c>
      <c r="AN61" s="254">
        <v>0</v>
      </c>
      <c r="AO61" s="254">
        <v>0</v>
      </c>
      <c r="AP61" s="254">
        <v>0</v>
      </c>
      <c r="AQ61" s="254">
        <v>0</v>
      </c>
      <c r="AR61" s="254">
        <v>0</v>
      </c>
      <c r="AS61" s="254">
        <v>0</v>
      </c>
      <c r="AT61" s="254">
        <v>0</v>
      </c>
      <c r="AU61" s="254">
        <v>0</v>
      </c>
      <c r="AV61" s="254">
        <v>0</v>
      </c>
      <c r="AW61" s="254">
        <v>0</v>
      </c>
      <c r="AX61" s="256">
        <v>106128.53878073423</v>
      </c>
      <c r="AZ61" s="254">
        <f ca="1"/>
        <v>3112.5</v>
      </c>
      <c r="BA61" s="254">
        <f ca="1"/>
        <v>1867.5</v>
      </c>
      <c r="BB61" s="254">
        <f ca="1"/>
        <v>0</v>
      </c>
      <c r="BC61" s="254">
        <f ca="1"/>
        <v>0</v>
      </c>
      <c r="BD61" s="256">
        <f ca="1"/>
        <v>4980</v>
      </c>
      <c r="BF61" s="254">
        <v>25000</v>
      </c>
      <c r="BG61" s="254">
        <v>4166.666666666667</v>
      </c>
      <c r="BH61" s="254">
        <v>833.33333333333337</v>
      </c>
      <c r="BI61" s="254">
        <v>0</v>
      </c>
      <c r="BJ61" s="243">
        <v>0</v>
      </c>
      <c r="BK61" s="254">
        <v>0</v>
      </c>
      <c r="BL61" s="256">
        <v>30000</v>
      </c>
      <c r="BM61" s="46"/>
      <c r="BN61" s="256">
        <f ca="1"/>
        <v>141108.53878073423</v>
      </c>
      <c r="BP61" s="248">
        <f ca="1"/>
        <v>-141108.53878073423</v>
      </c>
      <c r="BR61" s="248">
        <f ca="1"/>
        <v>-141108.53878073423</v>
      </c>
      <c r="BT61" s="248">
        <f ca="1"/>
        <v>-141108.53878073423</v>
      </c>
      <c r="BU61" s="248">
        <f ca="1"/>
        <v>0</v>
      </c>
    </row>
    <row r="62" spans="1:73" ht="16" thickTop="1" thickBot="1">
      <c r="A62" s="1">
        <v>5</v>
      </c>
      <c r="B62" s="1">
        <f t="shared" si="4"/>
        <v>1</v>
      </c>
      <c r="D62" s="98">
        <v>54</v>
      </c>
      <c r="E62" s="239">
        <v>46905</v>
      </c>
      <c r="F62" s="243">
        <v>0</v>
      </c>
      <c r="G62" s="243">
        <v>0</v>
      </c>
      <c r="H62" s="243">
        <v>0</v>
      </c>
      <c r="I62" s="243">
        <v>0</v>
      </c>
      <c r="J62" s="243">
        <v>0</v>
      </c>
      <c r="K62" s="243">
        <v>0</v>
      </c>
      <c r="L62" s="366">
        <v>0</v>
      </c>
      <c r="M62" s="46"/>
      <c r="N62" s="243">
        <v>0</v>
      </c>
      <c r="O62" s="243">
        <v>0</v>
      </c>
      <c r="P62" s="243">
        <v>0</v>
      </c>
      <c r="Q62" s="243">
        <v>0</v>
      </c>
      <c r="R62" s="243">
        <v>0</v>
      </c>
      <c r="S62" s="243">
        <v>0</v>
      </c>
      <c r="T62" s="243">
        <v>0</v>
      </c>
      <c r="U62" s="243">
        <v>0</v>
      </c>
      <c r="V62" s="243">
        <v>0</v>
      </c>
      <c r="W62" s="243">
        <v>0</v>
      </c>
      <c r="X62" s="256">
        <v>0</v>
      </c>
      <c r="Y62" s="253"/>
      <c r="Z62" s="254">
        <v>0</v>
      </c>
      <c r="AA62" s="254">
        <v>0</v>
      </c>
      <c r="AB62" s="254">
        <v>0</v>
      </c>
      <c r="AC62" s="254">
        <v>106128.53878073423</v>
      </c>
      <c r="AD62" s="254">
        <v>0</v>
      </c>
      <c r="AE62" s="254">
        <v>0</v>
      </c>
      <c r="AF62" s="254">
        <v>0</v>
      </c>
      <c r="AG62" s="254">
        <v>0</v>
      </c>
      <c r="AH62" s="254">
        <v>0</v>
      </c>
      <c r="AI62" s="254">
        <v>0</v>
      </c>
      <c r="AJ62" s="254">
        <v>0</v>
      </c>
      <c r="AK62" s="254">
        <v>0</v>
      </c>
      <c r="AL62" s="254">
        <v>0</v>
      </c>
      <c r="AM62" s="254">
        <v>0</v>
      </c>
      <c r="AN62" s="254">
        <v>0</v>
      </c>
      <c r="AO62" s="254">
        <v>0</v>
      </c>
      <c r="AP62" s="254">
        <v>0</v>
      </c>
      <c r="AQ62" s="254">
        <v>0</v>
      </c>
      <c r="AR62" s="254">
        <v>0</v>
      </c>
      <c r="AS62" s="254">
        <v>0</v>
      </c>
      <c r="AT62" s="254">
        <v>0</v>
      </c>
      <c r="AU62" s="254">
        <v>0</v>
      </c>
      <c r="AV62" s="254">
        <v>0</v>
      </c>
      <c r="AW62" s="254">
        <v>0</v>
      </c>
      <c r="AX62" s="256">
        <v>106128.53878073423</v>
      </c>
      <c r="AZ62" s="254">
        <f ca="1"/>
        <v>3112.5</v>
      </c>
      <c r="BA62" s="254">
        <f ca="1"/>
        <v>1867.5</v>
      </c>
      <c r="BB62" s="254">
        <f ca="1"/>
        <v>0</v>
      </c>
      <c r="BC62" s="254">
        <f ca="1"/>
        <v>0</v>
      </c>
      <c r="BD62" s="256">
        <f ca="1"/>
        <v>4980</v>
      </c>
      <c r="BF62" s="254">
        <v>25000</v>
      </c>
      <c r="BG62" s="254">
        <v>4166.666666666667</v>
      </c>
      <c r="BH62" s="254">
        <v>833.33333333333337</v>
      </c>
      <c r="BI62" s="254">
        <v>0</v>
      </c>
      <c r="BJ62" s="243">
        <v>0</v>
      </c>
      <c r="BK62" s="254">
        <v>0</v>
      </c>
      <c r="BL62" s="256">
        <v>30000</v>
      </c>
      <c r="BM62" s="46"/>
      <c r="BN62" s="256">
        <f ca="1"/>
        <v>141108.53878073423</v>
      </c>
      <c r="BP62" s="248">
        <f ca="1"/>
        <v>-141108.53878073423</v>
      </c>
      <c r="BR62" s="248">
        <f ca="1"/>
        <v>-141108.53878073423</v>
      </c>
      <c r="BT62" s="248">
        <f ca="1"/>
        <v>-141108.53878073423</v>
      </c>
      <c r="BU62" s="248">
        <f ca="1"/>
        <v>0</v>
      </c>
    </row>
    <row r="63" spans="1:73" ht="16" thickTop="1" thickBot="1">
      <c r="A63" s="1">
        <v>5</v>
      </c>
      <c r="B63" s="1">
        <f t="shared" si="4"/>
        <v>1</v>
      </c>
      <c r="D63" s="98">
        <v>55</v>
      </c>
      <c r="E63" s="239">
        <v>46935</v>
      </c>
      <c r="F63" s="243">
        <v>0</v>
      </c>
      <c r="G63" s="243">
        <v>0</v>
      </c>
      <c r="H63" s="243">
        <v>0</v>
      </c>
      <c r="I63" s="243">
        <v>0</v>
      </c>
      <c r="J63" s="243">
        <v>0</v>
      </c>
      <c r="K63" s="243">
        <v>0</v>
      </c>
      <c r="L63" s="366">
        <v>0</v>
      </c>
      <c r="M63" s="46"/>
      <c r="N63" s="243">
        <v>0</v>
      </c>
      <c r="O63" s="243">
        <v>0</v>
      </c>
      <c r="P63" s="243">
        <v>0</v>
      </c>
      <c r="Q63" s="243">
        <v>0</v>
      </c>
      <c r="R63" s="243">
        <v>0</v>
      </c>
      <c r="S63" s="243">
        <v>0</v>
      </c>
      <c r="T63" s="243">
        <v>0</v>
      </c>
      <c r="U63" s="243">
        <v>0</v>
      </c>
      <c r="V63" s="243">
        <v>0</v>
      </c>
      <c r="W63" s="243">
        <v>0</v>
      </c>
      <c r="X63" s="256">
        <v>0</v>
      </c>
      <c r="Y63" s="253"/>
      <c r="Z63" s="254">
        <v>0</v>
      </c>
      <c r="AA63" s="254">
        <v>0</v>
      </c>
      <c r="AB63" s="254">
        <v>0</v>
      </c>
      <c r="AC63" s="254">
        <v>106128.53878073423</v>
      </c>
      <c r="AD63" s="254">
        <v>0</v>
      </c>
      <c r="AE63" s="254">
        <v>0</v>
      </c>
      <c r="AF63" s="254">
        <v>0</v>
      </c>
      <c r="AG63" s="254">
        <v>0</v>
      </c>
      <c r="AH63" s="254">
        <v>0</v>
      </c>
      <c r="AI63" s="254">
        <v>0</v>
      </c>
      <c r="AJ63" s="254">
        <v>0</v>
      </c>
      <c r="AK63" s="254">
        <v>0</v>
      </c>
      <c r="AL63" s="254">
        <v>0</v>
      </c>
      <c r="AM63" s="254">
        <v>0</v>
      </c>
      <c r="AN63" s="254">
        <v>0</v>
      </c>
      <c r="AO63" s="254">
        <v>0</v>
      </c>
      <c r="AP63" s="254">
        <v>0</v>
      </c>
      <c r="AQ63" s="254">
        <v>0</v>
      </c>
      <c r="AR63" s="254">
        <v>0</v>
      </c>
      <c r="AS63" s="254">
        <v>0</v>
      </c>
      <c r="AT63" s="254">
        <v>0</v>
      </c>
      <c r="AU63" s="254">
        <v>0</v>
      </c>
      <c r="AV63" s="254">
        <v>0</v>
      </c>
      <c r="AW63" s="254">
        <v>0</v>
      </c>
      <c r="AX63" s="256">
        <v>106128.53878073423</v>
      </c>
      <c r="AZ63" s="254">
        <f ca="1"/>
        <v>3112.5</v>
      </c>
      <c r="BA63" s="254">
        <f ca="1"/>
        <v>1867.5</v>
      </c>
      <c r="BB63" s="254">
        <f ca="1"/>
        <v>0</v>
      </c>
      <c r="BC63" s="254">
        <f ca="1"/>
        <v>0</v>
      </c>
      <c r="BD63" s="256">
        <f ca="1"/>
        <v>4980</v>
      </c>
      <c r="BF63" s="254">
        <v>25000</v>
      </c>
      <c r="BG63" s="254">
        <v>4166.666666666667</v>
      </c>
      <c r="BH63" s="254">
        <v>833.33333333333337</v>
      </c>
      <c r="BI63" s="254">
        <v>0</v>
      </c>
      <c r="BJ63" s="243">
        <v>0</v>
      </c>
      <c r="BK63" s="254">
        <v>0</v>
      </c>
      <c r="BL63" s="256">
        <v>30000</v>
      </c>
      <c r="BM63" s="46"/>
      <c r="BN63" s="256">
        <f ca="1"/>
        <v>141108.53878073423</v>
      </c>
      <c r="BP63" s="248">
        <f ca="1"/>
        <v>-141108.53878073423</v>
      </c>
      <c r="BR63" s="248">
        <f ca="1"/>
        <v>-141108.53878073423</v>
      </c>
      <c r="BT63" s="248">
        <f ca="1"/>
        <v>-141108.53878073423</v>
      </c>
      <c r="BU63" s="248">
        <f ca="1"/>
        <v>0</v>
      </c>
    </row>
    <row r="64" spans="1:73" ht="16" thickTop="1" thickBot="1">
      <c r="A64" s="1">
        <v>5</v>
      </c>
      <c r="B64" s="1">
        <f t="shared" si="4"/>
        <v>1</v>
      </c>
      <c r="D64" s="98">
        <v>56</v>
      </c>
      <c r="E64" s="239">
        <v>46966</v>
      </c>
      <c r="F64" s="243">
        <v>0</v>
      </c>
      <c r="G64" s="243">
        <v>0</v>
      </c>
      <c r="H64" s="243">
        <v>0</v>
      </c>
      <c r="I64" s="243">
        <v>0</v>
      </c>
      <c r="J64" s="243">
        <v>0</v>
      </c>
      <c r="K64" s="243">
        <v>0</v>
      </c>
      <c r="L64" s="366">
        <v>0</v>
      </c>
      <c r="M64" s="46"/>
      <c r="N64" s="243">
        <v>0</v>
      </c>
      <c r="O64" s="243">
        <v>0</v>
      </c>
      <c r="P64" s="243">
        <v>0</v>
      </c>
      <c r="Q64" s="243">
        <v>0</v>
      </c>
      <c r="R64" s="243">
        <v>0</v>
      </c>
      <c r="S64" s="243">
        <v>0</v>
      </c>
      <c r="T64" s="243">
        <v>0</v>
      </c>
      <c r="U64" s="243">
        <v>0</v>
      </c>
      <c r="V64" s="243">
        <v>0</v>
      </c>
      <c r="W64" s="243">
        <v>0</v>
      </c>
      <c r="X64" s="256">
        <v>0</v>
      </c>
      <c r="Y64" s="253"/>
      <c r="Z64" s="254">
        <v>0</v>
      </c>
      <c r="AA64" s="254">
        <v>0</v>
      </c>
      <c r="AB64" s="254">
        <v>0</v>
      </c>
      <c r="AC64" s="254">
        <v>106128.53878073423</v>
      </c>
      <c r="AD64" s="254">
        <v>0</v>
      </c>
      <c r="AE64" s="254">
        <v>0</v>
      </c>
      <c r="AF64" s="254">
        <v>0</v>
      </c>
      <c r="AG64" s="254">
        <v>0</v>
      </c>
      <c r="AH64" s="254">
        <v>0</v>
      </c>
      <c r="AI64" s="254">
        <v>0</v>
      </c>
      <c r="AJ64" s="254">
        <v>0</v>
      </c>
      <c r="AK64" s="254">
        <v>0</v>
      </c>
      <c r="AL64" s="254">
        <v>0</v>
      </c>
      <c r="AM64" s="254">
        <v>0</v>
      </c>
      <c r="AN64" s="254">
        <v>0</v>
      </c>
      <c r="AO64" s="254">
        <v>0</v>
      </c>
      <c r="AP64" s="254">
        <v>0</v>
      </c>
      <c r="AQ64" s="254">
        <v>0</v>
      </c>
      <c r="AR64" s="254">
        <v>0</v>
      </c>
      <c r="AS64" s="254">
        <v>0</v>
      </c>
      <c r="AT64" s="254">
        <v>0</v>
      </c>
      <c r="AU64" s="254">
        <v>0</v>
      </c>
      <c r="AV64" s="254">
        <v>0</v>
      </c>
      <c r="AW64" s="254">
        <v>0</v>
      </c>
      <c r="AX64" s="256">
        <v>106128.53878073423</v>
      </c>
      <c r="AZ64" s="254">
        <f ca="1"/>
        <v>3112.5</v>
      </c>
      <c r="BA64" s="254">
        <f ca="1"/>
        <v>1867.5</v>
      </c>
      <c r="BB64" s="254">
        <f ca="1"/>
        <v>0</v>
      </c>
      <c r="BC64" s="254">
        <f ca="1"/>
        <v>0</v>
      </c>
      <c r="BD64" s="256">
        <f ca="1"/>
        <v>4980</v>
      </c>
      <c r="BF64" s="254">
        <v>25000</v>
      </c>
      <c r="BG64" s="254">
        <v>4166.666666666667</v>
      </c>
      <c r="BH64" s="254">
        <v>833.33333333333337</v>
      </c>
      <c r="BI64" s="254">
        <v>0</v>
      </c>
      <c r="BJ64" s="243">
        <v>0</v>
      </c>
      <c r="BK64" s="254">
        <v>0</v>
      </c>
      <c r="BL64" s="256">
        <v>30000</v>
      </c>
      <c r="BM64" s="46"/>
      <c r="BN64" s="256">
        <f ca="1"/>
        <v>141108.53878073423</v>
      </c>
      <c r="BP64" s="248">
        <f ca="1"/>
        <v>-141108.53878073423</v>
      </c>
      <c r="BR64" s="248">
        <f ca="1"/>
        <v>-141108.53878073423</v>
      </c>
      <c r="BT64" s="248">
        <f ca="1"/>
        <v>-141108.53878073423</v>
      </c>
      <c r="BU64" s="248">
        <f ca="1"/>
        <v>0</v>
      </c>
    </row>
    <row r="65" spans="1:73" ht="16" thickTop="1" thickBot="1">
      <c r="A65" s="1">
        <v>5</v>
      </c>
      <c r="B65" s="1">
        <f t="shared" si="4"/>
        <v>1</v>
      </c>
      <c r="D65" s="98">
        <v>57</v>
      </c>
      <c r="E65" s="239">
        <v>46997</v>
      </c>
      <c r="F65" s="243">
        <v>0</v>
      </c>
      <c r="G65" s="243">
        <v>0</v>
      </c>
      <c r="H65" s="243">
        <v>0</v>
      </c>
      <c r="I65" s="243">
        <v>0</v>
      </c>
      <c r="J65" s="243">
        <v>0</v>
      </c>
      <c r="K65" s="243">
        <v>0</v>
      </c>
      <c r="L65" s="366">
        <v>0</v>
      </c>
      <c r="M65" s="46"/>
      <c r="N65" s="243">
        <v>0</v>
      </c>
      <c r="O65" s="243">
        <v>0</v>
      </c>
      <c r="P65" s="243">
        <v>0</v>
      </c>
      <c r="Q65" s="243">
        <v>0</v>
      </c>
      <c r="R65" s="243">
        <v>0</v>
      </c>
      <c r="S65" s="243">
        <v>0</v>
      </c>
      <c r="T65" s="243">
        <v>0</v>
      </c>
      <c r="U65" s="243">
        <v>0</v>
      </c>
      <c r="V65" s="243">
        <v>0</v>
      </c>
      <c r="W65" s="243">
        <v>0</v>
      </c>
      <c r="X65" s="256">
        <v>0</v>
      </c>
      <c r="Y65" s="253"/>
      <c r="Z65" s="254">
        <v>0</v>
      </c>
      <c r="AA65" s="254">
        <v>0</v>
      </c>
      <c r="AB65" s="254">
        <v>0</v>
      </c>
      <c r="AC65" s="254">
        <v>106128.53878073423</v>
      </c>
      <c r="AD65" s="254">
        <v>0</v>
      </c>
      <c r="AE65" s="254">
        <v>0</v>
      </c>
      <c r="AF65" s="254">
        <v>0</v>
      </c>
      <c r="AG65" s="254">
        <v>0</v>
      </c>
      <c r="AH65" s="254">
        <v>0</v>
      </c>
      <c r="AI65" s="254">
        <v>0</v>
      </c>
      <c r="AJ65" s="254">
        <v>0</v>
      </c>
      <c r="AK65" s="254">
        <v>0</v>
      </c>
      <c r="AL65" s="254">
        <v>0</v>
      </c>
      <c r="AM65" s="254">
        <v>0</v>
      </c>
      <c r="AN65" s="254">
        <v>0</v>
      </c>
      <c r="AO65" s="254">
        <v>0</v>
      </c>
      <c r="AP65" s="254">
        <v>0</v>
      </c>
      <c r="AQ65" s="254">
        <v>0</v>
      </c>
      <c r="AR65" s="254">
        <v>0</v>
      </c>
      <c r="AS65" s="254">
        <v>0</v>
      </c>
      <c r="AT65" s="254">
        <v>0</v>
      </c>
      <c r="AU65" s="254">
        <v>0</v>
      </c>
      <c r="AV65" s="254">
        <v>0</v>
      </c>
      <c r="AW65" s="254">
        <v>0</v>
      </c>
      <c r="AX65" s="256">
        <v>106128.53878073423</v>
      </c>
      <c r="AZ65" s="254">
        <f ca="1"/>
        <v>3112.5</v>
      </c>
      <c r="BA65" s="254">
        <f ca="1"/>
        <v>1867.5</v>
      </c>
      <c r="BB65" s="254">
        <f ca="1"/>
        <v>0</v>
      </c>
      <c r="BC65" s="254">
        <f ca="1"/>
        <v>0</v>
      </c>
      <c r="BD65" s="256">
        <f ca="1"/>
        <v>4980</v>
      </c>
      <c r="BF65" s="254">
        <v>25000</v>
      </c>
      <c r="BG65" s="254">
        <v>4166.666666666667</v>
      </c>
      <c r="BH65" s="254">
        <v>833.33333333333337</v>
      </c>
      <c r="BI65" s="254">
        <v>0</v>
      </c>
      <c r="BJ65" s="243">
        <v>0</v>
      </c>
      <c r="BK65" s="254">
        <v>0</v>
      </c>
      <c r="BL65" s="256">
        <v>30000</v>
      </c>
      <c r="BM65" s="46"/>
      <c r="BN65" s="256">
        <f ca="1"/>
        <v>141108.53878073423</v>
      </c>
      <c r="BP65" s="248">
        <f ca="1"/>
        <v>-141108.53878073423</v>
      </c>
      <c r="BR65" s="248">
        <f ca="1"/>
        <v>-141108.53878073423</v>
      </c>
      <c r="BT65" s="248">
        <f ca="1"/>
        <v>-141108.53878073423</v>
      </c>
      <c r="BU65" s="248">
        <f ca="1"/>
        <v>0</v>
      </c>
    </row>
    <row r="66" spans="1:73" ht="16" thickTop="1" thickBot="1">
      <c r="A66" s="1">
        <v>5</v>
      </c>
      <c r="B66" s="1">
        <f t="shared" si="4"/>
        <v>1</v>
      </c>
      <c r="D66" s="98">
        <v>58</v>
      </c>
      <c r="E66" s="239">
        <v>47027</v>
      </c>
      <c r="F66" s="243">
        <v>0</v>
      </c>
      <c r="G66" s="243">
        <v>0</v>
      </c>
      <c r="H66" s="243">
        <v>0</v>
      </c>
      <c r="I66" s="243">
        <v>0</v>
      </c>
      <c r="J66" s="243">
        <v>0</v>
      </c>
      <c r="K66" s="243">
        <v>0</v>
      </c>
      <c r="L66" s="366">
        <v>0</v>
      </c>
      <c r="M66" s="46"/>
      <c r="N66" s="243">
        <v>0</v>
      </c>
      <c r="O66" s="243">
        <v>0</v>
      </c>
      <c r="P66" s="243">
        <v>0</v>
      </c>
      <c r="Q66" s="243">
        <v>0</v>
      </c>
      <c r="R66" s="243">
        <v>0</v>
      </c>
      <c r="S66" s="243">
        <v>0</v>
      </c>
      <c r="T66" s="243">
        <v>0</v>
      </c>
      <c r="U66" s="243">
        <v>0</v>
      </c>
      <c r="V66" s="243">
        <v>0</v>
      </c>
      <c r="W66" s="243">
        <v>0</v>
      </c>
      <c r="X66" s="256">
        <v>0</v>
      </c>
      <c r="Y66" s="253"/>
      <c r="Z66" s="254">
        <v>0</v>
      </c>
      <c r="AA66" s="254">
        <v>0</v>
      </c>
      <c r="AB66" s="254">
        <v>0</v>
      </c>
      <c r="AC66" s="254">
        <v>106128.53878073423</v>
      </c>
      <c r="AD66" s="254">
        <v>0</v>
      </c>
      <c r="AE66" s="254">
        <v>0</v>
      </c>
      <c r="AF66" s="254">
        <v>0</v>
      </c>
      <c r="AG66" s="254">
        <v>0</v>
      </c>
      <c r="AH66" s="254">
        <v>0</v>
      </c>
      <c r="AI66" s="254">
        <v>0</v>
      </c>
      <c r="AJ66" s="254">
        <v>0</v>
      </c>
      <c r="AK66" s="254">
        <v>0</v>
      </c>
      <c r="AL66" s="254">
        <v>0</v>
      </c>
      <c r="AM66" s="254">
        <v>0</v>
      </c>
      <c r="AN66" s="254">
        <v>0</v>
      </c>
      <c r="AO66" s="254">
        <v>0</v>
      </c>
      <c r="AP66" s="254">
        <v>0</v>
      </c>
      <c r="AQ66" s="254">
        <v>0</v>
      </c>
      <c r="AR66" s="254">
        <v>0</v>
      </c>
      <c r="AS66" s="254">
        <v>0</v>
      </c>
      <c r="AT66" s="254">
        <v>0</v>
      </c>
      <c r="AU66" s="254">
        <v>0</v>
      </c>
      <c r="AV66" s="254">
        <v>0</v>
      </c>
      <c r="AW66" s="254">
        <v>0</v>
      </c>
      <c r="AX66" s="256">
        <v>106128.53878073423</v>
      </c>
      <c r="AZ66" s="254">
        <f ca="1"/>
        <v>3112.5</v>
      </c>
      <c r="BA66" s="254">
        <f ca="1"/>
        <v>1867.5</v>
      </c>
      <c r="BB66" s="254">
        <f ca="1"/>
        <v>0</v>
      </c>
      <c r="BC66" s="254">
        <f ca="1"/>
        <v>0</v>
      </c>
      <c r="BD66" s="256">
        <f ca="1"/>
        <v>4980</v>
      </c>
      <c r="BF66" s="254">
        <v>25000</v>
      </c>
      <c r="BG66" s="254">
        <v>4166.666666666667</v>
      </c>
      <c r="BH66" s="254">
        <v>833.33333333333337</v>
      </c>
      <c r="BI66" s="254">
        <v>0</v>
      </c>
      <c r="BJ66" s="243">
        <v>0</v>
      </c>
      <c r="BK66" s="254">
        <v>0</v>
      </c>
      <c r="BL66" s="256">
        <v>30000</v>
      </c>
      <c r="BM66" s="46"/>
      <c r="BN66" s="256">
        <f ca="1"/>
        <v>141108.53878073423</v>
      </c>
      <c r="BP66" s="248">
        <f ca="1"/>
        <v>-141108.53878073423</v>
      </c>
      <c r="BR66" s="248">
        <f ca="1"/>
        <v>-141108.53878073423</v>
      </c>
      <c r="BT66" s="248">
        <f ca="1"/>
        <v>-141108.53878073423</v>
      </c>
      <c r="BU66" s="248">
        <f ca="1"/>
        <v>0</v>
      </c>
    </row>
    <row r="67" spans="1:73" ht="16" thickTop="1" thickBot="1">
      <c r="A67" s="1">
        <v>5</v>
      </c>
      <c r="B67" s="1">
        <f t="shared" si="4"/>
        <v>1</v>
      </c>
      <c r="D67" s="98">
        <v>59</v>
      </c>
      <c r="E67" s="239">
        <v>47058</v>
      </c>
      <c r="F67" s="243">
        <v>0</v>
      </c>
      <c r="G67" s="243">
        <v>0</v>
      </c>
      <c r="H67" s="243">
        <v>0</v>
      </c>
      <c r="I67" s="243">
        <v>0</v>
      </c>
      <c r="J67" s="243">
        <v>0</v>
      </c>
      <c r="K67" s="243">
        <v>0</v>
      </c>
      <c r="L67" s="366">
        <v>0</v>
      </c>
      <c r="M67" s="46"/>
      <c r="N67" s="243">
        <v>0</v>
      </c>
      <c r="O67" s="243">
        <v>0</v>
      </c>
      <c r="P67" s="243">
        <v>0</v>
      </c>
      <c r="Q67" s="243">
        <v>0</v>
      </c>
      <c r="R67" s="243">
        <v>0</v>
      </c>
      <c r="S67" s="243">
        <v>0</v>
      </c>
      <c r="T67" s="243">
        <v>0</v>
      </c>
      <c r="U67" s="243">
        <v>0</v>
      </c>
      <c r="V67" s="243">
        <v>0</v>
      </c>
      <c r="W67" s="243">
        <v>0</v>
      </c>
      <c r="X67" s="256">
        <v>0</v>
      </c>
      <c r="Y67" s="253"/>
      <c r="Z67" s="254">
        <v>0</v>
      </c>
      <c r="AA67" s="254">
        <v>0</v>
      </c>
      <c r="AB67" s="254">
        <v>0</v>
      </c>
      <c r="AC67" s="254">
        <v>106128.53878073423</v>
      </c>
      <c r="AD67" s="254">
        <v>0</v>
      </c>
      <c r="AE67" s="254">
        <v>0</v>
      </c>
      <c r="AF67" s="254">
        <v>0</v>
      </c>
      <c r="AG67" s="254">
        <v>0</v>
      </c>
      <c r="AH67" s="254">
        <v>0</v>
      </c>
      <c r="AI67" s="254">
        <v>0</v>
      </c>
      <c r="AJ67" s="254">
        <v>0</v>
      </c>
      <c r="AK67" s="254">
        <v>0</v>
      </c>
      <c r="AL67" s="254">
        <v>0</v>
      </c>
      <c r="AM67" s="254">
        <v>0</v>
      </c>
      <c r="AN67" s="254">
        <v>0</v>
      </c>
      <c r="AO67" s="254">
        <v>0</v>
      </c>
      <c r="AP67" s="254">
        <v>0</v>
      </c>
      <c r="AQ67" s="254">
        <v>0</v>
      </c>
      <c r="AR67" s="254">
        <v>0</v>
      </c>
      <c r="AS67" s="254">
        <v>0</v>
      </c>
      <c r="AT67" s="254">
        <v>0</v>
      </c>
      <c r="AU67" s="254">
        <v>0</v>
      </c>
      <c r="AV67" s="254">
        <v>0</v>
      </c>
      <c r="AW67" s="254">
        <v>0</v>
      </c>
      <c r="AX67" s="256">
        <v>106128.53878073423</v>
      </c>
      <c r="AZ67" s="254">
        <f ca="1"/>
        <v>3112.5</v>
      </c>
      <c r="BA67" s="254">
        <f ca="1"/>
        <v>1867.5</v>
      </c>
      <c r="BB67" s="254">
        <f ca="1"/>
        <v>0</v>
      </c>
      <c r="BC67" s="254">
        <f ca="1"/>
        <v>0</v>
      </c>
      <c r="BD67" s="256">
        <f ca="1"/>
        <v>4980</v>
      </c>
      <c r="BF67" s="254">
        <v>25000</v>
      </c>
      <c r="BG67" s="254">
        <v>4166.666666666667</v>
      </c>
      <c r="BH67" s="254">
        <v>833.33333333333337</v>
      </c>
      <c r="BI67" s="254">
        <v>0</v>
      </c>
      <c r="BJ67" s="243">
        <v>0</v>
      </c>
      <c r="BK67" s="254">
        <v>0</v>
      </c>
      <c r="BL67" s="256">
        <v>30000</v>
      </c>
      <c r="BM67" s="46"/>
      <c r="BN67" s="256">
        <f ca="1"/>
        <v>141108.53878073423</v>
      </c>
      <c r="BP67" s="248">
        <f ca="1"/>
        <v>-141108.53878073423</v>
      </c>
      <c r="BR67" s="248">
        <f ca="1"/>
        <v>-141108.53878073423</v>
      </c>
      <c r="BT67" s="248">
        <f ca="1"/>
        <v>-141108.53878073423</v>
      </c>
      <c r="BU67" s="248">
        <f ca="1"/>
        <v>0</v>
      </c>
    </row>
    <row r="68" spans="1:73" ht="16" thickTop="1" thickBot="1">
      <c r="A68" s="1">
        <v>5</v>
      </c>
      <c r="B68" s="1">
        <f t="shared" si="4"/>
        <v>1</v>
      </c>
      <c r="D68" s="98">
        <v>60</v>
      </c>
      <c r="E68" s="239">
        <v>47088</v>
      </c>
      <c r="F68" s="243">
        <v>0</v>
      </c>
      <c r="G68" s="243">
        <v>0</v>
      </c>
      <c r="H68" s="243">
        <v>0</v>
      </c>
      <c r="I68" s="243">
        <v>0</v>
      </c>
      <c r="J68" s="243">
        <v>0</v>
      </c>
      <c r="K68" s="243">
        <v>0</v>
      </c>
      <c r="L68" s="366">
        <v>0</v>
      </c>
      <c r="M68" s="46"/>
      <c r="N68" s="243">
        <v>0</v>
      </c>
      <c r="O68" s="243">
        <v>0</v>
      </c>
      <c r="P68" s="243">
        <v>0</v>
      </c>
      <c r="Q68" s="243">
        <v>0</v>
      </c>
      <c r="R68" s="243">
        <v>0</v>
      </c>
      <c r="S68" s="243">
        <v>0</v>
      </c>
      <c r="T68" s="243">
        <v>0</v>
      </c>
      <c r="U68" s="243">
        <v>0</v>
      </c>
      <c r="V68" s="243">
        <v>0</v>
      </c>
      <c r="W68" s="243">
        <v>0</v>
      </c>
      <c r="X68" s="256">
        <v>0</v>
      </c>
      <c r="Y68" s="253"/>
      <c r="Z68" s="254">
        <v>0</v>
      </c>
      <c r="AA68" s="254">
        <v>0</v>
      </c>
      <c r="AB68" s="254">
        <v>0</v>
      </c>
      <c r="AC68" s="254">
        <v>106128.53878073423</v>
      </c>
      <c r="AD68" s="254">
        <v>0</v>
      </c>
      <c r="AE68" s="254">
        <v>0</v>
      </c>
      <c r="AF68" s="254">
        <v>222226.97045136962</v>
      </c>
      <c r="AG68" s="254">
        <v>0</v>
      </c>
      <c r="AH68" s="254">
        <v>0</v>
      </c>
      <c r="AI68" s="254">
        <v>0</v>
      </c>
      <c r="AJ68" s="254">
        <v>0</v>
      </c>
      <c r="AK68" s="254">
        <v>0</v>
      </c>
      <c r="AL68" s="254">
        <v>0</v>
      </c>
      <c r="AM68" s="254">
        <v>0</v>
      </c>
      <c r="AN68" s="254">
        <v>0</v>
      </c>
      <c r="AO68" s="254">
        <v>0</v>
      </c>
      <c r="AP68" s="254">
        <v>0</v>
      </c>
      <c r="AQ68" s="254">
        <v>0</v>
      </c>
      <c r="AR68" s="254">
        <v>0</v>
      </c>
      <c r="AS68" s="254">
        <v>0</v>
      </c>
      <c r="AT68" s="254">
        <v>0</v>
      </c>
      <c r="AU68" s="254">
        <v>0</v>
      </c>
      <c r="AV68" s="254">
        <v>0</v>
      </c>
      <c r="AW68" s="254">
        <v>0</v>
      </c>
      <c r="AX68" s="256">
        <v>328355.50923210382</v>
      </c>
      <c r="AZ68" s="254">
        <f ca="1"/>
        <v>3112.5</v>
      </c>
      <c r="BA68" s="254">
        <f ca="1"/>
        <v>1867.5</v>
      </c>
      <c r="BB68" s="254">
        <f ca="1"/>
        <v>0</v>
      </c>
      <c r="BC68" s="254">
        <f ca="1"/>
        <v>0</v>
      </c>
      <c r="BD68" s="256">
        <f ca="1"/>
        <v>4980</v>
      </c>
      <c r="BF68" s="254">
        <v>25000</v>
      </c>
      <c r="BG68" s="254">
        <v>4166.666666666667</v>
      </c>
      <c r="BH68" s="254">
        <v>833.33333333333337</v>
      </c>
      <c r="BI68" s="254">
        <v>0</v>
      </c>
      <c r="BJ68" s="243">
        <v>0</v>
      </c>
      <c r="BK68" s="254">
        <v>0</v>
      </c>
      <c r="BL68" s="256">
        <v>30000</v>
      </c>
      <c r="BM68" s="46"/>
      <c r="BN68" s="256">
        <f ca="1"/>
        <v>363335.50923210382</v>
      </c>
      <c r="BP68" s="248">
        <f ca="1"/>
        <v>-363335.50923210382</v>
      </c>
      <c r="BR68" s="248">
        <f ca="1"/>
        <v>-363335.50923210382</v>
      </c>
      <c r="BT68" s="248">
        <f ca="1"/>
        <v>-363335.50923210382</v>
      </c>
      <c r="BU68" s="248">
        <f ca="1"/>
        <v>0</v>
      </c>
    </row>
    <row r="69" spans="1:73" ht="16" thickTop="1" thickBot="1">
      <c r="A69" s="1">
        <v>6</v>
      </c>
      <c r="B69" s="1">
        <f t="shared" si="4"/>
        <v>1</v>
      </c>
      <c r="D69" s="98">
        <v>61</v>
      </c>
      <c r="E69" s="239">
        <v>47119</v>
      </c>
      <c r="F69" s="243">
        <v>0</v>
      </c>
      <c r="G69" s="243">
        <v>0</v>
      </c>
      <c r="H69" s="243">
        <v>0</v>
      </c>
      <c r="I69" s="243">
        <v>0</v>
      </c>
      <c r="J69" s="243">
        <v>0</v>
      </c>
      <c r="K69" s="243">
        <v>0</v>
      </c>
      <c r="L69" s="366">
        <v>0</v>
      </c>
      <c r="M69" s="46"/>
      <c r="N69" s="243">
        <v>0</v>
      </c>
      <c r="O69" s="243">
        <v>0</v>
      </c>
      <c r="P69" s="243">
        <v>0</v>
      </c>
      <c r="Q69" s="243">
        <v>0</v>
      </c>
      <c r="R69" s="243">
        <v>0</v>
      </c>
      <c r="S69" s="243">
        <v>0</v>
      </c>
      <c r="T69" s="243">
        <v>0</v>
      </c>
      <c r="U69" s="243">
        <v>0</v>
      </c>
      <c r="V69" s="243">
        <v>0</v>
      </c>
      <c r="W69" s="243">
        <v>0</v>
      </c>
      <c r="X69" s="256">
        <v>0</v>
      </c>
      <c r="Y69" s="253"/>
      <c r="Z69" s="254">
        <v>0</v>
      </c>
      <c r="AA69" s="254">
        <v>0</v>
      </c>
      <c r="AB69" s="254">
        <v>0</v>
      </c>
      <c r="AC69" s="254">
        <v>106128.53878073423</v>
      </c>
      <c r="AD69" s="254">
        <v>0</v>
      </c>
      <c r="AE69" s="254">
        <v>0</v>
      </c>
      <c r="AF69" s="254">
        <v>222226.97045136962</v>
      </c>
      <c r="AG69" s="254">
        <v>0</v>
      </c>
      <c r="AH69" s="254">
        <v>0</v>
      </c>
      <c r="AI69" s="254">
        <v>0</v>
      </c>
      <c r="AJ69" s="254">
        <v>0</v>
      </c>
      <c r="AK69" s="254">
        <v>0</v>
      </c>
      <c r="AL69" s="254">
        <v>0</v>
      </c>
      <c r="AM69" s="254">
        <v>0</v>
      </c>
      <c r="AN69" s="254">
        <v>0</v>
      </c>
      <c r="AO69" s="254">
        <v>0</v>
      </c>
      <c r="AP69" s="254">
        <v>0</v>
      </c>
      <c r="AQ69" s="254">
        <v>0</v>
      </c>
      <c r="AR69" s="254">
        <v>0</v>
      </c>
      <c r="AS69" s="254">
        <v>0</v>
      </c>
      <c r="AT69" s="254">
        <v>0</v>
      </c>
      <c r="AU69" s="254">
        <v>0</v>
      </c>
      <c r="AV69" s="254">
        <v>0</v>
      </c>
      <c r="AW69" s="254">
        <v>0</v>
      </c>
      <c r="AX69" s="256">
        <v>328355.50923210382</v>
      </c>
      <c r="AZ69" s="254">
        <f ca="1"/>
        <v>3112.5</v>
      </c>
      <c r="BA69" s="254">
        <f ca="1"/>
        <v>1867.5</v>
      </c>
      <c r="BB69" s="254">
        <f ca="1"/>
        <v>0</v>
      </c>
      <c r="BC69" s="254">
        <f ca="1"/>
        <v>0</v>
      </c>
      <c r="BD69" s="256">
        <f ca="1"/>
        <v>4980</v>
      </c>
      <c r="BF69" s="254">
        <v>25000</v>
      </c>
      <c r="BG69" s="254">
        <v>4166.666666666667</v>
      </c>
      <c r="BH69" s="254">
        <v>833.33333333333337</v>
      </c>
      <c r="BI69" s="254">
        <v>0</v>
      </c>
      <c r="BJ69" s="243">
        <v>0</v>
      </c>
      <c r="BK69" s="254">
        <v>0</v>
      </c>
      <c r="BL69" s="256">
        <v>30000</v>
      </c>
      <c r="BM69" s="46"/>
      <c r="BN69" s="256">
        <f ca="1"/>
        <v>363335.50923210382</v>
      </c>
      <c r="BP69" s="248">
        <f ca="1"/>
        <v>-363335.50923210382</v>
      </c>
      <c r="BR69" s="248">
        <f ca="1"/>
        <v>-363335.50923210382</v>
      </c>
      <c r="BT69" s="248">
        <f ca="1"/>
        <v>-363335.50923210382</v>
      </c>
      <c r="BU69" s="248">
        <f ca="1"/>
        <v>0</v>
      </c>
    </row>
    <row r="70" spans="1:73" ht="16" thickTop="1" thickBot="1">
      <c r="A70" s="1">
        <v>6</v>
      </c>
      <c r="B70" s="1">
        <f t="shared" si="4"/>
        <v>1</v>
      </c>
      <c r="D70" s="98">
        <v>62</v>
      </c>
      <c r="E70" s="239">
        <v>47150</v>
      </c>
      <c r="F70" s="243">
        <v>0</v>
      </c>
      <c r="G70" s="243">
        <v>0</v>
      </c>
      <c r="H70" s="243">
        <v>0</v>
      </c>
      <c r="I70" s="243">
        <v>0</v>
      </c>
      <c r="J70" s="243">
        <v>0</v>
      </c>
      <c r="K70" s="243">
        <v>0</v>
      </c>
      <c r="L70" s="366">
        <v>0</v>
      </c>
      <c r="M70" s="46"/>
      <c r="N70" s="243">
        <v>0</v>
      </c>
      <c r="O70" s="243">
        <v>0</v>
      </c>
      <c r="P70" s="243">
        <v>0</v>
      </c>
      <c r="Q70" s="243">
        <v>0</v>
      </c>
      <c r="R70" s="243">
        <v>0</v>
      </c>
      <c r="S70" s="243">
        <v>0</v>
      </c>
      <c r="T70" s="243">
        <v>0</v>
      </c>
      <c r="U70" s="243">
        <v>0</v>
      </c>
      <c r="V70" s="243">
        <v>0</v>
      </c>
      <c r="W70" s="243">
        <v>0</v>
      </c>
      <c r="X70" s="256">
        <v>0</v>
      </c>
      <c r="Y70" s="253"/>
      <c r="Z70" s="254">
        <v>0</v>
      </c>
      <c r="AA70" s="254">
        <v>0</v>
      </c>
      <c r="AB70" s="254">
        <v>0</v>
      </c>
      <c r="AC70" s="254">
        <v>106128.53878073423</v>
      </c>
      <c r="AD70" s="254">
        <v>0</v>
      </c>
      <c r="AE70" s="254">
        <v>0</v>
      </c>
      <c r="AF70" s="254">
        <v>222226.97045136962</v>
      </c>
      <c r="AG70" s="254">
        <v>0</v>
      </c>
      <c r="AH70" s="254">
        <v>0</v>
      </c>
      <c r="AI70" s="254">
        <v>0</v>
      </c>
      <c r="AJ70" s="254">
        <v>0</v>
      </c>
      <c r="AK70" s="254">
        <v>0</v>
      </c>
      <c r="AL70" s="254">
        <v>0</v>
      </c>
      <c r="AM70" s="254">
        <v>0</v>
      </c>
      <c r="AN70" s="254">
        <v>0</v>
      </c>
      <c r="AO70" s="254">
        <v>0</v>
      </c>
      <c r="AP70" s="254">
        <v>0</v>
      </c>
      <c r="AQ70" s="254">
        <v>0</v>
      </c>
      <c r="AR70" s="254">
        <v>0</v>
      </c>
      <c r="AS70" s="254">
        <v>0</v>
      </c>
      <c r="AT70" s="254">
        <v>0</v>
      </c>
      <c r="AU70" s="254">
        <v>0</v>
      </c>
      <c r="AV70" s="254">
        <v>0</v>
      </c>
      <c r="AW70" s="254">
        <v>0</v>
      </c>
      <c r="AX70" s="256">
        <v>328355.50923210382</v>
      </c>
      <c r="AZ70" s="254">
        <f ca="1"/>
        <v>3112.5</v>
      </c>
      <c r="BA70" s="254">
        <f ca="1"/>
        <v>1867.5</v>
      </c>
      <c r="BB70" s="254">
        <f ca="1"/>
        <v>0</v>
      </c>
      <c r="BC70" s="254">
        <f ca="1"/>
        <v>0</v>
      </c>
      <c r="BD70" s="256">
        <f ca="1"/>
        <v>4980</v>
      </c>
      <c r="BF70" s="254">
        <v>25000</v>
      </c>
      <c r="BG70" s="254">
        <v>4166.666666666667</v>
      </c>
      <c r="BH70" s="254">
        <v>833.33333333333337</v>
      </c>
      <c r="BI70" s="254">
        <v>0</v>
      </c>
      <c r="BJ70" s="243">
        <v>0</v>
      </c>
      <c r="BK70" s="254">
        <v>0</v>
      </c>
      <c r="BL70" s="256">
        <v>30000</v>
      </c>
      <c r="BM70" s="46"/>
      <c r="BN70" s="256">
        <f ca="1"/>
        <v>363335.50923210382</v>
      </c>
      <c r="BP70" s="248">
        <f ca="1"/>
        <v>-363335.50923210382</v>
      </c>
      <c r="BR70" s="248">
        <f ca="1"/>
        <v>-363335.50923210382</v>
      </c>
      <c r="BT70" s="248">
        <f ca="1"/>
        <v>-363335.50923210382</v>
      </c>
      <c r="BU70" s="248">
        <f ca="1"/>
        <v>0</v>
      </c>
    </row>
    <row r="71" spans="1:73" ht="16" thickTop="1" thickBot="1">
      <c r="A71" s="1">
        <v>6</v>
      </c>
      <c r="B71" s="1">
        <f t="shared" si="4"/>
        <v>1</v>
      </c>
      <c r="D71" s="98">
        <v>63</v>
      </c>
      <c r="E71" s="239">
        <v>47178</v>
      </c>
      <c r="F71" s="243">
        <v>0</v>
      </c>
      <c r="G71" s="243">
        <v>0</v>
      </c>
      <c r="H71" s="243">
        <v>0</v>
      </c>
      <c r="I71" s="243">
        <v>0</v>
      </c>
      <c r="J71" s="243">
        <v>0</v>
      </c>
      <c r="K71" s="243">
        <v>0</v>
      </c>
      <c r="L71" s="366">
        <v>0</v>
      </c>
      <c r="M71" s="46"/>
      <c r="N71" s="243">
        <v>0</v>
      </c>
      <c r="O71" s="243">
        <v>0</v>
      </c>
      <c r="P71" s="243">
        <v>0</v>
      </c>
      <c r="Q71" s="243">
        <v>0</v>
      </c>
      <c r="R71" s="243">
        <v>0</v>
      </c>
      <c r="S71" s="243">
        <v>0</v>
      </c>
      <c r="T71" s="243">
        <v>0</v>
      </c>
      <c r="U71" s="243">
        <v>0</v>
      </c>
      <c r="V71" s="243">
        <v>0</v>
      </c>
      <c r="W71" s="243">
        <v>0</v>
      </c>
      <c r="X71" s="256">
        <v>0</v>
      </c>
      <c r="Y71" s="253"/>
      <c r="Z71" s="254">
        <v>0</v>
      </c>
      <c r="AA71" s="254">
        <v>0</v>
      </c>
      <c r="AB71" s="254">
        <v>0</v>
      </c>
      <c r="AC71" s="254">
        <v>106128.53878073423</v>
      </c>
      <c r="AD71" s="254">
        <v>0</v>
      </c>
      <c r="AE71" s="254">
        <v>0</v>
      </c>
      <c r="AF71" s="254">
        <v>222226.97045136962</v>
      </c>
      <c r="AG71" s="254">
        <v>0</v>
      </c>
      <c r="AH71" s="254">
        <v>0</v>
      </c>
      <c r="AI71" s="254">
        <v>0</v>
      </c>
      <c r="AJ71" s="254">
        <v>0</v>
      </c>
      <c r="AK71" s="254">
        <v>0</v>
      </c>
      <c r="AL71" s="254">
        <v>0</v>
      </c>
      <c r="AM71" s="254">
        <v>0</v>
      </c>
      <c r="AN71" s="254">
        <v>0</v>
      </c>
      <c r="AO71" s="254">
        <v>0</v>
      </c>
      <c r="AP71" s="254">
        <v>0</v>
      </c>
      <c r="AQ71" s="254">
        <v>0</v>
      </c>
      <c r="AR71" s="254">
        <v>0</v>
      </c>
      <c r="AS71" s="254">
        <v>0</v>
      </c>
      <c r="AT71" s="254">
        <v>0</v>
      </c>
      <c r="AU71" s="254">
        <v>0</v>
      </c>
      <c r="AV71" s="254">
        <v>0</v>
      </c>
      <c r="AW71" s="254">
        <v>0</v>
      </c>
      <c r="AX71" s="256">
        <v>328355.50923210382</v>
      </c>
      <c r="AZ71" s="254">
        <f ca="1"/>
        <v>3112.5</v>
      </c>
      <c r="BA71" s="254">
        <f ca="1"/>
        <v>1867.5</v>
      </c>
      <c r="BB71" s="254">
        <f ca="1"/>
        <v>0</v>
      </c>
      <c r="BC71" s="254">
        <f ca="1"/>
        <v>0</v>
      </c>
      <c r="BD71" s="256">
        <f ca="1"/>
        <v>4980</v>
      </c>
      <c r="BF71" s="254">
        <v>25000</v>
      </c>
      <c r="BG71" s="254">
        <v>4166.666666666667</v>
      </c>
      <c r="BH71" s="254">
        <v>833.33333333333337</v>
      </c>
      <c r="BI71" s="254">
        <v>0</v>
      </c>
      <c r="BJ71" s="243">
        <v>0</v>
      </c>
      <c r="BK71" s="254">
        <v>0</v>
      </c>
      <c r="BL71" s="256">
        <v>30000</v>
      </c>
      <c r="BM71" s="46"/>
      <c r="BN71" s="256">
        <f ca="1"/>
        <v>363335.50923210382</v>
      </c>
      <c r="BP71" s="248">
        <f ca="1"/>
        <v>-363335.50923210382</v>
      </c>
      <c r="BR71" s="248">
        <f ca="1"/>
        <v>-363335.50923210382</v>
      </c>
      <c r="BT71" s="248">
        <f ca="1"/>
        <v>-363335.50923210382</v>
      </c>
      <c r="BU71" s="248">
        <f ca="1"/>
        <v>0</v>
      </c>
    </row>
    <row r="72" spans="1:73" ht="16" thickTop="1" thickBot="1">
      <c r="A72" s="1">
        <v>6</v>
      </c>
      <c r="B72" s="1">
        <f t="shared" si="4"/>
        <v>1</v>
      </c>
      <c r="D72" s="98">
        <v>64</v>
      </c>
      <c r="E72" s="239">
        <v>47209</v>
      </c>
      <c r="F72" s="243">
        <v>0</v>
      </c>
      <c r="G72" s="243">
        <v>0</v>
      </c>
      <c r="H72" s="243">
        <v>0</v>
      </c>
      <c r="I72" s="243">
        <v>0</v>
      </c>
      <c r="J72" s="243">
        <v>0</v>
      </c>
      <c r="K72" s="243">
        <v>0</v>
      </c>
      <c r="L72" s="366">
        <v>0</v>
      </c>
      <c r="M72" s="46"/>
      <c r="N72" s="243">
        <v>0</v>
      </c>
      <c r="O72" s="243">
        <v>0</v>
      </c>
      <c r="P72" s="243">
        <v>0</v>
      </c>
      <c r="Q72" s="243">
        <v>0</v>
      </c>
      <c r="R72" s="243">
        <v>0</v>
      </c>
      <c r="S72" s="243">
        <v>0</v>
      </c>
      <c r="T72" s="243">
        <v>0</v>
      </c>
      <c r="U72" s="243">
        <v>0</v>
      </c>
      <c r="V72" s="243">
        <v>0</v>
      </c>
      <c r="W72" s="243">
        <v>0</v>
      </c>
      <c r="X72" s="256">
        <v>0</v>
      </c>
      <c r="Y72" s="253"/>
      <c r="Z72" s="254">
        <v>0</v>
      </c>
      <c r="AA72" s="254">
        <v>0</v>
      </c>
      <c r="AB72" s="254">
        <v>0</v>
      </c>
      <c r="AC72" s="254">
        <v>106128.53878073423</v>
      </c>
      <c r="AD72" s="254">
        <v>0</v>
      </c>
      <c r="AE72" s="254">
        <v>0</v>
      </c>
      <c r="AF72" s="254">
        <v>222226.97045136962</v>
      </c>
      <c r="AG72" s="254">
        <v>0</v>
      </c>
      <c r="AH72" s="254">
        <v>0</v>
      </c>
      <c r="AI72" s="254">
        <v>0</v>
      </c>
      <c r="AJ72" s="254">
        <v>0</v>
      </c>
      <c r="AK72" s="254">
        <v>0</v>
      </c>
      <c r="AL72" s="254">
        <v>0</v>
      </c>
      <c r="AM72" s="254">
        <v>0</v>
      </c>
      <c r="AN72" s="254">
        <v>0</v>
      </c>
      <c r="AO72" s="254">
        <v>0</v>
      </c>
      <c r="AP72" s="254">
        <v>0</v>
      </c>
      <c r="AQ72" s="254">
        <v>0</v>
      </c>
      <c r="AR72" s="254">
        <v>0</v>
      </c>
      <c r="AS72" s="254">
        <v>0</v>
      </c>
      <c r="AT72" s="254">
        <v>0</v>
      </c>
      <c r="AU72" s="254">
        <v>0</v>
      </c>
      <c r="AV72" s="254">
        <v>0</v>
      </c>
      <c r="AW72" s="254">
        <v>0</v>
      </c>
      <c r="AX72" s="256">
        <v>328355.50923210382</v>
      </c>
      <c r="AZ72" s="254">
        <f ca="1"/>
        <v>3112.5</v>
      </c>
      <c r="BA72" s="254">
        <f ca="1"/>
        <v>1867.5</v>
      </c>
      <c r="BB72" s="254">
        <f ca="1"/>
        <v>0</v>
      </c>
      <c r="BC72" s="254">
        <f ca="1"/>
        <v>0</v>
      </c>
      <c r="BD72" s="256">
        <f ca="1"/>
        <v>4980</v>
      </c>
      <c r="BF72" s="254">
        <v>25000</v>
      </c>
      <c r="BG72" s="254">
        <v>4166.666666666667</v>
      </c>
      <c r="BH72" s="254">
        <v>833.33333333333337</v>
      </c>
      <c r="BI72" s="254">
        <v>0</v>
      </c>
      <c r="BJ72" s="243">
        <v>0</v>
      </c>
      <c r="BK72" s="254">
        <v>0</v>
      </c>
      <c r="BL72" s="256">
        <v>30000</v>
      </c>
      <c r="BM72" s="46"/>
      <c r="BN72" s="256">
        <f ca="1"/>
        <v>363335.50923210382</v>
      </c>
      <c r="BP72" s="248">
        <f ca="1"/>
        <v>-363335.50923210382</v>
      </c>
      <c r="BR72" s="248">
        <f ca="1"/>
        <v>-363335.50923210382</v>
      </c>
      <c r="BT72" s="248">
        <f ca="1"/>
        <v>-363335.50923210382</v>
      </c>
      <c r="BU72" s="248">
        <f ca="1"/>
        <v>0</v>
      </c>
    </row>
    <row r="73" spans="1:73" ht="16" thickTop="1" thickBot="1">
      <c r="A73" s="1">
        <v>6</v>
      </c>
      <c r="B73" s="1">
        <f t="shared" ref="B73:B136" si="5">IF(D73=0,0,1)</f>
        <v>1</v>
      </c>
      <c r="D73" s="98">
        <v>65</v>
      </c>
      <c r="E73" s="239">
        <v>47239</v>
      </c>
      <c r="F73" s="243">
        <v>0</v>
      </c>
      <c r="G73" s="243">
        <v>0</v>
      </c>
      <c r="H73" s="243">
        <v>0</v>
      </c>
      <c r="I73" s="243">
        <v>0</v>
      </c>
      <c r="J73" s="243">
        <v>0</v>
      </c>
      <c r="K73" s="243">
        <v>0</v>
      </c>
      <c r="L73" s="366">
        <v>0</v>
      </c>
      <c r="M73" s="46"/>
      <c r="N73" s="243">
        <v>0</v>
      </c>
      <c r="O73" s="243">
        <v>0</v>
      </c>
      <c r="P73" s="243">
        <v>0</v>
      </c>
      <c r="Q73" s="243">
        <v>0</v>
      </c>
      <c r="R73" s="243">
        <v>0</v>
      </c>
      <c r="S73" s="243">
        <v>0</v>
      </c>
      <c r="T73" s="243">
        <v>0</v>
      </c>
      <c r="U73" s="243">
        <v>0</v>
      </c>
      <c r="V73" s="243">
        <v>0</v>
      </c>
      <c r="W73" s="243">
        <v>0</v>
      </c>
      <c r="X73" s="256">
        <v>0</v>
      </c>
      <c r="Y73" s="253"/>
      <c r="Z73" s="254">
        <v>0</v>
      </c>
      <c r="AA73" s="254">
        <v>0</v>
      </c>
      <c r="AB73" s="254">
        <v>0</v>
      </c>
      <c r="AC73" s="254">
        <v>106128.53878073423</v>
      </c>
      <c r="AD73" s="254">
        <v>0</v>
      </c>
      <c r="AE73" s="254">
        <v>0</v>
      </c>
      <c r="AF73" s="254">
        <v>222226.97045136962</v>
      </c>
      <c r="AG73" s="254">
        <v>0</v>
      </c>
      <c r="AH73" s="254">
        <v>0</v>
      </c>
      <c r="AI73" s="254">
        <v>0</v>
      </c>
      <c r="AJ73" s="254">
        <v>0</v>
      </c>
      <c r="AK73" s="254">
        <v>0</v>
      </c>
      <c r="AL73" s="254">
        <v>0</v>
      </c>
      <c r="AM73" s="254">
        <v>0</v>
      </c>
      <c r="AN73" s="254">
        <v>0</v>
      </c>
      <c r="AO73" s="254">
        <v>0</v>
      </c>
      <c r="AP73" s="254">
        <v>0</v>
      </c>
      <c r="AQ73" s="254">
        <v>0</v>
      </c>
      <c r="AR73" s="254">
        <v>0</v>
      </c>
      <c r="AS73" s="254">
        <v>0</v>
      </c>
      <c r="AT73" s="254">
        <v>0</v>
      </c>
      <c r="AU73" s="254">
        <v>0</v>
      </c>
      <c r="AV73" s="254">
        <v>0</v>
      </c>
      <c r="AW73" s="254">
        <v>0</v>
      </c>
      <c r="AX73" s="256">
        <v>328355.50923210382</v>
      </c>
      <c r="AZ73" s="254">
        <f ca="1"/>
        <v>3112.5</v>
      </c>
      <c r="BA73" s="254">
        <f ca="1"/>
        <v>1867.5</v>
      </c>
      <c r="BB73" s="254">
        <f ca="1"/>
        <v>0</v>
      </c>
      <c r="BC73" s="254">
        <f ca="1"/>
        <v>0</v>
      </c>
      <c r="BD73" s="256">
        <f ca="1"/>
        <v>4980</v>
      </c>
      <c r="BF73" s="254">
        <v>25000</v>
      </c>
      <c r="BG73" s="254">
        <v>4166.666666666667</v>
      </c>
      <c r="BH73" s="254">
        <v>833.33333333333337</v>
      </c>
      <c r="BI73" s="254">
        <v>0</v>
      </c>
      <c r="BJ73" s="243">
        <v>0</v>
      </c>
      <c r="BK73" s="254">
        <v>0</v>
      </c>
      <c r="BL73" s="256">
        <v>30000</v>
      </c>
      <c r="BM73" s="46"/>
      <c r="BN73" s="256">
        <f ca="1"/>
        <v>363335.50923210382</v>
      </c>
      <c r="BP73" s="248">
        <f ca="1"/>
        <v>-363335.50923210382</v>
      </c>
      <c r="BR73" s="248">
        <f ca="1"/>
        <v>-363335.50923210382</v>
      </c>
      <c r="BT73" s="248">
        <f ca="1"/>
        <v>-363335.50923210382</v>
      </c>
      <c r="BU73" s="248">
        <f ca="1"/>
        <v>0</v>
      </c>
    </row>
    <row r="74" spans="1:73" ht="16" thickTop="1" thickBot="1">
      <c r="A74" s="1">
        <v>6</v>
      </c>
      <c r="B74" s="1">
        <f t="shared" si="5"/>
        <v>1</v>
      </c>
      <c r="D74" s="98">
        <v>66</v>
      </c>
      <c r="E74" s="239">
        <v>47270</v>
      </c>
      <c r="F74" s="243">
        <v>0</v>
      </c>
      <c r="G74" s="243">
        <v>0</v>
      </c>
      <c r="H74" s="243">
        <v>0</v>
      </c>
      <c r="I74" s="243">
        <v>0</v>
      </c>
      <c r="J74" s="243">
        <v>0</v>
      </c>
      <c r="K74" s="243">
        <v>0</v>
      </c>
      <c r="L74" s="366">
        <v>0</v>
      </c>
      <c r="M74" s="46"/>
      <c r="N74" s="243">
        <v>0</v>
      </c>
      <c r="O74" s="243">
        <v>0</v>
      </c>
      <c r="P74" s="243">
        <v>0</v>
      </c>
      <c r="Q74" s="243">
        <v>0</v>
      </c>
      <c r="R74" s="243">
        <v>0</v>
      </c>
      <c r="S74" s="243">
        <v>0</v>
      </c>
      <c r="T74" s="243">
        <v>0</v>
      </c>
      <c r="U74" s="243">
        <v>0</v>
      </c>
      <c r="V74" s="243">
        <v>0</v>
      </c>
      <c r="W74" s="243">
        <v>0</v>
      </c>
      <c r="X74" s="256">
        <v>0</v>
      </c>
      <c r="Y74" s="253"/>
      <c r="Z74" s="254">
        <v>0</v>
      </c>
      <c r="AA74" s="254">
        <v>0</v>
      </c>
      <c r="AB74" s="254">
        <v>0</v>
      </c>
      <c r="AC74" s="254">
        <v>106128.53878073423</v>
      </c>
      <c r="AD74" s="254">
        <v>0</v>
      </c>
      <c r="AE74" s="254">
        <v>0</v>
      </c>
      <c r="AF74" s="254">
        <v>222226.97045136962</v>
      </c>
      <c r="AG74" s="254">
        <v>0</v>
      </c>
      <c r="AH74" s="254">
        <v>0</v>
      </c>
      <c r="AI74" s="254">
        <v>0</v>
      </c>
      <c r="AJ74" s="254">
        <v>0</v>
      </c>
      <c r="AK74" s="254">
        <v>0</v>
      </c>
      <c r="AL74" s="254">
        <v>0</v>
      </c>
      <c r="AM74" s="254">
        <v>0</v>
      </c>
      <c r="AN74" s="254">
        <v>0</v>
      </c>
      <c r="AO74" s="254">
        <v>0</v>
      </c>
      <c r="AP74" s="254">
        <v>0</v>
      </c>
      <c r="AQ74" s="254">
        <v>0</v>
      </c>
      <c r="AR74" s="254">
        <v>0</v>
      </c>
      <c r="AS74" s="254">
        <v>0</v>
      </c>
      <c r="AT74" s="254">
        <v>0</v>
      </c>
      <c r="AU74" s="254">
        <v>0</v>
      </c>
      <c r="AV74" s="254">
        <v>0</v>
      </c>
      <c r="AW74" s="254">
        <v>0</v>
      </c>
      <c r="AX74" s="256">
        <v>328355.50923210382</v>
      </c>
      <c r="AZ74" s="254">
        <f ca="1"/>
        <v>3112.5</v>
      </c>
      <c r="BA74" s="254">
        <f ca="1"/>
        <v>1867.5</v>
      </c>
      <c r="BB74" s="254">
        <f ca="1"/>
        <v>0</v>
      </c>
      <c r="BC74" s="254">
        <f ca="1"/>
        <v>0</v>
      </c>
      <c r="BD74" s="256">
        <f ca="1"/>
        <v>4980</v>
      </c>
      <c r="BF74" s="254">
        <v>25000</v>
      </c>
      <c r="BG74" s="254">
        <v>4166.666666666667</v>
      </c>
      <c r="BH74" s="254">
        <v>833.33333333333337</v>
      </c>
      <c r="BI74" s="254">
        <v>0</v>
      </c>
      <c r="BJ74" s="243">
        <v>0</v>
      </c>
      <c r="BK74" s="254">
        <v>0</v>
      </c>
      <c r="BL74" s="256">
        <v>30000</v>
      </c>
      <c r="BM74" s="46"/>
      <c r="BN74" s="256">
        <f ca="1"/>
        <v>363335.50923210382</v>
      </c>
      <c r="BP74" s="248">
        <f ca="1"/>
        <v>-363335.50923210382</v>
      </c>
      <c r="BR74" s="248">
        <f ca="1"/>
        <v>-363335.50923210382</v>
      </c>
      <c r="BT74" s="248">
        <f ca="1"/>
        <v>-363335.50923210382</v>
      </c>
      <c r="BU74" s="248">
        <f ca="1"/>
        <v>0</v>
      </c>
    </row>
    <row r="75" spans="1:73" ht="16" thickTop="1" thickBot="1">
      <c r="A75" s="1">
        <v>6</v>
      </c>
      <c r="B75" s="1">
        <f t="shared" si="5"/>
        <v>1</v>
      </c>
      <c r="D75" s="98">
        <v>67</v>
      </c>
      <c r="E75" s="239">
        <v>47300</v>
      </c>
      <c r="F75" s="243">
        <v>0</v>
      </c>
      <c r="G75" s="243">
        <v>0</v>
      </c>
      <c r="H75" s="243">
        <v>0</v>
      </c>
      <c r="I75" s="243">
        <v>0</v>
      </c>
      <c r="J75" s="243">
        <v>0</v>
      </c>
      <c r="K75" s="243">
        <v>0</v>
      </c>
      <c r="L75" s="366">
        <v>0</v>
      </c>
      <c r="M75" s="46"/>
      <c r="N75" s="243">
        <v>0</v>
      </c>
      <c r="O75" s="243">
        <v>0</v>
      </c>
      <c r="P75" s="243">
        <v>0</v>
      </c>
      <c r="Q75" s="243">
        <v>0</v>
      </c>
      <c r="R75" s="243">
        <v>0</v>
      </c>
      <c r="S75" s="243">
        <v>0</v>
      </c>
      <c r="T75" s="243">
        <v>0</v>
      </c>
      <c r="U75" s="243">
        <v>0</v>
      </c>
      <c r="V75" s="243">
        <v>0</v>
      </c>
      <c r="W75" s="243">
        <v>0</v>
      </c>
      <c r="X75" s="256">
        <v>0</v>
      </c>
      <c r="Y75" s="253"/>
      <c r="Z75" s="254">
        <v>0</v>
      </c>
      <c r="AA75" s="254">
        <v>0</v>
      </c>
      <c r="AB75" s="254">
        <v>0</v>
      </c>
      <c r="AC75" s="254">
        <v>106128.53878073423</v>
      </c>
      <c r="AD75" s="254">
        <v>0</v>
      </c>
      <c r="AE75" s="254">
        <v>0</v>
      </c>
      <c r="AF75" s="254">
        <v>222226.97045136962</v>
      </c>
      <c r="AG75" s="254">
        <v>0</v>
      </c>
      <c r="AH75" s="254">
        <v>0</v>
      </c>
      <c r="AI75" s="254">
        <v>0</v>
      </c>
      <c r="AJ75" s="254">
        <v>0</v>
      </c>
      <c r="AK75" s="254">
        <v>0</v>
      </c>
      <c r="AL75" s="254">
        <v>0</v>
      </c>
      <c r="AM75" s="254">
        <v>0</v>
      </c>
      <c r="AN75" s="254">
        <v>0</v>
      </c>
      <c r="AO75" s="254">
        <v>0</v>
      </c>
      <c r="AP75" s="254">
        <v>0</v>
      </c>
      <c r="AQ75" s="254">
        <v>0</v>
      </c>
      <c r="AR75" s="254">
        <v>0</v>
      </c>
      <c r="AS75" s="254">
        <v>0</v>
      </c>
      <c r="AT75" s="254">
        <v>0</v>
      </c>
      <c r="AU75" s="254">
        <v>0</v>
      </c>
      <c r="AV75" s="254">
        <v>0</v>
      </c>
      <c r="AW75" s="254">
        <v>0</v>
      </c>
      <c r="AX75" s="256">
        <v>328355.50923210382</v>
      </c>
      <c r="AZ75" s="254">
        <f ca="1"/>
        <v>3112.5</v>
      </c>
      <c r="BA75" s="254">
        <f ca="1"/>
        <v>1867.5</v>
      </c>
      <c r="BB75" s="254">
        <f ca="1"/>
        <v>0</v>
      </c>
      <c r="BC75" s="254">
        <f ca="1"/>
        <v>0</v>
      </c>
      <c r="BD75" s="256">
        <f ca="1"/>
        <v>4980</v>
      </c>
      <c r="BF75" s="254">
        <v>25000</v>
      </c>
      <c r="BG75" s="254">
        <v>4166.666666666667</v>
      </c>
      <c r="BH75" s="254">
        <v>833.33333333333337</v>
      </c>
      <c r="BI75" s="254">
        <v>0</v>
      </c>
      <c r="BJ75" s="243">
        <v>0</v>
      </c>
      <c r="BK75" s="254">
        <v>0</v>
      </c>
      <c r="BL75" s="256">
        <v>30000</v>
      </c>
      <c r="BM75" s="46"/>
      <c r="BN75" s="256">
        <f ca="1"/>
        <v>363335.50923210382</v>
      </c>
      <c r="BP75" s="248">
        <f ca="1"/>
        <v>-363335.50923210382</v>
      </c>
      <c r="BR75" s="248">
        <f ca="1"/>
        <v>-363335.50923210382</v>
      </c>
      <c r="BT75" s="248">
        <f ca="1"/>
        <v>-363335.50923210382</v>
      </c>
      <c r="BU75" s="248">
        <f ca="1"/>
        <v>0</v>
      </c>
    </row>
    <row r="76" spans="1:73" ht="16" thickTop="1" thickBot="1">
      <c r="A76" s="1">
        <v>6</v>
      </c>
      <c r="B76" s="1">
        <f t="shared" si="5"/>
        <v>1</v>
      </c>
      <c r="D76" s="98">
        <v>68</v>
      </c>
      <c r="E76" s="239">
        <v>47331</v>
      </c>
      <c r="F76" s="243">
        <v>0</v>
      </c>
      <c r="G76" s="243">
        <v>0</v>
      </c>
      <c r="H76" s="243">
        <v>0</v>
      </c>
      <c r="I76" s="243">
        <v>0</v>
      </c>
      <c r="J76" s="243">
        <v>0</v>
      </c>
      <c r="K76" s="243">
        <v>0</v>
      </c>
      <c r="L76" s="366">
        <v>0</v>
      </c>
      <c r="M76" s="46"/>
      <c r="N76" s="243">
        <v>0</v>
      </c>
      <c r="O76" s="243">
        <v>0</v>
      </c>
      <c r="P76" s="243">
        <v>0</v>
      </c>
      <c r="Q76" s="243">
        <v>0</v>
      </c>
      <c r="R76" s="243">
        <v>0</v>
      </c>
      <c r="S76" s="243">
        <v>0</v>
      </c>
      <c r="T76" s="243">
        <v>0</v>
      </c>
      <c r="U76" s="243">
        <v>0</v>
      </c>
      <c r="V76" s="243">
        <v>0</v>
      </c>
      <c r="W76" s="243">
        <v>0</v>
      </c>
      <c r="X76" s="256">
        <v>0</v>
      </c>
      <c r="Y76" s="253"/>
      <c r="Z76" s="254">
        <v>0</v>
      </c>
      <c r="AA76" s="254">
        <v>0</v>
      </c>
      <c r="AB76" s="254">
        <v>0</v>
      </c>
      <c r="AC76" s="254">
        <v>106128.53878073423</v>
      </c>
      <c r="AD76" s="254">
        <v>0</v>
      </c>
      <c r="AE76" s="254">
        <v>0</v>
      </c>
      <c r="AF76" s="254">
        <v>222226.97045136962</v>
      </c>
      <c r="AG76" s="254">
        <v>0</v>
      </c>
      <c r="AH76" s="254">
        <v>0</v>
      </c>
      <c r="AI76" s="254">
        <v>0</v>
      </c>
      <c r="AJ76" s="254">
        <v>0</v>
      </c>
      <c r="AK76" s="254">
        <v>0</v>
      </c>
      <c r="AL76" s="254">
        <v>0</v>
      </c>
      <c r="AM76" s="254">
        <v>0</v>
      </c>
      <c r="AN76" s="254">
        <v>0</v>
      </c>
      <c r="AO76" s="254">
        <v>0</v>
      </c>
      <c r="AP76" s="254">
        <v>0</v>
      </c>
      <c r="AQ76" s="254">
        <v>0</v>
      </c>
      <c r="AR76" s="254">
        <v>0</v>
      </c>
      <c r="AS76" s="254">
        <v>0</v>
      </c>
      <c r="AT76" s="254">
        <v>0</v>
      </c>
      <c r="AU76" s="254">
        <v>0</v>
      </c>
      <c r="AV76" s="254">
        <v>0</v>
      </c>
      <c r="AW76" s="254">
        <v>0</v>
      </c>
      <c r="AX76" s="256">
        <v>328355.50923210382</v>
      </c>
      <c r="AZ76" s="254">
        <f ca="1"/>
        <v>3112.5</v>
      </c>
      <c r="BA76" s="254">
        <f ca="1"/>
        <v>1867.5</v>
      </c>
      <c r="BB76" s="254">
        <f ca="1"/>
        <v>0</v>
      </c>
      <c r="BC76" s="254">
        <f ca="1"/>
        <v>0</v>
      </c>
      <c r="BD76" s="256">
        <f ca="1"/>
        <v>4980</v>
      </c>
      <c r="BF76" s="254">
        <v>25000</v>
      </c>
      <c r="BG76" s="254">
        <v>4166.666666666667</v>
      </c>
      <c r="BH76" s="254">
        <v>833.33333333333337</v>
      </c>
      <c r="BI76" s="254">
        <v>0</v>
      </c>
      <c r="BJ76" s="243">
        <v>0</v>
      </c>
      <c r="BK76" s="254">
        <v>0</v>
      </c>
      <c r="BL76" s="256">
        <v>30000</v>
      </c>
      <c r="BM76" s="46"/>
      <c r="BN76" s="256">
        <f ca="1"/>
        <v>363335.50923210382</v>
      </c>
      <c r="BP76" s="248">
        <f ca="1"/>
        <v>-363335.50923210382</v>
      </c>
      <c r="BR76" s="248">
        <f ca="1"/>
        <v>-363335.50923210382</v>
      </c>
      <c r="BT76" s="248">
        <f ca="1"/>
        <v>-363335.50923210382</v>
      </c>
      <c r="BU76" s="248">
        <f ca="1"/>
        <v>0</v>
      </c>
    </row>
    <row r="77" spans="1:73" ht="16" thickTop="1" thickBot="1">
      <c r="A77" s="1">
        <v>6</v>
      </c>
      <c r="B77" s="1">
        <f t="shared" si="5"/>
        <v>1</v>
      </c>
      <c r="D77" s="98">
        <v>69</v>
      </c>
      <c r="E77" s="239">
        <v>47362</v>
      </c>
      <c r="F77" s="243">
        <v>0</v>
      </c>
      <c r="G77" s="243">
        <v>0</v>
      </c>
      <c r="H77" s="243">
        <v>0</v>
      </c>
      <c r="I77" s="243">
        <v>0</v>
      </c>
      <c r="J77" s="243">
        <v>0</v>
      </c>
      <c r="K77" s="243">
        <v>0</v>
      </c>
      <c r="L77" s="366">
        <v>0</v>
      </c>
      <c r="M77" s="46"/>
      <c r="N77" s="243">
        <v>0</v>
      </c>
      <c r="O77" s="243">
        <v>0</v>
      </c>
      <c r="P77" s="243">
        <v>0</v>
      </c>
      <c r="Q77" s="243">
        <v>0</v>
      </c>
      <c r="R77" s="243">
        <v>0</v>
      </c>
      <c r="S77" s="243">
        <v>0</v>
      </c>
      <c r="T77" s="243">
        <v>0</v>
      </c>
      <c r="U77" s="243">
        <v>0</v>
      </c>
      <c r="V77" s="243">
        <v>0</v>
      </c>
      <c r="W77" s="243">
        <v>0</v>
      </c>
      <c r="X77" s="256">
        <v>0</v>
      </c>
      <c r="Y77" s="253"/>
      <c r="Z77" s="254">
        <v>0</v>
      </c>
      <c r="AA77" s="254">
        <v>0</v>
      </c>
      <c r="AB77" s="254">
        <v>0</v>
      </c>
      <c r="AC77" s="254">
        <v>106128.53878073423</v>
      </c>
      <c r="AD77" s="254">
        <v>0</v>
      </c>
      <c r="AE77" s="254">
        <v>0</v>
      </c>
      <c r="AF77" s="254">
        <v>222226.97045136962</v>
      </c>
      <c r="AG77" s="254">
        <v>0</v>
      </c>
      <c r="AH77" s="254">
        <v>0</v>
      </c>
      <c r="AI77" s="254">
        <v>0</v>
      </c>
      <c r="AJ77" s="254">
        <v>0</v>
      </c>
      <c r="AK77" s="254">
        <v>0</v>
      </c>
      <c r="AL77" s="254">
        <v>0</v>
      </c>
      <c r="AM77" s="254">
        <v>0</v>
      </c>
      <c r="AN77" s="254">
        <v>0</v>
      </c>
      <c r="AO77" s="254">
        <v>0</v>
      </c>
      <c r="AP77" s="254">
        <v>0</v>
      </c>
      <c r="AQ77" s="254">
        <v>0</v>
      </c>
      <c r="AR77" s="254">
        <v>0</v>
      </c>
      <c r="AS77" s="254">
        <v>0</v>
      </c>
      <c r="AT77" s="254">
        <v>0</v>
      </c>
      <c r="AU77" s="254">
        <v>0</v>
      </c>
      <c r="AV77" s="254">
        <v>0</v>
      </c>
      <c r="AW77" s="254">
        <v>0</v>
      </c>
      <c r="AX77" s="256">
        <v>328355.50923210382</v>
      </c>
      <c r="AZ77" s="254">
        <f ca="1"/>
        <v>3112.5</v>
      </c>
      <c r="BA77" s="254">
        <f ca="1"/>
        <v>1867.5</v>
      </c>
      <c r="BB77" s="254">
        <f ca="1"/>
        <v>0</v>
      </c>
      <c r="BC77" s="254">
        <f ca="1"/>
        <v>0</v>
      </c>
      <c r="BD77" s="256">
        <f ca="1"/>
        <v>4980</v>
      </c>
      <c r="BF77" s="254">
        <v>25000</v>
      </c>
      <c r="BG77" s="254">
        <v>4166.666666666667</v>
      </c>
      <c r="BH77" s="254">
        <v>833.33333333333337</v>
      </c>
      <c r="BI77" s="254">
        <v>0</v>
      </c>
      <c r="BJ77" s="243">
        <v>0</v>
      </c>
      <c r="BK77" s="254">
        <v>0</v>
      </c>
      <c r="BL77" s="256">
        <v>30000</v>
      </c>
      <c r="BM77" s="46"/>
      <c r="BN77" s="256">
        <f ca="1"/>
        <v>363335.50923210382</v>
      </c>
      <c r="BP77" s="248">
        <f ca="1"/>
        <v>-363335.50923210382</v>
      </c>
      <c r="BR77" s="248">
        <f ca="1"/>
        <v>-363335.50923210382</v>
      </c>
      <c r="BT77" s="248">
        <f ca="1"/>
        <v>-363335.50923210382</v>
      </c>
      <c r="BU77" s="248">
        <f ca="1"/>
        <v>0</v>
      </c>
    </row>
    <row r="78" spans="1:73" ht="16" thickTop="1" thickBot="1">
      <c r="A78" s="1">
        <v>6</v>
      </c>
      <c r="B78" s="1">
        <f t="shared" si="5"/>
        <v>1</v>
      </c>
      <c r="D78" s="98">
        <v>70</v>
      </c>
      <c r="E78" s="239">
        <v>47392</v>
      </c>
      <c r="F78" s="243">
        <v>0</v>
      </c>
      <c r="G78" s="243">
        <v>0</v>
      </c>
      <c r="H78" s="243">
        <v>0</v>
      </c>
      <c r="I78" s="243">
        <v>0</v>
      </c>
      <c r="J78" s="243">
        <v>0</v>
      </c>
      <c r="K78" s="243">
        <v>0</v>
      </c>
      <c r="L78" s="366">
        <v>0</v>
      </c>
      <c r="M78" s="46"/>
      <c r="N78" s="243">
        <v>0</v>
      </c>
      <c r="O78" s="243">
        <v>0</v>
      </c>
      <c r="P78" s="243">
        <v>0</v>
      </c>
      <c r="Q78" s="243">
        <v>0</v>
      </c>
      <c r="R78" s="243">
        <v>0</v>
      </c>
      <c r="S78" s="243">
        <v>0</v>
      </c>
      <c r="T78" s="243">
        <v>0</v>
      </c>
      <c r="U78" s="243">
        <v>0</v>
      </c>
      <c r="V78" s="243">
        <v>0</v>
      </c>
      <c r="W78" s="243">
        <v>0</v>
      </c>
      <c r="X78" s="256">
        <v>0</v>
      </c>
      <c r="Y78" s="253"/>
      <c r="Z78" s="254">
        <v>0</v>
      </c>
      <c r="AA78" s="254">
        <v>0</v>
      </c>
      <c r="AB78" s="254">
        <v>0</v>
      </c>
      <c r="AC78" s="254">
        <v>106128.53878073423</v>
      </c>
      <c r="AD78" s="254">
        <v>0</v>
      </c>
      <c r="AE78" s="254">
        <v>0</v>
      </c>
      <c r="AF78" s="254">
        <v>222226.97045136962</v>
      </c>
      <c r="AG78" s="254">
        <v>0</v>
      </c>
      <c r="AH78" s="254">
        <v>0</v>
      </c>
      <c r="AI78" s="254">
        <v>0</v>
      </c>
      <c r="AJ78" s="254">
        <v>0</v>
      </c>
      <c r="AK78" s="254">
        <v>0</v>
      </c>
      <c r="AL78" s="254">
        <v>0</v>
      </c>
      <c r="AM78" s="254">
        <v>0</v>
      </c>
      <c r="AN78" s="254">
        <v>0</v>
      </c>
      <c r="AO78" s="254">
        <v>0</v>
      </c>
      <c r="AP78" s="254">
        <v>0</v>
      </c>
      <c r="AQ78" s="254">
        <v>0</v>
      </c>
      <c r="AR78" s="254">
        <v>0</v>
      </c>
      <c r="AS78" s="254">
        <v>0</v>
      </c>
      <c r="AT78" s="254">
        <v>0</v>
      </c>
      <c r="AU78" s="254">
        <v>0</v>
      </c>
      <c r="AV78" s="254">
        <v>0</v>
      </c>
      <c r="AW78" s="254">
        <v>0</v>
      </c>
      <c r="AX78" s="256">
        <v>328355.50923210382</v>
      </c>
      <c r="AZ78" s="254">
        <f ca="1"/>
        <v>3112.5</v>
      </c>
      <c r="BA78" s="254">
        <f ca="1"/>
        <v>1867.5</v>
      </c>
      <c r="BB78" s="254">
        <f ca="1"/>
        <v>0</v>
      </c>
      <c r="BC78" s="254">
        <f ca="1"/>
        <v>0</v>
      </c>
      <c r="BD78" s="256">
        <f ca="1"/>
        <v>4980</v>
      </c>
      <c r="BF78" s="254">
        <v>25000</v>
      </c>
      <c r="BG78" s="254">
        <v>4166.666666666667</v>
      </c>
      <c r="BH78" s="254">
        <v>833.33333333333337</v>
      </c>
      <c r="BI78" s="254">
        <v>0</v>
      </c>
      <c r="BJ78" s="243">
        <v>0</v>
      </c>
      <c r="BK78" s="254">
        <v>0</v>
      </c>
      <c r="BL78" s="256">
        <v>30000</v>
      </c>
      <c r="BM78" s="46"/>
      <c r="BN78" s="256">
        <f ca="1"/>
        <v>363335.50923210382</v>
      </c>
      <c r="BP78" s="248">
        <f ca="1"/>
        <v>-363335.50923210382</v>
      </c>
      <c r="BR78" s="248">
        <f ca="1"/>
        <v>-363335.50923210382</v>
      </c>
      <c r="BT78" s="248">
        <f ca="1"/>
        <v>-363335.50923210382</v>
      </c>
      <c r="BU78" s="248">
        <f ca="1"/>
        <v>0</v>
      </c>
    </row>
    <row r="79" spans="1:73" ht="16" thickTop="1" thickBot="1">
      <c r="A79" s="1">
        <v>6</v>
      </c>
      <c r="B79" s="1">
        <f t="shared" si="5"/>
        <v>1</v>
      </c>
      <c r="D79" s="98">
        <v>71</v>
      </c>
      <c r="E79" s="239">
        <v>47423</v>
      </c>
      <c r="F79" s="243">
        <v>0</v>
      </c>
      <c r="G79" s="243">
        <v>0</v>
      </c>
      <c r="H79" s="243">
        <v>0</v>
      </c>
      <c r="I79" s="243">
        <v>0</v>
      </c>
      <c r="J79" s="243">
        <v>0</v>
      </c>
      <c r="K79" s="243">
        <v>0</v>
      </c>
      <c r="L79" s="366">
        <v>0</v>
      </c>
      <c r="M79" s="46"/>
      <c r="N79" s="243">
        <v>0</v>
      </c>
      <c r="O79" s="243">
        <v>0</v>
      </c>
      <c r="P79" s="243">
        <v>0</v>
      </c>
      <c r="Q79" s="243">
        <v>0</v>
      </c>
      <c r="R79" s="243">
        <v>0</v>
      </c>
      <c r="S79" s="243">
        <v>0</v>
      </c>
      <c r="T79" s="243">
        <v>0</v>
      </c>
      <c r="U79" s="243">
        <v>0</v>
      </c>
      <c r="V79" s="243">
        <v>0</v>
      </c>
      <c r="W79" s="243">
        <v>0</v>
      </c>
      <c r="X79" s="256">
        <v>0</v>
      </c>
      <c r="Y79" s="253"/>
      <c r="Z79" s="254">
        <v>0</v>
      </c>
      <c r="AA79" s="254">
        <v>0</v>
      </c>
      <c r="AB79" s="254">
        <v>0</v>
      </c>
      <c r="AC79" s="254">
        <v>106128.53878073423</v>
      </c>
      <c r="AD79" s="254">
        <v>0</v>
      </c>
      <c r="AE79" s="254">
        <v>0</v>
      </c>
      <c r="AF79" s="254">
        <v>222226.97045136962</v>
      </c>
      <c r="AG79" s="254">
        <v>0</v>
      </c>
      <c r="AH79" s="254">
        <v>0</v>
      </c>
      <c r="AI79" s="254">
        <v>0</v>
      </c>
      <c r="AJ79" s="254">
        <v>0</v>
      </c>
      <c r="AK79" s="254">
        <v>0</v>
      </c>
      <c r="AL79" s="254">
        <v>0</v>
      </c>
      <c r="AM79" s="254">
        <v>0</v>
      </c>
      <c r="AN79" s="254">
        <v>0</v>
      </c>
      <c r="AO79" s="254">
        <v>0</v>
      </c>
      <c r="AP79" s="254">
        <v>0</v>
      </c>
      <c r="AQ79" s="254">
        <v>0</v>
      </c>
      <c r="AR79" s="254">
        <v>0</v>
      </c>
      <c r="AS79" s="254">
        <v>0</v>
      </c>
      <c r="AT79" s="254">
        <v>0</v>
      </c>
      <c r="AU79" s="254">
        <v>0</v>
      </c>
      <c r="AV79" s="254">
        <v>0</v>
      </c>
      <c r="AW79" s="254">
        <v>0</v>
      </c>
      <c r="AX79" s="256">
        <v>328355.50923210382</v>
      </c>
      <c r="AZ79" s="254">
        <f ca="1"/>
        <v>3112.5</v>
      </c>
      <c r="BA79" s="254">
        <f ca="1"/>
        <v>1867.5</v>
      </c>
      <c r="BB79" s="254">
        <f ca="1"/>
        <v>0</v>
      </c>
      <c r="BC79" s="254">
        <f ca="1"/>
        <v>0</v>
      </c>
      <c r="BD79" s="256">
        <f ca="1"/>
        <v>4980</v>
      </c>
      <c r="BF79" s="254">
        <v>25000</v>
      </c>
      <c r="BG79" s="254">
        <v>4166.666666666667</v>
      </c>
      <c r="BH79" s="254">
        <v>833.33333333333337</v>
      </c>
      <c r="BI79" s="254">
        <v>0</v>
      </c>
      <c r="BJ79" s="243">
        <v>0</v>
      </c>
      <c r="BK79" s="254">
        <v>0</v>
      </c>
      <c r="BL79" s="256">
        <v>30000</v>
      </c>
      <c r="BM79" s="46"/>
      <c r="BN79" s="256">
        <f ca="1"/>
        <v>363335.50923210382</v>
      </c>
      <c r="BP79" s="248">
        <f ca="1"/>
        <v>-363335.50923210382</v>
      </c>
      <c r="BR79" s="248">
        <f ca="1"/>
        <v>-363335.50923210382</v>
      </c>
      <c r="BT79" s="248">
        <f ca="1"/>
        <v>-363335.50923210382</v>
      </c>
      <c r="BU79" s="248">
        <f ca="1"/>
        <v>0</v>
      </c>
    </row>
    <row r="80" spans="1:73" ht="16" thickTop="1" thickBot="1">
      <c r="A80" s="1">
        <v>6</v>
      </c>
      <c r="B80" s="1">
        <f t="shared" si="5"/>
        <v>1</v>
      </c>
      <c r="D80" s="98">
        <v>72</v>
      </c>
      <c r="E80" s="239">
        <v>47453</v>
      </c>
      <c r="F80" s="243">
        <v>16086987.403644357</v>
      </c>
      <c r="G80" s="243">
        <v>0</v>
      </c>
      <c r="H80" s="243">
        <v>-8713784.8436406944</v>
      </c>
      <c r="I80" s="243">
        <v>7373202.5600036625</v>
      </c>
      <c r="J80" s="243">
        <v>-221196.07680010988</v>
      </c>
      <c r="K80" s="243">
        <v>-73732.025600036621</v>
      </c>
      <c r="L80" s="366">
        <v>7078274.4576035161</v>
      </c>
      <c r="M80" s="46"/>
      <c r="N80" s="243">
        <v>0</v>
      </c>
      <c r="O80" s="243">
        <v>0</v>
      </c>
      <c r="P80" s="243">
        <v>0</v>
      </c>
      <c r="Q80" s="243">
        <v>0</v>
      </c>
      <c r="R80" s="243">
        <v>0</v>
      </c>
      <c r="S80" s="243">
        <v>0</v>
      </c>
      <c r="T80" s="243">
        <v>0</v>
      </c>
      <c r="U80" s="243">
        <v>0</v>
      </c>
      <c r="V80" s="243">
        <v>0</v>
      </c>
      <c r="W80" s="243">
        <v>0</v>
      </c>
      <c r="X80" s="256">
        <v>0</v>
      </c>
      <c r="Y80" s="253"/>
      <c r="Z80" s="254">
        <v>0</v>
      </c>
      <c r="AA80" s="254">
        <v>0</v>
      </c>
      <c r="AB80" s="254">
        <v>0</v>
      </c>
      <c r="AC80" s="254">
        <v>0</v>
      </c>
      <c r="AD80" s="254">
        <v>0</v>
      </c>
      <c r="AE80" s="254">
        <v>0</v>
      </c>
      <c r="AF80" s="254">
        <v>222226.97045136962</v>
      </c>
      <c r="AG80" s="254">
        <v>0</v>
      </c>
      <c r="AH80" s="254">
        <v>0</v>
      </c>
      <c r="AI80" s="254">
        <v>0</v>
      </c>
      <c r="AJ80" s="254">
        <v>0</v>
      </c>
      <c r="AK80" s="254">
        <v>0</v>
      </c>
      <c r="AL80" s="254">
        <v>0</v>
      </c>
      <c r="AM80" s="254">
        <v>0</v>
      </c>
      <c r="AN80" s="254">
        <v>0</v>
      </c>
      <c r="AO80" s="254">
        <v>0</v>
      </c>
      <c r="AP80" s="254">
        <v>0</v>
      </c>
      <c r="AQ80" s="254">
        <v>0</v>
      </c>
      <c r="AR80" s="254">
        <v>0</v>
      </c>
      <c r="AS80" s="254">
        <v>0</v>
      </c>
      <c r="AT80" s="254">
        <v>0</v>
      </c>
      <c r="AU80" s="254">
        <v>0</v>
      </c>
      <c r="AV80" s="254">
        <v>0</v>
      </c>
      <c r="AW80" s="254">
        <v>0</v>
      </c>
      <c r="AX80" s="256">
        <v>222226.97045136962</v>
      </c>
      <c r="AZ80" s="254">
        <f ca="1"/>
        <v>2687.5</v>
      </c>
      <c r="BA80" s="254">
        <f ca="1"/>
        <v>1612.5</v>
      </c>
      <c r="BB80" s="254">
        <f ca="1"/>
        <v>0</v>
      </c>
      <c r="BC80" s="254">
        <f ca="1"/>
        <v>0</v>
      </c>
      <c r="BD80" s="256">
        <f ca="1"/>
        <v>4300</v>
      </c>
      <c r="BF80" s="254">
        <v>25000</v>
      </c>
      <c r="BG80" s="254">
        <v>4166.666666666667</v>
      </c>
      <c r="BH80" s="254">
        <v>833.33333333333337</v>
      </c>
      <c r="BI80" s="254">
        <v>0</v>
      </c>
      <c r="BJ80" s="243">
        <v>0</v>
      </c>
      <c r="BK80" s="254">
        <v>73732.025600036621</v>
      </c>
      <c r="BL80" s="256">
        <v>103732.02560003662</v>
      </c>
      <c r="BM80" s="46"/>
      <c r="BN80" s="256">
        <f ca="1"/>
        <v>330258.99605140625</v>
      </c>
      <c r="BP80" s="248">
        <f ca="1"/>
        <v>6748015.4615521096</v>
      </c>
      <c r="BR80" s="248">
        <f ca="1"/>
        <v>6748015.4615521096</v>
      </c>
      <c r="BT80" s="248">
        <f ca="1"/>
        <v>0</v>
      </c>
      <c r="BU80" s="248">
        <f ca="1"/>
        <v>6748015.4615521096</v>
      </c>
    </row>
    <row r="81" spans="1:73" ht="16" thickTop="1" thickBot="1">
      <c r="A81" s="1">
        <v>7</v>
      </c>
      <c r="B81" s="1">
        <f t="shared" si="5"/>
        <v>1</v>
      </c>
      <c r="D81" s="98">
        <v>73</v>
      </c>
      <c r="E81" s="239">
        <v>47484</v>
      </c>
      <c r="F81" s="243">
        <v>11879414.303148761</v>
      </c>
      <c r="G81" s="243">
        <v>0</v>
      </c>
      <c r="H81" s="243">
        <v>-6434682.7475389121</v>
      </c>
      <c r="I81" s="243">
        <v>5444731.5556098493</v>
      </c>
      <c r="J81" s="243">
        <v>-163341.94666829548</v>
      </c>
      <c r="K81" s="243">
        <v>-54447.315556098496</v>
      </c>
      <c r="L81" s="366">
        <v>5226942.2933854554</v>
      </c>
      <c r="M81" s="46"/>
      <c r="N81" s="243">
        <v>0</v>
      </c>
      <c r="O81" s="243">
        <v>0</v>
      </c>
      <c r="P81" s="243">
        <v>0</v>
      </c>
      <c r="Q81" s="243">
        <v>0</v>
      </c>
      <c r="R81" s="243">
        <v>0</v>
      </c>
      <c r="S81" s="243">
        <v>0</v>
      </c>
      <c r="T81" s="243">
        <v>0</v>
      </c>
      <c r="U81" s="243">
        <v>0</v>
      </c>
      <c r="V81" s="243">
        <v>0</v>
      </c>
      <c r="W81" s="243">
        <v>0</v>
      </c>
      <c r="X81" s="256">
        <v>0</v>
      </c>
      <c r="Y81" s="253"/>
      <c r="Z81" s="254">
        <v>0</v>
      </c>
      <c r="AA81" s="254">
        <v>0</v>
      </c>
      <c r="AB81" s="254">
        <v>0</v>
      </c>
      <c r="AC81" s="254">
        <v>0</v>
      </c>
      <c r="AD81" s="254">
        <v>0</v>
      </c>
      <c r="AE81" s="254">
        <v>0</v>
      </c>
      <c r="AF81" s="254">
        <v>222226.97045136962</v>
      </c>
      <c r="AG81" s="254">
        <v>0</v>
      </c>
      <c r="AH81" s="254">
        <v>0</v>
      </c>
      <c r="AI81" s="254">
        <v>0</v>
      </c>
      <c r="AJ81" s="254">
        <v>0</v>
      </c>
      <c r="AK81" s="254">
        <v>0</v>
      </c>
      <c r="AL81" s="254">
        <v>0</v>
      </c>
      <c r="AM81" s="254">
        <v>0</v>
      </c>
      <c r="AN81" s="254">
        <v>0</v>
      </c>
      <c r="AO81" s="254">
        <v>0</v>
      </c>
      <c r="AP81" s="254">
        <v>0</v>
      </c>
      <c r="AQ81" s="254">
        <v>0</v>
      </c>
      <c r="AR81" s="254">
        <v>0</v>
      </c>
      <c r="AS81" s="254">
        <v>0</v>
      </c>
      <c r="AT81" s="254">
        <v>0</v>
      </c>
      <c r="AU81" s="254">
        <v>0</v>
      </c>
      <c r="AV81" s="254">
        <v>0</v>
      </c>
      <c r="AW81" s="254">
        <v>0</v>
      </c>
      <c r="AX81" s="256">
        <v>222226.97045136962</v>
      </c>
      <c r="AZ81" s="254">
        <f ca="1"/>
        <v>2600</v>
      </c>
      <c r="BA81" s="254">
        <f ca="1"/>
        <v>1560</v>
      </c>
      <c r="BB81" s="254">
        <f ca="1"/>
        <v>0</v>
      </c>
      <c r="BC81" s="254">
        <f ca="1"/>
        <v>0</v>
      </c>
      <c r="BD81" s="256">
        <f ca="1"/>
        <v>4160</v>
      </c>
      <c r="BF81" s="254">
        <v>25000</v>
      </c>
      <c r="BG81" s="254">
        <v>4166.666666666667</v>
      </c>
      <c r="BH81" s="254">
        <v>833.33333333333337</v>
      </c>
      <c r="BI81" s="254">
        <v>0</v>
      </c>
      <c r="BJ81" s="243">
        <v>0</v>
      </c>
      <c r="BK81" s="254">
        <v>54447.315556098496</v>
      </c>
      <c r="BL81" s="256">
        <v>84447.315556098503</v>
      </c>
      <c r="BM81" s="46"/>
      <c r="BN81" s="256">
        <f ca="1"/>
        <v>310834.28600746812</v>
      </c>
      <c r="BP81" s="248">
        <f ca="1"/>
        <v>4916108.0073779877</v>
      </c>
      <c r="BR81" s="248">
        <f ca="1"/>
        <v>4916108.0073779877</v>
      </c>
      <c r="BT81" s="248">
        <f ca="1"/>
        <v>0</v>
      </c>
      <c r="BU81" s="248">
        <f ca="1"/>
        <v>4916108.0073779877</v>
      </c>
    </row>
    <row r="82" spans="1:73" ht="16" thickTop="1" thickBot="1">
      <c r="A82" s="1">
        <v>7</v>
      </c>
      <c r="B82" s="1">
        <f t="shared" si="5"/>
        <v>1</v>
      </c>
      <c r="D82" s="98">
        <v>74</v>
      </c>
      <c r="E82" s="239">
        <v>47515</v>
      </c>
      <c r="F82" s="243">
        <v>0</v>
      </c>
      <c r="G82" s="243">
        <v>0</v>
      </c>
      <c r="H82" s="243">
        <v>0</v>
      </c>
      <c r="I82" s="243">
        <v>0</v>
      </c>
      <c r="J82" s="243">
        <v>0</v>
      </c>
      <c r="K82" s="243">
        <v>0</v>
      </c>
      <c r="L82" s="366">
        <v>0</v>
      </c>
      <c r="M82" s="46"/>
      <c r="N82" s="243">
        <v>0</v>
      </c>
      <c r="O82" s="243">
        <v>0</v>
      </c>
      <c r="P82" s="243">
        <v>0</v>
      </c>
      <c r="Q82" s="243">
        <v>0</v>
      </c>
      <c r="R82" s="243">
        <v>0</v>
      </c>
      <c r="S82" s="243">
        <v>0</v>
      </c>
      <c r="T82" s="243">
        <v>0</v>
      </c>
      <c r="U82" s="243">
        <v>0</v>
      </c>
      <c r="V82" s="243">
        <v>0</v>
      </c>
      <c r="W82" s="243">
        <v>0</v>
      </c>
      <c r="X82" s="256">
        <v>0</v>
      </c>
      <c r="Y82" s="253"/>
      <c r="Z82" s="254">
        <v>0</v>
      </c>
      <c r="AA82" s="254">
        <v>0</v>
      </c>
      <c r="AB82" s="254">
        <v>0</v>
      </c>
      <c r="AC82" s="254">
        <v>0</v>
      </c>
      <c r="AD82" s="254">
        <v>0</v>
      </c>
      <c r="AE82" s="254">
        <v>0</v>
      </c>
      <c r="AF82" s="254">
        <v>222226.97045136962</v>
      </c>
      <c r="AG82" s="254">
        <v>0</v>
      </c>
      <c r="AH82" s="254">
        <v>0</v>
      </c>
      <c r="AI82" s="254">
        <v>0</v>
      </c>
      <c r="AJ82" s="254">
        <v>0</v>
      </c>
      <c r="AK82" s="254">
        <v>0</v>
      </c>
      <c r="AL82" s="254">
        <v>0</v>
      </c>
      <c r="AM82" s="254">
        <v>0</v>
      </c>
      <c r="AN82" s="254">
        <v>0</v>
      </c>
      <c r="AO82" s="254">
        <v>0</v>
      </c>
      <c r="AP82" s="254">
        <v>0</v>
      </c>
      <c r="AQ82" s="254">
        <v>0</v>
      </c>
      <c r="AR82" s="254">
        <v>0</v>
      </c>
      <c r="AS82" s="254">
        <v>0</v>
      </c>
      <c r="AT82" s="254">
        <v>0</v>
      </c>
      <c r="AU82" s="254">
        <v>0</v>
      </c>
      <c r="AV82" s="254">
        <v>0</v>
      </c>
      <c r="AW82" s="254">
        <v>0</v>
      </c>
      <c r="AX82" s="256">
        <v>222226.97045136962</v>
      </c>
      <c r="AZ82" s="254">
        <f ca="1"/>
        <v>2600</v>
      </c>
      <c r="BA82" s="254">
        <f ca="1"/>
        <v>1560</v>
      </c>
      <c r="BB82" s="254">
        <f ca="1"/>
        <v>0</v>
      </c>
      <c r="BC82" s="254">
        <f ca="1"/>
        <v>0</v>
      </c>
      <c r="BD82" s="256">
        <f ca="1"/>
        <v>4160</v>
      </c>
      <c r="BF82" s="254">
        <v>25000</v>
      </c>
      <c r="BG82" s="254">
        <v>4166.666666666667</v>
      </c>
      <c r="BH82" s="254">
        <v>833.33333333333337</v>
      </c>
      <c r="BI82" s="254">
        <v>0</v>
      </c>
      <c r="BJ82" s="243">
        <v>0</v>
      </c>
      <c r="BK82" s="254">
        <v>0</v>
      </c>
      <c r="BL82" s="256">
        <v>30000</v>
      </c>
      <c r="BM82" s="46"/>
      <c r="BN82" s="256">
        <f ca="1"/>
        <v>256386.97045136962</v>
      </c>
      <c r="BP82" s="248">
        <f ca="1"/>
        <v>-256386.97045136962</v>
      </c>
      <c r="BR82" s="248">
        <f ca="1"/>
        <v>-256386.97045136962</v>
      </c>
      <c r="BT82" s="248">
        <f ca="1"/>
        <v>-256386.97045136962</v>
      </c>
      <c r="BU82" s="248">
        <f ca="1"/>
        <v>0</v>
      </c>
    </row>
    <row r="83" spans="1:73" ht="16" thickTop="1" thickBot="1">
      <c r="A83" s="1">
        <v>7</v>
      </c>
      <c r="B83" s="1">
        <f t="shared" si="5"/>
        <v>1</v>
      </c>
      <c r="D83" s="98">
        <v>75</v>
      </c>
      <c r="E83" s="239">
        <v>47543</v>
      </c>
      <c r="F83" s="243">
        <v>0</v>
      </c>
      <c r="G83" s="243">
        <v>0</v>
      </c>
      <c r="H83" s="243">
        <v>0</v>
      </c>
      <c r="I83" s="243">
        <v>0</v>
      </c>
      <c r="J83" s="243">
        <v>0</v>
      </c>
      <c r="K83" s="243">
        <v>0</v>
      </c>
      <c r="L83" s="366">
        <v>0</v>
      </c>
      <c r="M83" s="46"/>
      <c r="N83" s="243">
        <v>0</v>
      </c>
      <c r="O83" s="243">
        <v>0</v>
      </c>
      <c r="P83" s="243">
        <v>0</v>
      </c>
      <c r="Q83" s="243">
        <v>0</v>
      </c>
      <c r="R83" s="243">
        <v>0</v>
      </c>
      <c r="S83" s="243">
        <v>0</v>
      </c>
      <c r="T83" s="243">
        <v>0</v>
      </c>
      <c r="U83" s="243">
        <v>0</v>
      </c>
      <c r="V83" s="243">
        <v>0</v>
      </c>
      <c r="W83" s="243">
        <v>0</v>
      </c>
      <c r="X83" s="256">
        <v>0</v>
      </c>
      <c r="Y83" s="253"/>
      <c r="Z83" s="254">
        <v>0</v>
      </c>
      <c r="AA83" s="254">
        <v>0</v>
      </c>
      <c r="AB83" s="254">
        <v>0</v>
      </c>
      <c r="AC83" s="254">
        <v>0</v>
      </c>
      <c r="AD83" s="254">
        <v>0</v>
      </c>
      <c r="AE83" s="254">
        <v>0</v>
      </c>
      <c r="AF83" s="254">
        <v>222226.97045136962</v>
      </c>
      <c r="AG83" s="254">
        <v>0</v>
      </c>
      <c r="AH83" s="254">
        <v>0</v>
      </c>
      <c r="AI83" s="254">
        <v>0</v>
      </c>
      <c r="AJ83" s="254">
        <v>0</v>
      </c>
      <c r="AK83" s="254">
        <v>0</v>
      </c>
      <c r="AL83" s="254">
        <v>0</v>
      </c>
      <c r="AM83" s="254">
        <v>0</v>
      </c>
      <c r="AN83" s="254">
        <v>0</v>
      </c>
      <c r="AO83" s="254">
        <v>0</v>
      </c>
      <c r="AP83" s="254">
        <v>0</v>
      </c>
      <c r="AQ83" s="254">
        <v>0</v>
      </c>
      <c r="AR83" s="254">
        <v>0</v>
      </c>
      <c r="AS83" s="254">
        <v>0</v>
      </c>
      <c r="AT83" s="254">
        <v>0</v>
      </c>
      <c r="AU83" s="254">
        <v>0</v>
      </c>
      <c r="AV83" s="254">
        <v>0</v>
      </c>
      <c r="AW83" s="254">
        <v>0</v>
      </c>
      <c r="AX83" s="256">
        <v>222226.97045136962</v>
      </c>
      <c r="AZ83" s="254">
        <f ca="1"/>
        <v>2600</v>
      </c>
      <c r="BA83" s="254">
        <f ca="1"/>
        <v>1560</v>
      </c>
      <c r="BB83" s="254">
        <f ca="1"/>
        <v>0</v>
      </c>
      <c r="BC83" s="254">
        <f ca="1"/>
        <v>0</v>
      </c>
      <c r="BD83" s="256">
        <f ca="1"/>
        <v>4160</v>
      </c>
      <c r="BF83" s="254">
        <v>25000</v>
      </c>
      <c r="BG83" s="254">
        <v>4166.666666666667</v>
      </c>
      <c r="BH83" s="254">
        <v>833.33333333333337</v>
      </c>
      <c r="BI83" s="254">
        <v>0</v>
      </c>
      <c r="BJ83" s="243">
        <v>0</v>
      </c>
      <c r="BK83" s="254">
        <v>0</v>
      </c>
      <c r="BL83" s="256">
        <v>30000</v>
      </c>
      <c r="BM83" s="46"/>
      <c r="BN83" s="256">
        <f ca="1"/>
        <v>256386.97045136962</v>
      </c>
      <c r="BP83" s="248">
        <f ca="1"/>
        <v>-256386.97045136962</v>
      </c>
      <c r="BR83" s="248">
        <f ca="1"/>
        <v>-256386.97045136962</v>
      </c>
      <c r="BT83" s="248">
        <f ca="1"/>
        <v>-256386.97045136962</v>
      </c>
      <c r="BU83" s="248">
        <f ca="1"/>
        <v>0</v>
      </c>
    </row>
    <row r="84" spans="1:73" ht="16" thickTop="1" thickBot="1">
      <c r="A84" s="1">
        <v>7</v>
      </c>
      <c r="B84" s="1">
        <f t="shared" si="5"/>
        <v>1</v>
      </c>
      <c r="D84" s="98">
        <v>76</v>
      </c>
      <c r="E84" s="239">
        <v>47574</v>
      </c>
      <c r="F84" s="243">
        <v>0</v>
      </c>
      <c r="G84" s="243">
        <v>0</v>
      </c>
      <c r="H84" s="243">
        <v>0</v>
      </c>
      <c r="I84" s="243">
        <v>0</v>
      </c>
      <c r="J84" s="243">
        <v>0</v>
      </c>
      <c r="K84" s="243">
        <v>0</v>
      </c>
      <c r="L84" s="366">
        <v>0</v>
      </c>
      <c r="M84" s="46"/>
      <c r="N84" s="243">
        <v>0</v>
      </c>
      <c r="O84" s="243">
        <v>0</v>
      </c>
      <c r="P84" s="243">
        <v>0</v>
      </c>
      <c r="Q84" s="243">
        <v>0</v>
      </c>
      <c r="R84" s="243">
        <v>0</v>
      </c>
      <c r="S84" s="243">
        <v>0</v>
      </c>
      <c r="T84" s="243">
        <v>0</v>
      </c>
      <c r="U84" s="243">
        <v>0</v>
      </c>
      <c r="V84" s="243">
        <v>0</v>
      </c>
      <c r="W84" s="243">
        <v>0</v>
      </c>
      <c r="X84" s="256">
        <v>0</v>
      </c>
      <c r="Y84" s="253"/>
      <c r="Z84" s="254">
        <v>0</v>
      </c>
      <c r="AA84" s="254">
        <v>0</v>
      </c>
      <c r="AB84" s="254">
        <v>0</v>
      </c>
      <c r="AC84" s="254">
        <v>0</v>
      </c>
      <c r="AD84" s="254">
        <v>0</v>
      </c>
      <c r="AE84" s="254">
        <v>0</v>
      </c>
      <c r="AF84" s="254">
        <v>222226.97045136962</v>
      </c>
      <c r="AG84" s="254">
        <v>0</v>
      </c>
      <c r="AH84" s="254">
        <v>0</v>
      </c>
      <c r="AI84" s="254">
        <v>0</v>
      </c>
      <c r="AJ84" s="254">
        <v>0</v>
      </c>
      <c r="AK84" s="254">
        <v>0</v>
      </c>
      <c r="AL84" s="254">
        <v>0</v>
      </c>
      <c r="AM84" s="254">
        <v>0</v>
      </c>
      <c r="AN84" s="254">
        <v>0</v>
      </c>
      <c r="AO84" s="254">
        <v>0</v>
      </c>
      <c r="AP84" s="254">
        <v>0</v>
      </c>
      <c r="AQ84" s="254">
        <v>0</v>
      </c>
      <c r="AR84" s="254">
        <v>0</v>
      </c>
      <c r="AS84" s="254">
        <v>0</v>
      </c>
      <c r="AT84" s="254">
        <v>0</v>
      </c>
      <c r="AU84" s="254">
        <v>0</v>
      </c>
      <c r="AV84" s="254">
        <v>0</v>
      </c>
      <c r="AW84" s="254">
        <v>0</v>
      </c>
      <c r="AX84" s="256">
        <v>222226.97045136962</v>
      </c>
      <c r="AZ84" s="254">
        <f ca="1"/>
        <v>2600</v>
      </c>
      <c r="BA84" s="254">
        <f ca="1"/>
        <v>1560</v>
      </c>
      <c r="BB84" s="254">
        <f ca="1"/>
        <v>0</v>
      </c>
      <c r="BC84" s="254">
        <f ca="1"/>
        <v>0</v>
      </c>
      <c r="BD84" s="256">
        <f ca="1"/>
        <v>4160</v>
      </c>
      <c r="BF84" s="254">
        <v>25000</v>
      </c>
      <c r="BG84" s="254">
        <v>4166.666666666667</v>
      </c>
      <c r="BH84" s="254">
        <v>833.33333333333337</v>
      </c>
      <c r="BI84" s="254">
        <v>0</v>
      </c>
      <c r="BJ84" s="243">
        <v>0</v>
      </c>
      <c r="BK84" s="254">
        <v>0</v>
      </c>
      <c r="BL84" s="256">
        <v>30000</v>
      </c>
      <c r="BM84" s="46"/>
      <c r="BN84" s="256">
        <f ca="1"/>
        <v>256386.97045136962</v>
      </c>
      <c r="BP84" s="248">
        <f ca="1"/>
        <v>-256386.97045136962</v>
      </c>
      <c r="BR84" s="248">
        <f ca="1"/>
        <v>-256386.97045136962</v>
      </c>
      <c r="BT84" s="248">
        <f ca="1"/>
        <v>-256386.97045136962</v>
      </c>
      <c r="BU84" s="248">
        <f ca="1"/>
        <v>0</v>
      </c>
    </row>
    <row r="85" spans="1:73" ht="16" thickTop="1" thickBot="1">
      <c r="A85" s="1">
        <v>7</v>
      </c>
      <c r="B85" s="1">
        <f t="shared" si="5"/>
        <v>1</v>
      </c>
      <c r="D85" s="98">
        <v>77</v>
      </c>
      <c r="E85" s="239">
        <v>47604</v>
      </c>
      <c r="F85" s="243">
        <v>0</v>
      </c>
      <c r="G85" s="243">
        <v>0</v>
      </c>
      <c r="H85" s="243">
        <v>0</v>
      </c>
      <c r="I85" s="243">
        <v>0</v>
      </c>
      <c r="J85" s="243">
        <v>0</v>
      </c>
      <c r="K85" s="243">
        <v>0</v>
      </c>
      <c r="L85" s="366">
        <v>0</v>
      </c>
      <c r="M85" s="46"/>
      <c r="N85" s="243">
        <v>0</v>
      </c>
      <c r="O85" s="243">
        <v>0</v>
      </c>
      <c r="P85" s="243">
        <v>0</v>
      </c>
      <c r="Q85" s="243">
        <v>0</v>
      </c>
      <c r="R85" s="243">
        <v>0</v>
      </c>
      <c r="S85" s="243">
        <v>0</v>
      </c>
      <c r="T85" s="243">
        <v>0</v>
      </c>
      <c r="U85" s="243">
        <v>0</v>
      </c>
      <c r="V85" s="243">
        <v>0</v>
      </c>
      <c r="W85" s="243">
        <v>0</v>
      </c>
      <c r="X85" s="256">
        <v>0</v>
      </c>
      <c r="Y85" s="253"/>
      <c r="Z85" s="254">
        <v>0</v>
      </c>
      <c r="AA85" s="254">
        <v>0</v>
      </c>
      <c r="AB85" s="254">
        <v>0</v>
      </c>
      <c r="AC85" s="254">
        <v>0</v>
      </c>
      <c r="AD85" s="254">
        <v>0</v>
      </c>
      <c r="AE85" s="254">
        <v>0</v>
      </c>
      <c r="AF85" s="254">
        <v>222226.97045136962</v>
      </c>
      <c r="AG85" s="254">
        <v>0</v>
      </c>
      <c r="AH85" s="254">
        <v>0</v>
      </c>
      <c r="AI85" s="254">
        <v>0</v>
      </c>
      <c r="AJ85" s="254">
        <v>0</v>
      </c>
      <c r="AK85" s="254">
        <v>0</v>
      </c>
      <c r="AL85" s="254">
        <v>0</v>
      </c>
      <c r="AM85" s="254">
        <v>0</v>
      </c>
      <c r="AN85" s="254">
        <v>0</v>
      </c>
      <c r="AO85" s="254">
        <v>0</v>
      </c>
      <c r="AP85" s="254">
        <v>0</v>
      </c>
      <c r="AQ85" s="254">
        <v>0</v>
      </c>
      <c r="AR85" s="254">
        <v>0</v>
      </c>
      <c r="AS85" s="254">
        <v>0</v>
      </c>
      <c r="AT85" s="254">
        <v>0</v>
      </c>
      <c r="AU85" s="254">
        <v>0</v>
      </c>
      <c r="AV85" s="254">
        <v>0</v>
      </c>
      <c r="AW85" s="254">
        <v>0</v>
      </c>
      <c r="AX85" s="256">
        <v>222226.97045136962</v>
      </c>
      <c r="AZ85" s="254">
        <f ca="1"/>
        <v>2600</v>
      </c>
      <c r="BA85" s="254">
        <f ca="1"/>
        <v>1560</v>
      </c>
      <c r="BB85" s="254">
        <f ca="1"/>
        <v>0</v>
      </c>
      <c r="BC85" s="254">
        <f ca="1"/>
        <v>0</v>
      </c>
      <c r="BD85" s="256">
        <f ca="1"/>
        <v>4160</v>
      </c>
      <c r="BF85" s="254">
        <v>25000</v>
      </c>
      <c r="BG85" s="254">
        <v>4166.666666666667</v>
      </c>
      <c r="BH85" s="254">
        <v>833.33333333333337</v>
      </c>
      <c r="BI85" s="254">
        <v>0</v>
      </c>
      <c r="BJ85" s="243">
        <v>0</v>
      </c>
      <c r="BK85" s="254">
        <v>0</v>
      </c>
      <c r="BL85" s="256">
        <v>30000</v>
      </c>
      <c r="BM85" s="46"/>
      <c r="BN85" s="256">
        <f ca="1"/>
        <v>256386.97045136962</v>
      </c>
      <c r="BP85" s="248">
        <f ca="1"/>
        <v>-256386.97045136962</v>
      </c>
      <c r="BR85" s="248">
        <f ca="1"/>
        <v>-256386.97045136962</v>
      </c>
      <c r="BT85" s="248">
        <f ca="1"/>
        <v>-256386.97045136962</v>
      </c>
      <c r="BU85" s="248">
        <f ca="1"/>
        <v>0</v>
      </c>
    </row>
    <row r="86" spans="1:73" ht="16" thickTop="1" thickBot="1">
      <c r="A86" s="1">
        <v>7</v>
      </c>
      <c r="B86" s="1">
        <f t="shared" si="5"/>
        <v>1</v>
      </c>
      <c r="D86" s="98">
        <v>78</v>
      </c>
      <c r="E86" s="239">
        <v>47635</v>
      </c>
      <c r="F86" s="243">
        <v>39206113.158727534</v>
      </c>
      <c r="G86" s="243">
        <v>0</v>
      </c>
      <c r="H86" s="243">
        <v>-21236644.627644084</v>
      </c>
      <c r="I86" s="243">
        <v>17969468.531083453</v>
      </c>
      <c r="J86" s="243">
        <v>-539084.05593250366</v>
      </c>
      <c r="K86" s="243">
        <v>-179694.68531083455</v>
      </c>
      <c r="L86" s="366">
        <v>17250689.789840117</v>
      </c>
      <c r="M86" s="46"/>
      <c r="N86" s="243">
        <v>0</v>
      </c>
      <c r="O86" s="243">
        <v>0</v>
      </c>
      <c r="P86" s="243">
        <v>0</v>
      </c>
      <c r="Q86" s="243">
        <v>0</v>
      </c>
      <c r="R86" s="243">
        <v>0</v>
      </c>
      <c r="S86" s="243">
        <v>0</v>
      </c>
      <c r="T86" s="243">
        <v>0</v>
      </c>
      <c r="U86" s="243">
        <v>0</v>
      </c>
      <c r="V86" s="243">
        <v>0</v>
      </c>
      <c r="W86" s="243">
        <v>0</v>
      </c>
      <c r="X86" s="256">
        <v>0</v>
      </c>
      <c r="Y86" s="253"/>
      <c r="Z86" s="254">
        <v>0</v>
      </c>
      <c r="AA86" s="254">
        <v>0</v>
      </c>
      <c r="AB86" s="254">
        <v>0</v>
      </c>
      <c r="AC86" s="254">
        <v>0</v>
      </c>
      <c r="AD86" s="254">
        <v>0</v>
      </c>
      <c r="AE86" s="254">
        <v>0</v>
      </c>
      <c r="AF86" s="254">
        <v>0</v>
      </c>
      <c r="AG86" s="254">
        <v>0</v>
      </c>
      <c r="AH86" s="254">
        <v>0</v>
      </c>
      <c r="AI86" s="254">
        <v>0</v>
      </c>
      <c r="AJ86" s="254">
        <v>0</v>
      </c>
      <c r="AK86" s="254">
        <v>0</v>
      </c>
      <c r="AL86" s="254">
        <v>0</v>
      </c>
      <c r="AM86" s="254">
        <v>0</v>
      </c>
      <c r="AN86" s="254">
        <v>0</v>
      </c>
      <c r="AO86" s="254">
        <v>0</v>
      </c>
      <c r="AP86" s="254">
        <v>0</v>
      </c>
      <c r="AQ86" s="254">
        <v>0</v>
      </c>
      <c r="AR86" s="254">
        <v>0</v>
      </c>
      <c r="AS86" s="254">
        <v>0</v>
      </c>
      <c r="AT86" s="254">
        <v>0</v>
      </c>
      <c r="AU86" s="254">
        <v>0</v>
      </c>
      <c r="AV86" s="254">
        <v>0</v>
      </c>
      <c r="AW86" s="254">
        <v>0</v>
      </c>
      <c r="AX86" s="256">
        <v>0</v>
      </c>
      <c r="AZ86" s="254">
        <f ca="1"/>
        <v>2254.1666666666665</v>
      </c>
      <c r="BA86" s="254">
        <f ca="1"/>
        <v>1352.5</v>
      </c>
      <c r="BB86" s="254">
        <f ca="1"/>
        <v>0</v>
      </c>
      <c r="BC86" s="254">
        <f ca="1"/>
        <v>0</v>
      </c>
      <c r="BD86" s="256">
        <f ca="1"/>
        <v>3606.6666666666665</v>
      </c>
      <c r="BF86" s="254">
        <v>25000</v>
      </c>
      <c r="BG86" s="254">
        <v>4166.666666666667</v>
      </c>
      <c r="BH86" s="254">
        <v>833.33333333333337</v>
      </c>
      <c r="BI86" s="254">
        <v>0</v>
      </c>
      <c r="BJ86" s="243">
        <v>0</v>
      </c>
      <c r="BK86" s="254">
        <v>179694.68531083452</v>
      </c>
      <c r="BL86" s="256">
        <v>209694.68531083452</v>
      </c>
      <c r="BM86" s="46"/>
      <c r="BN86" s="256">
        <f ca="1"/>
        <v>213301.35197750118</v>
      </c>
      <c r="BP86" s="248">
        <f ca="1"/>
        <v>17037388.437862616</v>
      </c>
      <c r="BR86" s="248">
        <f ca="1"/>
        <v>17037388.437862616</v>
      </c>
      <c r="BT86" s="248">
        <f ca="1"/>
        <v>0</v>
      </c>
      <c r="BU86" s="248">
        <f ca="1"/>
        <v>17037388.437862616</v>
      </c>
    </row>
    <row r="87" spans="1:73" ht="16" thickTop="1" thickBot="1">
      <c r="A87" s="1">
        <v>7</v>
      </c>
      <c r="B87" s="1">
        <f t="shared" si="5"/>
        <v>1</v>
      </c>
      <c r="D87" s="98">
        <v>79</v>
      </c>
      <c r="E87" s="239">
        <v>47665</v>
      </c>
      <c r="F87" s="243">
        <v>0</v>
      </c>
      <c r="G87" s="243">
        <v>0</v>
      </c>
      <c r="H87" s="243">
        <v>0</v>
      </c>
      <c r="I87" s="243">
        <v>0</v>
      </c>
      <c r="J87" s="243">
        <v>0</v>
      </c>
      <c r="K87" s="243">
        <v>0</v>
      </c>
      <c r="L87" s="366">
        <v>0</v>
      </c>
      <c r="M87" s="46"/>
      <c r="N87" s="243">
        <v>0</v>
      </c>
      <c r="O87" s="243">
        <v>0</v>
      </c>
      <c r="P87" s="243">
        <v>0</v>
      </c>
      <c r="Q87" s="243">
        <v>0</v>
      </c>
      <c r="R87" s="243">
        <v>0</v>
      </c>
      <c r="S87" s="243">
        <v>0</v>
      </c>
      <c r="T87" s="243">
        <v>0</v>
      </c>
      <c r="U87" s="243">
        <v>0</v>
      </c>
      <c r="V87" s="243">
        <v>0</v>
      </c>
      <c r="W87" s="243">
        <v>0</v>
      </c>
      <c r="X87" s="256">
        <v>0</v>
      </c>
      <c r="Y87" s="253"/>
      <c r="Z87" s="254">
        <v>0</v>
      </c>
      <c r="AA87" s="254">
        <v>0</v>
      </c>
      <c r="AB87" s="254">
        <v>0</v>
      </c>
      <c r="AC87" s="254">
        <v>0</v>
      </c>
      <c r="AD87" s="254">
        <v>0</v>
      </c>
      <c r="AE87" s="254">
        <v>0</v>
      </c>
      <c r="AF87" s="254">
        <v>0</v>
      </c>
      <c r="AG87" s="254">
        <v>0</v>
      </c>
      <c r="AH87" s="254">
        <v>0</v>
      </c>
      <c r="AI87" s="254">
        <v>0</v>
      </c>
      <c r="AJ87" s="254">
        <v>0</v>
      </c>
      <c r="AK87" s="254">
        <v>0</v>
      </c>
      <c r="AL87" s="254">
        <v>0</v>
      </c>
      <c r="AM87" s="254">
        <v>0</v>
      </c>
      <c r="AN87" s="254">
        <v>0</v>
      </c>
      <c r="AO87" s="254">
        <v>0</v>
      </c>
      <c r="AP87" s="254">
        <v>0</v>
      </c>
      <c r="AQ87" s="254">
        <v>0</v>
      </c>
      <c r="AR87" s="254">
        <v>0</v>
      </c>
      <c r="AS87" s="254">
        <v>0</v>
      </c>
      <c r="AT87" s="254">
        <v>0</v>
      </c>
      <c r="AU87" s="254">
        <v>0</v>
      </c>
      <c r="AV87" s="254">
        <v>0</v>
      </c>
      <c r="AW87" s="254">
        <v>0</v>
      </c>
      <c r="AX87" s="256">
        <v>0</v>
      </c>
      <c r="AZ87" s="254">
        <f ca="1"/>
        <v>2254.1666666666665</v>
      </c>
      <c r="BA87" s="254">
        <f ca="1"/>
        <v>1352.5</v>
      </c>
      <c r="BB87" s="254">
        <f ca="1"/>
        <v>0</v>
      </c>
      <c r="BC87" s="254">
        <f ca="1"/>
        <v>0</v>
      </c>
      <c r="BD87" s="256">
        <f ca="1"/>
        <v>3606.6666666666665</v>
      </c>
      <c r="BF87" s="254">
        <v>25000</v>
      </c>
      <c r="BG87" s="254">
        <v>4166.666666666667</v>
      </c>
      <c r="BH87" s="254">
        <v>833.33333333333337</v>
      </c>
      <c r="BI87" s="254">
        <v>0</v>
      </c>
      <c r="BJ87" s="243">
        <v>0</v>
      </c>
      <c r="BK87" s="254">
        <v>0</v>
      </c>
      <c r="BL87" s="256">
        <v>30000</v>
      </c>
      <c r="BM87" s="46"/>
      <c r="BN87" s="256">
        <f ca="1"/>
        <v>33606.666666666664</v>
      </c>
      <c r="BP87" s="248">
        <f ca="1"/>
        <v>-33606.666666666664</v>
      </c>
      <c r="BR87" s="248">
        <f ca="1"/>
        <v>-33606.666666666664</v>
      </c>
      <c r="BT87" s="248">
        <f ca="1"/>
        <v>-33606.666666666664</v>
      </c>
      <c r="BU87" s="248">
        <f ca="1"/>
        <v>0</v>
      </c>
    </row>
    <row r="88" spans="1:73" ht="16" thickTop="1" thickBot="1">
      <c r="A88" s="1">
        <v>7</v>
      </c>
      <c r="B88" s="1">
        <f t="shared" si="5"/>
        <v>1</v>
      </c>
      <c r="D88" s="98">
        <v>80</v>
      </c>
      <c r="E88" s="239">
        <v>47696</v>
      </c>
      <c r="F88" s="243">
        <v>0</v>
      </c>
      <c r="G88" s="243">
        <v>0</v>
      </c>
      <c r="H88" s="243">
        <v>0</v>
      </c>
      <c r="I88" s="243">
        <v>0</v>
      </c>
      <c r="J88" s="243">
        <v>0</v>
      </c>
      <c r="K88" s="243">
        <v>0</v>
      </c>
      <c r="L88" s="366">
        <v>0</v>
      </c>
      <c r="M88" s="46"/>
      <c r="N88" s="243">
        <v>0</v>
      </c>
      <c r="O88" s="243">
        <v>0</v>
      </c>
      <c r="P88" s="243">
        <v>0</v>
      </c>
      <c r="Q88" s="243">
        <v>0</v>
      </c>
      <c r="R88" s="243">
        <v>0</v>
      </c>
      <c r="S88" s="243">
        <v>0</v>
      </c>
      <c r="T88" s="243">
        <v>0</v>
      </c>
      <c r="U88" s="243">
        <v>0</v>
      </c>
      <c r="V88" s="243">
        <v>0</v>
      </c>
      <c r="W88" s="243">
        <v>0</v>
      </c>
      <c r="X88" s="256">
        <v>0</v>
      </c>
      <c r="Y88" s="253"/>
      <c r="Z88" s="254">
        <v>0</v>
      </c>
      <c r="AA88" s="254">
        <v>0</v>
      </c>
      <c r="AB88" s="254">
        <v>0</v>
      </c>
      <c r="AC88" s="254">
        <v>0</v>
      </c>
      <c r="AD88" s="254">
        <v>0</v>
      </c>
      <c r="AE88" s="254">
        <v>0</v>
      </c>
      <c r="AF88" s="254">
        <v>0</v>
      </c>
      <c r="AG88" s="254">
        <v>0</v>
      </c>
      <c r="AH88" s="254">
        <v>0</v>
      </c>
      <c r="AI88" s="254">
        <v>0</v>
      </c>
      <c r="AJ88" s="254">
        <v>0</v>
      </c>
      <c r="AK88" s="254">
        <v>0</v>
      </c>
      <c r="AL88" s="254">
        <v>0</v>
      </c>
      <c r="AM88" s="254">
        <v>0</v>
      </c>
      <c r="AN88" s="254">
        <v>0</v>
      </c>
      <c r="AO88" s="254">
        <v>0</v>
      </c>
      <c r="AP88" s="254">
        <v>0</v>
      </c>
      <c r="AQ88" s="254">
        <v>0</v>
      </c>
      <c r="AR88" s="254">
        <v>0</v>
      </c>
      <c r="AS88" s="254">
        <v>0</v>
      </c>
      <c r="AT88" s="254">
        <v>0</v>
      </c>
      <c r="AU88" s="254">
        <v>0</v>
      </c>
      <c r="AV88" s="254">
        <v>0</v>
      </c>
      <c r="AW88" s="254">
        <v>0</v>
      </c>
      <c r="AX88" s="256">
        <v>0</v>
      </c>
      <c r="AZ88" s="254">
        <f ca="1"/>
        <v>2254.1666666666665</v>
      </c>
      <c r="BA88" s="254">
        <f ca="1"/>
        <v>1352.5</v>
      </c>
      <c r="BB88" s="254">
        <f ca="1"/>
        <v>0</v>
      </c>
      <c r="BC88" s="254">
        <f ca="1"/>
        <v>0</v>
      </c>
      <c r="BD88" s="256">
        <f ca="1"/>
        <v>3606.6666666666665</v>
      </c>
      <c r="BF88" s="254">
        <v>25000</v>
      </c>
      <c r="BG88" s="254">
        <v>4166.666666666667</v>
      </c>
      <c r="BH88" s="254">
        <v>833.33333333333337</v>
      </c>
      <c r="BI88" s="254">
        <v>0</v>
      </c>
      <c r="BJ88" s="243">
        <v>0</v>
      </c>
      <c r="BK88" s="254">
        <v>0</v>
      </c>
      <c r="BL88" s="256">
        <v>30000</v>
      </c>
      <c r="BM88" s="46"/>
      <c r="BN88" s="256">
        <f ca="1"/>
        <v>33606.666666666664</v>
      </c>
      <c r="BP88" s="248">
        <f ca="1"/>
        <v>-33606.666666666664</v>
      </c>
      <c r="BR88" s="248">
        <f ca="1"/>
        <v>-33606.666666666664</v>
      </c>
      <c r="BT88" s="248">
        <f ca="1"/>
        <v>-33606.666666666664</v>
      </c>
      <c r="BU88" s="248">
        <f ca="1"/>
        <v>0</v>
      </c>
    </row>
    <row r="89" spans="1:73" ht="16" thickTop="1" thickBot="1">
      <c r="A89" s="1">
        <v>7</v>
      </c>
      <c r="B89" s="1">
        <f t="shared" si="5"/>
        <v>1</v>
      </c>
      <c r="D89" s="98">
        <v>81</v>
      </c>
      <c r="E89" s="239">
        <v>47727</v>
      </c>
      <c r="F89" s="243">
        <v>0</v>
      </c>
      <c r="G89" s="243">
        <v>0</v>
      </c>
      <c r="H89" s="243">
        <v>0</v>
      </c>
      <c r="I89" s="243">
        <v>0</v>
      </c>
      <c r="J89" s="243">
        <v>0</v>
      </c>
      <c r="K89" s="243">
        <v>0</v>
      </c>
      <c r="L89" s="366">
        <v>0</v>
      </c>
      <c r="M89" s="46"/>
      <c r="N89" s="243">
        <v>0</v>
      </c>
      <c r="O89" s="243">
        <v>0</v>
      </c>
      <c r="P89" s="243">
        <v>0</v>
      </c>
      <c r="Q89" s="243">
        <v>0</v>
      </c>
      <c r="R89" s="243">
        <v>0</v>
      </c>
      <c r="S89" s="243">
        <v>0</v>
      </c>
      <c r="T89" s="243">
        <v>0</v>
      </c>
      <c r="U89" s="243">
        <v>0</v>
      </c>
      <c r="V89" s="243">
        <v>0</v>
      </c>
      <c r="W89" s="243">
        <v>0</v>
      </c>
      <c r="X89" s="256">
        <v>0</v>
      </c>
      <c r="Y89" s="253"/>
      <c r="Z89" s="254">
        <v>0</v>
      </c>
      <c r="AA89" s="254">
        <v>0</v>
      </c>
      <c r="AB89" s="254">
        <v>0</v>
      </c>
      <c r="AC89" s="254">
        <v>0</v>
      </c>
      <c r="AD89" s="254">
        <v>0</v>
      </c>
      <c r="AE89" s="254">
        <v>0</v>
      </c>
      <c r="AF89" s="254">
        <v>0</v>
      </c>
      <c r="AG89" s="254">
        <v>0</v>
      </c>
      <c r="AH89" s="254">
        <v>0</v>
      </c>
      <c r="AI89" s="254">
        <v>0</v>
      </c>
      <c r="AJ89" s="254">
        <v>0</v>
      </c>
      <c r="AK89" s="254">
        <v>0</v>
      </c>
      <c r="AL89" s="254">
        <v>0</v>
      </c>
      <c r="AM89" s="254">
        <v>0</v>
      </c>
      <c r="AN89" s="254">
        <v>0</v>
      </c>
      <c r="AO89" s="254">
        <v>0</v>
      </c>
      <c r="AP89" s="254">
        <v>0</v>
      </c>
      <c r="AQ89" s="254">
        <v>0</v>
      </c>
      <c r="AR89" s="254">
        <v>0</v>
      </c>
      <c r="AS89" s="254">
        <v>0</v>
      </c>
      <c r="AT89" s="254">
        <v>0</v>
      </c>
      <c r="AU89" s="254">
        <v>0</v>
      </c>
      <c r="AV89" s="254">
        <v>0</v>
      </c>
      <c r="AW89" s="254">
        <v>0</v>
      </c>
      <c r="AX89" s="256">
        <v>0</v>
      </c>
      <c r="AZ89" s="254">
        <f ca="1"/>
        <v>2254.1666666666665</v>
      </c>
      <c r="BA89" s="254">
        <f ca="1"/>
        <v>1352.5</v>
      </c>
      <c r="BB89" s="254">
        <f ca="1"/>
        <v>0</v>
      </c>
      <c r="BC89" s="254">
        <f ca="1"/>
        <v>0</v>
      </c>
      <c r="BD89" s="256">
        <f ca="1"/>
        <v>3606.6666666666665</v>
      </c>
      <c r="BF89" s="254">
        <v>25000</v>
      </c>
      <c r="BG89" s="254">
        <v>4166.666666666667</v>
      </c>
      <c r="BH89" s="254">
        <v>833.33333333333337</v>
      </c>
      <c r="BI89" s="254">
        <v>0</v>
      </c>
      <c r="BJ89" s="243">
        <v>0</v>
      </c>
      <c r="BK89" s="254">
        <v>0</v>
      </c>
      <c r="BL89" s="256">
        <v>30000</v>
      </c>
      <c r="BM89" s="46"/>
      <c r="BN89" s="256">
        <f ca="1"/>
        <v>33606.666666666664</v>
      </c>
      <c r="BP89" s="248">
        <f ca="1"/>
        <v>-33606.666666666664</v>
      </c>
      <c r="BR89" s="248">
        <f ca="1"/>
        <v>-33606.666666666664</v>
      </c>
      <c r="BT89" s="248">
        <f ca="1"/>
        <v>-33606.666666666664</v>
      </c>
      <c r="BU89" s="248">
        <f ca="1"/>
        <v>0</v>
      </c>
    </row>
    <row r="90" spans="1:73" ht="16" thickTop="1" thickBot="1">
      <c r="A90" s="1">
        <v>7</v>
      </c>
      <c r="B90" s="1">
        <f t="shared" si="5"/>
        <v>1</v>
      </c>
      <c r="D90" s="98">
        <v>82</v>
      </c>
      <c r="E90" s="239">
        <v>47757</v>
      </c>
      <c r="F90" s="243">
        <v>0</v>
      </c>
      <c r="G90" s="243">
        <v>0</v>
      </c>
      <c r="H90" s="243">
        <v>0</v>
      </c>
      <c r="I90" s="243">
        <v>0</v>
      </c>
      <c r="J90" s="243">
        <v>0</v>
      </c>
      <c r="K90" s="243">
        <v>0</v>
      </c>
      <c r="L90" s="366">
        <v>0</v>
      </c>
      <c r="M90" s="46"/>
      <c r="N90" s="243">
        <v>0</v>
      </c>
      <c r="O90" s="243">
        <v>0</v>
      </c>
      <c r="P90" s="243">
        <v>0</v>
      </c>
      <c r="Q90" s="243">
        <v>0</v>
      </c>
      <c r="R90" s="243">
        <v>0</v>
      </c>
      <c r="S90" s="243">
        <v>0</v>
      </c>
      <c r="T90" s="243">
        <v>0</v>
      </c>
      <c r="U90" s="243">
        <v>0</v>
      </c>
      <c r="V90" s="243">
        <v>0</v>
      </c>
      <c r="W90" s="243">
        <v>0</v>
      </c>
      <c r="X90" s="256">
        <v>0</v>
      </c>
      <c r="Y90" s="253"/>
      <c r="Z90" s="254">
        <v>0</v>
      </c>
      <c r="AA90" s="254">
        <v>0</v>
      </c>
      <c r="AB90" s="254">
        <v>0</v>
      </c>
      <c r="AC90" s="254">
        <v>0</v>
      </c>
      <c r="AD90" s="254">
        <v>0</v>
      </c>
      <c r="AE90" s="254">
        <v>0</v>
      </c>
      <c r="AF90" s="254">
        <v>0</v>
      </c>
      <c r="AG90" s="254">
        <v>0</v>
      </c>
      <c r="AH90" s="254">
        <v>0</v>
      </c>
      <c r="AI90" s="254">
        <v>0</v>
      </c>
      <c r="AJ90" s="254">
        <v>0</v>
      </c>
      <c r="AK90" s="254">
        <v>0</v>
      </c>
      <c r="AL90" s="254">
        <v>0</v>
      </c>
      <c r="AM90" s="254">
        <v>0</v>
      </c>
      <c r="AN90" s="254">
        <v>0</v>
      </c>
      <c r="AO90" s="254">
        <v>0</v>
      </c>
      <c r="AP90" s="254">
        <v>0</v>
      </c>
      <c r="AQ90" s="254">
        <v>0</v>
      </c>
      <c r="AR90" s="254">
        <v>0</v>
      </c>
      <c r="AS90" s="254">
        <v>0</v>
      </c>
      <c r="AT90" s="254">
        <v>0</v>
      </c>
      <c r="AU90" s="254">
        <v>0</v>
      </c>
      <c r="AV90" s="254">
        <v>0</v>
      </c>
      <c r="AW90" s="254">
        <v>0</v>
      </c>
      <c r="AX90" s="256">
        <v>0</v>
      </c>
      <c r="AZ90" s="254">
        <f ca="1"/>
        <v>2254.1666666666665</v>
      </c>
      <c r="BA90" s="254">
        <f ca="1"/>
        <v>1352.5</v>
      </c>
      <c r="BB90" s="254">
        <f ca="1"/>
        <v>0</v>
      </c>
      <c r="BC90" s="254">
        <f ca="1"/>
        <v>0</v>
      </c>
      <c r="BD90" s="256">
        <f ca="1"/>
        <v>3606.6666666666665</v>
      </c>
      <c r="BF90" s="254">
        <v>25000</v>
      </c>
      <c r="BG90" s="254">
        <v>4166.666666666667</v>
      </c>
      <c r="BH90" s="254">
        <v>833.33333333333337</v>
      </c>
      <c r="BI90" s="254">
        <v>0</v>
      </c>
      <c r="BJ90" s="243">
        <v>0</v>
      </c>
      <c r="BK90" s="254">
        <v>0</v>
      </c>
      <c r="BL90" s="256">
        <v>30000</v>
      </c>
      <c r="BM90" s="46"/>
      <c r="BN90" s="256">
        <f ca="1"/>
        <v>33606.666666666664</v>
      </c>
      <c r="BP90" s="248">
        <f ca="1"/>
        <v>-33606.666666666664</v>
      </c>
      <c r="BR90" s="248">
        <f ca="1"/>
        <v>-33606.666666666664</v>
      </c>
      <c r="BT90" s="248">
        <f ca="1"/>
        <v>-33606.666666666664</v>
      </c>
      <c r="BU90" s="248">
        <f ca="1"/>
        <v>0</v>
      </c>
    </row>
    <row r="91" spans="1:73" ht="16" thickTop="1" thickBot="1">
      <c r="A91" s="1">
        <v>7</v>
      </c>
      <c r="B91" s="1">
        <f t="shared" si="5"/>
        <v>1</v>
      </c>
      <c r="D91" s="98">
        <v>83</v>
      </c>
      <c r="E91" s="239">
        <v>47788</v>
      </c>
      <c r="F91" s="243">
        <v>0</v>
      </c>
      <c r="G91" s="243">
        <v>0</v>
      </c>
      <c r="H91" s="243">
        <v>0</v>
      </c>
      <c r="I91" s="243">
        <v>0</v>
      </c>
      <c r="J91" s="243">
        <v>0</v>
      </c>
      <c r="K91" s="243">
        <v>0</v>
      </c>
      <c r="L91" s="366">
        <v>0</v>
      </c>
      <c r="M91" s="46"/>
      <c r="N91" s="243">
        <v>0</v>
      </c>
      <c r="O91" s="243">
        <v>0</v>
      </c>
      <c r="P91" s="243">
        <v>0</v>
      </c>
      <c r="Q91" s="243">
        <v>0</v>
      </c>
      <c r="R91" s="243">
        <v>0</v>
      </c>
      <c r="S91" s="243">
        <v>0</v>
      </c>
      <c r="T91" s="243">
        <v>0</v>
      </c>
      <c r="U91" s="243">
        <v>0</v>
      </c>
      <c r="V91" s="243">
        <v>0</v>
      </c>
      <c r="W91" s="243">
        <v>0</v>
      </c>
      <c r="X91" s="256">
        <v>0</v>
      </c>
      <c r="Y91" s="253"/>
      <c r="Z91" s="254">
        <v>0</v>
      </c>
      <c r="AA91" s="254">
        <v>0</v>
      </c>
      <c r="AB91" s="254">
        <v>0</v>
      </c>
      <c r="AC91" s="254">
        <v>0</v>
      </c>
      <c r="AD91" s="254">
        <v>0</v>
      </c>
      <c r="AE91" s="254">
        <v>0</v>
      </c>
      <c r="AF91" s="254">
        <v>0</v>
      </c>
      <c r="AG91" s="254">
        <v>0</v>
      </c>
      <c r="AH91" s="254">
        <v>0</v>
      </c>
      <c r="AI91" s="254">
        <v>0</v>
      </c>
      <c r="AJ91" s="254">
        <v>0</v>
      </c>
      <c r="AK91" s="254">
        <v>0</v>
      </c>
      <c r="AL91" s="254">
        <v>0</v>
      </c>
      <c r="AM91" s="254">
        <v>0</v>
      </c>
      <c r="AN91" s="254">
        <v>0</v>
      </c>
      <c r="AO91" s="254">
        <v>0</v>
      </c>
      <c r="AP91" s="254">
        <v>0</v>
      </c>
      <c r="AQ91" s="254">
        <v>0</v>
      </c>
      <c r="AR91" s="254">
        <v>0</v>
      </c>
      <c r="AS91" s="254">
        <v>0</v>
      </c>
      <c r="AT91" s="254">
        <v>0</v>
      </c>
      <c r="AU91" s="254">
        <v>0</v>
      </c>
      <c r="AV91" s="254">
        <v>0</v>
      </c>
      <c r="AW91" s="254">
        <v>0</v>
      </c>
      <c r="AX91" s="256">
        <v>0</v>
      </c>
      <c r="AZ91" s="254">
        <f ca="1"/>
        <v>2254.1666666666665</v>
      </c>
      <c r="BA91" s="254">
        <f ca="1"/>
        <v>1352.5</v>
      </c>
      <c r="BB91" s="254">
        <f ca="1"/>
        <v>0</v>
      </c>
      <c r="BC91" s="254">
        <f ca="1"/>
        <v>0</v>
      </c>
      <c r="BD91" s="256">
        <f ca="1"/>
        <v>3606.6666666666665</v>
      </c>
      <c r="BF91" s="254">
        <v>25000</v>
      </c>
      <c r="BG91" s="254">
        <v>4166.666666666667</v>
      </c>
      <c r="BH91" s="254">
        <v>833.33333333333337</v>
      </c>
      <c r="BI91" s="254">
        <v>0</v>
      </c>
      <c r="BJ91" s="243">
        <v>0</v>
      </c>
      <c r="BK91" s="254">
        <v>0</v>
      </c>
      <c r="BL91" s="256">
        <v>30000</v>
      </c>
      <c r="BM91" s="46"/>
      <c r="BN91" s="256">
        <f ca="1"/>
        <v>33606.666666666664</v>
      </c>
      <c r="BP91" s="248">
        <f ca="1"/>
        <v>-33606.666666666664</v>
      </c>
      <c r="BR91" s="248">
        <f ca="1"/>
        <v>-33606.666666666664</v>
      </c>
      <c r="BT91" s="248">
        <f ca="1"/>
        <v>-33606.666666666664</v>
      </c>
      <c r="BU91" s="248">
        <f ca="1"/>
        <v>0</v>
      </c>
    </row>
    <row r="92" spans="1:73" ht="16" thickTop="1" thickBot="1">
      <c r="A92" s="1">
        <v>7</v>
      </c>
      <c r="B92" s="1">
        <f t="shared" si="5"/>
        <v>1</v>
      </c>
      <c r="D92" s="98">
        <v>84</v>
      </c>
      <c r="E92" s="239">
        <v>47818</v>
      </c>
      <c r="F92" s="243">
        <v>0</v>
      </c>
      <c r="G92" s="243">
        <v>0</v>
      </c>
      <c r="H92" s="243">
        <v>0</v>
      </c>
      <c r="I92" s="243">
        <v>0</v>
      </c>
      <c r="J92" s="243">
        <v>0</v>
      </c>
      <c r="K92" s="243">
        <v>0</v>
      </c>
      <c r="L92" s="366">
        <v>0</v>
      </c>
      <c r="M92" s="46"/>
      <c r="N92" s="243">
        <v>0</v>
      </c>
      <c r="O92" s="243">
        <v>0</v>
      </c>
      <c r="P92" s="243">
        <v>0</v>
      </c>
      <c r="Q92" s="243">
        <v>0</v>
      </c>
      <c r="R92" s="243">
        <v>0</v>
      </c>
      <c r="S92" s="243">
        <v>0</v>
      </c>
      <c r="T92" s="243">
        <v>0</v>
      </c>
      <c r="U92" s="243">
        <v>0</v>
      </c>
      <c r="V92" s="243">
        <v>0</v>
      </c>
      <c r="W92" s="243">
        <v>0</v>
      </c>
      <c r="X92" s="256">
        <v>0</v>
      </c>
      <c r="Y92" s="253"/>
      <c r="Z92" s="254">
        <v>0</v>
      </c>
      <c r="AA92" s="254">
        <v>0</v>
      </c>
      <c r="AB92" s="254">
        <v>0</v>
      </c>
      <c r="AC92" s="254">
        <v>0</v>
      </c>
      <c r="AD92" s="254">
        <v>0</v>
      </c>
      <c r="AE92" s="254">
        <v>0</v>
      </c>
      <c r="AF92" s="254">
        <v>0</v>
      </c>
      <c r="AG92" s="254">
        <v>539538.76596776675</v>
      </c>
      <c r="AH92" s="254">
        <v>0</v>
      </c>
      <c r="AI92" s="254">
        <v>0</v>
      </c>
      <c r="AJ92" s="254">
        <v>0</v>
      </c>
      <c r="AK92" s="254">
        <v>0</v>
      </c>
      <c r="AL92" s="254">
        <v>0</v>
      </c>
      <c r="AM92" s="254">
        <v>0</v>
      </c>
      <c r="AN92" s="254">
        <v>0</v>
      </c>
      <c r="AO92" s="254">
        <v>0</v>
      </c>
      <c r="AP92" s="254">
        <v>0</v>
      </c>
      <c r="AQ92" s="254">
        <v>0</v>
      </c>
      <c r="AR92" s="254">
        <v>0</v>
      </c>
      <c r="AS92" s="254">
        <v>0</v>
      </c>
      <c r="AT92" s="254">
        <v>0</v>
      </c>
      <c r="AU92" s="254">
        <v>0</v>
      </c>
      <c r="AV92" s="254">
        <v>0</v>
      </c>
      <c r="AW92" s="254">
        <v>0</v>
      </c>
      <c r="AX92" s="256">
        <v>539538.76596776675</v>
      </c>
      <c r="AZ92" s="254">
        <f ca="1"/>
        <v>2254.1666666666665</v>
      </c>
      <c r="BA92" s="254">
        <f ca="1"/>
        <v>1352.5</v>
      </c>
      <c r="BB92" s="254">
        <f ca="1"/>
        <v>0</v>
      </c>
      <c r="BC92" s="254">
        <f ca="1"/>
        <v>0</v>
      </c>
      <c r="BD92" s="256">
        <f ca="1"/>
        <v>3606.6666666666665</v>
      </c>
      <c r="BF92" s="254">
        <v>25000</v>
      </c>
      <c r="BG92" s="254">
        <v>4166.666666666667</v>
      </c>
      <c r="BH92" s="254">
        <v>833.33333333333337</v>
      </c>
      <c r="BI92" s="254">
        <v>0</v>
      </c>
      <c r="BJ92" s="243">
        <v>0</v>
      </c>
      <c r="BK92" s="254">
        <v>0</v>
      </c>
      <c r="BL92" s="256">
        <v>30000</v>
      </c>
      <c r="BM92" s="46"/>
      <c r="BN92" s="256">
        <f ca="1"/>
        <v>573145.43263443338</v>
      </c>
      <c r="BP92" s="248">
        <f ca="1"/>
        <v>-573145.43263443338</v>
      </c>
      <c r="BR92" s="248">
        <f ca="1"/>
        <v>-573145.43263443338</v>
      </c>
      <c r="BT92" s="248">
        <f ca="1"/>
        <v>-573145.43263443338</v>
      </c>
      <c r="BU92" s="248">
        <f ca="1"/>
        <v>0</v>
      </c>
    </row>
    <row r="93" spans="1:73" ht="16" thickTop="1" thickBot="1">
      <c r="A93" s="1">
        <v>8</v>
      </c>
      <c r="B93" s="1">
        <f t="shared" si="5"/>
        <v>1</v>
      </c>
      <c r="D93" s="98">
        <v>85</v>
      </c>
      <c r="E93" s="239">
        <v>47849</v>
      </c>
      <c r="F93" s="243">
        <v>0</v>
      </c>
      <c r="G93" s="243">
        <v>0</v>
      </c>
      <c r="H93" s="243">
        <v>0</v>
      </c>
      <c r="I93" s="243">
        <v>0</v>
      </c>
      <c r="J93" s="243">
        <v>0</v>
      </c>
      <c r="K93" s="243">
        <v>0</v>
      </c>
      <c r="L93" s="366">
        <v>0</v>
      </c>
      <c r="M93" s="46"/>
      <c r="N93" s="243">
        <v>0</v>
      </c>
      <c r="O93" s="243">
        <v>0</v>
      </c>
      <c r="P93" s="243">
        <v>0</v>
      </c>
      <c r="Q93" s="243">
        <v>0</v>
      </c>
      <c r="R93" s="243">
        <v>0</v>
      </c>
      <c r="S93" s="243">
        <v>0</v>
      </c>
      <c r="T93" s="243">
        <v>0</v>
      </c>
      <c r="U93" s="243">
        <v>0</v>
      </c>
      <c r="V93" s="243">
        <v>0</v>
      </c>
      <c r="W93" s="243">
        <v>0</v>
      </c>
      <c r="X93" s="256">
        <v>0</v>
      </c>
      <c r="Y93" s="253"/>
      <c r="Z93" s="254">
        <v>0</v>
      </c>
      <c r="AA93" s="254">
        <v>0</v>
      </c>
      <c r="AB93" s="254">
        <v>0</v>
      </c>
      <c r="AC93" s="254">
        <v>0</v>
      </c>
      <c r="AD93" s="254">
        <v>0</v>
      </c>
      <c r="AE93" s="254">
        <v>0</v>
      </c>
      <c r="AF93" s="254">
        <v>0</v>
      </c>
      <c r="AG93" s="254">
        <v>539538.76596776675</v>
      </c>
      <c r="AH93" s="254">
        <v>0</v>
      </c>
      <c r="AI93" s="254">
        <v>0</v>
      </c>
      <c r="AJ93" s="254">
        <v>0</v>
      </c>
      <c r="AK93" s="254">
        <v>0</v>
      </c>
      <c r="AL93" s="254">
        <v>0</v>
      </c>
      <c r="AM93" s="254">
        <v>0</v>
      </c>
      <c r="AN93" s="254">
        <v>0</v>
      </c>
      <c r="AO93" s="254">
        <v>0</v>
      </c>
      <c r="AP93" s="254">
        <v>0</v>
      </c>
      <c r="AQ93" s="254">
        <v>0</v>
      </c>
      <c r="AR93" s="254">
        <v>0</v>
      </c>
      <c r="AS93" s="254">
        <v>0</v>
      </c>
      <c r="AT93" s="254">
        <v>0</v>
      </c>
      <c r="AU93" s="254">
        <v>0</v>
      </c>
      <c r="AV93" s="254">
        <v>0</v>
      </c>
      <c r="AW93" s="254">
        <v>0</v>
      </c>
      <c r="AX93" s="256">
        <v>539538.76596776675</v>
      </c>
      <c r="AZ93" s="254">
        <f ca="1"/>
        <v>2254.1666666666665</v>
      </c>
      <c r="BA93" s="254">
        <f ca="1"/>
        <v>1352.5</v>
      </c>
      <c r="BB93" s="254">
        <f ca="1"/>
        <v>0</v>
      </c>
      <c r="BC93" s="254">
        <f ca="1"/>
        <v>0</v>
      </c>
      <c r="BD93" s="256">
        <f ca="1"/>
        <v>3606.6666666666665</v>
      </c>
      <c r="BF93" s="254">
        <v>25000</v>
      </c>
      <c r="BG93" s="254">
        <v>4166.666666666667</v>
      </c>
      <c r="BH93" s="254">
        <v>833.33333333333337</v>
      </c>
      <c r="BI93" s="254">
        <v>0</v>
      </c>
      <c r="BJ93" s="243">
        <v>0</v>
      </c>
      <c r="BK93" s="254">
        <v>0</v>
      </c>
      <c r="BL93" s="256">
        <v>30000</v>
      </c>
      <c r="BM93" s="46"/>
      <c r="BN93" s="256">
        <f ca="1"/>
        <v>573145.43263443338</v>
      </c>
      <c r="BP93" s="248">
        <f ca="1"/>
        <v>-573145.43263443338</v>
      </c>
      <c r="BR93" s="248">
        <f ca="1"/>
        <v>-573145.43263443338</v>
      </c>
      <c r="BT93" s="248">
        <f ca="1"/>
        <v>-573145.43263443338</v>
      </c>
      <c r="BU93" s="248">
        <f ca="1"/>
        <v>0</v>
      </c>
    </row>
    <row r="94" spans="1:73" ht="16" thickTop="1" thickBot="1">
      <c r="A94" s="1">
        <v>8</v>
      </c>
      <c r="B94" s="1">
        <f t="shared" si="5"/>
        <v>1</v>
      </c>
      <c r="D94" s="98">
        <v>86</v>
      </c>
      <c r="E94" s="239">
        <v>47880</v>
      </c>
      <c r="F94" s="243">
        <v>0</v>
      </c>
      <c r="G94" s="243">
        <v>0</v>
      </c>
      <c r="H94" s="243">
        <v>0</v>
      </c>
      <c r="I94" s="243">
        <v>0</v>
      </c>
      <c r="J94" s="243">
        <v>0</v>
      </c>
      <c r="K94" s="243">
        <v>0</v>
      </c>
      <c r="L94" s="366">
        <v>0</v>
      </c>
      <c r="M94" s="46"/>
      <c r="N94" s="243">
        <v>0</v>
      </c>
      <c r="O94" s="243">
        <v>0</v>
      </c>
      <c r="P94" s="243">
        <v>0</v>
      </c>
      <c r="Q94" s="243">
        <v>0</v>
      </c>
      <c r="R94" s="243">
        <v>0</v>
      </c>
      <c r="S94" s="243">
        <v>0</v>
      </c>
      <c r="T94" s="243">
        <v>0</v>
      </c>
      <c r="U94" s="243">
        <v>0</v>
      </c>
      <c r="V94" s="243">
        <v>0</v>
      </c>
      <c r="W94" s="243">
        <v>0</v>
      </c>
      <c r="X94" s="256">
        <v>0</v>
      </c>
      <c r="Y94" s="253"/>
      <c r="Z94" s="254">
        <v>0</v>
      </c>
      <c r="AA94" s="254">
        <v>0</v>
      </c>
      <c r="AB94" s="254">
        <v>0</v>
      </c>
      <c r="AC94" s="254">
        <v>0</v>
      </c>
      <c r="AD94" s="254">
        <v>0</v>
      </c>
      <c r="AE94" s="254">
        <v>0</v>
      </c>
      <c r="AF94" s="254">
        <v>0</v>
      </c>
      <c r="AG94" s="254">
        <v>539538.76596776675</v>
      </c>
      <c r="AH94" s="254">
        <v>0</v>
      </c>
      <c r="AI94" s="254">
        <v>0</v>
      </c>
      <c r="AJ94" s="254">
        <v>0</v>
      </c>
      <c r="AK94" s="254">
        <v>0</v>
      </c>
      <c r="AL94" s="254">
        <v>0</v>
      </c>
      <c r="AM94" s="254">
        <v>0</v>
      </c>
      <c r="AN94" s="254">
        <v>0</v>
      </c>
      <c r="AO94" s="254">
        <v>0</v>
      </c>
      <c r="AP94" s="254">
        <v>0</v>
      </c>
      <c r="AQ94" s="254">
        <v>0</v>
      </c>
      <c r="AR94" s="254">
        <v>0</v>
      </c>
      <c r="AS94" s="254">
        <v>0</v>
      </c>
      <c r="AT94" s="254">
        <v>0</v>
      </c>
      <c r="AU94" s="254">
        <v>0</v>
      </c>
      <c r="AV94" s="254">
        <v>0</v>
      </c>
      <c r="AW94" s="254">
        <v>0</v>
      </c>
      <c r="AX94" s="256">
        <v>539538.76596776675</v>
      </c>
      <c r="AZ94" s="254">
        <f ca="1"/>
        <v>2254.1666666666665</v>
      </c>
      <c r="BA94" s="254">
        <f ca="1"/>
        <v>1352.5</v>
      </c>
      <c r="BB94" s="254">
        <f ca="1"/>
        <v>0</v>
      </c>
      <c r="BC94" s="254">
        <f ca="1"/>
        <v>0</v>
      </c>
      <c r="BD94" s="256">
        <f ca="1"/>
        <v>3606.6666666666665</v>
      </c>
      <c r="BF94" s="254">
        <v>25000</v>
      </c>
      <c r="BG94" s="254">
        <v>4166.666666666667</v>
      </c>
      <c r="BH94" s="254">
        <v>833.33333333333337</v>
      </c>
      <c r="BI94" s="254">
        <v>0</v>
      </c>
      <c r="BJ94" s="243">
        <v>0</v>
      </c>
      <c r="BK94" s="254">
        <v>0</v>
      </c>
      <c r="BL94" s="256">
        <v>30000</v>
      </c>
      <c r="BM94" s="46"/>
      <c r="BN94" s="256">
        <f ca="1"/>
        <v>573145.43263443338</v>
      </c>
      <c r="BP94" s="248">
        <f ca="1"/>
        <v>-573145.43263443338</v>
      </c>
      <c r="BR94" s="248">
        <f ca="1"/>
        <v>-573145.43263443338</v>
      </c>
      <c r="BT94" s="248">
        <f ca="1"/>
        <v>-573145.43263443338</v>
      </c>
      <c r="BU94" s="248">
        <f ca="1"/>
        <v>0</v>
      </c>
    </row>
    <row r="95" spans="1:73" ht="16" thickTop="1" thickBot="1">
      <c r="A95" s="1">
        <v>8</v>
      </c>
      <c r="B95" s="1">
        <f t="shared" si="5"/>
        <v>1</v>
      </c>
      <c r="D95" s="98">
        <v>87</v>
      </c>
      <c r="E95" s="239">
        <v>47908</v>
      </c>
      <c r="F95" s="243">
        <v>0</v>
      </c>
      <c r="G95" s="243">
        <v>0</v>
      </c>
      <c r="H95" s="243">
        <v>0</v>
      </c>
      <c r="I95" s="243">
        <v>0</v>
      </c>
      <c r="J95" s="243">
        <v>0</v>
      </c>
      <c r="K95" s="243">
        <v>0</v>
      </c>
      <c r="L95" s="366">
        <v>0</v>
      </c>
      <c r="M95" s="46"/>
      <c r="N95" s="243">
        <v>0</v>
      </c>
      <c r="O95" s="243">
        <v>0</v>
      </c>
      <c r="P95" s="243">
        <v>0</v>
      </c>
      <c r="Q95" s="243">
        <v>0</v>
      </c>
      <c r="R95" s="243">
        <v>0</v>
      </c>
      <c r="S95" s="243">
        <v>0</v>
      </c>
      <c r="T95" s="243">
        <v>0</v>
      </c>
      <c r="U95" s="243">
        <v>0</v>
      </c>
      <c r="V95" s="243">
        <v>0</v>
      </c>
      <c r="W95" s="243">
        <v>0</v>
      </c>
      <c r="X95" s="256">
        <v>0</v>
      </c>
      <c r="Y95" s="253"/>
      <c r="Z95" s="254">
        <v>0</v>
      </c>
      <c r="AA95" s="254">
        <v>0</v>
      </c>
      <c r="AB95" s="254">
        <v>0</v>
      </c>
      <c r="AC95" s="254">
        <v>0</v>
      </c>
      <c r="AD95" s="254">
        <v>0</v>
      </c>
      <c r="AE95" s="254">
        <v>0</v>
      </c>
      <c r="AF95" s="254">
        <v>0</v>
      </c>
      <c r="AG95" s="254">
        <v>539538.76596776675</v>
      </c>
      <c r="AH95" s="254">
        <v>0</v>
      </c>
      <c r="AI95" s="254">
        <v>0</v>
      </c>
      <c r="AJ95" s="254">
        <v>0</v>
      </c>
      <c r="AK95" s="254">
        <v>0</v>
      </c>
      <c r="AL95" s="254">
        <v>0</v>
      </c>
      <c r="AM95" s="254">
        <v>0</v>
      </c>
      <c r="AN95" s="254">
        <v>0</v>
      </c>
      <c r="AO95" s="254">
        <v>0</v>
      </c>
      <c r="AP95" s="254">
        <v>0</v>
      </c>
      <c r="AQ95" s="254">
        <v>0</v>
      </c>
      <c r="AR95" s="254">
        <v>0</v>
      </c>
      <c r="AS95" s="254">
        <v>0</v>
      </c>
      <c r="AT95" s="254">
        <v>0</v>
      </c>
      <c r="AU95" s="254">
        <v>0</v>
      </c>
      <c r="AV95" s="254">
        <v>0</v>
      </c>
      <c r="AW95" s="254">
        <v>0</v>
      </c>
      <c r="AX95" s="256">
        <v>539538.76596776675</v>
      </c>
      <c r="AZ95" s="254">
        <f ca="1"/>
        <v>2254.1666666666665</v>
      </c>
      <c r="BA95" s="254">
        <f ca="1"/>
        <v>1352.5</v>
      </c>
      <c r="BB95" s="254">
        <f ca="1"/>
        <v>0</v>
      </c>
      <c r="BC95" s="254">
        <f ca="1"/>
        <v>0</v>
      </c>
      <c r="BD95" s="256">
        <f ca="1"/>
        <v>3606.6666666666665</v>
      </c>
      <c r="BF95" s="254">
        <v>25000</v>
      </c>
      <c r="BG95" s="254">
        <v>4166.666666666667</v>
      </c>
      <c r="BH95" s="254">
        <v>833.33333333333337</v>
      </c>
      <c r="BI95" s="254">
        <v>0</v>
      </c>
      <c r="BJ95" s="243">
        <v>0</v>
      </c>
      <c r="BK95" s="254">
        <v>0</v>
      </c>
      <c r="BL95" s="256">
        <v>30000</v>
      </c>
      <c r="BM95" s="46"/>
      <c r="BN95" s="256">
        <f ca="1"/>
        <v>573145.43263443338</v>
      </c>
      <c r="BP95" s="248">
        <f ca="1"/>
        <v>-573145.43263443338</v>
      </c>
      <c r="BR95" s="248">
        <f ca="1"/>
        <v>-573145.43263443338</v>
      </c>
      <c r="BT95" s="248">
        <f ca="1"/>
        <v>-573145.43263443338</v>
      </c>
      <c r="BU95" s="248">
        <f ca="1"/>
        <v>0</v>
      </c>
    </row>
    <row r="96" spans="1:73" ht="16" thickTop="1" thickBot="1">
      <c r="A96" s="1">
        <v>8</v>
      </c>
      <c r="B96" s="1">
        <f t="shared" si="5"/>
        <v>1</v>
      </c>
      <c r="D96" s="98">
        <v>88</v>
      </c>
      <c r="E96" s="239">
        <v>47939</v>
      </c>
      <c r="F96" s="243">
        <v>0</v>
      </c>
      <c r="G96" s="243">
        <v>0</v>
      </c>
      <c r="H96" s="243">
        <v>0</v>
      </c>
      <c r="I96" s="243">
        <v>0</v>
      </c>
      <c r="J96" s="243">
        <v>0</v>
      </c>
      <c r="K96" s="243">
        <v>0</v>
      </c>
      <c r="L96" s="366">
        <v>0</v>
      </c>
      <c r="M96" s="46"/>
      <c r="N96" s="243">
        <v>0</v>
      </c>
      <c r="O96" s="243">
        <v>0</v>
      </c>
      <c r="P96" s="243">
        <v>0</v>
      </c>
      <c r="Q96" s="243">
        <v>0</v>
      </c>
      <c r="R96" s="243">
        <v>0</v>
      </c>
      <c r="S96" s="243">
        <v>0</v>
      </c>
      <c r="T96" s="243">
        <v>0</v>
      </c>
      <c r="U96" s="243">
        <v>0</v>
      </c>
      <c r="V96" s="243">
        <v>0</v>
      </c>
      <c r="W96" s="243">
        <v>0</v>
      </c>
      <c r="X96" s="256">
        <v>0</v>
      </c>
      <c r="Y96" s="253"/>
      <c r="Z96" s="254">
        <v>0</v>
      </c>
      <c r="AA96" s="254">
        <v>0</v>
      </c>
      <c r="AB96" s="254">
        <v>0</v>
      </c>
      <c r="AC96" s="254">
        <v>0</v>
      </c>
      <c r="AD96" s="254">
        <v>0</v>
      </c>
      <c r="AE96" s="254">
        <v>0</v>
      </c>
      <c r="AF96" s="254">
        <v>0</v>
      </c>
      <c r="AG96" s="254">
        <v>539538.76596776675</v>
      </c>
      <c r="AH96" s="254">
        <v>0</v>
      </c>
      <c r="AI96" s="254">
        <v>0</v>
      </c>
      <c r="AJ96" s="254">
        <v>0</v>
      </c>
      <c r="AK96" s="254">
        <v>0</v>
      </c>
      <c r="AL96" s="254">
        <v>0</v>
      </c>
      <c r="AM96" s="254">
        <v>0</v>
      </c>
      <c r="AN96" s="254">
        <v>0</v>
      </c>
      <c r="AO96" s="254">
        <v>0</v>
      </c>
      <c r="AP96" s="254">
        <v>0</v>
      </c>
      <c r="AQ96" s="254">
        <v>0</v>
      </c>
      <c r="AR96" s="254">
        <v>0</v>
      </c>
      <c r="AS96" s="254">
        <v>0</v>
      </c>
      <c r="AT96" s="254">
        <v>0</v>
      </c>
      <c r="AU96" s="254">
        <v>0</v>
      </c>
      <c r="AV96" s="254">
        <v>0</v>
      </c>
      <c r="AW96" s="254">
        <v>0</v>
      </c>
      <c r="AX96" s="256">
        <v>539538.76596776675</v>
      </c>
      <c r="AZ96" s="254">
        <f ca="1"/>
        <v>2254.1666666666665</v>
      </c>
      <c r="BA96" s="254">
        <f ca="1"/>
        <v>1352.5</v>
      </c>
      <c r="BB96" s="254">
        <f ca="1"/>
        <v>0</v>
      </c>
      <c r="BC96" s="254">
        <f ca="1"/>
        <v>0</v>
      </c>
      <c r="BD96" s="256">
        <f ca="1"/>
        <v>3606.6666666666665</v>
      </c>
      <c r="BF96" s="254">
        <v>25000</v>
      </c>
      <c r="BG96" s="254">
        <v>4166.666666666667</v>
      </c>
      <c r="BH96" s="254">
        <v>833.33333333333337</v>
      </c>
      <c r="BI96" s="254">
        <v>0</v>
      </c>
      <c r="BJ96" s="243">
        <v>0</v>
      </c>
      <c r="BK96" s="254">
        <v>0</v>
      </c>
      <c r="BL96" s="256">
        <v>30000</v>
      </c>
      <c r="BM96" s="46"/>
      <c r="BN96" s="256">
        <f ca="1"/>
        <v>573145.43263443338</v>
      </c>
      <c r="BP96" s="248">
        <f ca="1"/>
        <v>-573145.43263443338</v>
      </c>
      <c r="BR96" s="248">
        <f ca="1"/>
        <v>-573145.43263443338</v>
      </c>
      <c r="BT96" s="248">
        <f ca="1"/>
        <v>-573145.43263443338</v>
      </c>
      <c r="BU96" s="248">
        <f ca="1"/>
        <v>0</v>
      </c>
    </row>
    <row r="97" spans="1:73" ht="16" thickTop="1" thickBot="1">
      <c r="A97" s="1">
        <v>8</v>
      </c>
      <c r="B97" s="1">
        <f t="shared" si="5"/>
        <v>1</v>
      </c>
      <c r="D97" s="98">
        <v>89</v>
      </c>
      <c r="E97" s="239">
        <v>47969</v>
      </c>
      <c r="F97" s="243">
        <v>0</v>
      </c>
      <c r="G97" s="243">
        <v>0</v>
      </c>
      <c r="H97" s="243">
        <v>0</v>
      </c>
      <c r="I97" s="243">
        <v>0</v>
      </c>
      <c r="J97" s="243">
        <v>0</v>
      </c>
      <c r="K97" s="243">
        <v>0</v>
      </c>
      <c r="L97" s="366">
        <v>0</v>
      </c>
      <c r="M97" s="46"/>
      <c r="N97" s="243">
        <v>0</v>
      </c>
      <c r="O97" s="243">
        <v>0</v>
      </c>
      <c r="P97" s="243">
        <v>0</v>
      </c>
      <c r="Q97" s="243">
        <v>0</v>
      </c>
      <c r="R97" s="243">
        <v>0</v>
      </c>
      <c r="S97" s="243">
        <v>0</v>
      </c>
      <c r="T97" s="243">
        <v>0</v>
      </c>
      <c r="U97" s="243">
        <v>0</v>
      </c>
      <c r="V97" s="243">
        <v>0</v>
      </c>
      <c r="W97" s="243">
        <v>0</v>
      </c>
      <c r="X97" s="256">
        <v>0</v>
      </c>
      <c r="Y97" s="253"/>
      <c r="Z97" s="254">
        <v>0</v>
      </c>
      <c r="AA97" s="254">
        <v>0</v>
      </c>
      <c r="AB97" s="254">
        <v>0</v>
      </c>
      <c r="AC97" s="254">
        <v>0</v>
      </c>
      <c r="AD97" s="254">
        <v>0</v>
      </c>
      <c r="AE97" s="254">
        <v>0</v>
      </c>
      <c r="AF97" s="254">
        <v>0</v>
      </c>
      <c r="AG97" s="254">
        <v>539538.76596776675</v>
      </c>
      <c r="AH97" s="254">
        <v>0</v>
      </c>
      <c r="AI97" s="254">
        <v>0</v>
      </c>
      <c r="AJ97" s="254">
        <v>0</v>
      </c>
      <c r="AK97" s="254">
        <v>0</v>
      </c>
      <c r="AL97" s="254">
        <v>0</v>
      </c>
      <c r="AM97" s="254">
        <v>0</v>
      </c>
      <c r="AN97" s="254">
        <v>0</v>
      </c>
      <c r="AO97" s="254">
        <v>0</v>
      </c>
      <c r="AP97" s="254">
        <v>0</v>
      </c>
      <c r="AQ97" s="254">
        <v>0</v>
      </c>
      <c r="AR97" s="254">
        <v>0</v>
      </c>
      <c r="AS97" s="254">
        <v>0</v>
      </c>
      <c r="AT97" s="254">
        <v>0</v>
      </c>
      <c r="AU97" s="254">
        <v>0</v>
      </c>
      <c r="AV97" s="254">
        <v>0</v>
      </c>
      <c r="AW97" s="254">
        <v>0</v>
      </c>
      <c r="AX97" s="256">
        <v>539538.76596776675</v>
      </c>
      <c r="AZ97" s="254">
        <f ca="1"/>
        <v>2254.1666666666665</v>
      </c>
      <c r="BA97" s="254">
        <f ca="1"/>
        <v>1352.5</v>
      </c>
      <c r="BB97" s="254">
        <f ca="1"/>
        <v>0</v>
      </c>
      <c r="BC97" s="254">
        <f ca="1"/>
        <v>0</v>
      </c>
      <c r="BD97" s="256">
        <f ca="1"/>
        <v>3606.6666666666665</v>
      </c>
      <c r="BF97" s="254">
        <v>25000</v>
      </c>
      <c r="BG97" s="254">
        <v>4166.666666666667</v>
      </c>
      <c r="BH97" s="254">
        <v>833.33333333333337</v>
      </c>
      <c r="BI97" s="254">
        <v>0</v>
      </c>
      <c r="BJ97" s="243">
        <v>0</v>
      </c>
      <c r="BK97" s="254">
        <v>0</v>
      </c>
      <c r="BL97" s="256">
        <v>30000</v>
      </c>
      <c r="BM97" s="46"/>
      <c r="BN97" s="256">
        <f ca="1"/>
        <v>573145.43263443338</v>
      </c>
      <c r="BP97" s="248">
        <f ca="1"/>
        <v>-573145.43263443338</v>
      </c>
      <c r="BR97" s="248">
        <f ca="1"/>
        <v>-573145.43263443338</v>
      </c>
      <c r="BT97" s="248">
        <f ca="1"/>
        <v>-573145.43263443338</v>
      </c>
      <c r="BU97" s="248">
        <f ca="1"/>
        <v>0</v>
      </c>
    </row>
    <row r="98" spans="1:73" ht="16" thickTop="1" thickBot="1">
      <c r="A98" s="1">
        <v>8</v>
      </c>
      <c r="B98" s="1">
        <f t="shared" si="5"/>
        <v>1</v>
      </c>
      <c r="D98" s="98">
        <v>90</v>
      </c>
      <c r="E98" s="239">
        <v>48000</v>
      </c>
      <c r="F98" s="243">
        <v>0</v>
      </c>
      <c r="G98" s="243">
        <v>0</v>
      </c>
      <c r="H98" s="243">
        <v>0</v>
      </c>
      <c r="I98" s="243">
        <v>0</v>
      </c>
      <c r="J98" s="243">
        <v>0</v>
      </c>
      <c r="K98" s="243">
        <v>0</v>
      </c>
      <c r="L98" s="366">
        <v>0</v>
      </c>
      <c r="M98" s="46"/>
      <c r="N98" s="243">
        <v>0</v>
      </c>
      <c r="O98" s="243">
        <v>0</v>
      </c>
      <c r="P98" s="243">
        <v>0</v>
      </c>
      <c r="Q98" s="243">
        <v>0</v>
      </c>
      <c r="R98" s="243">
        <v>0</v>
      </c>
      <c r="S98" s="243">
        <v>0</v>
      </c>
      <c r="T98" s="243">
        <v>0</v>
      </c>
      <c r="U98" s="243">
        <v>0</v>
      </c>
      <c r="V98" s="243">
        <v>0</v>
      </c>
      <c r="W98" s="243">
        <v>0</v>
      </c>
      <c r="X98" s="256">
        <v>0</v>
      </c>
      <c r="Y98" s="253"/>
      <c r="Z98" s="254">
        <v>0</v>
      </c>
      <c r="AA98" s="254">
        <v>0</v>
      </c>
      <c r="AB98" s="254">
        <v>0</v>
      </c>
      <c r="AC98" s="254">
        <v>0</v>
      </c>
      <c r="AD98" s="254">
        <v>0</v>
      </c>
      <c r="AE98" s="254">
        <v>0</v>
      </c>
      <c r="AF98" s="254">
        <v>0</v>
      </c>
      <c r="AG98" s="254">
        <v>539538.76596776675</v>
      </c>
      <c r="AH98" s="254">
        <v>0</v>
      </c>
      <c r="AI98" s="254">
        <v>0</v>
      </c>
      <c r="AJ98" s="254">
        <v>0</v>
      </c>
      <c r="AK98" s="254">
        <v>0</v>
      </c>
      <c r="AL98" s="254">
        <v>0</v>
      </c>
      <c r="AM98" s="254">
        <v>0</v>
      </c>
      <c r="AN98" s="254">
        <v>0</v>
      </c>
      <c r="AO98" s="254">
        <v>0</v>
      </c>
      <c r="AP98" s="254">
        <v>0</v>
      </c>
      <c r="AQ98" s="254">
        <v>0</v>
      </c>
      <c r="AR98" s="254">
        <v>0</v>
      </c>
      <c r="AS98" s="254">
        <v>0</v>
      </c>
      <c r="AT98" s="254">
        <v>0</v>
      </c>
      <c r="AU98" s="254">
        <v>0</v>
      </c>
      <c r="AV98" s="254">
        <v>0</v>
      </c>
      <c r="AW98" s="254">
        <v>0</v>
      </c>
      <c r="AX98" s="256">
        <v>539538.76596776675</v>
      </c>
      <c r="AZ98" s="254">
        <f ca="1"/>
        <v>2254.1666666666665</v>
      </c>
      <c r="BA98" s="254">
        <f ca="1"/>
        <v>1352.5</v>
      </c>
      <c r="BB98" s="254">
        <f ca="1"/>
        <v>0</v>
      </c>
      <c r="BC98" s="254">
        <f ca="1"/>
        <v>0</v>
      </c>
      <c r="BD98" s="256">
        <f ca="1"/>
        <v>3606.6666666666665</v>
      </c>
      <c r="BF98" s="254">
        <v>25000</v>
      </c>
      <c r="BG98" s="254">
        <v>4166.666666666667</v>
      </c>
      <c r="BH98" s="254">
        <v>833.33333333333337</v>
      </c>
      <c r="BI98" s="254">
        <v>0</v>
      </c>
      <c r="BJ98" s="243">
        <v>0</v>
      </c>
      <c r="BK98" s="254">
        <v>0</v>
      </c>
      <c r="BL98" s="256">
        <v>30000</v>
      </c>
      <c r="BM98" s="46"/>
      <c r="BN98" s="256">
        <f ca="1"/>
        <v>573145.43263443338</v>
      </c>
      <c r="BP98" s="248">
        <f ca="1"/>
        <v>-573145.43263443338</v>
      </c>
      <c r="BR98" s="248">
        <f ca="1"/>
        <v>-573145.43263443338</v>
      </c>
      <c r="BT98" s="248">
        <f ca="1"/>
        <v>-573145.43263443338</v>
      </c>
      <c r="BU98" s="248">
        <f ca="1"/>
        <v>0</v>
      </c>
    </row>
    <row r="99" spans="1:73" ht="16" thickTop="1" thickBot="1">
      <c r="A99" s="1">
        <v>8</v>
      </c>
      <c r="B99" s="1">
        <f t="shared" si="5"/>
        <v>1</v>
      </c>
      <c r="D99" s="98">
        <v>91</v>
      </c>
      <c r="E99" s="239">
        <v>48030</v>
      </c>
      <c r="F99" s="243">
        <v>0</v>
      </c>
      <c r="G99" s="243">
        <v>0</v>
      </c>
      <c r="H99" s="243">
        <v>0</v>
      </c>
      <c r="I99" s="243">
        <v>0</v>
      </c>
      <c r="J99" s="243">
        <v>0</v>
      </c>
      <c r="K99" s="243">
        <v>0</v>
      </c>
      <c r="L99" s="366">
        <v>0</v>
      </c>
      <c r="M99" s="46"/>
      <c r="N99" s="243">
        <v>0</v>
      </c>
      <c r="O99" s="243">
        <v>0</v>
      </c>
      <c r="P99" s="243">
        <v>0</v>
      </c>
      <c r="Q99" s="243">
        <v>0</v>
      </c>
      <c r="R99" s="243">
        <v>0</v>
      </c>
      <c r="S99" s="243">
        <v>0</v>
      </c>
      <c r="T99" s="243">
        <v>0</v>
      </c>
      <c r="U99" s="243">
        <v>0</v>
      </c>
      <c r="V99" s="243">
        <v>0</v>
      </c>
      <c r="W99" s="243">
        <v>0</v>
      </c>
      <c r="X99" s="256">
        <v>0</v>
      </c>
      <c r="Y99" s="253"/>
      <c r="Z99" s="254">
        <v>0</v>
      </c>
      <c r="AA99" s="254">
        <v>0</v>
      </c>
      <c r="AB99" s="254">
        <v>0</v>
      </c>
      <c r="AC99" s="254">
        <v>0</v>
      </c>
      <c r="AD99" s="254">
        <v>0</v>
      </c>
      <c r="AE99" s="254">
        <v>0</v>
      </c>
      <c r="AF99" s="254">
        <v>0</v>
      </c>
      <c r="AG99" s="254">
        <v>539538.76596776675</v>
      </c>
      <c r="AH99" s="254">
        <v>0</v>
      </c>
      <c r="AI99" s="254">
        <v>0</v>
      </c>
      <c r="AJ99" s="254">
        <v>0</v>
      </c>
      <c r="AK99" s="254">
        <v>0</v>
      </c>
      <c r="AL99" s="254">
        <v>0</v>
      </c>
      <c r="AM99" s="254">
        <v>0</v>
      </c>
      <c r="AN99" s="254">
        <v>0</v>
      </c>
      <c r="AO99" s="254">
        <v>0</v>
      </c>
      <c r="AP99" s="254">
        <v>0</v>
      </c>
      <c r="AQ99" s="254">
        <v>0</v>
      </c>
      <c r="AR99" s="254">
        <v>0</v>
      </c>
      <c r="AS99" s="254">
        <v>0</v>
      </c>
      <c r="AT99" s="254">
        <v>0</v>
      </c>
      <c r="AU99" s="254">
        <v>0</v>
      </c>
      <c r="AV99" s="254">
        <v>0</v>
      </c>
      <c r="AW99" s="254">
        <v>0</v>
      </c>
      <c r="AX99" s="256">
        <v>539538.76596776675</v>
      </c>
      <c r="AZ99" s="254">
        <f ca="1"/>
        <v>2254.1666666666665</v>
      </c>
      <c r="BA99" s="254">
        <f ca="1"/>
        <v>1352.5</v>
      </c>
      <c r="BB99" s="254">
        <f ca="1"/>
        <v>0</v>
      </c>
      <c r="BC99" s="254">
        <f ca="1"/>
        <v>0</v>
      </c>
      <c r="BD99" s="256">
        <f ca="1"/>
        <v>3606.6666666666665</v>
      </c>
      <c r="BF99" s="254">
        <v>25000</v>
      </c>
      <c r="BG99" s="254">
        <v>4166.666666666667</v>
      </c>
      <c r="BH99" s="254">
        <v>833.33333333333337</v>
      </c>
      <c r="BI99" s="254">
        <v>0</v>
      </c>
      <c r="BJ99" s="243">
        <v>0</v>
      </c>
      <c r="BK99" s="254">
        <v>0</v>
      </c>
      <c r="BL99" s="256">
        <v>30000</v>
      </c>
      <c r="BM99" s="46"/>
      <c r="BN99" s="256">
        <f ca="1"/>
        <v>573145.43263443338</v>
      </c>
      <c r="BP99" s="248">
        <f ca="1"/>
        <v>-573145.43263443338</v>
      </c>
      <c r="BR99" s="248">
        <f ca="1"/>
        <v>-573145.43263443338</v>
      </c>
      <c r="BT99" s="248">
        <f ca="1"/>
        <v>-573145.43263443338</v>
      </c>
      <c r="BU99" s="248">
        <f ca="1"/>
        <v>0</v>
      </c>
    </row>
    <row r="100" spans="1:73" ht="16" thickTop="1" thickBot="1">
      <c r="A100" s="1">
        <v>8</v>
      </c>
      <c r="B100" s="1">
        <f t="shared" si="5"/>
        <v>1</v>
      </c>
      <c r="D100" s="98">
        <v>92</v>
      </c>
      <c r="E100" s="239">
        <v>48061</v>
      </c>
      <c r="F100" s="243">
        <v>0</v>
      </c>
      <c r="G100" s="243">
        <v>0</v>
      </c>
      <c r="H100" s="243">
        <v>0</v>
      </c>
      <c r="I100" s="243">
        <v>0</v>
      </c>
      <c r="J100" s="243">
        <v>0</v>
      </c>
      <c r="K100" s="243">
        <v>0</v>
      </c>
      <c r="L100" s="366">
        <v>0</v>
      </c>
      <c r="M100" s="46"/>
      <c r="N100" s="243">
        <v>0</v>
      </c>
      <c r="O100" s="243">
        <v>0</v>
      </c>
      <c r="P100" s="243">
        <v>0</v>
      </c>
      <c r="Q100" s="243">
        <v>0</v>
      </c>
      <c r="R100" s="243">
        <v>0</v>
      </c>
      <c r="S100" s="243">
        <v>0</v>
      </c>
      <c r="T100" s="243">
        <v>0</v>
      </c>
      <c r="U100" s="243">
        <v>0</v>
      </c>
      <c r="V100" s="243">
        <v>0</v>
      </c>
      <c r="W100" s="243">
        <v>0</v>
      </c>
      <c r="X100" s="256">
        <v>0</v>
      </c>
      <c r="Y100" s="253"/>
      <c r="Z100" s="254">
        <v>0</v>
      </c>
      <c r="AA100" s="254">
        <v>0</v>
      </c>
      <c r="AB100" s="254">
        <v>0</v>
      </c>
      <c r="AC100" s="254">
        <v>0</v>
      </c>
      <c r="AD100" s="254">
        <v>0</v>
      </c>
      <c r="AE100" s="254">
        <v>0</v>
      </c>
      <c r="AF100" s="254">
        <v>0</v>
      </c>
      <c r="AG100" s="254">
        <v>539538.76596776675</v>
      </c>
      <c r="AH100" s="254">
        <v>0</v>
      </c>
      <c r="AI100" s="254">
        <v>0</v>
      </c>
      <c r="AJ100" s="254">
        <v>0</v>
      </c>
      <c r="AK100" s="254">
        <v>0</v>
      </c>
      <c r="AL100" s="254">
        <v>0</v>
      </c>
      <c r="AM100" s="254">
        <v>0</v>
      </c>
      <c r="AN100" s="254">
        <v>0</v>
      </c>
      <c r="AO100" s="254">
        <v>0</v>
      </c>
      <c r="AP100" s="254">
        <v>0</v>
      </c>
      <c r="AQ100" s="254">
        <v>0</v>
      </c>
      <c r="AR100" s="254">
        <v>0</v>
      </c>
      <c r="AS100" s="254">
        <v>0</v>
      </c>
      <c r="AT100" s="254">
        <v>0</v>
      </c>
      <c r="AU100" s="254">
        <v>0</v>
      </c>
      <c r="AV100" s="254">
        <v>0</v>
      </c>
      <c r="AW100" s="254">
        <v>0</v>
      </c>
      <c r="AX100" s="256">
        <v>539538.76596776675</v>
      </c>
      <c r="AZ100" s="254">
        <f ca="1"/>
        <v>2254.1666666666665</v>
      </c>
      <c r="BA100" s="254">
        <f ca="1"/>
        <v>1352.5</v>
      </c>
      <c r="BB100" s="254">
        <f ca="1"/>
        <v>0</v>
      </c>
      <c r="BC100" s="254">
        <f ca="1"/>
        <v>0</v>
      </c>
      <c r="BD100" s="256">
        <f ca="1"/>
        <v>3606.6666666666665</v>
      </c>
      <c r="BF100" s="254">
        <v>25000</v>
      </c>
      <c r="BG100" s="254">
        <v>4166.666666666667</v>
      </c>
      <c r="BH100" s="254">
        <v>833.33333333333337</v>
      </c>
      <c r="BI100" s="254">
        <v>0</v>
      </c>
      <c r="BJ100" s="243">
        <v>0</v>
      </c>
      <c r="BK100" s="254">
        <v>0</v>
      </c>
      <c r="BL100" s="256">
        <v>30000</v>
      </c>
      <c r="BM100" s="46"/>
      <c r="BN100" s="256">
        <f ca="1"/>
        <v>573145.43263443338</v>
      </c>
      <c r="BP100" s="248">
        <f ca="1"/>
        <v>-573145.43263443338</v>
      </c>
      <c r="BR100" s="248">
        <f ca="1"/>
        <v>-573145.43263443338</v>
      </c>
      <c r="BT100" s="248">
        <f ca="1"/>
        <v>-573145.43263443338</v>
      </c>
      <c r="BU100" s="248">
        <f ca="1"/>
        <v>0</v>
      </c>
    </row>
    <row r="101" spans="1:73" ht="16" thickTop="1" thickBot="1">
      <c r="A101" s="1">
        <v>8</v>
      </c>
      <c r="B101" s="1">
        <f t="shared" si="5"/>
        <v>1</v>
      </c>
      <c r="D101" s="98">
        <v>93</v>
      </c>
      <c r="E101" s="239">
        <v>48092</v>
      </c>
      <c r="F101" s="243">
        <v>0</v>
      </c>
      <c r="G101" s="243">
        <v>0</v>
      </c>
      <c r="H101" s="243">
        <v>0</v>
      </c>
      <c r="I101" s="243">
        <v>0</v>
      </c>
      <c r="J101" s="243">
        <v>0</v>
      </c>
      <c r="K101" s="243">
        <v>0</v>
      </c>
      <c r="L101" s="366">
        <v>0</v>
      </c>
      <c r="M101" s="46"/>
      <c r="N101" s="243">
        <v>0</v>
      </c>
      <c r="O101" s="243">
        <v>0</v>
      </c>
      <c r="P101" s="243">
        <v>0</v>
      </c>
      <c r="Q101" s="243">
        <v>0</v>
      </c>
      <c r="R101" s="243">
        <v>0</v>
      </c>
      <c r="S101" s="243">
        <v>0</v>
      </c>
      <c r="T101" s="243">
        <v>0</v>
      </c>
      <c r="U101" s="243">
        <v>0</v>
      </c>
      <c r="V101" s="243">
        <v>0</v>
      </c>
      <c r="W101" s="243">
        <v>0</v>
      </c>
      <c r="X101" s="256">
        <v>0</v>
      </c>
      <c r="Y101" s="253"/>
      <c r="Z101" s="254">
        <v>0</v>
      </c>
      <c r="AA101" s="254">
        <v>0</v>
      </c>
      <c r="AB101" s="254">
        <v>0</v>
      </c>
      <c r="AC101" s="254">
        <v>0</v>
      </c>
      <c r="AD101" s="254">
        <v>0</v>
      </c>
      <c r="AE101" s="254">
        <v>0</v>
      </c>
      <c r="AF101" s="254">
        <v>0</v>
      </c>
      <c r="AG101" s="254">
        <v>539538.76596776675</v>
      </c>
      <c r="AH101" s="254">
        <v>0</v>
      </c>
      <c r="AI101" s="254">
        <v>0</v>
      </c>
      <c r="AJ101" s="254">
        <v>0</v>
      </c>
      <c r="AK101" s="254">
        <v>0</v>
      </c>
      <c r="AL101" s="254">
        <v>0</v>
      </c>
      <c r="AM101" s="254">
        <v>0</v>
      </c>
      <c r="AN101" s="254">
        <v>0</v>
      </c>
      <c r="AO101" s="254">
        <v>0</v>
      </c>
      <c r="AP101" s="254">
        <v>0</v>
      </c>
      <c r="AQ101" s="254">
        <v>0</v>
      </c>
      <c r="AR101" s="254">
        <v>0</v>
      </c>
      <c r="AS101" s="254">
        <v>0</v>
      </c>
      <c r="AT101" s="254">
        <v>0</v>
      </c>
      <c r="AU101" s="254">
        <v>0</v>
      </c>
      <c r="AV101" s="254">
        <v>0</v>
      </c>
      <c r="AW101" s="254">
        <v>0</v>
      </c>
      <c r="AX101" s="256">
        <v>539538.76596776675</v>
      </c>
      <c r="AZ101" s="254">
        <f ca="1"/>
        <v>2254.1666666666665</v>
      </c>
      <c r="BA101" s="254">
        <f ca="1"/>
        <v>1352.5</v>
      </c>
      <c r="BB101" s="254">
        <f ca="1"/>
        <v>0</v>
      </c>
      <c r="BC101" s="254">
        <f ca="1"/>
        <v>0</v>
      </c>
      <c r="BD101" s="256">
        <f ca="1"/>
        <v>3606.6666666666665</v>
      </c>
      <c r="BF101" s="254">
        <v>25000</v>
      </c>
      <c r="BG101" s="254">
        <v>4166.666666666667</v>
      </c>
      <c r="BH101" s="254">
        <v>833.33333333333337</v>
      </c>
      <c r="BI101" s="254">
        <v>0</v>
      </c>
      <c r="BJ101" s="243">
        <v>0</v>
      </c>
      <c r="BK101" s="254">
        <v>0</v>
      </c>
      <c r="BL101" s="256">
        <v>30000</v>
      </c>
      <c r="BM101" s="46"/>
      <c r="BN101" s="256">
        <f ca="1"/>
        <v>573145.43263443338</v>
      </c>
      <c r="BP101" s="248">
        <f ca="1"/>
        <v>-573145.43263443338</v>
      </c>
      <c r="BR101" s="248">
        <f ca="1"/>
        <v>-573145.43263443338</v>
      </c>
      <c r="BT101" s="248">
        <f ca="1"/>
        <v>-573145.43263443338</v>
      </c>
      <c r="BU101" s="248">
        <f ca="1"/>
        <v>0</v>
      </c>
    </row>
    <row r="102" spans="1:73" ht="16" thickTop="1" thickBot="1">
      <c r="A102" s="1">
        <v>8</v>
      </c>
      <c r="B102" s="1">
        <f t="shared" si="5"/>
        <v>1</v>
      </c>
      <c r="D102" s="98">
        <v>94</v>
      </c>
      <c r="E102" s="239">
        <v>48122</v>
      </c>
      <c r="F102" s="243">
        <v>0</v>
      </c>
      <c r="G102" s="243">
        <v>0</v>
      </c>
      <c r="H102" s="243">
        <v>0</v>
      </c>
      <c r="I102" s="243">
        <v>0</v>
      </c>
      <c r="J102" s="243">
        <v>0</v>
      </c>
      <c r="K102" s="243">
        <v>0</v>
      </c>
      <c r="L102" s="366">
        <v>0</v>
      </c>
      <c r="M102" s="46"/>
      <c r="N102" s="243">
        <v>0</v>
      </c>
      <c r="O102" s="243">
        <v>0</v>
      </c>
      <c r="P102" s="243">
        <v>0</v>
      </c>
      <c r="Q102" s="243">
        <v>0</v>
      </c>
      <c r="R102" s="243">
        <v>0</v>
      </c>
      <c r="S102" s="243">
        <v>0</v>
      </c>
      <c r="T102" s="243">
        <v>0</v>
      </c>
      <c r="U102" s="243">
        <v>0</v>
      </c>
      <c r="V102" s="243">
        <v>0</v>
      </c>
      <c r="W102" s="243">
        <v>0</v>
      </c>
      <c r="X102" s="256">
        <v>0</v>
      </c>
      <c r="Y102" s="253"/>
      <c r="Z102" s="254">
        <v>0</v>
      </c>
      <c r="AA102" s="254">
        <v>0</v>
      </c>
      <c r="AB102" s="254">
        <v>0</v>
      </c>
      <c r="AC102" s="254">
        <v>0</v>
      </c>
      <c r="AD102" s="254">
        <v>0</v>
      </c>
      <c r="AE102" s="254">
        <v>0</v>
      </c>
      <c r="AF102" s="254">
        <v>0</v>
      </c>
      <c r="AG102" s="254">
        <v>539538.76596776675</v>
      </c>
      <c r="AH102" s="254">
        <v>0</v>
      </c>
      <c r="AI102" s="254">
        <v>0</v>
      </c>
      <c r="AJ102" s="254">
        <v>0</v>
      </c>
      <c r="AK102" s="254">
        <v>0</v>
      </c>
      <c r="AL102" s="254">
        <v>0</v>
      </c>
      <c r="AM102" s="254">
        <v>0</v>
      </c>
      <c r="AN102" s="254">
        <v>0</v>
      </c>
      <c r="AO102" s="254">
        <v>0</v>
      </c>
      <c r="AP102" s="254">
        <v>0</v>
      </c>
      <c r="AQ102" s="254">
        <v>0</v>
      </c>
      <c r="AR102" s="254">
        <v>0</v>
      </c>
      <c r="AS102" s="254">
        <v>0</v>
      </c>
      <c r="AT102" s="254">
        <v>0</v>
      </c>
      <c r="AU102" s="254">
        <v>0</v>
      </c>
      <c r="AV102" s="254">
        <v>0</v>
      </c>
      <c r="AW102" s="254">
        <v>0</v>
      </c>
      <c r="AX102" s="256">
        <v>539538.76596776675</v>
      </c>
      <c r="AZ102" s="254">
        <f ca="1"/>
        <v>2254.1666666666665</v>
      </c>
      <c r="BA102" s="254">
        <f ca="1"/>
        <v>1352.5</v>
      </c>
      <c r="BB102" s="254">
        <f ca="1"/>
        <v>0</v>
      </c>
      <c r="BC102" s="254">
        <f ca="1"/>
        <v>0</v>
      </c>
      <c r="BD102" s="256">
        <f ca="1"/>
        <v>3606.6666666666665</v>
      </c>
      <c r="BF102" s="254">
        <v>25000</v>
      </c>
      <c r="BG102" s="254">
        <v>4166.666666666667</v>
      </c>
      <c r="BH102" s="254">
        <v>833.33333333333337</v>
      </c>
      <c r="BI102" s="254">
        <v>0</v>
      </c>
      <c r="BJ102" s="243">
        <v>0</v>
      </c>
      <c r="BK102" s="254">
        <v>0</v>
      </c>
      <c r="BL102" s="256">
        <v>30000</v>
      </c>
      <c r="BM102" s="46"/>
      <c r="BN102" s="256">
        <f ca="1"/>
        <v>573145.43263443338</v>
      </c>
      <c r="BP102" s="248">
        <f ca="1"/>
        <v>-573145.43263443338</v>
      </c>
      <c r="BR102" s="248">
        <f ca="1"/>
        <v>-573145.43263443338</v>
      </c>
      <c r="BT102" s="248">
        <f ca="1"/>
        <v>-573145.43263443338</v>
      </c>
      <c r="BU102" s="248">
        <f ca="1"/>
        <v>0</v>
      </c>
    </row>
    <row r="103" spans="1:73" ht="16" thickTop="1" thickBot="1">
      <c r="A103" s="1">
        <v>8</v>
      </c>
      <c r="B103" s="1">
        <f t="shared" si="5"/>
        <v>1</v>
      </c>
      <c r="D103" s="98">
        <v>95</v>
      </c>
      <c r="E103" s="239">
        <v>48153</v>
      </c>
      <c r="F103" s="243">
        <v>0</v>
      </c>
      <c r="G103" s="243">
        <v>0</v>
      </c>
      <c r="H103" s="243">
        <v>0</v>
      </c>
      <c r="I103" s="243">
        <v>0</v>
      </c>
      <c r="J103" s="243">
        <v>0</v>
      </c>
      <c r="K103" s="243">
        <v>0</v>
      </c>
      <c r="L103" s="366">
        <v>0</v>
      </c>
      <c r="M103" s="46"/>
      <c r="N103" s="243">
        <v>0</v>
      </c>
      <c r="O103" s="243">
        <v>0</v>
      </c>
      <c r="P103" s="243">
        <v>0</v>
      </c>
      <c r="Q103" s="243">
        <v>0</v>
      </c>
      <c r="R103" s="243">
        <v>0</v>
      </c>
      <c r="S103" s="243">
        <v>0</v>
      </c>
      <c r="T103" s="243">
        <v>0</v>
      </c>
      <c r="U103" s="243">
        <v>0</v>
      </c>
      <c r="V103" s="243">
        <v>0</v>
      </c>
      <c r="W103" s="243">
        <v>0</v>
      </c>
      <c r="X103" s="256">
        <v>0</v>
      </c>
      <c r="Y103" s="253"/>
      <c r="Z103" s="254">
        <v>0</v>
      </c>
      <c r="AA103" s="254">
        <v>0</v>
      </c>
      <c r="AB103" s="254">
        <v>0</v>
      </c>
      <c r="AC103" s="254">
        <v>0</v>
      </c>
      <c r="AD103" s="254">
        <v>0</v>
      </c>
      <c r="AE103" s="254">
        <v>0</v>
      </c>
      <c r="AF103" s="254">
        <v>0</v>
      </c>
      <c r="AG103" s="254">
        <v>539538.76596776675</v>
      </c>
      <c r="AH103" s="254">
        <v>0</v>
      </c>
      <c r="AI103" s="254">
        <v>0</v>
      </c>
      <c r="AJ103" s="254">
        <v>0</v>
      </c>
      <c r="AK103" s="254">
        <v>0</v>
      </c>
      <c r="AL103" s="254">
        <v>0</v>
      </c>
      <c r="AM103" s="254">
        <v>0</v>
      </c>
      <c r="AN103" s="254">
        <v>0</v>
      </c>
      <c r="AO103" s="254">
        <v>0</v>
      </c>
      <c r="AP103" s="254">
        <v>0</v>
      </c>
      <c r="AQ103" s="254">
        <v>0</v>
      </c>
      <c r="AR103" s="254">
        <v>0</v>
      </c>
      <c r="AS103" s="254">
        <v>0</v>
      </c>
      <c r="AT103" s="254">
        <v>0</v>
      </c>
      <c r="AU103" s="254">
        <v>0</v>
      </c>
      <c r="AV103" s="254">
        <v>0</v>
      </c>
      <c r="AW103" s="254">
        <v>0</v>
      </c>
      <c r="AX103" s="256">
        <v>539538.76596776675</v>
      </c>
      <c r="AZ103" s="254">
        <f ca="1"/>
        <v>2254.1666666666665</v>
      </c>
      <c r="BA103" s="254">
        <f ca="1"/>
        <v>1352.5</v>
      </c>
      <c r="BB103" s="254">
        <f ca="1"/>
        <v>0</v>
      </c>
      <c r="BC103" s="254">
        <f ca="1"/>
        <v>0</v>
      </c>
      <c r="BD103" s="256">
        <f ca="1"/>
        <v>3606.6666666666665</v>
      </c>
      <c r="BF103" s="254">
        <v>25000</v>
      </c>
      <c r="BG103" s="254">
        <v>4166.666666666667</v>
      </c>
      <c r="BH103" s="254">
        <v>833.33333333333337</v>
      </c>
      <c r="BI103" s="254">
        <v>0</v>
      </c>
      <c r="BJ103" s="243">
        <v>0</v>
      </c>
      <c r="BK103" s="254">
        <v>0</v>
      </c>
      <c r="BL103" s="256">
        <v>30000</v>
      </c>
      <c r="BM103" s="46"/>
      <c r="BN103" s="256">
        <f ca="1"/>
        <v>573145.43263443338</v>
      </c>
      <c r="BP103" s="248">
        <f ca="1"/>
        <v>-573145.43263443338</v>
      </c>
      <c r="BR103" s="248">
        <f ca="1"/>
        <v>-573145.43263443338</v>
      </c>
      <c r="BT103" s="248">
        <f ca="1"/>
        <v>-573145.43263443338</v>
      </c>
      <c r="BU103" s="248">
        <f ca="1"/>
        <v>0</v>
      </c>
    </row>
    <row r="104" spans="1:73" ht="16" thickTop="1" thickBot="1">
      <c r="A104" s="1">
        <v>8</v>
      </c>
      <c r="B104" s="1">
        <f t="shared" si="5"/>
        <v>1</v>
      </c>
      <c r="D104" s="98">
        <v>96</v>
      </c>
      <c r="E104" s="239">
        <v>48183</v>
      </c>
      <c r="F104" s="243">
        <v>60493339.030238084</v>
      </c>
      <c r="G104" s="243">
        <v>9964625.4762245957</v>
      </c>
      <c r="H104" s="243">
        <v>-35272954.302190296</v>
      </c>
      <c r="I104" s="243">
        <v>35185010.204272382</v>
      </c>
      <c r="J104" s="243">
        <v>-1055550.3061281715</v>
      </c>
      <c r="K104" s="243">
        <v>-351850.1020427238</v>
      </c>
      <c r="L104" s="366">
        <v>33777609.796101488</v>
      </c>
      <c r="M104" s="46"/>
      <c r="N104" s="243">
        <v>0</v>
      </c>
      <c r="O104" s="243">
        <v>0</v>
      </c>
      <c r="P104" s="243">
        <v>0</v>
      </c>
      <c r="Q104" s="243">
        <v>0</v>
      </c>
      <c r="R104" s="243">
        <v>0</v>
      </c>
      <c r="S104" s="243">
        <v>0</v>
      </c>
      <c r="T104" s="243">
        <v>0</v>
      </c>
      <c r="U104" s="243">
        <v>0</v>
      </c>
      <c r="V104" s="243">
        <v>0</v>
      </c>
      <c r="W104" s="243">
        <v>0</v>
      </c>
      <c r="X104" s="256">
        <v>0</v>
      </c>
      <c r="Y104" s="253"/>
      <c r="Z104" s="254">
        <v>0</v>
      </c>
      <c r="AA104" s="254">
        <v>0</v>
      </c>
      <c r="AB104" s="254">
        <v>0</v>
      </c>
      <c r="AC104" s="254">
        <v>0</v>
      </c>
      <c r="AD104" s="254">
        <v>0</v>
      </c>
      <c r="AE104" s="254">
        <v>0</v>
      </c>
      <c r="AF104" s="254">
        <v>0</v>
      </c>
      <c r="AG104" s="254">
        <v>0</v>
      </c>
      <c r="AH104" s="254">
        <v>0</v>
      </c>
      <c r="AI104" s="254">
        <v>0</v>
      </c>
      <c r="AJ104" s="254">
        <v>0</v>
      </c>
      <c r="AK104" s="254">
        <v>0</v>
      </c>
      <c r="AL104" s="254">
        <v>0</v>
      </c>
      <c r="AM104" s="254">
        <v>0</v>
      </c>
      <c r="AN104" s="254">
        <v>0</v>
      </c>
      <c r="AO104" s="254">
        <v>0</v>
      </c>
      <c r="AP104" s="254">
        <v>0</v>
      </c>
      <c r="AQ104" s="254">
        <v>0</v>
      </c>
      <c r="AR104" s="254">
        <v>0</v>
      </c>
      <c r="AS104" s="254">
        <v>0</v>
      </c>
      <c r="AT104" s="254">
        <v>0</v>
      </c>
      <c r="AU104" s="254">
        <v>0</v>
      </c>
      <c r="AV104" s="254">
        <v>0</v>
      </c>
      <c r="AW104" s="254">
        <v>0</v>
      </c>
      <c r="AX104" s="256">
        <v>0</v>
      </c>
      <c r="AZ104" s="254">
        <f ca="1"/>
        <v>1708.3333333333333</v>
      </c>
      <c r="BA104" s="254">
        <f ca="1"/>
        <v>1025</v>
      </c>
      <c r="BB104" s="254">
        <f ca="1"/>
        <v>0</v>
      </c>
      <c r="BC104" s="254">
        <f ca="1"/>
        <v>0</v>
      </c>
      <c r="BD104" s="256">
        <f ca="1"/>
        <v>2733.333333333333</v>
      </c>
      <c r="BF104" s="254">
        <v>0</v>
      </c>
      <c r="BG104" s="254">
        <v>0</v>
      </c>
      <c r="BH104" s="254">
        <v>0</v>
      </c>
      <c r="BI104" s="254">
        <v>0</v>
      </c>
      <c r="BJ104" s="243">
        <v>0</v>
      </c>
      <c r="BK104" s="254">
        <v>351850.10204272385</v>
      </c>
      <c r="BL104" s="256">
        <v>351850.10204272385</v>
      </c>
      <c r="BM104" s="46"/>
      <c r="BN104" s="256">
        <f ca="1"/>
        <v>354583.43537605717</v>
      </c>
      <c r="BP104" s="248">
        <f ca="1"/>
        <v>33423026.360725433</v>
      </c>
      <c r="BR104" s="248">
        <f ca="1"/>
        <v>33423026.360725433</v>
      </c>
      <c r="BT104" s="248">
        <f ca="1"/>
        <v>0</v>
      </c>
      <c r="BU104" s="248">
        <f ca="1"/>
        <v>33423026.360725433</v>
      </c>
    </row>
    <row r="105" spans="1:73" ht="16" hidden="1" thickTop="1" thickBot="1">
      <c r="A105" s="1"/>
      <c r="B105" s="1">
        <f t="shared" si="5"/>
        <v>0</v>
      </c>
      <c r="D105" s="98"/>
      <c r="E105" s="239"/>
      <c r="F105" s="243"/>
      <c r="G105" s="243"/>
      <c r="H105" s="243"/>
      <c r="I105" s="243"/>
      <c r="J105" s="243"/>
      <c r="K105" s="243"/>
      <c r="L105" s="366"/>
      <c r="M105" s="46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56"/>
      <c r="Y105" s="253"/>
      <c r="Z105" s="254"/>
      <c r="AA105" s="254"/>
      <c r="AB105" s="254"/>
      <c r="AC105" s="254"/>
      <c r="AD105" s="254"/>
      <c r="AE105" s="254"/>
      <c r="AF105" s="254"/>
      <c r="AG105" s="254"/>
      <c r="AH105" s="254"/>
      <c r="AI105" s="254"/>
      <c r="AJ105" s="254"/>
      <c r="AK105" s="254"/>
      <c r="AL105" s="254"/>
      <c r="AM105" s="254"/>
      <c r="AN105" s="254"/>
      <c r="AO105" s="254"/>
      <c r="AP105" s="254"/>
      <c r="AQ105" s="254"/>
      <c r="AR105" s="254"/>
      <c r="AS105" s="254"/>
      <c r="AT105" s="254"/>
      <c r="AU105" s="254"/>
      <c r="AV105" s="254"/>
      <c r="AW105" s="254"/>
      <c r="AX105" s="256"/>
      <c r="AZ105" s="254" t="str">
        <f ca="1"/>
        <v/>
      </c>
      <c r="BA105" s="254" t="str">
        <f ca="1"/>
        <v/>
      </c>
      <c r="BB105" s="254" t="str">
        <f ca="1"/>
        <v/>
      </c>
      <c r="BC105" s="254" t="str">
        <f ca="1"/>
        <v/>
      </c>
      <c r="BD105" s="256">
        <f ca="1"/>
        <v>0</v>
      </c>
      <c r="BF105" s="254"/>
      <c r="BG105" s="254"/>
      <c r="BH105" s="254"/>
      <c r="BI105" s="254"/>
      <c r="BJ105" s="243"/>
      <c r="BK105" s="254"/>
      <c r="BL105" s="256"/>
      <c r="BM105" s="46"/>
      <c r="BN105" s="256">
        <f ca="1"/>
        <v>0</v>
      </c>
      <c r="BP105" s="248">
        <f ca="1"/>
        <v>0</v>
      </c>
      <c r="BR105" s="248">
        <f ca="1"/>
        <v>0</v>
      </c>
      <c r="BT105" s="248">
        <f ca="1"/>
        <v>0</v>
      </c>
      <c r="BU105" s="248">
        <f ca="1"/>
        <v>0</v>
      </c>
    </row>
    <row r="106" spans="1:73" ht="16" hidden="1" thickTop="1" thickBot="1">
      <c r="A106" s="1"/>
      <c r="B106" s="1">
        <f t="shared" si="5"/>
        <v>0</v>
      </c>
      <c r="D106" s="98"/>
      <c r="E106" s="239"/>
      <c r="F106" s="243"/>
      <c r="G106" s="243"/>
      <c r="H106" s="243"/>
      <c r="I106" s="243"/>
      <c r="J106" s="243"/>
      <c r="K106" s="243"/>
      <c r="L106" s="366"/>
      <c r="M106" s="46"/>
      <c r="N106" s="243"/>
      <c r="O106" s="243"/>
      <c r="P106" s="243"/>
      <c r="Q106" s="243"/>
      <c r="R106" s="243"/>
      <c r="S106" s="243"/>
      <c r="T106" s="243"/>
      <c r="U106" s="243"/>
      <c r="V106" s="243"/>
      <c r="W106" s="243"/>
      <c r="X106" s="256"/>
      <c r="Y106" s="253"/>
      <c r="Z106" s="254"/>
      <c r="AA106" s="254"/>
      <c r="AB106" s="254"/>
      <c r="AC106" s="254"/>
      <c r="AD106" s="254"/>
      <c r="AE106" s="254"/>
      <c r="AF106" s="254"/>
      <c r="AG106" s="254"/>
      <c r="AH106" s="254"/>
      <c r="AI106" s="254"/>
      <c r="AJ106" s="254"/>
      <c r="AK106" s="254"/>
      <c r="AL106" s="254"/>
      <c r="AM106" s="254"/>
      <c r="AN106" s="254"/>
      <c r="AO106" s="254"/>
      <c r="AP106" s="254"/>
      <c r="AQ106" s="254"/>
      <c r="AR106" s="254"/>
      <c r="AS106" s="254"/>
      <c r="AT106" s="254"/>
      <c r="AU106" s="254"/>
      <c r="AV106" s="254"/>
      <c r="AW106" s="254"/>
      <c r="AX106" s="256"/>
      <c r="AZ106" s="254" t="str">
        <f ca="1"/>
        <v/>
      </c>
      <c r="BA106" s="254" t="str">
        <f ca="1"/>
        <v/>
      </c>
      <c r="BB106" s="254" t="str">
        <f ca="1"/>
        <v/>
      </c>
      <c r="BC106" s="254" t="str">
        <f ca="1"/>
        <v/>
      </c>
      <c r="BD106" s="256">
        <f ca="1"/>
        <v>0</v>
      </c>
      <c r="BF106" s="254"/>
      <c r="BG106" s="254"/>
      <c r="BH106" s="254"/>
      <c r="BI106" s="254"/>
      <c r="BJ106" s="243"/>
      <c r="BK106" s="254"/>
      <c r="BL106" s="256"/>
      <c r="BM106" s="46"/>
      <c r="BN106" s="256">
        <f ca="1"/>
        <v>0</v>
      </c>
      <c r="BP106" s="248">
        <f ca="1"/>
        <v>0</v>
      </c>
      <c r="BR106" s="248">
        <f ca="1"/>
        <v>0</v>
      </c>
      <c r="BT106" s="248">
        <f ca="1"/>
        <v>0</v>
      </c>
      <c r="BU106" s="248">
        <f ca="1"/>
        <v>0</v>
      </c>
    </row>
    <row r="107" spans="1:73" ht="16" hidden="1" thickTop="1" thickBot="1">
      <c r="A107" s="1"/>
      <c r="B107" s="1">
        <f t="shared" si="5"/>
        <v>0</v>
      </c>
      <c r="D107" s="98"/>
      <c r="E107" s="239"/>
      <c r="F107" s="243"/>
      <c r="G107" s="243"/>
      <c r="H107" s="243"/>
      <c r="I107" s="243"/>
      <c r="J107" s="243"/>
      <c r="K107" s="243"/>
      <c r="L107" s="366"/>
      <c r="M107" s="46"/>
      <c r="N107" s="243"/>
      <c r="O107" s="243"/>
      <c r="P107" s="243"/>
      <c r="Q107" s="243"/>
      <c r="R107" s="243"/>
      <c r="S107" s="243"/>
      <c r="T107" s="243"/>
      <c r="U107" s="243"/>
      <c r="V107" s="243"/>
      <c r="W107" s="243"/>
      <c r="X107" s="256"/>
      <c r="Y107" s="253"/>
      <c r="Z107" s="254"/>
      <c r="AA107" s="254"/>
      <c r="AB107" s="254"/>
      <c r="AC107" s="254"/>
      <c r="AD107" s="254"/>
      <c r="AE107" s="254"/>
      <c r="AF107" s="254"/>
      <c r="AG107" s="254"/>
      <c r="AH107" s="254"/>
      <c r="AI107" s="254"/>
      <c r="AJ107" s="254"/>
      <c r="AK107" s="254"/>
      <c r="AL107" s="254"/>
      <c r="AM107" s="254"/>
      <c r="AN107" s="254"/>
      <c r="AO107" s="254"/>
      <c r="AP107" s="254"/>
      <c r="AQ107" s="254"/>
      <c r="AR107" s="254"/>
      <c r="AS107" s="254"/>
      <c r="AT107" s="254"/>
      <c r="AU107" s="254"/>
      <c r="AV107" s="254"/>
      <c r="AW107" s="254"/>
      <c r="AX107" s="256"/>
      <c r="AZ107" s="254" t="str">
        <f ca="1"/>
        <v/>
      </c>
      <c r="BA107" s="254" t="str">
        <f ca="1"/>
        <v/>
      </c>
      <c r="BB107" s="254" t="str">
        <f ca="1"/>
        <v/>
      </c>
      <c r="BC107" s="254" t="str">
        <f ca="1"/>
        <v/>
      </c>
      <c r="BD107" s="256">
        <f ca="1"/>
        <v>0</v>
      </c>
      <c r="BF107" s="254"/>
      <c r="BG107" s="254"/>
      <c r="BH107" s="254"/>
      <c r="BI107" s="254"/>
      <c r="BJ107" s="243"/>
      <c r="BK107" s="254"/>
      <c r="BL107" s="256"/>
      <c r="BM107" s="46"/>
      <c r="BN107" s="256">
        <f ca="1"/>
        <v>0</v>
      </c>
      <c r="BP107" s="248">
        <f ca="1"/>
        <v>0</v>
      </c>
      <c r="BR107" s="248">
        <f ca="1"/>
        <v>0</v>
      </c>
      <c r="BT107" s="248">
        <f ca="1"/>
        <v>0</v>
      </c>
      <c r="BU107" s="248">
        <f ca="1"/>
        <v>0</v>
      </c>
    </row>
    <row r="108" spans="1:73" ht="16" hidden="1" thickTop="1" thickBot="1">
      <c r="A108" s="1"/>
      <c r="B108" s="1">
        <f t="shared" si="5"/>
        <v>0</v>
      </c>
      <c r="D108" s="98"/>
      <c r="E108" s="239"/>
      <c r="F108" s="243"/>
      <c r="G108" s="243"/>
      <c r="H108" s="243"/>
      <c r="I108" s="243"/>
      <c r="J108" s="243"/>
      <c r="K108" s="243"/>
      <c r="L108" s="366"/>
      <c r="M108" s="46"/>
      <c r="N108" s="243"/>
      <c r="O108" s="243"/>
      <c r="P108" s="243"/>
      <c r="Q108" s="243"/>
      <c r="R108" s="243"/>
      <c r="S108" s="243"/>
      <c r="T108" s="243"/>
      <c r="U108" s="243"/>
      <c r="V108" s="243"/>
      <c r="W108" s="243"/>
      <c r="X108" s="256"/>
      <c r="Y108" s="253"/>
      <c r="Z108" s="254"/>
      <c r="AA108" s="254"/>
      <c r="AB108" s="254"/>
      <c r="AC108" s="254"/>
      <c r="AD108" s="254"/>
      <c r="AE108" s="254"/>
      <c r="AF108" s="254"/>
      <c r="AG108" s="254"/>
      <c r="AH108" s="254"/>
      <c r="AI108" s="254"/>
      <c r="AJ108" s="254"/>
      <c r="AK108" s="254"/>
      <c r="AL108" s="254"/>
      <c r="AM108" s="254"/>
      <c r="AN108" s="254"/>
      <c r="AO108" s="254"/>
      <c r="AP108" s="254"/>
      <c r="AQ108" s="254"/>
      <c r="AR108" s="254"/>
      <c r="AS108" s="254"/>
      <c r="AT108" s="254"/>
      <c r="AU108" s="254"/>
      <c r="AV108" s="254"/>
      <c r="AW108" s="254"/>
      <c r="AX108" s="256"/>
      <c r="AZ108" s="254" t="str">
        <f ca="1"/>
        <v/>
      </c>
      <c r="BA108" s="254" t="str">
        <f ca="1"/>
        <v/>
      </c>
      <c r="BB108" s="254" t="str">
        <f ca="1"/>
        <v/>
      </c>
      <c r="BC108" s="254" t="str">
        <f ca="1"/>
        <v/>
      </c>
      <c r="BD108" s="256">
        <f ca="1"/>
        <v>0</v>
      </c>
      <c r="BF108" s="254"/>
      <c r="BG108" s="254"/>
      <c r="BH108" s="254"/>
      <c r="BI108" s="254"/>
      <c r="BJ108" s="243"/>
      <c r="BK108" s="254"/>
      <c r="BL108" s="256"/>
      <c r="BM108" s="46"/>
      <c r="BN108" s="256">
        <f ca="1"/>
        <v>0</v>
      </c>
      <c r="BP108" s="248">
        <f ca="1"/>
        <v>0</v>
      </c>
      <c r="BR108" s="248">
        <f ca="1"/>
        <v>0</v>
      </c>
      <c r="BT108" s="248">
        <f ca="1"/>
        <v>0</v>
      </c>
      <c r="BU108" s="248">
        <f ca="1"/>
        <v>0</v>
      </c>
    </row>
    <row r="109" spans="1:73" ht="16" hidden="1" thickTop="1" thickBot="1">
      <c r="A109" s="1"/>
      <c r="B109" s="1">
        <f t="shared" si="5"/>
        <v>0</v>
      </c>
      <c r="D109" s="98"/>
      <c r="E109" s="239"/>
      <c r="F109" s="243"/>
      <c r="G109" s="243"/>
      <c r="H109" s="243"/>
      <c r="I109" s="243"/>
      <c r="J109" s="243"/>
      <c r="K109" s="243"/>
      <c r="L109" s="366"/>
      <c r="M109" s="46"/>
      <c r="N109" s="243"/>
      <c r="O109" s="243"/>
      <c r="P109" s="243"/>
      <c r="Q109" s="243"/>
      <c r="R109" s="243"/>
      <c r="S109" s="243"/>
      <c r="T109" s="243"/>
      <c r="U109" s="243"/>
      <c r="V109" s="243"/>
      <c r="W109" s="243"/>
      <c r="X109" s="256"/>
      <c r="Y109" s="253"/>
      <c r="Z109" s="254"/>
      <c r="AA109" s="254"/>
      <c r="AB109" s="254"/>
      <c r="AC109" s="254"/>
      <c r="AD109" s="254"/>
      <c r="AE109" s="254"/>
      <c r="AF109" s="254"/>
      <c r="AG109" s="254"/>
      <c r="AH109" s="254"/>
      <c r="AI109" s="254"/>
      <c r="AJ109" s="254"/>
      <c r="AK109" s="254"/>
      <c r="AL109" s="254"/>
      <c r="AM109" s="254"/>
      <c r="AN109" s="254"/>
      <c r="AO109" s="254"/>
      <c r="AP109" s="254"/>
      <c r="AQ109" s="254"/>
      <c r="AR109" s="254"/>
      <c r="AS109" s="254"/>
      <c r="AT109" s="254"/>
      <c r="AU109" s="254"/>
      <c r="AV109" s="254"/>
      <c r="AW109" s="254"/>
      <c r="AX109" s="256"/>
      <c r="AZ109" s="254" t="str">
        <f ca="1"/>
        <v/>
      </c>
      <c r="BA109" s="254" t="str">
        <f ca="1"/>
        <v/>
      </c>
      <c r="BB109" s="254" t="str">
        <f ca="1"/>
        <v/>
      </c>
      <c r="BC109" s="254" t="str">
        <f ca="1"/>
        <v/>
      </c>
      <c r="BD109" s="256">
        <f ca="1"/>
        <v>0</v>
      </c>
      <c r="BF109" s="254"/>
      <c r="BG109" s="254"/>
      <c r="BH109" s="254"/>
      <c r="BI109" s="254"/>
      <c r="BJ109" s="243"/>
      <c r="BK109" s="254"/>
      <c r="BL109" s="256"/>
      <c r="BM109" s="46"/>
      <c r="BN109" s="256">
        <f ca="1"/>
        <v>0</v>
      </c>
      <c r="BP109" s="248">
        <f ca="1"/>
        <v>0</v>
      </c>
      <c r="BR109" s="248">
        <f ca="1"/>
        <v>0</v>
      </c>
      <c r="BT109" s="248">
        <f ca="1"/>
        <v>0</v>
      </c>
      <c r="BU109" s="248">
        <f ca="1"/>
        <v>0</v>
      </c>
    </row>
    <row r="110" spans="1:73" ht="16" hidden="1" thickTop="1" thickBot="1">
      <c r="A110" s="1"/>
      <c r="B110" s="1">
        <f t="shared" si="5"/>
        <v>0</v>
      </c>
      <c r="D110" s="98"/>
      <c r="E110" s="239"/>
      <c r="F110" s="243"/>
      <c r="G110" s="243"/>
      <c r="H110" s="243"/>
      <c r="I110" s="243"/>
      <c r="J110" s="243"/>
      <c r="K110" s="243"/>
      <c r="L110" s="366"/>
      <c r="M110" s="46"/>
      <c r="N110" s="243"/>
      <c r="O110" s="243"/>
      <c r="P110" s="243"/>
      <c r="Q110" s="243"/>
      <c r="R110" s="243"/>
      <c r="S110" s="243"/>
      <c r="T110" s="243"/>
      <c r="U110" s="243"/>
      <c r="V110" s="243"/>
      <c r="W110" s="243"/>
      <c r="X110" s="256"/>
      <c r="Y110" s="253"/>
      <c r="Z110" s="254"/>
      <c r="AA110" s="254"/>
      <c r="AB110" s="254"/>
      <c r="AC110" s="254"/>
      <c r="AD110" s="254"/>
      <c r="AE110" s="254"/>
      <c r="AF110" s="254"/>
      <c r="AG110" s="254"/>
      <c r="AH110" s="254"/>
      <c r="AI110" s="254"/>
      <c r="AJ110" s="254"/>
      <c r="AK110" s="254"/>
      <c r="AL110" s="254"/>
      <c r="AM110" s="254"/>
      <c r="AN110" s="254"/>
      <c r="AO110" s="254"/>
      <c r="AP110" s="254"/>
      <c r="AQ110" s="254"/>
      <c r="AR110" s="254"/>
      <c r="AS110" s="254"/>
      <c r="AT110" s="254"/>
      <c r="AU110" s="254"/>
      <c r="AV110" s="254"/>
      <c r="AW110" s="254"/>
      <c r="AX110" s="256"/>
      <c r="AZ110" s="254" t="str">
        <f ca="1"/>
        <v/>
      </c>
      <c r="BA110" s="254" t="str">
        <f ca="1"/>
        <v/>
      </c>
      <c r="BB110" s="254" t="str">
        <f ca="1"/>
        <v/>
      </c>
      <c r="BC110" s="254" t="str">
        <f ca="1"/>
        <v/>
      </c>
      <c r="BD110" s="256">
        <f ca="1"/>
        <v>0</v>
      </c>
      <c r="BF110" s="254"/>
      <c r="BG110" s="254"/>
      <c r="BH110" s="254"/>
      <c r="BI110" s="254"/>
      <c r="BJ110" s="243"/>
      <c r="BK110" s="254"/>
      <c r="BL110" s="256"/>
      <c r="BM110" s="46"/>
      <c r="BN110" s="256">
        <f ca="1"/>
        <v>0</v>
      </c>
      <c r="BP110" s="248">
        <f ca="1"/>
        <v>0</v>
      </c>
      <c r="BR110" s="248">
        <f ca="1"/>
        <v>0</v>
      </c>
      <c r="BT110" s="248">
        <f ca="1"/>
        <v>0</v>
      </c>
      <c r="BU110" s="248">
        <f ca="1"/>
        <v>0</v>
      </c>
    </row>
    <row r="111" spans="1:73" ht="16" hidden="1" thickTop="1" thickBot="1">
      <c r="A111" s="1"/>
      <c r="B111" s="1">
        <f t="shared" si="5"/>
        <v>0</v>
      </c>
      <c r="D111" s="98"/>
      <c r="E111" s="239"/>
      <c r="F111" s="243"/>
      <c r="G111" s="243"/>
      <c r="H111" s="243"/>
      <c r="I111" s="243"/>
      <c r="J111" s="243"/>
      <c r="K111" s="243"/>
      <c r="L111" s="366"/>
      <c r="M111" s="46"/>
      <c r="N111" s="243"/>
      <c r="O111" s="243"/>
      <c r="P111" s="243"/>
      <c r="Q111" s="243"/>
      <c r="R111" s="243"/>
      <c r="S111" s="243"/>
      <c r="T111" s="243"/>
      <c r="U111" s="243"/>
      <c r="V111" s="243"/>
      <c r="W111" s="243"/>
      <c r="X111" s="256"/>
      <c r="Y111" s="253"/>
      <c r="Z111" s="254"/>
      <c r="AA111" s="254"/>
      <c r="AB111" s="254"/>
      <c r="AC111" s="254"/>
      <c r="AD111" s="254"/>
      <c r="AE111" s="254"/>
      <c r="AF111" s="254"/>
      <c r="AG111" s="254"/>
      <c r="AH111" s="254"/>
      <c r="AI111" s="254"/>
      <c r="AJ111" s="254"/>
      <c r="AK111" s="254"/>
      <c r="AL111" s="254"/>
      <c r="AM111" s="254"/>
      <c r="AN111" s="254"/>
      <c r="AO111" s="254"/>
      <c r="AP111" s="254"/>
      <c r="AQ111" s="254"/>
      <c r="AR111" s="254"/>
      <c r="AS111" s="254"/>
      <c r="AT111" s="254"/>
      <c r="AU111" s="254"/>
      <c r="AV111" s="254"/>
      <c r="AW111" s="254"/>
      <c r="AX111" s="256"/>
      <c r="AZ111" s="254" t="str">
        <f ca="1"/>
        <v/>
      </c>
      <c r="BA111" s="254" t="str">
        <f ca="1"/>
        <v/>
      </c>
      <c r="BB111" s="254" t="str">
        <f ca="1"/>
        <v/>
      </c>
      <c r="BC111" s="254" t="str">
        <f ca="1"/>
        <v/>
      </c>
      <c r="BD111" s="256">
        <f ca="1"/>
        <v>0</v>
      </c>
      <c r="BF111" s="254"/>
      <c r="BG111" s="254"/>
      <c r="BH111" s="254"/>
      <c r="BI111" s="254"/>
      <c r="BJ111" s="243"/>
      <c r="BK111" s="254"/>
      <c r="BL111" s="256"/>
      <c r="BM111" s="46"/>
      <c r="BN111" s="256">
        <f ca="1"/>
        <v>0</v>
      </c>
      <c r="BP111" s="248">
        <f ca="1"/>
        <v>0</v>
      </c>
      <c r="BR111" s="248">
        <f ca="1"/>
        <v>0</v>
      </c>
      <c r="BT111" s="248">
        <f ca="1"/>
        <v>0</v>
      </c>
      <c r="BU111" s="248">
        <f ca="1"/>
        <v>0</v>
      </c>
    </row>
    <row r="112" spans="1:73" ht="16" hidden="1" thickTop="1" thickBot="1">
      <c r="A112" s="1"/>
      <c r="B112" s="1">
        <f t="shared" si="5"/>
        <v>0</v>
      </c>
      <c r="D112" s="98"/>
      <c r="E112" s="239"/>
      <c r="F112" s="243"/>
      <c r="G112" s="243"/>
      <c r="H112" s="243"/>
      <c r="I112" s="243"/>
      <c r="J112" s="243"/>
      <c r="K112" s="243"/>
      <c r="L112" s="366"/>
      <c r="M112" s="46"/>
      <c r="N112" s="243"/>
      <c r="O112" s="243"/>
      <c r="P112" s="243"/>
      <c r="Q112" s="243"/>
      <c r="R112" s="243"/>
      <c r="S112" s="243"/>
      <c r="T112" s="243"/>
      <c r="U112" s="243"/>
      <c r="V112" s="243"/>
      <c r="W112" s="243"/>
      <c r="X112" s="256"/>
      <c r="Y112" s="253"/>
      <c r="Z112" s="254"/>
      <c r="AA112" s="254"/>
      <c r="AB112" s="254"/>
      <c r="AC112" s="254"/>
      <c r="AD112" s="254"/>
      <c r="AE112" s="254"/>
      <c r="AF112" s="254"/>
      <c r="AG112" s="254"/>
      <c r="AH112" s="254"/>
      <c r="AI112" s="254"/>
      <c r="AJ112" s="254"/>
      <c r="AK112" s="254"/>
      <c r="AL112" s="254"/>
      <c r="AM112" s="254"/>
      <c r="AN112" s="254"/>
      <c r="AO112" s="254"/>
      <c r="AP112" s="254"/>
      <c r="AQ112" s="254"/>
      <c r="AR112" s="254"/>
      <c r="AS112" s="254"/>
      <c r="AT112" s="254"/>
      <c r="AU112" s="254"/>
      <c r="AV112" s="254"/>
      <c r="AW112" s="254"/>
      <c r="AX112" s="256"/>
      <c r="AZ112" s="254" t="str">
        <f ca="1"/>
        <v/>
      </c>
      <c r="BA112" s="254" t="str">
        <f ca="1"/>
        <v/>
      </c>
      <c r="BB112" s="254" t="str">
        <f ca="1"/>
        <v/>
      </c>
      <c r="BC112" s="254" t="str">
        <f ca="1"/>
        <v/>
      </c>
      <c r="BD112" s="256">
        <f ca="1"/>
        <v>0</v>
      </c>
      <c r="BF112" s="254"/>
      <c r="BG112" s="254"/>
      <c r="BH112" s="254"/>
      <c r="BI112" s="254"/>
      <c r="BJ112" s="243"/>
      <c r="BK112" s="254"/>
      <c r="BL112" s="256"/>
      <c r="BM112" s="46"/>
      <c r="BN112" s="256">
        <f ca="1"/>
        <v>0</v>
      </c>
      <c r="BP112" s="248">
        <f ca="1"/>
        <v>0</v>
      </c>
      <c r="BR112" s="248">
        <f ca="1"/>
        <v>0</v>
      </c>
      <c r="BT112" s="248">
        <f ca="1"/>
        <v>0</v>
      </c>
      <c r="BU112" s="248">
        <f ca="1"/>
        <v>0</v>
      </c>
    </row>
    <row r="113" spans="1:73" ht="16" hidden="1" thickTop="1" thickBot="1">
      <c r="A113" s="1"/>
      <c r="B113" s="1">
        <f t="shared" si="5"/>
        <v>0</v>
      </c>
      <c r="D113" s="98"/>
      <c r="E113" s="239"/>
      <c r="F113" s="243"/>
      <c r="G113" s="243"/>
      <c r="H113" s="243"/>
      <c r="I113" s="243"/>
      <c r="J113" s="243"/>
      <c r="K113" s="243"/>
      <c r="L113" s="366"/>
      <c r="M113" s="46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56"/>
      <c r="Y113" s="253"/>
      <c r="Z113" s="254"/>
      <c r="AA113" s="254"/>
      <c r="AB113" s="254"/>
      <c r="AC113" s="254"/>
      <c r="AD113" s="254"/>
      <c r="AE113" s="254"/>
      <c r="AF113" s="254"/>
      <c r="AG113" s="254"/>
      <c r="AH113" s="254"/>
      <c r="AI113" s="254"/>
      <c r="AJ113" s="254"/>
      <c r="AK113" s="254"/>
      <c r="AL113" s="254"/>
      <c r="AM113" s="254"/>
      <c r="AN113" s="254"/>
      <c r="AO113" s="254"/>
      <c r="AP113" s="254"/>
      <c r="AQ113" s="254"/>
      <c r="AR113" s="254"/>
      <c r="AS113" s="254"/>
      <c r="AT113" s="254"/>
      <c r="AU113" s="254"/>
      <c r="AV113" s="254"/>
      <c r="AW113" s="254"/>
      <c r="AX113" s="256"/>
      <c r="AZ113" s="254" t="str">
        <f ca="1"/>
        <v/>
      </c>
      <c r="BA113" s="254" t="str">
        <f ca="1"/>
        <v/>
      </c>
      <c r="BB113" s="254" t="str">
        <f ca="1"/>
        <v/>
      </c>
      <c r="BC113" s="254" t="str">
        <f ca="1"/>
        <v/>
      </c>
      <c r="BD113" s="256">
        <f ca="1"/>
        <v>0</v>
      </c>
      <c r="BF113" s="254"/>
      <c r="BG113" s="254"/>
      <c r="BH113" s="254"/>
      <c r="BI113" s="254"/>
      <c r="BJ113" s="243"/>
      <c r="BK113" s="254"/>
      <c r="BL113" s="256"/>
      <c r="BM113" s="46"/>
      <c r="BN113" s="256">
        <f ca="1"/>
        <v>0</v>
      </c>
      <c r="BP113" s="248">
        <f ca="1"/>
        <v>0</v>
      </c>
      <c r="BR113" s="248">
        <f ca="1"/>
        <v>0</v>
      </c>
      <c r="BT113" s="248">
        <f ca="1"/>
        <v>0</v>
      </c>
      <c r="BU113" s="248">
        <f ca="1"/>
        <v>0</v>
      </c>
    </row>
    <row r="114" spans="1:73" ht="16" hidden="1" thickTop="1" thickBot="1">
      <c r="A114" s="1"/>
      <c r="B114" s="1">
        <f t="shared" si="5"/>
        <v>0</v>
      </c>
      <c r="D114" s="98"/>
      <c r="E114" s="239"/>
      <c r="F114" s="243"/>
      <c r="G114" s="243"/>
      <c r="H114" s="243"/>
      <c r="I114" s="243"/>
      <c r="J114" s="243"/>
      <c r="K114" s="243"/>
      <c r="L114" s="366"/>
      <c r="M114" s="46"/>
      <c r="N114" s="243"/>
      <c r="O114" s="243"/>
      <c r="P114" s="243"/>
      <c r="Q114" s="243"/>
      <c r="R114" s="243"/>
      <c r="S114" s="243"/>
      <c r="T114" s="243"/>
      <c r="U114" s="243"/>
      <c r="V114" s="243"/>
      <c r="W114" s="243"/>
      <c r="X114" s="256"/>
      <c r="Y114" s="253"/>
      <c r="Z114" s="254"/>
      <c r="AA114" s="254"/>
      <c r="AB114" s="254"/>
      <c r="AC114" s="254"/>
      <c r="AD114" s="254"/>
      <c r="AE114" s="254"/>
      <c r="AF114" s="254"/>
      <c r="AG114" s="254"/>
      <c r="AH114" s="254"/>
      <c r="AI114" s="254"/>
      <c r="AJ114" s="254"/>
      <c r="AK114" s="254"/>
      <c r="AL114" s="254"/>
      <c r="AM114" s="254"/>
      <c r="AN114" s="254"/>
      <c r="AO114" s="254"/>
      <c r="AP114" s="254"/>
      <c r="AQ114" s="254"/>
      <c r="AR114" s="254"/>
      <c r="AS114" s="254"/>
      <c r="AT114" s="254"/>
      <c r="AU114" s="254"/>
      <c r="AV114" s="254"/>
      <c r="AW114" s="254"/>
      <c r="AX114" s="256"/>
      <c r="AZ114" s="254" t="str">
        <f ca="1"/>
        <v/>
      </c>
      <c r="BA114" s="254" t="str">
        <f ca="1"/>
        <v/>
      </c>
      <c r="BB114" s="254" t="str">
        <f ca="1"/>
        <v/>
      </c>
      <c r="BC114" s="254" t="str">
        <f ca="1"/>
        <v/>
      </c>
      <c r="BD114" s="256">
        <f ca="1"/>
        <v>0</v>
      </c>
      <c r="BF114" s="254"/>
      <c r="BG114" s="254"/>
      <c r="BH114" s="254"/>
      <c r="BI114" s="254"/>
      <c r="BJ114" s="243"/>
      <c r="BK114" s="254"/>
      <c r="BL114" s="256"/>
      <c r="BM114" s="46"/>
      <c r="BN114" s="256">
        <f ca="1"/>
        <v>0</v>
      </c>
      <c r="BP114" s="248">
        <f ca="1"/>
        <v>0</v>
      </c>
      <c r="BR114" s="248">
        <f ca="1"/>
        <v>0</v>
      </c>
      <c r="BT114" s="248">
        <f ca="1"/>
        <v>0</v>
      </c>
      <c r="BU114" s="248">
        <f ca="1"/>
        <v>0</v>
      </c>
    </row>
    <row r="115" spans="1:73" ht="16" hidden="1" thickTop="1" thickBot="1">
      <c r="A115" s="1"/>
      <c r="B115" s="1">
        <f t="shared" si="5"/>
        <v>0</v>
      </c>
      <c r="D115" s="98"/>
      <c r="E115" s="239"/>
      <c r="F115" s="243"/>
      <c r="G115" s="243"/>
      <c r="H115" s="243"/>
      <c r="I115" s="243"/>
      <c r="J115" s="243"/>
      <c r="K115" s="243"/>
      <c r="L115" s="366"/>
      <c r="M115" s="46"/>
      <c r="N115" s="243"/>
      <c r="O115" s="243"/>
      <c r="P115" s="243"/>
      <c r="Q115" s="243"/>
      <c r="R115" s="243"/>
      <c r="S115" s="243"/>
      <c r="T115" s="243"/>
      <c r="U115" s="243"/>
      <c r="V115" s="243"/>
      <c r="W115" s="243"/>
      <c r="X115" s="256"/>
      <c r="Y115" s="253"/>
      <c r="Z115" s="254"/>
      <c r="AA115" s="254"/>
      <c r="AB115" s="254"/>
      <c r="AC115" s="254"/>
      <c r="AD115" s="254"/>
      <c r="AE115" s="254"/>
      <c r="AF115" s="254"/>
      <c r="AG115" s="254"/>
      <c r="AH115" s="254"/>
      <c r="AI115" s="254"/>
      <c r="AJ115" s="254"/>
      <c r="AK115" s="254"/>
      <c r="AL115" s="254"/>
      <c r="AM115" s="254"/>
      <c r="AN115" s="254"/>
      <c r="AO115" s="254"/>
      <c r="AP115" s="254"/>
      <c r="AQ115" s="254"/>
      <c r="AR115" s="254"/>
      <c r="AS115" s="254"/>
      <c r="AT115" s="254"/>
      <c r="AU115" s="254"/>
      <c r="AV115" s="254"/>
      <c r="AW115" s="254"/>
      <c r="AX115" s="256"/>
      <c r="AZ115" s="254" t="str">
        <f ca="1"/>
        <v/>
      </c>
      <c r="BA115" s="254" t="str">
        <f ca="1"/>
        <v/>
      </c>
      <c r="BB115" s="254" t="str">
        <f ca="1"/>
        <v/>
      </c>
      <c r="BC115" s="254" t="str">
        <f ca="1"/>
        <v/>
      </c>
      <c r="BD115" s="256">
        <f ca="1"/>
        <v>0</v>
      </c>
      <c r="BF115" s="254"/>
      <c r="BG115" s="254"/>
      <c r="BH115" s="254"/>
      <c r="BI115" s="254"/>
      <c r="BJ115" s="243"/>
      <c r="BK115" s="254"/>
      <c r="BL115" s="256"/>
      <c r="BM115" s="46"/>
      <c r="BN115" s="256">
        <f ca="1"/>
        <v>0</v>
      </c>
      <c r="BP115" s="248">
        <f ca="1"/>
        <v>0</v>
      </c>
      <c r="BR115" s="248">
        <f ca="1"/>
        <v>0</v>
      </c>
      <c r="BT115" s="248">
        <f ca="1"/>
        <v>0</v>
      </c>
      <c r="BU115" s="248">
        <f ca="1"/>
        <v>0</v>
      </c>
    </row>
    <row r="116" spans="1:73" ht="16" hidden="1" thickTop="1" thickBot="1">
      <c r="A116" s="1"/>
      <c r="B116" s="1">
        <f t="shared" si="5"/>
        <v>0</v>
      </c>
      <c r="D116" s="98"/>
      <c r="E116" s="239"/>
      <c r="F116" s="243"/>
      <c r="G116" s="243"/>
      <c r="H116" s="243"/>
      <c r="I116" s="243"/>
      <c r="J116" s="243"/>
      <c r="K116" s="243"/>
      <c r="L116" s="366"/>
      <c r="M116" s="46"/>
      <c r="N116" s="243"/>
      <c r="O116" s="243"/>
      <c r="P116" s="243"/>
      <c r="Q116" s="243"/>
      <c r="R116" s="243"/>
      <c r="S116" s="243"/>
      <c r="T116" s="243"/>
      <c r="U116" s="243"/>
      <c r="V116" s="243"/>
      <c r="W116" s="243"/>
      <c r="X116" s="256"/>
      <c r="Y116" s="253"/>
      <c r="Z116" s="254"/>
      <c r="AA116" s="254"/>
      <c r="AB116" s="254"/>
      <c r="AC116" s="254"/>
      <c r="AD116" s="254"/>
      <c r="AE116" s="254"/>
      <c r="AF116" s="254"/>
      <c r="AG116" s="254"/>
      <c r="AH116" s="254"/>
      <c r="AI116" s="254"/>
      <c r="AJ116" s="254"/>
      <c r="AK116" s="254"/>
      <c r="AL116" s="254"/>
      <c r="AM116" s="254"/>
      <c r="AN116" s="254"/>
      <c r="AO116" s="254"/>
      <c r="AP116" s="254"/>
      <c r="AQ116" s="254"/>
      <c r="AR116" s="254"/>
      <c r="AS116" s="254"/>
      <c r="AT116" s="254"/>
      <c r="AU116" s="254"/>
      <c r="AV116" s="254"/>
      <c r="AW116" s="254"/>
      <c r="AX116" s="256"/>
      <c r="AZ116" s="254" t="str">
        <f ca="1"/>
        <v/>
      </c>
      <c r="BA116" s="254" t="str">
        <f ca="1"/>
        <v/>
      </c>
      <c r="BB116" s="254" t="str">
        <f ca="1"/>
        <v/>
      </c>
      <c r="BC116" s="254" t="str">
        <f ca="1"/>
        <v/>
      </c>
      <c r="BD116" s="256">
        <f ca="1"/>
        <v>0</v>
      </c>
      <c r="BF116" s="254"/>
      <c r="BG116" s="254"/>
      <c r="BH116" s="254"/>
      <c r="BI116" s="254"/>
      <c r="BJ116" s="243"/>
      <c r="BK116" s="254"/>
      <c r="BL116" s="256"/>
      <c r="BM116" s="46"/>
      <c r="BN116" s="256">
        <f ca="1"/>
        <v>0</v>
      </c>
      <c r="BP116" s="248">
        <f ca="1"/>
        <v>0</v>
      </c>
      <c r="BR116" s="248">
        <f ca="1"/>
        <v>0</v>
      </c>
      <c r="BT116" s="248">
        <f ca="1"/>
        <v>0</v>
      </c>
      <c r="BU116" s="248">
        <f ca="1"/>
        <v>0</v>
      </c>
    </row>
    <row r="117" spans="1:73" ht="16" hidden="1" thickTop="1" thickBot="1">
      <c r="A117" s="1"/>
      <c r="B117" s="1">
        <f t="shared" si="5"/>
        <v>0</v>
      </c>
      <c r="D117" s="98"/>
      <c r="E117" s="239"/>
      <c r="F117" s="243"/>
      <c r="G117" s="243"/>
      <c r="H117" s="243"/>
      <c r="I117" s="243"/>
      <c r="J117" s="243"/>
      <c r="K117" s="243"/>
      <c r="L117" s="366"/>
      <c r="M117" s="46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56"/>
      <c r="Y117" s="253"/>
      <c r="Z117" s="254"/>
      <c r="AA117" s="254"/>
      <c r="AB117" s="254"/>
      <c r="AC117" s="254"/>
      <c r="AD117" s="254"/>
      <c r="AE117" s="254"/>
      <c r="AF117" s="254"/>
      <c r="AG117" s="254"/>
      <c r="AH117" s="254"/>
      <c r="AI117" s="254"/>
      <c r="AJ117" s="254"/>
      <c r="AK117" s="254"/>
      <c r="AL117" s="254"/>
      <c r="AM117" s="254"/>
      <c r="AN117" s="254"/>
      <c r="AO117" s="254"/>
      <c r="AP117" s="254"/>
      <c r="AQ117" s="254"/>
      <c r="AR117" s="254"/>
      <c r="AS117" s="254"/>
      <c r="AT117" s="254"/>
      <c r="AU117" s="254"/>
      <c r="AV117" s="254"/>
      <c r="AW117" s="254"/>
      <c r="AX117" s="256"/>
      <c r="AZ117" s="254" t="str">
        <f ca="1"/>
        <v/>
      </c>
      <c r="BA117" s="254" t="str">
        <f ca="1"/>
        <v/>
      </c>
      <c r="BB117" s="254" t="str">
        <f ca="1"/>
        <v/>
      </c>
      <c r="BC117" s="254" t="str">
        <f ca="1"/>
        <v/>
      </c>
      <c r="BD117" s="256">
        <f ca="1"/>
        <v>0</v>
      </c>
      <c r="BF117" s="254"/>
      <c r="BG117" s="254"/>
      <c r="BH117" s="254"/>
      <c r="BI117" s="254"/>
      <c r="BJ117" s="243"/>
      <c r="BK117" s="254"/>
      <c r="BL117" s="256"/>
      <c r="BM117" s="46"/>
      <c r="BN117" s="256">
        <f ca="1"/>
        <v>0</v>
      </c>
      <c r="BP117" s="248">
        <f ca="1"/>
        <v>0</v>
      </c>
      <c r="BR117" s="248">
        <f ca="1"/>
        <v>0</v>
      </c>
      <c r="BT117" s="248">
        <f ca="1"/>
        <v>0</v>
      </c>
      <c r="BU117" s="248">
        <f ca="1"/>
        <v>0</v>
      </c>
    </row>
    <row r="118" spans="1:73" ht="16" hidden="1" thickTop="1" thickBot="1">
      <c r="A118" s="1"/>
      <c r="B118" s="1">
        <f t="shared" si="5"/>
        <v>0</v>
      </c>
      <c r="D118" s="98"/>
      <c r="E118" s="239"/>
      <c r="F118" s="243"/>
      <c r="G118" s="243"/>
      <c r="H118" s="243"/>
      <c r="I118" s="243"/>
      <c r="J118" s="243"/>
      <c r="K118" s="243"/>
      <c r="L118" s="366"/>
      <c r="M118" s="46"/>
      <c r="N118" s="243"/>
      <c r="O118" s="243"/>
      <c r="P118" s="243"/>
      <c r="Q118" s="243"/>
      <c r="R118" s="243"/>
      <c r="S118" s="243"/>
      <c r="T118" s="243"/>
      <c r="U118" s="243"/>
      <c r="V118" s="243"/>
      <c r="W118" s="243"/>
      <c r="X118" s="256"/>
      <c r="Y118" s="253"/>
      <c r="Z118" s="254"/>
      <c r="AA118" s="254"/>
      <c r="AB118" s="254"/>
      <c r="AC118" s="254"/>
      <c r="AD118" s="254"/>
      <c r="AE118" s="254"/>
      <c r="AF118" s="254"/>
      <c r="AG118" s="254"/>
      <c r="AH118" s="254"/>
      <c r="AI118" s="254"/>
      <c r="AJ118" s="254"/>
      <c r="AK118" s="254"/>
      <c r="AL118" s="254"/>
      <c r="AM118" s="254"/>
      <c r="AN118" s="254"/>
      <c r="AO118" s="254"/>
      <c r="AP118" s="254"/>
      <c r="AQ118" s="254"/>
      <c r="AR118" s="254"/>
      <c r="AS118" s="254"/>
      <c r="AT118" s="254"/>
      <c r="AU118" s="254"/>
      <c r="AV118" s="254"/>
      <c r="AW118" s="254"/>
      <c r="AX118" s="256"/>
      <c r="AZ118" s="254" t="str">
        <f ca="1"/>
        <v/>
      </c>
      <c r="BA118" s="254" t="str">
        <f ca="1"/>
        <v/>
      </c>
      <c r="BB118" s="254" t="str">
        <f ca="1"/>
        <v/>
      </c>
      <c r="BC118" s="254" t="str">
        <f ca="1"/>
        <v/>
      </c>
      <c r="BD118" s="256">
        <f ca="1"/>
        <v>0</v>
      </c>
      <c r="BF118" s="254"/>
      <c r="BG118" s="254"/>
      <c r="BH118" s="254"/>
      <c r="BI118" s="254"/>
      <c r="BJ118" s="243"/>
      <c r="BK118" s="254"/>
      <c r="BL118" s="256"/>
      <c r="BM118" s="46"/>
      <c r="BN118" s="256">
        <f ca="1"/>
        <v>0</v>
      </c>
      <c r="BP118" s="248">
        <f ca="1"/>
        <v>0</v>
      </c>
      <c r="BR118" s="248">
        <f ca="1"/>
        <v>0</v>
      </c>
      <c r="BT118" s="248">
        <f ca="1"/>
        <v>0</v>
      </c>
      <c r="BU118" s="248">
        <f ca="1"/>
        <v>0</v>
      </c>
    </row>
    <row r="119" spans="1:73" ht="16" hidden="1" thickTop="1" thickBot="1">
      <c r="A119" s="1"/>
      <c r="B119" s="1">
        <f t="shared" si="5"/>
        <v>0</v>
      </c>
      <c r="D119" s="98"/>
      <c r="E119" s="239"/>
      <c r="F119" s="243"/>
      <c r="G119" s="243"/>
      <c r="H119" s="243"/>
      <c r="I119" s="243"/>
      <c r="J119" s="243"/>
      <c r="K119" s="243"/>
      <c r="L119" s="366"/>
      <c r="M119" s="46"/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56"/>
      <c r="Y119" s="253"/>
      <c r="Z119" s="254"/>
      <c r="AA119" s="254"/>
      <c r="AB119" s="254"/>
      <c r="AC119" s="254"/>
      <c r="AD119" s="254"/>
      <c r="AE119" s="254"/>
      <c r="AF119" s="254"/>
      <c r="AG119" s="254"/>
      <c r="AH119" s="254"/>
      <c r="AI119" s="254"/>
      <c r="AJ119" s="254"/>
      <c r="AK119" s="254"/>
      <c r="AL119" s="254"/>
      <c r="AM119" s="254"/>
      <c r="AN119" s="254"/>
      <c r="AO119" s="254"/>
      <c r="AP119" s="254"/>
      <c r="AQ119" s="254"/>
      <c r="AR119" s="254"/>
      <c r="AS119" s="254"/>
      <c r="AT119" s="254"/>
      <c r="AU119" s="254"/>
      <c r="AV119" s="254"/>
      <c r="AW119" s="254"/>
      <c r="AX119" s="256"/>
      <c r="AZ119" s="254" t="str">
        <f ca="1"/>
        <v/>
      </c>
      <c r="BA119" s="254" t="str">
        <f ca="1"/>
        <v/>
      </c>
      <c r="BB119" s="254" t="str">
        <f ca="1"/>
        <v/>
      </c>
      <c r="BC119" s="254" t="str">
        <f ca="1"/>
        <v/>
      </c>
      <c r="BD119" s="256">
        <f ca="1"/>
        <v>0</v>
      </c>
      <c r="BF119" s="254"/>
      <c r="BG119" s="254"/>
      <c r="BH119" s="254"/>
      <c r="BI119" s="254"/>
      <c r="BJ119" s="243"/>
      <c r="BK119" s="254"/>
      <c r="BL119" s="256"/>
      <c r="BM119" s="46"/>
      <c r="BN119" s="256">
        <f ca="1"/>
        <v>0</v>
      </c>
      <c r="BP119" s="248">
        <f ca="1"/>
        <v>0</v>
      </c>
      <c r="BR119" s="248">
        <f ca="1"/>
        <v>0</v>
      </c>
      <c r="BT119" s="248">
        <f ca="1"/>
        <v>0</v>
      </c>
      <c r="BU119" s="248">
        <f ca="1"/>
        <v>0</v>
      </c>
    </row>
    <row r="120" spans="1:73" ht="16" hidden="1" thickTop="1" thickBot="1">
      <c r="A120" s="1"/>
      <c r="B120" s="1">
        <f t="shared" si="5"/>
        <v>0</v>
      </c>
      <c r="D120" s="98"/>
      <c r="E120" s="239"/>
      <c r="F120" s="243"/>
      <c r="G120" s="243"/>
      <c r="H120" s="243"/>
      <c r="I120" s="243"/>
      <c r="J120" s="243"/>
      <c r="K120" s="243"/>
      <c r="L120" s="366"/>
      <c r="M120" s="46"/>
      <c r="N120" s="243"/>
      <c r="O120" s="243"/>
      <c r="P120" s="243"/>
      <c r="Q120" s="243"/>
      <c r="R120" s="243"/>
      <c r="S120" s="243"/>
      <c r="T120" s="243"/>
      <c r="U120" s="243"/>
      <c r="V120" s="243"/>
      <c r="W120" s="243"/>
      <c r="X120" s="256"/>
      <c r="Y120" s="253"/>
      <c r="Z120" s="254"/>
      <c r="AA120" s="254"/>
      <c r="AB120" s="254"/>
      <c r="AC120" s="254"/>
      <c r="AD120" s="254"/>
      <c r="AE120" s="254"/>
      <c r="AF120" s="254"/>
      <c r="AG120" s="254"/>
      <c r="AH120" s="254"/>
      <c r="AI120" s="254"/>
      <c r="AJ120" s="254"/>
      <c r="AK120" s="254"/>
      <c r="AL120" s="254"/>
      <c r="AM120" s="254"/>
      <c r="AN120" s="254"/>
      <c r="AO120" s="254"/>
      <c r="AP120" s="254"/>
      <c r="AQ120" s="254"/>
      <c r="AR120" s="254"/>
      <c r="AS120" s="254"/>
      <c r="AT120" s="254"/>
      <c r="AU120" s="254"/>
      <c r="AV120" s="254"/>
      <c r="AW120" s="254"/>
      <c r="AX120" s="256"/>
      <c r="AZ120" s="254" t="str">
        <f ca="1"/>
        <v/>
      </c>
      <c r="BA120" s="254" t="str">
        <f ca="1"/>
        <v/>
      </c>
      <c r="BB120" s="254" t="str">
        <f ca="1"/>
        <v/>
      </c>
      <c r="BC120" s="254" t="str">
        <f ca="1"/>
        <v/>
      </c>
      <c r="BD120" s="256">
        <f ca="1"/>
        <v>0</v>
      </c>
      <c r="BF120" s="254"/>
      <c r="BG120" s="254"/>
      <c r="BH120" s="254"/>
      <c r="BI120" s="254"/>
      <c r="BJ120" s="243"/>
      <c r="BK120" s="254"/>
      <c r="BL120" s="256"/>
      <c r="BM120" s="46"/>
      <c r="BN120" s="256">
        <f ca="1"/>
        <v>0</v>
      </c>
      <c r="BP120" s="248">
        <f ca="1"/>
        <v>0</v>
      </c>
      <c r="BR120" s="248">
        <f ca="1"/>
        <v>0</v>
      </c>
      <c r="BT120" s="248">
        <f ca="1"/>
        <v>0</v>
      </c>
      <c r="BU120" s="248">
        <f ca="1"/>
        <v>0</v>
      </c>
    </row>
    <row r="121" spans="1:73" ht="16" hidden="1" thickTop="1" thickBot="1">
      <c r="A121" s="1"/>
      <c r="B121" s="1">
        <f t="shared" si="5"/>
        <v>0</v>
      </c>
      <c r="D121" s="98"/>
      <c r="E121" s="239"/>
      <c r="F121" s="243"/>
      <c r="G121" s="243"/>
      <c r="H121" s="243"/>
      <c r="I121" s="243"/>
      <c r="J121" s="243"/>
      <c r="K121" s="243"/>
      <c r="L121" s="366"/>
      <c r="M121" s="46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56"/>
      <c r="Y121" s="253"/>
      <c r="Z121" s="254"/>
      <c r="AA121" s="254"/>
      <c r="AB121" s="254"/>
      <c r="AC121" s="254"/>
      <c r="AD121" s="254"/>
      <c r="AE121" s="254"/>
      <c r="AF121" s="254"/>
      <c r="AG121" s="254"/>
      <c r="AH121" s="254"/>
      <c r="AI121" s="254"/>
      <c r="AJ121" s="254"/>
      <c r="AK121" s="254"/>
      <c r="AL121" s="254"/>
      <c r="AM121" s="254"/>
      <c r="AN121" s="254"/>
      <c r="AO121" s="254"/>
      <c r="AP121" s="254"/>
      <c r="AQ121" s="254"/>
      <c r="AR121" s="254"/>
      <c r="AS121" s="254"/>
      <c r="AT121" s="254"/>
      <c r="AU121" s="254"/>
      <c r="AV121" s="254"/>
      <c r="AW121" s="254"/>
      <c r="AX121" s="256"/>
      <c r="AZ121" s="254" t="str">
        <f ca="1"/>
        <v/>
      </c>
      <c r="BA121" s="254" t="str">
        <f ca="1"/>
        <v/>
      </c>
      <c r="BB121" s="254" t="str">
        <f ca="1"/>
        <v/>
      </c>
      <c r="BC121" s="254" t="str">
        <f ca="1"/>
        <v/>
      </c>
      <c r="BD121" s="256">
        <f ca="1"/>
        <v>0</v>
      </c>
      <c r="BF121" s="254"/>
      <c r="BG121" s="254"/>
      <c r="BH121" s="254"/>
      <c r="BI121" s="254"/>
      <c r="BJ121" s="243"/>
      <c r="BK121" s="254"/>
      <c r="BL121" s="256"/>
      <c r="BM121" s="46"/>
      <c r="BN121" s="256">
        <f ca="1"/>
        <v>0</v>
      </c>
      <c r="BP121" s="248">
        <f ca="1"/>
        <v>0</v>
      </c>
      <c r="BR121" s="248">
        <f ca="1"/>
        <v>0</v>
      </c>
      <c r="BT121" s="248">
        <f ca="1"/>
        <v>0</v>
      </c>
      <c r="BU121" s="248">
        <f ca="1"/>
        <v>0</v>
      </c>
    </row>
    <row r="122" spans="1:73" ht="16" hidden="1" thickTop="1" thickBot="1">
      <c r="A122" s="1"/>
      <c r="B122" s="1">
        <f t="shared" si="5"/>
        <v>0</v>
      </c>
      <c r="D122" s="98"/>
      <c r="E122" s="239"/>
      <c r="F122" s="243"/>
      <c r="G122" s="243"/>
      <c r="H122" s="243"/>
      <c r="I122" s="243"/>
      <c r="J122" s="243"/>
      <c r="K122" s="243"/>
      <c r="L122" s="366"/>
      <c r="M122" s="46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56"/>
      <c r="Y122" s="253"/>
      <c r="Z122" s="254"/>
      <c r="AA122" s="254"/>
      <c r="AB122" s="254"/>
      <c r="AC122" s="254"/>
      <c r="AD122" s="254"/>
      <c r="AE122" s="254"/>
      <c r="AF122" s="254"/>
      <c r="AG122" s="254"/>
      <c r="AH122" s="254"/>
      <c r="AI122" s="254"/>
      <c r="AJ122" s="254"/>
      <c r="AK122" s="254"/>
      <c r="AL122" s="254"/>
      <c r="AM122" s="254"/>
      <c r="AN122" s="254"/>
      <c r="AO122" s="254"/>
      <c r="AP122" s="254"/>
      <c r="AQ122" s="254"/>
      <c r="AR122" s="254"/>
      <c r="AS122" s="254"/>
      <c r="AT122" s="254"/>
      <c r="AU122" s="254"/>
      <c r="AV122" s="254"/>
      <c r="AW122" s="254"/>
      <c r="AX122" s="256"/>
      <c r="AZ122" s="254" t="str">
        <f ca="1"/>
        <v/>
      </c>
      <c r="BA122" s="254" t="str">
        <f ca="1"/>
        <v/>
      </c>
      <c r="BB122" s="254" t="str">
        <f ca="1"/>
        <v/>
      </c>
      <c r="BC122" s="254" t="str">
        <f ca="1"/>
        <v/>
      </c>
      <c r="BD122" s="256">
        <f ca="1"/>
        <v>0</v>
      </c>
      <c r="BF122" s="254"/>
      <c r="BG122" s="254"/>
      <c r="BH122" s="254"/>
      <c r="BI122" s="254"/>
      <c r="BJ122" s="243"/>
      <c r="BK122" s="254"/>
      <c r="BL122" s="256"/>
      <c r="BM122" s="46"/>
      <c r="BN122" s="256">
        <f ca="1"/>
        <v>0</v>
      </c>
      <c r="BP122" s="248">
        <f ca="1"/>
        <v>0</v>
      </c>
      <c r="BR122" s="248">
        <f ca="1"/>
        <v>0</v>
      </c>
      <c r="BT122" s="248">
        <f ca="1"/>
        <v>0</v>
      </c>
      <c r="BU122" s="248">
        <f ca="1"/>
        <v>0</v>
      </c>
    </row>
    <row r="123" spans="1:73" ht="16" hidden="1" thickTop="1" thickBot="1">
      <c r="A123" s="1"/>
      <c r="B123" s="1">
        <f t="shared" si="5"/>
        <v>0</v>
      </c>
      <c r="D123" s="98"/>
      <c r="E123" s="239"/>
      <c r="F123" s="243"/>
      <c r="G123" s="243"/>
      <c r="H123" s="243"/>
      <c r="I123" s="243"/>
      <c r="J123" s="243"/>
      <c r="K123" s="243"/>
      <c r="L123" s="366"/>
      <c r="M123" s="46"/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56"/>
      <c r="Y123" s="253"/>
      <c r="Z123" s="254"/>
      <c r="AA123" s="254"/>
      <c r="AB123" s="254"/>
      <c r="AC123" s="254"/>
      <c r="AD123" s="254"/>
      <c r="AE123" s="254"/>
      <c r="AF123" s="254"/>
      <c r="AG123" s="254"/>
      <c r="AH123" s="254"/>
      <c r="AI123" s="254"/>
      <c r="AJ123" s="254"/>
      <c r="AK123" s="254"/>
      <c r="AL123" s="254"/>
      <c r="AM123" s="254"/>
      <c r="AN123" s="254"/>
      <c r="AO123" s="254"/>
      <c r="AP123" s="254"/>
      <c r="AQ123" s="254"/>
      <c r="AR123" s="254"/>
      <c r="AS123" s="254"/>
      <c r="AT123" s="254"/>
      <c r="AU123" s="254"/>
      <c r="AV123" s="254"/>
      <c r="AW123" s="254"/>
      <c r="AX123" s="256"/>
      <c r="AZ123" s="254" t="str">
        <f ca="1"/>
        <v/>
      </c>
      <c r="BA123" s="254" t="str">
        <f ca="1"/>
        <v/>
      </c>
      <c r="BB123" s="254" t="str">
        <f ca="1"/>
        <v/>
      </c>
      <c r="BC123" s="254" t="str">
        <f ca="1"/>
        <v/>
      </c>
      <c r="BD123" s="256">
        <f ca="1"/>
        <v>0</v>
      </c>
      <c r="BF123" s="254"/>
      <c r="BG123" s="254"/>
      <c r="BH123" s="254"/>
      <c r="BI123" s="254"/>
      <c r="BJ123" s="243"/>
      <c r="BK123" s="254"/>
      <c r="BL123" s="256"/>
      <c r="BM123" s="46"/>
      <c r="BN123" s="256">
        <f ca="1"/>
        <v>0</v>
      </c>
      <c r="BP123" s="248">
        <f ca="1"/>
        <v>0</v>
      </c>
      <c r="BR123" s="248">
        <f ca="1"/>
        <v>0</v>
      </c>
      <c r="BT123" s="248">
        <f ca="1"/>
        <v>0</v>
      </c>
      <c r="BU123" s="248">
        <f ca="1"/>
        <v>0</v>
      </c>
    </row>
    <row r="124" spans="1:73" ht="16" hidden="1" thickTop="1" thickBot="1">
      <c r="A124" s="1"/>
      <c r="B124" s="1">
        <f t="shared" si="5"/>
        <v>0</v>
      </c>
      <c r="D124" s="98"/>
      <c r="E124" s="239"/>
      <c r="F124" s="243"/>
      <c r="G124" s="243"/>
      <c r="H124" s="243"/>
      <c r="I124" s="243"/>
      <c r="J124" s="243"/>
      <c r="K124" s="243"/>
      <c r="L124" s="366"/>
      <c r="M124" s="46"/>
      <c r="N124" s="243"/>
      <c r="O124" s="243"/>
      <c r="P124" s="243"/>
      <c r="Q124" s="243"/>
      <c r="R124" s="243"/>
      <c r="S124" s="243"/>
      <c r="T124" s="243"/>
      <c r="U124" s="243"/>
      <c r="V124" s="243"/>
      <c r="W124" s="243"/>
      <c r="X124" s="256"/>
      <c r="Y124" s="253"/>
      <c r="Z124" s="254"/>
      <c r="AA124" s="254"/>
      <c r="AB124" s="254"/>
      <c r="AC124" s="254"/>
      <c r="AD124" s="254"/>
      <c r="AE124" s="254"/>
      <c r="AF124" s="254"/>
      <c r="AG124" s="254"/>
      <c r="AH124" s="254"/>
      <c r="AI124" s="254"/>
      <c r="AJ124" s="254"/>
      <c r="AK124" s="254"/>
      <c r="AL124" s="254"/>
      <c r="AM124" s="254"/>
      <c r="AN124" s="254"/>
      <c r="AO124" s="254"/>
      <c r="AP124" s="254"/>
      <c r="AQ124" s="254"/>
      <c r="AR124" s="254"/>
      <c r="AS124" s="254"/>
      <c r="AT124" s="254"/>
      <c r="AU124" s="254"/>
      <c r="AV124" s="254"/>
      <c r="AW124" s="254"/>
      <c r="AX124" s="256"/>
      <c r="AZ124" s="254" t="str">
        <f ca="1"/>
        <v/>
      </c>
      <c r="BA124" s="254" t="str">
        <f ca="1"/>
        <v/>
      </c>
      <c r="BB124" s="254" t="str">
        <f ca="1"/>
        <v/>
      </c>
      <c r="BC124" s="254" t="str">
        <f ca="1"/>
        <v/>
      </c>
      <c r="BD124" s="256">
        <f ca="1"/>
        <v>0</v>
      </c>
      <c r="BF124" s="254"/>
      <c r="BG124" s="254"/>
      <c r="BH124" s="254"/>
      <c r="BI124" s="254"/>
      <c r="BJ124" s="243"/>
      <c r="BK124" s="254"/>
      <c r="BL124" s="256"/>
      <c r="BM124" s="46"/>
      <c r="BN124" s="256">
        <f ca="1"/>
        <v>0</v>
      </c>
      <c r="BP124" s="248">
        <f ca="1"/>
        <v>0</v>
      </c>
      <c r="BR124" s="248">
        <f ca="1"/>
        <v>0</v>
      </c>
      <c r="BT124" s="248">
        <f ca="1"/>
        <v>0</v>
      </c>
      <c r="BU124" s="248">
        <f ca="1"/>
        <v>0</v>
      </c>
    </row>
    <row r="125" spans="1:73" ht="16" hidden="1" thickTop="1" thickBot="1">
      <c r="A125" s="1"/>
      <c r="B125" s="1">
        <f t="shared" si="5"/>
        <v>0</v>
      </c>
      <c r="D125" s="98"/>
      <c r="E125" s="239"/>
      <c r="F125" s="243"/>
      <c r="G125" s="243"/>
      <c r="H125" s="243"/>
      <c r="I125" s="243"/>
      <c r="J125" s="243"/>
      <c r="K125" s="243"/>
      <c r="L125" s="366"/>
      <c r="M125" s="46"/>
      <c r="N125" s="243"/>
      <c r="O125" s="243"/>
      <c r="P125" s="243"/>
      <c r="Q125" s="243"/>
      <c r="R125" s="243"/>
      <c r="S125" s="243"/>
      <c r="T125" s="243"/>
      <c r="U125" s="243"/>
      <c r="V125" s="243"/>
      <c r="W125" s="243"/>
      <c r="X125" s="256"/>
      <c r="Y125" s="253"/>
      <c r="Z125" s="254"/>
      <c r="AA125" s="254"/>
      <c r="AB125" s="254"/>
      <c r="AC125" s="254"/>
      <c r="AD125" s="254"/>
      <c r="AE125" s="254"/>
      <c r="AF125" s="254"/>
      <c r="AG125" s="254"/>
      <c r="AH125" s="254"/>
      <c r="AI125" s="254"/>
      <c r="AJ125" s="254"/>
      <c r="AK125" s="254"/>
      <c r="AL125" s="254"/>
      <c r="AM125" s="254"/>
      <c r="AN125" s="254"/>
      <c r="AO125" s="254"/>
      <c r="AP125" s="254"/>
      <c r="AQ125" s="254"/>
      <c r="AR125" s="254"/>
      <c r="AS125" s="254"/>
      <c r="AT125" s="254"/>
      <c r="AU125" s="254"/>
      <c r="AV125" s="254"/>
      <c r="AW125" s="254"/>
      <c r="AX125" s="256"/>
      <c r="AZ125" s="254" t="str">
        <f ca="1"/>
        <v/>
      </c>
      <c r="BA125" s="254" t="str">
        <f ca="1"/>
        <v/>
      </c>
      <c r="BB125" s="254" t="str">
        <f ca="1"/>
        <v/>
      </c>
      <c r="BC125" s="254" t="str">
        <f ca="1"/>
        <v/>
      </c>
      <c r="BD125" s="256">
        <f ca="1"/>
        <v>0</v>
      </c>
      <c r="BF125" s="254"/>
      <c r="BG125" s="254"/>
      <c r="BH125" s="254"/>
      <c r="BI125" s="254"/>
      <c r="BJ125" s="243"/>
      <c r="BK125" s="254"/>
      <c r="BL125" s="256"/>
      <c r="BM125" s="46"/>
      <c r="BN125" s="256">
        <f ca="1"/>
        <v>0</v>
      </c>
      <c r="BP125" s="248">
        <f ca="1"/>
        <v>0</v>
      </c>
      <c r="BR125" s="248">
        <f ca="1"/>
        <v>0</v>
      </c>
      <c r="BT125" s="248">
        <f ca="1"/>
        <v>0</v>
      </c>
      <c r="BU125" s="248">
        <f ca="1"/>
        <v>0</v>
      </c>
    </row>
    <row r="126" spans="1:73" ht="16" hidden="1" thickTop="1" thickBot="1">
      <c r="A126" s="1"/>
      <c r="B126" s="1">
        <f t="shared" si="5"/>
        <v>0</v>
      </c>
      <c r="D126" s="98"/>
      <c r="E126" s="239"/>
      <c r="F126" s="243"/>
      <c r="G126" s="243"/>
      <c r="H126" s="243"/>
      <c r="I126" s="243"/>
      <c r="J126" s="243"/>
      <c r="K126" s="243"/>
      <c r="L126" s="366"/>
      <c r="M126" s="46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56"/>
      <c r="Y126" s="253"/>
      <c r="Z126" s="254"/>
      <c r="AA126" s="254"/>
      <c r="AB126" s="254"/>
      <c r="AC126" s="254"/>
      <c r="AD126" s="254"/>
      <c r="AE126" s="254"/>
      <c r="AF126" s="254"/>
      <c r="AG126" s="254"/>
      <c r="AH126" s="254"/>
      <c r="AI126" s="254"/>
      <c r="AJ126" s="254"/>
      <c r="AK126" s="254"/>
      <c r="AL126" s="254"/>
      <c r="AM126" s="254"/>
      <c r="AN126" s="254"/>
      <c r="AO126" s="254"/>
      <c r="AP126" s="254"/>
      <c r="AQ126" s="254"/>
      <c r="AR126" s="254"/>
      <c r="AS126" s="254"/>
      <c r="AT126" s="254"/>
      <c r="AU126" s="254"/>
      <c r="AV126" s="254"/>
      <c r="AW126" s="254"/>
      <c r="AX126" s="256"/>
      <c r="AZ126" s="254" t="str">
        <f ca="1"/>
        <v/>
      </c>
      <c r="BA126" s="254" t="str">
        <f ca="1"/>
        <v/>
      </c>
      <c r="BB126" s="254" t="str">
        <f ca="1"/>
        <v/>
      </c>
      <c r="BC126" s="254" t="str">
        <f ca="1"/>
        <v/>
      </c>
      <c r="BD126" s="256">
        <f ca="1"/>
        <v>0</v>
      </c>
      <c r="BF126" s="254"/>
      <c r="BG126" s="254"/>
      <c r="BH126" s="254"/>
      <c r="BI126" s="254"/>
      <c r="BJ126" s="243"/>
      <c r="BK126" s="254"/>
      <c r="BL126" s="256"/>
      <c r="BM126" s="46"/>
      <c r="BN126" s="256">
        <f ca="1"/>
        <v>0</v>
      </c>
      <c r="BP126" s="248">
        <f ca="1"/>
        <v>0</v>
      </c>
      <c r="BR126" s="248">
        <f ca="1"/>
        <v>0</v>
      </c>
      <c r="BT126" s="248">
        <f ca="1"/>
        <v>0</v>
      </c>
      <c r="BU126" s="248">
        <f ca="1"/>
        <v>0</v>
      </c>
    </row>
    <row r="127" spans="1:73" ht="16" hidden="1" thickTop="1" thickBot="1">
      <c r="A127" s="1"/>
      <c r="B127" s="1">
        <f t="shared" si="5"/>
        <v>0</v>
      </c>
      <c r="D127" s="98"/>
      <c r="E127" s="239"/>
      <c r="F127" s="243"/>
      <c r="G127" s="243"/>
      <c r="H127" s="243"/>
      <c r="I127" s="243"/>
      <c r="J127" s="243"/>
      <c r="K127" s="243"/>
      <c r="L127" s="366"/>
      <c r="M127" s="46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56"/>
      <c r="Y127" s="253"/>
      <c r="Z127" s="254"/>
      <c r="AA127" s="254"/>
      <c r="AB127" s="254"/>
      <c r="AC127" s="254"/>
      <c r="AD127" s="254"/>
      <c r="AE127" s="254"/>
      <c r="AF127" s="254"/>
      <c r="AG127" s="254"/>
      <c r="AH127" s="254"/>
      <c r="AI127" s="254"/>
      <c r="AJ127" s="254"/>
      <c r="AK127" s="254"/>
      <c r="AL127" s="254"/>
      <c r="AM127" s="254"/>
      <c r="AN127" s="254"/>
      <c r="AO127" s="254"/>
      <c r="AP127" s="254"/>
      <c r="AQ127" s="254"/>
      <c r="AR127" s="254"/>
      <c r="AS127" s="254"/>
      <c r="AT127" s="254"/>
      <c r="AU127" s="254"/>
      <c r="AV127" s="254"/>
      <c r="AW127" s="254"/>
      <c r="AX127" s="256"/>
      <c r="AZ127" s="254" t="str">
        <f ca="1"/>
        <v/>
      </c>
      <c r="BA127" s="254" t="str">
        <f ca="1"/>
        <v/>
      </c>
      <c r="BB127" s="254" t="str">
        <f ca="1"/>
        <v/>
      </c>
      <c r="BC127" s="254" t="str">
        <f ca="1"/>
        <v/>
      </c>
      <c r="BD127" s="256">
        <f ca="1"/>
        <v>0</v>
      </c>
      <c r="BF127" s="254"/>
      <c r="BG127" s="254"/>
      <c r="BH127" s="254"/>
      <c r="BI127" s="254"/>
      <c r="BJ127" s="243"/>
      <c r="BK127" s="254"/>
      <c r="BL127" s="256"/>
      <c r="BM127" s="46"/>
      <c r="BN127" s="256">
        <f ca="1"/>
        <v>0</v>
      </c>
      <c r="BP127" s="248">
        <f ca="1"/>
        <v>0</v>
      </c>
      <c r="BR127" s="248">
        <f ca="1"/>
        <v>0</v>
      </c>
      <c r="BT127" s="248">
        <f ca="1"/>
        <v>0</v>
      </c>
      <c r="BU127" s="248">
        <f ca="1"/>
        <v>0</v>
      </c>
    </row>
    <row r="128" spans="1:73" ht="16" hidden="1" thickTop="1" thickBot="1">
      <c r="A128" s="1"/>
      <c r="B128" s="1">
        <f t="shared" si="5"/>
        <v>0</v>
      </c>
      <c r="D128" s="98"/>
      <c r="E128" s="239"/>
      <c r="F128" s="243"/>
      <c r="G128" s="243"/>
      <c r="H128" s="243"/>
      <c r="I128" s="243"/>
      <c r="J128" s="243"/>
      <c r="K128" s="243"/>
      <c r="L128" s="366"/>
      <c r="M128" s="46"/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56"/>
      <c r="Y128" s="253"/>
      <c r="Z128" s="254"/>
      <c r="AA128" s="254"/>
      <c r="AB128" s="254"/>
      <c r="AC128" s="254"/>
      <c r="AD128" s="254"/>
      <c r="AE128" s="254"/>
      <c r="AF128" s="254"/>
      <c r="AG128" s="254"/>
      <c r="AH128" s="254"/>
      <c r="AI128" s="254"/>
      <c r="AJ128" s="254"/>
      <c r="AK128" s="254"/>
      <c r="AL128" s="254"/>
      <c r="AM128" s="254"/>
      <c r="AN128" s="254"/>
      <c r="AO128" s="254"/>
      <c r="AP128" s="254"/>
      <c r="AQ128" s="254"/>
      <c r="AR128" s="254"/>
      <c r="AS128" s="254"/>
      <c r="AT128" s="254"/>
      <c r="AU128" s="254"/>
      <c r="AV128" s="254"/>
      <c r="AW128" s="254"/>
      <c r="AX128" s="256"/>
      <c r="AZ128" s="254" t="str">
        <f ca="1"/>
        <v/>
      </c>
      <c r="BA128" s="254" t="str">
        <f ca="1"/>
        <v/>
      </c>
      <c r="BB128" s="254" t="str">
        <f ca="1"/>
        <v/>
      </c>
      <c r="BC128" s="254" t="str">
        <f ca="1"/>
        <v/>
      </c>
      <c r="BD128" s="256">
        <f ca="1"/>
        <v>0</v>
      </c>
      <c r="BF128" s="254"/>
      <c r="BG128" s="254"/>
      <c r="BH128" s="254"/>
      <c r="BI128" s="254"/>
      <c r="BJ128" s="243"/>
      <c r="BK128" s="254"/>
      <c r="BL128" s="256"/>
      <c r="BM128" s="46"/>
      <c r="BN128" s="256">
        <f ca="1"/>
        <v>0</v>
      </c>
      <c r="BP128" s="248">
        <f ca="1"/>
        <v>0</v>
      </c>
      <c r="BR128" s="248">
        <f ca="1"/>
        <v>0</v>
      </c>
      <c r="BT128" s="248">
        <f ca="1"/>
        <v>0</v>
      </c>
      <c r="BU128" s="248">
        <f ca="1"/>
        <v>0</v>
      </c>
    </row>
    <row r="129" spans="1:73" ht="16" hidden="1" thickTop="1" thickBot="1">
      <c r="A129" s="1"/>
      <c r="B129" s="1">
        <f t="shared" si="5"/>
        <v>0</v>
      </c>
      <c r="D129" s="98"/>
      <c r="E129" s="239"/>
      <c r="F129" s="243"/>
      <c r="G129" s="243"/>
      <c r="H129" s="243"/>
      <c r="I129" s="243"/>
      <c r="J129" s="243"/>
      <c r="K129" s="243"/>
      <c r="L129" s="366"/>
      <c r="M129" s="46"/>
      <c r="N129" s="243"/>
      <c r="O129" s="243"/>
      <c r="P129" s="243"/>
      <c r="Q129" s="243"/>
      <c r="R129" s="243"/>
      <c r="S129" s="243"/>
      <c r="T129" s="243"/>
      <c r="U129" s="243"/>
      <c r="V129" s="243"/>
      <c r="W129" s="243"/>
      <c r="X129" s="256"/>
      <c r="Y129" s="253"/>
      <c r="Z129" s="254"/>
      <c r="AA129" s="254"/>
      <c r="AB129" s="254"/>
      <c r="AC129" s="254"/>
      <c r="AD129" s="254"/>
      <c r="AE129" s="254"/>
      <c r="AF129" s="254"/>
      <c r="AG129" s="254"/>
      <c r="AH129" s="254"/>
      <c r="AI129" s="254"/>
      <c r="AJ129" s="254"/>
      <c r="AK129" s="254"/>
      <c r="AL129" s="254"/>
      <c r="AM129" s="254"/>
      <c r="AN129" s="254"/>
      <c r="AO129" s="254"/>
      <c r="AP129" s="254"/>
      <c r="AQ129" s="254"/>
      <c r="AR129" s="254"/>
      <c r="AS129" s="254"/>
      <c r="AT129" s="254"/>
      <c r="AU129" s="254"/>
      <c r="AV129" s="254"/>
      <c r="AW129" s="254"/>
      <c r="AX129" s="256"/>
      <c r="AZ129" s="254" t="str">
        <f ca="1"/>
        <v/>
      </c>
      <c r="BA129" s="254" t="str">
        <f ca="1"/>
        <v/>
      </c>
      <c r="BB129" s="254" t="str">
        <f ca="1"/>
        <v/>
      </c>
      <c r="BC129" s="254" t="str">
        <f ca="1"/>
        <v/>
      </c>
      <c r="BD129" s="256">
        <f ca="1"/>
        <v>0</v>
      </c>
      <c r="BF129" s="254"/>
      <c r="BG129" s="254"/>
      <c r="BH129" s="254"/>
      <c r="BI129" s="254"/>
      <c r="BJ129" s="243"/>
      <c r="BK129" s="254"/>
      <c r="BL129" s="256"/>
      <c r="BM129" s="46"/>
      <c r="BN129" s="256">
        <f ca="1"/>
        <v>0</v>
      </c>
      <c r="BP129" s="248">
        <f ca="1"/>
        <v>0</v>
      </c>
      <c r="BR129" s="248">
        <f ca="1"/>
        <v>0</v>
      </c>
      <c r="BT129" s="248">
        <f ca="1"/>
        <v>0</v>
      </c>
      <c r="BU129" s="248">
        <f ca="1"/>
        <v>0</v>
      </c>
    </row>
    <row r="130" spans="1:73" ht="16" hidden="1" thickTop="1" thickBot="1">
      <c r="A130" s="1"/>
      <c r="B130" s="1">
        <f t="shared" si="5"/>
        <v>0</v>
      </c>
      <c r="D130" s="98"/>
      <c r="E130" s="239"/>
      <c r="F130" s="243"/>
      <c r="G130" s="243"/>
      <c r="H130" s="243"/>
      <c r="I130" s="243"/>
      <c r="J130" s="243"/>
      <c r="K130" s="243"/>
      <c r="L130" s="366"/>
      <c r="M130" s="46"/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56"/>
      <c r="Y130" s="253"/>
      <c r="Z130" s="254"/>
      <c r="AA130" s="254"/>
      <c r="AB130" s="254"/>
      <c r="AC130" s="254"/>
      <c r="AD130" s="254"/>
      <c r="AE130" s="254"/>
      <c r="AF130" s="254"/>
      <c r="AG130" s="254"/>
      <c r="AH130" s="254"/>
      <c r="AI130" s="254"/>
      <c r="AJ130" s="254"/>
      <c r="AK130" s="254"/>
      <c r="AL130" s="254"/>
      <c r="AM130" s="254"/>
      <c r="AN130" s="254"/>
      <c r="AO130" s="254"/>
      <c r="AP130" s="254"/>
      <c r="AQ130" s="254"/>
      <c r="AR130" s="254"/>
      <c r="AS130" s="254"/>
      <c r="AT130" s="254"/>
      <c r="AU130" s="254"/>
      <c r="AV130" s="254"/>
      <c r="AW130" s="254"/>
      <c r="AX130" s="256"/>
      <c r="AZ130" s="254" t="str">
        <f ca="1"/>
        <v/>
      </c>
      <c r="BA130" s="254" t="str">
        <f ca="1"/>
        <v/>
      </c>
      <c r="BB130" s="254" t="str">
        <f ca="1"/>
        <v/>
      </c>
      <c r="BC130" s="254" t="str">
        <f ca="1"/>
        <v/>
      </c>
      <c r="BD130" s="256">
        <f ca="1"/>
        <v>0</v>
      </c>
      <c r="BF130" s="254"/>
      <c r="BG130" s="254"/>
      <c r="BH130" s="254"/>
      <c r="BI130" s="254"/>
      <c r="BJ130" s="243"/>
      <c r="BK130" s="254"/>
      <c r="BL130" s="256"/>
      <c r="BM130" s="46"/>
      <c r="BN130" s="256">
        <f ca="1"/>
        <v>0</v>
      </c>
      <c r="BP130" s="248">
        <f ca="1"/>
        <v>0</v>
      </c>
      <c r="BR130" s="248">
        <f ca="1"/>
        <v>0</v>
      </c>
      <c r="BT130" s="248">
        <f ca="1"/>
        <v>0</v>
      </c>
      <c r="BU130" s="248">
        <f ca="1"/>
        <v>0</v>
      </c>
    </row>
    <row r="131" spans="1:73" ht="16" hidden="1" thickTop="1" thickBot="1">
      <c r="A131" s="1"/>
      <c r="B131" s="1">
        <f t="shared" si="5"/>
        <v>0</v>
      </c>
      <c r="D131" s="98"/>
      <c r="E131" s="239"/>
      <c r="F131" s="243"/>
      <c r="G131" s="243"/>
      <c r="H131" s="243"/>
      <c r="I131" s="243"/>
      <c r="J131" s="243"/>
      <c r="K131" s="243"/>
      <c r="L131" s="366"/>
      <c r="M131" s="46"/>
      <c r="N131" s="243"/>
      <c r="O131" s="243"/>
      <c r="P131" s="243"/>
      <c r="Q131" s="243"/>
      <c r="R131" s="243"/>
      <c r="S131" s="243"/>
      <c r="T131" s="243"/>
      <c r="U131" s="243"/>
      <c r="V131" s="243"/>
      <c r="W131" s="243"/>
      <c r="X131" s="256"/>
      <c r="Y131" s="253"/>
      <c r="Z131" s="254"/>
      <c r="AA131" s="254"/>
      <c r="AB131" s="254"/>
      <c r="AC131" s="254"/>
      <c r="AD131" s="254"/>
      <c r="AE131" s="254"/>
      <c r="AF131" s="254"/>
      <c r="AG131" s="254"/>
      <c r="AH131" s="254"/>
      <c r="AI131" s="254"/>
      <c r="AJ131" s="254"/>
      <c r="AK131" s="254"/>
      <c r="AL131" s="254"/>
      <c r="AM131" s="254"/>
      <c r="AN131" s="254"/>
      <c r="AO131" s="254"/>
      <c r="AP131" s="254"/>
      <c r="AQ131" s="254"/>
      <c r="AR131" s="254"/>
      <c r="AS131" s="254"/>
      <c r="AT131" s="254"/>
      <c r="AU131" s="254"/>
      <c r="AV131" s="254"/>
      <c r="AW131" s="254"/>
      <c r="AX131" s="256"/>
      <c r="AZ131" s="254" t="str">
        <f ca="1"/>
        <v/>
      </c>
      <c r="BA131" s="254" t="str">
        <f ca="1"/>
        <v/>
      </c>
      <c r="BB131" s="254" t="str">
        <f ca="1"/>
        <v/>
      </c>
      <c r="BC131" s="254" t="str">
        <f ca="1"/>
        <v/>
      </c>
      <c r="BD131" s="256">
        <f ca="1"/>
        <v>0</v>
      </c>
      <c r="BF131" s="254"/>
      <c r="BG131" s="254"/>
      <c r="BH131" s="254"/>
      <c r="BI131" s="254"/>
      <c r="BJ131" s="243"/>
      <c r="BK131" s="254"/>
      <c r="BL131" s="256"/>
      <c r="BM131" s="46"/>
      <c r="BN131" s="256">
        <f ca="1"/>
        <v>0</v>
      </c>
      <c r="BP131" s="248">
        <f ca="1"/>
        <v>0</v>
      </c>
      <c r="BR131" s="248">
        <f ca="1"/>
        <v>0</v>
      </c>
      <c r="BT131" s="248">
        <f ca="1"/>
        <v>0</v>
      </c>
      <c r="BU131" s="248">
        <f ca="1"/>
        <v>0</v>
      </c>
    </row>
    <row r="132" spans="1:73" ht="16" hidden="1" thickTop="1" thickBot="1">
      <c r="A132" s="1"/>
      <c r="B132" s="1">
        <f t="shared" si="5"/>
        <v>0</v>
      </c>
      <c r="D132" s="98"/>
      <c r="E132" s="239"/>
      <c r="F132" s="243"/>
      <c r="G132" s="243"/>
      <c r="H132" s="243"/>
      <c r="I132" s="243"/>
      <c r="J132" s="243"/>
      <c r="K132" s="243"/>
      <c r="L132" s="366"/>
      <c r="M132" s="46"/>
      <c r="N132" s="243"/>
      <c r="O132" s="243"/>
      <c r="P132" s="243"/>
      <c r="Q132" s="243"/>
      <c r="R132" s="243"/>
      <c r="S132" s="243"/>
      <c r="T132" s="243"/>
      <c r="U132" s="243"/>
      <c r="V132" s="243"/>
      <c r="W132" s="243"/>
      <c r="X132" s="256"/>
      <c r="Y132" s="253"/>
      <c r="Z132" s="254"/>
      <c r="AA132" s="254"/>
      <c r="AB132" s="254"/>
      <c r="AC132" s="254"/>
      <c r="AD132" s="254"/>
      <c r="AE132" s="254"/>
      <c r="AF132" s="254"/>
      <c r="AG132" s="254"/>
      <c r="AH132" s="254"/>
      <c r="AI132" s="254"/>
      <c r="AJ132" s="254"/>
      <c r="AK132" s="254"/>
      <c r="AL132" s="254"/>
      <c r="AM132" s="254"/>
      <c r="AN132" s="254"/>
      <c r="AO132" s="254"/>
      <c r="AP132" s="254"/>
      <c r="AQ132" s="254"/>
      <c r="AR132" s="254"/>
      <c r="AS132" s="254"/>
      <c r="AT132" s="254"/>
      <c r="AU132" s="254"/>
      <c r="AV132" s="254"/>
      <c r="AW132" s="254"/>
      <c r="AX132" s="256"/>
      <c r="AZ132" s="254" t="str">
        <f ca="1"/>
        <v/>
      </c>
      <c r="BA132" s="254" t="str">
        <f ca="1"/>
        <v/>
      </c>
      <c r="BB132" s="254" t="str">
        <f ca="1"/>
        <v/>
      </c>
      <c r="BC132" s="254" t="str">
        <f ca="1"/>
        <v/>
      </c>
      <c r="BD132" s="256">
        <f ca="1"/>
        <v>0</v>
      </c>
      <c r="BF132" s="254"/>
      <c r="BG132" s="254"/>
      <c r="BH132" s="254"/>
      <c r="BI132" s="254"/>
      <c r="BJ132" s="243"/>
      <c r="BK132" s="254"/>
      <c r="BL132" s="256"/>
      <c r="BM132" s="46"/>
      <c r="BN132" s="256">
        <f ca="1"/>
        <v>0</v>
      </c>
      <c r="BP132" s="248">
        <f ca="1"/>
        <v>0</v>
      </c>
      <c r="BR132" s="248">
        <f ca="1"/>
        <v>0</v>
      </c>
      <c r="BT132" s="248">
        <f ca="1"/>
        <v>0</v>
      </c>
      <c r="BU132" s="248">
        <f ca="1"/>
        <v>0</v>
      </c>
    </row>
    <row r="133" spans="1:73" ht="16" hidden="1" thickTop="1" thickBot="1">
      <c r="A133" s="1"/>
      <c r="B133" s="1">
        <f t="shared" si="5"/>
        <v>0</v>
      </c>
      <c r="D133" s="98"/>
      <c r="E133" s="239"/>
      <c r="F133" s="243"/>
      <c r="G133" s="243"/>
      <c r="H133" s="243"/>
      <c r="I133" s="243"/>
      <c r="J133" s="243"/>
      <c r="K133" s="243"/>
      <c r="L133" s="366"/>
      <c r="M133" s="46"/>
      <c r="N133" s="243"/>
      <c r="O133" s="243"/>
      <c r="P133" s="243"/>
      <c r="Q133" s="243"/>
      <c r="R133" s="243"/>
      <c r="S133" s="243"/>
      <c r="T133" s="243"/>
      <c r="U133" s="243"/>
      <c r="V133" s="243"/>
      <c r="W133" s="243"/>
      <c r="X133" s="256"/>
      <c r="Y133" s="253"/>
      <c r="Z133" s="254"/>
      <c r="AA133" s="254"/>
      <c r="AB133" s="254"/>
      <c r="AC133" s="254"/>
      <c r="AD133" s="254"/>
      <c r="AE133" s="254"/>
      <c r="AF133" s="254"/>
      <c r="AG133" s="254"/>
      <c r="AH133" s="254"/>
      <c r="AI133" s="254"/>
      <c r="AJ133" s="254"/>
      <c r="AK133" s="254"/>
      <c r="AL133" s="254"/>
      <c r="AM133" s="254"/>
      <c r="AN133" s="254"/>
      <c r="AO133" s="254"/>
      <c r="AP133" s="254"/>
      <c r="AQ133" s="254"/>
      <c r="AR133" s="254"/>
      <c r="AS133" s="254"/>
      <c r="AT133" s="254"/>
      <c r="AU133" s="254"/>
      <c r="AV133" s="254"/>
      <c r="AW133" s="254"/>
      <c r="AX133" s="256"/>
      <c r="AZ133" s="254" t="str">
        <f ca="1"/>
        <v/>
      </c>
      <c r="BA133" s="254" t="str">
        <f ca="1"/>
        <v/>
      </c>
      <c r="BB133" s="254" t="str">
        <f ca="1"/>
        <v/>
      </c>
      <c r="BC133" s="254" t="str">
        <f ca="1"/>
        <v/>
      </c>
      <c r="BD133" s="256">
        <f ca="1"/>
        <v>0</v>
      </c>
      <c r="BF133" s="254"/>
      <c r="BG133" s="254"/>
      <c r="BH133" s="254"/>
      <c r="BI133" s="254"/>
      <c r="BJ133" s="243"/>
      <c r="BK133" s="254"/>
      <c r="BL133" s="256"/>
      <c r="BM133" s="46"/>
      <c r="BN133" s="256">
        <f ca="1"/>
        <v>0</v>
      </c>
      <c r="BP133" s="248">
        <f ca="1"/>
        <v>0</v>
      </c>
      <c r="BR133" s="248">
        <f ca="1"/>
        <v>0</v>
      </c>
      <c r="BT133" s="248">
        <f ca="1"/>
        <v>0</v>
      </c>
      <c r="BU133" s="248">
        <f ca="1"/>
        <v>0</v>
      </c>
    </row>
    <row r="134" spans="1:73" ht="16" hidden="1" thickTop="1" thickBot="1">
      <c r="A134" s="1"/>
      <c r="B134" s="1">
        <f t="shared" si="5"/>
        <v>0</v>
      </c>
      <c r="D134" s="98"/>
      <c r="E134" s="239"/>
      <c r="F134" s="243"/>
      <c r="G134" s="243"/>
      <c r="H134" s="243"/>
      <c r="I134" s="243"/>
      <c r="J134" s="243"/>
      <c r="K134" s="243"/>
      <c r="L134" s="366"/>
      <c r="M134" s="46"/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56"/>
      <c r="Y134" s="253"/>
      <c r="Z134" s="254"/>
      <c r="AA134" s="254"/>
      <c r="AB134" s="254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  <c r="AS134" s="254"/>
      <c r="AT134" s="254"/>
      <c r="AU134" s="254"/>
      <c r="AV134" s="254"/>
      <c r="AW134" s="254"/>
      <c r="AX134" s="256"/>
      <c r="AZ134" s="254" t="str">
        <f ca="1"/>
        <v/>
      </c>
      <c r="BA134" s="254" t="str">
        <f ca="1"/>
        <v/>
      </c>
      <c r="BB134" s="254" t="str">
        <f ca="1"/>
        <v/>
      </c>
      <c r="BC134" s="254" t="str">
        <f ca="1"/>
        <v/>
      </c>
      <c r="BD134" s="256">
        <f ca="1"/>
        <v>0</v>
      </c>
      <c r="BF134" s="254"/>
      <c r="BG134" s="254"/>
      <c r="BH134" s="254"/>
      <c r="BI134" s="254"/>
      <c r="BJ134" s="243"/>
      <c r="BK134" s="254"/>
      <c r="BL134" s="256"/>
      <c r="BM134" s="46"/>
      <c r="BN134" s="256">
        <f ca="1"/>
        <v>0</v>
      </c>
      <c r="BP134" s="248">
        <f ca="1"/>
        <v>0</v>
      </c>
      <c r="BR134" s="248">
        <f ca="1"/>
        <v>0</v>
      </c>
      <c r="BT134" s="248">
        <f ca="1"/>
        <v>0</v>
      </c>
      <c r="BU134" s="248">
        <f ca="1"/>
        <v>0</v>
      </c>
    </row>
    <row r="135" spans="1:73" ht="16" hidden="1" thickTop="1" thickBot="1">
      <c r="A135" s="1"/>
      <c r="B135" s="1">
        <f t="shared" si="5"/>
        <v>0</v>
      </c>
      <c r="D135" s="98"/>
      <c r="E135" s="239"/>
      <c r="F135" s="243"/>
      <c r="G135" s="243"/>
      <c r="H135" s="243"/>
      <c r="I135" s="243"/>
      <c r="J135" s="243"/>
      <c r="K135" s="243"/>
      <c r="L135" s="366"/>
      <c r="M135" s="46"/>
      <c r="N135" s="243"/>
      <c r="O135" s="243"/>
      <c r="P135" s="243"/>
      <c r="Q135" s="243"/>
      <c r="R135" s="243"/>
      <c r="S135" s="243"/>
      <c r="T135" s="243"/>
      <c r="U135" s="243"/>
      <c r="V135" s="243"/>
      <c r="W135" s="243"/>
      <c r="X135" s="256"/>
      <c r="Y135" s="253"/>
      <c r="Z135" s="254"/>
      <c r="AA135" s="254"/>
      <c r="AB135" s="254"/>
      <c r="AC135" s="254"/>
      <c r="AD135" s="254"/>
      <c r="AE135" s="254"/>
      <c r="AF135" s="254"/>
      <c r="AG135" s="254"/>
      <c r="AH135" s="254"/>
      <c r="AI135" s="254"/>
      <c r="AJ135" s="254"/>
      <c r="AK135" s="254"/>
      <c r="AL135" s="254"/>
      <c r="AM135" s="254"/>
      <c r="AN135" s="254"/>
      <c r="AO135" s="254"/>
      <c r="AP135" s="254"/>
      <c r="AQ135" s="254"/>
      <c r="AR135" s="254"/>
      <c r="AS135" s="254"/>
      <c r="AT135" s="254"/>
      <c r="AU135" s="254"/>
      <c r="AV135" s="254"/>
      <c r="AW135" s="254"/>
      <c r="AX135" s="256"/>
      <c r="AZ135" s="254" t="str">
        <f ca="1"/>
        <v/>
      </c>
      <c r="BA135" s="254" t="str">
        <f ca="1"/>
        <v/>
      </c>
      <c r="BB135" s="254" t="str">
        <f ca="1"/>
        <v/>
      </c>
      <c r="BC135" s="254" t="str">
        <f ca="1"/>
        <v/>
      </c>
      <c r="BD135" s="256">
        <f ca="1"/>
        <v>0</v>
      </c>
      <c r="BF135" s="254"/>
      <c r="BG135" s="254"/>
      <c r="BH135" s="254"/>
      <c r="BI135" s="254"/>
      <c r="BJ135" s="243"/>
      <c r="BK135" s="254"/>
      <c r="BL135" s="256"/>
      <c r="BM135" s="46"/>
      <c r="BN135" s="256">
        <f ca="1"/>
        <v>0</v>
      </c>
      <c r="BP135" s="248">
        <f ca="1"/>
        <v>0</v>
      </c>
      <c r="BR135" s="248">
        <f ca="1"/>
        <v>0</v>
      </c>
      <c r="BT135" s="248">
        <f ca="1"/>
        <v>0</v>
      </c>
      <c r="BU135" s="248">
        <f ca="1"/>
        <v>0</v>
      </c>
    </row>
    <row r="136" spans="1:73" ht="16" hidden="1" thickTop="1" thickBot="1">
      <c r="A136" s="1"/>
      <c r="B136" s="1">
        <f t="shared" si="5"/>
        <v>0</v>
      </c>
      <c r="D136" s="98"/>
      <c r="E136" s="239"/>
      <c r="F136" s="243"/>
      <c r="G136" s="243"/>
      <c r="H136" s="243"/>
      <c r="I136" s="243"/>
      <c r="J136" s="243"/>
      <c r="K136" s="243"/>
      <c r="L136" s="366"/>
      <c r="M136" s="46"/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56"/>
      <c r="Y136" s="253"/>
      <c r="Z136" s="254"/>
      <c r="AA136" s="254"/>
      <c r="AB136" s="254"/>
      <c r="AC136" s="254"/>
      <c r="AD136" s="254"/>
      <c r="AE136" s="254"/>
      <c r="AF136" s="254"/>
      <c r="AG136" s="254"/>
      <c r="AH136" s="254"/>
      <c r="AI136" s="254"/>
      <c r="AJ136" s="254"/>
      <c r="AK136" s="254"/>
      <c r="AL136" s="254"/>
      <c r="AM136" s="254"/>
      <c r="AN136" s="254"/>
      <c r="AO136" s="254"/>
      <c r="AP136" s="254"/>
      <c r="AQ136" s="254"/>
      <c r="AR136" s="254"/>
      <c r="AS136" s="254"/>
      <c r="AT136" s="254"/>
      <c r="AU136" s="254"/>
      <c r="AV136" s="254"/>
      <c r="AW136" s="254"/>
      <c r="AX136" s="256"/>
      <c r="AZ136" s="254" t="str">
        <f ca="1"/>
        <v/>
      </c>
      <c r="BA136" s="254" t="str">
        <f ca="1"/>
        <v/>
      </c>
      <c r="BB136" s="254" t="str">
        <f ca="1"/>
        <v/>
      </c>
      <c r="BC136" s="254" t="str">
        <f ca="1"/>
        <v/>
      </c>
      <c r="BD136" s="256">
        <f ca="1"/>
        <v>0</v>
      </c>
      <c r="BF136" s="254"/>
      <c r="BG136" s="254"/>
      <c r="BH136" s="254"/>
      <c r="BI136" s="254"/>
      <c r="BJ136" s="243"/>
      <c r="BK136" s="254"/>
      <c r="BL136" s="256"/>
      <c r="BM136" s="46"/>
      <c r="BN136" s="256">
        <f ca="1"/>
        <v>0</v>
      </c>
      <c r="BP136" s="248">
        <f ca="1"/>
        <v>0</v>
      </c>
      <c r="BR136" s="248">
        <f ca="1"/>
        <v>0</v>
      </c>
      <c r="BT136" s="248">
        <f ca="1"/>
        <v>0</v>
      </c>
      <c r="BU136" s="248">
        <f ca="1"/>
        <v>0</v>
      </c>
    </row>
    <row r="137" spans="1:73" ht="16" hidden="1" thickTop="1" thickBot="1">
      <c r="A137" s="1"/>
      <c r="B137" s="1">
        <f t="shared" ref="B137:B200" si="6">IF(D137=0,0,1)</f>
        <v>0</v>
      </c>
      <c r="D137" s="98"/>
      <c r="E137" s="239"/>
      <c r="F137" s="243"/>
      <c r="G137" s="243"/>
      <c r="H137" s="243"/>
      <c r="I137" s="243"/>
      <c r="J137" s="243"/>
      <c r="K137" s="243"/>
      <c r="L137" s="366"/>
      <c r="M137" s="46"/>
      <c r="N137" s="243"/>
      <c r="O137" s="243"/>
      <c r="P137" s="243"/>
      <c r="Q137" s="243"/>
      <c r="R137" s="243"/>
      <c r="S137" s="243"/>
      <c r="T137" s="243"/>
      <c r="U137" s="243"/>
      <c r="V137" s="243"/>
      <c r="W137" s="243"/>
      <c r="X137" s="256"/>
      <c r="Y137" s="253"/>
      <c r="Z137" s="254"/>
      <c r="AA137" s="254"/>
      <c r="AB137" s="254"/>
      <c r="AC137" s="254"/>
      <c r="AD137" s="254"/>
      <c r="AE137" s="254"/>
      <c r="AF137" s="254"/>
      <c r="AG137" s="254"/>
      <c r="AH137" s="254"/>
      <c r="AI137" s="254"/>
      <c r="AJ137" s="254"/>
      <c r="AK137" s="254"/>
      <c r="AL137" s="254"/>
      <c r="AM137" s="254"/>
      <c r="AN137" s="254"/>
      <c r="AO137" s="254"/>
      <c r="AP137" s="254"/>
      <c r="AQ137" s="254"/>
      <c r="AR137" s="254"/>
      <c r="AS137" s="254"/>
      <c r="AT137" s="254"/>
      <c r="AU137" s="254"/>
      <c r="AV137" s="254"/>
      <c r="AW137" s="254"/>
      <c r="AX137" s="256"/>
      <c r="AZ137" s="254" t="str">
        <f ca="1"/>
        <v/>
      </c>
      <c r="BA137" s="254" t="str">
        <f ca="1"/>
        <v/>
      </c>
      <c r="BB137" s="254" t="str">
        <f ca="1"/>
        <v/>
      </c>
      <c r="BC137" s="254" t="str">
        <f ca="1"/>
        <v/>
      </c>
      <c r="BD137" s="256">
        <f ca="1"/>
        <v>0</v>
      </c>
      <c r="BF137" s="254"/>
      <c r="BG137" s="254"/>
      <c r="BH137" s="254"/>
      <c r="BI137" s="254"/>
      <c r="BJ137" s="243"/>
      <c r="BK137" s="254"/>
      <c r="BL137" s="256"/>
      <c r="BM137" s="46"/>
      <c r="BN137" s="256">
        <f ca="1"/>
        <v>0</v>
      </c>
      <c r="BP137" s="248">
        <f ca="1"/>
        <v>0</v>
      </c>
      <c r="BR137" s="248">
        <f ca="1"/>
        <v>0</v>
      </c>
      <c r="BT137" s="248">
        <f ca="1"/>
        <v>0</v>
      </c>
      <c r="BU137" s="248">
        <f ca="1"/>
        <v>0</v>
      </c>
    </row>
    <row r="138" spans="1:73" ht="16" hidden="1" thickTop="1" thickBot="1">
      <c r="A138" s="1"/>
      <c r="B138" s="1">
        <f t="shared" si="6"/>
        <v>0</v>
      </c>
      <c r="D138" s="98"/>
      <c r="E138" s="239"/>
      <c r="F138" s="243"/>
      <c r="G138" s="243"/>
      <c r="H138" s="243"/>
      <c r="I138" s="243"/>
      <c r="J138" s="243"/>
      <c r="K138" s="243"/>
      <c r="L138" s="366"/>
      <c r="M138" s="46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56"/>
      <c r="Y138" s="253"/>
      <c r="Z138" s="254"/>
      <c r="AA138" s="254"/>
      <c r="AB138" s="254"/>
      <c r="AC138" s="254"/>
      <c r="AD138" s="254"/>
      <c r="AE138" s="254"/>
      <c r="AF138" s="254"/>
      <c r="AG138" s="254"/>
      <c r="AH138" s="254"/>
      <c r="AI138" s="254"/>
      <c r="AJ138" s="254"/>
      <c r="AK138" s="254"/>
      <c r="AL138" s="254"/>
      <c r="AM138" s="254"/>
      <c r="AN138" s="254"/>
      <c r="AO138" s="254"/>
      <c r="AP138" s="254"/>
      <c r="AQ138" s="254"/>
      <c r="AR138" s="254"/>
      <c r="AS138" s="254"/>
      <c r="AT138" s="254"/>
      <c r="AU138" s="254"/>
      <c r="AV138" s="254"/>
      <c r="AW138" s="254"/>
      <c r="AX138" s="256"/>
      <c r="AZ138" s="254" t="str">
        <f ca="1"/>
        <v/>
      </c>
      <c r="BA138" s="254" t="str">
        <f ca="1"/>
        <v/>
      </c>
      <c r="BB138" s="254" t="str">
        <f ca="1"/>
        <v/>
      </c>
      <c r="BC138" s="254" t="str">
        <f ca="1"/>
        <v/>
      </c>
      <c r="BD138" s="256">
        <f ca="1"/>
        <v>0</v>
      </c>
      <c r="BF138" s="254"/>
      <c r="BG138" s="254"/>
      <c r="BH138" s="254"/>
      <c r="BI138" s="254"/>
      <c r="BJ138" s="243"/>
      <c r="BK138" s="254"/>
      <c r="BL138" s="256"/>
      <c r="BM138" s="46"/>
      <c r="BN138" s="256">
        <f ca="1"/>
        <v>0</v>
      </c>
      <c r="BP138" s="248">
        <f ca="1"/>
        <v>0</v>
      </c>
      <c r="BR138" s="248">
        <f ca="1"/>
        <v>0</v>
      </c>
      <c r="BT138" s="248">
        <f ca="1"/>
        <v>0</v>
      </c>
      <c r="BU138" s="248">
        <f ca="1"/>
        <v>0</v>
      </c>
    </row>
    <row r="139" spans="1:73" ht="16" hidden="1" thickTop="1" thickBot="1">
      <c r="A139" s="1"/>
      <c r="B139" s="1">
        <f t="shared" si="6"/>
        <v>0</v>
      </c>
      <c r="D139" s="98"/>
      <c r="E139" s="239"/>
      <c r="F139" s="243"/>
      <c r="G139" s="243"/>
      <c r="H139" s="243"/>
      <c r="I139" s="243"/>
      <c r="J139" s="243"/>
      <c r="K139" s="243"/>
      <c r="L139" s="366"/>
      <c r="M139" s="46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56"/>
      <c r="Y139" s="253"/>
      <c r="Z139" s="254"/>
      <c r="AA139" s="254"/>
      <c r="AB139" s="254"/>
      <c r="AC139" s="254"/>
      <c r="AD139" s="254"/>
      <c r="AE139" s="254"/>
      <c r="AF139" s="254"/>
      <c r="AG139" s="254"/>
      <c r="AH139" s="254"/>
      <c r="AI139" s="254"/>
      <c r="AJ139" s="254"/>
      <c r="AK139" s="254"/>
      <c r="AL139" s="254"/>
      <c r="AM139" s="254"/>
      <c r="AN139" s="254"/>
      <c r="AO139" s="254"/>
      <c r="AP139" s="254"/>
      <c r="AQ139" s="254"/>
      <c r="AR139" s="254"/>
      <c r="AS139" s="254"/>
      <c r="AT139" s="254"/>
      <c r="AU139" s="254"/>
      <c r="AV139" s="254"/>
      <c r="AW139" s="254"/>
      <c r="AX139" s="256"/>
      <c r="AZ139" s="254" t="str">
        <f ca="1"/>
        <v/>
      </c>
      <c r="BA139" s="254" t="str">
        <f ca="1"/>
        <v/>
      </c>
      <c r="BB139" s="254" t="str">
        <f ca="1"/>
        <v/>
      </c>
      <c r="BC139" s="254" t="str">
        <f ca="1"/>
        <v/>
      </c>
      <c r="BD139" s="256">
        <f ca="1"/>
        <v>0</v>
      </c>
      <c r="BF139" s="254"/>
      <c r="BG139" s="254"/>
      <c r="BH139" s="254"/>
      <c r="BI139" s="254"/>
      <c r="BJ139" s="243"/>
      <c r="BK139" s="254"/>
      <c r="BL139" s="256"/>
      <c r="BM139" s="46"/>
      <c r="BN139" s="256">
        <f ca="1"/>
        <v>0</v>
      </c>
      <c r="BP139" s="248">
        <f ca="1"/>
        <v>0</v>
      </c>
      <c r="BR139" s="248">
        <f ca="1"/>
        <v>0</v>
      </c>
      <c r="BT139" s="248">
        <f ca="1"/>
        <v>0</v>
      </c>
      <c r="BU139" s="248">
        <f ca="1"/>
        <v>0</v>
      </c>
    </row>
    <row r="140" spans="1:73" ht="16" hidden="1" thickTop="1" thickBot="1">
      <c r="A140" s="1"/>
      <c r="B140" s="1">
        <f t="shared" si="6"/>
        <v>0</v>
      </c>
      <c r="D140" s="98"/>
      <c r="E140" s="239"/>
      <c r="F140" s="243"/>
      <c r="G140" s="243"/>
      <c r="H140" s="243"/>
      <c r="I140" s="243"/>
      <c r="J140" s="243"/>
      <c r="K140" s="243"/>
      <c r="L140" s="366"/>
      <c r="M140" s="46"/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56"/>
      <c r="Y140" s="253"/>
      <c r="Z140" s="254"/>
      <c r="AA140" s="254"/>
      <c r="AB140" s="254"/>
      <c r="AC140" s="254"/>
      <c r="AD140" s="254"/>
      <c r="AE140" s="254"/>
      <c r="AF140" s="254"/>
      <c r="AG140" s="254"/>
      <c r="AH140" s="254"/>
      <c r="AI140" s="254"/>
      <c r="AJ140" s="254"/>
      <c r="AK140" s="254"/>
      <c r="AL140" s="254"/>
      <c r="AM140" s="254"/>
      <c r="AN140" s="254"/>
      <c r="AO140" s="254"/>
      <c r="AP140" s="254"/>
      <c r="AQ140" s="254"/>
      <c r="AR140" s="254"/>
      <c r="AS140" s="254"/>
      <c r="AT140" s="254"/>
      <c r="AU140" s="254"/>
      <c r="AV140" s="254"/>
      <c r="AW140" s="254"/>
      <c r="AX140" s="256"/>
      <c r="AZ140" s="254" t="str">
        <f ca="1"/>
        <v/>
      </c>
      <c r="BA140" s="254" t="str">
        <f ca="1"/>
        <v/>
      </c>
      <c r="BB140" s="254" t="str">
        <f ca="1"/>
        <v/>
      </c>
      <c r="BC140" s="254" t="str">
        <f ca="1"/>
        <v/>
      </c>
      <c r="BD140" s="256">
        <f ca="1"/>
        <v>0</v>
      </c>
      <c r="BF140" s="254"/>
      <c r="BG140" s="254"/>
      <c r="BH140" s="254"/>
      <c r="BI140" s="254"/>
      <c r="BJ140" s="243"/>
      <c r="BK140" s="254"/>
      <c r="BL140" s="256"/>
      <c r="BM140" s="46"/>
      <c r="BN140" s="256">
        <f ca="1"/>
        <v>0</v>
      </c>
      <c r="BP140" s="248">
        <f ca="1"/>
        <v>0</v>
      </c>
      <c r="BR140" s="248">
        <f ca="1"/>
        <v>0</v>
      </c>
      <c r="BT140" s="248">
        <f ca="1"/>
        <v>0</v>
      </c>
      <c r="BU140" s="248">
        <f ca="1"/>
        <v>0</v>
      </c>
    </row>
    <row r="141" spans="1:73" ht="16" hidden="1" thickTop="1" thickBot="1">
      <c r="A141" s="1"/>
      <c r="B141" s="1">
        <f t="shared" si="6"/>
        <v>0</v>
      </c>
      <c r="D141" s="98"/>
      <c r="E141" s="239"/>
      <c r="F141" s="243"/>
      <c r="G141" s="243"/>
      <c r="H141" s="243"/>
      <c r="I141" s="243"/>
      <c r="J141" s="243"/>
      <c r="K141" s="243"/>
      <c r="L141" s="366"/>
      <c r="M141" s="46"/>
      <c r="N141" s="243"/>
      <c r="O141" s="243"/>
      <c r="P141" s="243"/>
      <c r="Q141" s="243"/>
      <c r="R141" s="243"/>
      <c r="S141" s="243"/>
      <c r="T141" s="243"/>
      <c r="U141" s="243"/>
      <c r="V141" s="243"/>
      <c r="W141" s="243"/>
      <c r="X141" s="256"/>
      <c r="Y141" s="253"/>
      <c r="Z141" s="254"/>
      <c r="AA141" s="254"/>
      <c r="AB141" s="254"/>
      <c r="AC141" s="254"/>
      <c r="AD141" s="254"/>
      <c r="AE141" s="254"/>
      <c r="AF141" s="254"/>
      <c r="AG141" s="254"/>
      <c r="AH141" s="254"/>
      <c r="AI141" s="254"/>
      <c r="AJ141" s="254"/>
      <c r="AK141" s="254"/>
      <c r="AL141" s="254"/>
      <c r="AM141" s="254"/>
      <c r="AN141" s="254"/>
      <c r="AO141" s="254"/>
      <c r="AP141" s="254"/>
      <c r="AQ141" s="254"/>
      <c r="AR141" s="254"/>
      <c r="AS141" s="254"/>
      <c r="AT141" s="254"/>
      <c r="AU141" s="254"/>
      <c r="AV141" s="254"/>
      <c r="AW141" s="254"/>
      <c r="AX141" s="256"/>
      <c r="AZ141" s="254" t="str">
        <f ca="1"/>
        <v/>
      </c>
      <c r="BA141" s="254" t="str">
        <f ca="1"/>
        <v/>
      </c>
      <c r="BB141" s="254" t="str">
        <f ca="1"/>
        <v/>
      </c>
      <c r="BC141" s="254" t="str">
        <f ca="1"/>
        <v/>
      </c>
      <c r="BD141" s="256">
        <f ca="1"/>
        <v>0</v>
      </c>
      <c r="BF141" s="254"/>
      <c r="BG141" s="254"/>
      <c r="BH141" s="254"/>
      <c r="BI141" s="254"/>
      <c r="BJ141" s="243"/>
      <c r="BK141" s="254"/>
      <c r="BL141" s="256"/>
      <c r="BM141" s="46"/>
      <c r="BN141" s="256">
        <f ca="1"/>
        <v>0</v>
      </c>
      <c r="BP141" s="248">
        <f ca="1"/>
        <v>0</v>
      </c>
      <c r="BR141" s="248">
        <f ca="1"/>
        <v>0</v>
      </c>
      <c r="BT141" s="248">
        <f ca="1"/>
        <v>0</v>
      </c>
      <c r="BU141" s="248">
        <f ca="1"/>
        <v>0</v>
      </c>
    </row>
    <row r="142" spans="1:73" ht="16" hidden="1" thickTop="1" thickBot="1">
      <c r="A142" s="1"/>
      <c r="B142" s="1">
        <f t="shared" si="6"/>
        <v>0</v>
      </c>
      <c r="D142" s="98"/>
      <c r="E142" s="239"/>
      <c r="F142" s="243"/>
      <c r="G142" s="243"/>
      <c r="H142" s="243"/>
      <c r="I142" s="243"/>
      <c r="J142" s="243"/>
      <c r="K142" s="243"/>
      <c r="L142" s="366"/>
      <c r="M142" s="46"/>
      <c r="N142" s="243"/>
      <c r="O142" s="243"/>
      <c r="P142" s="243"/>
      <c r="Q142" s="243"/>
      <c r="R142" s="243"/>
      <c r="S142" s="243"/>
      <c r="T142" s="243"/>
      <c r="U142" s="243"/>
      <c r="V142" s="243"/>
      <c r="W142" s="243"/>
      <c r="X142" s="256"/>
      <c r="Y142" s="253"/>
      <c r="Z142" s="254"/>
      <c r="AA142" s="254"/>
      <c r="AB142" s="254"/>
      <c r="AC142" s="254"/>
      <c r="AD142" s="254"/>
      <c r="AE142" s="254"/>
      <c r="AF142" s="254"/>
      <c r="AG142" s="254"/>
      <c r="AH142" s="254"/>
      <c r="AI142" s="254"/>
      <c r="AJ142" s="254"/>
      <c r="AK142" s="254"/>
      <c r="AL142" s="254"/>
      <c r="AM142" s="254"/>
      <c r="AN142" s="254"/>
      <c r="AO142" s="254"/>
      <c r="AP142" s="254"/>
      <c r="AQ142" s="254"/>
      <c r="AR142" s="254"/>
      <c r="AS142" s="254"/>
      <c r="AT142" s="254"/>
      <c r="AU142" s="254"/>
      <c r="AV142" s="254"/>
      <c r="AW142" s="254"/>
      <c r="AX142" s="256"/>
      <c r="AZ142" s="254" t="str">
        <f ca="1"/>
        <v/>
      </c>
      <c r="BA142" s="254" t="str">
        <f ca="1"/>
        <v/>
      </c>
      <c r="BB142" s="254" t="str">
        <f ca="1"/>
        <v/>
      </c>
      <c r="BC142" s="254" t="str">
        <f ca="1"/>
        <v/>
      </c>
      <c r="BD142" s="256">
        <f ca="1"/>
        <v>0</v>
      </c>
      <c r="BF142" s="254"/>
      <c r="BG142" s="254"/>
      <c r="BH142" s="254"/>
      <c r="BI142" s="254"/>
      <c r="BJ142" s="243"/>
      <c r="BK142" s="254"/>
      <c r="BL142" s="256"/>
      <c r="BM142" s="46"/>
      <c r="BN142" s="256">
        <f ca="1"/>
        <v>0</v>
      </c>
      <c r="BP142" s="248">
        <f ca="1"/>
        <v>0</v>
      </c>
      <c r="BR142" s="248">
        <f ca="1"/>
        <v>0</v>
      </c>
      <c r="BT142" s="248">
        <f ca="1"/>
        <v>0</v>
      </c>
      <c r="BU142" s="248">
        <f ca="1"/>
        <v>0</v>
      </c>
    </row>
    <row r="143" spans="1:73" ht="16" hidden="1" thickTop="1" thickBot="1">
      <c r="A143" s="1"/>
      <c r="B143" s="1">
        <f t="shared" si="6"/>
        <v>0</v>
      </c>
      <c r="D143" s="98"/>
      <c r="E143" s="239"/>
      <c r="F143" s="243"/>
      <c r="G143" s="243"/>
      <c r="H143" s="243"/>
      <c r="I143" s="243"/>
      <c r="J143" s="243"/>
      <c r="K143" s="243"/>
      <c r="L143" s="366"/>
      <c r="M143" s="46"/>
      <c r="N143" s="243"/>
      <c r="O143" s="243"/>
      <c r="P143" s="243"/>
      <c r="Q143" s="243"/>
      <c r="R143" s="243"/>
      <c r="S143" s="243"/>
      <c r="T143" s="243"/>
      <c r="U143" s="243"/>
      <c r="V143" s="243"/>
      <c r="W143" s="243"/>
      <c r="X143" s="256"/>
      <c r="Y143" s="253"/>
      <c r="Z143" s="254"/>
      <c r="AA143" s="254"/>
      <c r="AB143" s="254"/>
      <c r="AC143" s="254"/>
      <c r="AD143" s="254"/>
      <c r="AE143" s="254"/>
      <c r="AF143" s="254"/>
      <c r="AG143" s="254"/>
      <c r="AH143" s="254"/>
      <c r="AI143" s="254"/>
      <c r="AJ143" s="254"/>
      <c r="AK143" s="254"/>
      <c r="AL143" s="254"/>
      <c r="AM143" s="254"/>
      <c r="AN143" s="254"/>
      <c r="AO143" s="254"/>
      <c r="AP143" s="254"/>
      <c r="AQ143" s="254"/>
      <c r="AR143" s="254"/>
      <c r="AS143" s="254"/>
      <c r="AT143" s="254"/>
      <c r="AU143" s="254"/>
      <c r="AV143" s="254"/>
      <c r="AW143" s="254"/>
      <c r="AX143" s="256"/>
      <c r="AZ143" s="254" t="str">
        <f ca="1"/>
        <v/>
      </c>
      <c r="BA143" s="254" t="str">
        <f ca="1"/>
        <v/>
      </c>
      <c r="BB143" s="254" t="str">
        <f ca="1"/>
        <v/>
      </c>
      <c r="BC143" s="254" t="str">
        <f ca="1"/>
        <v/>
      </c>
      <c r="BD143" s="256">
        <f ca="1"/>
        <v>0</v>
      </c>
      <c r="BF143" s="254"/>
      <c r="BG143" s="254"/>
      <c r="BH143" s="254"/>
      <c r="BI143" s="254"/>
      <c r="BJ143" s="243"/>
      <c r="BK143" s="254"/>
      <c r="BL143" s="256"/>
      <c r="BM143" s="46"/>
      <c r="BN143" s="256">
        <f ca="1"/>
        <v>0</v>
      </c>
      <c r="BP143" s="248">
        <f ca="1"/>
        <v>0</v>
      </c>
      <c r="BR143" s="248">
        <f ca="1"/>
        <v>0</v>
      </c>
      <c r="BT143" s="248">
        <f ca="1"/>
        <v>0</v>
      </c>
      <c r="BU143" s="248">
        <f ca="1"/>
        <v>0</v>
      </c>
    </row>
    <row r="144" spans="1:73" ht="16" hidden="1" thickTop="1" thickBot="1">
      <c r="A144" s="1"/>
      <c r="B144" s="1">
        <f t="shared" si="6"/>
        <v>0</v>
      </c>
      <c r="D144" s="98"/>
      <c r="E144" s="239"/>
      <c r="F144" s="243"/>
      <c r="G144" s="243"/>
      <c r="H144" s="243"/>
      <c r="I144" s="243"/>
      <c r="J144" s="243"/>
      <c r="K144" s="243"/>
      <c r="L144" s="366"/>
      <c r="M144" s="46"/>
      <c r="N144" s="243"/>
      <c r="O144" s="243"/>
      <c r="P144" s="243"/>
      <c r="Q144" s="243"/>
      <c r="R144" s="243"/>
      <c r="S144" s="243"/>
      <c r="T144" s="243"/>
      <c r="U144" s="243"/>
      <c r="V144" s="243"/>
      <c r="W144" s="243"/>
      <c r="X144" s="256"/>
      <c r="Y144" s="253"/>
      <c r="Z144" s="254"/>
      <c r="AA144" s="254"/>
      <c r="AB144" s="254"/>
      <c r="AC144" s="254"/>
      <c r="AD144" s="254"/>
      <c r="AE144" s="254"/>
      <c r="AF144" s="254"/>
      <c r="AG144" s="254"/>
      <c r="AH144" s="254"/>
      <c r="AI144" s="254"/>
      <c r="AJ144" s="254"/>
      <c r="AK144" s="254"/>
      <c r="AL144" s="254"/>
      <c r="AM144" s="254"/>
      <c r="AN144" s="254"/>
      <c r="AO144" s="254"/>
      <c r="AP144" s="254"/>
      <c r="AQ144" s="254"/>
      <c r="AR144" s="254"/>
      <c r="AS144" s="254"/>
      <c r="AT144" s="254"/>
      <c r="AU144" s="254"/>
      <c r="AV144" s="254"/>
      <c r="AW144" s="254"/>
      <c r="AX144" s="256"/>
      <c r="AZ144" s="254" t="str">
        <f ca="1"/>
        <v/>
      </c>
      <c r="BA144" s="254" t="str">
        <f ca="1"/>
        <v/>
      </c>
      <c r="BB144" s="254" t="str">
        <f ca="1"/>
        <v/>
      </c>
      <c r="BC144" s="254" t="str">
        <f ca="1"/>
        <v/>
      </c>
      <c r="BD144" s="256">
        <f ca="1"/>
        <v>0</v>
      </c>
      <c r="BF144" s="254"/>
      <c r="BG144" s="254"/>
      <c r="BH144" s="254"/>
      <c r="BI144" s="254"/>
      <c r="BJ144" s="243"/>
      <c r="BK144" s="254"/>
      <c r="BL144" s="256"/>
      <c r="BM144" s="46"/>
      <c r="BN144" s="256">
        <f ca="1"/>
        <v>0</v>
      </c>
      <c r="BP144" s="248">
        <f ca="1"/>
        <v>0</v>
      </c>
      <c r="BR144" s="248">
        <f ca="1"/>
        <v>0</v>
      </c>
      <c r="BT144" s="248">
        <f ca="1"/>
        <v>0</v>
      </c>
      <c r="BU144" s="248">
        <f ca="1"/>
        <v>0</v>
      </c>
    </row>
    <row r="145" spans="1:73" ht="16" hidden="1" thickTop="1" thickBot="1">
      <c r="A145" s="1"/>
      <c r="B145" s="1">
        <f t="shared" si="6"/>
        <v>0</v>
      </c>
      <c r="D145" s="98"/>
      <c r="E145" s="239"/>
      <c r="F145" s="243"/>
      <c r="G145" s="243"/>
      <c r="H145" s="243"/>
      <c r="I145" s="243"/>
      <c r="J145" s="243"/>
      <c r="K145" s="243"/>
      <c r="L145" s="366"/>
      <c r="M145" s="46"/>
      <c r="N145" s="243"/>
      <c r="O145" s="243"/>
      <c r="P145" s="243"/>
      <c r="Q145" s="243"/>
      <c r="R145" s="243"/>
      <c r="S145" s="243"/>
      <c r="T145" s="243"/>
      <c r="U145" s="243"/>
      <c r="V145" s="243"/>
      <c r="W145" s="243"/>
      <c r="X145" s="256"/>
      <c r="Y145" s="253"/>
      <c r="Z145" s="254"/>
      <c r="AA145" s="254"/>
      <c r="AB145" s="254"/>
      <c r="AC145" s="254"/>
      <c r="AD145" s="254"/>
      <c r="AE145" s="254"/>
      <c r="AF145" s="254"/>
      <c r="AG145" s="254"/>
      <c r="AH145" s="254"/>
      <c r="AI145" s="254"/>
      <c r="AJ145" s="254"/>
      <c r="AK145" s="254"/>
      <c r="AL145" s="254"/>
      <c r="AM145" s="254"/>
      <c r="AN145" s="254"/>
      <c r="AO145" s="254"/>
      <c r="AP145" s="254"/>
      <c r="AQ145" s="254"/>
      <c r="AR145" s="254"/>
      <c r="AS145" s="254"/>
      <c r="AT145" s="254"/>
      <c r="AU145" s="254"/>
      <c r="AV145" s="254"/>
      <c r="AW145" s="254"/>
      <c r="AX145" s="256"/>
      <c r="AZ145" s="254" t="str">
        <f ca="1"/>
        <v/>
      </c>
      <c r="BA145" s="254" t="str">
        <f ca="1"/>
        <v/>
      </c>
      <c r="BB145" s="254" t="str">
        <f ca="1"/>
        <v/>
      </c>
      <c r="BC145" s="254" t="str">
        <f ca="1"/>
        <v/>
      </c>
      <c r="BD145" s="256">
        <f ca="1"/>
        <v>0</v>
      </c>
      <c r="BF145" s="254"/>
      <c r="BG145" s="254"/>
      <c r="BH145" s="254"/>
      <c r="BI145" s="254"/>
      <c r="BJ145" s="243"/>
      <c r="BK145" s="254"/>
      <c r="BL145" s="256"/>
      <c r="BM145" s="46"/>
      <c r="BN145" s="256">
        <f ca="1"/>
        <v>0</v>
      </c>
      <c r="BP145" s="248">
        <f ca="1"/>
        <v>0</v>
      </c>
      <c r="BR145" s="248">
        <f ca="1"/>
        <v>0</v>
      </c>
      <c r="BT145" s="248">
        <f ca="1"/>
        <v>0</v>
      </c>
      <c r="BU145" s="248">
        <f ca="1"/>
        <v>0</v>
      </c>
    </row>
    <row r="146" spans="1:73" ht="16" hidden="1" thickTop="1" thickBot="1">
      <c r="A146" s="1"/>
      <c r="B146" s="1">
        <f t="shared" si="6"/>
        <v>0</v>
      </c>
      <c r="D146" s="98"/>
      <c r="E146" s="239"/>
      <c r="F146" s="243"/>
      <c r="G146" s="243"/>
      <c r="H146" s="243"/>
      <c r="I146" s="243"/>
      <c r="J146" s="243"/>
      <c r="K146" s="243"/>
      <c r="L146" s="366"/>
      <c r="M146" s="46"/>
      <c r="N146" s="243"/>
      <c r="O146" s="243"/>
      <c r="P146" s="243"/>
      <c r="Q146" s="243"/>
      <c r="R146" s="243"/>
      <c r="S146" s="243"/>
      <c r="T146" s="243"/>
      <c r="U146" s="243"/>
      <c r="V146" s="243"/>
      <c r="W146" s="243"/>
      <c r="X146" s="256"/>
      <c r="Y146" s="253"/>
      <c r="Z146" s="254"/>
      <c r="AA146" s="254"/>
      <c r="AB146" s="254"/>
      <c r="AC146" s="254"/>
      <c r="AD146" s="254"/>
      <c r="AE146" s="254"/>
      <c r="AF146" s="254"/>
      <c r="AG146" s="254"/>
      <c r="AH146" s="254"/>
      <c r="AI146" s="254"/>
      <c r="AJ146" s="254"/>
      <c r="AK146" s="254"/>
      <c r="AL146" s="254"/>
      <c r="AM146" s="254"/>
      <c r="AN146" s="254"/>
      <c r="AO146" s="254"/>
      <c r="AP146" s="254"/>
      <c r="AQ146" s="254"/>
      <c r="AR146" s="254"/>
      <c r="AS146" s="254"/>
      <c r="AT146" s="254"/>
      <c r="AU146" s="254"/>
      <c r="AV146" s="254"/>
      <c r="AW146" s="254"/>
      <c r="AX146" s="256"/>
      <c r="AZ146" s="254" t="str">
        <f ca="1"/>
        <v/>
      </c>
      <c r="BA146" s="254" t="str">
        <f ca="1"/>
        <v/>
      </c>
      <c r="BB146" s="254" t="str">
        <f ca="1"/>
        <v/>
      </c>
      <c r="BC146" s="254" t="str">
        <f ca="1"/>
        <v/>
      </c>
      <c r="BD146" s="256">
        <f ca="1"/>
        <v>0</v>
      </c>
      <c r="BF146" s="254"/>
      <c r="BG146" s="254"/>
      <c r="BH146" s="254"/>
      <c r="BI146" s="254"/>
      <c r="BJ146" s="243"/>
      <c r="BK146" s="254"/>
      <c r="BL146" s="256"/>
      <c r="BM146" s="46"/>
      <c r="BN146" s="256">
        <f ca="1"/>
        <v>0</v>
      </c>
      <c r="BP146" s="248">
        <f ca="1"/>
        <v>0</v>
      </c>
      <c r="BR146" s="248">
        <f ca="1"/>
        <v>0</v>
      </c>
      <c r="BT146" s="248">
        <f ca="1"/>
        <v>0</v>
      </c>
      <c r="BU146" s="248">
        <f ca="1"/>
        <v>0</v>
      </c>
    </row>
    <row r="147" spans="1:73" ht="16" hidden="1" thickTop="1" thickBot="1">
      <c r="A147" s="1"/>
      <c r="B147" s="1">
        <f t="shared" si="6"/>
        <v>0</v>
      </c>
      <c r="D147" s="98"/>
      <c r="E147" s="239"/>
      <c r="F147" s="243"/>
      <c r="G147" s="243"/>
      <c r="H147" s="243"/>
      <c r="I147" s="243"/>
      <c r="J147" s="243"/>
      <c r="K147" s="243"/>
      <c r="L147" s="366"/>
      <c r="M147" s="46"/>
      <c r="N147" s="243"/>
      <c r="O147" s="243"/>
      <c r="P147" s="243"/>
      <c r="Q147" s="243"/>
      <c r="R147" s="243"/>
      <c r="S147" s="243"/>
      <c r="T147" s="243"/>
      <c r="U147" s="243"/>
      <c r="V147" s="243"/>
      <c r="W147" s="243"/>
      <c r="X147" s="256"/>
      <c r="Y147" s="253"/>
      <c r="Z147" s="254"/>
      <c r="AA147" s="254"/>
      <c r="AB147" s="254"/>
      <c r="AC147" s="254"/>
      <c r="AD147" s="254"/>
      <c r="AE147" s="254"/>
      <c r="AF147" s="254"/>
      <c r="AG147" s="254"/>
      <c r="AH147" s="254"/>
      <c r="AI147" s="254"/>
      <c r="AJ147" s="254"/>
      <c r="AK147" s="254"/>
      <c r="AL147" s="254"/>
      <c r="AM147" s="254"/>
      <c r="AN147" s="254"/>
      <c r="AO147" s="254"/>
      <c r="AP147" s="254"/>
      <c r="AQ147" s="254"/>
      <c r="AR147" s="254"/>
      <c r="AS147" s="254"/>
      <c r="AT147" s="254"/>
      <c r="AU147" s="254"/>
      <c r="AV147" s="254"/>
      <c r="AW147" s="254"/>
      <c r="AX147" s="256"/>
      <c r="AZ147" s="254" t="str">
        <f ca="1"/>
        <v/>
      </c>
      <c r="BA147" s="254" t="str">
        <f ca="1"/>
        <v/>
      </c>
      <c r="BB147" s="254" t="str">
        <f ca="1"/>
        <v/>
      </c>
      <c r="BC147" s="254" t="str">
        <f ca="1"/>
        <v/>
      </c>
      <c r="BD147" s="256">
        <f ca="1"/>
        <v>0</v>
      </c>
      <c r="BF147" s="254"/>
      <c r="BG147" s="254"/>
      <c r="BH147" s="254"/>
      <c r="BI147" s="254"/>
      <c r="BJ147" s="243"/>
      <c r="BK147" s="254"/>
      <c r="BL147" s="256"/>
      <c r="BM147" s="46"/>
      <c r="BN147" s="256">
        <f ca="1"/>
        <v>0</v>
      </c>
      <c r="BP147" s="248">
        <f ca="1"/>
        <v>0</v>
      </c>
      <c r="BR147" s="248">
        <f ca="1"/>
        <v>0</v>
      </c>
      <c r="BT147" s="248">
        <f ca="1"/>
        <v>0</v>
      </c>
      <c r="BU147" s="248">
        <f ca="1"/>
        <v>0</v>
      </c>
    </row>
    <row r="148" spans="1:73" ht="16" hidden="1" thickTop="1" thickBot="1">
      <c r="A148" s="1"/>
      <c r="B148" s="1">
        <f t="shared" si="6"/>
        <v>0</v>
      </c>
      <c r="D148" s="98"/>
      <c r="E148" s="239"/>
      <c r="F148" s="243"/>
      <c r="G148" s="243"/>
      <c r="H148" s="243"/>
      <c r="I148" s="243"/>
      <c r="J148" s="243"/>
      <c r="K148" s="243"/>
      <c r="L148" s="366"/>
      <c r="M148" s="46"/>
      <c r="N148" s="243"/>
      <c r="O148" s="243"/>
      <c r="P148" s="243"/>
      <c r="Q148" s="243"/>
      <c r="R148" s="243"/>
      <c r="S148" s="243"/>
      <c r="T148" s="243"/>
      <c r="U148" s="243"/>
      <c r="V148" s="243"/>
      <c r="W148" s="243"/>
      <c r="X148" s="256"/>
      <c r="Y148" s="253"/>
      <c r="Z148" s="254"/>
      <c r="AA148" s="254"/>
      <c r="AB148" s="254"/>
      <c r="AC148" s="254"/>
      <c r="AD148" s="254"/>
      <c r="AE148" s="254"/>
      <c r="AF148" s="254"/>
      <c r="AG148" s="254"/>
      <c r="AH148" s="254"/>
      <c r="AI148" s="254"/>
      <c r="AJ148" s="254"/>
      <c r="AK148" s="254"/>
      <c r="AL148" s="254"/>
      <c r="AM148" s="254"/>
      <c r="AN148" s="254"/>
      <c r="AO148" s="254"/>
      <c r="AP148" s="254"/>
      <c r="AQ148" s="254"/>
      <c r="AR148" s="254"/>
      <c r="AS148" s="254"/>
      <c r="AT148" s="254"/>
      <c r="AU148" s="254"/>
      <c r="AV148" s="254"/>
      <c r="AW148" s="254"/>
      <c r="AX148" s="256"/>
      <c r="AZ148" s="254" t="str">
        <f ca="1"/>
        <v/>
      </c>
      <c r="BA148" s="254" t="str">
        <f ca="1"/>
        <v/>
      </c>
      <c r="BB148" s="254" t="str">
        <f ca="1"/>
        <v/>
      </c>
      <c r="BC148" s="254" t="str">
        <f ca="1"/>
        <v/>
      </c>
      <c r="BD148" s="256">
        <f ca="1"/>
        <v>0</v>
      </c>
      <c r="BF148" s="254"/>
      <c r="BG148" s="254"/>
      <c r="BH148" s="254"/>
      <c r="BI148" s="254"/>
      <c r="BJ148" s="243"/>
      <c r="BK148" s="254"/>
      <c r="BL148" s="256"/>
      <c r="BM148" s="46"/>
      <c r="BN148" s="256">
        <f ca="1"/>
        <v>0</v>
      </c>
      <c r="BP148" s="248">
        <f ca="1"/>
        <v>0</v>
      </c>
      <c r="BR148" s="248">
        <f ca="1"/>
        <v>0</v>
      </c>
      <c r="BT148" s="248">
        <f ca="1"/>
        <v>0</v>
      </c>
      <c r="BU148" s="248">
        <f ca="1"/>
        <v>0</v>
      </c>
    </row>
    <row r="149" spans="1:73" ht="16" hidden="1" thickTop="1" thickBot="1">
      <c r="A149" s="1"/>
      <c r="B149" s="1">
        <f t="shared" si="6"/>
        <v>0</v>
      </c>
      <c r="D149" s="98"/>
      <c r="E149" s="239"/>
      <c r="F149" s="243"/>
      <c r="G149" s="243"/>
      <c r="H149" s="243"/>
      <c r="I149" s="243"/>
      <c r="J149" s="243"/>
      <c r="K149" s="243"/>
      <c r="L149" s="366"/>
      <c r="M149" s="46"/>
      <c r="N149" s="243"/>
      <c r="O149" s="243"/>
      <c r="P149" s="243"/>
      <c r="Q149" s="243"/>
      <c r="R149" s="243"/>
      <c r="S149" s="243"/>
      <c r="T149" s="243"/>
      <c r="U149" s="243"/>
      <c r="V149" s="243"/>
      <c r="W149" s="243"/>
      <c r="X149" s="256"/>
      <c r="Y149" s="253"/>
      <c r="Z149" s="254"/>
      <c r="AA149" s="254"/>
      <c r="AB149" s="254"/>
      <c r="AC149" s="254"/>
      <c r="AD149" s="254"/>
      <c r="AE149" s="254"/>
      <c r="AF149" s="254"/>
      <c r="AG149" s="254"/>
      <c r="AH149" s="254"/>
      <c r="AI149" s="254"/>
      <c r="AJ149" s="254"/>
      <c r="AK149" s="254"/>
      <c r="AL149" s="254"/>
      <c r="AM149" s="254"/>
      <c r="AN149" s="254"/>
      <c r="AO149" s="254"/>
      <c r="AP149" s="254"/>
      <c r="AQ149" s="254"/>
      <c r="AR149" s="254"/>
      <c r="AS149" s="254"/>
      <c r="AT149" s="254"/>
      <c r="AU149" s="254"/>
      <c r="AV149" s="254"/>
      <c r="AW149" s="254"/>
      <c r="AX149" s="256"/>
      <c r="AZ149" s="254" t="str">
        <f ca="1"/>
        <v/>
      </c>
      <c r="BA149" s="254" t="str">
        <f ca="1"/>
        <v/>
      </c>
      <c r="BB149" s="254" t="str">
        <f ca="1"/>
        <v/>
      </c>
      <c r="BC149" s="254" t="str">
        <f ca="1"/>
        <v/>
      </c>
      <c r="BD149" s="256">
        <f ca="1"/>
        <v>0</v>
      </c>
      <c r="BF149" s="254"/>
      <c r="BG149" s="254"/>
      <c r="BH149" s="254"/>
      <c r="BI149" s="254"/>
      <c r="BJ149" s="243"/>
      <c r="BK149" s="254"/>
      <c r="BL149" s="256"/>
      <c r="BM149" s="46"/>
      <c r="BN149" s="256">
        <f ca="1"/>
        <v>0</v>
      </c>
      <c r="BP149" s="248">
        <f ca="1"/>
        <v>0</v>
      </c>
      <c r="BR149" s="248">
        <f ca="1"/>
        <v>0</v>
      </c>
      <c r="BT149" s="248">
        <f ca="1"/>
        <v>0</v>
      </c>
      <c r="BU149" s="248">
        <f ca="1"/>
        <v>0</v>
      </c>
    </row>
    <row r="150" spans="1:73" ht="16" hidden="1" thickTop="1" thickBot="1">
      <c r="A150" s="1"/>
      <c r="B150" s="1">
        <f t="shared" si="6"/>
        <v>0</v>
      </c>
      <c r="D150" s="98"/>
      <c r="E150" s="239"/>
      <c r="F150" s="243"/>
      <c r="G150" s="243"/>
      <c r="H150" s="243"/>
      <c r="I150" s="243"/>
      <c r="J150" s="243"/>
      <c r="K150" s="243"/>
      <c r="L150" s="366"/>
      <c r="M150" s="46"/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56"/>
      <c r="Y150" s="253"/>
      <c r="Z150" s="254"/>
      <c r="AA150" s="254"/>
      <c r="AB150" s="254"/>
      <c r="AC150" s="254"/>
      <c r="AD150" s="254"/>
      <c r="AE150" s="254"/>
      <c r="AF150" s="254"/>
      <c r="AG150" s="254"/>
      <c r="AH150" s="254"/>
      <c r="AI150" s="254"/>
      <c r="AJ150" s="254"/>
      <c r="AK150" s="254"/>
      <c r="AL150" s="254"/>
      <c r="AM150" s="254"/>
      <c r="AN150" s="254"/>
      <c r="AO150" s="254"/>
      <c r="AP150" s="254"/>
      <c r="AQ150" s="254"/>
      <c r="AR150" s="254"/>
      <c r="AS150" s="254"/>
      <c r="AT150" s="254"/>
      <c r="AU150" s="254"/>
      <c r="AV150" s="254"/>
      <c r="AW150" s="254"/>
      <c r="AX150" s="256"/>
      <c r="AZ150" s="254" t="str">
        <f ca="1"/>
        <v/>
      </c>
      <c r="BA150" s="254" t="str">
        <f ca="1"/>
        <v/>
      </c>
      <c r="BB150" s="254" t="str">
        <f ca="1"/>
        <v/>
      </c>
      <c r="BC150" s="254" t="str">
        <f ca="1"/>
        <v/>
      </c>
      <c r="BD150" s="256">
        <f ca="1"/>
        <v>0</v>
      </c>
      <c r="BF150" s="254"/>
      <c r="BG150" s="254"/>
      <c r="BH150" s="254"/>
      <c r="BI150" s="254"/>
      <c r="BJ150" s="243"/>
      <c r="BK150" s="254"/>
      <c r="BL150" s="256"/>
      <c r="BM150" s="46"/>
      <c r="BN150" s="256">
        <f ca="1"/>
        <v>0</v>
      </c>
      <c r="BP150" s="248">
        <f ca="1"/>
        <v>0</v>
      </c>
      <c r="BR150" s="248">
        <f ca="1"/>
        <v>0</v>
      </c>
      <c r="BT150" s="248">
        <f ca="1"/>
        <v>0</v>
      </c>
      <c r="BU150" s="248">
        <f ca="1"/>
        <v>0</v>
      </c>
    </row>
    <row r="151" spans="1:73" ht="16" hidden="1" thickTop="1" thickBot="1">
      <c r="A151" s="1"/>
      <c r="B151" s="1">
        <f t="shared" si="6"/>
        <v>0</v>
      </c>
      <c r="D151" s="98"/>
      <c r="E151" s="239"/>
      <c r="F151" s="243"/>
      <c r="G151" s="243"/>
      <c r="H151" s="243"/>
      <c r="I151" s="243"/>
      <c r="J151" s="243"/>
      <c r="K151" s="243"/>
      <c r="L151" s="366"/>
      <c r="M151" s="46"/>
      <c r="N151" s="243"/>
      <c r="O151" s="243"/>
      <c r="P151" s="243"/>
      <c r="Q151" s="243"/>
      <c r="R151" s="243"/>
      <c r="S151" s="243"/>
      <c r="T151" s="243"/>
      <c r="U151" s="243"/>
      <c r="V151" s="243"/>
      <c r="W151" s="243"/>
      <c r="X151" s="256"/>
      <c r="Y151" s="253"/>
      <c r="Z151" s="254"/>
      <c r="AA151" s="254"/>
      <c r="AB151" s="254"/>
      <c r="AC151" s="254"/>
      <c r="AD151" s="254"/>
      <c r="AE151" s="254"/>
      <c r="AF151" s="254"/>
      <c r="AG151" s="254"/>
      <c r="AH151" s="254"/>
      <c r="AI151" s="254"/>
      <c r="AJ151" s="254"/>
      <c r="AK151" s="254"/>
      <c r="AL151" s="254"/>
      <c r="AM151" s="254"/>
      <c r="AN151" s="254"/>
      <c r="AO151" s="254"/>
      <c r="AP151" s="254"/>
      <c r="AQ151" s="254"/>
      <c r="AR151" s="254"/>
      <c r="AS151" s="254"/>
      <c r="AT151" s="254"/>
      <c r="AU151" s="254"/>
      <c r="AV151" s="254"/>
      <c r="AW151" s="254"/>
      <c r="AX151" s="256"/>
      <c r="AZ151" s="254" t="str">
        <f ca="1"/>
        <v/>
      </c>
      <c r="BA151" s="254" t="str">
        <f ca="1"/>
        <v/>
      </c>
      <c r="BB151" s="254" t="str">
        <f ca="1"/>
        <v/>
      </c>
      <c r="BC151" s="254" t="str">
        <f ca="1"/>
        <v/>
      </c>
      <c r="BD151" s="256">
        <f ca="1"/>
        <v>0</v>
      </c>
      <c r="BF151" s="254"/>
      <c r="BG151" s="254"/>
      <c r="BH151" s="254"/>
      <c r="BI151" s="254"/>
      <c r="BJ151" s="243"/>
      <c r="BK151" s="254"/>
      <c r="BL151" s="256"/>
      <c r="BM151" s="46"/>
      <c r="BN151" s="256">
        <f ca="1"/>
        <v>0</v>
      </c>
      <c r="BP151" s="248">
        <f ca="1"/>
        <v>0</v>
      </c>
      <c r="BR151" s="248">
        <f ca="1"/>
        <v>0</v>
      </c>
      <c r="BT151" s="248">
        <f ca="1"/>
        <v>0</v>
      </c>
      <c r="BU151" s="248">
        <f ca="1"/>
        <v>0</v>
      </c>
    </row>
    <row r="152" spans="1:73" ht="16" hidden="1" thickTop="1" thickBot="1">
      <c r="A152" s="1"/>
      <c r="B152" s="1">
        <f t="shared" si="6"/>
        <v>0</v>
      </c>
      <c r="D152" s="98"/>
      <c r="E152" s="239"/>
      <c r="F152" s="243"/>
      <c r="G152" s="243"/>
      <c r="H152" s="243"/>
      <c r="I152" s="243"/>
      <c r="J152" s="243"/>
      <c r="K152" s="243"/>
      <c r="L152" s="366"/>
      <c r="M152" s="46"/>
      <c r="N152" s="243"/>
      <c r="O152" s="243"/>
      <c r="P152" s="243"/>
      <c r="Q152" s="243"/>
      <c r="R152" s="243"/>
      <c r="S152" s="243"/>
      <c r="T152" s="243"/>
      <c r="U152" s="243"/>
      <c r="V152" s="243"/>
      <c r="W152" s="243"/>
      <c r="X152" s="256"/>
      <c r="Y152" s="253"/>
      <c r="Z152" s="254"/>
      <c r="AA152" s="254"/>
      <c r="AB152" s="254"/>
      <c r="AC152" s="254"/>
      <c r="AD152" s="254"/>
      <c r="AE152" s="254"/>
      <c r="AF152" s="254"/>
      <c r="AG152" s="254"/>
      <c r="AH152" s="254"/>
      <c r="AI152" s="254"/>
      <c r="AJ152" s="254"/>
      <c r="AK152" s="254"/>
      <c r="AL152" s="254"/>
      <c r="AM152" s="254"/>
      <c r="AN152" s="254"/>
      <c r="AO152" s="254"/>
      <c r="AP152" s="254"/>
      <c r="AQ152" s="254"/>
      <c r="AR152" s="254"/>
      <c r="AS152" s="254"/>
      <c r="AT152" s="254"/>
      <c r="AU152" s="254"/>
      <c r="AV152" s="254"/>
      <c r="AW152" s="254"/>
      <c r="AX152" s="256"/>
      <c r="AZ152" s="254" t="str">
        <f ca="1"/>
        <v/>
      </c>
      <c r="BA152" s="254" t="str">
        <f ca="1"/>
        <v/>
      </c>
      <c r="BB152" s="254" t="str">
        <f ca="1"/>
        <v/>
      </c>
      <c r="BC152" s="254" t="str">
        <f ca="1"/>
        <v/>
      </c>
      <c r="BD152" s="256">
        <f ca="1"/>
        <v>0</v>
      </c>
      <c r="BF152" s="254"/>
      <c r="BG152" s="254"/>
      <c r="BH152" s="254"/>
      <c r="BI152" s="254"/>
      <c r="BJ152" s="243"/>
      <c r="BK152" s="254"/>
      <c r="BL152" s="256"/>
      <c r="BM152" s="46"/>
      <c r="BN152" s="256">
        <f ca="1"/>
        <v>0</v>
      </c>
      <c r="BP152" s="248">
        <f ca="1"/>
        <v>0</v>
      </c>
      <c r="BR152" s="248">
        <f ca="1"/>
        <v>0</v>
      </c>
      <c r="BT152" s="248">
        <f ca="1"/>
        <v>0</v>
      </c>
      <c r="BU152" s="248">
        <f ca="1"/>
        <v>0</v>
      </c>
    </row>
    <row r="153" spans="1:73" ht="16" hidden="1" thickTop="1" thickBot="1">
      <c r="A153" s="1"/>
      <c r="B153" s="1">
        <f t="shared" si="6"/>
        <v>0</v>
      </c>
      <c r="D153" s="98"/>
      <c r="E153" s="239"/>
      <c r="F153" s="243"/>
      <c r="G153" s="243"/>
      <c r="H153" s="243"/>
      <c r="I153" s="243"/>
      <c r="J153" s="243"/>
      <c r="K153" s="243"/>
      <c r="L153" s="366"/>
      <c r="M153" s="46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56"/>
      <c r="Y153" s="253"/>
      <c r="Z153" s="254"/>
      <c r="AA153" s="254"/>
      <c r="AB153" s="254"/>
      <c r="AC153" s="254"/>
      <c r="AD153" s="254"/>
      <c r="AE153" s="254"/>
      <c r="AF153" s="254"/>
      <c r="AG153" s="254"/>
      <c r="AH153" s="254"/>
      <c r="AI153" s="254"/>
      <c r="AJ153" s="254"/>
      <c r="AK153" s="254"/>
      <c r="AL153" s="254"/>
      <c r="AM153" s="254"/>
      <c r="AN153" s="254"/>
      <c r="AO153" s="254"/>
      <c r="AP153" s="254"/>
      <c r="AQ153" s="254"/>
      <c r="AR153" s="254"/>
      <c r="AS153" s="254"/>
      <c r="AT153" s="254"/>
      <c r="AU153" s="254"/>
      <c r="AV153" s="254"/>
      <c r="AW153" s="254"/>
      <c r="AX153" s="256"/>
      <c r="AZ153" s="254" t="str">
        <f ca="1"/>
        <v/>
      </c>
      <c r="BA153" s="254" t="str">
        <f ca="1"/>
        <v/>
      </c>
      <c r="BB153" s="254" t="str">
        <f ca="1"/>
        <v/>
      </c>
      <c r="BC153" s="254" t="str">
        <f ca="1"/>
        <v/>
      </c>
      <c r="BD153" s="256">
        <f ca="1"/>
        <v>0</v>
      </c>
      <c r="BF153" s="254"/>
      <c r="BG153" s="254"/>
      <c r="BH153" s="254"/>
      <c r="BI153" s="254"/>
      <c r="BJ153" s="243"/>
      <c r="BK153" s="254"/>
      <c r="BL153" s="256"/>
      <c r="BM153" s="46"/>
      <c r="BN153" s="256">
        <f ca="1"/>
        <v>0</v>
      </c>
      <c r="BP153" s="248">
        <f ca="1"/>
        <v>0</v>
      </c>
      <c r="BR153" s="248">
        <f ca="1"/>
        <v>0</v>
      </c>
      <c r="BT153" s="248">
        <f ca="1"/>
        <v>0</v>
      </c>
      <c r="BU153" s="248">
        <f ca="1"/>
        <v>0</v>
      </c>
    </row>
    <row r="154" spans="1:73" ht="16" hidden="1" thickTop="1" thickBot="1">
      <c r="A154" s="1"/>
      <c r="B154" s="1">
        <f t="shared" si="6"/>
        <v>0</v>
      </c>
      <c r="D154" s="98"/>
      <c r="E154" s="239"/>
      <c r="F154" s="243"/>
      <c r="G154" s="243"/>
      <c r="H154" s="243"/>
      <c r="I154" s="243"/>
      <c r="J154" s="243"/>
      <c r="K154" s="243"/>
      <c r="L154" s="366"/>
      <c r="M154" s="46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56"/>
      <c r="Y154" s="253"/>
      <c r="Z154" s="254"/>
      <c r="AA154" s="254"/>
      <c r="AB154" s="254"/>
      <c r="AC154" s="254"/>
      <c r="AD154" s="254"/>
      <c r="AE154" s="254"/>
      <c r="AF154" s="254"/>
      <c r="AG154" s="254"/>
      <c r="AH154" s="254"/>
      <c r="AI154" s="254"/>
      <c r="AJ154" s="254"/>
      <c r="AK154" s="254"/>
      <c r="AL154" s="254"/>
      <c r="AM154" s="254"/>
      <c r="AN154" s="254"/>
      <c r="AO154" s="254"/>
      <c r="AP154" s="254"/>
      <c r="AQ154" s="254"/>
      <c r="AR154" s="254"/>
      <c r="AS154" s="254"/>
      <c r="AT154" s="254"/>
      <c r="AU154" s="254"/>
      <c r="AV154" s="254"/>
      <c r="AW154" s="254"/>
      <c r="AX154" s="256"/>
      <c r="AZ154" s="254" t="str">
        <f ca="1"/>
        <v/>
      </c>
      <c r="BA154" s="254" t="str">
        <f ca="1"/>
        <v/>
      </c>
      <c r="BB154" s="254" t="str">
        <f ca="1"/>
        <v/>
      </c>
      <c r="BC154" s="254" t="str">
        <f ca="1"/>
        <v/>
      </c>
      <c r="BD154" s="256">
        <f ca="1"/>
        <v>0</v>
      </c>
      <c r="BF154" s="254"/>
      <c r="BG154" s="254"/>
      <c r="BH154" s="254"/>
      <c r="BI154" s="254"/>
      <c r="BJ154" s="243"/>
      <c r="BK154" s="254"/>
      <c r="BL154" s="256"/>
      <c r="BM154" s="46"/>
      <c r="BN154" s="256">
        <f ca="1"/>
        <v>0</v>
      </c>
      <c r="BP154" s="248">
        <f ca="1"/>
        <v>0</v>
      </c>
      <c r="BR154" s="248">
        <f ca="1"/>
        <v>0</v>
      </c>
      <c r="BT154" s="248">
        <f ca="1"/>
        <v>0</v>
      </c>
      <c r="BU154" s="248">
        <f ca="1"/>
        <v>0</v>
      </c>
    </row>
    <row r="155" spans="1:73" ht="16" hidden="1" thickTop="1" thickBot="1">
      <c r="A155" s="1"/>
      <c r="B155" s="1">
        <f t="shared" si="6"/>
        <v>0</v>
      </c>
      <c r="D155" s="98"/>
      <c r="E155" s="239"/>
      <c r="F155" s="243"/>
      <c r="G155" s="243"/>
      <c r="H155" s="243"/>
      <c r="I155" s="243"/>
      <c r="J155" s="243"/>
      <c r="K155" s="243"/>
      <c r="L155" s="366"/>
      <c r="M155" s="46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56"/>
      <c r="Y155" s="253"/>
      <c r="Z155" s="254"/>
      <c r="AA155" s="254"/>
      <c r="AB155" s="254"/>
      <c r="AC155" s="254"/>
      <c r="AD155" s="254"/>
      <c r="AE155" s="254"/>
      <c r="AF155" s="254"/>
      <c r="AG155" s="254"/>
      <c r="AH155" s="254"/>
      <c r="AI155" s="254"/>
      <c r="AJ155" s="254"/>
      <c r="AK155" s="254"/>
      <c r="AL155" s="254"/>
      <c r="AM155" s="254"/>
      <c r="AN155" s="254"/>
      <c r="AO155" s="254"/>
      <c r="AP155" s="254"/>
      <c r="AQ155" s="254"/>
      <c r="AR155" s="254"/>
      <c r="AS155" s="254"/>
      <c r="AT155" s="254"/>
      <c r="AU155" s="254"/>
      <c r="AV155" s="254"/>
      <c r="AW155" s="254"/>
      <c r="AX155" s="256"/>
      <c r="AZ155" s="254" t="str">
        <f ca="1"/>
        <v/>
      </c>
      <c r="BA155" s="254" t="str">
        <f ca="1"/>
        <v/>
      </c>
      <c r="BB155" s="254" t="str">
        <f ca="1"/>
        <v/>
      </c>
      <c r="BC155" s="254" t="str">
        <f ca="1"/>
        <v/>
      </c>
      <c r="BD155" s="256">
        <f ca="1"/>
        <v>0</v>
      </c>
      <c r="BF155" s="254"/>
      <c r="BG155" s="254"/>
      <c r="BH155" s="254"/>
      <c r="BI155" s="254"/>
      <c r="BJ155" s="243"/>
      <c r="BK155" s="254"/>
      <c r="BL155" s="256"/>
      <c r="BM155" s="46"/>
      <c r="BN155" s="256">
        <f ca="1"/>
        <v>0</v>
      </c>
      <c r="BP155" s="248">
        <f ca="1"/>
        <v>0</v>
      </c>
      <c r="BR155" s="248">
        <f ca="1"/>
        <v>0</v>
      </c>
      <c r="BT155" s="248">
        <f ca="1"/>
        <v>0</v>
      </c>
      <c r="BU155" s="248">
        <f ca="1"/>
        <v>0</v>
      </c>
    </row>
    <row r="156" spans="1:73" ht="16" hidden="1" thickTop="1" thickBot="1">
      <c r="A156" s="1"/>
      <c r="B156" s="1">
        <f t="shared" si="6"/>
        <v>0</v>
      </c>
      <c r="D156" s="98"/>
      <c r="E156" s="239"/>
      <c r="F156" s="243"/>
      <c r="G156" s="243"/>
      <c r="H156" s="243"/>
      <c r="I156" s="243"/>
      <c r="J156" s="243"/>
      <c r="K156" s="243"/>
      <c r="L156" s="366"/>
      <c r="M156" s="46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56"/>
      <c r="Y156" s="253"/>
      <c r="Z156" s="254"/>
      <c r="AA156" s="254"/>
      <c r="AB156" s="254"/>
      <c r="AC156" s="254"/>
      <c r="AD156" s="254"/>
      <c r="AE156" s="254"/>
      <c r="AF156" s="254"/>
      <c r="AG156" s="254"/>
      <c r="AH156" s="254"/>
      <c r="AI156" s="254"/>
      <c r="AJ156" s="254"/>
      <c r="AK156" s="254"/>
      <c r="AL156" s="254"/>
      <c r="AM156" s="254"/>
      <c r="AN156" s="254"/>
      <c r="AO156" s="254"/>
      <c r="AP156" s="254"/>
      <c r="AQ156" s="254"/>
      <c r="AR156" s="254"/>
      <c r="AS156" s="254"/>
      <c r="AT156" s="254"/>
      <c r="AU156" s="254"/>
      <c r="AV156" s="254"/>
      <c r="AW156" s="254"/>
      <c r="AX156" s="256"/>
      <c r="AZ156" s="254" t="str">
        <f ca="1"/>
        <v/>
      </c>
      <c r="BA156" s="254" t="str">
        <f ca="1"/>
        <v/>
      </c>
      <c r="BB156" s="254" t="str">
        <f ca="1"/>
        <v/>
      </c>
      <c r="BC156" s="254" t="str">
        <f ca="1"/>
        <v/>
      </c>
      <c r="BD156" s="256">
        <f ca="1"/>
        <v>0</v>
      </c>
      <c r="BF156" s="254"/>
      <c r="BG156" s="254"/>
      <c r="BH156" s="254"/>
      <c r="BI156" s="254"/>
      <c r="BJ156" s="243"/>
      <c r="BK156" s="254"/>
      <c r="BL156" s="256"/>
      <c r="BM156" s="46"/>
      <c r="BN156" s="256">
        <f ca="1"/>
        <v>0</v>
      </c>
      <c r="BP156" s="248">
        <f ca="1"/>
        <v>0</v>
      </c>
      <c r="BR156" s="248">
        <f ca="1"/>
        <v>0</v>
      </c>
      <c r="BT156" s="248">
        <f ca="1"/>
        <v>0</v>
      </c>
      <c r="BU156" s="248">
        <f ca="1"/>
        <v>0</v>
      </c>
    </row>
    <row r="157" spans="1:73" ht="16" hidden="1" thickTop="1" thickBot="1">
      <c r="A157" s="1"/>
      <c r="B157" s="1">
        <f t="shared" si="6"/>
        <v>0</v>
      </c>
      <c r="D157" s="98"/>
      <c r="E157" s="239"/>
      <c r="F157" s="243"/>
      <c r="G157" s="243"/>
      <c r="H157" s="243"/>
      <c r="I157" s="243"/>
      <c r="J157" s="243"/>
      <c r="K157" s="243"/>
      <c r="L157" s="366"/>
      <c r="M157" s="46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56"/>
      <c r="Y157" s="253"/>
      <c r="Z157" s="254"/>
      <c r="AA157" s="254"/>
      <c r="AB157" s="254"/>
      <c r="AC157" s="254"/>
      <c r="AD157" s="254"/>
      <c r="AE157" s="254"/>
      <c r="AF157" s="254"/>
      <c r="AG157" s="254"/>
      <c r="AH157" s="254"/>
      <c r="AI157" s="254"/>
      <c r="AJ157" s="254"/>
      <c r="AK157" s="254"/>
      <c r="AL157" s="254"/>
      <c r="AM157" s="254"/>
      <c r="AN157" s="254"/>
      <c r="AO157" s="254"/>
      <c r="AP157" s="254"/>
      <c r="AQ157" s="254"/>
      <c r="AR157" s="254"/>
      <c r="AS157" s="254"/>
      <c r="AT157" s="254"/>
      <c r="AU157" s="254"/>
      <c r="AV157" s="254"/>
      <c r="AW157" s="254"/>
      <c r="AX157" s="256"/>
      <c r="AZ157" s="254" t="str">
        <f ca="1"/>
        <v/>
      </c>
      <c r="BA157" s="254" t="str">
        <f ca="1"/>
        <v/>
      </c>
      <c r="BB157" s="254" t="str">
        <f ca="1"/>
        <v/>
      </c>
      <c r="BC157" s="254" t="str">
        <f ca="1"/>
        <v/>
      </c>
      <c r="BD157" s="256">
        <f ca="1"/>
        <v>0</v>
      </c>
      <c r="BF157" s="254"/>
      <c r="BG157" s="254"/>
      <c r="BH157" s="254"/>
      <c r="BI157" s="254"/>
      <c r="BJ157" s="243"/>
      <c r="BK157" s="254"/>
      <c r="BL157" s="256"/>
      <c r="BM157" s="46"/>
      <c r="BN157" s="256">
        <f ca="1"/>
        <v>0</v>
      </c>
      <c r="BP157" s="248">
        <f ca="1"/>
        <v>0</v>
      </c>
      <c r="BR157" s="248">
        <f ca="1"/>
        <v>0</v>
      </c>
      <c r="BT157" s="248">
        <f ca="1"/>
        <v>0</v>
      </c>
      <c r="BU157" s="248">
        <f ca="1"/>
        <v>0</v>
      </c>
    </row>
    <row r="158" spans="1:73" ht="16" hidden="1" thickTop="1" thickBot="1">
      <c r="A158" s="1"/>
      <c r="B158" s="1">
        <f t="shared" si="6"/>
        <v>0</v>
      </c>
      <c r="D158" s="98"/>
      <c r="E158" s="239"/>
      <c r="F158" s="243"/>
      <c r="G158" s="243"/>
      <c r="H158" s="243"/>
      <c r="I158" s="243"/>
      <c r="J158" s="243"/>
      <c r="K158" s="243"/>
      <c r="L158" s="366"/>
      <c r="M158" s="46"/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56"/>
      <c r="Y158" s="253"/>
      <c r="Z158" s="254"/>
      <c r="AA158" s="254"/>
      <c r="AB158" s="254"/>
      <c r="AC158" s="254"/>
      <c r="AD158" s="254"/>
      <c r="AE158" s="254"/>
      <c r="AF158" s="254"/>
      <c r="AG158" s="254"/>
      <c r="AH158" s="254"/>
      <c r="AI158" s="254"/>
      <c r="AJ158" s="254"/>
      <c r="AK158" s="254"/>
      <c r="AL158" s="254"/>
      <c r="AM158" s="254"/>
      <c r="AN158" s="254"/>
      <c r="AO158" s="254"/>
      <c r="AP158" s="254"/>
      <c r="AQ158" s="254"/>
      <c r="AR158" s="254"/>
      <c r="AS158" s="254"/>
      <c r="AT158" s="254"/>
      <c r="AU158" s="254"/>
      <c r="AV158" s="254"/>
      <c r="AW158" s="254"/>
      <c r="AX158" s="256"/>
      <c r="AZ158" s="254" t="str">
        <f ca="1"/>
        <v/>
      </c>
      <c r="BA158" s="254" t="str">
        <f ca="1"/>
        <v/>
      </c>
      <c r="BB158" s="254" t="str">
        <f ca="1"/>
        <v/>
      </c>
      <c r="BC158" s="254" t="str">
        <f ca="1"/>
        <v/>
      </c>
      <c r="BD158" s="256">
        <f ca="1"/>
        <v>0</v>
      </c>
      <c r="BF158" s="254"/>
      <c r="BG158" s="254"/>
      <c r="BH158" s="254"/>
      <c r="BI158" s="254"/>
      <c r="BJ158" s="243"/>
      <c r="BK158" s="254"/>
      <c r="BL158" s="256"/>
      <c r="BM158" s="46"/>
      <c r="BN158" s="256">
        <f ca="1"/>
        <v>0</v>
      </c>
      <c r="BP158" s="248">
        <f ca="1"/>
        <v>0</v>
      </c>
      <c r="BR158" s="248">
        <f ca="1"/>
        <v>0</v>
      </c>
      <c r="BT158" s="248">
        <f ca="1"/>
        <v>0</v>
      </c>
      <c r="BU158" s="248">
        <f ca="1"/>
        <v>0</v>
      </c>
    </row>
    <row r="159" spans="1:73" ht="16" hidden="1" thickTop="1" thickBot="1">
      <c r="A159" s="1"/>
      <c r="B159" s="1">
        <f t="shared" si="6"/>
        <v>0</v>
      </c>
      <c r="D159" s="98"/>
      <c r="E159" s="239"/>
      <c r="F159" s="243"/>
      <c r="G159" s="243"/>
      <c r="H159" s="243"/>
      <c r="I159" s="243"/>
      <c r="J159" s="243"/>
      <c r="K159" s="243"/>
      <c r="L159" s="366"/>
      <c r="M159" s="46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56"/>
      <c r="Y159" s="253"/>
      <c r="Z159" s="254"/>
      <c r="AA159" s="254"/>
      <c r="AB159" s="254"/>
      <c r="AC159" s="254"/>
      <c r="AD159" s="254"/>
      <c r="AE159" s="254"/>
      <c r="AF159" s="254"/>
      <c r="AG159" s="254"/>
      <c r="AH159" s="254"/>
      <c r="AI159" s="254"/>
      <c r="AJ159" s="254"/>
      <c r="AK159" s="254"/>
      <c r="AL159" s="254"/>
      <c r="AM159" s="254"/>
      <c r="AN159" s="254"/>
      <c r="AO159" s="254"/>
      <c r="AP159" s="254"/>
      <c r="AQ159" s="254"/>
      <c r="AR159" s="254"/>
      <c r="AS159" s="254"/>
      <c r="AT159" s="254"/>
      <c r="AU159" s="254"/>
      <c r="AV159" s="254"/>
      <c r="AW159" s="254"/>
      <c r="AX159" s="256"/>
      <c r="AZ159" s="254" t="str">
        <f ca="1"/>
        <v/>
      </c>
      <c r="BA159" s="254" t="str">
        <f ca="1"/>
        <v/>
      </c>
      <c r="BB159" s="254" t="str">
        <f ca="1"/>
        <v/>
      </c>
      <c r="BC159" s="254" t="str">
        <f ca="1"/>
        <v/>
      </c>
      <c r="BD159" s="256">
        <f ca="1"/>
        <v>0</v>
      </c>
      <c r="BF159" s="254"/>
      <c r="BG159" s="254"/>
      <c r="BH159" s="254"/>
      <c r="BI159" s="254"/>
      <c r="BJ159" s="243"/>
      <c r="BK159" s="254"/>
      <c r="BL159" s="256"/>
      <c r="BM159" s="46"/>
      <c r="BN159" s="256">
        <f ca="1"/>
        <v>0</v>
      </c>
      <c r="BP159" s="248">
        <f ca="1"/>
        <v>0</v>
      </c>
      <c r="BR159" s="248">
        <f ca="1"/>
        <v>0</v>
      </c>
      <c r="BT159" s="248">
        <f ca="1"/>
        <v>0</v>
      </c>
      <c r="BU159" s="248">
        <f ca="1"/>
        <v>0</v>
      </c>
    </row>
    <row r="160" spans="1:73" ht="16" hidden="1" thickTop="1" thickBot="1">
      <c r="A160" s="1"/>
      <c r="B160" s="1">
        <f t="shared" si="6"/>
        <v>0</v>
      </c>
      <c r="D160" s="98"/>
      <c r="E160" s="239"/>
      <c r="F160" s="243"/>
      <c r="G160" s="243"/>
      <c r="H160" s="243"/>
      <c r="I160" s="243"/>
      <c r="J160" s="243"/>
      <c r="K160" s="243"/>
      <c r="L160" s="366"/>
      <c r="M160" s="46"/>
      <c r="N160" s="243"/>
      <c r="O160" s="243"/>
      <c r="P160" s="243"/>
      <c r="Q160" s="243"/>
      <c r="R160" s="243"/>
      <c r="S160" s="243"/>
      <c r="T160" s="243"/>
      <c r="U160" s="243"/>
      <c r="V160" s="243"/>
      <c r="W160" s="243"/>
      <c r="X160" s="256"/>
      <c r="Y160" s="253"/>
      <c r="Z160" s="254"/>
      <c r="AA160" s="254"/>
      <c r="AB160" s="254"/>
      <c r="AC160" s="254"/>
      <c r="AD160" s="254"/>
      <c r="AE160" s="254"/>
      <c r="AF160" s="254"/>
      <c r="AG160" s="254"/>
      <c r="AH160" s="254"/>
      <c r="AI160" s="254"/>
      <c r="AJ160" s="254"/>
      <c r="AK160" s="254"/>
      <c r="AL160" s="254"/>
      <c r="AM160" s="254"/>
      <c r="AN160" s="254"/>
      <c r="AO160" s="254"/>
      <c r="AP160" s="254"/>
      <c r="AQ160" s="254"/>
      <c r="AR160" s="254"/>
      <c r="AS160" s="254"/>
      <c r="AT160" s="254"/>
      <c r="AU160" s="254"/>
      <c r="AV160" s="254"/>
      <c r="AW160" s="254"/>
      <c r="AX160" s="256"/>
      <c r="AZ160" s="254" t="str">
        <f ca="1"/>
        <v/>
      </c>
      <c r="BA160" s="254" t="str">
        <f ca="1"/>
        <v/>
      </c>
      <c r="BB160" s="254" t="str">
        <f ca="1"/>
        <v/>
      </c>
      <c r="BC160" s="254" t="str">
        <f ca="1"/>
        <v/>
      </c>
      <c r="BD160" s="256">
        <f ca="1"/>
        <v>0</v>
      </c>
      <c r="BF160" s="254"/>
      <c r="BG160" s="254"/>
      <c r="BH160" s="254"/>
      <c r="BI160" s="254"/>
      <c r="BJ160" s="243"/>
      <c r="BK160" s="254"/>
      <c r="BL160" s="256"/>
      <c r="BM160" s="46"/>
      <c r="BN160" s="256">
        <f ca="1"/>
        <v>0</v>
      </c>
      <c r="BP160" s="248">
        <f ca="1"/>
        <v>0</v>
      </c>
      <c r="BR160" s="248">
        <f ca="1"/>
        <v>0</v>
      </c>
      <c r="BT160" s="248">
        <f ca="1"/>
        <v>0</v>
      </c>
      <c r="BU160" s="248">
        <f ca="1"/>
        <v>0</v>
      </c>
    </row>
    <row r="161" spans="1:73" ht="16" hidden="1" thickTop="1" thickBot="1">
      <c r="A161" s="1"/>
      <c r="B161" s="1">
        <f t="shared" si="6"/>
        <v>0</v>
      </c>
      <c r="D161" s="98"/>
      <c r="E161" s="239"/>
      <c r="F161" s="243"/>
      <c r="G161" s="243"/>
      <c r="H161" s="243"/>
      <c r="I161" s="243"/>
      <c r="J161" s="243"/>
      <c r="K161" s="243"/>
      <c r="L161" s="366"/>
      <c r="M161" s="46"/>
      <c r="N161" s="243"/>
      <c r="O161" s="243"/>
      <c r="P161" s="243"/>
      <c r="Q161" s="243"/>
      <c r="R161" s="243"/>
      <c r="S161" s="243"/>
      <c r="T161" s="243"/>
      <c r="U161" s="243"/>
      <c r="V161" s="243"/>
      <c r="W161" s="243"/>
      <c r="X161" s="256"/>
      <c r="Y161" s="253"/>
      <c r="Z161" s="254"/>
      <c r="AA161" s="254"/>
      <c r="AB161" s="254"/>
      <c r="AC161" s="254"/>
      <c r="AD161" s="254"/>
      <c r="AE161" s="254"/>
      <c r="AF161" s="254"/>
      <c r="AG161" s="254"/>
      <c r="AH161" s="254"/>
      <c r="AI161" s="254"/>
      <c r="AJ161" s="254"/>
      <c r="AK161" s="254"/>
      <c r="AL161" s="254"/>
      <c r="AM161" s="254"/>
      <c r="AN161" s="254"/>
      <c r="AO161" s="254"/>
      <c r="AP161" s="254"/>
      <c r="AQ161" s="254"/>
      <c r="AR161" s="254"/>
      <c r="AS161" s="254"/>
      <c r="AT161" s="254"/>
      <c r="AU161" s="254"/>
      <c r="AV161" s="254"/>
      <c r="AW161" s="254"/>
      <c r="AX161" s="256"/>
      <c r="AZ161" s="254" t="str">
        <f ca="1"/>
        <v/>
      </c>
      <c r="BA161" s="254" t="str">
        <f ca="1"/>
        <v/>
      </c>
      <c r="BB161" s="254" t="str">
        <f ca="1"/>
        <v/>
      </c>
      <c r="BC161" s="254" t="str">
        <f ca="1"/>
        <v/>
      </c>
      <c r="BD161" s="256">
        <f ca="1"/>
        <v>0</v>
      </c>
      <c r="BF161" s="254"/>
      <c r="BG161" s="254"/>
      <c r="BH161" s="254"/>
      <c r="BI161" s="254"/>
      <c r="BJ161" s="243"/>
      <c r="BK161" s="254"/>
      <c r="BL161" s="256"/>
      <c r="BM161" s="46"/>
      <c r="BN161" s="256">
        <f ca="1"/>
        <v>0</v>
      </c>
      <c r="BP161" s="248">
        <f ca="1"/>
        <v>0</v>
      </c>
      <c r="BR161" s="248">
        <f ca="1"/>
        <v>0</v>
      </c>
      <c r="BT161" s="248">
        <f ca="1"/>
        <v>0</v>
      </c>
      <c r="BU161" s="248">
        <f ca="1"/>
        <v>0</v>
      </c>
    </row>
    <row r="162" spans="1:73" ht="16" hidden="1" thickTop="1" thickBot="1">
      <c r="A162" s="1"/>
      <c r="B162" s="1">
        <f t="shared" si="6"/>
        <v>0</v>
      </c>
      <c r="D162" s="98"/>
      <c r="E162" s="239"/>
      <c r="F162" s="243"/>
      <c r="G162" s="243"/>
      <c r="H162" s="243"/>
      <c r="I162" s="243"/>
      <c r="J162" s="243"/>
      <c r="K162" s="243"/>
      <c r="L162" s="366"/>
      <c r="M162" s="46"/>
      <c r="N162" s="243"/>
      <c r="O162" s="243"/>
      <c r="P162" s="243"/>
      <c r="Q162" s="243"/>
      <c r="R162" s="243"/>
      <c r="S162" s="243"/>
      <c r="T162" s="243"/>
      <c r="U162" s="243"/>
      <c r="V162" s="243"/>
      <c r="W162" s="243"/>
      <c r="X162" s="256"/>
      <c r="Y162" s="253"/>
      <c r="Z162" s="254"/>
      <c r="AA162" s="254"/>
      <c r="AB162" s="254"/>
      <c r="AC162" s="254"/>
      <c r="AD162" s="254"/>
      <c r="AE162" s="254"/>
      <c r="AF162" s="254"/>
      <c r="AG162" s="254"/>
      <c r="AH162" s="254"/>
      <c r="AI162" s="254"/>
      <c r="AJ162" s="254"/>
      <c r="AK162" s="254"/>
      <c r="AL162" s="254"/>
      <c r="AM162" s="254"/>
      <c r="AN162" s="254"/>
      <c r="AO162" s="254"/>
      <c r="AP162" s="254"/>
      <c r="AQ162" s="254"/>
      <c r="AR162" s="254"/>
      <c r="AS162" s="254"/>
      <c r="AT162" s="254"/>
      <c r="AU162" s="254"/>
      <c r="AV162" s="254"/>
      <c r="AW162" s="254"/>
      <c r="AX162" s="256"/>
      <c r="AZ162" s="254" t="str">
        <f ca="1"/>
        <v/>
      </c>
      <c r="BA162" s="254" t="str">
        <f ca="1"/>
        <v/>
      </c>
      <c r="BB162" s="254" t="str">
        <f ca="1"/>
        <v/>
      </c>
      <c r="BC162" s="254" t="str">
        <f ca="1"/>
        <v/>
      </c>
      <c r="BD162" s="256">
        <f ca="1"/>
        <v>0</v>
      </c>
      <c r="BF162" s="254"/>
      <c r="BG162" s="254"/>
      <c r="BH162" s="254"/>
      <c r="BI162" s="254"/>
      <c r="BJ162" s="243"/>
      <c r="BK162" s="254"/>
      <c r="BL162" s="256"/>
      <c r="BM162" s="46"/>
      <c r="BN162" s="256">
        <f ca="1"/>
        <v>0</v>
      </c>
      <c r="BP162" s="248">
        <f ca="1"/>
        <v>0</v>
      </c>
      <c r="BR162" s="248">
        <f ca="1"/>
        <v>0</v>
      </c>
      <c r="BT162" s="248">
        <f ca="1"/>
        <v>0</v>
      </c>
      <c r="BU162" s="248">
        <f ca="1"/>
        <v>0</v>
      </c>
    </row>
    <row r="163" spans="1:73" ht="16" hidden="1" thickTop="1" thickBot="1">
      <c r="A163" s="1"/>
      <c r="B163" s="1">
        <f t="shared" si="6"/>
        <v>0</v>
      </c>
      <c r="D163" s="98"/>
      <c r="E163" s="239"/>
      <c r="F163" s="243"/>
      <c r="G163" s="243"/>
      <c r="H163" s="243"/>
      <c r="I163" s="243"/>
      <c r="J163" s="243"/>
      <c r="K163" s="243"/>
      <c r="L163" s="366"/>
      <c r="M163" s="46"/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56"/>
      <c r="Y163" s="253"/>
      <c r="Z163" s="254"/>
      <c r="AA163" s="254"/>
      <c r="AB163" s="254"/>
      <c r="AC163" s="254"/>
      <c r="AD163" s="254"/>
      <c r="AE163" s="254"/>
      <c r="AF163" s="254"/>
      <c r="AG163" s="254"/>
      <c r="AH163" s="254"/>
      <c r="AI163" s="254"/>
      <c r="AJ163" s="254"/>
      <c r="AK163" s="254"/>
      <c r="AL163" s="254"/>
      <c r="AM163" s="254"/>
      <c r="AN163" s="254"/>
      <c r="AO163" s="254"/>
      <c r="AP163" s="254"/>
      <c r="AQ163" s="254"/>
      <c r="AR163" s="254"/>
      <c r="AS163" s="254"/>
      <c r="AT163" s="254"/>
      <c r="AU163" s="254"/>
      <c r="AV163" s="254"/>
      <c r="AW163" s="254"/>
      <c r="AX163" s="256"/>
      <c r="AZ163" s="254" t="str">
        <f ca="1"/>
        <v/>
      </c>
      <c r="BA163" s="254" t="str">
        <f ca="1"/>
        <v/>
      </c>
      <c r="BB163" s="254" t="str">
        <f ca="1"/>
        <v/>
      </c>
      <c r="BC163" s="254" t="str">
        <f ca="1"/>
        <v/>
      </c>
      <c r="BD163" s="256">
        <f ca="1"/>
        <v>0</v>
      </c>
      <c r="BF163" s="254"/>
      <c r="BG163" s="254"/>
      <c r="BH163" s="254"/>
      <c r="BI163" s="254"/>
      <c r="BJ163" s="243"/>
      <c r="BK163" s="254"/>
      <c r="BL163" s="256"/>
      <c r="BM163" s="46"/>
      <c r="BN163" s="256">
        <f ca="1"/>
        <v>0</v>
      </c>
      <c r="BP163" s="248">
        <f ca="1"/>
        <v>0</v>
      </c>
      <c r="BR163" s="248">
        <f ca="1"/>
        <v>0</v>
      </c>
      <c r="BT163" s="248">
        <f ca="1"/>
        <v>0</v>
      </c>
      <c r="BU163" s="248">
        <f ca="1"/>
        <v>0</v>
      </c>
    </row>
    <row r="164" spans="1:73" ht="16" hidden="1" thickTop="1" thickBot="1">
      <c r="A164" s="1"/>
      <c r="B164" s="1">
        <f t="shared" si="6"/>
        <v>0</v>
      </c>
      <c r="D164" s="98"/>
      <c r="E164" s="239"/>
      <c r="F164" s="243"/>
      <c r="G164" s="243"/>
      <c r="H164" s="243"/>
      <c r="I164" s="243"/>
      <c r="J164" s="243"/>
      <c r="K164" s="243"/>
      <c r="L164" s="366"/>
      <c r="M164" s="46"/>
      <c r="N164" s="243"/>
      <c r="O164" s="243"/>
      <c r="P164" s="243"/>
      <c r="Q164" s="243"/>
      <c r="R164" s="243"/>
      <c r="S164" s="243"/>
      <c r="T164" s="243"/>
      <c r="U164" s="243"/>
      <c r="V164" s="243"/>
      <c r="W164" s="243"/>
      <c r="X164" s="256"/>
      <c r="Y164" s="253"/>
      <c r="Z164" s="254"/>
      <c r="AA164" s="254"/>
      <c r="AB164" s="254"/>
      <c r="AC164" s="254"/>
      <c r="AD164" s="254"/>
      <c r="AE164" s="254"/>
      <c r="AF164" s="254"/>
      <c r="AG164" s="254"/>
      <c r="AH164" s="254"/>
      <c r="AI164" s="254"/>
      <c r="AJ164" s="254"/>
      <c r="AK164" s="254"/>
      <c r="AL164" s="254"/>
      <c r="AM164" s="254"/>
      <c r="AN164" s="254"/>
      <c r="AO164" s="254"/>
      <c r="AP164" s="254"/>
      <c r="AQ164" s="254"/>
      <c r="AR164" s="254"/>
      <c r="AS164" s="254"/>
      <c r="AT164" s="254"/>
      <c r="AU164" s="254"/>
      <c r="AV164" s="254"/>
      <c r="AW164" s="254"/>
      <c r="AX164" s="256"/>
      <c r="AZ164" s="254" t="str">
        <f ca="1"/>
        <v/>
      </c>
      <c r="BA164" s="254" t="str">
        <f ca="1"/>
        <v/>
      </c>
      <c r="BB164" s="254" t="str">
        <f ca="1"/>
        <v/>
      </c>
      <c r="BC164" s="254" t="str">
        <f ca="1"/>
        <v/>
      </c>
      <c r="BD164" s="256">
        <f ca="1"/>
        <v>0</v>
      </c>
      <c r="BF164" s="254"/>
      <c r="BG164" s="254"/>
      <c r="BH164" s="254"/>
      <c r="BI164" s="254"/>
      <c r="BJ164" s="243"/>
      <c r="BK164" s="254"/>
      <c r="BL164" s="256"/>
      <c r="BM164" s="46"/>
      <c r="BN164" s="256">
        <f ca="1"/>
        <v>0</v>
      </c>
      <c r="BP164" s="248">
        <f ca="1"/>
        <v>0</v>
      </c>
      <c r="BR164" s="248">
        <f ca="1"/>
        <v>0</v>
      </c>
      <c r="BT164" s="248">
        <f ca="1"/>
        <v>0</v>
      </c>
      <c r="BU164" s="248">
        <f ca="1"/>
        <v>0</v>
      </c>
    </row>
    <row r="165" spans="1:73" ht="16" hidden="1" thickTop="1" thickBot="1">
      <c r="A165" s="1"/>
      <c r="B165" s="1">
        <f t="shared" si="6"/>
        <v>0</v>
      </c>
      <c r="D165" s="98"/>
      <c r="E165" s="239"/>
      <c r="F165" s="243"/>
      <c r="G165" s="243"/>
      <c r="H165" s="243"/>
      <c r="I165" s="243"/>
      <c r="J165" s="243"/>
      <c r="K165" s="243"/>
      <c r="L165" s="366"/>
      <c r="M165" s="46"/>
      <c r="N165" s="243"/>
      <c r="O165" s="243"/>
      <c r="P165" s="243"/>
      <c r="Q165" s="243"/>
      <c r="R165" s="243"/>
      <c r="S165" s="243"/>
      <c r="T165" s="243"/>
      <c r="U165" s="243"/>
      <c r="V165" s="243"/>
      <c r="W165" s="243"/>
      <c r="X165" s="256"/>
      <c r="Y165" s="253"/>
      <c r="Z165" s="254"/>
      <c r="AA165" s="254"/>
      <c r="AB165" s="254"/>
      <c r="AC165" s="254"/>
      <c r="AD165" s="254"/>
      <c r="AE165" s="254"/>
      <c r="AF165" s="254"/>
      <c r="AG165" s="254"/>
      <c r="AH165" s="254"/>
      <c r="AI165" s="254"/>
      <c r="AJ165" s="254"/>
      <c r="AK165" s="254"/>
      <c r="AL165" s="254"/>
      <c r="AM165" s="254"/>
      <c r="AN165" s="254"/>
      <c r="AO165" s="254"/>
      <c r="AP165" s="254"/>
      <c r="AQ165" s="254"/>
      <c r="AR165" s="254"/>
      <c r="AS165" s="254"/>
      <c r="AT165" s="254"/>
      <c r="AU165" s="254"/>
      <c r="AV165" s="254"/>
      <c r="AW165" s="254"/>
      <c r="AX165" s="256"/>
      <c r="AZ165" s="254" t="str">
        <f ca="1"/>
        <v/>
      </c>
      <c r="BA165" s="254" t="str">
        <f ca="1"/>
        <v/>
      </c>
      <c r="BB165" s="254" t="str">
        <f ca="1"/>
        <v/>
      </c>
      <c r="BC165" s="254" t="str">
        <f ca="1"/>
        <v/>
      </c>
      <c r="BD165" s="256">
        <f ca="1"/>
        <v>0</v>
      </c>
      <c r="BF165" s="254"/>
      <c r="BG165" s="254"/>
      <c r="BH165" s="254"/>
      <c r="BI165" s="254"/>
      <c r="BJ165" s="243"/>
      <c r="BK165" s="254"/>
      <c r="BL165" s="256"/>
      <c r="BM165" s="46"/>
      <c r="BN165" s="256">
        <f ca="1"/>
        <v>0</v>
      </c>
      <c r="BP165" s="248">
        <f ca="1"/>
        <v>0</v>
      </c>
      <c r="BR165" s="248">
        <f ca="1"/>
        <v>0</v>
      </c>
      <c r="BT165" s="248">
        <f ca="1"/>
        <v>0</v>
      </c>
      <c r="BU165" s="248">
        <f ca="1"/>
        <v>0</v>
      </c>
    </row>
    <row r="166" spans="1:73" ht="16" hidden="1" thickTop="1" thickBot="1">
      <c r="A166" s="1"/>
      <c r="B166" s="1">
        <f t="shared" si="6"/>
        <v>0</v>
      </c>
      <c r="D166" s="98"/>
      <c r="E166" s="239"/>
      <c r="F166" s="243"/>
      <c r="G166" s="243"/>
      <c r="H166" s="243"/>
      <c r="I166" s="243"/>
      <c r="J166" s="243"/>
      <c r="K166" s="243"/>
      <c r="L166" s="366"/>
      <c r="M166" s="46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56"/>
      <c r="Y166" s="253"/>
      <c r="Z166" s="254"/>
      <c r="AA166" s="254"/>
      <c r="AB166" s="254"/>
      <c r="AC166" s="254"/>
      <c r="AD166" s="254"/>
      <c r="AE166" s="254"/>
      <c r="AF166" s="254"/>
      <c r="AG166" s="254"/>
      <c r="AH166" s="254"/>
      <c r="AI166" s="254"/>
      <c r="AJ166" s="254"/>
      <c r="AK166" s="254"/>
      <c r="AL166" s="254"/>
      <c r="AM166" s="254"/>
      <c r="AN166" s="254"/>
      <c r="AO166" s="254"/>
      <c r="AP166" s="254"/>
      <c r="AQ166" s="254"/>
      <c r="AR166" s="254"/>
      <c r="AS166" s="254"/>
      <c r="AT166" s="254"/>
      <c r="AU166" s="254"/>
      <c r="AV166" s="254"/>
      <c r="AW166" s="254"/>
      <c r="AX166" s="256"/>
      <c r="AZ166" s="254" t="str">
        <f ca="1"/>
        <v/>
      </c>
      <c r="BA166" s="254" t="str">
        <f ca="1"/>
        <v/>
      </c>
      <c r="BB166" s="254" t="str">
        <f ca="1"/>
        <v/>
      </c>
      <c r="BC166" s="254" t="str">
        <f ca="1"/>
        <v/>
      </c>
      <c r="BD166" s="256">
        <f ca="1"/>
        <v>0</v>
      </c>
      <c r="BF166" s="254"/>
      <c r="BG166" s="254"/>
      <c r="BH166" s="254"/>
      <c r="BI166" s="254"/>
      <c r="BJ166" s="243"/>
      <c r="BK166" s="254"/>
      <c r="BL166" s="256"/>
      <c r="BM166" s="46"/>
      <c r="BN166" s="256">
        <f ca="1"/>
        <v>0</v>
      </c>
      <c r="BP166" s="248">
        <f ca="1"/>
        <v>0</v>
      </c>
      <c r="BR166" s="248">
        <f ca="1"/>
        <v>0</v>
      </c>
      <c r="BT166" s="248">
        <f ca="1"/>
        <v>0</v>
      </c>
      <c r="BU166" s="248">
        <f ca="1"/>
        <v>0</v>
      </c>
    </row>
    <row r="167" spans="1:73" ht="16" hidden="1" thickTop="1" thickBot="1">
      <c r="A167" s="1"/>
      <c r="B167" s="1">
        <f t="shared" si="6"/>
        <v>0</v>
      </c>
      <c r="D167" s="98"/>
      <c r="E167" s="239"/>
      <c r="F167" s="243"/>
      <c r="G167" s="243"/>
      <c r="H167" s="243"/>
      <c r="I167" s="243"/>
      <c r="J167" s="243"/>
      <c r="K167" s="243"/>
      <c r="L167" s="366"/>
      <c r="M167" s="46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56"/>
      <c r="Y167" s="253"/>
      <c r="Z167" s="254"/>
      <c r="AA167" s="254"/>
      <c r="AB167" s="254"/>
      <c r="AC167" s="254"/>
      <c r="AD167" s="254"/>
      <c r="AE167" s="254"/>
      <c r="AF167" s="254"/>
      <c r="AG167" s="254"/>
      <c r="AH167" s="254"/>
      <c r="AI167" s="254"/>
      <c r="AJ167" s="254"/>
      <c r="AK167" s="254"/>
      <c r="AL167" s="254"/>
      <c r="AM167" s="254"/>
      <c r="AN167" s="254"/>
      <c r="AO167" s="254"/>
      <c r="AP167" s="254"/>
      <c r="AQ167" s="254"/>
      <c r="AR167" s="254"/>
      <c r="AS167" s="254"/>
      <c r="AT167" s="254"/>
      <c r="AU167" s="254"/>
      <c r="AV167" s="254"/>
      <c r="AW167" s="254"/>
      <c r="AX167" s="256"/>
      <c r="AZ167" s="254" t="str">
        <f ca="1"/>
        <v/>
      </c>
      <c r="BA167" s="254" t="str">
        <f ca="1"/>
        <v/>
      </c>
      <c r="BB167" s="254" t="str">
        <f ca="1"/>
        <v/>
      </c>
      <c r="BC167" s="254" t="str">
        <f ca="1"/>
        <v/>
      </c>
      <c r="BD167" s="256">
        <f ca="1"/>
        <v>0</v>
      </c>
      <c r="BF167" s="254"/>
      <c r="BG167" s="254"/>
      <c r="BH167" s="254"/>
      <c r="BI167" s="254"/>
      <c r="BJ167" s="243"/>
      <c r="BK167" s="254"/>
      <c r="BL167" s="256"/>
      <c r="BM167" s="46"/>
      <c r="BN167" s="256">
        <f ca="1"/>
        <v>0</v>
      </c>
      <c r="BP167" s="248">
        <f ca="1"/>
        <v>0</v>
      </c>
      <c r="BR167" s="248">
        <f ca="1"/>
        <v>0</v>
      </c>
      <c r="BT167" s="248">
        <f ca="1"/>
        <v>0</v>
      </c>
      <c r="BU167" s="248">
        <f ca="1"/>
        <v>0</v>
      </c>
    </row>
    <row r="168" spans="1:73" ht="16" hidden="1" thickTop="1" thickBot="1">
      <c r="A168" s="1"/>
      <c r="B168" s="1">
        <f t="shared" si="6"/>
        <v>0</v>
      </c>
      <c r="D168" s="98"/>
      <c r="E168" s="239"/>
      <c r="F168" s="243"/>
      <c r="G168" s="243"/>
      <c r="H168" s="243"/>
      <c r="I168" s="243"/>
      <c r="J168" s="243"/>
      <c r="K168" s="243"/>
      <c r="L168" s="366"/>
      <c r="M168" s="46"/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56"/>
      <c r="Y168" s="253"/>
      <c r="Z168" s="254"/>
      <c r="AA168" s="254"/>
      <c r="AB168" s="254"/>
      <c r="AC168" s="254"/>
      <c r="AD168" s="254"/>
      <c r="AE168" s="254"/>
      <c r="AF168" s="254"/>
      <c r="AG168" s="254"/>
      <c r="AH168" s="254"/>
      <c r="AI168" s="254"/>
      <c r="AJ168" s="254"/>
      <c r="AK168" s="254"/>
      <c r="AL168" s="254"/>
      <c r="AM168" s="254"/>
      <c r="AN168" s="254"/>
      <c r="AO168" s="254"/>
      <c r="AP168" s="254"/>
      <c r="AQ168" s="254"/>
      <c r="AR168" s="254"/>
      <c r="AS168" s="254"/>
      <c r="AT168" s="254"/>
      <c r="AU168" s="254"/>
      <c r="AV168" s="254"/>
      <c r="AW168" s="254"/>
      <c r="AX168" s="256"/>
      <c r="AZ168" s="254" t="str">
        <f ca="1"/>
        <v/>
      </c>
      <c r="BA168" s="254" t="str">
        <f ca="1"/>
        <v/>
      </c>
      <c r="BB168" s="254" t="str">
        <f ca="1"/>
        <v/>
      </c>
      <c r="BC168" s="254" t="str">
        <f ca="1"/>
        <v/>
      </c>
      <c r="BD168" s="256">
        <f ca="1"/>
        <v>0</v>
      </c>
      <c r="BF168" s="254"/>
      <c r="BG168" s="254"/>
      <c r="BH168" s="254"/>
      <c r="BI168" s="254"/>
      <c r="BJ168" s="243"/>
      <c r="BK168" s="254"/>
      <c r="BL168" s="256"/>
      <c r="BM168" s="46"/>
      <c r="BN168" s="256">
        <f ca="1"/>
        <v>0</v>
      </c>
      <c r="BP168" s="248">
        <f ca="1"/>
        <v>0</v>
      </c>
      <c r="BR168" s="248">
        <f ca="1"/>
        <v>0</v>
      </c>
      <c r="BT168" s="248">
        <f ca="1"/>
        <v>0</v>
      </c>
      <c r="BU168" s="248">
        <f ca="1"/>
        <v>0</v>
      </c>
    </row>
    <row r="169" spans="1:73" ht="16" hidden="1" thickTop="1" thickBot="1">
      <c r="A169" s="1"/>
      <c r="B169" s="1">
        <f t="shared" si="6"/>
        <v>0</v>
      </c>
      <c r="D169" s="98"/>
      <c r="E169" s="239"/>
      <c r="F169" s="243"/>
      <c r="G169" s="243"/>
      <c r="H169" s="243"/>
      <c r="I169" s="243"/>
      <c r="J169" s="243"/>
      <c r="K169" s="243"/>
      <c r="L169" s="366"/>
      <c r="M169" s="46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56"/>
      <c r="Y169" s="253"/>
      <c r="Z169" s="254"/>
      <c r="AA169" s="254"/>
      <c r="AB169" s="254"/>
      <c r="AC169" s="254"/>
      <c r="AD169" s="254"/>
      <c r="AE169" s="254"/>
      <c r="AF169" s="254"/>
      <c r="AG169" s="254"/>
      <c r="AH169" s="254"/>
      <c r="AI169" s="254"/>
      <c r="AJ169" s="254"/>
      <c r="AK169" s="254"/>
      <c r="AL169" s="254"/>
      <c r="AM169" s="254"/>
      <c r="AN169" s="254"/>
      <c r="AO169" s="254"/>
      <c r="AP169" s="254"/>
      <c r="AQ169" s="254"/>
      <c r="AR169" s="254"/>
      <c r="AS169" s="254"/>
      <c r="AT169" s="254"/>
      <c r="AU169" s="254"/>
      <c r="AV169" s="254"/>
      <c r="AW169" s="254"/>
      <c r="AX169" s="256"/>
      <c r="AZ169" s="254" t="str">
        <f ca="1"/>
        <v/>
      </c>
      <c r="BA169" s="254" t="str">
        <f ca="1"/>
        <v/>
      </c>
      <c r="BB169" s="254" t="str">
        <f ca="1"/>
        <v/>
      </c>
      <c r="BC169" s="254" t="str">
        <f ca="1"/>
        <v/>
      </c>
      <c r="BD169" s="256">
        <f ca="1"/>
        <v>0</v>
      </c>
      <c r="BF169" s="254"/>
      <c r="BG169" s="254"/>
      <c r="BH169" s="254"/>
      <c r="BI169" s="254"/>
      <c r="BJ169" s="243"/>
      <c r="BK169" s="254"/>
      <c r="BL169" s="256"/>
      <c r="BM169" s="46"/>
      <c r="BN169" s="256">
        <f ca="1"/>
        <v>0</v>
      </c>
      <c r="BP169" s="248">
        <f ca="1"/>
        <v>0</v>
      </c>
      <c r="BR169" s="248">
        <f ca="1"/>
        <v>0</v>
      </c>
      <c r="BT169" s="248">
        <f ca="1"/>
        <v>0</v>
      </c>
      <c r="BU169" s="248">
        <f ca="1"/>
        <v>0</v>
      </c>
    </row>
    <row r="170" spans="1:73" ht="16" hidden="1" thickTop="1" thickBot="1">
      <c r="A170" s="1"/>
      <c r="B170" s="1">
        <f t="shared" si="6"/>
        <v>0</v>
      </c>
      <c r="D170" s="98"/>
      <c r="E170" s="239"/>
      <c r="F170" s="243"/>
      <c r="G170" s="243"/>
      <c r="H170" s="243"/>
      <c r="I170" s="243"/>
      <c r="J170" s="243"/>
      <c r="K170" s="243"/>
      <c r="L170" s="366"/>
      <c r="M170" s="46"/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56"/>
      <c r="Y170" s="253"/>
      <c r="Z170" s="254"/>
      <c r="AA170" s="254"/>
      <c r="AB170" s="254"/>
      <c r="AC170" s="254"/>
      <c r="AD170" s="254"/>
      <c r="AE170" s="254"/>
      <c r="AF170" s="254"/>
      <c r="AG170" s="254"/>
      <c r="AH170" s="254"/>
      <c r="AI170" s="254"/>
      <c r="AJ170" s="254"/>
      <c r="AK170" s="254"/>
      <c r="AL170" s="254"/>
      <c r="AM170" s="254"/>
      <c r="AN170" s="254"/>
      <c r="AO170" s="254"/>
      <c r="AP170" s="254"/>
      <c r="AQ170" s="254"/>
      <c r="AR170" s="254"/>
      <c r="AS170" s="254"/>
      <c r="AT170" s="254"/>
      <c r="AU170" s="254"/>
      <c r="AV170" s="254"/>
      <c r="AW170" s="254"/>
      <c r="AX170" s="256"/>
      <c r="AZ170" s="254" t="str">
        <f ca="1"/>
        <v/>
      </c>
      <c r="BA170" s="254" t="str">
        <f ca="1"/>
        <v/>
      </c>
      <c r="BB170" s="254" t="str">
        <f ca="1"/>
        <v/>
      </c>
      <c r="BC170" s="254" t="str">
        <f ca="1"/>
        <v/>
      </c>
      <c r="BD170" s="256">
        <f ca="1"/>
        <v>0</v>
      </c>
      <c r="BF170" s="254"/>
      <c r="BG170" s="254"/>
      <c r="BH170" s="254"/>
      <c r="BI170" s="254"/>
      <c r="BJ170" s="243"/>
      <c r="BK170" s="254"/>
      <c r="BL170" s="256"/>
      <c r="BM170" s="46"/>
      <c r="BN170" s="256">
        <f ca="1"/>
        <v>0</v>
      </c>
      <c r="BP170" s="248">
        <f ca="1"/>
        <v>0</v>
      </c>
      <c r="BR170" s="248">
        <f ca="1"/>
        <v>0</v>
      </c>
      <c r="BT170" s="248">
        <f ca="1"/>
        <v>0</v>
      </c>
      <c r="BU170" s="248">
        <f ca="1"/>
        <v>0</v>
      </c>
    </row>
    <row r="171" spans="1:73" ht="16" hidden="1" thickTop="1" thickBot="1">
      <c r="A171" s="1"/>
      <c r="B171" s="1">
        <f t="shared" si="6"/>
        <v>0</v>
      </c>
      <c r="D171" s="98"/>
      <c r="E171" s="239"/>
      <c r="F171" s="243"/>
      <c r="G171" s="243"/>
      <c r="H171" s="243"/>
      <c r="I171" s="243"/>
      <c r="J171" s="243"/>
      <c r="K171" s="243"/>
      <c r="L171" s="366"/>
      <c r="M171" s="46"/>
      <c r="N171" s="243"/>
      <c r="O171" s="243"/>
      <c r="P171" s="243"/>
      <c r="Q171" s="243"/>
      <c r="R171" s="243"/>
      <c r="S171" s="243"/>
      <c r="T171" s="243"/>
      <c r="U171" s="243"/>
      <c r="V171" s="243"/>
      <c r="W171" s="243"/>
      <c r="X171" s="256"/>
      <c r="Y171" s="253"/>
      <c r="Z171" s="254"/>
      <c r="AA171" s="254"/>
      <c r="AB171" s="254"/>
      <c r="AC171" s="254"/>
      <c r="AD171" s="254"/>
      <c r="AE171" s="254"/>
      <c r="AF171" s="254"/>
      <c r="AG171" s="254"/>
      <c r="AH171" s="254"/>
      <c r="AI171" s="254"/>
      <c r="AJ171" s="254"/>
      <c r="AK171" s="254"/>
      <c r="AL171" s="254"/>
      <c r="AM171" s="254"/>
      <c r="AN171" s="254"/>
      <c r="AO171" s="254"/>
      <c r="AP171" s="254"/>
      <c r="AQ171" s="254"/>
      <c r="AR171" s="254"/>
      <c r="AS171" s="254"/>
      <c r="AT171" s="254"/>
      <c r="AU171" s="254"/>
      <c r="AV171" s="254"/>
      <c r="AW171" s="254"/>
      <c r="AX171" s="256"/>
      <c r="AZ171" s="254" t="str">
        <f ca="1"/>
        <v/>
      </c>
      <c r="BA171" s="254" t="str">
        <f ca="1"/>
        <v/>
      </c>
      <c r="BB171" s="254" t="str">
        <f ca="1"/>
        <v/>
      </c>
      <c r="BC171" s="254" t="str">
        <f ca="1"/>
        <v/>
      </c>
      <c r="BD171" s="256">
        <f ca="1"/>
        <v>0</v>
      </c>
      <c r="BF171" s="254"/>
      <c r="BG171" s="254"/>
      <c r="BH171" s="254"/>
      <c r="BI171" s="254"/>
      <c r="BJ171" s="243"/>
      <c r="BK171" s="254"/>
      <c r="BL171" s="256"/>
      <c r="BM171" s="46"/>
      <c r="BN171" s="256">
        <f ca="1"/>
        <v>0</v>
      </c>
      <c r="BP171" s="248">
        <f ca="1"/>
        <v>0</v>
      </c>
      <c r="BR171" s="248">
        <f ca="1"/>
        <v>0</v>
      </c>
      <c r="BT171" s="248">
        <f ca="1"/>
        <v>0</v>
      </c>
      <c r="BU171" s="248">
        <f ca="1"/>
        <v>0</v>
      </c>
    </row>
    <row r="172" spans="1:73" ht="16" hidden="1" thickTop="1" thickBot="1">
      <c r="A172" s="1"/>
      <c r="B172" s="1">
        <f t="shared" si="6"/>
        <v>0</v>
      </c>
      <c r="D172" s="98"/>
      <c r="E172" s="239"/>
      <c r="F172" s="243"/>
      <c r="G172" s="243"/>
      <c r="H172" s="243"/>
      <c r="I172" s="243"/>
      <c r="J172" s="243"/>
      <c r="K172" s="243"/>
      <c r="L172" s="366"/>
      <c r="M172" s="46"/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56"/>
      <c r="Y172" s="253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  <c r="AL172" s="254"/>
      <c r="AM172" s="254"/>
      <c r="AN172" s="254"/>
      <c r="AO172" s="254"/>
      <c r="AP172" s="254"/>
      <c r="AQ172" s="254"/>
      <c r="AR172" s="254"/>
      <c r="AS172" s="254"/>
      <c r="AT172" s="254"/>
      <c r="AU172" s="254"/>
      <c r="AV172" s="254"/>
      <c r="AW172" s="254"/>
      <c r="AX172" s="256"/>
      <c r="AZ172" s="254" t="str">
        <f ca="1"/>
        <v/>
      </c>
      <c r="BA172" s="254" t="str">
        <f ca="1"/>
        <v/>
      </c>
      <c r="BB172" s="254" t="str">
        <f ca="1"/>
        <v/>
      </c>
      <c r="BC172" s="254" t="str">
        <f ca="1"/>
        <v/>
      </c>
      <c r="BD172" s="256">
        <f ca="1"/>
        <v>0</v>
      </c>
      <c r="BF172" s="254"/>
      <c r="BG172" s="254"/>
      <c r="BH172" s="254"/>
      <c r="BI172" s="254"/>
      <c r="BJ172" s="243"/>
      <c r="BK172" s="254"/>
      <c r="BL172" s="256"/>
      <c r="BM172" s="46"/>
      <c r="BN172" s="256">
        <f ca="1"/>
        <v>0</v>
      </c>
      <c r="BP172" s="248">
        <f ca="1"/>
        <v>0</v>
      </c>
      <c r="BR172" s="248">
        <f ca="1"/>
        <v>0</v>
      </c>
      <c r="BT172" s="248">
        <f ca="1"/>
        <v>0</v>
      </c>
      <c r="BU172" s="248">
        <f ca="1"/>
        <v>0</v>
      </c>
    </row>
    <row r="173" spans="1:73" ht="16" hidden="1" thickTop="1" thickBot="1">
      <c r="A173" s="1"/>
      <c r="B173" s="1">
        <f t="shared" si="6"/>
        <v>0</v>
      </c>
      <c r="D173" s="98"/>
      <c r="E173" s="239"/>
      <c r="F173" s="243"/>
      <c r="G173" s="243"/>
      <c r="H173" s="243"/>
      <c r="I173" s="243"/>
      <c r="J173" s="243"/>
      <c r="K173" s="243"/>
      <c r="L173" s="366"/>
      <c r="M173" s="46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56"/>
      <c r="Y173" s="253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6"/>
      <c r="AZ173" s="254" t="str">
        <f ca="1"/>
        <v/>
      </c>
      <c r="BA173" s="254" t="str">
        <f ca="1"/>
        <v/>
      </c>
      <c r="BB173" s="254" t="str">
        <f ca="1"/>
        <v/>
      </c>
      <c r="BC173" s="254" t="str">
        <f ca="1"/>
        <v/>
      </c>
      <c r="BD173" s="256">
        <f ca="1"/>
        <v>0</v>
      </c>
      <c r="BF173" s="254"/>
      <c r="BG173" s="254"/>
      <c r="BH173" s="254"/>
      <c r="BI173" s="254"/>
      <c r="BJ173" s="243"/>
      <c r="BK173" s="254"/>
      <c r="BL173" s="256"/>
      <c r="BM173" s="46"/>
      <c r="BN173" s="256">
        <f ca="1"/>
        <v>0</v>
      </c>
      <c r="BP173" s="248">
        <f ca="1"/>
        <v>0</v>
      </c>
      <c r="BR173" s="248">
        <f ca="1"/>
        <v>0</v>
      </c>
      <c r="BT173" s="248">
        <f ca="1"/>
        <v>0</v>
      </c>
      <c r="BU173" s="248">
        <f ca="1"/>
        <v>0</v>
      </c>
    </row>
    <row r="174" spans="1:73" ht="16" hidden="1" thickTop="1" thickBot="1">
      <c r="A174" s="1"/>
      <c r="B174" s="1">
        <f t="shared" si="6"/>
        <v>0</v>
      </c>
      <c r="D174" s="98"/>
      <c r="E174" s="239"/>
      <c r="F174" s="243"/>
      <c r="G174" s="243"/>
      <c r="H174" s="243"/>
      <c r="I174" s="243"/>
      <c r="J174" s="243"/>
      <c r="K174" s="243"/>
      <c r="L174" s="366"/>
      <c r="M174" s="46"/>
      <c r="N174" s="243"/>
      <c r="O174" s="243"/>
      <c r="P174" s="243"/>
      <c r="Q174" s="243"/>
      <c r="R174" s="243"/>
      <c r="S174" s="243"/>
      <c r="T174" s="243"/>
      <c r="U174" s="243"/>
      <c r="V174" s="243"/>
      <c r="W174" s="243"/>
      <c r="X174" s="256"/>
      <c r="Y174" s="253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6"/>
      <c r="AZ174" s="254" t="str">
        <f ca="1"/>
        <v/>
      </c>
      <c r="BA174" s="254" t="str">
        <f ca="1"/>
        <v/>
      </c>
      <c r="BB174" s="254" t="str">
        <f ca="1"/>
        <v/>
      </c>
      <c r="BC174" s="254" t="str">
        <f ca="1"/>
        <v/>
      </c>
      <c r="BD174" s="256">
        <f ca="1"/>
        <v>0</v>
      </c>
      <c r="BF174" s="254"/>
      <c r="BG174" s="254"/>
      <c r="BH174" s="254"/>
      <c r="BI174" s="254"/>
      <c r="BJ174" s="243"/>
      <c r="BK174" s="254"/>
      <c r="BL174" s="256"/>
      <c r="BM174" s="46"/>
      <c r="BN174" s="256">
        <f ca="1"/>
        <v>0</v>
      </c>
      <c r="BP174" s="248">
        <f ca="1"/>
        <v>0</v>
      </c>
      <c r="BR174" s="248">
        <f ca="1"/>
        <v>0</v>
      </c>
      <c r="BT174" s="248">
        <f ca="1"/>
        <v>0</v>
      </c>
      <c r="BU174" s="248">
        <f ca="1"/>
        <v>0</v>
      </c>
    </row>
    <row r="175" spans="1:73" ht="16" hidden="1" thickTop="1" thickBot="1">
      <c r="A175" s="1"/>
      <c r="B175" s="1">
        <f t="shared" si="6"/>
        <v>0</v>
      </c>
      <c r="D175" s="98"/>
      <c r="E175" s="239"/>
      <c r="F175" s="243"/>
      <c r="G175" s="243"/>
      <c r="H175" s="243"/>
      <c r="I175" s="243"/>
      <c r="J175" s="243"/>
      <c r="K175" s="243"/>
      <c r="L175" s="366"/>
      <c r="M175" s="46"/>
      <c r="N175" s="243"/>
      <c r="O175" s="243"/>
      <c r="P175" s="243"/>
      <c r="Q175" s="243"/>
      <c r="R175" s="243"/>
      <c r="S175" s="243"/>
      <c r="T175" s="243"/>
      <c r="U175" s="243"/>
      <c r="V175" s="243"/>
      <c r="W175" s="243"/>
      <c r="X175" s="256"/>
      <c r="Y175" s="253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6"/>
      <c r="AZ175" s="254" t="str">
        <f ca="1"/>
        <v/>
      </c>
      <c r="BA175" s="254" t="str">
        <f ca="1"/>
        <v/>
      </c>
      <c r="BB175" s="254" t="str">
        <f ca="1"/>
        <v/>
      </c>
      <c r="BC175" s="254" t="str">
        <f ca="1"/>
        <v/>
      </c>
      <c r="BD175" s="256">
        <f ca="1"/>
        <v>0</v>
      </c>
      <c r="BF175" s="254"/>
      <c r="BG175" s="254"/>
      <c r="BH175" s="254"/>
      <c r="BI175" s="254"/>
      <c r="BJ175" s="243"/>
      <c r="BK175" s="254"/>
      <c r="BL175" s="256"/>
      <c r="BM175" s="46"/>
      <c r="BN175" s="256">
        <f ca="1"/>
        <v>0</v>
      </c>
      <c r="BP175" s="248">
        <f ca="1"/>
        <v>0</v>
      </c>
      <c r="BR175" s="248">
        <f ca="1"/>
        <v>0</v>
      </c>
      <c r="BT175" s="248">
        <f ca="1"/>
        <v>0</v>
      </c>
      <c r="BU175" s="248">
        <f ca="1"/>
        <v>0</v>
      </c>
    </row>
    <row r="176" spans="1:73" ht="16" hidden="1" thickTop="1" thickBot="1">
      <c r="A176" s="1"/>
      <c r="B176" s="1">
        <f t="shared" si="6"/>
        <v>0</v>
      </c>
      <c r="D176" s="98"/>
      <c r="E176" s="239"/>
      <c r="F176" s="243"/>
      <c r="G176" s="243"/>
      <c r="H176" s="243"/>
      <c r="I176" s="243"/>
      <c r="J176" s="243"/>
      <c r="K176" s="243"/>
      <c r="L176" s="366"/>
      <c r="M176" s="46"/>
      <c r="N176" s="243"/>
      <c r="O176" s="243"/>
      <c r="P176" s="243"/>
      <c r="Q176" s="243"/>
      <c r="R176" s="243"/>
      <c r="S176" s="243"/>
      <c r="T176" s="243"/>
      <c r="U176" s="243"/>
      <c r="V176" s="243"/>
      <c r="W176" s="243"/>
      <c r="X176" s="256"/>
      <c r="Y176" s="253"/>
      <c r="Z176" s="254"/>
      <c r="AA176" s="254"/>
      <c r="AB176" s="254"/>
      <c r="AC176" s="254"/>
      <c r="AD176" s="254"/>
      <c r="AE176" s="254"/>
      <c r="AF176" s="254"/>
      <c r="AG176" s="254"/>
      <c r="AH176" s="254"/>
      <c r="AI176" s="254"/>
      <c r="AJ176" s="254"/>
      <c r="AK176" s="254"/>
      <c r="AL176" s="254"/>
      <c r="AM176" s="254"/>
      <c r="AN176" s="254"/>
      <c r="AO176" s="254"/>
      <c r="AP176" s="254"/>
      <c r="AQ176" s="254"/>
      <c r="AR176" s="254"/>
      <c r="AS176" s="254"/>
      <c r="AT176" s="254"/>
      <c r="AU176" s="254"/>
      <c r="AV176" s="254"/>
      <c r="AW176" s="254"/>
      <c r="AX176" s="256"/>
      <c r="AZ176" s="254" t="str">
        <f ca="1"/>
        <v/>
      </c>
      <c r="BA176" s="254" t="str">
        <f ca="1"/>
        <v/>
      </c>
      <c r="BB176" s="254" t="str">
        <f ca="1"/>
        <v/>
      </c>
      <c r="BC176" s="254" t="str">
        <f ca="1"/>
        <v/>
      </c>
      <c r="BD176" s="256">
        <f ca="1"/>
        <v>0</v>
      </c>
      <c r="BF176" s="254"/>
      <c r="BG176" s="254"/>
      <c r="BH176" s="254"/>
      <c r="BI176" s="254"/>
      <c r="BJ176" s="243"/>
      <c r="BK176" s="254"/>
      <c r="BL176" s="256"/>
      <c r="BM176" s="46"/>
      <c r="BN176" s="256">
        <f ca="1"/>
        <v>0</v>
      </c>
      <c r="BP176" s="248">
        <f ca="1"/>
        <v>0</v>
      </c>
      <c r="BR176" s="248">
        <f ca="1"/>
        <v>0</v>
      </c>
      <c r="BT176" s="248">
        <f ca="1"/>
        <v>0</v>
      </c>
      <c r="BU176" s="248">
        <f ca="1"/>
        <v>0</v>
      </c>
    </row>
    <row r="177" spans="1:73" ht="16" hidden="1" thickTop="1" thickBot="1">
      <c r="A177" s="1"/>
      <c r="B177" s="1">
        <f t="shared" si="6"/>
        <v>0</v>
      </c>
      <c r="D177" s="98"/>
      <c r="E177" s="239"/>
      <c r="F177" s="243"/>
      <c r="G177" s="243"/>
      <c r="H177" s="243"/>
      <c r="I177" s="243"/>
      <c r="J177" s="243"/>
      <c r="K177" s="243"/>
      <c r="L177" s="366"/>
      <c r="M177" s="46"/>
      <c r="N177" s="243"/>
      <c r="O177" s="243"/>
      <c r="P177" s="243"/>
      <c r="Q177" s="243"/>
      <c r="R177" s="243"/>
      <c r="S177" s="243"/>
      <c r="T177" s="243"/>
      <c r="U177" s="243"/>
      <c r="V177" s="243"/>
      <c r="W177" s="243"/>
      <c r="X177" s="256"/>
      <c r="Y177" s="253"/>
      <c r="Z177" s="254"/>
      <c r="AA177" s="254"/>
      <c r="AB177" s="254"/>
      <c r="AC177" s="254"/>
      <c r="AD177" s="254"/>
      <c r="AE177" s="254"/>
      <c r="AF177" s="254"/>
      <c r="AG177" s="254"/>
      <c r="AH177" s="254"/>
      <c r="AI177" s="254"/>
      <c r="AJ177" s="254"/>
      <c r="AK177" s="254"/>
      <c r="AL177" s="254"/>
      <c r="AM177" s="254"/>
      <c r="AN177" s="254"/>
      <c r="AO177" s="254"/>
      <c r="AP177" s="254"/>
      <c r="AQ177" s="254"/>
      <c r="AR177" s="254"/>
      <c r="AS177" s="254"/>
      <c r="AT177" s="254"/>
      <c r="AU177" s="254"/>
      <c r="AV177" s="254"/>
      <c r="AW177" s="254"/>
      <c r="AX177" s="256"/>
      <c r="AZ177" s="254" t="str">
        <f ca="1"/>
        <v/>
      </c>
      <c r="BA177" s="254" t="str">
        <f ca="1"/>
        <v/>
      </c>
      <c r="BB177" s="254" t="str">
        <f ca="1"/>
        <v/>
      </c>
      <c r="BC177" s="254" t="str">
        <f ca="1"/>
        <v/>
      </c>
      <c r="BD177" s="256">
        <f ca="1"/>
        <v>0</v>
      </c>
      <c r="BF177" s="254"/>
      <c r="BG177" s="254"/>
      <c r="BH177" s="254"/>
      <c r="BI177" s="254"/>
      <c r="BJ177" s="243"/>
      <c r="BK177" s="254"/>
      <c r="BL177" s="256"/>
      <c r="BM177" s="46"/>
      <c r="BN177" s="256">
        <f ca="1"/>
        <v>0</v>
      </c>
      <c r="BP177" s="248">
        <f ca="1"/>
        <v>0</v>
      </c>
      <c r="BR177" s="248">
        <f ca="1"/>
        <v>0</v>
      </c>
      <c r="BT177" s="248">
        <f ca="1"/>
        <v>0</v>
      </c>
      <c r="BU177" s="248">
        <f ca="1"/>
        <v>0</v>
      </c>
    </row>
    <row r="178" spans="1:73" ht="16" hidden="1" thickTop="1" thickBot="1">
      <c r="A178" s="1"/>
      <c r="B178" s="1">
        <f t="shared" si="6"/>
        <v>0</v>
      </c>
      <c r="D178" s="98"/>
      <c r="E178" s="239"/>
      <c r="F178" s="243"/>
      <c r="G178" s="243"/>
      <c r="H178" s="243"/>
      <c r="I178" s="243"/>
      <c r="J178" s="243"/>
      <c r="K178" s="243"/>
      <c r="L178" s="366"/>
      <c r="M178" s="46"/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56"/>
      <c r="Y178" s="253"/>
      <c r="Z178" s="254"/>
      <c r="AA178" s="254"/>
      <c r="AB178" s="254"/>
      <c r="AC178" s="254"/>
      <c r="AD178" s="254"/>
      <c r="AE178" s="254"/>
      <c r="AF178" s="254"/>
      <c r="AG178" s="254"/>
      <c r="AH178" s="254"/>
      <c r="AI178" s="254"/>
      <c r="AJ178" s="254"/>
      <c r="AK178" s="254"/>
      <c r="AL178" s="254"/>
      <c r="AM178" s="254"/>
      <c r="AN178" s="254"/>
      <c r="AO178" s="254"/>
      <c r="AP178" s="254"/>
      <c r="AQ178" s="254"/>
      <c r="AR178" s="254"/>
      <c r="AS178" s="254"/>
      <c r="AT178" s="254"/>
      <c r="AU178" s="254"/>
      <c r="AV178" s="254"/>
      <c r="AW178" s="254"/>
      <c r="AX178" s="256"/>
      <c r="AZ178" s="254" t="str">
        <f ca="1"/>
        <v/>
      </c>
      <c r="BA178" s="254" t="str">
        <f ca="1"/>
        <v/>
      </c>
      <c r="BB178" s="254" t="str">
        <f ca="1"/>
        <v/>
      </c>
      <c r="BC178" s="254" t="str">
        <f ca="1"/>
        <v/>
      </c>
      <c r="BD178" s="256">
        <f ca="1"/>
        <v>0</v>
      </c>
      <c r="BF178" s="254"/>
      <c r="BG178" s="254"/>
      <c r="BH178" s="254"/>
      <c r="BI178" s="254"/>
      <c r="BJ178" s="243"/>
      <c r="BK178" s="254"/>
      <c r="BL178" s="256"/>
      <c r="BM178" s="46"/>
      <c r="BN178" s="256">
        <f ca="1"/>
        <v>0</v>
      </c>
      <c r="BP178" s="248">
        <f ca="1"/>
        <v>0</v>
      </c>
      <c r="BR178" s="248">
        <f ca="1"/>
        <v>0</v>
      </c>
      <c r="BT178" s="248">
        <f ca="1"/>
        <v>0</v>
      </c>
      <c r="BU178" s="248">
        <f ca="1"/>
        <v>0</v>
      </c>
    </row>
    <row r="179" spans="1:73" ht="16" hidden="1" thickTop="1" thickBot="1">
      <c r="A179" s="1"/>
      <c r="B179" s="1">
        <f t="shared" si="6"/>
        <v>0</v>
      </c>
      <c r="D179" s="98"/>
      <c r="E179" s="239"/>
      <c r="F179" s="243"/>
      <c r="G179" s="243"/>
      <c r="H179" s="243"/>
      <c r="I179" s="243"/>
      <c r="J179" s="243"/>
      <c r="K179" s="243"/>
      <c r="L179" s="366"/>
      <c r="M179" s="46"/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56"/>
      <c r="Y179" s="253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  <c r="AR179" s="254"/>
      <c r="AS179" s="254"/>
      <c r="AT179" s="254"/>
      <c r="AU179" s="254"/>
      <c r="AV179" s="254"/>
      <c r="AW179" s="254"/>
      <c r="AX179" s="256"/>
      <c r="AZ179" s="254" t="str">
        <f ca="1"/>
        <v/>
      </c>
      <c r="BA179" s="254" t="str">
        <f ca="1"/>
        <v/>
      </c>
      <c r="BB179" s="254" t="str">
        <f ca="1"/>
        <v/>
      </c>
      <c r="BC179" s="254" t="str">
        <f ca="1"/>
        <v/>
      </c>
      <c r="BD179" s="256">
        <f ca="1"/>
        <v>0</v>
      </c>
      <c r="BF179" s="254"/>
      <c r="BG179" s="254"/>
      <c r="BH179" s="254"/>
      <c r="BI179" s="254"/>
      <c r="BJ179" s="243"/>
      <c r="BK179" s="254"/>
      <c r="BL179" s="256"/>
      <c r="BM179" s="46"/>
      <c r="BN179" s="256">
        <f ca="1"/>
        <v>0</v>
      </c>
      <c r="BP179" s="248">
        <f ca="1"/>
        <v>0</v>
      </c>
      <c r="BR179" s="248">
        <f ca="1"/>
        <v>0</v>
      </c>
      <c r="BT179" s="248">
        <f ca="1"/>
        <v>0</v>
      </c>
      <c r="BU179" s="248">
        <f ca="1"/>
        <v>0</v>
      </c>
    </row>
    <row r="180" spans="1:73" ht="16" hidden="1" thickTop="1" thickBot="1">
      <c r="A180" s="1"/>
      <c r="B180" s="1">
        <f t="shared" si="6"/>
        <v>0</v>
      </c>
      <c r="D180" s="98"/>
      <c r="E180" s="239"/>
      <c r="F180" s="243"/>
      <c r="G180" s="243"/>
      <c r="H180" s="243"/>
      <c r="I180" s="243"/>
      <c r="J180" s="243"/>
      <c r="K180" s="243"/>
      <c r="L180" s="366"/>
      <c r="M180" s="46"/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56"/>
      <c r="Y180" s="253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  <c r="AR180" s="254"/>
      <c r="AS180" s="254"/>
      <c r="AT180" s="254"/>
      <c r="AU180" s="254"/>
      <c r="AV180" s="254"/>
      <c r="AW180" s="254"/>
      <c r="AX180" s="256"/>
      <c r="AZ180" s="254" t="str">
        <f ca="1"/>
        <v/>
      </c>
      <c r="BA180" s="254" t="str">
        <f ca="1"/>
        <v/>
      </c>
      <c r="BB180" s="254" t="str">
        <f ca="1"/>
        <v/>
      </c>
      <c r="BC180" s="254" t="str">
        <f ca="1"/>
        <v/>
      </c>
      <c r="BD180" s="256">
        <f ca="1"/>
        <v>0</v>
      </c>
      <c r="BF180" s="254"/>
      <c r="BG180" s="254"/>
      <c r="BH180" s="254"/>
      <c r="BI180" s="254"/>
      <c r="BJ180" s="243"/>
      <c r="BK180" s="254"/>
      <c r="BL180" s="256"/>
      <c r="BM180" s="46"/>
      <c r="BN180" s="256">
        <f ca="1"/>
        <v>0</v>
      </c>
      <c r="BP180" s="248">
        <f ca="1"/>
        <v>0</v>
      </c>
      <c r="BR180" s="248">
        <f ca="1"/>
        <v>0</v>
      </c>
      <c r="BT180" s="248">
        <f ca="1"/>
        <v>0</v>
      </c>
      <c r="BU180" s="248">
        <f ca="1"/>
        <v>0</v>
      </c>
    </row>
    <row r="181" spans="1:73" ht="16" hidden="1" thickTop="1" thickBot="1">
      <c r="A181" s="1"/>
      <c r="B181" s="1">
        <f t="shared" si="6"/>
        <v>0</v>
      </c>
      <c r="D181" s="98"/>
      <c r="E181" s="239"/>
      <c r="F181" s="243"/>
      <c r="G181" s="243"/>
      <c r="H181" s="243"/>
      <c r="I181" s="243"/>
      <c r="J181" s="243"/>
      <c r="K181" s="243"/>
      <c r="L181" s="366"/>
      <c r="M181" s="46"/>
      <c r="N181" s="243"/>
      <c r="O181" s="243"/>
      <c r="P181" s="243"/>
      <c r="Q181" s="243"/>
      <c r="R181" s="243"/>
      <c r="S181" s="243"/>
      <c r="T181" s="243"/>
      <c r="U181" s="243"/>
      <c r="V181" s="243"/>
      <c r="W181" s="243"/>
      <c r="X181" s="256"/>
      <c r="Y181" s="253"/>
      <c r="Z181" s="254"/>
      <c r="AA181" s="254"/>
      <c r="AB181" s="254"/>
      <c r="AC181" s="254"/>
      <c r="AD181" s="254"/>
      <c r="AE181" s="254"/>
      <c r="AF181" s="254"/>
      <c r="AG181" s="254"/>
      <c r="AH181" s="254"/>
      <c r="AI181" s="254"/>
      <c r="AJ181" s="254"/>
      <c r="AK181" s="254"/>
      <c r="AL181" s="254"/>
      <c r="AM181" s="254"/>
      <c r="AN181" s="254"/>
      <c r="AO181" s="254"/>
      <c r="AP181" s="254"/>
      <c r="AQ181" s="254"/>
      <c r="AR181" s="254"/>
      <c r="AS181" s="254"/>
      <c r="AT181" s="254"/>
      <c r="AU181" s="254"/>
      <c r="AV181" s="254"/>
      <c r="AW181" s="254"/>
      <c r="AX181" s="256"/>
      <c r="AZ181" s="254" t="str">
        <f ca="1"/>
        <v/>
      </c>
      <c r="BA181" s="254" t="str">
        <f ca="1"/>
        <v/>
      </c>
      <c r="BB181" s="254" t="str">
        <f ca="1"/>
        <v/>
      </c>
      <c r="BC181" s="254" t="str">
        <f ca="1"/>
        <v/>
      </c>
      <c r="BD181" s="256">
        <f ca="1"/>
        <v>0</v>
      </c>
      <c r="BF181" s="254"/>
      <c r="BG181" s="254"/>
      <c r="BH181" s="254"/>
      <c r="BI181" s="254"/>
      <c r="BJ181" s="243"/>
      <c r="BK181" s="254"/>
      <c r="BL181" s="256"/>
      <c r="BM181" s="46"/>
      <c r="BN181" s="256">
        <f ca="1"/>
        <v>0</v>
      </c>
      <c r="BP181" s="248">
        <f ca="1"/>
        <v>0</v>
      </c>
      <c r="BR181" s="248">
        <f ca="1"/>
        <v>0</v>
      </c>
      <c r="BT181" s="248">
        <f ca="1"/>
        <v>0</v>
      </c>
      <c r="BU181" s="248">
        <f ca="1"/>
        <v>0</v>
      </c>
    </row>
    <row r="182" spans="1:73" ht="16" hidden="1" thickTop="1" thickBot="1">
      <c r="A182" s="1"/>
      <c r="B182" s="1">
        <f t="shared" si="6"/>
        <v>0</v>
      </c>
      <c r="D182" s="98"/>
      <c r="E182" s="239"/>
      <c r="F182" s="243"/>
      <c r="G182" s="243"/>
      <c r="H182" s="243"/>
      <c r="I182" s="243"/>
      <c r="J182" s="243"/>
      <c r="K182" s="243"/>
      <c r="L182" s="366"/>
      <c r="M182" s="46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56"/>
      <c r="Y182" s="253"/>
      <c r="Z182" s="254"/>
      <c r="AA182" s="254"/>
      <c r="AB182" s="254"/>
      <c r="AC182" s="254"/>
      <c r="AD182" s="254"/>
      <c r="AE182" s="254"/>
      <c r="AF182" s="254"/>
      <c r="AG182" s="254"/>
      <c r="AH182" s="254"/>
      <c r="AI182" s="254"/>
      <c r="AJ182" s="254"/>
      <c r="AK182" s="254"/>
      <c r="AL182" s="254"/>
      <c r="AM182" s="254"/>
      <c r="AN182" s="254"/>
      <c r="AO182" s="254"/>
      <c r="AP182" s="254"/>
      <c r="AQ182" s="254"/>
      <c r="AR182" s="254"/>
      <c r="AS182" s="254"/>
      <c r="AT182" s="254"/>
      <c r="AU182" s="254"/>
      <c r="AV182" s="254"/>
      <c r="AW182" s="254"/>
      <c r="AX182" s="256"/>
      <c r="AZ182" s="254" t="str">
        <f ca="1"/>
        <v/>
      </c>
      <c r="BA182" s="254" t="str">
        <f ca="1"/>
        <v/>
      </c>
      <c r="BB182" s="254" t="str">
        <f ca="1"/>
        <v/>
      </c>
      <c r="BC182" s="254" t="str">
        <f ca="1"/>
        <v/>
      </c>
      <c r="BD182" s="256">
        <f ca="1"/>
        <v>0</v>
      </c>
      <c r="BF182" s="254"/>
      <c r="BG182" s="254"/>
      <c r="BH182" s="254"/>
      <c r="BI182" s="254"/>
      <c r="BJ182" s="243"/>
      <c r="BK182" s="254"/>
      <c r="BL182" s="256"/>
      <c r="BM182" s="46"/>
      <c r="BN182" s="256">
        <f ca="1"/>
        <v>0</v>
      </c>
      <c r="BP182" s="248">
        <f ca="1"/>
        <v>0</v>
      </c>
      <c r="BR182" s="248">
        <f ca="1"/>
        <v>0</v>
      </c>
      <c r="BT182" s="248">
        <f ca="1"/>
        <v>0</v>
      </c>
      <c r="BU182" s="248">
        <f ca="1"/>
        <v>0</v>
      </c>
    </row>
    <row r="183" spans="1:73" ht="16" hidden="1" thickTop="1" thickBot="1">
      <c r="A183" s="1"/>
      <c r="B183" s="1">
        <f t="shared" si="6"/>
        <v>0</v>
      </c>
      <c r="D183" s="98"/>
      <c r="E183" s="239"/>
      <c r="F183" s="243"/>
      <c r="G183" s="243"/>
      <c r="H183" s="243"/>
      <c r="I183" s="243"/>
      <c r="J183" s="243"/>
      <c r="K183" s="243"/>
      <c r="L183" s="366"/>
      <c r="M183" s="46"/>
      <c r="N183" s="243"/>
      <c r="O183" s="243"/>
      <c r="P183" s="243"/>
      <c r="Q183" s="243"/>
      <c r="R183" s="243"/>
      <c r="S183" s="243"/>
      <c r="T183" s="243"/>
      <c r="U183" s="243"/>
      <c r="V183" s="243"/>
      <c r="W183" s="243"/>
      <c r="X183" s="256"/>
      <c r="Y183" s="253"/>
      <c r="Z183" s="254"/>
      <c r="AA183" s="254"/>
      <c r="AB183" s="254"/>
      <c r="AC183" s="254"/>
      <c r="AD183" s="254"/>
      <c r="AE183" s="254"/>
      <c r="AF183" s="254"/>
      <c r="AG183" s="254"/>
      <c r="AH183" s="254"/>
      <c r="AI183" s="254"/>
      <c r="AJ183" s="254"/>
      <c r="AK183" s="254"/>
      <c r="AL183" s="254"/>
      <c r="AM183" s="254"/>
      <c r="AN183" s="254"/>
      <c r="AO183" s="254"/>
      <c r="AP183" s="254"/>
      <c r="AQ183" s="254"/>
      <c r="AR183" s="254"/>
      <c r="AS183" s="254"/>
      <c r="AT183" s="254"/>
      <c r="AU183" s="254"/>
      <c r="AV183" s="254"/>
      <c r="AW183" s="254"/>
      <c r="AX183" s="256"/>
      <c r="AZ183" s="254" t="str">
        <f ca="1"/>
        <v/>
      </c>
      <c r="BA183" s="254" t="str">
        <f ca="1"/>
        <v/>
      </c>
      <c r="BB183" s="254" t="str">
        <f ca="1"/>
        <v/>
      </c>
      <c r="BC183" s="254" t="str">
        <f ca="1"/>
        <v/>
      </c>
      <c r="BD183" s="256">
        <f ca="1"/>
        <v>0</v>
      </c>
      <c r="BF183" s="254"/>
      <c r="BG183" s="254"/>
      <c r="BH183" s="254"/>
      <c r="BI183" s="254"/>
      <c r="BJ183" s="243"/>
      <c r="BK183" s="254"/>
      <c r="BL183" s="256"/>
      <c r="BM183" s="46"/>
      <c r="BN183" s="256">
        <f ca="1"/>
        <v>0</v>
      </c>
      <c r="BP183" s="248">
        <f ca="1"/>
        <v>0</v>
      </c>
      <c r="BR183" s="248">
        <f ca="1"/>
        <v>0</v>
      </c>
      <c r="BT183" s="248">
        <f ca="1"/>
        <v>0</v>
      </c>
      <c r="BU183" s="248">
        <f ca="1"/>
        <v>0</v>
      </c>
    </row>
    <row r="184" spans="1:73" ht="16" hidden="1" thickTop="1" thickBot="1">
      <c r="A184" s="1"/>
      <c r="B184" s="1">
        <f t="shared" si="6"/>
        <v>0</v>
      </c>
      <c r="D184" s="98"/>
      <c r="E184" s="239"/>
      <c r="F184" s="243"/>
      <c r="G184" s="243"/>
      <c r="H184" s="243"/>
      <c r="I184" s="243"/>
      <c r="J184" s="243"/>
      <c r="K184" s="243"/>
      <c r="L184" s="366"/>
      <c r="M184" s="46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56"/>
      <c r="Y184" s="253"/>
      <c r="Z184" s="254"/>
      <c r="AA184" s="254"/>
      <c r="AB184" s="254"/>
      <c r="AC184" s="254"/>
      <c r="AD184" s="254"/>
      <c r="AE184" s="254"/>
      <c r="AF184" s="254"/>
      <c r="AG184" s="254"/>
      <c r="AH184" s="254"/>
      <c r="AI184" s="254"/>
      <c r="AJ184" s="254"/>
      <c r="AK184" s="254"/>
      <c r="AL184" s="254"/>
      <c r="AM184" s="254"/>
      <c r="AN184" s="254"/>
      <c r="AO184" s="254"/>
      <c r="AP184" s="254"/>
      <c r="AQ184" s="254"/>
      <c r="AR184" s="254"/>
      <c r="AS184" s="254"/>
      <c r="AT184" s="254"/>
      <c r="AU184" s="254"/>
      <c r="AV184" s="254"/>
      <c r="AW184" s="254"/>
      <c r="AX184" s="256"/>
      <c r="AZ184" s="254" t="str">
        <f ca="1"/>
        <v/>
      </c>
      <c r="BA184" s="254" t="str">
        <f ca="1"/>
        <v/>
      </c>
      <c r="BB184" s="254" t="str">
        <f ca="1"/>
        <v/>
      </c>
      <c r="BC184" s="254" t="str">
        <f ca="1"/>
        <v/>
      </c>
      <c r="BD184" s="256">
        <f ca="1"/>
        <v>0</v>
      </c>
      <c r="BF184" s="254"/>
      <c r="BG184" s="254"/>
      <c r="BH184" s="254"/>
      <c r="BI184" s="254"/>
      <c r="BJ184" s="243"/>
      <c r="BK184" s="254"/>
      <c r="BL184" s="256"/>
      <c r="BM184" s="46"/>
      <c r="BN184" s="256">
        <f ca="1"/>
        <v>0</v>
      </c>
      <c r="BP184" s="248">
        <f ca="1"/>
        <v>0</v>
      </c>
      <c r="BR184" s="248">
        <f ca="1"/>
        <v>0</v>
      </c>
      <c r="BT184" s="248">
        <f ca="1"/>
        <v>0</v>
      </c>
      <c r="BU184" s="248">
        <f ca="1"/>
        <v>0</v>
      </c>
    </row>
    <row r="185" spans="1:73" ht="16" hidden="1" thickTop="1" thickBot="1">
      <c r="A185" s="1"/>
      <c r="B185" s="1">
        <f t="shared" si="6"/>
        <v>0</v>
      </c>
      <c r="D185" s="98"/>
      <c r="E185" s="239"/>
      <c r="F185" s="243"/>
      <c r="G185" s="243"/>
      <c r="H185" s="243"/>
      <c r="I185" s="243"/>
      <c r="J185" s="243"/>
      <c r="K185" s="243"/>
      <c r="L185" s="366"/>
      <c r="M185" s="46"/>
      <c r="N185" s="243"/>
      <c r="O185" s="243"/>
      <c r="P185" s="243"/>
      <c r="Q185" s="243"/>
      <c r="R185" s="243"/>
      <c r="S185" s="243"/>
      <c r="T185" s="243"/>
      <c r="U185" s="243"/>
      <c r="V185" s="243"/>
      <c r="W185" s="243"/>
      <c r="X185" s="256"/>
      <c r="Y185" s="253"/>
      <c r="Z185" s="254"/>
      <c r="AA185" s="254"/>
      <c r="AB185" s="254"/>
      <c r="AC185" s="254"/>
      <c r="AD185" s="254"/>
      <c r="AE185" s="254"/>
      <c r="AF185" s="254"/>
      <c r="AG185" s="254"/>
      <c r="AH185" s="254"/>
      <c r="AI185" s="254"/>
      <c r="AJ185" s="254"/>
      <c r="AK185" s="254"/>
      <c r="AL185" s="254"/>
      <c r="AM185" s="254"/>
      <c r="AN185" s="254"/>
      <c r="AO185" s="254"/>
      <c r="AP185" s="254"/>
      <c r="AQ185" s="254"/>
      <c r="AR185" s="254"/>
      <c r="AS185" s="254"/>
      <c r="AT185" s="254"/>
      <c r="AU185" s="254"/>
      <c r="AV185" s="254"/>
      <c r="AW185" s="254"/>
      <c r="AX185" s="256"/>
      <c r="AZ185" s="254" t="str">
        <f ca="1"/>
        <v/>
      </c>
      <c r="BA185" s="254" t="str">
        <f ca="1"/>
        <v/>
      </c>
      <c r="BB185" s="254" t="str">
        <f ca="1"/>
        <v/>
      </c>
      <c r="BC185" s="254" t="str">
        <f ca="1"/>
        <v/>
      </c>
      <c r="BD185" s="256">
        <f ca="1"/>
        <v>0</v>
      </c>
      <c r="BF185" s="254"/>
      <c r="BG185" s="254"/>
      <c r="BH185" s="254"/>
      <c r="BI185" s="254"/>
      <c r="BJ185" s="243"/>
      <c r="BK185" s="254"/>
      <c r="BL185" s="256"/>
      <c r="BM185" s="46"/>
      <c r="BN185" s="256">
        <f ca="1"/>
        <v>0</v>
      </c>
      <c r="BP185" s="248">
        <f ca="1"/>
        <v>0</v>
      </c>
      <c r="BR185" s="248">
        <f ca="1"/>
        <v>0</v>
      </c>
      <c r="BT185" s="248">
        <f ca="1"/>
        <v>0</v>
      </c>
      <c r="BU185" s="248">
        <f ca="1"/>
        <v>0</v>
      </c>
    </row>
    <row r="186" spans="1:73" ht="16" hidden="1" thickTop="1" thickBot="1">
      <c r="A186" s="1"/>
      <c r="B186" s="1">
        <f t="shared" si="6"/>
        <v>0</v>
      </c>
      <c r="D186" s="98"/>
      <c r="E186" s="239"/>
      <c r="F186" s="243"/>
      <c r="G186" s="243"/>
      <c r="H186" s="243"/>
      <c r="I186" s="243"/>
      <c r="J186" s="243"/>
      <c r="K186" s="243"/>
      <c r="L186" s="366"/>
      <c r="M186" s="46"/>
      <c r="N186" s="243"/>
      <c r="O186" s="243"/>
      <c r="P186" s="243"/>
      <c r="Q186" s="243"/>
      <c r="R186" s="243"/>
      <c r="S186" s="243"/>
      <c r="T186" s="243"/>
      <c r="U186" s="243"/>
      <c r="V186" s="243"/>
      <c r="W186" s="243"/>
      <c r="X186" s="256"/>
      <c r="Y186" s="253"/>
      <c r="Z186" s="254"/>
      <c r="AA186" s="254"/>
      <c r="AB186" s="254"/>
      <c r="AC186" s="254"/>
      <c r="AD186" s="254"/>
      <c r="AE186" s="254"/>
      <c r="AF186" s="254"/>
      <c r="AG186" s="254"/>
      <c r="AH186" s="254"/>
      <c r="AI186" s="254"/>
      <c r="AJ186" s="254"/>
      <c r="AK186" s="254"/>
      <c r="AL186" s="254"/>
      <c r="AM186" s="254"/>
      <c r="AN186" s="254"/>
      <c r="AO186" s="254"/>
      <c r="AP186" s="254"/>
      <c r="AQ186" s="254"/>
      <c r="AR186" s="254"/>
      <c r="AS186" s="254"/>
      <c r="AT186" s="254"/>
      <c r="AU186" s="254"/>
      <c r="AV186" s="254"/>
      <c r="AW186" s="254"/>
      <c r="AX186" s="256"/>
      <c r="AZ186" s="254" t="str">
        <f ca="1"/>
        <v/>
      </c>
      <c r="BA186" s="254" t="str">
        <f ca="1"/>
        <v/>
      </c>
      <c r="BB186" s="254" t="str">
        <f ca="1"/>
        <v/>
      </c>
      <c r="BC186" s="254" t="str">
        <f ca="1"/>
        <v/>
      </c>
      <c r="BD186" s="256">
        <f ca="1"/>
        <v>0</v>
      </c>
      <c r="BF186" s="254"/>
      <c r="BG186" s="254"/>
      <c r="BH186" s="254"/>
      <c r="BI186" s="254"/>
      <c r="BJ186" s="243"/>
      <c r="BK186" s="254"/>
      <c r="BL186" s="256"/>
      <c r="BM186" s="46"/>
      <c r="BN186" s="256">
        <f ca="1"/>
        <v>0</v>
      </c>
      <c r="BP186" s="248">
        <f ca="1"/>
        <v>0</v>
      </c>
      <c r="BR186" s="248">
        <f ca="1"/>
        <v>0</v>
      </c>
      <c r="BT186" s="248">
        <f ca="1"/>
        <v>0</v>
      </c>
      <c r="BU186" s="248">
        <f ca="1"/>
        <v>0</v>
      </c>
    </row>
    <row r="187" spans="1:73" ht="16" hidden="1" thickTop="1" thickBot="1">
      <c r="A187" s="1"/>
      <c r="B187" s="1">
        <f t="shared" si="6"/>
        <v>0</v>
      </c>
      <c r="D187" s="98"/>
      <c r="E187" s="239"/>
      <c r="F187" s="243"/>
      <c r="G187" s="243"/>
      <c r="H187" s="243"/>
      <c r="I187" s="243"/>
      <c r="J187" s="243"/>
      <c r="K187" s="243"/>
      <c r="L187" s="366"/>
      <c r="M187" s="46"/>
      <c r="N187" s="243"/>
      <c r="O187" s="243"/>
      <c r="P187" s="243"/>
      <c r="Q187" s="243"/>
      <c r="R187" s="243"/>
      <c r="S187" s="243"/>
      <c r="T187" s="243"/>
      <c r="U187" s="243"/>
      <c r="V187" s="243"/>
      <c r="W187" s="243"/>
      <c r="X187" s="256"/>
      <c r="Y187" s="253"/>
      <c r="Z187" s="254"/>
      <c r="AA187" s="254"/>
      <c r="AB187" s="254"/>
      <c r="AC187" s="254"/>
      <c r="AD187" s="254"/>
      <c r="AE187" s="254"/>
      <c r="AF187" s="254"/>
      <c r="AG187" s="254"/>
      <c r="AH187" s="254"/>
      <c r="AI187" s="254"/>
      <c r="AJ187" s="254"/>
      <c r="AK187" s="254"/>
      <c r="AL187" s="254"/>
      <c r="AM187" s="254"/>
      <c r="AN187" s="254"/>
      <c r="AO187" s="254"/>
      <c r="AP187" s="254"/>
      <c r="AQ187" s="254"/>
      <c r="AR187" s="254"/>
      <c r="AS187" s="254"/>
      <c r="AT187" s="254"/>
      <c r="AU187" s="254"/>
      <c r="AV187" s="254"/>
      <c r="AW187" s="254"/>
      <c r="AX187" s="256"/>
      <c r="AZ187" s="254" t="str">
        <f ca="1"/>
        <v/>
      </c>
      <c r="BA187" s="254" t="str">
        <f ca="1"/>
        <v/>
      </c>
      <c r="BB187" s="254" t="str">
        <f ca="1"/>
        <v/>
      </c>
      <c r="BC187" s="254" t="str">
        <f ca="1"/>
        <v/>
      </c>
      <c r="BD187" s="256">
        <f ca="1"/>
        <v>0</v>
      </c>
      <c r="BF187" s="254"/>
      <c r="BG187" s="254"/>
      <c r="BH187" s="254"/>
      <c r="BI187" s="254"/>
      <c r="BJ187" s="243"/>
      <c r="BK187" s="254"/>
      <c r="BL187" s="256"/>
      <c r="BM187" s="46"/>
      <c r="BN187" s="256">
        <f ca="1"/>
        <v>0</v>
      </c>
      <c r="BP187" s="248">
        <f ca="1"/>
        <v>0</v>
      </c>
      <c r="BR187" s="248">
        <f ca="1"/>
        <v>0</v>
      </c>
      <c r="BT187" s="248">
        <f ca="1"/>
        <v>0</v>
      </c>
      <c r="BU187" s="248">
        <f ca="1"/>
        <v>0</v>
      </c>
    </row>
    <row r="188" spans="1:73" ht="16" hidden="1" thickTop="1" thickBot="1">
      <c r="A188" s="1"/>
      <c r="B188" s="1">
        <f t="shared" si="6"/>
        <v>0</v>
      </c>
      <c r="D188" s="98"/>
      <c r="E188" s="239"/>
      <c r="F188" s="243"/>
      <c r="G188" s="243"/>
      <c r="H188" s="243"/>
      <c r="I188" s="243"/>
      <c r="J188" s="243"/>
      <c r="K188" s="243"/>
      <c r="L188" s="366"/>
      <c r="M188" s="46"/>
      <c r="N188" s="243"/>
      <c r="O188" s="243"/>
      <c r="P188" s="243"/>
      <c r="Q188" s="243"/>
      <c r="R188" s="243"/>
      <c r="S188" s="243"/>
      <c r="T188" s="243"/>
      <c r="U188" s="243"/>
      <c r="V188" s="243"/>
      <c r="W188" s="243"/>
      <c r="X188" s="256"/>
      <c r="Y188" s="253"/>
      <c r="Z188" s="254"/>
      <c r="AA188" s="254"/>
      <c r="AB188" s="254"/>
      <c r="AC188" s="254"/>
      <c r="AD188" s="254"/>
      <c r="AE188" s="254"/>
      <c r="AF188" s="254"/>
      <c r="AG188" s="254"/>
      <c r="AH188" s="254"/>
      <c r="AI188" s="254"/>
      <c r="AJ188" s="254"/>
      <c r="AK188" s="254"/>
      <c r="AL188" s="254"/>
      <c r="AM188" s="254"/>
      <c r="AN188" s="254"/>
      <c r="AO188" s="254"/>
      <c r="AP188" s="254"/>
      <c r="AQ188" s="254"/>
      <c r="AR188" s="254"/>
      <c r="AS188" s="254"/>
      <c r="AT188" s="254"/>
      <c r="AU188" s="254"/>
      <c r="AV188" s="254"/>
      <c r="AW188" s="254"/>
      <c r="AX188" s="256"/>
      <c r="AZ188" s="254" t="str">
        <f ca="1"/>
        <v/>
      </c>
      <c r="BA188" s="254" t="str">
        <f ca="1"/>
        <v/>
      </c>
      <c r="BB188" s="254" t="str">
        <f ca="1"/>
        <v/>
      </c>
      <c r="BC188" s="254" t="str">
        <f ca="1"/>
        <v/>
      </c>
      <c r="BD188" s="256">
        <f ca="1"/>
        <v>0</v>
      </c>
      <c r="BF188" s="254"/>
      <c r="BG188" s="254"/>
      <c r="BH188" s="254"/>
      <c r="BI188" s="254"/>
      <c r="BJ188" s="243"/>
      <c r="BK188" s="254"/>
      <c r="BL188" s="256"/>
      <c r="BM188" s="46"/>
      <c r="BN188" s="256">
        <f ca="1"/>
        <v>0</v>
      </c>
      <c r="BP188" s="248">
        <f ca="1"/>
        <v>0</v>
      </c>
      <c r="BR188" s="248">
        <f ca="1"/>
        <v>0</v>
      </c>
      <c r="BT188" s="248">
        <f ca="1"/>
        <v>0</v>
      </c>
      <c r="BU188" s="248">
        <f ca="1"/>
        <v>0</v>
      </c>
    </row>
    <row r="189" spans="1:73" ht="16" hidden="1" thickTop="1" thickBot="1">
      <c r="A189" s="1"/>
      <c r="B189" s="1">
        <f t="shared" si="6"/>
        <v>0</v>
      </c>
      <c r="D189" s="98"/>
      <c r="E189" s="239"/>
      <c r="F189" s="243"/>
      <c r="G189" s="243"/>
      <c r="H189" s="243"/>
      <c r="I189" s="243"/>
      <c r="J189" s="243"/>
      <c r="K189" s="243"/>
      <c r="L189" s="366"/>
      <c r="M189" s="46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56"/>
      <c r="Y189" s="253"/>
      <c r="Z189" s="254"/>
      <c r="AA189" s="254"/>
      <c r="AB189" s="254"/>
      <c r="AC189" s="254"/>
      <c r="AD189" s="254"/>
      <c r="AE189" s="254"/>
      <c r="AF189" s="254"/>
      <c r="AG189" s="254"/>
      <c r="AH189" s="254"/>
      <c r="AI189" s="254"/>
      <c r="AJ189" s="254"/>
      <c r="AK189" s="254"/>
      <c r="AL189" s="254"/>
      <c r="AM189" s="254"/>
      <c r="AN189" s="254"/>
      <c r="AO189" s="254"/>
      <c r="AP189" s="254"/>
      <c r="AQ189" s="254"/>
      <c r="AR189" s="254"/>
      <c r="AS189" s="254"/>
      <c r="AT189" s="254"/>
      <c r="AU189" s="254"/>
      <c r="AV189" s="254"/>
      <c r="AW189" s="254"/>
      <c r="AX189" s="256"/>
      <c r="AZ189" s="254" t="str">
        <f ca="1"/>
        <v/>
      </c>
      <c r="BA189" s="254" t="str">
        <f ca="1"/>
        <v/>
      </c>
      <c r="BB189" s="254" t="str">
        <f ca="1"/>
        <v/>
      </c>
      <c r="BC189" s="254" t="str">
        <f ca="1"/>
        <v/>
      </c>
      <c r="BD189" s="256">
        <f ca="1"/>
        <v>0</v>
      </c>
      <c r="BF189" s="254"/>
      <c r="BG189" s="254"/>
      <c r="BH189" s="254"/>
      <c r="BI189" s="254"/>
      <c r="BJ189" s="243"/>
      <c r="BK189" s="254"/>
      <c r="BL189" s="256"/>
      <c r="BM189" s="46"/>
      <c r="BN189" s="256">
        <f ca="1"/>
        <v>0</v>
      </c>
      <c r="BP189" s="248">
        <f ca="1"/>
        <v>0</v>
      </c>
      <c r="BR189" s="248">
        <f ca="1"/>
        <v>0</v>
      </c>
      <c r="BT189" s="248">
        <f ca="1"/>
        <v>0</v>
      </c>
      <c r="BU189" s="248">
        <f ca="1"/>
        <v>0</v>
      </c>
    </row>
    <row r="190" spans="1:73" ht="16" hidden="1" thickTop="1" thickBot="1">
      <c r="A190" s="1"/>
      <c r="B190" s="1">
        <f t="shared" si="6"/>
        <v>0</v>
      </c>
      <c r="D190" s="98"/>
      <c r="E190" s="239"/>
      <c r="F190" s="243"/>
      <c r="G190" s="243"/>
      <c r="H190" s="243"/>
      <c r="I190" s="243"/>
      <c r="J190" s="243"/>
      <c r="K190" s="243"/>
      <c r="L190" s="366"/>
      <c r="M190" s="46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56"/>
      <c r="Y190" s="253"/>
      <c r="Z190" s="254"/>
      <c r="AA190" s="254"/>
      <c r="AB190" s="254"/>
      <c r="AC190" s="254"/>
      <c r="AD190" s="254"/>
      <c r="AE190" s="254"/>
      <c r="AF190" s="254"/>
      <c r="AG190" s="254"/>
      <c r="AH190" s="254"/>
      <c r="AI190" s="254"/>
      <c r="AJ190" s="254"/>
      <c r="AK190" s="254"/>
      <c r="AL190" s="254"/>
      <c r="AM190" s="254"/>
      <c r="AN190" s="254"/>
      <c r="AO190" s="254"/>
      <c r="AP190" s="254"/>
      <c r="AQ190" s="254"/>
      <c r="AR190" s="254"/>
      <c r="AS190" s="254"/>
      <c r="AT190" s="254"/>
      <c r="AU190" s="254"/>
      <c r="AV190" s="254"/>
      <c r="AW190" s="254"/>
      <c r="AX190" s="256"/>
      <c r="AZ190" s="254" t="str">
        <f ca="1"/>
        <v/>
      </c>
      <c r="BA190" s="254" t="str">
        <f ca="1"/>
        <v/>
      </c>
      <c r="BB190" s="254" t="str">
        <f ca="1"/>
        <v/>
      </c>
      <c r="BC190" s="254" t="str">
        <f ca="1"/>
        <v/>
      </c>
      <c r="BD190" s="256">
        <f ca="1"/>
        <v>0</v>
      </c>
      <c r="BF190" s="254"/>
      <c r="BG190" s="254"/>
      <c r="BH190" s="254"/>
      <c r="BI190" s="254"/>
      <c r="BJ190" s="243"/>
      <c r="BK190" s="254"/>
      <c r="BL190" s="256"/>
      <c r="BM190" s="46"/>
      <c r="BN190" s="256">
        <f ca="1"/>
        <v>0</v>
      </c>
      <c r="BP190" s="248">
        <f ca="1"/>
        <v>0</v>
      </c>
      <c r="BR190" s="248">
        <f ca="1"/>
        <v>0</v>
      </c>
      <c r="BT190" s="248">
        <f ca="1"/>
        <v>0</v>
      </c>
      <c r="BU190" s="248">
        <f ca="1"/>
        <v>0</v>
      </c>
    </row>
    <row r="191" spans="1:73" ht="16" hidden="1" thickTop="1" thickBot="1">
      <c r="A191" s="1"/>
      <c r="B191" s="1">
        <f t="shared" si="6"/>
        <v>0</v>
      </c>
      <c r="D191" s="98"/>
      <c r="E191" s="239"/>
      <c r="F191" s="243"/>
      <c r="G191" s="243"/>
      <c r="H191" s="243"/>
      <c r="I191" s="243"/>
      <c r="J191" s="243"/>
      <c r="K191" s="243"/>
      <c r="L191" s="366"/>
      <c r="M191" s="46"/>
      <c r="N191" s="243"/>
      <c r="O191" s="243"/>
      <c r="P191" s="243"/>
      <c r="Q191" s="243"/>
      <c r="R191" s="243"/>
      <c r="S191" s="243"/>
      <c r="T191" s="243"/>
      <c r="U191" s="243"/>
      <c r="V191" s="243"/>
      <c r="W191" s="243"/>
      <c r="X191" s="256"/>
      <c r="Y191" s="253"/>
      <c r="Z191" s="254"/>
      <c r="AA191" s="254"/>
      <c r="AB191" s="254"/>
      <c r="AC191" s="254"/>
      <c r="AD191" s="254"/>
      <c r="AE191" s="254"/>
      <c r="AF191" s="254"/>
      <c r="AG191" s="254"/>
      <c r="AH191" s="254"/>
      <c r="AI191" s="254"/>
      <c r="AJ191" s="254"/>
      <c r="AK191" s="254"/>
      <c r="AL191" s="254"/>
      <c r="AM191" s="254"/>
      <c r="AN191" s="254"/>
      <c r="AO191" s="254"/>
      <c r="AP191" s="254"/>
      <c r="AQ191" s="254"/>
      <c r="AR191" s="254"/>
      <c r="AS191" s="254"/>
      <c r="AT191" s="254"/>
      <c r="AU191" s="254"/>
      <c r="AV191" s="254"/>
      <c r="AW191" s="254"/>
      <c r="AX191" s="256"/>
      <c r="AZ191" s="254" t="str">
        <f ca="1"/>
        <v/>
      </c>
      <c r="BA191" s="254" t="str">
        <f ca="1"/>
        <v/>
      </c>
      <c r="BB191" s="254" t="str">
        <f ca="1"/>
        <v/>
      </c>
      <c r="BC191" s="254" t="str">
        <f ca="1"/>
        <v/>
      </c>
      <c r="BD191" s="256">
        <f ca="1"/>
        <v>0</v>
      </c>
      <c r="BF191" s="254"/>
      <c r="BG191" s="254"/>
      <c r="BH191" s="254"/>
      <c r="BI191" s="254"/>
      <c r="BJ191" s="243"/>
      <c r="BK191" s="254"/>
      <c r="BL191" s="256"/>
      <c r="BM191" s="46"/>
      <c r="BN191" s="256">
        <f ca="1"/>
        <v>0</v>
      </c>
      <c r="BP191" s="248">
        <f ca="1"/>
        <v>0</v>
      </c>
      <c r="BR191" s="248">
        <f ca="1"/>
        <v>0</v>
      </c>
      <c r="BT191" s="248">
        <f ca="1"/>
        <v>0</v>
      </c>
      <c r="BU191" s="248">
        <f ca="1"/>
        <v>0</v>
      </c>
    </row>
    <row r="192" spans="1:73" ht="16" hidden="1" thickTop="1" thickBot="1">
      <c r="A192" s="1"/>
      <c r="B192" s="1">
        <f t="shared" si="6"/>
        <v>0</v>
      </c>
      <c r="D192" s="98"/>
      <c r="E192" s="239"/>
      <c r="F192" s="243"/>
      <c r="G192" s="243"/>
      <c r="H192" s="243"/>
      <c r="I192" s="243"/>
      <c r="J192" s="243"/>
      <c r="K192" s="243"/>
      <c r="L192" s="366"/>
      <c r="M192" s="46"/>
      <c r="N192" s="243"/>
      <c r="O192" s="243"/>
      <c r="P192" s="243"/>
      <c r="Q192" s="243"/>
      <c r="R192" s="243"/>
      <c r="S192" s="243"/>
      <c r="T192" s="243"/>
      <c r="U192" s="243"/>
      <c r="V192" s="243"/>
      <c r="W192" s="243"/>
      <c r="X192" s="256"/>
      <c r="Y192" s="253"/>
      <c r="Z192" s="254"/>
      <c r="AA192" s="254"/>
      <c r="AB192" s="254"/>
      <c r="AC192" s="254"/>
      <c r="AD192" s="254"/>
      <c r="AE192" s="254"/>
      <c r="AF192" s="254"/>
      <c r="AG192" s="254"/>
      <c r="AH192" s="254"/>
      <c r="AI192" s="254"/>
      <c r="AJ192" s="254"/>
      <c r="AK192" s="254"/>
      <c r="AL192" s="254"/>
      <c r="AM192" s="254"/>
      <c r="AN192" s="254"/>
      <c r="AO192" s="254"/>
      <c r="AP192" s="254"/>
      <c r="AQ192" s="254"/>
      <c r="AR192" s="254"/>
      <c r="AS192" s="254"/>
      <c r="AT192" s="254"/>
      <c r="AU192" s="254"/>
      <c r="AV192" s="254"/>
      <c r="AW192" s="254"/>
      <c r="AX192" s="256"/>
      <c r="AZ192" s="254" t="str">
        <f ca="1"/>
        <v/>
      </c>
      <c r="BA192" s="254" t="str">
        <f ca="1"/>
        <v/>
      </c>
      <c r="BB192" s="254" t="str">
        <f ca="1"/>
        <v/>
      </c>
      <c r="BC192" s="254" t="str">
        <f ca="1"/>
        <v/>
      </c>
      <c r="BD192" s="256">
        <f ca="1"/>
        <v>0</v>
      </c>
      <c r="BF192" s="254"/>
      <c r="BG192" s="254"/>
      <c r="BH192" s="254"/>
      <c r="BI192" s="254"/>
      <c r="BJ192" s="243"/>
      <c r="BK192" s="254"/>
      <c r="BL192" s="256"/>
      <c r="BM192" s="46"/>
      <c r="BN192" s="256">
        <f ca="1"/>
        <v>0</v>
      </c>
      <c r="BP192" s="248">
        <f ca="1"/>
        <v>0</v>
      </c>
      <c r="BR192" s="248">
        <f ca="1"/>
        <v>0</v>
      </c>
      <c r="BT192" s="248">
        <f ca="1"/>
        <v>0</v>
      </c>
      <c r="BU192" s="248">
        <f ca="1"/>
        <v>0</v>
      </c>
    </row>
    <row r="193" spans="1:73" ht="16" hidden="1" thickTop="1" thickBot="1">
      <c r="A193" s="1"/>
      <c r="B193" s="1">
        <f t="shared" si="6"/>
        <v>0</v>
      </c>
      <c r="D193" s="98"/>
      <c r="E193" s="239"/>
      <c r="F193" s="243"/>
      <c r="G193" s="243"/>
      <c r="H193" s="243"/>
      <c r="I193" s="243"/>
      <c r="J193" s="243"/>
      <c r="K193" s="243"/>
      <c r="L193" s="366"/>
      <c r="M193" s="46"/>
      <c r="N193" s="243"/>
      <c r="O193" s="243"/>
      <c r="P193" s="243"/>
      <c r="Q193" s="243"/>
      <c r="R193" s="243"/>
      <c r="S193" s="243"/>
      <c r="T193" s="243"/>
      <c r="U193" s="243"/>
      <c r="V193" s="243"/>
      <c r="W193" s="243"/>
      <c r="X193" s="256"/>
      <c r="Y193" s="253"/>
      <c r="Z193" s="254"/>
      <c r="AA193" s="254"/>
      <c r="AB193" s="254"/>
      <c r="AC193" s="254"/>
      <c r="AD193" s="254"/>
      <c r="AE193" s="254"/>
      <c r="AF193" s="254"/>
      <c r="AG193" s="254"/>
      <c r="AH193" s="254"/>
      <c r="AI193" s="254"/>
      <c r="AJ193" s="254"/>
      <c r="AK193" s="254"/>
      <c r="AL193" s="254"/>
      <c r="AM193" s="254"/>
      <c r="AN193" s="254"/>
      <c r="AO193" s="254"/>
      <c r="AP193" s="254"/>
      <c r="AQ193" s="254"/>
      <c r="AR193" s="254"/>
      <c r="AS193" s="254"/>
      <c r="AT193" s="254"/>
      <c r="AU193" s="254"/>
      <c r="AV193" s="254"/>
      <c r="AW193" s="254"/>
      <c r="AX193" s="256"/>
      <c r="AZ193" s="254" t="str">
        <f ca="1"/>
        <v/>
      </c>
      <c r="BA193" s="254" t="str">
        <f ca="1"/>
        <v/>
      </c>
      <c r="BB193" s="254" t="str">
        <f ca="1"/>
        <v/>
      </c>
      <c r="BC193" s="254" t="str">
        <f ca="1"/>
        <v/>
      </c>
      <c r="BD193" s="256">
        <f ca="1"/>
        <v>0</v>
      </c>
      <c r="BF193" s="254"/>
      <c r="BG193" s="254"/>
      <c r="BH193" s="254"/>
      <c r="BI193" s="254"/>
      <c r="BJ193" s="243"/>
      <c r="BK193" s="254"/>
      <c r="BL193" s="256"/>
      <c r="BM193" s="46"/>
      <c r="BN193" s="256">
        <f ca="1"/>
        <v>0</v>
      </c>
      <c r="BP193" s="248">
        <f ca="1"/>
        <v>0</v>
      </c>
      <c r="BR193" s="248">
        <f ca="1"/>
        <v>0</v>
      </c>
      <c r="BT193" s="248">
        <f ca="1"/>
        <v>0</v>
      </c>
      <c r="BU193" s="248">
        <f ca="1"/>
        <v>0</v>
      </c>
    </row>
    <row r="194" spans="1:73" ht="16" hidden="1" thickTop="1" thickBot="1">
      <c r="A194" s="1"/>
      <c r="B194" s="1">
        <f t="shared" si="6"/>
        <v>0</v>
      </c>
      <c r="D194" s="98"/>
      <c r="E194" s="239"/>
      <c r="F194" s="243"/>
      <c r="G194" s="243"/>
      <c r="H194" s="243"/>
      <c r="I194" s="243"/>
      <c r="J194" s="243"/>
      <c r="K194" s="243"/>
      <c r="L194" s="366"/>
      <c r="M194" s="46"/>
      <c r="N194" s="243"/>
      <c r="O194" s="243"/>
      <c r="P194" s="243"/>
      <c r="Q194" s="243"/>
      <c r="R194" s="243"/>
      <c r="S194" s="243"/>
      <c r="T194" s="243"/>
      <c r="U194" s="243"/>
      <c r="V194" s="243"/>
      <c r="W194" s="243"/>
      <c r="X194" s="256"/>
      <c r="Y194" s="253"/>
      <c r="Z194" s="254"/>
      <c r="AA194" s="254"/>
      <c r="AB194" s="254"/>
      <c r="AC194" s="254"/>
      <c r="AD194" s="254"/>
      <c r="AE194" s="254"/>
      <c r="AF194" s="254"/>
      <c r="AG194" s="254"/>
      <c r="AH194" s="254"/>
      <c r="AI194" s="254"/>
      <c r="AJ194" s="254"/>
      <c r="AK194" s="254"/>
      <c r="AL194" s="254"/>
      <c r="AM194" s="254"/>
      <c r="AN194" s="254"/>
      <c r="AO194" s="254"/>
      <c r="AP194" s="254"/>
      <c r="AQ194" s="254"/>
      <c r="AR194" s="254"/>
      <c r="AS194" s="254"/>
      <c r="AT194" s="254"/>
      <c r="AU194" s="254"/>
      <c r="AV194" s="254"/>
      <c r="AW194" s="254"/>
      <c r="AX194" s="256"/>
      <c r="AZ194" s="254" t="str">
        <f ca="1"/>
        <v/>
      </c>
      <c r="BA194" s="254" t="str">
        <f ca="1"/>
        <v/>
      </c>
      <c r="BB194" s="254" t="str">
        <f ca="1"/>
        <v/>
      </c>
      <c r="BC194" s="254" t="str">
        <f ca="1"/>
        <v/>
      </c>
      <c r="BD194" s="256">
        <f ca="1"/>
        <v>0</v>
      </c>
      <c r="BF194" s="254"/>
      <c r="BG194" s="254"/>
      <c r="BH194" s="254"/>
      <c r="BI194" s="254"/>
      <c r="BJ194" s="243"/>
      <c r="BK194" s="254"/>
      <c r="BL194" s="256"/>
      <c r="BM194" s="46"/>
      <c r="BN194" s="256">
        <f ca="1"/>
        <v>0</v>
      </c>
      <c r="BP194" s="248">
        <f ca="1"/>
        <v>0</v>
      </c>
      <c r="BR194" s="248">
        <f ca="1"/>
        <v>0</v>
      </c>
      <c r="BT194" s="248">
        <f ca="1"/>
        <v>0</v>
      </c>
      <c r="BU194" s="248">
        <f ca="1"/>
        <v>0</v>
      </c>
    </row>
    <row r="195" spans="1:73" ht="16" hidden="1" thickTop="1" thickBot="1">
      <c r="A195" s="1"/>
      <c r="B195" s="1">
        <f t="shared" si="6"/>
        <v>0</v>
      </c>
      <c r="D195" s="98"/>
      <c r="E195" s="239"/>
      <c r="F195" s="243"/>
      <c r="G195" s="243"/>
      <c r="H195" s="243"/>
      <c r="I195" s="243"/>
      <c r="J195" s="243"/>
      <c r="K195" s="243"/>
      <c r="L195" s="366"/>
      <c r="M195" s="46"/>
      <c r="N195" s="243"/>
      <c r="O195" s="243"/>
      <c r="P195" s="243"/>
      <c r="Q195" s="243"/>
      <c r="R195" s="243"/>
      <c r="S195" s="243"/>
      <c r="T195" s="243"/>
      <c r="U195" s="243"/>
      <c r="V195" s="243"/>
      <c r="W195" s="243"/>
      <c r="X195" s="256"/>
      <c r="Y195" s="253"/>
      <c r="Z195" s="254"/>
      <c r="AA195" s="254"/>
      <c r="AB195" s="254"/>
      <c r="AC195" s="254"/>
      <c r="AD195" s="254"/>
      <c r="AE195" s="254"/>
      <c r="AF195" s="254"/>
      <c r="AG195" s="254"/>
      <c r="AH195" s="254"/>
      <c r="AI195" s="254"/>
      <c r="AJ195" s="254"/>
      <c r="AK195" s="254"/>
      <c r="AL195" s="254"/>
      <c r="AM195" s="254"/>
      <c r="AN195" s="254"/>
      <c r="AO195" s="254"/>
      <c r="AP195" s="254"/>
      <c r="AQ195" s="254"/>
      <c r="AR195" s="254"/>
      <c r="AS195" s="254"/>
      <c r="AT195" s="254"/>
      <c r="AU195" s="254"/>
      <c r="AV195" s="254"/>
      <c r="AW195" s="254"/>
      <c r="AX195" s="256"/>
      <c r="AZ195" s="254" t="str">
        <f ca="1"/>
        <v/>
      </c>
      <c r="BA195" s="254" t="str">
        <f ca="1"/>
        <v/>
      </c>
      <c r="BB195" s="254" t="str">
        <f ca="1"/>
        <v/>
      </c>
      <c r="BC195" s="254" t="str">
        <f ca="1"/>
        <v/>
      </c>
      <c r="BD195" s="256">
        <f ca="1"/>
        <v>0</v>
      </c>
      <c r="BF195" s="254"/>
      <c r="BG195" s="254"/>
      <c r="BH195" s="254"/>
      <c r="BI195" s="254"/>
      <c r="BJ195" s="243"/>
      <c r="BK195" s="254"/>
      <c r="BL195" s="256"/>
      <c r="BM195" s="46"/>
      <c r="BN195" s="256">
        <f ca="1"/>
        <v>0</v>
      </c>
      <c r="BP195" s="248">
        <f ca="1"/>
        <v>0</v>
      </c>
      <c r="BR195" s="248">
        <f ca="1"/>
        <v>0</v>
      </c>
      <c r="BT195" s="248">
        <f ca="1"/>
        <v>0</v>
      </c>
      <c r="BU195" s="248">
        <f ca="1"/>
        <v>0</v>
      </c>
    </row>
    <row r="196" spans="1:73" ht="16" hidden="1" thickTop="1" thickBot="1">
      <c r="A196" s="1"/>
      <c r="B196" s="1">
        <f t="shared" si="6"/>
        <v>0</v>
      </c>
      <c r="D196" s="98"/>
      <c r="E196" s="239"/>
      <c r="F196" s="243"/>
      <c r="G196" s="243"/>
      <c r="H196" s="243"/>
      <c r="I196" s="243"/>
      <c r="J196" s="243"/>
      <c r="K196" s="243"/>
      <c r="L196" s="366"/>
      <c r="M196" s="46"/>
      <c r="N196" s="243"/>
      <c r="O196" s="243"/>
      <c r="P196" s="243"/>
      <c r="Q196" s="243"/>
      <c r="R196" s="243"/>
      <c r="S196" s="243"/>
      <c r="T196" s="243"/>
      <c r="U196" s="243"/>
      <c r="V196" s="243"/>
      <c r="W196" s="243"/>
      <c r="X196" s="256"/>
      <c r="Y196" s="253"/>
      <c r="Z196" s="254"/>
      <c r="AA196" s="254"/>
      <c r="AB196" s="254"/>
      <c r="AC196" s="254"/>
      <c r="AD196" s="254"/>
      <c r="AE196" s="254"/>
      <c r="AF196" s="254"/>
      <c r="AG196" s="254"/>
      <c r="AH196" s="254"/>
      <c r="AI196" s="254"/>
      <c r="AJ196" s="254"/>
      <c r="AK196" s="254"/>
      <c r="AL196" s="254"/>
      <c r="AM196" s="254"/>
      <c r="AN196" s="254"/>
      <c r="AO196" s="254"/>
      <c r="AP196" s="254"/>
      <c r="AQ196" s="254"/>
      <c r="AR196" s="254"/>
      <c r="AS196" s="254"/>
      <c r="AT196" s="254"/>
      <c r="AU196" s="254"/>
      <c r="AV196" s="254"/>
      <c r="AW196" s="254"/>
      <c r="AX196" s="256"/>
      <c r="AZ196" s="254" t="str">
        <f ca="1"/>
        <v/>
      </c>
      <c r="BA196" s="254" t="str">
        <f ca="1"/>
        <v/>
      </c>
      <c r="BB196" s="254" t="str">
        <f ca="1"/>
        <v/>
      </c>
      <c r="BC196" s="254" t="str">
        <f ca="1"/>
        <v/>
      </c>
      <c r="BD196" s="256">
        <f ca="1"/>
        <v>0</v>
      </c>
      <c r="BF196" s="254"/>
      <c r="BG196" s="254"/>
      <c r="BH196" s="254"/>
      <c r="BI196" s="254"/>
      <c r="BJ196" s="243"/>
      <c r="BK196" s="254"/>
      <c r="BL196" s="256"/>
      <c r="BM196" s="46"/>
      <c r="BN196" s="256">
        <f ca="1"/>
        <v>0</v>
      </c>
      <c r="BP196" s="248">
        <f ca="1"/>
        <v>0</v>
      </c>
      <c r="BR196" s="248">
        <f ca="1"/>
        <v>0</v>
      </c>
      <c r="BT196" s="248">
        <f ca="1"/>
        <v>0</v>
      </c>
      <c r="BU196" s="248">
        <f ca="1"/>
        <v>0</v>
      </c>
    </row>
    <row r="197" spans="1:73" ht="16" hidden="1" thickTop="1" thickBot="1">
      <c r="A197" s="1"/>
      <c r="B197" s="1">
        <f t="shared" si="6"/>
        <v>0</v>
      </c>
      <c r="D197" s="98"/>
      <c r="E197" s="239"/>
      <c r="F197" s="243"/>
      <c r="G197" s="243"/>
      <c r="H197" s="243"/>
      <c r="I197" s="243"/>
      <c r="J197" s="243"/>
      <c r="K197" s="243"/>
      <c r="L197" s="366"/>
      <c r="M197" s="46"/>
      <c r="N197" s="243"/>
      <c r="O197" s="243"/>
      <c r="P197" s="243"/>
      <c r="Q197" s="243"/>
      <c r="R197" s="243"/>
      <c r="S197" s="243"/>
      <c r="T197" s="243"/>
      <c r="U197" s="243"/>
      <c r="V197" s="243"/>
      <c r="W197" s="243"/>
      <c r="X197" s="256"/>
      <c r="Y197" s="253"/>
      <c r="Z197" s="254"/>
      <c r="AA197" s="254"/>
      <c r="AB197" s="254"/>
      <c r="AC197" s="254"/>
      <c r="AD197" s="254"/>
      <c r="AE197" s="254"/>
      <c r="AF197" s="254"/>
      <c r="AG197" s="254"/>
      <c r="AH197" s="254"/>
      <c r="AI197" s="254"/>
      <c r="AJ197" s="254"/>
      <c r="AK197" s="254"/>
      <c r="AL197" s="254"/>
      <c r="AM197" s="254"/>
      <c r="AN197" s="254"/>
      <c r="AO197" s="254"/>
      <c r="AP197" s="254"/>
      <c r="AQ197" s="254"/>
      <c r="AR197" s="254"/>
      <c r="AS197" s="254"/>
      <c r="AT197" s="254"/>
      <c r="AU197" s="254"/>
      <c r="AV197" s="254"/>
      <c r="AW197" s="254"/>
      <c r="AX197" s="256"/>
      <c r="AZ197" s="254" t="str">
        <f ca="1"/>
        <v/>
      </c>
      <c r="BA197" s="254" t="str">
        <f ca="1"/>
        <v/>
      </c>
      <c r="BB197" s="254" t="str">
        <f ca="1"/>
        <v/>
      </c>
      <c r="BC197" s="254" t="str">
        <f ca="1"/>
        <v/>
      </c>
      <c r="BD197" s="256">
        <f ca="1"/>
        <v>0</v>
      </c>
      <c r="BF197" s="254"/>
      <c r="BG197" s="254"/>
      <c r="BH197" s="254"/>
      <c r="BI197" s="254"/>
      <c r="BJ197" s="243"/>
      <c r="BK197" s="254"/>
      <c r="BL197" s="256"/>
      <c r="BM197" s="46"/>
      <c r="BN197" s="256">
        <f ca="1"/>
        <v>0</v>
      </c>
      <c r="BP197" s="248">
        <f ca="1"/>
        <v>0</v>
      </c>
      <c r="BR197" s="248">
        <f ca="1"/>
        <v>0</v>
      </c>
      <c r="BT197" s="248">
        <f ca="1"/>
        <v>0</v>
      </c>
      <c r="BU197" s="248">
        <f ca="1"/>
        <v>0</v>
      </c>
    </row>
    <row r="198" spans="1:73" ht="16" hidden="1" thickTop="1" thickBot="1">
      <c r="A198" s="1"/>
      <c r="B198" s="1">
        <f t="shared" si="6"/>
        <v>0</v>
      </c>
      <c r="D198" s="98"/>
      <c r="E198" s="239"/>
      <c r="F198" s="243"/>
      <c r="G198" s="243"/>
      <c r="H198" s="243"/>
      <c r="I198" s="243"/>
      <c r="J198" s="243"/>
      <c r="K198" s="243"/>
      <c r="L198" s="366"/>
      <c r="M198" s="46"/>
      <c r="N198" s="243"/>
      <c r="O198" s="243"/>
      <c r="P198" s="243"/>
      <c r="Q198" s="243"/>
      <c r="R198" s="243"/>
      <c r="S198" s="243"/>
      <c r="T198" s="243"/>
      <c r="U198" s="243"/>
      <c r="V198" s="243"/>
      <c r="W198" s="243"/>
      <c r="X198" s="256"/>
      <c r="Y198" s="253"/>
      <c r="Z198" s="254"/>
      <c r="AA198" s="254"/>
      <c r="AB198" s="254"/>
      <c r="AC198" s="254"/>
      <c r="AD198" s="254"/>
      <c r="AE198" s="254"/>
      <c r="AF198" s="254"/>
      <c r="AG198" s="254"/>
      <c r="AH198" s="254"/>
      <c r="AI198" s="254"/>
      <c r="AJ198" s="254"/>
      <c r="AK198" s="254"/>
      <c r="AL198" s="254"/>
      <c r="AM198" s="254"/>
      <c r="AN198" s="254"/>
      <c r="AO198" s="254"/>
      <c r="AP198" s="254"/>
      <c r="AQ198" s="254"/>
      <c r="AR198" s="254"/>
      <c r="AS198" s="254"/>
      <c r="AT198" s="254"/>
      <c r="AU198" s="254"/>
      <c r="AV198" s="254"/>
      <c r="AW198" s="254"/>
      <c r="AX198" s="256"/>
      <c r="AZ198" s="254" t="str">
        <f ca="1"/>
        <v/>
      </c>
      <c r="BA198" s="254" t="str">
        <f ca="1"/>
        <v/>
      </c>
      <c r="BB198" s="254" t="str">
        <f ca="1"/>
        <v/>
      </c>
      <c r="BC198" s="254" t="str">
        <f ca="1"/>
        <v/>
      </c>
      <c r="BD198" s="256">
        <f ca="1"/>
        <v>0</v>
      </c>
      <c r="BF198" s="254"/>
      <c r="BG198" s="254"/>
      <c r="BH198" s="254"/>
      <c r="BI198" s="254"/>
      <c r="BJ198" s="243"/>
      <c r="BK198" s="254"/>
      <c r="BL198" s="256"/>
      <c r="BM198" s="46"/>
      <c r="BN198" s="256">
        <f ca="1"/>
        <v>0</v>
      </c>
      <c r="BP198" s="248">
        <f ca="1"/>
        <v>0</v>
      </c>
      <c r="BR198" s="248">
        <f ca="1"/>
        <v>0</v>
      </c>
      <c r="BT198" s="248">
        <f ca="1"/>
        <v>0</v>
      </c>
      <c r="BU198" s="248">
        <f ca="1"/>
        <v>0</v>
      </c>
    </row>
    <row r="199" spans="1:73" ht="16" hidden="1" thickTop="1" thickBot="1">
      <c r="A199" s="1"/>
      <c r="B199" s="1">
        <f t="shared" si="6"/>
        <v>0</v>
      </c>
      <c r="D199" s="98"/>
      <c r="E199" s="239"/>
      <c r="F199" s="243"/>
      <c r="G199" s="243"/>
      <c r="H199" s="243"/>
      <c r="I199" s="243"/>
      <c r="J199" s="243"/>
      <c r="K199" s="243"/>
      <c r="L199" s="366"/>
      <c r="M199" s="46"/>
      <c r="N199" s="243"/>
      <c r="O199" s="243"/>
      <c r="P199" s="243"/>
      <c r="Q199" s="243"/>
      <c r="R199" s="243"/>
      <c r="S199" s="243"/>
      <c r="T199" s="243"/>
      <c r="U199" s="243"/>
      <c r="V199" s="243"/>
      <c r="W199" s="243"/>
      <c r="X199" s="256"/>
      <c r="Y199" s="253"/>
      <c r="Z199" s="254"/>
      <c r="AA199" s="254"/>
      <c r="AB199" s="254"/>
      <c r="AC199" s="254"/>
      <c r="AD199" s="254"/>
      <c r="AE199" s="254"/>
      <c r="AF199" s="254"/>
      <c r="AG199" s="254"/>
      <c r="AH199" s="254"/>
      <c r="AI199" s="254"/>
      <c r="AJ199" s="254"/>
      <c r="AK199" s="254"/>
      <c r="AL199" s="254"/>
      <c r="AM199" s="254"/>
      <c r="AN199" s="254"/>
      <c r="AO199" s="254"/>
      <c r="AP199" s="254"/>
      <c r="AQ199" s="254"/>
      <c r="AR199" s="254"/>
      <c r="AS199" s="254"/>
      <c r="AT199" s="254"/>
      <c r="AU199" s="254"/>
      <c r="AV199" s="254"/>
      <c r="AW199" s="254"/>
      <c r="AX199" s="256"/>
      <c r="AZ199" s="254" t="str">
        <f ca="1"/>
        <v/>
      </c>
      <c r="BA199" s="254" t="str">
        <f ca="1"/>
        <v/>
      </c>
      <c r="BB199" s="254" t="str">
        <f ca="1"/>
        <v/>
      </c>
      <c r="BC199" s="254" t="str">
        <f ca="1"/>
        <v/>
      </c>
      <c r="BD199" s="256">
        <f ca="1"/>
        <v>0</v>
      </c>
      <c r="BF199" s="254"/>
      <c r="BG199" s="254"/>
      <c r="BH199" s="254"/>
      <c r="BI199" s="254"/>
      <c r="BJ199" s="243"/>
      <c r="BK199" s="254"/>
      <c r="BL199" s="256"/>
      <c r="BM199" s="46"/>
      <c r="BN199" s="256">
        <f ca="1"/>
        <v>0</v>
      </c>
      <c r="BP199" s="248">
        <f ca="1"/>
        <v>0</v>
      </c>
      <c r="BR199" s="248">
        <f ca="1"/>
        <v>0</v>
      </c>
      <c r="BT199" s="248">
        <f ca="1"/>
        <v>0</v>
      </c>
      <c r="BU199" s="248">
        <f ca="1"/>
        <v>0</v>
      </c>
    </row>
    <row r="200" spans="1:73" ht="16" hidden="1" thickTop="1" thickBot="1">
      <c r="A200" s="1"/>
      <c r="B200" s="1">
        <f t="shared" si="6"/>
        <v>0</v>
      </c>
      <c r="D200" s="98"/>
      <c r="E200" s="239"/>
      <c r="F200" s="243"/>
      <c r="G200" s="243"/>
      <c r="H200" s="243"/>
      <c r="I200" s="243"/>
      <c r="J200" s="243"/>
      <c r="K200" s="243"/>
      <c r="L200" s="366"/>
      <c r="M200" s="46"/>
      <c r="N200" s="243"/>
      <c r="O200" s="243"/>
      <c r="P200" s="243"/>
      <c r="Q200" s="243"/>
      <c r="R200" s="243"/>
      <c r="S200" s="243"/>
      <c r="T200" s="243"/>
      <c r="U200" s="243"/>
      <c r="V200" s="243"/>
      <c r="W200" s="243"/>
      <c r="X200" s="256"/>
      <c r="Y200" s="253"/>
      <c r="Z200" s="254"/>
      <c r="AA200" s="254"/>
      <c r="AB200" s="254"/>
      <c r="AC200" s="254"/>
      <c r="AD200" s="254"/>
      <c r="AE200" s="254"/>
      <c r="AF200" s="254"/>
      <c r="AG200" s="254"/>
      <c r="AH200" s="254"/>
      <c r="AI200" s="254"/>
      <c r="AJ200" s="254"/>
      <c r="AK200" s="254"/>
      <c r="AL200" s="254"/>
      <c r="AM200" s="254"/>
      <c r="AN200" s="254"/>
      <c r="AO200" s="254"/>
      <c r="AP200" s="254"/>
      <c r="AQ200" s="254"/>
      <c r="AR200" s="254"/>
      <c r="AS200" s="254"/>
      <c r="AT200" s="254"/>
      <c r="AU200" s="254"/>
      <c r="AV200" s="254"/>
      <c r="AW200" s="254"/>
      <c r="AX200" s="256"/>
      <c r="AZ200" s="254" t="str">
        <f ca="1"/>
        <v/>
      </c>
      <c r="BA200" s="254" t="str">
        <f ca="1"/>
        <v/>
      </c>
      <c r="BB200" s="254" t="str">
        <f ca="1"/>
        <v/>
      </c>
      <c r="BC200" s="254" t="str">
        <f ca="1"/>
        <v/>
      </c>
      <c r="BD200" s="256">
        <f ca="1"/>
        <v>0</v>
      </c>
      <c r="BF200" s="254"/>
      <c r="BG200" s="254"/>
      <c r="BH200" s="254"/>
      <c r="BI200" s="254"/>
      <c r="BJ200" s="243"/>
      <c r="BK200" s="254"/>
      <c r="BL200" s="256"/>
      <c r="BM200" s="46"/>
      <c r="BN200" s="256">
        <f ca="1"/>
        <v>0</v>
      </c>
      <c r="BP200" s="248">
        <f ca="1"/>
        <v>0</v>
      </c>
      <c r="BR200" s="248">
        <f ca="1"/>
        <v>0</v>
      </c>
      <c r="BT200" s="248">
        <f ca="1"/>
        <v>0</v>
      </c>
      <c r="BU200" s="248">
        <f ca="1"/>
        <v>0</v>
      </c>
    </row>
    <row r="201" spans="1:73" ht="16" hidden="1" thickTop="1" thickBot="1">
      <c r="A201" s="1"/>
      <c r="B201" s="1">
        <f t="shared" ref="B201:B264" si="7">IF(D201=0,0,1)</f>
        <v>0</v>
      </c>
      <c r="D201" s="98"/>
      <c r="E201" s="239"/>
      <c r="F201" s="243"/>
      <c r="G201" s="243"/>
      <c r="H201" s="243"/>
      <c r="I201" s="243"/>
      <c r="J201" s="243"/>
      <c r="K201" s="243"/>
      <c r="L201" s="366"/>
      <c r="M201" s="46"/>
      <c r="N201" s="243"/>
      <c r="O201" s="243"/>
      <c r="P201" s="243"/>
      <c r="Q201" s="243"/>
      <c r="R201" s="243"/>
      <c r="S201" s="243"/>
      <c r="T201" s="243"/>
      <c r="U201" s="243"/>
      <c r="V201" s="243"/>
      <c r="W201" s="243"/>
      <c r="X201" s="256"/>
      <c r="Y201" s="253"/>
      <c r="Z201" s="254"/>
      <c r="AA201" s="254"/>
      <c r="AB201" s="254"/>
      <c r="AC201" s="254"/>
      <c r="AD201" s="254"/>
      <c r="AE201" s="254"/>
      <c r="AF201" s="254"/>
      <c r="AG201" s="254"/>
      <c r="AH201" s="254"/>
      <c r="AI201" s="254"/>
      <c r="AJ201" s="254"/>
      <c r="AK201" s="254"/>
      <c r="AL201" s="254"/>
      <c r="AM201" s="254"/>
      <c r="AN201" s="254"/>
      <c r="AO201" s="254"/>
      <c r="AP201" s="254"/>
      <c r="AQ201" s="254"/>
      <c r="AR201" s="254"/>
      <c r="AS201" s="254"/>
      <c r="AT201" s="254"/>
      <c r="AU201" s="254"/>
      <c r="AV201" s="254"/>
      <c r="AW201" s="254"/>
      <c r="AX201" s="256"/>
      <c r="AZ201" s="254" t="str">
        <f ca="1"/>
        <v/>
      </c>
      <c r="BA201" s="254" t="str">
        <f ca="1"/>
        <v/>
      </c>
      <c r="BB201" s="254" t="str">
        <f ca="1"/>
        <v/>
      </c>
      <c r="BC201" s="254" t="str">
        <f ca="1"/>
        <v/>
      </c>
      <c r="BD201" s="256">
        <f ca="1"/>
        <v>0</v>
      </c>
      <c r="BF201" s="254"/>
      <c r="BG201" s="254"/>
      <c r="BH201" s="254"/>
      <c r="BI201" s="254"/>
      <c r="BJ201" s="243"/>
      <c r="BK201" s="254"/>
      <c r="BL201" s="256"/>
      <c r="BM201" s="46"/>
      <c r="BN201" s="256">
        <f ca="1"/>
        <v>0</v>
      </c>
      <c r="BP201" s="248">
        <f ca="1"/>
        <v>0</v>
      </c>
      <c r="BR201" s="248">
        <f ca="1"/>
        <v>0</v>
      </c>
      <c r="BT201" s="248">
        <f ca="1"/>
        <v>0</v>
      </c>
      <c r="BU201" s="248">
        <f ca="1"/>
        <v>0</v>
      </c>
    </row>
    <row r="202" spans="1:73" ht="16" hidden="1" thickTop="1" thickBot="1">
      <c r="A202" s="1"/>
      <c r="B202" s="1">
        <f t="shared" si="7"/>
        <v>0</v>
      </c>
      <c r="D202" s="98"/>
      <c r="E202" s="239"/>
      <c r="F202" s="243"/>
      <c r="G202" s="243"/>
      <c r="H202" s="243"/>
      <c r="I202" s="243"/>
      <c r="J202" s="243"/>
      <c r="K202" s="243"/>
      <c r="L202" s="366"/>
      <c r="M202" s="46"/>
      <c r="N202" s="243"/>
      <c r="O202" s="243"/>
      <c r="P202" s="243"/>
      <c r="Q202" s="243"/>
      <c r="R202" s="243"/>
      <c r="S202" s="243"/>
      <c r="T202" s="243"/>
      <c r="U202" s="243"/>
      <c r="V202" s="243"/>
      <c r="W202" s="243"/>
      <c r="X202" s="256"/>
      <c r="Y202" s="253"/>
      <c r="Z202" s="254"/>
      <c r="AA202" s="254"/>
      <c r="AB202" s="254"/>
      <c r="AC202" s="254"/>
      <c r="AD202" s="254"/>
      <c r="AE202" s="254"/>
      <c r="AF202" s="254"/>
      <c r="AG202" s="254"/>
      <c r="AH202" s="254"/>
      <c r="AI202" s="254"/>
      <c r="AJ202" s="254"/>
      <c r="AK202" s="254"/>
      <c r="AL202" s="254"/>
      <c r="AM202" s="254"/>
      <c r="AN202" s="254"/>
      <c r="AO202" s="254"/>
      <c r="AP202" s="254"/>
      <c r="AQ202" s="254"/>
      <c r="AR202" s="254"/>
      <c r="AS202" s="254"/>
      <c r="AT202" s="254"/>
      <c r="AU202" s="254"/>
      <c r="AV202" s="254"/>
      <c r="AW202" s="254"/>
      <c r="AX202" s="256"/>
      <c r="AZ202" s="254" t="str">
        <f ca="1"/>
        <v/>
      </c>
      <c r="BA202" s="254" t="str">
        <f ca="1"/>
        <v/>
      </c>
      <c r="BB202" s="254" t="str">
        <f ca="1"/>
        <v/>
      </c>
      <c r="BC202" s="254" t="str">
        <f ca="1"/>
        <v/>
      </c>
      <c r="BD202" s="256">
        <f ca="1"/>
        <v>0</v>
      </c>
      <c r="BF202" s="254"/>
      <c r="BG202" s="254"/>
      <c r="BH202" s="254"/>
      <c r="BI202" s="254"/>
      <c r="BJ202" s="243"/>
      <c r="BK202" s="254"/>
      <c r="BL202" s="256"/>
      <c r="BM202" s="46"/>
      <c r="BN202" s="256">
        <f ca="1"/>
        <v>0</v>
      </c>
      <c r="BP202" s="248">
        <f ca="1"/>
        <v>0</v>
      </c>
      <c r="BR202" s="248">
        <f ca="1"/>
        <v>0</v>
      </c>
      <c r="BT202" s="248">
        <f ca="1"/>
        <v>0</v>
      </c>
      <c r="BU202" s="248">
        <f ca="1"/>
        <v>0</v>
      </c>
    </row>
    <row r="203" spans="1:73" ht="16" hidden="1" thickTop="1" thickBot="1">
      <c r="A203" s="1"/>
      <c r="B203" s="1">
        <f t="shared" si="7"/>
        <v>0</v>
      </c>
      <c r="D203" s="98"/>
      <c r="E203" s="239"/>
      <c r="F203" s="243"/>
      <c r="G203" s="243"/>
      <c r="H203" s="243"/>
      <c r="I203" s="243"/>
      <c r="J203" s="243"/>
      <c r="K203" s="243"/>
      <c r="L203" s="366"/>
      <c r="M203" s="46"/>
      <c r="N203" s="243"/>
      <c r="O203" s="243"/>
      <c r="P203" s="243"/>
      <c r="Q203" s="243"/>
      <c r="R203" s="243"/>
      <c r="S203" s="243"/>
      <c r="T203" s="243"/>
      <c r="U203" s="243"/>
      <c r="V203" s="243"/>
      <c r="W203" s="243"/>
      <c r="X203" s="256"/>
      <c r="Y203" s="253"/>
      <c r="Z203" s="254"/>
      <c r="AA203" s="254"/>
      <c r="AB203" s="254"/>
      <c r="AC203" s="254"/>
      <c r="AD203" s="254"/>
      <c r="AE203" s="254"/>
      <c r="AF203" s="254"/>
      <c r="AG203" s="254"/>
      <c r="AH203" s="254"/>
      <c r="AI203" s="254"/>
      <c r="AJ203" s="254"/>
      <c r="AK203" s="254"/>
      <c r="AL203" s="254"/>
      <c r="AM203" s="254"/>
      <c r="AN203" s="254"/>
      <c r="AO203" s="254"/>
      <c r="AP203" s="254"/>
      <c r="AQ203" s="254"/>
      <c r="AR203" s="254"/>
      <c r="AS203" s="254"/>
      <c r="AT203" s="254"/>
      <c r="AU203" s="254"/>
      <c r="AV203" s="254"/>
      <c r="AW203" s="254"/>
      <c r="AX203" s="256"/>
      <c r="AZ203" s="254" t="str">
        <f ca="1"/>
        <v/>
      </c>
      <c r="BA203" s="254" t="str">
        <f ca="1"/>
        <v/>
      </c>
      <c r="BB203" s="254" t="str">
        <f ca="1"/>
        <v/>
      </c>
      <c r="BC203" s="254" t="str">
        <f ca="1"/>
        <v/>
      </c>
      <c r="BD203" s="256">
        <f ca="1"/>
        <v>0</v>
      </c>
      <c r="BF203" s="254"/>
      <c r="BG203" s="254"/>
      <c r="BH203" s="254"/>
      <c r="BI203" s="254"/>
      <c r="BJ203" s="243"/>
      <c r="BK203" s="254"/>
      <c r="BL203" s="256"/>
      <c r="BM203" s="46"/>
      <c r="BN203" s="256">
        <f ca="1"/>
        <v>0</v>
      </c>
      <c r="BP203" s="248">
        <f ca="1"/>
        <v>0</v>
      </c>
      <c r="BR203" s="248">
        <f ca="1"/>
        <v>0</v>
      </c>
      <c r="BT203" s="248">
        <f ca="1"/>
        <v>0</v>
      </c>
      <c r="BU203" s="248">
        <f ca="1"/>
        <v>0</v>
      </c>
    </row>
    <row r="204" spans="1:73" ht="16" hidden="1" thickTop="1" thickBot="1">
      <c r="A204" s="1"/>
      <c r="B204" s="1">
        <f t="shared" si="7"/>
        <v>0</v>
      </c>
      <c r="D204" s="98"/>
      <c r="E204" s="239"/>
      <c r="F204" s="243"/>
      <c r="G204" s="243"/>
      <c r="H204" s="243"/>
      <c r="I204" s="243"/>
      <c r="J204" s="243"/>
      <c r="K204" s="243"/>
      <c r="L204" s="366"/>
      <c r="M204" s="46"/>
      <c r="N204" s="243"/>
      <c r="O204" s="243"/>
      <c r="P204" s="243"/>
      <c r="Q204" s="243"/>
      <c r="R204" s="243"/>
      <c r="S204" s="243"/>
      <c r="T204" s="243"/>
      <c r="U204" s="243"/>
      <c r="V204" s="243"/>
      <c r="W204" s="243"/>
      <c r="X204" s="256"/>
      <c r="Y204" s="253"/>
      <c r="Z204" s="254"/>
      <c r="AA204" s="254"/>
      <c r="AB204" s="254"/>
      <c r="AC204" s="254"/>
      <c r="AD204" s="254"/>
      <c r="AE204" s="254"/>
      <c r="AF204" s="254"/>
      <c r="AG204" s="254"/>
      <c r="AH204" s="254"/>
      <c r="AI204" s="254"/>
      <c r="AJ204" s="254"/>
      <c r="AK204" s="254"/>
      <c r="AL204" s="254"/>
      <c r="AM204" s="254"/>
      <c r="AN204" s="254"/>
      <c r="AO204" s="254"/>
      <c r="AP204" s="254"/>
      <c r="AQ204" s="254"/>
      <c r="AR204" s="254"/>
      <c r="AS204" s="254"/>
      <c r="AT204" s="254"/>
      <c r="AU204" s="254"/>
      <c r="AV204" s="254"/>
      <c r="AW204" s="254"/>
      <c r="AX204" s="256"/>
      <c r="AZ204" s="254" t="str">
        <f ca="1"/>
        <v/>
      </c>
      <c r="BA204" s="254" t="str">
        <f ca="1"/>
        <v/>
      </c>
      <c r="BB204" s="254" t="str">
        <f ca="1"/>
        <v/>
      </c>
      <c r="BC204" s="254" t="str">
        <f ca="1"/>
        <v/>
      </c>
      <c r="BD204" s="256">
        <f ca="1"/>
        <v>0</v>
      </c>
      <c r="BF204" s="254"/>
      <c r="BG204" s="254"/>
      <c r="BH204" s="254"/>
      <c r="BI204" s="254"/>
      <c r="BJ204" s="243"/>
      <c r="BK204" s="254"/>
      <c r="BL204" s="256"/>
      <c r="BM204" s="46"/>
      <c r="BN204" s="256">
        <f ca="1"/>
        <v>0</v>
      </c>
      <c r="BP204" s="248">
        <f ca="1"/>
        <v>0</v>
      </c>
      <c r="BR204" s="248">
        <f ca="1"/>
        <v>0</v>
      </c>
      <c r="BT204" s="248">
        <f ca="1"/>
        <v>0</v>
      </c>
      <c r="BU204" s="248">
        <f ca="1"/>
        <v>0</v>
      </c>
    </row>
    <row r="205" spans="1:73" ht="16" hidden="1" thickTop="1" thickBot="1">
      <c r="A205" s="1"/>
      <c r="B205" s="1">
        <f t="shared" si="7"/>
        <v>0</v>
      </c>
      <c r="D205" s="98"/>
      <c r="E205" s="239"/>
      <c r="F205" s="243"/>
      <c r="G205" s="243"/>
      <c r="H205" s="243"/>
      <c r="I205" s="243"/>
      <c r="J205" s="243"/>
      <c r="K205" s="243"/>
      <c r="L205" s="366"/>
      <c r="M205" s="46"/>
      <c r="N205" s="243"/>
      <c r="O205" s="243"/>
      <c r="P205" s="243"/>
      <c r="Q205" s="243"/>
      <c r="R205" s="243"/>
      <c r="S205" s="243"/>
      <c r="T205" s="243"/>
      <c r="U205" s="243"/>
      <c r="V205" s="243"/>
      <c r="W205" s="243"/>
      <c r="X205" s="256"/>
      <c r="Y205" s="253"/>
      <c r="Z205" s="254"/>
      <c r="AA205" s="254"/>
      <c r="AB205" s="254"/>
      <c r="AC205" s="254"/>
      <c r="AD205" s="254"/>
      <c r="AE205" s="254"/>
      <c r="AF205" s="254"/>
      <c r="AG205" s="254"/>
      <c r="AH205" s="254"/>
      <c r="AI205" s="254"/>
      <c r="AJ205" s="254"/>
      <c r="AK205" s="254"/>
      <c r="AL205" s="254"/>
      <c r="AM205" s="254"/>
      <c r="AN205" s="254"/>
      <c r="AO205" s="254"/>
      <c r="AP205" s="254"/>
      <c r="AQ205" s="254"/>
      <c r="AR205" s="254"/>
      <c r="AS205" s="254"/>
      <c r="AT205" s="254"/>
      <c r="AU205" s="254"/>
      <c r="AV205" s="254"/>
      <c r="AW205" s="254"/>
      <c r="AX205" s="256"/>
      <c r="AZ205" s="254" t="str">
        <f ca="1"/>
        <v/>
      </c>
      <c r="BA205" s="254" t="str">
        <f ca="1"/>
        <v/>
      </c>
      <c r="BB205" s="254" t="str">
        <f ca="1"/>
        <v/>
      </c>
      <c r="BC205" s="254" t="str">
        <f ca="1"/>
        <v/>
      </c>
      <c r="BD205" s="256">
        <f ca="1"/>
        <v>0</v>
      </c>
      <c r="BF205" s="254"/>
      <c r="BG205" s="254"/>
      <c r="BH205" s="254"/>
      <c r="BI205" s="254"/>
      <c r="BJ205" s="243"/>
      <c r="BK205" s="254"/>
      <c r="BL205" s="256"/>
      <c r="BM205" s="46"/>
      <c r="BN205" s="256">
        <f ca="1"/>
        <v>0</v>
      </c>
      <c r="BP205" s="248">
        <f ca="1"/>
        <v>0</v>
      </c>
      <c r="BR205" s="248">
        <f ca="1"/>
        <v>0</v>
      </c>
      <c r="BT205" s="248">
        <f ca="1"/>
        <v>0</v>
      </c>
      <c r="BU205" s="248">
        <f ca="1"/>
        <v>0</v>
      </c>
    </row>
    <row r="206" spans="1:73" ht="16" hidden="1" thickTop="1" thickBot="1">
      <c r="A206" s="1"/>
      <c r="B206" s="1">
        <f t="shared" si="7"/>
        <v>0</v>
      </c>
      <c r="D206" s="98"/>
      <c r="E206" s="239"/>
      <c r="F206" s="243"/>
      <c r="G206" s="243"/>
      <c r="H206" s="243"/>
      <c r="I206" s="243"/>
      <c r="J206" s="243"/>
      <c r="K206" s="243"/>
      <c r="L206" s="366"/>
      <c r="M206" s="46"/>
      <c r="N206" s="243"/>
      <c r="O206" s="243"/>
      <c r="P206" s="243"/>
      <c r="Q206" s="243"/>
      <c r="R206" s="243"/>
      <c r="S206" s="243"/>
      <c r="T206" s="243"/>
      <c r="U206" s="243"/>
      <c r="V206" s="243"/>
      <c r="W206" s="243"/>
      <c r="X206" s="256"/>
      <c r="Y206" s="253"/>
      <c r="Z206" s="254"/>
      <c r="AA206" s="254"/>
      <c r="AB206" s="254"/>
      <c r="AC206" s="254"/>
      <c r="AD206" s="254"/>
      <c r="AE206" s="254"/>
      <c r="AF206" s="254"/>
      <c r="AG206" s="254"/>
      <c r="AH206" s="254"/>
      <c r="AI206" s="254"/>
      <c r="AJ206" s="254"/>
      <c r="AK206" s="254"/>
      <c r="AL206" s="254"/>
      <c r="AM206" s="254"/>
      <c r="AN206" s="254"/>
      <c r="AO206" s="254"/>
      <c r="AP206" s="254"/>
      <c r="AQ206" s="254"/>
      <c r="AR206" s="254"/>
      <c r="AS206" s="254"/>
      <c r="AT206" s="254"/>
      <c r="AU206" s="254"/>
      <c r="AV206" s="254"/>
      <c r="AW206" s="254"/>
      <c r="AX206" s="256"/>
      <c r="AZ206" s="254" t="str">
        <f ca="1"/>
        <v/>
      </c>
      <c r="BA206" s="254" t="str">
        <f ca="1"/>
        <v/>
      </c>
      <c r="BB206" s="254" t="str">
        <f ca="1"/>
        <v/>
      </c>
      <c r="BC206" s="254" t="str">
        <f ca="1"/>
        <v/>
      </c>
      <c r="BD206" s="256">
        <f ca="1"/>
        <v>0</v>
      </c>
      <c r="BF206" s="254"/>
      <c r="BG206" s="254"/>
      <c r="BH206" s="254"/>
      <c r="BI206" s="254"/>
      <c r="BJ206" s="243"/>
      <c r="BK206" s="254"/>
      <c r="BL206" s="256"/>
      <c r="BM206" s="46"/>
      <c r="BN206" s="256">
        <f ca="1"/>
        <v>0</v>
      </c>
      <c r="BP206" s="248">
        <f ca="1"/>
        <v>0</v>
      </c>
      <c r="BR206" s="248">
        <f ca="1"/>
        <v>0</v>
      </c>
      <c r="BT206" s="248">
        <f ca="1"/>
        <v>0</v>
      </c>
      <c r="BU206" s="248">
        <f ca="1"/>
        <v>0</v>
      </c>
    </row>
    <row r="207" spans="1:73" ht="16" hidden="1" thickTop="1" thickBot="1">
      <c r="A207" s="1"/>
      <c r="B207" s="1">
        <f t="shared" si="7"/>
        <v>0</v>
      </c>
      <c r="D207" s="98"/>
      <c r="E207" s="239"/>
      <c r="F207" s="243"/>
      <c r="G207" s="243"/>
      <c r="H207" s="243"/>
      <c r="I207" s="243"/>
      <c r="J207" s="243"/>
      <c r="K207" s="243"/>
      <c r="L207" s="366"/>
      <c r="M207" s="46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56"/>
      <c r="Y207" s="253"/>
      <c r="Z207" s="254"/>
      <c r="AA207" s="254"/>
      <c r="AB207" s="254"/>
      <c r="AC207" s="254"/>
      <c r="AD207" s="254"/>
      <c r="AE207" s="254"/>
      <c r="AF207" s="254"/>
      <c r="AG207" s="254"/>
      <c r="AH207" s="254"/>
      <c r="AI207" s="254"/>
      <c r="AJ207" s="254"/>
      <c r="AK207" s="254"/>
      <c r="AL207" s="254"/>
      <c r="AM207" s="254"/>
      <c r="AN207" s="254"/>
      <c r="AO207" s="254"/>
      <c r="AP207" s="254"/>
      <c r="AQ207" s="254"/>
      <c r="AR207" s="254"/>
      <c r="AS207" s="254"/>
      <c r="AT207" s="254"/>
      <c r="AU207" s="254"/>
      <c r="AV207" s="254"/>
      <c r="AW207" s="254"/>
      <c r="AX207" s="256"/>
      <c r="AZ207" s="254" t="str">
        <f ca="1"/>
        <v/>
      </c>
      <c r="BA207" s="254" t="str">
        <f ca="1"/>
        <v/>
      </c>
      <c r="BB207" s="254" t="str">
        <f ca="1"/>
        <v/>
      </c>
      <c r="BC207" s="254" t="str">
        <f ca="1"/>
        <v/>
      </c>
      <c r="BD207" s="256">
        <f ca="1"/>
        <v>0</v>
      </c>
      <c r="BF207" s="254"/>
      <c r="BG207" s="254"/>
      <c r="BH207" s="254"/>
      <c r="BI207" s="254"/>
      <c r="BJ207" s="243"/>
      <c r="BK207" s="254"/>
      <c r="BL207" s="256"/>
      <c r="BM207" s="46"/>
      <c r="BN207" s="256">
        <f ca="1"/>
        <v>0</v>
      </c>
      <c r="BP207" s="248">
        <f ca="1"/>
        <v>0</v>
      </c>
      <c r="BR207" s="248">
        <f ca="1"/>
        <v>0</v>
      </c>
      <c r="BT207" s="248">
        <f ca="1"/>
        <v>0</v>
      </c>
      <c r="BU207" s="248">
        <f ca="1"/>
        <v>0</v>
      </c>
    </row>
    <row r="208" spans="1:73" ht="16" hidden="1" thickTop="1" thickBot="1">
      <c r="A208" s="1"/>
      <c r="B208" s="1">
        <f t="shared" si="7"/>
        <v>0</v>
      </c>
      <c r="D208" s="98"/>
      <c r="E208" s="239"/>
      <c r="F208" s="243"/>
      <c r="G208" s="243"/>
      <c r="H208" s="243"/>
      <c r="I208" s="243"/>
      <c r="J208" s="243"/>
      <c r="K208" s="243"/>
      <c r="L208" s="366"/>
      <c r="M208" s="46"/>
      <c r="N208" s="243"/>
      <c r="O208" s="243"/>
      <c r="P208" s="243"/>
      <c r="Q208" s="243"/>
      <c r="R208" s="243"/>
      <c r="S208" s="243"/>
      <c r="T208" s="243"/>
      <c r="U208" s="243"/>
      <c r="V208" s="243"/>
      <c r="W208" s="243"/>
      <c r="X208" s="256"/>
      <c r="Y208" s="253"/>
      <c r="Z208" s="254"/>
      <c r="AA208" s="254"/>
      <c r="AB208" s="254"/>
      <c r="AC208" s="254"/>
      <c r="AD208" s="254"/>
      <c r="AE208" s="254"/>
      <c r="AF208" s="254"/>
      <c r="AG208" s="254"/>
      <c r="AH208" s="254"/>
      <c r="AI208" s="254"/>
      <c r="AJ208" s="254"/>
      <c r="AK208" s="254"/>
      <c r="AL208" s="254"/>
      <c r="AM208" s="254"/>
      <c r="AN208" s="254"/>
      <c r="AO208" s="254"/>
      <c r="AP208" s="254"/>
      <c r="AQ208" s="254"/>
      <c r="AR208" s="254"/>
      <c r="AS208" s="254"/>
      <c r="AT208" s="254"/>
      <c r="AU208" s="254"/>
      <c r="AV208" s="254"/>
      <c r="AW208" s="254"/>
      <c r="AX208" s="256"/>
      <c r="AZ208" s="254" t="str">
        <f ca="1"/>
        <v/>
      </c>
      <c r="BA208" s="254" t="str">
        <f ca="1"/>
        <v/>
      </c>
      <c r="BB208" s="254" t="str">
        <f ca="1"/>
        <v/>
      </c>
      <c r="BC208" s="254" t="str">
        <f ca="1"/>
        <v/>
      </c>
      <c r="BD208" s="256">
        <f ca="1"/>
        <v>0</v>
      </c>
      <c r="BF208" s="254"/>
      <c r="BG208" s="254"/>
      <c r="BH208" s="254"/>
      <c r="BI208" s="254"/>
      <c r="BJ208" s="243"/>
      <c r="BK208" s="254"/>
      <c r="BL208" s="256"/>
      <c r="BM208" s="46"/>
      <c r="BN208" s="256">
        <f ca="1"/>
        <v>0</v>
      </c>
      <c r="BP208" s="248">
        <f ca="1"/>
        <v>0</v>
      </c>
      <c r="BR208" s="248">
        <f ca="1"/>
        <v>0</v>
      </c>
      <c r="BT208" s="248">
        <f ca="1"/>
        <v>0</v>
      </c>
      <c r="BU208" s="248">
        <f ca="1"/>
        <v>0</v>
      </c>
    </row>
    <row r="209" spans="1:73" ht="16" hidden="1" thickTop="1" thickBot="1">
      <c r="A209" s="1"/>
      <c r="B209" s="1">
        <f t="shared" si="7"/>
        <v>0</v>
      </c>
      <c r="D209" s="98"/>
      <c r="E209" s="239"/>
      <c r="F209" s="243"/>
      <c r="G209" s="243"/>
      <c r="H209" s="243"/>
      <c r="I209" s="243"/>
      <c r="J209" s="243"/>
      <c r="K209" s="243"/>
      <c r="L209" s="366"/>
      <c r="M209" s="46"/>
      <c r="N209" s="243"/>
      <c r="O209" s="243"/>
      <c r="P209" s="243"/>
      <c r="Q209" s="243"/>
      <c r="R209" s="243"/>
      <c r="S209" s="243"/>
      <c r="T209" s="243"/>
      <c r="U209" s="243"/>
      <c r="V209" s="243"/>
      <c r="W209" s="243"/>
      <c r="X209" s="256"/>
      <c r="Y209" s="253"/>
      <c r="Z209" s="254"/>
      <c r="AA209" s="254"/>
      <c r="AB209" s="254"/>
      <c r="AC209" s="254"/>
      <c r="AD209" s="254"/>
      <c r="AE209" s="254"/>
      <c r="AF209" s="254"/>
      <c r="AG209" s="254"/>
      <c r="AH209" s="254"/>
      <c r="AI209" s="254"/>
      <c r="AJ209" s="254"/>
      <c r="AK209" s="254"/>
      <c r="AL209" s="254"/>
      <c r="AM209" s="254"/>
      <c r="AN209" s="254"/>
      <c r="AO209" s="254"/>
      <c r="AP209" s="254"/>
      <c r="AQ209" s="254"/>
      <c r="AR209" s="254"/>
      <c r="AS209" s="254"/>
      <c r="AT209" s="254"/>
      <c r="AU209" s="254"/>
      <c r="AV209" s="254"/>
      <c r="AW209" s="254"/>
      <c r="AX209" s="256"/>
      <c r="AZ209" s="254" t="str">
        <f ca="1"/>
        <v/>
      </c>
      <c r="BA209" s="254" t="str">
        <f ca="1"/>
        <v/>
      </c>
      <c r="BB209" s="254" t="str">
        <f ca="1"/>
        <v/>
      </c>
      <c r="BC209" s="254" t="str">
        <f ca="1"/>
        <v/>
      </c>
      <c r="BD209" s="256">
        <f ca="1"/>
        <v>0</v>
      </c>
      <c r="BF209" s="254"/>
      <c r="BG209" s="254"/>
      <c r="BH209" s="254"/>
      <c r="BI209" s="254"/>
      <c r="BJ209" s="243"/>
      <c r="BK209" s="254"/>
      <c r="BL209" s="256"/>
      <c r="BM209" s="46"/>
      <c r="BN209" s="256">
        <f ca="1"/>
        <v>0</v>
      </c>
      <c r="BP209" s="248">
        <f ca="1"/>
        <v>0</v>
      </c>
      <c r="BR209" s="248">
        <f ca="1"/>
        <v>0</v>
      </c>
      <c r="BT209" s="248">
        <f ca="1"/>
        <v>0</v>
      </c>
      <c r="BU209" s="248">
        <f ca="1"/>
        <v>0</v>
      </c>
    </row>
    <row r="210" spans="1:73" ht="16" hidden="1" thickTop="1" thickBot="1">
      <c r="A210" s="1"/>
      <c r="B210" s="1">
        <f t="shared" si="7"/>
        <v>0</v>
      </c>
      <c r="D210" s="98"/>
      <c r="E210" s="239"/>
      <c r="F210" s="243"/>
      <c r="G210" s="243"/>
      <c r="H210" s="243"/>
      <c r="I210" s="243"/>
      <c r="J210" s="243"/>
      <c r="K210" s="243"/>
      <c r="L210" s="366"/>
      <c r="M210" s="46"/>
      <c r="N210" s="243"/>
      <c r="O210" s="243"/>
      <c r="P210" s="243"/>
      <c r="Q210" s="243"/>
      <c r="R210" s="243"/>
      <c r="S210" s="243"/>
      <c r="T210" s="243"/>
      <c r="U210" s="243"/>
      <c r="V210" s="243"/>
      <c r="W210" s="243"/>
      <c r="X210" s="256"/>
      <c r="Y210" s="253"/>
      <c r="Z210" s="254"/>
      <c r="AA210" s="254"/>
      <c r="AB210" s="254"/>
      <c r="AC210" s="254"/>
      <c r="AD210" s="254"/>
      <c r="AE210" s="254"/>
      <c r="AF210" s="254"/>
      <c r="AG210" s="254"/>
      <c r="AH210" s="254"/>
      <c r="AI210" s="254"/>
      <c r="AJ210" s="254"/>
      <c r="AK210" s="254"/>
      <c r="AL210" s="254"/>
      <c r="AM210" s="254"/>
      <c r="AN210" s="254"/>
      <c r="AO210" s="254"/>
      <c r="AP210" s="254"/>
      <c r="AQ210" s="254"/>
      <c r="AR210" s="254"/>
      <c r="AS210" s="254"/>
      <c r="AT210" s="254"/>
      <c r="AU210" s="254"/>
      <c r="AV210" s="254"/>
      <c r="AW210" s="254"/>
      <c r="AX210" s="256"/>
      <c r="AZ210" s="254" t="str">
        <f ca="1"/>
        <v/>
      </c>
      <c r="BA210" s="254" t="str">
        <f ca="1"/>
        <v/>
      </c>
      <c r="BB210" s="254" t="str">
        <f ca="1"/>
        <v/>
      </c>
      <c r="BC210" s="254" t="str">
        <f ca="1"/>
        <v/>
      </c>
      <c r="BD210" s="256">
        <f ca="1"/>
        <v>0</v>
      </c>
      <c r="BF210" s="254"/>
      <c r="BG210" s="254"/>
      <c r="BH210" s="254"/>
      <c r="BI210" s="254"/>
      <c r="BJ210" s="243"/>
      <c r="BK210" s="254"/>
      <c r="BL210" s="256"/>
      <c r="BM210" s="46"/>
      <c r="BN210" s="256">
        <f ca="1"/>
        <v>0</v>
      </c>
      <c r="BP210" s="248">
        <f ca="1"/>
        <v>0</v>
      </c>
      <c r="BR210" s="248">
        <f ca="1"/>
        <v>0</v>
      </c>
      <c r="BT210" s="248">
        <f ca="1"/>
        <v>0</v>
      </c>
      <c r="BU210" s="248">
        <f ca="1"/>
        <v>0</v>
      </c>
    </row>
    <row r="211" spans="1:73" ht="16" hidden="1" thickTop="1" thickBot="1">
      <c r="A211" s="1"/>
      <c r="B211" s="1">
        <f t="shared" si="7"/>
        <v>0</v>
      </c>
      <c r="D211" s="98"/>
      <c r="E211" s="239"/>
      <c r="F211" s="243"/>
      <c r="G211" s="243"/>
      <c r="H211" s="243"/>
      <c r="I211" s="243"/>
      <c r="J211" s="243"/>
      <c r="K211" s="243"/>
      <c r="L211" s="366"/>
      <c r="M211" s="46"/>
      <c r="N211" s="243"/>
      <c r="O211" s="243"/>
      <c r="P211" s="243"/>
      <c r="Q211" s="243"/>
      <c r="R211" s="243"/>
      <c r="S211" s="243"/>
      <c r="T211" s="243"/>
      <c r="U211" s="243"/>
      <c r="V211" s="243"/>
      <c r="W211" s="243"/>
      <c r="X211" s="256"/>
      <c r="Y211" s="253"/>
      <c r="Z211" s="254"/>
      <c r="AA211" s="254"/>
      <c r="AB211" s="254"/>
      <c r="AC211" s="254"/>
      <c r="AD211" s="254"/>
      <c r="AE211" s="254"/>
      <c r="AF211" s="254"/>
      <c r="AG211" s="254"/>
      <c r="AH211" s="254"/>
      <c r="AI211" s="254"/>
      <c r="AJ211" s="254"/>
      <c r="AK211" s="254"/>
      <c r="AL211" s="254"/>
      <c r="AM211" s="254"/>
      <c r="AN211" s="254"/>
      <c r="AO211" s="254"/>
      <c r="AP211" s="254"/>
      <c r="AQ211" s="254"/>
      <c r="AR211" s="254"/>
      <c r="AS211" s="254"/>
      <c r="AT211" s="254"/>
      <c r="AU211" s="254"/>
      <c r="AV211" s="254"/>
      <c r="AW211" s="254"/>
      <c r="AX211" s="256"/>
      <c r="AZ211" s="254" t="str">
        <f ca="1"/>
        <v/>
      </c>
      <c r="BA211" s="254" t="str">
        <f ca="1"/>
        <v/>
      </c>
      <c r="BB211" s="254" t="str">
        <f ca="1"/>
        <v/>
      </c>
      <c r="BC211" s="254" t="str">
        <f ca="1"/>
        <v/>
      </c>
      <c r="BD211" s="256">
        <f ca="1"/>
        <v>0</v>
      </c>
      <c r="BF211" s="254"/>
      <c r="BG211" s="254"/>
      <c r="BH211" s="254"/>
      <c r="BI211" s="254"/>
      <c r="BJ211" s="243"/>
      <c r="BK211" s="254"/>
      <c r="BL211" s="256"/>
      <c r="BM211" s="46"/>
      <c r="BN211" s="256">
        <f ca="1"/>
        <v>0</v>
      </c>
      <c r="BP211" s="248">
        <f ca="1"/>
        <v>0</v>
      </c>
      <c r="BR211" s="248">
        <f ca="1"/>
        <v>0</v>
      </c>
      <c r="BT211" s="248">
        <f ca="1"/>
        <v>0</v>
      </c>
      <c r="BU211" s="248">
        <f ca="1"/>
        <v>0</v>
      </c>
    </row>
    <row r="212" spans="1:73" ht="16" hidden="1" thickTop="1" thickBot="1">
      <c r="A212" s="1"/>
      <c r="B212" s="1">
        <f t="shared" si="7"/>
        <v>0</v>
      </c>
      <c r="D212" s="98"/>
      <c r="E212" s="239"/>
      <c r="F212" s="243"/>
      <c r="G212" s="243"/>
      <c r="H212" s="243"/>
      <c r="I212" s="243"/>
      <c r="J212" s="243"/>
      <c r="K212" s="243"/>
      <c r="L212" s="366"/>
      <c r="M212" s="46"/>
      <c r="N212" s="243"/>
      <c r="O212" s="243"/>
      <c r="P212" s="243"/>
      <c r="Q212" s="243"/>
      <c r="R212" s="243"/>
      <c r="S212" s="243"/>
      <c r="T212" s="243"/>
      <c r="U212" s="243"/>
      <c r="V212" s="243"/>
      <c r="W212" s="243"/>
      <c r="X212" s="256"/>
      <c r="Y212" s="253"/>
      <c r="Z212" s="254"/>
      <c r="AA212" s="254"/>
      <c r="AB212" s="254"/>
      <c r="AC212" s="254"/>
      <c r="AD212" s="254"/>
      <c r="AE212" s="254"/>
      <c r="AF212" s="254"/>
      <c r="AG212" s="254"/>
      <c r="AH212" s="254"/>
      <c r="AI212" s="254"/>
      <c r="AJ212" s="254"/>
      <c r="AK212" s="254"/>
      <c r="AL212" s="254"/>
      <c r="AM212" s="254"/>
      <c r="AN212" s="254"/>
      <c r="AO212" s="254"/>
      <c r="AP212" s="254"/>
      <c r="AQ212" s="254"/>
      <c r="AR212" s="254"/>
      <c r="AS212" s="254"/>
      <c r="AT212" s="254"/>
      <c r="AU212" s="254"/>
      <c r="AV212" s="254"/>
      <c r="AW212" s="254"/>
      <c r="AX212" s="256"/>
      <c r="AZ212" s="254" t="str">
        <f ca="1"/>
        <v/>
      </c>
      <c r="BA212" s="254" t="str">
        <f ca="1"/>
        <v/>
      </c>
      <c r="BB212" s="254" t="str">
        <f ca="1"/>
        <v/>
      </c>
      <c r="BC212" s="254" t="str">
        <f ca="1"/>
        <v/>
      </c>
      <c r="BD212" s="256">
        <f ca="1"/>
        <v>0</v>
      </c>
      <c r="BF212" s="254"/>
      <c r="BG212" s="254"/>
      <c r="BH212" s="254"/>
      <c r="BI212" s="254"/>
      <c r="BJ212" s="243"/>
      <c r="BK212" s="254"/>
      <c r="BL212" s="256"/>
      <c r="BM212" s="46"/>
      <c r="BN212" s="256">
        <f ca="1"/>
        <v>0</v>
      </c>
      <c r="BP212" s="248">
        <f ca="1"/>
        <v>0</v>
      </c>
      <c r="BR212" s="248">
        <f ca="1"/>
        <v>0</v>
      </c>
      <c r="BT212" s="248">
        <f ca="1"/>
        <v>0</v>
      </c>
      <c r="BU212" s="248">
        <f ca="1"/>
        <v>0</v>
      </c>
    </row>
    <row r="213" spans="1:73" ht="16" hidden="1" thickTop="1" thickBot="1">
      <c r="A213" s="1"/>
      <c r="B213" s="1">
        <f t="shared" si="7"/>
        <v>0</v>
      </c>
      <c r="D213" s="98"/>
      <c r="E213" s="239"/>
      <c r="F213" s="243"/>
      <c r="G213" s="243"/>
      <c r="H213" s="243"/>
      <c r="I213" s="243"/>
      <c r="J213" s="243"/>
      <c r="K213" s="243"/>
      <c r="L213" s="366"/>
      <c r="M213" s="46"/>
      <c r="N213" s="243"/>
      <c r="O213" s="243"/>
      <c r="P213" s="243"/>
      <c r="Q213" s="243"/>
      <c r="R213" s="243"/>
      <c r="S213" s="243"/>
      <c r="T213" s="243"/>
      <c r="U213" s="243"/>
      <c r="V213" s="243"/>
      <c r="W213" s="243"/>
      <c r="X213" s="256"/>
      <c r="Y213" s="253"/>
      <c r="Z213" s="254"/>
      <c r="AA213" s="254"/>
      <c r="AB213" s="254"/>
      <c r="AC213" s="254"/>
      <c r="AD213" s="254"/>
      <c r="AE213" s="254"/>
      <c r="AF213" s="254"/>
      <c r="AG213" s="254"/>
      <c r="AH213" s="254"/>
      <c r="AI213" s="254"/>
      <c r="AJ213" s="254"/>
      <c r="AK213" s="254"/>
      <c r="AL213" s="254"/>
      <c r="AM213" s="254"/>
      <c r="AN213" s="254"/>
      <c r="AO213" s="254"/>
      <c r="AP213" s="254"/>
      <c r="AQ213" s="254"/>
      <c r="AR213" s="254"/>
      <c r="AS213" s="254"/>
      <c r="AT213" s="254"/>
      <c r="AU213" s="254"/>
      <c r="AV213" s="254"/>
      <c r="AW213" s="254"/>
      <c r="AX213" s="256"/>
      <c r="AZ213" s="254" t="str">
        <f ca="1"/>
        <v/>
      </c>
      <c r="BA213" s="254" t="str">
        <f ca="1"/>
        <v/>
      </c>
      <c r="BB213" s="254" t="str">
        <f ca="1"/>
        <v/>
      </c>
      <c r="BC213" s="254" t="str">
        <f ca="1"/>
        <v/>
      </c>
      <c r="BD213" s="256">
        <f ca="1"/>
        <v>0</v>
      </c>
      <c r="BF213" s="254"/>
      <c r="BG213" s="254"/>
      <c r="BH213" s="254"/>
      <c r="BI213" s="254"/>
      <c r="BJ213" s="243"/>
      <c r="BK213" s="254"/>
      <c r="BL213" s="256"/>
      <c r="BM213" s="46"/>
      <c r="BN213" s="256">
        <f ca="1"/>
        <v>0</v>
      </c>
      <c r="BP213" s="248">
        <f ca="1"/>
        <v>0</v>
      </c>
      <c r="BR213" s="248">
        <f ca="1"/>
        <v>0</v>
      </c>
      <c r="BT213" s="248">
        <f ca="1"/>
        <v>0</v>
      </c>
      <c r="BU213" s="248">
        <f ca="1"/>
        <v>0</v>
      </c>
    </row>
    <row r="214" spans="1:73" ht="16" hidden="1" thickTop="1" thickBot="1">
      <c r="A214" s="1"/>
      <c r="B214" s="1">
        <f t="shared" si="7"/>
        <v>0</v>
      </c>
      <c r="D214" s="98"/>
      <c r="E214" s="239"/>
      <c r="F214" s="243"/>
      <c r="G214" s="243"/>
      <c r="H214" s="243"/>
      <c r="I214" s="243"/>
      <c r="J214" s="243"/>
      <c r="K214" s="243"/>
      <c r="L214" s="366"/>
      <c r="M214" s="46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56"/>
      <c r="Y214" s="253"/>
      <c r="Z214" s="254"/>
      <c r="AA214" s="254"/>
      <c r="AB214" s="254"/>
      <c r="AC214" s="254"/>
      <c r="AD214" s="254"/>
      <c r="AE214" s="254"/>
      <c r="AF214" s="254"/>
      <c r="AG214" s="254"/>
      <c r="AH214" s="254"/>
      <c r="AI214" s="254"/>
      <c r="AJ214" s="254"/>
      <c r="AK214" s="254"/>
      <c r="AL214" s="254"/>
      <c r="AM214" s="254"/>
      <c r="AN214" s="254"/>
      <c r="AO214" s="254"/>
      <c r="AP214" s="254"/>
      <c r="AQ214" s="254"/>
      <c r="AR214" s="254"/>
      <c r="AS214" s="254"/>
      <c r="AT214" s="254"/>
      <c r="AU214" s="254"/>
      <c r="AV214" s="254"/>
      <c r="AW214" s="254"/>
      <c r="AX214" s="256"/>
      <c r="AZ214" s="254" t="str">
        <f ca="1"/>
        <v/>
      </c>
      <c r="BA214" s="254" t="str">
        <f ca="1"/>
        <v/>
      </c>
      <c r="BB214" s="254" t="str">
        <f ca="1"/>
        <v/>
      </c>
      <c r="BC214" s="254" t="str">
        <f ca="1"/>
        <v/>
      </c>
      <c r="BD214" s="256">
        <f ca="1"/>
        <v>0</v>
      </c>
      <c r="BF214" s="254"/>
      <c r="BG214" s="254"/>
      <c r="BH214" s="254"/>
      <c r="BI214" s="254"/>
      <c r="BJ214" s="243"/>
      <c r="BK214" s="254"/>
      <c r="BL214" s="256"/>
      <c r="BM214" s="46"/>
      <c r="BN214" s="256">
        <f ca="1"/>
        <v>0</v>
      </c>
      <c r="BP214" s="248">
        <f ca="1"/>
        <v>0</v>
      </c>
      <c r="BR214" s="248">
        <f ca="1"/>
        <v>0</v>
      </c>
      <c r="BT214" s="248">
        <f ca="1"/>
        <v>0</v>
      </c>
      <c r="BU214" s="248">
        <f ca="1"/>
        <v>0</v>
      </c>
    </row>
    <row r="215" spans="1:73" ht="16" hidden="1" thickTop="1" thickBot="1">
      <c r="A215" s="1"/>
      <c r="B215" s="1">
        <f t="shared" si="7"/>
        <v>0</v>
      </c>
      <c r="D215" s="98"/>
      <c r="E215" s="239"/>
      <c r="F215" s="243"/>
      <c r="G215" s="243"/>
      <c r="H215" s="243"/>
      <c r="I215" s="243"/>
      <c r="J215" s="243"/>
      <c r="K215" s="243"/>
      <c r="L215" s="366"/>
      <c r="M215" s="46"/>
      <c r="N215" s="243"/>
      <c r="O215" s="243"/>
      <c r="P215" s="243"/>
      <c r="Q215" s="243"/>
      <c r="R215" s="243"/>
      <c r="S215" s="243"/>
      <c r="T215" s="243"/>
      <c r="U215" s="243"/>
      <c r="V215" s="243"/>
      <c r="W215" s="243"/>
      <c r="X215" s="256"/>
      <c r="Y215" s="253"/>
      <c r="Z215" s="254"/>
      <c r="AA215" s="254"/>
      <c r="AB215" s="254"/>
      <c r="AC215" s="254"/>
      <c r="AD215" s="254"/>
      <c r="AE215" s="254"/>
      <c r="AF215" s="254"/>
      <c r="AG215" s="254"/>
      <c r="AH215" s="254"/>
      <c r="AI215" s="254"/>
      <c r="AJ215" s="254"/>
      <c r="AK215" s="254"/>
      <c r="AL215" s="254"/>
      <c r="AM215" s="254"/>
      <c r="AN215" s="254"/>
      <c r="AO215" s="254"/>
      <c r="AP215" s="254"/>
      <c r="AQ215" s="254"/>
      <c r="AR215" s="254"/>
      <c r="AS215" s="254"/>
      <c r="AT215" s="254"/>
      <c r="AU215" s="254"/>
      <c r="AV215" s="254"/>
      <c r="AW215" s="254"/>
      <c r="AX215" s="256"/>
      <c r="AZ215" s="254" t="str">
        <f ca="1"/>
        <v/>
      </c>
      <c r="BA215" s="254" t="str">
        <f ca="1"/>
        <v/>
      </c>
      <c r="BB215" s="254" t="str">
        <f ca="1"/>
        <v/>
      </c>
      <c r="BC215" s="254" t="str">
        <f ca="1"/>
        <v/>
      </c>
      <c r="BD215" s="256">
        <f ca="1"/>
        <v>0</v>
      </c>
      <c r="BF215" s="254"/>
      <c r="BG215" s="254"/>
      <c r="BH215" s="254"/>
      <c r="BI215" s="254"/>
      <c r="BJ215" s="243"/>
      <c r="BK215" s="254"/>
      <c r="BL215" s="256"/>
      <c r="BM215" s="46"/>
      <c r="BN215" s="256">
        <f ca="1"/>
        <v>0</v>
      </c>
      <c r="BP215" s="248">
        <f ca="1"/>
        <v>0</v>
      </c>
      <c r="BR215" s="248">
        <f ca="1"/>
        <v>0</v>
      </c>
      <c r="BT215" s="248">
        <f ca="1"/>
        <v>0</v>
      </c>
      <c r="BU215" s="248">
        <f ca="1"/>
        <v>0</v>
      </c>
    </row>
    <row r="216" spans="1:73" ht="16" hidden="1" thickTop="1" thickBot="1">
      <c r="A216" s="1"/>
      <c r="B216" s="1">
        <f t="shared" si="7"/>
        <v>0</v>
      </c>
      <c r="D216" s="98"/>
      <c r="E216" s="239"/>
      <c r="F216" s="243"/>
      <c r="G216" s="243"/>
      <c r="H216" s="243"/>
      <c r="I216" s="243"/>
      <c r="J216" s="243"/>
      <c r="K216" s="243"/>
      <c r="L216" s="366"/>
      <c r="M216" s="46"/>
      <c r="N216" s="243"/>
      <c r="O216" s="243"/>
      <c r="P216" s="243"/>
      <c r="Q216" s="243"/>
      <c r="R216" s="243"/>
      <c r="S216" s="243"/>
      <c r="T216" s="243"/>
      <c r="U216" s="243"/>
      <c r="V216" s="243"/>
      <c r="W216" s="243"/>
      <c r="X216" s="256"/>
      <c r="Y216" s="253"/>
      <c r="Z216" s="254"/>
      <c r="AA216" s="254"/>
      <c r="AB216" s="254"/>
      <c r="AC216" s="254"/>
      <c r="AD216" s="254"/>
      <c r="AE216" s="254"/>
      <c r="AF216" s="254"/>
      <c r="AG216" s="254"/>
      <c r="AH216" s="254"/>
      <c r="AI216" s="254"/>
      <c r="AJ216" s="254"/>
      <c r="AK216" s="254"/>
      <c r="AL216" s="254"/>
      <c r="AM216" s="254"/>
      <c r="AN216" s="254"/>
      <c r="AO216" s="254"/>
      <c r="AP216" s="254"/>
      <c r="AQ216" s="254"/>
      <c r="AR216" s="254"/>
      <c r="AS216" s="254"/>
      <c r="AT216" s="254"/>
      <c r="AU216" s="254"/>
      <c r="AV216" s="254"/>
      <c r="AW216" s="254"/>
      <c r="AX216" s="256"/>
      <c r="AZ216" s="254" t="str">
        <f ca="1"/>
        <v/>
      </c>
      <c r="BA216" s="254" t="str">
        <f ca="1"/>
        <v/>
      </c>
      <c r="BB216" s="254" t="str">
        <f ca="1"/>
        <v/>
      </c>
      <c r="BC216" s="254" t="str">
        <f ca="1"/>
        <v/>
      </c>
      <c r="BD216" s="256">
        <f ca="1"/>
        <v>0</v>
      </c>
      <c r="BF216" s="254"/>
      <c r="BG216" s="254"/>
      <c r="BH216" s="254"/>
      <c r="BI216" s="254"/>
      <c r="BJ216" s="243"/>
      <c r="BK216" s="254"/>
      <c r="BL216" s="256"/>
      <c r="BM216" s="46"/>
      <c r="BN216" s="256">
        <f ca="1"/>
        <v>0</v>
      </c>
      <c r="BP216" s="248">
        <f ca="1"/>
        <v>0</v>
      </c>
      <c r="BR216" s="248">
        <f ca="1"/>
        <v>0</v>
      </c>
      <c r="BT216" s="248">
        <f ca="1"/>
        <v>0</v>
      </c>
      <c r="BU216" s="248">
        <f ca="1"/>
        <v>0</v>
      </c>
    </row>
    <row r="217" spans="1:73" ht="16" hidden="1" thickTop="1" thickBot="1">
      <c r="A217" s="1"/>
      <c r="B217" s="1">
        <f t="shared" si="7"/>
        <v>0</v>
      </c>
      <c r="D217" s="98"/>
      <c r="E217" s="239"/>
      <c r="F217" s="243"/>
      <c r="G217" s="243"/>
      <c r="H217" s="243"/>
      <c r="I217" s="243"/>
      <c r="J217" s="243"/>
      <c r="K217" s="243"/>
      <c r="L217" s="366"/>
      <c r="M217" s="46"/>
      <c r="N217" s="243"/>
      <c r="O217" s="243"/>
      <c r="P217" s="243"/>
      <c r="Q217" s="243"/>
      <c r="R217" s="243"/>
      <c r="S217" s="243"/>
      <c r="T217" s="243"/>
      <c r="U217" s="243"/>
      <c r="V217" s="243"/>
      <c r="W217" s="243"/>
      <c r="X217" s="256"/>
      <c r="Y217" s="253"/>
      <c r="Z217" s="254"/>
      <c r="AA217" s="254"/>
      <c r="AB217" s="254"/>
      <c r="AC217" s="254"/>
      <c r="AD217" s="254"/>
      <c r="AE217" s="254"/>
      <c r="AF217" s="254"/>
      <c r="AG217" s="254"/>
      <c r="AH217" s="254"/>
      <c r="AI217" s="254"/>
      <c r="AJ217" s="254"/>
      <c r="AK217" s="254"/>
      <c r="AL217" s="254"/>
      <c r="AM217" s="254"/>
      <c r="AN217" s="254"/>
      <c r="AO217" s="254"/>
      <c r="AP217" s="254"/>
      <c r="AQ217" s="254"/>
      <c r="AR217" s="254"/>
      <c r="AS217" s="254"/>
      <c r="AT217" s="254"/>
      <c r="AU217" s="254"/>
      <c r="AV217" s="254"/>
      <c r="AW217" s="254"/>
      <c r="AX217" s="256"/>
      <c r="AZ217" s="254" t="str">
        <f ca="1"/>
        <v/>
      </c>
      <c r="BA217" s="254" t="str">
        <f ca="1"/>
        <v/>
      </c>
      <c r="BB217" s="254" t="str">
        <f ca="1"/>
        <v/>
      </c>
      <c r="BC217" s="254" t="str">
        <f ca="1"/>
        <v/>
      </c>
      <c r="BD217" s="256">
        <f ca="1"/>
        <v>0</v>
      </c>
      <c r="BF217" s="254"/>
      <c r="BG217" s="254"/>
      <c r="BH217" s="254"/>
      <c r="BI217" s="254"/>
      <c r="BJ217" s="243"/>
      <c r="BK217" s="254"/>
      <c r="BL217" s="256"/>
      <c r="BM217" s="46"/>
      <c r="BN217" s="256">
        <f ca="1"/>
        <v>0</v>
      </c>
      <c r="BP217" s="248">
        <f ca="1"/>
        <v>0</v>
      </c>
      <c r="BR217" s="248">
        <f ca="1"/>
        <v>0</v>
      </c>
      <c r="BT217" s="248">
        <f ca="1"/>
        <v>0</v>
      </c>
      <c r="BU217" s="248">
        <f ca="1"/>
        <v>0</v>
      </c>
    </row>
    <row r="218" spans="1:73" ht="16" hidden="1" thickTop="1" thickBot="1">
      <c r="A218" s="1"/>
      <c r="B218" s="1">
        <f t="shared" si="7"/>
        <v>0</v>
      </c>
      <c r="D218" s="98"/>
      <c r="E218" s="239"/>
      <c r="F218" s="243"/>
      <c r="G218" s="243"/>
      <c r="H218" s="243"/>
      <c r="I218" s="243"/>
      <c r="J218" s="243"/>
      <c r="K218" s="243"/>
      <c r="L218" s="366"/>
      <c r="M218" s="46"/>
      <c r="N218" s="243"/>
      <c r="O218" s="243"/>
      <c r="P218" s="243"/>
      <c r="Q218" s="243"/>
      <c r="R218" s="243"/>
      <c r="S218" s="243"/>
      <c r="T218" s="243"/>
      <c r="U218" s="243"/>
      <c r="V218" s="243"/>
      <c r="W218" s="243"/>
      <c r="X218" s="256"/>
      <c r="Y218" s="253"/>
      <c r="Z218" s="254"/>
      <c r="AA218" s="254"/>
      <c r="AB218" s="254"/>
      <c r="AC218" s="254"/>
      <c r="AD218" s="254"/>
      <c r="AE218" s="254"/>
      <c r="AF218" s="254"/>
      <c r="AG218" s="254"/>
      <c r="AH218" s="254"/>
      <c r="AI218" s="254"/>
      <c r="AJ218" s="254"/>
      <c r="AK218" s="254"/>
      <c r="AL218" s="254"/>
      <c r="AM218" s="254"/>
      <c r="AN218" s="254"/>
      <c r="AO218" s="254"/>
      <c r="AP218" s="254"/>
      <c r="AQ218" s="254"/>
      <c r="AR218" s="254"/>
      <c r="AS218" s="254"/>
      <c r="AT218" s="254"/>
      <c r="AU218" s="254"/>
      <c r="AV218" s="254"/>
      <c r="AW218" s="254"/>
      <c r="AX218" s="256"/>
      <c r="AZ218" s="254" t="str">
        <f ca="1"/>
        <v/>
      </c>
      <c r="BA218" s="254" t="str">
        <f ca="1"/>
        <v/>
      </c>
      <c r="BB218" s="254" t="str">
        <f ca="1"/>
        <v/>
      </c>
      <c r="BC218" s="254" t="str">
        <f ca="1"/>
        <v/>
      </c>
      <c r="BD218" s="256">
        <f ca="1"/>
        <v>0</v>
      </c>
      <c r="BF218" s="254"/>
      <c r="BG218" s="254"/>
      <c r="BH218" s="254"/>
      <c r="BI218" s="254"/>
      <c r="BJ218" s="243"/>
      <c r="BK218" s="254"/>
      <c r="BL218" s="256"/>
      <c r="BM218" s="46"/>
      <c r="BN218" s="256">
        <f ca="1"/>
        <v>0</v>
      </c>
      <c r="BP218" s="248">
        <f ca="1"/>
        <v>0</v>
      </c>
      <c r="BR218" s="248">
        <f ca="1"/>
        <v>0</v>
      </c>
      <c r="BT218" s="248">
        <f ca="1"/>
        <v>0</v>
      </c>
      <c r="BU218" s="248">
        <f ca="1"/>
        <v>0</v>
      </c>
    </row>
    <row r="219" spans="1:73" ht="16" hidden="1" thickTop="1" thickBot="1">
      <c r="A219" s="1"/>
      <c r="B219" s="1">
        <f t="shared" si="7"/>
        <v>0</v>
      </c>
      <c r="D219" s="98"/>
      <c r="E219" s="239"/>
      <c r="F219" s="243"/>
      <c r="G219" s="243"/>
      <c r="H219" s="243"/>
      <c r="I219" s="243"/>
      <c r="J219" s="243"/>
      <c r="K219" s="243"/>
      <c r="L219" s="366"/>
      <c r="M219" s="46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56"/>
      <c r="Y219" s="253"/>
      <c r="Z219" s="254"/>
      <c r="AA219" s="254"/>
      <c r="AB219" s="254"/>
      <c r="AC219" s="254"/>
      <c r="AD219" s="254"/>
      <c r="AE219" s="254"/>
      <c r="AF219" s="254"/>
      <c r="AG219" s="254"/>
      <c r="AH219" s="254"/>
      <c r="AI219" s="254"/>
      <c r="AJ219" s="254"/>
      <c r="AK219" s="254"/>
      <c r="AL219" s="254"/>
      <c r="AM219" s="254"/>
      <c r="AN219" s="254"/>
      <c r="AO219" s="254"/>
      <c r="AP219" s="254"/>
      <c r="AQ219" s="254"/>
      <c r="AR219" s="254"/>
      <c r="AS219" s="254"/>
      <c r="AT219" s="254"/>
      <c r="AU219" s="254"/>
      <c r="AV219" s="254"/>
      <c r="AW219" s="254"/>
      <c r="AX219" s="256"/>
      <c r="AZ219" s="254" t="str">
        <f ca="1"/>
        <v/>
      </c>
      <c r="BA219" s="254" t="str">
        <f ca="1"/>
        <v/>
      </c>
      <c r="BB219" s="254" t="str">
        <f ca="1"/>
        <v/>
      </c>
      <c r="BC219" s="254" t="str">
        <f ca="1"/>
        <v/>
      </c>
      <c r="BD219" s="256">
        <f ca="1"/>
        <v>0</v>
      </c>
      <c r="BF219" s="254"/>
      <c r="BG219" s="254"/>
      <c r="BH219" s="254"/>
      <c r="BI219" s="254"/>
      <c r="BJ219" s="243"/>
      <c r="BK219" s="254"/>
      <c r="BL219" s="256"/>
      <c r="BM219" s="46"/>
      <c r="BN219" s="256">
        <f ca="1"/>
        <v>0</v>
      </c>
      <c r="BP219" s="248">
        <f ca="1"/>
        <v>0</v>
      </c>
      <c r="BR219" s="248">
        <f ca="1"/>
        <v>0</v>
      </c>
      <c r="BT219" s="248">
        <f ca="1"/>
        <v>0</v>
      </c>
      <c r="BU219" s="248">
        <f ca="1"/>
        <v>0</v>
      </c>
    </row>
    <row r="220" spans="1:73" ht="16" hidden="1" thickTop="1" thickBot="1">
      <c r="A220" s="1"/>
      <c r="B220" s="1">
        <f t="shared" si="7"/>
        <v>0</v>
      </c>
      <c r="D220" s="98"/>
      <c r="E220" s="239"/>
      <c r="F220" s="243"/>
      <c r="G220" s="243"/>
      <c r="H220" s="243"/>
      <c r="I220" s="243"/>
      <c r="J220" s="243"/>
      <c r="K220" s="243"/>
      <c r="L220" s="366"/>
      <c r="M220" s="46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56"/>
      <c r="Y220" s="253"/>
      <c r="Z220" s="254"/>
      <c r="AA220" s="254"/>
      <c r="AB220" s="254"/>
      <c r="AC220" s="254"/>
      <c r="AD220" s="254"/>
      <c r="AE220" s="254"/>
      <c r="AF220" s="254"/>
      <c r="AG220" s="254"/>
      <c r="AH220" s="254"/>
      <c r="AI220" s="254"/>
      <c r="AJ220" s="254"/>
      <c r="AK220" s="254"/>
      <c r="AL220" s="254"/>
      <c r="AM220" s="254"/>
      <c r="AN220" s="254"/>
      <c r="AO220" s="254"/>
      <c r="AP220" s="254"/>
      <c r="AQ220" s="254"/>
      <c r="AR220" s="254"/>
      <c r="AS220" s="254"/>
      <c r="AT220" s="254"/>
      <c r="AU220" s="254"/>
      <c r="AV220" s="254"/>
      <c r="AW220" s="254"/>
      <c r="AX220" s="256"/>
      <c r="AZ220" s="254" t="str">
        <f ca="1"/>
        <v/>
      </c>
      <c r="BA220" s="254" t="str">
        <f ca="1"/>
        <v/>
      </c>
      <c r="BB220" s="254" t="str">
        <f ca="1"/>
        <v/>
      </c>
      <c r="BC220" s="254" t="str">
        <f ca="1"/>
        <v/>
      </c>
      <c r="BD220" s="256">
        <f ca="1"/>
        <v>0</v>
      </c>
      <c r="BF220" s="254"/>
      <c r="BG220" s="254"/>
      <c r="BH220" s="254"/>
      <c r="BI220" s="254"/>
      <c r="BJ220" s="243"/>
      <c r="BK220" s="254"/>
      <c r="BL220" s="256"/>
      <c r="BM220" s="46"/>
      <c r="BN220" s="256">
        <f ca="1"/>
        <v>0</v>
      </c>
      <c r="BP220" s="248">
        <f ca="1"/>
        <v>0</v>
      </c>
      <c r="BR220" s="248">
        <f ca="1"/>
        <v>0</v>
      </c>
      <c r="BT220" s="248">
        <f ca="1"/>
        <v>0</v>
      </c>
      <c r="BU220" s="248">
        <f ca="1"/>
        <v>0</v>
      </c>
    </row>
    <row r="221" spans="1:73" ht="16" hidden="1" thickTop="1" thickBot="1">
      <c r="A221" s="1"/>
      <c r="B221" s="1">
        <f t="shared" si="7"/>
        <v>0</v>
      </c>
      <c r="D221" s="98"/>
      <c r="E221" s="239"/>
      <c r="F221" s="243"/>
      <c r="G221" s="243"/>
      <c r="H221" s="243"/>
      <c r="I221" s="243"/>
      <c r="J221" s="243"/>
      <c r="K221" s="243"/>
      <c r="L221" s="366"/>
      <c r="M221" s="46"/>
      <c r="N221" s="243"/>
      <c r="O221" s="243"/>
      <c r="P221" s="243"/>
      <c r="Q221" s="243"/>
      <c r="R221" s="243"/>
      <c r="S221" s="243"/>
      <c r="T221" s="243"/>
      <c r="U221" s="243"/>
      <c r="V221" s="243"/>
      <c r="W221" s="243"/>
      <c r="X221" s="256"/>
      <c r="Y221" s="253"/>
      <c r="Z221" s="254"/>
      <c r="AA221" s="254"/>
      <c r="AB221" s="254"/>
      <c r="AC221" s="254"/>
      <c r="AD221" s="254"/>
      <c r="AE221" s="254"/>
      <c r="AF221" s="254"/>
      <c r="AG221" s="254"/>
      <c r="AH221" s="254"/>
      <c r="AI221" s="254"/>
      <c r="AJ221" s="254"/>
      <c r="AK221" s="254"/>
      <c r="AL221" s="254"/>
      <c r="AM221" s="254"/>
      <c r="AN221" s="254"/>
      <c r="AO221" s="254"/>
      <c r="AP221" s="254"/>
      <c r="AQ221" s="254"/>
      <c r="AR221" s="254"/>
      <c r="AS221" s="254"/>
      <c r="AT221" s="254"/>
      <c r="AU221" s="254"/>
      <c r="AV221" s="254"/>
      <c r="AW221" s="254"/>
      <c r="AX221" s="256"/>
      <c r="AZ221" s="254" t="str">
        <f ca="1"/>
        <v/>
      </c>
      <c r="BA221" s="254" t="str">
        <f ca="1"/>
        <v/>
      </c>
      <c r="BB221" s="254" t="str">
        <f ca="1"/>
        <v/>
      </c>
      <c r="BC221" s="254" t="str">
        <f ca="1"/>
        <v/>
      </c>
      <c r="BD221" s="256">
        <f ca="1"/>
        <v>0</v>
      </c>
      <c r="BF221" s="254"/>
      <c r="BG221" s="254"/>
      <c r="BH221" s="254"/>
      <c r="BI221" s="254"/>
      <c r="BJ221" s="243"/>
      <c r="BK221" s="254"/>
      <c r="BL221" s="256"/>
      <c r="BM221" s="46"/>
      <c r="BN221" s="256">
        <f ca="1"/>
        <v>0</v>
      </c>
      <c r="BP221" s="248">
        <f ca="1"/>
        <v>0</v>
      </c>
      <c r="BR221" s="248">
        <f ca="1"/>
        <v>0</v>
      </c>
      <c r="BT221" s="248">
        <f ca="1"/>
        <v>0</v>
      </c>
      <c r="BU221" s="248">
        <f ca="1"/>
        <v>0</v>
      </c>
    </row>
    <row r="222" spans="1:73" ht="16" hidden="1" thickTop="1" thickBot="1">
      <c r="A222" s="1"/>
      <c r="B222" s="1">
        <f t="shared" si="7"/>
        <v>0</v>
      </c>
      <c r="D222" s="98"/>
      <c r="E222" s="239"/>
      <c r="F222" s="243"/>
      <c r="G222" s="243"/>
      <c r="H222" s="243"/>
      <c r="I222" s="243"/>
      <c r="J222" s="243"/>
      <c r="K222" s="243"/>
      <c r="L222" s="366"/>
      <c r="M222" s="46"/>
      <c r="N222" s="243"/>
      <c r="O222" s="243"/>
      <c r="P222" s="243"/>
      <c r="Q222" s="243"/>
      <c r="R222" s="243"/>
      <c r="S222" s="243"/>
      <c r="T222" s="243"/>
      <c r="U222" s="243"/>
      <c r="V222" s="243"/>
      <c r="W222" s="243"/>
      <c r="X222" s="256"/>
      <c r="Y222" s="253"/>
      <c r="Z222" s="254"/>
      <c r="AA222" s="254"/>
      <c r="AB222" s="254"/>
      <c r="AC222" s="254"/>
      <c r="AD222" s="254"/>
      <c r="AE222" s="254"/>
      <c r="AF222" s="254"/>
      <c r="AG222" s="254"/>
      <c r="AH222" s="254"/>
      <c r="AI222" s="254"/>
      <c r="AJ222" s="254"/>
      <c r="AK222" s="254"/>
      <c r="AL222" s="254"/>
      <c r="AM222" s="254"/>
      <c r="AN222" s="254"/>
      <c r="AO222" s="254"/>
      <c r="AP222" s="254"/>
      <c r="AQ222" s="254"/>
      <c r="AR222" s="254"/>
      <c r="AS222" s="254"/>
      <c r="AT222" s="254"/>
      <c r="AU222" s="254"/>
      <c r="AV222" s="254"/>
      <c r="AW222" s="254"/>
      <c r="AX222" s="256"/>
      <c r="AZ222" s="254" t="str">
        <f ca="1"/>
        <v/>
      </c>
      <c r="BA222" s="254" t="str">
        <f ca="1"/>
        <v/>
      </c>
      <c r="BB222" s="254" t="str">
        <f ca="1"/>
        <v/>
      </c>
      <c r="BC222" s="254" t="str">
        <f ca="1"/>
        <v/>
      </c>
      <c r="BD222" s="256">
        <f ca="1"/>
        <v>0</v>
      </c>
      <c r="BF222" s="254"/>
      <c r="BG222" s="254"/>
      <c r="BH222" s="254"/>
      <c r="BI222" s="254"/>
      <c r="BJ222" s="243"/>
      <c r="BK222" s="254"/>
      <c r="BL222" s="256"/>
      <c r="BM222" s="46"/>
      <c r="BN222" s="256">
        <f ca="1"/>
        <v>0</v>
      </c>
      <c r="BP222" s="248">
        <f ca="1"/>
        <v>0</v>
      </c>
      <c r="BR222" s="248">
        <f ca="1"/>
        <v>0</v>
      </c>
      <c r="BT222" s="248">
        <f ca="1"/>
        <v>0</v>
      </c>
      <c r="BU222" s="248">
        <f ca="1"/>
        <v>0</v>
      </c>
    </row>
    <row r="223" spans="1:73" ht="16" hidden="1" thickTop="1" thickBot="1">
      <c r="A223" s="1"/>
      <c r="B223" s="1">
        <f t="shared" si="7"/>
        <v>0</v>
      </c>
      <c r="D223" s="98"/>
      <c r="E223" s="239"/>
      <c r="F223" s="243"/>
      <c r="G223" s="243"/>
      <c r="H223" s="243"/>
      <c r="I223" s="243"/>
      <c r="J223" s="243"/>
      <c r="K223" s="243"/>
      <c r="L223" s="366"/>
      <c r="M223" s="46"/>
      <c r="N223" s="243"/>
      <c r="O223" s="243"/>
      <c r="P223" s="243"/>
      <c r="Q223" s="243"/>
      <c r="R223" s="243"/>
      <c r="S223" s="243"/>
      <c r="T223" s="243"/>
      <c r="U223" s="243"/>
      <c r="V223" s="243"/>
      <c r="W223" s="243"/>
      <c r="X223" s="256"/>
      <c r="Y223" s="253"/>
      <c r="Z223" s="254"/>
      <c r="AA223" s="254"/>
      <c r="AB223" s="254"/>
      <c r="AC223" s="254"/>
      <c r="AD223" s="254"/>
      <c r="AE223" s="254"/>
      <c r="AF223" s="254"/>
      <c r="AG223" s="254"/>
      <c r="AH223" s="254"/>
      <c r="AI223" s="254"/>
      <c r="AJ223" s="254"/>
      <c r="AK223" s="254"/>
      <c r="AL223" s="254"/>
      <c r="AM223" s="254"/>
      <c r="AN223" s="254"/>
      <c r="AO223" s="254"/>
      <c r="AP223" s="254"/>
      <c r="AQ223" s="254"/>
      <c r="AR223" s="254"/>
      <c r="AS223" s="254"/>
      <c r="AT223" s="254"/>
      <c r="AU223" s="254"/>
      <c r="AV223" s="254"/>
      <c r="AW223" s="254"/>
      <c r="AX223" s="256"/>
      <c r="AZ223" s="254" t="str">
        <f ca="1"/>
        <v/>
      </c>
      <c r="BA223" s="254" t="str">
        <f ca="1"/>
        <v/>
      </c>
      <c r="BB223" s="254" t="str">
        <f ca="1"/>
        <v/>
      </c>
      <c r="BC223" s="254" t="str">
        <f ca="1"/>
        <v/>
      </c>
      <c r="BD223" s="256">
        <f ca="1"/>
        <v>0</v>
      </c>
      <c r="BF223" s="254"/>
      <c r="BG223" s="254"/>
      <c r="BH223" s="254"/>
      <c r="BI223" s="254"/>
      <c r="BJ223" s="243"/>
      <c r="BK223" s="254"/>
      <c r="BL223" s="256"/>
      <c r="BM223" s="46"/>
      <c r="BN223" s="256">
        <f ca="1"/>
        <v>0</v>
      </c>
      <c r="BP223" s="248">
        <f ca="1"/>
        <v>0</v>
      </c>
      <c r="BR223" s="248">
        <f ca="1"/>
        <v>0</v>
      </c>
      <c r="BT223" s="248">
        <f ca="1"/>
        <v>0</v>
      </c>
      <c r="BU223" s="248">
        <f ca="1"/>
        <v>0</v>
      </c>
    </row>
    <row r="224" spans="1:73" ht="16" hidden="1" thickTop="1" thickBot="1">
      <c r="A224" s="1"/>
      <c r="B224" s="1">
        <f t="shared" si="7"/>
        <v>0</v>
      </c>
      <c r="D224" s="98"/>
      <c r="E224" s="239"/>
      <c r="F224" s="243"/>
      <c r="G224" s="243"/>
      <c r="H224" s="243"/>
      <c r="I224" s="243"/>
      <c r="J224" s="243"/>
      <c r="K224" s="243"/>
      <c r="L224" s="366"/>
      <c r="M224" s="46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56"/>
      <c r="Y224" s="253"/>
      <c r="Z224" s="254"/>
      <c r="AA224" s="254"/>
      <c r="AB224" s="254"/>
      <c r="AC224" s="254"/>
      <c r="AD224" s="254"/>
      <c r="AE224" s="254"/>
      <c r="AF224" s="254"/>
      <c r="AG224" s="254"/>
      <c r="AH224" s="254"/>
      <c r="AI224" s="254"/>
      <c r="AJ224" s="254"/>
      <c r="AK224" s="254"/>
      <c r="AL224" s="254"/>
      <c r="AM224" s="254"/>
      <c r="AN224" s="254"/>
      <c r="AO224" s="254"/>
      <c r="AP224" s="254"/>
      <c r="AQ224" s="254"/>
      <c r="AR224" s="254"/>
      <c r="AS224" s="254"/>
      <c r="AT224" s="254"/>
      <c r="AU224" s="254"/>
      <c r="AV224" s="254"/>
      <c r="AW224" s="254"/>
      <c r="AX224" s="256"/>
      <c r="AZ224" s="254" t="str">
        <f ca="1"/>
        <v/>
      </c>
      <c r="BA224" s="254" t="str">
        <f ca="1"/>
        <v/>
      </c>
      <c r="BB224" s="254" t="str">
        <f ca="1"/>
        <v/>
      </c>
      <c r="BC224" s="254" t="str">
        <f ca="1"/>
        <v/>
      </c>
      <c r="BD224" s="256">
        <f ca="1"/>
        <v>0</v>
      </c>
      <c r="BF224" s="254"/>
      <c r="BG224" s="254"/>
      <c r="BH224" s="254"/>
      <c r="BI224" s="254"/>
      <c r="BJ224" s="243"/>
      <c r="BK224" s="254"/>
      <c r="BL224" s="256"/>
      <c r="BM224" s="46"/>
      <c r="BN224" s="256">
        <f ca="1"/>
        <v>0</v>
      </c>
      <c r="BP224" s="248">
        <f ca="1"/>
        <v>0</v>
      </c>
      <c r="BR224" s="248">
        <f ca="1"/>
        <v>0</v>
      </c>
      <c r="BT224" s="248">
        <f ca="1"/>
        <v>0</v>
      </c>
      <c r="BU224" s="248">
        <f ca="1"/>
        <v>0</v>
      </c>
    </row>
    <row r="225" spans="1:73" ht="16" hidden="1" thickTop="1" thickBot="1">
      <c r="A225" s="1"/>
      <c r="B225" s="1">
        <f t="shared" si="7"/>
        <v>0</v>
      </c>
      <c r="D225" s="98"/>
      <c r="E225" s="239"/>
      <c r="F225" s="243"/>
      <c r="G225" s="243"/>
      <c r="H225" s="243"/>
      <c r="I225" s="243"/>
      <c r="J225" s="243"/>
      <c r="K225" s="243"/>
      <c r="L225" s="366"/>
      <c r="M225" s="46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56"/>
      <c r="Y225" s="253"/>
      <c r="Z225" s="254"/>
      <c r="AA225" s="254"/>
      <c r="AB225" s="254"/>
      <c r="AC225" s="254"/>
      <c r="AD225" s="254"/>
      <c r="AE225" s="254"/>
      <c r="AF225" s="254"/>
      <c r="AG225" s="254"/>
      <c r="AH225" s="254"/>
      <c r="AI225" s="254"/>
      <c r="AJ225" s="254"/>
      <c r="AK225" s="254"/>
      <c r="AL225" s="254"/>
      <c r="AM225" s="254"/>
      <c r="AN225" s="254"/>
      <c r="AO225" s="254"/>
      <c r="AP225" s="254"/>
      <c r="AQ225" s="254"/>
      <c r="AR225" s="254"/>
      <c r="AS225" s="254"/>
      <c r="AT225" s="254"/>
      <c r="AU225" s="254"/>
      <c r="AV225" s="254"/>
      <c r="AW225" s="254"/>
      <c r="AX225" s="256"/>
      <c r="AZ225" s="254" t="str">
        <f ca="1"/>
        <v/>
      </c>
      <c r="BA225" s="254" t="str">
        <f ca="1"/>
        <v/>
      </c>
      <c r="BB225" s="254" t="str">
        <f ca="1"/>
        <v/>
      </c>
      <c r="BC225" s="254" t="str">
        <f ca="1"/>
        <v/>
      </c>
      <c r="BD225" s="256">
        <f ca="1"/>
        <v>0</v>
      </c>
      <c r="BF225" s="254"/>
      <c r="BG225" s="254"/>
      <c r="BH225" s="254"/>
      <c r="BI225" s="254"/>
      <c r="BJ225" s="243"/>
      <c r="BK225" s="254"/>
      <c r="BL225" s="256"/>
      <c r="BM225" s="46"/>
      <c r="BN225" s="256">
        <f ca="1"/>
        <v>0</v>
      </c>
      <c r="BP225" s="248">
        <f ca="1"/>
        <v>0</v>
      </c>
      <c r="BR225" s="248">
        <f ca="1"/>
        <v>0</v>
      </c>
      <c r="BT225" s="248">
        <f ca="1"/>
        <v>0</v>
      </c>
      <c r="BU225" s="248">
        <f ca="1"/>
        <v>0</v>
      </c>
    </row>
    <row r="226" spans="1:73" ht="16" hidden="1" thickTop="1" thickBot="1">
      <c r="A226" s="1"/>
      <c r="B226" s="1">
        <f t="shared" si="7"/>
        <v>0</v>
      </c>
      <c r="D226" s="98"/>
      <c r="E226" s="239"/>
      <c r="F226" s="243"/>
      <c r="G226" s="243"/>
      <c r="H226" s="243"/>
      <c r="I226" s="243"/>
      <c r="J226" s="243"/>
      <c r="K226" s="243"/>
      <c r="L226" s="366"/>
      <c r="M226" s="46"/>
      <c r="N226" s="243"/>
      <c r="O226" s="243"/>
      <c r="P226" s="243"/>
      <c r="Q226" s="243"/>
      <c r="R226" s="243"/>
      <c r="S226" s="243"/>
      <c r="T226" s="243"/>
      <c r="U226" s="243"/>
      <c r="V226" s="243"/>
      <c r="W226" s="243"/>
      <c r="X226" s="256"/>
      <c r="Y226" s="253"/>
      <c r="Z226" s="254"/>
      <c r="AA226" s="254"/>
      <c r="AB226" s="254"/>
      <c r="AC226" s="254"/>
      <c r="AD226" s="254"/>
      <c r="AE226" s="254"/>
      <c r="AF226" s="254"/>
      <c r="AG226" s="254"/>
      <c r="AH226" s="254"/>
      <c r="AI226" s="254"/>
      <c r="AJ226" s="254"/>
      <c r="AK226" s="254"/>
      <c r="AL226" s="254"/>
      <c r="AM226" s="254"/>
      <c r="AN226" s="254"/>
      <c r="AO226" s="254"/>
      <c r="AP226" s="254"/>
      <c r="AQ226" s="254"/>
      <c r="AR226" s="254"/>
      <c r="AS226" s="254"/>
      <c r="AT226" s="254"/>
      <c r="AU226" s="254"/>
      <c r="AV226" s="254"/>
      <c r="AW226" s="254"/>
      <c r="AX226" s="256"/>
      <c r="AZ226" s="254" t="str">
        <f ca="1"/>
        <v/>
      </c>
      <c r="BA226" s="254" t="str">
        <f ca="1"/>
        <v/>
      </c>
      <c r="BB226" s="254" t="str">
        <f ca="1"/>
        <v/>
      </c>
      <c r="BC226" s="254" t="str">
        <f ca="1"/>
        <v/>
      </c>
      <c r="BD226" s="256">
        <f ca="1"/>
        <v>0</v>
      </c>
      <c r="BF226" s="254"/>
      <c r="BG226" s="254"/>
      <c r="BH226" s="254"/>
      <c r="BI226" s="254"/>
      <c r="BJ226" s="243"/>
      <c r="BK226" s="254"/>
      <c r="BL226" s="256"/>
      <c r="BM226" s="46"/>
      <c r="BN226" s="256">
        <f ca="1"/>
        <v>0</v>
      </c>
      <c r="BP226" s="248">
        <f ca="1"/>
        <v>0</v>
      </c>
      <c r="BR226" s="248">
        <f ca="1"/>
        <v>0</v>
      </c>
      <c r="BT226" s="248">
        <f ca="1"/>
        <v>0</v>
      </c>
      <c r="BU226" s="248">
        <f ca="1"/>
        <v>0</v>
      </c>
    </row>
    <row r="227" spans="1:73" ht="16" hidden="1" thickTop="1" thickBot="1">
      <c r="A227" s="1"/>
      <c r="B227" s="1">
        <f t="shared" si="7"/>
        <v>0</v>
      </c>
      <c r="D227" s="98"/>
      <c r="E227" s="239"/>
      <c r="F227" s="243"/>
      <c r="G227" s="243"/>
      <c r="H227" s="243"/>
      <c r="I227" s="243"/>
      <c r="J227" s="243"/>
      <c r="K227" s="243"/>
      <c r="L227" s="366"/>
      <c r="M227" s="46"/>
      <c r="N227" s="243"/>
      <c r="O227" s="243"/>
      <c r="P227" s="243"/>
      <c r="Q227" s="243"/>
      <c r="R227" s="243"/>
      <c r="S227" s="243"/>
      <c r="T227" s="243"/>
      <c r="U227" s="243"/>
      <c r="V227" s="243"/>
      <c r="W227" s="243"/>
      <c r="X227" s="256"/>
      <c r="Y227" s="253"/>
      <c r="Z227" s="254"/>
      <c r="AA227" s="254"/>
      <c r="AB227" s="254"/>
      <c r="AC227" s="254"/>
      <c r="AD227" s="254"/>
      <c r="AE227" s="254"/>
      <c r="AF227" s="254"/>
      <c r="AG227" s="254"/>
      <c r="AH227" s="254"/>
      <c r="AI227" s="254"/>
      <c r="AJ227" s="254"/>
      <c r="AK227" s="254"/>
      <c r="AL227" s="254"/>
      <c r="AM227" s="254"/>
      <c r="AN227" s="254"/>
      <c r="AO227" s="254"/>
      <c r="AP227" s="254"/>
      <c r="AQ227" s="254"/>
      <c r="AR227" s="254"/>
      <c r="AS227" s="254"/>
      <c r="AT227" s="254"/>
      <c r="AU227" s="254"/>
      <c r="AV227" s="254"/>
      <c r="AW227" s="254"/>
      <c r="AX227" s="256"/>
      <c r="AZ227" s="254" t="str">
        <f ca="1"/>
        <v/>
      </c>
      <c r="BA227" s="254" t="str">
        <f ca="1"/>
        <v/>
      </c>
      <c r="BB227" s="254" t="str">
        <f ca="1"/>
        <v/>
      </c>
      <c r="BC227" s="254" t="str">
        <f ca="1"/>
        <v/>
      </c>
      <c r="BD227" s="256">
        <f ca="1"/>
        <v>0</v>
      </c>
      <c r="BF227" s="254"/>
      <c r="BG227" s="254"/>
      <c r="BH227" s="254"/>
      <c r="BI227" s="254"/>
      <c r="BJ227" s="243"/>
      <c r="BK227" s="254"/>
      <c r="BL227" s="256"/>
      <c r="BM227" s="46"/>
      <c r="BN227" s="256">
        <f ca="1"/>
        <v>0</v>
      </c>
      <c r="BP227" s="248">
        <f ca="1"/>
        <v>0</v>
      </c>
      <c r="BR227" s="248">
        <f ca="1"/>
        <v>0</v>
      </c>
      <c r="BT227" s="248">
        <f ca="1"/>
        <v>0</v>
      </c>
      <c r="BU227" s="248">
        <f ca="1"/>
        <v>0</v>
      </c>
    </row>
    <row r="228" spans="1:73" ht="16" hidden="1" thickTop="1" thickBot="1">
      <c r="A228" s="1"/>
      <c r="B228" s="1">
        <f t="shared" si="7"/>
        <v>0</v>
      </c>
      <c r="D228" s="98"/>
      <c r="E228" s="239"/>
      <c r="F228" s="243"/>
      <c r="G228" s="243"/>
      <c r="H228" s="243"/>
      <c r="I228" s="243"/>
      <c r="J228" s="243"/>
      <c r="K228" s="243"/>
      <c r="L228" s="366"/>
      <c r="M228" s="46"/>
      <c r="N228" s="243"/>
      <c r="O228" s="243"/>
      <c r="P228" s="243"/>
      <c r="Q228" s="243"/>
      <c r="R228" s="243"/>
      <c r="S228" s="243"/>
      <c r="T228" s="243"/>
      <c r="U228" s="243"/>
      <c r="V228" s="243"/>
      <c r="W228" s="243"/>
      <c r="X228" s="256"/>
      <c r="Y228" s="253"/>
      <c r="Z228" s="254"/>
      <c r="AA228" s="254"/>
      <c r="AB228" s="254"/>
      <c r="AC228" s="254"/>
      <c r="AD228" s="254"/>
      <c r="AE228" s="254"/>
      <c r="AF228" s="254"/>
      <c r="AG228" s="254"/>
      <c r="AH228" s="254"/>
      <c r="AI228" s="254"/>
      <c r="AJ228" s="254"/>
      <c r="AK228" s="254"/>
      <c r="AL228" s="254"/>
      <c r="AM228" s="254"/>
      <c r="AN228" s="254"/>
      <c r="AO228" s="254"/>
      <c r="AP228" s="254"/>
      <c r="AQ228" s="254"/>
      <c r="AR228" s="254"/>
      <c r="AS228" s="254"/>
      <c r="AT228" s="254"/>
      <c r="AU228" s="254"/>
      <c r="AV228" s="254"/>
      <c r="AW228" s="254"/>
      <c r="AX228" s="256"/>
      <c r="AZ228" s="254" t="str">
        <f ca="1"/>
        <v/>
      </c>
      <c r="BA228" s="254" t="str">
        <f ca="1"/>
        <v/>
      </c>
      <c r="BB228" s="254" t="str">
        <f ca="1"/>
        <v/>
      </c>
      <c r="BC228" s="254" t="str">
        <f ca="1"/>
        <v/>
      </c>
      <c r="BD228" s="256">
        <f ca="1"/>
        <v>0</v>
      </c>
      <c r="BF228" s="254"/>
      <c r="BG228" s="254"/>
      <c r="BH228" s="254"/>
      <c r="BI228" s="254"/>
      <c r="BJ228" s="243"/>
      <c r="BK228" s="254"/>
      <c r="BL228" s="256"/>
      <c r="BM228" s="46"/>
      <c r="BN228" s="256">
        <f ca="1"/>
        <v>0</v>
      </c>
      <c r="BP228" s="248">
        <f ca="1"/>
        <v>0</v>
      </c>
      <c r="BR228" s="248">
        <f ca="1"/>
        <v>0</v>
      </c>
      <c r="BT228" s="248">
        <f ca="1"/>
        <v>0</v>
      </c>
      <c r="BU228" s="248">
        <f ca="1"/>
        <v>0</v>
      </c>
    </row>
    <row r="229" spans="1:73" ht="16" hidden="1" thickTop="1" thickBot="1">
      <c r="A229" s="1"/>
      <c r="B229" s="1">
        <f t="shared" si="7"/>
        <v>0</v>
      </c>
      <c r="D229" s="98"/>
      <c r="E229" s="239"/>
      <c r="F229" s="243"/>
      <c r="G229" s="243"/>
      <c r="H229" s="243"/>
      <c r="I229" s="243"/>
      <c r="J229" s="243"/>
      <c r="K229" s="243"/>
      <c r="L229" s="366"/>
      <c r="M229" s="46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56"/>
      <c r="Y229" s="253"/>
      <c r="Z229" s="254"/>
      <c r="AA229" s="254"/>
      <c r="AB229" s="254"/>
      <c r="AC229" s="254"/>
      <c r="AD229" s="254"/>
      <c r="AE229" s="254"/>
      <c r="AF229" s="254"/>
      <c r="AG229" s="254"/>
      <c r="AH229" s="254"/>
      <c r="AI229" s="254"/>
      <c r="AJ229" s="254"/>
      <c r="AK229" s="254"/>
      <c r="AL229" s="254"/>
      <c r="AM229" s="254"/>
      <c r="AN229" s="254"/>
      <c r="AO229" s="254"/>
      <c r="AP229" s="254"/>
      <c r="AQ229" s="254"/>
      <c r="AR229" s="254"/>
      <c r="AS229" s="254"/>
      <c r="AT229" s="254"/>
      <c r="AU229" s="254"/>
      <c r="AV229" s="254"/>
      <c r="AW229" s="254"/>
      <c r="AX229" s="256"/>
      <c r="AZ229" s="254" t="str">
        <f ca="1"/>
        <v/>
      </c>
      <c r="BA229" s="254" t="str">
        <f ca="1"/>
        <v/>
      </c>
      <c r="BB229" s="254" t="str">
        <f ca="1"/>
        <v/>
      </c>
      <c r="BC229" s="254" t="str">
        <f ca="1"/>
        <v/>
      </c>
      <c r="BD229" s="256">
        <f ca="1"/>
        <v>0</v>
      </c>
      <c r="BF229" s="254"/>
      <c r="BG229" s="254"/>
      <c r="BH229" s="254"/>
      <c r="BI229" s="254"/>
      <c r="BJ229" s="243"/>
      <c r="BK229" s="254"/>
      <c r="BL229" s="256"/>
      <c r="BM229" s="46"/>
      <c r="BN229" s="256">
        <f ca="1"/>
        <v>0</v>
      </c>
      <c r="BP229" s="248">
        <f ca="1"/>
        <v>0</v>
      </c>
      <c r="BR229" s="248">
        <f ca="1"/>
        <v>0</v>
      </c>
      <c r="BT229" s="248">
        <f ca="1"/>
        <v>0</v>
      </c>
      <c r="BU229" s="248">
        <f ca="1"/>
        <v>0</v>
      </c>
    </row>
    <row r="230" spans="1:73" ht="16" hidden="1" thickTop="1" thickBot="1">
      <c r="A230" s="1"/>
      <c r="B230" s="1">
        <f t="shared" si="7"/>
        <v>0</v>
      </c>
      <c r="D230" s="98"/>
      <c r="E230" s="239"/>
      <c r="F230" s="243"/>
      <c r="G230" s="243"/>
      <c r="H230" s="243"/>
      <c r="I230" s="243"/>
      <c r="J230" s="243"/>
      <c r="K230" s="243"/>
      <c r="L230" s="366"/>
      <c r="M230" s="46"/>
      <c r="N230" s="243"/>
      <c r="O230" s="243"/>
      <c r="P230" s="243"/>
      <c r="Q230" s="243"/>
      <c r="R230" s="243"/>
      <c r="S230" s="243"/>
      <c r="T230" s="243"/>
      <c r="U230" s="243"/>
      <c r="V230" s="243"/>
      <c r="W230" s="243"/>
      <c r="X230" s="256"/>
      <c r="Y230" s="253"/>
      <c r="Z230" s="254"/>
      <c r="AA230" s="254"/>
      <c r="AB230" s="254"/>
      <c r="AC230" s="254"/>
      <c r="AD230" s="254"/>
      <c r="AE230" s="254"/>
      <c r="AF230" s="254"/>
      <c r="AG230" s="254"/>
      <c r="AH230" s="254"/>
      <c r="AI230" s="254"/>
      <c r="AJ230" s="254"/>
      <c r="AK230" s="254"/>
      <c r="AL230" s="254"/>
      <c r="AM230" s="254"/>
      <c r="AN230" s="254"/>
      <c r="AO230" s="254"/>
      <c r="AP230" s="254"/>
      <c r="AQ230" s="254"/>
      <c r="AR230" s="254"/>
      <c r="AS230" s="254"/>
      <c r="AT230" s="254"/>
      <c r="AU230" s="254"/>
      <c r="AV230" s="254"/>
      <c r="AW230" s="254"/>
      <c r="AX230" s="256"/>
      <c r="AZ230" s="254" t="str">
        <f ca="1"/>
        <v/>
      </c>
      <c r="BA230" s="254" t="str">
        <f ca="1"/>
        <v/>
      </c>
      <c r="BB230" s="254" t="str">
        <f ca="1"/>
        <v/>
      </c>
      <c r="BC230" s="254" t="str">
        <f ca="1"/>
        <v/>
      </c>
      <c r="BD230" s="256">
        <f ca="1"/>
        <v>0</v>
      </c>
      <c r="BF230" s="254"/>
      <c r="BG230" s="254"/>
      <c r="BH230" s="254"/>
      <c r="BI230" s="254"/>
      <c r="BJ230" s="243"/>
      <c r="BK230" s="254"/>
      <c r="BL230" s="256"/>
      <c r="BM230" s="46"/>
      <c r="BN230" s="256">
        <f ca="1"/>
        <v>0</v>
      </c>
      <c r="BP230" s="248">
        <f ca="1"/>
        <v>0</v>
      </c>
      <c r="BR230" s="248">
        <f ca="1"/>
        <v>0</v>
      </c>
      <c r="BT230" s="248">
        <f ca="1"/>
        <v>0</v>
      </c>
      <c r="BU230" s="248">
        <f ca="1"/>
        <v>0</v>
      </c>
    </row>
    <row r="231" spans="1:73" ht="16" hidden="1" thickTop="1" thickBot="1">
      <c r="A231" s="1"/>
      <c r="B231" s="1">
        <f t="shared" si="7"/>
        <v>0</v>
      </c>
      <c r="D231" s="98"/>
      <c r="E231" s="239"/>
      <c r="F231" s="243"/>
      <c r="G231" s="243"/>
      <c r="H231" s="243"/>
      <c r="I231" s="243"/>
      <c r="J231" s="243"/>
      <c r="K231" s="243"/>
      <c r="L231" s="366"/>
      <c r="M231" s="46"/>
      <c r="N231" s="243"/>
      <c r="O231" s="243"/>
      <c r="P231" s="243"/>
      <c r="Q231" s="243"/>
      <c r="R231" s="243"/>
      <c r="S231" s="243"/>
      <c r="T231" s="243"/>
      <c r="U231" s="243"/>
      <c r="V231" s="243"/>
      <c r="W231" s="243"/>
      <c r="X231" s="256"/>
      <c r="Y231" s="253"/>
      <c r="Z231" s="254"/>
      <c r="AA231" s="254"/>
      <c r="AB231" s="254"/>
      <c r="AC231" s="254"/>
      <c r="AD231" s="254"/>
      <c r="AE231" s="254"/>
      <c r="AF231" s="254"/>
      <c r="AG231" s="254"/>
      <c r="AH231" s="254"/>
      <c r="AI231" s="254"/>
      <c r="AJ231" s="254"/>
      <c r="AK231" s="254"/>
      <c r="AL231" s="254"/>
      <c r="AM231" s="254"/>
      <c r="AN231" s="254"/>
      <c r="AO231" s="254"/>
      <c r="AP231" s="254"/>
      <c r="AQ231" s="254"/>
      <c r="AR231" s="254"/>
      <c r="AS231" s="254"/>
      <c r="AT231" s="254"/>
      <c r="AU231" s="254"/>
      <c r="AV231" s="254"/>
      <c r="AW231" s="254"/>
      <c r="AX231" s="256"/>
      <c r="AZ231" s="254" t="str">
        <f ca="1"/>
        <v/>
      </c>
      <c r="BA231" s="254" t="str">
        <f ca="1"/>
        <v/>
      </c>
      <c r="BB231" s="254" t="str">
        <f ca="1"/>
        <v/>
      </c>
      <c r="BC231" s="254" t="str">
        <f ca="1"/>
        <v/>
      </c>
      <c r="BD231" s="256">
        <f ca="1"/>
        <v>0</v>
      </c>
      <c r="BF231" s="254"/>
      <c r="BG231" s="254"/>
      <c r="BH231" s="254"/>
      <c r="BI231" s="254"/>
      <c r="BJ231" s="243"/>
      <c r="BK231" s="254"/>
      <c r="BL231" s="256"/>
      <c r="BM231" s="46"/>
      <c r="BN231" s="256">
        <f ca="1"/>
        <v>0</v>
      </c>
      <c r="BP231" s="248">
        <f ca="1"/>
        <v>0</v>
      </c>
      <c r="BR231" s="248">
        <f ca="1"/>
        <v>0</v>
      </c>
      <c r="BT231" s="248">
        <f ca="1"/>
        <v>0</v>
      </c>
      <c r="BU231" s="248">
        <f ca="1"/>
        <v>0</v>
      </c>
    </row>
    <row r="232" spans="1:73" ht="16" hidden="1" thickTop="1" thickBot="1">
      <c r="A232" s="1"/>
      <c r="B232" s="1">
        <f t="shared" si="7"/>
        <v>0</v>
      </c>
      <c r="D232" s="98"/>
      <c r="E232" s="239"/>
      <c r="F232" s="243"/>
      <c r="G232" s="243"/>
      <c r="H232" s="243"/>
      <c r="I232" s="243"/>
      <c r="J232" s="243"/>
      <c r="K232" s="243"/>
      <c r="L232" s="366"/>
      <c r="M232" s="46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56"/>
      <c r="Y232" s="253"/>
      <c r="Z232" s="254"/>
      <c r="AA232" s="254"/>
      <c r="AB232" s="254"/>
      <c r="AC232" s="254"/>
      <c r="AD232" s="254"/>
      <c r="AE232" s="254"/>
      <c r="AF232" s="254"/>
      <c r="AG232" s="254"/>
      <c r="AH232" s="254"/>
      <c r="AI232" s="254"/>
      <c r="AJ232" s="254"/>
      <c r="AK232" s="254"/>
      <c r="AL232" s="254"/>
      <c r="AM232" s="254"/>
      <c r="AN232" s="254"/>
      <c r="AO232" s="254"/>
      <c r="AP232" s="254"/>
      <c r="AQ232" s="254"/>
      <c r="AR232" s="254"/>
      <c r="AS232" s="254"/>
      <c r="AT232" s="254"/>
      <c r="AU232" s="254"/>
      <c r="AV232" s="254"/>
      <c r="AW232" s="254"/>
      <c r="AX232" s="256"/>
      <c r="AZ232" s="254" t="str">
        <f ca="1"/>
        <v/>
      </c>
      <c r="BA232" s="254" t="str">
        <f ca="1"/>
        <v/>
      </c>
      <c r="BB232" s="254" t="str">
        <f ca="1"/>
        <v/>
      </c>
      <c r="BC232" s="254" t="str">
        <f ca="1"/>
        <v/>
      </c>
      <c r="BD232" s="256">
        <f ca="1"/>
        <v>0</v>
      </c>
      <c r="BF232" s="254"/>
      <c r="BG232" s="254"/>
      <c r="BH232" s="254"/>
      <c r="BI232" s="254"/>
      <c r="BJ232" s="243"/>
      <c r="BK232" s="254"/>
      <c r="BL232" s="256"/>
      <c r="BM232" s="46"/>
      <c r="BN232" s="256">
        <f ca="1"/>
        <v>0</v>
      </c>
      <c r="BP232" s="248">
        <f ca="1"/>
        <v>0</v>
      </c>
      <c r="BR232" s="248">
        <f ca="1"/>
        <v>0</v>
      </c>
      <c r="BT232" s="248">
        <f ca="1"/>
        <v>0</v>
      </c>
      <c r="BU232" s="248">
        <f ca="1"/>
        <v>0</v>
      </c>
    </row>
    <row r="233" spans="1:73" ht="16" hidden="1" thickTop="1" thickBot="1">
      <c r="A233" s="1"/>
      <c r="B233" s="1">
        <f t="shared" si="7"/>
        <v>0</v>
      </c>
      <c r="D233" s="98"/>
      <c r="E233" s="239"/>
      <c r="F233" s="243"/>
      <c r="G233" s="243"/>
      <c r="H233" s="243"/>
      <c r="I233" s="243"/>
      <c r="J233" s="243"/>
      <c r="K233" s="243"/>
      <c r="L233" s="366"/>
      <c r="M233" s="46"/>
      <c r="N233" s="243"/>
      <c r="O233" s="243"/>
      <c r="P233" s="243"/>
      <c r="Q233" s="243"/>
      <c r="R233" s="243"/>
      <c r="S233" s="243"/>
      <c r="T233" s="243"/>
      <c r="U233" s="243"/>
      <c r="V233" s="243"/>
      <c r="W233" s="243"/>
      <c r="X233" s="256"/>
      <c r="Y233" s="253"/>
      <c r="Z233" s="254"/>
      <c r="AA233" s="254"/>
      <c r="AB233" s="254"/>
      <c r="AC233" s="254"/>
      <c r="AD233" s="254"/>
      <c r="AE233" s="254"/>
      <c r="AF233" s="254"/>
      <c r="AG233" s="254"/>
      <c r="AH233" s="254"/>
      <c r="AI233" s="254"/>
      <c r="AJ233" s="254"/>
      <c r="AK233" s="254"/>
      <c r="AL233" s="254"/>
      <c r="AM233" s="254"/>
      <c r="AN233" s="254"/>
      <c r="AO233" s="254"/>
      <c r="AP233" s="254"/>
      <c r="AQ233" s="254"/>
      <c r="AR233" s="254"/>
      <c r="AS233" s="254"/>
      <c r="AT233" s="254"/>
      <c r="AU233" s="254"/>
      <c r="AV233" s="254"/>
      <c r="AW233" s="254"/>
      <c r="AX233" s="256"/>
      <c r="AZ233" s="254" t="str">
        <f ca="1"/>
        <v/>
      </c>
      <c r="BA233" s="254" t="str">
        <f ca="1"/>
        <v/>
      </c>
      <c r="BB233" s="254" t="str">
        <f ca="1"/>
        <v/>
      </c>
      <c r="BC233" s="254" t="str">
        <f ca="1"/>
        <v/>
      </c>
      <c r="BD233" s="256">
        <f ca="1"/>
        <v>0</v>
      </c>
      <c r="BF233" s="254"/>
      <c r="BG233" s="254"/>
      <c r="BH233" s="254"/>
      <c r="BI233" s="254"/>
      <c r="BJ233" s="243"/>
      <c r="BK233" s="254"/>
      <c r="BL233" s="256"/>
      <c r="BM233" s="46"/>
      <c r="BN233" s="256">
        <f ca="1"/>
        <v>0</v>
      </c>
      <c r="BP233" s="248">
        <f ca="1"/>
        <v>0</v>
      </c>
      <c r="BR233" s="248">
        <f ca="1"/>
        <v>0</v>
      </c>
      <c r="BT233" s="248">
        <f ca="1"/>
        <v>0</v>
      </c>
      <c r="BU233" s="248">
        <f ca="1"/>
        <v>0</v>
      </c>
    </row>
    <row r="234" spans="1:73" ht="16" hidden="1" thickTop="1" thickBot="1">
      <c r="A234" s="1"/>
      <c r="B234" s="1">
        <f t="shared" si="7"/>
        <v>0</v>
      </c>
      <c r="D234" s="98"/>
      <c r="E234" s="239"/>
      <c r="F234" s="243"/>
      <c r="G234" s="243"/>
      <c r="H234" s="243"/>
      <c r="I234" s="243"/>
      <c r="J234" s="243"/>
      <c r="K234" s="243"/>
      <c r="L234" s="366"/>
      <c r="M234" s="46"/>
      <c r="N234" s="243"/>
      <c r="O234" s="243"/>
      <c r="P234" s="243"/>
      <c r="Q234" s="243"/>
      <c r="R234" s="243"/>
      <c r="S234" s="243"/>
      <c r="T234" s="243"/>
      <c r="U234" s="243"/>
      <c r="V234" s="243"/>
      <c r="W234" s="243"/>
      <c r="X234" s="256"/>
      <c r="Y234" s="253"/>
      <c r="Z234" s="254"/>
      <c r="AA234" s="254"/>
      <c r="AB234" s="254"/>
      <c r="AC234" s="254"/>
      <c r="AD234" s="254"/>
      <c r="AE234" s="254"/>
      <c r="AF234" s="254"/>
      <c r="AG234" s="254"/>
      <c r="AH234" s="254"/>
      <c r="AI234" s="254"/>
      <c r="AJ234" s="254"/>
      <c r="AK234" s="254"/>
      <c r="AL234" s="254"/>
      <c r="AM234" s="254"/>
      <c r="AN234" s="254"/>
      <c r="AO234" s="254"/>
      <c r="AP234" s="254"/>
      <c r="AQ234" s="254"/>
      <c r="AR234" s="254"/>
      <c r="AS234" s="254"/>
      <c r="AT234" s="254"/>
      <c r="AU234" s="254"/>
      <c r="AV234" s="254"/>
      <c r="AW234" s="254"/>
      <c r="AX234" s="256"/>
      <c r="AZ234" s="254" t="str">
        <f ca="1"/>
        <v/>
      </c>
      <c r="BA234" s="254" t="str">
        <f ca="1"/>
        <v/>
      </c>
      <c r="BB234" s="254" t="str">
        <f ca="1"/>
        <v/>
      </c>
      <c r="BC234" s="254" t="str">
        <f ca="1"/>
        <v/>
      </c>
      <c r="BD234" s="256">
        <f ca="1"/>
        <v>0</v>
      </c>
      <c r="BF234" s="254"/>
      <c r="BG234" s="254"/>
      <c r="BH234" s="254"/>
      <c r="BI234" s="254"/>
      <c r="BJ234" s="243"/>
      <c r="BK234" s="254"/>
      <c r="BL234" s="256"/>
      <c r="BM234" s="46"/>
      <c r="BN234" s="256">
        <f ca="1"/>
        <v>0</v>
      </c>
      <c r="BP234" s="248">
        <f ca="1"/>
        <v>0</v>
      </c>
      <c r="BR234" s="248">
        <f ca="1"/>
        <v>0</v>
      </c>
      <c r="BT234" s="248">
        <f ca="1"/>
        <v>0</v>
      </c>
      <c r="BU234" s="248">
        <f ca="1"/>
        <v>0</v>
      </c>
    </row>
    <row r="235" spans="1:73" ht="16" hidden="1" thickTop="1" thickBot="1">
      <c r="A235" s="1"/>
      <c r="B235" s="1">
        <f t="shared" si="7"/>
        <v>0</v>
      </c>
      <c r="D235" s="98"/>
      <c r="E235" s="239"/>
      <c r="F235" s="243"/>
      <c r="G235" s="243"/>
      <c r="H235" s="243"/>
      <c r="I235" s="243"/>
      <c r="J235" s="243"/>
      <c r="K235" s="243"/>
      <c r="L235" s="366"/>
      <c r="M235" s="46"/>
      <c r="N235" s="243"/>
      <c r="O235" s="243"/>
      <c r="P235" s="243"/>
      <c r="Q235" s="243"/>
      <c r="R235" s="243"/>
      <c r="S235" s="243"/>
      <c r="T235" s="243"/>
      <c r="U235" s="243"/>
      <c r="V235" s="243"/>
      <c r="W235" s="243"/>
      <c r="X235" s="256"/>
      <c r="Y235" s="253"/>
      <c r="Z235" s="254"/>
      <c r="AA235" s="254"/>
      <c r="AB235" s="254"/>
      <c r="AC235" s="254"/>
      <c r="AD235" s="254"/>
      <c r="AE235" s="254"/>
      <c r="AF235" s="254"/>
      <c r="AG235" s="254"/>
      <c r="AH235" s="254"/>
      <c r="AI235" s="254"/>
      <c r="AJ235" s="254"/>
      <c r="AK235" s="254"/>
      <c r="AL235" s="254"/>
      <c r="AM235" s="254"/>
      <c r="AN235" s="254"/>
      <c r="AO235" s="254"/>
      <c r="AP235" s="254"/>
      <c r="AQ235" s="254"/>
      <c r="AR235" s="254"/>
      <c r="AS235" s="254"/>
      <c r="AT235" s="254"/>
      <c r="AU235" s="254"/>
      <c r="AV235" s="254"/>
      <c r="AW235" s="254"/>
      <c r="AX235" s="256"/>
      <c r="AZ235" s="254" t="str">
        <f ca="1"/>
        <v/>
      </c>
      <c r="BA235" s="254" t="str">
        <f ca="1"/>
        <v/>
      </c>
      <c r="BB235" s="254" t="str">
        <f ca="1"/>
        <v/>
      </c>
      <c r="BC235" s="254" t="str">
        <f ca="1"/>
        <v/>
      </c>
      <c r="BD235" s="256">
        <f ca="1"/>
        <v>0</v>
      </c>
      <c r="BF235" s="254"/>
      <c r="BG235" s="254"/>
      <c r="BH235" s="254"/>
      <c r="BI235" s="254"/>
      <c r="BJ235" s="243"/>
      <c r="BK235" s="254"/>
      <c r="BL235" s="256"/>
      <c r="BM235" s="46"/>
      <c r="BN235" s="256">
        <f ca="1"/>
        <v>0</v>
      </c>
      <c r="BP235" s="248">
        <f ca="1"/>
        <v>0</v>
      </c>
      <c r="BR235" s="248">
        <f ca="1"/>
        <v>0</v>
      </c>
      <c r="BT235" s="248">
        <f ca="1"/>
        <v>0</v>
      </c>
      <c r="BU235" s="248">
        <f ca="1"/>
        <v>0</v>
      </c>
    </row>
    <row r="236" spans="1:73" ht="16" hidden="1" thickTop="1" thickBot="1">
      <c r="A236" s="1"/>
      <c r="B236" s="1">
        <f t="shared" si="7"/>
        <v>0</v>
      </c>
      <c r="D236" s="98"/>
      <c r="E236" s="239"/>
      <c r="F236" s="243"/>
      <c r="G236" s="243"/>
      <c r="H236" s="243"/>
      <c r="I236" s="243"/>
      <c r="J236" s="243"/>
      <c r="K236" s="243"/>
      <c r="L236" s="366"/>
      <c r="M236" s="46"/>
      <c r="N236" s="243"/>
      <c r="O236" s="243"/>
      <c r="P236" s="243"/>
      <c r="Q236" s="243"/>
      <c r="R236" s="243"/>
      <c r="S236" s="243"/>
      <c r="T236" s="243"/>
      <c r="U236" s="243"/>
      <c r="V236" s="243"/>
      <c r="W236" s="243"/>
      <c r="X236" s="256"/>
      <c r="Y236" s="253"/>
      <c r="Z236" s="254"/>
      <c r="AA236" s="254"/>
      <c r="AB236" s="254"/>
      <c r="AC236" s="254"/>
      <c r="AD236" s="254"/>
      <c r="AE236" s="254"/>
      <c r="AF236" s="254"/>
      <c r="AG236" s="254"/>
      <c r="AH236" s="254"/>
      <c r="AI236" s="254"/>
      <c r="AJ236" s="254"/>
      <c r="AK236" s="254"/>
      <c r="AL236" s="254"/>
      <c r="AM236" s="254"/>
      <c r="AN236" s="254"/>
      <c r="AO236" s="254"/>
      <c r="AP236" s="254"/>
      <c r="AQ236" s="254"/>
      <c r="AR236" s="254"/>
      <c r="AS236" s="254"/>
      <c r="AT236" s="254"/>
      <c r="AU236" s="254"/>
      <c r="AV236" s="254"/>
      <c r="AW236" s="254"/>
      <c r="AX236" s="256"/>
      <c r="AZ236" s="254" t="str">
        <f ca="1"/>
        <v/>
      </c>
      <c r="BA236" s="254" t="str">
        <f ca="1"/>
        <v/>
      </c>
      <c r="BB236" s="254" t="str">
        <f ca="1"/>
        <v/>
      </c>
      <c r="BC236" s="254" t="str">
        <f ca="1"/>
        <v/>
      </c>
      <c r="BD236" s="256">
        <f ca="1"/>
        <v>0</v>
      </c>
      <c r="BF236" s="254"/>
      <c r="BG236" s="254"/>
      <c r="BH236" s="254"/>
      <c r="BI236" s="254"/>
      <c r="BJ236" s="243"/>
      <c r="BK236" s="254"/>
      <c r="BL236" s="256"/>
      <c r="BM236" s="46"/>
      <c r="BN236" s="256">
        <f ca="1"/>
        <v>0</v>
      </c>
      <c r="BP236" s="248">
        <f ca="1"/>
        <v>0</v>
      </c>
      <c r="BR236" s="248">
        <f ca="1"/>
        <v>0</v>
      </c>
      <c r="BT236" s="248">
        <f ca="1"/>
        <v>0</v>
      </c>
      <c r="BU236" s="248">
        <f ca="1"/>
        <v>0</v>
      </c>
    </row>
    <row r="237" spans="1:73" ht="16" hidden="1" thickTop="1" thickBot="1">
      <c r="A237" s="1"/>
      <c r="B237" s="1">
        <f t="shared" si="7"/>
        <v>0</v>
      </c>
      <c r="D237" s="98"/>
      <c r="E237" s="239"/>
      <c r="F237" s="243"/>
      <c r="G237" s="243"/>
      <c r="H237" s="243"/>
      <c r="I237" s="243"/>
      <c r="J237" s="243"/>
      <c r="K237" s="243"/>
      <c r="L237" s="366"/>
      <c r="M237" s="46"/>
      <c r="N237" s="243"/>
      <c r="O237" s="243"/>
      <c r="P237" s="243"/>
      <c r="Q237" s="243"/>
      <c r="R237" s="243"/>
      <c r="S237" s="243"/>
      <c r="T237" s="243"/>
      <c r="U237" s="243"/>
      <c r="V237" s="243"/>
      <c r="W237" s="243"/>
      <c r="X237" s="256"/>
      <c r="Y237" s="253"/>
      <c r="Z237" s="254"/>
      <c r="AA237" s="254"/>
      <c r="AB237" s="254"/>
      <c r="AC237" s="254"/>
      <c r="AD237" s="254"/>
      <c r="AE237" s="254"/>
      <c r="AF237" s="254"/>
      <c r="AG237" s="254"/>
      <c r="AH237" s="254"/>
      <c r="AI237" s="254"/>
      <c r="AJ237" s="254"/>
      <c r="AK237" s="254"/>
      <c r="AL237" s="254"/>
      <c r="AM237" s="254"/>
      <c r="AN237" s="254"/>
      <c r="AO237" s="254"/>
      <c r="AP237" s="254"/>
      <c r="AQ237" s="254"/>
      <c r="AR237" s="254"/>
      <c r="AS237" s="254"/>
      <c r="AT237" s="254"/>
      <c r="AU237" s="254"/>
      <c r="AV237" s="254"/>
      <c r="AW237" s="254"/>
      <c r="AX237" s="256"/>
      <c r="AZ237" s="254" t="str">
        <f ca="1"/>
        <v/>
      </c>
      <c r="BA237" s="254" t="str">
        <f ca="1"/>
        <v/>
      </c>
      <c r="BB237" s="254" t="str">
        <f ca="1"/>
        <v/>
      </c>
      <c r="BC237" s="254" t="str">
        <f ca="1"/>
        <v/>
      </c>
      <c r="BD237" s="256">
        <f ca="1"/>
        <v>0</v>
      </c>
      <c r="BF237" s="254"/>
      <c r="BG237" s="254"/>
      <c r="BH237" s="254"/>
      <c r="BI237" s="254"/>
      <c r="BJ237" s="243"/>
      <c r="BK237" s="254"/>
      <c r="BL237" s="256"/>
      <c r="BM237" s="46"/>
      <c r="BN237" s="256">
        <f ca="1"/>
        <v>0</v>
      </c>
      <c r="BP237" s="248">
        <f ca="1"/>
        <v>0</v>
      </c>
      <c r="BR237" s="248">
        <f ca="1"/>
        <v>0</v>
      </c>
      <c r="BT237" s="248">
        <f ca="1"/>
        <v>0</v>
      </c>
      <c r="BU237" s="248">
        <f ca="1"/>
        <v>0</v>
      </c>
    </row>
    <row r="238" spans="1:73" ht="16" hidden="1" thickTop="1" thickBot="1">
      <c r="A238" s="1"/>
      <c r="B238" s="1">
        <f t="shared" si="7"/>
        <v>0</v>
      </c>
      <c r="D238" s="98"/>
      <c r="E238" s="239"/>
      <c r="F238" s="243"/>
      <c r="G238" s="243"/>
      <c r="H238" s="243"/>
      <c r="I238" s="243"/>
      <c r="J238" s="243"/>
      <c r="K238" s="243"/>
      <c r="L238" s="366"/>
      <c r="M238" s="46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56"/>
      <c r="Y238" s="253"/>
      <c r="Z238" s="254"/>
      <c r="AA238" s="254"/>
      <c r="AB238" s="254"/>
      <c r="AC238" s="254"/>
      <c r="AD238" s="254"/>
      <c r="AE238" s="254"/>
      <c r="AF238" s="254"/>
      <c r="AG238" s="254"/>
      <c r="AH238" s="254"/>
      <c r="AI238" s="254"/>
      <c r="AJ238" s="254"/>
      <c r="AK238" s="254"/>
      <c r="AL238" s="254"/>
      <c r="AM238" s="254"/>
      <c r="AN238" s="254"/>
      <c r="AO238" s="254"/>
      <c r="AP238" s="254"/>
      <c r="AQ238" s="254"/>
      <c r="AR238" s="254"/>
      <c r="AS238" s="254"/>
      <c r="AT238" s="254"/>
      <c r="AU238" s="254"/>
      <c r="AV238" s="254"/>
      <c r="AW238" s="254"/>
      <c r="AX238" s="256"/>
      <c r="AZ238" s="254" t="str">
        <f ca="1"/>
        <v/>
      </c>
      <c r="BA238" s="254" t="str">
        <f ca="1"/>
        <v/>
      </c>
      <c r="BB238" s="254" t="str">
        <f ca="1"/>
        <v/>
      </c>
      <c r="BC238" s="254" t="str">
        <f ca="1"/>
        <v/>
      </c>
      <c r="BD238" s="256">
        <f ca="1"/>
        <v>0</v>
      </c>
      <c r="BF238" s="254"/>
      <c r="BG238" s="254"/>
      <c r="BH238" s="254"/>
      <c r="BI238" s="254"/>
      <c r="BJ238" s="243"/>
      <c r="BK238" s="254"/>
      <c r="BL238" s="256"/>
      <c r="BM238" s="46"/>
      <c r="BN238" s="256">
        <f ca="1"/>
        <v>0</v>
      </c>
      <c r="BP238" s="248">
        <f ca="1"/>
        <v>0</v>
      </c>
      <c r="BR238" s="248">
        <f ca="1"/>
        <v>0</v>
      </c>
      <c r="BT238" s="248">
        <f ca="1"/>
        <v>0</v>
      </c>
      <c r="BU238" s="248">
        <f ca="1"/>
        <v>0</v>
      </c>
    </row>
    <row r="239" spans="1:73" ht="16" hidden="1" thickTop="1" thickBot="1">
      <c r="A239" s="1"/>
      <c r="B239" s="1">
        <f t="shared" si="7"/>
        <v>0</v>
      </c>
      <c r="D239" s="98"/>
      <c r="E239" s="239"/>
      <c r="F239" s="243"/>
      <c r="G239" s="243"/>
      <c r="H239" s="243"/>
      <c r="I239" s="243"/>
      <c r="J239" s="243"/>
      <c r="K239" s="243"/>
      <c r="L239" s="366"/>
      <c r="M239" s="46"/>
      <c r="N239" s="243"/>
      <c r="O239" s="243"/>
      <c r="P239" s="243"/>
      <c r="Q239" s="243"/>
      <c r="R239" s="243"/>
      <c r="S239" s="243"/>
      <c r="T239" s="243"/>
      <c r="U239" s="243"/>
      <c r="V239" s="243"/>
      <c r="W239" s="243"/>
      <c r="X239" s="256"/>
      <c r="Y239" s="253"/>
      <c r="Z239" s="254"/>
      <c r="AA239" s="254"/>
      <c r="AB239" s="254"/>
      <c r="AC239" s="254"/>
      <c r="AD239" s="254"/>
      <c r="AE239" s="254"/>
      <c r="AF239" s="254"/>
      <c r="AG239" s="254"/>
      <c r="AH239" s="254"/>
      <c r="AI239" s="254"/>
      <c r="AJ239" s="254"/>
      <c r="AK239" s="254"/>
      <c r="AL239" s="254"/>
      <c r="AM239" s="254"/>
      <c r="AN239" s="254"/>
      <c r="AO239" s="254"/>
      <c r="AP239" s="254"/>
      <c r="AQ239" s="254"/>
      <c r="AR239" s="254"/>
      <c r="AS239" s="254"/>
      <c r="AT239" s="254"/>
      <c r="AU239" s="254"/>
      <c r="AV239" s="254"/>
      <c r="AW239" s="254"/>
      <c r="AX239" s="256"/>
      <c r="AZ239" s="254" t="str">
        <f ca="1"/>
        <v/>
      </c>
      <c r="BA239" s="254" t="str">
        <f ca="1"/>
        <v/>
      </c>
      <c r="BB239" s="254" t="str">
        <f ca="1"/>
        <v/>
      </c>
      <c r="BC239" s="254" t="str">
        <f ca="1"/>
        <v/>
      </c>
      <c r="BD239" s="256">
        <f ca="1"/>
        <v>0</v>
      </c>
      <c r="BF239" s="254"/>
      <c r="BG239" s="254"/>
      <c r="BH239" s="254"/>
      <c r="BI239" s="254"/>
      <c r="BJ239" s="243"/>
      <c r="BK239" s="254"/>
      <c r="BL239" s="256"/>
      <c r="BM239" s="46"/>
      <c r="BN239" s="256">
        <f ca="1"/>
        <v>0</v>
      </c>
      <c r="BP239" s="248">
        <f ca="1"/>
        <v>0</v>
      </c>
      <c r="BR239" s="248">
        <f ca="1"/>
        <v>0</v>
      </c>
      <c r="BT239" s="248">
        <f ca="1"/>
        <v>0</v>
      </c>
      <c r="BU239" s="248">
        <f ca="1"/>
        <v>0</v>
      </c>
    </row>
    <row r="240" spans="1:73" ht="16" hidden="1" thickTop="1" thickBot="1">
      <c r="A240" s="1"/>
      <c r="B240" s="1">
        <f t="shared" si="7"/>
        <v>0</v>
      </c>
      <c r="D240" s="98"/>
      <c r="E240" s="239"/>
      <c r="F240" s="243"/>
      <c r="G240" s="243"/>
      <c r="H240" s="243"/>
      <c r="I240" s="243"/>
      <c r="J240" s="243"/>
      <c r="K240" s="243"/>
      <c r="L240" s="366"/>
      <c r="M240" s="46"/>
      <c r="N240" s="243"/>
      <c r="O240" s="243"/>
      <c r="P240" s="243"/>
      <c r="Q240" s="243"/>
      <c r="R240" s="243"/>
      <c r="S240" s="243"/>
      <c r="T240" s="243"/>
      <c r="U240" s="243"/>
      <c r="V240" s="243"/>
      <c r="W240" s="243"/>
      <c r="X240" s="256"/>
      <c r="Y240" s="253"/>
      <c r="Z240" s="254"/>
      <c r="AA240" s="254"/>
      <c r="AB240" s="254"/>
      <c r="AC240" s="254"/>
      <c r="AD240" s="254"/>
      <c r="AE240" s="254"/>
      <c r="AF240" s="254"/>
      <c r="AG240" s="254"/>
      <c r="AH240" s="254"/>
      <c r="AI240" s="254"/>
      <c r="AJ240" s="254"/>
      <c r="AK240" s="254"/>
      <c r="AL240" s="254"/>
      <c r="AM240" s="254"/>
      <c r="AN240" s="254"/>
      <c r="AO240" s="254"/>
      <c r="AP240" s="254"/>
      <c r="AQ240" s="254"/>
      <c r="AR240" s="254"/>
      <c r="AS240" s="254"/>
      <c r="AT240" s="254"/>
      <c r="AU240" s="254"/>
      <c r="AV240" s="254"/>
      <c r="AW240" s="254"/>
      <c r="AX240" s="256"/>
      <c r="AZ240" s="254" t="str">
        <f ca="1"/>
        <v/>
      </c>
      <c r="BA240" s="254" t="str">
        <f ca="1"/>
        <v/>
      </c>
      <c r="BB240" s="254" t="str">
        <f ca="1"/>
        <v/>
      </c>
      <c r="BC240" s="254" t="str">
        <f ca="1"/>
        <v/>
      </c>
      <c r="BD240" s="256">
        <f ca="1"/>
        <v>0</v>
      </c>
      <c r="BF240" s="254"/>
      <c r="BG240" s="254"/>
      <c r="BH240" s="254"/>
      <c r="BI240" s="254"/>
      <c r="BJ240" s="243"/>
      <c r="BK240" s="254"/>
      <c r="BL240" s="256"/>
      <c r="BM240" s="46"/>
      <c r="BN240" s="256">
        <f ca="1"/>
        <v>0</v>
      </c>
      <c r="BP240" s="248">
        <f ca="1"/>
        <v>0</v>
      </c>
      <c r="BR240" s="248">
        <f ca="1"/>
        <v>0</v>
      </c>
      <c r="BT240" s="248">
        <f ca="1"/>
        <v>0</v>
      </c>
      <c r="BU240" s="248">
        <f ca="1"/>
        <v>0</v>
      </c>
    </row>
    <row r="241" spans="1:73" ht="16" hidden="1" thickTop="1" thickBot="1">
      <c r="A241" s="1"/>
      <c r="B241" s="1">
        <f t="shared" si="7"/>
        <v>0</v>
      </c>
      <c r="D241" s="98"/>
      <c r="E241" s="239"/>
      <c r="F241" s="243"/>
      <c r="G241" s="243"/>
      <c r="H241" s="243"/>
      <c r="I241" s="243"/>
      <c r="J241" s="243"/>
      <c r="K241" s="243"/>
      <c r="L241" s="366"/>
      <c r="M241" s="46"/>
      <c r="N241" s="243"/>
      <c r="O241" s="243"/>
      <c r="P241" s="243"/>
      <c r="Q241" s="243"/>
      <c r="R241" s="243"/>
      <c r="S241" s="243"/>
      <c r="T241" s="243"/>
      <c r="U241" s="243"/>
      <c r="V241" s="243"/>
      <c r="W241" s="243"/>
      <c r="X241" s="256"/>
      <c r="Y241" s="253"/>
      <c r="Z241" s="254"/>
      <c r="AA241" s="254"/>
      <c r="AB241" s="254"/>
      <c r="AC241" s="254"/>
      <c r="AD241" s="254"/>
      <c r="AE241" s="254"/>
      <c r="AF241" s="254"/>
      <c r="AG241" s="254"/>
      <c r="AH241" s="254"/>
      <c r="AI241" s="254"/>
      <c r="AJ241" s="254"/>
      <c r="AK241" s="254"/>
      <c r="AL241" s="254"/>
      <c r="AM241" s="254"/>
      <c r="AN241" s="254"/>
      <c r="AO241" s="254"/>
      <c r="AP241" s="254"/>
      <c r="AQ241" s="254"/>
      <c r="AR241" s="254"/>
      <c r="AS241" s="254"/>
      <c r="AT241" s="254"/>
      <c r="AU241" s="254"/>
      <c r="AV241" s="254"/>
      <c r="AW241" s="254"/>
      <c r="AX241" s="256"/>
      <c r="AZ241" s="254" t="str">
        <f ca="1"/>
        <v/>
      </c>
      <c r="BA241" s="254" t="str">
        <f ca="1"/>
        <v/>
      </c>
      <c r="BB241" s="254" t="str">
        <f ca="1"/>
        <v/>
      </c>
      <c r="BC241" s="254" t="str">
        <f ca="1"/>
        <v/>
      </c>
      <c r="BD241" s="256">
        <f ca="1"/>
        <v>0</v>
      </c>
      <c r="BF241" s="254"/>
      <c r="BG241" s="254"/>
      <c r="BH241" s="254"/>
      <c r="BI241" s="254"/>
      <c r="BJ241" s="243"/>
      <c r="BK241" s="254"/>
      <c r="BL241" s="256"/>
      <c r="BM241" s="46"/>
      <c r="BN241" s="256">
        <f ca="1"/>
        <v>0</v>
      </c>
      <c r="BP241" s="248">
        <f ca="1"/>
        <v>0</v>
      </c>
      <c r="BR241" s="248">
        <f ca="1"/>
        <v>0</v>
      </c>
      <c r="BT241" s="248">
        <f ca="1"/>
        <v>0</v>
      </c>
      <c r="BU241" s="248">
        <f ca="1"/>
        <v>0</v>
      </c>
    </row>
    <row r="242" spans="1:73" ht="16" hidden="1" thickTop="1" thickBot="1">
      <c r="A242" s="1"/>
      <c r="B242" s="1">
        <f t="shared" si="7"/>
        <v>0</v>
      </c>
      <c r="D242" s="98"/>
      <c r="E242" s="239"/>
      <c r="F242" s="243"/>
      <c r="G242" s="243"/>
      <c r="H242" s="243"/>
      <c r="I242" s="243"/>
      <c r="J242" s="243"/>
      <c r="K242" s="243"/>
      <c r="L242" s="366"/>
      <c r="M242" s="46"/>
      <c r="N242" s="243"/>
      <c r="O242" s="243"/>
      <c r="P242" s="243"/>
      <c r="Q242" s="243"/>
      <c r="R242" s="243"/>
      <c r="S242" s="243"/>
      <c r="T242" s="243"/>
      <c r="U242" s="243"/>
      <c r="V242" s="243"/>
      <c r="W242" s="243"/>
      <c r="X242" s="256"/>
      <c r="Y242" s="253"/>
      <c r="Z242" s="254"/>
      <c r="AA242" s="254"/>
      <c r="AB242" s="254"/>
      <c r="AC242" s="254"/>
      <c r="AD242" s="254"/>
      <c r="AE242" s="254"/>
      <c r="AF242" s="254"/>
      <c r="AG242" s="254"/>
      <c r="AH242" s="254"/>
      <c r="AI242" s="254"/>
      <c r="AJ242" s="254"/>
      <c r="AK242" s="254"/>
      <c r="AL242" s="254"/>
      <c r="AM242" s="254"/>
      <c r="AN242" s="254"/>
      <c r="AO242" s="254"/>
      <c r="AP242" s="254"/>
      <c r="AQ242" s="254"/>
      <c r="AR242" s="254"/>
      <c r="AS242" s="254"/>
      <c r="AT242" s="254"/>
      <c r="AU242" s="254"/>
      <c r="AV242" s="254"/>
      <c r="AW242" s="254"/>
      <c r="AX242" s="256"/>
      <c r="AZ242" s="254" t="str">
        <f ca="1"/>
        <v/>
      </c>
      <c r="BA242" s="254" t="str">
        <f ca="1"/>
        <v/>
      </c>
      <c r="BB242" s="254" t="str">
        <f ca="1"/>
        <v/>
      </c>
      <c r="BC242" s="254" t="str">
        <f ca="1"/>
        <v/>
      </c>
      <c r="BD242" s="256">
        <f ca="1"/>
        <v>0</v>
      </c>
      <c r="BF242" s="254"/>
      <c r="BG242" s="254"/>
      <c r="BH242" s="254"/>
      <c r="BI242" s="254"/>
      <c r="BJ242" s="243"/>
      <c r="BK242" s="254"/>
      <c r="BL242" s="256"/>
      <c r="BM242" s="46"/>
      <c r="BN242" s="256">
        <f ca="1"/>
        <v>0</v>
      </c>
      <c r="BP242" s="248">
        <f ca="1"/>
        <v>0</v>
      </c>
      <c r="BR242" s="248">
        <f ca="1"/>
        <v>0</v>
      </c>
      <c r="BT242" s="248">
        <f ca="1"/>
        <v>0</v>
      </c>
      <c r="BU242" s="248">
        <f ca="1"/>
        <v>0</v>
      </c>
    </row>
    <row r="243" spans="1:73" ht="16" hidden="1" thickTop="1" thickBot="1">
      <c r="A243" s="1"/>
      <c r="B243" s="1">
        <f t="shared" si="7"/>
        <v>0</v>
      </c>
      <c r="D243" s="98"/>
      <c r="E243" s="239"/>
      <c r="F243" s="243"/>
      <c r="G243" s="243"/>
      <c r="H243" s="243"/>
      <c r="I243" s="243"/>
      <c r="J243" s="243"/>
      <c r="K243" s="243"/>
      <c r="L243" s="366"/>
      <c r="M243" s="46"/>
      <c r="N243" s="243"/>
      <c r="O243" s="243"/>
      <c r="P243" s="243"/>
      <c r="Q243" s="243"/>
      <c r="R243" s="243"/>
      <c r="S243" s="243"/>
      <c r="T243" s="243"/>
      <c r="U243" s="243"/>
      <c r="V243" s="243"/>
      <c r="W243" s="243"/>
      <c r="X243" s="256"/>
      <c r="Y243" s="253"/>
      <c r="Z243" s="254"/>
      <c r="AA243" s="254"/>
      <c r="AB243" s="254"/>
      <c r="AC243" s="254"/>
      <c r="AD243" s="254"/>
      <c r="AE243" s="254"/>
      <c r="AF243" s="254"/>
      <c r="AG243" s="254"/>
      <c r="AH243" s="254"/>
      <c r="AI243" s="254"/>
      <c r="AJ243" s="254"/>
      <c r="AK243" s="254"/>
      <c r="AL243" s="254"/>
      <c r="AM243" s="254"/>
      <c r="AN243" s="254"/>
      <c r="AO243" s="254"/>
      <c r="AP243" s="254"/>
      <c r="AQ243" s="254"/>
      <c r="AR243" s="254"/>
      <c r="AS243" s="254"/>
      <c r="AT243" s="254"/>
      <c r="AU243" s="254"/>
      <c r="AV243" s="254"/>
      <c r="AW243" s="254"/>
      <c r="AX243" s="256"/>
      <c r="AZ243" s="254" t="str">
        <f ca="1"/>
        <v/>
      </c>
      <c r="BA243" s="254" t="str">
        <f ca="1"/>
        <v/>
      </c>
      <c r="BB243" s="254" t="str">
        <f ca="1"/>
        <v/>
      </c>
      <c r="BC243" s="254" t="str">
        <f ca="1"/>
        <v/>
      </c>
      <c r="BD243" s="256">
        <f ca="1"/>
        <v>0</v>
      </c>
      <c r="BF243" s="254"/>
      <c r="BG243" s="254"/>
      <c r="BH243" s="254"/>
      <c r="BI243" s="254"/>
      <c r="BJ243" s="243"/>
      <c r="BK243" s="254"/>
      <c r="BL243" s="256"/>
      <c r="BM243" s="46"/>
      <c r="BN243" s="256">
        <f ca="1"/>
        <v>0</v>
      </c>
      <c r="BP243" s="248">
        <f ca="1"/>
        <v>0</v>
      </c>
      <c r="BR243" s="248">
        <f ca="1"/>
        <v>0</v>
      </c>
      <c r="BT243" s="248">
        <f ca="1"/>
        <v>0</v>
      </c>
      <c r="BU243" s="248">
        <f ca="1"/>
        <v>0</v>
      </c>
    </row>
    <row r="244" spans="1:73" ht="16" hidden="1" thickTop="1" thickBot="1">
      <c r="A244" s="1"/>
      <c r="B244" s="1">
        <f t="shared" si="7"/>
        <v>0</v>
      </c>
      <c r="D244" s="98"/>
      <c r="E244" s="239"/>
      <c r="F244" s="243"/>
      <c r="G244" s="243"/>
      <c r="H244" s="243"/>
      <c r="I244" s="243"/>
      <c r="J244" s="243"/>
      <c r="K244" s="243"/>
      <c r="L244" s="366"/>
      <c r="M244" s="46"/>
      <c r="N244" s="243"/>
      <c r="O244" s="243"/>
      <c r="P244" s="243"/>
      <c r="Q244" s="243"/>
      <c r="R244" s="243"/>
      <c r="S244" s="243"/>
      <c r="T244" s="243"/>
      <c r="U244" s="243"/>
      <c r="V244" s="243"/>
      <c r="W244" s="243"/>
      <c r="X244" s="256"/>
      <c r="Y244" s="253"/>
      <c r="Z244" s="254"/>
      <c r="AA244" s="254"/>
      <c r="AB244" s="254"/>
      <c r="AC244" s="254"/>
      <c r="AD244" s="254"/>
      <c r="AE244" s="254"/>
      <c r="AF244" s="254"/>
      <c r="AG244" s="254"/>
      <c r="AH244" s="254"/>
      <c r="AI244" s="254"/>
      <c r="AJ244" s="254"/>
      <c r="AK244" s="254"/>
      <c r="AL244" s="254"/>
      <c r="AM244" s="254"/>
      <c r="AN244" s="254"/>
      <c r="AO244" s="254"/>
      <c r="AP244" s="254"/>
      <c r="AQ244" s="254"/>
      <c r="AR244" s="254"/>
      <c r="AS244" s="254"/>
      <c r="AT244" s="254"/>
      <c r="AU244" s="254"/>
      <c r="AV244" s="254"/>
      <c r="AW244" s="254"/>
      <c r="AX244" s="256"/>
      <c r="AZ244" s="254" t="str">
        <f ca="1"/>
        <v/>
      </c>
      <c r="BA244" s="254" t="str">
        <f ca="1"/>
        <v/>
      </c>
      <c r="BB244" s="254" t="str">
        <f ca="1"/>
        <v/>
      </c>
      <c r="BC244" s="254" t="str">
        <f ca="1"/>
        <v/>
      </c>
      <c r="BD244" s="256">
        <f ca="1"/>
        <v>0</v>
      </c>
      <c r="BF244" s="254"/>
      <c r="BG244" s="254"/>
      <c r="BH244" s="254"/>
      <c r="BI244" s="254"/>
      <c r="BJ244" s="243"/>
      <c r="BK244" s="254"/>
      <c r="BL244" s="256"/>
      <c r="BM244" s="46"/>
      <c r="BN244" s="256">
        <f ca="1"/>
        <v>0</v>
      </c>
      <c r="BP244" s="248">
        <f ca="1"/>
        <v>0</v>
      </c>
      <c r="BR244" s="248">
        <f ca="1"/>
        <v>0</v>
      </c>
      <c r="BT244" s="248">
        <f ca="1"/>
        <v>0</v>
      </c>
      <c r="BU244" s="248">
        <f ca="1"/>
        <v>0</v>
      </c>
    </row>
    <row r="245" spans="1:73" ht="16" hidden="1" thickTop="1" thickBot="1">
      <c r="A245" s="1"/>
      <c r="B245" s="1">
        <f t="shared" si="7"/>
        <v>0</v>
      </c>
      <c r="D245" s="98"/>
      <c r="E245" s="239"/>
      <c r="F245" s="243"/>
      <c r="G245" s="243"/>
      <c r="H245" s="243"/>
      <c r="I245" s="243"/>
      <c r="J245" s="243"/>
      <c r="K245" s="243"/>
      <c r="L245" s="366"/>
      <c r="M245" s="46"/>
      <c r="N245" s="243"/>
      <c r="O245" s="243"/>
      <c r="P245" s="243"/>
      <c r="Q245" s="243"/>
      <c r="R245" s="243"/>
      <c r="S245" s="243"/>
      <c r="T245" s="243"/>
      <c r="U245" s="243"/>
      <c r="V245" s="243"/>
      <c r="W245" s="243"/>
      <c r="X245" s="256"/>
      <c r="Y245" s="253"/>
      <c r="Z245" s="254"/>
      <c r="AA245" s="254"/>
      <c r="AB245" s="254"/>
      <c r="AC245" s="254"/>
      <c r="AD245" s="254"/>
      <c r="AE245" s="254"/>
      <c r="AF245" s="254"/>
      <c r="AG245" s="254"/>
      <c r="AH245" s="254"/>
      <c r="AI245" s="254"/>
      <c r="AJ245" s="254"/>
      <c r="AK245" s="254"/>
      <c r="AL245" s="254"/>
      <c r="AM245" s="254"/>
      <c r="AN245" s="254"/>
      <c r="AO245" s="254"/>
      <c r="AP245" s="254"/>
      <c r="AQ245" s="254"/>
      <c r="AR245" s="254"/>
      <c r="AS245" s="254"/>
      <c r="AT245" s="254"/>
      <c r="AU245" s="254"/>
      <c r="AV245" s="254"/>
      <c r="AW245" s="254"/>
      <c r="AX245" s="256"/>
      <c r="AZ245" s="254" t="str">
        <f ca="1"/>
        <v/>
      </c>
      <c r="BA245" s="254" t="str">
        <f ca="1"/>
        <v/>
      </c>
      <c r="BB245" s="254" t="str">
        <f ca="1"/>
        <v/>
      </c>
      <c r="BC245" s="254" t="str">
        <f ca="1"/>
        <v/>
      </c>
      <c r="BD245" s="256">
        <f ca="1"/>
        <v>0</v>
      </c>
      <c r="BF245" s="254"/>
      <c r="BG245" s="254"/>
      <c r="BH245" s="254"/>
      <c r="BI245" s="254"/>
      <c r="BJ245" s="243"/>
      <c r="BK245" s="254"/>
      <c r="BL245" s="256"/>
      <c r="BM245" s="46"/>
      <c r="BN245" s="256">
        <f ca="1"/>
        <v>0</v>
      </c>
      <c r="BP245" s="248">
        <f ca="1"/>
        <v>0</v>
      </c>
      <c r="BR245" s="248">
        <f ca="1"/>
        <v>0</v>
      </c>
      <c r="BT245" s="248">
        <f ca="1"/>
        <v>0</v>
      </c>
      <c r="BU245" s="248">
        <f ca="1"/>
        <v>0</v>
      </c>
    </row>
    <row r="246" spans="1:73" ht="16" hidden="1" thickTop="1" thickBot="1">
      <c r="A246" s="1"/>
      <c r="B246" s="1">
        <f t="shared" si="7"/>
        <v>0</v>
      </c>
      <c r="D246" s="98"/>
      <c r="E246" s="239"/>
      <c r="F246" s="243"/>
      <c r="G246" s="243"/>
      <c r="H246" s="243"/>
      <c r="I246" s="243"/>
      <c r="J246" s="243"/>
      <c r="K246" s="243"/>
      <c r="L246" s="366"/>
      <c r="M246" s="46"/>
      <c r="N246" s="243"/>
      <c r="O246" s="243"/>
      <c r="P246" s="243"/>
      <c r="Q246" s="243"/>
      <c r="R246" s="243"/>
      <c r="S246" s="243"/>
      <c r="T246" s="243"/>
      <c r="U246" s="243"/>
      <c r="V246" s="243"/>
      <c r="W246" s="243"/>
      <c r="X246" s="256"/>
      <c r="Y246" s="253"/>
      <c r="Z246" s="254"/>
      <c r="AA246" s="254"/>
      <c r="AB246" s="254"/>
      <c r="AC246" s="254"/>
      <c r="AD246" s="254"/>
      <c r="AE246" s="254"/>
      <c r="AF246" s="254"/>
      <c r="AG246" s="254"/>
      <c r="AH246" s="254"/>
      <c r="AI246" s="254"/>
      <c r="AJ246" s="254"/>
      <c r="AK246" s="254"/>
      <c r="AL246" s="254"/>
      <c r="AM246" s="254"/>
      <c r="AN246" s="254"/>
      <c r="AO246" s="254"/>
      <c r="AP246" s="254"/>
      <c r="AQ246" s="254"/>
      <c r="AR246" s="254"/>
      <c r="AS246" s="254"/>
      <c r="AT246" s="254"/>
      <c r="AU246" s="254"/>
      <c r="AV246" s="254"/>
      <c r="AW246" s="254"/>
      <c r="AX246" s="256"/>
      <c r="AZ246" s="254" t="str">
        <f ca="1"/>
        <v/>
      </c>
      <c r="BA246" s="254" t="str">
        <f ca="1"/>
        <v/>
      </c>
      <c r="BB246" s="254" t="str">
        <f ca="1"/>
        <v/>
      </c>
      <c r="BC246" s="254" t="str">
        <f ca="1"/>
        <v/>
      </c>
      <c r="BD246" s="256">
        <f ca="1"/>
        <v>0</v>
      </c>
      <c r="BF246" s="254"/>
      <c r="BG246" s="254"/>
      <c r="BH246" s="254"/>
      <c r="BI246" s="254"/>
      <c r="BJ246" s="243"/>
      <c r="BK246" s="254"/>
      <c r="BL246" s="256"/>
      <c r="BM246" s="46"/>
      <c r="BN246" s="256">
        <f ca="1"/>
        <v>0</v>
      </c>
      <c r="BP246" s="248">
        <f ca="1"/>
        <v>0</v>
      </c>
      <c r="BR246" s="248">
        <f ca="1"/>
        <v>0</v>
      </c>
      <c r="BT246" s="248">
        <f ca="1"/>
        <v>0</v>
      </c>
      <c r="BU246" s="248">
        <f ca="1"/>
        <v>0</v>
      </c>
    </row>
    <row r="247" spans="1:73" ht="16" hidden="1" thickTop="1" thickBot="1">
      <c r="A247" s="1"/>
      <c r="B247" s="1">
        <f t="shared" si="7"/>
        <v>0</v>
      </c>
      <c r="D247" s="98"/>
      <c r="E247" s="239"/>
      <c r="F247" s="243"/>
      <c r="G247" s="243"/>
      <c r="H247" s="243"/>
      <c r="I247" s="243"/>
      <c r="J247" s="243"/>
      <c r="K247" s="243"/>
      <c r="L247" s="366"/>
      <c r="M247" s="46"/>
      <c r="N247" s="243"/>
      <c r="O247" s="243"/>
      <c r="P247" s="243"/>
      <c r="Q247" s="243"/>
      <c r="R247" s="243"/>
      <c r="S247" s="243"/>
      <c r="T247" s="243"/>
      <c r="U247" s="243"/>
      <c r="V247" s="243"/>
      <c r="W247" s="243"/>
      <c r="X247" s="256"/>
      <c r="Y247" s="253"/>
      <c r="Z247" s="254"/>
      <c r="AA247" s="254"/>
      <c r="AB247" s="254"/>
      <c r="AC247" s="254"/>
      <c r="AD247" s="254"/>
      <c r="AE247" s="254"/>
      <c r="AF247" s="254"/>
      <c r="AG247" s="254"/>
      <c r="AH247" s="254"/>
      <c r="AI247" s="254"/>
      <c r="AJ247" s="254"/>
      <c r="AK247" s="254"/>
      <c r="AL247" s="254"/>
      <c r="AM247" s="254"/>
      <c r="AN247" s="254"/>
      <c r="AO247" s="254"/>
      <c r="AP247" s="254"/>
      <c r="AQ247" s="254"/>
      <c r="AR247" s="254"/>
      <c r="AS247" s="254"/>
      <c r="AT247" s="254"/>
      <c r="AU247" s="254"/>
      <c r="AV247" s="254"/>
      <c r="AW247" s="254"/>
      <c r="AX247" s="256"/>
      <c r="AZ247" s="254" t="str">
        <f ca="1"/>
        <v/>
      </c>
      <c r="BA247" s="254" t="str">
        <f ca="1"/>
        <v/>
      </c>
      <c r="BB247" s="254" t="str">
        <f ca="1"/>
        <v/>
      </c>
      <c r="BC247" s="254" t="str">
        <f ca="1"/>
        <v/>
      </c>
      <c r="BD247" s="256">
        <f ca="1"/>
        <v>0</v>
      </c>
      <c r="BF247" s="254"/>
      <c r="BG247" s="254"/>
      <c r="BH247" s="254"/>
      <c r="BI247" s="254"/>
      <c r="BJ247" s="243"/>
      <c r="BK247" s="254"/>
      <c r="BL247" s="256"/>
      <c r="BM247" s="46"/>
      <c r="BN247" s="256">
        <f ca="1"/>
        <v>0</v>
      </c>
      <c r="BP247" s="248">
        <f ca="1"/>
        <v>0</v>
      </c>
      <c r="BR247" s="248">
        <f ca="1"/>
        <v>0</v>
      </c>
      <c r="BT247" s="248">
        <f ca="1"/>
        <v>0</v>
      </c>
      <c r="BU247" s="248">
        <f ca="1"/>
        <v>0</v>
      </c>
    </row>
    <row r="248" spans="1:73" ht="16" hidden="1" thickTop="1" thickBot="1">
      <c r="A248" s="1"/>
      <c r="B248" s="1">
        <f t="shared" si="7"/>
        <v>0</v>
      </c>
      <c r="D248" s="98"/>
      <c r="E248" s="239"/>
      <c r="F248" s="243"/>
      <c r="G248" s="243"/>
      <c r="H248" s="243"/>
      <c r="I248" s="243"/>
      <c r="J248" s="243"/>
      <c r="K248" s="243"/>
      <c r="L248" s="366"/>
      <c r="M248" s="46"/>
      <c r="N248" s="243"/>
      <c r="O248" s="243"/>
      <c r="P248" s="243"/>
      <c r="Q248" s="243"/>
      <c r="R248" s="243"/>
      <c r="S248" s="243"/>
      <c r="T248" s="243"/>
      <c r="U248" s="243"/>
      <c r="V248" s="243"/>
      <c r="W248" s="243"/>
      <c r="X248" s="256"/>
      <c r="Y248" s="253"/>
      <c r="Z248" s="254"/>
      <c r="AA248" s="254"/>
      <c r="AB248" s="254"/>
      <c r="AC248" s="254"/>
      <c r="AD248" s="254"/>
      <c r="AE248" s="254"/>
      <c r="AF248" s="254"/>
      <c r="AG248" s="254"/>
      <c r="AH248" s="254"/>
      <c r="AI248" s="254"/>
      <c r="AJ248" s="254"/>
      <c r="AK248" s="254"/>
      <c r="AL248" s="254"/>
      <c r="AM248" s="254"/>
      <c r="AN248" s="254"/>
      <c r="AO248" s="254"/>
      <c r="AP248" s="254"/>
      <c r="AQ248" s="254"/>
      <c r="AR248" s="254"/>
      <c r="AS248" s="254"/>
      <c r="AT248" s="254"/>
      <c r="AU248" s="254"/>
      <c r="AV248" s="254"/>
      <c r="AW248" s="254"/>
      <c r="AX248" s="256"/>
      <c r="AZ248" s="254" t="str">
        <f ca="1"/>
        <v/>
      </c>
      <c r="BA248" s="254" t="str">
        <f ca="1"/>
        <v/>
      </c>
      <c r="BB248" s="254" t="str">
        <f ca="1"/>
        <v/>
      </c>
      <c r="BC248" s="254" t="str">
        <f ca="1"/>
        <v/>
      </c>
      <c r="BD248" s="256">
        <f ca="1"/>
        <v>0</v>
      </c>
      <c r="BF248" s="254"/>
      <c r="BG248" s="254"/>
      <c r="BH248" s="254"/>
      <c r="BI248" s="254"/>
      <c r="BJ248" s="243"/>
      <c r="BK248" s="254"/>
      <c r="BL248" s="256"/>
      <c r="BM248" s="46"/>
      <c r="BN248" s="256">
        <f ca="1"/>
        <v>0</v>
      </c>
      <c r="BP248" s="248">
        <f ca="1"/>
        <v>0</v>
      </c>
      <c r="BR248" s="248">
        <f ca="1"/>
        <v>0</v>
      </c>
      <c r="BT248" s="248">
        <f ca="1"/>
        <v>0</v>
      </c>
      <c r="BU248" s="248">
        <f ca="1"/>
        <v>0</v>
      </c>
    </row>
    <row r="249" spans="1:73" ht="16" hidden="1" thickTop="1" thickBot="1">
      <c r="A249" s="1"/>
      <c r="B249" s="1">
        <f t="shared" si="7"/>
        <v>0</v>
      </c>
      <c r="D249" s="98"/>
      <c r="E249" s="239"/>
      <c r="F249" s="243"/>
      <c r="G249" s="243"/>
      <c r="H249" s="243"/>
      <c r="I249" s="243"/>
      <c r="J249" s="243"/>
      <c r="K249" s="243"/>
      <c r="L249" s="366"/>
      <c r="M249" s="46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56"/>
      <c r="Y249" s="253"/>
      <c r="Z249" s="254"/>
      <c r="AA249" s="254"/>
      <c r="AB249" s="254"/>
      <c r="AC249" s="254"/>
      <c r="AD249" s="254"/>
      <c r="AE249" s="254"/>
      <c r="AF249" s="254"/>
      <c r="AG249" s="254"/>
      <c r="AH249" s="254"/>
      <c r="AI249" s="254"/>
      <c r="AJ249" s="254"/>
      <c r="AK249" s="254"/>
      <c r="AL249" s="254"/>
      <c r="AM249" s="254"/>
      <c r="AN249" s="254"/>
      <c r="AO249" s="254"/>
      <c r="AP249" s="254"/>
      <c r="AQ249" s="254"/>
      <c r="AR249" s="254"/>
      <c r="AS249" s="254"/>
      <c r="AT249" s="254"/>
      <c r="AU249" s="254"/>
      <c r="AV249" s="254"/>
      <c r="AW249" s="254"/>
      <c r="AX249" s="256"/>
      <c r="AZ249" s="254" t="str">
        <f ca="1"/>
        <v/>
      </c>
      <c r="BA249" s="254" t="str">
        <f ca="1"/>
        <v/>
      </c>
      <c r="BB249" s="254" t="str">
        <f ca="1"/>
        <v/>
      </c>
      <c r="BC249" s="254" t="str">
        <f ca="1"/>
        <v/>
      </c>
      <c r="BD249" s="256">
        <f ca="1"/>
        <v>0</v>
      </c>
      <c r="BF249" s="254"/>
      <c r="BG249" s="254"/>
      <c r="BH249" s="254"/>
      <c r="BI249" s="254"/>
      <c r="BJ249" s="243"/>
      <c r="BK249" s="254"/>
      <c r="BL249" s="256"/>
      <c r="BM249" s="46"/>
      <c r="BN249" s="256">
        <f ca="1"/>
        <v>0</v>
      </c>
      <c r="BP249" s="248">
        <f ca="1"/>
        <v>0</v>
      </c>
      <c r="BR249" s="248">
        <f ca="1"/>
        <v>0</v>
      </c>
      <c r="BT249" s="248">
        <f ca="1"/>
        <v>0</v>
      </c>
      <c r="BU249" s="248">
        <f ca="1"/>
        <v>0</v>
      </c>
    </row>
    <row r="250" spans="1:73" ht="16" hidden="1" thickTop="1" thickBot="1">
      <c r="A250" s="1"/>
      <c r="B250" s="1">
        <f t="shared" si="7"/>
        <v>0</v>
      </c>
      <c r="D250" s="98"/>
      <c r="E250" s="239"/>
      <c r="F250" s="243"/>
      <c r="G250" s="243"/>
      <c r="H250" s="243"/>
      <c r="I250" s="243"/>
      <c r="J250" s="243"/>
      <c r="K250" s="243"/>
      <c r="L250" s="366"/>
      <c r="M250" s="46"/>
      <c r="N250" s="243"/>
      <c r="O250" s="243"/>
      <c r="P250" s="243"/>
      <c r="Q250" s="243"/>
      <c r="R250" s="243"/>
      <c r="S250" s="243"/>
      <c r="T250" s="243"/>
      <c r="U250" s="243"/>
      <c r="V250" s="243"/>
      <c r="W250" s="243"/>
      <c r="X250" s="256"/>
      <c r="Y250" s="253"/>
      <c r="Z250" s="254"/>
      <c r="AA250" s="254"/>
      <c r="AB250" s="254"/>
      <c r="AC250" s="254"/>
      <c r="AD250" s="254"/>
      <c r="AE250" s="254"/>
      <c r="AF250" s="254"/>
      <c r="AG250" s="254"/>
      <c r="AH250" s="254"/>
      <c r="AI250" s="254"/>
      <c r="AJ250" s="254"/>
      <c r="AK250" s="254"/>
      <c r="AL250" s="254"/>
      <c r="AM250" s="254"/>
      <c r="AN250" s="254"/>
      <c r="AO250" s="254"/>
      <c r="AP250" s="254"/>
      <c r="AQ250" s="254"/>
      <c r="AR250" s="254"/>
      <c r="AS250" s="254"/>
      <c r="AT250" s="254"/>
      <c r="AU250" s="254"/>
      <c r="AV250" s="254"/>
      <c r="AW250" s="254"/>
      <c r="AX250" s="256"/>
      <c r="AZ250" s="254" t="str">
        <f ca="1"/>
        <v/>
      </c>
      <c r="BA250" s="254" t="str">
        <f ca="1"/>
        <v/>
      </c>
      <c r="BB250" s="254" t="str">
        <f ca="1"/>
        <v/>
      </c>
      <c r="BC250" s="254" t="str">
        <f ca="1"/>
        <v/>
      </c>
      <c r="BD250" s="256">
        <f ca="1"/>
        <v>0</v>
      </c>
      <c r="BF250" s="254"/>
      <c r="BG250" s="254"/>
      <c r="BH250" s="254"/>
      <c r="BI250" s="254"/>
      <c r="BJ250" s="243"/>
      <c r="BK250" s="254"/>
      <c r="BL250" s="256"/>
      <c r="BM250" s="46"/>
      <c r="BN250" s="256">
        <f ca="1"/>
        <v>0</v>
      </c>
      <c r="BP250" s="248">
        <f ca="1"/>
        <v>0</v>
      </c>
      <c r="BR250" s="248">
        <f ca="1"/>
        <v>0</v>
      </c>
      <c r="BT250" s="248">
        <f ca="1"/>
        <v>0</v>
      </c>
      <c r="BU250" s="248">
        <f ca="1"/>
        <v>0</v>
      </c>
    </row>
    <row r="251" spans="1:73" ht="16" hidden="1" thickTop="1" thickBot="1">
      <c r="A251" s="1"/>
      <c r="B251" s="1">
        <f t="shared" si="7"/>
        <v>0</v>
      </c>
      <c r="D251" s="98"/>
      <c r="E251" s="239"/>
      <c r="F251" s="243"/>
      <c r="G251" s="243"/>
      <c r="H251" s="243"/>
      <c r="I251" s="243"/>
      <c r="J251" s="243"/>
      <c r="K251" s="243"/>
      <c r="L251" s="366"/>
      <c r="M251" s="46"/>
      <c r="N251" s="243"/>
      <c r="O251" s="243"/>
      <c r="P251" s="243"/>
      <c r="Q251" s="243"/>
      <c r="R251" s="243"/>
      <c r="S251" s="243"/>
      <c r="T251" s="243"/>
      <c r="U251" s="243"/>
      <c r="V251" s="243"/>
      <c r="W251" s="243"/>
      <c r="X251" s="256"/>
      <c r="Y251" s="253"/>
      <c r="Z251" s="254"/>
      <c r="AA251" s="254"/>
      <c r="AB251" s="254"/>
      <c r="AC251" s="254"/>
      <c r="AD251" s="254"/>
      <c r="AE251" s="254"/>
      <c r="AF251" s="254"/>
      <c r="AG251" s="254"/>
      <c r="AH251" s="254"/>
      <c r="AI251" s="254"/>
      <c r="AJ251" s="254"/>
      <c r="AK251" s="254"/>
      <c r="AL251" s="254"/>
      <c r="AM251" s="254"/>
      <c r="AN251" s="254"/>
      <c r="AO251" s="254"/>
      <c r="AP251" s="254"/>
      <c r="AQ251" s="254"/>
      <c r="AR251" s="254"/>
      <c r="AS251" s="254"/>
      <c r="AT251" s="254"/>
      <c r="AU251" s="254"/>
      <c r="AV251" s="254"/>
      <c r="AW251" s="254"/>
      <c r="AX251" s="256"/>
      <c r="AZ251" s="254" t="str">
        <f ca="1"/>
        <v/>
      </c>
      <c r="BA251" s="254" t="str">
        <f ca="1"/>
        <v/>
      </c>
      <c r="BB251" s="254" t="str">
        <f ca="1"/>
        <v/>
      </c>
      <c r="BC251" s="254" t="str">
        <f ca="1"/>
        <v/>
      </c>
      <c r="BD251" s="256">
        <f ca="1"/>
        <v>0</v>
      </c>
      <c r="BF251" s="254"/>
      <c r="BG251" s="254"/>
      <c r="BH251" s="254"/>
      <c r="BI251" s="254"/>
      <c r="BJ251" s="243"/>
      <c r="BK251" s="254"/>
      <c r="BL251" s="256"/>
      <c r="BM251" s="46"/>
      <c r="BN251" s="256">
        <f ca="1"/>
        <v>0</v>
      </c>
      <c r="BP251" s="248">
        <f ca="1"/>
        <v>0</v>
      </c>
      <c r="BR251" s="248">
        <f ca="1"/>
        <v>0</v>
      </c>
      <c r="BT251" s="248">
        <f ca="1"/>
        <v>0</v>
      </c>
      <c r="BU251" s="248">
        <f ca="1"/>
        <v>0</v>
      </c>
    </row>
    <row r="252" spans="1:73" ht="16" hidden="1" thickTop="1" thickBot="1">
      <c r="A252" s="1"/>
      <c r="B252" s="1">
        <f t="shared" si="7"/>
        <v>0</v>
      </c>
      <c r="D252" s="98"/>
      <c r="E252" s="239"/>
      <c r="F252" s="243"/>
      <c r="G252" s="243"/>
      <c r="H252" s="243"/>
      <c r="I252" s="243"/>
      <c r="J252" s="243"/>
      <c r="K252" s="243"/>
      <c r="L252" s="366"/>
      <c r="M252" s="46"/>
      <c r="N252" s="243"/>
      <c r="O252" s="243"/>
      <c r="P252" s="243"/>
      <c r="Q252" s="243"/>
      <c r="R252" s="243"/>
      <c r="S252" s="243"/>
      <c r="T252" s="243"/>
      <c r="U252" s="243"/>
      <c r="V252" s="243"/>
      <c r="W252" s="243"/>
      <c r="X252" s="256"/>
      <c r="Y252" s="253"/>
      <c r="Z252" s="254"/>
      <c r="AA252" s="254"/>
      <c r="AB252" s="254"/>
      <c r="AC252" s="254"/>
      <c r="AD252" s="254"/>
      <c r="AE252" s="254"/>
      <c r="AF252" s="254"/>
      <c r="AG252" s="254"/>
      <c r="AH252" s="254"/>
      <c r="AI252" s="254"/>
      <c r="AJ252" s="254"/>
      <c r="AK252" s="254"/>
      <c r="AL252" s="254"/>
      <c r="AM252" s="254"/>
      <c r="AN252" s="254"/>
      <c r="AO252" s="254"/>
      <c r="AP252" s="254"/>
      <c r="AQ252" s="254"/>
      <c r="AR252" s="254"/>
      <c r="AS252" s="254"/>
      <c r="AT252" s="254"/>
      <c r="AU252" s="254"/>
      <c r="AV252" s="254"/>
      <c r="AW252" s="254"/>
      <c r="AX252" s="256"/>
      <c r="AZ252" s="254" t="str">
        <f ca="1"/>
        <v/>
      </c>
      <c r="BA252" s="254" t="str">
        <f ca="1"/>
        <v/>
      </c>
      <c r="BB252" s="254" t="str">
        <f ca="1"/>
        <v/>
      </c>
      <c r="BC252" s="254" t="str">
        <f ca="1"/>
        <v/>
      </c>
      <c r="BD252" s="256">
        <f ca="1"/>
        <v>0</v>
      </c>
      <c r="BF252" s="254"/>
      <c r="BG252" s="254"/>
      <c r="BH252" s="254"/>
      <c r="BI252" s="254"/>
      <c r="BJ252" s="243"/>
      <c r="BK252" s="254"/>
      <c r="BL252" s="256"/>
      <c r="BM252" s="46"/>
      <c r="BN252" s="256">
        <f ca="1"/>
        <v>0</v>
      </c>
      <c r="BP252" s="248">
        <f ca="1"/>
        <v>0</v>
      </c>
      <c r="BR252" s="248">
        <f ca="1"/>
        <v>0</v>
      </c>
      <c r="BT252" s="248">
        <f ca="1"/>
        <v>0</v>
      </c>
      <c r="BU252" s="248">
        <f ca="1"/>
        <v>0</v>
      </c>
    </row>
    <row r="253" spans="1:73" ht="16" hidden="1" thickTop="1" thickBot="1">
      <c r="A253" s="1"/>
      <c r="B253" s="1">
        <f t="shared" si="7"/>
        <v>0</v>
      </c>
      <c r="D253" s="98"/>
      <c r="E253" s="239"/>
      <c r="F253" s="243"/>
      <c r="G253" s="243"/>
      <c r="H253" s="243"/>
      <c r="I253" s="243"/>
      <c r="J253" s="243"/>
      <c r="K253" s="243"/>
      <c r="L253" s="366"/>
      <c r="M253" s="46"/>
      <c r="N253" s="243"/>
      <c r="O253" s="243"/>
      <c r="P253" s="243"/>
      <c r="Q253" s="243"/>
      <c r="R253" s="243"/>
      <c r="S253" s="243"/>
      <c r="T253" s="243"/>
      <c r="U253" s="243"/>
      <c r="V253" s="243"/>
      <c r="W253" s="243"/>
      <c r="X253" s="256"/>
      <c r="Y253" s="253"/>
      <c r="Z253" s="254"/>
      <c r="AA253" s="254"/>
      <c r="AB253" s="254"/>
      <c r="AC253" s="254"/>
      <c r="AD253" s="254"/>
      <c r="AE253" s="254"/>
      <c r="AF253" s="254"/>
      <c r="AG253" s="254"/>
      <c r="AH253" s="254"/>
      <c r="AI253" s="254"/>
      <c r="AJ253" s="254"/>
      <c r="AK253" s="254"/>
      <c r="AL253" s="254"/>
      <c r="AM253" s="254"/>
      <c r="AN253" s="254"/>
      <c r="AO253" s="254"/>
      <c r="AP253" s="254"/>
      <c r="AQ253" s="254"/>
      <c r="AR253" s="254"/>
      <c r="AS253" s="254"/>
      <c r="AT253" s="254"/>
      <c r="AU253" s="254"/>
      <c r="AV253" s="254"/>
      <c r="AW253" s="254"/>
      <c r="AX253" s="256"/>
      <c r="AZ253" s="254" t="str">
        <f ca="1"/>
        <v/>
      </c>
      <c r="BA253" s="254" t="str">
        <f ca="1"/>
        <v/>
      </c>
      <c r="BB253" s="254" t="str">
        <f ca="1"/>
        <v/>
      </c>
      <c r="BC253" s="254" t="str">
        <f ca="1"/>
        <v/>
      </c>
      <c r="BD253" s="256">
        <f ca="1"/>
        <v>0</v>
      </c>
      <c r="BF253" s="254"/>
      <c r="BG253" s="254"/>
      <c r="BH253" s="254"/>
      <c r="BI253" s="254"/>
      <c r="BJ253" s="243"/>
      <c r="BK253" s="254"/>
      <c r="BL253" s="256"/>
      <c r="BM253" s="46"/>
      <c r="BN253" s="256">
        <f ca="1"/>
        <v>0</v>
      </c>
      <c r="BP253" s="248">
        <f ca="1"/>
        <v>0</v>
      </c>
      <c r="BR253" s="248">
        <f ca="1"/>
        <v>0</v>
      </c>
      <c r="BT253" s="248">
        <f ca="1"/>
        <v>0</v>
      </c>
      <c r="BU253" s="248">
        <f ca="1"/>
        <v>0</v>
      </c>
    </row>
    <row r="254" spans="1:73" ht="16" hidden="1" thickTop="1" thickBot="1">
      <c r="A254" s="1"/>
      <c r="B254" s="1">
        <f t="shared" si="7"/>
        <v>0</v>
      </c>
      <c r="D254" s="98"/>
      <c r="E254" s="239"/>
      <c r="F254" s="243"/>
      <c r="G254" s="243"/>
      <c r="H254" s="243"/>
      <c r="I254" s="243"/>
      <c r="J254" s="243"/>
      <c r="K254" s="243"/>
      <c r="L254" s="366"/>
      <c r="M254" s="46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56"/>
      <c r="Y254" s="253"/>
      <c r="Z254" s="254"/>
      <c r="AA254" s="254"/>
      <c r="AB254" s="254"/>
      <c r="AC254" s="254"/>
      <c r="AD254" s="254"/>
      <c r="AE254" s="254"/>
      <c r="AF254" s="254"/>
      <c r="AG254" s="254"/>
      <c r="AH254" s="254"/>
      <c r="AI254" s="254"/>
      <c r="AJ254" s="254"/>
      <c r="AK254" s="254"/>
      <c r="AL254" s="254"/>
      <c r="AM254" s="254"/>
      <c r="AN254" s="254"/>
      <c r="AO254" s="254"/>
      <c r="AP254" s="254"/>
      <c r="AQ254" s="254"/>
      <c r="AR254" s="254"/>
      <c r="AS254" s="254"/>
      <c r="AT254" s="254"/>
      <c r="AU254" s="254"/>
      <c r="AV254" s="254"/>
      <c r="AW254" s="254"/>
      <c r="AX254" s="256"/>
      <c r="AZ254" s="254" t="str">
        <f ca="1"/>
        <v/>
      </c>
      <c r="BA254" s="254" t="str">
        <f ca="1"/>
        <v/>
      </c>
      <c r="BB254" s="254" t="str">
        <f ca="1"/>
        <v/>
      </c>
      <c r="BC254" s="254" t="str">
        <f ca="1"/>
        <v/>
      </c>
      <c r="BD254" s="256">
        <f ca="1"/>
        <v>0</v>
      </c>
      <c r="BF254" s="254"/>
      <c r="BG254" s="254"/>
      <c r="BH254" s="254"/>
      <c r="BI254" s="254"/>
      <c r="BJ254" s="243"/>
      <c r="BK254" s="254"/>
      <c r="BL254" s="256"/>
      <c r="BM254" s="46"/>
      <c r="BN254" s="256">
        <f ca="1"/>
        <v>0</v>
      </c>
      <c r="BP254" s="248">
        <f ca="1"/>
        <v>0</v>
      </c>
      <c r="BR254" s="248">
        <f ca="1"/>
        <v>0</v>
      </c>
      <c r="BT254" s="248">
        <f ca="1"/>
        <v>0</v>
      </c>
      <c r="BU254" s="248">
        <f ca="1"/>
        <v>0</v>
      </c>
    </row>
    <row r="255" spans="1:73" ht="16" hidden="1" thickTop="1" thickBot="1">
      <c r="A255" s="1"/>
      <c r="B255" s="1">
        <f t="shared" si="7"/>
        <v>0</v>
      </c>
      <c r="D255" s="98"/>
      <c r="E255" s="239"/>
      <c r="F255" s="243"/>
      <c r="G255" s="243"/>
      <c r="H255" s="243"/>
      <c r="I255" s="243"/>
      <c r="J255" s="243"/>
      <c r="K255" s="243"/>
      <c r="L255" s="366"/>
      <c r="M255" s="46"/>
      <c r="N255" s="243"/>
      <c r="O255" s="243"/>
      <c r="P255" s="243"/>
      <c r="Q255" s="243"/>
      <c r="R255" s="243"/>
      <c r="S255" s="243"/>
      <c r="T255" s="243"/>
      <c r="U255" s="243"/>
      <c r="V255" s="243"/>
      <c r="W255" s="243"/>
      <c r="X255" s="256"/>
      <c r="Y255" s="253"/>
      <c r="Z255" s="254"/>
      <c r="AA255" s="254"/>
      <c r="AB255" s="254"/>
      <c r="AC255" s="254"/>
      <c r="AD255" s="254"/>
      <c r="AE255" s="254"/>
      <c r="AF255" s="254"/>
      <c r="AG255" s="254"/>
      <c r="AH255" s="254"/>
      <c r="AI255" s="254"/>
      <c r="AJ255" s="254"/>
      <c r="AK255" s="254"/>
      <c r="AL255" s="254"/>
      <c r="AM255" s="254"/>
      <c r="AN255" s="254"/>
      <c r="AO255" s="254"/>
      <c r="AP255" s="254"/>
      <c r="AQ255" s="254"/>
      <c r="AR255" s="254"/>
      <c r="AS255" s="254"/>
      <c r="AT255" s="254"/>
      <c r="AU255" s="254"/>
      <c r="AV255" s="254"/>
      <c r="AW255" s="254"/>
      <c r="AX255" s="256"/>
      <c r="AZ255" s="254" t="str">
        <f ca="1"/>
        <v/>
      </c>
      <c r="BA255" s="254" t="str">
        <f ca="1"/>
        <v/>
      </c>
      <c r="BB255" s="254" t="str">
        <f ca="1"/>
        <v/>
      </c>
      <c r="BC255" s="254" t="str">
        <f ca="1"/>
        <v/>
      </c>
      <c r="BD255" s="256">
        <f ca="1"/>
        <v>0</v>
      </c>
      <c r="BF255" s="254"/>
      <c r="BG255" s="254"/>
      <c r="BH255" s="254"/>
      <c r="BI255" s="254"/>
      <c r="BJ255" s="243"/>
      <c r="BK255" s="254"/>
      <c r="BL255" s="256"/>
      <c r="BM255" s="46"/>
      <c r="BN255" s="256">
        <f ca="1"/>
        <v>0</v>
      </c>
      <c r="BP255" s="248">
        <f ca="1"/>
        <v>0</v>
      </c>
      <c r="BR255" s="248">
        <f ca="1"/>
        <v>0</v>
      </c>
      <c r="BT255" s="248">
        <f ca="1"/>
        <v>0</v>
      </c>
      <c r="BU255" s="248">
        <f ca="1"/>
        <v>0</v>
      </c>
    </row>
    <row r="256" spans="1:73" ht="16" hidden="1" thickTop="1" thickBot="1">
      <c r="A256" s="1"/>
      <c r="B256" s="1">
        <f t="shared" si="7"/>
        <v>0</v>
      </c>
      <c r="D256" s="98"/>
      <c r="E256" s="239"/>
      <c r="F256" s="243"/>
      <c r="G256" s="243"/>
      <c r="H256" s="243"/>
      <c r="I256" s="243"/>
      <c r="J256" s="243"/>
      <c r="K256" s="243"/>
      <c r="L256" s="366"/>
      <c r="M256" s="46"/>
      <c r="N256" s="243"/>
      <c r="O256" s="243"/>
      <c r="P256" s="243"/>
      <c r="Q256" s="243"/>
      <c r="R256" s="243"/>
      <c r="S256" s="243"/>
      <c r="T256" s="243"/>
      <c r="U256" s="243"/>
      <c r="V256" s="243"/>
      <c r="W256" s="243"/>
      <c r="X256" s="256"/>
      <c r="Y256" s="253"/>
      <c r="Z256" s="254"/>
      <c r="AA256" s="254"/>
      <c r="AB256" s="254"/>
      <c r="AC256" s="254"/>
      <c r="AD256" s="254"/>
      <c r="AE256" s="254"/>
      <c r="AF256" s="254"/>
      <c r="AG256" s="254"/>
      <c r="AH256" s="254"/>
      <c r="AI256" s="254"/>
      <c r="AJ256" s="254"/>
      <c r="AK256" s="254"/>
      <c r="AL256" s="254"/>
      <c r="AM256" s="254"/>
      <c r="AN256" s="254"/>
      <c r="AO256" s="254"/>
      <c r="AP256" s="254"/>
      <c r="AQ256" s="254"/>
      <c r="AR256" s="254"/>
      <c r="AS256" s="254"/>
      <c r="AT256" s="254"/>
      <c r="AU256" s="254"/>
      <c r="AV256" s="254"/>
      <c r="AW256" s="254"/>
      <c r="AX256" s="256"/>
      <c r="AZ256" s="254" t="str">
        <f ca="1"/>
        <v/>
      </c>
      <c r="BA256" s="254" t="str">
        <f ca="1"/>
        <v/>
      </c>
      <c r="BB256" s="254" t="str">
        <f ca="1"/>
        <v/>
      </c>
      <c r="BC256" s="254" t="str">
        <f ca="1"/>
        <v/>
      </c>
      <c r="BD256" s="256">
        <f ca="1"/>
        <v>0</v>
      </c>
      <c r="BF256" s="254"/>
      <c r="BG256" s="254"/>
      <c r="BH256" s="254"/>
      <c r="BI256" s="254"/>
      <c r="BJ256" s="243"/>
      <c r="BK256" s="254"/>
      <c r="BL256" s="256"/>
      <c r="BM256" s="46"/>
      <c r="BN256" s="256">
        <f ca="1"/>
        <v>0</v>
      </c>
      <c r="BP256" s="248">
        <f ca="1"/>
        <v>0</v>
      </c>
      <c r="BR256" s="248">
        <f ca="1"/>
        <v>0</v>
      </c>
      <c r="BT256" s="248">
        <f ca="1"/>
        <v>0</v>
      </c>
      <c r="BU256" s="248">
        <f ca="1"/>
        <v>0</v>
      </c>
    </row>
    <row r="257" spans="1:73" ht="16" hidden="1" thickTop="1" thickBot="1">
      <c r="A257" s="1"/>
      <c r="B257" s="1">
        <f t="shared" si="7"/>
        <v>0</v>
      </c>
      <c r="D257" s="98"/>
      <c r="E257" s="239"/>
      <c r="F257" s="243"/>
      <c r="G257" s="243"/>
      <c r="H257" s="243"/>
      <c r="I257" s="243"/>
      <c r="J257" s="243"/>
      <c r="K257" s="243"/>
      <c r="L257" s="366"/>
      <c r="M257" s="46"/>
      <c r="N257" s="243"/>
      <c r="O257" s="243"/>
      <c r="P257" s="243"/>
      <c r="Q257" s="243"/>
      <c r="R257" s="243"/>
      <c r="S257" s="243"/>
      <c r="T257" s="243"/>
      <c r="U257" s="243"/>
      <c r="V257" s="243"/>
      <c r="W257" s="243"/>
      <c r="X257" s="256"/>
      <c r="Y257" s="253"/>
      <c r="Z257" s="254"/>
      <c r="AA257" s="254"/>
      <c r="AB257" s="254"/>
      <c r="AC257" s="254"/>
      <c r="AD257" s="254"/>
      <c r="AE257" s="254"/>
      <c r="AF257" s="254"/>
      <c r="AG257" s="254"/>
      <c r="AH257" s="254"/>
      <c r="AI257" s="254"/>
      <c r="AJ257" s="254"/>
      <c r="AK257" s="254"/>
      <c r="AL257" s="254"/>
      <c r="AM257" s="254"/>
      <c r="AN257" s="254"/>
      <c r="AO257" s="254"/>
      <c r="AP257" s="254"/>
      <c r="AQ257" s="254"/>
      <c r="AR257" s="254"/>
      <c r="AS257" s="254"/>
      <c r="AT257" s="254"/>
      <c r="AU257" s="254"/>
      <c r="AV257" s="254"/>
      <c r="AW257" s="254"/>
      <c r="AX257" s="256"/>
      <c r="AZ257" s="254" t="str">
        <f ca="1"/>
        <v/>
      </c>
      <c r="BA257" s="254" t="str">
        <f ca="1"/>
        <v/>
      </c>
      <c r="BB257" s="254" t="str">
        <f ca="1"/>
        <v/>
      </c>
      <c r="BC257" s="254" t="str">
        <f ca="1"/>
        <v/>
      </c>
      <c r="BD257" s="256">
        <f ca="1"/>
        <v>0</v>
      </c>
      <c r="BF257" s="254"/>
      <c r="BG257" s="254"/>
      <c r="BH257" s="254"/>
      <c r="BI257" s="254"/>
      <c r="BJ257" s="243"/>
      <c r="BK257" s="254"/>
      <c r="BL257" s="256"/>
      <c r="BM257" s="46"/>
      <c r="BN257" s="256">
        <f ca="1"/>
        <v>0</v>
      </c>
      <c r="BP257" s="248">
        <f ca="1"/>
        <v>0</v>
      </c>
      <c r="BR257" s="248">
        <f ca="1"/>
        <v>0</v>
      </c>
      <c r="BT257" s="248">
        <f ca="1"/>
        <v>0</v>
      </c>
      <c r="BU257" s="248">
        <f ca="1"/>
        <v>0</v>
      </c>
    </row>
    <row r="258" spans="1:73" ht="16" hidden="1" thickTop="1" thickBot="1">
      <c r="A258" s="1"/>
      <c r="B258" s="1">
        <f t="shared" si="7"/>
        <v>0</v>
      </c>
      <c r="D258" s="98"/>
      <c r="E258" s="239"/>
      <c r="F258" s="243"/>
      <c r="G258" s="243"/>
      <c r="H258" s="243"/>
      <c r="I258" s="243"/>
      <c r="J258" s="243"/>
      <c r="K258" s="243"/>
      <c r="L258" s="366"/>
      <c r="M258" s="46"/>
      <c r="N258" s="243"/>
      <c r="O258" s="243"/>
      <c r="P258" s="243"/>
      <c r="Q258" s="243"/>
      <c r="R258" s="243"/>
      <c r="S258" s="243"/>
      <c r="T258" s="243"/>
      <c r="U258" s="243"/>
      <c r="V258" s="243"/>
      <c r="W258" s="243"/>
      <c r="X258" s="256"/>
      <c r="Y258" s="253"/>
      <c r="Z258" s="254"/>
      <c r="AA258" s="254"/>
      <c r="AB258" s="254"/>
      <c r="AC258" s="254"/>
      <c r="AD258" s="254"/>
      <c r="AE258" s="254"/>
      <c r="AF258" s="254"/>
      <c r="AG258" s="254"/>
      <c r="AH258" s="254"/>
      <c r="AI258" s="254"/>
      <c r="AJ258" s="254"/>
      <c r="AK258" s="254"/>
      <c r="AL258" s="254"/>
      <c r="AM258" s="254"/>
      <c r="AN258" s="254"/>
      <c r="AO258" s="254"/>
      <c r="AP258" s="254"/>
      <c r="AQ258" s="254"/>
      <c r="AR258" s="254"/>
      <c r="AS258" s="254"/>
      <c r="AT258" s="254"/>
      <c r="AU258" s="254"/>
      <c r="AV258" s="254"/>
      <c r="AW258" s="254"/>
      <c r="AX258" s="256"/>
      <c r="AZ258" s="254" t="str">
        <f ca="1"/>
        <v/>
      </c>
      <c r="BA258" s="254" t="str">
        <f ca="1"/>
        <v/>
      </c>
      <c r="BB258" s="254" t="str">
        <f ca="1"/>
        <v/>
      </c>
      <c r="BC258" s="254" t="str">
        <f ca="1"/>
        <v/>
      </c>
      <c r="BD258" s="256">
        <f ca="1"/>
        <v>0</v>
      </c>
      <c r="BF258" s="254"/>
      <c r="BG258" s="254"/>
      <c r="BH258" s="254"/>
      <c r="BI258" s="254"/>
      <c r="BJ258" s="243"/>
      <c r="BK258" s="254"/>
      <c r="BL258" s="256"/>
      <c r="BM258" s="46"/>
      <c r="BN258" s="256">
        <f ca="1"/>
        <v>0</v>
      </c>
      <c r="BP258" s="248">
        <f ca="1"/>
        <v>0</v>
      </c>
      <c r="BR258" s="248">
        <f ca="1"/>
        <v>0</v>
      </c>
      <c r="BT258" s="248">
        <f ca="1"/>
        <v>0</v>
      </c>
      <c r="BU258" s="248">
        <f ca="1"/>
        <v>0</v>
      </c>
    </row>
    <row r="259" spans="1:73" ht="16" hidden="1" thickTop="1" thickBot="1">
      <c r="A259" s="1"/>
      <c r="B259" s="1">
        <f t="shared" si="7"/>
        <v>0</v>
      </c>
      <c r="D259" s="98"/>
      <c r="E259" s="239"/>
      <c r="F259" s="243"/>
      <c r="G259" s="243"/>
      <c r="H259" s="243"/>
      <c r="I259" s="243"/>
      <c r="J259" s="243"/>
      <c r="K259" s="243"/>
      <c r="L259" s="366"/>
      <c r="M259" s="46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56"/>
      <c r="Y259" s="253"/>
      <c r="Z259" s="254"/>
      <c r="AA259" s="254"/>
      <c r="AB259" s="254"/>
      <c r="AC259" s="254"/>
      <c r="AD259" s="254"/>
      <c r="AE259" s="254"/>
      <c r="AF259" s="254"/>
      <c r="AG259" s="254"/>
      <c r="AH259" s="254"/>
      <c r="AI259" s="254"/>
      <c r="AJ259" s="254"/>
      <c r="AK259" s="254"/>
      <c r="AL259" s="254"/>
      <c r="AM259" s="254"/>
      <c r="AN259" s="254"/>
      <c r="AO259" s="254"/>
      <c r="AP259" s="254"/>
      <c r="AQ259" s="254"/>
      <c r="AR259" s="254"/>
      <c r="AS259" s="254"/>
      <c r="AT259" s="254"/>
      <c r="AU259" s="254"/>
      <c r="AV259" s="254"/>
      <c r="AW259" s="254"/>
      <c r="AX259" s="256"/>
      <c r="AZ259" s="254" t="str">
        <f ca="1"/>
        <v/>
      </c>
      <c r="BA259" s="254" t="str">
        <f ca="1"/>
        <v/>
      </c>
      <c r="BB259" s="254" t="str">
        <f ca="1"/>
        <v/>
      </c>
      <c r="BC259" s="254" t="str">
        <f ca="1"/>
        <v/>
      </c>
      <c r="BD259" s="256">
        <f ca="1"/>
        <v>0</v>
      </c>
      <c r="BF259" s="254"/>
      <c r="BG259" s="254"/>
      <c r="BH259" s="254"/>
      <c r="BI259" s="254"/>
      <c r="BJ259" s="243"/>
      <c r="BK259" s="254"/>
      <c r="BL259" s="256"/>
      <c r="BM259" s="46"/>
      <c r="BN259" s="256">
        <f ca="1"/>
        <v>0</v>
      </c>
      <c r="BP259" s="248">
        <f ca="1"/>
        <v>0</v>
      </c>
      <c r="BR259" s="248">
        <f ca="1"/>
        <v>0</v>
      </c>
      <c r="BT259" s="248">
        <f ca="1"/>
        <v>0</v>
      </c>
      <c r="BU259" s="248">
        <f ca="1"/>
        <v>0</v>
      </c>
    </row>
    <row r="260" spans="1:73" ht="16" hidden="1" thickTop="1" thickBot="1">
      <c r="A260" s="1"/>
      <c r="B260" s="1">
        <f t="shared" si="7"/>
        <v>0</v>
      </c>
      <c r="D260" s="98"/>
      <c r="E260" s="239"/>
      <c r="F260" s="243"/>
      <c r="G260" s="243"/>
      <c r="H260" s="243"/>
      <c r="I260" s="243"/>
      <c r="J260" s="243"/>
      <c r="K260" s="243"/>
      <c r="L260" s="366"/>
      <c r="M260" s="46"/>
      <c r="N260" s="243"/>
      <c r="O260" s="243"/>
      <c r="P260" s="243"/>
      <c r="Q260" s="243"/>
      <c r="R260" s="243"/>
      <c r="S260" s="243"/>
      <c r="T260" s="243"/>
      <c r="U260" s="243"/>
      <c r="V260" s="243"/>
      <c r="W260" s="243"/>
      <c r="X260" s="256"/>
      <c r="Y260" s="253"/>
      <c r="Z260" s="254"/>
      <c r="AA260" s="254"/>
      <c r="AB260" s="254"/>
      <c r="AC260" s="254"/>
      <c r="AD260" s="254"/>
      <c r="AE260" s="254"/>
      <c r="AF260" s="254"/>
      <c r="AG260" s="254"/>
      <c r="AH260" s="254"/>
      <c r="AI260" s="254"/>
      <c r="AJ260" s="254"/>
      <c r="AK260" s="254"/>
      <c r="AL260" s="254"/>
      <c r="AM260" s="254"/>
      <c r="AN260" s="254"/>
      <c r="AO260" s="254"/>
      <c r="AP260" s="254"/>
      <c r="AQ260" s="254"/>
      <c r="AR260" s="254"/>
      <c r="AS260" s="254"/>
      <c r="AT260" s="254"/>
      <c r="AU260" s="254"/>
      <c r="AV260" s="254"/>
      <c r="AW260" s="254"/>
      <c r="AX260" s="256"/>
      <c r="AZ260" s="254" t="str">
        <f ca="1"/>
        <v/>
      </c>
      <c r="BA260" s="254" t="str">
        <f ca="1"/>
        <v/>
      </c>
      <c r="BB260" s="254" t="str">
        <f ca="1"/>
        <v/>
      </c>
      <c r="BC260" s="254" t="str">
        <f ca="1"/>
        <v/>
      </c>
      <c r="BD260" s="256">
        <f ca="1"/>
        <v>0</v>
      </c>
      <c r="BF260" s="254"/>
      <c r="BG260" s="254"/>
      <c r="BH260" s="254"/>
      <c r="BI260" s="254"/>
      <c r="BJ260" s="243"/>
      <c r="BK260" s="254"/>
      <c r="BL260" s="256"/>
      <c r="BM260" s="46"/>
      <c r="BN260" s="256">
        <f ca="1"/>
        <v>0</v>
      </c>
      <c r="BP260" s="248">
        <f ca="1"/>
        <v>0</v>
      </c>
      <c r="BR260" s="248">
        <f ca="1"/>
        <v>0</v>
      </c>
      <c r="BT260" s="248">
        <f ca="1"/>
        <v>0</v>
      </c>
      <c r="BU260" s="248">
        <f ca="1"/>
        <v>0</v>
      </c>
    </row>
    <row r="261" spans="1:73" ht="16" hidden="1" thickTop="1" thickBot="1">
      <c r="A261" s="1"/>
      <c r="B261" s="1">
        <f t="shared" si="7"/>
        <v>0</v>
      </c>
      <c r="D261" s="98"/>
      <c r="E261" s="239"/>
      <c r="F261" s="243"/>
      <c r="G261" s="243"/>
      <c r="H261" s="243"/>
      <c r="I261" s="243"/>
      <c r="J261" s="243"/>
      <c r="K261" s="243"/>
      <c r="L261" s="366"/>
      <c r="M261" s="46"/>
      <c r="N261" s="243"/>
      <c r="O261" s="243"/>
      <c r="P261" s="243"/>
      <c r="Q261" s="243"/>
      <c r="R261" s="243"/>
      <c r="S261" s="243"/>
      <c r="T261" s="243"/>
      <c r="U261" s="243"/>
      <c r="V261" s="243"/>
      <c r="W261" s="243"/>
      <c r="X261" s="256"/>
      <c r="Y261" s="253"/>
      <c r="Z261" s="254"/>
      <c r="AA261" s="254"/>
      <c r="AB261" s="254"/>
      <c r="AC261" s="254"/>
      <c r="AD261" s="254"/>
      <c r="AE261" s="254"/>
      <c r="AF261" s="254"/>
      <c r="AG261" s="254"/>
      <c r="AH261" s="254"/>
      <c r="AI261" s="254"/>
      <c r="AJ261" s="254"/>
      <c r="AK261" s="254"/>
      <c r="AL261" s="254"/>
      <c r="AM261" s="254"/>
      <c r="AN261" s="254"/>
      <c r="AO261" s="254"/>
      <c r="AP261" s="254"/>
      <c r="AQ261" s="254"/>
      <c r="AR261" s="254"/>
      <c r="AS261" s="254"/>
      <c r="AT261" s="254"/>
      <c r="AU261" s="254"/>
      <c r="AV261" s="254"/>
      <c r="AW261" s="254"/>
      <c r="AX261" s="256"/>
      <c r="AZ261" s="254" t="str">
        <f ca="1"/>
        <v/>
      </c>
      <c r="BA261" s="254" t="str">
        <f ca="1"/>
        <v/>
      </c>
      <c r="BB261" s="254" t="str">
        <f ca="1"/>
        <v/>
      </c>
      <c r="BC261" s="254" t="str">
        <f ca="1"/>
        <v/>
      </c>
      <c r="BD261" s="256">
        <f ca="1"/>
        <v>0</v>
      </c>
      <c r="BF261" s="254"/>
      <c r="BG261" s="254"/>
      <c r="BH261" s="254"/>
      <c r="BI261" s="254"/>
      <c r="BJ261" s="243"/>
      <c r="BK261" s="254"/>
      <c r="BL261" s="256"/>
      <c r="BM261" s="46"/>
      <c r="BN261" s="256">
        <f ca="1"/>
        <v>0</v>
      </c>
      <c r="BP261" s="248">
        <f ca="1"/>
        <v>0</v>
      </c>
      <c r="BR261" s="248">
        <f ca="1"/>
        <v>0</v>
      </c>
      <c r="BT261" s="248">
        <f ca="1"/>
        <v>0</v>
      </c>
      <c r="BU261" s="248">
        <f ca="1"/>
        <v>0</v>
      </c>
    </row>
    <row r="262" spans="1:73" ht="16" hidden="1" thickTop="1" thickBot="1">
      <c r="A262" s="1"/>
      <c r="B262" s="1">
        <f t="shared" si="7"/>
        <v>0</v>
      </c>
      <c r="D262" s="98"/>
      <c r="E262" s="239"/>
      <c r="F262" s="243"/>
      <c r="G262" s="243"/>
      <c r="H262" s="243"/>
      <c r="I262" s="243"/>
      <c r="J262" s="243"/>
      <c r="K262" s="243"/>
      <c r="L262" s="366"/>
      <c r="M262" s="46"/>
      <c r="N262" s="243"/>
      <c r="O262" s="243"/>
      <c r="P262" s="243"/>
      <c r="Q262" s="243"/>
      <c r="R262" s="243"/>
      <c r="S262" s="243"/>
      <c r="T262" s="243"/>
      <c r="U262" s="243"/>
      <c r="V262" s="243"/>
      <c r="W262" s="243"/>
      <c r="X262" s="256"/>
      <c r="Y262" s="253"/>
      <c r="Z262" s="254"/>
      <c r="AA262" s="254"/>
      <c r="AB262" s="254"/>
      <c r="AC262" s="254"/>
      <c r="AD262" s="254"/>
      <c r="AE262" s="254"/>
      <c r="AF262" s="254"/>
      <c r="AG262" s="254"/>
      <c r="AH262" s="254"/>
      <c r="AI262" s="254"/>
      <c r="AJ262" s="254"/>
      <c r="AK262" s="254"/>
      <c r="AL262" s="254"/>
      <c r="AM262" s="254"/>
      <c r="AN262" s="254"/>
      <c r="AO262" s="254"/>
      <c r="AP262" s="254"/>
      <c r="AQ262" s="254"/>
      <c r="AR262" s="254"/>
      <c r="AS262" s="254"/>
      <c r="AT262" s="254"/>
      <c r="AU262" s="254"/>
      <c r="AV262" s="254"/>
      <c r="AW262" s="254"/>
      <c r="AX262" s="256"/>
      <c r="AZ262" s="254" t="str">
        <f ca="1"/>
        <v/>
      </c>
      <c r="BA262" s="254" t="str">
        <f ca="1"/>
        <v/>
      </c>
      <c r="BB262" s="254" t="str">
        <f ca="1"/>
        <v/>
      </c>
      <c r="BC262" s="254" t="str">
        <f ca="1"/>
        <v/>
      </c>
      <c r="BD262" s="256">
        <f ca="1"/>
        <v>0</v>
      </c>
      <c r="BF262" s="254"/>
      <c r="BG262" s="254"/>
      <c r="BH262" s="254"/>
      <c r="BI262" s="254"/>
      <c r="BJ262" s="243"/>
      <c r="BK262" s="254"/>
      <c r="BL262" s="256"/>
      <c r="BM262" s="46"/>
      <c r="BN262" s="256">
        <f ca="1"/>
        <v>0</v>
      </c>
      <c r="BP262" s="248">
        <f ca="1"/>
        <v>0</v>
      </c>
      <c r="BR262" s="248">
        <f ca="1"/>
        <v>0</v>
      </c>
      <c r="BT262" s="248">
        <f ca="1"/>
        <v>0</v>
      </c>
      <c r="BU262" s="248">
        <f ca="1"/>
        <v>0</v>
      </c>
    </row>
    <row r="263" spans="1:73" ht="16" hidden="1" thickTop="1" thickBot="1">
      <c r="A263" s="1"/>
      <c r="B263" s="1">
        <f t="shared" si="7"/>
        <v>0</v>
      </c>
      <c r="D263" s="98"/>
      <c r="E263" s="239"/>
      <c r="F263" s="243"/>
      <c r="G263" s="243"/>
      <c r="H263" s="243"/>
      <c r="I263" s="243"/>
      <c r="J263" s="243"/>
      <c r="K263" s="243"/>
      <c r="L263" s="366"/>
      <c r="M263" s="46"/>
      <c r="N263" s="243"/>
      <c r="O263" s="243"/>
      <c r="P263" s="243"/>
      <c r="Q263" s="243"/>
      <c r="R263" s="243"/>
      <c r="S263" s="243"/>
      <c r="T263" s="243"/>
      <c r="U263" s="243"/>
      <c r="V263" s="243"/>
      <c r="W263" s="243"/>
      <c r="X263" s="256"/>
      <c r="Y263" s="253"/>
      <c r="Z263" s="254"/>
      <c r="AA263" s="254"/>
      <c r="AB263" s="254"/>
      <c r="AC263" s="254"/>
      <c r="AD263" s="254"/>
      <c r="AE263" s="254"/>
      <c r="AF263" s="254"/>
      <c r="AG263" s="254"/>
      <c r="AH263" s="254"/>
      <c r="AI263" s="254"/>
      <c r="AJ263" s="254"/>
      <c r="AK263" s="254"/>
      <c r="AL263" s="254"/>
      <c r="AM263" s="254"/>
      <c r="AN263" s="254"/>
      <c r="AO263" s="254"/>
      <c r="AP263" s="254"/>
      <c r="AQ263" s="254"/>
      <c r="AR263" s="254"/>
      <c r="AS263" s="254"/>
      <c r="AT263" s="254"/>
      <c r="AU263" s="254"/>
      <c r="AV263" s="254"/>
      <c r="AW263" s="254"/>
      <c r="AX263" s="256"/>
      <c r="AZ263" s="254" t="str">
        <f ca="1"/>
        <v/>
      </c>
      <c r="BA263" s="254" t="str">
        <f ca="1"/>
        <v/>
      </c>
      <c r="BB263" s="254" t="str">
        <f ca="1"/>
        <v/>
      </c>
      <c r="BC263" s="254" t="str">
        <f ca="1"/>
        <v/>
      </c>
      <c r="BD263" s="256">
        <f ca="1"/>
        <v>0</v>
      </c>
      <c r="BF263" s="254"/>
      <c r="BG263" s="254"/>
      <c r="BH263" s="254"/>
      <c r="BI263" s="254"/>
      <c r="BJ263" s="243"/>
      <c r="BK263" s="254"/>
      <c r="BL263" s="256"/>
      <c r="BM263" s="46"/>
      <c r="BN263" s="256">
        <f ca="1"/>
        <v>0</v>
      </c>
      <c r="BP263" s="248">
        <f ca="1"/>
        <v>0</v>
      </c>
      <c r="BR263" s="248">
        <f ca="1"/>
        <v>0</v>
      </c>
      <c r="BT263" s="248">
        <f ca="1"/>
        <v>0</v>
      </c>
      <c r="BU263" s="248">
        <f ca="1"/>
        <v>0</v>
      </c>
    </row>
    <row r="264" spans="1:73" ht="16" hidden="1" thickTop="1" thickBot="1">
      <c r="A264" s="1"/>
      <c r="B264" s="1">
        <f t="shared" si="7"/>
        <v>0</v>
      </c>
      <c r="D264" s="98"/>
      <c r="E264" s="239"/>
      <c r="F264" s="243"/>
      <c r="G264" s="243"/>
      <c r="H264" s="243"/>
      <c r="I264" s="243"/>
      <c r="J264" s="243"/>
      <c r="K264" s="243"/>
      <c r="L264" s="366"/>
      <c r="M264" s="46"/>
      <c r="N264" s="243"/>
      <c r="O264" s="243"/>
      <c r="P264" s="243"/>
      <c r="Q264" s="243"/>
      <c r="R264" s="243"/>
      <c r="S264" s="243"/>
      <c r="T264" s="243"/>
      <c r="U264" s="243"/>
      <c r="V264" s="243"/>
      <c r="W264" s="243"/>
      <c r="X264" s="256"/>
      <c r="Y264" s="253"/>
      <c r="Z264" s="254"/>
      <c r="AA264" s="254"/>
      <c r="AB264" s="254"/>
      <c r="AC264" s="254"/>
      <c r="AD264" s="254"/>
      <c r="AE264" s="254"/>
      <c r="AF264" s="254"/>
      <c r="AG264" s="254"/>
      <c r="AH264" s="254"/>
      <c r="AI264" s="254"/>
      <c r="AJ264" s="254"/>
      <c r="AK264" s="254"/>
      <c r="AL264" s="254"/>
      <c r="AM264" s="254"/>
      <c r="AN264" s="254"/>
      <c r="AO264" s="254"/>
      <c r="AP264" s="254"/>
      <c r="AQ264" s="254"/>
      <c r="AR264" s="254"/>
      <c r="AS264" s="254"/>
      <c r="AT264" s="254"/>
      <c r="AU264" s="254"/>
      <c r="AV264" s="254"/>
      <c r="AW264" s="254"/>
      <c r="AX264" s="256"/>
      <c r="AZ264" s="254" t="str">
        <f ca="1"/>
        <v/>
      </c>
      <c r="BA264" s="254" t="str">
        <f ca="1"/>
        <v/>
      </c>
      <c r="BB264" s="254" t="str">
        <f ca="1"/>
        <v/>
      </c>
      <c r="BC264" s="254" t="str">
        <f ca="1"/>
        <v/>
      </c>
      <c r="BD264" s="256">
        <f ca="1"/>
        <v>0</v>
      </c>
      <c r="BF264" s="254"/>
      <c r="BG264" s="254"/>
      <c r="BH264" s="254"/>
      <c r="BI264" s="254"/>
      <c r="BJ264" s="243"/>
      <c r="BK264" s="254"/>
      <c r="BL264" s="256"/>
      <c r="BM264" s="46"/>
      <c r="BN264" s="256">
        <f ca="1"/>
        <v>0</v>
      </c>
      <c r="BP264" s="248">
        <f ca="1"/>
        <v>0</v>
      </c>
      <c r="BR264" s="248">
        <f ca="1"/>
        <v>0</v>
      </c>
      <c r="BT264" s="248">
        <f ca="1"/>
        <v>0</v>
      </c>
      <c r="BU264" s="248">
        <f ca="1"/>
        <v>0</v>
      </c>
    </row>
    <row r="265" spans="1:73" ht="16" hidden="1" thickTop="1" thickBot="1">
      <c r="A265" s="1"/>
      <c r="B265" s="1">
        <f t="shared" ref="B265:B328" si="8">IF(D265=0,0,1)</f>
        <v>0</v>
      </c>
      <c r="D265" s="98"/>
      <c r="E265" s="239"/>
      <c r="F265" s="243"/>
      <c r="G265" s="243"/>
      <c r="H265" s="243"/>
      <c r="I265" s="243"/>
      <c r="J265" s="243"/>
      <c r="K265" s="243"/>
      <c r="L265" s="366"/>
      <c r="M265" s="46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56"/>
      <c r="Y265" s="253"/>
      <c r="Z265" s="254"/>
      <c r="AA265" s="254"/>
      <c r="AB265" s="254"/>
      <c r="AC265" s="254"/>
      <c r="AD265" s="254"/>
      <c r="AE265" s="254"/>
      <c r="AF265" s="254"/>
      <c r="AG265" s="254"/>
      <c r="AH265" s="254"/>
      <c r="AI265" s="254"/>
      <c r="AJ265" s="254"/>
      <c r="AK265" s="254"/>
      <c r="AL265" s="254"/>
      <c r="AM265" s="254"/>
      <c r="AN265" s="254"/>
      <c r="AO265" s="254"/>
      <c r="AP265" s="254"/>
      <c r="AQ265" s="254"/>
      <c r="AR265" s="254"/>
      <c r="AS265" s="254"/>
      <c r="AT265" s="254"/>
      <c r="AU265" s="254"/>
      <c r="AV265" s="254"/>
      <c r="AW265" s="254"/>
      <c r="AX265" s="256"/>
      <c r="AZ265" s="254" t="str">
        <f ca="1"/>
        <v/>
      </c>
      <c r="BA265" s="254" t="str">
        <f ca="1"/>
        <v/>
      </c>
      <c r="BB265" s="254" t="str">
        <f ca="1"/>
        <v/>
      </c>
      <c r="BC265" s="254" t="str">
        <f ca="1"/>
        <v/>
      </c>
      <c r="BD265" s="256">
        <f ca="1"/>
        <v>0</v>
      </c>
      <c r="BF265" s="254"/>
      <c r="BG265" s="254"/>
      <c r="BH265" s="254"/>
      <c r="BI265" s="254"/>
      <c r="BJ265" s="243"/>
      <c r="BK265" s="254"/>
      <c r="BL265" s="256"/>
      <c r="BM265" s="46"/>
      <c r="BN265" s="256">
        <f ca="1"/>
        <v>0</v>
      </c>
      <c r="BP265" s="248">
        <f ca="1"/>
        <v>0</v>
      </c>
      <c r="BR265" s="248">
        <f ca="1"/>
        <v>0</v>
      </c>
      <c r="BT265" s="248">
        <f ca="1"/>
        <v>0</v>
      </c>
      <c r="BU265" s="248">
        <f ca="1"/>
        <v>0</v>
      </c>
    </row>
    <row r="266" spans="1:73" ht="16" hidden="1" thickTop="1" thickBot="1">
      <c r="A266" s="1"/>
      <c r="B266" s="1">
        <f t="shared" si="8"/>
        <v>0</v>
      </c>
      <c r="D266" s="98"/>
      <c r="E266" s="239"/>
      <c r="F266" s="243"/>
      <c r="G266" s="243"/>
      <c r="H266" s="243"/>
      <c r="I266" s="243"/>
      <c r="J266" s="243"/>
      <c r="K266" s="243"/>
      <c r="L266" s="366"/>
      <c r="M266" s="46"/>
      <c r="N266" s="243"/>
      <c r="O266" s="243"/>
      <c r="P266" s="243"/>
      <c r="Q266" s="243"/>
      <c r="R266" s="243"/>
      <c r="S266" s="243"/>
      <c r="T266" s="243"/>
      <c r="U266" s="243"/>
      <c r="V266" s="243"/>
      <c r="W266" s="243"/>
      <c r="X266" s="256"/>
      <c r="Y266" s="253"/>
      <c r="Z266" s="254"/>
      <c r="AA266" s="254"/>
      <c r="AB266" s="254"/>
      <c r="AC266" s="254"/>
      <c r="AD266" s="254"/>
      <c r="AE266" s="254"/>
      <c r="AF266" s="254"/>
      <c r="AG266" s="254"/>
      <c r="AH266" s="254"/>
      <c r="AI266" s="254"/>
      <c r="AJ266" s="254"/>
      <c r="AK266" s="254"/>
      <c r="AL266" s="254"/>
      <c r="AM266" s="254"/>
      <c r="AN266" s="254"/>
      <c r="AO266" s="254"/>
      <c r="AP266" s="254"/>
      <c r="AQ266" s="254"/>
      <c r="AR266" s="254"/>
      <c r="AS266" s="254"/>
      <c r="AT266" s="254"/>
      <c r="AU266" s="254"/>
      <c r="AV266" s="254"/>
      <c r="AW266" s="254"/>
      <c r="AX266" s="256"/>
      <c r="AZ266" s="254" t="str">
        <f ca="1"/>
        <v/>
      </c>
      <c r="BA266" s="254" t="str">
        <f ca="1"/>
        <v/>
      </c>
      <c r="BB266" s="254" t="str">
        <f ca="1"/>
        <v/>
      </c>
      <c r="BC266" s="254" t="str">
        <f ca="1"/>
        <v/>
      </c>
      <c r="BD266" s="256">
        <f ca="1"/>
        <v>0</v>
      </c>
      <c r="BF266" s="254"/>
      <c r="BG266" s="254"/>
      <c r="BH266" s="254"/>
      <c r="BI266" s="254"/>
      <c r="BJ266" s="243"/>
      <c r="BK266" s="254"/>
      <c r="BL266" s="256"/>
      <c r="BM266" s="46"/>
      <c r="BN266" s="256">
        <f ca="1"/>
        <v>0</v>
      </c>
      <c r="BP266" s="248">
        <f ca="1"/>
        <v>0</v>
      </c>
      <c r="BR266" s="248">
        <f ca="1"/>
        <v>0</v>
      </c>
      <c r="BT266" s="248">
        <f ca="1"/>
        <v>0</v>
      </c>
      <c r="BU266" s="248">
        <f ca="1"/>
        <v>0</v>
      </c>
    </row>
    <row r="267" spans="1:73" ht="16" hidden="1" thickTop="1" thickBot="1">
      <c r="A267" s="1"/>
      <c r="B267" s="1">
        <f t="shared" si="8"/>
        <v>0</v>
      </c>
      <c r="D267" s="98"/>
      <c r="E267" s="239"/>
      <c r="F267" s="243"/>
      <c r="G267" s="243"/>
      <c r="H267" s="243"/>
      <c r="I267" s="243"/>
      <c r="J267" s="243"/>
      <c r="K267" s="243"/>
      <c r="L267" s="366"/>
      <c r="M267" s="46"/>
      <c r="N267" s="243"/>
      <c r="O267" s="243"/>
      <c r="P267" s="243"/>
      <c r="Q267" s="243"/>
      <c r="R267" s="243"/>
      <c r="S267" s="243"/>
      <c r="T267" s="243"/>
      <c r="U267" s="243"/>
      <c r="V267" s="243"/>
      <c r="W267" s="243"/>
      <c r="X267" s="256"/>
      <c r="Y267" s="253"/>
      <c r="Z267" s="254"/>
      <c r="AA267" s="254"/>
      <c r="AB267" s="254"/>
      <c r="AC267" s="254"/>
      <c r="AD267" s="254"/>
      <c r="AE267" s="254"/>
      <c r="AF267" s="254"/>
      <c r="AG267" s="254"/>
      <c r="AH267" s="254"/>
      <c r="AI267" s="254"/>
      <c r="AJ267" s="254"/>
      <c r="AK267" s="254"/>
      <c r="AL267" s="254"/>
      <c r="AM267" s="254"/>
      <c r="AN267" s="254"/>
      <c r="AO267" s="254"/>
      <c r="AP267" s="254"/>
      <c r="AQ267" s="254"/>
      <c r="AR267" s="254"/>
      <c r="AS267" s="254"/>
      <c r="AT267" s="254"/>
      <c r="AU267" s="254"/>
      <c r="AV267" s="254"/>
      <c r="AW267" s="254"/>
      <c r="AX267" s="256"/>
      <c r="AZ267" s="254" t="str">
        <f ca="1"/>
        <v/>
      </c>
      <c r="BA267" s="254" t="str">
        <f ca="1"/>
        <v/>
      </c>
      <c r="BB267" s="254" t="str">
        <f ca="1"/>
        <v/>
      </c>
      <c r="BC267" s="254" t="str">
        <f ca="1"/>
        <v/>
      </c>
      <c r="BD267" s="256">
        <f ca="1"/>
        <v>0</v>
      </c>
      <c r="BF267" s="254"/>
      <c r="BG267" s="254"/>
      <c r="BH267" s="254"/>
      <c r="BI267" s="254"/>
      <c r="BJ267" s="243"/>
      <c r="BK267" s="254"/>
      <c r="BL267" s="256"/>
      <c r="BM267" s="46"/>
      <c r="BN267" s="256">
        <f ca="1"/>
        <v>0</v>
      </c>
      <c r="BP267" s="248">
        <f ca="1"/>
        <v>0</v>
      </c>
      <c r="BR267" s="248">
        <f ca="1"/>
        <v>0</v>
      </c>
      <c r="BT267" s="248">
        <f ca="1"/>
        <v>0</v>
      </c>
      <c r="BU267" s="248">
        <f ca="1"/>
        <v>0</v>
      </c>
    </row>
    <row r="268" spans="1:73" ht="16" hidden="1" thickTop="1" thickBot="1">
      <c r="A268" s="1"/>
      <c r="B268" s="1">
        <f t="shared" si="8"/>
        <v>0</v>
      </c>
      <c r="D268" s="98"/>
      <c r="E268" s="239"/>
      <c r="F268" s="243"/>
      <c r="G268" s="243"/>
      <c r="H268" s="243"/>
      <c r="I268" s="243"/>
      <c r="J268" s="243"/>
      <c r="K268" s="243"/>
      <c r="L268" s="366"/>
      <c r="M268" s="46"/>
      <c r="N268" s="243"/>
      <c r="O268" s="243"/>
      <c r="P268" s="243"/>
      <c r="Q268" s="243"/>
      <c r="R268" s="243"/>
      <c r="S268" s="243"/>
      <c r="T268" s="243"/>
      <c r="U268" s="243"/>
      <c r="V268" s="243"/>
      <c r="W268" s="243"/>
      <c r="X268" s="256"/>
      <c r="Y268" s="253"/>
      <c r="Z268" s="254"/>
      <c r="AA268" s="254"/>
      <c r="AB268" s="254"/>
      <c r="AC268" s="254"/>
      <c r="AD268" s="254"/>
      <c r="AE268" s="254"/>
      <c r="AF268" s="254"/>
      <c r="AG268" s="254"/>
      <c r="AH268" s="254"/>
      <c r="AI268" s="254"/>
      <c r="AJ268" s="254"/>
      <c r="AK268" s="254"/>
      <c r="AL268" s="254"/>
      <c r="AM268" s="254"/>
      <c r="AN268" s="254"/>
      <c r="AO268" s="254"/>
      <c r="AP268" s="254"/>
      <c r="AQ268" s="254"/>
      <c r="AR268" s="254"/>
      <c r="AS268" s="254"/>
      <c r="AT268" s="254"/>
      <c r="AU268" s="254"/>
      <c r="AV268" s="254"/>
      <c r="AW268" s="254"/>
      <c r="AX268" s="256"/>
      <c r="AZ268" s="254" t="str">
        <f ca="1"/>
        <v/>
      </c>
      <c r="BA268" s="254" t="str">
        <f ca="1"/>
        <v/>
      </c>
      <c r="BB268" s="254" t="str">
        <f ca="1"/>
        <v/>
      </c>
      <c r="BC268" s="254" t="str">
        <f ca="1"/>
        <v/>
      </c>
      <c r="BD268" s="256">
        <f ca="1"/>
        <v>0</v>
      </c>
      <c r="BF268" s="254"/>
      <c r="BG268" s="254"/>
      <c r="BH268" s="254"/>
      <c r="BI268" s="254"/>
      <c r="BJ268" s="243"/>
      <c r="BK268" s="254"/>
      <c r="BL268" s="256"/>
      <c r="BM268" s="46"/>
      <c r="BN268" s="256">
        <f ca="1"/>
        <v>0</v>
      </c>
      <c r="BP268" s="248">
        <f ca="1"/>
        <v>0</v>
      </c>
      <c r="BR268" s="248">
        <f ca="1"/>
        <v>0</v>
      </c>
      <c r="BT268" s="248">
        <f ca="1"/>
        <v>0</v>
      </c>
      <c r="BU268" s="248">
        <f ca="1"/>
        <v>0</v>
      </c>
    </row>
    <row r="269" spans="1:73" ht="16" hidden="1" thickTop="1" thickBot="1">
      <c r="A269" s="1"/>
      <c r="B269" s="1">
        <f t="shared" si="8"/>
        <v>0</v>
      </c>
      <c r="D269" s="98"/>
      <c r="E269" s="239"/>
      <c r="F269" s="243"/>
      <c r="G269" s="243"/>
      <c r="H269" s="243"/>
      <c r="I269" s="243"/>
      <c r="J269" s="243"/>
      <c r="K269" s="243"/>
      <c r="L269" s="366"/>
      <c r="M269" s="46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56"/>
      <c r="Y269" s="253"/>
      <c r="Z269" s="254"/>
      <c r="AA269" s="254"/>
      <c r="AB269" s="254"/>
      <c r="AC269" s="254"/>
      <c r="AD269" s="254"/>
      <c r="AE269" s="254"/>
      <c r="AF269" s="254"/>
      <c r="AG269" s="254"/>
      <c r="AH269" s="254"/>
      <c r="AI269" s="254"/>
      <c r="AJ269" s="254"/>
      <c r="AK269" s="254"/>
      <c r="AL269" s="254"/>
      <c r="AM269" s="254"/>
      <c r="AN269" s="254"/>
      <c r="AO269" s="254"/>
      <c r="AP269" s="254"/>
      <c r="AQ269" s="254"/>
      <c r="AR269" s="254"/>
      <c r="AS269" s="254"/>
      <c r="AT269" s="254"/>
      <c r="AU269" s="254"/>
      <c r="AV269" s="254"/>
      <c r="AW269" s="254"/>
      <c r="AX269" s="256"/>
      <c r="AZ269" s="254" t="str">
        <f ca="1"/>
        <v/>
      </c>
      <c r="BA269" s="254" t="str">
        <f ca="1"/>
        <v/>
      </c>
      <c r="BB269" s="254" t="str">
        <f ca="1"/>
        <v/>
      </c>
      <c r="BC269" s="254" t="str">
        <f ca="1"/>
        <v/>
      </c>
      <c r="BD269" s="256">
        <f ca="1"/>
        <v>0</v>
      </c>
      <c r="BF269" s="254"/>
      <c r="BG269" s="254"/>
      <c r="BH269" s="254"/>
      <c r="BI269" s="254"/>
      <c r="BJ269" s="243"/>
      <c r="BK269" s="254"/>
      <c r="BL269" s="256"/>
      <c r="BM269" s="46"/>
      <c r="BN269" s="256">
        <f ca="1"/>
        <v>0</v>
      </c>
      <c r="BP269" s="248">
        <f ca="1"/>
        <v>0</v>
      </c>
      <c r="BR269" s="248">
        <f ca="1"/>
        <v>0</v>
      </c>
      <c r="BT269" s="248">
        <f ca="1"/>
        <v>0</v>
      </c>
      <c r="BU269" s="248">
        <f ca="1"/>
        <v>0</v>
      </c>
    </row>
    <row r="270" spans="1:73" ht="16" hidden="1" thickTop="1" thickBot="1">
      <c r="A270" s="1"/>
      <c r="B270" s="1">
        <f t="shared" si="8"/>
        <v>0</v>
      </c>
      <c r="D270" s="98"/>
      <c r="E270" s="239"/>
      <c r="F270" s="243"/>
      <c r="G270" s="243"/>
      <c r="H270" s="243"/>
      <c r="I270" s="243"/>
      <c r="J270" s="243"/>
      <c r="K270" s="243"/>
      <c r="L270" s="366"/>
      <c r="M270" s="46"/>
      <c r="N270" s="243"/>
      <c r="O270" s="243"/>
      <c r="P270" s="243"/>
      <c r="Q270" s="243"/>
      <c r="R270" s="243"/>
      <c r="S270" s="243"/>
      <c r="T270" s="243"/>
      <c r="U270" s="243"/>
      <c r="V270" s="243"/>
      <c r="W270" s="243"/>
      <c r="X270" s="256"/>
      <c r="Y270" s="253"/>
      <c r="Z270" s="254"/>
      <c r="AA270" s="254"/>
      <c r="AB270" s="254"/>
      <c r="AC270" s="254"/>
      <c r="AD270" s="254"/>
      <c r="AE270" s="254"/>
      <c r="AF270" s="254"/>
      <c r="AG270" s="254"/>
      <c r="AH270" s="254"/>
      <c r="AI270" s="254"/>
      <c r="AJ270" s="254"/>
      <c r="AK270" s="254"/>
      <c r="AL270" s="254"/>
      <c r="AM270" s="254"/>
      <c r="AN270" s="254"/>
      <c r="AO270" s="254"/>
      <c r="AP270" s="254"/>
      <c r="AQ270" s="254"/>
      <c r="AR270" s="254"/>
      <c r="AS270" s="254"/>
      <c r="AT270" s="254"/>
      <c r="AU270" s="254"/>
      <c r="AV270" s="254"/>
      <c r="AW270" s="254"/>
      <c r="AX270" s="256"/>
      <c r="AZ270" s="254" t="str">
        <f ca="1"/>
        <v/>
      </c>
      <c r="BA270" s="254" t="str">
        <f ca="1"/>
        <v/>
      </c>
      <c r="BB270" s="254" t="str">
        <f ca="1"/>
        <v/>
      </c>
      <c r="BC270" s="254" t="str">
        <f ca="1"/>
        <v/>
      </c>
      <c r="BD270" s="256">
        <f ca="1"/>
        <v>0</v>
      </c>
      <c r="BF270" s="254"/>
      <c r="BG270" s="254"/>
      <c r="BH270" s="254"/>
      <c r="BI270" s="254"/>
      <c r="BJ270" s="243"/>
      <c r="BK270" s="254"/>
      <c r="BL270" s="256"/>
      <c r="BM270" s="46"/>
      <c r="BN270" s="256">
        <f ca="1"/>
        <v>0</v>
      </c>
      <c r="BP270" s="248">
        <f ca="1"/>
        <v>0</v>
      </c>
      <c r="BR270" s="248">
        <f ca="1"/>
        <v>0</v>
      </c>
      <c r="BT270" s="248">
        <f ca="1"/>
        <v>0</v>
      </c>
      <c r="BU270" s="248">
        <f ca="1"/>
        <v>0</v>
      </c>
    </row>
    <row r="271" spans="1:73" ht="16" hidden="1" thickTop="1" thickBot="1">
      <c r="A271" s="1"/>
      <c r="B271" s="1">
        <f t="shared" si="8"/>
        <v>0</v>
      </c>
      <c r="D271" s="98"/>
      <c r="E271" s="239"/>
      <c r="F271" s="243"/>
      <c r="G271" s="243"/>
      <c r="H271" s="243"/>
      <c r="I271" s="243"/>
      <c r="J271" s="243"/>
      <c r="K271" s="243"/>
      <c r="L271" s="366"/>
      <c r="M271" s="46"/>
      <c r="N271" s="243"/>
      <c r="O271" s="243"/>
      <c r="P271" s="243"/>
      <c r="Q271" s="243"/>
      <c r="R271" s="243"/>
      <c r="S271" s="243"/>
      <c r="T271" s="243"/>
      <c r="U271" s="243"/>
      <c r="V271" s="243"/>
      <c r="W271" s="243"/>
      <c r="X271" s="256"/>
      <c r="Y271" s="253"/>
      <c r="Z271" s="254"/>
      <c r="AA271" s="254"/>
      <c r="AB271" s="254"/>
      <c r="AC271" s="254"/>
      <c r="AD271" s="254"/>
      <c r="AE271" s="254"/>
      <c r="AF271" s="254"/>
      <c r="AG271" s="254"/>
      <c r="AH271" s="254"/>
      <c r="AI271" s="254"/>
      <c r="AJ271" s="254"/>
      <c r="AK271" s="254"/>
      <c r="AL271" s="254"/>
      <c r="AM271" s="254"/>
      <c r="AN271" s="254"/>
      <c r="AO271" s="254"/>
      <c r="AP271" s="254"/>
      <c r="AQ271" s="254"/>
      <c r="AR271" s="254"/>
      <c r="AS271" s="254"/>
      <c r="AT271" s="254"/>
      <c r="AU271" s="254"/>
      <c r="AV271" s="254"/>
      <c r="AW271" s="254"/>
      <c r="AX271" s="256"/>
      <c r="AZ271" s="254" t="str">
        <f ca="1"/>
        <v/>
      </c>
      <c r="BA271" s="254" t="str">
        <f ca="1"/>
        <v/>
      </c>
      <c r="BB271" s="254" t="str">
        <f ca="1"/>
        <v/>
      </c>
      <c r="BC271" s="254" t="str">
        <f ca="1"/>
        <v/>
      </c>
      <c r="BD271" s="256">
        <f ca="1"/>
        <v>0</v>
      </c>
      <c r="BF271" s="254"/>
      <c r="BG271" s="254"/>
      <c r="BH271" s="254"/>
      <c r="BI271" s="254"/>
      <c r="BJ271" s="243"/>
      <c r="BK271" s="254"/>
      <c r="BL271" s="256"/>
      <c r="BM271" s="46"/>
      <c r="BN271" s="256">
        <f ca="1"/>
        <v>0</v>
      </c>
      <c r="BP271" s="248">
        <f ca="1"/>
        <v>0</v>
      </c>
      <c r="BR271" s="248">
        <f ca="1"/>
        <v>0</v>
      </c>
      <c r="BT271" s="248">
        <f ca="1"/>
        <v>0</v>
      </c>
      <c r="BU271" s="248">
        <f ca="1"/>
        <v>0</v>
      </c>
    </row>
    <row r="272" spans="1:73" ht="16" hidden="1" thickTop="1" thickBot="1">
      <c r="A272" s="1"/>
      <c r="B272" s="1">
        <f t="shared" si="8"/>
        <v>0</v>
      </c>
      <c r="D272" s="98"/>
      <c r="E272" s="239"/>
      <c r="F272" s="243"/>
      <c r="G272" s="243"/>
      <c r="H272" s="243"/>
      <c r="I272" s="243"/>
      <c r="J272" s="243"/>
      <c r="K272" s="243"/>
      <c r="L272" s="366"/>
      <c r="M272" s="46"/>
      <c r="N272" s="243"/>
      <c r="O272" s="243"/>
      <c r="P272" s="243"/>
      <c r="Q272" s="243"/>
      <c r="R272" s="243"/>
      <c r="S272" s="243"/>
      <c r="T272" s="243"/>
      <c r="U272" s="243"/>
      <c r="V272" s="243"/>
      <c r="W272" s="243"/>
      <c r="X272" s="256"/>
      <c r="Y272" s="253"/>
      <c r="Z272" s="254"/>
      <c r="AA272" s="254"/>
      <c r="AB272" s="254"/>
      <c r="AC272" s="254"/>
      <c r="AD272" s="254"/>
      <c r="AE272" s="254"/>
      <c r="AF272" s="254"/>
      <c r="AG272" s="254"/>
      <c r="AH272" s="254"/>
      <c r="AI272" s="254"/>
      <c r="AJ272" s="254"/>
      <c r="AK272" s="254"/>
      <c r="AL272" s="254"/>
      <c r="AM272" s="254"/>
      <c r="AN272" s="254"/>
      <c r="AO272" s="254"/>
      <c r="AP272" s="254"/>
      <c r="AQ272" s="254"/>
      <c r="AR272" s="254"/>
      <c r="AS272" s="254"/>
      <c r="AT272" s="254"/>
      <c r="AU272" s="254"/>
      <c r="AV272" s="254"/>
      <c r="AW272" s="254"/>
      <c r="AX272" s="256"/>
      <c r="AZ272" s="254" t="str">
        <f ca="1"/>
        <v/>
      </c>
      <c r="BA272" s="254" t="str">
        <f ca="1"/>
        <v/>
      </c>
      <c r="BB272" s="254" t="str">
        <f ca="1"/>
        <v/>
      </c>
      <c r="BC272" s="254" t="str">
        <f ca="1"/>
        <v/>
      </c>
      <c r="BD272" s="256">
        <f ca="1"/>
        <v>0</v>
      </c>
      <c r="BF272" s="254"/>
      <c r="BG272" s="254"/>
      <c r="BH272" s="254"/>
      <c r="BI272" s="254"/>
      <c r="BJ272" s="243"/>
      <c r="BK272" s="254"/>
      <c r="BL272" s="256"/>
      <c r="BM272" s="46"/>
      <c r="BN272" s="256">
        <f ca="1"/>
        <v>0</v>
      </c>
      <c r="BP272" s="248">
        <f ca="1"/>
        <v>0</v>
      </c>
      <c r="BR272" s="248">
        <f ca="1"/>
        <v>0</v>
      </c>
      <c r="BT272" s="248">
        <f ca="1"/>
        <v>0</v>
      </c>
      <c r="BU272" s="248">
        <f ca="1"/>
        <v>0</v>
      </c>
    </row>
    <row r="273" spans="1:73" ht="16" hidden="1" thickTop="1" thickBot="1">
      <c r="A273" s="1"/>
      <c r="B273" s="1">
        <f t="shared" si="8"/>
        <v>0</v>
      </c>
      <c r="D273" s="98"/>
      <c r="E273" s="239"/>
      <c r="F273" s="243"/>
      <c r="G273" s="243"/>
      <c r="H273" s="243"/>
      <c r="I273" s="243"/>
      <c r="J273" s="243"/>
      <c r="K273" s="243"/>
      <c r="L273" s="366"/>
      <c r="M273" s="46"/>
      <c r="N273" s="243"/>
      <c r="O273" s="243"/>
      <c r="P273" s="243"/>
      <c r="Q273" s="243"/>
      <c r="R273" s="243"/>
      <c r="S273" s="243"/>
      <c r="T273" s="243"/>
      <c r="U273" s="243"/>
      <c r="V273" s="243"/>
      <c r="W273" s="243"/>
      <c r="X273" s="256"/>
      <c r="Y273" s="253"/>
      <c r="Z273" s="254"/>
      <c r="AA273" s="254"/>
      <c r="AB273" s="254"/>
      <c r="AC273" s="254"/>
      <c r="AD273" s="254"/>
      <c r="AE273" s="254"/>
      <c r="AF273" s="254"/>
      <c r="AG273" s="254"/>
      <c r="AH273" s="254"/>
      <c r="AI273" s="254"/>
      <c r="AJ273" s="254"/>
      <c r="AK273" s="254"/>
      <c r="AL273" s="254"/>
      <c r="AM273" s="254"/>
      <c r="AN273" s="254"/>
      <c r="AO273" s="254"/>
      <c r="AP273" s="254"/>
      <c r="AQ273" s="254"/>
      <c r="AR273" s="254"/>
      <c r="AS273" s="254"/>
      <c r="AT273" s="254"/>
      <c r="AU273" s="254"/>
      <c r="AV273" s="254"/>
      <c r="AW273" s="254"/>
      <c r="AX273" s="256"/>
      <c r="AZ273" s="254" t="str">
        <f ca="1"/>
        <v/>
      </c>
      <c r="BA273" s="254" t="str">
        <f ca="1"/>
        <v/>
      </c>
      <c r="BB273" s="254" t="str">
        <f ca="1"/>
        <v/>
      </c>
      <c r="BC273" s="254" t="str">
        <f ca="1"/>
        <v/>
      </c>
      <c r="BD273" s="256">
        <f ca="1"/>
        <v>0</v>
      </c>
      <c r="BF273" s="254"/>
      <c r="BG273" s="254"/>
      <c r="BH273" s="254"/>
      <c r="BI273" s="254"/>
      <c r="BJ273" s="243"/>
      <c r="BK273" s="254"/>
      <c r="BL273" s="256"/>
      <c r="BM273" s="46"/>
      <c r="BN273" s="256">
        <f ca="1"/>
        <v>0</v>
      </c>
      <c r="BP273" s="248">
        <f ca="1"/>
        <v>0</v>
      </c>
      <c r="BR273" s="248">
        <f ca="1"/>
        <v>0</v>
      </c>
      <c r="BT273" s="248">
        <f ca="1"/>
        <v>0</v>
      </c>
      <c r="BU273" s="248">
        <f ca="1"/>
        <v>0</v>
      </c>
    </row>
    <row r="274" spans="1:73" ht="16" hidden="1" thickTop="1" thickBot="1">
      <c r="A274" s="1"/>
      <c r="B274" s="1">
        <f t="shared" si="8"/>
        <v>0</v>
      </c>
      <c r="D274" s="98"/>
      <c r="E274" s="239"/>
      <c r="F274" s="243"/>
      <c r="G274" s="243"/>
      <c r="H274" s="243"/>
      <c r="I274" s="243"/>
      <c r="J274" s="243"/>
      <c r="K274" s="243"/>
      <c r="L274" s="366"/>
      <c r="M274" s="46"/>
      <c r="N274" s="243"/>
      <c r="O274" s="243"/>
      <c r="P274" s="243"/>
      <c r="Q274" s="243"/>
      <c r="R274" s="243"/>
      <c r="S274" s="243"/>
      <c r="T274" s="243"/>
      <c r="U274" s="243"/>
      <c r="V274" s="243"/>
      <c r="W274" s="243"/>
      <c r="X274" s="256"/>
      <c r="Y274" s="253"/>
      <c r="Z274" s="254"/>
      <c r="AA274" s="254"/>
      <c r="AB274" s="254"/>
      <c r="AC274" s="254"/>
      <c r="AD274" s="254"/>
      <c r="AE274" s="254"/>
      <c r="AF274" s="254"/>
      <c r="AG274" s="254"/>
      <c r="AH274" s="254"/>
      <c r="AI274" s="254"/>
      <c r="AJ274" s="254"/>
      <c r="AK274" s="254"/>
      <c r="AL274" s="254"/>
      <c r="AM274" s="254"/>
      <c r="AN274" s="254"/>
      <c r="AO274" s="254"/>
      <c r="AP274" s="254"/>
      <c r="AQ274" s="254"/>
      <c r="AR274" s="254"/>
      <c r="AS274" s="254"/>
      <c r="AT274" s="254"/>
      <c r="AU274" s="254"/>
      <c r="AV274" s="254"/>
      <c r="AW274" s="254"/>
      <c r="AX274" s="256"/>
      <c r="AZ274" s="254" t="str">
        <f ca="1"/>
        <v/>
      </c>
      <c r="BA274" s="254" t="str">
        <f ca="1"/>
        <v/>
      </c>
      <c r="BB274" s="254" t="str">
        <f ca="1"/>
        <v/>
      </c>
      <c r="BC274" s="254" t="str">
        <f ca="1"/>
        <v/>
      </c>
      <c r="BD274" s="256">
        <f ca="1"/>
        <v>0</v>
      </c>
      <c r="BF274" s="254"/>
      <c r="BG274" s="254"/>
      <c r="BH274" s="254"/>
      <c r="BI274" s="254"/>
      <c r="BJ274" s="243"/>
      <c r="BK274" s="254"/>
      <c r="BL274" s="256"/>
      <c r="BM274" s="46"/>
      <c r="BN274" s="256">
        <f ca="1"/>
        <v>0</v>
      </c>
      <c r="BP274" s="248">
        <f ca="1"/>
        <v>0</v>
      </c>
      <c r="BR274" s="248">
        <f ca="1"/>
        <v>0</v>
      </c>
      <c r="BT274" s="248">
        <f ca="1"/>
        <v>0</v>
      </c>
      <c r="BU274" s="248">
        <f ca="1"/>
        <v>0</v>
      </c>
    </row>
    <row r="275" spans="1:73" ht="16" hidden="1" thickTop="1" thickBot="1">
      <c r="A275" s="1"/>
      <c r="B275" s="1">
        <f t="shared" si="8"/>
        <v>0</v>
      </c>
      <c r="D275" s="98"/>
      <c r="E275" s="239"/>
      <c r="F275" s="243"/>
      <c r="G275" s="243"/>
      <c r="H275" s="243"/>
      <c r="I275" s="243"/>
      <c r="J275" s="243"/>
      <c r="K275" s="243"/>
      <c r="L275" s="366"/>
      <c r="M275" s="46"/>
      <c r="N275" s="243"/>
      <c r="O275" s="243"/>
      <c r="P275" s="243"/>
      <c r="Q275" s="243"/>
      <c r="R275" s="243"/>
      <c r="S275" s="243"/>
      <c r="T275" s="243"/>
      <c r="U275" s="243"/>
      <c r="V275" s="243"/>
      <c r="W275" s="243"/>
      <c r="X275" s="256"/>
      <c r="Y275" s="253"/>
      <c r="Z275" s="254"/>
      <c r="AA275" s="254"/>
      <c r="AB275" s="254"/>
      <c r="AC275" s="254"/>
      <c r="AD275" s="254"/>
      <c r="AE275" s="254"/>
      <c r="AF275" s="254"/>
      <c r="AG275" s="254"/>
      <c r="AH275" s="254"/>
      <c r="AI275" s="254"/>
      <c r="AJ275" s="254"/>
      <c r="AK275" s="254"/>
      <c r="AL275" s="254"/>
      <c r="AM275" s="254"/>
      <c r="AN275" s="254"/>
      <c r="AO275" s="254"/>
      <c r="AP275" s="254"/>
      <c r="AQ275" s="254"/>
      <c r="AR275" s="254"/>
      <c r="AS275" s="254"/>
      <c r="AT275" s="254"/>
      <c r="AU275" s="254"/>
      <c r="AV275" s="254"/>
      <c r="AW275" s="254"/>
      <c r="AX275" s="256"/>
      <c r="AZ275" s="254" t="str">
        <f ca="1"/>
        <v/>
      </c>
      <c r="BA275" s="254" t="str">
        <f ca="1"/>
        <v/>
      </c>
      <c r="BB275" s="254" t="str">
        <f ca="1"/>
        <v/>
      </c>
      <c r="BC275" s="254" t="str">
        <f ca="1"/>
        <v/>
      </c>
      <c r="BD275" s="256">
        <f ca="1"/>
        <v>0</v>
      </c>
      <c r="BF275" s="254"/>
      <c r="BG275" s="254"/>
      <c r="BH275" s="254"/>
      <c r="BI275" s="254"/>
      <c r="BJ275" s="243"/>
      <c r="BK275" s="254"/>
      <c r="BL275" s="256"/>
      <c r="BM275" s="46"/>
      <c r="BN275" s="256">
        <f ca="1"/>
        <v>0</v>
      </c>
      <c r="BP275" s="248">
        <f ca="1"/>
        <v>0</v>
      </c>
      <c r="BR275" s="248">
        <f ca="1"/>
        <v>0</v>
      </c>
      <c r="BT275" s="248">
        <f ca="1"/>
        <v>0</v>
      </c>
      <c r="BU275" s="248">
        <f ca="1"/>
        <v>0</v>
      </c>
    </row>
    <row r="276" spans="1:73" ht="16" hidden="1" thickTop="1" thickBot="1">
      <c r="A276" s="1"/>
      <c r="B276" s="1">
        <f t="shared" si="8"/>
        <v>0</v>
      </c>
      <c r="D276" s="98"/>
      <c r="E276" s="239"/>
      <c r="F276" s="243"/>
      <c r="G276" s="243"/>
      <c r="H276" s="243"/>
      <c r="I276" s="243"/>
      <c r="J276" s="243"/>
      <c r="K276" s="243"/>
      <c r="L276" s="366"/>
      <c r="M276" s="46"/>
      <c r="N276" s="243"/>
      <c r="O276" s="243"/>
      <c r="P276" s="243"/>
      <c r="Q276" s="243"/>
      <c r="R276" s="243"/>
      <c r="S276" s="243"/>
      <c r="T276" s="243"/>
      <c r="U276" s="243"/>
      <c r="V276" s="243"/>
      <c r="W276" s="243"/>
      <c r="X276" s="256"/>
      <c r="Y276" s="253"/>
      <c r="Z276" s="254"/>
      <c r="AA276" s="254"/>
      <c r="AB276" s="254"/>
      <c r="AC276" s="254"/>
      <c r="AD276" s="254"/>
      <c r="AE276" s="254"/>
      <c r="AF276" s="254"/>
      <c r="AG276" s="254"/>
      <c r="AH276" s="254"/>
      <c r="AI276" s="254"/>
      <c r="AJ276" s="254"/>
      <c r="AK276" s="254"/>
      <c r="AL276" s="254"/>
      <c r="AM276" s="254"/>
      <c r="AN276" s="254"/>
      <c r="AO276" s="254"/>
      <c r="AP276" s="254"/>
      <c r="AQ276" s="254"/>
      <c r="AR276" s="254"/>
      <c r="AS276" s="254"/>
      <c r="AT276" s="254"/>
      <c r="AU276" s="254"/>
      <c r="AV276" s="254"/>
      <c r="AW276" s="254"/>
      <c r="AX276" s="256"/>
      <c r="AZ276" s="254" t="str">
        <f ca="1"/>
        <v/>
      </c>
      <c r="BA276" s="254" t="str">
        <f ca="1"/>
        <v/>
      </c>
      <c r="BB276" s="254" t="str">
        <f ca="1"/>
        <v/>
      </c>
      <c r="BC276" s="254" t="str">
        <f ca="1"/>
        <v/>
      </c>
      <c r="BD276" s="256">
        <f ca="1"/>
        <v>0</v>
      </c>
      <c r="BF276" s="254"/>
      <c r="BG276" s="254"/>
      <c r="BH276" s="254"/>
      <c r="BI276" s="254"/>
      <c r="BJ276" s="243"/>
      <c r="BK276" s="254"/>
      <c r="BL276" s="256"/>
      <c r="BM276" s="46"/>
      <c r="BN276" s="256">
        <f ca="1"/>
        <v>0</v>
      </c>
      <c r="BP276" s="248">
        <f ca="1"/>
        <v>0</v>
      </c>
      <c r="BR276" s="248">
        <f ca="1"/>
        <v>0</v>
      </c>
      <c r="BT276" s="248">
        <f ca="1"/>
        <v>0</v>
      </c>
      <c r="BU276" s="248">
        <f ca="1"/>
        <v>0</v>
      </c>
    </row>
    <row r="277" spans="1:73" ht="16" hidden="1" thickTop="1" thickBot="1">
      <c r="A277" s="1"/>
      <c r="B277" s="1">
        <f t="shared" si="8"/>
        <v>0</v>
      </c>
      <c r="D277" s="98"/>
      <c r="E277" s="239"/>
      <c r="F277" s="243"/>
      <c r="G277" s="243"/>
      <c r="H277" s="243"/>
      <c r="I277" s="243"/>
      <c r="J277" s="243"/>
      <c r="K277" s="243"/>
      <c r="L277" s="366"/>
      <c r="M277" s="46"/>
      <c r="N277" s="243"/>
      <c r="O277" s="243"/>
      <c r="P277" s="243"/>
      <c r="Q277" s="243"/>
      <c r="R277" s="243"/>
      <c r="S277" s="243"/>
      <c r="T277" s="243"/>
      <c r="U277" s="243"/>
      <c r="V277" s="243"/>
      <c r="W277" s="243"/>
      <c r="X277" s="256"/>
      <c r="Y277" s="253"/>
      <c r="Z277" s="254"/>
      <c r="AA277" s="254"/>
      <c r="AB277" s="254"/>
      <c r="AC277" s="254"/>
      <c r="AD277" s="254"/>
      <c r="AE277" s="254"/>
      <c r="AF277" s="254"/>
      <c r="AG277" s="254"/>
      <c r="AH277" s="254"/>
      <c r="AI277" s="254"/>
      <c r="AJ277" s="254"/>
      <c r="AK277" s="254"/>
      <c r="AL277" s="254"/>
      <c r="AM277" s="254"/>
      <c r="AN277" s="254"/>
      <c r="AO277" s="254"/>
      <c r="AP277" s="254"/>
      <c r="AQ277" s="254"/>
      <c r="AR277" s="254"/>
      <c r="AS277" s="254"/>
      <c r="AT277" s="254"/>
      <c r="AU277" s="254"/>
      <c r="AV277" s="254"/>
      <c r="AW277" s="254"/>
      <c r="AX277" s="256"/>
      <c r="AZ277" s="254" t="str">
        <f ca="1"/>
        <v/>
      </c>
      <c r="BA277" s="254" t="str">
        <f ca="1"/>
        <v/>
      </c>
      <c r="BB277" s="254" t="str">
        <f ca="1"/>
        <v/>
      </c>
      <c r="BC277" s="254" t="str">
        <f ca="1"/>
        <v/>
      </c>
      <c r="BD277" s="256">
        <f ca="1"/>
        <v>0</v>
      </c>
      <c r="BF277" s="254"/>
      <c r="BG277" s="254"/>
      <c r="BH277" s="254"/>
      <c r="BI277" s="254"/>
      <c r="BJ277" s="243"/>
      <c r="BK277" s="254"/>
      <c r="BL277" s="256"/>
      <c r="BM277" s="46"/>
      <c r="BN277" s="256">
        <f ca="1"/>
        <v>0</v>
      </c>
      <c r="BP277" s="248">
        <f ca="1"/>
        <v>0</v>
      </c>
      <c r="BR277" s="248">
        <f ca="1"/>
        <v>0</v>
      </c>
      <c r="BT277" s="248">
        <f ca="1"/>
        <v>0</v>
      </c>
      <c r="BU277" s="248">
        <f ca="1"/>
        <v>0</v>
      </c>
    </row>
    <row r="278" spans="1:73" ht="16" hidden="1" thickTop="1" thickBot="1">
      <c r="A278" s="1"/>
      <c r="B278" s="1">
        <f t="shared" si="8"/>
        <v>0</v>
      </c>
      <c r="D278" s="98"/>
      <c r="E278" s="239"/>
      <c r="F278" s="243"/>
      <c r="G278" s="243"/>
      <c r="H278" s="243"/>
      <c r="I278" s="243"/>
      <c r="J278" s="243"/>
      <c r="K278" s="243"/>
      <c r="L278" s="366"/>
      <c r="M278" s="46"/>
      <c r="N278" s="243"/>
      <c r="O278" s="243"/>
      <c r="P278" s="243"/>
      <c r="Q278" s="243"/>
      <c r="R278" s="243"/>
      <c r="S278" s="243"/>
      <c r="T278" s="243"/>
      <c r="U278" s="243"/>
      <c r="V278" s="243"/>
      <c r="W278" s="243"/>
      <c r="X278" s="256"/>
      <c r="Y278" s="253"/>
      <c r="Z278" s="254"/>
      <c r="AA278" s="254"/>
      <c r="AB278" s="254"/>
      <c r="AC278" s="254"/>
      <c r="AD278" s="254"/>
      <c r="AE278" s="254"/>
      <c r="AF278" s="254"/>
      <c r="AG278" s="254"/>
      <c r="AH278" s="254"/>
      <c r="AI278" s="254"/>
      <c r="AJ278" s="254"/>
      <c r="AK278" s="254"/>
      <c r="AL278" s="254"/>
      <c r="AM278" s="254"/>
      <c r="AN278" s="254"/>
      <c r="AO278" s="254"/>
      <c r="AP278" s="254"/>
      <c r="AQ278" s="254"/>
      <c r="AR278" s="254"/>
      <c r="AS278" s="254"/>
      <c r="AT278" s="254"/>
      <c r="AU278" s="254"/>
      <c r="AV278" s="254"/>
      <c r="AW278" s="254"/>
      <c r="AX278" s="256"/>
      <c r="AZ278" s="254" t="str">
        <f ca="1"/>
        <v/>
      </c>
      <c r="BA278" s="254" t="str">
        <f ca="1"/>
        <v/>
      </c>
      <c r="BB278" s="254" t="str">
        <f ca="1"/>
        <v/>
      </c>
      <c r="BC278" s="254" t="str">
        <f ca="1"/>
        <v/>
      </c>
      <c r="BD278" s="256">
        <f ca="1"/>
        <v>0</v>
      </c>
      <c r="BF278" s="254"/>
      <c r="BG278" s="254"/>
      <c r="BH278" s="254"/>
      <c r="BI278" s="254"/>
      <c r="BJ278" s="243"/>
      <c r="BK278" s="254"/>
      <c r="BL278" s="256"/>
      <c r="BM278" s="46"/>
      <c r="BN278" s="256">
        <f ca="1"/>
        <v>0</v>
      </c>
      <c r="BP278" s="248">
        <f ca="1"/>
        <v>0</v>
      </c>
      <c r="BR278" s="248">
        <f ca="1"/>
        <v>0</v>
      </c>
      <c r="BT278" s="248">
        <f ca="1"/>
        <v>0</v>
      </c>
      <c r="BU278" s="248">
        <f ca="1"/>
        <v>0</v>
      </c>
    </row>
    <row r="279" spans="1:73" ht="16" hidden="1" thickTop="1" thickBot="1">
      <c r="A279" s="1"/>
      <c r="B279" s="1">
        <f t="shared" si="8"/>
        <v>0</v>
      </c>
      <c r="D279" s="98"/>
      <c r="E279" s="239"/>
      <c r="F279" s="243"/>
      <c r="G279" s="243"/>
      <c r="H279" s="243"/>
      <c r="I279" s="243"/>
      <c r="J279" s="243"/>
      <c r="K279" s="243"/>
      <c r="L279" s="366"/>
      <c r="M279" s="46"/>
      <c r="N279" s="243"/>
      <c r="O279" s="243"/>
      <c r="P279" s="243"/>
      <c r="Q279" s="243"/>
      <c r="R279" s="243"/>
      <c r="S279" s="243"/>
      <c r="T279" s="243"/>
      <c r="U279" s="243"/>
      <c r="V279" s="243"/>
      <c r="W279" s="243"/>
      <c r="X279" s="256"/>
      <c r="Y279" s="253"/>
      <c r="Z279" s="254"/>
      <c r="AA279" s="254"/>
      <c r="AB279" s="254"/>
      <c r="AC279" s="254"/>
      <c r="AD279" s="254"/>
      <c r="AE279" s="254"/>
      <c r="AF279" s="254"/>
      <c r="AG279" s="254"/>
      <c r="AH279" s="254"/>
      <c r="AI279" s="254"/>
      <c r="AJ279" s="254"/>
      <c r="AK279" s="254"/>
      <c r="AL279" s="254"/>
      <c r="AM279" s="254"/>
      <c r="AN279" s="254"/>
      <c r="AO279" s="254"/>
      <c r="AP279" s="254"/>
      <c r="AQ279" s="254"/>
      <c r="AR279" s="254"/>
      <c r="AS279" s="254"/>
      <c r="AT279" s="254"/>
      <c r="AU279" s="254"/>
      <c r="AV279" s="254"/>
      <c r="AW279" s="254"/>
      <c r="AX279" s="256"/>
      <c r="AZ279" s="254" t="str">
        <f ca="1"/>
        <v/>
      </c>
      <c r="BA279" s="254" t="str">
        <f ca="1"/>
        <v/>
      </c>
      <c r="BB279" s="254" t="str">
        <f ca="1"/>
        <v/>
      </c>
      <c r="BC279" s="254" t="str">
        <f ca="1"/>
        <v/>
      </c>
      <c r="BD279" s="256">
        <f ca="1"/>
        <v>0</v>
      </c>
      <c r="BF279" s="254"/>
      <c r="BG279" s="254"/>
      <c r="BH279" s="254"/>
      <c r="BI279" s="254"/>
      <c r="BJ279" s="243"/>
      <c r="BK279" s="254"/>
      <c r="BL279" s="256"/>
      <c r="BM279" s="46"/>
      <c r="BN279" s="256">
        <f ca="1"/>
        <v>0</v>
      </c>
      <c r="BP279" s="248">
        <f ca="1"/>
        <v>0</v>
      </c>
      <c r="BR279" s="248">
        <f ca="1"/>
        <v>0</v>
      </c>
      <c r="BT279" s="248">
        <f ca="1"/>
        <v>0</v>
      </c>
      <c r="BU279" s="248">
        <f ca="1"/>
        <v>0</v>
      </c>
    </row>
    <row r="280" spans="1:73" ht="16" hidden="1" thickTop="1" thickBot="1">
      <c r="A280" s="1"/>
      <c r="B280" s="1">
        <f t="shared" si="8"/>
        <v>0</v>
      </c>
      <c r="D280" s="98"/>
      <c r="E280" s="239"/>
      <c r="F280" s="243"/>
      <c r="G280" s="243"/>
      <c r="H280" s="243"/>
      <c r="I280" s="243"/>
      <c r="J280" s="243"/>
      <c r="K280" s="243"/>
      <c r="L280" s="366"/>
      <c r="M280" s="46"/>
      <c r="N280" s="243"/>
      <c r="O280" s="243"/>
      <c r="P280" s="243"/>
      <c r="Q280" s="243"/>
      <c r="R280" s="243"/>
      <c r="S280" s="243"/>
      <c r="T280" s="243"/>
      <c r="U280" s="243"/>
      <c r="V280" s="243"/>
      <c r="W280" s="243"/>
      <c r="X280" s="256"/>
      <c r="Y280" s="253"/>
      <c r="Z280" s="254"/>
      <c r="AA280" s="254"/>
      <c r="AB280" s="254"/>
      <c r="AC280" s="254"/>
      <c r="AD280" s="254"/>
      <c r="AE280" s="254"/>
      <c r="AF280" s="254"/>
      <c r="AG280" s="254"/>
      <c r="AH280" s="254"/>
      <c r="AI280" s="254"/>
      <c r="AJ280" s="254"/>
      <c r="AK280" s="254"/>
      <c r="AL280" s="254"/>
      <c r="AM280" s="254"/>
      <c r="AN280" s="254"/>
      <c r="AO280" s="254"/>
      <c r="AP280" s="254"/>
      <c r="AQ280" s="254"/>
      <c r="AR280" s="254"/>
      <c r="AS280" s="254"/>
      <c r="AT280" s="254"/>
      <c r="AU280" s="254"/>
      <c r="AV280" s="254"/>
      <c r="AW280" s="254"/>
      <c r="AX280" s="256"/>
      <c r="AZ280" s="254" t="str">
        <f ca="1"/>
        <v/>
      </c>
      <c r="BA280" s="254" t="str">
        <f ca="1"/>
        <v/>
      </c>
      <c r="BB280" s="254" t="str">
        <f ca="1"/>
        <v/>
      </c>
      <c r="BC280" s="254" t="str">
        <f ca="1"/>
        <v/>
      </c>
      <c r="BD280" s="256">
        <f ca="1"/>
        <v>0</v>
      </c>
      <c r="BF280" s="254"/>
      <c r="BG280" s="254"/>
      <c r="BH280" s="254"/>
      <c r="BI280" s="254"/>
      <c r="BJ280" s="243"/>
      <c r="BK280" s="254"/>
      <c r="BL280" s="256"/>
      <c r="BM280" s="46"/>
      <c r="BN280" s="256">
        <f ca="1"/>
        <v>0</v>
      </c>
      <c r="BP280" s="248">
        <f ca="1"/>
        <v>0</v>
      </c>
      <c r="BR280" s="248">
        <f ca="1"/>
        <v>0</v>
      </c>
      <c r="BT280" s="248">
        <f ca="1"/>
        <v>0</v>
      </c>
      <c r="BU280" s="248">
        <f ca="1"/>
        <v>0</v>
      </c>
    </row>
    <row r="281" spans="1:73" ht="16" hidden="1" thickTop="1" thickBot="1">
      <c r="A281" s="1"/>
      <c r="B281" s="1">
        <f t="shared" si="8"/>
        <v>0</v>
      </c>
      <c r="D281" s="98"/>
      <c r="E281" s="239"/>
      <c r="F281" s="243"/>
      <c r="G281" s="243"/>
      <c r="H281" s="243"/>
      <c r="I281" s="243"/>
      <c r="J281" s="243"/>
      <c r="K281" s="243"/>
      <c r="L281" s="366"/>
      <c r="M281" s="46"/>
      <c r="N281" s="243"/>
      <c r="O281" s="243"/>
      <c r="P281" s="243"/>
      <c r="Q281" s="243"/>
      <c r="R281" s="243"/>
      <c r="S281" s="243"/>
      <c r="T281" s="243"/>
      <c r="U281" s="243"/>
      <c r="V281" s="243"/>
      <c r="W281" s="243"/>
      <c r="X281" s="256"/>
      <c r="Y281" s="253"/>
      <c r="Z281" s="254"/>
      <c r="AA281" s="254"/>
      <c r="AB281" s="254"/>
      <c r="AC281" s="254"/>
      <c r="AD281" s="254"/>
      <c r="AE281" s="254"/>
      <c r="AF281" s="254"/>
      <c r="AG281" s="254"/>
      <c r="AH281" s="254"/>
      <c r="AI281" s="254"/>
      <c r="AJ281" s="254"/>
      <c r="AK281" s="254"/>
      <c r="AL281" s="254"/>
      <c r="AM281" s="254"/>
      <c r="AN281" s="254"/>
      <c r="AO281" s="254"/>
      <c r="AP281" s="254"/>
      <c r="AQ281" s="254"/>
      <c r="AR281" s="254"/>
      <c r="AS281" s="254"/>
      <c r="AT281" s="254"/>
      <c r="AU281" s="254"/>
      <c r="AV281" s="254"/>
      <c r="AW281" s="254"/>
      <c r="AX281" s="256"/>
      <c r="AZ281" s="254" t="str">
        <f ca="1"/>
        <v/>
      </c>
      <c r="BA281" s="254" t="str">
        <f ca="1"/>
        <v/>
      </c>
      <c r="BB281" s="254" t="str">
        <f ca="1"/>
        <v/>
      </c>
      <c r="BC281" s="254" t="str">
        <f ca="1"/>
        <v/>
      </c>
      <c r="BD281" s="256">
        <f ca="1"/>
        <v>0</v>
      </c>
      <c r="BF281" s="254"/>
      <c r="BG281" s="254"/>
      <c r="BH281" s="254"/>
      <c r="BI281" s="254"/>
      <c r="BJ281" s="243"/>
      <c r="BK281" s="254"/>
      <c r="BL281" s="256"/>
      <c r="BM281" s="46"/>
      <c r="BN281" s="256">
        <f ca="1"/>
        <v>0</v>
      </c>
      <c r="BP281" s="248">
        <f ca="1"/>
        <v>0</v>
      </c>
      <c r="BR281" s="248">
        <f ca="1"/>
        <v>0</v>
      </c>
      <c r="BT281" s="248">
        <f ca="1"/>
        <v>0</v>
      </c>
      <c r="BU281" s="248">
        <f ca="1"/>
        <v>0</v>
      </c>
    </row>
    <row r="282" spans="1:73" ht="16" hidden="1" thickTop="1" thickBot="1">
      <c r="A282" s="1"/>
      <c r="B282" s="1">
        <f t="shared" si="8"/>
        <v>0</v>
      </c>
      <c r="D282" s="98"/>
      <c r="E282" s="239"/>
      <c r="F282" s="243"/>
      <c r="G282" s="243"/>
      <c r="H282" s="243"/>
      <c r="I282" s="243"/>
      <c r="J282" s="243"/>
      <c r="K282" s="243"/>
      <c r="L282" s="366"/>
      <c r="M282" s="46"/>
      <c r="N282" s="243"/>
      <c r="O282" s="243"/>
      <c r="P282" s="243"/>
      <c r="Q282" s="243"/>
      <c r="R282" s="243"/>
      <c r="S282" s="243"/>
      <c r="T282" s="243"/>
      <c r="U282" s="243"/>
      <c r="V282" s="243"/>
      <c r="W282" s="243"/>
      <c r="X282" s="256"/>
      <c r="Y282" s="253"/>
      <c r="Z282" s="254"/>
      <c r="AA282" s="254"/>
      <c r="AB282" s="254"/>
      <c r="AC282" s="254"/>
      <c r="AD282" s="254"/>
      <c r="AE282" s="254"/>
      <c r="AF282" s="254"/>
      <c r="AG282" s="254"/>
      <c r="AH282" s="254"/>
      <c r="AI282" s="254"/>
      <c r="AJ282" s="254"/>
      <c r="AK282" s="254"/>
      <c r="AL282" s="254"/>
      <c r="AM282" s="254"/>
      <c r="AN282" s="254"/>
      <c r="AO282" s="254"/>
      <c r="AP282" s="254"/>
      <c r="AQ282" s="254"/>
      <c r="AR282" s="254"/>
      <c r="AS282" s="254"/>
      <c r="AT282" s="254"/>
      <c r="AU282" s="254"/>
      <c r="AV282" s="254"/>
      <c r="AW282" s="254"/>
      <c r="AX282" s="256"/>
      <c r="AZ282" s="254" t="str">
        <f ca="1"/>
        <v/>
      </c>
      <c r="BA282" s="254" t="str">
        <f ca="1"/>
        <v/>
      </c>
      <c r="BB282" s="254" t="str">
        <f ca="1"/>
        <v/>
      </c>
      <c r="BC282" s="254" t="str">
        <f ca="1"/>
        <v/>
      </c>
      <c r="BD282" s="256">
        <f ca="1"/>
        <v>0</v>
      </c>
      <c r="BF282" s="254"/>
      <c r="BG282" s="254"/>
      <c r="BH282" s="254"/>
      <c r="BI282" s="254"/>
      <c r="BJ282" s="243"/>
      <c r="BK282" s="254"/>
      <c r="BL282" s="256"/>
      <c r="BM282" s="46"/>
      <c r="BN282" s="256">
        <f ca="1"/>
        <v>0</v>
      </c>
      <c r="BP282" s="248">
        <f ca="1"/>
        <v>0</v>
      </c>
      <c r="BR282" s="248">
        <f ca="1"/>
        <v>0</v>
      </c>
      <c r="BT282" s="248">
        <f ca="1"/>
        <v>0</v>
      </c>
      <c r="BU282" s="248">
        <f ca="1"/>
        <v>0</v>
      </c>
    </row>
    <row r="283" spans="1:73" ht="16" hidden="1" thickTop="1" thickBot="1">
      <c r="A283" s="1"/>
      <c r="B283" s="1">
        <f t="shared" si="8"/>
        <v>0</v>
      </c>
      <c r="D283" s="98"/>
      <c r="E283" s="239"/>
      <c r="F283" s="243"/>
      <c r="G283" s="243"/>
      <c r="H283" s="243"/>
      <c r="I283" s="243"/>
      <c r="J283" s="243"/>
      <c r="K283" s="243"/>
      <c r="L283" s="366"/>
      <c r="M283" s="46"/>
      <c r="N283" s="243"/>
      <c r="O283" s="243"/>
      <c r="P283" s="243"/>
      <c r="Q283" s="243"/>
      <c r="R283" s="243"/>
      <c r="S283" s="243"/>
      <c r="T283" s="243"/>
      <c r="U283" s="243"/>
      <c r="V283" s="243"/>
      <c r="W283" s="243"/>
      <c r="X283" s="256"/>
      <c r="Y283" s="253"/>
      <c r="Z283" s="254"/>
      <c r="AA283" s="254"/>
      <c r="AB283" s="254"/>
      <c r="AC283" s="254"/>
      <c r="AD283" s="254"/>
      <c r="AE283" s="254"/>
      <c r="AF283" s="254"/>
      <c r="AG283" s="254"/>
      <c r="AH283" s="254"/>
      <c r="AI283" s="254"/>
      <c r="AJ283" s="254"/>
      <c r="AK283" s="254"/>
      <c r="AL283" s="254"/>
      <c r="AM283" s="254"/>
      <c r="AN283" s="254"/>
      <c r="AO283" s="254"/>
      <c r="AP283" s="254"/>
      <c r="AQ283" s="254"/>
      <c r="AR283" s="254"/>
      <c r="AS283" s="254"/>
      <c r="AT283" s="254"/>
      <c r="AU283" s="254"/>
      <c r="AV283" s="254"/>
      <c r="AW283" s="254"/>
      <c r="AX283" s="256"/>
      <c r="AZ283" s="254" t="str">
        <f ca="1"/>
        <v/>
      </c>
      <c r="BA283" s="254" t="str">
        <f ca="1"/>
        <v/>
      </c>
      <c r="BB283" s="254" t="str">
        <f ca="1"/>
        <v/>
      </c>
      <c r="BC283" s="254" t="str">
        <f ca="1"/>
        <v/>
      </c>
      <c r="BD283" s="256">
        <f ca="1"/>
        <v>0</v>
      </c>
      <c r="BF283" s="254"/>
      <c r="BG283" s="254"/>
      <c r="BH283" s="254"/>
      <c r="BI283" s="254"/>
      <c r="BJ283" s="243"/>
      <c r="BK283" s="254"/>
      <c r="BL283" s="256"/>
      <c r="BM283" s="46"/>
      <c r="BN283" s="256">
        <f ca="1"/>
        <v>0</v>
      </c>
      <c r="BP283" s="248">
        <f ca="1"/>
        <v>0</v>
      </c>
      <c r="BR283" s="248">
        <f ca="1"/>
        <v>0</v>
      </c>
      <c r="BT283" s="248">
        <f ca="1"/>
        <v>0</v>
      </c>
      <c r="BU283" s="248">
        <f ca="1"/>
        <v>0</v>
      </c>
    </row>
    <row r="284" spans="1:73" ht="16" hidden="1" thickTop="1" thickBot="1">
      <c r="A284" s="1"/>
      <c r="B284" s="1">
        <f t="shared" si="8"/>
        <v>0</v>
      </c>
      <c r="D284" s="98"/>
      <c r="E284" s="239"/>
      <c r="F284" s="243"/>
      <c r="G284" s="243"/>
      <c r="H284" s="243"/>
      <c r="I284" s="243"/>
      <c r="J284" s="243"/>
      <c r="K284" s="243"/>
      <c r="L284" s="366"/>
      <c r="M284" s="46"/>
      <c r="N284" s="243"/>
      <c r="O284" s="243"/>
      <c r="P284" s="243"/>
      <c r="Q284" s="243"/>
      <c r="R284" s="243"/>
      <c r="S284" s="243"/>
      <c r="T284" s="243"/>
      <c r="U284" s="243"/>
      <c r="V284" s="243"/>
      <c r="W284" s="243"/>
      <c r="X284" s="256"/>
      <c r="Y284" s="253"/>
      <c r="Z284" s="254"/>
      <c r="AA284" s="254"/>
      <c r="AB284" s="254"/>
      <c r="AC284" s="254"/>
      <c r="AD284" s="254"/>
      <c r="AE284" s="254"/>
      <c r="AF284" s="254"/>
      <c r="AG284" s="254"/>
      <c r="AH284" s="254"/>
      <c r="AI284" s="254"/>
      <c r="AJ284" s="254"/>
      <c r="AK284" s="254"/>
      <c r="AL284" s="254"/>
      <c r="AM284" s="254"/>
      <c r="AN284" s="254"/>
      <c r="AO284" s="254"/>
      <c r="AP284" s="254"/>
      <c r="AQ284" s="254"/>
      <c r="AR284" s="254"/>
      <c r="AS284" s="254"/>
      <c r="AT284" s="254"/>
      <c r="AU284" s="254"/>
      <c r="AV284" s="254"/>
      <c r="AW284" s="254"/>
      <c r="AX284" s="256"/>
      <c r="AZ284" s="254" t="str">
        <f ca="1"/>
        <v/>
      </c>
      <c r="BA284" s="254" t="str">
        <f ca="1"/>
        <v/>
      </c>
      <c r="BB284" s="254" t="str">
        <f ca="1"/>
        <v/>
      </c>
      <c r="BC284" s="254" t="str">
        <f ca="1"/>
        <v/>
      </c>
      <c r="BD284" s="256">
        <f ca="1"/>
        <v>0</v>
      </c>
      <c r="BF284" s="254"/>
      <c r="BG284" s="254"/>
      <c r="BH284" s="254"/>
      <c r="BI284" s="254"/>
      <c r="BJ284" s="243"/>
      <c r="BK284" s="254"/>
      <c r="BL284" s="256"/>
      <c r="BM284" s="46"/>
      <c r="BN284" s="256">
        <f ca="1"/>
        <v>0</v>
      </c>
      <c r="BP284" s="248">
        <f ca="1"/>
        <v>0</v>
      </c>
      <c r="BR284" s="248">
        <f ca="1"/>
        <v>0</v>
      </c>
      <c r="BT284" s="248">
        <f ca="1"/>
        <v>0</v>
      </c>
      <c r="BU284" s="248">
        <f ca="1"/>
        <v>0</v>
      </c>
    </row>
    <row r="285" spans="1:73" ht="16" hidden="1" thickTop="1" thickBot="1">
      <c r="A285" s="1"/>
      <c r="B285" s="1">
        <f t="shared" si="8"/>
        <v>0</v>
      </c>
      <c r="D285" s="98"/>
      <c r="E285" s="239"/>
      <c r="F285" s="243"/>
      <c r="G285" s="243"/>
      <c r="H285" s="243"/>
      <c r="I285" s="243"/>
      <c r="J285" s="243"/>
      <c r="K285" s="243"/>
      <c r="L285" s="366"/>
      <c r="M285" s="46"/>
      <c r="N285" s="243"/>
      <c r="O285" s="243"/>
      <c r="P285" s="243"/>
      <c r="Q285" s="243"/>
      <c r="R285" s="243"/>
      <c r="S285" s="243"/>
      <c r="T285" s="243"/>
      <c r="U285" s="243"/>
      <c r="V285" s="243"/>
      <c r="W285" s="243"/>
      <c r="X285" s="256"/>
      <c r="Y285" s="253"/>
      <c r="Z285" s="254"/>
      <c r="AA285" s="254"/>
      <c r="AB285" s="254"/>
      <c r="AC285" s="254"/>
      <c r="AD285" s="254"/>
      <c r="AE285" s="254"/>
      <c r="AF285" s="254"/>
      <c r="AG285" s="254"/>
      <c r="AH285" s="254"/>
      <c r="AI285" s="254"/>
      <c r="AJ285" s="254"/>
      <c r="AK285" s="254"/>
      <c r="AL285" s="254"/>
      <c r="AM285" s="254"/>
      <c r="AN285" s="254"/>
      <c r="AO285" s="254"/>
      <c r="AP285" s="254"/>
      <c r="AQ285" s="254"/>
      <c r="AR285" s="254"/>
      <c r="AS285" s="254"/>
      <c r="AT285" s="254"/>
      <c r="AU285" s="254"/>
      <c r="AV285" s="254"/>
      <c r="AW285" s="254"/>
      <c r="AX285" s="256"/>
      <c r="AZ285" s="254" t="str">
        <f ca="1"/>
        <v/>
      </c>
      <c r="BA285" s="254" t="str">
        <f ca="1"/>
        <v/>
      </c>
      <c r="BB285" s="254" t="str">
        <f ca="1"/>
        <v/>
      </c>
      <c r="BC285" s="254" t="str">
        <f ca="1"/>
        <v/>
      </c>
      <c r="BD285" s="256">
        <f ca="1"/>
        <v>0</v>
      </c>
      <c r="BF285" s="254"/>
      <c r="BG285" s="254"/>
      <c r="BH285" s="254"/>
      <c r="BI285" s="254"/>
      <c r="BJ285" s="243"/>
      <c r="BK285" s="254"/>
      <c r="BL285" s="256"/>
      <c r="BM285" s="46"/>
      <c r="BN285" s="256">
        <f ca="1"/>
        <v>0</v>
      </c>
      <c r="BP285" s="248">
        <f ca="1"/>
        <v>0</v>
      </c>
      <c r="BR285" s="248">
        <f ca="1"/>
        <v>0</v>
      </c>
      <c r="BT285" s="248">
        <f ca="1"/>
        <v>0</v>
      </c>
      <c r="BU285" s="248">
        <f ca="1"/>
        <v>0</v>
      </c>
    </row>
    <row r="286" spans="1:73" ht="16" hidden="1" thickTop="1" thickBot="1">
      <c r="A286" s="1"/>
      <c r="B286" s="1">
        <f t="shared" si="8"/>
        <v>0</v>
      </c>
      <c r="D286" s="98"/>
      <c r="E286" s="239"/>
      <c r="F286" s="243"/>
      <c r="G286" s="243"/>
      <c r="H286" s="243"/>
      <c r="I286" s="243"/>
      <c r="J286" s="243"/>
      <c r="K286" s="243"/>
      <c r="L286" s="366"/>
      <c r="M286" s="46"/>
      <c r="N286" s="243"/>
      <c r="O286" s="243"/>
      <c r="P286" s="243"/>
      <c r="Q286" s="243"/>
      <c r="R286" s="243"/>
      <c r="S286" s="243"/>
      <c r="T286" s="243"/>
      <c r="U286" s="243"/>
      <c r="V286" s="243"/>
      <c r="W286" s="243"/>
      <c r="X286" s="256"/>
      <c r="Y286" s="253"/>
      <c r="Z286" s="254"/>
      <c r="AA286" s="254"/>
      <c r="AB286" s="254"/>
      <c r="AC286" s="254"/>
      <c r="AD286" s="254"/>
      <c r="AE286" s="254"/>
      <c r="AF286" s="254"/>
      <c r="AG286" s="254"/>
      <c r="AH286" s="254"/>
      <c r="AI286" s="254"/>
      <c r="AJ286" s="254"/>
      <c r="AK286" s="254"/>
      <c r="AL286" s="254"/>
      <c r="AM286" s="254"/>
      <c r="AN286" s="254"/>
      <c r="AO286" s="254"/>
      <c r="AP286" s="254"/>
      <c r="AQ286" s="254"/>
      <c r="AR286" s="254"/>
      <c r="AS286" s="254"/>
      <c r="AT286" s="254"/>
      <c r="AU286" s="254"/>
      <c r="AV286" s="254"/>
      <c r="AW286" s="254"/>
      <c r="AX286" s="256"/>
      <c r="AZ286" s="254" t="str">
        <f ca="1"/>
        <v/>
      </c>
      <c r="BA286" s="254" t="str">
        <f ca="1"/>
        <v/>
      </c>
      <c r="BB286" s="254" t="str">
        <f ca="1"/>
        <v/>
      </c>
      <c r="BC286" s="254" t="str">
        <f ca="1"/>
        <v/>
      </c>
      <c r="BD286" s="256">
        <f ca="1"/>
        <v>0</v>
      </c>
      <c r="BF286" s="254"/>
      <c r="BG286" s="254"/>
      <c r="BH286" s="254"/>
      <c r="BI286" s="254"/>
      <c r="BJ286" s="243"/>
      <c r="BK286" s="254"/>
      <c r="BL286" s="256"/>
      <c r="BM286" s="46"/>
      <c r="BN286" s="256">
        <f ca="1"/>
        <v>0</v>
      </c>
      <c r="BP286" s="248">
        <f ca="1"/>
        <v>0</v>
      </c>
      <c r="BR286" s="248">
        <f ca="1"/>
        <v>0</v>
      </c>
      <c r="BT286" s="248">
        <f ca="1"/>
        <v>0</v>
      </c>
      <c r="BU286" s="248">
        <f ca="1"/>
        <v>0</v>
      </c>
    </row>
    <row r="287" spans="1:73" ht="16" hidden="1" thickTop="1" thickBot="1">
      <c r="A287" s="1"/>
      <c r="B287" s="1">
        <f t="shared" si="8"/>
        <v>0</v>
      </c>
      <c r="D287" s="98"/>
      <c r="E287" s="239"/>
      <c r="F287" s="243"/>
      <c r="G287" s="243"/>
      <c r="H287" s="243"/>
      <c r="I287" s="243"/>
      <c r="J287" s="243"/>
      <c r="K287" s="243"/>
      <c r="L287" s="366"/>
      <c r="M287" s="46"/>
      <c r="N287" s="243"/>
      <c r="O287" s="243"/>
      <c r="P287" s="243"/>
      <c r="Q287" s="243"/>
      <c r="R287" s="243"/>
      <c r="S287" s="243"/>
      <c r="T287" s="243"/>
      <c r="U287" s="243"/>
      <c r="V287" s="243"/>
      <c r="W287" s="243"/>
      <c r="X287" s="256"/>
      <c r="Y287" s="253"/>
      <c r="Z287" s="254"/>
      <c r="AA287" s="254"/>
      <c r="AB287" s="254"/>
      <c r="AC287" s="254"/>
      <c r="AD287" s="254"/>
      <c r="AE287" s="254"/>
      <c r="AF287" s="254"/>
      <c r="AG287" s="254"/>
      <c r="AH287" s="254"/>
      <c r="AI287" s="254"/>
      <c r="AJ287" s="254"/>
      <c r="AK287" s="254"/>
      <c r="AL287" s="254"/>
      <c r="AM287" s="254"/>
      <c r="AN287" s="254"/>
      <c r="AO287" s="254"/>
      <c r="AP287" s="254"/>
      <c r="AQ287" s="254"/>
      <c r="AR287" s="254"/>
      <c r="AS287" s="254"/>
      <c r="AT287" s="254"/>
      <c r="AU287" s="254"/>
      <c r="AV287" s="254"/>
      <c r="AW287" s="254"/>
      <c r="AX287" s="256"/>
      <c r="AZ287" s="254" t="str">
        <f ca="1"/>
        <v/>
      </c>
      <c r="BA287" s="254" t="str">
        <f ca="1"/>
        <v/>
      </c>
      <c r="BB287" s="254" t="str">
        <f ca="1"/>
        <v/>
      </c>
      <c r="BC287" s="254" t="str">
        <f ca="1"/>
        <v/>
      </c>
      <c r="BD287" s="256">
        <f ca="1"/>
        <v>0</v>
      </c>
      <c r="BF287" s="254"/>
      <c r="BG287" s="254"/>
      <c r="BH287" s="254"/>
      <c r="BI287" s="254"/>
      <c r="BJ287" s="243"/>
      <c r="BK287" s="254"/>
      <c r="BL287" s="256"/>
      <c r="BM287" s="46"/>
      <c r="BN287" s="256">
        <f ca="1"/>
        <v>0</v>
      </c>
      <c r="BP287" s="248">
        <f ca="1"/>
        <v>0</v>
      </c>
      <c r="BR287" s="248">
        <f ca="1"/>
        <v>0</v>
      </c>
      <c r="BT287" s="248">
        <f ca="1"/>
        <v>0</v>
      </c>
      <c r="BU287" s="248">
        <f ca="1"/>
        <v>0</v>
      </c>
    </row>
    <row r="288" spans="1:73" ht="16" hidden="1" thickTop="1" thickBot="1">
      <c r="A288" s="1"/>
      <c r="B288" s="1">
        <f t="shared" si="8"/>
        <v>0</v>
      </c>
      <c r="D288" s="98"/>
      <c r="E288" s="239"/>
      <c r="F288" s="243"/>
      <c r="G288" s="243"/>
      <c r="H288" s="243"/>
      <c r="I288" s="243"/>
      <c r="J288" s="243"/>
      <c r="K288" s="243"/>
      <c r="L288" s="366"/>
      <c r="M288" s="46"/>
      <c r="N288" s="243"/>
      <c r="O288" s="243"/>
      <c r="P288" s="243"/>
      <c r="Q288" s="243"/>
      <c r="R288" s="243"/>
      <c r="S288" s="243"/>
      <c r="T288" s="243"/>
      <c r="U288" s="243"/>
      <c r="V288" s="243"/>
      <c r="W288" s="243"/>
      <c r="X288" s="256"/>
      <c r="Y288" s="253"/>
      <c r="Z288" s="254"/>
      <c r="AA288" s="254"/>
      <c r="AB288" s="254"/>
      <c r="AC288" s="254"/>
      <c r="AD288" s="254"/>
      <c r="AE288" s="254"/>
      <c r="AF288" s="254"/>
      <c r="AG288" s="254"/>
      <c r="AH288" s="254"/>
      <c r="AI288" s="254"/>
      <c r="AJ288" s="254"/>
      <c r="AK288" s="254"/>
      <c r="AL288" s="254"/>
      <c r="AM288" s="254"/>
      <c r="AN288" s="254"/>
      <c r="AO288" s="254"/>
      <c r="AP288" s="254"/>
      <c r="AQ288" s="254"/>
      <c r="AR288" s="254"/>
      <c r="AS288" s="254"/>
      <c r="AT288" s="254"/>
      <c r="AU288" s="254"/>
      <c r="AV288" s="254"/>
      <c r="AW288" s="254"/>
      <c r="AX288" s="256"/>
      <c r="AZ288" s="254" t="str">
        <f ca="1"/>
        <v/>
      </c>
      <c r="BA288" s="254" t="str">
        <f ca="1"/>
        <v/>
      </c>
      <c r="BB288" s="254" t="str">
        <f ca="1"/>
        <v/>
      </c>
      <c r="BC288" s="254" t="str">
        <f ca="1"/>
        <v/>
      </c>
      <c r="BD288" s="256">
        <f ca="1"/>
        <v>0</v>
      </c>
      <c r="BF288" s="254"/>
      <c r="BG288" s="254"/>
      <c r="BH288" s="254"/>
      <c r="BI288" s="254"/>
      <c r="BJ288" s="243"/>
      <c r="BK288" s="254"/>
      <c r="BL288" s="256"/>
      <c r="BM288" s="46"/>
      <c r="BN288" s="256">
        <f ca="1"/>
        <v>0</v>
      </c>
      <c r="BP288" s="248">
        <f ca="1"/>
        <v>0</v>
      </c>
      <c r="BR288" s="248">
        <f ca="1"/>
        <v>0</v>
      </c>
      <c r="BT288" s="248">
        <f ca="1"/>
        <v>0</v>
      </c>
      <c r="BU288" s="248">
        <f ca="1"/>
        <v>0</v>
      </c>
    </row>
    <row r="289" spans="1:73" ht="16" hidden="1" thickTop="1" thickBot="1">
      <c r="A289" s="1"/>
      <c r="B289" s="1">
        <f t="shared" si="8"/>
        <v>0</v>
      </c>
      <c r="D289" s="98"/>
      <c r="E289" s="239"/>
      <c r="F289" s="243"/>
      <c r="G289" s="243"/>
      <c r="H289" s="243"/>
      <c r="I289" s="243"/>
      <c r="J289" s="243"/>
      <c r="K289" s="243"/>
      <c r="L289" s="366"/>
      <c r="M289" s="46"/>
      <c r="N289" s="243"/>
      <c r="O289" s="243"/>
      <c r="P289" s="243"/>
      <c r="Q289" s="243"/>
      <c r="R289" s="243"/>
      <c r="S289" s="243"/>
      <c r="T289" s="243"/>
      <c r="U289" s="243"/>
      <c r="V289" s="243"/>
      <c r="W289" s="243"/>
      <c r="X289" s="256"/>
      <c r="Y289" s="253"/>
      <c r="Z289" s="254"/>
      <c r="AA289" s="254"/>
      <c r="AB289" s="254"/>
      <c r="AC289" s="254"/>
      <c r="AD289" s="254"/>
      <c r="AE289" s="254"/>
      <c r="AF289" s="254"/>
      <c r="AG289" s="254"/>
      <c r="AH289" s="254"/>
      <c r="AI289" s="254"/>
      <c r="AJ289" s="254"/>
      <c r="AK289" s="254"/>
      <c r="AL289" s="254"/>
      <c r="AM289" s="254"/>
      <c r="AN289" s="254"/>
      <c r="AO289" s="254"/>
      <c r="AP289" s="254"/>
      <c r="AQ289" s="254"/>
      <c r="AR289" s="254"/>
      <c r="AS289" s="254"/>
      <c r="AT289" s="254"/>
      <c r="AU289" s="254"/>
      <c r="AV289" s="254"/>
      <c r="AW289" s="254"/>
      <c r="AX289" s="256"/>
      <c r="AZ289" s="254" t="str">
        <f ca="1"/>
        <v/>
      </c>
      <c r="BA289" s="254" t="str">
        <f ca="1"/>
        <v/>
      </c>
      <c r="BB289" s="254" t="str">
        <f ca="1"/>
        <v/>
      </c>
      <c r="BC289" s="254" t="str">
        <f ca="1"/>
        <v/>
      </c>
      <c r="BD289" s="256">
        <f ca="1"/>
        <v>0</v>
      </c>
      <c r="BF289" s="254"/>
      <c r="BG289" s="254"/>
      <c r="BH289" s="254"/>
      <c r="BI289" s="254"/>
      <c r="BJ289" s="243"/>
      <c r="BK289" s="254"/>
      <c r="BL289" s="256"/>
      <c r="BM289" s="46"/>
      <c r="BN289" s="256">
        <f ca="1"/>
        <v>0</v>
      </c>
      <c r="BP289" s="248">
        <f ca="1"/>
        <v>0</v>
      </c>
      <c r="BR289" s="248">
        <f ca="1"/>
        <v>0</v>
      </c>
      <c r="BT289" s="248">
        <f ca="1"/>
        <v>0</v>
      </c>
      <c r="BU289" s="248">
        <f ca="1"/>
        <v>0</v>
      </c>
    </row>
    <row r="290" spans="1:73" ht="16" hidden="1" thickTop="1" thickBot="1">
      <c r="A290" s="1"/>
      <c r="B290" s="1">
        <f t="shared" si="8"/>
        <v>0</v>
      </c>
      <c r="D290" s="98"/>
      <c r="E290" s="239"/>
      <c r="F290" s="243"/>
      <c r="G290" s="243"/>
      <c r="H290" s="243"/>
      <c r="I290" s="243"/>
      <c r="J290" s="243"/>
      <c r="K290" s="243"/>
      <c r="L290" s="366"/>
      <c r="M290" s="46"/>
      <c r="N290" s="243"/>
      <c r="O290" s="243"/>
      <c r="P290" s="243"/>
      <c r="Q290" s="243"/>
      <c r="R290" s="243"/>
      <c r="S290" s="243"/>
      <c r="T290" s="243"/>
      <c r="U290" s="243"/>
      <c r="V290" s="243"/>
      <c r="W290" s="243"/>
      <c r="X290" s="256"/>
      <c r="Y290" s="253"/>
      <c r="Z290" s="254"/>
      <c r="AA290" s="254"/>
      <c r="AB290" s="254"/>
      <c r="AC290" s="254"/>
      <c r="AD290" s="254"/>
      <c r="AE290" s="254"/>
      <c r="AF290" s="254"/>
      <c r="AG290" s="254"/>
      <c r="AH290" s="254"/>
      <c r="AI290" s="254"/>
      <c r="AJ290" s="254"/>
      <c r="AK290" s="254"/>
      <c r="AL290" s="254"/>
      <c r="AM290" s="254"/>
      <c r="AN290" s="254"/>
      <c r="AO290" s="254"/>
      <c r="AP290" s="254"/>
      <c r="AQ290" s="254"/>
      <c r="AR290" s="254"/>
      <c r="AS290" s="254"/>
      <c r="AT290" s="254"/>
      <c r="AU290" s="254"/>
      <c r="AV290" s="254"/>
      <c r="AW290" s="254"/>
      <c r="AX290" s="256"/>
      <c r="AZ290" s="254" t="str">
        <f ca="1"/>
        <v/>
      </c>
      <c r="BA290" s="254" t="str">
        <f ca="1"/>
        <v/>
      </c>
      <c r="BB290" s="254" t="str">
        <f ca="1"/>
        <v/>
      </c>
      <c r="BC290" s="254" t="str">
        <f ca="1"/>
        <v/>
      </c>
      <c r="BD290" s="256">
        <f ca="1"/>
        <v>0</v>
      </c>
      <c r="BF290" s="254"/>
      <c r="BG290" s="254"/>
      <c r="BH290" s="254"/>
      <c r="BI290" s="254"/>
      <c r="BJ290" s="243"/>
      <c r="BK290" s="254"/>
      <c r="BL290" s="256"/>
      <c r="BM290" s="46"/>
      <c r="BN290" s="256">
        <f ca="1"/>
        <v>0</v>
      </c>
      <c r="BP290" s="248">
        <f ca="1"/>
        <v>0</v>
      </c>
      <c r="BR290" s="248">
        <f ca="1"/>
        <v>0</v>
      </c>
      <c r="BT290" s="248">
        <f ca="1"/>
        <v>0</v>
      </c>
      <c r="BU290" s="248">
        <f ca="1"/>
        <v>0</v>
      </c>
    </row>
    <row r="291" spans="1:73" ht="16" hidden="1" thickTop="1" thickBot="1">
      <c r="A291" s="1"/>
      <c r="B291" s="1">
        <f t="shared" si="8"/>
        <v>0</v>
      </c>
      <c r="D291" s="98"/>
      <c r="E291" s="239"/>
      <c r="F291" s="243"/>
      <c r="G291" s="243"/>
      <c r="H291" s="243"/>
      <c r="I291" s="243"/>
      <c r="J291" s="243"/>
      <c r="K291" s="243"/>
      <c r="L291" s="366"/>
      <c r="M291" s="46"/>
      <c r="N291" s="243"/>
      <c r="O291" s="243"/>
      <c r="P291" s="243"/>
      <c r="Q291" s="243"/>
      <c r="R291" s="243"/>
      <c r="S291" s="243"/>
      <c r="T291" s="243"/>
      <c r="U291" s="243"/>
      <c r="V291" s="243"/>
      <c r="W291" s="243"/>
      <c r="X291" s="256"/>
      <c r="Y291" s="253"/>
      <c r="Z291" s="254"/>
      <c r="AA291" s="254"/>
      <c r="AB291" s="254"/>
      <c r="AC291" s="254"/>
      <c r="AD291" s="254"/>
      <c r="AE291" s="254"/>
      <c r="AF291" s="254"/>
      <c r="AG291" s="254"/>
      <c r="AH291" s="254"/>
      <c r="AI291" s="254"/>
      <c r="AJ291" s="254"/>
      <c r="AK291" s="254"/>
      <c r="AL291" s="254"/>
      <c r="AM291" s="254"/>
      <c r="AN291" s="254"/>
      <c r="AO291" s="254"/>
      <c r="AP291" s="254"/>
      <c r="AQ291" s="254"/>
      <c r="AR291" s="254"/>
      <c r="AS291" s="254"/>
      <c r="AT291" s="254"/>
      <c r="AU291" s="254"/>
      <c r="AV291" s="254"/>
      <c r="AW291" s="254"/>
      <c r="AX291" s="256"/>
      <c r="AZ291" s="254" t="str">
        <f ca="1"/>
        <v/>
      </c>
      <c r="BA291" s="254" t="str">
        <f ca="1"/>
        <v/>
      </c>
      <c r="BB291" s="254" t="str">
        <f ca="1"/>
        <v/>
      </c>
      <c r="BC291" s="254" t="str">
        <f ca="1"/>
        <v/>
      </c>
      <c r="BD291" s="256">
        <f ca="1"/>
        <v>0</v>
      </c>
      <c r="BF291" s="254"/>
      <c r="BG291" s="254"/>
      <c r="BH291" s="254"/>
      <c r="BI291" s="254"/>
      <c r="BJ291" s="243"/>
      <c r="BK291" s="254"/>
      <c r="BL291" s="256"/>
      <c r="BM291" s="46"/>
      <c r="BN291" s="256">
        <f ca="1"/>
        <v>0</v>
      </c>
      <c r="BP291" s="248">
        <f ca="1"/>
        <v>0</v>
      </c>
      <c r="BR291" s="248">
        <f ca="1"/>
        <v>0</v>
      </c>
      <c r="BT291" s="248">
        <f ca="1"/>
        <v>0</v>
      </c>
      <c r="BU291" s="248">
        <f ca="1"/>
        <v>0</v>
      </c>
    </row>
    <row r="292" spans="1:73" ht="16" hidden="1" thickTop="1" thickBot="1">
      <c r="A292" s="1"/>
      <c r="B292" s="1">
        <f t="shared" si="8"/>
        <v>0</v>
      </c>
      <c r="D292" s="98"/>
      <c r="E292" s="239"/>
      <c r="F292" s="243"/>
      <c r="G292" s="243"/>
      <c r="H292" s="243"/>
      <c r="I292" s="243"/>
      <c r="J292" s="243"/>
      <c r="K292" s="243"/>
      <c r="L292" s="366"/>
      <c r="M292" s="46"/>
      <c r="N292" s="243"/>
      <c r="O292" s="243"/>
      <c r="P292" s="243"/>
      <c r="Q292" s="243"/>
      <c r="R292" s="243"/>
      <c r="S292" s="243"/>
      <c r="T292" s="243"/>
      <c r="U292" s="243"/>
      <c r="V292" s="243"/>
      <c r="W292" s="243"/>
      <c r="X292" s="256"/>
      <c r="Y292" s="253"/>
      <c r="Z292" s="254"/>
      <c r="AA292" s="254"/>
      <c r="AB292" s="254"/>
      <c r="AC292" s="254"/>
      <c r="AD292" s="254"/>
      <c r="AE292" s="254"/>
      <c r="AF292" s="254"/>
      <c r="AG292" s="254"/>
      <c r="AH292" s="254"/>
      <c r="AI292" s="254"/>
      <c r="AJ292" s="254"/>
      <c r="AK292" s="254"/>
      <c r="AL292" s="254"/>
      <c r="AM292" s="254"/>
      <c r="AN292" s="254"/>
      <c r="AO292" s="254"/>
      <c r="AP292" s="254"/>
      <c r="AQ292" s="254"/>
      <c r="AR292" s="254"/>
      <c r="AS292" s="254"/>
      <c r="AT292" s="254"/>
      <c r="AU292" s="254"/>
      <c r="AV292" s="254"/>
      <c r="AW292" s="254"/>
      <c r="AX292" s="256"/>
      <c r="AZ292" s="254" t="str">
        <f ca="1"/>
        <v/>
      </c>
      <c r="BA292" s="254" t="str">
        <f ca="1"/>
        <v/>
      </c>
      <c r="BB292" s="254" t="str">
        <f ca="1"/>
        <v/>
      </c>
      <c r="BC292" s="254" t="str">
        <f ca="1"/>
        <v/>
      </c>
      <c r="BD292" s="256">
        <f ca="1"/>
        <v>0</v>
      </c>
      <c r="BF292" s="254"/>
      <c r="BG292" s="254"/>
      <c r="BH292" s="254"/>
      <c r="BI292" s="254"/>
      <c r="BJ292" s="243"/>
      <c r="BK292" s="254"/>
      <c r="BL292" s="256"/>
      <c r="BM292" s="46"/>
      <c r="BN292" s="256">
        <f ca="1"/>
        <v>0</v>
      </c>
      <c r="BP292" s="248">
        <f ca="1"/>
        <v>0</v>
      </c>
      <c r="BR292" s="248">
        <f ca="1"/>
        <v>0</v>
      </c>
      <c r="BT292" s="248">
        <f ca="1"/>
        <v>0</v>
      </c>
      <c r="BU292" s="248">
        <f ca="1"/>
        <v>0</v>
      </c>
    </row>
    <row r="293" spans="1:73" ht="16" hidden="1" thickTop="1" thickBot="1">
      <c r="A293" s="1"/>
      <c r="B293" s="1">
        <f t="shared" si="8"/>
        <v>0</v>
      </c>
      <c r="D293" s="98"/>
      <c r="E293" s="239"/>
      <c r="F293" s="243"/>
      <c r="G293" s="243"/>
      <c r="H293" s="243"/>
      <c r="I293" s="243"/>
      <c r="J293" s="243"/>
      <c r="K293" s="243"/>
      <c r="L293" s="366"/>
      <c r="M293" s="46"/>
      <c r="N293" s="243"/>
      <c r="O293" s="243"/>
      <c r="P293" s="243"/>
      <c r="Q293" s="243"/>
      <c r="R293" s="243"/>
      <c r="S293" s="243"/>
      <c r="T293" s="243"/>
      <c r="U293" s="243"/>
      <c r="V293" s="243"/>
      <c r="W293" s="243"/>
      <c r="X293" s="256"/>
      <c r="Y293" s="253"/>
      <c r="Z293" s="254"/>
      <c r="AA293" s="254"/>
      <c r="AB293" s="254"/>
      <c r="AC293" s="254"/>
      <c r="AD293" s="254"/>
      <c r="AE293" s="254"/>
      <c r="AF293" s="254"/>
      <c r="AG293" s="254"/>
      <c r="AH293" s="254"/>
      <c r="AI293" s="254"/>
      <c r="AJ293" s="254"/>
      <c r="AK293" s="254"/>
      <c r="AL293" s="254"/>
      <c r="AM293" s="254"/>
      <c r="AN293" s="254"/>
      <c r="AO293" s="254"/>
      <c r="AP293" s="254"/>
      <c r="AQ293" s="254"/>
      <c r="AR293" s="254"/>
      <c r="AS293" s="254"/>
      <c r="AT293" s="254"/>
      <c r="AU293" s="254"/>
      <c r="AV293" s="254"/>
      <c r="AW293" s="254"/>
      <c r="AX293" s="256"/>
      <c r="AZ293" s="254" t="str">
        <f ca="1"/>
        <v/>
      </c>
      <c r="BA293" s="254" t="str">
        <f ca="1"/>
        <v/>
      </c>
      <c r="BB293" s="254" t="str">
        <f ca="1"/>
        <v/>
      </c>
      <c r="BC293" s="254" t="str">
        <f ca="1"/>
        <v/>
      </c>
      <c r="BD293" s="256">
        <f ca="1"/>
        <v>0</v>
      </c>
      <c r="BF293" s="254"/>
      <c r="BG293" s="254"/>
      <c r="BH293" s="254"/>
      <c r="BI293" s="254"/>
      <c r="BJ293" s="243"/>
      <c r="BK293" s="254"/>
      <c r="BL293" s="256"/>
      <c r="BM293" s="46"/>
      <c r="BN293" s="256">
        <f ca="1"/>
        <v>0</v>
      </c>
      <c r="BP293" s="248">
        <f ca="1"/>
        <v>0</v>
      </c>
      <c r="BR293" s="248">
        <f ca="1"/>
        <v>0</v>
      </c>
      <c r="BT293" s="248">
        <f ca="1"/>
        <v>0</v>
      </c>
      <c r="BU293" s="248">
        <f ca="1"/>
        <v>0</v>
      </c>
    </row>
    <row r="294" spans="1:73" ht="16" hidden="1" thickTop="1" thickBot="1">
      <c r="A294" s="1"/>
      <c r="B294" s="1">
        <f t="shared" si="8"/>
        <v>0</v>
      </c>
      <c r="D294" s="98"/>
      <c r="E294" s="239"/>
      <c r="F294" s="243"/>
      <c r="G294" s="243"/>
      <c r="H294" s="243"/>
      <c r="I294" s="243"/>
      <c r="J294" s="243"/>
      <c r="K294" s="243"/>
      <c r="L294" s="366"/>
      <c r="M294" s="46"/>
      <c r="N294" s="243"/>
      <c r="O294" s="243"/>
      <c r="P294" s="243"/>
      <c r="Q294" s="243"/>
      <c r="R294" s="243"/>
      <c r="S294" s="243"/>
      <c r="T294" s="243"/>
      <c r="U294" s="243"/>
      <c r="V294" s="243"/>
      <c r="W294" s="243"/>
      <c r="X294" s="256"/>
      <c r="Y294" s="253"/>
      <c r="Z294" s="254"/>
      <c r="AA294" s="254"/>
      <c r="AB294" s="254"/>
      <c r="AC294" s="254"/>
      <c r="AD294" s="254"/>
      <c r="AE294" s="254"/>
      <c r="AF294" s="254"/>
      <c r="AG294" s="254"/>
      <c r="AH294" s="254"/>
      <c r="AI294" s="254"/>
      <c r="AJ294" s="254"/>
      <c r="AK294" s="254"/>
      <c r="AL294" s="254"/>
      <c r="AM294" s="254"/>
      <c r="AN294" s="254"/>
      <c r="AO294" s="254"/>
      <c r="AP294" s="254"/>
      <c r="AQ294" s="254"/>
      <c r="AR294" s="254"/>
      <c r="AS294" s="254"/>
      <c r="AT294" s="254"/>
      <c r="AU294" s="254"/>
      <c r="AV294" s="254"/>
      <c r="AW294" s="254"/>
      <c r="AX294" s="256"/>
      <c r="AZ294" s="254" t="str">
        <f ca="1"/>
        <v/>
      </c>
      <c r="BA294" s="254" t="str">
        <f ca="1"/>
        <v/>
      </c>
      <c r="BB294" s="254" t="str">
        <f ca="1"/>
        <v/>
      </c>
      <c r="BC294" s="254" t="str">
        <f ca="1"/>
        <v/>
      </c>
      <c r="BD294" s="256">
        <f ca="1"/>
        <v>0</v>
      </c>
      <c r="BF294" s="254"/>
      <c r="BG294" s="254"/>
      <c r="BH294" s="254"/>
      <c r="BI294" s="254"/>
      <c r="BJ294" s="243"/>
      <c r="BK294" s="254"/>
      <c r="BL294" s="256"/>
      <c r="BM294" s="46"/>
      <c r="BN294" s="256">
        <f ca="1"/>
        <v>0</v>
      </c>
      <c r="BP294" s="248">
        <f ca="1"/>
        <v>0</v>
      </c>
      <c r="BR294" s="248">
        <f ca="1"/>
        <v>0</v>
      </c>
      <c r="BT294" s="248">
        <f ca="1"/>
        <v>0</v>
      </c>
      <c r="BU294" s="248">
        <f ca="1"/>
        <v>0</v>
      </c>
    </row>
    <row r="295" spans="1:73" ht="16" hidden="1" thickTop="1" thickBot="1">
      <c r="A295" s="1"/>
      <c r="B295" s="1">
        <f t="shared" si="8"/>
        <v>0</v>
      </c>
      <c r="D295" s="98"/>
      <c r="E295" s="239"/>
      <c r="F295" s="243"/>
      <c r="G295" s="243"/>
      <c r="H295" s="243"/>
      <c r="I295" s="243"/>
      <c r="J295" s="243"/>
      <c r="K295" s="243"/>
      <c r="L295" s="366"/>
      <c r="M295" s="46"/>
      <c r="N295" s="243"/>
      <c r="O295" s="243"/>
      <c r="P295" s="243"/>
      <c r="Q295" s="243"/>
      <c r="R295" s="243"/>
      <c r="S295" s="243"/>
      <c r="T295" s="243"/>
      <c r="U295" s="243"/>
      <c r="V295" s="243"/>
      <c r="W295" s="243"/>
      <c r="X295" s="256"/>
      <c r="Y295" s="253"/>
      <c r="Z295" s="254"/>
      <c r="AA295" s="254"/>
      <c r="AB295" s="254"/>
      <c r="AC295" s="254"/>
      <c r="AD295" s="254"/>
      <c r="AE295" s="254"/>
      <c r="AF295" s="254"/>
      <c r="AG295" s="254"/>
      <c r="AH295" s="254"/>
      <c r="AI295" s="254"/>
      <c r="AJ295" s="254"/>
      <c r="AK295" s="254"/>
      <c r="AL295" s="254"/>
      <c r="AM295" s="254"/>
      <c r="AN295" s="254"/>
      <c r="AO295" s="254"/>
      <c r="AP295" s="254"/>
      <c r="AQ295" s="254"/>
      <c r="AR295" s="254"/>
      <c r="AS295" s="254"/>
      <c r="AT295" s="254"/>
      <c r="AU295" s="254"/>
      <c r="AV295" s="254"/>
      <c r="AW295" s="254"/>
      <c r="AX295" s="256"/>
      <c r="AZ295" s="254" t="str">
        <f ca="1"/>
        <v/>
      </c>
      <c r="BA295" s="254" t="str">
        <f ca="1"/>
        <v/>
      </c>
      <c r="BB295" s="254" t="str">
        <f ca="1"/>
        <v/>
      </c>
      <c r="BC295" s="254" t="str">
        <f ca="1"/>
        <v/>
      </c>
      <c r="BD295" s="256">
        <f ca="1"/>
        <v>0</v>
      </c>
      <c r="BF295" s="254"/>
      <c r="BG295" s="254"/>
      <c r="BH295" s="254"/>
      <c r="BI295" s="254"/>
      <c r="BJ295" s="243"/>
      <c r="BK295" s="254"/>
      <c r="BL295" s="256"/>
      <c r="BM295" s="46"/>
      <c r="BN295" s="256">
        <f ca="1"/>
        <v>0</v>
      </c>
      <c r="BP295" s="248">
        <f ca="1"/>
        <v>0</v>
      </c>
      <c r="BR295" s="248">
        <f ca="1"/>
        <v>0</v>
      </c>
      <c r="BT295" s="248">
        <f ca="1"/>
        <v>0</v>
      </c>
      <c r="BU295" s="248">
        <f ca="1"/>
        <v>0</v>
      </c>
    </row>
    <row r="296" spans="1:73" ht="16" hidden="1" thickTop="1" thickBot="1">
      <c r="A296" s="1"/>
      <c r="B296" s="1">
        <f t="shared" si="8"/>
        <v>0</v>
      </c>
      <c r="D296" s="98"/>
      <c r="E296" s="239"/>
      <c r="F296" s="243"/>
      <c r="G296" s="243"/>
      <c r="H296" s="243"/>
      <c r="I296" s="243"/>
      <c r="J296" s="243"/>
      <c r="K296" s="243"/>
      <c r="L296" s="366"/>
      <c r="M296" s="46"/>
      <c r="N296" s="243"/>
      <c r="O296" s="243"/>
      <c r="P296" s="243"/>
      <c r="Q296" s="243"/>
      <c r="R296" s="243"/>
      <c r="S296" s="243"/>
      <c r="T296" s="243"/>
      <c r="U296" s="243"/>
      <c r="V296" s="243"/>
      <c r="W296" s="243"/>
      <c r="X296" s="256"/>
      <c r="Y296" s="253"/>
      <c r="Z296" s="254"/>
      <c r="AA296" s="254"/>
      <c r="AB296" s="254"/>
      <c r="AC296" s="254"/>
      <c r="AD296" s="254"/>
      <c r="AE296" s="254"/>
      <c r="AF296" s="254"/>
      <c r="AG296" s="254"/>
      <c r="AH296" s="254"/>
      <c r="AI296" s="254"/>
      <c r="AJ296" s="254"/>
      <c r="AK296" s="254"/>
      <c r="AL296" s="254"/>
      <c r="AM296" s="254"/>
      <c r="AN296" s="254"/>
      <c r="AO296" s="254"/>
      <c r="AP296" s="254"/>
      <c r="AQ296" s="254"/>
      <c r="AR296" s="254"/>
      <c r="AS296" s="254"/>
      <c r="AT296" s="254"/>
      <c r="AU296" s="254"/>
      <c r="AV296" s="254"/>
      <c r="AW296" s="254"/>
      <c r="AX296" s="256"/>
      <c r="AZ296" s="254" t="str">
        <f ca="1"/>
        <v/>
      </c>
      <c r="BA296" s="254" t="str">
        <f ca="1"/>
        <v/>
      </c>
      <c r="BB296" s="254" t="str">
        <f ca="1"/>
        <v/>
      </c>
      <c r="BC296" s="254" t="str">
        <f ca="1"/>
        <v/>
      </c>
      <c r="BD296" s="256">
        <f ca="1"/>
        <v>0</v>
      </c>
      <c r="BF296" s="254"/>
      <c r="BG296" s="254"/>
      <c r="BH296" s="254"/>
      <c r="BI296" s="254"/>
      <c r="BJ296" s="243"/>
      <c r="BK296" s="254"/>
      <c r="BL296" s="256"/>
      <c r="BM296" s="46"/>
      <c r="BN296" s="256">
        <f ca="1"/>
        <v>0</v>
      </c>
      <c r="BP296" s="248">
        <f ca="1"/>
        <v>0</v>
      </c>
      <c r="BR296" s="248">
        <f ca="1"/>
        <v>0</v>
      </c>
      <c r="BT296" s="248">
        <f ca="1"/>
        <v>0</v>
      </c>
      <c r="BU296" s="248">
        <f ca="1"/>
        <v>0</v>
      </c>
    </row>
    <row r="297" spans="1:73" ht="16" hidden="1" thickTop="1" thickBot="1">
      <c r="A297" s="1"/>
      <c r="B297" s="1">
        <f t="shared" si="8"/>
        <v>0</v>
      </c>
      <c r="D297" s="98"/>
      <c r="E297" s="239"/>
      <c r="F297" s="243"/>
      <c r="G297" s="243"/>
      <c r="H297" s="243"/>
      <c r="I297" s="243"/>
      <c r="J297" s="243"/>
      <c r="K297" s="243"/>
      <c r="L297" s="366"/>
      <c r="M297" s="46"/>
      <c r="N297" s="243"/>
      <c r="O297" s="243"/>
      <c r="P297" s="243"/>
      <c r="Q297" s="243"/>
      <c r="R297" s="243"/>
      <c r="S297" s="243"/>
      <c r="T297" s="243"/>
      <c r="U297" s="243"/>
      <c r="V297" s="243"/>
      <c r="W297" s="243"/>
      <c r="X297" s="256"/>
      <c r="Y297" s="253"/>
      <c r="Z297" s="254"/>
      <c r="AA297" s="254"/>
      <c r="AB297" s="254"/>
      <c r="AC297" s="254"/>
      <c r="AD297" s="254"/>
      <c r="AE297" s="254"/>
      <c r="AF297" s="254"/>
      <c r="AG297" s="254"/>
      <c r="AH297" s="254"/>
      <c r="AI297" s="254"/>
      <c r="AJ297" s="254"/>
      <c r="AK297" s="254"/>
      <c r="AL297" s="254"/>
      <c r="AM297" s="254"/>
      <c r="AN297" s="254"/>
      <c r="AO297" s="254"/>
      <c r="AP297" s="254"/>
      <c r="AQ297" s="254"/>
      <c r="AR297" s="254"/>
      <c r="AS297" s="254"/>
      <c r="AT297" s="254"/>
      <c r="AU297" s="254"/>
      <c r="AV297" s="254"/>
      <c r="AW297" s="254"/>
      <c r="AX297" s="256"/>
      <c r="AZ297" s="254" t="str">
        <f ca="1"/>
        <v/>
      </c>
      <c r="BA297" s="254" t="str">
        <f ca="1"/>
        <v/>
      </c>
      <c r="BB297" s="254" t="str">
        <f ca="1"/>
        <v/>
      </c>
      <c r="BC297" s="254" t="str">
        <f ca="1"/>
        <v/>
      </c>
      <c r="BD297" s="256">
        <f ca="1"/>
        <v>0</v>
      </c>
      <c r="BF297" s="254"/>
      <c r="BG297" s="254"/>
      <c r="BH297" s="254"/>
      <c r="BI297" s="254"/>
      <c r="BJ297" s="243"/>
      <c r="BK297" s="254"/>
      <c r="BL297" s="256"/>
      <c r="BM297" s="46"/>
      <c r="BN297" s="256">
        <f ca="1"/>
        <v>0</v>
      </c>
      <c r="BP297" s="248">
        <f ca="1"/>
        <v>0</v>
      </c>
      <c r="BR297" s="248">
        <f ca="1"/>
        <v>0</v>
      </c>
      <c r="BT297" s="248">
        <f ca="1"/>
        <v>0</v>
      </c>
      <c r="BU297" s="248">
        <f ca="1"/>
        <v>0</v>
      </c>
    </row>
    <row r="298" spans="1:73" ht="16" hidden="1" thickTop="1" thickBot="1">
      <c r="A298" s="1"/>
      <c r="B298" s="1">
        <f t="shared" si="8"/>
        <v>0</v>
      </c>
      <c r="D298" s="98"/>
      <c r="E298" s="239"/>
      <c r="F298" s="243"/>
      <c r="G298" s="243"/>
      <c r="H298" s="243"/>
      <c r="I298" s="243"/>
      <c r="J298" s="243"/>
      <c r="K298" s="243"/>
      <c r="L298" s="366"/>
      <c r="M298" s="46"/>
      <c r="N298" s="243"/>
      <c r="O298" s="243"/>
      <c r="P298" s="243"/>
      <c r="Q298" s="243"/>
      <c r="R298" s="243"/>
      <c r="S298" s="243"/>
      <c r="T298" s="243"/>
      <c r="U298" s="243"/>
      <c r="V298" s="243"/>
      <c r="W298" s="243"/>
      <c r="X298" s="256"/>
      <c r="Y298" s="253"/>
      <c r="Z298" s="254"/>
      <c r="AA298" s="254"/>
      <c r="AB298" s="254"/>
      <c r="AC298" s="254"/>
      <c r="AD298" s="254"/>
      <c r="AE298" s="254"/>
      <c r="AF298" s="254"/>
      <c r="AG298" s="254"/>
      <c r="AH298" s="254"/>
      <c r="AI298" s="254"/>
      <c r="AJ298" s="254"/>
      <c r="AK298" s="254"/>
      <c r="AL298" s="254"/>
      <c r="AM298" s="254"/>
      <c r="AN298" s="254"/>
      <c r="AO298" s="254"/>
      <c r="AP298" s="254"/>
      <c r="AQ298" s="254"/>
      <c r="AR298" s="254"/>
      <c r="AS298" s="254"/>
      <c r="AT298" s="254"/>
      <c r="AU298" s="254"/>
      <c r="AV298" s="254"/>
      <c r="AW298" s="254"/>
      <c r="AX298" s="256"/>
      <c r="AZ298" s="254" t="str">
        <f ca="1"/>
        <v/>
      </c>
      <c r="BA298" s="254" t="str">
        <f ca="1"/>
        <v/>
      </c>
      <c r="BB298" s="254" t="str">
        <f ca="1"/>
        <v/>
      </c>
      <c r="BC298" s="254" t="str">
        <f ca="1"/>
        <v/>
      </c>
      <c r="BD298" s="256">
        <f ca="1"/>
        <v>0</v>
      </c>
      <c r="BF298" s="254"/>
      <c r="BG298" s="254"/>
      <c r="BH298" s="254"/>
      <c r="BI298" s="254"/>
      <c r="BJ298" s="243"/>
      <c r="BK298" s="254"/>
      <c r="BL298" s="256"/>
      <c r="BM298" s="46"/>
      <c r="BN298" s="256">
        <f ca="1"/>
        <v>0</v>
      </c>
      <c r="BP298" s="248">
        <f ca="1"/>
        <v>0</v>
      </c>
      <c r="BR298" s="248">
        <f ca="1"/>
        <v>0</v>
      </c>
      <c r="BT298" s="248">
        <f ca="1"/>
        <v>0</v>
      </c>
      <c r="BU298" s="248">
        <f ca="1"/>
        <v>0</v>
      </c>
    </row>
    <row r="299" spans="1:73" ht="16" hidden="1" thickTop="1" thickBot="1">
      <c r="A299" s="1"/>
      <c r="B299" s="1">
        <f t="shared" si="8"/>
        <v>0</v>
      </c>
      <c r="D299" s="98"/>
      <c r="E299" s="239"/>
      <c r="F299" s="243"/>
      <c r="G299" s="243"/>
      <c r="H299" s="243"/>
      <c r="I299" s="243"/>
      <c r="J299" s="243"/>
      <c r="K299" s="243"/>
      <c r="L299" s="366"/>
      <c r="M299" s="46"/>
      <c r="N299" s="243"/>
      <c r="O299" s="243"/>
      <c r="P299" s="243"/>
      <c r="Q299" s="243"/>
      <c r="R299" s="243"/>
      <c r="S299" s="243"/>
      <c r="T299" s="243"/>
      <c r="U299" s="243"/>
      <c r="V299" s="243"/>
      <c r="W299" s="243"/>
      <c r="X299" s="256"/>
      <c r="Y299" s="253"/>
      <c r="Z299" s="254"/>
      <c r="AA299" s="254"/>
      <c r="AB299" s="254"/>
      <c r="AC299" s="254"/>
      <c r="AD299" s="254"/>
      <c r="AE299" s="254"/>
      <c r="AF299" s="254"/>
      <c r="AG299" s="254"/>
      <c r="AH299" s="254"/>
      <c r="AI299" s="254"/>
      <c r="AJ299" s="254"/>
      <c r="AK299" s="254"/>
      <c r="AL299" s="254"/>
      <c r="AM299" s="254"/>
      <c r="AN299" s="254"/>
      <c r="AO299" s="254"/>
      <c r="AP299" s="254"/>
      <c r="AQ299" s="254"/>
      <c r="AR299" s="254"/>
      <c r="AS299" s="254"/>
      <c r="AT299" s="254"/>
      <c r="AU299" s="254"/>
      <c r="AV299" s="254"/>
      <c r="AW299" s="254"/>
      <c r="AX299" s="256"/>
      <c r="AZ299" s="254" t="str">
        <f ca="1"/>
        <v/>
      </c>
      <c r="BA299" s="254" t="str">
        <f ca="1"/>
        <v/>
      </c>
      <c r="BB299" s="254" t="str">
        <f ca="1"/>
        <v/>
      </c>
      <c r="BC299" s="254" t="str">
        <f ca="1"/>
        <v/>
      </c>
      <c r="BD299" s="256">
        <f ca="1"/>
        <v>0</v>
      </c>
      <c r="BF299" s="254"/>
      <c r="BG299" s="254"/>
      <c r="BH299" s="254"/>
      <c r="BI299" s="254"/>
      <c r="BJ299" s="243"/>
      <c r="BK299" s="254"/>
      <c r="BL299" s="256"/>
      <c r="BM299" s="46"/>
      <c r="BN299" s="256">
        <f ca="1"/>
        <v>0</v>
      </c>
      <c r="BP299" s="248">
        <f ca="1"/>
        <v>0</v>
      </c>
      <c r="BR299" s="248">
        <f ca="1"/>
        <v>0</v>
      </c>
      <c r="BT299" s="248">
        <f ca="1"/>
        <v>0</v>
      </c>
      <c r="BU299" s="248">
        <f ca="1"/>
        <v>0</v>
      </c>
    </row>
    <row r="300" spans="1:73" ht="16" hidden="1" thickTop="1" thickBot="1">
      <c r="A300" s="1"/>
      <c r="B300" s="1">
        <f t="shared" si="8"/>
        <v>0</v>
      </c>
      <c r="D300" s="98"/>
      <c r="E300" s="239"/>
      <c r="F300" s="243"/>
      <c r="G300" s="243"/>
      <c r="H300" s="243"/>
      <c r="I300" s="243"/>
      <c r="J300" s="243"/>
      <c r="K300" s="243"/>
      <c r="L300" s="366"/>
      <c r="M300" s="46"/>
      <c r="N300" s="243"/>
      <c r="O300" s="243"/>
      <c r="P300" s="243"/>
      <c r="Q300" s="243"/>
      <c r="R300" s="243"/>
      <c r="S300" s="243"/>
      <c r="T300" s="243"/>
      <c r="U300" s="243"/>
      <c r="V300" s="243"/>
      <c r="W300" s="243"/>
      <c r="X300" s="256"/>
      <c r="Y300" s="253"/>
      <c r="Z300" s="254"/>
      <c r="AA300" s="254"/>
      <c r="AB300" s="254"/>
      <c r="AC300" s="254"/>
      <c r="AD300" s="254"/>
      <c r="AE300" s="254"/>
      <c r="AF300" s="254"/>
      <c r="AG300" s="254"/>
      <c r="AH300" s="254"/>
      <c r="AI300" s="254"/>
      <c r="AJ300" s="254"/>
      <c r="AK300" s="254"/>
      <c r="AL300" s="254"/>
      <c r="AM300" s="254"/>
      <c r="AN300" s="254"/>
      <c r="AO300" s="254"/>
      <c r="AP300" s="254"/>
      <c r="AQ300" s="254"/>
      <c r="AR300" s="254"/>
      <c r="AS300" s="254"/>
      <c r="AT300" s="254"/>
      <c r="AU300" s="254"/>
      <c r="AV300" s="254"/>
      <c r="AW300" s="254"/>
      <c r="AX300" s="256"/>
      <c r="AZ300" s="254" t="str">
        <f ca="1"/>
        <v/>
      </c>
      <c r="BA300" s="254" t="str">
        <f ca="1"/>
        <v/>
      </c>
      <c r="BB300" s="254" t="str">
        <f ca="1"/>
        <v/>
      </c>
      <c r="BC300" s="254" t="str">
        <f ca="1"/>
        <v/>
      </c>
      <c r="BD300" s="256">
        <f ca="1"/>
        <v>0</v>
      </c>
      <c r="BF300" s="254"/>
      <c r="BG300" s="254"/>
      <c r="BH300" s="254"/>
      <c r="BI300" s="254"/>
      <c r="BJ300" s="243"/>
      <c r="BK300" s="254"/>
      <c r="BL300" s="256"/>
      <c r="BM300" s="46"/>
      <c r="BN300" s="256">
        <f ca="1"/>
        <v>0</v>
      </c>
      <c r="BP300" s="248">
        <f ca="1"/>
        <v>0</v>
      </c>
      <c r="BR300" s="248">
        <f ca="1"/>
        <v>0</v>
      </c>
      <c r="BT300" s="248">
        <f ca="1"/>
        <v>0</v>
      </c>
      <c r="BU300" s="248">
        <f ca="1"/>
        <v>0</v>
      </c>
    </row>
    <row r="301" spans="1:73" ht="16" hidden="1" thickTop="1" thickBot="1">
      <c r="A301" s="1"/>
      <c r="B301" s="1">
        <f t="shared" si="8"/>
        <v>0</v>
      </c>
      <c r="D301" s="98"/>
      <c r="E301" s="239"/>
      <c r="F301" s="243"/>
      <c r="G301" s="243"/>
      <c r="H301" s="243"/>
      <c r="I301" s="243"/>
      <c r="J301" s="243"/>
      <c r="K301" s="243"/>
      <c r="L301" s="366"/>
      <c r="M301" s="46"/>
      <c r="N301" s="243"/>
      <c r="O301" s="243"/>
      <c r="P301" s="243"/>
      <c r="Q301" s="243"/>
      <c r="R301" s="243"/>
      <c r="S301" s="243"/>
      <c r="T301" s="243"/>
      <c r="U301" s="243"/>
      <c r="V301" s="243"/>
      <c r="W301" s="243"/>
      <c r="X301" s="256"/>
      <c r="Y301" s="253"/>
      <c r="Z301" s="254"/>
      <c r="AA301" s="254"/>
      <c r="AB301" s="254"/>
      <c r="AC301" s="254"/>
      <c r="AD301" s="254"/>
      <c r="AE301" s="254"/>
      <c r="AF301" s="254"/>
      <c r="AG301" s="254"/>
      <c r="AH301" s="254"/>
      <c r="AI301" s="254"/>
      <c r="AJ301" s="254"/>
      <c r="AK301" s="254"/>
      <c r="AL301" s="254"/>
      <c r="AM301" s="254"/>
      <c r="AN301" s="254"/>
      <c r="AO301" s="254"/>
      <c r="AP301" s="254"/>
      <c r="AQ301" s="254"/>
      <c r="AR301" s="254"/>
      <c r="AS301" s="254"/>
      <c r="AT301" s="254"/>
      <c r="AU301" s="254"/>
      <c r="AV301" s="254"/>
      <c r="AW301" s="254"/>
      <c r="AX301" s="256"/>
      <c r="AZ301" s="254" t="str">
        <f ca="1"/>
        <v/>
      </c>
      <c r="BA301" s="254" t="str">
        <f ca="1"/>
        <v/>
      </c>
      <c r="BB301" s="254" t="str">
        <f ca="1"/>
        <v/>
      </c>
      <c r="BC301" s="254" t="str">
        <f ca="1"/>
        <v/>
      </c>
      <c r="BD301" s="256">
        <f ca="1"/>
        <v>0</v>
      </c>
      <c r="BF301" s="254"/>
      <c r="BG301" s="254"/>
      <c r="BH301" s="254"/>
      <c r="BI301" s="254"/>
      <c r="BJ301" s="243"/>
      <c r="BK301" s="254"/>
      <c r="BL301" s="256"/>
      <c r="BM301" s="46"/>
      <c r="BN301" s="256">
        <f ca="1"/>
        <v>0</v>
      </c>
      <c r="BP301" s="248">
        <f ca="1"/>
        <v>0</v>
      </c>
      <c r="BR301" s="248">
        <f ca="1"/>
        <v>0</v>
      </c>
      <c r="BT301" s="248">
        <f ca="1"/>
        <v>0</v>
      </c>
      <c r="BU301" s="248">
        <f ca="1"/>
        <v>0</v>
      </c>
    </row>
    <row r="302" spans="1:73" ht="16" hidden="1" thickTop="1" thickBot="1">
      <c r="A302" s="1"/>
      <c r="B302" s="1">
        <f t="shared" si="8"/>
        <v>0</v>
      </c>
      <c r="D302" s="98"/>
      <c r="E302" s="239"/>
      <c r="F302" s="243"/>
      <c r="G302" s="243"/>
      <c r="H302" s="243"/>
      <c r="I302" s="243"/>
      <c r="J302" s="243"/>
      <c r="K302" s="243"/>
      <c r="L302" s="366"/>
      <c r="M302" s="46"/>
      <c r="N302" s="243"/>
      <c r="O302" s="243"/>
      <c r="P302" s="243"/>
      <c r="Q302" s="243"/>
      <c r="R302" s="243"/>
      <c r="S302" s="243"/>
      <c r="T302" s="243"/>
      <c r="U302" s="243"/>
      <c r="V302" s="243"/>
      <c r="W302" s="243"/>
      <c r="X302" s="256"/>
      <c r="Y302" s="253"/>
      <c r="Z302" s="254"/>
      <c r="AA302" s="254"/>
      <c r="AB302" s="254"/>
      <c r="AC302" s="254"/>
      <c r="AD302" s="254"/>
      <c r="AE302" s="254"/>
      <c r="AF302" s="254"/>
      <c r="AG302" s="254"/>
      <c r="AH302" s="254"/>
      <c r="AI302" s="254"/>
      <c r="AJ302" s="254"/>
      <c r="AK302" s="254"/>
      <c r="AL302" s="254"/>
      <c r="AM302" s="254"/>
      <c r="AN302" s="254"/>
      <c r="AO302" s="254"/>
      <c r="AP302" s="254"/>
      <c r="AQ302" s="254"/>
      <c r="AR302" s="254"/>
      <c r="AS302" s="254"/>
      <c r="AT302" s="254"/>
      <c r="AU302" s="254"/>
      <c r="AV302" s="254"/>
      <c r="AW302" s="254"/>
      <c r="AX302" s="256"/>
      <c r="AZ302" s="254" t="str">
        <f ca="1"/>
        <v/>
      </c>
      <c r="BA302" s="254" t="str">
        <f ca="1"/>
        <v/>
      </c>
      <c r="BB302" s="254" t="str">
        <f ca="1"/>
        <v/>
      </c>
      <c r="BC302" s="254" t="str">
        <f ca="1"/>
        <v/>
      </c>
      <c r="BD302" s="256">
        <f ca="1"/>
        <v>0</v>
      </c>
      <c r="BF302" s="254"/>
      <c r="BG302" s="254"/>
      <c r="BH302" s="254"/>
      <c r="BI302" s="254"/>
      <c r="BJ302" s="243"/>
      <c r="BK302" s="254"/>
      <c r="BL302" s="256"/>
      <c r="BM302" s="46"/>
      <c r="BN302" s="256">
        <f ca="1"/>
        <v>0</v>
      </c>
      <c r="BP302" s="248">
        <f ca="1"/>
        <v>0</v>
      </c>
      <c r="BR302" s="248">
        <f ca="1"/>
        <v>0</v>
      </c>
      <c r="BT302" s="248">
        <f ca="1"/>
        <v>0</v>
      </c>
      <c r="BU302" s="248">
        <f ca="1"/>
        <v>0</v>
      </c>
    </row>
    <row r="303" spans="1:73" ht="16" hidden="1" thickTop="1" thickBot="1">
      <c r="A303" s="1"/>
      <c r="B303" s="1">
        <f t="shared" si="8"/>
        <v>0</v>
      </c>
      <c r="D303" s="98"/>
      <c r="E303" s="239"/>
      <c r="F303" s="243"/>
      <c r="G303" s="243"/>
      <c r="H303" s="243"/>
      <c r="I303" s="243"/>
      <c r="J303" s="243"/>
      <c r="K303" s="243"/>
      <c r="L303" s="366"/>
      <c r="M303" s="46"/>
      <c r="N303" s="243"/>
      <c r="O303" s="243"/>
      <c r="P303" s="243"/>
      <c r="Q303" s="243"/>
      <c r="R303" s="243"/>
      <c r="S303" s="243"/>
      <c r="T303" s="243"/>
      <c r="U303" s="243"/>
      <c r="V303" s="243"/>
      <c r="W303" s="243"/>
      <c r="X303" s="256"/>
      <c r="Y303" s="253"/>
      <c r="Z303" s="254"/>
      <c r="AA303" s="254"/>
      <c r="AB303" s="254"/>
      <c r="AC303" s="254"/>
      <c r="AD303" s="254"/>
      <c r="AE303" s="254"/>
      <c r="AF303" s="254"/>
      <c r="AG303" s="254"/>
      <c r="AH303" s="254"/>
      <c r="AI303" s="254"/>
      <c r="AJ303" s="254"/>
      <c r="AK303" s="254"/>
      <c r="AL303" s="254"/>
      <c r="AM303" s="254"/>
      <c r="AN303" s="254"/>
      <c r="AO303" s="254"/>
      <c r="AP303" s="254"/>
      <c r="AQ303" s="254"/>
      <c r="AR303" s="254"/>
      <c r="AS303" s="254"/>
      <c r="AT303" s="254"/>
      <c r="AU303" s="254"/>
      <c r="AV303" s="254"/>
      <c r="AW303" s="254"/>
      <c r="AX303" s="256"/>
      <c r="AZ303" s="254" t="str">
        <f ca="1"/>
        <v/>
      </c>
      <c r="BA303" s="254" t="str">
        <f ca="1"/>
        <v/>
      </c>
      <c r="BB303" s="254" t="str">
        <f ca="1"/>
        <v/>
      </c>
      <c r="BC303" s="254" t="str">
        <f ca="1"/>
        <v/>
      </c>
      <c r="BD303" s="256">
        <f ca="1"/>
        <v>0</v>
      </c>
      <c r="BF303" s="254"/>
      <c r="BG303" s="254"/>
      <c r="BH303" s="254"/>
      <c r="BI303" s="254"/>
      <c r="BJ303" s="243"/>
      <c r="BK303" s="254"/>
      <c r="BL303" s="256"/>
      <c r="BM303" s="46"/>
      <c r="BN303" s="256">
        <f ca="1"/>
        <v>0</v>
      </c>
      <c r="BP303" s="248">
        <f ca="1"/>
        <v>0</v>
      </c>
      <c r="BR303" s="248">
        <f ca="1"/>
        <v>0</v>
      </c>
      <c r="BT303" s="248">
        <f ca="1"/>
        <v>0</v>
      </c>
      <c r="BU303" s="248">
        <f ca="1"/>
        <v>0</v>
      </c>
    </row>
    <row r="304" spans="1:73" ht="16" hidden="1" thickTop="1" thickBot="1">
      <c r="A304" s="1"/>
      <c r="B304" s="1">
        <f t="shared" si="8"/>
        <v>0</v>
      </c>
      <c r="D304" s="98"/>
      <c r="E304" s="239"/>
      <c r="F304" s="243"/>
      <c r="G304" s="243"/>
      <c r="H304" s="243"/>
      <c r="I304" s="243"/>
      <c r="J304" s="243"/>
      <c r="K304" s="243"/>
      <c r="L304" s="366"/>
      <c r="M304" s="46"/>
      <c r="N304" s="243"/>
      <c r="O304" s="243"/>
      <c r="P304" s="243"/>
      <c r="Q304" s="243"/>
      <c r="R304" s="243"/>
      <c r="S304" s="243"/>
      <c r="T304" s="243"/>
      <c r="U304" s="243"/>
      <c r="V304" s="243"/>
      <c r="W304" s="243"/>
      <c r="X304" s="256"/>
      <c r="Y304" s="253"/>
      <c r="Z304" s="254"/>
      <c r="AA304" s="254"/>
      <c r="AB304" s="254"/>
      <c r="AC304" s="254"/>
      <c r="AD304" s="254"/>
      <c r="AE304" s="254"/>
      <c r="AF304" s="254"/>
      <c r="AG304" s="254"/>
      <c r="AH304" s="254"/>
      <c r="AI304" s="254"/>
      <c r="AJ304" s="254"/>
      <c r="AK304" s="254"/>
      <c r="AL304" s="254"/>
      <c r="AM304" s="254"/>
      <c r="AN304" s="254"/>
      <c r="AO304" s="254"/>
      <c r="AP304" s="254"/>
      <c r="AQ304" s="254"/>
      <c r="AR304" s="254"/>
      <c r="AS304" s="254"/>
      <c r="AT304" s="254"/>
      <c r="AU304" s="254"/>
      <c r="AV304" s="254"/>
      <c r="AW304" s="254"/>
      <c r="AX304" s="256"/>
      <c r="AZ304" s="254" t="str">
        <f ca="1"/>
        <v/>
      </c>
      <c r="BA304" s="254" t="str">
        <f ca="1"/>
        <v/>
      </c>
      <c r="BB304" s="254" t="str">
        <f ca="1"/>
        <v/>
      </c>
      <c r="BC304" s="254" t="str">
        <f ca="1"/>
        <v/>
      </c>
      <c r="BD304" s="256">
        <f ca="1"/>
        <v>0</v>
      </c>
      <c r="BF304" s="254"/>
      <c r="BG304" s="254"/>
      <c r="BH304" s="254"/>
      <c r="BI304" s="254"/>
      <c r="BJ304" s="243"/>
      <c r="BK304" s="254"/>
      <c r="BL304" s="256"/>
      <c r="BM304" s="46"/>
      <c r="BN304" s="256">
        <f ca="1"/>
        <v>0</v>
      </c>
      <c r="BP304" s="248">
        <f ca="1"/>
        <v>0</v>
      </c>
      <c r="BR304" s="248">
        <f ca="1"/>
        <v>0</v>
      </c>
      <c r="BT304" s="248">
        <f ca="1"/>
        <v>0</v>
      </c>
      <c r="BU304" s="248">
        <f ca="1"/>
        <v>0</v>
      </c>
    </row>
    <row r="305" spans="1:73" ht="16" hidden="1" thickTop="1" thickBot="1">
      <c r="A305" s="1"/>
      <c r="B305" s="1">
        <f t="shared" si="8"/>
        <v>0</v>
      </c>
      <c r="D305" s="98"/>
      <c r="E305" s="239"/>
      <c r="F305" s="243"/>
      <c r="G305" s="243"/>
      <c r="H305" s="243"/>
      <c r="I305" s="243"/>
      <c r="J305" s="243"/>
      <c r="K305" s="243"/>
      <c r="L305" s="366"/>
      <c r="M305" s="46"/>
      <c r="N305" s="243"/>
      <c r="O305" s="243"/>
      <c r="P305" s="243"/>
      <c r="Q305" s="243"/>
      <c r="R305" s="243"/>
      <c r="S305" s="243"/>
      <c r="T305" s="243"/>
      <c r="U305" s="243"/>
      <c r="V305" s="243"/>
      <c r="W305" s="243"/>
      <c r="X305" s="256"/>
      <c r="Y305" s="253"/>
      <c r="Z305" s="254"/>
      <c r="AA305" s="254"/>
      <c r="AB305" s="254"/>
      <c r="AC305" s="254"/>
      <c r="AD305" s="254"/>
      <c r="AE305" s="254"/>
      <c r="AF305" s="254"/>
      <c r="AG305" s="254"/>
      <c r="AH305" s="254"/>
      <c r="AI305" s="254"/>
      <c r="AJ305" s="254"/>
      <c r="AK305" s="254"/>
      <c r="AL305" s="254"/>
      <c r="AM305" s="254"/>
      <c r="AN305" s="254"/>
      <c r="AO305" s="254"/>
      <c r="AP305" s="254"/>
      <c r="AQ305" s="254"/>
      <c r="AR305" s="254"/>
      <c r="AS305" s="254"/>
      <c r="AT305" s="254"/>
      <c r="AU305" s="254"/>
      <c r="AV305" s="254"/>
      <c r="AW305" s="254"/>
      <c r="AX305" s="256"/>
      <c r="AZ305" s="254" t="str">
        <f ca="1"/>
        <v/>
      </c>
      <c r="BA305" s="254" t="str">
        <f ca="1"/>
        <v/>
      </c>
      <c r="BB305" s="254" t="str">
        <f ca="1"/>
        <v/>
      </c>
      <c r="BC305" s="254" t="str">
        <f ca="1"/>
        <v/>
      </c>
      <c r="BD305" s="256">
        <f ca="1"/>
        <v>0</v>
      </c>
      <c r="BF305" s="254"/>
      <c r="BG305" s="254"/>
      <c r="BH305" s="254"/>
      <c r="BI305" s="254"/>
      <c r="BJ305" s="243"/>
      <c r="BK305" s="254"/>
      <c r="BL305" s="256"/>
      <c r="BM305" s="46"/>
      <c r="BN305" s="256">
        <f ca="1"/>
        <v>0</v>
      </c>
      <c r="BP305" s="248">
        <f ca="1"/>
        <v>0</v>
      </c>
      <c r="BR305" s="248">
        <f ca="1"/>
        <v>0</v>
      </c>
      <c r="BT305" s="248">
        <f ca="1"/>
        <v>0</v>
      </c>
      <c r="BU305" s="248">
        <f ca="1"/>
        <v>0</v>
      </c>
    </row>
    <row r="306" spans="1:73" ht="16" hidden="1" thickTop="1" thickBot="1">
      <c r="A306" s="1"/>
      <c r="B306" s="1">
        <f t="shared" si="8"/>
        <v>0</v>
      </c>
      <c r="D306" s="98"/>
      <c r="E306" s="239"/>
      <c r="F306" s="243"/>
      <c r="G306" s="243"/>
      <c r="H306" s="243"/>
      <c r="I306" s="243"/>
      <c r="J306" s="243"/>
      <c r="K306" s="243"/>
      <c r="L306" s="366"/>
      <c r="M306" s="46"/>
      <c r="N306" s="243"/>
      <c r="O306" s="243"/>
      <c r="P306" s="243"/>
      <c r="Q306" s="243"/>
      <c r="R306" s="243"/>
      <c r="S306" s="243"/>
      <c r="T306" s="243"/>
      <c r="U306" s="243"/>
      <c r="V306" s="243"/>
      <c r="W306" s="243"/>
      <c r="X306" s="256"/>
      <c r="Y306" s="253"/>
      <c r="Z306" s="254"/>
      <c r="AA306" s="254"/>
      <c r="AB306" s="254"/>
      <c r="AC306" s="254"/>
      <c r="AD306" s="254"/>
      <c r="AE306" s="254"/>
      <c r="AF306" s="254"/>
      <c r="AG306" s="254"/>
      <c r="AH306" s="254"/>
      <c r="AI306" s="254"/>
      <c r="AJ306" s="254"/>
      <c r="AK306" s="254"/>
      <c r="AL306" s="254"/>
      <c r="AM306" s="254"/>
      <c r="AN306" s="254"/>
      <c r="AO306" s="254"/>
      <c r="AP306" s="254"/>
      <c r="AQ306" s="254"/>
      <c r="AR306" s="254"/>
      <c r="AS306" s="254"/>
      <c r="AT306" s="254"/>
      <c r="AU306" s="254"/>
      <c r="AV306" s="254"/>
      <c r="AW306" s="254"/>
      <c r="AX306" s="256"/>
      <c r="AZ306" s="254" t="str">
        <f ca="1"/>
        <v/>
      </c>
      <c r="BA306" s="254" t="str">
        <f ca="1"/>
        <v/>
      </c>
      <c r="BB306" s="254" t="str">
        <f ca="1"/>
        <v/>
      </c>
      <c r="BC306" s="254" t="str">
        <f ca="1"/>
        <v/>
      </c>
      <c r="BD306" s="256">
        <f ca="1"/>
        <v>0</v>
      </c>
      <c r="BF306" s="254"/>
      <c r="BG306" s="254"/>
      <c r="BH306" s="254"/>
      <c r="BI306" s="254"/>
      <c r="BJ306" s="243"/>
      <c r="BK306" s="254"/>
      <c r="BL306" s="256"/>
      <c r="BM306" s="46"/>
      <c r="BN306" s="256">
        <f ca="1"/>
        <v>0</v>
      </c>
      <c r="BP306" s="248">
        <f ca="1"/>
        <v>0</v>
      </c>
      <c r="BR306" s="248">
        <f ca="1"/>
        <v>0</v>
      </c>
      <c r="BT306" s="248">
        <f ca="1"/>
        <v>0</v>
      </c>
      <c r="BU306" s="248">
        <f ca="1"/>
        <v>0</v>
      </c>
    </row>
    <row r="307" spans="1:73" ht="16" hidden="1" thickTop="1" thickBot="1">
      <c r="A307" s="1"/>
      <c r="B307" s="1">
        <f t="shared" si="8"/>
        <v>0</v>
      </c>
      <c r="D307" s="98"/>
      <c r="E307" s="239"/>
      <c r="F307" s="243"/>
      <c r="G307" s="243"/>
      <c r="H307" s="243"/>
      <c r="I307" s="243"/>
      <c r="J307" s="243"/>
      <c r="K307" s="243"/>
      <c r="L307" s="366"/>
      <c r="M307" s="46"/>
      <c r="N307" s="243"/>
      <c r="O307" s="243"/>
      <c r="P307" s="243"/>
      <c r="Q307" s="243"/>
      <c r="R307" s="243"/>
      <c r="S307" s="243"/>
      <c r="T307" s="243"/>
      <c r="U307" s="243"/>
      <c r="V307" s="243"/>
      <c r="W307" s="243"/>
      <c r="X307" s="256"/>
      <c r="Y307" s="253"/>
      <c r="Z307" s="254"/>
      <c r="AA307" s="254"/>
      <c r="AB307" s="254"/>
      <c r="AC307" s="254"/>
      <c r="AD307" s="254"/>
      <c r="AE307" s="254"/>
      <c r="AF307" s="254"/>
      <c r="AG307" s="254"/>
      <c r="AH307" s="254"/>
      <c r="AI307" s="254"/>
      <c r="AJ307" s="254"/>
      <c r="AK307" s="254"/>
      <c r="AL307" s="254"/>
      <c r="AM307" s="254"/>
      <c r="AN307" s="254"/>
      <c r="AO307" s="254"/>
      <c r="AP307" s="254"/>
      <c r="AQ307" s="254"/>
      <c r="AR307" s="254"/>
      <c r="AS307" s="254"/>
      <c r="AT307" s="254"/>
      <c r="AU307" s="254"/>
      <c r="AV307" s="254"/>
      <c r="AW307" s="254"/>
      <c r="AX307" s="256"/>
      <c r="AZ307" s="254" t="str">
        <f ca="1"/>
        <v/>
      </c>
      <c r="BA307" s="254" t="str">
        <f ca="1"/>
        <v/>
      </c>
      <c r="BB307" s="254" t="str">
        <f ca="1"/>
        <v/>
      </c>
      <c r="BC307" s="254" t="str">
        <f ca="1"/>
        <v/>
      </c>
      <c r="BD307" s="256">
        <f ca="1"/>
        <v>0</v>
      </c>
      <c r="BF307" s="254"/>
      <c r="BG307" s="254"/>
      <c r="BH307" s="254"/>
      <c r="BI307" s="254"/>
      <c r="BJ307" s="243"/>
      <c r="BK307" s="254"/>
      <c r="BL307" s="256"/>
      <c r="BM307" s="46"/>
      <c r="BN307" s="256">
        <f ca="1"/>
        <v>0</v>
      </c>
      <c r="BP307" s="248">
        <f ca="1"/>
        <v>0</v>
      </c>
      <c r="BR307" s="248">
        <f ca="1"/>
        <v>0</v>
      </c>
      <c r="BT307" s="248">
        <f ca="1"/>
        <v>0</v>
      </c>
      <c r="BU307" s="248">
        <f ca="1"/>
        <v>0</v>
      </c>
    </row>
    <row r="308" spans="1:73" ht="16" hidden="1" thickTop="1" thickBot="1">
      <c r="A308" s="1"/>
      <c r="B308" s="1">
        <f t="shared" si="8"/>
        <v>0</v>
      </c>
      <c r="D308" s="98"/>
      <c r="E308" s="239"/>
      <c r="F308" s="243"/>
      <c r="G308" s="243"/>
      <c r="H308" s="243"/>
      <c r="I308" s="243"/>
      <c r="J308" s="243"/>
      <c r="K308" s="243"/>
      <c r="L308" s="366"/>
      <c r="M308" s="46"/>
      <c r="N308" s="243"/>
      <c r="O308" s="243"/>
      <c r="P308" s="243"/>
      <c r="Q308" s="243"/>
      <c r="R308" s="243"/>
      <c r="S308" s="243"/>
      <c r="T308" s="243"/>
      <c r="U308" s="243"/>
      <c r="V308" s="243"/>
      <c r="W308" s="243"/>
      <c r="X308" s="256"/>
      <c r="Y308" s="253"/>
      <c r="Z308" s="254"/>
      <c r="AA308" s="254"/>
      <c r="AB308" s="254"/>
      <c r="AC308" s="254"/>
      <c r="AD308" s="254"/>
      <c r="AE308" s="254"/>
      <c r="AF308" s="254"/>
      <c r="AG308" s="254"/>
      <c r="AH308" s="254"/>
      <c r="AI308" s="254"/>
      <c r="AJ308" s="254"/>
      <c r="AK308" s="254"/>
      <c r="AL308" s="254"/>
      <c r="AM308" s="254"/>
      <c r="AN308" s="254"/>
      <c r="AO308" s="254"/>
      <c r="AP308" s="254"/>
      <c r="AQ308" s="254"/>
      <c r="AR308" s="254"/>
      <c r="AS308" s="254"/>
      <c r="AT308" s="254"/>
      <c r="AU308" s="254"/>
      <c r="AV308" s="254"/>
      <c r="AW308" s="254"/>
      <c r="AX308" s="256"/>
      <c r="AZ308" s="254" t="str">
        <f ca="1"/>
        <v/>
      </c>
      <c r="BA308" s="254" t="str">
        <f ca="1"/>
        <v/>
      </c>
      <c r="BB308" s="254" t="str">
        <f ca="1"/>
        <v/>
      </c>
      <c r="BC308" s="254" t="str">
        <f ca="1"/>
        <v/>
      </c>
      <c r="BD308" s="256">
        <f ca="1"/>
        <v>0</v>
      </c>
      <c r="BF308" s="254"/>
      <c r="BG308" s="254"/>
      <c r="BH308" s="254"/>
      <c r="BI308" s="254"/>
      <c r="BJ308" s="243"/>
      <c r="BK308" s="254"/>
      <c r="BL308" s="256"/>
      <c r="BM308" s="46"/>
      <c r="BN308" s="256">
        <f ca="1"/>
        <v>0</v>
      </c>
      <c r="BP308" s="248">
        <f ca="1"/>
        <v>0</v>
      </c>
      <c r="BR308" s="248">
        <f ca="1"/>
        <v>0</v>
      </c>
      <c r="BT308" s="248">
        <f ca="1"/>
        <v>0</v>
      </c>
      <c r="BU308" s="248">
        <f ca="1"/>
        <v>0</v>
      </c>
    </row>
    <row r="309" spans="1:73" ht="16" hidden="1" thickTop="1" thickBot="1">
      <c r="A309" s="1"/>
      <c r="B309" s="1">
        <f t="shared" si="8"/>
        <v>0</v>
      </c>
      <c r="D309" s="98"/>
      <c r="E309" s="239"/>
      <c r="F309" s="243"/>
      <c r="G309" s="243"/>
      <c r="H309" s="243"/>
      <c r="I309" s="243"/>
      <c r="J309" s="243"/>
      <c r="K309" s="243"/>
      <c r="L309" s="366"/>
      <c r="M309" s="46"/>
      <c r="N309" s="243"/>
      <c r="O309" s="243"/>
      <c r="P309" s="243"/>
      <c r="Q309" s="243"/>
      <c r="R309" s="243"/>
      <c r="S309" s="243"/>
      <c r="T309" s="243"/>
      <c r="U309" s="243"/>
      <c r="V309" s="243"/>
      <c r="W309" s="243"/>
      <c r="X309" s="256"/>
      <c r="Y309" s="253"/>
      <c r="Z309" s="254"/>
      <c r="AA309" s="254"/>
      <c r="AB309" s="254"/>
      <c r="AC309" s="254"/>
      <c r="AD309" s="254"/>
      <c r="AE309" s="254"/>
      <c r="AF309" s="254"/>
      <c r="AG309" s="254"/>
      <c r="AH309" s="254"/>
      <c r="AI309" s="254"/>
      <c r="AJ309" s="254"/>
      <c r="AK309" s="254"/>
      <c r="AL309" s="254"/>
      <c r="AM309" s="254"/>
      <c r="AN309" s="254"/>
      <c r="AO309" s="254"/>
      <c r="AP309" s="254"/>
      <c r="AQ309" s="254"/>
      <c r="AR309" s="254"/>
      <c r="AS309" s="254"/>
      <c r="AT309" s="254"/>
      <c r="AU309" s="254"/>
      <c r="AV309" s="254"/>
      <c r="AW309" s="254"/>
      <c r="AX309" s="256"/>
      <c r="AZ309" s="254" t="str">
        <f ca="1"/>
        <v/>
      </c>
      <c r="BA309" s="254" t="str">
        <f ca="1"/>
        <v/>
      </c>
      <c r="BB309" s="254" t="str">
        <f ca="1"/>
        <v/>
      </c>
      <c r="BC309" s="254" t="str">
        <f ca="1"/>
        <v/>
      </c>
      <c r="BD309" s="256">
        <f ca="1"/>
        <v>0</v>
      </c>
      <c r="BF309" s="254"/>
      <c r="BG309" s="254"/>
      <c r="BH309" s="254"/>
      <c r="BI309" s="254"/>
      <c r="BJ309" s="243"/>
      <c r="BK309" s="254"/>
      <c r="BL309" s="256"/>
      <c r="BM309" s="46"/>
      <c r="BN309" s="256">
        <f ca="1"/>
        <v>0</v>
      </c>
      <c r="BP309" s="248">
        <f ca="1"/>
        <v>0</v>
      </c>
      <c r="BR309" s="248">
        <f ca="1"/>
        <v>0</v>
      </c>
      <c r="BT309" s="248">
        <f ca="1"/>
        <v>0</v>
      </c>
      <c r="BU309" s="248">
        <f ca="1"/>
        <v>0</v>
      </c>
    </row>
    <row r="310" spans="1:73" ht="16" hidden="1" thickTop="1" thickBot="1">
      <c r="A310" s="1"/>
      <c r="B310" s="1">
        <f t="shared" si="8"/>
        <v>0</v>
      </c>
      <c r="D310" s="98"/>
      <c r="E310" s="239"/>
      <c r="F310" s="243"/>
      <c r="G310" s="243"/>
      <c r="H310" s="243"/>
      <c r="I310" s="243"/>
      <c r="J310" s="243"/>
      <c r="K310" s="243"/>
      <c r="L310" s="366"/>
      <c r="M310" s="46"/>
      <c r="N310" s="243"/>
      <c r="O310" s="243"/>
      <c r="P310" s="243"/>
      <c r="Q310" s="243"/>
      <c r="R310" s="243"/>
      <c r="S310" s="243"/>
      <c r="T310" s="243"/>
      <c r="U310" s="243"/>
      <c r="V310" s="243"/>
      <c r="W310" s="243"/>
      <c r="X310" s="256"/>
      <c r="Y310" s="253"/>
      <c r="Z310" s="254"/>
      <c r="AA310" s="254"/>
      <c r="AB310" s="254"/>
      <c r="AC310" s="254"/>
      <c r="AD310" s="254"/>
      <c r="AE310" s="254"/>
      <c r="AF310" s="254"/>
      <c r="AG310" s="254"/>
      <c r="AH310" s="254"/>
      <c r="AI310" s="254"/>
      <c r="AJ310" s="254"/>
      <c r="AK310" s="254"/>
      <c r="AL310" s="254"/>
      <c r="AM310" s="254"/>
      <c r="AN310" s="254"/>
      <c r="AO310" s="254"/>
      <c r="AP310" s="254"/>
      <c r="AQ310" s="254"/>
      <c r="AR310" s="254"/>
      <c r="AS310" s="254"/>
      <c r="AT310" s="254"/>
      <c r="AU310" s="254"/>
      <c r="AV310" s="254"/>
      <c r="AW310" s="254"/>
      <c r="AX310" s="256"/>
      <c r="AZ310" s="254" t="str">
        <f ca="1"/>
        <v/>
      </c>
      <c r="BA310" s="254" t="str">
        <f ca="1"/>
        <v/>
      </c>
      <c r="BB310" s="254" t="str">
        <f ca="1"/>
        <v/>
      </c>
      <c r="BC310" s="254" t="str">
        <f ca="1"/>
        <v/>
      </c>
      <c r="BD310" s="256">
        <f ca="1"/>
        <v>0</v>
      </c>
      <c r="BF310" s="254"/>
      <c r="BG310" s="254"/>
      <c r="BH310" s="254"/>
      <c r="BI310" s="254"/>
      <c r="BJ310" s="243"/>
      <c r="BK310" s="254"/>
      <c r="BL310" s="256"/>
      <c r="BM310" s="46"/>
      <c r="BN310" s="256">
        <f ca="1"/>
        <v>0</v>
      </c>
      <c r="BP310" s="248">
        <f ca="1"/>
        <v>0</v>
      </c>
      <c r="BR310" s="248">
        <f ca="1"/>
        <v>0</v>
      </c>
      <c r="BT310" s="248">
        <f ca="1"/>
        <v>0</v>
      </c>
      <c r="BU310" s="248">
        <f ca="1"/>
        <v>0</v>
      </c>
    </row>
    <row r="311" spans="1:73" ht="16" hidden="1" thickTop="1" thickBot="1">
      <c r="A311" s="1"/>
      <c r="B311" s="1">
        <f t="shared" si="8"/>
        <v>0</v>
      </c>
      <c r="D311" s="98"/>
      <c r="E311" s="239"/>
      <c r="F311" s="243"/>
      <c r="G311" s="243"/>
      <c r="H311" s="243"/>
      <c r="I311" s="243"/>
      <c r="J311" s="243"/>
      <c r="K311" s="243"/>
      <c r="L311" s="366"/>
      <c r="M311" s="46"/>
      <c r="N311" s="243"/>
      <c r="O311" s="243"/>
      <c r="P311" s="243"/>
      <c r="Q311" s="243"/>
      <c r="R311" s="243"/>
      <c r="S311" s="243"/>
      <c r="T311" s="243"/>
      <c r="U311" s="243"/>
      <c r="V311" s="243"/>
      <c r="W311" s="243"/>
      <c r="X311" s="256"/>
      <c r="Y311" s="253"/>
      <c r="Z311" s="254"/>
      <c r="AA311" s="254"/>
      <c r="AB311" s="254"/>
      <c r="AC311" s="254"/>
      <c r="AD311" s="254"/>
      <c r="AE311" s="254"/>
      <c r="AF311" s="254"/>
      <c r="AG311" s="254"/>
      <c r="AH311" s="254"/>
      <c r="AI311" s="254"/>
      <c r="AJ311" s="254"/>
      <c r="AK311" s="254"/>
      <c r="AL311" s="254"/>
      <c r="AM311" s="254"/>
      <c r="AN311" s="254"/>
      <c r="AO311" s="254"/>
      <c r="AP311" s="254"/>
      <c r="AQ311" s="254"/>
      <c r="AR311" s="254"/>
      <c r="AS311" s="254"/>
      <c r="AT311" s="254"/>
      <c r="AU311" s="254"/>
      <c r="AV311" s="254"/>
      <c r="AW311" s="254"/>
      <c r="AX311" s="256"/>
      <c r="AZ311" s="254" t="str">
        <f ca="1"/>
        <v/>
      </c>
      <c r="BA311" s="254" t="str">
        <f ca="1"/>
        <v/>
      </c>
      <c r="BB311" s="254" t="str">
        <f ca="1"/>
        <v/>
      </c>
      <c r="BC311" s="254" t="str">
        <f ca="1"/>
        <v/>
      </c>
      <c r="BD311" s="256">
        <f ca="1"/>
        <v>0</v>
      </c>
      <c r="BF311" s="254"/>
      <c r="BG311" s="254"/>
      <c r="BH311" s="254"/>
      <c r="BI311" s="254"/>
      <c r="BJ311" s="243"/>
      <c r="BK311" s="254"/>
      <c r="BL311" s="256"/>
      <c r="BM311" s="46"/>
      <c r="BN311" s="256">
        <f ca="1"/>
        <v>0</v>
      </c>
      <c r="BP311" s="248">
        <f ca="1"/>
        <v>0</v>
      </c>
      <c r="BR311" s="248">
        <f ca="1"/>
        <v>0</v>
      </c>
      <c r="BT311" s="248">
        <f ca="1"/>
        <v>0</v>
      </c>
      <c r="BU311" s="248">
        <f ca="1"/>
        <v>0</v>
      </c>
    </row>
    <row r="312" spans="1:73" ht="16" hidden="1" thickTop="1" thickBot="1">
      <c r="A312" s="1"/>
      <c r="B312" s="1">
        <f t="shared" si="8"/>
        <v>0</v>
      </c>
      <c r="D312" s="98"/>
      <c r="E312" s="239"/>
      <c r="F312" s="243"/>
      <c r="G312" s="243"/>
      <c r="H312" s="243"/>
      <c r="I312" s="243"/>
      <c r="J312" s="243"/>
      <c r="K312" s="243"/>
      <c r="L312" s="366"/>
      <c r="M312" s="46"/>
      <c r="N312" s="243"/>
      <c r="O312" s="243"/>
      <c r="P312" s="243"/>
      <c r="Q312" s="243"/>
      <c r="R312" s="243"/>
      <c r="S312" s="243"/>
      <c r="T312" s="243"/>
      <c r="U312" s="243"/>
      <c r="V312" s="243"/>
      <c r="W312" s="243"/>
      <c r="X312" s="256"/>
      <c r="Y312" s="253"/>
      <c r="Z312" s="254"/>
      <c r="AA312" s="254"/>
      <c r="AB312" s="254"/>
      <c r="AC312" s="254"/>
      <c r="AD312" s="254"/>
      <c r="AE312" s="254"/>
      <c r="AF312" s="254"/>
      <c r="AG312" s="254"/>
      <c r="AH312" s="254"/>
      <c r="AI312" s="254"/>
      <c r="AJ312" s="254"/>
      <c r="AK312" s="254"/>
      <c r="AL312" s="254"/>
      <c r="AM312" s="254"/>
      <c r="AN312" s="254"/>
      <c r="AO312" s="254"/>
      <c r="AP312" s="254"/>
      <c r="AQ312" s="254"/>
      <c r="AR312" s="254"/>
      <c r="AS312" s="254"/>
      <c r="AT312" s="254"/>
      <c r="AU312" s="254"/>
      <c r="AV312" s="254"/>
      <c r="AW312" s="254"/>
      <c r="AX312" s="256"/>
      <c r="AZ312" s="254" t="str">
        <f ca="1"/>
        <v/>
      </c>
      <c r="BA312" s="254" t="str">
        <f ca="1"/>
        <v/>
      </c>
      <c r="BB312" s="254" t="str">
        <f ca="1"/>
        <v/>
      </c>
      <c r="BC312" s="254" t="str">
        <f ca="1"/>
        <v/>
      </c>
      <c r="BD312" s="256">
        <f ca="1"/>
        <v>0</v>
      </c>
      <c r="BF312" s="254"/>
      <c r="BG312" s="254"/>
      <c r="BH312" s="254"/>
      <c r="BI312" s="254"/>
      <c r="BJ312" s="243"/>
      <c r="BK312" s="254"/>
      <c r="BL312" s="256"/>
      <c r="BM312" s="46"/>
      <c r="BN312" s="256">
        <f ca="1"/>
        <v>0</v>
      </c>
      <c r="BP312" s="248">
        <f ca="1"/>
        <v>0</v>
      </c>
      <c r="BR312" s="248">
        <f ca="1"/>
        <v>0</v>
      </c>
      <c r="BT312" s="248">
        <f ca="1"/>
        <v>0</v>
      </c>
      <c r="BU312" s="248">
        <f ca="1"/>
        <v>0</v>
      </c>
    </row>
    <row r="313" spans="1:73" ht="16" hidden="1" thickTop="1" thickBot="1">
      <c r="A313" s="1"/>
      <c r="B313" s="1">
        <f t="shared" si="8"/>
        <v>0</v>
      </c>
      <c r="D313" s="98"/>
      <c r="E313" s="239"/>
      <c r="F313" s="243"/>
      <c r="G313" s="243"/>
      <c r="H313" s="243"/>
      <c r="I313" s="243"/>
      <c r="J313" s="243"/>
      <c r="K313" s="243"/>
      <c r="L313" s="366"/>
      <c r="M313" s="46"/>
      <c r="N313" s="243"/>
      <c r="O313" s="243"/>
      <c r="P313" s="243"/>
      <c r="Q313" s="243"/>
      <c r="R313" s="243"/>
      <c r="S313" s="243"/>
      <c r="T313" s="243"/>
      <c r="U313" s="243"/>
      <c r="V313" s="243"/>
      <c r="W313" s="243"/>
      <c r="X313" s="256"/>
      <c r="Y313" s="253"/>
      <c r="Z313" s="254"/>
      <c r="AA313" s="254"/>
      <c r="AB313" s="254"/>
      <c r="AC313" s="254"/>
      <c r="AD313" s="254"/>
      <c r="AE313" s="254"/>
      <c r="AF313" s="254"/>
      <c r="AG313" s="254"/>
      <c r="AH313" s="254"/>
      <c r="AI313" s="254"/>
      <c r="AJ313" s="254"/>
      <c r="AK313" s="254"/>
      <c r="AL313" s="254"/>
      <c r="AM313" s="254"/>
      <c r="AN313" s="254"/>
      <c r="AO313" s="254"/>
      <c r="AP313" s="254"/>
      <c r="AQ313" s="254"/>
      <c r="AR313" s="254"/>
      <c r="AS313" s="254"/>
      <c r="AT313" s="254"/>
      <c r="AU313" s="254"/>
      <c r="AV313" s="254"/>
      <c r="AW313" s="254"/>
      <c r="AX313" s="256"/>
      <c r="AZ313" s="254" t="str">
        <f ca="1"/>
        <v/>
      </c>
      <c r="BA313" s="254" t="str">
        <f ca="1"/>
        <v/>
      </c>
      <c r="BB313" s="254" t="str">
        <f ca="1"/>
        <v/>
      </c>
      <c r="BC313" s="254" t="str">
        <f ca="1"/>
        <v/>
      </c>
      <c r="BD313" s="256">
        <f ca="1"/>
        <v>0</v>
      </c>
      <c r="BF313" s="254"/>
      <c r="BG313" s="254"/>
      <c r="BH313" s="254"/>
      <c r="BI313" s="254"/>
      <c r="BJ313" s="243"/>
      <c r="BK313" s="254"/>
      <c r="BL313" s="256"/>
      <c r="BM313" s="46"/>
      <c r="BN313" s="256">
        <f ca="1"/>
        <v>0</v>
      </c>
      <c r="BP313" s="248">
        <f ca="1"/>
        <v>0</v>
      </c>
      <c r="BR313" s="248">
        <f ca="1"/>
        <v>0</v>
      </c>
      <c r="BT313" s="248">
        <f ca="1"/>
        <v>0</v>
      </c>
      <c r="BU313" s="248">
        <f ca="1"/>
        <v>0</v>
      </c>
    </row>
    <row r="314" spans="1:73" ht="16" hidden="1" thickTop="1" thickBot="1">
      <c r="A314" s="1"/>
      <c r="B314" s="1">
        <f t="shared" si="8"/>
        <v>0</v>
      </c>
      <c r="D314" s="98"/>
      <c r="E314" s="239"/>
      <c r="F314" s="243"/>
      <c r="G314" s="243"/>
      <c r="H314" s="243"/>
      <c r="I314" s="243"/>
      <c r="J314" s="243"/>
      <c r="K314" s="243"/>
      <c r="L314" s="366"/>
      <c r="M314" s="46"/>
      <c r="N314" s="243"/>
      <c r="O314" s="243"/>
      <c r="P314" s="243"/>
      <c r="Q314" s="243"/>
      <c r="R314" s="243"/>
      <c r="S314" s="243"/>
      <c r="T314" s="243"/>
      <c r="U314" s="243"/>
      <c r="V314" s="243"/>
      <c r="W314" s="243"/>
      <c r="X314" s="256"/>
      <c r="Y314" s="253"/>
      <c r="Z314" s="254"/>
      <c r="AA314" s="254"/>
      <c r="AB314" s="254"/>
      <c r="AC314" s="254"/>
      <c r="AD314" s="254"/>
      <c r="AE314" s="254"/>
      <c r="AF314" s="254"/>
      <c r="AG314" s="254"/>
      <c r="AH314" s="254"/>
      <c r="AI314" s="254"/>
      <c r="AJ314" s="254"/>
      <c r="AK314" s="254"/>
      <c r="AL314" s="254"/>
      <c r="AM314" s="254"/>
      <c r="AN314" s="254"/>
      <c r="AO314" s="254"/>
      <c r="AP314" s="254"/>
      <c r="AQ314" s="254"/>
      <c r="AR314" s="254"/>
      <c r="AS314" s="254"/>
      <c r="AT314" s="254"/>
      <c r="AU314" s="254"/>
      <c r="AV314" s="254"/>
      <c r="AW314" s="254"/>
      <c r="AX314" s="256"/>
      <c r="AZ314" s="254" t="str">
        <f ca="1"/>
        <v/>
      </c>
      <c r="BA314" s="254" t="str">
        <f ca="1"/>
        <v/>
      </c>
      <c r="BB314" s="254" t="str">
        <f ca="1"/>
        <v/>
      </c>
      <c r="BC314" s="254" t="str">
        <f ca="1"/>
        <v/>
      </c>
      <c r="BD314" s="256">
        <f ca="1"/>
        <v>0</v>
      </c>
      <c r="BF314" s="254"/>
      <c r="BG314" s="254"/>
      <c r="BH314" s="254"/>
      <c r="BI314" s="254"/>
      <c r="BJ314" s="243"/>
      <c r="BK314" s="254"/>
      <c r="BL314" s="256"/>
      <c r="BM314" s="46"/>
      <c r="BN314" s="256">
        <f ca="1"/>
        <v>0</v>
      </c>
      <c r="BP314" s="248">
        <f ca="1"/>
        <v>0</v>
      </c>
      <c r="BR314" s="248">
        <f ca="1"/>
        <v>0</v>
      </c>
      <c r="BT314" s="248">
        <f ca="1"/>
        <v>0</v>
      </c>
      <c r="BU314" s="248">
        <f ca="1"/>
        <v>0</v>
      </c>
    </row>
    <row r="315" spans="1:73" ht="16" hidden="1" thickTop="1" thickBot="1">
      <c r="A315" s="1"/>
      <c r="B315" s="1">
        <f t="shared" si="8"/>
        <v>0</v>
      </c>
      <c r="D315" s="98"/>
      <c r="E315" s="239"/>
      <c r="F315" s="243"/>
      <c r="G315" s="243"/>
      <c r="H315" s="243"/>
      <c r="I315" s="243"/>
      <c r="J315" s="243"/>
      <c r="K315" s="243"/>
      <c r="L315" s="366"/>
      <c r="M315" s="46"/>
      <c r="N315" s="243"/>
      <c r="O315" s="243"/>
      <c r="P315" s="243"/>
      <c r="Q315" s="243"/>
      <c r="R315" s="243"/>
      <c r="S315" s="243"/>
      <c r="T315" s="243"/>
      <c r="U315" s="243"/>
      <c r="V315" s="243"/>
      <c r="W315" s="243"/>
      <c r="X315" s="256"/>
      <c r="Y315" s="253"/>
      <c r="Z315" s="254"/>
      <c r="AA315" s="254"/>
      <c r="AB315" s="254"/>
      <c r="AC315" s="254"/>
      <c r="AD315" s="254"/>
      <c r="AE315" s="254"/>
      <c r="AF315" s="254"/>
      <c r="AG315" s="254"/>
      <c r="AH315" s="254"/>
      <c r="AI315" s="254"/>
      <c r="AJ315" s="254"/>
      <c r="AK315" s="254"/>
      <c r="AL315" s="254"/>
      <c r="AM315" s="254"/>
      <c r="AN315" s="254"/>
      <c r="AO315" s="254"/>
      <c r="AP315" s="254"/>
      <c r="AQ315" s="254"/>
      <c r="AR315" s="254"/>
      <c r="AS315" s="254"/>
      <c r="AT315" s="254"/>
      <c r="AU315" s="254"/>
      <c r="AV315" s="254"/>
      <c r="AW315" s="254"/>
      <c r="AX315" s="256"/>
      <c r="AZ315" s="254" t="str">
        <f ca="1"/>
        <v/>
      </c>
      <c r="BA315" s="254" t="str">
        <f ca="1"/>
        <v/>
      </c>
      <c r="BB315" s="254" t="str">
        <f ca="1"/>
        <v/>
      </c>
      <c r="BC315" s="254" t="str">
        <f ca="1"/>
        <v/>
      </c>
      <c r="BD315" s="256">
        <f ca="1"/>
        <v>0</v>
      </c>
      <c r="BF315" s="254"/>
      <c r="BG315" s="254"/>
      <c r="BH315" s="254"/>
      <c r="BI315" s="254"/>
      <c r="BJ315" s="243"/>
      <c r="BK315" s="254"/>
      <c r="BL315" s="256"/>
      <c r="BM315" s="46"/>
      <c r="BN315" s="256">
        <f ca="1"/>
        <v>0</v>
      </c>
      <c r="BP315" s="248">
        <f ca="1"/>
        <v>0</v>
      </c>
      <c r="BR315" s="248">
        <f ca="1"/>
        <v>0</v>
      </c>
      <c r="BT315" s="248">
        <f ca="1"/>
        <v>0</v>
      </c>
      <c r="BU315" s="248">
        <f ca="1"/>
        <v>0</v>
      </c>
    </row>
    <row r="316" spans="1:73" ht="16" hidden="1" thickTop="1" thickBot="1">
      <c r="A316" s="1"/>
      <c r="B316" s="1">
        <f t="shared" si="8"/>
        <v>0</v>
      </c>
      <c r="D316" s="98"/>
      <c r="E316" s="239"/>
      <c r="F316" s="243"/>
      <c r="G316" s="243"/>
      <c r="H316" s="243"/>
      <c r="I316" s="243"/>
      <c r="J316" s="243"/>
      <c r="K316" s="243"/>
      <c r="L316" s="366"/>
      <c r="M316" s="46"/>
      <c r="N316" s="243"/>
      <c r="O316" s="243"/>
      <c r="P316" s="243"/>
      <c r="Q316" s="243"/>
      <c r="R316" s="243"/>
      <c r="S316" s="243"/>
      <c r="T316" s="243"/>
      <c r="U316" s="243"/>
      <c r="V316" s="243"/>
      <c r="W316" s="243"/>
      <c r="X316" s="256"/>
      <c r="Y316" s="253"/>
      <c r="Z316" s="254"/>
      <c r="AA316" s="254"/>
      <c r="AB316" s="254"/>
      <c r="AC316" s="254"/>
      <c r="AD316" s="254"/>
      <c r="AE316" s="254"/>
      <c r="AF316" s="254"/>
      <c r="AG316" s="254"/>
      <c r="AH316" s="254"/>
      <c r="AI316" s="254"/>
      <c r="AJ316" s="254"/>
      <c r="AK316" s="254"/>
      <c r="AL316" s="254"/>
      <c r="AM316" s="254"/>
      <c r="AN316" s="254"/>
      <c r="AO316" s="254"/>
      <c r="AP316" s="254"/>
      <c r="AQ316" s="254"/>
      <c r="AR316" s="254"/>
      <c r="AS316" s="254"/>
      <c r="AT316" s="254"/>
      <c r="AU316" s="254"/>
      <c r="AV316" s="254"/>
      <c r="AW316" s="254"/>
      <c r="AX316" s="256"/>
      <c r="AZ316" s="254" t="str">
        <f ca="1"/>
        <v/>
      </c>
      <c r="BA316" s="254" t="str">
        <f ca="1"/>
        <v/>
      </c>
      <c r="BB316" s="254" t="str">
        <f ca="1"/>
        <v/>
      </c>
      <c r="BC316" s="254" t="str">
        <f ca="1"/>
        <v/>
      </c>
      <c r="BD316" s="256">
        <f ca="1"/>
        <v>0</v>
      </c>
      <c r="BF316" s="254"/>
      <c r="BG316" s="254"/>
      <c r="BH316" s="254"/>
      <c r="BI316" s="254"/>
      <c r="BJ316" s="243"/>
      <c r="BK316" s="254"/>
      <c r="BL316" s="256"/>
      <c r="BM316" s="46"/>
      <c r="BN316" s="256">
        <f ca="1"/>
        <v>0</v>
      </c>
      <c r="BP316" s="248">
        <f ca="1"/>
        <v>0</v>
      </c>
      <c r="BR316" s="248">
        <f ca="1"/>
        <v>0</v>
      </c>
      <c r="BT316" s="248">
        <f ca="1"/>
        <v>0</v>
      </c>
      <c r="BU316" s="248">
        <f ca="1"/>
        <v>0</v>
      </c>
    </row>
    <row r="317" spans="1:73" ht="16" hidden="1" thickTop="1" thickBot="1">
      <c r="A317" s="1"/>
      <c r="B317" s="1">
        <f t="shared" si="8"/>
        <v>0</v>
      </c>
      <c r="D317" s="98"/>
      <c r="E317" s="239"/>
      <c r="F317" s="243"/>
      <c r="G317" s="243"/>
      <c r="H317" s="243"/>
      <c r="I317" s="243"/>
      <c r="J317" s="243"/>
      <c r="K317" s="243"/>
      <c r="L317" s="366"/>
      <c r="M317" s="46"/>
      <c r="N317" s="243"/>
      <c r="O317" s="243"/>
      <c r="P317" s="243"/>
      <c r="Q317" s="243"/>
      <c r="R317" s="243"/>
      <c r="S317" s="243"/>
      <c r="T317" s="243"/>
      <c r="U317" s="243"/>
      <c r="V317" s="243"/>
      <c r="W317" s="243"/>
      <c r="X317" s="256"/>
      <c r="Y317" s="253"/>
      <c r="Z317" s="254"/>
      <c r="AA317" s="254"/>
      <c r="AB317" s="254"/>
      <c r="AC317" s="254"/>
      <c r="AD317" s="254"/>
      <c r="AE317" s="254"/>
      <c r="AF317" s="254"/>
      <c r="AG317" s="254"/>
      <c r="AH317" s="254"/>
      <c r="AI317" s="254"/>
      <c r="AJ317" s="254"/>
      <c r="AK317" s="254"/>
      <c r="AL317" s="254"/>
      <c r="AM317" s="254"/>
      <c r="AN317" s="254"/>
      <c r="AO317" s="254"/>
      <c r="AP317" s="254"/>
      <c r="AQ317" s="254"/>
      <c r="AR317" s="254"/>
      <c r="AS317" s="254"/>
      <c r="AT317" s="254"/>
      <c r="AU317" s="254"/>
      <c r="AV317" s="254"/>
      <c r="AW317" s="254"/>
      <c r="AX317" s="256"/>
      <c r="AZ317" s="254" t="str">
        <f ca="1"/>
        <v/>
      </c>
      <c r="BA317" s="254" t="str">
        <f ca="1"/>
        <v/>
      </c>
      <c r="BB317" s="254" t="str">
        <f ca="1"/>
        <v/>
      </c>
      <c r="BC317" s="254" t="str">
        <f ca="1"/>
        <v/>
      </c>
      <c r="BD317" s="256">
        <f ca="1"/>
        <v>0</v>
      </c>
      <c r="BF317" s="254"/>
      <c r="BG317" s="254"/>
      <c r="BH317" s="254"/>
      <c r="BI317" s="254"/>
      <c r="BJ317" s="243"/>
      <c r="BK317" s="254"/>
      <c r="BL317" s="256"/>
      <c r="BM317" s="46"/>
      <c r="BN317" s="256">
        <f ca="1"/>
        <v>0</v>
      </c>
      <c r="BP317" s="248">
        <f ca="1"/>
        <v>0</v>
      </c>
      <c r="BR317" s="248">
        <f ca="1"/>
        <v>0</v>
      </c>
      <c r="BT317" s="248">
        <f ca="1"/>
        <v>0</v>
      </c>
      <c r="BU317" s="248">
        <f ca="1"/>
        <v>0</v>
      </c>
    </row>
    <row r="318" spans="1:73" ht="16" hidden="1" thickTop="1" thickBot="1">
      <c r="A318" s="1"/>
      <c r="B318" s="1">
        <f t="shared" si="8"/>
        <v>0</v>
      </c>
      <c r="D318" s="98"/>
      <c r="E318" s="239"/>
      <c r="F318" s="243"/>
      <c r="G318" s="243"/>
      <c r="H318" s="243"/>
      <c r="I318" s="243"/>
      <c r="J318" s="243"/>
      <c r="K318" s="243"/>
      <c r="L318" s="366"/>
      <c r="M318" s="46"/>
      <c r="N318" s="243"/>
      <c r="O318" s="243"/>
      <c r="P318" s="243"/>
      <c r="Q318" s="243"/>
      <c r="R318" s="243"/>
      <c r="S318" s="243"/>
      <c r="T318" s="243"/>
      <c r="U318" s="243"/>
      <c r="V318" s="243"/>
      <c r="W318" s="243"/>
      <c r="X318" s="256"/>
      <c r="Y318" s="253"/>
      <c r="Z318" s="254"/>
      <c r="AA318" s="254"/>
      <c r="AB318" s="254"/>
      <c r="AC318" s="254"/>
      <c r="AD318" s="254"/>
      <c r="AE318" s="254"/>
      <c r="AF318" s="254"/>
      <c r="AG318" s="254"/>
      <c r="AH318" s="254"/>
      <c r="AI318" s="254"/>
      <c r="AJ318" s="254"/>
      <c r="AK318" s="254"/>
      <c r="AL318" s="254"/>
      <c r="AM318" s="254"/>
      <c r="AN318" s="254"/>
      <c r="AO318" s="254"/>
      <c r="AP318" s="254"/>
      <c r="AQ318" s="254"/>
      <c r="AR318" s="254"/>
      <c r="AS318" s="254"/>
      <c r="AT318" s="254"/>
      <c r="AU318" s="254"/>
      <c r="AV318" s="254"/>
      <c r="AW318" s="254"/>
      <c r="AX318" s="256"/>
      <c r="AZ318" s="254" t="str">
        <f ca="1"/>
        <v/>
      </c>
      <c r="BA318" s="254" t="str">
        <f ca="1"/>
        <v/>
      </c>
      <c r="BB318" s="254" t="str">
        <f ca="1"/>
        <v/>
      </c>
      <c r="BC318" s="254" t="str">
        <f ca="1"/>
        <v/>
      </c>
      <c r="BD318" s="256">
        <f ca="1"/>
        <v>0</v>
      </c>
      <c r="BF318" s="254"/>
      <c r="BG318" s="254"/>
      <c r="BH318" s="254"/>
      <c r="BI318" s="254"/>
      <c r="BJ318" s="243"/>
      <c r="BK318" s="254"/>
      <c r="BL318" s="256"/>
      <c r="BM318" s="46"/>
      <c r="BN318" s="256">
        <f ca="1"/>
        <v>0</v>
      </c>
      <c r="BP318" s="248">
        <f ca="1"/>
        <v>0</v>
      </c>
      <c r="BR318" s="248">
        <f ca="1"/>
        <v>0</v>
      </c>
      <c r="BT318" s="248">
        <f ca="1"/>
        <v>0</v>
      </c>
      <c r="BU318" s="248">
        <f ca="1"/>
        <v>0</v>
      </c>
    </row>
    <row r="319" spans="1:73" ht="16" hidden="1" thickTop="1" thickBot="1">
      <c r="A319" s="1"/>
      <c r="B319" s="1">
        <f t="shared" si="8"/>
        <v>0</v>
      </c>
      <c r="D319" s="98"/>
      <c r="E319" s="239"/>
      <c r="F319" s="243"/>
      <c r="G319" s="243"/>
      <c r="H319" s="243"/>
      <c r="I319" s="243"/>
      <c r="J319" s="243"/>
      <c r="K319" s="243"/>
      <c r="L319" s="366"/>
      <c r="M319" s="46"/>
      <c r="N319" s="243"/>
      <c r="O319" s="243"/>
      <c r="P319" s="243"/>
      <c r="Q319" s="243"/>
      <c r="R319" s="243"/>
      <c r="S319" s="243"/>
      <c r="T319" s="243"/>
      <c r="U319" s="243"/>
      <c r="V319" s="243"/>
      <c r="W319" s="243"/>
      <c r="X319" s="256"/>
      <c r="Y319" s="253"/>
      <c r="Z319" s="254"/>
      <c r="AA319" s="254"/>
      <c r="AB319" s="254"/>
      <c r="AC319" s="254"/>
      <c r="AD319" s="254"/>
      <c r="AE319" s="254"/>
      <c r="AF319" s="254"/>
      <c r="AG319" s="254"/>
      <c r="AH319" s="254"/>
      <c r="AI319" s="254"/>
      <c r="AJ319" s="254"/>
      <c r="AK319" s="254"/>
      <c r="AL319" s="254"/>
      <c r="AM319" s="254"/>
      <c r="AN319" s="254"/>
      <c r="AO319" s="254"/>
      <c r="AP319" s="254"/>
      <c r="AQ319" s="254"/>
      <c r="AR319" s="254"/>
      <c r="AS319" s="254"/>
      <c r="AT319" s="254"/>
      <c r="AU319" s="254"/>
      <c r="AV319" s="254"/>
      <c r="AW319" s="254"/>
      <c r="AX319" s="256"/>
      <c r="AZ319" s="254" t="str">
        <f ca="1"/>
        <v/>
      </c>
      <c r="BA319" s="254" t="str">
        <f ca="1"/>
        <v/>
      </c>
      <c r="BB319" s="254" t="str">
        <f ca="1"/>
        <v/>
      </c>
      <c r="BC319" s="254" t="str">
        <f ca="1"/>
        <v/>
      </c>
      <c r="BD319" s="256">
        <f ca="1"/>
        <v>0</v>
      </c>
      <c r="BF319" s="254"/>
      <c r="BG319" s="254"/>
      <c r="BH319" s="254"/>
      <c r="BI319" s="254"/>
      <c r="BJ319" s="243"/>
      <c r="BK319" s="254"/>
      <c r="BL319" s="256"/>
      <c r="BM319" s="46"/>
      <c r="BN319" s="256">
        <f ca="1"/>
        <v>0</v>
      </c>
      <c r="BP319" s="248">
        <f ca="1"/>
        <v>0</v>
      </c>
      <c r="BR319" s="248">
        <f ca="1"/>
        <v>0</v>
      </c>
      <c r="BT319" s="248">
        <f ca="1"/>
        <v>0</v>
      </c>
      <c r="BU319" s="248">
        <f ca="1"/>
        <v>0</v>
      </c>
    </row>
    <row r="320" spans="1:73" ht="16" hidden="1" thickTop="1" thickBot="1">
      <c r="A320" s="1"/>
      <c r="B320" s="1">
        <f t="shared" si="8"/>
        <v>0</v>
      </c>
      <c r="D320" s="98"/>
      <c r="E320" s="239"/>
      <c r="F320" s="243"/>
      <c r="G320" s="243"/>
      <c r="H320" s="243"/>
      <c r="I320" s="243"/>
      <c r="J320" s="243"/>
      <c r="K320" s="243"/>
      <c r="L320" s="366"/>
      <c r="M320" s="46"/>
      <c r="N320" s="243"/>
      <c r="O320" s="243"/>
      <c r="P320" s="243"/>
      <c r="Q320" s="243"/>
      <c r="R320" s="243"/>
      <c r="S320" s="243"/>
      <c r="T320" s="243"/>
      <c r="U320" s="243"/>
      <c r="V320" s="243"/>
      <c r="W320" s="243"/>
      <c r="X320" s="256"/>
      <c r="Y320" s="253"/>
      <c r="Z320" s="254"/>
      <c r="AA320" s="254"/>
      <c r="AB320" s="254"/>
      <c r="AC320" s="254"/>
      <c r="AD320" s="254"/>
      <c r="AE320" s="254"/>
      <c r="AF320" s="254"/>
      <c r="AG320" s="254"/>
      <c r="AH320" s="254"/>
      <c r="AI320" s="254"/>
      <c r="AJ320" s="254"/>
      <c r="AK320" s="254"/>
      <c r="AL320" s="254"/>
      <c r="AM320" s="254"/>
      <c r="AN320" s="254"/>
      <c r="AO320" s="254"/>
      <c r="AP320" s="254"/>
      <c r="AQ320" s="254"/>
      <c r="AR320" s="254"/>
      <c r="AS320" s="254"/>
      <c r="AT320" s="254"/>
      <c r="AU320" s="254"/>
      <c r="AV320" s="254"/>
      <c r="AW320" s="254"/>
      <c r="AX320" s="256"/>
      <c r="AZ320" s="254" t="str">
        <f ca="1"/>
        <v/>
      </c>
      <c r="BA320" s="254" t="str">
        <f ca="1"/>
        <v/>
      </c>
      <c r="BB320" s="254" t="str">
        <f ca="1"/>
        <v/>
      </c>
      <c r="BC320" s="254" t="str">
        <f ca="1"/>
        <v/>
      </c>
      <c r="BD320" s="256">
        <f ca="1"/>
        <v>0</v>
      </c>
      <c r="BF320" s="254"/>
      <c r="BG320" s="254"/>
      <c r="BH320" s="254"/>
      <c r="BI320" s="254"/>
      <c r="BJ320" s="243"/>
      <c r="BK320" s="254"/>
      <c r="BL320" s="256"/>
      <c r="BM320" s="46"/>
      <c r="BN320" s="256">
        <f ca="1"/>
        <v>0</v>
      </c>
      <c r="BP320" s="248">
        <f ca="1"/>
        <v>0</v>
      </c>
      <c r="BR320" s="248">
        <f ca="1"/>
        <v>0</v>
      </c>
      <c r="BT320" s="248">
        <f ca="1"/>
        <v>0</v>
      </c>
      <c r="BU320" s="248">
        <f ca="1"/>
        <v>0</v>
      </c>
    </row>
    <row r="321" spans="1:73" ht="16" hidden="1" thickTop="1" thickBot="1">
      <c r="A321" s="1"/>
      <c r="B321" s="1">
        <f t="shared" si="8"/>
        <v>0</v>
      </c>
      <c r="D321" s="98"/>
      <c r="E321" s="239"/>
      <c r="F321" s="243"/>
      <c r="G321" s="243"/>
      <c r="H321" s="243"/>
      <c r="I321" s="243"/>
      <c r="J321" s="243"/>
      <c r="K321" s="243"/>
      <c r="L321" s="366"/>
      <c r="M321" s="46"/>
      <c r="N321" s="243"/>
      <c r="O321" s="243"/>
      <c r="P321" s="243"/>
      <c r="Q321" s="243"/>
      <c r="R321" s="243"/>
      <c r="S321" s="243"/>
      <c r="T321" s="243"/>
      <c r="U321" s="243"/>
      <c r="V321" s="243"/>
      <c r="W321" s="243"/>
      <c r="X321" s="256"/>
      <c r="Y321" s="253"/>
      <c r="Z321" s="254"/>
      <c r="AA321" s="254"/>
      <c r="AB321" s="254"/>
      <c r="AC321" s="254"/>
      <c r="AD321" s="254"/>
      <c r="AE321" s="254"/>
      <c r="AF321" s="254"/>
      <c r="AG321" s="254"/>
      <c r="AH321" s="254"/>
      <c r="AI321" s="254"/>
      <c r="AJ321" s="254"/>
      <c r="AK321" s="254"/>
      <c r="AL321" s="254"/>
      <c r="AM321" s="254"/>
      <c r="AN321" s="254"/>
      <c r="AO321" s="254"/>
      <c r="AP321" s="254"/>
      <c r="AQ321" s="254"/>
      <c r="AR321" s="254"/>
      <c r="AS321" s="254"/>
      <c r="AT321" s="254"/>
      <c r="AU321" s="254"/>
      <c r="AV321" s="254"/>
      <c r="AW321" s="254"/>
      <c r="AX321" s="256"/>
      <c r="AZ321" s="254" t="str">
        <f ca="1"/>
        <v/>
      </c>
      <c r="BA321" s="254" t="str">
        <f ca="1"/>
        <v/>
      </c>
      <c r="BB321" s="254" t="str">
        <f ca="1"/>
        <v/>
      </c>
      <c r="BC321" s="254" t="str">
        <f ca="1"/>
        <v/>
      </c>
      <c r="BD321" s="256">
        <f ca="1"/>
        <v>0</v>
      </c>
      <c r="BF321" s="254"/>
      <c r="BG321" s="254"/>
      <c r="BH321" s="254"/>
      <c r="BI321" s="254"/>
      <c r="BJ321" s="243"/>
      <c r="BK321" s="254"/>
      <c r="BL321" s="256"/>
      <c r="BM321" s="46"/>
      <c r="BN321" s="256">
        <f ca="1"/>
        <v>0</v>
      </c>
      <c r="BP321" s="248">
        <f ca="1"/>
        <v>0</v>
      </c>
      <c r="BR321" s="248">
        <f ca="1"/>
        <v>0</v>
      </c>
      <c r="BT321" s="248">
        <f ca="1"/>
        <v>0</v>
      </c>
      <c r="BU321" s="248">
        <f ca="1"/>
        <v>0</v>
      </c>
    </row>
    <row r="322" spans="1:73" ht="16" hidden="1" thickTop="1" thickBot="1">
      <c r="A322" s="1"/>
      <c r="B322" s="1">
        <f t="shared" si="8"/>
        <v>0</v>
      </c>
      <c r="D322" s="98"/>
      <c r="E322" s="239"/>
      <c r="F322" s="243"/>
      <c r="G322" s="243"/>
      <c r="H322" s="243"/>
      <c r="I322" s="243"/>
      <c r="J322" s="243"/>
      <c r="K322" s="243"/>
      <c r="L322" s="366"/>
      <c r="M322" s="46"/>
      <c r="N322" s="243"/>
      <c r="O322" s="243"/>
      <c r="P322" s="243"/>
      <c r="Q322" s="243"/>
      <c r="R322" s="243"/>
      <c r="S322" s="243"/>
      <c r="T322" s="243"/>
      <c r="U322" s="243"/>
      <c r="V322" s="243"/>
      <c r="W322" s="243"/>
      <c r="X322" s="256"/>
      <c r="Y322" s="253"/>
      <c r="Z322" s="254"/>
      <c r="AA322" s="254"/>
      <c r="AB322" s="254"/>
      <c r="AC322" s="254"/>
      <c r="AD322" s="254"/>
      <c r="AE322" s="254"/>
      <c r="AF322" s="254"/>
      <c r="AG322" s="254"/>
      <c r="AH322" s="254"/>
      <c r="AI322" s="254"/>
      <c r="AJ322" s="254"/>
      <c r="AK322" s="254"/>
      <c r="AL322" s="254"/>
      <c r="AM322" s="254"/>
      <c r="AN322" s="254"/>
      <c r="AO322" s="254"/>
      <c r="AP322" s="254"/>
      <c r="AQ322" s="254"/>
      <c r="AR322" s="254"/>
      <c r="AS322" s="254"/>
      <c r="AT322" s="254"/>
      <c r="AU322" s="254"/>
      <c r="AV322" s="254"/>
      <c r="AW322" s="254"/>
      <c r="AX322" s="256"/>
      <c r="AZ322" s="254" t="str">
        <f ca="1"/>
        <v/>
      </c>
      <c r="BA322" s="254" t="str">
        <f ca="1"/>
        <v/>
      </c>
      <c r="BB322" s="254" t="str">
        <f ca="1"/>
        <v/>
      </c>
      <c r="BC322" s="254" t="str">
        <f ca="1"/>
        <v/>
      </c>
      <c r="BD322" s="256">
        <f ca="1"/>
        <v>0</v>
      </c>
      <c r="BF322" s="254"/>
      <c r="BG322" s="254"/>
      <c r="BH322" s="254"/>
      <c r="BI322" s="254"/>
      <c r="BJ322" s="243"/>
      <c r="BK322" s="254"/>
      <c r="BL322" s="256"/>
      <c r="BM322" s="46"/>
      <c r="BN322" s="256">
        <f ca="1"/>
        <v>0</v>
      </c>
      <c r="BP322" s="248">
        <f ca="1"/>
        <v>0</v>
      </c>
      <c r="BR322" s="248">
        <f ca="1"/>
        <v>0</v>
      </c>
      <c r="BT322" s="248">
        <f ca="1"/>
        <v>0</v>
      </c>
      <c r="BU322" s="248">
        <f ca="1"/>
        <v>0</v>
      </c>
    </row>
    <row r="323" spans="1:73" ht="16" hidden="1" thickTop="1" thickBot="1">
      <c r="A323" s="1"/>
      <c r="B323" s="1">
        <f t="shared" si="8"/>
        <v>0</v>
      </c>
      <c r="D323" s="98"/>
      <c r="E323" s="239"/>
      <c r="F323" s="243"/>
      <c r="G323" s="243"/>
      <c r="H323" s="243"/>
      <c r="I323" s="243"/>
      <c r="J323" s="243"/>
      <c r="K323" s="243"/>
      <c r="L323" s="366"/>
      <c r="M323" s="46"/>
      <c r="N323" s="243"/>
      <c r="O323" s="243"/>
      <c r="P323" s="243"/>
      <c r="Q323" s="243"/>
      <c r="R323" s="243"/>
      <c r="S323" s="243"/>
      <c r="T323" s="243"/>
      <c r="U323" s="243"/>
      <c r="V323" s="243"/>
      <c r="W323" s="243"/>
      <c r="X323" s="256"/>
      <c r="Y323" s="253"/>
      <c r="Z323" s="254"/>
      <c r="AA323" s="254"/>
      <c r="AB323" s="254"/>
      <c r="AC323" s="254"/>
      <c r="AD323" s="254"/>
      <c r="AE323" s="254"/>
      <c r="AF323" s="254"/>
      <c r="AG323" s="254"/>
      <c r="AH323" s="254"/>
      <c r="AI323" s="254"/>
      <c r="AJ323" s="254"/>
      <c r="AK323" s="254"/>
      <c r="AL323" s="254"/>
      <c r="AM323" s="254"/>
      <c r="AN323" s="254"/>
      <c r="AO323" s="254"/>
      <c r="AP323" s="254"/>
      <c r="AQ323" s="254"/>
      <c r="AR323" s="254"/>
      <c r="AS323" s="254"/>
      <c r="AT323" s="254"/>
      <c r="AU323" s="254"/>
      <c r="AV323" s="254"/>
      <c r="AW323" s="254"/>
      <c r="AX323" s="256"/>
      <c r="AZ323" s="254" t="str">
        <f ca="1"/>
        <v/>
      </c>
      <c r="BA323" s="254" t="str">
        <f ca="1"/>
        <v/>
      </c>
      <c r="BB323" s="254" t="str">
        <f ca="1"/>
        <v/>
      </c>
      <c r="BC323" s="254" t="str">
        <f ca="1"/>
        <v/>
      </c>
      <c r="BD323" s="256">
        <f ca="1"/>
        <v>0</v>
      </c>
      <c r="BF323" s="254"/>
      <c r="BG323" s="254"/>
      <c r="BH323" s="254"/>
      <c r="BI323" s="254"/>
      <c r="BJ323" s="243"/>
      <c r="BK323" s="254"/>
      <c r="BL323" s="256"/>
      <c r="BM323" s="46"/>
      <c r="BN323" s="256">
        <f ca="1"/>
        <v>0</v>
      </c>
      <c r="BP323" s="248">
        <f ca="1"/>
        <v>0</v>
      </c>
      <c r="BR323" s="248">
        <f ca="1"/>
        <v>0</v>
      </c>
      <c r="BT323" s="248">
        <f ca="1"/>
        <v>0</v>
      </c>
      <c r="BU323" s="248">
        <f ca="1"/>
        <v>0</v>
      </c>
    </row>
    <row r="324" spans="1:73" ht="16" hidden="1" thickTop="1" thickBot="1">
      <c r="A324" s="1"/>
      <c r="B324" s="1">
        <f t="shared" si="8"/>
        <v>0</v>
      </c>
      <c r="D324" s="98"/>
      <c r="E324" s="239"/>
      <c r="F324" s="243"/>
      <c r="G324" s="243"/>
      <c r="H324" s="243"/>
      <c r="I324" s="243"/>
      <c r="J324" s="243"/>
      <c r="K324" s="243"/>
      <c r="L324" s="366"/>
      <c r="M324" s="46"/>
      <c r="N324" s="243"/>
      <c r="O324" s="243"/>
      <c r="P324" s="243"/>
      <c r="Q324" s="243"/>
      <c r="R324" s="243"/>
      <c r="S324" s="243"/>
      <c r="T324" s="243"/>
      <c r="U324" s="243"/>
      <c r="V324" s="243"/>
      <c r="W324" s="243"/>
      <c r="X324" s="256"/>
      <c r="Y324" s="253"/>
      <c r="Z324" s="254"/>
      <c r="AA324" s="254"/>
      <c r="AB324" s="254"/>
      <c r="AC324" s="254"/>
      <c r="AD324" s="254"/>
      <c r="AE324" s="254"/>
      <c r="AF324" s="254"/>
      <c r="AG324" s="254"/>
      <c r="AH324" s="254"/>
      <c r="AI324" s="254"/>
      <c r="AJ324" s="254"/>
      <c r="AK324" s="254"/>
      <c r="AL324" s="254"/>
      <c r="AM324" s="254"/>
      <c r="AN324" s="254"/>
      <c r="AO324" s="254"/>
      <c r="AP324" s="254"/>
      <c r="AQ324" s="254"/>
      <c r="AR324" s="254"/>
      <c r="AS324" s="254"/>
      <c r="AT324" s="254"/>
      <c r="AU324" s="254"/>
      <c r="AV324" s="254"/>
      <c r="AW324" s="254"/>
      <c r="AX324" s="256"/>
      <c r="AZ324" s="254" t="str">
        <f ca="1"/>
        <v/>
      </c>
      <c r="BA324" s="254" t="str">
        <f ca="1"/>
        <v/>
      </c>
      <c r="BB324" s="254" t="str">
        <f ca="1"/>
        <v/>
      </c>
      <c r="BC324" s="254" t="str">
        <f ca="1"/>
        <v/>
      </c>
      <c r="BD324" s="256">
        <f ca="1"/>
        <v>0</v>
      </c>
      <c r="BF324" s="254"/>
      <c r="BG324" s="254"/>
      <c r="BH324" s="254"/>
      <c r="BI324" s="254"/>
      <c r="BJ324" s="243"/>
      <c r="BK324" s="254"/>
      <c r="BL324" s="256"/>
      <c r="BM324" s="46"/>
      <c r="BN324" s="256">
        <f ca="1"/>
        <v>0</v>
      </c>
      <c r="BP324" s="248">
        <f ca="1"/>
        <v>0</v>
      </c>
      <c r="BR324" s="248">
        <f ca="1"/>
        <v>0</v>
      </c>
      <c r="BT324" s="248">
        <f ca="1"/>
        <v>0</v>
      </c>
      <c r="BU324" s="248">
        <f ca="1"/>
        <v>0</v>
      </c>
    </row>
    <row r="325" spans="1:73" ht="16" hidden="1" thickTop="1" thickBot="1">
      <c r="A325" s="1"/>
      <c r="B325" s="1">
        <f t="shared" si="8"/>
        <v>0</v>
      </c>
      <c r="D325" s="98"/>
      <c r="E325" s="239"/>
      <c r="F325" s="243"/>
      <c r="G325" s="243"/>
      <c r="H325" s="243"/>
      <c r="I325" s="243"/>
      <c r="J325" s="243"/>
      <c r="K325" s="243"/>
      <c r="L325" s="366"/>
      <c r="M325" s="46"/>
      <c r="N325" s="243"/>
      <c r="O325" s="243"/>
      <c r="P325" s="243"/>
      <c r="Q325" s="243"/>
      <c r="R325" s="243"/>
      <c r="S325" s="243"/>
      <c r="T325" s="243"/>
      <c r="U325" s="243"/>
      <c r="V325" s="243"/>
      <c r="W325" s="243"/>
      <c r="X325" s="256"/>
      <c r="Y325" s="253"/>
      <c r="Z325" s="254"/>
      <c r="AA325" s="254"/>
      <c r="AB325" s="254"/>
      <c r="AC325" s="254"/>
      <c r="AD325" s="254"/>
      <c r="AE325" s="254"/>
      <c r="AF325" s="254"/>
      <c r="AG325" s="254"/>
      <c r="AH325" s="254"/>
      <c r="AI325" s="254"/>
      <c r="AJ325" s="254"/>
      <c r="AK325" s="254"/>
      <c r="AL325" s="254"/>
      <c r="AM325" s="254"/>
      <c r="AN325" s="254"/>
      <c r="AO325" s="254"/>
      <c r="AP325" s="254"/>
      <c r="AQ325" s="254"/>
      <c r="AR325" s="254"/>
      <c r="AS325" s="254"/>
      <c r="AT325" s="254"/>
      <c r="AU325" s="254"/>
      <c r="AV325" s="254"/>
      <c r="AW325" s="254"/>
      <c r="AX325" s="256"/>
      <c r="AZ325" s="254" t="str">
        <f ca="1"/>
        <v/>
      </c>
      <c r="BA325" s="254" t="str">
        <f ca="1"/>
        <v/>
      </c>
      <c r="BB325" s="254" t="str">
        <f ca="1"/>
        <v/>
      </c>
      <c r="BC325" s="254" t="str">
        <f ca="1"/>
        <v/>
      </c>
      <c r="BD325" s="256">
        <f ca="1"/>
        <v>0</v>
      </c>
      <c r="BF325" s="254"/>
      <c r="BG325" s="254"/>
      <c r="BH325" s="254"/>
      <c r="BI325" s="254"/>
      <c r="BJ325" s="243"/>
      <c r="BK325" s="254"/>
      <c r="BL325" s="256"/>
      <c r="BM325" s="46"/>
      <c r="BN325" s="256">
        <f ca="1"/>
        <v>0</v>
      </c>
      <c r="BP325" s="248">
        <f ca="1"/>
        <v>0</v>
      </c>
      <c r="BR325" s="248">
        <f ca="1"/>
        <v>0</v>
      </c>
      <c r="BT325" s="248">
        <f ca="1"/>
        <v>0</v>
      </c>
      <c r="BU325" s="248">
        <f ca="1"/>
        <v>0</v>
      </c>
    </row>
    <row r="326" spans="1:73" ht="16" hidden="1" thickTop="1" thickBot="1">
      <c r="A326" s="1"/>
      <c r="B326" s="1">
        <f t="shared" si="8"/>
        <v>0</v>
      </c>
      <c r="D326" s="98"/>
      <c r="E326" s="239"/>
      <c r="F326" s="243"/>
      <c r="G326" s="243"/>
      <c r="H326" s="243"/>
      <c r="I326" s="243"/>
      <c r="J326" s="243"/>
      <c r="K326" s="243"/>
      <c r="L326" s="366"/>
      <c r="M326" s="46"/>
      <c r="N326" s="243"/>
      <c r="O326" s="243"/>
      <c r="P326" s="243"/>
      <c r="Q326" s="243"/>
      <c r="R326" s="243"/>
      <c r="S326" s="243"/>
      <c r="T326" s="243"/>
      <c r="U326" s="243"/>
      <c r="V326" s="243"/>
      <c r="W326" s="243"/>
      <c r="X326" s="256"/>
      <c r="Y326" s="253"/>
      <c r="Z326" s="254"/>
      <c r="AA326" s="254"/>
      <c r="AB326" s="254"/>
      <c r="AC326" s="254"/>
      <c r="AD326" s="254"/>
      <c r="AE326" s="254"/>
      <c r="AF326" s="254"/>
      <c r="AG326" s="254"/>
      <c r="AH326" s="254"/>
      <c r="AI326" s="254"/>
      <c r="AJ326" s="254"/>
      <c r="AK326" s="254"/>
      <c r="AL326" s="254"/>
      <c r="AM326" s="254"/>
      <c r="AN326" s="254"/>
      <c r="AO326" s="254"/>
      <c r="AP326" s="254"/>
      <c r="AQ326" s="254"/>
      <c r="AR326" s="254"/>
      <c r="AS326" s="254"/>
      <c r="AT326" s="254"/>
      <c r="AU326" s="254"/>
      <c r="AV326" s="254"/>
      <c r="AW326" s="254"/>
      <c r="AX326" s="256"/>
      <c r="AZ326" s="254" t="str">
        <f ca="1"/>
        <v/>
      </c>
      <c r="BA326" s="254" t="str">
        <f ca="1"/>
        <v/>
      </c>
      <c r="BB326" s="254" t="str">
        <f ca="1"/>
        <v/>
      </c>
      <c r="BC326" s="254" t="str">
        <f ca="1"/>
        <v/>
      </c>
      <c r="BD326" s="256">
        <f ca="1"/>
        <v>0</v>
      </c>
      <c r="BF326" s="254"/>
      <c r="BG326" s="254"/>
      <c r="BH326" s="254"/>
      <c r="BI326" s="254"/>
      <c r="BJ326" s="243"/>
      <c r="BK326" s="254"/>
      <c r="BL326" s="256"/>
      <c r="BM326" s="46"/>
      <c r="BN326" s="256">
        <f ca="1"/>
        <v>0</v>
      </c>
      <c r="BP326" s="248">
        <f ca="1"/>
        <v>0</v>
      </c>
      <c r="BR326" s="248">
        <f ca="1"/>
        <v>0</v>
      </c>
      <c r="BT326" s="248">
        <f ca="1"/>
        <v>0</v>
      </c>
      <c r="BU326" s="248">
        <f ca="1"/>
        <v>0</v>
      </c>
    </row>
    <row r="327" spans="1:73" ht="16" hidden="1" thickTop="1" thickBot="1">
      <c r="A327" s="1"/>
      <c r="B327" s="1">
        <f t="shared" si="8"/>
        <v>0</v>
      </c>
      <c r="D327" s="98"/>
      <c r="E327" s="239"/>
      <c r="F327" s="243"/>
      <c r="G327" s="243"/>
      <c r="H327" s="243"/>
      <c r="I327" s="243"/>
      <c r="J327" s="243"/>
      <c r="K327" s="243"/>
      <c r="L327" s="366"/>
      <c r="M327" s="46"/>
      <c r="N327" s="243"/>
      <c r="O327" s="243"/>
      <c r="P327" s="243"/>
      <c r="Q327" s="243"/>
      <c r="R327" s="243"/>
      <c r="S327" s="243"/>
      <c r="T327" s="243"/>
      <c r="U327" s="243"/>
      <c r="V327" s="243"/>
      <c r="W327" s="243"/>
      <c r="X327" s="256"/>
      <c r="Y327" s="253"/>
      <c r="Z327" s="254"/>
      <c r="AA327" s="254"/>
      <c r="AB327" s="254"/>
      <c r="AC327" s="254"/>
      <c r="AD327" s="254"/>
      <c r="AE327" s="254"/>
      <c r="AF327" s="254"/>
      <c r="AG327" s="254"/>
      <c r="AH327" s="254"/>
      <c r="AI327" s="254"/>
      <c r="AJ327" s="254"/>
      <c r="AK327" s="254"/>
      <c r="AL327" s="254"/>
      <c r="AM327" s="254"/>
      <c r="AN327" s="254"/>
      <c r="AO327" s="254"/>
      <c r="AP327" s="254"/>
      <c r="AQ327" s="254"/>
      <c r="AR327" s="254"/>
      <c r="AS327" s="254"/>
      <c r="AT327" s="254"/>
      <c r="AU327" s="254"/>
      <c r="AV327" s="254"/>
      <c r="AW327" s="254"/>
      <c r="AX327" s="256"/>
      <c r="AZ327" s="254" t="str">
        <f ca="1"/>
        <v/>
      </c>
      <c r="BA327" s="254" t="str">
        <f ca="1"/>
        <v/>
      </c>
      <c r="BB327" s="254" t="str">
        <f ca="1"/>
        <v/>
      </c>
      <c r="BC327" s="254" t="str">
        <f ca="1"/>
        <v/>
      </c>
      <c r="BD327" s="256">
        <f ca="1"/>
        <v>0</v>
      </c>
      <c r="BF327" s="254"/>
      <c r="BG327" s="254"/>
      <c r="BH327" s="254"/>
      <c r="BI327" s="254"/>
      <c r="BJ327" s="243"/>
      <c r="BK327" s="254"/>
      <c r="BL327" s="256"/>
      <c r="BM327" s="46"/>
      <c r="BN327" s="256">
        <f ca="1"/>
        <v>0</v>
      </c>
      <c r="BP327" s="248">
        <f ca="1"/>
        <v>0</v>
      </c>
      <c r="BR327" s="248">
        <f ca="1"/>
        <v>0</v>
      </c>
      <c r="BT327" s="248">
        <f ca="1"/>
        <v>0</v>
      </c>
      <c r="BU327" s="248">
        <f ca="1"/>
        <v>0</v>
      </c>
    </row>
    <row r="328" spans="1:73" ht="16" hidden="1" thickTop="1" thickBot="1">
      <c r="A328" s="1"/>
      <c r="B328" s="1">
        <f t="shared" si="8"/>
        <v>0</v>
      </c>
      <c r="D328" s="98"/>
      <c r="E328" s="239"/>
      <c r="F328" s="243"/>
      <c r="G328" s="243"/>
      <c r="H328" s="243"/>
      <c r="I328" s="243"/>
      <c r="J328" s="243"/>
      <c r="K328" s="243"/>
      <c r="L328" s="366"/>
      <c r="M328" s="46"/>
      <c r="N328" s="243"/>
      <c r="O328" s="243"/>
      <c r="P328" s="243"/>
      <c r="Q328" s="243"/>
      <c r="R328" s="243"/>
      <c r="S328" s="243"/>
      <c r="T328" s="243"/>
      <c r="U328" s="243"/>
      <c r="V328" s="243"/>
      <c r="W328" s="243"/>
      <c r="X328" s="256"/>
      <c r="Y328" s="253"/>
      <c r="Z328" s="254"/>
      <c r="AA328" s="254"/>
      <c r="AB328" s="254"/>
      <c r="AC328" s="254"/>
      <c r="AD328" s="254"/>
      <c r="AE328" s="254"/>
      <c r="AF328" s="254"/>
      <c r="AG328" s="254"/>
      <c r="AH328" s="254"/>
      <c r="AI328" s="254"/>
      <c r="AJ328" s="254"/>
      <c r="AK328" s="254"/>
      <c r="AL328" s="254"/>
      <c r="AM328" s="254"/>
      <c r="AN328" s="254"/>
      <c r="AO328" s="254"/>
      <c r="AP328" s="254"/>
      <c r="AQ328" s="254"/>
      <c r="AR328" s="254"/>
      <c r="AS328" s="254"/>
      <c r="AT328" s="254"/>
      <c r="AU328" s="254"/>
      <c r="AV328" s="254"/>
      <c r="AW328" s="254"/>
      <c r="AX328" s="256"/>
      <c r="AZ328" s="254" t="str">
        <f ca="1"/>
        <v/>
      </c>
      <c r="BA328" s="254" t="str">
        <f ca="1"/>
        <v/>
      </c>
      <c r="BB328" s="254" t="str">
        <f ca="1"/>
        <v/>
      </c>
      <c r="BC328" s="254" t="str">
        <f ca="1"/>
        <v/>
      </c>
      <c r="BD328" s="256">
        <f ca="1"/>
        <v>0</v>
      </c>
      <c r="BF328" s="254"/>
      <c r="BG328" s="254"/>
      <c r="BH328" s="254"/>
      <c r="BI328" s="254"/>
      <c r="BJ328" s="243"/>
      <c r="BK328" s="254"/>
      <c r="BL328" s="256"/>
      <c r="BM328" s="46"/>
      <c r="BN328" s="256">
        <f ca="1"/>
        <v>0</v>
      </c>
      <c r="BP328" s="248">
        <f ca="1"/>
        <v>0</v>
      </c>
      <c r="BR328" s="248">
        <f ca="1"/>
        <v>0</v>
      </c>
      <c r="BT328" s="248">
        <f ca="1"/>
        <v>0</v>
      </c>
      <c r="BU328" s="248">
        <f ca="1"/>
        <v>0</v>
      </c>
    </row>
    <row r="329" spans="1:73" ht="16" hidden="1" thickTop="1" thickBot="1">
      <c r="A329" s="1"/>
      <c r="B329" s="1">
        <f t="shared" ref="B329:B368" si="9">IF(D329=0,0,1)</f>
        <v>0</v>
      </c>
      <c r="D329" s="98"/>
      <c r="E329" s="239"/>
      <c r="F329" s="243"/>
      <c r="G329" s="243"/>
      <c r="H329" s="243"/>
      <c r="I329" s="243"/>
      <c r="J329" s="243"/>
      <c r="K329" s="243"/>
      <c r="L329" s="366"/>
      <c r="M329" s="46"/>
      <c r="N329" s="243"/>
      <c r="O329" s="243"/>
      <c r="P329" s="243"/>
      <c r="Q329" s="243"/>
      <c r="R329" s="243"/>
      <c r="S329" s="243"/>
      <c r="T329" s="243"/>
      <c r="U329" s="243"/>
      <c r="V329" s="243"/>
      <c r="W329" s="243"/>
      <c r="X329" s="256"/>
      <c r="Y329" s="253"/>
      <c r="Z329" s="254"/>
      <c r="AA329" s="254"/>
      <c r="AB329" s="254"/>
      <c r="AC329" s="254"/>
      <c r="AD329" s="254"/>
      <c r="AE329" s="254"/>
      <c r="AF329" s="254"/>
      <c r="AG329" s="254"/>
      <c r="AH329" s="254"/>
      <c r="AI329" s="254"/>
      <c r="AJ329" s="254"/>
      <c r="AK329" s="254"/>
      <c r="AL329" s="254"/>
      <c r="AM329" s="254"/>
      <c r="AN329" s="254"/>
      <c r="AO329" s="254"/>
      <c r="AP329" s="254"/>
      <c r="AQ329" s="254"/>
      <c r="AR329" s="254"/>
      <c r="AS329" s="254"/>
      <c r="AT329" s="254"/>
      <c r="AU329" s="254"/>
      <c r="AV329" s="254"/>
      <c r="AW329" s="254"/>
      <c r="AX329" s="256"/>
      <c r="AZ329" s="254" t="str">
        <f ca="1"/>
        <v/>
      </c>
      <c r="BA329" s="254" t="str">
        <f ca="1"/>
        <v/>
      </c>
      <c r="BB329" s="254" t="str">
        <f ca="1"/>
        <v/>
      </c>
      <c r="BC329" s="254" t="str">
        <f ca="1"/>
        <v/>
      </c>
      <c r="BD329" s="256">
        <f ca="1"/>
        <v>0</v>
      </c>
      <c r="BF329" s="254"/>
      <c r="BG329" s="254"/>
      <c r="BH329" s="254"/>
      <c r="BI329" s="254"/>
      <c r="BJ329" s="243"/>
      <c r="BK329" s="254"/>
      <c r="BL329" s="256"/>
      <c r="BM329" s="46"/>
      <c r="BN329" s="256">
        <f ca="1"/>
        <v>0</v>
      </c>
      <c r="BP329" s="248">
        <f ca="1"/>
        <v>0</v>
      </c>
      <c r="BR329" s="248">
        <f ca="1"/>
        <v>0</v>
      </c>
      <c r="BT329" s="248">
        <f ca="1"/>
        <v>0</v>
      </c>
      <c r="BU329" s="248">
        <f ca="1"/>
        <v>0</v>
      </c>
    </row>
    <row r="330" spans="1:73" ht="16" hidden="1" thickTop="1" thickBot="1">
      <c r="A330" s="1"/>
      <c r="B330" s="1">
        <f t="shared" si="9"/>
        <v>0</v>
      </c>
      <c r="D330" s="98"/>
      <c r="E330" s="239"/>
      <c r="F330" s="243"/>
      <c r="G330" s="243"/>
      <c r="H330" s="243"/>
      <c r="I330" s="243"/>
      <c r="J330" s="243"/>
      <c r="K330" s="243"/>
      <c r="L330" s="366"/>
      <c r="M330" s="46"/>
      <c r="N330" s="243"/>
      <c r="O330" s="243"/>
      <c r="P330" s="243"/>
      <c r="Q330" s="243"/>
      <c r="R330" s="243"/>
      <c r="S330" s="243"/>
      <c r="T330" s="243"/>
      <c r="U330" s="243"/>
      <c r="V330" s="243"/>
      <c r="W330" s="243"/>
      <c r="X330" s="256"/>
      <c r="Y330" s="253"/>
      <c r="Z330" s="254"/>
      <c r="AA330" s="254"/>
      <c r="AB330" s="254"/>
      <c r="AC330" s="254"/>
      <c r="AD330" s="254"/>
      <c r="AE330" s="254"/>
      <c r="AF330" s="254"/>
      <c r="AG330" s="254"/>
      <c r="AH330" s="254"/>
      <c r="AI330" s="254"/>
      <c r="AJ330" s="254"/>
      <c r="AK330" s="254"/>
      <c r="AL330" s="254"/>
      <c r="AM330" s="254"/>
      <c r="AN330" s="254"/>
      <c r="AO330" s="254"/>
      <c r="AP330" s="254"/>
      <c r="AQ330" s="254"/>
      <c r="AR330" s="254"/>
      <c r="AS330" s="254"/>
      <c r="AT330" s="254"/>
      <c r="AU330" s="254"/>
      <c r="AV330" s="254"/>
      <c r="AW330" s="254"/>
      <c r="AX330" s="256"/>
      <c r="AZ330" s="254" t="str">
        <f ca="1"/>
        <v/>
      </c>
      <c r="BA330" s="254" t="str">
        <f ca="1"/>
        <v/>
      </c>
      <c r="BB330" s="254" t="str">
        <f ca="1"/>
        <v/>
      </c>
      <c r="BC330" s="254" t="str">
        <f ca="1"/>
        <v/>
      </c>
      <c r="BD330" s="256">
        <f ca="1"/>
        <v>0</v>
      </c>
      <c r="BF330" s="254"/>
      <c r="BG330" s="254"/>
      <c r="BH330" s="254"/>
      <c r="BI330" s="254"/>
      <c r="BJ330" s="243"/>
      <c r="BK330" s="254"/>
      <c r="BL330" s="256"/>
      <c r="BM330" s="46"/>
      <c r="BN330" s="256">
        <f ca="1"/>
        <v>0</v>
      </c>
      <c r="BP330" s="248">
        <f ca="1"/>
        <v>0</v>
      </c>
      <c r="BR330" s="248">
        <f ca="1"/>
        <v>0</v>
      </c>
      <c r="BT330" s="248">
        <f ca="1"/>
        <v>0</v>
      </c>
      <c r="BU330" s="248">
        <f ca="1"/>
        <v>0</v>
      </c>
    </row>
    <row r="331" spans="1:73" ht="16" hidden="1" thickTop="1" thickBot="1">
      <c r="A331" s="1"/>
      <c r="B331" s="1">
        <f t="shared" si="9"/>
        <v>0</v>
      </c>
      <c r="D331" s="98"/>
      <c r="E331" s="239"/>
      <c r="F331" s="243"/>
      <c r="G331" s="243"/>
      <c r="H331" s="243"/>
      <c r="I331" s="243"/>
      <c r="J331" s="243"/>
      <c r="K331" s="243"/>
      <c r="L331" s="366"/>
      <c r="M331" s="46"/>
      <c r="N331" s="243"/>
      <c r="O331" s="243"/>
      <c r="P331" s="243"/>
      <c r="Q331" s="243"/>
      <c r="R331" s="243"/>
      <c r="S331" s="243"/>
      <c r="T331" s="243"/>
      <c r="U331" s="243"/>
      <c r="V331" s="243"/>
      <c r="W331" s="243"/>
      <c r="X331" s="256"/>
      <c r="Y331" s="253"/>
      <c r="Z331" s="254"/>
      <c r="AA331" s="254"/>
      <c r="AB331" s="254"/>
      <c r="AC331" s="254"/>
      <c r="AD331" s="254"/>
      <c r="AE331" s="254"/>
      <c r="AF331" s="254"/>
      <c r="AG331" s="254"/>
      <c r="AH331" s="254"/>
      <c r="AI331" s="254"/>
      <c r="AJ331" s="254"/>
      <c r="AK331" s="254"/>
      <c r="AL331" s="254"/>
      <c r="AM331" s="254"/>
      <c r="AN331" s="254"/>
      <c r="AO331" s="254"/>
      <c r="AP331" s="254"/>
      <c r="AQ331" s="254"/>
      <c r="AR331" s="254"/>
      <c r="AS331" s="254"/>
      <c r="AT331" s="254"/>
      <c r="AU331" s="254"/>
      <c r="AV331" s="254"/>
      <c r="AW331" s="254"/>
      <c r="AX331" s="256"/>
      <c r="AZ331" s="254" t="str">
        <f ca="1"/>
        <v/>
      </c>
      <c r="BA331" s="254" t="str">
        <f ca="1"/>
        <v/>
      </c>
      <c r="BB331" s="254" t="str">
        <f ca="1"/>
        <v/>
      </c>
      <c r="BC331" s="254" t="str">
        <f ca="1"/>
        <v/>
      </c>
      <c r="BD331" s="256">
        <f ca="1"/>
        <v>0</v>
      </c>
      <c r="BF331" s="254"/>
      <c r="BG331" s="254"/>
      <c r="BH331" s="254"/>
      <c r="BI331" s="254"/>
      <c r="BJ331" s="243"/>
      <c r="BK331" s="254"/>
      <c r="BL331" s="256"/>
      <c r="BM331" s="46"/>
      <c r="BN331" s="256">
        <f ca="1"/>
        <v>0</v>
      </c>
      <c r="BP331" s="248">
        <f ca="1"/>
        <v>0</v>
      </c>
      <c r="BR331" s="248">
        <f ca="1"/>
        <v>0</v>
      </c>
      <c r="BT331" s="248">
        <f ca="1"/>
        <v>0</v>
      </c>
      <c r="BU331" s="248">
        <f ca="1"/>
        <v>0</v>
      </c>
    </row>
    <row r="332" spans="1:73" ht="16" hidden="1" thickTop="1" thickBot="1">
      <c r="A332" s="1"/>
      <c r="B332" s="1">
        <f t="shared" si="9"/>
        <v>0</v>
      </c>
      <c r="D332" s="98"/>
      <c r="E332" s="239"/>
      <c r="F332" s="243"/>
      <c r="G332" s="243"/>
      <c r="H332" s="243"/>
      <c r="I332" s="243"/>
      <c r="J332" s="243"/>
      <c r="K332" s="243"/>
      <c r="L332" s="366"/>
      <c r="M332" s="46"/>
      <c r="N332" s="243"/>
      <c r="O332" s="243"/>
      <c r="P332" s="243"/>
      <c r="Q332" s="243"/>
      <c r="R332" s="243"/>
      <c r="S332" s="243"/>
      <c r="T332" s="243"/>
      <c r="U332" s="243"/>
      <c r="V332" s="243"/>
      <c r="W332" s="243"/>
      <c r="X332" s="256"/>
      <c r="Y332" s="253"/>
      <c r="Z332" s="254"/>
      <c r="AA332" s="254"/>
      <c r="AB332" s="254"/>
      <c r="AC332" s="254"/>
      <c r="AD332" s="254"/>
      <c r="AE332" s="254"/>
      <c r="AF332" s="254"/>
      <c r="AG332" s="254"/>
      <c r="AH332" s="254"/>
      <c r="AI332" s="254"/>
      <c r="AJ332" s="254"/>
      <c r="AK332" s="254"/>
      <c r="AL332" s="254"/>
      <c r="AM332" s="254"/>
      <c r="AN332" s="254"/>
      <c r="AO332" s="254"/>
      <c r="AP332" s="254"/>
      <c r="AQ332" s="254"/>
      <c r="AR332" s="254"/>
      <c r="AS332" s="254"/>
      <c r="AT332" s="254"/>
      <c r="AU332" s="254"/>
      <c r="AV332" s="254"/>
      <c r="AW332" s="254"/>
      <c r="AX332" s="256"/>
      <c r="AZ332" s="254" t="str">
        <f ca="1"/>
        <v/>
      </c>
      <c r="BA332" s="254" t="str">
        <f ca="1"/>
        <v/>
      </c>
      <c r="BB332" s="254" t="str">
        <f ca="1"/>
        <v/>
      </c>
      <c r="BC332" s="254" t="str">
        <f ca="1"/>
        <v/>
      </c>
      <c r="BD332" s="256">
        <f ca="1"/>
        <v>0</v>
      </c>
      <c r="BF332" s="254"/>
      <c r="BG332" s="254"/>
      <c r="BH332" s="254"/>
      <c r="BI332" s="254"/>
      <c r="BJ332" s="243"/>
      <c r="BK332" s="254"/>
      <c r="BL332" s="256"/>
      <c r="BM332" s="46"/>
      <c r="BN332" s="256">
        <f ca="1"/>
        <v>0</v>
      </c>
      <c r="BP332" s="248">
        <f ca="1"/>
        <v>0</v>
      </c>
      <c r="BR332" s="248">
        <f ca="1"/>
        <v>0</v>
      </c>
      <c r="BT332" s="248">
        <f ca="1"/>
        <v>0</v>
      </c>
      <c r="BU332" s="248">
        <f ca="1"/>
        <v>0</v>
      </c>
    </row>
    <row r="333" spans="1:73" ht="16" hidden="1" thickTop="1" thickBot="1">
      <c r="A333" s="1"/>
      <c r="B333" s="1">
        <f t="shared" si="9"/>
        <v>0</v>
      </c>
      <c r="D333" s="98"/>
      <c r="E333" s="239"/>
      <c r="F333" s="243"/>
      <c r="G333" s="243"/>
      <c r="H333" s="243"/>
      <c r="I333" s="243"/>
      <c r="J333" s="243"/>
      <c r="K333" s="243"/>
      <c r="L333" s="366"/>
      <c r="M333" s="46"/>
      <c r="N333" s="243"/>
      <c r="O333" s="243"/>
      <c r="P333" s="243"/>
      <c r="Q333" s="243"/>
      <c r="R333" s="243"/>
      <c r="S333" s="243"/>
      <c r="T333" s="243"/>
      <c r="U333" s="243"/>
      <c r="V333" s="243"/>
      <c r="W333" s="243"/>
      <c r="X333" s="256"/>
      <c r="Y333" s="253"/>
      <c r="Z333" s="254"/>
      <c r="AA333" s="254"/>
      <c r="AB333" s="254"/>
      <c r="AC333" s="254"/>
      <c r="AD333" s="254"/>
      <c r="AE333" s="254"/>
      <c r="AF333" s="254"/>
      <c r="AG333" s="254"/>
      <c r="AH333" s="254"/>
      <c r="AI333" s="254"/>
      <c r="AJ333" s="254"/>
      <c r="AK333" s="254"/>
      <c r="AL333" s="254"/>
      <c r="AM333" s="254"/>
      <c r="AN333" s="254"/>
      <c r="AO333" s="254"/>
      <c r="AP333" s="254"/>
      <c r="AQ333" s="254"/>
      <c r="AR333" s="254"/>
      <c r="AS333" s="254"/>
      <c r="AT333" s="254"/>
      <c r="AU333" s="254"/>
      <c r="AV333" s="254"/>
      <c r="AW333" s="254"/>
      <c r="AX333" s="256"/>
      <c r="AZ333" s="254" t="str">
        <f ca="1"/>
        <v/>
      </c>
      <c r="BA333" s="254" t="str">
        <f ca="1"/>
        <v/>
      </c>
      <c r="BB333" s="254" t="str">
        <f ca="1"/>
        <v/>
      </c>
      <c r="BC333" s="254" t="str">
        <f ca="1"/>
        <v/>
      </c>
      <c r="BD333" s="256">
        <f ca="1"/>
        <v>0</v>
      </c>
      <c r="BF333" s="254"/>
      <c r="BG333" s="254"/>
      <c r="BH333" s="254"/>
      <c r="BI333" s="254"/>
      <c r="BJ333" s="243"/>
      <c r="BK333" s="254"/>
      <c r="BL333" s="256"/>
      <c r="BM333" s="46"/>
      <c r="BN333" s="256">
        <f ca="1"/>
        <v>0</v>
      </c>
      <c r="BP333" s="248">
        <f ca="1"/>
        <v>0</v>
      </c>
      <c r="BR333" s="248">
        <f ca="1"/>
        <v>0</v>
      </c>
      <c r="BT333" s="248">
        <f ca="1"/>
        <v>0</v>
      </c>
      <c r="BU333" s="248">
        <f ca="1"/>
        <v>0</v>
      </c>
    </row>
    <row r="334" spans="1:73" ht="16" hidden="1" thickTop="1" thickBot="1">
      <c r="A334" s="1"/>
      <c r="B334" s="1">
        <f t="shared" si="9"/>
        <v>0</v>
      </c>
      <c r="D334" s="98"/>
      <c r="E334" s="239"/>
      <c r="F334" s="243"/>
      <c r="G334" s="243"/>
      <c r="H334" s="243"/>
      <c r="I334" s="243"/>
      <c r="J334" s="243"/>
      <c r="K334" s="243"/>
      <c r="L334" s="366"/>
      <c r="M334" s="46"/>
      <c r="N334" s="243"/>
      <c r="O334" s="243"/>
      <c r="P334" s="243"/>
      <c r="Q334" s="243"/>
      <c r="R334" s="243"/>
      <c r="S334" s="243"/>
      <c r="T334" s="243"/>
      <c r="U334" s="243"/>
      <c r="V334" s="243"/>
      <c r="W334" s="243"/>
      <c r="X334" s="256"/>
      <c r="Y334" s="253"/>
      <c r="Z334" s="254"/>
      <c r="AA334" s="254"/>
      <c r="AB334" s="254"/>
      <c r="AC334" s="254"/>
      <c r="AD334" s="254"/>
      <c r="AE334" s="254"/>
      <c r="AF334" s="254"/>
      <c r="AG334" s="254"/>
      <c r="AH334" s="254"/>
      <c r="AI334" s="254"/>
      <c r="AJ334" s="254"/>
      <c r="AK334" s="254"/>
      <c r="AL334" s="254"/>
      <c r="AM334" s="254"/>
      <c r="AN334" s="254"/>
      <c r="AO334" s="254"/>
      <c r="AP334" s="254"/>
      <c r="AQ334" s="254"/>
      <c r="AR334" s="254"/>
      <c r="AS334" s="254"/>
      <c r="AT334" s="254"/>
      <c r="AU334" s="254"/>
      <c r="AV334" s="254"/>
      <c r="AW334" s="254"/>
      <c r="AX334" s="256"/>
      <c r="AZ334" s="254" t="str">
        <f ca="1"/>
        <v/>
      </c>
      <c r="BA334" s="254" t="str">
        <f ca="1"/>
        <v/>
      </c>
      <c r="BB334" s="254" t="str">
        <f ca="1"/>
        <v/>
      </c>
      <c r="BC334" s="254" t="str">
        <f ca="1"/>
        <v/>
      </c>
      <c r="BD334" s="256">
        <f ca="1"/>
        <v>0</v>
      </c>
      <c r="BF334" s="254"/>
      <c r="BG334" s="254"/>
      <c r="BH334" s="254"/>
      <c r="BI334" s="254"/>
      <c r="BJ334" s="243"/>
      <c r="BK334" s="254"/>
      <c r="BL334" s="256"/>
      <c r="BM334" s="46"/>
      <c r="BN334" s="256">
        <f ca="1"/>
        <v>0</v>
      </c>
      <c r="BP334" s="248">
        <f ca="1"/>
        <v>0</v>
      </c>
      <c r="BR334" s="248">
        <f ca="1"/>
        <v>0</v>
      </c>
      <c r="BT334" s="248">
        <f ca="1"/>
        <v>0</v>
      </c>
      <c r="BU334" s="248">
        <f ca="1"/>
        <v>0</v>
      </c>
    </row>
    <row r="335" spans="1:73" ht="16" hidden="1" thickTop="1" thickBot="1">
      <c r="A335" s="1"/>
      <c r="B335" s="1">
        <f t="shared" si="9"/>
        <v>0</v>
      </c>
      <c r="D335" s="98"/>
      <c r="E335" s="239"/>
      <c r="F335" s="243"/>
      <c r="G335" s="243"/>
      <c r="H335" s="243"/>
      <c r="I335" s="243"/>
      <c r="J335" s="243"/>
      <c r="K335" s="243"/>
      <c r="L335" s="366"/>
      <c r="M335" s="46"/>
      <c r="N335" s="243"/>
      <c r="O335" s="243"/>
      <c r="P335" s="243"/>
      <c r="Q335" s="243"/>
      <c r="R335" s="243"/>
      <c r="S335" s="243"/>
      <c r="T335" s="243"/>
      <c r="U335" s="243"/>
      <c r="V335" s="243"/>
      <c r="W335" s="243"/>
      <c r="X335" s="256"/>
      <c r="Y335" s="253"/>
      <c r="Z335" s="254"/>
      <c r="AA335" s="254"/>
      <c r="AB335" s="254"/>
      <c r="AC335" s="254"/>
      <c r="AD335" s="254"/>
      <c r="AE335" s="254"/>
      <c r="AF335" s="254"/>
      <c r="AG335" s="254"/>
      <c r="AH335" s="254"/>
      <c r="AI335" s="254"/>
      <c r="AJ335" s="254"/>
      <c r="AK335" s="254"/>
      <c r="AL335" s="254"/>
      <c r="AM335" s="254"/>
      <c r="AN335" s="254"/>
      <c r="AO335" s="254"/>
      <c r="AP335" s="254"/>
      <c r="AQ335" s="254"/>
      <c r="AR335" s="254"/>
      <c r="AS335" s="254"/>
      <c r="AT335" s="254"/>
      <c r="AU335" s="254"/>
      <c r="AV335" s="254"/>
      <c r="AW335" s="254"/>
      <c r="AX335" s="256"/>
      <c r="AZ335" s="254" t="str">
        <f ca="1"/>
        <v/>
      </c>
      <c r="BA335" s="254" t="str">
        <f ca="1"/>
        <v/>
      </c>
      <c r="BB335" s="254" t="str">
        <f ca="1"/>
        <v/>
      </c>
      <c r="BC335" s="254" t="str">
        <f ca="1"/>
        <v/>
      </c>
      <c r="BD335" s="256">
        <f ca="1"/>
        <v>0</v>
      </c>
      <c r="BF335" s="254"/>
      <c r="BG335" s="254"/>
      <c r="BH335" s="254"/>
      <c r="BI335" s="254"/>
      <c r="BJ335" s="243"/>
      <c r="BK335" s="254"/>
      <c r="BL335" s="256"/>
      <c r="BM335" s="46"/>
      <c r="BN335" s="256">
        <f ca="1"/>
        <v>0</v>
      </c>
      <c r="BP335" s="248">
        <f ca="1"/>
        <v>0</v>
      </c>
      <c r="BR335" s="248">
        <f ca="1"/>
        <v>0</v>
      </c>
      <c r="BT335" s="248">
        <f ca="1"/>
        <v>0</v>
      </c>
      <c r="BU335" s="248">
        <f ca="1"/>
        <v>0</v>
      </c>
    </row>
    <row r="336" spans="1:73" ht="16" hidden="1" thickTop="1" thickBot="1">
      <c r="A336" s="1"/>
      <c r="B336" s="1">
        <f t="shared" si="9"/>
        <v>0</v>
      </c>
      <c r="D336" s="98"/>
      <c r="E336" s="239"/>
      <c r="F336" s="243"/>
      <c r="G336" s="243"/>
      <c r="H336" s="243"/>
      <c r="I336" s="243"/>
      <c r="J336" s="243"/>
      <c r="K336" s="243"/>
      <c r="L336" s="366"/>
      <c r="M336" s="46"/>
      <c r="N336" s="243"/>
      <c r="O336" s="243"/>
      <c r="P336" s="243"/>
      <c r="Q336" s="243"/>
      <c r="R336" s="243"/>
      <c r="S336" s="243"/>
      <c r="T336" s="243"/>
      <c r="U336" s="243"/>
      <c r="V336" s="243"/>
      <c r="W336" s="243"/>
      <c r="X336" s="256"/>
      <c r="Y336" s="253"/>
      <c r="Z336" s="254"/>
      <c r="AA336" s="254"/>
      <c r="AB336" s="254"/>
      <c r="AC336" s="254"/>
      <c r="AD336" s="254"/>
      <c r="AE336" s="254"/>
      <c r="AF336" s="254"/>
      <c r="AG336" s="254"/>
      <c r="AH336" s="254"/>
      <c r="AI336" s="254"/>
      <c r="AJ336" s="254"/>
      <c r="AK336" s="254"/>
      <c r="AL336" s="254"/>
      <c r="AM336" s="254"/>
      <c r="AN336" s="254"/>
      <c r="AO336" s="254"/>
      <c r="AP336" s="254"/>
      <c r="AQ336" s="254"/>
      <c r="AR336" s="254"/>
      <c r="AS336" s="254"/>
      <c r="AT336" s="254"/>
      <c r="AU336" s="254"/>
      <c r="AV336" s="254"/>
      <c r="AW336" s="254"/>
      <c r="AX336" s="256"/>
      <c r="AZ336" s="254" t="str">
        <f ca="1"/>
        <v/>
      </c>
      <c r="BA336" s="254" t="str">
        <f ca="1"/>
        <v/>
      </c>
      <c r="BB336" s="254" t="str">
        <f ca="1"/>
        <v/>
      </c>
      <c r="BC336" s="254" t="str">
        <f ca="1"/>
        <v/>
      </c>
      <c r="BD336" s="256">
        <f ca="1"/>
        <v>0</v>
      </c>
      <c r="BF336" s="254"/>
      <c r="BG336" s="254"/>
      <c r="BH336" s="254"/>
      <c r="BI336" s="254"/>
      <c r="BJ336" s="243"/>
      <c r="BK336" s="254"/>
      <c r="BL336" s="256"/>
      <c r="BM336" s="46"/>
      <c r="BN336" s="256">
        <f ca="1"/>
        <v>0</v>
      </c>
      <c r="BP336" s="248">
        <f ca="1"/>
        <v>0</v>
      </c>
      <c r="BR336" s="248">
        <f ca="1"/>
        <v>0</v>
      </c>
      <c r="BT336" s="248">
        <f ca="1"/>
        <v>0</v>
      </c>
      <c r="BU336" s="248">
        <f ca="1"/>
        <v>0</v>
      </c>
    </row>
    <row r="337" spans="1:73" ht="16" hidden="1" thickTop="1" thickBot="1">
      <c r="A337" s="1"/>
      <c r="B337" s="1">
        <f t="shared" si="9"/>
        <v>0</v>
      </c>
      <c r="D337" s="98"/>
      <c r="E337" s="239"/>
      <c r="F337" s="243"/>
      <c r="G337" s="243"/>
      <c r="H337" s="243"/>
      <c r="I337" s="243"/>
      <c r="J337" s="243"/>
      <c r="K337" s="243"/>
      <c r="L337" s="366"/>
      <c r="M337" s="46"/>
      <c r="N337" s="243"/>
      <c r="O337" s="243"/>
      <c r="P337" s="243"/>
      <c r="Q337" s="243"/>
      <c r="R337" s="243"/>
      <c r="S337" s="243"/>
      <c r="T337" s="243"/>
      <c r="U337" s="243"/>
      <c r="V337" s="243"/>
      <c r="W337" s="243"/>
      <c r="X337" s="256"/>
      <c r="Y337" s="253"/>
      <c r="Z337" s="254"/>
      <c r="AA337" s="254"/>
      <c r="AB337" s="254"/>
      <c r="AC337" s="254"/>
      <c r="AD337" s="254"/>
      <c r="AE337" s="254"/>
      <c r="AF337" s="254"/>
      <c r="AG337" s="254"/>
      <c r="AH337" s="254"/>
      <c r="AI337" s="254"/>
      <c r="AJ337" s="254"/>
      <c r="AK337" s="254"/>
      <c r="AL337" s="254"/>
      <c r="AM337" s="254"/>
      <c r="AN337" s="254"/>
      <c r="AO337" s="254"/>
      <c r="AP337" s="254"/>
      <c r="AQ337" s="254"/>
      <c r="AR337" s="254"/>
      <c r="AS337" s="254"/>
      <c r="AT337" s="254"/>
      <c r="AU337" s="254"/>
      <c r="AV337" s="254"/>
      <c r="AW337" s="254"/>
      <c r="AX337" s="256"/>
      <c r="AZ337" s="254" t="str">
        <f ca="1"/>
        <v/>
      </c>
      <c r="BA337" s="254" t="str">
        <f ca="1"/>
        <v/>
      </c>
      <c r="BB337" s="254" t="str">
        <f ca="1"/>
        <v/>
      </c>
      <c r="BC337" s="254" t="str">
        <f ca="1"/>
        <v/>
      </c>
      <c r="BD337" s="256">
        <f ca="1"/>
        <v>0</v>
      </c>
      <c r="BF337" s="254"/>
      <c r="BG337" s="254"/>
      <c r="BH337" s="254"/>
      <c r="BI337" s="254"/>
      <c r="BJ337" s="243"/>
      <c r="BK337" s="254"/>
      <c r="BL337" s="256"/>
      <c r="BM337" s="46"/>
      <c r="BN337" s="256">
        <f ca="1"/>
        <v>0</v>
      </c>
      <c r="BP337" s="248">
        <f ca="1"/>
        <v>0</v>
      </c>
      <c r="BR337" s="248">
        <f ca="1"/>
        <v>0</v>
      </c>
      <c r="BT337" s="248">
        <f ca="1"/>
        <v>0</v>
      </c>
      <c r="BU337" s="248">
        <f ca="1"/>
        <v>0</v>
      </c>
    </row>
    <row r="338" spans="1:73" ht="16" hidden="1" thickTop="1" thickBot="1">
      <c r="A338" s="1"/>
      <c r="B338" s="1">
        <f t="shared" si="9"/>
        <v>0</v>
      </c>
      <c r="D338" s="98"/>
      <c r="E338" s="239"/>
      <c r="F338" s="243"/>
      <c r="G338" s="243"/>
      <c r="H338" s="243"/>
      <c r="I338" s="243"/>
      <c r="J338" s="243"/>
      <c r="K338" s="243"/>
      <c r="L338" s="366"/>
      <c r="M338" s="46"/>
      <c r="N338" s="243"/>
      <c r="O338" s="243"/>
      <c r="P338" s="243"/>
      <c r="Q338" s="243"/>
      <c r="R338" s="243"/>
      <c r="S338" s="243"/>
      <c r="T338" s="243"/>
      <c r="U338" s="243"/>
      <c r="V338" s="243"/>
      <c r="W338" s="243"/>
      <c r="X338" s="256"/>
      <c r="Y338" s="253"/>
      <c r="Z338" s="254"/>
      <c r="AA338" s="254"/>
      <c r="AB338" s="254"/>
      <c r="AC338" s="254"/>
      <c r="AD338" s="254"/>
      <c r="AE338" s="254"/>
      <c r="AF338" s="254"/>
      <c r="AG338" s="254"/>
      <c r="AH338" s="254"/>
      <c r="AI338" s="254"/>
      <c r="AJ338" s="254"/>
      <c r="AK338" s="254"/>
      <c r="AL338" s="254"/>
      <c r="AM338" s="254"/>
      <c r="AN338" s="254"/>
      <c r="AO338" s="254"/>
      <c r="AP338" s="254"/>
      <c r="AQ338" s="254"/>
      <c r="AR338" s="254"/>
      <c r="AS338" s="254"/>
      <c r="AT338" s="254"/>
      <c r="AU338" s="254"/>
      <c r="AV338" s="254"/>
      <c r="AW338" s="254"/>
      <c r="AX338" s="256"/>
      <c r="AZ338" s="254" t="str">
        <f ca="1"/>
        <v/>
      </c>
      <c r="BA338" s="254" t="str">
        <f ca="1"/>
        <v/>
      </c>
      <c r="BB338" s="254" t="str">
        <f ca="1"/>
        <v/>
      </c>
      <c r="BC338" s="254" t="str">
        <f ca="1"/>
        <v/>
      </c>
      <c r="BD338" s="256">
        <f ca="1"/>
        <v>0</v>
      </c>
      <c r="BF338" s="254"/>
      <c r="BG338" s="254"/>
      <c r="BH338" s="254"/>
      <c r="BI338" s="254"/>
      <c r="BJ338" s="243"/>
      <c r="BK338" s="254"/>
      <c r="BL338" s="256"/>
      <c r="BM338" s="46"/>
      <c r="BN338" s="256">
        <f ca="1"/>
        <v>0</v>
      </c>
      <c r="BP338" s="248">
        <f ca="1"/>
        <v>0</v>
      </c>
      <c r="BR338" s="248">
        <f ca="1"/>
        <v>0</v>
      </c>
      <c r="BT338" s="248">
        <f ca="1"/>
        <v>0</v>
      </c>
      <c r="BU338" s="248">
        <f ca="1"/>
        <v>0</v>
      </c>
    </row>
    <row r="339" spans="1:73" ht="16" hidden="1" thickTop="1" thickBot="1">
      <c r="A339" s="1"/>
      <c r="B339" s="1">
        <f t="shared" si="9"/>
        <v>0</v>
      </c>
      <c r="D339" s="98"/>
      <c r="E339" s="239"/>
      <c r="F339" s="243"/>
      <c r="G339" s="243"/>
      <c r="H339" s="243"/>
      <c r="I339" s="243"/>
      <c r="J339" s="243"/>
      <c r="K339" s="243"/>
      <c r="L339" s="366"/>
      <c r="M339" s="46"/>
      <c r="N339" s="243"/>
      <c r="O339" s="243"/>
      <c r="P339" s="243"/>
      <c r="Q339" s="243"/>
      <c r="R339" s="243"/>
      <c r="S339" s="243"/>
      <c r="T339" s="243"/>
      <c r="U339" s="243"/>
      <c r="V339" s="243"/>
      <c r="W339" s="243"/>
      <c r="X339" s="256"/>
      <c r="Y339" s="253"/>
      <c r="Z339" s="254"/>
      <c r="AA339" s="254"/>
      <c r="AB339" s="254"/>
      <c r="AC339" s="254"/>
      <c r="AD339" s="254"/>
      <c r="AE339" s="254"/>
      <c r="AF339" s="254"/>
      <c r="AG339" s="254"/>
      <c r="AH339" s="254"/>
      <c r="AI339" s="254"/>
      <c r="AJ339" s="254"/>
      <c r="AK339" s="254"/>
      <c r="AL339" s="254"/>
      <c r="AM339" s="254"/>
      <c r="AN339" s="254"/>
      <c r="AO339" s="254"/>
      <c r="AP339" s="254"/>
      <c r="AQ339" s="254"/>
      <c r="AR339" s="254"/>
      <c r="AS339" s="254"/>
      <c r="AT339" s="254"/>
      <c r="AU339" s="254"/>
      <c r="AV339" s="254"/>
      <c r="AW339" s="254"/>
      <c r="AX339" s="256"/>
      <c r="AZ339" s="254" t="str">
        <f ca="1"/>
        <v/>
      </c>
      <c r="BA339" s="254" t="str">
        <f ca="1"/>
        <v/>
      </c>
      <c r="BB339" s="254" t="str">
        <f ca="1"/>
        <v/>
      </c>
      <c r="BC339" s="254" t="str">
        <f ca="1"/>
        <v/>
      </c>
      <c r="BD339" s="256">
        <f ca="1"/>
        <v>0</v>
      </c>
      <c r="BF339" s="254"/>
      <c r="BG339" s="254"/>
      <c r="BH339" s="254"/>
      <c r="BI339" s="254"/>
      <c r="BJ339" s="243"/>
      <c r="BK339" s="254"/>
      <c r="BL339" s="256"/>
      <c r="BM339" s="46"/>
      <c r="BN339" s="256">
        <f ca="1"/>
        <v>0</v>
      </c>
      <c r="BP339" s="248">
        <f ca="1"/>
        <v>0</v>
      </c>
      <c r="BR339" s="248">
        <f ca="1"/>
        <v>0</v>
      </c>
      <c r="BT339" s="248">
        <f ca="1"/>
        <v>0</v>
      </c>
      <c r="BU339" s="248">
        <f ca="1"/>
        <v>0</v>
      </c>
    </row>
    <row r="340" spans="1:73" ht="16" hidden="1" thickTop="1" thickBot="1">
      <c r="A340" s="1"/>
      <c r="B340" s="1">
        <f t="shared" si="9"/>
        <v>0</v>
      </c>
      <c r="D340" s="98"/>
      <c r="E340" s="239"/>
      <c r="F340" s="243"/>
      <c r="G340" s="243"/>
      <c r="H340" s="243"/>
      <c r="I340" s="243"/>
      <c r="J340" s="243"/>
      <c r="K340" s="243"/>
      <c r="L340" s="366"/>
      <c r="M340" s="46"/>
      <c r="N340" s="243"/>
      <c r="O340" s="243"/>
      <c r="P340" s="243"/>
      <c r="Q340" s="243"/>
      <c r="R340" s="243"/>
      <c r="S340" s="243"/>
      <c r="T340" s="243"/>
      <c r="U340" s="243"/>
      <c r="V340" s="243"/>
      <c r="W340" s="243"/>
      <c r="X340" s="256"/>
      <c r="Y340" s="253"/>
      <c r="Z340" s="254"/>
      <c r="AA340" s="254"/>
      <c r="AB340" s="254"/>
      <c r="AC340" s="254"/>
      <c r="AD340" s="254"/>
      <c r="AE340" s="254"/>
      <c r="AF340" s="254"/>
      <c r="AG340" s="254"/>
      <c r="AH340" s="254"/>
      <c r="AI340" s="254"/>
      <c r="AJ340" s="254"/>
      <c r="AK340" s="254"/>
      <c r="AL340" s="254"/>
      <c r="AM340" s="254"/>
      <c r="AN340" s="254"/>
      <c r="AO340" s="254"/>
      <c r="AP340" s="254"/>
      <c r="AQ340" s="254"/>
      <c r="AR340" s="254"/>
      <c r="AS340" s="254"/>
      <c r="AT340" s="254"/>
      <c r="AU340" s="254"/>
      <c r="AV340" s="254"/>
      <c r="AW340" s="254"/>
      <c r="AX340" s="256"/>
      <c r="AZ340" s="254" t="str">
        <f ca="1"/>
        <v/>
      </c>
      <c r="BA340" s="254" t="str">
        <f ca="1"/>
        <v/>
      </c>
      <c r="BB340" s="254" t="str">
        <f ca="1"/>
        <v/>
      </c>
      <c r="BC340" s="254" t="str">
        <f ca="1"/>
        <v/>
      </c>
      <c r="BD340" s="256">
        <f ca="1"/>
        <v>0</v>
      </c>
      <c r="BF340" s="254"/>
      <c r="BG340" s="254"/>
      <c r="BH340" s="254"/>
      <c r="BI340" s="254"/>
      <c r="BJ340" s="243"/>
      <c r="BK340" s="254"/>
      <c r="BL340" s="256"/>
      <c r="BM340" s="46"/>
      <c r="BN340" s="256">
        <f ca="1"/>
        <v>0</v>
      </c>
      <c r="BP340" s="248">
        <f ca="1"/>
        <v>0</v>
      </c>
      <c r="BR340" s="248">
        <f ca="1"/>
        <v>0</v>
      </c>
      <c r="BT340" s="248">
        <f ca="1"/>
        <v>0</v>
      </c>
      <c r="BU340" s="248">
        <f ca="1"/>
        <v>0</v>
      </c>
    </row>
    <row r="341" spans="1:73" ht="16" hidden="1" thickTop="1" thickBot="1">
      <c r="A341" s="1"/>
      <c r="B341" s="1">
        <f t="shared" si="9"/>
        <v>0</v>
      </c>
      <c r="D341" s="98"/>
      <c r="E341" s="239"/>
      <c r="F341" s="243"/>
      <c r="G341" s="243"/>
      <c r="H341" s="243"/>
      <c r="I341" s="243"/>
      <c r="J341" s="243"/>
      <c r="K341" s="243"/>
      <c r="L341" s="366"/>
      <c r="M341" s="46"/>
      <c r="N341" s="243"/>
      <c r="O341" s="243"/>
      <c r="P341" s="243"/>
      <c r="Q341" s="243"/>
      <c r="R341" s="243"/>
      <c r="S341" s="243"/>
      <c r="T341" s="243"/>
      <c r="U341" s="243"/>
      <c r="V341" s="243"/>
      <c r="W341" s="243"/>
      <c r="X341" s="256"/>
      <c r="Y341" s="253"/>
      <c r="Z341" s="254"/>
      <c r="AA341" s="254"/>
      <c r="AB341" s="254"/>
      <c r="AC341" s="254"/>
      <c r="AD341" s="254"/>
      <c r="AE341" s="254"/>
      <c r="AF341" s="254"/>
      <c r="AG341" s="254"/>
      <c r="AH341" s="254"/>
      <c r="AI341" s="254"/>
      <c r="AJ341" s="254"/>
      <c r="AK341" s="254"/>
      <c r="AL341" s="254"/>
      <c r="AM341" s="254"/>
      <c r="AN341" s="254"/>
      <c r="AO341" s="254"/>
      <c r="AP341" s="254"/>
      <c r="AQ341" s="254"/>
      <c r="AR341" s="254"/>
      <c r="AS341" s="254"/>
      <c r="AT341" s="254"/>
      <c r="AU341" s="254"/>
      <c r="AV341" s="254"/>
      <c r="AW341" s="254"/>
      <c r="AX341" s="256"/>
      <c r="AZ341" s="254" t="str">
        <f ca="1"/>
        <v/>
      </c>
      <c r="BA341" s="254" t="str">
        <f ca="1"/>
        <v/>
      </c>
      <c r="BB341" s="254" t="str">
        <f ca="1"/>
        <v/>
      </c>
      <c r="BC341" s="254" t="str">
        <f ca="1"/>
        <v/>
      </c>
      <c r="BD341" s="256">
        <f ca="1"/>
        <v>0</v>
      </c>
      <c r="BF341" s="254"/>
      <c r="BG341" s="254"/>
      <c r="BH341" s="254"/>
      <c r="BI341" s="254"/>
      <c r="BJ341" s="243"/>
      <c r="BK341" s="254"/>
      <c r="BL341" s="256"/>
      <c r="BM341" s="46"/>
      <c r="BN341" s="256">
        <f ca="1"/>
        <v>0</v>
      </c>
      <c r="BP341" s="248">
        <f ca="1"/>
        <v>0</v>
      </c>
      <c r="BR341" s="248">
        <f ca="1"/>
        <v>0</v>
      </c>
      <c r="BT341" s="248">
        <f ca="1"/>
        <v>0</v>
      </c>
      <c r="BU341" s="248">
        <f ca="1"/>
        <v>0</v>
      </c>
    </row>
    <row r="342" spans="1:73" ht="16" hidden="1" thickTop="1" thickBot="1">
      <c r="A342" s="1"/>
      <c r="B342" s="1">
        <f t="shared" si="9"/>
        <v>0</v>
      </c>
      <c r="D342" s="98"/>
      <c r="E342" s="239"/>
      <c r="F342" s="243"/>
      <c r="G342" s="243"/>
      <c r="H342" s="243"/>
      <c r="I342" s="243"/>
      <c r="J342" s="243"/>
      <c r="K342" s="243"/>
      <c r="L342" s="366"/>
      <c r="M342" s="46"/>
      <c r="N342" s="243"/>
      <c r="O342" s="243"/>
      <c r="P342" s="243"/>
      <c r="Q342" s="243"/>
      <c r="R342" s="243"/>
      <c r="S342" s="243"/>
      <c r="T342" s="243"/>
      <c r="U342" s="243"/>
      <c r="V342" s="243"/>
      <c r="W342" s="243"/>
      <c r="X342" s="256"/>
      <c r="Y342" s="253"/>
      <c r="Z342" s="254"/>
      <c r="AA342" s="254"/>
      <c r="AB342" s="254"/>
      <c r="AC342" s="254"/>
      <c r="AD342" s="254"/>
      <c r="AE342" s="254"/>
      <c r="AF342" s="254"/>
      <c r="AG342" s="254"/>
      <c r="AH342" s="254"/>
      <c r="AI342" s="254"/>
      <c r="AJ342" s="254"/>
      <c r="AK342" s="254"/>
      <c r="AL342" s="254"/>
      <c r="AM342" s="254"/>
      <c r="AN342" s="254"/>
      <c r="AO342" s="254"/>
      <c r="AP342" s="254"/>
      <c r="AQ342" s="254"/>
      <c r="AR342" s="254"/>
      <c r="AS342" s="254"/>
      <c r="AT342" s="254"/>
      <c r="AU342" s="254"/>
      <c r="AV342" s="254"/>
      <c r="AW342" s="254"/>
      <c r="AX342" s="256"/>
      <c r="AZ342" s="254" t="str">
        <f ca="1"/>
        <v/>
      </c>
      <c r="BA342" s="254" t="str">
        <f ca="1"/>
        <v/>
      </c>
      <c r="BB342" s="254" t="str">
        <f ca="1"/>
        <v/>
      </c>
      <c r="BC342" s="254" t="str">
        <f ca="1"/>
        <v/>
      </c>
      <c r="BD342" s="256">
        <f ca="1"/>
        <v>0</v>
      </c>
      <c r="BF342" s="254"/>
      <c r="BG342" s="254"/>
      <c r="BH342" s="254"/>
      <c r="BI342" s="254"/>
      <c r="BJ342" s="243"/>
      <c r="BK342" s="254"/>
      <c r="BL342" s="256"/>
      <c r="BM342" s="46"/>
      <c r="BN342" s="256">
        <f ca="1"/>
        <v>0</v>
      </c>
      <c r="BP342" s="248">
        <f ca="1"/>
        <v>0</v>
      </c>
      <c r="BR342" s="248">
        <f ca="1"/>
        <v>0</v>
      </c>
      <c r="BT342" s="248">
        <f ca="1"/>
        <v>0</v>
      </c>
      <c r="BU342" s="248">
        <f ca="1"/>
        <v>0</v>
      </c>
    </row>
    <row r="343" spans="1:73" ht="16" hidden="1" thickTop="1" thickBot="1">
      <c r="A343" s="1"/>
      <c r="B343" s="1">
        <f t="shared" si="9"/>
        <v>0</v>
      </c>
      <c r="D343" s="98"/>
      <c r="E343" s="239"/>
      <c r="F343" s="243"/>
      <c r="G343" s="243"/>
      <c r="H343" s="243"/>
      <c r="I343" s="243"/>
      <c r="J343" s="243"/>
      <c r="K343" s="243"/>
      <c r="L343" s="366"/>
      <c r="M343" s="46"/>
      <c r="N343" s="243"/>
      <c r="O343" s="243"/>
      <c r="P343" s="243"/>
      <c r="Q343" s="243"/>
      <c r="R343" s="243"/>
      <c r="S343" s="243"/>
      <c r="T343" s="243"/>
      <c r="U343" s="243"/>
      <c r="V343" s="243"/>
      <c r="W343" s="243"/>
      <c r="X343" s="256"/>
      <c r="Y343" s="253"/>
      <c r="Z343" s="254"/>
      <c r="AA343" s="254"/>
      <c r="AB343" s="254"/>
      <c r="AC343" s="254"/>
      <c r="AD343" s="254"/>
      <c r="AE343" s="254"/>
      <c r="AF343" s="254"/>
      <c r="AG343" s="254"/>
      <c r="AH343" s="254"/>
      <c r="AI343" s="254"/>
      <c r="AJ343" s="254"/>
      <c r="AK343" s="254"/>
      <c r="AL343" s="254"/>
      <c r="AM343" s="254"/>
      <c r="AN343" s="254"/>
      <c r="AO343" s="254"/>
      <c r="AP343" s="254"/>
      <c r="AQ343" s="254"/>
      <c r="AR343" s="254"/>
      <c r="AS343" s="254"/>
      <c r="AT343" s="254"/>
      <c r="AU343" s="254"/>
      <c r="AV343" s="254"/>
      <c r="AW343" s="254"/>
      <c r="AX343" s="256"/>
      <c r="AZ343" s="254" t="str">
        <f ca="1"/>
        <v/>
      </c>
      <c r="BA343" s="254" t="str">
        <f ca="1"/>
        <v/>
      </c>
      <c r="BB343" s="254" t="str">
        <f ca="1"/>
        <v/>
      </c>
      <c r="BC343" s="254" t="str">
        <f ca="1"/>
        <v/>
      </c>
      <c r="BD343" s="256">
        <f ca="1"/>
        <v>0</v>
      </c>
      <c r="BF343" s="254"/>
      <c r="BG343" s="254"/>
      <c r="BH343" s="254"/>
      <c r="BI343" s="254"/>
      <c r="BJ343" s="243"/>
      <c r="BK343" s="254"/>
      <c r="BL343" s="256"/>
      <c r="BM343" s="46"/>
      <c r="BN343" s="256">
        <f ca="1"/>
        <v>0</v>
      </c>
      <c r="BP343" s="248">
        <f ca="1"/>
        <v>0</v>
      </c>
      <c r="BR343" s="248">
        <f ca="1"/>
        <v>0</v>
      </c>
      <c r="BT343" s="248">
        <f ca="1"/>
        <v>0</v>
      </c>
      <c r="BU343" s="248">
        <f ca="1"/>
        <v>0</v>
      </c>
    </row>
    <row r="344" spans="1:73" ht="16" hidden="1" thickTop="1" thickBot="1">
      <c r="A344" s="1"/>
      <c r="B344" s="1">
        <f t="shared" si="9"/>
        <v>0</v>
      </c>
      <c r="D344" s="98"/>
      <c r="E344" s="239"/>
      <c r="F344" s="243"/>
      <c r="G344" s="243"/>
      <c r="H344" s="243"/>
      <c r="I344" s="243"/>
      <c r="J344" s="243"/>
      <c r="K344" s="243"/>
      <c r="L344" s="366"/>
      <c r="M344" s="46"/>
      <c r="N344" s="243"/>
      <c r="O344" s="243"/>
      <c r="P344" s="243"/>
      <c r="Q344" s="243"/>
      <c r="R344" s="243"/>
      <c r="S344" s="243"/>
      <c r="T344" s="243"/>
      <c r="U344" s="243"/>
      <c r="V344" s="243"/>
      <c r="W344" s="243"/>
      <c r="X344" s="256"/>
      <c r="Y344" s="253"/>
      <c r="Z344" s="254"/>
      <c r="AA344" s="254"/>
      <c r="AB344" s="254"/>
      <c r="AC344" s="254"/>
      <c r="AD344" s="254"/>
      <c r="AE344" s="254"/>
      <c r="AF344" s="254"/>
      <c r="AG344" s="254"/>
      <c r="AH344" s="254"/>
      <c r="AI344" s="254"/>
      <c r="AJ344" s="254"/>
      <c r="AK344" s="254"/>
      <c r="AL344" s="254"/>
      <c r="AM344" s="254"/>
      <c r="AN344" s="254"/>
      <c r="AO344" s="254"/>
      <c r="AP344" s="254"/>
      <c r="AQ344" s="254"/>
      <c r="AR344" s="254"/>
      <c r="AS344" s="254"/>
      <c r="AT344" s="254"/>
      <c r="AU344" s="254"/>
      <c r="AV344" s="254"/>
      <c r="AW344" s="254"/>
      <c r="AX344" s="256"/>
      <c r="AZ344" s="254" t="str">
        <f ca="1"/>
        <v/>
      </c>
      <c r="BA344" s="254" t="str">
        <f ca="1"/>
        <v/>
      </c>
      <c r="BB344" s="254" t="str">
        <f ca="1"/>
        <v/>
      </c>
      <c r="BC344" s="254" t="str">
        <f ca="1"/>
        <v/>
      </c>
      <c r="BD344" s="256">
        <f ca="1"/>
        <v>0</v>
      </c>
      <c r="BF344" s="254"/>
      <c r="BG344" s="254"/>
      <c r="BH344" s="254"/>
      <c r="BI344" s="254"/>
      <c r="BJ344" s="243"/>
      <c r="BK344" s="254"/>
      <c r="BL344" s="256"/>
      <c r="BM344" s="46"/>
      <c r="BN344" s="256">
        <f ca="1"/>
        <v>0</v>
      </c>
      <c r="BP344" s="248">
        <f ca="1"/>
        <v>0</v>
      </c>
      <c r="BR344" s="248">
        <f ca="1"/>
        <v>0</v>
      </c>
      <c r="BT344" s="248">
        <f ca="1"/>
        <v>0</v>
      </c>
      <c r="BU344" s="248">
        <f ca="1"/>
        <v>0</v>
      </c>
    </row>
    <row r="345" spans="1:73" ht="16" hidden="1" thickTop="1" thickBot="1">
      <c r="A345" s="1"/>
      <c r="B345" s="1">
        <f t="shared" si="9"/>
        <v>0</v>
      </c>
      <c r="D345" s="98"/>
      <c r="E345" s="239"/>
      <c r="F345" s="243"/>
      <c r="G345" s="243"/>
      <c r="H345" s="243"/>
      <c r="I345" s="243"/>
      <c r="J345" s="243"/>
      <c r="K345" s="243"/>
      <c r="L345" s="366"/>
      <c r="M345" s="46"/>
      <c r="N345" s="243"/>
      <c r="O345" s="243"/>
      <c r="P345" s="243"/>
      <c r="Q345" s="243"/>
      <c r="R345" s="243"/>
      <c r="S345" s="243"/>
      <c r="T345" s="243"/>
      <c r="U345" s="243"/>
      <c r="V345" s="243"/>
      <c r="W345" s="243"/>
      <c r="X345" s="256"/>
      <c r="Y345" s="253"/>
      <c r="Z345" s="254"/>
      <c r="AA345" s="254"/>
      <c r="AB345" s="254"/>
      <c r="AC345" s="254"/>
      <c r="AD345" s="254"/>
      <c r="AE345" s="254"/>
      <c r="AF345" s="254"/>
      <c r="AG345" s="254"/>
      <c r="AH345" s="254"/>
      <c r="AI345" s="254"/>
      <c r="AJ345" s="254"/>
      <c r="AK345" s="254"/>
      <c r="AL345" s="254"/>
      <c r="AM345" s="254"/>
      <c r="AN345" s="254"/>
      <c r="AO345" s="254"/>
      <c r="AP345" s="254"/>
      <c r="AQ345" s="254"/>
      <c r="AR345" s="254"/>
      <c r="AS345" s="254"/>
      <c r="AT345" s="254"/>
      <c r="AU345" s="254"/>
      <c r="AV345" s="254"/>
      <c r="AW345" s="254"/>
      <c r="AX345" s="256"/>
      <c r="AZ345" s="254" t="str">
        <f ca="1"/>
        <v/>
      </c>
      <c r="BA345" s="254" t="str">
        <f ca="1"/>
        <v/>
      </c>
      <c r="BB345" s="254" t="str">
        <f ca="1"/>
        <v/>
      </c>
      <c r="BC345" s="254" t="str">
        <f ca="1"/>
        <v/>
      </c>
      <c r="BD345" s="256">
        <f ca="1"/>
        <v>0</v>
      </c>
      <c r="BF345" s="254"/>
      <c r="BG345" s="254"/>
      <c r="BH345" s="254"/>
      <c r="BI345" s="254"/>
      <c r="BJ345" s="243"/>
      <c r="BK345" s="254"/>
      <c r="BL345" s="256"/>
      <c r="BM345" s="46"/>
      <c r="BN345" s="256">
        <f ca="1"/>
        <v>0</v>
      </c>
      <c r="BP345" s="248">
        <f ca="1"/>
        <v>0</v>
      </c>
      <c r="BR345" s="248">
        <f ca="1"/>
        <v>0</v>
      </c>
      <c r="BT345" s="248">
        <f ca="1"/>
        <v>0</v>
      </c>
      <c r="BU345" s="248">
        <f ca="1"/>
        <v>0</v>
      </c>
    </row>
    <row r="346" spans="1:73" ht="16" hidden="1" thickTop="1" thickBot="1">
      <c r="A346" s="1"/>
      <c r="B346" s="1">
        <f t="shared" si="9"/>
        <v>0</v>
      </c>
      <c r="D346" s="98"/>
      <c r="E346" s="239"/>
      <c r="F346" s="243"/>
      <c r="G346" s="243"/>
      <c r="H346" s="243"/>
      <c r="I346" s="243"/>
      <c r="J346" s="243"/>
      <c r="K346" s="243"/>
      <c r="L346" s="366"/>
      <c r="M346" s="46"/>
      <c r="N346" s="243"/>
      <c r="O346" s="243"/>
      <c r="P346" s="243"/>
      <c r="Q346" s="243"/>
      <c r="R346" s="243"/>
      <c r="S346" s="243"/>
      <c r="T346" s="243"/>
      <c r="U346" s="243"/>
      <c r="V346" s="243"/>
      <c r="W346" s="243"/>
      <c r="X346" s="256"/>
      <c r="Y346" s="253"/>
      <c r="Z346" s="254"/>
      <c r="AA346" s="254"/>
      <c r="AB346" s="254"/>
      <c r="AC346" s="254"/>
      <c r="AD346" s="254"/>
      <c r="AE346" s="254"/>
      <c r="AF346" s="254"/>
      <c r="AG346" s="254"/>
      <c r="AH346" s="254"/>
      <c r="AI346" s="254"/>
      <c r="AJ346" s="254"/>
      <c r="AK346" s="254"/>
      <c r="AL346" s="254"/>
      <c r="AM346" s="254"/>
      <c r="AN346" s="254"/>
      <c r="AO346" s="254"/>
      <c r="AP346" s="254"/>
      <c r="AQ346" s="254"/>
      <c r="AR346" s="254"/>
      <c r="AS346" s="254"/>
      <c r="AT346" s="254"/>
      <c r="AU346" s="254"/>
      <c r="AV346" s="254"/>
      <c r="AW346" s="254"/>
      <c r="AX346" s="256"/>
      <c r="AZ346" s="254" t="str">
        <f ca="1"/>
        <v/>
      </c>
      <c r="BA346" s="254" t="str">
        <f ca="1"/>
        <v/>
      </c>
      <c r="BB346" s="254" t="str">
        <f ca="1"/>
        <v/>
      </c>
      <c r="BC346" s="254" t="str">
        <f ca="1"/>
        <v/>
      </c>
      <c r="BD346" s="256">
        <f ca="1"/>
        <v>0</v>
      </c>
      <c r="BF346" s="254"/>
      <c r="BG346" s="254"/>
      <c r="BH346" s="254"/>
      <c r="BI346" s="254"/>
      <c r="BJ346" s="243"/>
      <c r="BK346" s="254"/>
      <c r="BL346" s="256"/>
      <c r="BM346" s="46"/>
      <c r="BN346" s="256">
        <f ca="1"/>
        <v>0</v>
      </c>
      <c r="BP346" s="248">
        <f ca="1"/>
        <v>0</v>
      </c>
      <c r="BR346" s="248">
        <f ca="1"/>
        <v>0</v>
      </c>
      <c r="BT346" s="248">
        <f ca="1"/>
        <v>0</v>
      </c>
      <c r="BU346" s="248">
        <f ca="1"/>
        <v>0</v>
      </c>
    </row>
    <row r="347" spans="1:73" ht="16" hidden="1" thickTop="1" thickBot="1">
      <c r="A347" s="1"/>
      <c r="B347" s="1">
        <f t="shared" si="9"/>
        <v>0</v>
      </c>
      <c r="D347" s="98"/>
      <c r="E347" s="239"/>
      <c r="F347" s="243"/>
      <c r="G347" s="243"/>
      <c r="H347" s="243"/>
      <c r="I347" s="243"/>
      <c r="J347" s="243"/>
      <c r="K347" s="243"/>
      <c r="L347" s="366"/>
      <c r="M347" s="46"/>
      <c r="N347" s="243"/>
      <c r="O347" s="243"/>
      <c r="P347" s="243"/>
      <c r="Q347" s="243"/>
      <c r="R347" s="243"/>
      <c r="S347" s="243"/>
      <c r="T347" s="243"/>
      <c r="U347" s="243"/>
      <c r="V347" s="243"/>
      <c r="W347" s="243"/>
      <c r="X347" s="256"/>
      <c r="Y347" s="253"/>
      <c r="Z347" s="254"/>
      <c r="AA347" s="254"/>
      <c r="AB347" s="254"/>
      <c r="AC347" s="254"/>
      <c r="AD347" s="254"/>
      <c r="AE347" s="254"/>
      <c r="AF347" s="254"/>
      <c r="AG347" s="254"/>
      <c r="AH347" s="254"/>
      <c r="AI347" s="254"/>
      <c r="AJ347" s="254"/>
      <c r="AK347" s="254"/>
      <c r="AL347" s="254"/>
      <c r="AM347" s="254"/>
      <c r="AN347" s="254"/>
      <c r="AO347" s="254"/>
      <c r="AP347" s="254"/>
      <c r="AQ347" s="254"/>
      <c r="AR347" s="254"/>
      <c r="AS347" s="254"/>
      <c r="AT347" s="254"/>
      <c r="AU347" s="254"/>
      <c r="AV347" s="254"/>
      <c r="AW347" s="254"/>
      <c r="AX347" s="256"/>
      <c r="AZ347" s="254" t="str">
        <f ca="1"/>
        <v/>
      </c>
      <c r="BA347" s="254" t="str">
        <f ca="1"/>
        <v/>
      </c>
      <c r="BB347" s="254" t="str">
        <f ca="1"/>
        <v/>
      </c>
      <c r="BC347" s="254" t="str">
        <f ca="1"/>
        <v/>
      </c>
      <c r="BD347" s="256">
        <f ca="1"/>
        <v>0</v>
      </c>
      <c r="BF347" s="254"/>
      <c r="BG347" s="254"/>
      <c r="BH347" s="254"/>
      <c r="BI347" s="254"/>
      <c r="BJ347" s="243"/>
      <c r="BK347" s="254"/>
      <c r="BL347" s="256"/>
      <c r="BM347" s="46"/>
      <c r="BN347" s="256">
        <f ca="1"/>
        <v>0</v>
      </c>
      <c r="BP347" s="248">
        <f ca="1"/>
        <v>0</v>
      </c>
      <c r="BR347" s="248">
        <f ca="1"/>
        <v>0</v>
      </c>
      <c r="BT347" s="248">
        <f ca="1"/>
        <v>0</v>
      </c>
      <c r="BU347" s="248">
        <f ca="1"/>
        <v>0</v>
      </c>
    </row>
    <row r="348" spans="1:73" ht="16" hidden="1" thickTop="1" thickBot="1">
      <c r="A348" s="1"/>
      <c r="B348" s="1">
        <f t="shared" si="9"/>
        <v>0</v>
      </c>
      <c r="D348" s="98"/>
      <c r="E348" s="239"/>
      <c r="F348" s="243"/>
      <c r="G348" s="243"/>
      <c r="H348" s="243"/>
      <c r="I348" s="243"/>
      <c r="J348" s="243"/>
      <c r="K348" s="243"/>
      <c r="L348" s="366"/>
      <c r="M348" s="46"/>
      <c r="N348" s="243"/>
      <c r="O348" s="243"/>
      <c r="P348" s="243"/>
      <c r="Q348" s="243"/>
      <c r="R348" s="243"/>
      <c r="S348" s="243"/>
      <c r="T348" s="243"/>
      <c r="U348" s="243"/>
      <c r="V348" s="243"/>
      <c r="W348" s="243"/>
      <c r="X348" s="256"/>
      <c r="Y348" s="253"/>
      <c r="Z348" s="254"/>
      <c r="AA348" s="254"/>
      <c r="AB348" s="254"/>
      <c r="AC348" s="254"/>
      <c r="AD348" s="254"/>
      <c r="AE348" s="254"/>
      <c r="AF348" s="254"/>
      <c r="AG348" s="254"/>
      <c r="AH348" s="254"/>
      <c r="AI348" s="254"/>
      <c r="AJ348" s="254"/>
      <c r="AK348" s="254"/>
      <c r="AL348" s="254"/>
      <c r="AM348" s="254"/>
      <c r="AN348" s="254"/>
      <c r="AO348" s="254"/>
      <c r="AP348" s="254"/>
      <c r="AQ348" s="254"/>
      <c r="AR348" s="254"/>
      <c r="AS348" s="254"/>
      <c r="AT348" s="254"/>
      <c r="AU348" s="254"/>
      <c r="AV348" s="254"/>
      <c r="AW348" s="254"/>
      <c r="AX348" s="256"/>
      <c r="AZ348" s="254" t="str">
        <f ca="1"/>
        <v/>
      </c>
      <c r="BA348" s="254" t="str">
        <f ca="1"/>
        <v/>
      </c>
      <c r="BB348" s="254" t="str">
        <f ca="1"/>
        <v/>
      </c>
      <c r="BC348" s="254" t="str">
        <f ca="1"/>
        <v/>
      </c>
      <c r="BD348" s="256">
        <f ca="1"/>
        <v>0</v>
      </c>
      <c r="BF348" s="254"/>
      <c r="BG348" s="254"/>
      <c r="BH348" s="254"/>
      <c r="BI348" s="254"/>
      <c r="BJ348" s="243"/>
      <c r="BK348" s="254"/>
      <c r="BL348" s="256"/>
      <c r="BM348" s="46"/>
      <c r="BN348" s="256">
        <f ca="1"/>
        <v>0</v>
      </c>
      <c r="BP348" s="248">
        <f ca="1"/>
        <v>0</v>
      </c>
      <c r="BR348" s="248">
        <f ca="1"/>
        <v>0</v>
      </c>
      <c r="BT348" s="248">
        <f ca="1"/>
        <v>0</v>
      </c>
      <c r="BU348" s="248">
        <f ca="1"/>
        <v>0</v>
      </c>
    </row>
    <row r="349" spans="1:73" ht="16" hidden="1" thickTop="1" thickBot="1">
      <c r="A349" s="1"/>
      <c r="B349" s="1">
        <f t="shared" si="9"/>
        <v>0</v>
      </c>
      <c r="D349" s="98"/>
      <c r="E349" s="239"/>
      <c r="F349" s="243"/>
      <c r="G349" s="243"/>
      <c r="H349" s="243"/>
      <c r="I349" s="243"/>
      <c r="J349" s="243"/>
      <c r="K349" s="243"/>
      <c r="L349" s="366"/>
      <c r="M349" s="46"/>
      <c r="N349" s="243"/>
      <c r="O349" s="243"/>
      <c r="P349" s="243"/>
      <c r="Q349" s="243"/>
      <c r="R349" s="243"/>
      <c r="S349" s="243"/>
      <c r="T349" s="243"/>
      <c r="U349" s="243"/>
      <c r="V349" s="243"/>
      <c r="W349" s="243"/>
      <c r="X349" s="256"/>
      <c r="Y349" s="253"/>
      <c r="Z349" s="254"/>
      <c r="AA349" s="254"/>
      <c r="AB349" s="254"/>
      <c r="AC349" s="254"/>
      <c r="AD349" s="254"/>
      <c r="AE349" s="254"/>
      <c r="AF349" s="254"/>
      <c r="AG349" s="254"/>
      <c r="AH349" s="254"/>
      <c r="AI349" s="254"/>
      <c r="AJ349" s="254"/>
      <c r="AK349" s="254"/>
      <c r="AL349" s="254"/>
      <c r="AM349" s="254"/>
      <c r="AN349" s="254"/>
      <c r="AO349" s="254"/>
      <c r="AP349" s="254"/>
      <c r="AQ349" s="254"/>
      <c r="AR349" s="254"/>
      <c r="AS349" s="254"/>
      <c r="AT349" s="254"/>
      <c r="AU349" s="254"/>
      <c r="AV349" s="254"/>
      <c r="AW349" s="254"/>
      <c r="AX349" s="256"/>
      <c r="AZ349" s="254" t="str">
        <f ca="1"/>
        <v/>
      </c>
      <c r="BA349" s="254" t="str">
        <f ca="1"/>
        <v/>
      </c>
      <c r="BB349" s="254" t="str">
        <f ca="1"/>
        <v/>
      </c>
      <c r="BC349" s="254" t="str">
        <f ca="1"/>
        <v/>
      </c>
      <c r="BD349" s="256">
        <f ca="1"/>
        <v>0</v>
      </c>
      <c r="BF349" s="254"/>
      <c r="BG349" s="254"/>
      <c r="BH349" s="254"/>
      <c r="BI349" s="254"/>
      <c r="BJ349" s="243"/>
      <c r="BK349" s="254"/>
      <c r="BL349" s="256"/>
      <c r="BM349" s="46"/>
      <c r="BN349" s="256">
        <f ca="1"/>
        <v>0</v>
      </c>
      <c r="BP349" s="248">
        <f ca="1"/>
        <v>0</v>
      </c>
      <c r="BR349" s="248">
        <f ca="1"/>
        <v>0</v>
      </c>
      <c r="BT349" s="248">
        <f ca="1"/>
        <v>0</v>
      </c>
      <c r="BU349" s="248">
        <f ca="1"/>
        <v>0</v>
      </c>
    </row>
    <row r="350" spans="1:73" ht="16" hidden="1" thickTop="1" thickBot="1">
      <c r="A350" s="1"/>
      <c r="B350" s="1">
        <f t="shared" si="9"/>
        <v>0</v>
      </c>
      <c r="D350" s="98"/>
      <c r="E350" s="239"/>
      <c r="F350" s="243"/>
      <c r="G350" s="243"/>
      <c r="H350" s="243"/>
      <c r="I350" s="243"/>
      <c r="J350" s="243"/>
      <c r="K350" s="243"/>
      <c r="L350" s="366"/>
      <c r="M350" s="46"/>
      <c r="N350" s="243"/>
      <c r="O350" s="243"/>
      <c r="P350" s="243"/>
      <c r="Q350" s="243"/>
      <c r="R350" s="243"/>
      <c r="S350" s="243"/>
      <c r="T350" s="243"/>
      <c r="U350" s="243"/>
      <c r="V350" s="243"/>
      <c r="W350" s="243"/>
      <c r="X350" s="256"/>
      <c r="Y350" s="253"/>
      <c r="Z350" s="254"/>
      <c r="AA350" s="254"/>
      <c r="AB350" s="254"/>
      <c r="AC350" s="254"/>
      <c r="AD350" s="254"/>
      <c r="AE350" s="254"/>
      <c r="AF350" s="254"/>
      <c r="AG350" s="254"/>
      <c r="AH350" s="254"/>
      <c r="AI350" s="254"/>
      <c r="AJ350" s="254"/>
      <c r="AK350" s="254"/>
      <c r="AL350" s="254"/>
      <c r="AM350" s="254"/>
      <c r="AN350" s="254"/>
      <c r="AO350" s="254"/>
      <c r="AP350" s="254"/>
      <c r="AQ350" s="254"/>
      <c r="AR350" s="254"/>
      <c r="AS350" s="254"/>
      <c r="AT350" s="254"/>
      <c r="AU350" s="254"/>
      <c r="AV350" s="254"/>
      <c r="AW350" s="254"/>
      <c r="AX350" s="256"/>
      <c r="AZ350" s="254" t="str">
        <f ca="1"/>
        <v/>
      </c>
      <c r="BA350" s="254" t="str">
        <f ca="1"/>
        <v/>
      </c>
      <c r="BB350" s="254" t="str">
        <f ca="1"/>
        <v/>
      </c>
      <c r="BC350" s="254" t="str">
        <f ca="1"/>
        <v/>
      </c>
      <c r="BD350" s="256">
        <f ca="1"/>
        <v>0</v>
      </c>
      <c r="BF350" s="254"/>
      <c r="BG350" s="254"/>
      <c r="BH350" s="254"/>
      <c r="BI350" s="254"/>
      <c r="BJ350" s="243"/>
      <c r="BK350" s="254"/>
      <c r="BL350" s="256"/>
      <c r="BM350" s="46"/>
      <c r="BN350" s="256">
        <f ca="1"/>
        <v>0</v>
      </c>
      <c r="BP350" s="248">
        <f ca="1"/>
        <v>0</v>
      </c>
      <c r="BR350" s="248">
        <f ca="1"/>
        <v>0</v>
      </c>
      <c r="BT350" s="248">
        <f ca="1"/>
        <v>0</v>
      </c>
      <c r="BU350" s="248">
        <f ca="1"/>
        <v>0</v>
      </c>
    </row>
    <row r="351" spans="1:73" ht="16" hidden="1" thickTop="1" thickBot="1">
      <c r="A351" s="1"/>
      <c r="B351" s="1">
        <f t="shared" si="9"/>
        <v>0</v>
      </c>
      <c r="D351" s="98"/>
      <c r="E351" s="239"/>
      <c r="F351" s="243"/>
      <c r="G351" s="243"/>
      <c r="H351" s="243"/>
      <c r="I351" s="243"/>
      <c r="J351" s="243"/>
      <c r="K351" s="243"/>
      <c r="L351" s="366"/>
      <c r="M351" s="46"/>
      <c r="N351" s="243"/>
      <c r="O351" s="243"/>
      <c r="P351" s="243"/>
      <c r="Q351" s="243"/>
      <c r="R351" s="243"/>
      <c r="S351" s="243"/>
      <c r="T351" s="243"/>
      <c r="U351" s="243"/>
      <c r="V351" s="243"/>
      <c r="W351" s="243"/>
      <c r="X351" s="256"/>
      <c r="Y351" s="253"/>
      <c r="Z351" s="254"/>
      <c r="AA351" s="254"/>
      <c r="AB351" s="254"/>
      <c r="AC351" s="254"/>
      <c r="AD351" s="254"/>
      <c r="AE351" s="254"/>
      <c r="AF351" s="254"/>
      <c r="AG351" s="254"/>
      <c r="AH351" s="254"/>
      <c r="AI351" s="254"/>
      <c r="AJ351" s="254"/>
      <c r="AK351" s="254"/>
      <c r="AL351" s="254"/>
      <c r="AM351" s="254"/>
      <c r="AN351" s="254"/>
      <c r="AO351" s="254"/>
      <c r="AP351" s="254"/>
      <c r="AQ351" s="254"/>
      <c r="AR351" s="254"/>
      <c r="AS351" s="254"/>
      <c r="AT351" s="254"/>
      <c r="AU351" s="254"/>
      <c r="AV351" s="254"/>
      <c r="AW351" s="254"/>
      <c r="AX351" s="256"/>
      <c r="AZ351" s="254" t="str">
        <f ca="1"/>
        <v/>
      </c>
      <c r="BA351" s="254" t="str">
        <f ca="1"/>
        <v/>
      </c>
      <c r="BB351" s="254" t="str">
        <f ca="1"/>
        <v/>
      </c>
      <c r="BC351" s="254" t="str">
        <f ca="1"/>
        <v/>
      </c>
      <c r="BD351" s="256">
        <f ca="1"/>
        <v>0</v>
      </c>
      <c r="BF351" s="254"/>
      <c r="BG351" s="254"/>
      <c r="BH351" s="254"/>
      <c r="BI351" s="254"/>
      <c r="BJ351" s="243"/>
      <c r="BK351" s="254"/>
      <c r="BL351" s="256"/>
      <c r="BM351" s="46"/>
      <c r="BN351" s="256">
        <f ca="1"/>
        <v>0</v>
      </c>
      <c r="BP351" s="248">
        <f ca="1"/>
        <v>0</v>
      </c>
      <c r="BR351" s="248">
        <f ca="1"/>
        <v>0</v>
      </c>
      <c r="BT351" s="248">
        <f ca="1"/>
        <v>0</v>
      </c>
      <c r="BU351" s="248">
        <f ca="1"/>
        <v>0</v>
      </c>
    </row>
    <row r="352" spans="1:73" ht="16" hidden="1" thickTop="1" thickBot="1">
      <c r="A352" s="1"/>
      <c r="B352" s="1">
        <f t="shared" si="9"/>
        <v>0</v>
      </c>
      <c r="D352" s="98"/>
      <c r="E352" s="239"/>
      <c r="F352" s="243"/>
      <c r="G352" s="243"/>
      <c r="H352" s="243"/>
      <c r="I352" s="243"/>
      <c r="J352" s="243"/>
      <c r="K352" s="243"/>
      <c r="L352" s="366"/>
      <c r="M352" s="46"/>
      <c r="N352" s="243"/>
      <c r="O352" s="243"/>
      <c r="P352" s="243"/>
      <c r="Q352" s="243"/>
      <c r="R352" s="243"/>
      <c r="S352" s="243"/>
      <c r="T352" s="243"/>
      <c r="U352" s="243"/>
      <c r="V352" s="243"/>
      <c r="W352" s="243"/>
      <c r="X352" s="256"/>
      <c r="Y352" s="253"/>
      <c r="Z352" s="254"/>
      <c r="AA352" s="254"/>
      <c r="AB352" s="254"/>
      <c r="AC352" s="254"/>
      <c r="AD352" s="254"/>
      <c r="AE352" s="254"/>
      <c r="AF352" s="254"/>
      <c r="AG352" s="254"/>
      <c r="AH352" s="254"/>
      <c r="AI352" s="254"/>
      <c r="AJ352" s="254"/>
      <c r="AK352" s="254"/>
      <c r="AL352" s="254"/>
      <c r="AM352" s="254"/>
      <c r="AN352" s="254"/>
      <c r="AO352" s="254"/>
      <c r="AP352" s="254"/>
      <c r="AQ352" s="254"/>
      <c r="AR352" s="254"/>
      <c r="AS352" s="254"/>
      <c r="AT352" s="254"/>
      <c r="AU352" s="254"/>
      <c r="AV352" s="254"/>
      <c r="AW352" s="254"/>
      <c r="AX352" s="256"/>
      <c r="AZ352" s="254" t="str">
        <f ca="1"/>
        <v/>
      </c>
      <c r="BA352" s="254" t="str">
        <f ca="1"/>
        <v/>
      </c>
      <c r="BB352" s="254" t="str">
        <f ca="1"/>
        <v/>
      </c>
      <c r="BC352" s="254" t="str">
        <f ca="1"/>
        <v/>
      </c>
      <c r="BD352" s="256">
        <f ca="1"/>
        <v>0</v>
      </c>
      <c r="BF352" s="254"/>
      <c r="BG352" s="254"/>
      <c r="BH352" s="254"/>
      <c r="BI352" s="254"/>
      <c r="BJ352" s="243"/>
      <c r="BK352" s="254"/>
      <c r="BL352" s="256"/>
      <c r="BM352" s="46"/>
      <c r="BN352" s="256">
        <f ca="1"/>
        <v>0</v>
      </c>
      <c r="BP352" s="248">
        <f ca="1"/>
        <v>0</v>
      </c>
      <c r="BR352" s="248">
        <f ca="1"/>
        <v>0</v>
      </c>
      <c r="BT352" s="248">
        <f ca="1"/>
        <v>0</v>
      </c>
      <c r="BU352" s="248">
        <f ca="1"/>
        <v>0</v>
      </c>
    </row>
    <row r="353" spans="1:73" ht="16" hidden="1" thickTop="1" thickBot="1">
      <c r="A353" s="1"/>
      <c r="B353" s="1">
        <f t="shared" si="9"/>
        <v>0</v>
      </c>
      <c r="D353" s="98"/>
      <c r="E353" s="239"/>
      <c r="F353" s="243"/>
      <c r="G353" s="243"/>
      <c r="H353" s="243"/>
      <c r="I353" s="243"/>
      <c r="J353" s="243"/>
      <c r="K353" s="243"/>
      <c r="L353" s="366"/>
      <c r="M353" s="46"/>
      <c r="N353" s="243"/>
      <c r="O353" s="243"/>
      <c r="P353" s="243"/>
      <c r="Q353" s="243"/>
      <c r="R353" s="243"/>
      <c r="S353" s="243"/>
      <c r="T353" s="243"/>
      <c r="U353" s="243"/>
      <c r="V353" s="243"/>
      <c r="W353" s="243"/>
      <c r="X353" s="256"/>
      <c r="Y353" s="253"/>
      <c r="Z353" s="254"/>
      <c r="AA353" s="254"/>
      <c r="AB353" s="254"/>
      <c r="AC353" s="254"/>
      <c r="AD353" s="254"/>
      <c r="AE353" s="254"/>
      <c r="AF353" s="254"/>
      <c r="AG353" s="254"/>
      <c r="AH353" s="254"/>
      <c r="AI353" s="254"/>
      <c r="AJ353" s="254"/>
      <c r="AK353" s="254"/>
      <c r="AL353" s="254"/>
      <c r="AM353" s="254"/>
      <c r="AN353" s="254"/>
      <c r="AO353" s="254"/>
      <c r="AP353" s="254"/>
      <c r="AQ353" s="254"/>
      <c r="AR353" s="254"/>
      <c r="AS353" s="254"/>
      <c r="AT353" s="254"/>
      <c r="AU353" s="254"/>
      <c r="AV353" s="254"/>
      <c r="AW353" s="254"/>
      <c r="AX353" s="256"/>
      <c r="AZ353" s="254" t="str">
        <f ca="1"/>
        <v/>
      </c>
      <c r="BA353" s="254" t="str">
        <f ca="1"/>
        <v/>
      </c>
      <c r="BB353" s="254" t="str">
        <f ca="1"/>
        <v/>
      </c>
      <c r="BC353" s="254" t="str">
        <f ca="1"/>
        <v/>
      </c>
      <c r="BD353" s="256">
        <f ca="1"/>
        <v>0</v>
      </c>
      <c r="BF353" s="254"/>
      <c r="BG353" s="254"/>
      <c r="BH353" s="254"/>
      <c r="BI353" s="254"/>
      <c r="BJ353" s="243"/>
      <c r="BK353" s="254"/>
      <c r="BL353" s="256"/>
      <c r="BM353" s="46"/>
      <c r="BN353" s="256">
        <f ca="1"/>
        <v>0</v>
      </c>
      <c r="BP353" s="248">
        <f ca="1"/>
        <v>0</v>
      </c>
      <c r="BR353" s="248">
        <f ca="1"/>
        <v>0</v>
      </c>
      <c r="BT353" s="248">
        <f ca="1"/>
        <v>0</v>
      </c>
      <c r="BU353" s="248">
        <f ca="1"/>
        <v>0</v>
      </c>
    </row>
    <row r="354" spans="1:73" ht="16" hidden="1" thickTop="1" thickBot="1">
      <c r="A354" s="1"/>
      <c r="B354" s="1">
        <f t="shared" si="9"/>
        <v>0</v>
      </c>
      <c r="D354" s="98"/>
      <c r="E354" s="239"/>
      <c r="F354" s="243"/>
      <c r="G354" s="243"/>
      <c r="H354" s="243"/>
      <c r="I354" s="243"/>
      <c r="J354" s="243"/>
      <c r="K354" s="243"/>
      <c r="L354" s="366"/>
      <c r="M354" s="46"/>
      <c r="N354" s="243"/>
      <c r="O354" s="243"/>
      <c r="P354" s="243"/>
      <c r="Q354" s="243"/>
      <c r="R354" s="243"/>
      <c r="S354" s="243"/>
      <c r="T354" s="243"/>
      <c r="U354" s="243"/>
      <c r="V354" s="243"/>
      <c r="W354" s="243"/>
      <c r="X354" s="256"/>
      <c r="Y354" s="253"/>
      <c r="Z354" s="254"/>
      <c r="AA354" s="254"/>
      <c r="AB354" s="254"/>
      <c r="AC354" s="254"/>
      <c r="AD354" s="254"/>
      <c r="AE354" s="254"/>
      <c r="AF354" s="254"/>
      <c r="AG354" s="254"/>
      <c r="AH354" s="254"/>
      <c r="AI354" s="254"/>
      <c r="AJ354" s="254"/>
      <c r="AK354" s="254"/>
      <c r="AL354" s="254"/>
      <c r="AM354" s="254"/>
      <c r="AN354" s="254"/>
      <c r="AO354" s="254"/>
      <c r="AP354" s="254"/>
      <c r="AQ354" s="254"/>
      <c r="AR354" s="254"/>
      <c r="AS354" s="254"/>
      <c r="AT354" s="254"/>
      <c r="AU354" s="254"/>
      <c r="AV354" s="254"/>
      <c r="AW354" s="254"/>
      <c r="AX354" s="256"/>
      <c r="AZ354" s="254" t="str">
        <f ca="1"/>
        <v/>
      </c>
      <c r="BA354" s="254" t="str">
        <f ca="1"/>
        <v/>
      </c>
      <c r="BB354" s="254" t="str">
        <f ca="1"/>
        <v/>
      </c>
      <c r="BC354" s="254" t="str">
        <f ca="1"/>
        <v/>
      </c>
      <c r="BD354" s="256">
        <f ca="1"/>
        <v>0</v>
      </c>
      <c r="BF354" s="254"/>
      <c r="BG354" s="254"/>
      <c r="BH354" s="254"/>
      <c r="BI354" s="254"/>
      <c r="BJ354" s="243"/>
      <c r="BK354" s="254"/>
      <c r="BL354" s="256"/>
      <c r="BM354" s="46"/>
      <c r="BN354" s="256">
        <f ca="1"/>
        <v>0</v>
      </c>
      <c r="BP354" s="248">
        <f ca="1"/>
        <v>0</v>
      </c>
      <c r="BR354" s="248">
        <f ca="1"/>
        <v>0</v>
      </c>
      <c r="BT354" s="248">
        <f ca="1"/>
        <v>0</v>
      </c>
      <c r="BU354" s="248">
        <f ca="1"/>
        <v>0</v>
      </c>
    </row>
    <row r="355" spans="1:73" ht="16" hidden="1" thickTop="1" thickBot="1">
      <c r="A355" s="1"/>
      <c r="B355" s="1">
        <f t="shared" si="9"/>
        <v>0</v>
      </c>
      <c r="D355" s="98"/>
      <c r="E355" s="239"/>
      <c r="F355" s="243"/>
      <c r="G355" s="243"/>
      <c r="H355" s="243"/>
      <c r="I355" s="243"/>
      <c r="J355" s="243"/>
      <c r="K355" s="243"/>
      <c r="L355" s="366"/>
      <c r="M355" s="46"/>
      <c r="N355" s="243"/>
      <c r="O355" s="243"/>
      <c r="P355" s="243"/>
      <c r="Q355" s="243"/>
      <c r="R355" s="243"/>
      <c r="S355" s="243"/>
      <c r="T355" s="243"/>
      <c r="U355" s="243"/>
      <c r="V355" s="243"/>
      <c r="W355" s="243"/>
      <c r="X355" s="256"/>
      <c r="Y355" s="253"/>
      <c r="Z355" s="254"/>
      <c r="AA355" s="254"/>
      <c r="AB355" s="254"/>
      <c r="AC355" s="254"/>
      <c r="AD355" s="254"/>
      <c r="AE355" s="254"/>
      <c r="AF355" s="254"/>
      <c r="AG355" s="254"/>
      <c r="AH355" s="254"/>
      <c r="AI355" s="254"/>
      <c r="AJ355" s="254"/>
      <c r="AK355" s="254"/>
      <c r="AL355" s="254"/>
      <c r="AM355" s="254"/>
      <c r="AN355" s="254"/>
      <c r="AO355" s="254"/>
      <c r="AP355" s="254"/>
      <c r="AQ355" s="254"/>
      <c r="AR355" s="254"/>
      <c r="AS355" s="254"/>
      <c r="AT355" s="254"/>
      <c r="AU355" s="254"/>
      <c r="AV355" s="254"/>
      <c r="AW355" s="254"/>
      <c r="AX355" s="256"/>
      <c r="AZ355" s="254" t="str">
        <f ca="1"/>
        <v/>
      </c>
      <c r="BA355" s="254" t="str">
        <f ca="1"/>
        <v/>
      </c>
      <c r="BB355" s="254" t="str">
        <f ca="1"/>
        <v/>
      </c>
      <c r="BC355" s="254" t="str">
        <f ca="1"/>
        <v/>
      </c>
      <c r="BD355" s="256">
        <f ca="1"/>
        <v>0</v>
      </c>
      <c r="BF355" s="254"/>
      <c r="BG355" s="254"/>
      <c r="BH355" s="254"/>
      <c r="BI355" s="254"/>
      <c r="BJ355" s="243"/>
      <c r="BK355" s="254"/>
      <c r="BL355" s="256"/>
      <c r="BM355" s="46"/>
      <c r="BN355" s="256">
        <f ca="1"/>
        <v>0</v>
      </c>
      <c r="BP355" s="248">
        <f ca="1"/>
        <v>0</v>
      </c>
      <c r="BR355" s="248">
        <f ca="1"/>
        <v>0</v>
      </c>
      <c r="BT355" s="248">
        <f ca="1"/>
        <v>0</v>
      </c>
      <c r="BU355" s="248">
        <f ca="1"/>
        <v>0</v>
      </c>
    </row>
    <row r="356" spans="1:73" ht="16" hidden="1" thickTop="1" thickBot="1">
      <c r="A356" s="1"/>
      <c r="B356" s="1">
        <f t="shared" si="9"/>
        <v>0</v>
      </c>
      <c r="D356" s="98"/>
      <c r="E356" s="239"/>
      <c r="F356" s="243"/>
      <c r="G356" s="243"/>
      <c r="H356" s="243"/>
      <c r="I356" s="243"/>
      <c r="J356" s="243"/>
      <c r="K356" s="243"/>
      <c r="L356" s="366"/>
      <c r="M356" s="46"/>
      <c r="N356" s="243"/>
      <c r="O356" s="243"/>
      <c r="P356" s="243"/>
      <c r="Q356" s="243"/>
      <c r="R356" s="243"/>
      <c r="S356" s="243"/>
      <c r="T356" s="243"/>
      <c r="U356" s="243"/>
      <c r="V356" s="243"/>
      <c r="W356" s="243"/>
      <c r="X356" s="256"/>
      <c r="Y356" s="253"/>
      <c r="Z356" s="254"/>
      <c r="AA356" s="254"/>
      <c r="AB356" s="254"/>
      <c r="AC356" s="254"/>
      <c r="AD356" s="254"/>
      <c r="AE356" s="254"/>
      <c r="AF356" s="254"/>
      <c r="AG356" s="254"/>
      <c r="AH356" s="254"/>
      <c r="AI356" s="254"/>
      <c r="AJ356" s="254"/>
      <c r="AK356" s="254"/>
      <c r="AL356" s="254"/>
      <c r="AM356" s="254"/>
      <c r="AN356" s="254"/>
      <c r="AO356" s="254"/>
      <c r="AP356" s="254"/>
      <c r="AQ356" s="254"/>
      <c r="AR356" s="254"/>
      <c r="AS356" s="254"/>
      <c r="AT356" s="254"/>
      <c r="AU356" s="254"/>
      <c r="AV356" s="254"/>
      <c r="AW356" s="254"/>
      <c r="AX356" s="256"/>
      <c r="AZ356" s="254" t="str">
        <f ca="1"/>
        <v/>
      </c>
      <c r="BA356" s="254" t="str">
        <f ca="1"/>
        <v/>
      </c>
      <c r="BB356" s="254" t="str">
        <f ca="1"/>
        <v/>
      </c>
      <c r="BC356" s="254" t="str">
        <f ca="1"/>
        <v/>
      </c>
      <c r="BD356" s="256">
        <f ca="1"/>
        <v>0</v>
      </c>
      <c r="BF356" s="254"/>
      <c r="BG356" s="254"/>
      <c r="BH356" s="254"/>
      <c r="BI356" s="254"/>
      <c r="BJ356" s="243"/>
      <c r="BK356" s="254"/>
      <c r="BL356" s="256"/>
      <c r="BM356" s="46"/>
      <c r="BN356" s="256">
        <f ca="1"/>
        <v>0</v>
      </c>
      <c r="BP356" s="248">
        <f ca="1"/>
        <v>0</v>
      </c>
      <c r="BR356" s="248">
        <f ca="1"/>
        <v>0</v>
      </c>
      <c r="BT356" s="248">
        <f ca="1"/>
        <v>0</v>
      </c>
      <c r="BU356" s="248">
        <f ca="1"/>
        <v>0</v>
      </c>
    </row>
    <row r="357" spans="1:73" ht="16" hidden="1" thickTop="1" thickBot="1">
      <c r="A357" s="1"/>
      <c r="B357" s="1">
        <f t="shared" si="9"/>
        <v>0</v>
      </c>
      <c r="D357" s="98"/>
      <c r="E357" s="239"/>
      <c r="F357" s="243"/>
      <c r="G357" s="243"/>
      <c r="H357" s="243"/>
      <c r="I357" s="243"/>
      <c r="J357" s="243"/>
      <c r="K357" s="243"/>
      <c r="L357" s="366"/>
      <c r="M357" s="46"/>
      <c r="N357" s="243"/>
      <c r="O357" s="243"/>
      <c r="P357" s="243"/>
      <c r="Q357" s="243"/>
      <c r="R357" s="243"/>
      <c r="S357" s="243"/>
      <c r="T357" s="243"/>
      <c r="U357" s="243"/>
      <c r="V357" s="243"/>
      <c r="W357" s="243"/>
      <c r="X357" s="256"/>
      <c r="Y357" s="253"/>
      <c r="Z357" s="254"/>
      <c r="AA357" s="254"/>
      <c r="AB357" s="254"/>
      <c r="AC357" s="254"/>
      <c r="AD357" s="254"/>
      <c r="AE357" s="254"/>
      <c r="AF357" s="254"/>
      <c r="AG357" s="254"/>
      <c r="AH357" s="254"/>
      <c r="AI357" s="254"/>
      <c r="AJ357" s="254"/>
      <c r="AK357" s="254"/>
      <c r="AL357" s="254"/>
      <c r="AM357" s="254"/>
      <c r="AN357" s="254"/>
      <c r="AO357" s="254"/>
      <c r="AP357" s="254"/>
      <c r="AQ357" s="254"/>
      <c r="AR357" s="254"/>
      <c r="AS357" s="254"/>
      <c r="AT357" s="254"/>
      <c r="AU357" s="254"/>
      <c r="AV357" s="254"/>
      <c r="AW357" s="254"/>
      <c r="AX357" s="256"/>
      <c r="AZ357" s="254" t="str">
        <f ca="1"/>
        <v/>
      </c>
      <c r="BA357" s="254" t="str">
        <f ca="1"/>
        <v/>
      </c>
      <c r="BB357" s="254" t="str">
        <f ca="1"/>
        <v/>
      </c>
      <c r="BC357" s="254" t="str">
        <f ca="1"/>
        <v/>
      </c>
      <c r="BD357" s="256">
        <f ca="1"/>
        <v>0</v>
      </c>
      <c r="BF357" s="254"/>
      <c r="BG357" s="254"/>
      <c r="BH357" s="254"/>
      <c r="BI357" s="254"/>
      <c r="BJ357" s="243"/>
      <c r="BK357" s="254"/>
      <c r="BL357" s="256"/>
      <c r="BM357" s="46"/>
      <c r="BN357" s="256">
        <f ca="1"/>
        <v>0</v>
      </c>
      <c r="BP357" s="248">
        <f ca="1"/>
        <v>0</v>
      </c>
      <c r="BR357" s="248">
        <f ca="1"/>
        <v>0</v>
      </c>
      <c r="BT357" s="248">
        <f ca="1"/>
        <v>0</v>
      </c>
      <c r="BU357" s="248">
        <f ca="1"/>
        <v>0</v>
      </c>
    </row>
    <row r="358" spans="1:73" ht="16" hidden="1" thickTop="1" thickBot="1">
      <c r="A358" s="1"/>
      <c r="B358" s="1">
        <f t="shared" si="9"/>
        <v>0</v>
      </c>
      <c r="D358" s="98"/>
      <c r="E358" s="239"/>
      <c r="F358" s="243"/>
      <c r="G358" s="243"/>
      <c r="H358" s="243"/>
      <c r="I358" s="243"/>
      <c r="J358" s="243"/>
      <c r="K358" s="243"/>
      <c r="L358" s="366"/>
      <c r="M358" s="46"/>
      <c r="N358" s="243"/>
      <c r="O358" s="243"/>
      <c r="P358" s="243"/>
      <c r="Q358" s="243"/>
      <c r="R358" s="243"/>
      <c r="S358" s="243"/>
      <c r="T358" s="243"/>
      <c r="U358" s="243"/>
      <c r="V358" s="243"/>
      <c r="W358" s="243"/>
      <c r="X358" s="256"/>
      <c r="Y358" s="253"/>
      <c r="Z358" s="254"/>
      <c r="AA358" s="254"/>
      <c r="AB358" s="254"/>
      <c r="AC358" s="254"/>
      <c r="AD358" s="254"/>
      <c r="AE358" s="254"/>
      <c r="AF358" s="254"/>
      <c r="AG358" s="254"/>
      <c r="AH358" s="254"/>
      <c r="AI358" s="254"/>
      <c r="AJ358" s="254"/>
      <c r="AK358" s="254"/>
      <c r="AL358" s="254"/>
      <c r="AM358" s="254"/>
      <c r="AN358" s="254"/>
      <c r="AO358" s="254"/>
      <c r="AP358" s="254"/>
      <c r="AQ358" s="254"/>
      <c r="AR358" s="254"/>
      <c r="AS358" s="254"/>
      <c r="AT358" s="254"/>
      <c r="AU358" s="254"/>
      <c r="AV358" s="254"/>
      <c r="AW358" s="254"/>
      <c r="AX358" s="256"/>
      <c r="AZ358" s="254" t="str">
        <f ca="1"/>
        <v/>
      </c>
      <c r="BA358" s="254" t="str">
        <f ca="1"/>
        <v/>
      </c>
      <c r="BB358" s="254" t="str">
        <f ca="1"/>
        <v/>
      </c>
      <c r="BC358" s="254" t="str">
        <f ca="1"/>
        <v/>
      </c>
      <c r="BD358" s="256">
        <f ca="1"/>
        <v>0</v>
      </c>
      <c r="BF358" s="254"/>
      <c r="BG358" s="254"/>
      <c r="BH358" s="254"/>
      <c r="BI358" s="254"/>
      <c r="BJ358" s="243"/>
      <c r="BK358" s="254"/>
      <c r="BL358" s="256"/>
      <c r="BM358" s="46"/>
      <c r="BN358" s="256">
        <f ca="1"/>
        <v>0</v>
      </c>
      <c r="BP358" s="248">
        <f ca="1"/>
        <v>0</v>
      </c>
      <c r="BR358" s="248">
        <f ca="1"/>
        <v>0</v>
      </c>
      <c r="BT358" s="248">
        <f ca="1"/>
        <v>0</v>
      </c>
      <c r="BU358" s="248">
        <f ca="1"/>
        <v>0</v>
      </c>
    </row>
    <row r="359" spans="1:73" ht="16" hidden="1" thickTop="1" thickBot="1">
      <c r="A359" s="1"/>
      <c r="B359" s="1">
        <f t="shared" si="9"/>
        <v>0</v>
      </c>
      <c r="D359" s="98"/>
      <c r="E359" s="239"/>
      <c r="F359" s="243"/>
      <c r="G359" s="243"/>
      <c r="H359" s="243"/>
      <c r="I359" s="243"/>
      <c r="J359" s="243"/>
      <c r="K359" s="243"/>
      <c r="L359" s="366"/>
      <c r="M359" s="46"/>
      <c r="N359" s="243"/>
      <c r="O359" s="243"/>
      <c r="P359" s="243"/>
      <c r="Q359" s="243"/>
      <c r="R359" s="243"/>
      <c r="S359" s="243"/>
      <c r="T359" s="243"/>
      <c r="U359" s="243"/>
      <c r="V359" s="243"/>
      <c r="W359" s="243"/>
      <c r="X359" s="256"/>
      <c r="Y359" s="253"/>
      <c r="Z359" s="254"/>
      <c r="AA359" s="254"/>
      <c r="AB359" s="254"/>
      <c r="AC359" s="254"/>
      <c r="AD359" s="254"/>
      <c r="AE359" s="254"/>
      <c r="AF359" s="254"/>
      <c r="AG359" s="254"/>
      <c r="AH359" s="254"/>
      <c r="AI359" s="254"/>
      <c r="AJ359" s="254"/>
      <c r="AK359" s="254"/>
      <c r="AL359" s="254"/>
      <c r="AM359" s="254"/>
      <c r="AN359" s="254"/>
      <c r="AO359" s="254"/>
      <c r="AP359" s="254"/>
      <c r="AQ359" s="254"/>
      <c r="AR359" s="254"/>
      <c r="AS359" s="254"/>
      <c r="AT359" s="254"/>
      <c r="AU359" s="254"/>
      <c r="AV359" s="254"/>
      <c r="AW359" s="254"/>
      <c r="AX359" s="256"/>
      <c r="AZ359" s="254" t="str">
        <f ca="1"/>
        <v/>
      </c>
      <c r="BA359" s="254" t="str">
        <f ca="1"/>
        <v/>
      </c>
      <c r="BB359" s="254" t="str">
        <f ca="1"/>
        <v/>
      </c>
      <c r="BC359" s="254" t="str">
        <f ca="1"/>
        <v/>
      </c>
      <c r="BD359" s="256">
        <f ca="1"/>
        <v>0</v>
      </c>
      <c r="BF359" s="254"/>
      <c r="BG359" s="254"/>
      <c r="BH359" s="254"/>
      <c r="BI359" s="254"/>
      <c r="BJ359" s="243"/>
      <c r="BK359" s="254"/>
      <c r="BL359" s="256"/>
      <c r="BM359" s="46"/>
      <c r="BN359" s="256">
        <f ca="1"/>
        <v>0</v>
      </c>
      <c r="BP359" s="248">
        <f ca="1"/>
        <v>0</v>
      </c>
      <c r="BR359" s="248">
        <f ca="1"/>
        <v>0</v>
      </c>
      <c r="BT359" s="248">
        <f ca="1"/>
        <v>0</v>
      </c>
      <c r="BU359" s="248">
        <f ca="1"/>
        <v>0</v>
      </c>
    </row>
    <row r="360" spans="1:73" ht="16" hidden="1" thickTop="1" thickBot="1">
      <c r="A360" s="1"/>
      <c r="B360" s="1">
        <f t="shared" si="9"/>
        <v>0</v>
      </c>
      <c r="D360" s="98"/>
      <c r="E360" s="239"/>
      <c r="F360" s="243"/>
      <c r="G360" s="243"/>
      <c r="H360" s="243"/>
      <c r="I360" s="243"/>
      <c r="J360" s="243"/>
      <c r="K360" s="243"/>
      <c r="L360" s="366"/>
      <c r="M360" s="46"/>
      <c r="N360" s="243"/>
      <c r="O360" s="243"/>
      <c r="P360" s="243"/>
      <c r="Q360" s="243"/>
      <c r="R360" s="243"/>
      <c r="S360" s="243"/>
      <c r="T360" s="243"/>
      <c r="U360" s="243"/>
      <c r="V360" s="243"/>
      <c r="W360" s="243"/>
      <c r="X360" s="256"/>
      <c r="Y360" s="253"/>
      <c r="Z360" s="254"/>
      <c r="AA360" s="254"/>
      <c r="AB360" s="254"/>
      <c r="AC360" s="254"/>
      <c r="AD360" s="254"/>
      <c r="AE360" s="254"/>
      <c r="AF360" s="254"/>
      <c r="AG360" s="254"/>
      <c r="AH360" s="254"/>
      <c r="AI360" s="254"/>
      <c r="AJ360" s="254"/>
      <c r="AK360" s="254"/>
      <c r="AL360" s="254"/>
      <c r="AM360" s="254"/>
      <c r="AN360" s="254"/>
      <c r="AO360" s="254"/>
      <c r="AP360" s="254"/>
      <c r="AQ360" s="254"/>
      <c r="AR360" s="254"/>
      <c r="AS360" s="254"/>
      <c r="AT360" s="254"/>
      <c r="AU360" s="254"/>
      <c r="AV360" s="254"/>
      <c r="AW360" s="254"/>
      <c r="AX360" s="256"/>
      <c r="AZ360" s="254" t="str">
        <f ca="1"/>
        <v/>
      </c>
      <c r="BA360" s="254" t="str">
        <f ca="1"/>
        <v/>
      </c>
      <c r="BB360" s="254" t="str">
        <f ca="1"/>
        <v/>
      </c>
      <c r="BC360" s="254" t="str">
        <f ca="1"/>
        <v/>
      </c>
      <c r="BD360" s="256">
        <f ca="1"/>
        <v>0</v>
      </c>
      <c r="BF360" s="254"/>
      <c r="BG360" s="254"/>
      <c r="BH360" s="254"/>
      <c r="BI360" s="254"/>
      <c r="BJ360" s="243"/>
      <c r="BK360" s="254"/>
      <c r="BL360" s="256"/>
      <c r="BM360" s="46"/>
      <c r="BN360" s="256">
        <f ca="1"/>
        <v>0</v>
      </c>
      <c r="BP360" s="248">
        <f ca="1"/>
        <v>0</v>
      </c>
      <c r="BR360" s="248">
        <f ca="1"/>
        <v>0</v>
      </c>
      <c r="BT360" s="248">
        <f ca="1"/>
        <v>0</v>
      </c>
      <c r="BU360" s="248">
        <f ca="1"/>
        <v>0</v>
      </c>
    </row>
    <row r="361" spans="1:73" ht="16" hidden="1" thickTop="1" thickBot="1">
      <c r="A361" s="1"/>
      <c r="B361" s="1">
        <f t="shared" si="9"/>
        <v>0</v>
      </c>
      <c r="D361" s="98"/>
      <c r="E361" s="239"/>
      <c r="F361" s="243"/>
      <c r="G361" s="243"/>
      <c r="H361" s="243"/>
      <c r="I361" s="243"/>
      <c r="J361" s="243"/>
      <c r="K361" s="243"/>
      <c r="L361" s="366"/>
      <c r="M361" s="46"/>
      <c r="N361" s="243"/>
      <c r="O361" s="243"/>
      <c r="P361" s="243"/>
      <c r="Q361" s="243"/>
      <c r="R361" s="243"/>
      <c r="S361" s="243"/>
      <c r="T361" s="243"/>
      <c r="U361" s="243"/>
      <c r="V361" s="243"/>
      <c r="W361" s="243"/>
      <c r="X361" s="256"/>
      <c r="Y361" s="253"/>
      <c r="Z361" s="254"/>
      <c r="AA361" s="254"/>
      <c r="AB361" s="254"/>
      <c r="AC361" s="254"/>
      <c r="AD361" s="254"/>
      <c r="AE361" s="254"/>
      <c r="AF361" s="254"/>
      <c r="AG361" s="254"/>
      <c r="AH361" s="254"/>
      <c r="AI361" s="254"/>
      <c r="AJ361" s="254"/>
      <c r="AK361" s="254"/>
      <c r="AL361" s="254"/>
      <c r="AM361" s="254"/>
      <c r="AN361" s="254"/>
      <c r="AO361" s="254"/>
      <c r="AP361" s="254"/>
      <c r="AQ361" s="254"/>
      <c r="AR361" s="254"/>
      <c r="AS361" s="254"/>
      <c r="AT361" s="254"/>
      <c r="AU361" s="254"/>
      <c r="AV361" s="254"/>
      <c r="AW361" s="254"/>
      <c r="AX361" s="256"/>
      <c r="AZ361" s="254" t="str">
        <f ca="1"/>
        <v/>
      </c>
      <c r="BA361" s="254" t="str">
        <f ca="1"/>
        <v/>
      </c>
      <c r="BB361" s="254" t="str">
        <f ca="1"/>
        <v/>
      </c>
      <c r="BC361" s="254" t="str">
        <f ca="1"/>
        <v/>
      </c>
      <c r="BD361" s="256">
        <f ca="1"/>
        <v>0</v>
      </c>
      <c r="BF361" s="254"/>
      <c r="BG361" s="254"/>
      <c r="BH361" s="254"/>
      <c r="BI361" s="254"/>
      <c r="BJ361" s="243"/>
      <c r="BK361" s="254"/>
      <c r="BL361" s="256"/>
      <c r="BM361" s="46"/>
      <c r="BN361" s="256">
        <f ca="1"/>
        <v>0</v>
      </c>
      <c r="BP361" s="248">
        <f ca="1"/>
        <v>0</v>
      </c>
      <c r="BR361" s="248">
        <f ca="1"/>
        <v>0</v>
      </c>
      <c r="BT361" s="248">
        <f ca="1"/>
        <v>0</v>
      </c>
      <c r="BU361" s="248">
        <f ca="1"/>
        <v>0</v>
      </c>
    </row>
    <row r="362" spans="1:73" ht="16" hidden="1" thickTop="1" thickBot="1">
      <c r="A362" s="1"/>
      <c r="B362" s="1">
        <f t="shared" si="9"/>
        <v>0</v>
      </c>
      <c r="D362" s="98"/>
      <c r="E362" s="239"/>
      <c r="F362" s="243"/>
      <c r="G362" s="243"/>
      <c r="H362" s="243"/>
      <c r="I362" s="243"/>
      <c r="J362" s="243"/>
      <c r="K362" s="243"/>
      <c r="L362" s="366"/>
      <c r="M362" s="46"/>
      <c r="N362" s="243"/>
      <c r="O362" s="243"/>
      <c r="P362" s="243"/>
      <c r="Q362" s="243"/>
      <c r="R362" s="243"/>
      <c r="S362" s="243"/>
      <c r="T362" s="243"/>
      <c r="U362" s="243"/>
      <c r="V362" s="243"/>
      <c r="W362" s="243"/>
      <c r="X362" s="256"/>
      <c r="Y362" s="253"/>
      <c r="Z362" s="254"/>
      <c r="AA362" s="254"/>
      <c r="AB362" s="254"/>
      <c r="AC362" s="254"/>
      <c r="AD362" s="254"/>
      <c r="AE362" s="254"/>
      <c r="AF362" s="254"/>
      <c r="AG362" s="254"/>
      <c r="AH362" s="254"/>
      <c r="AI362" s="254"/>
      <c r="AJ362" s="254"/>
      <c r="AK362" s="254"/>
      <c r="AL362" s="254"/>
      <c r="AM362" s="254"/>
      <c r="AN362" s="254"/>
      <c r="AO362" s="254"/>
      <c r="AP362" s="254"/>
      <c r="AQ362" s="254"/>
      <c r="AR362" s="254"/>
      <c r="AS362" s="254"/>
      <c r="AT362" s="254"/>
      <c r="AU362" s="254"/>
      <c r="AV362" s="254"/>
      <c r="AW362" s="254"/>
      <c r="AX362" s="256"/>
      <c r="AZ362" s="254" t="str">
        <f ca="1"/>
        <v/>
      </c>
      <c r="BA362" s="254" t="str">
        <f ca="1"/>
        <v/>
      </c>
      <c r="BB362" s="254" t="str">
        <f ca="1"/>
        <v/>
      </c>
      <c r="BC362" s="254" t="str">
        <f ca="1"/>
        <v/>
      </c>
      <c r="BD362" s="256">
        <f ca="1"/>
        <v>0</v>
      </c>
      <c r="BF362" s="254"/>
      <c r="BG362" s="254"/>
      <c r="BH362" s="254"/>
      <c r="BI362" s="254"/>
      <c r="BJ362" s="243"/>
      <c r="BK362" s="254"/>
      <c r="BL362" s="256"/>
      <c r="BM362" s="46"/>
      <c r="BN362" s="256">
        <f ca="1"/>
        <v>0</v>
      </c>
      <c r="BP362" s="248">
        <f ca="1"/>
        <v>0</v>
      </c>
      <c r="BR362" s="248">
        <f ca="1"/>
        <v>0</v>
      </c>
      <c r="BT362" s="248">
        <f ca="1"/>
        <v>0</v>
      </c>
      <c r="BU362" s="248">
        <f ca="1"/>
        <v>0</v>
      </c>
    </row>
    <row r="363" spans="1:73" ht="16" hidden="1" thickTop="1" thickBot="1">
      <c r="A363" s="1"/>
      <c r="B363" s="1">
        <f t="shared" si="9"/>
        <v>0</v>
      </c>
      <c r="D363" s="98"/>
      <c r="E363" s="239"/>
      <c r="F363" s="243"/>
      <c r="G363" s="243"/>
      <c r="H363" s="243"/>
      <c r="I363" s="243"/>
      <c r="J363" s="243"/>
      <c r="K363" s="243"/>
      <c r="L363" s="366"/>
      <c r="M363" s="46"/>
      <c r="N363" s="243"/>
      <c r="O363" s="243"/>
      <c r="P363" s="243"/>
      <c r="Q363" s="243"/>
      <c r="R363" s="243"/>
      <c r="S363" s="243"/>
      <c r="T363" s="243"/>
      <c r="U363" s="243"/>
      <c r="V363" s="243"/>
      <c r="W363" s="243"/>
      <c r="X363" s="256"/>
      <c r="Y363" s="253"/>
      <c r="Z363" s="254"/>
      <c r="AA363" s="254"/>
      <c r="AB363" s="254"/>
      <c r="AC363" s="254"/>
      <c r="AD363" s="254"/>
      <c r="AE363" s="254"/>
      <c r="AF363" s="254"/>
      <c r="AG363" s="254"/>
      <c r="AH363" s="254"/>
      <c r="AI363" s="254"/>
      <c r="AJ363" s="254"/>
      <c r="AK363" s="254"/>
      <c r="AL363" s="254"/>
      <c r="AM363" s="254"/>
      <c r="AN363" s="254"/>
      <c r="AO363" s="254"/>
      <c r="AP363" s="254"/>
      <c r="AQ363" s="254"/>
      <c r="AR363" s="254"/>
      <c r="AS363" s="254"/>
      <c r="AT363" s="254"/>
      <c r="AU363" s="254"/>
      <c r="AV363" s="254"/>
      <c r="AW363" s="254"/>
      <c r="AX363" s="256"/>
      <c r="AZ363" s="254" t="str">
        <f ca="1"/>
        <v/>
      </c>
      <c r="BA363" s="254" t="str">
        <f ca="1"/>
        <v/>
      </c>
      <c r="BB363" s="254" t="str">
        <f ca="1"/>
        <v/>
      </c>
      <c r="BC363" s="254" t="str">
        <f ca="1"/>
        <v/>
      </c>
      <c r="BD363" s="256">
        <f ca="1"/>
        <v>0</v>
      </c>
      <c r="BF363" s="254"/>
      <c r="BG363" s="254"/>
      <c r="BH363" s="254"/>
      <c r="BI363" s="254"/>
      <c r="BJ363" s="243"/>
      <c r="BK363" s="254"/>
      <c r="BL363" s="256"/>
      <c r="BM363" s="46"/>
      <c r="BN363" s="256">
        <f ca="1"/>
        <v>0</v>
      </c>
      <c r="BP363" s="248">
        <f ca="1"/>
        <v>0</v>
      </c>
      <c r="BR363" s="248">
        <f ca="1"/>
        <v>0</v>
      </c>
      <c r="BT363" s="248">
        <f ca="1"/>
        <v>0</v>
      </c>
      <c r="BU363" s="248">
        <f ca="1"/>
        <v>0</v>
      </c>
    </row>
    <row r="364" spans="1:73" ht="16" hidden="1" thickTop="1" thickBot="1">
      <c r="A364" s="1"/>
      <c r="B364" s="1">
        <f t="shared" si="9"/>
        <v>0</v>
      </c>
      <c r="D364" s="98"/>
      <c r="E364" s="239"/>
      <c r="F364" s="243"/>
      <c r="G364" s="243"/>
      <c r="H364" s="243"/>
      <c r="I364" s="243"/>
      <c r="J364" s="243"/>
      <c r="K364" s="243"/>
      <c r="L364" s="366"/>
      <c r="M364" s="46"/>
      <c r="N364" s="243"/>
      <c r="O364" s="243"/>
      <c r="P364" s="243"/>
      <c r="Q364" s="243"/>
      <c r="R364" s="243"/>
      <c r="S364" s="243"/>
      <c r="T364" s="243"/>
      <c r="U364" s="243"/>
      <c r="V364" s="243"/>
      <c r="W364" s="243"/>
      <c r="X364" s="256"/>
      <c r="Y364" s="253"/>
      <c r="Z364" s="254"/>
      <c r="AA364" s="254"/>
      <c r="AB364" s="254"/>
      <c r="AC364" s="254"/>
      <c r="AD364" s="254"/>
      <c r="AE364" s="254"/>
      <c r="AF364" s="254"/>
      <c r="AG364" s="254"/>
      <c r="AH364" s="254"/>
      <c r="AI364" s="254"/>
      <c r="AJ364" s="254"/>
      <c r="AK364" s="254"/>
      <c r="AL364" s="254"/>
      <c r="AM364" s="254"/>
      <c r="AN364" s="254"/>
      <c r="AO364" s="254"/>
      <c r="AP364" s="254"/>
      <c r="AQ364" s="254"/>
      <c r="AR364" s="254"/>
      <c r="AS364" s="254"/>
      <c r="AT364" s="254"/>
      <c r="AU364" s="254"/>
      <c r="AV364" s="254"/>
      <c r="AW364" s="254"/>
      <c r="AX364" s="256"/>
      <c r="AZ364" s="254" t="str">
        <f ca="1"/>
        <v/>
      </c>
      <c r="BA364" s="254" t="str">
        <f ca="1"/>
        <v/>
      </c>
      <c r="BB364" s="254" t="str">
        <f ca="1"/>
        <v/>
      </c>
      <c r="BC364" s="254" t="str">
        <f ca="1"/>
        <v/>
      </c>
      <c r="BD364" s="256">
        <f ca="1"/>
        <v>0</v>
      </c>
      <c r="BF364" s="254"/>
      <c r="BG364" s="254"/>
      <c r="BH364" s="254"/>
      <c r="BI364" s="254"/>
      <c r="BJ364" s="243"/>
      <c r="BK364" s="254"/>
      <c r="BL364" s="256"/>
      <c r="BM364" s="46"/>
      <c r="BN364" s="256">
        <f ca="1"/>
        <v>0</v>
      </c>
      <c r="BP364" s="248">
        <f ca="1"/>
        <v>0</v>
      </c>
      <c r="BR364" s="248">
        <f ca="1"/>
        <v>0</v>
      </c>
      <c r="BT364" s="248">
        <f ca="1"/>
        <v>0</v>
      </c>
      <c r="BU364" s="248">
        <f ca="1"/>
        <v>0</v>
      </c>
    </row>
    <row r="365" spans="1:73" ht="16" hidden="1" thickTop="1" thickBot="1">
      <c r="A365" s="1"/>
      <c r="B365" s="1">
        <f t="shared" si="9"/>
        <v>0</v>
      </c>
      <c r="D365" s="98"/>
      <c r="E365" s="239"/>
      <c r="F365" s="243"/>
      <c r="G365" s="243"/>
      <c r="H365" s="243"/>
      <c r="I365" s="243"/>
      <c r="J365" s="243"/>
      <c r="K365" s="243"/>
      <c r="L365" s="366"/>
      <c r="M365" s="46"/>
      <c r="N365" s="243"/>
      <c r="O365" s="243"/>
      <c r="P365" s="243"/>
      <c r="Q365" s="243"/>
      <c r="R365" s="243"/>
      <c r="S365" s="243"/>
      <c r="T365" s="243"/>
      <c r="U365" s="243"/>
      <c r="V365" s="243"/>
      <c r="W365" s="243"/>
      <c r="X365" s="256"/>
      <c r="Y365" s="253"/>
      <c r="Z365" s="254"/>
      <c r="AA365" s="254"/>
      <c r="AB365" s="254"/>
      <c r="AC365" s="254"/>
      <c r="AD365" s="254"/>
      <c r="AE365" s="254"/>
      <c r="AF365" s="254"/>
      <c r="AG365" s="254"/>
      <c r="AH365" s="254"/>
      <c r="AI365" s="254"/>
      <c r="AJ365" s="254"/>
      <c r="AK365" s="254"/>
      <c r="AL365" s="254"/>
      <c r="AM365" s="254"/>
      <c r="AN365" s="254"/>
      <c r="AO365" s="254"/>
      <c r="AP365" s="254"/>
      <c r="AQ365" s="254"/>
      <c r="AR365" s="254"/>
      <c r="AS365" s="254"/>
      <c r="AT365" s="254"/>
      <c r="AU365" s="254"/>
      <c r="AV365" s="254"/>
      <c r="AW365" s="254"/>
      <c r="AX365" s="256"/>
      <c r="AZ365" s="254" t="str">
        <f ca="1"/>
        <v/>
      </c>
      <c r="BA365" s="254" t="str">
        <f ca="1"/>
        <v/>
      </c>
      <c r="BB365" s="254" t="str">
        <f ca="1"/>
        <v/>
      </c>
      <c r="BC365" s="254" t="str">
        <f ca="1"/>
        <v/>
      </c>
      <c r="BD365" s="256">
        <f ca="1"/>
        <v>0</v>
      </c>
      <c r="BF365" s="254"/>
      <c r="BG365" s="254"/>
      <c r="BH365" s="254"/>
      <c r="BI365" s="254"/>
      <c r="BJ365" s="243"/>
      <c r="BK365" s="254"/>
      <c r="BL365" s="256"/>
      <c r="BM365" s="46"/>
      <c r="BN365" s="256">
        <f ca="1"/>
        <v>0</v>
      </c>
      <c r="BP365" s="248">
        <f ca="1"/>
        <v>0</v>
      </c>
      <c r="BR365" s="248">
        <f ca="1"/>
        <v>0</v>
      </c>
      <c r="BT365" s="248">
        <f ca="1"/>
        <v>0</v>
      </c>
      <c r="BU365" s="248">
        <f ca="1"/>
        <v>0</v>
      </c>
    </row>
    <row r="366" spans="1:73" ht="16" hidden="1" thickTop="1" thickBot="1">
      <c r="A366" s="1"/>
      <c r="B366" s="1">
        <f t="shared" si="9"/>
        <v>0</v>
      </c>
      <c r="D366" s="98"/>
      <c r="E366" s="239"/>
      <c r="F366" s="243"/>
      <c r="G366" s="243"/>
      <c r="H366" s="243"/>
      <c r="I366" s="243"/>
      <c r="J366" s="243"/>
      <c r="K366" s="243"/>
      <c r="L366" s="366"/>
      <c r="M366" s="46"/>
      <c r="N366" s="243"/>
      <c r="O366" s="243"/>
      <c r="P366" s="243"/>
      <c r="Q366" s="243"/>
      <c r="R366" s="243"/>
      <c r="S366" s="243"/>
      <c r="T366" s="243"/>
      <c r="U366" s="243"/>
      <c r="V366" s="243"/>
      <c r="W366" s="243"/>
      <c r="X366" s="256"/>
      <c r="Y366" s="253"/>
      <c r="Z366" s="254"/>
      <c r="AA366" s="254"/>
      <c r="AB366" s="254"/>
      <c r="AC366" s="254"/>
      <c r="AD366" s="254"/>
      <c r="AE366" s="254"/>
      <c r="AF366" s="254"/>
      <c r="AG366" s="254"/>
      <c r="AH366" s="254"/>
      <c r="AI366" s="254"/>
      <c r="AJ366" s="254"/>
      <c r="AK366" s="254"/>
      <c r="AL366" s="254"/>
      <c r="AM366" s="254"/>
      <c r="AN366" s="254"/>
      <c r="AO366" s="254"/>
      <c r="AP366" s="254"/>
      <c r="AQ366" s="254"/>
      <c r="AR366" s="254"/>
      <c r="AS366" s="254"/>
      <c r="AT366" s="254"/>
      <c r="AU366" s="254"/>
      <c r="AV366" s="254"/>
      <c r="AW366" s="254"/>
      <c r="AX366" s="256"/>
      <c r="AZ366" s="254" t="str">
        <f ca="1"/>
        <v/>
      </c>
      <c r="BA366" s="254" t="str">
        <f ca="1"/>
        <v/>
      </c>
      <c r="BB366" s="254" t="str">
        <f ca="1"/>
        <v/>
      </c>
      <c r="BC366" s="254" t="str">
        <f ca="1"/>
        <v/>
      </c>
      <c r="BD366" s="256">
        <f ca="1"/>
        <v>0</v>
      </c>
      <c r="BF366" s="254"/>
      <c r="BG366" s="254"/>
      <c r="BH366" s="254"/>
      <c r="BI366" s="254"/>
      <c r="BJ366" s="243"/>
      <c r="BK366" s="254"/>
      <c r="BL366" s="256"/>
      <c r="BM366" s="46"/>
      <c r="BN366" s="256">
        <f ca="1"/>
        <v>0</v>
      </c>
      <c r="BP366" s="248">
        <f ca="1"/>
        <v>0</v>
      </c>
      <c r="BR366" s="248">
        <f ca="1"/>
        <v>0</v>
      </c>
      <c r="BT366" s="248">
        <f ca="1"/>
        <v>0</v>
      </c>
      <c r="BU366" s="248">
        <f ca="1"/>
        <v>0</v>
      </c>
    </row>
    <row r="367" spans="1:73" ht="16" hidden="1" thickTop="1" thickBot="1">
      <c r="A367" s="1"/>
      <c r="B367" s="1">
        <f t="shared" si="9"/>
        <v>0</v>
      </c>
      <c r="D367" s="98"/>
      <c r="E367" s="239"/>
      <c r="F367" s="243"/>
      <c r="G367" s="243"/>
      <c r="H367" s="243"/>
      <c r="I367" s="243"/>
      <c r="J367" s="243"/>
      <c r="K367" s="243"/>
      <c r="L367" s="366"/>
      <c r="M367" s="46"/>
      <c r="N367" s="243"/>
      <c r="O367" s="243"/>
      <c r="P367" s="243"/>
      <c r="Q367" s="243"/>
      <c r="R367" s="243"/>
      <c r="S367" s="243"/>
      <c r="T367" s="243"/>
      <c r="U367" s="243"/>
      <c r="V367" s="243"/>
      <c r="W367" s="243"/>
      <c r="X367" s="256"/>
      <c r="Y367" s="253"/>
      <c r="Z367" s="254"/>
      <c r="AA367" s="254"/>
      <c r="AB367" s="254"/>
      <c r="AC367" s="254"/>
      <c r="AD367" s="254"/>
      <c r="AE367" s="254"/>
      <c r="AF367" s="254"/>
      <c r="AG367" s="254"/>
      <c r="AH367" s="254"/>
      <c r="AI367" s="254"/>
      <c r="AJ367" s="254"/>
      <c r="AK367" s="254"/>
      <c r="AL367" s="254"/>
      <c r="AM367" s="254"/>
      <c r="AN367" s="254"/>
      <c r="AO367" s="254"/>
      <c r="AP367" s="254"/>
      <c r="AQ367" s="254"/>
      <c r="AR367" s="254"/>
      <c r="AS367" s="254"/>
      <c r="AT367" s="254"/>
      <c r="AU367" s="254"/>
      <c r="AV367" s="254"/>
      <c r="AW367" s="254"/>
      <c r="AX367" s="256"/>
      <c r="AZ367" s="254" t="str">
        <f ca="1"/>
        <v/>
      </c>
      <c r="BA367" s="254" t="str">
        <f ca="1"/>
        <v/>
      </c>
      <c r="BB367" s="254" t="str">
        <f ca="1"/>
        <v/>
      </c>
      <c r="BC367" s="254" t="str">
        <f ca="1"/>
        <v/>
      </c>
      <c r="BD367" s="256">
        <f ca="1"/>
        <v>0</v>
      </c>
      <c r="BF367" s="254"/>
      <c r="BG367" s="254"/>
      <c r="BH367" s="254"/>
      <c r="BI367" s="254"/>
      <c r="BJ367" s="243"/>
      <c r="BK367" s="254"/>
      <c r="BL367" s="256"/>
      <c r="BM367" s="46"/>
      <c r="BN367" s="256">
        <f ca="1"/>
        <v>0</v>
      </c>
      <c r="BP367" s="248">
        <f ca="1"/>
        <v>0</v>
      </c>
      <c r="BR367" s="248">
        <f ca="1"/>
        <v>0</v>
      </c>
      <c r="BT367" s="248">
        <f ca="1"/>
        <v>0</v>
      </c>
      <c r="BU367" s="248">
        <f ca="1"/>
        <v>0</v>
      </c>
    </row>
    <row r="368" spans="1:73" ht="16" hidden="1" thickTop="1" thickBot="1">
      <c r="A368" s="1"/>
      <c r="B368" s="1">
        <f t="shared" si="9"/>
        <v>0</v>
      </c>
      <c r="D368" s="98"/>
      <c r="E368" s="239"/>
      <c r="F368" s="243"/>
      <c r="G368" s="243"/>
      <c r="H368" s="243"/>
      <c r="I368" s="243"/>
      <c r="J368" s="243"/>
      <c r="K368" s="243"/>
      <c r="L368" s="366"/>
      <c r="M368" s="46"/>
      <c r="N368" s="243"/>
      <c r="O368" s="243"/>
      <c r="P368" s="243"/>
      <c r="Q368" s="243"/>
      <c r="R368" s="243"/>
      <c r="S368" s="243"/>
      <c r="T368" s="243"/>
      <c r="U368" s="243"/>
      <c r="V368" s="243"/>
      <c r="W368" s="243"/>
      <c r="X368" s="256"/>
      <c r="Y368" s="253"/>
      <c r="Z368" s="254"/>
      <c r="AA368" s="254"/>
      <c r="AB368" s="254"/>
      <c r="AC368" s="254"/>
      <c r="AD368" s="254"/>
      <c r="AE368" s="254"/>
      <c r="AF368" s="254"/>
      <c r="AG368" s="254"/>
      <c r="AH368" s="254"/>
      <c r="AI368" s="254"/>
      <c r="AJ368" s="254"/>
      <c r="AK368" s="254"/>
      <c r="AL368" s="254"/>
      <c r="AM368" s="254"/>
      <c r="AN368" s="254"/>
      <c r="AO368" s="254"/>
      <c r="AP368" s="254"/>
      <c r="AQ368" s="254"/>
      <c r="AR368" s="254"/>
      <c r="AS368" s="254"/>
      <c r="AT368" s="254"/>
      <c r="AU368" s="254"/>
      <c r="AV368" s="254"/>
      <c r="AW368" s="254"/>
      <c r="AX368" s="256"/>
      <c r="AZ368" s="254" t="str">
        <f ca="1"/>
        <v/>
      </c>
      <c r="BA368" s="254" t="str">
        <f ca="1"/>
        <v/>
      </c>
      <c r="BB368" s="254" t="str">
        <f ca="1"/>
        <v/>
      </c>
      <c r="BC368" s="254" t="str">
        <f ca="1"/>
        <v/>
      </c>
      <c r="BD368" s="256">
        <f ca="1"/>
        <v>0</v>
      </c>
      <c r="BF368" s="254"/>
      <c r="BG368" s="254"/>
      <c r="BH368" s="254"/>
      <c r="BI368" s="254"/>
      <c r="BJ368" s="243"/>
      <c r="BK368" s="254"/>
      <c r="BL368" s="256"/>
      <c r="BM368" s="46"/>
      <c r="BN368" s="256">
        <f ca="1"/>
        <v>0</v>
      </c>
      <c r="BP368" s="248">
        <f ca="1"/>
        <v>0</v>
      </c>
      <c r="BR368" s="248">
        <f ca="1"/>
        <v>0</v>
      </c>
      <c r="BT368" s="248">
        <f ca="1"/>
        <v>0</v>
      </c>
      <c r="BU368" s="248">
        <f ca="1"/>
        <v>0</v>
      </c>
    </row>
    <row r="369" spans="1:73" ht="16" thickTop="1" thickBot="1">
      <c r="A369" s="1"/>
      <c r="B369" s="1">
        <v>1</v>
      </c>
      <c r="D369" s="46"/>
      <c r="E369" s="46"/>
      <c r="F369" s="373">
        <f>SUM(_xlfn.ANCHORARRAY(F9))</f>
        <v>304583853.51286304</v>
      </c>
      <c r="G369" s="373"/>
      <c r="H369" s="373">
        <f>SUM(_xlfn.ANCHORARRAY(H9))</f>
        <v>-167488649.64694551</v>
      </c>
      <c r="I369" s="373">
        <f>SUM(_xlfn.ANCHORARRAY(I9))</f>
        <v>342234695.53270853</v>
      </c>
      <c r="J369" s="373">
        <f>SUM(_xlfn.ANCHORARRAY(J9))</f>
        <v>-10267040.865981257</v>
      </c>
      <c r="K369" s="373">
        <f>SUM(_xlfn.ANCHORARRAY(K9))</f>
        <v>-3422346.9553270852</v>
      </c>
      <c r="L369" s="373">
        <f>SUM(_xlfn.ANCHORARRAY(L9))</f>
        <v>328545307.71140021</v>
      </c>
      <c r="M369" s="264"/>
      <c r="N369" s="373">
        <f t="shared" ref="N369:X369" si="10">SUM(_xlfn.ANCHORARRAY(N9))</f>
        <v>105000000</v>
      </c>
      <c r="O369" s="373">
        <f t="shared" si="10"/>
        <v>0</v>
      </c>
      <c r="P369" s="373">
        <f t="shared" si="10"/>
        <v>0</v>
      </c>
      <c r="Q369" s="373">
        <f t="shared" si="10"/>
        <v>0</v>
      </c>
      <c r="R369" s="373">
        <f t="shared" si="10"/>
        <v>0</v>
      </c>
      <c r="S369" s="373">
        <f t="shared" si="10"/>
        <v>0</v>
      </c>
      <c r="T369" s="373">
        <f t="shared" si="10"/>
        <v>0</v>
      </c>
      <c r="U369" s="373">
        <f t="shared" si="10"/>
        <v>0</v>
      </c>
      <c r="V369" s="373">
        <f t="shared" si="10"/>
        <v>0</v>
      </c>
      <c r="W369" s="373">
        <f t="shared" si="10"/>
        <v>0</v>
      </c>
      <c r="X369" s="373">
        <f t="shared" si="10"/>
        <v>105000000</v>
      </c>
      <c r="Y369" s="264"/>
      <c r="Z369" s="373">
        <f t="shared" ref="Z369:AX369" si="11">SUM(_xlfn.ANCHORARRAY(Z9))</f>
        <v>6139560.6249999972</v>
      </c>
      <c r="AA369" s="373">
        <f t="shared" si="11"/>
        <v>8452913.2686306667</v>
      </c>
      <c r="AB369" s="373">
        <f t="shared" si="11"/>
        <v>11621514.81582169</v>
      </c>
      <c r="AC369" s="373">
        <f t="shared" si="11"/>
        <v>2547084.9307376216</v>
      </c>
      <c r="AD369" s="373">
        <f t="shared" si="11"/>
        <v>0</v>
      </c>
      <c r="AE369" s="373">
        <f t="shared" si="11"/>
        <v>0</v>
      </c>
      <c r="AF369" s="373">
        <f t="shared" si="11"/>
        <v>4000085.4681246514</v>
      </c>
      <c r="AG369" s="373">
        <f t="shared" si="11"/>
        <v>6474465.1916132011</v>
      </c>
      <c r="AH369" s="373">
        <f t="shared" si="11"/>
        <v>0</v>
      </c>
      <c r="AI369" s="373">
        <f t="shared" si="11"/>
        <v>0</v>
      </c>
      <c r="AJ369" s="373">
        <f t="shared" si="11"/>
        <v>0</v>
      </c>
      <c r="AK369" s="373">
        <f t="shared" si="11"/>
        <v>0</v>
      </c>
      <c r="AL369" s="373">
        <f t="shared" si="11"/>
        <v>0</v>
      </c>
      <c r="AM369" s="373">
        <f t="shared" si="11"/>
        <v>0</v>
      </c>
      <c r="AN369" s="373">
        <f t="shared" si="11"/>
        <v>0</v>
      </c>
      <c r="AO369" s="373">
        <f t="shared" si="11"/>
        <v>0</v>
      </c>
      <c r="AP369" s="373">
        <f t="shared" si="11"/>
        <v>0</v>
      </c>
      <c r="AQ369" s="373">
        <f t="shared" si="11"/>
        <v>0</v>
      </c>
      <c r="AR369" s="373">
        <f t="shared" si="11"/>
        <v>0</v>
      </c>
      <c r="AS369" s="373">
        <f t="shared" si="11"/>
        <v>0</v>
      </c>
      <c r="AT369" s="373">
        <f t="shared" si="11"/>
        <v>0</v>
      </c>
      <c r="AU369" s="373">
        <f t="shared" si="11"/>
        <v>0</v>
      </c>
      <c r="AV369" s="373">
        <f t="shared" si="11"/>
        <v>0</v>
      </c>
      <c r="AW369" s="373">
        <f t="shared" si="11"/>
        <v>0</v>
      </c>
      <c r="AX369" s="373">
        <f t="shared" si="11"/>
        <v>39235624.299927793</v>
      </c>
      <c r="AZ369" s="373">
        <f ca="1">SUM(_xlfn.ANCHORARRAY(AZ9))</f>
        <v>338212.50000000023</v>
      </c>
      <c r="BA369" s="373">
        <f ca="1">SUM(_xlfn.ANCHORARRAY(BA9))</f>
        <v>202927.5</v>
      </c>
      <c r="BB369" s="373">
        <f ca="1">SUM(_xlfn.ANCHORARRAY(BB9))</f>
        <v>0</v>
      </c>
      <c r="BC369" s="373">
        <f ca="1">SUM(_xlfn.ANCHORARRAY(BC9))</f>
        <v>0</v>
      </c>
      <c r="BD369" s="373">
        <f ca="1">SUM(_xlfn.ANCHORARRAY(BD9))</f>
        <v>541140.00000000023</v>
      </c>
      <c r="BF369" s="373">
        <f t="shared" ref="BF369:BL369" si="12">SUM(_xlfn.ANCHORARRAY(BF9))</f>
        <v>2375000</v>
      </c>
      <c r="BG369" s="373">
        <f t="shared" si="12"/>
        <v>395833.33333333372</v>
      </c>
      <c r="BH369" s="373">
        <f t="shared" si="12"/>
        <v>79166.666666666657</v>
      </c>
      <c r="BI369" s="373">
        <f t="shared" si="12"/>
        <v>0</v>
      </c>
      <c r="BJ369" s="373"/>
      <c r="BK369" s="373">
        <f t="shared" si="12"/>
        <v>3422346.9553270857</v>
      </c>
      <c r="BL369" s="373">
        <f t="shared" si="12"/>
        <v>7322346.9553270852</v>
      </c>
      <c r="BN369" s="373">
        <f ca="1">SUM(_xlfn.ANCHORARRAY(BN9))</f>
        <v>152099111.25525495</v>
      </c>
      <c r="BP369" s="373">
        <f ca="1">SUM(_xlfn.ANCHORARRAY(BP9))</f>
        <v>176446196.45614529</v>
      </c>
      <c r="BR369" s="373"/>
      <c r="BT369" s="373"/>
    </row>
    <row r="370" spans="1:73" ht="15" thickTop="1">
      <c r="F370" s="46"/>
      <c r="G370" s="46"/>
      <c r="H370" s="46"/>
      <c r="I370" s="46"/>
      <c r="J370" s="46"/>
      <c r="K370" s="46"/>
      <c r="L370" s="368"/>
      <c r="M370" s="46"/>
      <c r="BM370" s="46"/>
      <c r="BP370" s="46"/>
    </row>
    <row r="371" spans="1:73" ht="15" thickBot="1">
      <c r="F371" s="46"/>
      <c r="G371" s="46"/>
      <c r="H371" s="46"/>
      <c r="I371" s="46"/>
      <c r="J371" s="46"/>
      <c r="K371" s="46"/>
      <c r="L371" s="368"/>
      <c r="M371" s="46"/>
      <c r="BM371" s="46"/>
      <c r="BP371" s="46"/>
    </row>
    <row r="372" spans="1:73" ht="16" thickTop="1" thickBot="1">
      <c r="A372" s="1"/>
      <c r="B372" s="1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  <c r="N372" s="374"/>
      <c r="O372" s="374"/>
      <c r="P372" s="374"/>
      <c r="Q372" s="374"/>
      <c r="R372" s="374"/>
      <c r="S372" s="374"/>
      <c r="T372" s="374"/>
      <c r="U372" s="374"/>
      <c r="V372" s="374"/>
      <c r="W372" s="374"/>
      <c r="X372" s="374"/>
      <c r="Y372" s="374"/>
      <c r="Z372" s="374"/>
      <c r="AA372" s="374"/>
      <c r="AB372" s="374"/>
      <c r="AC372" s="374"/>
      <c r="AD372" s="374"/>
      <c r="AE372" s="374"/>
      <c r="AF372" s="374"/>
      <c r="AG372" s="374"/>
      <c r="AH372" s="374"/>
      <c r="AI372" s="374"/>
      <c r="AJ372" s="374"/>
      <c r="AK372" s="374"/>
      <c r="AL372" s="374"/>
      <c r="AM372" s="374"/>
      <c r="AN372" s="374"/>
      <c r="AO372" s="374"/>
      <c r="AP372" s="374"/>
      <c r="AQ372" s="374"/>
      <c r="AR372" s="374"/>
      <c r="AS372" s="374"/>
      <c r="AT372" s="374"/>
      <c r="AU372" s="374"/>
      <c r="AV372" s="374"/>
      <c r="AW372" s="374"/>
      <c r="AX372" s="374"/>
      <c r="AY372" s="374"/>
      <c r="AZ372" s="374"/>
      <c r="BA372" s="374"/>
      <c r="BB372" s="374"/>
      <c r="BC372" s="374"/>
      <c r="BD372" s="374"/>
      <c r="BE372" s="374"/>
      <c r="BF372" s="374"/>
      <c r="BG372" s="374"/>
      <c r="BH372" s="374"/>
      <c r="BI372" s="374"/>
      <c r="BJ372" s="374"/>
      <c r="BK372" s="374"/>
      <c r="BL372" s="374"/>
      <c r="BM372" s="374"/>
      <c r="BN372" s="374"/>
      <c r="BO372" s="374"/>
      <c r="BP372" s="374"/>
      <c r="BQ372" s="374"/>
      <c r="BR372" s="374"/>
      <c r="BS372" s="374"/>
      <c r="BT372" s="374"/>
      <c r="BU372" s="374"/>
    </row>
    <row r="373" spans="1:73" ht="20" thickTop="1" thickBot="1">
      <c r="A373" s="1"/>
      <c r="B373" s="1"/>
      <c r="D373" s="370"/>
      <c r="E373" s="371"/>
      <c r="F373" s="489">
        <f>SUM(_xlfn.ANCHORARRAY(F376))</f>
        <v>304583853.51286304</v>
      </c>
      <c r="G373" s="489"/>
      <c r="H373" s="489">
        <f>SUM(_xlfn.ANCHORARRAY(H376))</f>
        <v>-167488649.64694551</v>
      </c>
      <c r="I373" s="489">
        <f>SUM(_xlfn.ANCHORARRAY(I376))</f>
        <v>342234695.53270853</v>
      </c>
      <c r="J373" s="489">
        <f>SUM(_xlfn.ANCHORARRAY(J376))</f>
        <v>-10267040.865981255</v>
      </c>
      <c r="K373" s="489">
        <f>SUM(_xlfn.ANCHORARRAY(K376))</f>
        <v>-3422346.9553270857</v>
      </c>
      <c r="L373" s="489">
        <f>SUM(_xlfn.ANCHORARRAY(L376))</f>
        <v>328545307.71140015</v>
      </c>
      <c r="M373" s="46"/>
      <c r="N373" s="489">
        <f t="shared" ref="N373:X373" si="13">SUM(_xlfn.ANCHORARRAY(N376))</f>
        <v>105000000</v>
      </c>
      <c r="O373" s="489">
        <f t="shared" si="13"/>
        <v>0</v>
      </c>
      <c r="P373" s="489">
        <f t="shared" si="13"/>
        <v>0</v>
      </c>
      <c r="Q373" s="489">
        <f t="shared" si="13"/>
        <v>0</v>
      </c>
      <c r="R373" s="489">
        <f t="shared" si="13"/>
        <v>0</v>
      </c>
      <c r="S373" s="489">
        <f t="shared" si="13"/>
        <v>0</v>
      </c>
      <c r="T373" s="489">
        <f t="shared" si="13"/>
        <v>0</v>
      </c>
      <c r="U373" s="489">
        <f t="shared" si="13"/>
        <v>0</v>
      </c>
      <c r="V373" s="489">
        <f t="shared" si="13"/>
        <v>0</v>
      </c>
      <c r="W373" s="489">
        <f t="shared" si="13"/>
        <v>0</v>
      </c>
      <c r="X373" s="489">
        <f t="shared" si="13"/>
        <v>105000000</v>
      </c>
      <c r="Z373" s="489">
        <f t="shared" ref="Z373:AX373" si="14">SUM(_xlfn.ANCHORARRAY(Z376))</f>
        <v>6139560.6249999991</v>
      </c>
      <c r="AA373" s="489">
        <f t="shared" si="14"/>
        <v>8452913.2686306685</v>
      </c>
      <c r="AB373" s="489">
        <f t="shared" si="14"/>
        <v>11621514.815821692</v>
      </c>
      <c r="AC373" s="489">
        <f t="shared" si="14"/>
        <v>2547084.9307376207</v>
      </c>
      <c r="AD373" s="489">
        <f t="shared" si="14"/>
        <v>0</v>
      </c>
      <c r="AE373" s="489">
        <f t="shared" si="14"/>
        <v>0</v>
      </c>
      <c r="AF373" s="489">
        <f t="shared" si="14"/>
        <v>4000085.4681246523</v>
      </c>
      <c r="AG373" s="489">
        <f t="shared" si="14"/>
        <v>6474465.1916132011</v>
      </c>
      <c r="AH373" s="489">
        <f t="shared" si="14"/>
        <v>0</v>
      </c>
      <c r="AI373" s="489">
        <f t="shared" si="14"/>
        <v>0</v>
      </c>
      <c r="AJ373" s="489">
        <f t="shared" si="14"/>
        <v>0</v>
      </c>
      <c r="AK373" s="489">
        <f t="shared" si="14"/>
        <v>0</v>
      </c>
      <c r="AL373" s="489">
        <f t="shared" si="14"/>
        <v>0</v>
      </c>
      <c r="AM373" s="489">
        <f t="shared" si="14"/>
        <v>0</v>
      </c>
      <c r="AN373" s="489">
        <f t="shared" si="14"/>
        <v>0</v>
      </c>
      <c r="AO373" s="489">
        <f t="shared" si="14"/>
        <v>0</v>
      </c>
      <c r="AP373" s="489">
        <f t="shared" si="14"/>
        <v>0</v>
      </c>
      <c r="AQ373" s="489">
        <f t="shared" si="14"/>
        <v>0</v>
      </c>
      <c r="AR373" s="489">
        <f t="shared" si="14"/>
        <v>0</v>
      </c>
      <c r="AS373" s="489">
        <f t="shared" si="14"/>
        <v>0</v>
      </c>
      <c r="AT373" s="489">
        <f t="shared" si="14"/>
        <v>0</v>
      </c>
      <c r="AU373" s="489">
        <f t="shared" si="14"/>
        <v>0</v>
      </c>
      <c r="AV373" s="489">
        <f t="shared" si="14"/>
        <v>0</v>
      </c>
      <c r="AW373" s="489">
        <f t="shared" si="14"/>
        <v>0</v>
      </c>
      <c r="AX373" s="489">
        <f t="shared" si="14"/>
        <v>39235624.299927838</v>
      </c>
      <c r="AZ373" s="489">
        <f ca="1">SUM(_xlfn.ANCHORARRAY(AZ376))</f>
        <v>338212.5</v>
      </c>
      <c r="BA373" s="489">
        <f ca="1">SUM(_xlfn.ANCHORARRAY(BA376))</f>
        <v>202927.5</v>
      </c>
      <c r="BB373" s="489">
        <f ca="1">SUM(_xlfn.ANCHORARRAY(BB376))</f>
        <v>0</v>
      </c>
      <c r="BC373" s="489">
        <f ca="1">SUM(_xlfn.ANCHORARRAY(BC376))</f>
        <v>0</v>
      </c>
      <c r="BD373" s="489">
        <f ca="1">SUM(_xlfn.ANCHORARRAY(BD376))</f>
        <v>541140.00000000012</v>
      </c>
      <c r="BF373" s="489">
        <f t="shared" ref="BF373:BL373" si="15">SUM(_xlfn.ANCHORARRAY(BF376))</f>
        <v>2375000</v>
      </c>
      <c r="BG373" s="489">
        <f t="shared" si="15"/>
        <v>395833.33333333326</v>
      </c>
      <c r="BH373" s="489">
        <f t="shared" si="15"/>
        <v>79166.666666666672</v>
      </c>
      <c r="BI373" s="489">
        <f t="shared" si="15"/>
        <v>0</v>
      </c>
      <c r="BJ373" s="489"/>
      <c r="BK373" s="489">
        <f t="shared" si="15"/>
        <v>3422346.9553270857</v>
      </c>
      <c r="BL373" s="489">
        <f t="shared" si="15"/>
        <v>7322346.9553270862</v>
      </c>
      <c r="BM373" s="264"/>
      <c r="BN373" s="489">
        <f ca="1">SUM(_xlfn.ANCHORARRAY(BN376))</f>
        <v>152099111.25525489</v>
      </c>
      <c r="BP373" s="489">
        <f ca="1">SUM(_xlfn.ANCHORARRAY(BP376))</f>
        <v>176446196.45614529</v>
      </c>
      <c r="BR373" s="489">
        <f ca="1">SUM(_xlfn.ANCHORARRAY(BR376))</f>
        <v>-71446196.456145287</v>
      </c>
      <c r="BT373" s="489">
        <f ca="1">SUM(_xlfn.ANCHORARRAY(BT376))</f>
        <v>71446196.456145287</v>
      </c>
      <c r="BU373" s="489" t="e">
        <f>SUM(_xlfn.ANCHORARRAY(BU376))</f>
        <v>#REF!</v>
      </c>
    </row>
    <row r="374" spans="1:73" ht="16" thickTop="1" thickBot="1">
      <c r="A374" s="1"/>
      <c r="B374" s="1"/>
      <c r="D374" s="1726" t="s">
        <v>5</v>
      </c>
      <c r="E374" s="1727"/>
      <c r="F374" s="375"/>
      <c r="G374" s="375"/>
      <c r="H374" s="375"/>
      <c r="I374" s="375"/>
      <c r="J374" s="375"/>
      <c r="K374" s="375"/>
      <c r="L374" s="376"/>
      <c r="N374" s="379" t="s">
        <v>226</v>
      </c>
      <c r="O374" s="380"/>
      <c r="P374" s="380"/>
      <c r="Q374" s="380"/>
      <c r="R374" s="380"/>
      <c r="S374" s="380"/>
      <c r="T374" s="380"/>
      <c r="U374" s="380"/>
      <c r="V374" s="380"/>
      <c r="W374" s="380"/>
      <c r="Z374" s="379">
        <f>Z7</f>
        <v>6139560.6249999972</v>
      </c>
      <c r="AA374" s="380"/>
      <c r="AB374" s="380"/>
      <c r="AC374" s="380"/>
      <c r="AD374" s="380"/>
      <c r="AE374" s="380"/>
      <c r="AF374" s="380"/>
      <c r="AG374" s="380"/>
      <c r="AH374" s="380"/>
      <c r="AI374" s="380"/>
      <c r="AJ374" s="380"/>
      <c r="AK374" s="258"/>
      <c r="AL374" s="258"/>
      <c r="AM374" s="258"/>
      <c r="AN374" s="258"/>
      <c r="AO374" s="258"/>
      <c r="AP374" s="258"/>
      <c r="AQ374" s="258"/>
      <c r="AR374" s="258"/>
      <c r="AS374" s="258"/>
      <c r="AT374" s="258"/>
      <c r="AU374" s="258"/>
      <c r="AV374" s="258"/>
      <c r="AW374" s="258"/>
      <c r="AZ374" s="257"/>
      <c r="BA374" s="258"/>
      <c r="BB374" s="258"/>
      <c r="BC374" s="258"/>
      <c r="BF374" s="259">
        <f>BF7</f>
        <v>2375000</v>
      </c>
      <c r="BG374" s="260"/>
      <c r="BH374" s="260"/>
      <c r="BI374" s="260"/>
      <c r="BJ374" s="380"/>
      <c r="BK374" s="260"/>
      <c r="BL374" s="260"/>
      <c r="BM374" s="264"/>
    </row>
    <row r="375" spans="1:73" ht="62" thickTop="1" thickBot="1">
      <c r="A375" s="1"/>
      <c r="B375" s="1"/>
      <c r="D375" s="382" t="s">
        <v>41</v>
      </c>
      <c r="E375" s="382" t="s">
        <v>4</v>
      </c>
      <c r="F375" s="377" t="str">
        <f t="shared" ref="F375:L375" si="16">F8</f>
        <v>Single Family Revenue</v>
      </c>
      <c r="G375" s="377" t="str">
        <f t="shared" si="16"/>
        <v>Commercial / Multifamily Revenue</v>
      </c>
      <c r="H375" s="377" t="str">
        <f t="shared" si="16"/>
        <v>Less: Subd Cost</v>
      </c>
      <c r="I375" s="377" t="str">
        <f t="shared" si="16"/>
        <v>Gross Revenue</v>
      </c>
      <c r="J375" s="377" t="str">
        <f t="shared" si="16"/>
        <v>Less: Commissions</v>
      </c>
      <c r="K375" s="377" t="str">
        <f t="shared" si="16"/>
        <v>Less: Cost of Sale</v>
      </c>
      <c r="L375" s="378" t="str">
        <f t="shared" si="16"/>
        <v>Net Sale Revenue</v>
      </c>
      <c r="M375" s="264"/>
      <c r="N375" s="381">
        <f t="shared" ref="N375:X375" si="17">N8</f>
        <v>0</v>
      </c>
      <c r="O375" s="381">
        <f t="shared" si="17"/>
        <v>0</v>
      </c>
      <c r="P375" s="381">
        <f t="shared" si="17"/>
        <v>0</v>
      </c>
      <c r="Q375" s="381">
        <f t="shared" si="17"/>
        <v>0</v>
      </c>
      <c r="R375" s="381">
        <f t="shared" si="17"/>
        <v>0</v>
      </c>
      <c r="S375" s="381">
        <f t="shared" si="17"/>
        <v>0</v>
      </c>
      <c r="T375" s="381">
        <f t="shared" si="17"/>
        <v>0</v>
      </c>
      <c r="U375" s="381">
        <f t="shared" si="17"/>
        <v>0</v>
      </c>
      <c r="V375" s="381">
        <f t="shared" si="17"/>
        <v>0</v>
      </c>
      <c r="W375" s="381">
        <f t="shared" si="17"/>
        <v>0</v>
      </c>
      <c r="X375" s="263" t="str">
        <f t="shared" si="17"/>
        <v>Total Land Cost</v>
      </c>
      <c r="Z375" s="381">
        <f>Z8</f>
        <v>1.1000000000000001</v>
      </c>
      <c r="AA375" s="381">
        <f t="shared" ref="AA375:AX375" si="18">AA8</f>
        <v>1.2</v>
      </c>
      <c r="AB375" s="381">
        <f t="shared" si="18"/>
        <v>2.1</v>
      </c>
      <c r="AC375" s="381">
        <f t="shared" si="18"/>
        <v>2.2000000000000002</v>
      </c>
      <c r="AD375" s="381">
        <f t="shared" si="18"/>
        <v>3.1</v>
      </c>
      <c r="AE375" s="381">
        <f t="shared" si="18"/>
        <v>3.2</v>
      </c>
      <c r="AF375" s="381">
        <f t="shared" si="18"/>
        <v>4.0999999999999996</v>
      </c>
      <c r="AG375" s="381">
        <f t="shared" si="18"/>
        <v>4.2</v>
      </c>
      <c r="AH375" s="381">
        <f t="shared" si="18"/>
        <v>0</v>
      </c>
      <c r="AI375" s="381">
        <f t="shared" si="18"/>
        <v>0</v>
      </c>
      <c r="AJ375" s="381">
        <f t="shared" si="18"/>
        <v>0</v>
      </c>
      <c r="AK375" s="381">
        <f t="shared" si="18"/>
        <v>0</v>
      </c>
      <c r="AL375" s="381">
        <f t="shared" si="18"/>
        <v>0</v>
      </c>
      <c r="AM375" s="381">
        <f t="shared" si="18"/>
        <v>0</v>
      </c>
      <c r="AN375" s="381">
        <f t="shared" si="18"/>
        <v>0</v>
      </c>
      <c r="AO375" s="381">
        <f t="shared" si="18"/>
        <v>0</v>
      </c>
      <c r="AP375" s="381">
        <f t="shared" si="18"/>
        <v>0</v>
      </c>
      <c r="AQ375" s="381">
        <f t="shared" si="18"/>
        <v>0</v>
      </c>
      <c r="AR375" s="381">
        <f t="shared" si="18"/>
        <v>0</v>
      </c>
      <c r="AS375" s="381">
        <f t="shared" si="18"/>
        <v>0</v>
      </c>
      <c r="AT375" s="381">
        <f t="shared" si="18"/>
        <v>0</v>
      </c>
      <c r="AU375" s="381">
        <f t="shared" si="18"/>
        <v>0</v>
      </c>
      <c r="AV375" s="381">
        <f t="shared" si="18"/>
        <v>0</v>
      </c>
      <c r="AW375" s="381">
        <f t="shared" si="18"/>
        <v>0</v>
      </c>
      <c r="AX375" s="381" t="str">
        <f t="shared" si="18"/>
        <v>Total Dev Costs</v>
      </c>
      <c r="AZ375" s="381" t="str">
        <f>AZ8</f>
        <v>Property Tax</v>
      </c>
      <c r="BA375" s="381" t="str">
        <f>BA8</f>
        <v>Insurance</v>
      </c>
      <c r="BB375" s="381" t="str">
        <f>BB8</f>
        <v>Other 1</v>
      </c>
      <c r="BC375" s="381" t="str">
        <f>BC8</f>
        <v>Other 2</v>
      </c>
      <c r="BD375" s="381" t="str">
        <f>BD8</f>
        <v xml:space="preserve">Total Project Carry </v>
      </c>
      <c r="BF375" s="381" t="e" cm="1">
        <f t="array" ref="BF375">TRANSPOSE(#REF!)</f>
        <v>#REF!</v>
      </c>
      <c r="BG375" s="381"/>
      <c r="BH375" s="381"/>
      <c r="BI375" s="381"/>
      <c r="BJ375" s="381"/>
      <c r="BK375" s="381"/>
      <c r="BL375" s="367" t="s">
        <v>255</v>
      </c>
      <c r="BM375" s="264"/>
      <c r="BN375" s="381" t="str">
        <f>BN8</f>
        <v>Total Project Costs</v>
      </c>
      <c r="BP375" s="383" t="str">
        <f>BP8</f>
        <v>Net Project Income</v>
      </c>
      <c r="BR375" s="383" t="str">
        <f>BR8</f>
        <v>Land Valuation</v>
      </c>
      <c r="BT375" s="383" t="str">
        <f>BT8</f>
        <v>Project Outflows</v>
      </c>
      <c r="BU375" s="383" t="str">
        <f>BU8</f>
        <v>Project Inflows</v>
      </c>
    </row>
    <row r="376" spans="1:73" ht="16" thickTop="1" thickBot="1">
      <c r="A376" s="1"/>
      <c r="B376" s="1"/>
      <c r="D376" s="250" cm="1">
        <f t="array" ref="D376:D383">_xlfn.UNIQUE(list_Periods.Yr)</f>
        <v>1</v>
      </c>
      <c r="E376" s="250" cm="1">
        <f t="array" ref="E376:E383">list_Dates.Yr</f>
        <v>2024</v>
      </c>
      <c r="F376" s="243" cm="1">
        <f t="array" ref="F376:F383">SUMIF(_xlfn.ANCHORARRAY($A9),_xlfn.ANCHORARRAY($D376),_xlfn.ANCHORARRAY(mProject!F9))</f>
        <v>0</v>
      </c>
      <c r="G376" s="243" cm="1">
        <f t="array" ref="G376:G383">SUMIF(_xlfn.ANCHORARRAY($A9),_xlfn.ANCHORARRAY($D376),_xlfn.ANCHORARRAY(mProject!G9))</f>
        <v>0</v>
      </c>
      <c r="H376" s="243" cm="1">
        <f t="array" ref="H376:H383">SUMIF(_xlfn.ANCHORARRAY($A9),_xlfn.ANCHORARRAY($D376),_xlfn.ANCHORARRAY(mProject!H9))</f>
        <v>0</v>
      </c>
      <c r="I376" s="243" cm="1">
        <f t="array" ref="I376:I383">SUMIF(_xlfn.ANCHORARRAY($A9),_xlfn.ANCHORARRAY($D376),_xlfn.ANCHORARRAY(mProject!I9))</f>
        <v>0</v>
      </c>
      <c r="J376" s="243" cm="1">
        <f t="array" ref="J376:J383">SUMIF(_xlfn.ANCHORARRAY($A9),_xlfn.ANCHORARRAY($D376),_xlfn.ANCHORARRAY(mProject!J9))</f>
        <v>0</v>
      </c>
      <c r="K376" s="243" cm="1">
        <f t="array" ref="K376:K383">SUMIF(_xlfn.ANCHORARRAY($A9),_xlfn.ANCHORARRAY($D376),_xlfn.ANCHORARRAY(mProject!K9))</f>
        <v>0</v>
      </c>
      <c r="L376" s="262" cm="1">
        <f t="array" ref="L376:L383">SUMIF(_xlfn.ANCHORARRAY($A9),_xlfn.ANCHORARRAY($D376),_xlfn.ANCHORARRAY(mProject!L9))</f>
        <v>0</v>
      </c>
      <c r="M376" s="264"/>
      <c r="N376" s="243" cm="1">
        <f t="array" ref="N376:N383">SUMIF(_xlfn.ANCHORARRAY($A9),_xlfn.ANCHORARRAY($D376),_xlfn.ANCHORARRAY(mProject!N9))</f>
        <v>0</v>
      </c>
      <c r="O376" s="243" cm="1">
        <f t="array" ref="O376:O383">SUMIF(_xlfn.ANCHORARRAY($A9),_xlfn.ANCHORARRAY($D376),_xlfn.ANCHORARRAY(mProject!O9))</f>
        <v>0</v>
      </c>
      <c r="P376" s="243" cm="1">
        <f t="array" ref="P376:P383">SUMIF(_xlfn.ANCHORARRAY($A9),_xlfn.ANCHORARRAY($D376),_xlfn.ANCHORARRAY(mProject!P9))</f>
        <v>0</v>
      </c>
      <c r="Q376" s="243" cm="1">
        <f t="array" ref="Q376:Q383">SUMIF(_xlfn.ANCHORARRAY($A9),_xlfn.ANCHORARRAY($D376),_xlfn.ANCHORARRAY(mProject!Q9))</f>
        <v>0</v>
      </c>
      <c r="R376" s="243" cm="1">
        <f t="array" ref="R376:R383">SUMIF(_xlfn.ANCHORARRAY($A9),_xlfn.ANCHORARRAY($D376),_xlfn.ANCHORARRAY(mProject!R9))</f>
        <v>0</v>
      </c>
      <c r="S376" s="243" cm="1">
        <f t="array" ref="S376:S383">SUMIF(_xlfn.ANCHORARRAY($A9),_xlfn.ANCHORARRAY($D376),_xlfn.ANCHORARRAY(mProject!S9))</f>
        <v>0</v>
      </c>
      <c r="T376" s="243" cm="1">
        <f t="array" ref="T376:T383">SUMIF(_xlfn.ANCHORARRAY($A9),_xlfn.ANCHORARRAY($D376),_xlfn.ANCHORARRAY(mProject!T9))</f>
        <v>0</v>
      </c>
      <c r="U376" s="243" cm="1">
        <f t="array" ref="U376:U383">SUMIF(_xlfn.ANCHORARRAY($A9),_xlfn.ANCHORARRAY($D376),_xlfn.ANCHORARRAY(mProject!U9))</f>
        <v>0</v>
      </c>
      <c r="V376" s="243" cm="1">
        <f t="array" ref="V376:V383">SUMIF(_xlfn.ANCHORARRAY($A9),_xlfn.ANCHORARRAY($D376),_xlfn.ANCHORARRAY(mProject!V9))</f>
        <v>0</v>
      </c>
      <c r="W376" s="243" cm="1">
        <f t="array" ref="W376:W383">SUMIF(_xlfn.ANCHORARRAY($A9),_xlfn.ANCHORARRAY($D376),_xlfn.ANCHORARRAY(mProject!W9))</f>
        <v>0</v>
      </c>
      <c r="X376" s="262" cm="1">
        <f t="array" ref="X376:X383">SUMIF(_xlfn.ANCHORARRAY($A9),_xlfn.ANCHORARRAY($D376),_xlfn.ANCHORARRAY(mProject!X9))</f>
        <v>0</v>
      </c>
      <c r="Z376" s="243" cm="1">
        <f t="array" ref="Z376:Z383">SUMIF(_xlfn.ANCHORARRAY($A9),_xlfn.ANCHORARRAY($D376),_xlfn.ANCHORARRAY(Z9))</f>
        <v>2946989.0999999996</v>
      </c>
      <c r="AA376" s="243" cm="1">
        <f t="array" ref="AA376:AA383">SUMIF(_xlfn.ANCHORARRAY($A9),_xlfn.ANCHORARRAY($D376),_xlfn.ANCHORARRAY(AA9))</f>
        <v>0</v>
      </c>
      <c r="AB376" s="243" cm="1">
        <f t="array" ref="AB376:AB383">SUMIF(_xlfn.ANCHORARRAY($A9),_xlfn.ANCHORARRAY($D376),_xlfn.ANCHORARRAY(AB9))</f>
        <v>0</v>
      </c>
      <c r="AC376" s="243" cm="1">
        <f t="array" ref="AC376:AC383">SUMIF(_xlfn.ANCHORARRAY($A9),_xlfn.ANCHORARRAY($D376),_xlfn.ANCHORARRAY(AC9))</f>
        <v>0</v>
      </c>
      <c r="AD376" s="243" cm="1">
        <f t="array" ref="AD376:AD383">SUMIF(_xlfn.ANCHORARRAY($A9),_xlfn.ANCHORARRAY($D376),_xlfn.ANCHORARRAY(AD9))</f>
        <v>0</v>
      </c>
      <c r="AE376" s="243" cm="1">
        <f t="array" ref="AE376:AE383">SUMIF(_xlfn.ANCHORARRAY($A9),_xlfn.ANCHORARRAY($D376),_xlfn.ANCHORARRAY(AE9))</f>
        <v>0</v>
      </c>
      <c r="AF376" s="243" cm="1">
        <f t="array" ref="AF376:AF383">SUMIF(_xlfn.ANCHORARRAY($A9),_xlfn.ANCHORARRAY($D376),_xlfn.ANCHORARRAY(AF9))</f>
        <v>0</v>
      </c>
      <c r="AG376" s="243" cm="1">
        <f t="array" ref="AG376:AG383">SUMIF(_xlfn.ANCHORARRAY($A9),_xlfn.ANCHORARRAY($D376),_xlfn.ANCHORARRAY(AG9))</f>
        <v>0</v>
      </c>
      <c r="AH376" s="243" cm="1">
        <f t="array" ref="AH376:AH383">SUMIF(_xlfn.ANCHORARRAY($A9),_xlfn.ANCHORARRAY($D376),_xlfn.ANCHORARRAY(AH9))</f>
        <v>0</v>
      </c>
      <c r="AI376" s="243" cm="1">
        <f t="array" ref="AI376:AI383">SUMIF(_xlfn.ANCHORARRAY($A9),_xlfn.ANCHORARRAY($D376),_xlfn.ANCHORARRAY(AI9))</f>
        <v>0</v>
      </c>
      <c r="AJ376" s="243" cm="1">
        <f t="array" ref="AJ376:AJ383">SUMIF(_xlfn.ANCHORARRAY($A9),_xlfn.ANCHORARRAY($D376),_xlfn.ANCHORARRAY(AJ9))</f>
        <v>0</v>
      </c>
      <c r="AK376" s="243" cm="1">
        <f t="array" ref="AK376:AK383">SUMIF(_xlfn.ANCHORARRAY($A9),_xlfn.ANCHORARRAY($D376),_xlfn.ANCHORARRAY(AK9))</f>
        <v>0</v>
      </c>
      <c r="AL376" s="243" cm="1">
        <f t="array" ref="AL376:AL383">SUMIF(_xlfn.ANCHORARRAY($A9),_xlfn.ANCHORARRAY($D376),_xlfn.ANCHORARRAY(AL9))</f>
        <v>0</v>
      </c>
      <c r="AM376" s="243" cm="1">
        <f t="array" ref="AM376:AM383">SUMIF(_xlfn.ANCHORARRAY($A9),_xlfn.ANCHORARRAY($D376),_xlfn.ANCHORARRAY(AM9))</f>
        <v>0</v>
      </c>
      <c r="AN376" s="243" cm="1">
        <f t="array" ref="AN376:AN383">SUMIF(_xlfn.ANCHORARRAY($A9),_xlfn.ANCHORARRAY($D376),_xlfn.ANCHORARRAY(AN9))</f>
        <v>0</v>
      </c>
      <c r="AO376" s="243" cm="1">
        <f t="array" ref="AO376:AO383">SUMIF(_xlfn.ANCHORARRAY($A9),_xlfn.ANCHORARRAY($D376),_xlfn.ANCHORARRAY(AO9))</f>
        <v>0</v>
      </c>
      <c r="AP376" s="243" cm="1">
        <f t="array" ref="AP376:AP383">SUMIF(_xlfn.ANCHORARRAY($A9),_xlfn.ANCHORARRAY($D376),_xlfn.ANCHORARRAY(AP9))</f>
        <v>0</v>
      </c>
      <c r="AQ376" s="243" cm="1">
        <f t="array" ref="AQ376:AQ383">SUMIF(_xlfn.ANCHORARRAY($A9),_xlfn.ANCHORARRAY($D376),_xlfn.ANCHORARRAY(AQ9))</f>
        <v>0</v>
      </c>
      <c r="AR376" s="243" cm="1">
        <f t="array" ref="AR376:AR383">SUMIF(_xlfn.ANCHORARRAY($A9),_xlfn.ANCHORARRAY($D376),_xlfn.ANCHORARRAY(AR9))</f>
        <v>0</v>
      </c>
      <c r="AS376" s="243" cm="1">
        <f t="array" ref="AS376:AS383">SUMIF(_xlfn.ANCHORARRAY($A9),_xlfn.ANCHORARRAY($D376),_xlfn.ANCHORARRAY(AS9))</f>
        <v>0</v>
      </c>
      <c r="AT376" s="243" cm="1">
        <f t="array" ref="AT376:AT383">SUMIF(_xlfn.ANCHORARRAY($A9),_xlfn.ANCHORARRAY($D376),_xlfn.ANCHORARRAY(AT9))</f>
        <v>0</v>
      </c>
      <c r="AU376" s="243" cm="1">
        <f t="array" ref="AU376:AU383">SUMIF(_xlfn.ANCHORARRAY($A9),_xlfn.ANCHORARRAY($D376),_xlfn.ANCHORARRAY(AU9))</f>
        <v>0</v>
      </c>
      <c r="AV376" s="243" cm="1">
        <f t="array" ref="AV376:AV383">SUMIF(_xlfn.ANCHORARRAY($A9),_xlfn.ANCHORARRAY($D376),_xlfn.ANCHORARRAY(AV9))</f>
        <v>0</v>
      </c>
      <c r="AW376" s="243" cm="1">
        <f t="array" ref="AW376:AW383">SUMIF(_xlfn.ANCHORARRAY($A9),_xlfn.ANCHORARRAY($D376),_xlfn.ANCHORARRAY(AW9))</f>
        <v>0</v>
      </c>
      <c r="AX376" s="262" cm="1">
        <f t="array" ref="AX376:AX383">SUMIF(_xlfn.ANCHORARRAY($A9),_xlfn.ANCHORARRAY($D376),_xlfn.ANCHORARRAY(mProject!AX9))</f>
        <v>2946989.0999999996</v>
      </c>
      <c r="AZ376" s="243" cm="1">
        <f t="array" aca="1" ref="AZ376:AZ383" ca="1">SUMIF(_xlfn.ANCHORARRAY($A9),_xlfn.ANCHORARRAY($D376),_xlfn.ANCHORARRAY(mProject!AZ9))</f>
        <v>0</v>
      </c>
      <c r="BA376" s="243" cm="1">
        <f t="array" aca="1" ref="BA376:BA383" ca="1">SUMIF(_xlfn.ANCHORARRAY($A9),_xlfn.ANCHORARRAY($D376),_xlfn.ANCHORARRAY(mProject!BA9))</f>
        <v>0</v>
      </c>
      <c r="BB376" s="243" cm="1">
        <f t="array" aca="1" ref="BB376:BB383" ca="1">SUMIF(_xlfn.ANCHORARRAY($A9),_xlfn.ANCHORARRAY($D376),_xlfn.ANCHORARRAY(mProject!BB9))</f>
        <v>0</v>
      </c>
      <c r="BC376" s="243" cm="1">
        <f t="array" aca="1" ref="BC376:BC383" ca="1">SUMIF(_xlfn.ANCHORARRAY($A9),_xlfn.ANCHORARRAY($D376),_xlfn.ANCHORARRAY(mProject!BC9))</f>
        <v>0</v>
      </c>
      <c r="BD376" s="262" cm="1">
        <f t="array" aca="1" ref="BD376:BD383" ca="1">SUMIF(_xlfn.ANCHORARRAY($A9),_xlfn.ANCHORARRAY($D376),_xlfn.ANCHORARRAY(mProject!BD9))</f>
        <v>0</v>
      </c>
      <c r="BF376" s="243" cm="1">
        <f t="array" ref="BF376:BF383">SUMIF(_xlfn.ANCHORARRAY($A9),_xlfn.ANCHORARRAY($D376),_xlfn.ANCHORARRAY(mProject!BF9))</f>
        <v>300000</v>
      </c>
      <c r="BG376" s="243" cm="1">
        <f t="array" ref="BG376:BG383">SUMIF(_xlfn.ANCHORARRAY($A9),_xlfn.ANCHORARRAY($D376),_xlfn.ANCHORARRAY(mProject!BG9))</f>
        <v>49999.999999999993</v>
      </c>
      <c r="BH376" s="243" cm="1">
        <f t="array" ref="BH376:BH383">SUMIF(_xlfn.ANCHORARRAY($A9),_xlfn.ANCHORARRAY($D376),_xlfn.ANCHORARRAY(mProject!BH9))</f>
        <v>10000</v>
      </c>
      <c r="BI376" s="243" cm="1">
        <f t="array" ref="BI376:BI383">SUMIF(_xlfn.ANCHORARRAY($A9),_xlfn.ANCHORARRAY($D376),_xlfn.ANCHORARRAY(mProject!BI9))</f>
        <v>0</v>
      </c>
      <c r="BJ376" s="243"/>
      <c r="BK376" s="243" cm="1">
        <f t="array" ref="BK376:BK383">SUMIF(_xlfn.ANCHORARRAY($A9),_xlfn.ANCHORARRAY($D376),_xlfn.ANCHORARRAY(mProject!BK9))</f>
        <v>0</v>
      </c>
      <c r="BL376" s="262" cm="1">
        <f t="array" ref="BL376:BL383">SUMIF(_xlfn.ANCHORARRAY($A9),_xlfn.ANCHORARRAY($D376),_xlfn.ANCHORARRAY(mProject!BL9))</f>
        <v>360000</v>
      </c>
      <c r="BM376" s="264"/>
      <c r="BN376" s="262" cm="1">
        <f t="array" aca="1" ref="BN376:BN383" ca="1">SUMIF(_xlfn.ANCHORARRAY($A9),_xlfn.ANCHORARRAY($D376),_xlfn.ANCHORARRAY(mProject!BN9))</f>
        <v>3306989.0999999992</v>
      </c>
      <c r="BP376" s="372" cm="1">
        <f t="array" aca="1" ref="BP376:BP383" ca="1">_xlfn.ANCHORARRAY(L376)-_xlfn.ANCHORARRAY(BN376)</f>
        <v>-3306989.0999999992</v>
      </c>
      <c r="BR376" s="372" cm="1">
        <f t="array" aca="1" ref="BR376:BR383" ca="1">_xlfn.ANCHORARRAY(N376)-_xlfn.ANCHORARRAY(BP376)</f>
        <v>3306989.0999999992</v>
      </c>
      <c r="BT376" s="372" cm="1">
        <f t="array" aca="1" ref="BT376:BT383" ca="1">_xlfn.ANCHORARRAY(P376)-_xlfn.ANCHORARRAY(BR376)</f>
        <v>-3306989.0999999992</v>
      </c>
      <c r="BU376" s="372" t="e" cm="1">
        <f t="array" ref="BU376:BU383">_xlfn.ANCHORARRAY(Q376)-_xlfn.ANCHORARRAY(BS376)</f>
        <v>#REF!</v>
      </c>
    </row>
    <row r="377" spans="1:73" ht="16" thickTop="1" thickBot="1">
      <c r="A377" s="1"/>
      <c r="B377" s="1"/>
      <c r="D377" s="250">
        <v>2</v>
      </c>
      <c r="E377" s="249">
        <v>2025</v>
      </c>
      <c r="F377" s="243">
        <v>0</v>
      </c>
      <c r="G377" s="243">
        <v>0</v>
      </c>
      <c r="H377" s="243">
        <v>0</v>
      </c>
      <c r="I377" s="243">
        <v>0</v>
      </c>
      <c r="J377" s="243">
        <v>0</v>
      </c>
      <c r="K377" s="243">
        <v>0</v>
      </c>
      <c r="L377" s="262">
        <v>0</v>
      </c>
      <c r="M377" s="264"/>
      <c r="N377" s="243">
        <v>105000000</v>
      </c>
      <c r="O377" s="243">
        <v>0</v>
      </c>
      <c r="P377" s="243">
        <v>0</v>
      </c>
      <c r="Q377" s="243">
        <v>0</v>
      </c>
      <c r="R377" s="243">
        <v>0</v>
      </c>
      <c r="S377" s="243">
        <v>0</v>
      </c>
      <c r="T377" s="243">
        <v>0</v>
      </c>
      <c r="U377" s="243">
        <v>0</v>
      </c>
      <c r="V377" s="243">
        <v>0</v>
      </c>
      <c r="W377" s="243">
        <v>0</v>
      </c>
      <c r="X377" s="262">
        <v>105000000</v>
      </c>
      <c r="Z377" s="243">
        <v>2946989.0999999996</v>
      </c>
      <c r="AA377" s="243">
        <v>469606.2927017039</v>
      </c>
      <c r="AB377" s="243">
        <v>484229.78399257042</v>
      </c>
      <c r="AC377" s="243">
        <v>0</v>
      </c>
      <c r="AD377" s="243">
        <v>0</v>
      </c>
      <c r="AE377" s="243">
        <v>0</v>
      </c>
      <c r="AF377" s="243">
        <v>0</v>
      </c>
      <c r="AG377" s="243">
        <v>0</v>
      </c>
      <c r="AH377" s="243">
        <v>0</v>
      </c>
      <c r="AI377" s="243">
        <v>0</v>
      </c>
      <c r="AJ377" s="243">
        <v>0</v>
      </c>
      <c r="AK377" s="243">
        <v>0</v>
      </c>
      <c r="AL377" s="243">
        <v>0</v>
      </c>
      <c r="AM377" s="243">
        <v>0</v>
      </c>
      <c r="AN377" s="243">
        <v>0</v>
      </c>
      <c r="AO377" s="243">
        <v>0</v>
      </c>
      <c r="AP377" s="243">
        <v>0</v>
      </c>
      <c r="AQ377" s="243">
        <v>0</v>
      </c>
      <c r="AR377" s="243">
        <v>0</v>
      </c>
      <c r="AS377" s="243">
        <v>0</v>
      </c>
      <c r="AT377" s="243">
        <v>0</v>
      </c>
      <c r="AU377" s="243">
        <v>0</v>
      </c>
      <c r="AV377" s="243">
        <v>0</v>
      </c>
      <c r="AW377" s="243">
        <v>0</v>
      </c>
      <c r="AX377" s="262">
        <v>3900825.1766942739</v>
      </c>
      <c r="AZ377" s="254">
        <f ca="1"/>
        <v>75000</v>
      </c>
      <c r="BA377" s="254">
        <f ca="1"/>
        <v>45000</v>
      </c>
      <c r="BB377" s="254">
        <f ca="1"/>
        <v>0</v>
      </c>
      <c r="BC377" s="254">
        <f ca="1"/>
        <v>0</v>
      </c>
      <c r="BD377" s="256">
        <f ca="1"/>
        <v>120000</v>
      </c>
      <c r="BF377" s="254">
        <v>300000</v>
      </c>
      <c r="BG377" s="254">
        <v>49999.999999999993</v>
      </c>
      <c r="BH377" s="254">
        <v>10000</v>
      </c>
      <c r="BI377" s="254">
        <v>0</v>
      </c>
      <c r="BJ377" s="243"/>
      <c r="BK377" s="254">
        <v>0</v>
      </c>
      <c r="BL377" s="256">
        <v>1410000</v>
      </c>
      <c r="BM377" s="264"/>
      <c r="BN377" s="262">
        <f ca="1"/>
        <v>110430825.17669424</v>
      </c>
      <c r="BP377" s="372">
        <f ca="1"/>
        <v>-110430825.17669424</v>
      </c>
      <c r="BR377" s="372">
        <f ca="1"/>
        <v>215430825.17669424</v>
      </c>
      <c r="BT377" s="372">
        <f ca="1"/>
        <v>-215430825.17669424</v>
      </c>
      <c r="BU377" s="372" t="e">
        <v>#REF!</v>
      </c>
    </row>
    <row r="378" spans="1:73" ht="16" thickTop="1" thickBot="1">
      <c r="A378" s="1"/>
      <c r="B378" s="1"/>
      <c r="D378" s="250">
        <v>3</v>
      </c>
      <c r="E378" s="249">
        <v>2026</v>
      </c>
      <c r="F378" s="243">
        <v>42012777.110280663</v>
      </c>
      <c r="G378" s="243">
        <v>12085235.914868301</v>
      </c>
      <c r="H378" s="243">
        <v>-22756920.934735361</v>
      </c>
      <c r="I378" s="243">
        <v>31341092.090413608</v>
      </c>
      <c r="J378" s="243">
        <v>-940232.76271240832</v>
      </c>
      <c r="K378" s="243">
        <v>-313410.92090413609</v>
      </c>
      <c r="L378" s="262">
        <v>30087448.406797066</v>
      </c>
      <c r="M378" s="264"/>
      <c r="N378" s="243">
        <v>0</v>
      </c>
      <c r="O378" s="243">
        <v>0</v>
      </c>
      <c r="P378" s="243">
        <v>0</v>
      </c>
      <c r="Q378" s="243">
        <v>0</v>
      </c>
      <c r="R378" s="243">
        <v>0</v>
      </c>
      <c r="S378" s="243">
        <v>0</v>
      </c>
      <c r="T378" s="243">
        <v>0</v>
      </c>
      <c r="U378" s="243">
        <v>0</v>
      </c>
      <c r="V378" s="243">
        <v>0</v>
      </c>
      <c r="W378" s="243">
        <v>0</v>
      </c>
      <c r="X378" s="262">
        <v>0</v>
      </c>
      <c r="Z378" s="243">
        <v>245582.42499999999</v>
      </c>
      <c r="AA378" s="243">
        <v>5635275.5124204457</v>
      </c>
      <c r="AB378" s="243">
        <v>5810757.4079108462</v>
      </c>
      <c r="AC378" s="243">
        <v>0</v>
      </c>
      <c r="AD378" s="243">
        <v>0</v>
      </c>
      <c r="AE378" s="243">
        <v>0</v>
      </c>
      <c r="AF378" s="243">
        <v>0</v>
      </c>
      <c r="AG378" s="243">
        <v>0</v>
      </c>
      <c r="AH378" s="243">
        <v>0</v>
      </c>
      <c r="AI378" s="243">
        <v>0</v>
      </c>
      <c r="AJ378" s="243">
        <v>0</v>
      </c>
      <c r="AK378" s="243">
        <v>0</v>
      </c>
      <c r="AL378" s="243">
        <v>0</v>
      </c>
      <c r="AM378" s="243">
        <v>0</v>
      </c>
      <c r="AN378" s="243">
        <v>0</v>
      </c>
      <c r="AO378" s="243">
        <v>0</v>
      </c>
      <c r="AP378" s="243">
        <v>0</v>
      </c>
      <c r="AQ378" s="243">
        <v>0</v>
      </c>
      <c r="AR378" s="243">
        <v>0</v>
      </c>
      <c r="AS378" s="243">
        <v>0</v>
      </c>
      <c r="AT378" s="243">
        <v>0</v>
      </c>
      <c r="AU378" s="243">
        <v>0</v>
      </c>
      <c r="AV378" s="243">
        <v>0</v>
      </c>
      <c r="AW378" s="243">
        <v>0</v>
      </c>
      <c r="AX378" s="262">
        <v>11691615.345331291</v>
      </c>
      <c r="AZ378" s="254">
        <f ca="1"/>
        <v>70233.333333333328</v>
      </c>
      <c r="BA378" s="254">
        <f ca="1"/>
        <v>42140</v>
      </c>
      <c r="BB378" s="254">
        <f ca="1"/>
        <v>0</v>
      </c>
      <c r="BC378" s="254">
        <f ca="1"/>
        <v>0</v>
      </c>
      <c r="BD378" s="256">
        <f ca="1"/>
        <v>112373.33333333337</v>
      </c>
      <c r="BF378" s="254">
        <v>300000</v>
      </c>
      <c r="BG378" s="254">
        <v>49999.999999999993</v>
      </c>
      <c r="BH378" s="254">
        <v>10000</v>
      </c>
      <c r="BI378" s="254">
        <v>0</v>
      </c>
      <c r="BJ378" s="243"/>
      <c r="BK378" s="254">
        <v>313410.92090413609</v>
      </c>
      <c r="BL378" s="256">
        <v>673410.92090413603</v>
      </c>
      <c r="BM378" s="264"/>
      <c r="BN378" s="262">
        <f ca="1"/>
        <v>12477399.59956876</v>
      </c>
      <c r="BP378" s="372">
        <f ca="1"/>
        <v>17610048.807228304</v>
      </c>
      <c r="BR378" s="372">
        <f ca="1"/>
        <v>-17610048.807228304</v>
      </c>
      <c r="BT378" s="372">
        <f ca="1"/>
        <v>17610048.807228304</v>
      </c>
      <c r="BU378" s="372" t="e">
        <v>#REF!</v>
      </c>
    </row>
    <row r="379" spans="1:73" ht="16" thickTop="1" thickBot="1">
      <c r="A379" s="1"/>
      <c r="B379" s="1"/>
      <c r="D379" s="250">
        <v>4</v>
      </c>
      <c r="E379" s="249">
        <v>2027</v>
      </c>
      <c r="F379" s="243">
        <v>134905222.50682366</v>
      </c>
      <c r="G379" s="243">
        <v>183089630.27569807</v>
      </c>
      <c r="H379" s="243">
        <v>-73073662.191196144</v>
      </c>
      <c r="I379" s="243">
        <v>244921190.59132558</v>
      </c>
      <c r="J379" s="243">
        <v>-7347635.7177397665</v>
      </c>
      <c r="K379" s="243">
        <v>-2449211.9059132556</v>
      </c>
      <c r="L379" s="262">
        <v>235124342.96767253</v>
      </c>
      <c r="M379" s="264"/>
      <c r="N379" s="243">
        <v>0</v>
      </c>
      <c r="O379" s="243">
        <v>0</v>
      </c>
      <c r="P379" s="243">
        <v>0</v>
      </c>
      <c r="Q379" s="243">
        <v>0</v>
      </c>
      <c r="R379" s="243">
        <v>0</v>
      </c>
      <c r="S379" s="243">
        <v>0</v>
      </c>
      <c r="T379" s="243">
        <v>0</v>
      </c>
      <c r="U379" s="243">
        <v>0</v>
      </c>
      <c r="V379" s="243">
        <v>0</v>
      </c>
      <c r="W379" s="243">
        <v>0</v>
      </c>
      <c r="X379" s="262">
        <v>0</v>
      </c>
      <c r="Z379" s="243">
        <v>0</v>
      </c>
      <c r="AA379" s="243">
        <v>2348031.4635085193</v>
      </c>
      <c r="AB379" s="243">
        <v>5326527.6239182753</v>
      </c>
      <c r="AC379" s="243">
        <v>106128.53878073423</v>
      </c>
      <c r="AD379" s="243">
        <v>0</v>
      </c>
      <c r="AE379" s="243">
        <v>0</v>
      </c>
      <c r="AF379" s="243">
        <v>0</v>
      </c>
      <c r="AG379" s="243">
        <v>0</v>
      </c>
      <c r="AH379" s="243">
        <v>0</v>
      </c>
      <c r="AI379" s="243">
        <v>0</v>
      </c>
      <c r="AJ379" s="243">
        <v>0</v>
      </c>
      <c r="AK379" s="243">
        <v>0</v>
      </c>
      <c r="AL379" s="243">
        <v>0</v>
      </c>
      <c r="AM379" s="243">
        <v>0</v>
      </c>
      <c r="AN379" s="243">
        <v>0</v>
      </c>
      <c r="AO379" s="243">
        <v>0</v>
      </c>
      <c r="AP379" s="243">
        <v>0</v>
      </c>
      <c r="AQ379" s="243">
        <v>0</v>
      </c>
      <c r="AR379" s="243">
        <v>0</v>
      </c>
      <c r="AS379" s="243">
        <v>0</v>
      </c>
      <c r="AT379" s="243">
        <v>0</v>
      </c>
      <c r="AU379" s="243">
        <v>0</v>
      </c>
      <c r="AV379" s="243">
        <v>0</v>
      </c>
      <c r="AW379" s="243">
        <v>0</v>
      </c>
      <c r="AX379" s="262">
        <v>7780687.6262075305</v>
      </c>
      <c r="AZ379" s="254">
        <f ca="1"/>
        <v>63420.833333333321</v>
      </c>
      <c r="BA379" s="254">
        <f ca="1"/>
        <v>38052.5</v>
      </c>
      <c r="BB379" s="254">
        <f ca="1"/>
        <v>0</v>
      </c>
      <c r="BC379" s="254">
        <f ca="1"/>
        <v>0</v>
      </c>
      <c r="BD379" s="256">
        <f ca="1"/>
        <v>101473.33333333337</v>
      </c>
      <c r="BF379" s="254">
        <v>300000</v>
      </c>
      <c r="BG379" s="254">
        <v>49999.999999999993</v>
      </c>
      <c r="BH379" s="254">
        <v>10000</v>
      </c>
      <c r="BI379" s="254">
        <v>0</v>
      </c>
      <c r="BJ379" s="243"/>
      <c r="BK379" s="254">
        <v>2449211.9059132561</v>
      </c>
      <c r="BL379" s="256">
        <v>2809211.9059132561</v>
      </c>
      <c r="BM379" s="264"/>
      <c r="BN379" s="262">
        <f ca="1"/>
        <v>10691372.865454115</v>
      </c>
      <c r="BP379" s="372">
        <f ca="1"/>
        <v>224432970.10221842</v>
      </c>
      <c r="BR379" s="372">
        <f ca="1"/>
        <v>-224432970.10221842</v>
      </c>
      <c r="BT379" s="372">
        <f ca="1"/>
        <v>224432970.10221842</v>
      </c>
      <c r="BU379" s="372" t="e">
        <v>#REF!</v>
      </c>
    </row>
    <row r="380" spans="1:73" ht="16" thickTop="1" thickBot="1">
      <c r="A380" s="1"/>
      <c r="B380" s="1"/>
      <c r="D380" s="250">
        <v>5</v>
      </c>
      <c r="E380" s="249">
        <v>2028</v>
      </c>
      <c r="F380" s="243">
        <v>0</v>
      </c>
      <c r="G380" s="243">
        <v>0</v>
      </c>
      <c r="H380" s="243">
        <v>0</v>
      </c>
      <c r="I380" s="243">
        <v>0</v>
      </c>
      <c r="J380" s="243">
        <v>0</v>
      </c>
      <c r="K380" s="243">
        <v>0</v>
      </c>
      <c r="L380" s="262">
        <v>0</v>
      </c>
      <c r="M380" s="264"/>
      <c r="N380" s="243">
        <v>0</v>
      </c>
      <c r="O380" s="243">
        <v>0</v>
      </c>
      <c r="P380" s="243">
        <v>0</v>
      </c>
      <c r="Q380" s="243">
        <v>0</v>
      </c>
      <c r="R380" s="243">
        <v>0</v>
      </c>
      <c r="S380" s="243">
        <v>0</v>
      </c>
      <c r="T380" s="243">
        <v>0</v>
      </c>
      <c r="U380" s="243">
        <v>0</v>
      </c>
      <c r="V380" s="243">
        <v>0</v>
      </c>
      <c r="W380" s="243">
        <v>0</v>
      </c>
      <c r="X380" s="262">
        <v>0</v>
      </c>
      <c r="Z380" s="243">
        <v>0</v>
      </c>
      <c r="AA380" s="243">
        <v>0</v>
      </c>
      <c r="AB380" s="243">
        <v>0</v>
      </c>
      <c r="AC380" s="243">
        <v>1273542.4653688103</v>
      </c>
      <c r="AD380" s="243">
        <v>0</v>
      </c>
      <c r="AE380" s="243">
        <v>0</v>
      </c>
      <c r="AF380" s="243">
        <v>222226.97045136962</v>
      </c>
      <c r="AG380" s="243">
        <v>0</v>
      </c>
      <c r="AH380" s="243">
        <v>0</v>
      </c>
      <c r="AI380" s="243">
        <v>0</v>
      </c>
      <c r="AJ380" s="243">
        <v>0</v>
      </c>
      <c r="AK380" s="243">
        <v>0</v>
      </c>
      <c r="AL380" s="243">
        <v>0</v>
      </c>
      <c r="AM380" s="243">
        <v>0</v>
      </c>
      <c r="AN380" s="243">
        <v>0</v>
      </c>
      <c r="AO380" s="243">
        <v>0</v>
      </c>
      <c r="AP380" s="243">
        <v>0</v>
      </c>
      <c r="AQ380" s="243">
        <v>0</v>
      </c>
      <c r="AR380" s="243">
        <v>0</v>
      </c>
      <c r="AS380" s="243">
        <v>0</v>
      </c>
      <c r="AT380" s="243">
        <v>0</v>
      </c>
      <c r="AU380" s="243">
        <v>0</v>
      </c>
      <c r="AV380" s="243">
        <v>0</v>
      </c>
      <c r="AW380" s="243">
        <v>0</v>
      </c>
      <c r="AX380" s="262">
        <v>1495769.43582018</v>
      </c>
      <c r="AZ380" s="254">
        <f ca="1"/>
        <v>37350</v>
      </c>
      <c r="BA380" s="254">
        <f ca="1"/>
        <v>22410</v>
      </c>
      <c r="BB380" s="254">
        <f ca="1"/>
        <v>0</v>
      </c>
      <c r="BC380" s="254">
        <f ca="1"/>
        <v>0</v>
      </c>
      <c r="BD380" s="256">
        <f ca="1"/>
        <v>59760</v>
      </c>
      <c r="BF380" s="254">
        <v>300000</v>
      </c>
      <c r="BG380" s="254">
        <v>49999.999999999993</v>
      </c>
      <c r="BH380" s="254">
        <v>10000</v>
      </c>
      <c r="BI380" s="254">
        <v>0</v>
      </c>
      <c r="BJ380" s="243"/>
      <c r="BK380" s="254">
        <v>0</v>
      </c>
      <c r="BL380" s="256">
        <v>360000</v>
      </c>
      <c r="BM380" s="264"/>
      <c r="BN380" s="262">
        <f ca="1"/>
        <v>1915529.43582018</v>
      </c>
      <c r="BP380" s="372">
        <f ca="1"/>
        <v>-1915529.43582018</v>
      </c>
      <c r="BR380" s="372">
        <f ca="1"/>
        <v>1915529.43582018</v>
      </c>
      <c r="BT380" s="372">
        <f ca="1"/>
        <v>-1915529.43582018</v>
      </c>
      <c r="BU380" s="372" t="e">
        <v>#REF!</v>
      </c>
    </row>
    <row r="381" spans="1:73" ht="16" thickTop="1" thickBot="1">
      <c r="A381" s="1"/>
      <c r="B381" s="1"/>
      <c r="D381" s="250">
        <v>6</v>
      </c>
      <c r="E381" s="249">
        <v>2029</v>
      </c>
      <c r="F381" s="243">
        <v>16086987.403644357</v>
      </c>
      <c r="G381" s="243">
        <v>0</v>
      </c>
      <c r="H381" s="243">
        <v>-8713784.8436406944</v>
      </c>
      <c r="I381" s="243">
        <v>7373202.5600036625</v>
      </c>
      <c r="J381" s="243">
        <v>-221196.07680010988</v>
      </c>
      <c r="K381" s="243">
        <v>-73732.025600036621</v>
      </c>
      <c r="L381" s="262">
        <v>7078274.4576035161</v>
      </c>
      <c r="M381" s="264"/>
      <c r="N381" s="243">
        <v>0</v>
      </c>
      <c r="O381" s="243">
        <v>0</v>
      </c>
      <c r="P381" s="243">
        <v>0</v>
      </c>
      <c r="Q381" s="243">
        <v>0</v>
      </c>
      <c r="R381" s="243">
        <v>0</v>
      </c>
      <c r="S381" s="243">
        <v>0</v>
      </c>
      <c r="T381" s="243">
        <v>0</v>
      </c>
      <c r="U381" s="243">
        <v>0</v>
      </c>
      <c r="V381" s="243">
        <v>0</v>
      </c>
      <c r="W381" s="243">
        <v>0</v>
      </c>
      <c r="X381" s="262">
        <v>0</v>
      </c>
      <c r="Z381" s="243">
        <v>0</v>
      </c>
      <c r="AA381" s="243">
        <v>0</v>
      </c>
      <c r="AB381" s="243">
        <v>0</v>
      </c>
      <c r="AC381" s="243">
        <v>1167413.9265880762</v>
      </c>
      <c r="AD381" s="243">
        <v>0</v>
      </c>
      <c r="AE381" s="243">
        <v>0</v>
      </c>
      <c r="AF381" s="243">
        <v>2666723.6454164349</v>
      </c>
      <c r="AG381" s="243">
        <v>0</v>
      </c>
      <c r="AH381" s="243">
        <v>0</v>
      </c>
      <c r="AI381" s="243">
        <v>0</v>
      </c>
      <c r="AJ381" s="243">
        <v>0</v>
      </c>
      <c r="AK381" s="243">
        <v>0</v>
      </c>
      <c r="AL381" s="243">
        <v>0</v>
      </c>
      <c r="AM381" s="243">
        <v>0</v>
      </c>
      <c r="AN381" s="243">
        <v>0</v>
      </c>
      <c r="AO381" s="243">
        <v>0</v>
      </c>
      <c r="AP381" s="243">
        <v>0</v>
      </c>
      <c r="AQ381" s="243">
        <v>0</v>
      </c>
      <c r="AR381" s="243">
        <v>0</v>
      </c>
      <c r="AS381" s="243">
        <v>0</v>
      </c>
      <c r="AT381" s="243">
        <v>0</v>
      </c>
      <c r="AU381" s="243">
        <v>0</v>
      </c>
      <c r="AV381" s="243">
        <v>0</v>
      </c>
      <c r="AW381" s="243">
        <v>0</v>
      </c>
      <c r="AX381" s="262">
        <v>3834137.5720045115</v>
      </c>
      <c r="AZ381" s="254">
        <f ca="1"/>
        <v>36925</v>
      </c>
      <c r="BA381" s="254">
        <f ca="1"/>
        <v>22155</v>
      </c>
      <c r="BB381" s="254">
        <f ca="1"/>
        <v>0</v>
      </c>
      <c r="BC381" s="254">
        <f ca="1"/>
        <v>0</v>
      </c>
      <c r="BD381" s="256">
        <f ca="1"/>
        <v>59080</v>
      </c>
      <c r="BF381" s="254">
        <v>300000</v>
      </c>
      <c r="BG381" s="254">
        <v>49999.999999999993</v>
      </c>
      <c r="BH381" s="254">
        <v>10000</v>
      </c>
      <c r="BI381" s="254">
        <v>0</v>
      </c>
      <c r="BJ381" s="243"/>
      <c r="BK381" s="254">
        <v>73732.025600036621</v>
      </c>
      <c r="BL381" s="256">
        <v>433732.02560003661</v>
      </c>
      <c r="BM381" s="264"/>
      <c r="BN381" s="262">
        <f ca="1"/>
        <v>4326949.5976045486</v>
      </c>
      <c r="BP381" s="372">
        <f ca="1"/>
        <v>2751324.8599989675</v>
      </c>
      <c r="BR381" s="372">
        <f ca="1"/>
        <v>-2751324.8599989675</v>
      </c>
      <c r="BT381" s="372">
        <f ca="1"/>
        <v>2751324.8599989675</v>
      </c>
      <c r="BU381" s="372" t="e">
        <v>#REF!</v>
      </c>
    </row>
    <row r="382" spans="1:73" ht="16" thickTop="1" thickBot="1">
      <c r="A382" s="1"/>
      <c r="B382" s="1"/>
      <c r="D382" s="250">
        <v>7</v>
      </c>
      <c r="E382" s="249">
        <v>2030</v>
      </c>
      <c r="F382" s="243">
        <v>51085527.461876296</v>
      </c>
      <c r="G382" s="243">
        <v>0</v>
      </c>
      <c r="H382" s="243">
        <v>-27671327.375182997</v>
      </c>
      <c r="I382" s="243">
        <v>23414200.086693302</v>
      </c>
      <c r="J382" s="243">
        <v>-702426.00260079908</v>
      </c>
      <c r="K382" s="243">
        <v>-234142.00086693306</v>
      </c>
      <c r="L382" s="262">
        <v>22477632.083225571</v>
      </c>
      <c r="M382" s="264"/>
      <c r="N382" s="243">
        <v>0</v>
      </c>
      <c r="O382" s="243">
        <v>0</v>
      </c>
      <c r="P382" s="243">
        <v>0</v>
      </c>
      <c r="Q382" s="243">
        <v>0</v>
      </c>
      <c r="R382" s="243">
        <v>0</v>
      </c>
      <c r="S382" s="243">
        <v>0</v>
      </c>
      <c r="T382" s="243">
        <v>0</v>
      </c>
      <c r="U382" s="243">
        <v>0</v>
      </c>
      <c r="V382" s="243">
        <v>0</v>
      </c>
      <c r="W382" s="243">
        <v>0</v>
      </c>
      <c r="X382" s="262">
        <v>0</v>
      </c>
      <c r="Z382" s="243">
        <v>0</v>
      </c>
      <c r="AA382" s="243">
        <v>0</v>
      </c>
      <c r="AB382" s="243">
        <v>0</v>
      </c>
      <c r="AC382" s="243">
        <v>0</v>
      </c>
      <c r="AD382" s="243">
        <v>0</v>
      </c>
      <c r="AE382" s="243">
        <v>0</v>
      </c>
      <c r="AF382" s="243">
        <v>1111134.852256848</v>
      </c>
      <c r="AG382" s="243">
        <v>539538.76596776675</v>
      </c>
      <c r="AH382" s="243">
        <v>0</v>
      </c>
      <c r="AI382" s="243">
        <v>0</v>
      </c>
      <c r="AJ382" s="243">
        <v>0</v>
      </c>
      <c r="AK382" s="243">
        <v>0</v>
      </c>
      <c r="AL382" s="243">
        <v>0</v>
      </c>
      <c r="AM382" s="243">
        <v>0</v>
      </c>
      <c r="AN382" s="243">
        <v>0</v>
      </c>
      <c r="AO382" s="243">
        <v>0</v>
      </c>
      <c r="AP382" s="243">
        <v>0</v>
      </c>
      <c r="AQ382" s="243">
        <v>0</v>
      </c>
      <c r="AR382" s="243">
        <v>0</v>
      </c>
      <c r="AS382" s="243">
        <v>0</v>
      </c>
      <c r="AT382" s="243">
        <v>0</v>
      </c>
      <c r="AU382" s="243">
        <v>0</v>
      </c>
      <c r="AV382" s="243">
        <v>0</v>
      </c>
      <c r="AW382" s="243">
        <v>0</v>
      </c>
      <c r="AX382" s="262">
        <v>1650673.6182246148</v>
      </c>
      <c r="AZ382" s="254">
        <f ca="1"/>
        <v>28779.166666666672</v>
      </c>
      <c r="BA382" s="254">
        <f ca="1"/>
        <v>17267.5</v>
      </c>
      <c r="BB382" s="254">
        <f ca="1"/>
        <v>0</v>
      </c>
      <c r="BC382" s="254">
        <f ca="1"/>
        <v>0</v>
      </c>
      <c r="BD382" s="256">
        <f ca="1"/>
        <v>46046.666666666664</v>
      </c>
      <c r="BF382" s="254">
        <v>300000</v>
      </c>
      <c r="BG382" s="254">
        <v>49999.999999999993</v>
      </c>
      <c r="BH382" s="254">
        <v>10000</v>
      </c>
      <c r="BI382" s="254">
        <v>0</v>
      </c>
      <c r="BJ382" s="243"/>
      <c r="BK382" s="254">
        <v>234142.00086693303</v>
      </c>
      <c r="BL382" s="256">
        <v>594142.00086693303</v>
      </c>
      <c r="BM382" s="264"/>
      <c r="BN382" s="262">
        <f ca="1"/>
        <v>2290862.285758215</v>
      </c>
      <c r="BP382" s="372">
        <f ca="1"/>
        <v>20186769.797467355</v>
      </c>
      <c r="BR382" s="372">
        <f ca="1"/>
        <v>-20186769.797467355</v>
      </c>
      <c r="BT382" s="372">
        <f ca="1"/>
        <v>20186769.797467355</v>
      </c>
      <c r="BU382" s="372" t="e">
        <v>#REF!</v>
      </c>
    </row>
    <row r="383" spans="1:73" ht="16" thickTop="1" thickBot="1">
      <c r="A383" s="1"/>
      <c r="B383" s="1"/>
      <c r="D383" s="250">
        <v>8</v>
      </c>
      <c r="E383" s="249">
        <v>2031</v>
      </c>
      <c r="F383" s="243">
        <v>60493339.030238084</v>
      </c>
      <c r="G383" s="243">
        <v>9964625.4762245957</v>
      </c>
      <c r="H383" s="243">
        <v>-35272954.302190296</v>
      </c>
      <c r="I383" s="243">
        <v>35185010.204272382</v>
      </c>
      <c r="J383" s="243">
        <v>-1055550.3061281715</v>
      </c>
      <c r="K383" s="243">
        <v>-351850.1020427238</v>
      </c>
      <c r="L383" s="262">
        <v>33777609.796101488</v>
      </c>
      <c r="M383" s="264"/>
      <c r="N383" s="243">
        <v>0</v>
      </c>
      <c r="O383" s="243">
        <v>0</v>
      </c>
      <c r="P383" s="243">
        <v>0</v>
      </c>
      <c r="Q383" s="243">
        <v>0</v>
      </c>
      <c r="R383" s="243">
        <v>0</v>
      </c>
      <c r="S383" s="243">
        <v>0</v>
      </c>
      <c r="T383" s="243">
        <v>0</v>
      </c>
      <c r="U383" s="243">
        <v>0</v>
      </c>
      <c r="V383" s="243">
        <v>0</v>
      </c>
      <c r="W383" s="243">
        <v>0</v>
      </c>
      <c r="X383" s="262">
        <v>0</v>
      </c>
      <c r="Z383" s="243">
        <v>0</v>
      </c>
      <c r="AA383" s="243">
        <v>0</v>
      </c>
      <c r="AB383" s="243">
        <v>0</v>
      </c>
      <c r="AC383" s="243">
        <v>0</v>
      </c>
      <c r="AD383" s="243">
        <v>0</v>
      </c>
      <c r="AE383" s="243">
        <v>0</v>
      </c>
      <c r="AF383" s="243">
        <v>0</v>
      </c>
      <c r="AG383" s="243">
        <v>5934926.4256454343</v>
      </c>
      <c r="AH383" s="243">
        <v>0</v>
      </c>
      <c r="AI383" s="243">
        <v>0</v>
      </c>
      <c r="AJ383" s="243">
        <v>0</v>
      </c>
      <c r="AK383" s="243">
        <v>0</v>
      </c>
      <c r="AL383" s="243">
        <v>0</v>
      </c>
      <c r="AM383" s="243">
        <v>0</v>
      </c>
      <c r="AN383" s="243">
        <v>0</v>
      </c>
      <c r="AO383" s="243">
        <v>0</v>
      </c>
      <c r="AP383" s="243">
        <v>0</v>
      </c>
      <c r="AQ383" s="243">
        <v>0</v>
      </c>
      <c r="AR383" s="243">
        <v>0</v>
      </c>
      <c r="AS383" s="243">
        <v>0</v>
      </c>
      <c r="AT383" s="243">
        <v>0</v>
      </c>
      <c r="AU383" s="243">
        <v>0</v>
      </c>
      <c r="AV383" s="243">
        <v>0</v>
      </c>
      <c r="AW383" s="243">
        <v>0</v>
      </c>
      <c r="AX383" s="262">
        <v>5934926.4256454343</v>
      </c>
      <c r="AZ383" s="254">
        <f ca="1"/>
        <v>26504.166666666668</v>
      </c>
      <c r="BA383" s="254">
        <f ca="1"/>
        <v>15902.5</v>
      </c>
      <c r="BB383" s="254">
        <f ca="1"/>
        <v>0</v>
      </c>
      <c r="BC383" s="254">
        <f ca="1"/>
        <v>0</v>
      </c>
      <c r="BD383" s="256">
        <f ca="1"/>
        <v>42406.666666666672</v>
      </c>
      <c r="BF383" s="254">
        <v>275000</v>
      </c>
      <c r="BG383" s="254">
        <v>45833.333333333328</v>
      </c>
      <c r="BH383" s="254">
        <v>9166.6666666666661</v>
      </c>
      <c r="BI383" s="254">
        <v>0</v>
      </c>
      <c r="BJ383" s="243"/>
      <c r="BK383" s="254">
        <v>351850.10204272385</v>
      </c>
      <c r="BL383" s="256">
        <v>681850.10204272391</v>
      </c>
      <c r="BM383" s="264"/>
      <c r="BN383" s="262">
        <f ca="1"/>
        <v>6659183.1943548257</v>
      </c>
      <c r="BP383" s="372">
        <f ca="1"/>
        <v>27118426.601746663</v>
      </c>
      <c r="BR383" s="372">
        <f ca="1"/>
        <v>-27118426.601746663</v>
      </c>
      <c r="BT383" s="372">
        <f ca="1"/>
        <v>27118426.601746663</v>
      </c>
      <c r="BU383" s="372" t="e">
        <v>#REF!</v>
      </c>
    </row>
  </sheetData>
  <autoFilter ref="B9:B369" xr:uid="{5A780096-03D0-424F-9CC0-FF2EB68DE7E3}">
    <filterColumn colId="0">
      <filters>
        <filter val="1"/>
      </filters>
    </filterColumn>
  </autoFilter>
  <mergeCells count="3">
    <mergeCell ref="D374:E374"/>
    <mergeCell ref="D7:E7"/>
    <mergeCell ref="BT6:BU6"/>
  </mergeCells>
  <printOptions horizontalCentered="1"/>
  <pageMargins left="0.5" right="0.5" top="0.75" bottom="0.75" header="0.3" footer="0.3"/>
  <pageSetup scale="10" orientation="landscape" r:id="rId1"/>
  <picture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F2776-1566-4E00-8888-2E255DBE05B9}">
  <sheetPr codeName="Sheet26">
    <tabColor rgb="FFFF0000"/>
  </sheetPr>
  <dimension ref="A1:KJ368"/>
  <sheetViews>
    <sheetView showGridLines="0" topLeftCell="B2" workbookViewId="0">
      <selection activeCell="L2" sqref="L2"/>
    </sheetView>
  </sheetViews>
  <sheetFormatPr baseColWidth="10" defaultColWidth="10.1640625" defaultRowHeight="13.5" customHeight="1"/>
  <cols>
    <col min="1" max="1" width="5.5" hidden="1" customWidth="1"/>
    <col min="2" max="2" width="2.1640625" customWidth="1"/>
    <col min="3" max="3" width="21.6640625" bestFit="1" customWidth="1"/>
    <col min="4" max="5" width="8.5" customWidth="1"/>
    <col min="6" max="6" width="5" customWidth="1"/>
    <col min="7" max="7" width="5.1640625" customWidth="1"/>
    <col min="8" max="9" width="10.1640625" customWidth="1"/>
    <col min="10" max="10" width="12.5" customWidth="1"/>
    <col min="11" max="12" width="11.5" customWidth="1"/>
    <col min="13" max="13" width="10.1640625" customWidth="1"/>
    <col min="14" max="14" width="11.5" bestFit="1" customWidth="1"/>
    <col min="15" max="15" width="15.6640625" customWidth="1"/>
    <col min="16" max="16" width="13.83203125" customWidth="1"/>
    <col min="17" max="18" width="12.6640625" customWidth="1"/>
    <col min="19" max="19" width="13" customWidth="1"/>
    <col min="20" max="20" width="3.5" customWidth="1"/>
    <col min="21" max="23" width="10" customWidth="1"/>
    <col min="24" max="24" width="12.6640625" customWidth="1"/>
    <col min="25" max="25" width="12.83203125" customWidth="1"/>
    <col min="26" max="26" width="11.1640625" customWidth="1"/>
    <col min="27" max="27" width="2.5" customWidth="1"/>
    <col min="28" max="33" width="14" customWidth="1"/>
    <col min="34" max="35" width="6.1640625" customWidth="1"/>
    <col min="36" max="295" width="10.1640625" customWidth="1"/>
    <col min="296" max="296" width="10.1640625" customWidth="1" collapsed="1"/>
    <col min="297" max="441" width="10.1640625" customWidth="1"/>
  </cols>
  <sheetData>
    <row r="1" spans="1:33" ht="14" hidden="1">
      <c r="A1" s="201" t="s">
        <v>159</v>
      </c>
      <c r="B1" s="89"/>
      <c r="C1" s="89"/>
      <c r="D1" s="89"/>
      <c r="E1" s="89"/>
      <c r="F1" s="89"/>
      <c r="G1" s="91"/>
      <c r="H1" s="91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20"/>
    </row>
    <row r="2" spans="1:33" ht="20">
      <c r="A2" s="136"/>
      <c r="B2" s="31" t="str">
        <f>i_Project.Name</f>
        <v>Peoria Lakes</v>
      </c>
      <c r="C2" s="31"/>
      <c r="D2" s="31"/>
      <c r="E2" s="31"/>
      <c r="F2" s="31"/>
      <c r="G2" s="93"/>
      <c r="H2" s="93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</row>
    <row r="3" spans="1:33" ht="16">
      <c r="A3" s="137"/>
      <c r="B3" s="32" t="str">
        <f>i_Project.Location</f>
        <v>Peoria Lakes</v>
      </c>
      <c r="C3" s="32"/>
      <c r="D3" s="32"/>
      <c r="E3" s="32"/>
      <c r="F3" s="32"/>
      <c r="G3" s="93"/>
      <c r="H3" s="1115" t="s">
        <v>578</v>
      </c>
      <c r="I3" s="1115"/>
      <c r="J3" s="1115"/>
      <c r="K3" s="94"/>
      <c r="L3" s="94"/>
      <c r="M3" s="32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</row>
    <row r="4" spans="1:33" ht="14">
      <c r="A4" s="90"/>
      <c r="B4" s="33"/>
      <c r="C4" s="33"/>
      <c r="D4" s="33"/>
      <c r="E4" s="33"/>
      <c r="F4" s="33"/>
      <c r="G4" s="93"/>
      <c r="H4" s="93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</row>
    <row r="5" spans="1:33" ht="15" thickBot="1">
      <c r="A5" s="90"/>
      <c r="G5" s="46"/>
      <c r="H5" s="46"/>
      <c r="J5" s="255"/>
      <c r="K5" s="255"/>
      <c r="L5" s="255"/>
      <c r="M5" s="255"/>
      <c r="N5" s="241"/>
      <c r="O5" s="255"/>
      <c r="P5" s="255"/>
      <c r="Q5" s="255"/>
      <c r="R5" s="255"/>
      <c r="S5" s="220"/>
      <c r="W5" s="135"/>
      <c r="X5" s="135"/>
      <c r="AB5" s="255">
        <f>SUM(_xlfn.ANCHORARRAY(AB9))</f>
        <v>105000000</v>
      </c>
      <c r="AC5" s="255">
        <f>SUM(_xlfn.ANCHORARRAY(AC9))</f>
        <v>39235624.299927838</v>
      </c>
      <c r="AD5" s="255">
        <f>SUM(_xlfn.ANCHORARRAY(AD9))</f>
        <v>7322346.9553270862</v>
      </c>
      <c r="AE5" s="255"/>
      <c r="AF5" s="255">
        <f>SUM(_xlfn.ANCHORARRAY(AF9))</f>
        <v>328545307.71140015</v>
      </c>
    </row>
    <row r="6" spans="1:33" ht="24" customHeight="1" thickTop="1" thickBot="1">
      <c r="A6" s="90"/>
      <c r="G6" s="1184" t="s">
        <v>594</v>
      </c>
      <c r="H6" s="1185"/>
      <c r="I6" s="1185"/>
      <c r="J6" s="1185"/>
      <c r="K6" s="1185"/>
      <c r="L6" s="1185"/>
      <c r="M6" s="1185"/>
      <c r="N6" s="1185"/>
      <c r="O6" s="1185"/>
      <c r="P6" s="1185"/>
      <c r="Q6" s="1185"/>
      <c r="R6" s="1185"/>
      <c r="S6" s="1185"/>
      <c r="U6" s="139" t="s">
        <v>228</v>
      </c>
      <c r="V6" s="100"/>
      <c r="W6" s="242"/>
      <c r="X6" s="242"/>
      <c r="Y6" s="242"/>
      <c r="Z6" s="242"/>
      <c r="AA6" s="241"/>
      <c r="AB6" s="242"/>
      <c r="AC6" s="242"/>
      <c r="AD6" s="242"/>
      <c r="AE6" s="242"/>
      <c r="AF6" s="242"/>
      <c r="AG6" s="242"/>
    </row>
    <row r="7" spans="1:33" ht="26.25" customHeight="1" thickTop="1" thickBot="1">
      <c r="A7" s="328"/>
      <c r="B7" s="329"/>
      <c r="C7" s="1185" t="s">
        <v>577</v>
      </c>
      <c r="D7" s="1095"/>
      <c r="E7" s="1095"/>
      <c r="F7" s="329"/>
      <c r="G7" s="1194" t="s">
        <v>5</v>
      </c>
      <c r="H7" s="1195"/>
      <c r="I7" s="341" t="s">
        <v>14</v>
      </c>
      <c r="J7" s="341" t="s">
        <v>333</v>
      </c>
      <c r="K7" s="341" t="s">
        <v>591</v>
      </c>
      <c r="L7" s="1196" t="s">
        <v>593</v>
      </c>
      <c r="M7" s="1200" t="s">
        <v>1</v>
      </c>
      <c r="N7" s="1200" t="s">
        <v>235</v>
      </c>
      <c r="O7" s="1197"/>
      <c r="P7" s="1197"/>
      <c r="Q7" s="1197"/>
      <c r="R7" s="1197"/>
      <c r="S7" s="1198"/>
      <c r="T7" s="329"/>
      <c r="U7" s="335" t="s">
        <v>5</v>
      </c>
      <c r="V7" s="336"/>
      <c r="W7" s="333" t="s">
        <v>244</v>
      </c>
      <c r="X7" s="333"/>
      <c r="Y7" s="333"/>
      <c r="Z7" s="337"/>
      <c r="AA7" s="334"/>
      <c r="AB7" s="338" t="s">
        <v>229</v>
      </c>
      <c r="AC7" s="339"/>
      <c r="AD7" s="339"/>
      <c r="AE7" s="1729" t="s">
        <v>232</v>
      </c>
      <c r="AF7" s="1730"/>
      <c r="AG7" s="332" t="s">
        <v>236</v>
      </c>
    </row>
    <row r="8" spans="1:33" ht="23.25" customHeight="1" thickTop="1" thickBot="1">
      <c r="A8" s="251" t="s">
        <v>225</v>
      </c>
      <c r="C8" s="1188" t="s">
        <v>37</v>
      </c>
      <c r="D8" s="1186" t="str">
        <f>J7</f>
        <v>Project</v>
      </c>
      <c r="E8" s="1186" t="str">
        <f>K7</f>
        <v>Subdivision</v>
      </c>
      <c r="G8" s="1192" t="s">
        <v>17</v>
      </c>
      <c r="H8" s="1192" t="s">
        <v>6</v>
      </c>
      <c r="I8" s="1192" cm="1">
        <f t="array" ref="I8:K8">TRANSPOSE(iFinance!D8:D10)</f>
        <v>0</v>
      </c>
      <c r="J8" s="1192">
        <v>0.5</v>
      </c>
      <c r="K8" s="1192">
        <v>0.5</v>
      </c>
      <c r="L8" s="1202">
        <f>iFinance!D12</f>
        <v>1.4999999999999999E-2</v>
      </c>
      <c r="M8" s="1201" t="s">
        <v>592</v>
      </c>
      <c r="N8" s="1201" t="s">
        <v>366</v>
      </c>
      <c r="O8" s="340" t="s">
        <v>595</v>
      </c>
      <c r="P8" s="341" t="s">
        <v>230</v>
      </c>
      <c r="Q8" s="341" t="s">
        <v>247</v>
      </c>
      <c r="R8" s="1199" t="s">
        <v>11</v>
      </c>
      <c r="S8" s="341" t="s">
        <v>7</v>
      </c>
      <c r="U8" s="214" t="s">
        <v>4</v>
      </c>
      <c r="V8" s="215" t="s">
        <v>6</v>
      </c>
      <c r="W8" s="261" t="s">
        <v>235</v>
      </c>
      <c r="X8" s="261" t="s">
        <v>246</v>
      </c>
      <c r="Y8" s="261" t="s">
        <v>227</v>
      </c>
      <c r="Z8" s="261" t="s">
        <v>7</v>
      </c>
      <c r="AA8" s="241"/>
      <c r="AB8" s="261" t="s">
        <v>14</v>
      </c>
      <c r="AC8" s="261" t="s">
        <v>230</v>
      </c>
      <c r="AD8" s="261" t="s">
        <v>231</v>
      </c>
      <c r="AE8" s="261" t="s">
        <v>235</v>
      </c>
      <c r="AF8" s="261" t="s">
        <v>227</v>
      </c>
      <c r="AG8" s="261" t="s">
        <v>236</v>
      </c>
    </row>
    <row r="9" spans="1:33" ht="18.75" customHeight="1" thickTop="1" thickBot="1">
      <c r="A9" s="98" cm="1">
        <f t="array" ref="A9:A104">_xlfn.ANCHORARRAY(ADMIN!P9)</f>
        <v>1</v>
      </c>
      <c r="C9" s="1205" cm="1">
        <f t="array" aca="1" ref="C9:C50" ca="1">VALUE(list_PhaseID)</f>
        <v>1.1000000000000001</v>
      </c>
      <c r="G9" s="98" cm="1">
        <f t="array" ref="G9:G104">list_Periods.ALL</f>
        <v>1</v>
      </c>
      <c r="H9" s="239" cm="1">
        <f t="array" ref="H9:H104">list_Dates.ALL</f>
        <v>45292</v>
      </c>
      <c r="I9" s="243" cm="1">
        <f t="array" ref="I9:I104">_xlfn.ANCHORARRAY(mProject!X9)*$I$8</f>
        <v>0</v>
      </c>
      <c r="J9" s="243" cm="1">
        <f t="array" ref="J9:J104">J$8*_xlfn.ANCHORARRAY(mProject!AX9)</f>
        <v>122791.21249999999</v>
      </c>
      <c r="K9" s="243" cm="1">
        <f t="array" ref="K9:K104">-K$8*_xlfn.ANCHORARRAY(mProject!H9)</f>
        <v>0</v>
      </c>
      <c r="L9" s="243" cm="1">
        <f t="array" ref="L9:L104">(_xlfn.ANCHORARRAY(I9)+_xlfn.ANCHORARRAY(J9)+_xlfn.ANCHORARRAY(K9))*L$8</f>
        <v>1841.8681874999997</v>
      </c>
      <c r="M9" s="243" cm="1">
        <f t="array" ref="M9:M104">_xlfn.ANCHORARRAY(I9)+_xlfn.ANCHORARRAY(J9)+_xlfn.ANCHORARRAY(K9)+_xlfn.ANCHORARRAY(L9)</f>
        <v>124633.0806875</v>
      </c>
      <c r="N9" s="248">
        <f>mProject!W9</f>
        <v>0</v>
      </c>
      <c r="O9" s="248" cm="1">
        <f t="array" ref="O9:O104">_xlfn.ANCHORARRAY(mProject!X9)</f>
        <v>0</v>
      </c>
      <c r="P9" s="248" cm="1">
        <f t="array" ref="P9:P104">_xlfn.ANCHORARRAY(mProject!AX9)</f>
        <v>245582.42499999999</v>
      </c>
      <c r="Q9" s="248" cm="1">
        <f t="array" ref="Q9:Q368">mProject!BL9:'mProject'!BL368</f>
        <v>30000</v>
      </c>
      <c r="R9" s="248" cm="1">
        <f t="array" ref="R9:R104">_xlfn.ANCHORARRAY(mProject!L9)</f>
        <v>0</v>
      </c>
      <c r="S9" s="248" cm="1">
        <f t="array" ref="S9:S368">_xlfn.ANCHORARRAY(O9)+_xlfn.ANCHORARRAY(P9)+_xlfn.ANCHORARRAY(Q9)-_xlfn.ANCHORARRAY(R9)</f>
        <v>275582.42499999999</v>
      </c>
      <c r="U9" s="250" cm="1">
        <f t="array" ref="U9:U16">_xlfn.UNIQUE(list_Periods.Yr)</f>
        <v>1</v>
      </c>
      <c r="V9" s="250" cm="1">
        <f t="array" ref="V9:V16">_xlfn.ANCHORARRAY(ADMIN!U9)</f>
        <v>2024</v>
      </c>
      <c r="W9" s="243">
        <f>IF(U9=0,"",I9)</f>
        <v>0</v>
      </c>
      <c r="X9" s="243" cm="1">
        <f t="array" ref="X9:X16">SUMIF(_xlfn.ANCHORARRAY($A9),_xlfn.ANCHORARRAY($U9),_xlfn.ANCHORARRAY(J9))</f>
        <v>1473494.5499999998</v>
      </c>
      <c r="Y9" s="243" cm="1">
        <f t="array" ref="Y9:Y16">SUMIF(_xlfn.ANCHORARRAY($A9),_xlfn.ANCHORARRAY($U9),_xlfn.ANCHORARRAY(K9))</f>
        <v>0</v>
      </c>
      <c r="Z9" s="243" cm="1">
        <f t="array" ref="Z9:Z16">IF(_xlfn.ANCHORARRAY(U9)=0,"",X9-Y9)</f>
        <v>1473494.5499999998</v>
      </c>
      <c r="AA9" s="241"/>
      <c r="AB9" s="248" cm="1">
        <f t="array" ref="AB9:AB16">SUMIF(_xlfn.ANCHORARRAY($A9),_xlfn.ANCHORARRAY($U9),_xlfn.ANCHORARRAY(O9))</f>
        <v>0</v>
      </c>
      <c r="AC9" s="248" cm="1">
        <f t="array" ref="AC9:AC16">SUMIF(_xlfn.ANCHORARRAY($A9),_xlfn.ANCHORARRAY($U9),_xlfn.ANCHORARRAY(P9))</f>
        <v>2946989.0999999996</v>
      </c>
      <c r="AD9" s="248" cm="1">
        <f t="array" ref="AD9:AD16">SUMIF(_xlfn.ANCHORARRAY($A9),_xlfn.ANCHORARRAY($U9),_xlfn.ANCHORARRAY(Q9))</f>
        <v>360000</v>
      </c>
      <c r="AE9" s="262" cm="1">
        <f t="array" ref="AE9:AE16">SUMIF(_xlfn.ANCHORARRAY($A9),_xlfn.ANCHORARRAY($U9),_xlfn.ANCHORARRAY(S9))</f>
        <v>3306989.0999999992</v>
      </c>
      <c r="AF9" s="262" cm="1">
        <f t="array" ref="AF9:AF16">SUMIF(_xlfn.ANCHORARRAY($A9),_xlfn.ANCHORARRAY($U9),_xlfn.ANCHORARRAY(R9))</f>
        <v>0</v>
      </c>
      <c r="AG9" s="262">
        <f>AE9-AF9</f>
        <v>3306989.0999999992</v>
      </c>
    </row>
    <row r="10" spans="1:33" ht="18.75" customHeight="1" thickTop="1" thickBot="1">
      <c r="A10" s="98">
        <v>1</v>
      </c>
      <c r="C10" s="1205">
        <f ca="1"/>
        <v>1.1000000000000001</v>
      </c>
      <c r="G10" s="98">
        <v>2</v>
      </c>
      <c r="H10" s="239">
        <v>45323</v>
      </c>
      <c r="I10" s="243">
        <v>0</v>
      </c>
      <c r="J10" s="243">
        <v>122791.21249999999</v>
      </c>
      <c r="K10" s="243">
        <v>0</v>
      </c>
      <c r="L10" s="243">
        <v>1841.8681874999997</v>
      </c>
      <c r="M10" s="243">
        <v>124633.0806875</v>
      </c>
      <c r="N10" s="248">
        <f t="shared" ref="N10:N73" si="0">S9</f>
        <v>275582.42499999999</v>
      </c>
      <c r="O10" s="248">
        <v>0</v>
      </c>
      <c r="P10" s="248">
        <v>245582.42499999999</v>
      </c>
      <c r="Q10" s="248">
        <v>30000</v>
      </c>
      <c r="R10" s="248">
        <v>0</v>
      </c>
      <c r="S10" s="248">
        <v>275582.42499999999</v>
      </c>
      <c r="U10" s="250">
        <v>2</v>
      </c>
      <c r="V10" s="249">
        <v>2025</v>
      </c>
      <c r="W10" s="243">
        <f>IF(U10=0,"",Z9)</f>
        <v>1473494.5499999998</v>
      </c>
      <c r="X10" s="243">
        <v>1950412.588347137</v>
      </c>
      <c r="Y10" s="243">
        <v>0</v>
      </c>
      <c r="Z10" s="243">
        <v>1473494.5499999998</v>
      </c>
      <c r="AA10" s="241"/>
      <c r="AB10" s="248">
        <v>105000000</v>
      </c>
      <c r="AC10" s="248">
        <v>3900825.1766942739</v>
      </c>
      <c r="AD10" s="248">
        <v>1410000</v>
      </c>
      <c r="AE10" s="262">
        <v>110310825.17669424</v>
      </c>
      <c r="AF10" s="262">
        <v>0</v>
      </c>
      <c r="AG10" s="262">
        <f>AG9+AE10-AF10</f>
        <v>113617814.27669424</v>
      </c>
    </row>
    <row r="11" spans="1:33" ht="18.75" customHeight="1" thickTop="1" thickBot="1">
      <c r="A11" s="98">
        <v>1</v>
      </c>
      <c r="C11" s="1205">
        <f ca="1"/>
        <v>1.1000000000000001</v>
      </c>
      <c r="G11" s="98">
        <v>3</v>
      </c>
      <c r="H11" s="239">
        <v>45352</v>
      </c>
      <c r="I11" s="243">
        <v>0</v>
      </c>
      <c r="J11" s="243">
        <v>122791.21249999999</v>
      </c>
      <c r="K11" s="243">
        <v>0</v>
      </c>
      <c r="L11" s="243">
        <v>1841.8681874999997</v>
      </c>
      <c r="M11" s="243">
        <v>124633.0806875</v>
      </c>
      <c r="N11" s="248">
        <f t="shared" si="0"/>
        <v>275582.42499999999</v>
      </c>
      <c r="O11" s="248">
        <v>0</v>
      </c>
      <c r="P11" s="248">
        <v>245582.42499999999</v>
      </c>
      <c r="Q11" s="248">
        <v>30000</v>
      </c>
      <c r="R11" s="248">
        <v>0</v>
      </c>
      <c r="S11" s="248">
        <v>275582.42499999999</v>
      </c>
      <c r="U11" s="250">
        <v>3</v>
      </c>
      <c r="V11" s="249">
        <v>2026</v>
      </c>
      <c r="W11" s="243">
        <f t="shared" ref="W11:W38" si="1">IF(U11=0,"",Z10)</f>
        <v>1473494.5499999998</v>
      </c>
      <c r="X11" s="243">
        <v>5845807.6726656454</v>
      </c>
      <c r="Y11" s="243">
        <v>11378460.467367681</v>
      </c>
      <c r="Z11" s="243">
        <v>1473494.5499999998</v>
      </c>
      <c r="AA11" s="241"/>
      <c r="AB11" s="248">
        <v>0</v>
      </c>
      <c r="AC11" s="248">
        <v>11691615.345331291</v>
      </c>
      <c r="AD11" s="248">
        <v>673410.92090413603</v>
      </c>
      <c r="AE11" s="262">
        <v>-17722422.140561655</v>
      </c>
      <c r="AF11" s="262">
        <v>30087448.406797066</v>
      </c>
      <c r="AG11" s="262">
        <f>AG10+AE11-AF11</f>
        <v>65807943.729335517</v>
      </c>
    </row>
    <row r="12" spans="1:33" ht="18.75" customHeight="1" thickTop="1" thickBot="1">
      <c r="A12" s="98">
        <v>1</v>
      </c>
      <c r="C12" s="1205">
        <f ca="1"/>
        <v>1.1000000000000001</v>
      </c>
      <c r="G12" s="98">
        <v>4</v>
      </c>
      <c r="H12" s="239">
        <v>45383</v>
      </c>
      <c r="I12" s="243">
        <v>0</v>
      </c>
      <c r="J12" s="243">
        <v>122791.21249999999</v>
      </c>
      <c r="K12" s="243">
        <v>0</v>
      </c>
      <c r="L12" s="243">
        <v>1841.8681874999997</v>
      </c>
      <c r="M12" s="243">
        <v>124633.0806875</v>
      </c>
      <c r="N12" s="248">
        <f t="shared" si="0"/>
        <v>275582.42499999999</v>
      </c>
      <c r="O12" s="248">
        <v>0</v>
      </c>
      <c r="P12" s="248">
        <v>245582.42499999999</v>
      </c>
      <c r="Q12" s="248">
        <v>30000</v>
      </c>
      <c r="R12" s="248">
        <v>0</v>
      </c>
      <c r="S12" s="248">
        <v>275582.42499999999</v>
      </c>
      <c r="U12" s="250">
        <v>4</v>
      </c>
      <c r="V12" s="249">
        <v>2027</v>
      </c>
      <c r="W12" s="243">
        <f t="shared" si="1"/>
        <v>1473494.5499999998</v>
      </c>
      <c r="X12" s="243">
        <v>3890343.8131037652</v>
      </c>
      <c r="Y12" s="243">
        <v>36536831.095598072</v>
      </c>
      <c r="Z12" s="243">
        <v>1473494.5499999998</v>
      </c>
      <c r="AA12" s="241"/>
      <c r="AB12" s="248">
        <v>0</v>
      </c>
      <c r="AC12" s="248">
        <v>7780687.6262075305</v>
      </c>
      <c r="AD12" s="248">
        <v>2809211.9059132561</v>
      </c>
      <c r="AE12" s="262">
        <v>-224534443.43555173</v>
      </c>
      <c r="AF12" s="262">
        <v>235124342.96767253</v>
      </c>
      <c r="AG12" s="262">
        <f>AG11+AE12-AF12</f>
        <v>-393850842.67388874</v>
      </c>
    </row>
    <row r="13" spans="1:33" ht="18.75" customHeight="1" thickTop="1" thickBot="1">
      <c r="A13" s="98">
        <v>1</v>
      </c>
      <c r="C13" s="1205">
        <f ca="1"/>
        <v>1.2</v>
      </c>
      <c r="G13" s="98">
        <v>5</v>
      </c>
      <c r="H13" s="239">
        <v>45413</v>
      </c>
      <c r="I13" s="243">
        <v>0</v>
      </c>
      <c r="J13" s="243">
        <v>122791.21249999999</v>
      </c>
      <c r="K13" s="243">
        <v>0</v>
      </c>
      <c r="L13" s="243">
        <v>1841.8681874999997</v>
      </c>
      <c r="M13" s="243">
        <v>124633.0806875</v>
      </c>
      <c r="N13" s="248">
        <f t="shared" si="0"/>
        <v>275582.42499999999</v>
      </c>
      <c r="O13" s="248">
        <v>0</v>
      </c>
      <c r="P13" s="248">
        <v>245582.42499999999</v>
      </c>
      <c r="Q13" s="248">
        <v>30000</v>
      </c>
      <c r="R13" s="248">
        <v>0</v>
      </c>
      <c r="S13" s="248">
        <v>275582.42499999999</v>
      </c>
      <c r="U13" s="250">
        <v>5</v>
      </c>
      <c r="V13" s="249">
        <v>2028</v>
      </c>
      <c r="W13" s="243">
        <f t="shared" si="1"/>
        <v>1473494.5499999998</v>
      </c>
      <c r="X13" s="243">
        <v>747884.71791009</v>
      </c>
      <c r="Y13" s="243">
        <v>0</v>
      </c>
      <c r="Z13" s="243">
        <v>1473494.5499999998</v>
      </c>
      <c r="AA13" s="241"/>
      <c r="AB13" s="248">
        <v>0</v>
      </c>
      <c r="AC13" s="248">
        <v>1495769.43582018</v>
      </c>
      <c r="AD13" s="248">
        <v>360000</v>
      </c>
      <c r="AE13" s="262">
        <v>1855769.43582018</v>
      </c>
      <c r="AF13" s="262">
        <v>0</v>
      </c>
      <c r="AG13" s="262">
        <f>AG12+AE13-AF13</f>
        <v>-391995073.23806858</v>
      </c>
    </row>
    <row r="14" spans="1:33" ht="18.75" customHeight="1" thickTop="1" thickBot="1">
      <c r="A14" s="98">
        <v>1</v>
      </c>
      <c r="C14" s="1205">
        <f ca="1"/>
        <v>1.2</v>
      </c>
      <c r="G14" s="98">
        <v>6</v>
      </c>
      <c r="H14" s="239">
        <v>45444</v>
      </c>
      <c r="I14" s="243">
        <v>0</v>
      </c>
      <c r="J14" s="243">
        <v>122791.21249999999</v>
      </c>
      <c r="K14" s="243">
        <v>0</v>
      </c>
      <c r="L14" s="243">
        <v>1841.8681874999997</v>
      </c>
      <c r="M14" s="243">
        <v>124633.0806875</v>
      </c>
      <c r="N14" s="248">
        <f t="shared" si="0"/>
        <v>275582.42499999999</v>
      </c>
      <c r="O14" s="248">
        <v>0</v>
      </c>
      <c r="P14" s="248">
        <v>245582.42499999999</v>
      </c>
      <c r="Q14" s="248">
        <v>30000</v>
      </c>
      <c r="R14" s="248">
        <v>0</v>
      </c>
      <c r="S14" s="248">
        <v>275582.42499999999</v>
      </c>
      <c r="U14" s="250">
        <v>6</v>
      </c>
      <c r="V14" s="249">
        <v>2029</v>
      </c>
      <c r="W14" s="243">
        <f t="shared" si="1"/>
        <v>1473494.5499999998</v>
      </c>
      <c r="X14" s="243">
        <v>1917068.7860022557</v>
      </c>
      <c r="Y14" s="243">
        <v>4356892.4218203472</v>
      </c>
      <c r="Z14" s="243">
        <v>1473494.5499999998</v>
      </c>
      <c r="AA14" s="241"/>
      <c r="AB14" s="248">
        <v>0</v>
      </c>
      <c r="AC14" s="248">
        <v>3834137.5720045115</v>
      </c>
      <c r="AD14" s="248">
        <v>433732.02560003661</v>
      </c>
      <c r="AE14" s="262">
        <v>-2810404.8599989675</v>
      </c>
      <c r="AF14" s="262">
        <v>7078274.4576035161</v>
      </c>
      <c r="AG14" s="262">
        <f>AG13+AE14-AF14</f>
        <v>-401883752.55567104</v>
      </c>
    </row>
    <row r="15" spans="1:33" ht="18.75" customHeight="1" thickTop="1" thickBot="1">
      <c r="A15" s="98">
        <v>1</v>
      </c>
      <c r="C15" s="1205">
        <f ca="1"/>
        <v>1.2</v>
      </c>
      <c r="G15" s="98">
        <v>7</v>
      </c>
      <c r="H15" s="239">
        <v>45474</v>
      </c>
      <c r="I15" s="243">
        <v>0</v>
      </c>
      <c r="J15" s="243">
        <v>122791.21249999999</v>
      </c>
      <c r="K15" s="243">
        <v>0</v>
      </c>
      <c r="L15" s="243">
        <v>1841.8681874999997</v>
      </c>
      <c r="M15" s="243">
        <v>124633.0806875</v>
      </c>
      <c r="N15" s="248">
        <f t="shared" si="0"/>
        <v>275582.42499999999</v>
      </c>
      <c r="O15" s="248">
        <v>0</v>
      </c>
      <c r="P15" s="248">
        <v>245582.42499999999</v>
      </c>
      <c r="Q15" s="248">
        <v>30000</v>
      </c>
      <c r="R15" s="248">
        <v>0</v>
      </c>
      <c r="S15" s="248">
        <v>275582.42499999999</v>
      </c>
      <c r="U15" s="250">
        <v>7</v>
      </c>
      <c r="V15" s="249">
        <v>2030</v>
      </c>
      <c r="W15" s="243">
        <f t="shared" si="1"/>
        <v>1473494.5499999998</v>
      </c>
      <c r="X15" s="243">
        <v>825336.80911230738</v>
      </c>
      <c r="Y15" s="243">
        <v>13835663.687591499</v>
      </c>
      <c r="Z15" s="243">
        <v>1473494.5499999998</v>
      </c>
      <c r="AA15" s="241"/>
      <c r="AB15" s="248">
        <v>0</v>
      </c>
      <c r="AC15" s="248">
        <v>1650673.6182246148</v>
      </c>
      <c r="AD15" s="248">
        <v>594142.00086693303</v>
      </c>
      <c r="AE15" s="262">
        <v>-20232816.464134026</v>
      </c>
      <c r="AF15" s="262">
        <v>22477632.083225571</v>
      </c>
      <c r="AG15" s="262"/>
    </row>
    <row r="16" spans="1:33" ht="18.75" customHeight="1" thickTop="1" thickBot="1">
      <c r="A16" s="98">
        <v>1</v>
      </c>
      <c r="C16" s="1205">
        <f ca="1"/>
        <v>1.2</v>
      </c>
      <c r="G16" s="98">
        <v>8</v>
      </c>
      <c r="H16" s="239">
        <v>45505</v>
      </c>
      <c r="I16" s="243">
        <v>0</v>
      </c>
      <c r="J16" s="243">
        <v>122791.21249999999</v>
      </c>
      <c r="K16" s="243">
        <v>0</v>
      </c>
      <c r="L16" s="243">
        <v>1841.8681874999997</v>
      </c>
      <c r="M16" s="243">
        <v>124633.0806875</v>
      </c>
      <c r="N16" s="248">
        <f t="shared" si="0"/>
        <v>275582.42499999999</v>
      </c>
      <c r="O16" s="248">
        <v>0</v>
      </c>
      <c r="P16" s="248">
        <v>245582.42499999999</v>
      </c>
      <c r="Q16" s="248">
        <v>30000</v>
      </c>
      <c r="R16" s="248">
        <v>0</v>
      </c>
      <c r="S16" s="248">
        <v>275582.42499999999</v>
      </c>
      <c r="U16" s="250">
        <v>8</v>
      </c>
      <c r="V16" s="249">
        <v>2031</v>
      </c>
      <c r="W16" s="243">
        <f t="shared" si="1"/>
        <v>1473494.5499999998</v>
      </c>
      <c r="X16" s="243">
        <v>2967463.2128227171</v>
      </c>
      <c r="Y16" s="243">
        <v>17636477.151095148</v>
      </c>
      <c r="Z16" s="243">
        <v>1473494.5499999998</v>
      </c>
      <c r="AA16" s="241"/>
      <c r="AB16" s="248">
        <v>0</v>
      </c>
      <c r="AC16" s="248">
        <v>5934926.4256454343</v>
      </c>
      <c r="AD16" s="248">
        <v>681850.10204272391</v>
      </c>
      <c r="AE16" s="262">
        <v>-27160833.268413331</v>
      </c>
      <c r="AF16" s="262">
        <v>33777609.796101488</v>
      </c>
      <c r="AG16" s="262"/>
    </row>
    <row r="17" spans="1:26" ht="18.75" customHeight="1" thickTop="1" thickBot="1">
      <c r="A17" s="98">
        <v>1</v>
      </c>
      <c r="C17" s="1205">
        <f ca="1"/>
        <v>1.2</v>
      </c>
      <c r="G17" s="98">
        <v>9</v>
      </c>
      <c r="H17" s="239">
        <v>45536</v>
      </c>
      <c r="I17" s="243">
        <v>0</v>
      </c>
      <c r="J17" s="243">
        <v>122791.21249999999</v>
      </c>
      <c r="K17" s="243">
        <v>0</v>
      </c>
      <c r="L17" s="243">
        <v>1841.8681874999997</v>
      </c>
      <c r="M17" s="243">
        <v>124633.0806875</v>
      </c>
      <c r="N17" s="248">
        <f t="shared" si="0"/>
        <v>275582.42499999999</v>
      </c>
      <c r="O17" s="248">
        <v>0</v>
      </c>
      <c r="P17" s="248">
        <v>245582.42499999999</v>
      </c>
      <c r="Q17" s="248">
        <v>30000</v>
      </c>
      <c r="R17" s="248">
        <v>0</v>
      </c>
      <c r="S17" s="248">
        <v>275582.42499999999</v>
      </c>
      <c r="U17" s="250"/>
      <c r="V17" s="249"/>
      <c r="W17" s="243" t="str">
        <f t="shared" si="1"/>
        <v/>
      </c>
      <c r="X17" s="243"/>
      <c r="Y17" s="243"/>
      <c r="Z17" s="243"/>
    </row>
    <row r="18" spans="1:26" ht="18.75" customHeight="1" thickTop="1" thickBot="1">
      <c r="A18" s="98">
        <v>1</v>
      </c>
      <c r="C18" s="1205">
        <f ca="1"/>
        <v>1.2</v>
      </c>
      <c r="G18" s="98">
        <v>10</v>
      </c>
      <c r="H18" s="239">
        <v>45566</v>
      </c>
      <c r="I18" s="243">
        <v>0</v>
      </c>
      <c r="J18" s="243">
        <v>122791.21249999999</v>
      </c>
      <c r="K18" s="243">
        <v>0</v>
      </c>
      <c r="L18" s="243">
        <v>1841.8681874999997</v>
      </c>
      <c r="M18" s="243">
        <v>124633.0806875</v>
      </c>
      <c r="N18" s="248">
        <f t="shared" si="0"/>
        <v>275582.42499999999</v>
      </c>
      <c r="O18" s="248">
        <v>0</v>
      </c>
      <c r="P18" s="248">
        <v>245582.42499999999</v>
      </c>
      <c r="Q18" s="248">
        <v>30000</v>
      </c>
      <c r="R18" s="248">
        <v>0</v>
      </c>
      <c r="S18" s="248">
        <v>275582.42499999999</v>
      </c>
      <c r="U18" s="250"/>
      <c r="V18" s="249"/>
      <c r="W18" s="243" t="str">
        <f t="shared" si="1"/>
        <v/>
      </c>
      <c r="X18" s="243"/>
      <c r="Y18" s="243"/>
      <c r="Z18" s="243"/>
    </row>
    <row r="19" spans="1:26" ht="18.75" customHeight="1" thickTop="1" thickBot="1">
      <c r="A19" s="98">
        <v>1</v>
      </c>
      <c r="C19" s="1205">
        <f ca="1"/>
        <v>2.1</v>
      </c>
      <c r="G19" s="98">
        <v>11</v>
      </c>
      <c r="H19" s="239">
        <v>45597</v>
      </c>
      <c r="I19" s="243">
        <v>0</v>
      </c>
      <c r="J19" s="243">
        <v>122791.21249999999</v>
      </c>
      <c r="K19" s="243">
        <v>0</v>
      </c>
      <c r="L19" s="243">
        <v>1841.8681874999997</v>
      </c>
      <c r="M19" s="243">
        <v>124633.0806875</v>
      </c>
      <c r="N19" s="248">
        <f t="shared" si="0"/>
        <v>275582.42499999999</v>
      </c>
      <c r="O19" s="248">
        <v>0</v>
      </c>
      <c r="P19" s="248">
        <v>245582.42499999999</v>
      </c>
      <c r="Q19" s="248">
        <v>30000</v>
      </c>
      <c r="R19" s="248">
        <v>0</v>
      </c>
      <c r="S19" s="248">
        <v>275582.42499999999</v>
      </c>
      <c r="U19" s="250"/>
      <c r="V19" s="249"/>
      <c r="W19" s="243" t="str">
        <f t="shared" si="1"/>
        <v/>
      </c>
      <c r="X19" s="243"/>
      <c r="Y19" s="243"/>
      <c r="Z19" s="243"/>
    </row>
    <row r="20" spans="1:26" ht="18.75" customHeight="1" thickTop="1" thickBot="1">
      <c r="A20" s="98">
        <v>1</v>
      </c>
      <c r="C20" s="1205">
        <f ca="1"/>
        <v>2.1</v>
      </c>
      <c r="G20" s="98">
        <v>12</v>
      </c>
      <c r="H20" s="239">
        <v>45627</v>
      </c>
      <c r="I20" s="243">
        <v>0</v>
      </c>
      <c r="J20" s="243">
        <v>122791.21249999999</v>
      </c>
      <c r="K20" s="243">
        <v>0</v>
      </c>
      <c r="L20" s="243">
        <v>1841.8681874999997</v>
      </c>
      <c r="M20" s="243">
        <v>124633.0806875</v>
      </c>
      <c r="N20" s="248">
        <f t="shared" si="0"/>
        <v>275582.42499999999</v>
      </c>
      <c r="O20" s="248">
        <v>0</v>
      </c>
      <c r="P20" s="248">
        <v>245582.42499999999</v>
      </c>
      <c r="Q20" s="248">
        <v>30000</v>
      </c>
      <c r="R20" s="248">
        <v>0</v>
      </c>
      <c r="S20" s="248">
        <v>275582.42499999999</v>
      </c>
      <c r="U20" s="250"/>
      <c r="V20" s="249"/>
      <c r="W20" s="243" t="str">
        <f t="shared" si="1"/>
        <v/>
      </c>
      <c r="X20" s="243"/>
      <c r="Y20" s="243"/>
      <c r="Z20" s="243"/>
    </row>
    <row r="21" spans="1:26" ht="18.75" customHeight="1" thickTop="1" thickBot="1">
      <c r="A21" s="98">
        <v>2</v>
      </c>
      <c r="C21" s="1205">
        <f ca="1"/>
        <v>2.1</v>
      </c>
      <c r="G21" s="98">
        <v>13</v>
      </c>
      <c r="H21" s="239">
        <v>45658</v>
      </c>
      <c r="I21" s="243">
        <v>0</v>
      </c>
      <c r="J21" s="243">
        <v>122791.21249999999</v>
      </c>
      <c r="K21" s="243">
        <v>0</v>
      </c>
      <c r="L21" s="243">
        <v>1841.8681874999997</v>
      </c>
      <c r="M21" s="243">
        <v>124633.0806875</v>
      </c>
      <c r="N21" s="248">
        <f t="shared" si="0"/>
        <v>275582.42499999999</v>
      </c>
      <c r="O21" s="248">
        <v>105000000</v>
      </c>
      <c r="P21" s="248">
        <v>245582.42499999999</v>
      </c>
      <c r="Q21" s="248">
        <v>1080000</v>
      </c>
      <c r="R21" s="248">
        <v>0</v>
      </c>
      <c r="S21" s="248">
        <v>106325582.425</v>
      </c>
      <c r="U21" s="250"/>
      <c r="V21" s="249"/>
      <c r="W21" s="243" t="str">
        <f t="shared" si="1"/>
        <v/>
      </c>
      <c r="X21" s="243"/>
      <c r="Y21" s="243"/>
      <c r="Z21" s="243"/>
    </row>
    <row r="22" spans="1:26" ht="18.75" customHeight="1" thickTop="1" thickBot="1">
      <c r="A22" s="98">
        <v>2</v>
      </c>
      <c r="C22" s="1205">
        <f ca="1"/>
        <v>2.1</v>
      </c>
      <c r="G22" s="98">
        <v>14</v>
      </c>
      <c r="H22" s="239">
        <v>45689</v>
      </c>
      <c r="I22" s="243">
        <v>0</v>
      </c>
      <c r="J22" s="243">
        <v>122791.21249999999</v>
      </c>
      <c r="K22" s="243">
        <v>0</v>
      </c>
      <c r="L22" s="243">
        <v>1841.8681874999997</v>
      </c>
      <c r="M22" s="243">
        <v>124633.0806875</v>
      </c>
      <c r="N22" s="248">
        <f t="shared" si="0"/>
        <v>106325582.425</v>
      </c>
      <c r="O22" s="248">
        <v>0</v>
      </c>
      <c r="P22" s="248">
        <v>245582.42499999999</v>
      </c>
      <c r="Q22" s="248">
        <v>30000</v>
      </c>
      <c r="R22" s="248">
        <v>0</v>
      </c>
      <c r="S22" s="248">
        <v>275582.42499999999</v>
      </c>
      <c r="U22" s="250"/>
      <c r="V22" s="249"/>
      <c r="W22" s="243" t="str">
        <f t="shared" si="1"/>
        <v/>
      </c>
      <c r="X22" s="243"/>
      <c r="Y22" s="243"/>
      <c r="Z22" s="243"/>
    </row>
    <row r="23" spans="1:26" ht="18.75" customHeight="1" thickTop="1" thickBot="1">
      <c r="A23" s="98">
        <v>2</v>
      </c>
      <c r="C23" s="1205">
        <f ca="1"/>
        <v>2.1</v>
      </c>
      <c r="G23" s="98">
        <v>15</v>
      </c>
      <c r="H23" s="239">
        <v>45717</v>
      </c>
      <c r="I23" s="243">
        <v>0</v>
      </c>
      <c r="J23" s="243">
        <v>122791.21249999999</v>
      </c>
      <c r="K23" s="243">
        <v>0</v>
      </c>
      <c r="L23" s="243">
        <v>1841.8681874999997</v>
      </c>
      <c r="M23" s="243">
        <v>124633.0806875</v>
      </c>
      <c r="N23" s="248">
        <f t="shared" si="0"/>
        <v>275582.42499999999</v>
      </c>
      <c r="O23" s="248">
        <v>0</v>
      </c>
      <c r="P23" s="248">
        <v>245582.42499999999</v>
      </c>
      <c r="Q23" s="248">
        <v>30000</v>
      </c>
      <c r="R23" s="248">
        <v>0</v>
      </c>
      <c r="S23" s="248">
        <v>275582.42499999999</v>
      </c>
      <c r="U23" s="250"/>
      <c r="V23" s="249"/>
      <c r="W23" s="243" t="str">
        <f t="shared" si="1"/>
        <v/>
      </c>
      <c r="X23" s="243"/>
      <c r="Y23" s="243"/>
      <c r="Z23" s="243"/>
    </row>
    <row r="24" spans="1:26" ht="18.75" customHeight="1" thickTop="1" thickBot="1">
      <c r="A24" s="98">
        <v>2</v>
      </c>
      <c r="C24" s="1205">
        <f ca="1"/>
        <v>2.1</v>
      </c>
      <c r="G24" s="98">
        <v>16</v>
      </c>
      <c r="H24" s="239">
        <v>45748</v>
      </c>
      <c r="I24" s="243">
        <v>0</v>
      </c>
      <c r="J24" s="243">
        <v>122791.21249999999</v>
      </c>
      <c r="K24" s="243">
        <v>0</v>
      </c>
      <c r="L24" s="243">
        <v>1841.8681874999997</v>
      </c>
      <c r="M24" s="243">
        <v>124633.0806875</v>
      </c>
      <c r="N24" s="248">
        <f t="shared" si="0"/>
        <v>275582.42499999999</v>
      </c>
      <c r="O24" s="248">
        <v>0</v>
      </c>
      <c r="P24" s="248">
        <v>245582.42499999999</v>
      </c>
      <c r="Q24" s="248">
        <v>30000</v>
      </c>
      <c r="R24" s="248">
        <v>0</v>
      </c>
      <c r="S24" s="248">
        <v>275582.42499999999</v>
      </c>
      <c r="U24" s="250"/>
      <c r="V24" s="249"/>
      <c r="W24" s="243" t="str">
        <f t="shared" si="1"/>
        <v/>
      </c>
      <c r="X24" s="243"/>
      <c r="Y24" s="243"/>
      <c r="Z24" s="243"/>
    </row>
    <row r="25" spans="1:26" ht="18.75" customHeight="1" thickTop="1" thickBot="1">
      <c r="A25" s="98">
        <v>2</v>
      </c>
      <c r="C25" s="1205">
        <f ca="1"/>
        <v>2.1</v>
      </c>
      <c r="G25" s="98">
        <v>17</v>
      </c>
      <c r="H25" s="239">
        <v>45778</v>
      </c>
      <c r="I25" s="243">
        <v>0</v>
      </c>
      <c r="J25" s="243">
        <v>122791.21249999999</v>
      </c>
      <c r="K25" s="243">
        <v>0</v>
      </c>
      <c r="L25" s="243">
        <v>1841.8681874999997</v>
      </c>
      <c r="M25" s="243">
        <v>124633.0806875</v>
      </c>
      <c r="N25" s="248">
        <f t="shared" si="0"/>
        <v>275582.42499999999</v>
      </c>
      <c r="O25" s="248">
        <v>0</v>
      </c>
      <c r="P25" s="248">
        <v>245582.42499999999</v>
      </c>
      <c r="Q25" s="248">
        <v>30000</v>
      </c>
      <c r="R25" s="248">
        <v>0</v>
      </c>
      <c r="S25" s="248">
        <v>275582.42499999999</v>
      </c>
      <c r="U25" s="250"/>
      <c r="V25" s="249"/>
      <c r="W25" s="243" t="str">
        <f t="shared" si="1"/>
        <v/>
      </c>
      <c r="X25" s="243"/>
      <c r="Y25" s="243"/>
      <c r="Z25" s="243"/>
    </row>
    <row r="26" spans="1:26" ht="18.75" customHeight="1" thickTop="1" thickBot="1">
      <c r="A26" s="98">
        <v>2</v>
      </c>
      <c r="C26" s="1205">
        <f ca="1"/>
        <v>2.1</v>
      </c>
      <c r="G26" s="98">
        <v>18</v>
      </c>
      <c r="H26" s="239">
        <v>45809</v>
      </c>
      <c r="I26" s="243">
        <v>0</v>
      </c>
      <c r="J26" s="243">
        <v>122791.21249999999</v>
      </c>
      <c r="K26" s="243">
        <v>0</v>
      </c>
      <c r="L26" s="243">
        <v>1841.8681874999997</v>
      </c>
      <c r="M26" s="243">
        <v>124633.0806875</v>
      </c>
      <c r="N26" s="248">
        <f t="shared" si="0"/>
        <v>275582.42499999999</v>
      </c>
      <c r="O26" s="248">
        <v>0</v>
      </c>
      <c r="P26" s="248">
        <v>245582.42499999999</v>
      </c>
      <c r="Q26" s="248">
        <v>30000</v>
      </c>
      <c r="R26" s="248">
        <v>0</v>
      </c>
      <c r="S26" s="248">
        <v>275582.42499999999</v>
      </c>
      <c r="U26" s="249"/>
      <c r="V26" s="249"/>
      <c r="W26" s="243" t="str">
        <f t="shared" si="1"/>
        <v/>
      </c>
      <c r="X26" s="243"/>
      <c r="Y26" s="243"/>
      <c r="Z26" s="243"/>
    </row>
    <row r="27" spans="1:26" ht="18.75" customHeight="1" thickTop="1" thickBot="1">
      <c r="A27" s="98">
        <v>2</v>
      </c>
      <c r="C27" s="1205">
        <f ca="1"/>
        <v>2.1</v>
      </c>
      <c r="G27" s="98">
        <v>19</v>
      </c>
      <c r="H27" s="239">
        <v>45839</v>
      </c>
      <c r="I27" s="243">
        <v>0</v>
      </c>
      <c r="J27" s="243">
        <v>122791.21249999999</v>
      </c>
      <c r="K27" s="243">
        <v>0</v>
      </c>
      <c r="L27" s="243">
        <v>1841.8681874999997</v>
      </c>
      <c r="M27" s="243">
        <v>124633.0806875</v>
      </c>
      <c r="N27" s="248">
        <f t="shared" si="0"/>
        <v>275582.42499999999</v>
      </c>
      <c r="O27" s="248">
        <v>0</v>
      </c>
      <c r="P27" s="248">
        <v>245582.42499999999</v>
      </c>
      <c r="Q27" s="248">
        <v>30000</v>
      </c>
      <c r="R27" s="248">
        <v>0</v>
      </c>
      <c r="S27" s="248">
        <v>275582.42499999999</v>
      </c>
      <c r="U27" s="249"/>
      <c r="V27" s="249"/>
      <c r="W27" s="243" t="str">
        <f t="shared" si="1"/>
        <v/>
      </c>
      <c r="X27" s="243"/>
      <c r="Y27" s="243"/>
      <c r="Z27" s="243"/>
    </row>
    <row r="28" spans="1:26" ht="18.75" customHeight="1" thickTop="1" thickBot="1">
      <c r="A28" s="98">
        <v>2</v>
      </c>
      <c r="C28" s="1205">
        <f ca="1"/>
        <v>2.1</v>
      </c>
      <c r="G28" s="98">
        <v>20</v>
      </c>
      <c r="H28" s="239">
        <v>45870</v>
      </c>
      <c r="I28" s="243">
        <v>0</v>
      </c>
      <c r="J28" s="243">
        <v>122791.21249999999</v>
      </c>
      <c r="K28" s="243">
        <v>0</v>
      </c>
      <c r="L28" s="243">
        <v>1841.8681874999997</v>
      </c>
      <c r="M28" s="243">
        <v>124633.0806875</v>
      </c>
      <c r="N28" s="248">
        <f t="shared" si="0"/>
        <v>275582.42499999999</v>
      </c>
      <c r="O28" s="248">
        <v>0</v>
      </c>
      <c r="P28" s="248">
        <v>245582.42499999999</v>
      </c>
      <c r="Q28" s="248">
        <v>30000</v>
      </c>
      <c r="R28" s="248">
        <v>0</v>
      </c>
      <c r="S28" s="248">
        <v>275582.42499999999</v>
      </c>
      <c r="U28" s="249"/>
      <c r="V28" s="249"/>
      <c r="W28" s="243" t="str">
        <f t="shared" si="1"/>
        <v/>
      </c>
      <c r="X28" s="243"/>
      <c r="Y28" s="243"/>
      <c r="Z28" s="243"/>
    </row>
    <row r="29" spans="1:26" ht="18.75" customHeight="1" thickTop="1" thickBot="1">
      <c r="A29" s="98">
        <v>2</v>
      </c>
      <c r="C29" s="1205">
        <f ca="1"/>
        <v>2.1</v>
      </c>
      <c r="G29" s="98">
        <v>21</v>
      </c>
      <c r="H29" s="239">
        <v>45901</v>
      </c>
      <c r="I29" s="243">
        <v>0</v>
      </c>
      <c r="J29" s="243">
        <v>122791.21249999999</v>
      </c>
      <c r="K29" s="243">
        <v>0</v>
      </c>
      <c r="L29" s="243">
        <v>1841.8681874999997</v>
      </c>
      <c r="M29" s="243">
        <v>124633.0806875</v>
      </c>
      <c r="N29" s="248">
        <f t="shared" si="0"/>
        <v>275582.42499999999</v>
      </c>
      <c r="O29" s="248">
        <v>0</v>
      </c>
      <c r="P29" s="248">
        <v>245582.42499999999</v>
      </c>
      <c r="Q29" s="248">
        <v>30000</v>
      </c>
      <c r="R29" s="248">
        <v>0</v>
      </c>
      <c r="S29" s="248">
        <v>275582.42499999999</v>
      </c>
      <c r="U29" s="249"/>
      <c r="V29" s="249"/>
      <c r="W29" s="243" t="str">
        <f t="shared" si="1"/>
        <v/>
      </c>
      <c r="X29" s="243"/>
      <c r="Y29" s="243"/>
      <c r="Z29" s="243"/>
    </row>
    <row r="30" spans="1:26" ht="18.75" customHeight="1" thickTop="1" thickBot="1">
      <c r="A30" s="98">
        <v>2</v>
      </c>
      <c r="C30" s="1205">
        <f ca="1"/>
        <v>2.1</v>
      </c>
      <c r="G30" s="98">
        <v>22</v>
      </c>
      <c r="H30" s="239">
        <v>45931</v>
      </c>
      <c r="I30" s="243">
        <v>0</v>
      </c>
      <c r="J30" s="243">
        <v>122791.21249999999</v>
      </c>
      <c r="K30" s="243">
        <v>0</v>
      </c>
      <c r="L30" s="243">
        <v>1841.8681874999997</v>
      </c>
      <c r="M30" s="243">
        <v>124633.0806875</v>
      </c>
      <c r="N30" s="248">
        <f t="shared" si="0"/>
        <v>275582.42499999999</v>
      </c>
      <c r="O30" s="248">
        <v>0</v>
      </c>
      <c r="P30" s="248">
        <v>245582.42499999999</v>
      </c>
      <c r="Q30" s="248">
        <v>30000</v>
      </c>
      <c r="R30" s="248">
        <v>0</v>
      </c>
      <c r="S30" s="248">
        <v>275582.42499999999</v>
      </c>
      <c r="U30" s="249"/>
      <c r="V30" s="249"/>
      <c r="W30" s="243" t="str">
        <f t="shared" si="1"/>
        <v/>
      </c>
      <c r="X30" s="243"/>
      <c r="Y30" s="243"/>
      <c r="Z30" s="243"/>
    </row>
    <row r="31" spans="1:26" ht="18.75" customHeight="1" thickTop="1" thickBot="1">
      <c r="A31" s="98">
        <v>2</v>
      </c>
      <c r="C31" s="1205">
        <f ca="1"/>
        <v>2.2000000000000002</v>
      </c>
      <c r="G31" s="98">
        <v>23</v>
      </c>
      <c r="H31" s="239">
        <v>45962</v>
      </c>
      <c r="I31" s="243">
        <v>0</v>
      </c>
      <c r="J31" s="243">
        <v>122791.21249999999</v>
      </c>
      <c r="K31" s="243">
        <v>0</v>
      </c>
      <c r="L31" s="243">
        <v>1841.8681874999997</v>
      </c>
      <c r="M31" s="243">
        <v>124633.0806875</v>
      </c>
      <c r="N31" s="248">
        <f t="shared" si="0"/>
        <v>275582.42499999999</v>
      </c>
      <c r="O31" s="248">
        <v>0</v>
      </c>
      <c r="P31" s="248">
        <v>245582.42499999999</v>
      </c>
      <c r="Q31" s="248">
        <v>30000</v>
      </c>
      <c r="R31" s="248">
        <v>0</v>
      </c>
      <c r="S31" s="248">
        <v>275582.42499999999</v>
      </c>
      <c r="U31" s="249"/>
      <c r="V31" s="249"/>
      <c r="W31" s="243" t="str">
        <f t="shared" si="1"/>
        <v/>
      </c>
      <c r="X31" s="243"/>
      <c r="Y31" s="243"/>
      <c r="Z31" s="243"/>
    </row>
    <row r="32" spans="1:26" ht="18.75" customHeight="1" thickTop="1" thickBot="1">
      <c r="A32" s="98">
        <v>2</v>
      </c>
      <c r="C32" s="1205">
        <f ca="1"/>
        <v>2.2000000000000002</v>
      </c>
      <c r="G32" s="98">
        <v>24</v>
      </c>
      <c r="H32" s="239">
        <v>45992</v>
      </c>
      <c r="I32" s="243">
        <v>0</v>
      </c>
      <c r="J32" s="243">
        <v>599709.25084713718</v>
      </c>
      <c r="K32" s="243">
        <v>0</v>
      </c>
      <c r="L32" s="243">
        <v>8995.638762707058</v>
      </c>
      <c r="M32" s="243">
        <v>608704.88960984419</v>
      </c>
      <c r="N32" s="248">
        <f t="shared" si="0"/>
        <v>275582.42499999999</v>
      </c>
      <c r="O32" s="248">
        <v>0</v>
      </c>
      <c r="P32" s="248">
        <v>1199418.5016942744</v>
      </c>
      <c r="Q32" s="248">
        <v>30000</v>
      </c>
      <c r="R32" s="248">
        <v>0</v>
      </c>
      <c r="S32" s="248">
        <v>1229418.5016942744</v>
      </c>
      <c r="U32" s="249"/>
      <c r="V32" s="249"/>
      <c r="W32" s="243" t="str">
        <f t="shared" si="1"/>
        <v/>
      </c>
      <c r="X32" s="243"/>
      <c r="Y32" s="243"/>
      <c r="Z32" s="243"/>
    </row>
    <row r="33" spans="1:26" ht="18.75" customHeight="1" thickTop="1" thickBot="1">
      <c r="A33" s="98">
        <v>3</v>
      </c>
      <c r="C33" s="1205">
        <f ca="1"/>
        <v>2.2000000000000002</v>
      </c>
      <c r="G33" s="98">
        <v>25</v>
      </c>
      <c r="H33" s="239">
        <v>46023</v>
      </c>
      <c r="I33" s="243">
        <v>0</v>
      </c>
      <c r="J33" s="243">
        <v>599709.25084713718</v>
      </c>
      <c r="K33" s="243">
        <v>0</v>
      </c>
      <c r="L33" s="243">
        <v>8995.638762707058</v>
      </c>
      <c r="M33" s="243">
        <v>608704.88960984419</v>
      </c>
      <c r="N33" s="248">
        <f t="shared" si="0"/>
        <v>1229418.5016942744</v>
      </c>
      <c r="O33" s="248">
        <v>0</v>
      </c>
      <c r="P33" s="248">
        <v>1199418.5016942744</v>
      </c>
      <c r="Q33" s="248">
        <v>30000</v>
      </c>
      <c r="R33" s="248">
        <v>0</v>
      </c>
      <c r="S33" s="248">
        <v>1229418.5016942744</v>
      </c>
      <c r="U33" s="249"/>
      <c r="V33" s="249"/>
      <c r="W33" s="243" t="str">
        <f t="shared" si="1"/>
        <v/>
      </c>
      <c r="X33" s="243"/>
      <c r="Y33" s="243"/>
      <c r="Z33" s="243"/>
    </row>
    <row r="34" spans="1:26" ht="18.75" customHeight="1" thickTop="1" thickBot="1">
      <c r="A34" s="98">
        <v>3</v>
      </c>
      <c r="C34" s="1205">
        <f ca="1"/>
        <v>2.2000000000000002</v>
      </c>
      <c r="G34" s="98">
        <v>26</v>
      </c>
      <c r="H34" s="239">
        <v>46054</v>
      </c>
      <c r="I34" s="243">
        <v>0</v>
      </c>
      <c r="J34" s="243">
        <v>476918.03834713716</v>
      </c>
      <c r="K34" s="243">
        <v>11378460.467367681</v>
      </c>
      <c r="L34" s="243">
        <v>177830.67758572227</v>
      </c>
      <c r="M34" s="243">
        <v>12033209.183300542</v>
      </c>
      <c r="N34" s="248">
        <f t="shared" si="0"/>
        <v>1229418.5016942744</v>
      </c>
      <c r="O34" s="248">
        <v>0</v>
      </c>
      <c r="P34" s="248">
        <v>953836.07669427432</v>
      </c>
      <c r="Q34" s="248">
        <v>343410.92090413609</v>
      </c>
      <c r="R34" s="248">
        <v>30087448.406797066</v>
      </c>
      <c r="S34" s="248">
        <v>-28790201.409198657</v>
      </c>
      <c r="U34" s="249"/>
      <c r="V34" s="249"/>
      <c r="W34" s="243" t="str">
        <f t="shared" si="1"/>
        <v/>
      </c>
      <c r="X34" s="243"/>
      <c r="Y34" s="243"/>
      <c r="Z34" s="243"/>
    </row>
    <row r="35" spans="1:26" ht="18.75" customHeight="1" thickTop="1" thickBot="1">
      <c r="A35" s="98">
        <v>3</v>
      </c>
      <c r="C35" s="1205">
        <f ca="1"/>
        <v>3.1</v>
      </c>
      <c r="G35" s="98">
        <v>27</v>
      </c>
      <c r="H35" s="239">
        <v>46082</v>
      </c>
      <c r="I35" s="243">
        <v>0</v>
      </c>
      <c r="J35" s="243">
        <v>476918.03834713716</v>
      </c>
      <c r="K35" s="243">
        <v>0</v>
      </c>
      <c r="L35" s="243">
        <v>7153.7705752070569</v>
      </c>
      <c r="M35" s="243">
        <v>484071.80892234424</v>
      </c>
      <c r="N35" s="248">
        <f t="shared" si="0"/>
        <v>-28790201.409198657</v>
      </c>
      <c r="O35" s="248">
        <v>0</v>
      </c>
      <c r="P35" s="248">
        <v>953836.07669427432</v>
      </c>
      <c r="Q35" s="248">
        <v>30000</v>
      </c>
      <c r="R35" s="248">
        <v>0</v>
      </c>
      <c r="S35" s="248">
        <v>983836.07669427432</v>
      </c>
      <c r="U35" s="98"/>
      <c r="V35" s="249"/>
      <c r="W35" s="243" t="str">
        <f t="shared" si="1"/>
        <v/>
      </c>
      <c r="X35" s="243"/>
      <c r="Y35" s="243"/>
      <c r="Z35" s="243"/>
    </row>
    <row r="36" spans="1:26" ht="18.75" customHeight="1" thickTop="1" thickBot="1">
      <c r="A36" s="98">
        <v>3</v>
      </c>
      <c r="C36" s="1205">
        <f ca="1"/>
        <v>3.1</v>
      </c>
      <c r="G36" s="98">
        <v>28</v>
      </c>
      <c r="H36" s="239">
        <v>46113</v>
      </c>
      <c r="I36" s="243">
        <v>0</v>
      </c>
      <c r="J36" s="243">
        <v>476918.03834713716</v>
      </c>
      <c r="K36" s="243">
        <v>0</v>
      </c>
      <c r="L36" s="243">
        <v>7153.7705752070569</v>
      </c>
      <c r="M36" s="243">
        <v>484071.80892234424</v>
      </c>
      <c r="N36" s="248">
        <f t="shared" si="0"/>
        <v>983836.07669427432</v>
      </c>
      <c r="O36" s="248">
        <v>0</v>
      </c>
      <c r="P36" s="248">
        <v>953836.07669427432</v>
      </c>
      <c r="Q36" s="248">
        <v>30000</v>
      </c>
      <c r="R36" s="248">
        <v>0</v>
      </c>
      <c r="S36" s="248">
        <v>983836.07669427432</v>
      </c>
      <c r="U36" s="98"/>
      <c r="V36" s="249"/>
      <c r="W36" s="243" t="str">
        <f t="shared" si="1"/>
        <v/>
      </c>
      <c r="X36" s="243"/>
      <c r="Y36" s="243"/>
      <c r="Z36" s="243"/>
    </row>
    <row r="37" spans="1:26" ht="18.75" customHeight="1" thickTop="1" thickBot="1">
      <c r="A37" s="98">
        <v>3</v>
      </c>
      <c r="C37" s="1205">
        <f ca="1"/>
        <v>3.1</v>
      </c>
      <c r="G37" s="98">
        <v>29</v>
      </c>
      <c r="H37" s="239">
        <v>46143</v>
      </c>
      <c r="I37" s="243">
        <v>0</v>
      </c>
      <c r="J37" s="243">
        <v>476918.03834713716</v>
      </c>
      <c r="K37" s="243">
        <v>0</v>
      </c>
      <c r="L37" s="243">
        <v>7153.7705752070569</v>
      </c>
      <c r="M37" s="243">
        <v>484071.80892234424</v>
      </c>
      <c r="N37" s="248">
        <f t="shared" si="0"/>
        <v>983836.07669427432</v>
      </c>
      <c r="O37" s="248">
        <v>0</v>
      </c>
      <c r="P37" s="248">
        <v>953836.07669427432</v>
      </c>
      <c r="Q37" s="248">
        <v>30000</v>
      </c>
      <c r="R37" s="248">
        <v>0</v>
      </c>
      <c r="S37" s="248">
        <v>983836.07669427432</v>
      </c>
      <c r="U37" s="98"/>
      <c r="V37" s="249"/>
      <c r="W37" s="243" t="str">
        <f t="shared" si="1"/>
        <v/>
      </c>
      <c r="X37" s="243"/>
      <c r="Y37" s="243"/>
      <c r="Z37" s="243"/>
    </row>
    <row r="38" spans="1:26" ht="18.75" customHeight="1" thickTop="1" thickBot="1">
      <c r="A38" s="98">
        <v>3</v>
      </c>
      <c r="C38" s="1205">
        <f ca="1"/>
        <v>3.2</v>
      </c>
      <c r="G38" s="98">
        <v>30</v>
      </c>
      <c r="H38" s="239">
        <v>46174</v>
      </c>
      <c r="I38" s="243">
        <v>0</v>
      </c>
      <c r="J38" s="243">
        <v>476918.03834713716</v>
      </c>
      <c r="K38" s="243">
        <v>0</v>
      </c>
      <c r="L38" s="243">
        <v>7153.7705752070569</v>
      </c>
      <c r="M38" s="243">
        <v>484071.80892234424</v>
      </c>
      <c r="N38" s="248">
        <f t="shared" si="0"/>
        <v>983836.07669427432</v>
      </c>
      <c r="O38" s="248">
        <v>0</v>
      </c>
      <c r="P38" s="248">
        <v>953836.07669427432</v>
      </c>
      <c r="Q38" s="248">
        <v>30000</v>
      </c>
      <c r="R38" s="248">
        <v>0</v>
      </c>
      <c r="S38" s="248">
        <v>983836.07669427432</v>
      </c>
      <c r="U38" s="98"/>
      <c r="V38" s="249"/>
      <c r="W38" s="243" t="str">
        <f t="shared" si="1"/>
        <v/>
      </c>
      <c r="X38" s="243"/>
      <c r="Y38" s="243"/>
      <c r="Z38" s="243"/>
    </row>
    <row r="39" spans="1:26" ht="18.75" customHeight="1" thickTop="1" thickBot="1">
      <c r="A39" s="98">
        <v>3</v>
      </c>
      <c r="C39" s="1205">
        <f ca="1"/>
        <v>3.2</v>
      </c>
      <c r="G39" s="98">
        <v>31</v>
      </c>
      <c r="H39" s="239">
        <v>46204</v>
      </c>
      <c r="I39" s="243">
        <v>0</v>
      </c>
      <c r="J39" s="243">
        <v>476918.03834713716</v>
      </c>
      <c r="K39" s="243">
        <v>0</v>
      </c>
      <c r="L39" s="243">
        <v>7153.7705752070569</v>
      </c>
      <c r="M39" s="243">
        <v>484071.80892234424</v>
      </c>
      <c r="N39" s="248">
        <f t="shared" si="0"/>
        <v>983836.07669427432</v>
      </c>
      <c r="O39" s="248">
        <v>0</v>
      </c>
      <c r="P39" s="248">
        <v>953836.07669427432</v>
      </c>
      <c r="Q39" s="248">
        <v>30000</v>
      </c>
      <c r="R39" s="248">
        <v>0</v>
      </c>
      <c r="S39" s="248">
        <v>983836.07669427432</v>
      </c>
      <c r="U39" s="46"/>
      <c r="V39" s="46"/>
      <c r="W39" s="46"/>
      <c r="X39" s="46"/>
      <c r="Y39" s="46"/>
      <c r="Z39" s="46"/>
    </row>
    <row r="40" spans="1:26" ht="18.75" customHeight="1" thickTop="1" thickBot="1">
      <c r="A40" s="98">
        <v>3</v>
      </c>
      <c r="C40" s="1205">
        <f ca="1"/>
        <v>4.0999999999999996</v>
      </c>
      <c r="G40" s="98">
        <v>32</v>
      </c>
      <c r="H40" s="239">
        <v>46235</v>
      </c>
      <c r="I40" s="243">
        <v>0</v>
      </c>
      <c r="J40" s="243">
        <v>476918.03834713716</v>
      </c>
      <c r="K40" s="243">
        <v>0</v>
      </c>
      <c r="L40" s="243">
        <v>7153.7705752070569</v>
      </c>
      <c r="M40" s="243">
        <v>484071.80892234424</v>
      </c>
      <c r="N40" s="248">
        <f t="shared" si="0"/>
        <v>983836.07669427432</v>
      </c>
      <c r="O40" s="248">
        <v>0</v>
      </c>
      <c r="P40" s="248">
        <v>953836.07669427432</v>
      </c>
      <c r="Q40" s="248">
        <v>30000</v>
      </c>
      <c r="R40" s="248">
        <v>0</v>
      </c>
      <c r="S40" s="248">
        <v>983836.07669427432</v>
      </c>
      <c r="U40" s="46"/>
      <c r="V40" s="46"/>
      <c r="W40" s="46"/>
      <c r="X40" s="46"/>
      <c r="Y40" s="46"/>
      <c r="Z40" s="46"/>
    </row>
    <row r="41" spans="1:26" ht="18.75" customHeight="1" thickTop="1" thickBot="1">
      <c r="A41" s="98">
        <v>3</v>
      </c>
      <c r="C41" s="1205">
        <f ca="1"/>
        <v>4.0999999999999996</v>
      </c>
      <c r="G41" s="98">
        <v>33</v>
      </c>
      <c r="H41" s="239">
        <v>46266</v>
      </c>
      <c r="I41" s="243">
        <v>0</v>
      </c>
      <c r="J41" s="243">
        <v>476918.03834713716</v>
      </c>
      <c r="K41" s="243">
        <v>0</v>
      </c>
      <c r="L41" s="243">
        <v>7153.7705752070569</v>
      </c>
      <c r="M41" s="243">
        <v>484071.80892234424</v>
      </c>
      <c r="N41" s="248">
        <f t="shared" si="0"/>
        <v>983836.07669427432</v>
      </c>
      <c r="O41" s="248">
        <v>0</v>
      </c>
      <c r="P41" s="248">
        <v>953836.07669427432</v>
      </c>
      <c r="Q41" s="248">
        <v>30000</v>
      </c>
      <c r="R41" s="248">
        <v>0</v>
      </c>
      <c r="S41" s="248">
        <v>983836.07669427432</v>
      </c>
      <c r="U41" s="28"/>
      <c r="V41" s="28"/>
      <c r="W41" s="28"/>
    </row>
    <row r="42" spans="1:26" ht="18.75" customHeight="1" thickTop="1" thickBot="1">
      <c r="A42" s="98">
        <v>3</v>
      </c>
      <c r="C42" s="1205">
        <f ca="1"/>
        <v>4.0999999999999996</v>
      </c>
      <c r="G42" s="98">
        <v>34</v>
      </c>
      <c r="H42" s="239">
        <v>46296</v>
      </c>
      <c r="I42" s="243">
        <v>0</v>
      </c>
      <c r="J42" s="243">
        <v>476918.03834713716</v>
      </c>
      <c r="K42" s="243">
        <v>0</v>
      </c>
      <c r="L42" s="243">
        <v>7153.7705752070569</v>
      </c>
      <c r="M42" s="243">
        <v>484071.80892234424</v>
      </c>
      <c r="N42" s="248">
        <f t="shared" si="0"/>
        <v>983836.07669427432</v>
      </c>
      <c r="O42" s="248">
        <v>0</v>
      </c>
      <c r="P42" s="248">
        <v>953836.07669427432</v>
      </c>
      <c r="Q42" s="248">
        <v>30000</v>
      </c>
      <c r="R42" s="248">
        <v>0</v>
      </c>
      <c r="S42" s="248">
        <v>983836.07669427432</v>
      </c>
      <c r="U42" s="28"/>
      <c r="V42" s="28"/>
      <c r="W42" s="28"/>
      <c r="Y42" s="28"/>
      <c r="Z42" s="28"/>
    </row>
    <row r="43" spans="1:26" ht="18.75" customHeight="1" thickTop="1" thickBot="1">
      <c r="A43" s="98">
        <v>3</v>
      </c>
      <c r="C43" s="1205">
        <f ca="1"/>
        <v>4.0999999999999996</v>
      </c>
      <c r="G43" s="98">
        <v>35</v>
      </c>
      <c r="H43" s="239">
        <v>46327</v>
      </c>
      <c r="I43" s="243">
        <v>0</v>
      </c>
      <c r="J43" s="243">
        <v>476918.03834713716</v>
      </c>
      <c r="K43" s="243">
        <v>0</v>
      </c>
      <c r="L43" s="243">
        <v>7153.7705752070569</v>
      </c>
      <c r="M43" s="243">
        <v>484071.80892234424</v>
      </c>
      <c r="N43" s="248">
        <f t="shared" si="0"/>
        <v>983836.07669427432</v>
      </c>
      <c r="O43" s="248">
        <v>0</v>
      </c>
      <c r="P43" s="248">
        <v>953836.07669427432</v>
      </c>
      <c r="Q43" s="248">
        <v>30000</v>
      </c>
      <c r="R43" s="248">
        <v>0</v>
      </c>
      <c r="S43" s="248">
        <v>983836.07669427432</v>
      </c>
      <c r="U43" s="96"/>
      <c r="V43" s="96"/>
      <c r="W43" s="96"/>
      <c r="Y43" s="342"/>
      <c r="Z43" s="96"/>
    </row>
    <row r="44" spans="1:26" ht="18.75" customHeight="1" thickTop="1" thickBot="1">
      <c r="A44" s="98">
        <v>3</v>
      </c>
      <c r="C44" s="1205">
        <f ca="1"/>
        <v>4.0999999999999996</v>
      </c>
      <c r="G44" s="98">
        <v>36</v>
      </c>
      <c r="H44" s="239">
        <v>46357</v>
      </c>
      <c r="I44" s="243">
        <v>0</v>
      </c>
      <c r="J44" s="243">
        <v>476918.03834713716</v>
      </c>
      <c r="K44" s="243">
        <v>0</v>
      </c>
      <c r="L44" s="243">
        <v>7153.7705752070569</v>
      </c>
      <c r="M44" s="243">
        <v>484071.80892234424</v>
      </c>
      <c r="N44" s="248">
        <f t="shared" si="0"/>
        <v>983836.07669427432</v>
      </c>
      <c r="O44" s="248">
        <v>0</v>
      </c>
      <c r="P44" s="248">
        <v>953836.07669427432</v>
      </c>
      <c r="Q44" s="248">
        <v>30000</v>
      </c>
      <c r="R44" s="248">
        <v>0</v>
      </c>
      <c r="S44" s="248">
        <v>983836.07669427432</v>
      </c>
      <c r="U44" s="96"/>
      <c r="V44" s="96"/>
      <c r="W44" s="96"/>
      <c r="Y44" s="342"/>
      <c r="Z44" s="96"/>
    </row>
    <row r="45" spans="1:26" ht="18.75" customHeight="1" thickTop="1" thickBot="1">
      <c r="A45" s="98">
        <v>4</v>
      </c>
      <c r="C45" s="1205">
        <f ca="1"/>
        <v>4.2</v>
      </c>
      <c r="G45" s="98">
        <v>37</v>
      </c>
      <c r="H45" s="239">
        <v>46388</v>
      </c>
      <c r="I45" s="243">
        <v>0</v>
      </c>
      <c r="J45" s="243">
        <v>476918.03834713716</v>
      </c>
      <c r="K45" s="243">
        <v>0</v>
      </c>
      <c r="L45" s="243">
        <v>7153.7705752070569</v>
      </c>
      <c r="M45" s="243">
        <v>484071.80892234424</v>
      </c>
      <c r="N45" s="248">
        <f t="shared" si="0"/>
        <v>983836.07669427432</v>
      </c>
      <c r="O45" s="248">
        <v>0</v>
      </c>
      <c r="P45" s="248">
        <v>953836.07669427432</v>
      </c>
      <c r="Q45" s="248">
        <v>30000</v>
      </c>
      <c r="R45" s="248">
        <v>0</v>
      </c>
      <c r="S45" s="248">
        <v>983836.07669427432</v>
      </c>
      <c r="U45" s="96"/>
      <c r="V45" s="96"/>
      <c r="W45" s="96"/>
      <c r="Y45" s="342"/>
      <c r="Z45" s="96"/>
    </row>
    <row r="46" spans="1:26" ht="18.75" customHeight="1" thickTop="1" thickBot="1">
      <c r="A46" s="98">
        <v>4</v>
      </c>
      <c r="C46" s="1205">
        <f ca="1"/>
        <v>4.2</v>
      </c>
      <c r="G46" s="98">
        <v>38</v>
      </c>
      <c r="H46" s="239">
        <v>46419</v>
      </c>
      <c r="I46" s="243">
        <v>0</v>
      </c>
      <c r="J46" s="243">
        <v>476918.03834713716</v>
      </c>
      <c r="K46" s="243">
        <v>0</v>
      </c>
      <c r="L46" s="243">
        <v>7153.7705752070569</v>
      </c>
      <c r="M46" s="243">
        <v>484071.80892234424</v>
      </c>
      <c r="N46" s="248">
        <f t="shared" si="0"/>
        <v>983836.07669427432</v>
      </c>
      <c r="O46" s="248">
        <v>0</v>
      </c>
      <c r="P46" s="248">
        <v>953836.07669427432</v>
      </c>
      <c r="Q46" s="248">
        <v>30000</v>
      </c>
      <c r="R46" s="248">
        <v>0</v>
      </c>
      <c r="S46" s="248">
        <v>983836.07669427432</v>
      </c>
      <c r="U46" s="96"/>
      <c r="V46" s="96"/>
      <c r="W46" s="96"/>
    </row>
    <row r="47" spans="1:26" ht="18.75" customHeight="1" thickTop="1" thickBot="1">
      <c r="A47" s="98">
        <v>4</v>
      </c>
      <c r="C47" s="1205">
        <f ca="1"/>
        <v>4.2</v>
      </c>
      <c r="G47" s="98">
        <v>39</v>
      </c>
      <c r="H47" s="239">
        <v>46447</v>
      </c>
      <c r="I47" s="243">
        <v>0</v>
      </c>
      <c r="J47" s="243">
        <v>476918.03834713716</v>
      </c>
      <c r="K47" s="243">
        <v>0</v>
      </c>
      <c r="L47" s="243">
        <v>7153.7705752070569</v>
      </c>
      <c r="M47" s="243">
        <v>484071.80892234424</v>
      </c>
      <c r="N47" s="248">
        <f t="shared" si="0"/>
        <v>983836.07669427432</v>
      </c>
      <c r="O47" s="248">
        <v>0</v>
      </c>
      <c r="P47" s="248">
        <v>953836.07669427432</v>
      </c>
      <c r="Q47" s="248">
        <v>30000</v>
      </c>
      <c r="R47" s="248">
        <v>0</v>
      </c>
      <c r="S47" s="248">
        <v>983836.07669427432</v>
      </c>
      <c r="U47" s="96"/>
      <c r="V47" s="96"/>
      <c r="W47" s="96"/>
    </row>
    <row r="48" spans="1:26" ht="18.75" customHeight="1" thickTop="1" thickBot="1">
      <c r="A48" s="98">
        <v>4</v>
      </c>
      <c r="C48" s="1205">
        <f ca="1"/>
        <v>4.2</v>
      </c>
      <c r="G48" s="98">
        <v>40</v>
      </c>
      <c r="H48" s="239">
        <v>46478</v>
      </c>
      <c r="I48" s="243">
        <v>0</v>
      </c>
      <c r="J48" s="243">
        <v>476918.03834713716</v>
      </c>
      <c r="K48" s="243">
        <v>0</v>
      </c>
      <c r="L48" s="243">
        <v>7153.7705752070569</v>
      </c>
      <c r="M48" s="243">
        <v>484071.80892234424</v>
      </c>
      <c r="N48" s="248">
        <f t="shared" si="0"/>
        <v>983836.07669427432</v>
      </c>
      <c r="O48" s="248">
        <v>0</v>
      </c>
      <c r="P48" s="248">
        <v>953836.07669427432</v>
      </c>
      <c r="Q48" s="248">
        <v>30000</v>
      </c>
      <c r="R48" s="248">
        <v>0</v>
      </c>
      <c r="S48" s="248">
        <v>983836.07669427432</v>
      </c>
      <c r="U48" s="96"/>
      <c r="V48" s="96"/>
      <c r="W48" s="96"/>
    </row>
    <row r="49" spans="1:19" ht="18.75" customHeight="1" thickTop="1" thickBot="1">
      <c r="A49" s="98">
        <v>4</v>
      </c>
      <c r="C49" s="1205">
        <f ca="1"/>
        <v>4.2</v>
      </c>
      <c r="G49" s="98">
        <v>41</v>
      </c>
      <c r="H49" s="239">
        <v>46508</v>
      </c>
      <c r="I49" s="243">
        <v>0</v>
      </c>
      <c r="J49" s="243">
        <v>476918.03834713716</v>
      </c>
      <c r="K49" s="243">
        <v>0</v>
      </c>
      <c r="L49" s="243">
        <v>7153.7705752070569</v>
      </c>
      <c r="M49" s="243">
        <v>484071.80892234424</v>
      </c>
      <c r="N49" s="248">
        <f t="shared" si="0"/>
        <v>983836.07669427432</v>
      </c>
      <c r="O49" s="248">
        <v>0</v>
      </c>
      <c r="P49" s="248">
        <v>953836.07669427432</v>
      </c>
      <c r="Q49" s="248">
        <v>30000</v>
      </c>
      <c r="R49" s="248">
        <v>0</v>
      </c>
      <c r="S49" s="248">
        <v>983836.07669427432</v>
      </c>
    </row>
    <row r="50" spans="1:19" ht="16" thickTop="1" thickBot="1">
      <c r="A50" s="98">
        <v>4</v>
      </c>
      <c r="C50" s="1205">
        <f ca="1"/>
        <v>4.2</v>
      </c>
      <c r="G50" s="98">
        <v>42</v>
      </c>
      <c r="H50" s="239">
        <v>46539</v>
      </c>
      <c r="I50" s="243">
        <v>0</v>
      </c>
      <c r="J50" s="243">
        <v>242114.89199628521</v>
      </c>
      <c r="K50" s="243">
        <v>15451569.622072455</v>
      </c>
      <c r="L50" s="243">
        <v>235405.26771103108</v>
      </c>
      <c r="M50" s="243">
        <v>15929089.78177977</v>
      </c>
      <c r="N50" s="248">
        <f t="shared" si="0"/>
        <v>983836.07669427432</v>
      </c>
      <c r="O50" s="248">
        <v>0</v>
      </c>
      <c r="P50" s="248">
        <v>484229.78399257042</v>
      </c>
      <c r="Q50" s="248">
        <v>527607.56443340983</v>
      </c>
      <c r="R50" s="248">
        <v>47770326.185607359</v>
      </c>
      <c r="S50" s="248">
        <v>-46758488.837181382</v>
      </c>
    </row>
    <row r="51" spans="1:19" ht="16" thickTop="1" thickBot="1">
      <c r="A51" s="98">
        <v>4</v>
      </c>
      <c r="C51" s="1205"/>
      <c r="G51" s="98">
        <v>43</v>
      </c>
      <c r="H51" s="239">
        <v>46569</v>
      </c>
      <c r="I51" s="243">
        <v>0</v>
      </c>
      <c r="J51" s="243">
        <v>242114.89199628521</v>
      </c>
      <c r="K51" s="243">
        <v>0</v>
      </c>
      <c r="L51" s="243">
        <v>3631.7233799442779</v>
      </c>
      <c r="M51" s="243">
        <v>245746.61537622949</v>
      </c>
      <c r="N51" s="248">
        <f t="shared" si="0"/>
        <v>-46758488.837181382</v>
      </c>
      <c r="O51" s="248">
        <v>0</v>
      </c>
      <c r="P51" s="248">
        <v>484229.78399257042</v>
      </c>
      <c r="Q51" s="248">
        <v>30000</v>
      </c>
      <c r="R51" s="248">
        <v>0</v>
      </c>
      <c r="S51" s="248">
        <v>514229.78399257042</v>
      </c>
    </row>
    <row r="52" spans="1:19" ht="16" thickTop="1" thickBot="1">
      <c r="A52" s="98">
        <v>4</v>
      </c>
      <c r="C52" s="1205"/>
      <c r="G52" s="98">
        <v>44</v>
      </c>
      <c r="H52" s="239">
        <v>46600</v>
      </c>
      <c r="I52" s="243">
        <v>0</v>
      </c>
      <c r="J52" s="243">
        <v>242114.89199628521</v>
      </c>
      <c r="K52" s="243">
        <v>0</v>
      </c>
      <c r="L52" s="243">
        <v>3631.7233799442779</v>
      </c>
      <c r="M52" s="243">
        <v>245746.61537622949</v>
      </c>
      <c r="N52" s="248">
        <f t="shared" si="0"/>
        <v>514229.78399257042</v>
      </c>
      <c r="O52" s="248">
        <v>0</v>
      </c>
      <c r="P52" s="248">
        <v>484229.78399257042</v>
      </c>
      <c r="Q52" s="248">
        <v>30000</v>
      </c>
      <c r="R52" s="248">
        <v>0</v>
      </c>
      <c r="S52" s="248">
        <v>514229.78399257042</v>
      </c>
    </row>
    <row r="53" spans="1:19" ht="16" thickTop="1" thickBot="1">
      <c r="A53" s="98">
        <v>4</v>
      </c>
      <c r="C53" s="1204"/>
      <c r="G53" s="98">
        <v>45</v>
      </c>
      <c r="H53" s="239">
        <v>46631</v>
      </c>
      <c r="I53" s="243">
        <v>0</v>
      </c>
      <c r="J53" s="243">
        <v>242114.89199628521</v>
      </c>
      <c r="K53" s="243">
        <v>0</v>
      </c>
      <c r="L53" s="243">
        <v>3631.7233799442779</v>
      </c>
      <c r="M53" s="243">
        <v>245746.61537622949</v>
      </c>
      <c r="N53" s="248">
        <f t="shared" si="0"/>
        <v>514229.78399257042</v>
      </c>
      <c r="O53" s="248">
        <v>0</v>
      </c>
      <c r="P53" s="248">
        <v>484229.78399257042</v>
      </c>
      <c r="Q53" s="248">
        <v>30000</v>
      </c>
      <c r="R53" s="248">
        <v>0</v>
      </c>
      <c r="S53" s="248">
        <v>514229.78399257042</v>
      </c>
    </row>
    <row r="54" spans="1:19" ht="16" thickTop="1" thickBot="1">
      <c r="A54" s="98">
        <v>4</v>
      </c>
      <c r="C54" s="1204"/>
      <c r="G54" s="98">
        <v>46</v>
      </c>
      <c r="H54" s="239">
        <v>46661</v>
      </c>
      <c r="I54" s="243">
        <v>0</v>
      </c>
      <c r="J54" s="243">
        <v>242114.89199628521</v>
      </c>
      <c r="K54" s="243">
        <v>0</v>
      </c>
      <c r="L54" s="243">
        <v>3631.7233799442779</v>
      </c>
      <c r="M54" s="243">
        <v>245746.61537622949</v>
      </c>
      <c r="N54" s="248">
        <f t="shared" si="0"/>
        <v>514229.78399257042</v>
      </c>
      <c r="O54" s="248">
        <v>0</v>
      </c>
      <c r="P54" s="248">
        <v>484229.78399257042</v>
      </c>
      <c r="Q54" s="248">
        <v>30000</v>
      </c>
      <c r="R54" s="248">
        <v>0</v>
      </c>
      <c r="S54" s="248">
        <v>514229.78399257042</v>
      </c>
    </row>
    <row r="55" spans="1:19" ht="16" thickTop="1" thickBot="1">
      <c r="A55" s="98">
        <v>4</v>
      </c>
      <c r="C55" s="1204"/>
      <c r="G55" s="98">
        <v>47</v>
      </c>
      <c r="H55" s="239">
        <v>46692</v>
      </c>
      <c r="I55" s="243">
        <v>0</v>
      </c>
      <c r="J55" s="243">
        <v>242114.89199628521</v>
      </c>
      <c r="K55" s="243">
        <v>0</v>
      </c>
      <c r="L55" s="243">
        <v>3631.7233799442779</v>
      </c>
      <c r="M55" s="243">
        <v>245746.61537622949</v>
      </c>
      <c r="N55" s="248">
        <f t="shared" si="0"/>
        <v>514229.78399257042</v>
      </c>
      <c r="O55" s="248">
        <v>0</v>
      </c>
      <c r="P55" s="248">
        <v>484229.78399257042</v>
      </c>
      <c r="Q55" s="248">
        <v>30000</v>
      </c>
      <c r="R55" s="248">
        <v>0</v>
      </c>
      <c r="S55" s="248">
        <v>514229.78399257042</v>
      </c>
    </row>
    <row r="56" spans="1:19" ht="16" thickTop="1" thickBot="1">
      <c r="A56" s="98">
        <v>4</v>
      </c>
      <c r="C56" s="1204"/>
      <c r="G56" s="98">
        <v>48</v>
      </c>
      <c r="H56" s="239">
        <v>46722</v>
      </c>
      <c r="I56" s="243">
        <v>0</v>
      </c>
      <c r="J56" s="243">
        <v>53064.269390367117</v>
      </c>
      <c r="K56" s="243">
        <v>21085261.473525621</v>
      </c>
      <c r="L56" s="243">
        <v>317074.8861437398</v>
      </c>
      <c r="M56" s="243">
        <v>21455400.629059728</v>
      </c>
      <c r="N56" s="248">
        <f t="shared" si="0"/>
        <v>514229.78399257042</v>
      </c>
      <c r="O56" s="248">
        <v>0</v>
      </c>
      <c r="P56" s="248">
        <v>106128.53878073423</v>
      </c>
      <c r="Q56" s="248">
        <v>1981604.341479846</v>
      </c>
      <c r="R56" s="248">
        <v>187354016.78206518</v>
      </c>
      <c r="S56" s="248">
        <v>-185266283.9018046</v>
      </c>
    </row>
    <row r="57" spans="1:19" ht="16" thickTop="1" thickBot="1">
      <c r="A57" s="98">
        <v>5</v>
      </c>
      <c r="C57" s="1204"/>
      <c r="G57" s="98">
        <v>49</v>
      </c>
      <c r="H57" s="239">
        <v>46753</v>
      </c>
      <c r="I57" s="243">
        <v>0</v>
      </c>
      <c r="J57" s="243">
        <v>53064.269390367117</v>
      </c>
      <c r="K57" s="243">
        <v>0</v>
      </c>
      <c r="L57" s="243">
        <v>795.96404085550671</v>
      </c>
      <c r="M57" s="243">
        <v>53860.233431222623</v>
      </c>
      <c r="N57" s="248">
        <f t="shared" si="0"/>
        <v>-185266283.9018046</v>
      </c>
      <c r="O57" s="248">
        <v>0</v>
      </c>
      <c r="P57" s="248">
        <v>106128.53878073423</v>
      </c>
      <c r="Q57" s="248">
        <v>30000</v>
      </c>
      <c r="R57" s="248">
        <v>0</v>
      </c>
      <c r="S57" s="248">
        <v>136128.53878073423</v>
      </c>
    </row>
    <row r="58" spans="1:19" ht="16" thickTop="1" thickBot="1">
      <c r="A58" s="98">
        <v>5</v>
      </c>
      <c r="C58" s="1204"/>
      <c r="G58" s="98">
        <v>50</v>
      </c>
      <c r="H58" s="239">
        <v>46784</v>
      </c>
      <c r="I58" s="243">
        <v>0</v>
      </c>
      <c r="J58" s="243">
        <v>53064.269390367117</v>
      </c>
      <c r="K58" s="243">
        <v>0</v>
      </c>
      <c r="L58" s="243">
        <v>795.96404085550671</v>
      </c>
      <c r="M58" s="243">
        <v>53860.233431222623</v>
      </c>
      <c r="N58" s="248">
        <f t="shared" si="0"/>
        <v>136128.53878073423</v>
      </c>
      <c r="O58" s="248">
        <v>0</v>
      </c>
      <c r="P58" s="248">
        <v>106128.53878073423</v>
      </c>
      <c r="Q58" s="248">
        <v>30000</v>
      </c>
      <c r="R58" s="248">
        <v>0</v>
      </c>
      <c r="S58" s="248">
        <v>136128.53878073423</v>
      </c>
    </row>
    <row r="59" spans="1:19" ht="16" thickTop="1" thickBot="1">
      <c r="A59" s="98">
        <v>5</v>
      </c>
      <c r="C59" s="1204"/>
      <c r="G59" s="98">
        <v>51</v>
      </c>
      <c r="H59" s="239">
        <v>46813</v>
      </c>
      <c r="I59" s="243">
        <v>0</v>
      </c>
      <c r="J59" s="243">
        <v>53064.269390367117</v>
      </c>
      <c r="K59" s="243">
        <v>0</v>
      </c>
      <c r="L59" s="243">
        <v>795.96404085550671</v>
      </c>
      <c r="M59" s="243">
        <v>53860.233431222623</v>
      </c>
      <c r="N59" s="248">
        <f t="shared" si="0"/>
        <v>136128.53878073423</v>
      </c>
      <c r="O59" s="248">
        <v>0</v>
      </c>
      <c r="P59" s="248">
        <v>106128.53878073423</v>
      </c>
      <c r="Q59" s="248">
        <v>30000</v>
      </c>
      <c r="R59" s="248">
        <v>0</v>
      </c>
      <c r="S59" s="248">
        <v>136128.53878073423</v>
      </c>
    </row>
    <row r="60" spans="1:19" ht="16" thickTop="1" thickBot="1">
      <c r="A60" s="98">
        <v>5</v>
      </c>
      <c r="C60" s="1204"/>
      <c r="G60" s="98">
        <v>52</v>
      </c>
      <c r="H60" s="239">
        <v>46844</v>
      </c>
      <c r="I60" s="243">
        <v>0</v>
      </c>
      <c r="J60" s="243">
        <v>53064.269390367117</v>
      </c>
      <c r="K60" s="243">
        <v>0</v>
      </c>
      <c r="L60" s="243">
        <v>795.96404085550671</v>
      </c>
      <c r="M60" s="243">
        <v>53860.233431222623</v>
      </c>
      <c r="N60" s="248">
        <f t="shared" si="0"/>
        <v>136128.53878073423</v>
      </c>
      <c r="O60" s="248">
        <v>0</v>
      </c>
      <c r="P60" s="248">
        <v>106128.53878073423</v>
      </c>
      <c r="Q60" s="248">
        <v>30000</v>
      </c>
      <c r="R60" s="248">
        <v>0</v>
      </c>
      <c r="S60" s="248">
        <v>136128.53878073423</v>
      </c>
    </row>
    <row r="61" spans="1:19" ht="16" thickTop="1" thickBot="1">
      <c r="A61" s="98">
        <v>5</v>
      </c>
      <c r="C61" s="1204"/>
      <c r="G61" s="98">
        <v>53</v>
      </c>
      <c r="H61" s="239">
        <v>46874</v>
      </c>
      <c r="I61" s="243">
        <v>0</v>
      </c>
      <c r="J61" s="243">
        <v>53064.269390367117</v>
      </c>
      <c r="K61" s="243">
        <v>0</v>
      </c>
      <c r="L61" s="243">
        <v>795.96404085550671</v>
      </c>
      <c r="M61" s="243">
        <v>53860.233431222623</v>
      </c>
      <c r="N61" s="248">
        <f t="shared" si="0"/>
        <v>136128.53878073423</v>
      </c>
      <c r="O61" s="248">
        <v>0</v>
      </c>
      <c r="P61" s="248">
        <v>106128.53878073423</v>
      </c>
      <c r="Q61" s="248">
        <v>30000</v>
      </c>
      <c r="R61" s="248">
        <v>0</v>
      </c>
      <c r="S61" s="248">
        <v>136128.53878073423</v>
      </c>
    </row>
    <row r="62" spans="1:19" ht="16" thickTop="1" thickBot="1">
      <c r="A62" s="98">
        <v>5</v>
      </c>
      <c r="C62" s="1203"/>
      <c r="G62" s="98">
        <v>54</v>
      </c>
      <c r="H62" s="239">
        <v>46905</v>
      </c>
      <c r="I62" s="243">
        <v>0</v>
      </c>
      <c r="J62" s="243">
        <v>53064.269390367117</v>
      </c>
      <c r="K62" s="243">
        <v>0</v>
      </c>
      <c r="L62" s="243">
        <v>795.96404085550671</v>
      </c>
      <c r="M62" s="243">
        <v>53860.233431222623</v>
      </c>
      <c r="N62" s="248">
        <f t="shared" si="0"/>
        <v>136128.53878073423</v>
      </c>
      <c r="O62" s="248">
        <v>0</v>
      </c>
      <c r="P62" s="248">
        <v>106128.53878073423</v>
      </c>
      <c r="Q62" s="248">
        <v>30000</v>
      </c>
      <c r="R62" s="248">
        <v>0</v>
      </c>
      <c r="S62" s="248">
        <v>136128.53878073423</v>
      </c>
    </row>
    <row r="63" spans="1:19" ht="16" thickTop="1" thickBot="1">
      <c r="A63" s="98">
        <v>5</v>
      </c>
      <c r="G63" s="98">
        <v>55</v>
      </c>
      <c r="H63" s="239">
        <v>46935</v>
      </c>
      <c r="I63" s="243">
        <v>0</v>
      </c>
      <c r="J63" s="243">
        <v>53064.269390367117</v>
      </c>
      <c r="K63" s="243">
        <v>0</v>
      </c>
      <c r="L63" s="243">
        <v>795.96404085550671</v>
      </c>
      <c r="M63" s="243">
        <v>53860.233431222623</v>
      </c>
      <c r="N63" s="248">
        <f t="shared" si="0"/>
        <v>136128.53878073423</v>
      </c>
      <c r="O63" s="248">
        <v>0</v>
      </c>
      <c r="P63" s="248">
        <v>106128.53878073423</v>
      </c>
      <c r="Q63" s="248">
        <v>30000</v>
      </c>
      <c r="R63" s="248">
        <v>0</v>
      </c>
      <c r="S63" s="248">
        <v>136128.53878073423</v>
      </c>
    </row>
    <row r="64" spans="1:19" ht="16" thickTop="1" thickBot="1">
      <c r="A64" s="98">
        <v>5</v>
      </c>
      <c r="G64" s="98">
        <v>56</v>
      </c>
      <c r="H64" s="239">
        <v>46966</v>
      </c>
      <c r="I64" s="243">
        <v>0</v>
      </c>
      <c r="J64" s="243">
        <v>53064.269390367117</v>
      </c>
      <c r="K64" s="243">
        <v>0</v>
      </c>
      <c r="L64" s="243">
        <v>795.96404085550671</v>
      </c>
      <c r="M64" s="243">
        <v>53860.233431222623</v>
      </c>
      <c r="N64" s="248">
        <f t="shared" si="0"/>
        <v>136128.53878073423</v>
      </c>
      <c r="O64" s="248">
        <v>0</v>
      </c>
      <c r="P64" s="248">
        <v>106128.53878073423</v>
      </c>
      <c r="Q64" s="248">
        <v>30000</v>
      </c>
      <c r="R64" s="248">
        <v>0</v>
      </c>
      <c r="S64" s="248">
        <v>136128.53878073423</v>
      </c>
    </row>
    <row r="65" spans="1:19" ht="16" thickTop="1" thickBot="1">
      <c r="A65" s="98">
        <v>5</v>
      </c>
      <c r="G65" s="98">
        <v>57</v>
      </c>
      <c r="H65" s="239">
        <v>46997</v>
      </c>
      <c r="I65" s="243">
        <v>0</v>
      </c>
      <c r="J65" s="243">
        <v>53064.269390367117</v>
      </c>
      <c r="K65" s="243">
        <v>0</v>
      </c>
      <c r="L65" s="243">
        <v>795.96404085550671</v>
      </c>
      <c r="M65" s="243">
        <v>53860.233431222623</v>
      </c>
      <c r="N65" s="248">
        <f t="shared" si="0"/>
        <v>136128.53878073423</v>
      </c>
      <c r="O65" s="248">
        <v>0</v>
      </c>
      <c r="P65" s="248">
        <v>106128.53878073423</v>
      </c>
      <c r="Q65" s="248">
        <v>30000</v>
      </c>
      <c r="R65" s="248">
        <v>0</v>
      </c>
      <c r="S65" s="248">
        <v>136128.53878073423</v>
      </c>
    </row>
    <row r="66" spans="1:19" ht="16" thickTop="1" thickBot="1">
      <c r="A66" s="98">
        <v>5</v>
      </c>
      <c r="G66" s="98">
        <v>58</v>
      </c>
      <c r="H66" s="239">
        <v>47027</v>
      </c>
      <c r="I66" s="243">
        <v>0</v>
      </c>
      <c r="J66" s="243">
        <v>53064.269390367117</v>
      </c>
      <c r="K66" s="243">
        <v>0</v>
      </c>
      <c r="L66" s="243">
        <v>795.96404085550671</v>
      </c>
      <c r="M66" s="243">
        <v>53860.233431222623</v>
      </c>
      <c r="N66" s="248">
        <f t="shared" si="0"/>
        <v>136128.53878073423</v>
      </c>
      <c r="O66" s="248">
        <v>0</v>
      </c>
      <c r="P66" s="248">
        <v>106128.53878073423</v>
      </c>
      <c r="Q66" s="248">
        <v>30000</v>
      </c>
      <c r="R66" s="248">
        <v>0</v>
      </c>
      <c r="S66" s="248">
        <v>136128.53878073423</v>
      </c>
    </row>
    <row r="67" spans="1:19" ht="16" thickTop="1" thickBot="1">
      <c r="A67" s="98">
        <v>5</v>
      </c>
      <c r="G67" s="98">
        <v>59</v>
      </c>
      <c r="H67" s="239">
        <v>47058</v>
      </c>
      <c r="I67" s="243">
        <v>0</v>
      </c>
      <c r="J67" s="243">
        <v>53064.269390367117</v>
      </c>
      <c r="K67" s="243">
        <v>0</v>
      </c>
      <c r="L67" s="243">
        <v>795.96404085550671</v>
      </c>
      <c r="M67" s="243">
        <v>53860.233431222623</v>
      </c>
      <c r="N67" s="248">
        <f t="shared" si="0"/>
        <v>136128.53878073423</v>
      </c>
      <c r="O67" s="248">
        <v>0</v>
      </c>
      <c r="P67" s="248">
        <v>106128.53878073423</v>
      </c>
      <c r="Q67" s="248">
        <v>30000</v>
      </c>
      <c r="R67" s="248">
        <v>0</v>
      </c>
      <c r="S67" s="248">
        <v>136128.53878073423</v>
      </c>
    </row>
    <row r="68" spans="1:19" ht="16" thickTop="1" thickBot="1">
      <c r="A68" s="98">
        <v>5</v>
      </c>
      <c r="G68" s="98">
        <v>60</v>
      </c>
      <c r="H68" s="239">
        <v>47088</v>
      </c>
      <c r="I68" s="243">
        <v>0</v>
      </c>
      <c r="J68" s="243">
        <v>164177.75461605191</v>
      </c>
      <c r="K68" s="243">
        <v>0</v>
      </c>
      <c r="L68" s="243">
        <v>2462.6663192407786</v>
      </c>
      <c r="M68" s="243">
        <v>166640.4209352927</v>
      </c>
      <c r="N68" s="248">
        <f t="shared" si="0"/>
        <v>136128.53878073423</v>
      </c>
      <c r="O68" s="248">
        <v>0</v>
      </c>
      <c r="P68" s="248">
        <v>328355.50923210382</v>
      </c>
      <c r="Q68" s="248">
        <v>30000</v>
      </c>
      <c r="R68" s="248">
        <v>0</v>
      </c>
      <c r="S68" s="248">
        <v>358355.50923210382</v>
      </c>
    </row>
    <row r="69" spans="1:19" ht="16" thickTop="1" thickBot="1">
      <c r="A69" s="98">
        <v>6</v>
      </c>
      <c r="G69" s="98">
        <v>61</v>
      </c>
      <c r="H69" s="239">
        <v>47119</v>
      </c>
      <c r="I69" s="243">
        <v>0</v>
      </c>
      <c r="J69" s="243">
        <v>164177.75461605191</v>
      </c>
      <c r="K69" s="243">
        <v>0</v>
      </c>
      <c r="L69" s="243">
        <v>2462.6663192407786</v>
      </c>
      <c r="M69" s="243">
        <v>166640.4209352927</v>
      </c>
      <c r="N69" s="248">
        <f t="shared" si="0"/>
        <v>358355.50923210382</v>
      </c>
      <c r="O69" s="248">
        <v>0</v>
      </c>
      <c r="P69" s="248">
        <v>328355.50923210382</v>
      </c>
      <c r="Q69" s="248">
        <v>30000</v>
      </c>
      <c r="R69" s="248">
        <v>0</v>
      </c>
      <c r="S69" s="248">
        <v>358355.50923210382</v>
      </c>
    </row>
    <row r="70" spans="1:19" ht="16" thickTop="1" thickBot="1">
      <c r="A70" s="98">
        <v>6</v>
      </c>
      <c r="G70" s="98">
        <v>62</v>
      </c>
      <c r="H70" s="239">
        <v>47150</v>
      </c>
      <c r="I70" s="243">
        <v>0</v>
      </c>
      <c r="J70" s="243">
        <v>164177.75461605191</v>
      </c>
      <c r="K70" s="243">
        <v>0</v>
      </c>
      <c r="L70" s="243">
        <v>2462.6663192407786</v>
      </c>
      <c r="M70" s="243">
        <v>166640.4209352927</v>
      </c>
      <c r="N70" s="248">
        <f t="shared" si="0"/>
        <v>358355.50923210382</v>
      </c>
      <c r="O70" s="248">
        <v>0</v>
      </c>
      <c r="P70" s="248">
        <v>328355.50923210382</v>
      </c>
      <c r="Q70" s="248">
        <v>30000</v>
      </c>
      <c r="R70" s="248">
        <v>0</v>
      </c>
      <c r="S70" s="248">
        <v>358355.50923210382</v>
      </c>
    </row>
    <row r="71" spans="1:19" ht="16" thickTop="1" thickBot="1">
      <c r="A71" s="98">
        <v>6</v>
      </c>
      <c r="G71" s="98">
        <v>63</v>
      </c>
      <c r="H71" s="239">
        <v>47178</v>
      </c>
      <c r="I71" s="243">
        <v>0</v>
      </c>
      <c r="J71" s="243">
        <v>164177.75461605191</v>
      </c>
      <c r="K71" s="243">
        <v>0</v>
      </c>
      <c r="L71" s="243">
        <v>2462.6663192407786</v>
      </c>
      <c r="M71" s="243">
        <v>166640.4209352927</v>
      </c>
      <c r="N71" s="248">
        <f t="shared" si="0"/>
        <v>358355.50923210382</v>
      </c>
      <c r="O71" s="248">
        <v>0</v>
      </c>
      <c r="P71" s="248">
        <v>328355.50923210382</v>
      </c>
      <c r="Q71" s="248">
        <v>30000</v>
      </c>
      <c r="R71" s="248">
        <v>0</v>
      </c>
      <c r="S71" s="248">
        <v>358355.50923210382</v>
      </c>
    </row>
    <row r="72" spans="1:19" ht="16" thickTop="1" thickBot="1">
      <c r="A72" s="98">
        <v>6</v>
      </c>
      <c r="G72" s="98">
        <v>64</v>
      </c>
      <c r="H72" s="239">
        <v>47209</v>
      </c>
      <c r="I72" s="243">
        <v>0</v>
      </c>
      <c r="J72" s="243">
        <v>164177.75461605191</v>
      </c>
      <c r="K72" s="243">
        <v>0</v>
      </c>
      <c r="L72" s="243">
        <v>2462.6663192407786</v>
      </c>
      <c r="M72" s="243">
        <v>166640.4209352927</v>
      </c>
      <c r="N72" s="248">
        <f t="shared" si="0"/>
        <v>358355.50923210382</v>
      </c>
      <c r="O72" s="248">
        <v>0</v>
      </c>
      <c r="P72" s="248">
        <v>328355.50923210382</v>
      </c>
      <c r="Q72" s="248">
        <v>30000</v>
      </c>
      <c r="R72" s="248">
        <v>0</v>
      </c>
      <c r="S72" s="248">
        <v>358355.50923210382</v>
      </c>
    </row>
    <row r="73" spans="1:19" ht="16" thickTop="1" thickBot="1">
      <c r="A73" s="98">
        <v>6</v>
      </c>
      <c r="G73" s="98">
        <v>65</v>
      </c>
      <c r="H73" s="239">
        <v>47239</v>
      </c>
      <c r="I73" s="243">
        <v>0</v>
      </c>
      <c r="J73" s="243">
        <v>164177.75461605191</v>
      </c>
      <c r="K73" s="243">
        <v>0</v>
      </c>
      <c r="L73" s="243">
        <v>2462.6663192407786</v>
      </c>
      <c r="M73" s="243">
        <v>166640.4209352927</v>
      </c>
      <c r="N73" s="248">
        <f t="shared" si="0"/>
        <v>358355.50923210382</v>
      </c>
      <c r="O73" s="248">
        <v>0</v>
      </c>
      <c r="P73" s="248">
        <v>328355.50923210382</v>
      </c>
      <c r="Q73" s="248">
        <v>30000</v>
      </c>
      <c r="R73" s="248">
        <v>0</v>
      </c>
      <c r="S73" s="248">
        <v>358355.50923210382</v>
      </c>
    </row>
    <row r="74" spans="1:19" ht="16" thickTop="1" thickBot="1">
      <c r="A74" s="98">
        <v>6</v>
      </c>
      <c r="G74" s="98">
        <v>66</v>
      </c>
      <c r="H74" s="239">
        <v>47270</v>
      </c>
      <c r="I74" s="243">
        <v>0</v>
      </c>
      <c r="J74" s="243">
        <v>164177.75461605191</v>
      </c>
      <c r="K74" s="243">
        <v>0</v>
      </c>
      <c r="L74" s="243">
        <v>2462.6663192407786</v>
      </c>
      <c r="M74" s="243">
        <v>166640.4209352927</v>
      </c>
      <c r="N74" s="248">
        <f t="shared" ref="N74:N137" si="2">S73</f>
        <v>358355.50923210382</v>
      </c>
      <c r="O74" s="248">
        <v>0</v>
      </c>
      <c r="P74" s="248">
        <v>328355.50923210382</v>
      </c>
      <c r="Q74" s="248">
        <v>30000</v>
      </c>
      <c r="R74" s="248">
        <v>0</v>
      </c>
      <c r="S74" s="248">
        <v>358355.50923210382</v>
      </c>
    </row>
    <row r="75" spans="1:19" ht="16" thickTop="1" thickBot="1">
      <c r="A75" s="98">
        <v>6</v>
      </c>
      <c r="G75" s="98">
        <v>67</v>
      </c>
      <c r="H75" s="239">
        <v>47300</v>
      </c>
      <c r="I75" s="243">
        <v>0</v>
      </c>
      <c r="J75" s="243">
        <v>164177.75461605191</v>
      </c>
      <c r="K75" s="243">
        <v>0</v>
      </c>
      <c r="L75" s="243">
        <v>2462.6663192407786</v>
      </c>
      <c r="M75" s="243">
        <v>166640.4209352927</v>
      </c>
      <c r="N75" s="248">
        <f t="shared" si="2"/>
        <v>358355.50923210382</v>
      </c>
      <c r="O75" s="248">
        <v>0</v>
      </c>
      <c r="P75" s="248">
        <v>328355.50923210382</v>
      </c>
      <c r="Q75" s="248">
        <v>30000</v>
      </c>
      <c r="R75" s="248">
        <v>0</v>
      </c>
      <c r="S75" s="248">
        <v>358355.50923210382</v>
      </c>
    </row>
    <row r="76" spans="1:19" ht="16" thickTop="1" thickBot="1">
      <c r="A76" s="98">
        <v>6</v>
      </c>
      <c r="G76" s="98">
        <v>68</v>
      </c>
      <c r="H76" s="239">
        <v>47331</v>
      </c>
      <c r="I76" s="243">
        <v>0</v>
      </c>
      <c r="J76" s="243">
        <v>164177.75461605191</v>
      </c>
      <c r="K76" s="243">
        <v>0</v>
      </c>
      <c r="L76" s="243">
        <v>2462.6663192407786</v>
      </c>
      <c r="M76" s="243">
        <v>166640.4209352927</v>
      </c>
      <c r="N76" s="248">
        <f t="shared" si="2"/>
        <v>358355.50923210382</v>
      </c>
      <c r="O76" s="248">
        <v>0</v>
      </c>
      <c r="P76" s="248">
        <v>328355.50923210382</v>
      </c>
      <c r="Q76" s="248">
        <v>30000</v>
      </c>
      <c r="R76" s="248">
        <v>0</v>
      </c>
      <c r="S76" s="248">
        <v>358355.50923210382</v>
      </c>
    </row>
    <row r="77" spans="1:19" ht="16" thickTop="1" thickBot="1">
      <c r="A77" s="98">
        <v>6</v>
      </c>
      <c r="G77" s="98">
        <v>69</v>
      </c>
      <c r="H77" s="239">
        <v>47362</v>
      </c>
      <c r="I77" s="243">
        <v>0</v>
      </c>
      <c r="J77" s="243">
        <v>164177.75461605191</v>
      </c>
      <c r="K77" s="243">
        <v>0</v>
      </c>
      <c r="L77" s="243">
        <v>2462.6663192407786</v>
      </c>
      <c r="M77" s="243">
        <v>166640.4209352927</v>
      </c>
      <c r="N77" s="248">
        <f t="shared" si="2"/>
        <v>358355.50923210382</v>
      </c>
      <c r="O77" s="248">
        <v>0</v>
      </c>
      <c r="P77" s="248">
        <v>328355.50923210382</v>
      </c>
      <c r="Q77" s="248">
        <v>30000</v>
      </c>
      <c r="R77" s="248">
        <v>0</v>
      </c>
      <c r="S77" s="248">
        <v>358355.50923210382</v>
      </c>
    </row>
    <row r="78" spans="1:19" ht="16" thickTop="1" thickBot="1">
      <c r="A78" s="98">
        <v>6</v>
      </c>
      <c r="G78" s="98">
        <v>70</v>
      </c>
      <c r="H78" s="239">
        <v>47392</v>
      </c>
      <c r="I78" s="243">
        <v>0</v>
      </c>
      <c r="J78" s="243">
        <v>164177.75461605191</v>
      </c>
      <c r="K78" s="243">
        <v>0</v>
      </c>
      <c r="L78" s="243">
        <v>2462.6663192407786</v>
      </c>
      <c r="M78" s="243">
        <v>166640.4209352927</v>
      </c>
      <c r="N78" s="248">
        <f t="shared" si="2"/>
        <v>358355.50923210382</v>
      </c>
      <c r="O78" s="248">
        <v>0</v>
      </c>
      <c r="P78" s="248">
        <v>328355.50923210382</v>
      </c>
      <c r="Q78" s="248">
        <v>30000</v>
      </c>
      <c r="R78" s="248">
        <v>0</v>
      </c>
      <c r="S78" s="248">
        <v>358355.50923210382</v>
      </c>
    </row>
    <row r="79" spans="1:19" ht="16" thickTop="1" thickBot="1">
      <c r="A79" s="98">
        <v>6</v>
      </c>
      <c r="G79" s="98">
        <v>71</v>
      </c>
      <c r="H79" s="239">
        <v>47423</v>
      </c>
      <c r="I79" s="243">
        <v>0</v>
      </c>
      <c r="J79" s="243">
        <v>164177.75461605191</v>
      </c>
      <c r="K79" s="243">
        <v>0</v>
      </c>
      <c r="L79" s="243">
        <v>2462.6663192407786</v>
      </c>
      <c r="M79" s="243">
        <v>166640.4209352927</v>
      </c>
      <c r="N79" s="248">
        <f t="shared" si="2"/>
        <v>358355.50923210382</v>
      </c>
      <c r="O79" s="248">
        <v>0</v>
      </c>
      <c r="P79" s="248">
        <v>328355.50923210382</v>
      </c>
      <c r="Q79" s="248">
        <v>30000</v>
      </c>
      <c r="R79" s="248">
        <v>0</v>
      </c>
      <c r="S79" s="248">
        <v>358355.50923210382</v>
      </c>
    </row>
    <row r="80" spans="1:19" ht="16" thickTop="1" thickBot="1">
      <c r="A80" s="98">
        <v>6</v>
      </c>
      <c r="G80" s="98">
        <v>72</v>
      </c>
      <c r="H80" s="239">
        <v>47453</v>
      </c>
      <c r="I80" s="243">
        <v>0</v>
      </c>
      <c r="J80" s="243">
        <v>111113.48522568481</v>
      </c>
      <c r="K80" s="243">
        <v>4356892.4218203472</v>
      </c>
      <c r="L80" s="243">
        <v>67020.088605690486</v>
      </c>
      <c r="M80" s="243">
        <v>4535025.9956517229</v>
      </c>
      <c r="N80" s="248">
        <f t="shared" si="2"/>
        <v>358355.50923210382</v>
      </c>
      <c r="O80" s="248">
        <v>0</v>
      </c>
      <c r="P80" s="248">
        <v>222226.97045136962</v>
      </c>
      <c r="Q80" s="248">
        <v>103732.02560003662</v>
      </c>
      <c r="R80" s="248">
        <v>7078274.4576035161</v>
      </c>
      <c r="S80" s="248">
        <v>-6752315.4615521096</v>
      </c>
    </row>
    <row r="81" spans="1:19" ht="16" thickTop="1" thickBot="1">
      <c r="A81" s="98">
        <v>7</v>
      </c>
      <c r="G81" s="98">
        <v>73</v>
      </c>
      <c r="H81" s="239">
        <v>47484</v>
      </c>
      <c r="I81" s="243">
        <v>0</v>
      </c>
      <c r="J81" s="243">
        <v>111113.48522568481</v>
      </c>
      <c r="K81" s="243">
        <v>3217341.3737694561</v>
      </c>
      <c r="L81" s="243">
        <v>49926.822884927111</v>
      </c>
      <c r="M81" s="243">
        <v>3378381.681880068</v>
      </c>
      <c r="N81" s="248">
        <f t="shared" si="2"/>
        <v>-6752315.4615521096</v>
      </c>
      <c r="O81" s="248">
        <v>0</v>
      </c>
      <c r="P81" s="248">
        <v>222226.97045136962</v>
      </c>
      <c r="Q81" s="248">
        <v>84447.315556098503</v>
      </c>
      <c r="R81" s="248">
        <v>5226942.2933854554</v>
      </c>
      <c r="S81" s="248">
        <v>-4920268.0073779877</v>
      </c>
    </row>
    <row r="82" spans="1:19" ht="16" thickTop="1" thickBot="1">
      <c r="A82" s="98">
        <v>7</v>
      </c>
      <c r="G82" s="98">
        <v>74</v>
      </c>
      <c r="H82" s="239">
        <v>47515</v>
      </c>
      <c r="I82" s="243">
        <v>0</v>
      </c>
      <c r="J82" s="243">
        <v>111113.48522568481</v>
      </c>
      <c r="K82" s="243">
        <v>0</v>
      </c>
      <c r="L82" s="243">
        <v>1666.7022783852722</v>
      </c>
      <c r="M82" s="243">
        <v>112780.18750407008</v>
      </c>
      <c r="N82" s="248">
        <f t="shared" si="2"/>
        <v>-4920268.0073779877</v>
      </c>
      <c r="O82" s="248">
        <v>0</v>
      </c>
      <c r="P82" s="248">
        <v>222226.97045136962</v>
      </c>
      <c r="Q82" s="248">
        <v>30000</v>
      </c>
      <c r="R82" s="248">
        <v>0</v>
      </c>
      <c r="S82" s="248">
        <v>252226.97045136962</v>
      </c>
    </row>
    <row r="83" spans="1:19" ht="16" thickTop="1" thickBot="1">
      <c r="A83" s="98">
        <v>7</v>
      </c>
      <c r="G83" s="98">
        <v>75</v>
      </c>
      <c r="H83" s="239">
        <v>47543</v>
      </c>
      <c r="I83" s="243">
        <v>0</v>
      </c>
      <c r="J83" s="243">
        <v>111113.48522568481</v>
      </c>
      <c r="K83" s="243">
        <v>0</v>
      </c>
      <c r="L83" s="243">
        <v>1666.7022783852722</v>
      </c>
      <c r="M83" s="243">
        <v>112780.18750407008</v>
      </c>
      <c r="N83" s="248">
        <f t="shared" si="2"/>
        <v>252226.97045136962</v>
      </c>
      <c r="O83" s="248">
        <v>0</v>
      </c>
      <c r="P83" s="248">
        <v>222226.97045136962</v>
      </c>
      <c r="Q83" s="248">
        <v>30000</v>
      </c>
      <c r="R83" s="248">
        <v>0</v>
      </c>
      <c r="S83" s="248">
        <v>252226.97045136962</v>
      </c>
    </row>
    <row r="84" spans="1:19" ht="16" thickTop="1" thickBot="1">
      <c r="A84" s="98">
        <v>7</v>
      </c>
      <c r="G84" s="98">
        <v>76</v>
      </c>
      <c r="H84" s="239">
        <v>47574</v>
      </c>
      <c r="I84" s="243">
        <v>0</v>
      </c>
      <c r="J84" s="243">
        <v>111113.48522568481</v>
      </c>
      <c r="K84" s="243">
        <v>0</v>
      </c>
      <c r="L84" s="243">
        <v>1666.7022783852722</v>
      </c>
      <c r="M84" s="243">
        <v>112780.18750407008</v>
      </c>
      <c r="N84" s="248">
        <f t="shared" si="2"/>
        <v>252226.97045136962</v>
      </c>
      <c r="O84" s="248">
        <v>0</v>
      </c>
      <c r="P84" s="248">
        <v>222226.97045136962</v>
      </c>
      <c r="Q84" s="248">
        <v>30000</v>
      </c>
      <c r="R84" s="248">
        <v>0</v>
      </c>
      <c r="S84" s="248">
        <v>252226.97045136962</v>
      </c>
    </row>
    <row r="85" spans="1:19" ht="16" thickTop="1" thickBot="1">
      <c r="A85" s="98">
        <v>7</v>
      </c>
      <c r="G85" s="98">
        <v>77</v>
      </c>
      <c r="H85" s="239">
        <v>47604</v>
      </c>
      <c r="I85" s="243">
        <v>0</v>
      </c>
      <c r="J85" s="243">
        <v>111113.48522568481</v>
      </c>
      <c r="K85" s="243">
        <v>0</v>
      </c>
      <c r="L85" s="243">
        <v>1666.7022783852722</v>
      </c>
      <c r="M85" s="243">
        <v>112780.18750407008</v>
      </c>
      <c r="N85" s="248">
        <f t="shared" si="2"/>
        <v>252226.97045136962</v>
      </c>
      <c r="O85" s="248">
        <v>0</v>
      </c>
      <c r="P85" s="248">
        <v>222226.97045136962</v>
      </c>
      <c r="Q85" s="248">
        <v>30000</v>
      </c>
      <c r="R85" s="248">
        <v>0</v>
      </c>
      <c r="S85" s="248">
        <v>252226.97045136962</v>
      </c>
    </row>
    <row r="86" spans="1:19" ht="16" thickTop="1" thickBot="1">
      <c r="A86" s="98">
        <v>7</v>
      </c>
      <c r="G86" s="98">
        <v>78</v>
      </c>
      <c r="H86" s="239">
        <v>47635</v>
      </c>
      <c r="I86" s="243">
        <v>0</v>
      </c>
      <c r="J86" s="243">
        <v>0</v>
      </c>
      <c r="K86" s="243">
        <v>10618322.313822042</v>
      </c>
      <c r="L86" s="243">
        <v>159274.83470733062</v>
      </c>
      <c r="M86" s="243">
        <v>10777597.148529373</v>
      </c>
      <c r="N86" s="248">
        <f t="shared" si="2"/>
        <v>252226.97045136962</v>
      </c>
      <c r="O86" s="248">
        <v>0</v>
      </c>
      <c r="P86" s="248">
        <v>0</v>
      </c>
      <c r="Q86" s="248">
        <v>209694.68531083452</v>
      </c>
      <c r="R86" s="248">
        <v>17250689.789840117</v>
      </c>
      <c r="S86" s="248">
        <v>-17040995.104529284</v>
      </c>
    </row>
    <row r="87" spans="1:19" ht="16" thickTop="1" thickBot="1">
      <c r="A87" s="98">
        <v>7</v>
      </c>
      <c r="G87" s="98">
        <v>79</v>
      </c>
      <c r="H87" s="239">
        <v>47665</v>
      </c>
      <c r="I87" s="243">
        <v>0</v>
      </c>
      <c r="J87" s="243">
        <v>0</v>
      </c>
      <c r="K87" s="243">
        <v>0</v>
      </c>
      <c r="L87" s="243">
        <v>0</v>
      </c>
      <c r="M87" s="243">
        <v>0</v>
      </c>
      <c r="N87" s="248">
        <f t="shared" si="2"/>
        <v>-17040995.104529284</v>
      </c>
      <c r="O87" s="248">
        <v>0</v>
      </c>
      <c r="P87" s="248">
        <v>0</v>
      </c>
      <c r="Q87" s="248">
        <v>30000</v>
      </c>
      <c r="R87" s="248">
        <v>0</v>
      </c>
      <c r="S87" s="248">
        <v>30000</v>
      </c>
    </row>
    <row r="88" spans="1:19" ht="16" thickTop="1" thickBot="1">
      <c r="A88" s="98">
        <v>7</v>
      </c>
      <c r="G88" s="98">
        <v>80</v>
      </c>
      <c r="H88" s="239">
        <v>47696</v>
      </c>
      <c r="I88" s="243">
        <v>0</v>
      </c>
      <c r="J88" s="243">
        <v>0</v>
      </c>
      <c r="K88" s="243">
        <v>0</v>
      </c>
      <c r="L88" s="243">
        <v>0</v>
      </c>
      <c r="M88" s="243">
        <v>0</v>
      </c>
      <c r="N88" s="248">
        <f t="shared" si="2"/>
        <v>30000</v>
      </c>
      <c r="O88" s="248">
        <v>0</v>
      </c>
      <c r="P88" s="248">
        <v>0</v>
      </c>
      <c r="Q88" s="248">
        <v>30000</v>
      </c>
      <c r="R88" s="248">
        <v>0</v>
      </c>
      <c r="S88" s="248">
        <v>30000</v>
      </c>
    </row>
    <row r="89" spans="1:19" ht="16" thickTop="1" thickBot="1">
      <c r="A89" s="98">
        <v>7</v>
      </c>
      <c r="G89" s="98">
        <v>81</v>
      </c>
      <c r="H89" s="239">
        <v>47727</v>
      </c>
      <c r="I89" s="243">
        <v>0</v>
      </c>
      <c r="J89" s="243">
        <v>0</v>
      </c>
      <c r="K89" s="243">
        <v>0</v>
      </c>
      <c r="L89" s="243">
        <v>0</v>
      </c>
      <c r="M89" s="243">
        <v>0</v>
      </c>
      <c r="N89" s="248">
        <f t="shared" si="2"/>
        <v>30000</v>
      </c>
      <c r="O89" s="248">
        <v>0</v>
      </c>
      <c r="P89" s="248">
        <v>0</v>
      </c>
      <c r="Q89" s="248">
        <v>30000</v>
      </c>
      <c r="R89" s="248">
        <v>0</v>
      </c>
      <c r="S89" s="248">
        <v>30000</v>
      </c>
    </row>
    <row r="90" spans="1:19" ht="16" thickTop="1" thickBot="1">
      <c r="A90" s="98">
        <v>7</v>
      </c>
      <c r="G90" s="98">
        <v>82</v>
      </c>
      <c r="H90" s="239">
        <v>47757</v>
      </c>
      <c r="I90" s="243">
        <v>0</v>
      </c>
      <c r="J90" s="243">
        <v>0</v>
      </c>
      <c r="K90" s="243">
        <v>0</v>
      </c>
      <c r="L90" s="243">
        <v>0</v>
      </c>
      <c r="M90" s="243">
        <v>0</v>
      </c>
      <c r="N90" s="248">
        <f t="shared" si="2"/>
        <v>30000</v>
      </c>
      <c r="O90" s="248">
        <v>0</v>
      </c>
      <c r="P90" s="248">
        <v>0</v>
      </c>
      <c r="Q90" s="248">
        <v>30000</v>
      </c>
      <c r="R90" s="248">
        <v>0</v>
      </c>
      <c r="S90" s="248">
        <v>30000</v>
      </c>
    </row>
    <row r="91" spans="1:19" ht="16" thickTop="1" thickBot="1">
      <c r="A91" s="98">
        <v>7</v>
      </c>
      <c r="G91" s="98">
        <v>83</v>
      </c>
      <c r="H91" s="239">
        <v>47788</v>
      </c>
      <c r="I91" s="243">
        <v>0</v>
      </c>
      <c r="J91" s="243">
        <v>0</v>
      </c>
      <c r="K91" s="243">
        <v>0</v>
      </c>
      <c r="L91" s="243">
        <v>0</v>
      </c>
      <c r="M91" s="243">
        <v>0</v>
      </c>
      <c r="N91" s="248">
        <f t="shared" si="2"/>
        <v>30000</v>
      </c>
      <c r="O91" s="248">
        <v>0</v>
      </c>
      <c r="P91" s="248">
        <v>0</v>
      </c>
      <c r="Q91" s="248">
        <v>30000</v>
      </c>
      <c r="R91" s="248">
        <v>0</v>
      </c>
      <c r="S91" s="248">
        <v>30000</v>
      </c>
    </row>
    <row r="92" spans="1:19" ht="16" thickTop="1" thickBot="1">
      <c r="A92" s="98">
        <v>7</v>
      </c>
      <c r="G92" s="98">
        <v>84</v>
      </c>
      <c r="H92" s="239">
        <v>47818</v>
      </c>
      <c r="I92" s="243">
        <v>0</v>
      </c>
      <c r="J92" s="243">
        <v>269769.38298388338</v>
      </c>
      <c r="K92" s="243">
        <v>0</v>
      </c>
      <c r="L92" s="243">
        <v>4046.5407447582506</v>
      </c>
      <c r="M92" s="243">
        <v>273815.92372864165</v>
      </c>
      <c r="N92" s="248">
        <f t="shared" si="2"/>
        <v>30000</v>
      </c>
      <c r="O92" s="248">
        <v>0</v>
      </c>
      <c r="P92" s="248">
        <v>539538.76596776675</v>
      </c>
      <c r="Q92" s="248">
        <v>30000</v>
      </c>
      <c r="R92" s="248">
        <v>0</v>
      </c>
      <c r="S92" s="248">
        <v>569538.76596776675</v>
      </c>
    </row>
    <row r="93" spans="1:19" ht="16" thickTop="1" thickBot="1">
      <c r="A93" s="98">
        <v>8</v>
      </c>
      <c r="G93" s="98">
        <v>85</v>
      </c>
      <c r="H93" s="239">
        <v>47849</v>
      </c>
      <c r="I93" s="243">
        <v>0</v>
      </c>
      <c r="J93" s="243">
        <v>269769.38298388338</v>
      </c>
      <c r="K93" s="243">
        <v>0</v>
      </c>
      <c r="L93" s="243">
        <v>4046.5407447582506</v>
      </c>
      <c r="M93" s="243">
        <v>273815.92372864165</v>
      </c>
      <c r="N93" s="248">
        <f t="shared" si="2"/>
        <v>569538.76596776675</v>
      </c>
      <c r="O93" s="248">
        <v>0</v>
      </c>
      <c r="P93" s="248">
        <v>539538.76596776675</v>
      </c>
      <c r="Q93" s="248">
        <v>30000</v>
      </c>
      <c r="R93" s="248">
        <v>0</v>
      </c>
      <c r="S93" s="248">
        <v>569538.76596776675</v>
      </c>
    </row>
    <row r="94" spans="1:19" ht="16" thickTop="1" thickBot="1">
      <c r="A94" s="98">
        <v>8</v>
      </c>
      <c r="G94" s="98">
        <v>86</v>
      </c>
      <c r="H94" s="239">
        <v>47880</v>
      </c>
      <c r="I94" s="243">
        <v>0</v>
      </c>
      <c r="J94" s="243">
        <v>269769.38298388338</v>
      </c>
      <c r="K94" s="243">
        <v>0</v>
      </c>
      <c r="L94" s="243">
        <v>4046.5407447582506</v>
      </c>
      <c r="M94" s="243">
        <v>273815.92372864165</v>
      </c>
      <c r="N94" s="248">
        <f t="shared" si="2"/>
        <v>569538.76596776675</v>
      </c>
      <c r="O94" s="248">
        <v>0</v>
      </c>
      <c r="P94" s="248">
        <v>539538.76596776675</v>
      </c>
      <c r="Q94" s="248">
        <v>30000</v>
      </c>
      <c r="R94" s="248">
        <v>0</v>
      </c>
      <c r="S94" s="248">
        <v>569538.76596776675</v>
      </c>
    </row>
    <row r="95" spans="1:19" ht="16" thickTop="1" thickBot="1">
      <c r="A95" s="98">
        <v>8</v>
      </c>
      <c r="G95" s="98">
        <v>87</v>
      </c>
      <c r="H95" s="239">
        <v>47908</v>
      </c>
      <c r="I95" s="243">
        <v>0</v>
      </c>
      <c r="J95" s="243">
        <v>269769.38298388338</v>
      </c>
      <c r="K95" s="243">
        <v>0</v>
      </c>
      <c r="L95" s="243">
        <v>4046.5407447582506</v>
      </c>
      <c r="M95" s="243">
        <v>273815.92372864165</v>
      </c>
      <c r="N95" s="248">
        <f t="shared" si="2"/>
        <v>569538.76596776675</v>
      </c>
      <c r="O95" s="248">
        <v>0</v>
      </c>
      <c r="P95" s="248">
        <v>539538.76596776675</v>
      </c>
      <c r="Q95" s="248">
        <v>30000</v>
      </c>
      <c r="R95" s="248">
        <v>0</v>
      </c>
      <c r="S95" s="248">
        <v>569538.76596776675</v>
      </c>
    </row>
    <row r="96" spans="1:19" ht="16" thickTop="1" thickBot="1">
      <c r="A96" s="98">
        <v>8</v>
      </c>
      <c r="G96" s="98">
        <v>88</v>
      </c>
      <c r="H96" s="239">
        <v>47939</v>
      </c>
      <c r="I96" s="243">
        <v>0</v>
      </c>
      <c r="J96" s="243">
        <v>269769.38298388338</v>
      </c>
      <c r="K96" s="243">
        <v>0</v>
      </c>
      <c r="L96" s="243">
        <v>4046.5407447582506</v>
      </c>
      <c r="M96" s="243">
        <v>273815.92372864165</v>
      </c>
      <c r="N96" s="248">
        <f t="shared" si="2"/>
        <v>569538.76596776675</v>
      </c>
      <c r="O96" s="248">
        <v>0</v>
      </c>
      <c r="P96" s="248">
        <v>539538.76596776675</v>
      </c>
      <c r="Q96" s="248">
        <v>30000</v>
      </c>
      <c r="R96" s="248">
        <v>0</v>
      </c>
      <c r="S96" s="248">
        <v>569538.76596776675</v>
      </c>
    </row>
    <row r="97" spans="1:19" ht="16" thickTop="1" thickBot="1">
      <c r="A97" s="98">
        <v>8</v>
      </c>
      <c r="G97" s="98">
        <v>89</v>
      </c>
      <c r="H97" s="239">
        <v>47969</v>
      </c>
      <c r="I97" s="243">
        <v>0</v>
      </c>
      <c r="J97" s="243">
        <v>269769.38298388338</v>
      </c>
      <c r="K97" s="243">
        <v>0</v>
      </c>
      <c r="L97" s="243">
        <v>4046.5407447582506</v>
      </c>
      <c r="M97" s="243">
        <v>273815.92372864165</v>
      </c>
      <c r="N97" s="248">
        <f t="shared" si="2"/>
        <v>569538.76596776675</v>
      </c>
      <c r="O97" s="248">
        <v>0</v>
      </c>
      <c r="P97" s="248">
        <v>539538.76596776675</v>
      </c>
      <c r="Q97" s="248">
        <v>30000</v>
      </c>
      <c r="R97" s="248">
        <v>0</v>
      </c>
      <c r="S97" s="248">
        <v>569538.76596776675</v>
      </c>
    </row>
    <row r="98" spans="1:19" ht="16" thickTop="1" thickBot="1">
      <c r="A98" s="98">
        <v>8</v>
      </c>
      <c r="G98" s="98">
        <v>90</v>
      </c>
      <c r="H98" s="239">
        <v>48000</v>
      </c>
      <c r="I98" s="243">
        <v>0</v>
      </c>
      <c r="J98" s="243">
        <v>269769.38298388338</v>
      </c>
      <c r="K98" s="243">
        <v>0</v>
      </c>
      <c r="L98" s="243">
        <v>4046.5407447582506</v>
      </c>
      <c r="M98" s="243">
        <v>273815.92372864165</v>
      </c>
      <c r="N98" s="248">
        <f t="shared" si="2"/>
        <v>569538.76596776675</v>
      </c>
      <c r="O98" s="248">
        <v>0</v>
      </c>
      <c r="P98" s="248">
        <v>539538.76596776675</v>
      </c>
      <c r="Q98" s="248">
        <v>30000</v>
      </c>
      <c r="R98" s="248">
        <v>0</v>
      </c>
      <c r="S98" s="248">
        <v>569538.76596776675</v>
      </c>
    </row>
    <row r="99" spans="1:19" ht="16" thickTop="1" thickBot="1">
      <c r="A99" s="98">
        <v>8</v>
      </c>
      <c r="G99" s="98">
        <v>91</v>
      </c>
      <c r="H99" s="239">
        <v>48030</v>
      </c>
      <c r="I99" s="243">
        <v>0</v>
      </c>
      <c r="J99" s="243">
        <v>269769.38298388338</v>
      </c>
      <c r="K99" s="243">
        <v>0</v>
      </c>
      <c r="L99" s="243">
        <v>4046.5407447582506</v>
      </c>
      <c r="M99" s="243">
        <v>273815.92372864165</v>
      </c>
      <c r="N99" s="248">
        <f t="shared" si="2"/>
        <v>569538.76596776675</v>
      </c>
      <c r="O99" s="248">
        <v>0</v>
      </c>
      <c r="P99" s="248">
        <v>539538.76596776675</v>
      </c>
      <c r="Q99" s="248">
        <v>30000</v>
      </c>
      <c r="R99" s="248">
        <v>0</v>
      </c>
      <c r="S99" s="248">
        <v>569538.76596776675</v>
      </c>
    </row>
    <row r="100" spans="1:19" ht="16" thickTop="1" thickBot="1">
      <c r="A100" s="98">
        <v>8</v>
      </c>
      <c r="G100" s="98">
        <v>92</v>
      </c>
      <c r="H100" s="239">
        <v>48061</v>
      </c>
      <c r="I100" s="243">
        <v>0</v>
      </c>
      <c r="J100" s="243">
        <v>269769.38298388338</v>
      </c>
      <c r="K100" s="243">
        <v>0</v>
      </c>
      <c r="L100" s="243">
        <v>4046.5407447582506</v>
      </c>
      <c r="M100" s="243">
        <v>273815.92372864165</v>
      </c>
      <c r="N100" s="248">
        <f t="shared" si="2"/>
        <v>569538.76596776675</v>
      </c>
      <c r="O100" s="248">
        <v>0</v>
      </c>
      <c r="P100" s="248">
        <v>539538.76596776675</v>
      </c>
      <c r="Q100" s="248">
        <v>30000</v>
      </c>
      <c r="R100" s="248">
        <v>0</v>
      </c>
      <c r="S100" s="248">
        <v>569538.76596776675</v>
      </c>
    </row>
    <row r="101" spans="1:19" ht="16" thickTop="1" thickBot="1">
      <c r="A101" s="98">
        <v>8</v>
      </c>
      <c r="G101" s="98">
        <v>93</v>
      </c>
      <c r="H101" s="239">
        <v>48092</v>
      </c>
      <c r="I101" s="243">
        <v>0</v>
      </c>
      <c r="J101" s="243">
        <v>269769.38298388338</v>
      </c>
      <c r="K101" s="243">
        <v>0</v>
      </c>
      <c r="L101" s="243">
        <v>4046.5407447582506</v>
      </c>
      <c r="M101" s="243">
        <v>273815.92372864165</v>
      </c>
      <c r="N101" s="248">
        <f t="shared" si="2"/>
        <v>569538.76596776675</v>
      </c>
      <c r="O101" s="248">
        <v>0</v>
      </c>
      <c r="P101" s="248">
        <v>539538.76596776675</v>
      </c>
      <c r="Q101" s="248">
        <v>30000</v>
      </c>
      <c r="R101" s="248">
        <v>0</v>
      </c>
      <c r="S101" s="248">
        <v>569538.76596776675</v>
      </c>
    </row>
    <row r="102" spans="1:19" ht="16" thickTop="1" thickBot="1">
      <c r="A102" s="98">
        <v>8</v>
      </c>
      <c r="G102" s="98">
        <v>94</v>
      </c>
      <c r="H102" s="239">
        <v>48122</v>
      </c>
      <c r="I102" s="243">
        <v>0</v>
      </c>
      <c r="J102" s="243">
        <v>269769.38298388338</v>
      </c>
      <c r="K102" s="243">
        <v>0</v>
      </c>
      <c r="L102" s="243">
        <v>4046.5407447582506</v>
      </c>
      <c r="M102" s="243">
        <v>273815.92372864165</v>
      </c>
      <c r="N102" s="248">
        <f t="shared" si="2"/>
        <v>569538.76596776675</v>
      </c>
      <c r="O102" s="248">
        <v>0</v>
      </c>
      <c r="P102" s="248">
        <v>539538.76596776675</v>
      </c>
      <c r="Q102" s="248">
        <v>30000</v>
      </c>
      <c r="R102" s="248">
        <v>0</v>
      </c>
      <c r="S102" s="248">
        <v>569538.76596776675</v>
      </c>
    </row>
    <row r="103" spans="1:19" ht="16" thickTop="1" thickBot="1">
      <c r="A103" s="98">
        <v>8</v>
      </c>
      <c r="G103" s="98">
        <v>95</v>
      </c>
      <c r="H103" s="239">
        <v>48153</v>
      </c>
      <c r="I103" s="243">
        <v>0</v>
      </c>
      <c r="J103" s="243">
        <v>269769.38298388338</v>
      </c>
      <c r="K103" s="243">
        <v>0</v>
      </c>
      <c r="L103" s="243">
        <v>4046.5407447582506</v>
      </c>
      <c r="M103" s="243">
        <v>273815.92372864165</v>
      </c>
      <c r="N103" s="248">
        <f t="shared" si="2"/>
        <v>569538.76596776675</v>
      </c>
      <c r="O103" s="248">
        <v>0</v>
      </c>
      <c r="P103" s="248">
        <v>539538.76596776675</v>
      </c>
      <c r="Q103" s="248">
        <v>30000</v>
      </c>
      <c r="R103" s="248">
        <v>0</v>
      </c>
      <c r="S103" s="248">
        <v>569538.76596776675</v>
      </c>
    </row>
    <row r="104" spans="1:19" ht="16" thickTop="1" thickBot="1">
      <c r="A104" s="98">
        <v>8</v>
      </c>
      <c r="G104" s="98">
        <v>96</v>
      </c>
      <c r="H104" s="239">
        <v>48183</v>
      </c>
      <c r="I104" s="243">
        <v>0</v>
      </c>
      <c r="J104" s="243">
        <v>0</v>
      </c>
      <c r="K104" s="243">
        <v>17636477.151095148</v>
      </c>
      <c r="L104" s="243">
        <v>264547.15726642724</v>
      </c>
      <c r="M104" s="243">
        <v>17901024.308361575</v>
      </c>
      <c r="N104" s="248">
        <f t="shared" si="2"/>
        <v>569538.76596776675</v>
      </c>
      <c r="O104" s="248">
        <v>0</v>
      </c>
      <c r="P104" s="248">
        <v>0</v>
      </c>
      <c r="Q104" s="248">
        <v>351850.10204272385</v>
      </c>
      <c r="R104" s="248">
        <v>33777609.796101488</v>
      </c>
      <c r="S104" s="248">
        <v>-33425759.694058765</v>
      </c>
    </row>
    <row r="105" spans="1:19" ht="16" thickTop="1" thickBot="1">
      <c r="A105" s="98"/>
      <c r="G105" s="98"/>
      <c r="H105" s="239"/>
      <c r="I105" s="243"/>
      <c r="J105" s="243"/>
      <c r="K105" s="243"/>
      <c r="L105" s="243"/>
      <c r="M105" s="243"/>
      <c r="N105" s="248">
        <f t="shared" si="2"/>
        <v>-33425759.694058765</v>
      </c>
      <c r="O105" s="248"/>
      <c r="P105" s="248"/>
      <c r="Q105" s="248">
        <v>0</v>
      </c>
      <c r="R105" s="248"/>
      <c r="S105" s="248" t="e">
        <v>#N/A</v>
      </c>
    </row>
    <row r="106" spans="1:19" ht="16" thickTop="1" thickBot="1">
      <c r="A106" s="98"/>
      <c r="G106" s="98"/>
      <c r="H106" s="239"/>
      <c r="I106" s="243"/>
      <c r="J106" s="243"/>
      <c r="K106" s="243"/>
      <c r="L106" s="243"/>
      <c r="M106" s="243"/>
      <c r="N106" s="248" t="e">
        <f t="shared" si="2"/>
        <v>#N/A</v>
      </c>
      <c r="O106" s="248"/>
      <c r="P106" s="248"/>
      <c r="Q106" s="248">
        <v>0</v>
      </c>
      <c r="R106" s="248"/>
      <c r="S106" s="248" t="e">
        <v>#N/A</v>
      </c>
    </row>
    <row r="107" spans="1:19" ht="16" thickTop="1" thickBot="1">
      <c r="A107" s="98"/>
      <c r="G107" s="98"/>
      <c r="H107" s="239"/>
      <c r="I107" s="243"/>
      <c r="J107" s="243"/>
      <c r="K107" s="243"/>
      <c r="L107" s="243"/>
      <c r="M107" s="243"/>
      <c r="N107" s="248" t="e">
        <f t="shared" si="2"/>
        <v>#N/A</v>
      </c>
      <c r="O107" s="248"/>
      <c r="P107" s="248"/>
      <c r="Q107" s="248">
        <v>0</v>
      </c>
      <c r="R107" s="248"/>
      <c r="S107" s="248" t="e">
        <v>#N/A</v>
      </c>
    </row>
    <row r="108" spans="1:19" ht="16" thickTop="1" thickBot="1">
      <c r="A108" s="98"/>
      <c r="G108" s="98"/>
      <c r="H108" s="239"/>
      <c r="I108" s="243"/>
      <c r="J108" s="243"/>
      <c r="K108" s="243"/>
      <c r="L108" s="243"/>
      <c r="M108" s="243"/>
      <c r="N108" s="248" t="e">
        <f t="shared" si="2"/>
        <v>#N/A</v>
      </c>
      <c r="O108" s="248"/>
      <c r="P108" s="248"/>
      <c r="Q108" s="248">
        <v>0</v>
      </c>
      <c r="R108" s="248"/>
      <c r="S108" s="248" t="e">
        <v>#N/A</v>
      </c>
    </row>
    <row r="109" spans="1:19" ht="16" thickTop="1" thickBot="1">
      <c r="A109" s="98"/>
      <c r="G109" s="98"/>
      <c r="H109" s="239"/>
      <c r="I109" s="243"/>
      <c r="J109" s="243"/>
      <c r="K109" s="243"/>
      <c r="L109" s="243"/>
      <c r="M109" s="243"/>
      <c r="N109" s="248" t="e">
        <f t="shared" si="2"/>
        <v>#N/A</v>
      </c>
      <c r="O109" s="248"/>
      <c r="P109" s="248"/>
      <c r="Q109" s="248">
        <v>0</v>
      </c>
      <c r="R109" s="248"/>
      <c r="S109" s="248" t="e">
        <v>#N/A</v>
      </c>
    </row>
    <row r="110" spans="1:19" ht="16" thickTop="1" thickBot="1">
      <c r="A110" s="98"/>
      <c r="G110" s="98"/>
      <c r="H110" s="239"/>
      <c r="I110" s="243"/>
      <c r="J110" s="243"/>
      <c r="K110" s="243"/>
      <c r="L110" s="243"/>
      <c r="M110" s="243"/>
      <c r="N110" s="248" t="e">
        <f t="shared" si="2"/>
        <v>#N/A</v>
      </c>
      <c r="O110" s="248"/>
      <c r="P110" s="248"/>
      <c r="Q110" s="248">
        <v>0</v>
      </c>
      <c r="R110" s="248"/>
      <c r="S110" s="248" t="e">
        <v>#N/A</v>
      </c>
    </row>
    <row r="111" spans="1:19" ht="16" thickTop="1" thickBot="1">
      <c r="A111" s="98"/>
      <c r="G111" s="98"/>
      <c r="H111" s="239"/>
      <c r="I111" s="243"/>
      <c r="J111" s="243"/>
      <c r="K111" s="243"/>
      <c r="L111" s="243"/>
      <c r="M111" s="243"/>
      <c r="N111" s="248" t="e">
        <f t="shared" si="2"/>
        <v>#N/A</v>
      </c>
      <c r="O111" s="248"/>
      <c r="P111" s="248"/>
      <c r="Q111" s="248">
        <v>0</v>
      </c>
      <c r="R111" s="248"/>
      <c r="S111" s="248" t="e">
        <v>#N/A</v>
      </c>
    </row>
    <row r="112" spans="1:19" ht="16" thickTop="1" thickBot="1">
      <c r="A112" s="98"/>
      <c r="G112" s="98"/>
      <c r="H112" s="239"/>
      <c r="I112" s="243"/>
      <c r="J112" s="243"/>
      <c r="K112" s="243"/>
      <c r="L112" s="243"/>
      <c r="M112" s="243"/>
      <c r="N112" s="248" t="e">
        <f t="shared" si="2"/>
        <v>#N/A</v>
      </c>
      <c r="O112" s="248"/>
      <c r="P112" s="248"/>
      <c r="Q112" s="248">
        <v>0</v>
      </c>
      <c r="R112" s="248"/>
      <c r="S112" s="248" t="e">
        <v>#N/A</v>
      </c>
    </row>
    <row r="113" spans="7:19" ht="16" thickTop="1" thickBot="1">
      <c r="G113" s="98"/>
      <c r="H113" s="239"/>
      <c r="I113" s="243"/>
      <c r="J113" s="243"/>
      <c r="K113" s="243"/>
      <c r="L113" s="243"/>
      <c r="M113" s="243"/>
      <c r="N113" s="248" t="e">
        <f t="shared" si="2"/>
        <v>#N/A</v>
      </c>
      <c r="O113" s="248"/>
      <c r="P113" s="248"/>
      <c r="Q113" s="248">
        <v>0</v>
      </c>
      <c r="R113" s="248"/>
      <c r="S113" s="248" t="e">
        <v>#N/A</v>
      </c>
    </row>
    <row r="114" spans="7:19" ht="16" thickTop="1" thickBot="1">
      <c r="G114" s="98"/>
      <c r="H114" s="239"/>
      <c r="I114" s="243"/>
      <c r="J114" s="243"/>
      <c r="K114" s="243"/>
      <c r="L114" s="243"/>
      <c r="M114" s="243"/>
      <c r="N114" s="248" t="e">
        <f t="shared" si="2"/>
        <v>#N/A</v>
      </c>
      <c r="O114" s="248"/>
      <c r="P114" s="248"/>
      <c r="Q114" s="248">
        <v>0</v>
      </c>
      <c r="R114" s="248"/>
      <c r="S114" s="248" t="e">
        <v>#N/A</v>
      </c>
    </row>
    <row r="115" spans="7:19" ht="16" thickTop="1" thickBot="1">
      <c r="G115" s="98"/>
      <c r="H115" s="239"/>
      <c r="I115" s="243"/>
      <c r="J115" s="243"/>
      <c r="K115" s="243"/>
      <c r="L115" s="243"/>
      <c r="M115" s="243"/>
      <c r="N115" s="248" t="e">
        <f t="shared" si="2"/>
        <v>#N/A</v>
      </c>
      <c r="O115" s="248"/>
      <c r="P115" s="248"/>
      <c r="Q115" s="248">
        <v>0</v>
      </c>
      <c r="R115" s="248"/>
      <c r="S115" s="248" t="e">
        <v>#N/A</v>
      </c>
    </row>
    <row r="116" spans="7:19" ht="16" thickTop="1" thickBot="1">
      <c r="G116" s="98"/>
      <c r="H116" s="239"/>
      <c r="I116" s="243"/>
      <c r="J116" s="243"/>
      <c r="K116" s="243"/>
      <c r="L116" s="243"/>
      <c r="M116" s="243"/>
      <c r="N116" s="248" t="e">
        <f t="shared" si="2"/>
        <v>#N/A</v>
      </c>
      <c r="O116" s="248"/>
      <c r="P116" s="248"/>
      <c r="Q116" s="248">
        <v>0</v>
      </c>
      <c r="R116" s="248"/>
      <c r="S116" s="248" t="e">
        <v>#N/A</v>
      </c>
    </row>
    <row r="117" spans="7:19" ht="16" thickTop="1" thickBot="1">
      <c r="G117" s="98"/>
      <c r="H117" s="239"/>
      <c r="I117" s="243"/>
      <c r="J117" s="243"/>
      <c r="K117" s="243"/>
      <c r="L117" s="243"/>
      <c r="M117" s="243"/>
      <c r="N117" s="248" t="e">
        <f t="shared" si="2"/>
        <v>#N/A</v>
      </c>
      <c r="O117" s="248"/>
      <c r="P117" s="248"/>
      <c r="Q117" s="248">
        <v>0</v>
      </c>
      <c r="R117" s="248"/>
      <c r="S117" s="248" t="e">
        <v>#N/A</v>
      </c>
    </row>
    <row r="118" spans="7:19" ht="16" thickTop="1" thickBot="1">
      <c r="G118" s="98"/>
      <c r="H118" s="239"/>
      <c r="I118" s="243"/>
      <c r="J118" s="243"/>
      <c r="K118" s="243"/>
      <c r="L118" s="243"/>
      <c r="M118" s="243"/>
      <c r="N118" s="248" t="e">
        <f t="shared" si="2"/>
        <v>#N/A</v>
      </c>
      <c r="O118" s="248"/>
      <c r="P118" s="248"/>
      <c r="Q118" s="248">
        <v>0</v>
      </c>
      <c r="R118" s="248"/>
      <c r="S118" s="248" t="e">
        <v>#N/A</v>
      </c>
    </row>
    <row r="119" spans="7:19" ht="16" thickTop="1" thickBot="1">
      <c r="G119" s="98"/>
      <c r="H119" s="239"/>
      <c r="I119" s="243"/>
      <c r="J119" s="243"/>
      <c r="K119" s="243"/>
      <c r="L119" s="243"/>
      <c r="M119" s="243"/>
      <c r="N119" s="248" t="e">
        <f t="shared" si="2"/>
        <v>#N/A</v>
      </c>
      <c r="O119" s="248"/>
      <c r="P119" s="248"/>
      <c r="Q119" s="248">
        <v>0</v>
      </c>
      <c r="R119" s="248"/>
      <c r="S119" s="248" t="e">
        <v>#N/A</v>
      </c>
    </row>
    <row r="120" spans="7:19" ht="16" thickTop="1" thickBot="1">
      <c r="G120" s="98"/>
      <c r="H120" s="239"/>
      <c r="I120" s="243"/>
      <c r="J120" s="243"/>
      <c r="K120" s="243"/>
      <c r="L120" s="243"/>
      <c r="M120" s="243"/>
      <c r="N120" s="248" t="e">
        <f t="shared" si="2"/>
        <v>#N/A</v>
      </c>
      <c r="O120" s="248"/>
      <c r="P120" s="248"/>
      <c r="Q120" s="248">
        <v>0</v>
      </c>
      <c r="R120" s="248"/>
      <c r="S120" s="248" t="e">
        <v>#N/A</v>
      </c>
    </row>
    <row r="121" spans="7:19" ht="16" thickTop="1" thickBot="1">
      <c r="G121" s="98"/>
      <c r="H121" s="239"/>
      <c r="I121" s="243"/>
      <c r="J121" s="243"/>
      <c r="K121" s="243"/>
      <c r="L121" s="243"/>
      <c r="M121" s="243"/>
      <c r="N121" s="248" t="e">
        <f t="shared" si="2"/>
        <v>#N/A</v>
      </c>
      <c r="O121" s="248"/>
      <c r="P121" s="248"/>
      <c r="Q121" s="248">
        <v>0</v>
      </c>
      <c r="R121" s="248"/>
      <c r="S121" s="248" t="e">
        <v>#N/A</v>
      </c>
    </row>
    <row r="122" spans="7:19" ht="16" thickTop="1" thickBot="1">
      <c r="G122" s="98"/>
      <c r="H122" s="239"/>
      <c r="I122" s="243"/>
      <c r="J122" s="243"/>
      <c r="K122" s="243"/>
      <c r="L122" s="243"/>
      <c r="M122" s="243"/>
      <c r="N122" s="248" t="e">
        <f t="shared" si="2"/>
        <v>#N/A</v>
      </c>
      <c r="O122" s="248"/>
      <c r="P122" s="248"/>
      <c r="Q122" s="248">
        <v>0</v>
      </c>
      <c r="R122" s="248"/>
      <c r="S122" s="248" t="e">
        <v>#N/A</v>
      </c>
    </row>
    <row r="123" spans="7:19" ht="16" thickTop="1" thickBot="1">
      <c r="G123" s="98"/>
      <c r="H123" s="239"/>
      <c r="I123" s="243"/>
      <c r="J123" s="243"/>
      <c r="K123" s="243"/>
      <c r="L123" s="243"/>
      <c r="M123" s="243"/>
      <c r="N123" s="248" t="e">
        <f t="shared" si="2"/>
        <v>#N/A</v>
      </c>
      <c r="O123" s="248"/>
      <c r="P123" s="248"/>
      <c r="Q123" s="248">
        <v>0</v>
      </c>
      <c r="R123" s="248"/>
      <c r="S123" s="248" t="e">
        <v>#N/A</v>
      </c>
    </row>
    <row r="124" spans="7:19" ht="16" thickTop="1" thickBot="1">
      <c r="G124" s="98"/>
      <c r="H124" s="239"/>
      <c r="I124" s="243"/>
      <c r="J124" s="243"/>
      <c r="K124" s="243"/>
      <c r="L124" s="243"/>
      <c r="M124" s="243"/>
      <c r="N124" s="248" t="e">
        <f t="shared" si="2"/>
        <v>#N/A</v>
      </c>
      <c r="O124" s="248"/>
      <c r="P124" s="248"/>
      <c r="Q124" s="248">
        <v>0</v>
      </c>
      <c r="R124" s="248"/>
      <c r="S124" s="248" t="e">
        <v>#N/A</v>
      </c>
    </row>
    <row r="125" spans="7:19" ht="16" thickTop="1" thickBot="1">
      <c r="G125" s="98"/>
      <c r="H125" s="239"/>
      <c r="I125" s="243"/>
      <c r="J125" s="243"/>
      <c r="K125" s="243"/>
      <c r="L125" s="243"/>
      <c r="M125" s="243"/>
      <c r="N125" s="248" t="e">
        <f t="shared" si="2"/>
        <v>#N/A</v>
      </c>
      <c r="O125" s="248"/>
      <c r="P125" s="248"/>
      <c r="Q125" s="248">
        <v>0</v>
      </c>
      <c r="R125" s="248"/>
      <c r="S125" s="248" t="e">
        <v>#N/A</v>
      </c>
    </row>
    <row r="126" spans="7:19" ht="16" thickTop="1" thickBot="1">
      <c r="G126" s="98"/>
      <c r="H126" s="239"/>
      <c r="I126" s="243"/>
      <c r="J126" s="243"/>
      <c r="K126" s="243"/>
      <c r="L126" s="243"/>
      <c r="M126" s="243"/>
      <c r="N126" s="248" t="e">
        <f t="shared" si="2"/>
        <v>#N/A</v>
      </c>
      <c r="O126" s="248"/>
      <c r="P126" s="248"/>
      <c r="Q126" s="248">
        <v>0</v>
      </c>
      <c r="R126" s="248"/>
      <c r="S126" s="248" t="e">
        <v>#N/A</v>
      </c>
    </row>
    <row r="127" spans="7:19" ht="16" thickTop="1" thickBot="1">
      <c r="G127" s="98"/>
      <c r="H127" s="239"/>
      <c r="I127" s="243"/>
      <c r="J127" s="243"/>
      <c r="K127" s="243"/>
      <c r="L127" s="243"/>
      <c r="M127" s="243"/>
      <c r="N127" s="248" t="e">
        <f t="shared" si="2"/>
        <v>#N/A</v>
      </c>
      <c r="O127" s="248"/>
      <c r="P127" s="248"/>
      <c r="Q127" s="248">
        <v>0</v>
      </c>
      <c r="R127" s="248"/>
      <c r="S127" s="248" t="e">
        <v>#N/A</v>
      </c>
    </row>
    <row r="128" spans="7:19" ht="16" thickTop="1" thickBot="1">
      <c r="G128" s="98"/>
      <c r="H128" s="239"/>
      <c r="I128" s="243"/>
      <c r="J128" s="243"/>
      <c r="K128" s="243"/>
      <c r="L128" s="243"/>
      <c r="M128" s="243"/>
      <c r="N128" s="248" t="e">
        <f t="shared" si="2"/>
        <v>#N/A</v>
      </c>
      <c r="O128" s="248"/>
      <c r="P128" s="248"/>
      <c r="Q128" s="248">
        <v>0</v>
      </c>
      <c r="R128" s="248"/>
      <c r="S128" s="248" t="e">
        <v>#N/A</v>
      </c>
    </row>
    <row r="129" spans="7:19" ht="16" thickTop="1" thickBot="1">
      <c r="G129" s="98"/>
      <c r="H129" s="239"/>
      <c r="I129" s="243"/>
      <c r="J129" s="243"/>
      <c r="K129" s="243"/>
      <c r="L129" s="243"/>
      <c r="M129" s="243"/>
      <c r="N129" s="248" t="e">
        <f t="shared" si="2"/>
        <v>#N/A</v>
      </c>
      <c r="O129" s="248"/>
      <c r="P129" s="248"/>
      <c r="Q129" s="248">
        <v>0</v>
      </c>
      <c r="R129" s="248"/>
      <c r="S129" s="248" t="e">
        <v>#N/A</v>
      </c>
    </row>
    <row r="130" spans="7:19" ht="16" thickTop="1" thickBot="1">
      <c r="G130" s="98"/>
      <c r="H130" s="239"/>
      <c r="I130" s="243"/>
      <c r="J130" s="243"/>
      <c r="K130" s="243"/>
      <c r="L130" s="243"/>
      <c r="M130" s="243"/>
      <c r="N130" s="248" t="e">
        <f t="shared" si="2"/>
        <v>#N/A</v>
      </c>
      <c r="O130" s="248"/>
      <c r="P130" s="248"/>
      <c r="Q130" s="248">
        <v>0</v>
      </c>
      <c r="R130" s="248"/>
      <c r="S130" s="248" t="e">
        <v>#N/A</v>
      </c>
    </row>
    <row r="131" spans="7:19" ht="16" thickTop="1" thickBot="1">
      <c r="G131" s="98"/>
      <c r="H131" s="239"/>
      <c r="I131" s="243"/>
      <c r="J131" s="243"/>
      <c r="K131" s="243"/>
      <c r="L131" s="243"/>
      <c r="M131" s="243"/>
      <c r="N131" s="248" t="e">
        <f t="shared" si="2"/>
        <v>#N/A</v>
      </c>
      <c r="O131" s="248"/>
      <c r="P131" s="248"/>
      <c r="Q131" s="248">
        <v>0</v>
      </c>
      <c r="R131" s="248"/>
      <c r="S131" s="248" t="e">
        <v>#N/A</v>
      </c>
    </row>
    <row r="132" spans="7:19" ht="16" thickTop="1" thickBot="1">
      <c r="G132" s="98"/>
      <c r="H132" s="239"/>
      <c r="I132" s="243"/>
      <c r="J132" s="243"/>
      <c r="K132" s="243"/>
      <c r="L132" s="243"/>
      <c r="M132" s="243"/>
      <c r="N132" s="248" t="e">
        <f t="shared" si="2"/>
        <v>#N/A</v>
      </c>
      <c r="O132" s="248"/>
      <c r="P132" s="248"/>
      <c r="Q132" s="248">
        <v>0</v>
      </c>
      <c r="R132" s="248"/>
      <c r="S132" s="248" t="e">
        <v>#N/A</v>
      </c>
    </row>
    <row r="133" spans="7:19" ht="16" thickTop="1" thickBot="1">
      <c r="G133" s="98"/>
      <c r="H133" s="239"/>
      <c r="I133" s="243"/>
      <c r="J133" s="243"/>
      <c r="K133" s="243"/>
      <c r="L133" s="243"/>
      <c r="M133" s="243"/>
      <c r="N133" s="248" t="e">
        <f t="shared" si="2"/>
        <v>#N/A</v>
      </c>
      <c r="O133" s="248"/>
      <c r="P133" s="248"/>
      <c r="Q133" s="248">
        <v>0</v>
      </c>
      <c r="R133" s="248"/>
      <c r="S133" s="248" t="e">
        <v>#N/A</v>
      </c>
    </row>
    <row r="134" spans="7:19" ht="16" thickTop="1" thickBot="1">
      <c r="G134" s="98"/>
      <c r="H134" s="239"/>
      <c r="I134" s="243"/>
      <c r="J134" s="243"/>
      <c r="K134" s="243"/>
      <c r="L134" s="243"/>
      <c r="M134" s="243"/>
      <c r="N134" s="248" t="e">
        <f t="shared" si="2"/>
        <v>#N/A</v>
      </c>
      <c r="O134" s="248"/>
      <c r="P134" s="248"/>
      <c r="Q134" s="248">
        <v>0</v>
      </c>
      <c r="R134" s="248"/>
      <c r="S134" s="248" t="e">
        <v>#N/A</v>
      </c>
    </row>
    <row r="135" spans="7:19" ht="16" thickTop="1" thickBot="1">
      <c r="G135" s="98"/>
      <c r="H135" s="239"/>
      <c r="I135" s="243"/>
      <c r="J135" s="243"/>
      <c r="K135" s="243"/>
      <c r="L135" s="243"/>
      <c r="M135" s="243"/>
      <c r="N135" s="248" t="e">
        <f t="shared" si="2"/>
        <v>#N/A</v>
      </c>
      <c r="O135" s="248"/>
      <c r="P135" s="248"/>
      <c r="Q135" s="248">
        <v>0</v>
      </c>
      <c r="R135" s="248"/>
      <c r="S135" s="248" t="e">
        <v>#N/A</v>
      </c>
    </row>
    <row r="136" spans="7:19" ht="16" thickTop="1" thickBot="1">
      <c r="G136" s="98"/>
      <c r="H136" s="239"/>
      <c r="I136" s="243"/>
      <c r="J136" s="243"/>
      <c r="K136" s="243"/>
      <c r="L136" s="243"/>
      <c r="M136" s="243"/>
      <c r="N136" s="248" t="e">
        <f t="shared" si="2"/>
        <v>#N/A</v>
      </c>
      <c r="O136" s="248"/>
      <c r="P136" s="248"/>
      <c r="Q136" s="248">
        <v>0</v>
      </c>
      <c r="R136" s="248"/>
      <c r="S136" s="248" t="e">
        <v>#N/A</v>
      </c>
    </row>
    <row r="137" spans="7:19" ht="16" thickTop="1" thickBot="1">
      <c r="G137" s="98"/>
      <c r="H137" s="239"/>
      <c r="I137" s="243"/>
      <c r="J137" s="243"/>
      <c r="K137" s="243"/>
      <c r="L137" s="243"/>
      <c r="M137" s="243"/>
      <c r="N137" s="248" t="e">
        <f t="shared" si="2"/>
        <v>#N/A</v>
      </c>
      <c r="O137" s="248"/>
      <c r="P137" s="248"/>
      <c r="Q137" s="248">
        <v>0</v>
      </c>
      <c r="R137" s="248"/>
      <c r="S137" s="248" t="e">
        <v>#N/A</v>
      </c>
    </row>
    <row r="138" spans="7:19" ht="16" thickTop="1" thickBot="1">
      <c r="G138" s="98"/>
      <c r="H138" s="239"/>
      <c r="I138" s="243"/>
      <c r="J138" s="243"/>
      <c r="K138" s="243"/>
      <c r="L138" s="243"/>
      <c r="M138" s="243"/>
      <c r="N138" s="248" t="e">
        <f t="shared" ref="N138:N201" si="3">S137</f>
        <v>#N/A</v>
      </c>
      <c r="O138" s="248"/>
      <c r="P138" s="248"/>
      <c r="Q138" s="248">
        <v>0</v>
      </c>
      <c r="R138" s="248"/>
      <c r="S138" s="248" t="e">
        <v>#N/A</v>
      </c>
    </row>
    <row r="139" spans="7:19" ht="16" thickTop="1" thickBot="1">
      <c r="G139" s="98"/>
      <c r="H139" s="239"/>
      <c r="I139" s="243"/>
      <c r="J139" s="243"/>
      <c r="K139" s="243"/>
      <c r="L139" s="243"/>
      <c r="M139" s="243"/>
      <c r="N139" s="248" t="e">
        <f t="shared" si="3"/>
        <v>#N/A</v>
      </c>
      <c r="O139" s="248"/>
      <c r="P139" s="248"/>
      <c r="Q139" s="248">
        <v>0</v>
      </c>
      <c r="R139" s="248"/>
      <c r="S139" s="248" t="e">
        <v>#N/A</v>
      </c>
    </row>
    <row r="140" spans="7:19" ht="16" thickTop="1" thickBot="1">
      <c r="G140" s="98"/>
      <c r="H140" s="239"/>
      <c r="I140" s="243"/>
      <c r="J140" s="243"/>
      <c r="K140" s="243"/>
      <c r="L140" s="243"/>
      <c r="M140" s="243"/>
      <c r="N140" s="248" t="e">
        <f t="shared" si="3"/>
        <v>#N/A</v>
      </c>
      <c r="O140" s="248"/>
      <c r="P140" s="248"/>
      <c r="Q140" s="248">
        <v>0</v>
      </c>
      <c r="R140" s="248"/>
      <c r="S140" s="248" t="e">
        <v>#N/A</v>
      </c>
    </row>
    <row r="141" spans="7:19" ht="16" thickTop="1" thickBot="1">
      <c r="G141" s="98"/>
      <c r="H141" s="239"/>
      <c r="I141" s="243"/>
      <c r="J141" s="243"/>
      <c r="K141" s="243"/>
      <c r="L141" s="243"/>
      <c r="M141" s="243"/>
      <c r="N141" s="248" t="e">
        <f t="shared" si="3"/>
        <v>#N/A</v>
      </c>
      <c r="O141" s="248"/>
      <c r="P141" s="248"/>
      <c r="Q141" s="248">
        <v>0</v>
      </c>
      <c r="R141" s="248"/>
      <c r="S141" s="248" t="e">
        <v>#N/A</v>
      </c>
    </row>
    <row r="142" spans="7:19" ht="16" thickTop="1" thickBot="1">
      <c r="G142" s="98"/>
      <c r="H142" s="239"/>
      <c r="I142" s="243"/>
      <c r="J142" s="243"/>
      <c r="K142" s="243"/>
      <c r="L142" s="243"/>
      <c r="M142" s="243"/>
      <c r="N142" s="248" t="e">
        <f t="shared" si="3"/>
        <v>#N/A</v>
      </c>
      <c r="O142" s="248"/>
      <c r="P142" s="248"/>
      <c r="Q142" s="248">
        <v>0</v>
      </c>
      <c r="R142" s="248"/>
      <c r="S142" s="248" t="e">
        <v>#N/A</v>
      </c>
    </row>
    <row r="143" spans="7:19" ht="16" thickTop="1" thickBot="1">
      <c r="G143" s="98"/>
      <c r="H143" s="239"/>
      <c r="I143" s="243"/>
      <c r="J143" s="243"/>
      <c r="K143" s="243"/>
      <c r="L143" s="243"/>
      <c r="M143" s="243"/>
      <c r="N143" s="248" t="e">
        <f t="shared" si="3"/>
        <v>#N/A</v>
      </c>
      <c r="O143" s="248"/>
      <c r="P143" s="248"/>
      <c r="Q143" s="248">
        <v>0</v>
      </c>
      <c r="R143" s="248"/>
      <c r="S143" s="248" t="e">
        <v>#N/A</v>
      </c>
    </row>
    <row r="144" spans="7:19" ht="16" thickTop="1" thickBot="1">
      <c r="G144" s="98"/>
      <c r="H144" s="239"/>
      <c r="I144" s="243"/>
      <c r="J144" s="243"/>
      <c r="K144" s="243"/>
      <c r="L144" s="243"/>
      <c r="M144" s="243"/>
      <c r="N144" s="248" t="e">
        <f t="shared" si="3"/>
        <v>#N/A</v>
      </c>
      <c r="O144" s="248"/>
      <c r="P144" s="248"/>
      <c r="Q144" s="248">
        <v>0</v>
      </c>
      <c r="R144" s="248"/>
      <c r="S144" s="248" t="e">
        <v>#N/A</v>
      </c>
    </row>
    <row r="145" spans="7:19" ht="16" thickTop="1" thickBot="1">
      <c r="G145" s="98"/>
      <c r="H145" s="239"/>
      <c r="I145" s="243"/>
      <c r="J145" s="243"/>
      <c r="K145" s="243"/>
      <c r="L145" s="243"/>
      <c r="M145" s="243"/>
      <c r="N145" s="248" t="e">
        <f t="shared" si="3"/>
        <v>#N/A</v>
      </c>
      <c r="O145" s="248"/>
      <c r="P145" s="248"/>
      <c r="Q145" s="248">
        <v>0</v>
      </c>
      <c r="R145" s="248"/>
      <c r="S145" s="248" t="e">
        <v>#N/A</v>
      </c>
    </row>
    <row r="146" spans="7:19" ht="16" thickTop="1" thickBot="1">
      <c r="G146" s="98"/>
      <c r="H146" s="239"/>
      <c r="I146" s="243"/>
      <c r="J146" s="243"/>
      <c r="K146" s="243"/>
      <c r="L146" s="243"/>
      <c r="M146" s="243"/>
      <c r="N146" s="248" t="e">
        <f t="shared" si="3"/>
        <v>#N/A</v>
      </c>
      <c r="O146" s="248"/>
      <c r="P146" s="248"/>
      <c r="Q146" s="248">
        <v>0</v>
      </c>
      <c r="R146" s="248"/>
      <c r="S146" s="248" t="e">
        <v>#N/A</v>
      </c>
    </row>
    <row r="147" spans="7:19" ht="16" thickTop="1" thickBot="1">
      <c r="G147" s="98"/>
      <c r="H147" s="239"/>
      <c r="I147" s="243"/>
      <c r="J147" s="243"/>
      <c r="K147" s="243"/>
      <c r="L147" s="243"/>
      <c r="M147" s="243"/>
      <c r="N147" s="248" t="e">
        <f t="shared" si="3"/>
        <v>#N/A</v>
      </c>
      <c r="O147" s="248"/>
      <c r="P147" s="248"/>
      <c r="Q147" s="248">
        <v>0</v>
      </c>
      <c r="R147" s="248"/>
      <c r="S147" s="248" t="e">
        <v>#N/A</v>
      </c>
    </row>
    <row r="148" spans="7:19" ht="16" thickTop="1" thickBot="1">
      <c r="G148" s="98"/>
      <c r="H148" s="239"/>
      <c r="I148" s="243"/>
      <c r="J148" s="243"/>
      <c r="K148" s="243"/>
      <c r="L148" s="243"/>
      <c r="M148" s="243"/>
      <c r="N148" s="248" t="e">
        <f t="shared" si="3"/>
        <v>#N/A</v>
      </c>
      <c r="O148" s="248"/>
      <c r="P148" s="248"/>
      <c r="Q148" s="248">
        <v>0</v>
      </c>
      <c r="R148" s="248"/>
      <c r="S148" s="248" t="e">
        <v>#N/A</v>
      </c>
    </row>
    <row r="149" spans="7:19" ht="16" thickTop="1" thickBot="1">
      <c r="G149" s="98"/>
      <c r="H149" s="239"/>
      <c r="I149" s="243"/>
      <c r="J149" s="243"/>
      <c r="K149" s="243"/>
      <c r="L149" s="243"/>
      <c r="M149" s="243"/>
      <c r="N149" s="248" t="e">
        <f t="shared" si="3"/>
        <v>#N/A</v>
      </c>
      <c r="O149" s="248"/>
      <c r="P149" s="248"/>
      <c r="Q149" s="248">
        <v>0</v>
      </c>
      <c r="R149" s="248"/>
      <c r="S149" s="248" t="e">
        <v>#N/A</v>
      </c>
    </row>
    <row r="150" spans="7:19" ht="16" thickTop="1" thickBot="1">
      <c r="G150" s="98"/>
      <c r="H150" s="239"/>
      <c r="I150" s="243"/>
      <c r="J150" s="243"/>
      <c r="K150" s="243"/>
      <c r="L150" s="243"/>
      <c r="M150" s="243"/>
      <c r="N150" s="248" t="e">
        <f t="shared" si="3"/>
        <v>#N/A</v>
      </c>
      <c r="O150" s="248"/>
      <c r="P150" s="248"/>
      <c r="Q150" s="248">
        <v>0</v>
      </c>
      <c r="R150" s="248"/>
      <c r="S150" s="248" t="e">
        <v>#N/A</v>
      </c>
    </row>
    <row r="151" spans="7:19" ht="16" thickTop="1" thickBot="1">
      <c r="G151" s="98"/>
      <c r="H151" s="239"/>
      <c r="I151" s="243"/>
      <c r="J151" s="243"/>
      <c r="K151" s="243"/>
      <c r="L151" s="243"/>
      <c r="M151" s="243"/>
      <c r="N151" s="248" t="e">
        <f t="shared" si="3"/>
        <v>#N/A</v>
      </c>
      <c r="O151" s="248"/>
      <c r="P151" s="248"/>
      <c r="Q151" s="248">
        <v>0</v>
      </c>
      <c r="R151" s="248"/>
      <c r="S151" s="248" t="e">
        <v>#N/A</v>
      </c>
    </row>
    <row r="152" spans="7:19" ht="16" thickTop="1" thickBot="1">
      <c r="G152" s="98"/>
      <c r="H152" s="239"/>
      <c r="I152" s="243"/>
      <c r="J152" s="243"/>
      <c r="K152" s="243"/>
      <c r="L152" s="243"/>
      <c r="M152" s="243"/>
      <c r="N152" s="248" t="e">
        <f t="shared" si="3"/>
        <v>#N/A</v>
      </c>
      <c r="O152" s="248"/>
      <c r="P152" s="248"/>
      <c r="Q152" s="248">
        <v>0</v>
      </c>
      <c r="R152" s="248"/>
      <c r="S152" s="248" t="e">
        <v>#N/A</v>
      </c>
    </row>
    <row r="153" spans="7:19" ht="16" thickTop="1" thickBot="1">
      <c r="G153" s="98"/>
      <c r="H153" s="239"/>
      <c r="I153" s="243"/>
      <c r="J153" s="243"/>
      <c r="K153" s="243"/>
      <c r="L153" s="243"/>
      <c r="M153" s="243"/>
      <c r="N153" s="248" t="e">
        <f t="shared" si="3"/>
        <v>#N/A</v>
      </c>
      <c r="O153" s="248"/>
      <c r="P153" s="248"/>
      <c r="Q153" s="248">
        <v>0</v>
      </c>
      <c r="R153" s="248"/>
      <c r="S153" s="248" t="e">
        <v>#N/A</v>
      </c>
    </row>
    <row r="154" spans="7:19" ht="16" thickTop="1" thickBot="1">
      <c r="G154" s="98"/>
      <c r="H154" s="239"/>
      <c r="I154" s="243"/>
      <c r="J154" s="243"/>
      <c r="K154" s="243"/>
      <c r="L154" s="243"/>
      <c r="M154" s="243"/>
      <c r="N154" s="248" t="e">
        <f t="shared" si="3"/>
        <v>#N/A</v>
      </c>
      <c r="O154" s="248"/>
      <c r="P154" s="248"/>
      <c r="Q154" s="248">
        <v>0</v>
      </c>
      <c r="R154" s="248"/>
      <c r="S154" s="248" t="e">
        <v>#N/A</v>
      </c>
    </row>
    <row r="155" spans="7:19" ht="16" thickTop="1" thickBot="1">
      <c r="G155" s="98"/>
      <c r="H155" s="239"/>
      <c r="I155" s="243"/>
      <c r="J155" s="243"/>
      <c r="K155" s="243"/>
      <c r="L155" s="243"/>
      <c r="M155" s="243"/>
      <c r="N155" s="248" t="e">
        <f t="shared" si="3"/>
        <v>#N/A</v>
      </c>
      <c r="O155" s="248"/>
      <c r="P155" s="248"/>
      <c r="Q155" s="248">
        <v>0</v>
      </c>
      <c r="R155" s="248"/>
      <c r="S155" s="248" t="e">
        <v>#N/A</v>
      </c>
    </row>
    <row r="156" spans="7:19" ht="16" thickTop="1" thickBot="1">
      <c r="G156" s="98"/>
      <c r="H156" s="239"/>
      <c r="I156" s="243"/>
      <c r="J156" s="243"/>
      <c r="K156" s="243"/>
      <c r="L156" s="243"/>
      <c r="M156" s="243"/>
      <c r="N156" s="248" t="e">
        <f t="shared" si="3"/>
        <v>#N/A</v>
      </c>
      <c r="O156" s="248"/>
      <c r="P156" s="248"/>
      <c r="Q156" s="248">
        <v>0</v>
      </c>
      <c r="R156" s="248"/>
      <c r="S156" s="248" t="e">
        <v>#N/A</v>
      </c>
    </row>
    <row r="157" spans="7:19" ht="16" thickTop="1" thickBot="1">
      <c r="G157" s="98"/>
      <c r="H157" s="239"/>
      <c r="I157" s="243"/>
      <c r="J157" s="243"/>
      <c r="K157" s="243"/>
      <c r="L157" s="243"/>
      <c r="M157" s="243"/>
      <c r="N157" s="248" t="e">
        <f t="shared" si="3"/>
        <v>#N/A</v>
      </c>
      <c r="O157" s="248"/>
      <c r="P157" s="248"/>
      <c r="Q157" s="248">
        <v>0</v>
      </c>
      <c r="R157" s="248"/>
      <c r="S157" s="248" t="e">
        <v>#N/A</v>
      </c>
    </row>
    <row r="158" spans="7:19" ht="16" thickTop="1" thickBot="1">
      <c r="G158" s="98"/>
      <c r="H158" s="239"/>
      <c r="I158" s="243"/>
      <c r="J158" s="243"/>
      <c r="K158" s="243"/>
      <c r="L158" s="243"/>
      <c r="M158" s="243"/>
      <c r="N158" s="248" t="e">
        <f t="shared" si="3"/>
        <v>#N/A</v>
      </c>
      <c r="O158" s="248"/>
      <c r="P158" s="248"/>
      <c r="Q158" s="248">
        <v>0</v>
      </c>
      <c r="R158" s="248"/>
      <c r="S158" s="248" t="e">
        <v>#N/A</v>
      </c>
    </row>
    <row r="159" spans="7:19" ht="16" thickTop="1" thickBot="1">
      <c r="G159" s="98"/>
      <c r="H159" s="239"/>
      <c r="I159" s="243"/>
      <c r="J159" s="243"/>
      <c r="K159" s="243"/>
      <c r="L159" s="243"/>
      <c r="M159" s="243"/>
      <c r="N159" s="248" t="e">
        <f t="shared" si="3"/>
        <v>#N/A</v>
      </c>
      <c r="O159" s="248"/>
      <c r="P159" s="248"/>
      <c r="Q159" s="248">
        <v>0</v>
      </c>
      <c r="R159" s="248"/>
      <c r="S159" s="248" t="e">
        <v>#N/A</v>
      </c>
    </row>
    <row r="160" spans="7:19" ht="16" thickTop="1" thickBot="1">
      <c r="G160" s="98"/>
      <c r="H160" s="239"/>
      <c r="I160" s="243"/>
      <c r="J160" s="243"/>
      <c r="K160" s="243"/>
      <c r="L160" s="243"/>
      <c r="M160" s="243"/>
      <c r="N160" s="248" t="e">
        <f t="shared" si="3"/>
        <v>#N/A</v>
      </c>
      <c r="O160" s="248"/>
      <c r="P160" s="248"/>
      <c r="Q160" s="248">
        <v>0</v>
      </c>
      <c r="R160" s="248"/>
      <c r="S160" s="248" t="e">
        <v>#N/A</v>
      </c>
    </row>
    <row r="161" spans="7:19" ht="16" thickTop="1" thickBot="1">
      <c r="G161" s="98"/>
      <c r="H161" s="239"/>
      <c r="I161" s="243"/>
      <c r="J161" s="243"/>
      <c r="K161" s="243"/>
      <c r="L161" s="243"/>
      <c r="M161" s="243"/>
      <c r="N161" s="248" t="e">
        <f t="shared" si="3"/>
        <v>#N/A</v>
      </c>
      <c r="O161" s="248"/>
      <c r="P161" s="248"/>
      <c r="Q161" s="248">
        <v>0</v>
      </c>
      <c r="R161" s="248"/>
      <c r="S161" s="248" t="e">
        <v>#N/A</v>
      </c>
    </row>
    <row r="162" spans="7:19" ht="16" thickTop="1" thickBot="1">
      <c r="G162" s="98"/>
      <c r="H162" s="239"/>
      <c r="I162" s="243"/>
      <c r="J162" s="243"/>
      <c r="K162" s="243"/>
      <c r="L162" s="243"/>
      <c r="M162" s="243"/>
      <c r="N162" s="248" t="e">
        <f t="shared" si="3"/>
        <v>#N/A</v>
      </c>
      <c r="O162" s="248"/>
      <c r="P162" s="248"/>
      <c r="Q162" s="248">
        <v>0</v>
      </c>
      <c r="R162" s="248"/>
      <c r="S162" s="248" t="e">
        <v>#N/A</v>
      </c>
    </row>
    <row r="163" spans="7:19" ht="16" thickTop="1" thickBot="1">
      <c r="G163" s="98"/>
      <c r="H163" s="239"/>
      <c r="I163" s="243"/>
      <c r="J163" s="243"/>
      <c r="K163" s="243"/>
      <c r="L163" s="243"/>
      <c r="M163" s="243"/>
      <c r="N163" s="248" t="e">
        <f t="shared" si="3"/>
        <v>#N/A</v>
      </c>
      <c r="O163" s="248"/>
      <c r="P163" s="248"/>
      <c r="Q163" s="248">
        <v>0</v>
      </c>
      <c r="R163" s="248"/>
      <c r="S163" s="248" t="e">
        <v>#N/A</v>
      </c>
    </row>
    <row r="164" spans="7:19" ht="16" thickTop="1" thickBot="1">
      <c r="G164" s="98"/>
      <c r="H164" s="239"/>
      <c r="I164" s="243"/>
      <c r="J164" s="243"/>
      <c r="K164" s="243"/>
      <c r="L164" s="243"/>
      <c r="M164" s="243"/>
      <c r="N164" s="248" t="e">
        <f t="shared" si="3"/>
        <v>#N/A</v>
      </c>
      <c r="O164" s="248"/>
      <c r="P164" s="248"/>
      <c r="Q164" s="248">
        <v>0</v>
      </c>
      <c r="R164" s="248"/>
      <c r="S164" s="248" t="e">
        <v>#N/A</v>
      </c>
    </row>
    <row r="165" spans="7:19" ht="16" thickTop="1" thickBot="1">
      <c r="G165" s="98"/>
      <c r="H165" s="239"/>
      <c r="I165" s="243"/>
      <c r="J165" s="243"/>
      <c r="K165" s="243"/>
      <c r="L165" s="243"/>
      <c r="M165" s="243"/>
      <c r="N165" s="248" t="e">
        <f t="shared" si="3"/>
        <v>#N/A</v>
      </c>
      <c r="O165" s="248"/>
      <c r="P165" s="248"/>
      <c r="Q165" s="248">
        <v>0</v>
      </c>
      <c r="R165" s="248"/>
      <c r="S165" s="248" t="e">
        <v>#N/A</v>
      </c>
    </row>
    <row r="166" spans="7:19" ht="16" thickTop="1" thickBot="1">
      <c r="G166" s="98"/>
      <c r="H166" s="239"/>
      <c r="I166" s="243"/>
      <c r="J166" s="243"/>
      <c r="K166" s="243"/>
      <c r="L166" s="243"/>
      <c r="M166" s="243"/>
      <c r="N166" s="248" t="e">
        <f t="shared" si="3"/>
        <v>#N/A</v>
      </c>
      <c r="O166" s="248"/>
      <c r="P166" s="248"/>
      <c r="Q166" s="248">
        <v>0</v>
      </c>
      <c r="R166" s="248"/>
      <c r="S166" s="248" t="e">
        <v>#N/A</v>
      </c>
    </row>
    <row r="167" spans="7:19" ht="16" thickTop="1" thickBot="1">
      <c r="G167" s="98"/>
      <c r="H167" s="239"/>
      <c r="I167" s="243"/>
      <c r="J167" s="243"/>
      <c r="K167" s="243"/>
      <c r="L167" s="243"/>
      <c r="M167" s="243"/>
      <c r="N167" s="248" t="e">
        <f t="shared" si="3"/>
        <v>#N/A</v>
      </c>
      <c r="O167" s="248"/>
      <c r="P167" s="248"/>
      <c r="Q167" s="248">
        <v>0</v>
      </c>
      <c r="R167" s="248"/>
      <c r="S167" s="248" t="e">
        <v>#N/A</v>
      </c>
    </row>
    <row r="168" spans="7:19" ht="16" thickTop="1" thickBot="1">
      <c r="G168" s="98"/>
      <c r="H168" s="239"/>
      <c r="I168" s="243"/>
      <c r="J168" s="243"/>
      <c r="K168" s="243"/>
      <c r="L168" s="243"/>
      <c r="M168" s="243"/>
      <c r="N168" s="248" t="e">
        <f t="shared" si="3"/>
        <v>#N/A</v>
      </c>
      <c r="O168" s="248"/>
      <c r="P168" s="248"/>
      <c r="Q168" s="248">
        <v>0</v>
      </c>
      <c r="R168" s="248"/>
      <c r="S168" s="248" t="e">
        <v>#N/A</v>
      </c>
    </row>
    <row r="169" spans="7:19" ht="32" customHeight="1" thickTop="1" thickBot="1">
      <c r="G169" s="98"/>
      <c r="H169" s="239"/>
      <c r="I169" s="243"/>
      <c r="J169" s="243"/>
      <c r="K169" s="243"/>
      <c r="L169" s="243"/>
      <c r="M169" s="243"/>
      <c r="N169" s="248" t="e">
        <f t="shared" si="3"/>
        <v>#N/A</v>
      </c>
      <c r="O169" s="248"/>
      <c r="P169" s="248"/>
      <c r="Q169" s="248">
        <v>0</v>
      </c>
      <c r="R169" s="248"/>
      <c r="S169" s="248" t="e">
        <v>#N/A</v>
      </c>
    </row>
    <row r="170" spans="7:19" ht="16" thickTop="1" thickBot="1">
      <c r="G170" s="98"/>
      <c r="H170" s="239"/>
      <c r="I170" s="243"/>
      <c r="J170" s="243"/>
      <c r="K170" s="243"/>
      <c r="L170" s="243"/>
      <c r="M170" s="243"/>
      <c r="N170" s="248" t="e">
        <f t="shared" si="3"/>
        <v>#N/A</v>
      </c>
      <c r="O170" s="248"/>
      <c r="P170" s="248"/>
      <c r="Q170" s="248">
        <v>0</v>
      </c>
      <c r="R170" s="248"/>
      <c r="S170" s="248" t="e">
        <v>#N/A</v>
      </c>
    </row>
    <row r="171" spans="7:19" ht="16" thickTop="1" thickBot="1">
      <c r="G171" s="98"/>
      <c r="H171" s="239"/>
      <c r="I171" s="243"/>
      <c r="J171" s="243"/>
      <c r="K171" s="243"/>
      <c r="L171" s="243"/>
      <c r="M171" s="243"/>
      <c r="N171" s="248" t="e">
        <f t="shared" si="3"/>
        <v>#N/A</v>
      </c>
      <c r="O171" s="248"/>
      <c r="P171" s="248"/>
      <c r="Q171" s="248">
        <v>0</v>
      </c>
      <c r="R171" s="248"/>
      <c r="S171" s="248" t="e">
        <v>#N/A</v>
      </c>
    </row>
    <row r="172" spans="7:19" ht="16" thickTop="1" thickBot="1">
      <c r="G172" s="98"/>
      <c r="H172" s="239"/>
      <c r="I172" s="243"/>
      <c r="J172" s="243"/>
      <c r="K172" s="243"/>
      <c r="L172" s="243"/>
      <c r="M172" s="243"/>
      <c r="N172" s="248" t="e">
        <f t="shared" si="3"/>
        <v>#N/A</v>
      </c>
      <c r="O172" s="248"/>
      <c r="P172" s="248"/>
      <c r="Q172" s="248">
        <v>0</v>
      </c>
      <c r="R172" s="248"/>
      <c r="S172" s="248" t="e">
        <v>#N/A</v>
      </c>
    </row>
    <row r="173" spans="7:19" ht="16" thickTop="1" thickBot="1">
      <c r="G173" s="98"/>
      <c r="H173" s="239"/>
      <c r="I173" s="243"/>
      <c r="J173" s="243"/>
      <c r="K173" s="243"/>
      <c r="L173" s="243"/>
      <c r="M173" s="243"/>
      <c r="N173" s="248" t="e">
        <f t="shared" si="3"/>
        <v>#N/A</v>
      </c>
      <c r="O173" s="248"/>
      <c r="P173" s="248"/>
      <c r="Q173" s="248">
        <v>0</v>
      </c>
      <c r="R173" s="248"/>
      <c r="S173" s="248" t="e">
        <v>#N/A</v>
      </c>
    </row>
    <row r="174" spans="7:19" ht="16" thickTop="1" thickBot="1">
      <c r="G174" s="98"/>
      <c r="H174" s="239"/>
      <c r="I174" s="243"/>
      <c r="J174" s="243"/>
      <c r="K174" s="243"/>
      <c r="L174" s="243"/>
      <c r="M174" s="243"/>
      <c r="N174" s="248" t="e">
        <f t="shared" si="3"/>
        <v>#N/A</v>
      </c>
      <c r="O174" s="248"/>
      <c r="P174" s="248"/>
      <c r="Q174" s="248">
        <v>0</v>
      </c>
      <c r="R174" s="248"/>
      <c r="S174" s="248" t="e">
        <v>#N/A</v>
      </c>
    </row>
    <row r="175" spans="7:19" ht="16" thickTop="1" thickBot="1">
      <c r="G175" s="98"/>
      <c r="H175" s="239"/>
      <c r="I175" s="243"/>
      <c r="J175" s="243"/>
      <c r="K175" s="243"/>
      <c r="L175" s="243"/>
      <c r="M175" s="243"/>
      <c r="N175" s="248" t="e">
        <f t="shared" si="3"/>
        <v>#N/A</v>
      </c>
      <c r="O175" s="248"/>
      <c r="P175" s="248"/>
      <c r="Q175" s="248">
        <v>0</v>
      </c>
      <c r="R175" s="248"/>
      <c r="S175" s="248" t="e">
        <v>#N/A</v>
      </c>
    </row>
    <row r="176" spans="7:19" ht="16" thickTop="1" thickBot="1">
      <c r="G176" s="98"/>
      <c r="H176" s="239"/>
      <c r="I176" s="243"/>
      <c r="J176" s="243"/>
      <c r="K176" s="243"/>
      <c r="L176" s="243"/>
      <c r="M176" s="243"/>
      <c r="N176" s="248" t="e">
        <f t="shared" si="3"/>
        <v>#N/A</v>
      </c>
      <c r="O176" s="248"/>
      <c r="P176" s="248"/>
      <c r="Q176" s="248">
        <v>0</v>
      </c>
      <c r="R176" s="248"/>
      <c r="S176" s="248" t="e">
        <v>#N/A</v>
      </c>
    </row>
    <row r="177" spans="7:19" ht="16" thickTop="1" thickBot="1">
      <c r="G177" s="98"/>
      <c r="H177" s="239"/>
      <c r="I177" s="243"/>
      <c r="J177" s="243"/>
      <c r="K177" s="243"/>
      <c r="L177" s="243"/>
      <c r="M177" s="243"/>
      <c r="N177" s="248" t="e">
        <f t="shared" si="3"/>
        <v>#N/A</v>
      </c>
      <c r="O177" s="248"/>
      <c r="P177" s="248"/>
      <c r="Q177" s="248">
        <v>0</v>
      </c>
      <c r="R177" s="248"/>
      <c r="S177" s="248" t="e">
        <v>#N/A</v>
      </c>
    </row>
    <row r="178" spans="7:19" ht="16" thickTop="1" thickBot="1">
      <c r="G178" s="98"/>
      <c r="H178" s="239"/>
      <c r="I178" s="243"/>
      <c r="J178" s="243"/>
      <c r="K178" s="243"/>
      <c r="L178" s="243"/>
      <c r="M178" s="243"/>
      <c r="N178" s="248" t="e">
        <f t="shared" si="3"/>
        <v>#N/A</v>
      </c>
      <c r="O178" s="248"/>
      <c r="P178" s="248"/>
      <c r="Q178" s="248">
        <v>0</v>
      </c>
      <c r="R178" s="248"/>
      <c r="S178" s="248" t="e">
        <v>#N/A</v>
      </c>
    </row>
    <row r="179" spans="7:19" ht="16" thickTop="1" thickBot="1">
      <c r="G179" s="98"/>
      <c r="H179" s="239"/>
      <c r="I179" s="243"/>
      <c r="J179" s="243"/>
      <c r="K179" s="243"/>
      <c r="L179" s="243"/>
      <c r="M179" s="243"/>
      <c r="N179" s="248" t="e">
        <f t="shared" si="3"/>
        <v>#N/A</v>
      </c>
      <c r="O179" s="248"/>
      <c r="P179" s="248"/>
      <c r="Q179" s="248">
        <v>0</v>
      </c>
      <c r="R179" s="248"/>
      <c r="S179" s="248" t="e">
        <v>#N/A</v>
      </c>
    </row>
    <row r="180" spans="7:19" ht="16" thickTop="1" thickBot="1">
      <c r="G180" s="98"/>
      <c r="H180" s="239"/>
      <c r="I180" s="243"/>
      <c r="J180" s="243"/>
      <c r="K180" s="243"/>
      <c r="L180" s="243"/>
      <c r="M180" s="243"/>
      <c r="N180" s="248" t="e">
        <f t="shared" si="3"/>
        <v>#N/A</v>
      </c>
      <c r="O180" s="248"/>
      <c r="P180" s="248"/>
      <c r="Q180" s="248">
        <v>0</v>
      </c>
      <c r="R180" s="248"/>
      <c r="S180" s="248" t="e">
        <v>#N/A</v>
      </c>
    </row>
    <row r="181" spans="7:19" ht="16" thickTop="1" thickBot="1">
      <c r="G181" s="98"/>
      <c r="H181" s="239"/>
      <c r="I181" s="243"/>
      <c r="J181" s="243"/>
      <c r="K181" s="243"/>
      <c r="L181" s="243"/>
      <c r="M181" s="243"/>
      <c r="N181" s="248" t="e">
        <f t="shared" si="3"/>
        <v>#N/A</v>
      </c>
      <c r="O181" s="248"/>
      <c r="P181" s="248"/>
      <c r="Q181" s="248">
        <v>0</v>
      </c>
      <c r="R181" s="248"/>
      <c r="S181" s="248" t="e">
        <v>#N/A</v>
      </c>
    </row>
    <row r="182" spans="7:19" ht="16" thickTop="1" thickBot="1">
      <c r="G182" s="98"/>
      <c r="H182" s="239"/>
      <c r="I182" s="243"/>
      <c r="J182" s="243"/>
      <c r="K182" s="243"/>
      <c r="L182" s="243"/>
      <c r="M182" s="243"/>
      <c r="N182" s="248" t="e">
        <f t="shared" si="3"/>
        <v>#N/A</v>
      </c>
      <c r="O182" s="248"/>
      <c r="P182" s="248"/>
      <c r="Q182" s="248">
        <v>0</v>
      </c>
      <c r="R182" s="248"/>
      <c r="S182" s="248" t="e">
        <v>#N/A</v>
      </c>
    </row>
    <row r="183" spans="7:19" ht="16" thickTop="1" thickBot="1">
      <c r="G183" s="98"/>
      <c r="H183" s="239"/>
      <c r="I183" s="243"/>
      <c r="J183" s="243"/>
      <c r="K183" s="243"/>
      <c r="L183" s="243"/>
      <c r="M183" s="243"/>
      <c r="N183" s="248" t="e">
        <f t="shared" si="3"/>
        <v>#N/A</v>
      </c>
      <c r="O183" s="248"/>
      <c r="P183" s="248"/>
      <c r="Q183" s="248">
        <v>0</v>
      </c>
      <c r="R183" s="248"/>
      <c r="S183" s="248" t="e">
        <v>#N/A</v>
      </c>
    </row>
    <row r="184" spans="7:19" ht="16" thickTop="1" thickBot="1">
      <c r="G184" s="98"/>
      <c r="H184" s="239"/>
      <c r="I184" s="243"/>
      <c r="J184" s="243"/>
      <c r="K184" s="243"/>
      <c r="L184" s="243"/>
      <c r="M184" s="243"/>
      <c r="N184" s="248" t="e">
        <f t="shared" si="3"/>
        <v>#N/A</v>
      </c>
      <c r="O184" s="248"/>
      <c r="P184" s="248"/>
      <c r="Q184" s="248">
        <v>0</v>
      </c>
      <c r="R184" s="248"/>
      <c r="S184" s="248" t="e">
        <v>#N/A</v>
      </c>
    </row>
    <row r="185" spans="7:19" ht="16" thickTop="1" thickBot="1">
      <c r="G185" s="98"/>
      <c r="H185" s="239"/>
      <c r="I185" s="243"/>
      <c r="J185" s="243"/>
      <c r="K185" s="243"/>
      <c r="L185" s="243"/>
      <c r="M185" s="243"/>
      <c r="N185" s="248" t="e">
        <f t="shared" si="3"/>
        <v>#N/A</v>
      </c>
      <c r="O185" s="248"/>
      <c r="P185" s="248"/>
      <c r="Q185" s="248">
        <v>0</v>
      </c>
      <c r="R185" s="248"/>
      <c r="S185" s="248" t="e">
        <v>#N/A</v>
      </c>
    </row>
    <row r="186" spans="7:19" ht="16" thickTop="1" thickBot="1">
      <c r="G186" s="98"/>
      <c r="H186" s="239"/>
      <c r="I186" s="243"/>
      <c r="J186" s="243"/>
      <c r="K186" s="243"/>
      <c r="L186" s="243"/>
      <c r="M186" s="243"/>
      <c r="N186" s="248" t="e">
        <f t="shared" si="3"/>
        <v>#N/A</v>
      </c>
      <c r="O186" s="248"/>
      <c r="P186" s="248"/>
      <c r="Q186" s="248">
        <v>0</v>
      </c>
      <c r="R186" s="248"/>
      <c r="S186" s="248" t="e">
        <v>#N/A</v>
      </c>
    </row>
    <row r="187" spans="7:19" ht="16" thickTop="1" thickBot="1">
      <c r="G187" s="98"/>
      <c r="H187" s="239"/>
      <c r="I187" s="243"/>
      <c r="J187" s="243"/>
      <c r="K187" s="243"/>
      <c r="L187" s="243"/>
      <c r="M187" s="243"/>
      <c r="N187" s="248" t="e">
        <f t="shared" si="3"/>
        <v>#N/A</v>
      </c>
      <c r="O187" s="248"/>
      <c r="P187" s="248"/>
      <c r="Q187" s="248">
        <v>0</v>
      </c>
      <c r="R187" s="248"/>
      <c r="S187" s="248" t="e">
        <v>#N/A</v>
      </c>
    </row>
    <row r="188" spans="7:19" ht="16" thickTop="1" thickBot="1">
      <c r="G188" s="98"/>
      <c r="H188" s="239"/>
      <c r="I188" s="243"/>
      <c r="J188" s="243"/>
      <c r="K188" s="243"/>
      <c r="L188" s="243"/>
      <c r="M188" s="243"/>
      <c r="N188" s="248" t="e">
        <f t="shared" si="3"/>
        <v>#N/A</v>
      </c>
      <c r="O188" s="248"/>
      <c r="P188" s="248"/>
      <c r="Q188" s="248">
        <v>0</v>
      </c>
      <c r="R188" s="248"/>
      <c r="S188" s="248" t="e">
        <v>#N/A</v>
      </c>
    </row>
    <row r="189" spans="7:19" ht="16" thickTop="1" thickBot="1">
      <c r="G189" s="98"/>
      <c r="H189" s="239"/>
      <c r="I189" s="243"/>
      <c r="J189" s="243"/>
      <c r="K189" s="243"/>
      <c r="L189" s="243"/>
      <c r="M189" s="243"/>
      <c r="N189" s="248" t="e">
        <f t="shared" si="3"/>
        <v>#N/A</v>
      </c>
      <c r="O189" s="248"/>
      <c r="P189" s="248"/>
      <c r="Q189" s="248">
        <v>0</v>
      </c>
      <c r="R189" s="248"/>
      <c r="S189" s="248" t="e">
        <v>#N/A</v>
      </c>
    </row>
    <row r="190" spans="7:19" ht="16" thickTop="1" thickBot="1">
      <c r="G190" s="98"/>
      <c r="H190" s="239"/>
      <c r="I190" s="243"/>
      <c r="J190" s="243"/>
      <c r="K190" s="243"/>
      <c r="L190" s="243"/>
      <c r="M190" s="243"/>
      <c r="N190" s="248" t="e">
        <f t="shared" si="3"/>
        <v>#N/A</v>
      </c>
      <c r="O190" s="248"/>
      <c r="P190" s="248"/>
      <c r="Q190" s="248">
        <v>0</v>
      </c>
      <c r="R190" s="248"/>
      <c r="S190" s="248" t="e">
        <v>#N/A</v>
      </c>
    </row>
    <row r="191" spans="7:19" ht="16" thickTop="1" thickBot="1">
      <c r="G191" s="98"/>
      <c r="H191" s="239"/>
      <c r="I191" s="243"/>
      <c r="J191" s="243"/>
      <c r="K191" s="243"/>
      <c r="L191" s="243"/>
      <c r="M191" s="243"/>
      <c r="N191" s="248" t="e">
        <f t="shared" si="3"/>
        <v>#N/A</v>
      </c>
      <c r="O191" s="248"/>
      <c r="P191" s="248"/>
      <c r="Q191" s="248">
        <v>0</v>
      </c>
      <c r="R191" s="248"/>
      <c r="S191" s="248" t="e">
        <v>#N/A</v>
      </c>
    </row>
    <row r="192" spans="7:19" ht="16" thickTop="1" thickBot="1">
      <c r="G192" s="98"/>
      <c r="H192" s="239"/>
      <c r="I192" s="243"/>
      <c r="J192" s="243"/>
      <c r="K192" s="243"/>
      <c r="L192" s="243"/>
      <c r="M192" s="243"/>
      <c r="N192" s="248" t="e">
        <f t="shared" si="3"/>
        <v>#N/A</v>
      </c>
      <c r="O192" s="248"/>
      <c r="P192" s="248"/>
      <c r="Q192" s="248">
        <v>0</v>
      </c>
      <c r="R192" s="248"/>
      <c r="S192" s="248" t="e">
        <v>#N/A</v>
      </c>
    </row>
    <row r="193" spans="7:19" ht="16" thickTop="1" thickBot="1">
      <c r="G193" s="98"/>
      <c r="H193" s="239"/>
      <c r="I193" s="243"/>
      <c r="J193" s="243"/>
      <c r="K193" s="243"/>
      <c r="L193" s="243"/>
      <c r="M193" s="243"/>
      <c r="N193" s="248" t="e">
        <f t="shared" si="3"/>
        <v>#N/A</v>
      </c>
      <c r="O193" s="248"/>
      <c r="P193" s="248"/>
      <c r="Q193" s="248">
        <v>0</v>
      </c>
      <c r="R193" s="248"/>
      <c r="S193" s="248" t="e">
        <v>#N/A</v>
      </c>
    </row>
    <row r="194" spans="7:19" ht="16" thickTop="1" thickBot="1">
      <c r="G194" s="98"/>
      <c r="H194" s="239"/>
      <c r="I194" s="243"/>
      <c r="J194" s="243"/>
      <c r="K194" s="243"/>
      <c r="L194" s="243"/>
      <c r="M194" s="243"/>
      <c r="N194" s="248" t="e">
        <f t="shared" si="3"/>
        <v>#N/A</v>
      </c>
      <c r="O194" s="248"/>
      <c r="P194" s="248"/>
      <c r="Q194" s="248">
        <v>0</v>
      </c>
      <c r="R194" s="248"/>
      <c r="S194" s="248" t="e">
        <v>#N/A</v>
      </c>
    </row>
    <row r="195" spans="7:19" ht="16" thickTop="1" thickBot="1">
      <c r="G195" s="98"/>
      <c r="H195" s="239"/>
      <c r="I195" s="243"/>
      <c r="J195" s="243"/>
      <c r="K195" s="243"/>
      <c r="L195" s="243"/>
      <c r="M195" s="243"/>
      <c r="N195" s="248" t="e">
        <f t="shared" si="3"/>
        <v>#N/A</v>
      </c>
      <c r="O195" s="248"/>
      <c r="P195" s="248"/>
      <c r="Q195" s="248">
        <v>0</v>
      </c>
      <c r="R195" s="248"/>
      <c r="S195" s="248" t="e">
        <v>#N/A</v>
      </c>
    </row>
    <row r="196" spans="7:19" ht="16" thickTop="1" thickBot="1">
      <c r="G196" s="98"/>
      <c r="H196" s="239"/>
      <c r="I196" s="243"/>
      <c r="J196" s="243"/>
      <c r="K196" s="243"/>
      <c r="L196" s="243"/>
      <c r="M196" s="243"/>
      <c r="N196" s="248" t="e">
        <f t="shared" si="3"/>
        <v>#N/A</v>
      </c>
      <c r="O196" s="248"/>
      <c r="P196" s="248"/>
      <c r="Q196" s="248">
        <v>0</v>
      </c>
      <c r="R196" s="248"/>
      <c r="S196" s="248" t="e">
        <v>#N/A</v>
      </c>
    </row>
    <row r="197" spans="7:19" ht="16" thickTop="1" thickBot="1">
      <c r="G197" s="98"/>
      <c r="H197" s="239"/>
      <c r="I197" s="243"/>
      <c r="J197" s="243"/>
      <c r="K197" s="243"/>
      <c r="L197" s="243"/>
      <c r="M197" s="243"/>
      <c r="N197" s="248" t="e">
        <f t="shared" si="3"/>
        <v>#N/A</v>
      </c>
      <c r="O197" s="248"/>
      <c r="P197" s="248"/>
      <c r="Q197" s="248">
        <v>0</v>
      </c>
      <c r="R197" s="248"/>
      <c r="S197" s="248" t="e">
        <v>#N/A</v>
      </c>
    </row>
    <row r="198" spans="7:19" ht="16" thickTop="1" thickBot="1">
      <c r="G198" s="98"/>
      <c r="H198" s="239"/>
      <c r="I198" s="243"/>
      <c r="J198" s="243"/>
      <c r="K198" s="243"/>
      <c r="L198" s="243"/>
      <c r="M198" s="243"/>
      <c r="N198" s="248" t="e">
        <f t="shared" si="3"/>
        <v>#N/A</v>
      </c>
      <c r="O198" s="248"/>
      <c r="P198" s="248"/>
      <c r="Q198" s="248">
        <v>0</v>
      </c>
      <c r="R198" s="248"/>
      <c r="S198" s="248" t="e">
        <v>#N/A</v>
      </c>
    </row>
    <row r="199" spans="7:19" ht="16" thickTop="1" thickBot="1">
      <c r="G199" s="98"/>
      <c r="H199" s="239"/>
      <c r="I199" s="243"/>
      <c r="J199" s="243"/>
      <c r="K199" s="243"/>
      <c r="L199" s="243"/>
      <c r="M199" s="243"/>
      <c r="N199" s="248" t="e">
        <f t="shared" si="3"/>
        <v>#N/A</v>
      </c>
      <c r="O199" s="248"/>
      <c r="P199" s="248"/>
      <c r="Q199" s="248">
        <v>0</v>
      </c>
      <c r="R199" s="248"/>
      <c r="S199" s="248" t="e">
        <v>#N/A</v>
      </c>
    </row>
    <row r="200" spans="7:19" ht="16" thickTop="1" thickBot="1">
      <c r="G200" s="98"/>
      <c r="H200" s="239"/>
      <c r="I200" s="243"/>
      <c r="J200" s="243"/>
      <c r="K200" s="243"/>
      <c r="L200" s="243"/>
      <c r="M200" s="243"/>
      <c r="N200" s="248" t="e">
        <f t="shared" si="3"/>
        <v>#N/A</v>
      </c>
      <c r="O200" s="248"/>
      <c r="P200" s="248"/>
      <c r="Q200" s="248">
        <v>0</v>
      </c>
      <c r="R200" s="248"/>
      <c r="S200" s="248" t="e">
        <v>#N/A</v>
      </c>
    </row>
    <row r="201" spans="7:19" ht="16" thickTop="1" thickBot="1">
      <c r="G201" s="98"/>
      <c r="H201" s="239"/>
      <c r="I201" s="243"/>
      <c r="J201" s="243"/>
      <c r="K201" s="243"/>
      <c r="L201" s="243"/>
      <c r="M201" s="243"/>
      <c r="N201" s="248" t="e">
        <f t="shared" si="3"/>
        <v>#N/A</v>
      </c>
      <c r="O201" s="248"/>
      <c r="P201" s="248"/>
      <c r="Q201" s="248">
        <v>0</v>
      </c>
      <c r="R201" s="248"/>
      <c r="S201" s="248" t="e">
        <v>#N/A</v>
      </c>
    </row>
    <row r="202" spans="7:19" ht="16" thickTop="1" thickBot="1">
      <c r="G202" s="98"/>
      <c r="H202" s="239"/>
      <c r="I202" s="243"/>
      <c r="J202" s="243"/>
      <c r="K202" s="243"/>
      <c r="L202" s="243"/>
      <c r="M202" s="243"/>
      <c r="N202" s="248" t="e">
        <f t="shared" ref="N202:N265" si="4">S201</f>
        <v>#N/A</v>
      </c>
      <c r="O202" s="248"/>
      <c r="P202" s="248"/>
      <c r="Q202" s="248">
        <v>0</v>
      </c>
      <c r="R202" s="248"/>
      <c r="S202" s="248" t="e">
        <v>#N/A</v>
      </c>
    </row>
    <row r="203" spans="7:19" ht="16" thickTop="1" thickBot="1">
      <c r="G203" s="98"/>
      <c r="H203" s="239"/>
      <c r="I203" s="243"/>
      <c r="J203" s="243"/>
      <c r="K203" s="243"/>
      <c r="L203" s="243"/>
      <c r="M203" s="243"/>
      <c r="N203" s="248" t="e">
        <f t="shared" si="4"/>
        <v>#N/A</v>
      </c>
      <c r="O203" s="248"/>
      <c r="P203" s="248"/>
      <c r="Q203" s="248">
        <v>0</v>
      </c>
      <c r="R203" s="248"/>
      <c r="S203" s="248" t="e">
        <v>#N/A</v>
      </c>
    </row>
    <row r="204" spans="7:19" ht="16" thickTop="1" thickBot="1">
      <c r="G204" s="98"/>
      <c r="H204" s="239"/>
      <c r="I204" s="243"/>
      <c r="J204" s="243"/>
      <c r="K204" s="243"/>
      <c r="L204" s="243"/>
      <c r="M204" s="243"/>
      <c r="N204" s="248" t="e">
        <f t="shared" si="4"/>
        <v>#N/A</v>
      </c>
      <c r="O204" s="248"/>
      <c r="P204" s="248"/>
      <c r="Q204" s="248">
        <v>0</v>
      </c>
      <c r="R204" s="248"/>
      <c r="S204" s="248" t="e">
        <v>#N/A</v>
      </c>
    </row>
    <row r="205" spans="7:19" ht="16" thickTop="1" thickBot="1">
      <c r="G205" s="98"/>
      <c r="H205" s="239"/>
      <c r="I205" s="243"/>
      <c r="J205" s="243"/>
      <c r="K205" s="243"/>
      <c r="L205" s="243"/>
      <c r="M205" s="243"/>
      <c r="N205" s="248" t="e">
        <f t="shared" si="4"/>
        <v>#N/A</v>
      </c>
      <c r="O205" s="248"/>
      <c r="P205" s="248"/>
      <c r="Q205" s="248">
        <v>0</v>
      </c>
      <c r="R205" s="248"/>
      <c r="S205" s="248" t="e">
        <v>#N/A</v>
      </c>
    </row>
    <row r="206" spans="7:19" ht="16" thickTop="1" thickBot="1">
      <c r="G206" s="98"/>
      <c r="H206" s="239"/>
      <c r="I206" s="243"/>
      <c r="J206" s="243"/>
      <c r="K206" s="243"/>
      <c r="L206" s="243"/>
      <c r="M206" s="243"/>
      <c r="N206" s="248" t="e">
        <f t="shared" si="4"/>
        <v>#N/A</v>
      </c>
      <c r="O206" s="248"/>
      <c r="P206" s="248"/>
      <c r="Q206" s="248">
        <v>0</v>
      </c>
      <c r="R206" s="248"/>
      <c r="S206" s="248" t="e">
        <v>#N/A</v>
      </c>
    </row>
    <row r="207" spans="7:19" ht="16" thickTop="1" thickBot="1">
      <c r="G207" s="98"/>
      <c r="H207" s="239"/>
      <c r="I207" s="243"/>
      <c r="J207" s="243"/>
      <c r="K207" s="243"/>
      <c r="L207" s="243"/>
      <c r="M207" s="243"/>
      <c r="N207" s="248" t="e">
        <f t="shared" si="4"/>
        <v>#N/A</v>
      </c>
      <c r="O207" s="248"/>
      <c r="P207" s="248"/>
      <c r="Q207" s="248">
        <v>0</v>
      </c>
      <c r="R207" s="248"/>
      <c r="S207" s="248" t="e">
        <v>#N/A</v>
      </c>
    </row>
    <row r="208" spans="7:19" ht="16" thickTop="1" thickBot="1">
      <c r="G208" s="98"/>
      <c r="H208" s="239"/>
      <c r="I208" s="243"/>
      <c r="J208" s="243"/>
      <c r="K208" s="243"/>
      <c r="L208" s="243"/>
      <c r="M208" s="243"/>
      <c r="N208" s="248" t="e">
        <f t="shared" si="4"/>
        <v>#N/A</v>
      </c>
      <c r="O208" s="248"/>
      <c r="P208" s="248"/>
      <c r="Q208" s="248">
        <v>0</v>
      </c>
      <c r="R208" s="248"/>
      <c r="S208" s="248" t="e">
        <v>#N/A</v>
      </c>
    </row>
    <row r="209" spans="7:19" ht="16" thickTop="1" thickBot="1">
      <c r="G209" s="98"/>
      <c r="H209" s="239"/>
      <c r="I209" s="243"/>
      <c r="J209" s="243"/>
      <c r="K209" s="243"/>
      <c r="L209" s="243"/>
      <c r="M209" s="243"/>
      <c r="N209" s="248" t="e">
        <f t="shared" si="4"/>
        <v>#N/A</v>
      </c>
      <c r="O209" s="248"/>
      <c r="P209" s="248"/>
      <c r="Q209" s="248">
        <v>0</v>
      </c>
      <c r="R209" s="248"/>
      <c r="S209" s="248" t="e">
        <v>#N/A</v>
      </c>
    </row>
    <row r="210" spans="7:19" ht="16" thickTop="1" thickBot="1">
      <c r="G210" s="98"/>
      <c r="H210" s="239"/>
      <c r="I210" s="243"/>
      <c r="J210" s="243"/>
      <c r="K210" s="243"/>
      <c r="L210" s="243"/>
      <c r="M210" s="243"/>
      <c r="N210" s="248" t="e">
        <f t="shared" si="4"/>
        <v>#N/A</v>
      </c>
      <c r="O210" s="248"/>
      <c r="P210" s="248"/>
      <c r="Q210" s="248">
        <v>0</v>
      </c>
      <c r="R210" s="248"/>
      <c r="S210" s="248" t="e">
        <v>#N/A</v>
      </c>
    </row>
    <row r="211" spans="7:19" ht="16" thickTop="1" thickBot="1">
      <c r="G211" s="98"/>
      <c r="H211" s="239"/>
      <c r="I211" s="243"/>
      <c r="J211" s="243"/>
      <c r="K211" s="243"/>
      <c r="L211" s="243"/>
      <c r="M211" s="243"/>
      <c r="N211" s="248" t="e">
        <f t="shared" si="4"/>
        <v>#N/A</v>
      </c>
      <c r="O211" s="248"/>
      <c r="P211" s="248"/>
      <c r="Q211" s="248">
        <v>0</v>
      </c>
      <c r="R211" s="248"/>
      <c r="S211" s="248" t="e">
        <v>#N/A</v>
      </c>
    </row>
    <row r="212" spans="7:19" ht="16" thickTop="1" thickBot="1">
      <c r="G212" s="98"/>
      <c r="H212" s="239"/>
      <c r="I212" s="243"/>
      <c r="J212" s="243"/>
      <c r="K212" s="243"/>
      <c r="L212" s="243"/>
      <c r="M212" s="243"/>
      <c r="N212" s="248" t="e">
        <f t="shared" si="4"/>
        <v>#N/A</v>
      </c>
      <c r="O212" s="248"/>
      <c r="P212" s="248"/>
      <c r="Q212" s="248">
        <v>0</v>
      </c>
      <c r="R212" s="248"/>
      <c r="S212" s="248" t="e">
        <v>#N/A</v>
      </c>
    </row>
    <row r="213" spans="7:19" ht="16" thickTop="1" thickBot="1">
      <c r="G213" s="98"/>
      <c r="H213" s="239"/>
      <c r="I213" s="243"/>
      <c r="J213" s="243"/>
      <c r="K213" s="243"/>
      <c r="L213" s="243"/>
      <c r="M213" s="243"/>
      <c r="N213" s="248" t="e">
        <f t="shared" si="4"/>
        <v>#N/A</v>
      </c>
      <c r="O213" s="248"/>
      <c r="P213" s="248"/>
      <c r="Q213" s="248">
        <v>0</v>
      </c>
      <c r="R213" s="248"/>
      <c r="S213" s="248" t="e">
        <v>#N/A</v>
      </c>
    </row>
    <row r="214" spans="7:19" ht="16" thickTop="1" thickBot="1">
      <c r="G214" s="98"/>
      <c r="H214" s="239"/>
      <c r="I214" s="243"/>
      <c r="J214" s="243"/>
      <c r="K214" s="243"/>
      <c r="L214" s="243"/>
      <c r="M214" s="243"/>
      <c r="N214" s="248" t="e">
        <f t="shared" si="4"/>
        <v>#N/A</v>
      </c>
      <c r="O214" s="248"/>
      <c r="P214" s="248"/>
      <c r="Q214" s="248">
        <v>0</v>
      </c>
      <c r="R214" s="248"/>
      <c r="S214" s="248" t="e">
        <v>#N/A</v>
      </c>
    </row>
    <row r="215" spans="7:19" ht="16" thickTop="1" thickBot="1">
      <c r="G215" s="98"/>
      <c r="H215" s="239"/>
      <c r="I215" s="243"/>
      <c r="J215" s="243"/>
      <c r="K215" s="243"/>
      <c r="L215" s="243"/>
      <c r="M215" s="243"/>
      <c r="N215" s="248" t="e">
        <f t="shared" si="4"/>
        <v>#N/A</v>
      </c>
      <c r="O215" s="248"/>
      <c r="P215" s="248"/>
      <c r="Q215" s="248">
        <v>0</v>
      </c>
      <c r="R215" s="248"/>
      <c r="S215" s="248" t="e">
        <v>#N/A</v>
      </c>
    </row>
    <row r="216" spans="7:19" ht="16" thickTop="1" thickBot="1">
      <c r="G216" s="98"/>
      <c r="H216" s="239"/>
      <c r="I216" s="243"/>
      <c r="J216" s="243"/>
      <c r="K216" s="243"/>
      <c r="L216" s="243"/>
      <c r="M216" s="243"/>
      <c r="N216" s="248" t="e">
        <f t="shared" si="4"/>
        <v>#N/A</v>
      </c>
      <c r="O216" s="248"/>
      <c r="P216" s="248"/>
      <c r="Q216" s="248">
        <v>0</v>
      </c>
      <c r="R216" s="248"/>
      <c r="S216" s="248" t="e">
        <v>#N/A</v>
      </c>
    </row>
    <row r="217" spans="7:19" ht="16" thickTop="1" thickBot="1">
      <c r="G217" s="98"/>
      <c r="H217" s="239"/>
      <c r="I217" s="243"/>
      <c r="J217" s="243"/>
      <c r="K217" s="243"/>
      <c r="L217" s="243"/>
      <c r="M217" s="243"/>
      <c r="N217" s="248" t="e">
        <f t="shared" si="4"/>
        <v>#N/A</v>
      </c>
      <c r="O217" s="248"/>
      <c r="P217" s="248"/>
      <c r="Q217" s="248">
        <v>0</v>
      </c>
      <c r="R217" s="248"/>
      <c r="S217" s="248" t="e">
        <v>#N/A</v>
      </c>
    </row>
    <row r="218" spans="7:19" ht="16" thickTop="1" thickBot="1">
      <c r="G218" s="98"/>
      <c r="H218" s="239"/>
      <c r="I218" s="243"/>
      <c r="J218" s="243"/>
      <c r="K218" s="243"/>
      <c r="L218" s="243"/>
      <c r="M218" s="243"/>
      <c r="N218" s="248" t="e">
        <f t="shared" si="4"/>
        <v>#N/A</v>
      </c>
      <c r="O218" s="248"/>
      <c r="P218" s="248"/>
      <c r="Q218" s="248">
        <v>0</v>
      </c>
      <c r="R218" s="248"/>
      <c r="S218" s="248" t="e">
        <v>#N/A</v>
      </c>
    </row>
    <row r="219" spans="7:19" ht="16" thickTop="1" thickBot="1">
      <c r="G219" s="98"/>
      <c r="H219" s="239"/>
      <c r="I219" s="243"/>
      <c r="J219" s="243"/>
      <c r="K219" s="243"/>
      <c r="L219" s="243"/>
      <c r="M219" s="243"/>
      <c r="N219" s="248" t="e">
        <f t="shared" si="4"/>
        <v>#N/A</v>
      </c>
      <c r="O219" s="248"/>
      <c r="P219" s="248"/>
      <c r="Q219" s="248">
        <v>0</v>
      </c>
      <c r="R219" s="248"/>
      <c r="S219" s="248" t="e">
        <v>#N/A</v>
      </c>
    </row>
    <row r="220" spans="7:19" ht="16" thickTop="1" thickBot="1">
      <c r="G220" s="98"/>
      <c r="H220" s="239"/>
      <c r="I220" s="243"/>
      <c r="J220" s="243"/>
      <c r="K220" s="243"/>
      <c r="L220" s="243"/>
      <c r="M220" s="243"/>
      <c r="N220" s="248" t="e">
        <f t="shared" si="4"/>
        <v>#N/A</v>
      </c>
      <c r="O220" s="248"/>
      <c r="P220" s="248"/>
      <c r="Q220" s="248">
        <v>0</v>
      </c>
      <c r="R220" s="248"/>
      <c r="S220" s="248" t="e">
        <v>#N/A</v>
      </c>
    </row>
    <row r="221" spans="7:19" ht="16" thickTop="1" thickBot="1">
      <c r="G221" s="98"/>
      <c r="H221" s="239"/>
      <c r="I221" s="243"/>
      <c r="J221" s="243"/>
      <c r="K221" s="243"/>
      <c r="L221" s="243"/>
      <c r="M221" s="243"/>
      <c r="N221" s="248" t="e">
        <f t="shared" si="4"/>
        <v>#N/A</v>
      </c>
      <c r="O221" s="248"/>
      <c r="P221" s="248"/>
      <c r="Q221" s="248">
        <v>0</v>
      </c>
      <c r="R221" s="248"/>
      <c r="S221" s="248" t="e">
        <v>#N/A</v>
      </c>
    </row>
    <row r="222" spans="7:19" ht="16" thickTop="1" thickBot="1">
      <c r="G222" s="98"/>
      <c r="H222" s="239"/>
      <c r="I222" s="243"/>
      <c r="J222" s="243"/>
      <c r="K222" s="243"/>
      <c r="L222" s="243"/>
      <c r="M222" s="243"/>
      <c r="N222" s="248" t="e">
        <f t="shared" si="4"/>
        <v>#N/A</v>
      </c>
      <c r="O222" s="248"/>
      <c r="P222" s="248"/>
      <c r="Q222" s="248">
        <v>0</v>
      </c>
      <c r="R222" s="248"/>
      <c r="S222" s="248" t="e">
        <v>#N/A</v>
      </c>
    </row>
    <row r="223" spans="7:19" ht="16" thickTop="1" thickBot="1">
      <c r="G223" s="98"/>
      <c r="H223" s="239"/>
      <c r="I223" s="243"/>
      <c r="J223" s="243"/>
      <c r="K223" s="243"/>
      <c r="L223" s="243"/>
      <c r="M223" s="243"/>
      <c r="N223" s="248" t="e">
        <f t="shared" si="4"/>
        <v>#N/A</v>
      </c>
      <c r="O223" s="248"/>
      <c r="P223" s="248"/>
      <c r="Q223" s="248">
        <v>0</v>
      </c>
      <c r="R223" s="248"/>
      <c r="S223" s="248" t="e">
        <v>#N/A</v>
      </c>
    </row>
    <row r="224" spans="7:19" ht="16" thickTop="1" thickBot="1">
      <c r="G224" s="98"/>
      <c r="H224" s="239"/>
      <c r="I224" s="243"/>
      <c r="J224" s="243"/>
      <c r="K224" s="243"/>
      <c r="L224" s="243"/>
      <c r="M224" s="243"/>
      <c r="N224" s="248" t="e">
        <f t="shared" si="4"/>
        <v>#N/A</v>
      </c>
      <c r="O224" s="248"/>
      <c r="P224" s="248"/>
      <c r="Q224" s="248">
        <v>0</v>
      </c>
      <c r="R224" s="248"/>
      <c r="S224" s="248" t="e">
        <v>#N/A</v>
      </c>
    </row>
    <row r="225" spans="7:19" ht="16" thickTop="1" thickBot="1">
      <c r="G225" s="98"/>
      <c r="H225" s="239"/>
      <c r="I225" s="243"/>
      <c r="J225" s="243"/>
      <c r="K225" s="243"/>
      <c r="L225" s="243"/>
      <c r="M225" s="243"/>
      <c r="N225" s="248" t="e">
        <f t="shared" si="4"/>
        <v>#N/A</v>
      </c>
      <c r="O225" s="248"/>
      <c r="P225" s="248"/>
      <c r="Q225" s="248">
        <v>0</v>
      </c>
      <c r="R225" s="248"/>
      <c r="S225" s="248" t="e">
        <v>#N/A</v>
      </c>
    </row>
    <row r="226" spans="7:19" ht="16" thickTop="1" thickBot="1">
      <c r="G226" s="98"/>
      <c r="H226" s="239"/>
      <c r="I226" s="243"/>
      <c r="J226" s="243"/>
      <c r="K226" s="243"/>
      <c r="L226" s="243"/>
      <c r="M226" s="243"/>
      <c r="N226" s="248" t="e">
        <f t="shared" si="4"/>
        <v>#N/A</v>
      </c>
      <c r="O226" s="248"/>
      <c r="P226" s="248"/>
      <c r="Q226" s="248">
        <v>0</v>
      </c>
      <c r="R226" s="248"/>
      <c r="S226" s="248" t="e">
        <v>#N/A</v>
      </c>
    </row>
    <row r="227" spans="7:19" ht="16" thickTop="1" thickBot="1">
      <c r="G227" s="98"/>
      <c r="H227" s="239"/>
      <c r="I227" s="243"/>
      <c r="J227" s="243"/>
      <c r="K227" s="243"/>
      <c r="L227" s="243"/>
      <c r="M227" s="243"/>
      <c r="N227" s="248" t="e">
        <f t="shared" si="4"/>
        <v>#N/A</v>
      </c>
      <c r="O227" s="248"/>
      <c r="P227" s="248"/>
      <c r="Q227" s="248">
        <v>0</v>
      </c>
      <c r="R227" s="248"/>
      <c r="S227" s="248" t="e">
        <v>#N/A</v>
      </c>
    </row>
    <row r="228" spans="7:19" ht="16" thickTop="1" thickBot="1">
      <c r="G228" s="98"/>
      <c r="H228" s="239"/>
      <c r="I228" s="243"/>
      <c r="J228" s="243"/>
      <c r="K228" s="243"/>
      <c r="L228" s="243"/>
      <c r="M228" s="243"/>
      <c r="N228" s="248" t="e">
        <f t="shared" si="4"/>
        <v>#N/A</v>
      </c>
      <c r="O228" s="248"/>
      <c r="P228" s="248"/>
      <c r="Q228" s="248">
        <v>0</v>
      </c>
      <c r="R228" s="248"/>
      <c r="S228" s="248" t="e">
        <v>#N/A</v>
      </c>
    </row>
    <row r="229" spans="7:19" ht="16" thickTop="1" thickBot="1">
      <c r="G229" s="98"/>
      <c r="H229" s="239"/>
      <c r="I229" s="243"/>
      <c r="J229" s="243"/>
      <c r="K229" s="243"/>
      <c r="L229" s="243"/>
      <c r="M229" s="243"/>
      <c r="N229" s="248" t="e">
        <f t="shared" si="4"/>
        <v>#N/A</v>
      </c>
      <c r="O229" s="248"/>
      <c r="P229" s="248"/>
      <c r="Q229" s="248">
        <v>0</v>
      </c>
      <c r="R229" s="248"/>
      <c r="S229" s="248" t="e">
        <v>#N/A</v>
      </c>
    </row>
    <row r="230" spans="7:19" ht="16" thickTop="1" thickBot="1">
      <c r="G230" s="98"/>
      <c r="H230" s="239"/>
      <c r="I230" s="243"/>
      <c r="J230" s="243"/>
      <c r="K230" s="243"/>
      <c r="L230" s="243"/>
      <c r="M230" s="243"/>
      <c r="N230" s="248" t="e">
        <f t="shared" si="4"/>
        <v>#N/A</v>
      </c>
      <c r="O230" s="248"/>
      <c r="P230" s="248"/>
      <c r="Q230" s="248">
        <v>0</v>
      </c>
      <c r="R230" s="248"/>
      <c r="S230" s="248" t="e">
        <v>#N/A</v>
      </c>
    </row>
    <row r="231" spans="7:19" ht="16" thickTop="1" thickBot="1">
      <c r="G231" s="98"/>
      <c r="H231" s="239"/>
      <c r="I231" s="243"/>
      <c r="J231" s="243"/>
      <c r="K231" s="243"/>
      <c r="L231" s="243"/>
      <c r="M231" s="243"/>
      <c r="N231" s="248" t="e">
        <f t="shared" si="4"/>
        <v>#N/A</v>
      </c>
      <c r="O231" s="248"/>
      <c r="P231" s="248"/>
      <c r="Q231" s="248">
        <v>0</v>
      </c>
      <c r="R231" s="248"/>
      <c r="S231" s="248" t="e">
        <v>#N/A</v>
      </c>
    </row>
    <row r="232" spans="7:19" ht="16" thickTop="1" thickBot="1">
      <c r="G232" s="98"/>
      <c r="H232" s="239"/>
      <c r="I232" s="243"/>
      <c r="J232" s="243"/>
      <c r="K232" s="243"/>
      <c r="L232" s="243"/>
      <c r="M232" s="243"/>
      <c r="N232" s="248" t="e">
        <f t="shared" si="4"/>
        <v>#N/A</v>
      </c>
      <c r="O232" s="248"/>
      <c r="P232" s="248"/>
      <c r="Q232" s="248">
        <v>0</v>
      </c>
      <c r="R232" s="248"/>
      <c r="S232" s="248" t="e">
        <v>#N/A</v>
      </c>
    </row>
    <row r="233" spans="7:19" ht="16" thickTop="1" thickBot="1">
      <c r="G233" s="98"/>
      <c r="H233" s="239"/>
      <c r="I233" s="243"/>
      <c r="J233" s="243"/>
      <c r="K233" s="243"/>
      <c r="L233" s="243"/>
      <c r="M233" s="243"/>
      <c r="N233" s="248" t="e">
        <f t="shared" si="4"/>
        <v>#N/A</v>
      </c>
      <c r="O233" s="248"/>
      <c r="P233" s="248"/>
      <c r="Q233" s="248">
        <v>0</v>
      </c>
      <c r="R233" s="248"/>
      <c r="S233" s="248" t="e">
        <v>#N/A</v>
      </c>
    </row>
    <row r="234" spans="7:19" ht="16" thickTop="1" thickBot="1">
      <c r="G234" s="98"/>
      <c r="H234" s="239"/>
      <c r="I234" s="243"/>
      <c r="J234" s="243"/>
      <c r="K234" s="243"/>
      <c r="L234" s="243"/>
      <c r="M234" s="243"/>
      <c r="N234" s="248" t="e">
        <f t="shared" si="4"/>
        <v>#N/A</v>
      </c>
      <c r="O234" s="248"/>
      <c r="P234" s="248"/>
      <c r="Q234" s="248">
        <v>0</v>
      </c>
      <c r="R234" s="248"/>
      <c r="S234" s="248" t="e">
        <v>#N/A</v>
      </c>
    </row>
    <row r="235" spans="7:19" ht="16" thickTop="1" thickBot="1">
      <c r="G235" s="98"/>
      <c r="H235" s="239"/>
      <c r="I235" s="243"/>
      <c r="J235" s="243"/>
      <c r="K235" s="243"/>
      <c r="L235" s="243"/>
      <c r="M235" s="243"/>
      <c r="N235" s="248" t="e">
        <f t="shared" si="4"/>
        <v>#N/A</v>
      </c>
      <c r="O235" s="248"/>
      <c r="P235" s="248"/>
      <c r="Q235" s="248">
        <v>0</v>
      </c>
      <c r="R235" s="248"/>
      <c r="S235" s="248" t="e">
        <v>#N/A</v>
      </c>
    </row>
    <row r="236" spans="7:19" ht="16" thickTop="1" thickBot="1">
      <c r="G236" s="98"/>
      <c r="H236" s="239"/>
      <c r="I236" s="243"/>
      <c r="J236" s="243"/>
      <c r="K236" s="243"/>
      <c r="L236" s="243"/>
      <c r="M236" s="243"/>
      <c r="N236" s="248" t="e">
        <f t="shared" si="4"/>
        <v>#N/A</v>
      </c>
      <c r="O236" s="248"/>
      <c r="P236" s="248"/>
      <c r="Q236" s="248">
        <v>0</v>
      </c>
      <c r="R236" s="248"/>
      <c r="S236" s="248" t="e">
        <v>#N/A</v>
      </c>
    </row>
    <row r="237" spans="7:19" ht="16" thickTop="1" thickBot="1">
      <c r="G237" s="98"/>
      <c r="H237" s="239"/>
      <c r="I237" s="243"/>
      <c r="J237" s="243"/>
      <c r="K237" s="243"/>
      <c r="L237" s="243"/>
      <c r="M237" s="243"/>
      <c r="N237" s="248" t="e">
        <f t="shared" si="4"/>
        <v>#N/A</v>
      </c>
      <c r="O237" s="248"/>
      <c r="P237" s="248"/>
      <c r="Q237" s="248">
        <v>0</v>
      </c>
      <c r="R237" s="248"/>
      <c r="S237" s="248" t="e">
        <v>#N/A</v>
      </c>
    </row>
    <row r="238" spans="7:19" ht="16" thickTop="1" thickBot="1">
      <c r="G238" s="98"/>
      <c r="H238" s="239"/>
      <c r="I238" s="243"/>
      <c r="J238" s="243"/>
      <c r="K238" s="243"/>
      <c r="L238" s="243"/>
      <c r="M238" s="243"/>
      <c r="N238" s="248" t="e">
        <f t="shared" si="4"/>
        <v>#N/A</v>
      </c>
      <c r="O238" s="248"/>
      <c r="P238" s="248"/>
      <c r="Q238" s="248">
        <v>0</v>
      </c>
      <c r="R238" s="248"/>
      <c r="S238" s="248" t="e">
        <v>#N/A</v>
      </c>
    </row>
    <row r="239" spans="7:19" ht="16" thickTop="1" thickBot="1">
      <c r="G239" s="98"/>
      <c r="H239" s="239"/>
      <c r="I239" s="243"/>
      <c r="J239" s="243"/>
      <c r="K239" s="243"/>
      <c r="L239" s="243"/>
      <c r="M239" s="243"/>
      <c r="N239" s="248" t="e">
        <f t="shared" si="4"/>
        <v>#N/A</v>
      </c>
      <c r="O239" s="248"/>
      <c r="P239" s="248"/>
      <c r="Q239" s="248">
        <v>0</v>
      </c>
      <c r="R239" s="248"/>
      <c r="S239" s="248" t="e">
        <v>#N/A</v>
      </c>
    </row>
    <row r="240" spans="7:19" ht="16" thickTop="1" thickBot="1">
      <c r="G240" s="98"/>
      <c r="H240" s="239"/>
      <c r="I240" s="243"/>
      <c r="J240" s="243"/>
      <c r="K240" s="243"/>
      <c r="L240" s="243"/>
      <c r="M240" s="243"/>
      <c r="N240" s="248" t="e">
        <f t="shared" si="4"/>
        <v>#N/A</v>
      </c>
      <c r="O240" s="248"/>
      <c r="P240" s="248"/>
      <c r="Q240" s="248">
        <v>0</v>
      </c>
      <c r="R240" s="248"/>
      <c r="S240" s="248" t="e">
        <v>#N/A</v>
      </c>
    </row>
    <row r="241" spans="7:19" ht="16" thickTop="1" thickBot="1">
      <c r="G241" s="98"/>
      <c r="H241" s="239"/>
      <c r="I241" s="243"/>
      <c r="J241" s="243"/>
      <c r="K241" s="243"/>
      <c r="L241" s="243"/>
      <c r="M241" s="243"/>
      <c r="N241" s="248" t="e">
        <f t="shared" si="4"/>
        <v>#N/A</v>
      </c>
      <c r="O241" s="248"/>
      <c r="P241" s="248"/>
      <c r="Q241" s="248">
        <v>0</v>
      </c>
      <c r="R241" s="248"/>
      <c r="S241" s="248" t="e">
        <v>#N/A</v>
      </c>
    </row>
    <row r="242" spans="7:19" ht="16" thickTop="1" thickBot="1">
      <c r="G242" s="98"/>
      <c r="H242" s="239"/>
      <c r="I242" s="243"/>
      <c r="J242" s="243"/>
      <c r="K242" s="243"/>
      <c r="L242" s="243"/>
      <c r="M242" s="243"/>
      <c r="N242" s="248" t="e">
        <f t="shared" si="4"/>
        <v>#N/A</v>
      </c>
      <c r="O242" s="248"/>
      <c r="P242" s="248"/>
      <c r="Q242" s="248">
        <v>0</v>
      </c>
      <c r="R242" s="248"/>
      <c r="S242" s="248" t="e">
        <v>#N/A</v>
      </c>
    </row>
    <row r="243" spans="7:19" ht="16" thickTop="1" thickBot="1">
      <c r="G243" s="98"/>
      <c r="H243" s="239"/>
      <c r="I243" s="243"/>
      <c r="J243" s="243"/>
      <c r="K243" s="243"/>
      <c r="L243" s="243"/>
      <c r="M243" s="243"/>
      <c r="N243" s="248" t="e">
        <f t="shared" si="4"/>
        <v>#N/A</v>
      </c>
      <c r="O243" s="248"/>
      <c r="P243" s="248"/>
      <c r="Q243" s="248">
        <v>0</v>
      </c>
      <c r="R243" s="248"/>
      <c r="S243" s="248" t="e">
        <v>#N/A</v>
      </c>
    </row>
    <row r="244" spans="7:19" ht="16" thickTop="1" thickBot="1">
      <c r="G244" s="98"/>
      <c r="H244" s="239"/>
      <c r="I244" s="243"/>
      <c r="J244" s="243"/>
      <c r="K244" s="243"/>
      <c r="L244" s="243"/>
      <c r="M244" s="243"/>
      <c r="N244" s="248" t="e">
        <f t="shared" si="4"/>
        <v>#N/A</v>
      </c>
      <c r="O244" s="248"/>
      <c r="P244" s="248"/>
      <c r="Q244" s="248">
        <v>0</v>
      </c>
      <c r="R244" s="248"/>
      <c r="S244" s="248" t="e">
        <v>#N/A</v>
      </c>
    </row>
    <row r="245" spans="7:19" ht="16" thickTop="1" thickBot="1">
      <c r="G245" s="98"/>
      <c r="H245" s="239"/>
      <c r="I245" s="243"/>
      <c r="J245" s="243"/>
      <c r="K245" s="243"/>
      <c r="L245" s="243"/>
      <c r="M245" s="243"/>
      <c r="N245" s="248" t="e">
        <f t="shared" si="4"/>
        <v>#N/A</v>
      </c>
      <c r="O245" s="248"/>
      <c r="P245" s="248"/>
      <c r="Q245" s="248">
        <v>0</v>
      </c>
      <c r="R245" s="248"/>
      <c r="S245" s="248" t="e">
        <v>#N/A</v>
      </c>
    </row>
    <row r="246" spans="7:19" ht="16" thickTop="1" thickBot="1">
      <c r="G246" s="98"/>
      <c r="H246" s="239"/>
      <c r="I246" s="243"/>
      <c r="J246" s="243"/>
      <c r="K246" s="243"/>
      <c r="L246" s="243"/>
      <c r="M246" s="243"/>
      <c r="N246" s="248" t="e">
        <f t="shared" si="4"/>
        <v>#N/A</v>
      </c>
      <c r="O246" s="248"/>
      <c r="P246" s="248"/>
      <c r="Q246" s="248">
        <v>0</v>
      </c>
      <c r="R246" s="248"/>
      <c r="S246" s="248" t="e">
        <v>#N/A</v>
      </c>
    </row>
    <row r="247" spans="7:19" ht="16" thickTop="1" thickBot="1">
      <c r="G247" s="98"/>
      <c r="H247" s="239"/>
      <c r="I247" s="243"/>
      <c r="J247" s="243"/>
      <c r="K247" s="243"/>
      <c r="L247" s="243"/>
      <c r="M247" s="243"/>
      <c r="N247" s="248" t="e">
        <f t="shared" si="4"/>
        <v>#N/A</v>
      </c>
      <c r="O247" s="248"/>
      <c r="P247" s="248"/>
      <c r="Q247" s="248">
        <v>0</v>
      </c>
      <c r="R247" s="248"/>
      <c r="S247" s="248" t="e">
        <v>#N/A</v>
      </c>
    </row>
    <row r="248" spans="7:19" ht="16" thickTop="1" thickBot="1">
      <c r="G248" s="98"/>
      <c r="H248" s="239"/>
      <c r="I248" s="243"/>
      <c r="J248" s="243"/>
      <c r="K248" s="243"/>
      <c r="L248" s="243"/>
      <c r="M248" s="243"/>
      <c r="N248" s="248" t="e">
        <f t="shared" si="4"/>
        <v>#N/A</v>
      </c>
      <c r="O248" s="248"/>
      <c r="P248" s="248"/>
      <c r="Q248" s="248">
        <v>0</v>
      </c>
      <c r="R248" s="248"/>
      <c r="S248" s="248" t="e">
        <v>#N/A</v>
      </c>
    </row>
    <row r="249" spans="7:19" ht="16" thickTop="1" thickBot="1">
      <c r="G249" s="98"/>
      <c r="H249" s="239"/>
      <c r="I249" s="243"/>
      <c r="J249" s="243"/>
      <c r="K249" s="243"/>
      <c r="L249" s="243"/>
      <c r="M249" s="243"/>
      <c r="N249" s="248" t="e">
        <f t="shared" si="4"/>
        <v>#N/A</v>
      </c>
      <c r="O249" s="248"/>
      <c r="P249" s="248"/>
      <c r="Q249" s="248">
        <v>0</v>
      </c>
      <c r="R249" s="248"/>
      <c r="S249" s="248" t="e">
        <v>#N/A</v>
      </c>
    </row>
    <row r="250" spans="7:19" ht="16" thickTop="1" thickBot="1">
      <c r="G250" s="98"/>
      <c r="H250" s="239"/>
      <c r="I250" s="243"/>
      <c r="J250" s="243"/>
      <c r="K250" s="243"/>
      <c r="L250" s="243"/>
      <c r="M250" s="243"/>
      <c r="N250" s="248" t="e">
        <f t="shared" si="4"/>
        <v>#N/A</v>
      </c>
      <c r="O250" s="248"/>
      <c r="P250" s="248"/>
      <c r="Q250" s="248">
        <v>0</v>
      </c>
      <c r="R250" s="248"/>
      <c r="S250" s="248" t="e">
        <v>#N/A</v>
      </c>
    </row>
    <row r="251" spans="7:19" ht="16" thickTop="1" thickBot="1">
      <c r="G251" s="98"/>
      <c r="H251" s="239"/>
      <c r="I251" s="243"/>
      <c r="J251" s="243"/>
      <c r="K251" s="243"/>
      <c r="L251" s="243"/>
      <c r="M251" s="243"/>
      <c r="N251" s="248" t="e">
        <f t="shared" si="4"/>
        <v>#N/A</v>
      </c>
      <c r="O251" s="248"/>
      <c r="P251" s="248"/>
      <c r="Q251" s="248">
        <v>0</v>
      </c>
      <c r="R251" s="248"/>
      <c r="S251" s="248" t="e">
        <v>#N/A</v>
      </c>
    </row>
    <row r="252" spans="7:19" ht="16" thickTop="1" thickBot="1">
      <c r="G252" s="98"/>
      <c r="H252" s="239"/>
      <c r="I252" s="243"/>
      <c r="J252" s="243"/>
      <c r="K252" s="243"/>
      <c r="L252" s="243"/>
      <c r="M252" s="243"/>
      <c r="N252" s="248" t="e">
        <f t="shared" si="4"/>
        <v>#N/A</v>
      </c>
      <c r="O252" s="248"/>
      <c r="P252" s="248"/>
      <c r="Q252" s="248">
        <v>0</v>
      </c>
      <c r="R252" s="248"/>
      <c r="S252" s="248" t="e">
        <v>#N/A</v>
      </c>
    </row>
    <row r="253" spans="7:19" ht="16" thickTop="1" thickBot="1">
      <c r="G253" s="98"/>
      <c r="H253" s="239"/>
      <c r="I253" s="243"/>
      <c r="J253" s="243"/>
      <c r="K253" s="243"/>
      <c r="L253" s="243"/>
      <c r="M253" s="243"/>
      <c r="N253" s="248" t="e">
        <f t="shared" si="4"/>
        <v>#N/A</v>
      </c>
      <c r="O253" s="248"/>
      <c r="P253" s="248"/>
      <c r="Q253" s="248">
        <v>0</v>
      </c>
      <c r="R253" s="248"/>
      <c r="S253" s="248" t="e">
        <v>#N/A</v>
      </c>
    </row>
    <row r="254" spans="7:19" ht="16" thickTop="1" thickBot="1">
      <c r="G254" s="98"/>
      <c r="H254" s="239"/>
      <c r="I254" s="243"/>
      <c r="J254" s="243"/>
      <c r="K254" s="243"/>
      <c r="L254" s="243"/>
      <c r="M254" s="243"/>
      <c r="N254" s="248" t="e">
        <f t="shared" si="4"/>
        <v>#N/A</v>
      </c>
      <c r="O254" s="248"/>
      <c r="P254" s="248"/>
      <c r="Q254" s="248">
        <v>0</v>
      </c>
      <c r="R254" s="248"/>
      <c r="S254" s="248" t="e">
        <v>#N/A</v>
      </c>
    </row>
    <row r="255" spans="7:19" ht="16" thickTop="1" thickBot="1">
      <c r="G255" s="98"/>
      <c r="H255" s="239"/>
      <c r="I255" s="243"/>
      <c r="J255" s="243"/>
      <c r="K255" s="243"/>
      <c r="L255" s="243"/>
      <c r="M255" s="243"/>
      <c r="N255" s="248" t="e">
        <f t="shared" si="4"/>
        <v>#N/A</v>
      </c>
      <c r="O255" s="248"/>
      <c r="P255" s="248"/>
      <c r="Q255" s="248">
        <v>0</v>
      </c>
      <c r="R255" s="248"/>
      <c r="S255" s="248" t="e">
        <v>#N/A</v>
      </c>
    </row>
    <row r="256" spans="7:19" ht="16" thickTop="1" thickBot="1">
      <c r="G256" s="98"/>
      <c r="H256" s="239"/>
      <c r="I256" s="243"/>
      <c r="J256" s="243"/>
      <c r="K256" s="243"/>
      <c r="L256" s="243"/>
      <c r="M256" s="243"/>
      <c r="N256" s="248" t="e">
        <f t="shared" si="4"/>
        <v>#N/A</v>
      </c>
      <c r="O256" s="248"/>
      <c r="P256" s="248"/>
      <c r="Q256" s="248">
        <v>0</v>
      </c>
      <c r="R256" s="248"/>
      <c r="S256" s="248" t="e">
        <v>#N/A</v>
      </c>
    </row>
    <row r="257" spans="7:19" ht="16" thickTop="1" thickBot="1">
      <c r="G257" s="98"/>
      <c r="H257" s="239"/>
      <c r="I257" s="243"/>
      <c r="J257" s="243"/>
      <c r="K257" s="243"/>
      <c r="L257" s="243"/>
      <c r="M257" s="243"/>
      <c r="N257" s="248" t="e">
        <f t="shared" si="4"/>
        <v>#N/A</v>
      </c>
      <c r="O257" s="248"/>
      <c r="P257" s="248"/>
      <c r="Q257" s="248">
        <v>0</v>
      </c>
      <c r="R257" s="248"/>
      <c r="S257" s="248" t="e">
        <v>#N/A</v>
      </c>
    </row>
    <row r="258" spans="7:19" ht="16" thickTop="1" thickBot="1">
      <c r="G258" s="98"/>
      <c r="H258" s="239"/>
      <c r="I258" s="243"/>
      <c r="J258" s="243"/>
      <c r="K258" s="243"/>
      <c r="L258" s="243"/>
      <c r="M258" s="243"/>
      <c r="N258" s="248" t="e">
        <f t="shared" si="4"/>
        <v>#N/A</v>
      </c>
      <c r="O258" s="248"/>
      <c r="P258" s="248"/>
      <c r="Q258" s="248">
        <v>0</v>
      </c>
      <c r="R258" s="248"/>
      <c r="S258" s="248" t="e">
        <v>#N/A</v>
      </c>
    </row>
    <row r="259" spans="7:19" ht="16" thickTop="1" thickBot="1">
      <c r="G259" s="98"/>
      <c r="H259" s="239"/>
      <c r="I259" s="243"/>
      <c r="J259" s="243"/>
      <c r="K259" s="243"/>
      <c r="L259" s="243"/>
      <c r="M259" s="243"/>
      <c r="N259" s="248" t="e">
        <f t="shared" si="4"/>
        <v>#N/A</v>
      </c>
      <c r="O259" s="248"/>
      <c r="P259" s="248"/>
      <c r="Q259" s="248">
        <v>0</v>
      </c>
      <c r="R259" s="248"/>
      <c r="S259" s="248" t="e">
        <v>#N/A</v>
      </c>
    </row>
    <row r="260" spans="7:19" ht="16" thickTop="1" thickBot="1">
      <c r="G260" s="98"/>
      <c r="H260" s="239"/>
      <c r="I260" s="243"/>
      <c r="J260" s="243"/>
      <c r="K260" s="243"/>
      <c r="L260" s="243"/>
      <c r="M260" s="243"/>
      <c r="N260" s="248" t="e">
        <f t="shared" si="4"/>
        <v>#N/A</v>
      </c>
      <c r="O260" s="248"/>
      <c r="P260" s="248"/>
      <c r="Q260" s="248">
        <v>0</v>
      </c>
      <c r="R260" s="248"/>
      <c r="S260" s="248" t="e">
        <v>#N/A</v>
      </c>
    </row>
    <row r="261" spans="7:19" ht="16" thickTop="1" thickBot="1">
      <c r="G261" s="98"/>
      <c r="H261" s="239"/>
      <c r="I261" s="243"/>
      <c r="J261" s="243"/>
      <c r="K261" s="243"/>
      <c r="L261" s="243"/>
      <c r="M261" s="243"/>
      <c r="N261" s="248" t="e">
        <f t="shared" si="4"/>
        <v>#N/A</v>
      </c>
      <c r="O261" s="248"/>
      <c r="P261" s="248"/>
      <c r="Q261" s="248">
        <v>0</v>
      </c>
      <c r="R261" s="248"/>
      <c r="S261" s="248" t="e">
        <v>#N/A</v>
      </c>
    </row>
    <row r="262" spans="7:19" ht="16" thickTop="1" thickBot="1">
      <c r="G262" s="98"/>
      <c r="H262" s="239"/>
      <c r="I262" s="243"/>
      <c r="J262" s="243"/>
      <c r="K262" s="243"/>
      <c r="L262" s="243"/>
      <c r="M262" s="243"/>
      <c r="N262" s="248" t="e">
        <f t="shared" si="4"/>
        <v>#N/A</v>
      </c>
      <c r="O262" s="248"/>
      <c r="P262" s="248"/>
      <c r="Q262" s="248">
        <v>0</v>
      </c>
      <c r="R262" s="248"/>
      <c r="S262" s="248" t="e">
        <v>#N/A</v>
      </c>
    </row>
    <row r="263" spans="7:19" ht="16" thickTop="1" thickBot="1">
      <c r="G263" s="98"/>
      <c r="H263" s="239"/>
      <c r="I263" s="243"/>
      <c r="J263" s="243"/>
      <c r="K263" s="243"/>
      <c r="L263" s="243"/>
      <c r="M263" s="243"/>
      <c r="N263" s="248" t="e">
        <f t="shared" si="4"/>
        <v>#N/A</v>
      </c>
      <c r="O263" s="248"/>
      <c r="P263" s="248"/>
      <c r="Q263" s="248">
        <v>0</v>
      </c>
      <c r="R263" s="248"/>
      <c r="S263" s="248" t="e">
        <v>#N/A</v>
      </c>
    </row>
    <row r="264" spans="7:19" ht="16" thickTop="1" thickBot="1">
      <c r="G264" s="98"/>
      <c r="H264" s="239"/>
      <c r="I264" s="243"/>
      <c r="J264" s="243"/>
      <c r="K264" s="243"/>
      <c r="L264" s="243"/>
      <c r="M264" s="243"/>
      <c r="N264" s="248" t="e">
        <f t="shared" si="4"/>
        <v>#N/A</v>
      </c>
      <c r="O264" s="248"/>
      <c r="P264" s="248"/>
      <c r="Q264" s="248">
        <v>0</v>
      </c>
      <c r="R264" s="248"/>
      <c r="S264" s="248" t="e">
        <v>#N/A</v>
      </c>
    </row>
    <row r="265" spans="7:19" ht="16" thickTop="1" thickBot="1">
      <c r="G265" s="98"/>
      <c r="H265" s="239"/>
      <c r="I265" s="243"/>
      <c r="J265" s="243"/>
      <c r="K265" s="243"/>
      <c r="L265" s="243"/>
      <c r="M265" s="243"/>
      <c r="N265" s="248" t="e">
        <f t="shared" si="4"/>
        <v>#N/A</v>
      </c>
      <c r="O265" s="248"/>
      <c r="P265" s="248"/>
      <c r="Q265" s="248">
        <v>0</v>
      </c>
      <c r="R265" s="248"/>
      <c r="S265" s="248" t="e">
        <v>#N/A</v>
      </c>
    </row>
    <row r="266" spans="7:19" ht="16" thickTop="1" thickBot="1">
      <c r="G266" s="98"/>
      <c r="H266" s="239"/>
      <c r="I266" s="243"/>
      <c r="J266" s="243"/>
      <c r="K266" s="243"/>
      <c r="L266" s="243"/>
      <c r="M266" s="243"/>
      <c r="N266" s="248" t="e">
        <f t="shared" ref="N266:N329" si="5">S265</f>
        <v>#N/A</v>
      </c>
      <c r="O266" s="248"/>
      <c r="P266" s="248"/>
      <c r="Q266" s="248">
        <v>0</v>
      </c>
      <c r="R266" s="248"/>
      <c r="S266" s="248" t="e">
        <v>#N/A</v>
      </c>
    </row>
    <row r="267" spans="7:19" ht="16" thickTop="1" thickBot="1">
      <c r="G267" s="98"/>
      <c r="H267" s="239"/>
      <c r="I267" s="243"/>
      <c r="J267" s="243"/>
      <c r="K267" s="243"/>
      <c r="L267" s="243"/>
      <c r="M267" s="243"/>
      <c r="N267" s="248" t="e">
        <f t="shared" si="5"/>
        <v>#N/A</v>
      </c>
      <c r="O267" s="248"/>
      <c r="P267" s="248"/>
      <c r="Q267" s="248">
        <v>0</v>
      </c>
      <c r="R267" s="248"/>
      <c r="S267" s="248" t="e">
        <v>#N/A</v>
      </c>
    </row>
    <row r="268" spans="7:19" ht="16" thickTop="1" thickBot="1">
      <c r="G268" s="98"/>
      <c r="H268" s="239"/>
      <c r="I268" s="243"/>
      <c r="J268" s="243"/>
      <c r="K268" s="243"/>
      <c r="L268" s="243"/>
      <c r="M268" s="243"/>
      <c r="N268" s="248" t="e">
        <f t="shared" si="5"/>
        <v>#N/A</v>
      </c>
      <c r="O268" s="248"/>
      <c r="P268" s="248"/>
      <c r="Q268" s="248">
        <v>0</v>
      </c>
      <c r="R268" s="248"/>
      <c r="S268" s="248" t="e">
        <v>#N/A</v>
      </c>
    </row>
    <row r="269" spans="7:19" ht="16" thickTop="1" thickBot="1">
      <c r="G269" s="98"/>
      <c r="H269" s="239"/>
      <c r="I269" s="243"/>
      <c r="J269" s="243"/>
      <c r="K269" s="243"/>
      <c r="L269" s="243"/>
      <c r="M269" s="243"/>
      <c r="N269" s="248" t="e">
        <f t="shared" si="5"/>
        <v>#N/A</v>
      </c>
      <c r="O269" s="248"/>
      <c r="P269" s="248"/>
      <c r="Q269" s="248">
        <v>0</v>
      </c>
      <c r="R269" s="248"/>
      <c r="S269" s="248" t="e">
        <v>#N/A</v>
      </c>
    </row>
    <row r="270" spans="7:19" ht="16" thickTop="1" thickBot="1">
      <c r="G270" s="98"/>
      <c r="H270" s="239"/>
      <c r="I270" s="243"/>
      <c r="J270" s="243"/>
      <c r="K270" s="243"/>
      <c r="L270" s="243"/>
      <c r="M270" s="243"/>
      <c r="N270" s="248" t="e">
        <f t="shared" si="5"/>
        <v>#N/A</v>
      </c>
      <c r="O270" s="248"/>
      <c r="P270" s="248"/>
      <c r="Q270" s="248">
        <v>0</v>
      </c>
      <c r="R270" s="248"/>
      <c r="S270" s="248" t="e">
        <v>#N/A</v>
      </c>
    </row>
    <row r="271" spans="7:19" ht="16" thickTop="1" thickBot="1">
      <c r="G271" s="98"/>
      <c r="H271" s="239"/>
      <c r="I271" s="243"/>
      <c r="J271" s="243"/>
      <c r="K271" s="243"/>
      <c r="L271" s="243"/>
      <c r="M271" s="243"/>
      <c r="N271" s="248" t="e">
        <f t="shared" si="5"/>
        <v>#N/A</v>
      </c>
      <c r="O271" s="248"/>
      <c r="P271" s="248"/>
      <c r="Q271" s="248">
        <v>0</v>
      </c>
      <c r="R271" s="248"/>
      <c r="S271" s="248" t="e">
        <v>#N/A</v>
      </c>
    </row>
    <row r="272" spans="7:19" ht="16" thickTop="1" thickBot="1">
      <c r="G272" s="98"/>
      <c r="H272" s="239"/>
      <c r="I272" s="243"/>
      <c r="J272" s="243"/>
      <c r="K272" s="243"/>
      <c r="L272" s="243"/>
      <c r="M272" s="243"/>
      <c r="N272" s="248" t="e">
        <f t="shared" si="5"/>
        <v>#N/A</v>
      </c>
      <c r="O272" s="248"/>
      <c r="P272" s="248"/>
      <c r="Q272" s="248">
        <v>0</v>
      </c>
      <c r="R272" s="248"/>
      <c r="S272" s="248" t="e">
        <v>#N/A</v>
      </c>
    </row>
    <row r="273" spans="7:19" ht="16" thickTop="1" thickBot="1">
      <c r="G273" s="98"/>
      <c r="H273" s="239"/>
      <c r="I273" s="243"/>
      <c r="J273" s="243"/>
      <c r="K273" s="243"/>
      <c r="L273" s="243"/>
      <c r="M273" s="243"/>
      <c r="N273" s="248" t="e">
        <f t="shared" si="5"/>
        <v>#N/A</v>
      </c>
      <c r="O273" s="248"/>
      <c r="P273" s="248"/>
      <c r="Q273" s="248">
        <v>0</v>
      </c>
      <c r="R273" s="248"/>
      <c r="S273" s="248" t="e">
        <v>#N/A</v>
      </c>
    </row>
    <row r="274" spans="7:19" ht="16" thickTop="1" thickBot="1">
      <c r="G274" s="98"/>
      <c r="H274" s="239"/>
      <c r="I274" s="243"/>
      <c r="J274" s="243"/>
      <c r="K274" s="243"/>
      <c r="L274" s="243"/>
      <c r="M274" s="243"/>
      <c r="N274" s="248" t="e">
        <f t="shared" si="5"/>
        <v>#N/A</v>
      </c>
      <c r="O274" s="248"/>
      <c r="P274" s="248"/>
      <c r="Q274" s="248">
        <v>0</v>
      </c>
      <c r="R274" s="248"/>
      <c r="S274" s="248" t="e">
        <v>#N/A</v>
      </c>
    </row>
    <row r="275" spans="7:19" ht="16" thickTop="1" thickBot="1">
      <c r="G275" s="98"/>
      <c r="H275" s="239"/>
      <c r="I275" s="243"/>
      <c r="J275" s="243"/>
      <c r="K275" s="243"/>
      <c r="L275" s="243"/>
      <c r="M275" s="243"/>
      <c r="N275" s="248" t="e">
        <f t="shared" si="5"/>
        <v>#N/A</v>
      </c>
      <c r="O275" s="248"/>
      <c r="P275" s="248"/>
      <c r="Q275" s="248">
        <v>0</v>
      </c>
      <c r="R275" s="248"/>
      <c r="S275" s="248" t="e">
        <v>#N/A</v>
      </c>
    </row>
    <row r="276" spans="7:19" ht="16" thickTop="1" thickBot="1">
      <c r="G276" s="98"/>
      <c r="H276" s="239"/>
      <c r="I276" s="243"/>
      <c r="J276" s="243"/>
      <c r="K276" s="243"/>
      <c r="L276" s="243"/>
      <c r="M276" s="243"/>
      <c r="N276" s="248" t="e">
        <f t="shared" si="5"/>
        <v>#N/A</v>
      </c>
      <c r="O276" s="248"/>
      <c r="P276" s="248"/>
      <c r="Q276" s="248">
        <v>0</v>
      </c>
      <c r="R276" s="248"/>
      <c r="S276" s="248" t="e">
        <v>#N/A</v>
      </c>
    </row>
    <row r="277" spans="7:19" ht="16" thickTop="1" thickBot="1">
      <c r="G277" s="98"/>
      <c r="H277" s="239"/>
      <c r="I277" s="243"/>
      <c r="J277" s="243"/>
      <c r="K277" s="243"/>
      <c r="L277" s="243"/>
      <c r="M277" s="243"/>
      <c r="N277" s="248" t="e">
        <f t="shared" si="5"/>
        <v>#N/A</v>
      </c>
      <c r="O277" s="248"/>
      <c r="P277" s="248"/>
      <c r="Q277" s="248">
        <v>0</v>
      </c>
      <c r="R277" s="248"/>
      <c r="S277" s="248" t="e">
        <v>#N/A</v>
      </c>
    </row>
    <row r="278" spans="7:19" ht="16" thickTop="1" thickBot="1">
      <c r="G278" s="98"/>
      <c r="H278" s="239"/>
      <c r="I278" s="243"/>
      <c r="J278" s="243"/>
      <c r="K278" s="243"/>
      <c r="L278" s="243"/>
      <c r="M278" s="243"/>
      <c r="N278" s="248" t="e">
        <f t="shared" si="5"/>
        <v>#N/A</v>
      </c>
      <c r="O278" s="248"/>
      <c r="P278" s="248"/>
      <c r="Q278" s="248">
        <v>0</v>
      </c>
      <c r="R278" s="248"/>
      <c r="S278" s="248" t="e">
        <v>#N/A</v>
      </c>
    </row>
    <row r="279" spans="7:19" ht="16" thickTop="1" thickBot="1">
      <c r="G279" s="98"/>
      <c r="H279" s="239"/>
      <c r="I279" s="243"/>
      <c r="J279" s="243"/>
      <c r="K279" s="243"/>
      <c r="L279" s="243"/>
      <c r="M279" s="243"/>
      <c r="N279" s="248" t="e">
        <f t="shared" si="5"/>
        <v>#N/A</v>
      </c>
      <c r="O279" s="248"/>
      <c r="P279" s="248"/>
      <c r="Q279" s="248">
        <v>0</v>
      </c>
      <c r="R279" s="248"/>
      <c r="S279" s="248" t="e">
        <v>#N/A</v>
      </c>
    </row>
    <row r="280" spans="7:19" ht="16" thickTop="1" thickBot="1">
      <c r="G280" s="98"/>
      <c r="H280" s="239"/>
      <c r="I280" s="243"/>
      <c r="J280" s="243"/>
      <c r="K280" s="243"/>
      <c r="L280" s="243"/>
      <c r="M280" s="243"/>
      <c r="N280" s="248" t="e">
        <f t="shared" si="5"/>
        <v>#N/A</v>
      </c>
      <c r="O280" s="248"/>
      <c r="P280" s="248"/>
      <c r="Q280" s="248">
        <v>0</v>
      </c>
      <c r="R280" s="248"/>
      <c r="S280" s="248" t="e">
        <v>#N/A</v>
      </c>
    </row>
    <row r="281" spans="7:19" ht="16" thickTop="1" thickBot="1">
      <c r="G281" s="98"/>
      <c r="H281" s="239"/>
      <c r="I281" s="243"/>
      <c r="J281" s="243"/>
      <c r="K281" s="243"/>
      <c r="L281" s="243"/>
      <c r="M281" s="243"/>
      <c r="N281" s="248" t="e">
        <f t="shared" si="5"/>
        <v>#N/A</v>
      </c>
      <c r="O281" s="248"/>
      <c r="P281" s="248"/>
      <c r="Q281" s="248">
        <v>0</v>
      </c>
      <c r="R281" s="248"/>
      <c r="S281" s="248" t="e">
        <v>#N/A</v>
      </c>
    </row>
    <row r="282" spans="7:19" ht="16" thickTop="1" thickBot="1">
      <c r="G282" s="98"/>
      <c r="H282" s="239"/>
      <c r="I282" s="243"/>
      <c r="J282" s="243"/>
      <c r="K282" s="243"/>
      <c r="L282" s="243"/>
      <c r="M282" s="243"/>
      <c r="N282" s="248" t="e">
        <f t="shared" si="5"/>
        <v>#N/A</v>
      </c>
      <c r="O282" s="248"/>
      <c r="P282" s="248"/>
      <c r="Q282" s="248">
        <v>0</v>
      </c>
      <c r="R282" s="248"/>
      <c r="S282" s="248" t="e">
        <v>#N/A</v>
      </c>
    </row>
    <row r="283" spans="7:19" ht="16" thickTop="1" thickBot="1">
      <c r="G283" s="98"/>
      <c r="H283" s="239"/>
      <c r="I283" s="243"/>
      <c r="J283" s="243"/>
      <c r="K283" s="243"/>
      <c r="L283" s="243"/>
      <c r="M283" s="243"/>
      <c r="N283" s="248" t="e">
        <f t="shared" si="5"/>
        <v>#N/A</v>
      </c>
      <c r="O283" s="248"/>
      <c r="P283" s="248"/>
      <c r="Q283" s="248">
        <v>0</v>
      </c>
      <c r="R283" s="248"/>
      <c r="S283" s="248" t="e">
        <v>#N/A</v>
      </c>
    </row>
    <row r="284" spans="7:19" ht="16" thickTop="1" thickBot="1">
      <c r="G284" s="98"/>
      <c r="H284" s="239"/>
      <c r="I284" s="243"/>
      <c r="J284" s="243"/>
      <c r="K284" s="243"/>
      <c r="L284" s="243"/>
      <c r="M284" s="243"/>
      <c r="N284" s="248" t="e">
        <f t="shared" si="5"/>
        <v>#N/A</v>
      </c>
      <c r="O284" s="248"/>
      <c r="P284" s="248"/>
      <c r="Q284" s="248">
        <v>0</v>
      </c>
      <c r="R284" s="248"/>
      <c r="S284" s="248" t="e">
        <v>#N/A</v>
      </c>
    </row>
    <row r="285" spans="7:19" ht="16" thickTop="1" thickBot="1">
      <c r="G285" s="98"/>
      <c r="H285" s="239"/>
      <c r="I285" s="243"/>
      <c r="J285" s="243"/>
      <c r="K285" s="243"/>
      <c r="L285" s="243"/>
      <c r="M285" s="243"/>
      <c r="N285" s="248" t="e">
        <f t="shared" si="5"/>
        <v>#N/A</v>
      </c>
      <c r="O285" s="248"/>
      <c r="P285" s="248"/>
      <c r="Q285" s="248">
        <v>0</v>
      </c>
      <c r="R285" s="248"/>
      <c r="S285" s="248" t="e">
        <v>#N/A</v>
      </c>
    </row>
    <row r="286" spans="7:19" ht="16" thickTop="1" thickBot="1">
      <c r="G286" s="98"/>
      <c r="H286" s="239"/>
      <c r="I286" s="243"/>
      <c r="J286" s="243"/>
      <c r="K286" s="243"/>
      <c r="L286" s="243"/>
      <c r="M286" s="243"/>
      <c r="N286" s="248" t="e">
        <f t="shared" si="5"/>
        <v>#N/A</v>
      </c>
      <c r="O286" s="248"/>
      <c r="P286" s="248"/>
      <c r="Q286" s="248">
        <v>0</v>
      </c>
      <c r="R286" s="248"/>
      <c r="S286" s="248" t="e">
        <v>#N/A</v>
      </c>
    </row>
    <row r="287" spans="7:19" ht="16" thickTop="1" thickBot="1">
      <c r="G287" s="98"/>
      <c r="H287" s="239"/>
      <c r="I287" s="243"/>
      <c r="J287" s="243"/>
      <c r="K287" s="243"/>
      <c r="L287" s="243"/>
      <c r="M287" s="243"/>
      <c r="N287" s="248" t="e">
        <f t="shared" si="5"/>
        <v>#N/A</v>
      </c>
      <c r="O287" s="248"/>
      <c r="P287" s="248"/>
      <c r="Q287" s="248">
        <v>0</v>
      </c>
      <c r="R287" s="248"/>
      <c r="S287" s="248" t="e">
        <v>#N/A</v>
      </c>
    </row>
    <row r="288" spans="7:19" ht="16" thickTop="1" thickBot="1">
      <c r="G288" s="98"/>
      <c r="H288" s="239"/>
      <c r="I288" s="243"/>
      <c r="J288" s="243"/>
      <c r="K288" s="243"/>
      <c r="L288" s="243"/>
      <c r="M288" s="243"/>
      <c r="N288" s="248" t="e">
        <f t="shared" si="5"/>
        <v>#N/A</v>
      </c>
      <c r="O288" s="248"/>
      <c r="P288" s="248"/>
      <c r="Q288" s="248">
        <v>0</v>
      </c>
      <c r="R288" s="248"/>
      <c r="S288" s="248" t="e">
        <v>#N/A</v>
      </c>
    </row>
    <row r="289" spans="7:19" ht="16" thickTop="1" thickBot="1">
      <c r="G289" s="98"/>
      <c r="H289" s="239"/>
      <c r="I289" s="243"/>
      <c r="J289" s="243"/>
      <c r="K289" s="243"/>
      <c r="L289" s="243"/>
      <c r="M289" s="243"/>
      <c r="N289" s="248" t="e">
        <f t="shared" si="5"/>
        <v>#N/A</v>
      </c>
      <c r="O289" s="248"/>
      <c r="P289" s="248"/>
      <c r="Q289" s="248">
        <v>0</v>
      </c>
      <c r="R289" s="248"/>
      <c r="S289" s="248" t="e">
        <v>#N/A</v>
      </c>
    </row>
    <row r="290" spans="7:19" ht="16" thickTop="1" thickBot="1">
      <c r="G290" s="98"/>
      <c r="H290" s="239"/>
      <c r="I290" s="243"/>
      <c r="J290" s="243"/>
      <c r="K290" s="243"/>
      <c r="L290" s="243"/>
      <c r="M290" s="243"/>
      <c r="N290" s="248" t="e">
        <f t="shared" si="5"/>
        <v>#N/A</v>
      </c>
      <c r="O290" s="248"/>
      <c r="P290" s="248"/>
      <c r="Q290" s="248">
        <v>0</v>
      </c>
      <c r="R290" s="248"/>
      <c r="S290" s="248" t="e">
        <v>#N/A</v>
      </c>
    </row>
    <row r="291" spans="7:19" ht="16" thickTop="1" thickBot="1">
      <c r="G291" s="98"/>
      <c r="H291" s="239"/>
      <c r="I291" s="243"/>
      <c r="J291" s="243"/>
      <c r="K291" s="243"/>
      <c r="L291" s="243"/>
      <c r="M291" s="243"/>
      <c r="N291" s="248" t="e">
        <f t="shared" si="5"/>
        <v>#N/A</v>
      </c>
      <c r="O291" s="248"/>
      <c r="P291" s="248"/>
      <c r="Q291" s="248">
        <v>0</v>
      </c>
      <c r="R291" s="248"/>
      <c r="S291" s="248" t="e">
        <v>#N/A</v>
      </c>
    </row>
    <row r="292" spans="7:19" ht="16" thickTop="1" thickBot="1">
      <c r="G292" s="98"/>
      <c r="H292" s="239"/>
      <c r="I292" s="243"/>
      <c r="J292" s="243"/>
      <c r="K292" s="243"/>
      <c r="L292" s="243"/>
      <c r="M292" s="243"/>
      <c r="N292" s="248" t="e">
        <f t="shared" si="5"/>
        <v>#N/A</v>
      </c>
      <c r="O292" s="248"/>
      <c r="P292" s="248"/>
      <c r="Q292" s="248">
        <v>0</v>
      </c>
      <c r="R292" s="248"/>
      <c r="S292" s="248" t="e">
        <v>#N/A</v>
      </c>
    </row>
    <row r="293" spans="7:19" ht="16" thickTop="1" thickBot="1">
      <c r="G293" s="98"/>
      <c r="H293" s="239"/>
      <c r="I293" s="243"/>
      <c r="J293" s="243"/>
      <c r="K293" s="243"/>
      <c r="L293" s="243"/>
      <c r="M293" s="243"/>
      <c r="N293" s="248" t="e">
        <f t="shared" si="5"/>
        <v>#N/A</v>
      </c>
      <c r="O293" s="248"/>
      <c r="P293" s="248"/>
      <c r="Q293" s="248">
        <v>0</v>
      </c>
      <c r="R293" s="248"/>
      <c r="S293" s="248" t="e">
        <v>#N/A</v>
      </c>
    </row>
    <row r="294" spans="7:19" ht="16" thickTop="1" thickBot="1">
      <c r="G294" s="98"/>
      <c r="H294" s="239"/>
      <c r="I294" s="243"/>
      <c r="J294" s="243"/>
      <c r="K294" s="243"/>
      <c r="L294" s="243"/>
      <c r="M294" s="243"/>
      <c r="N294" s="248" t="e">
        <f t="shared" si="5"/>
        <v>#N/A</v>
      </c>
      <c r="O294" s="248"/>
      <c r="P294" s="248"/>
      <c r="Q294" s="248">
        <v>0</v>
      </c>
      <c r="R294" s="248"/>
      <c r="S294" s="248" t="e">
        <v>#N/A</v>
      </c>
    </row>
    <row r="295" spans="7:19" ht="16" thickTop="1" thickBot="1">
      <c r="G295" s="98"/>
      <c r="H295" s="239"/>
      <c r="I295" s="243"/>
      <c r="J295" s="243"/>
      <c r="K295" s="243"/>
      <c r="L295" s="243"/>
      <c r="M295" s="243"/>
      <c r="N295" s="248" t="e">
        <f t="shared" si="5"/>
        <v>#N/A</v>
      </c>
      <c r="O295" s="248"/>
      <c r="P295" s="248"/>
      <c r="Q295" s="248">
        <v>0</v>
      </c>
      <c r="R295" s="248"/>
      <c r="S295" s="248" t="e">
        <v>#N/A</v>
      </c>
    </row>
    <row r="296" spans="7:19" ht="16" thickTop="1" thickBot="1">
      <c r="G296" s="98"/>
      <c r="H296" s="239"/>
      <c r="I296" s="243"/>
      <c r="J296" s="243"/>
      <c r="K296" s="243"/>
      <c r="L296" s="243"/>
      <c r="M296" s="243"/>
      <c r="N296" s="248" t="e">
        <f t="shared" si="5"/>
        <v>#N/A</v>
      </c>
      <c r="O296" s="248"/>
      <c r="P296" s="248"/>
      <c r="Q296" s="248">
        <v>0</v>
      </c>
      <c r="R296" s="248"/>
      <c r="S296" s="248" t="e">
        <v>#N/A</v>
      </c>
    </row>
    <row r="297" spans="7:19" ht="16" thickTop="1" thickBot="1">
      <c r="G297" s="98"/>
      <c r="H297" s="239"/>
      <c r="I297" s="243"/>
      <c r="J297" s="243"/>
      <c r="K297" s="243"/>
      <c r="L297" s="243"/>
      <c r="M297" s="243"/>
      <c r="N297" s="248" t="e">
        <f t="shared" si="5"/>
        <v>#N/A</v>
      </c>
      <c r="O297" s="248"/>
      <c r="P297" s="248"/>
      <c r="Q297" s="248">
        <v>0</v>
      </c>
      <c r="R297" s="248"/>
      <c r="S297" s="248" t="e">
        <v>#N/A</v>
      </c>
    </row>
    <row r="298" spans="7:19" ht="16" thickTop="1" thickBot="1">
      <c r="G298" s="98"/>
      <c r="H298" s="239"/>
      <c r="I298" s="243"/>
      <c r="J298" s="243"/>
      <c r="K298" s="243"/>
      <c r="L298" s="243"/>
      <c r="M298" s="243"/>
      <c r="N298" s="248" t="e">
        <f t="shared" si="5"/>
        <v>#N/A</v>
      </c>
      <c r="O298" s="248"/>
      <c r="P298" s="248"/>
      <c r="Q298" s="248">
        <v>0</v>
      </c>
      <c r="R298" s="248"/>
      <c r="S298" s="248" t="e">
        <v>#N/A</v>
      </c>
    </row>
    <row r="299" spans="7:19" ht="16" thickTop="1" thickBot="1">
      <c r="G299" s="98"/>
      <c r="H299" s="239"/>
      <c r="I299" s="243"/>
      <c r="J299" s="243"/>
      <c r="K299" s="243"/>
      <c r="L299" s="243"/>
      <c r="M299" s="243"/>
      <c r="N299" s="248" t="e">
        <f t="shared" si="5"/>
        <v>#N/A</v>
      </c>
      <c r="O299" s="248"/>
      <c r="P299" s="248"/>
      <c r="Q299" s="248">
        <v>0</v>
      </c>
      <c r="R299" s="248"/>
      <c r="S299" s="248" t="e">
        <v>#N/A</v>
      </c>
    </row>
    <row r="300" spans="7:19" ht="16" thickTop="1" thickBot="1">
      <c r="G300" s="98"/>
      <c r="H300" s="239"/>
      <c r="I300" s="243"/>
      <c r="J300" s="243"/>
      <c r="K300" s="243"/>
      <c r="L300" s="243"/>
      <c r="M300" s="243"/>
      <c r="N300" s="248" t="e">
        <f t="shared" si="5"/>
        <v>#N/A</v>
      </c>
      <c r="O300" s="248"/>
      <c r="P300" s="248"/>
      <c r="Q300" s="248">
        <v>0</v>
      </c>
      <c r="R300" s="248"/>
      <c r="S300" s="248" t="e">
        <v>#N/A</v>
      </c>
    </row>
    <row r="301" spans="7:19" ht="16" thickTop="1" thickBot="1">
      <c r="G301" s="98"/>
      <c r="H301" s="239"/>
      <c r="I301" s="243"/>
      <c r="J301" s="243"/>
      <c r="K301" s="243"/>
      <c r="L301" s="243"/>
      <c r="M301" s="243"/>
      <c r="N301" s="248" t="e">
        <f t="shared" si="5"/>
        <v>#N/A</v>
      </c>
      <c r="O301" s="248"/>
      <c r="P301" s="248"/>
      <c r="Q301" s="248">
        <v>0</v>
      </c>
      <c r="R301" s="248"/>
      <c r="S301" s="248" t="e">
        <v>#N/A</v>
      </c>
    </row>
    <row r="302" spans="7:19" ht="16" thickTop="1" thickBot="1">
      <c r="G302" s="98"/>
      <c r="H302" s="239"/>
      <c r="I302" s="243"/>
      <c r="J302" s="243"/>
      <c r="K302" s="243"/>
      <c r="L302" s="243"/>
      <c r="M302" s="243"/>
      <c r="N302" s="248" t="e">
        <f t="shared" si="5"/>
        <v>#N/A</v>
      </c>
      <c r="O302" s="248"/>
      <c r="P302" s="248"/>
      <c r="Q302" s="248">
        <v>0</v>
      </c>
      <c r="R302" s="248"/>
      <c r="S302" s="248" t="e">
        <v>#N/A</v>
      </c>
    </row>
    <row r="303" spans="7:19" ht="16" thickTop="1" thickBot="1">
      <c r="G303" s="98"/>
      <c r="H303" s="239"/>
      <c r="I303" s="243"/>
      <c r="J303" s="243"/>
      <c r="K303" s="243"/>
      <c r="L303" s="243"/>
      <c r="M303" s="243"/>
      <c r="N303" s="248" t="e">
        <f t="shared" si="5"/>
        <v>#N/A</v>
      </c>
      <c r="O303" s="248"/>
      <c r="P303" s="248"/>
      <c r="Q303" s="248">
        <v>0</v>
      </c>
      <c r="R303" s="248"/>
      <c r="S303" s="248" t="e">
        <v>#N/A</v>
      </c>
    </row>
    <row r="304" spans="7:19" ht="16" thickTop="1" thickBot="1">
      <c r="G304" s="98"/>
      <c r="H304" s="239"/>
      <c r="I304" s="243"/>
      <c r="J304" s="243"/>
      <c r="K304" s="243"/>
      <c r="L304" s="243"/>
      <c r="M304" s="243"/>
      <c r="N304" s="248" t="e">
        <f t="shared" si="5"/>
        <v>#N/A</v>
      </c>
      <c r="O304" s="248"/>
      <c r="P304" s="248"/>
      <c r="Q304" s="248">
        <v>0</v>
      </c>
      <c r="R304" s="248"/>
      <c r="S304" s="248" t="e">
        <v>#N/A</v>
      </c>
    </row>
    <row r="305" spans="7:19" ht="16" thickTop="1" thickBot="1">
      <c r="G305" s="98"/>
      <c r="H305" s="239"/>
      <c r="I305" s="243"/>
      <c r="J305" s="243"/>
      <c r="K305" s="243"/>
      <c r="L305" s="243"/>
      <c r="M305" s="243"/>
      <c r="N305" s="248" t="e">
        <f t="shared" si="5"/>
        <v>#N/A</v>
      </c>
      <c r="O305" s="248"/>
      <c r="P305" s="248"/>
      <c r="Q305" s="248">
        <v>0</v>
      </c>
      <c r="R305" s="248"/>
      <c r="S305" s="248" t="e">
        <v>#N/A</v>
      </c>
    </row>
    <row r="306" spans="7:19" ht="16" thickTop="1" thickBot="1">
      <c r="G306" s="98"/>
      <c r="H306" s="239"/>
      <c r="I306" s="243"/>
      <c r="J306" s="243"/>
      <c r="K306" s="243"/>
      <c r="L306" s="243"/>
      <c r="M306" s="243"/>
      <c r="N306" s="248" t="e">
        <f t="shared" si="5"/>
        <v>#N/A</v>
      </c>
      <c r="O306" s="248"/>
      <c r="P306" s="248"/>
      <c r="Q306" s="248">
        <v>0</v>
      </c>
      <c r="R306" s="248"/>
      <c r="S306" s="248" t="e">
        <v>#N/A</v>
      </c>
    </row>
    <row r="307" spans="7:19" ht="16" thickTop="1" thickBot="1">
      <c r="G307" s="98"/>
      <c r="H307" s="239"/>
      <c r="I307" s="243"/>
      <c r="J307" s="243"/>
      <c r="K307" s="243"/>
      <c r="L307" s="243"/>
      <c r="M307" s="243"/>
      <c r="N307" s="248" t="e">
        <f t="shared" si="5"/>
        <v>#N/A</v>
      </c>
      <c r="O307" s="248"/>
      <c r="P307" s="248"/>
      <c r="Q307" s="248">
        <v>0</v>
      </c>
      <c r="R307" s="248"/>
      <c r="S307" s="248" t="e">
        <v>#N/A</v>
      </c>
    </row>
    <row r="308" spans="7:19" ht="16" thickTop="1" thickBot="1">
      <c r="G308" s="98"/>
      <c r="H308" s="239"/>
      <c r="I308" s="243"/>
      <c r="J308" s="243"/>
      <c r="K308" s="243"/>
      <c r="L308" s="243"/>
      <c r="M308" s="243"/>
      <c r="N308" s="248" t="e">
        <f t="shared" si="5"/>
        <v>#N/A</v>
      </c>
      <c r="O308" s="248"/>
      <c r="P308" s="248"/>
      <c r="Q308" s="248">
        <v>0</v>
      </c>
      <c r="R308" s="248"/>
      <c r="S308" s="248" t="e">
        <v>#N/A</v>
      </c>
    </row>
    <row r="309" spans="7:19" ht="16" thickTop="1" thickBot="1">
      <c r="G309" s="98"/>
      <c r="H309" s="239"/>
      <c r="I309" s="243"/>
      <c r="J309" s="243"/>
      <c r="K309" s="243"/>
      <c r="L309" s="243"/>
      <c r="M309" s="243"/>
      <c r="N309" s="248" t="e">
        <f t="shared" si="5"/>
        <v>#N/A</v>
      </c>
      <c r="O309" s="248"/>
      <c r="P309" s="248"/>
      <c r="Q309" s="248">
        <v>0</v>
      </c>
      <c r="R309" s="248"/>
      <c r="S309" s="248" t="e">
        <v>#N/A</v>
      </c>
    </row>
    <row r="310" spans="7:19" ht="16" thickTop="1" thickBot="1">
      <c r="G310" s="98"/>
      <c r="H310" s="239"/>
      <c r="I310" s="243"/>
      <c r="J310" s="243"/>
      <c r="K310" s="243"/>
      <c r="L310" s="243"/>
      <c r="M310" s="243"/>
      <c r="N310" s="248" t="e">
        <f t="shared" si="5"/>
        <v>#N/A</v>
      </c>
      <c r="O310" s="248"/>
      <c r="P310" s="248"/>
      <c r="Q310" s="248">
        <v>0</v>
      </c>
      <c r="R310" s="248"/>
      <c r="S310" s="248" t="e">
        <v>#N/A</v>
      </c>
    </row>
    <row r="311" spans="7:19" ht="16" thickTop="1" thickBot="1">
      <c r="G311" s="98"/>
      <c r="H311" s="239"/>
      <c r="I311" s="243"/>
      <c r="J311" s="243"/>
      <c r="K311" s="243"/>
      <c r="L311" s="243"/>
      <c r="M311" s="243"/>
      <c r="N311" s="248" t="e">
        <f t="shared" si="5"/>
        <v>#N/A</v>
      </c>
      <c r="O311" s="248"/>
      <c r="P311" s="248"/>
      <c r="Q311" s="248">
        <v>0</v>
      </c>
      <c r="R311" s="248"/>
      <c r="S311" s="248" t="e">
        <v>#N/A</v>
      </c>
    </row>
    <row r="312" spans="7:19" ht="16" thickTop="1" thickBot="1">
      <c r="G312" s="98"/>
      <c r="H312" s="239"/>
      <c r="I312" s="243"/>
      <c r="J312" s="243"/>
      <c r="K312" s="243"/>
      <c r="L312" s="243"/>
      <c r="M312" s="243"/>
      <c r="N312" s="248" t="e">
        <f t="shared" si="5"/>
        <v>#N/A</v>
      </c>
      <c r="O312" s="248"/>
      <c r="P312" s="248"/>
      <c r="Q312" s="248">
        <v>0</v>
      </c>
      <c r="R312" s="248"/>
      <c r="S312" s="248" t="e">
        <v>#N/A</v>
      </c>
    </row>
    <row r="313" spans="7:19" ht="16" thickTop="1" thickBot="1">
      <c r="G313" s="98"/>
      <c r="H313" s="239"/>
      <c r="I313" s="243"/>
      <c r="J313" s="243"/>
      <c r="K313" s="243"/>
      <c r="L313" s="243"/>
      <c r="M313" s="243"/>
      <c r="N313" s="248" t="e">
        <f t="shared" si="5"/>
        <v>#N/A</v>
      </c>
      <c r="O313" s="248"/>
      <c r="P313" s="248"/>
      <c r="Q313" s="248">
        <v>0</v>
      </c>
      <c r="R313" s="248"/>
      <c r="S313" s="248" t="e">
        <v>#N/A</v>
      </c>
    </row>
    <row r="314" spans="7:19" ht="16" thickTop="1" thickBot="1">
      <c r="G314" s="98"/>
      <c r="H314" s="239"/>
      <c r="I314" s="243"/>
      <c r="J314" s="243"/>
      <c r="K314" s="243"/>
      <c r="L314" s="243"/>
      <c r="M314" s="243"/>
      <c r="N314" s="248" t="e">
        <f t="shared" si="5"/>
        <v>#N/A</v>
      </c>
      <c r="O314" s="248"/>
      <c r="P314" s="248"/>
      <c r="Q314" s="248">
        <v>0</v>
      </c>
      <c r="R314" s="248"/>
      <c r="S314" s="248" t="e">
        <v>#N/A</v>
      </c>
    </row>
    <row r="315" spans="7:19" ht="16" thickTop="1" thickBot="1">
      <c r="G315" s="98"/>
      <c r="H315" s="239"/>
      <c r="I315" s="243"/>
      <c r="J315" s="243"/>
      <c r="K315" s="243"/>
      <c r="L315" s="243"/>
      <c r="M315" s="243"/>
      <c r="N315" s="248" t="e">
        <f t="shared" si="5"/>
        <v>#N/A</v>
      </c>
      <c r="O315" s="248"/>
      <c r="P315" s="248"/>
      <c r="Q315" s="248">
        <v>0</v>
      </c>
      <c r="R315" s="248"/>
      <c r="S315" s="248" t="e">
        <v>#N/A</v>
      </c>
    </row>
    <row r="316" spans="7:19" ht="16" thickTop="1" thickBot="1">
      <c r="G316" s="98"/>
      <c r="H316" s="239"/>
      <c r="I316" s="243"/>
      <c r="J316" s="243"/>
      <c r="K316" s="243"/>
      <c r="L316" s="243"/>
      <c r="M316" s="243"/>
      <c r="N316" s="248" t="e">
        <f t="shared" si="5"/>
        <v>#N/A</v>
      </c>
      <c r="O316" s="248"/>
      <c r="P316" s="248"/>
      <c r="Q316" s="248">
        <v>0</v>
      </c>
      <c r="R316" s="248"/>
      <c r="S316" s="248" t="e">
        <v>#N/A</v>
      </c>
    </row>
    <row r="317" spans="7:19" ht="16" thickTop="1" thickBot="1">
      <c r="G317" s="98"/>
      <c r="H317" s="239"/>
      <c r="I317" s="243"/>
      <c r="J317" s="243"/>
      <c r="K317" s="243"/>
      <c r="L317" s="243"/>
      <c r="M317" s="243"/>
      <c r="N317" s="248" t="e">
        <f t="shared" si="5"/>
        <v>#N/A</v>
      </c>
      <c r="O317" s="248"/>
      <c r="P317" s="248"/>
      <c r="Q317" s="248">
        <v>0</v>
      </c>
      <c r="R317" s="248"/>
      <c r="S317" s="248" t="e">
        <v>#N/A</v>
      </c>
    </row>
    <row r="318" spans="7:19" ht="16" thickTop="1" thickBot="1">
      <c r="G318" s="98"/>
      <c r="H318" s="239"/>
      <c r="I318" s="243"/>
      <c r="J318" s="243"/>
      <c r="K318" s="243"/>
      <c r="L318" s="243"/>
      <c r="M318" s="243"/>
      <c r="N318" s="248" t="e">
        <f t="shared" si="5"/>
        <v>#N/A</v>
      </c>
      <c r="O318" s="248"/>
      <c r="P318" s="248"/>
      <c r="Q318" s="248">
        <v>0</v>
      </c>
      <c r="R318" s="248"/>
      <c r="S318" s="248" t="e">
        <v>#N/A</v>
      </c>
    </row>
    <row r="319" spans="7:19" ht="16" thickTop="1" thickBot="1">
      <c r="G319" s="98"/>
      <c r="H319" s="239"/>
      <c r="I319" s="243"/>
      <c r="J319" s="243"/>
      <c r="K319" s="243"/>
      <c r="L319" s="243"/>
      <c r="M319" s="243"/>
      <c r="N319" s="248" t="e">
        <f t="shared" si="5"/>
        <v>#N/A</v>
      </c>
      <c r="O319" s="248"/>
      <c r="P319" s="248"/>
      <c r="Q319" s="248">
        <v>0</v>
      </c>
      <c r="R319" s="248"/>
      <c r="S319" s="248" t="e">
        <v>#N/A</v>
      </c>
    </row>
    <row r="320" spans="7:19" ht="16" thickTop="1" thickBot="1">
      <c r="G320" s="98"/>
      <c r="H320" s="239"/>
      <c r="I320" s="243"/>
      <c r="J320" s="243"/>
      <c r="K320" s="243"/>
      <c r="L320" s="243"/>
      <c r="M320" s="243"/>
      <c r="N320" s="248" t="e">
        <f t="shared" si="5"/>
        <v>#N/A</v>
      </c>
      <c r="O320" s="248"/>
      <c r="P320" s="248"/>
      <c r="Q320" s="248">
        <v>0</v>
      </c>
      <c r="R320" s="248"/>
      <c r="S320" s="248" t="e">
        <v>#N/A</v>
      </c>
    </row>
    <row r="321" spans="7:19" ht="16" thickTop="1" thickBot="1">
      <c r="G321" s="98"/>
      <c r="H321" s="239"/>
      <c r="I321" s="243"/>
      <c r="J321" s="243"/>
      <c r="K321" s="243"/>
      <c r="L321" s="243"/>
      <c r="M321" s="243"/>
      <c r="N321" s="248" t="e">
        <f t="shared" si="5"/>
        <v>#N/A</v>
      </c>
      <c r="O321" s="248"/>
      <c r="P321" s="248"/>
      <c r="Q321" s="248">
        <v>0</v>
      </c>
      <c r="R321" s="248"/>
      <c r="S321" s="248" t="e">
        <v>#N/A</v>
      </c>
    </row>
    <row r="322" spans="7:19" ht="16" thickTop="1" thickBot="1">
      <c r="G322" s="98"/>
      <c r="H322" s="239"/>
      <c r="I322" s="243"/>
      <c r="J322" s="243"/>
      <c r="K322" s="243"/>
      <c r="L322" s="243"/>
      <c r="M322" s="243"/>
      <c r="N322" s="248" t="e">
        <f t="shared" si="5"/>
        <v>#N/A</v>
      </c>
      <c r="O322" s="248"/>
      <c r="P322" s="248"/>
      <c r="Q322" s="248">
        <v>0</v>
      </c>
      <c r="R322" s="248"/>
      <c r="S322" s="248" t="e">
        <v>#N/A</v>
      </c>
    </row>
    <row r="323" spans="7:19" ht="16" thickTop="1" thickBot="1">
      <c r="G323" s="98"/>
      <c r="H323" s="239"/>
      <c r="I323" s="243"/>
      <c r="J323" s="243"/>
      <c r="K323" s="243"/>
      <c r="L323" s="243"/>
      <c r="M323" s="243"/>
      <c r="N323" s="248" t="e">
        <f t="shared" si="5"/>
        <v>#N/A</v>
      </c>
      <c r="O323" s="248"/>
      <c r="P323" s="248"/>
      <c r="Q323" s="248">
        <v>0</v>
      </c>
      <c r="R323" s="248"/>
      <c r="S323" s="248" t="e">
        <v>#N/A</v>
      </c>
    </row>
    <row r="324" spans="7:19" ht="16" thickTop="1" thickBot="1">
      <c r="G324" s="98"/>
      <c r="H324" s="239"/>
      <c r="I324" s="243"/>
      <c r="J324" s="243"/>
      <c r="K324" s="243"/>
      <c r="L324" s="243"/>
      <c r="M324" s="243"/>
      <c r="N324" s="248" t="e">
        <f t="shared" si="5"/>
        <v>#N/A</v>
      </c>
      <c r="O324" s="248"/>
      <c r="P324" s="248"/>
      <c r="Q324" s="248">
        <v>0</v>
      </c>
      <c r="R324" s="248"/>
      <c r="S324" s="248" t="e">
        <v>#N/A</v>
      </c>
    </row>
    <row r="325" spans="7:19" ht="16" thickTop="1" thickBot="1">
      <c r="G325" s="98"/>
      <c r="H325" s="239"/>
      <c r="I325" s="243"/>
      <c r="J325" s="243"/>
      <c r="K325" s="243"/>
      <c r="L325" s="243"/>
      <c r="M325" s="243"/>
      <c r="N325" s="248" t="e">
        <f t="shared" si="5"/>
        <v>#N/A</v>
      </c>
      <c r="O325" s="248"/>
      <c r="P325" s="248"/>
      <c r="Q325" s="248">
        <v>0</v>
      </c>
      <c r="R325" s="248"/>
      <c r="S325" s="248" t="e">
        <v>#N/A</v>
      </c>
    </row>
    <row r="326" spans="7:19" ht="16" thickTop="1" thickBot="1">
      <c r="G326" s="98"/>
      <c r="H326" s="239"/>
      <c r="I326" s="243"/>
      <c r="J326" s="243"/>
      <c r="K326" s="243"/>
      <c r="L326" s="243"/>
      <c r="M326" s="243"/>
      <c r="N326" s="248" t="e">
        <f t="shared" si="5"/>
        <v>#N/A</v>
      </c>
      <c r="O326" s="248"/>
      <c r="P326" s="248"/>
      <c r="Q326" s="248">
        <v>0</v>
      </c>
      <c r="R326" s="248"/>
      <c r="S326" s="248" t="e">
        <v>#N/A</v>
      </c>
    </row>
    <row r="327" spans="7:19" ht="16" thickTop="1" thickBot="1">
      <c r="G327" s="98"/>
      <c r="H327" s="239"/>
      <c r="I327" s="243"/>
      <c r="J327" s="243"/>
      <c r="K327" s="243"/>
      <c r="L327" s="243"/>
      <c r="M327" s="243"/>
      <c r="N327" s="248" t="e">
        <f t="shared" si="5"/>
        <v>#N/A</v>
      </c>
      <c r="O327" s="248"/>
      <c r="P327" s="248"/>
      <c r="Q327" s="248">
        <v>0</v>
      </c>
      <c r="R327" s="248"/>
      <c r="S327" s="248" t="e">
        <v>#N/A</v>
      </c>
    </row>
    <row r="328" spans="7:19" ht="16" thickTop="1" thickBot="1">
      <c r="G328" s="98"/>
      <c r="H328" s="239"/>
      <c r="I328" s="243"/>
      <c r="J328" s="243"/>
      <c r="K328" s="243"/>
      <c r="L328" s="243"/>
      <c r="M328" s="243"/>
      <c r="N328" s="248" t="e">
        <f t="shared" si="5"/>
        <v>#N/A</v>
      </c>
      <c r="O328" s="248"/>
      <c r="P328" s="248"/>
      <c r="Q328" s="248">
        <v>0</v>
      </c>
      <c r="R328" s="248"/>
      <c r="S328" s="248" t="e">
        <v>#N/A</v>
      </c>
    </row>
    <row r="329" spans="7:19" ht="16" thickTop="1" thickBot="1">
      <c r="G329" s="98"/>
      <c r="H329" s="239"/>
      <c r="I329" s="243"/>
      <c r="J329" s="243"/>
      <c r="K329" s="243"/>
      <c r="L329" s="243"/>
      <c r="M329" s="243"/>
      <c r="N329" s="248" t="e">
        <f t="shared" si="5"/>
        <v>#N/A</v>
      </c>
      <c r="O329" s="248"/>
      <c r="P329" s="248"/>
      <c r="Q329" s="248">
        <v>0</v>
      </c>
      <c r="R329" s="248"/>
      <c r="S329" s="248" t="e">
        <v>#N/A</v>
      </c>
    </row>
    <row r="330" spans="7:19" ht="16" thickTop="1" thickBot="1">
      <c r="G330" s="98"/>
      <c r="H330" s="239"/>
      <c r="I330" s="243"/>
      <c r="J330" s="243"/>
      <c r="K330" s="243"/>
      <c r="L330" s="243"/>
      <c r="M330" s="243"/>
      <c r="N330" s="248" t="e">
        <f t="shared" ref="N330:N368" si="6">S329</f>
        <v>#N/A</v>
      </c>
      <c r="O330" s="248"/>
      <c r="P330" s="248"/>
      <c r="Q330" s="248">
        <v>0</v>
      </c>
      <c r="R330" s="248"/>
      <c r="S330" s="248" t="e">
        <v>#N/A</v>
      </c>
    </row>
    <row r="331" spans="7:19" ht="16" thickTop="1" thickBot="1">
      <c r="G331" s="98"/>
      <c r="H331" s="239"/>
      <c r="I331" s="243"/>
      <c r="J331" s="243"/>
      <c r="K331" s="243"/>
      <c r="L331" s="243"/>
      <c r="M331" s="243"/>
      <c r="N331" s="248" t="e">
        <f t="shared" si="6"/>
        <v>#N/A</v>
      </c>
      <c r="O331" s="248"/>
      <c r="P331" s="248"/>
      <c r="Q331" s="248">
        <v>0</v>
      </c>
      <c r="R331" s="248"/>
      <c r="S331" s="248" t="e">
        <v>#N/A</v>
      </c>
    </row>
    <row r="332" spans="7:19" ht="16" thickTop="1" thickBot="1">
      <c r="G332" s="98"/>
      <c r="H332" s="239"/>
      <c r="I332" s="243"/>
      <c r="J332" s="243"/>
      <c r="K332" s="243"/>
      <c r="L332" s="243"/>
      <c r="M332" s="243"/>
      <c r="N332" s="248" t="e">
        <f t="shared" si="6"/>
        <v>#N/A</v>
      </c>
      <c r="O332" s="248"/>
      <c r="P332" s="248"/>
      <c r="Q332" s="248">
        <v>0</v>
      </c>
      <c r="R332" s="248"/>
      <c r="S332" s="248" t="e">
        <v>#N/A</v>
      </c>
    </row>
    <row r="333" spans="7:19" ht="16" thickTop="1" thickBot="1">
      <c r="G333" s="98"/>
      <c r="H333" s="239"/>
      <c r="I333" s="243"/>
      <c r="J333" s="243"/>
      <c r="K333" s="243"/>
      <c r="L333" s="243"/>
      <c r="M333" s="243"/>
      <c r="N333" s="248" t="e">
        <f t="shared" si="6"/>
        <v>#N/A</v>
      </c>
      <c r="O333" s="248"/>
      <c r="P333" s="248"/>
      <c r="Q333" s="248">
        <v>0</v>
      </c>
      <c r="R333" s="248"/>
      <c r="S333" s="248" t="e">
        <v>#N/A</v>
      </c>
    </row>
    <row r="334" spans="7:19" ht="16" thickTop="1" thickBot="1">
      <c r="G334" s="98"/>
      <c r="H334" s="239"/>
      <c r="I334" s="243"/>
      <c r="J334" s="243"/>
      <c r="K334" s="243"/>
      <c r="L334" s="243"/>
      <c r="M334" s="243"/>
      <c r="N334" s="248" t="e">
        <f t="shared" si="6"/>
        <v>#N/A</v>
      </c>
      <c r="O334" s="248"/>
      <c r="P334" s="248"/>
      <c r="Q334" s="248">
        <v>0</v>
      </c>
      <c r="R334" s="248"/>
      <c r="S334" s="248" t="e">
        <v>#N/A</v>
      </c>
    </row>
    <row r="335" spans="7:19" ht="16" thickTop="1" thickBot="1">
      <c r="G335" s="98"/>
      <c r="H335" s="239"/>
      <c r="I335" s="243"/>
      <c r="J335" s="243"/>
      <c r="K335" s="243"/>
      <c r="L335" s="243"/>
      <c r="M335" s="243"/>
      <c r="N335" s="248" t="e">
        <f t="shared" si="6"/>
        <v>#N/A</v>
      </c>
      <c r="O335" s="248"/>
      <c r="P335" s="248"/>
      <c r="Q335" s="248">
        <v>0</v>
      </c>
      <c r="R335" s="248"/>
      <c r="S335" s="248" t="e">
        <v>#N/A</v>
      </c>
    </row>
    <row r="336" spans="7:19" ht="16" thickTop="1" thickBot="1">
      <c r="G336" s="98"/>
      <c r="H336" s="239"/>
      <c r="I336" s="243"/>
      <c r="J336" s="243"/>
      <c r="K336" s="243"/>
      <c r="L336" s="243"/>
      <c r="M336" s="243"/>
      <c r="N336" s="248" t="e">
        <f t="shared" si="6"/>
        <v>#N/A</v>
      </c>
      <c r="O336" s="248"/>
      <c r="P336" s="248"/>
      <c r="Q336" s="248">
        <v>0</v>
      </c>
      <c r="R336" s="248"/>
      <c r="S336" s="248" t="e">
        <v>#N/A</v>
      </c>
    </row>
    <row r="337" spans="7:19" ht="16" thickTop="1" thickBot="1">
      <c r="G337" s="98"/>
      <c r="H337" s="239"/>
      <c r="I337" s="243"/>
      <c r="J337" s="243"/>
      <c r="K337" s="243"/>
      <c r="L337" s="243"/>
      <c r="M337" s="243"/>
      <c r="N337" s="248" t="e">
        <f t="shared" si="6"/>
        <v>#N/A</v>
      </c>
      <c r="O337" s="248"/>
      <c r="P337" s="248"/>
      <c r="Q337" s="248">
        <v>0</v>
      </c>
      <c r="R337" s="248"/>
      <c r="S337" s="248" t="e">
        <v>#N/A</v>
      </c>
    </row>
    <row r="338" spans="7:19" ht="16" thickTop="1" thickBot="1">
      <c r="G338" s="98"/>
      <c r="H338" s="239"/>
      <c r="I338" s="243"/>
      <c r="J338" s="243"/>
      <c r="K338" s="243"/>
      <c r="L338" s="243"/>
      <c r="M338" s="243"/>
      <c r="N338" s="248" t="e">
        <f t="shared" si="6"/>
        <v>#N/A</v>
      </c>
      <c r="O338" s="248"/>
      <c r="P338" s="248"/>
      <c r="Q338" s="248">
        <v>0</v>
      </c>
      <c r="R338" s="248"/>
      <c r="S338" s="248" t="e">
        <v>#N/A</v>
      </c>
    </row>
    <row r="339" spans="7:19" ht="16" thickTop="1" thickBot="1">
      <c r="G339" s="98"/>
      <c r="H339" s="239"/>
      <c r="I339" s="243"/>
      <c r="J339" s="243"/>
      <c r="K339" s="243"/>
      <c r="L339" s="243"/>
      <c r="M339" s="243"/>
      <c r="N339" s="248" t="e">
        <f t="shared" si="6"/>
        <v>#N/A</v>
      </c>
      <c r="O339" s="248"/>
      <c r="P339" s="248"/>
      <c r="Q339" s="248">
        <v>0</v>
      </c>
      <c r="R339" s="248"/>
      <c r="S339" s="248" t="e">
        <v>#N/A</v>
      </c>
    </row>
    <row r="340" spans="7:19" ht="16" thickTop="1" thickBot="1">
      <c r="G340" s="98"/>
      <c r="H340" s="239"/>
      <c r="I340" s="243"/>
      <c r="J340" s="243"/>
      <c r="K340" s="243"/>
      <c r="L340" s="243"/>
      <c r="M340" s="243"/>
      <c r="N340" s="248" t="e">
        <f t="shared" si="6"/>
        <v>#N/A</v>
      </c>
      <c r="O340" s="248"/>
      <c r="P340" s="248"/>
      <c r="Q340" s="248">
        <v>0</v>
      </c>
      <c r="R340" s="248"/>
      <c r="S340" s="248" t="e">
        <v>#N/A</v>
      </c>
    </row>
    <row r="341" spans="7:19" ht="16" thickTop="1" thickBot="1">
      <c r="G341" s="98"/>
      <c r="H341" s="239"/>
      <c r="I341" s="243"/>
      <c r="J341" s="243"/>
      <c r="K341" s="243"/>
      <c r="L341" s="243"/>
      <c r="M341" s="243"/>
      <c r="N341" s="248" t="e">
        <f t="shared" si="6"/>
        <v>#N/A</v>
      </c>
      <c r="O341" s="248"/>
      <c r="P341" s="248"/>
      <c r="Q341" s="248">
        <v>0</v>
      </c>
      <c r="R341" s="248"/>
      <c r="S341" s="248" t="e">
        <v>#N/A</v>
      </c>
    </row>
    <row r="342" spans="7:19" ht="16" thickTop="1" thickBot="1">
      <c r="G342" s="98"/>
      <c r="H342" s="239"/>
      <c r="I342" s="243"/>
      <c r="J342" s="243"/>
      <c r="K342" s="243"/>
      <c r="L342" s="243"/>
      <c r="M342" s="243"/>
      <c r="N342" s="248" t="e">
        <f t="shared" si="6"/>
        <v>#N/A</v>
      </c>
      <c r="O342" s="248"/>
      <c r="P342" s="248"/>
      <c r="Q342" s="248">
        <v>0</v>
      </c>
      <c r="R342" s="248"/>
      <c r="S342" s="248" t="e">
        <v>#N/A</v>
      </c>
    </row>
    <row r="343" spans="7:19" ht="16" thickTop="1" thickBot="1">
      <c r="G343" s="98"/>
      <c r="H343" s="239"/>
      <c r="I343" s="243"/>
      <c r="J343" s="243"/>
      <c r="K343" s="243"/>
      <c r="L343" s="243"/>
      <c r="M343" s="243"/>
      <c r="N343" s="248" t="e">
        <f t="shared" si="6"/>
        <v>#N/A</v>
      </c>
      <c r="O343" s="248"/>
      <c r="P343" s="248"/>
      <c r="Q343" s="248">
        <v>0</v>
      </c>
      <c r="R343" s="248"/>
      <c r="S343" s="248" t="e">
        <v>#N/A</v>
      </c>
    </row>
    <row r="344" spans="7:19" ht="16" thickTop="1" thickBot="1">
      <c r="G344" s="98"/>
      <c r="H344" s="239"/>
      <c r="I344" s="243"/>
      <c r="J344" s="243"/>
      <c r="K344" s="243"/>
      <c r="L344" s="243"/>
      <c r="M344" s="243"/>
      <c r="N344" s="248" t="e">
        <f t="shared" si="6"/>
        <v>#N/A</v>
      </c>
      <c r="O344" s="248"/>
      <c r="P344" s="248"/>
      <c r="Q344" s="248">
        <v>0</v>
      </c>
      <c r="R344" s="248"/>
      <c r="S344" s="248" t="e">
        <v>#N/A</v>
      </c>
    </row>
    <row r="345" spans="7:19" ht="16" thickTop="1" thickBot="1">
      <c r="G345" s="98"/>
      <c r="H345" s="239"/>
      <c r="I345" s="243"/>
      <c r="J345" s="243"/>
      <c r="K345" s="243"/>
      <c r="L345" s="243"/>
      <c r="M345" s="243"/>
      <c r="N345" s="248" t="e">
        <f t="shared" si="6"/>
        <v>#N/A</v>
      </c>
      <c r="O345" s="248"/>
      <c r="P345" s="248"/>
      <c r="Q345" s="248">
        <v>0</v>
      </c>
      <c r="R345" s="248"/>
      <c r="S345" s="248" t="e">
        <v>#N/A</v>
      </c>
    </row>
    <row r="346" spans="7:19" ht="16" thickTop="1" thickBot="1">
      <c r="G346" s="98"/>
      <c r="H346" s="239"/>
      <c r="I346" s="243"/>
      <c r="J346" s="243"/>
      <c r="K346" s="243"/>
      <c r="L346" s="243"/>
      <c r="M346" s="243"/>
      <c r="N346" s="248" t="e">
        <f t="shared" si="6"/>
        <v>#N/A</v>
      </c>
      <c r="O346" s="248"/>
      <c r="P346" s="248"/>
      <c r="Q346" s="248">
        <v>0</v>
      </c>
      <c r="R346" s="248"/>
      <c r="S346" s="248" t="e">
        <v>#N/A</v>
      </c>
    </row>
    <row r="347" spans="7:19" ht="16" thickTop="1" thickBot="1">
      <c r="G347" s="98"/>
      <c r="H347" s="239"/>
      <c r="I347" s="243"/>
      <c r="J347" s="243"/>
      <c r="K347" s="243"/>
      <c r="L347" s="243"/>
      <c r="M347" s="243"/>
      <c r="N347" s="248" t="e">
        <f t="shared" si="6"/>
        <v>#N/A</v>
      </c>
      <c r="O347" s="248"/>
      <c r="P347" s="248"/>
      <c r="Q347" s="248">
        <v>0</v>
      </c>
      <c r="R347" s="248"/>
      <c r="S347" s="248" t="e">
        <v>#N/A</v>
      </c>
    </row>
    <row r="348" spans="7:19" ht="16" thickTop="1" thickBot="1">
      <c r="G348" s="98"/>
      <c r="H348" s="239"/>
      <c r="I348" s="243"/>
      <c r="J348" s="243"/>
      <c r="K348" s="243"/>
      <c r="L348" s="243"/>
      <c r="M348" s="243"/>
      <c r="N348" s="248" t="e">
        <f t="shared" si="6"/>
        <v>#N/A</v>
      </c>
      <c r="O348" s="248"/>
      <c r="P348" s="248"/>
      <c r="Q348" s="248">
        <v>0</v>
      </c>
      <c r="R348" s="248"/>
      <c r="S348" s="248" t="e">
        <v>#N/A</v>
      </c>
    </row>
    <row r="349" spans="7:19" ht="16" thickTop="1" thickBot="1">
      <c r="G349" s="98"/>
      <c r="H349" s="239"/>
      <c r="I349" s="243"/>
      <c r="J349" s="243"/>
      <c r="K349" s="243"/>
      <c r="L349" s="243"/>
      <c r="M349" s="243"/>
      <c r="N349" s="248" t="e">
        <f t="shared" si="6"/>
        <v>#N/A</v>
      </c>
      <c r="O349" s="248"/>
      <c r="P349" s="248"/>
      <c r="Q349" s="248">
        <v>0</v>
      </c>
      <c r="R349" s="248"/>
      <c r="S349" s="248" t="e">
        <v>#N/A</v>
      </c>
    </row>
    <row r="350" spans="7:19" ht="16" thickTop="1" thickBot="1">
      <c r="G350" s="98"/>
      <c r="H350" s="239"/>
      <c r="I350" s="243"/>
      <c r="J350" s="243"/>
      <c r="K350" s="243"/>
      <c r="L350" s="243"/>
      <c r="M350" s="243"/>
      <c r="N350" s="248" t="e">
        <f t="shared" si="6"/>
        <v>#N/A</v>
      </c>
      <c r="O350" s="248"/>
      <c r="P350" s="248"/>
      <c r="Q350" s="248">
        <v>0</v>
      </c>
      <c r="R350" s="248"/>
      <c r="S350" s="248" t="e">
        <v>#N/A</v>
      </c>
    </row>
    <row r="351" spans="7:19" ht="16" thickTop="1" thickBot="1">
      <c r="G351" s="98"/>
      <c r="H351" s="239"/>
      <c r="I351" s="243"/>
      <c r="J351" s="243"/>
      <c r="K351" s="243"/>
      <c r="L351" s="243"/>
      <c r="M351" s="243"/>
      <c r="N351" s="248" t="e">
        <f t="shared" si="6"/>
        <v>#N/A</v>
      </c>
      <c r="O351" s="248"/>
      <c r="P351" s="248"/>
      <c r="Q351" s="248">
        <v>0</v>
      </c>
      <c r="R351" s="248"/>
      <c r="S351" s="248" t="e">
        <v>#N/A</v>
      </c>
    </row>
    <row r="352" spans="7:19" ht="16" thickTop="1" thickBot="1">
      <c r="G352" s="98"/>
      <c r="H352" s="239"/>
      <c r="I352" s="243"/>
      <c r="J352" s="243"/>
      <c r="K352" s="243"/>
      <c r="L352" s="243"/>
      <c r="M352" s="243"/>
      <c r="N352" s="248" t="e">
        <f t="shared" si="6"/>
        <v>#N/A</v>
      </c>
      <c r="O352" s="248"/>
      <c r="P352" s="248"/>
      <c r="Q352" s="248">
        <v>0</v>
      </c>
      <c r="R352" s="248"/>
      <c r="S352" s="248" t="e">
        <v>#N/A</v>
      </c>
    </row>
    <row r="353" spans="7:19" ht="16" thickTop="1" thickBot="1">
      <c r="G353" s="98"/>
      <c r="H353" s="239"/>
      <c r="I353" s="243"/>
      <c r="J353" s="243"/>
      <c r="K353" s="243"/>
      <c r="L353" s="243"/>
      <c r="M353" s="243"/>
      <c r="N353" s="248" t="e">
        <f t="shared" si="6"/>
        <v>#N/A</v>
      </c>
      <c r="O353" s="248"/>
      <c r="P353" s="248"/>
      <c r="Q353" s="248">
        <v>0</v>
      </c>
      <c r="R353" s="248"/>
      <c r="S353" s="248" t="e">
        <v>#N/A</v>
      </c>
    </row>
    <row r="354" spans="7:19" ht="16" thickTop="1" thickBot="1">
      <c r="G354" s="98"/>
      <c r="H354" s="239"/>
      <c r="I354" s="243"/>
      <c r="J354" s="243"/>
      <c r="K354" s="243"/>
      <c r="L354" s="243"/>
      <c r="M354" s="243"/>
      <c r="N354" s="248" t="e">
        <f t="shared" si="6"/>
        <v>#N/A</v>
      </c>
      <c r="O354" s="248"/>
      <c r="P354" s="248"/>
      <c r="Q354" s="248">
        <v>0</v>
      </c>
      <c r="R354" s="248"/>
      <c r="S354" s="248" t="e">
        <v>#N/A</v>
      </c>
    </row>
    <row r="355" spans="7:19" ht="16" thickTop="1" thickBot="1">
      <c r="G355" s="98"/>
      <c r="H355" s="239"/>
      <c r="I355" s="243"/>
      <c r="J355" s="243"/>
      <c r="K355" s="243"/>
      <c r="L355" s="243"/>
      <c r="M355" s="243"/>
      <c r="N355" s="248" t="e">
        <f t="shared" si="6"/>
        <v>#N/A</v>
      </c>
      <c r="O355" s="248"/>
      <c r="P355" s="248"/>
      <c r="Q355" s="248">
        <v>0</v>
      </c>
      <c r="R355" s="248"/>
      <c r="S355" s="248" t="e">
        <v>#N/A</v>
      </c>
    </row>
    <row r="356" spans="7:19" ht="16" thickTop="1" thickBot="1">
      <c r="G356" s="98"/>
      <c r="H356" s="239"/>
      <c r="I356" s="243"/>
      <c r="J356" s="243"/>
      <c r="K356" s="243"/>
      <c r="L356" s="243"/>
      <c r="M356" s="243"/>
      <c r="N356" s="248" t="e">
        <f t="shared" si="6"/>
        <v>#N/A</v>
      </c>
      <c r="O356" s="248"/>
      <c r="P356" s="248"/>
      <c r="Q356" s="248">
        <v>0</v>
      </c>
      <c r="R356" s="248"/>
      <c r="S356" s="248" t="e">
        <v>#N/A</v>
      </c>
    </row>
    <row r="357" spans="7:19" ht="16" thickTop="1" thickBot="1">
      <c r="G357" s="98"/>
      <c r="H357" s="239"/>
      <c r="I357" s="243"/>
      <c r="J357" s="243"/>
      <c r="K357" s="243"/>
      <c r="L357" s="243"/>
      <c r="M357" s="243"/>
      <c r="N357" s="248" t="e">
        <f t="shared" si="6"/>
        <v>#N/A</v>
      </c>
      <c r="O357" s="248"/>
      <c r="P357" s="248"/>
      <c r="Q357" s="248">
        <v>0</v>
      </c>
      <c r="R357" s="248"/>
      <c r="S357" s="248" t="e">
        <v>#N/A</v>
      </c>
    </row>
    <row r="358" spans="7:19" ht="16" thickTop="1" thickBot="1">
      <c r="G358" s="98"/>
      <c r="H358" s="239"/>
      <c r="I358" s="243"/>
      <c r="J358" s="243"/>
      <c r="K358" s="243"/>
      <c r="L358" s="243"/>
      <c r="M358" s="243"/>
      <c r="N358" s="248" t="e">
        <f t="shared" si="6"/>
        <v>#N/A</v>
      </c>
      <c r="O358" s="248"/>
      <c r="P358" s="248"/>
      <c r="Q358" s="248">
        <v>0</v>
      </c>
      <c r="R358" s="248"/>
      <c r="S358" s="248" t="e">
        <v>#N/A</v>
      </c>
    </row>
    <row r="359" spans="7:19" ht="16" thickTop="1" thickBot="1">
      <c r="G359" s="98"/>
      <c r="H359" s="239"/>
      <c r="I359" s="243"/>
      <c r="J359" s="243"/>
      <c r="K359" s="243"/>
      <c r="L359" s="243"/>
      <c r="M359" s="243"/>
      <c r="N359" s="248" t="e">
        <f t="shared" si="6"/>
        <v>#N/A</v>
      </c>
      <c r="O359" s="248"/>
      <c r="P359" s="248"/>
      <c r="Q359" s="248">
        <v>0</v>
      </c>
      <c r="R359" s="248"/>
      <c r="S359" s="248" t="e">
        <v>#N/A</v>
      </c>
    </row>
    <row r="360" spans="7:19" ht="16" thickTop="1" thickBot="1">
      <c r="G360" s="98"/>
      <c r="H360" s="239"/>
      <c r="I360" s="243"/>
      <c r="J360" s="243"/>
      <c r="K360" s="243"/>
      <c r="L360" s="243"/>
      <c r="M360" s="243"/>
      <c r="N360" s="248" t="e">
        <f t="shared" si="6"/>
        <v>#N/A</v>
      </c>
      <c r="O360" s="248"/>
      <c r="P360" s="248"/>
      <c r="Q360" s="248">
        <v>0</v>
      </c>
      <c r="R360" s="248"/>
      <c r="S360" s="248" t="e">
        <v>#N/A</v>
      </c>
    </row>
    <row r="361" spans="7:19" ht="16" thickTop="1" thickBot="1">
      <c r="G361" s="98"/>
      <c r="H361" s="239"/>
      <c r="I361" s="243"/>
      <c r="J361" s="243"/>
      <c r="K361" s="243"/>
      <c r="L361" s="243"/>
      <c r="M361" s="243"/>
      <c r="N361" s="248" t="e">
        <f t="shared" si="6"/>
        <v>#N/A</v>
      </c>
      <c r="O361" s="248"/>
      <c r="P361" s="248"/>
      <c r="Q361" s="248">
        <v>0</v>
      </c>
      <c r="R361" s="248"/>
      <c r="S361" s="248" t="e">
        <v>#N/A</v>
      </c>
    </row>
    <row r="362" spans="7:19" ht="16" thickTop="1" thickBot="1">
      <c r="G362" s="98"/>
      <c r="H362" s="239"/>
      <c r="I362" s="243"/>
      <c r="J362" s="243"/>
      <c r="K362" s="243"/>
      <c r="L362" s="243"/>
      <c r="M362" s="243"/>
      <c r="N362" s="248" t="e">
        <f t="shared" si="6"/>
        <v>#N/A</v>
      </c>
      <c r="O362" s="248"/>
      <c r="P362" s="248"/>
      <c r="Q362" s="248">
        <v>0</v>
      </c>
      <c r="R362" s="248"/>
      <c r="S362" s="248" t="e">
        <v>#N/A</v>
      </c>
    </row>
    <row r="363" spans="7:19" ht="16" thickTop="1" thickBot="1">
      <c r="G363" s="98"/>
      <c r="H363" s="239"/>
      <c r="I363" s="243"/>
      <c r="J363" s="243"/>
      <c r="K363" s="243"/>
      <c r="L363" s="243"/>
      <c r="M363" s="243"/>
      <c r="N363" s="248" t="e">
        <f t="shared" si="6"/>
        <v>#N/A</v>
      </c>
      <c r="O363" s="248"/>
      <c r="P363" s="248"/>
      <c r="Q363" s="248">
        <v>0</v>
      </c>
      <c r="R363" s="248"/>
      <c r="S363" s="248" t="e">
        <v>#N/A</v>
      </c>
    </row>
    <row r="364" spans="7:19" ht="16" thickTop="1" thickBot="1">
      <c r="G364" s="98"/>
      <c r="H364" s="239"/>
      <c r="I364" s="243"/>
      <c r="J364" s="243"/>
      <c r="K364" s="243"/>
      <c r="L364" s="243"/>
      <c r="M364" s="243"/>
      <c r="N364" s="248" t="e">
        <f t="shared" si="6"/>
        <v>#N/A</v>
      </c>
      <c r="O364" s="248"/>
      <c r="P364" s="248"/>
      <c r="Q364" s="248">
        <v>0</v>
      </c>
      <c r="R364" s="248"/>
      <c r="S364" s="248" t="e">
        <v>#N/A</v>
      </c>
    </row>
    <row r="365" spans="7:19" ht="16" thickTop="1" thickBot="1">
      <c r="G365" s="98"/>
      <c r="H365" s="239"/>
      <c r="I365" s="243"/>
      <c r="J365" s="243"/>
      <c r="K365" s="243"/>
      <c r="L365" s="243"/>
      <c r="M365" s="243"/>
      <c r="N365" s="248" t="e">
        <f t="shared" si="6"/>
        <v>#N/A</v>
      </c>
      <c r="O365" s="248"/>
      <c r="P365" s="248"/>
      <c r="Q365" s="248">
        <v>0</v>
      </c>
      <c r="R365" s="248"/>
      <c r="S365" s="248" t="e">
        <v>#N/A</v>
      </c>
    </row>
    <row r="366" spans="7:19" ht="16" thickTop="1" thickBot="1">
      <c r="G366" s="98"/>
      <c r="H366" s="239"/>
      <c r="I366" s="243"/>
      <c r="J366" s="243"/>
      <c r="K366" s="243"/>
      <c r="L366" s="243"/>
      <c r="M366" s="243"/>
      <c r="N366" s="248" t="e">
        <f t="shared" si="6"/>
        <v>#N/A</v>
      </c>
      <c r="O366" s="248"/>
      <c r="P366" s="248"/>
      <c r="Q366" s="248">
        <v>0</v>
      </c>
      <c r="R366" s="248"/>
      <c r="S366" s="248" t="e">
        <v>#N/A</v>
      </c>
    </row>
    <row r="367" spans="7:19" ht="16" thickTop="1" thickBot="1">
      <c r="G367" s="98"/>
      <c r="H367" s="239"/>
      <c r="I367" s="243"/>
      <c r="J367" s="243"/>
      <c r="K367" s="243"/>
      <c r="L367" s="243"/>
      <c r="M367" s="243"/>
      <c r="N367" s="248" t="e">
        <f t="shared" si="6"/>
        <v>#N/A</v>
      </c>
      <c r="O367" s="248"/>
      <c r="P367" s="248"/>
      <c r="Q367" s="248">
        <v>0</v>
      </c>
      <c r="R367" s="248"/>
      <c r="S367" s="248" t="e">
        <v>#N/A</v>
      </c>
    </row>
    <row r="368" spans="7:19" ht="16" thickTop="1" thickBot="1">
      <c r="G368" s="98"/>
      <c r="H368" s="239"/>
      <c r="I368" s="243"/>
      <c r="J368" s="243"/>
      <c r="K368" s="243"/>
      <c r="L368" s="243"/>
      <c r="M368" s="243"/>
      <c r="N368" s="248" t="e">
        <f t="shared" si="6"/>
        <v>#N/A</v>
      </c>
      <c r="O368" s="248"/>
      <c r="P368" s="248"/>
      <c r="Q368" s="248">
        <v>0</v>
      </c>
      <c r="R368" s="248"/>
      <c r="S368" s="248" t="e">
        <v>#N/A</v>
      </c>
    </row>
  </sheetData>
  <sheetProtection formatColumns="0" formatRows="0" selectLockedCells="1"/>
  <mergeCells count="1">
    <mergeCell ref="AE7:AF7"/>
  </mergeCells>
  <hyperlinks>
    <hyperlink ref="A1" location="Index" display="Back to Index" xr:uid="{B59F018C-3E74-45D3-A945-503A6D0201B0}"/>
  </hyperlinks>
  <pageMargins left="0.7" right="0.7" top="0.75" bottom="0.75" header="0.3" footer="0.3"/>
  <pageSetup orientation="portrait" r:id="rId1"/>
  <picture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7E70-233F-C148-ABEB-C6825D398D00}">
  <sheetPr codeName="Sheet21">
    <tabColor rgb="FFFF0000"/>
  </sheetPr>
  <dimension ref="A1:KF370"/>
  <sheetViews>
    <sheetView showGridLines="0" topLeftCell="P2" workbookViewId="0"/>
  </sheetViews>
  <sheetFormatPr baseColWidth="10" defaultColWidth="10.1640625" defaultRowHeight="13.5" customHeight="1"/>
  <cols>
    <col min="1" max="1" width="5.5" hidden="1" customWidth="1"/>
    <col min="2" max="2" width="2.1640625" customWidth="1"/>
    <col min="3" max="3" width="5.1640625" customWidth="1"/>
    <col min="4" max="8" width="10.1640625" customWidth="1"/>
    <col min="9" max="9" width="2.6640625" customWidth="1"/>
    <col min="10" max="10" width="11.5" bestFit="1" customWidth="1"/>
    <col min="11" max="11" width="15.6640625" customWidth="1"/>
    <col min="12" max="12" width="13.83203125" customWidth="1"/>
    <col min="13" max="14" width="12.6640625" customWidth="1"/>
    <col min="15" max="15" width="13" customWidth="1"/>
    <col min="16" max="16" width="10.6640625" customWidth="1"/>
    <col min="17" max="19" width="10" customWidth="1"/>
    <col min="20" max="20" width="12.6640625" customWidth="1"/>
    <col min="21" max="21" width="12.83203125" customWidth="1"/>
    <col min="22" max="23" width="11.1640625" customWidth="1"/>
    <col min="24" max="29" width="14" customWidth="1"/>
    <col min="30" max="31" width="6.1640625" customWidth="1"/>
    <col min="32" max="291" width="10.1640625" customWidth="1"/>
    <col min="292" max="292" width="10.1640625" customWidth="1" collapsed="1"/>
    <col min="293" max="437" width="10.1640625" customWidth="1"/>
  </cols>
  <sheetData>
    <row r="1" spans="1:29" ht="14" hidden="1">
      <c r="A1" s="201" t="s">
        <v>159</v>
      </c>
      <c r="B1" s="89"/>
      <c r="C1" s="91"/>
      <c r="D1" s="91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20"/>
    </row>
    <row r="2" spans="1:29" ht="20">
      <c r="A2" s="136"/>
      <c r="B2" s="31" t="str">
        <f>i_Project.Name</f>
        <v>Peoria Lakes</v>
      </c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</row>
    <row r="3" spans="1:29" ht="14">
      <c r="A3" s="137"/>
      <c r="B3" s="32" t="str">
        <f>i_Project.Location</f>
        <v>Peoria Lakes</v>
      </c>
      <c r="C3" s="93"/>
      <c r="D3" s="93"/>
      <c r="E3" s="94"/>
      <c r="F3" s="94"/>
      <c r="G3" s="94"/>
      <c r="H3" s="32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</row>
    <row r="4" spans="1:29" ht="14">
      <c r="A4" s="90"/>
      <c r="B4" s="33"/>
      <c r="C4" s="93"/>
      <c r="D4" s="93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</row>
    <row r="5" spans="1:29" ht="14">
      <c r="A5" s="90"/>
      <c r="C5" s="46"/>
      <c r="D5" s="46"/>
      <c r="F5" s="255">
        <f>SUM(_xlfn.ANCHORARRAY(F9))</f>
        <v>1500</v>
      </c>
      <c r="G5" s="255">
        <f ca="1">SUM(_xlfn.ANCHORARRAY(G9))</f>
        <v>1090</v>
      </c>
      <c r="H5" s="255"/>
      <c r="I5" s="241"/>
      <c r="J5" s="241"/>
      <c r="K5" s="255">
        <f>SUM(_xlfn.ANCHORARRAY(K9))</f>
        <v>105000000</v>
      </c>
      <c r="L5" s="255">
        <f>SUM(_xlfn.ANCHORARRAY(L9))</f>
        <v>39235624.299927793</v>
      </c>
      <c r="M5" s="255">
        <f>SUM(_xlfn.ANCHORARRAY(M9))</f>
        <v>7322346.9553270852</v>
      </c>
      <c r="N5" s="255">
        <f>SUM(_xlfn.ANCHORARRAY(N9))</f>
        <v>328545307.71140021</v>
      </c>
      <c r="O5" s="220"/>
      <c r="S5" s="135"/>
      <c r="T5" s="135"/>
      <c r="X5" s="255">
        <f>SUM(_xlfn.ANCHORARRAY(X9))</f>
        <v>105000000</v>
      </c>
      <c r="Y5" s="255">
        <f>SUM(_xlfn.ANCHORARRAY(Y9))</f>
        <v>39235624.299927838</v>
      </c>
      <c r="Z5" s="255">
        <f>SUM(_xlfn.ANCHORARRAY(Z9))</f>
        <v>7322346.9553270862</v>
      </c>
      <c r="AA5" s="255"/>
      <c r="AB5" s="255">
        <f>SUM(_xlfn.ANCHORARRAY(AB9))</f>
        <v>328545307.71140015</v>
      </c>
    </row>
    <row r="6" spans="1:29" ht="24" customHeight="1" thickBot="1">
      <c r="A6" s="90"/>
      <c r="C6" s="139" t="s">
        <v>228</v>
      </c>
      <c r="D6" s="100"/>
      <c r="E6" s="242"/>
      <c r="F6" s="242"/>
      <c r="G6" s="242"/>
      <c r="H6" s="242"/>
      <c r="J6" s="242"/>
      <c r="K6" s="242"/>
      <c r="L6" s="242"/>
      <c r="M6" s="242"/>
      <c r="N6" s="242"/>
      <c r="O6" s="242"/>
      <c r="Q6" s="139" t="s">
        <v>228</v>
      </c>
      <c r="R6" s="100"/>
      <c r="S6" s="242"/>
      <c r="T6" s="242"/>
      <c r="U6" s="242"/>
      <c r="V6" s="242"/>
      <c r="W6" s="241"/>
      <c r="X6" s="242"/>
      <c r="Y6" s="242"/>
      <c r="Z6" s="242"/>
      <c r="AA6" s="242"/>
      <c r="AB6" s="242"/>
      <c r="AC6" s="242"/>
    </row>
    <row r="7" spans="1:29" ht="26.25" customHeight="1" thickTop="1" thickBot="1">
      <c r="A7" s="328"/>
      <c r="B7" s="329"/>
      <c r="C7" s="330" t="s">
        <v>5</v>
      </c>
      <c r="D7" s="331"/>
      <c r="E7" s="1731" t="s">
        <v>244</v>
      </c>
      <c r="F7" s="1732"/>
      <c r="G7" s="1733"/>
      <c r="H7" s="332"/>
      <c r="I7" s="329"/>
      <c r="J7" s="1734" t="s">
        <v>229</v>
      </c>
      <c r="K7" s="1735"/>
      <c r="L7" s="1735"/>
      <c r="M7" s="1735"/>
      <c r="N7" s="1735"/>
      <c r="O7" s="1736"/>
      <c r="P7" s="329"/>
      <c r="Q7" s="335" t="s">
        <v>5</v>
      </c>
      <c r="R7" s="336"/>
      <c r="S7" s="333" t="s">
        <v>244</v>
      </c>
      <c r="T7" s="333"/>
      <c r="U7" s="333"/>
      <c r="V7" s="337"/>
      <c r="W7" s="334"/>
      <c r="X7" s="338" t="s">
        <v>229</v>
      </c>
      <c r="Y7" s="339"/>
      <c r="Z7" s="339"/>
      <c r="AA7" s="1729" t="s">
        <v>232</v>
      </c>
      <c r="AB7" s="1730"/>
      <c r="AC7" s="332" t="s">
        <v>236</v>
      </c>
    </row>
    <row r="8" spans="1:29" ht="23.25" customHeight="1" thickTop="1" thickBot="1">
      <c r="A8" s="251" t="s">
        <v>225</v>
      </c>
      <c r="C8" s="325" t="s">
        <v>17</v>
      </c>
      <c r="D8" s="326" t="s">
        <v>6</v>
      </c>
      <c r="E8" s="327" t="s">
        <v>235</v>
      </c>
      <c r="F8" s="327" t="s">
        <v>245</v>
      </c>
      <c r="G8" s="327" t="s">
        <v>227</v>
      </c>
      <c r="H8" s="327" t="s">
        <v>7</v>
      </c>
      <c r="J8" s="340" t="str">
        <f>E8</f>
        <v>Start</v>
      </c>
      <c r="K8" s="340" t="s">
        <v>14</v>
      </c>
      <c r="L8" s="341" t="s">
        <v>230</v>
      </c>
      <c r="M8" s="341" t="s">
        <v>247</v>
      </c>
      <c r="N8" s="261" t="s">
        <v>11</v>
      </c>
      <c r="O8" s="341" t="s">
        <v>7</v>
      </c>
      <c r="Q8" s="214" t="s">
        <v>4</v>
      </c>
      <c r="R8" s="215" t="s">
        <v>6</v>
      </c>
      <c r="S8" s="261" t="s">
        <v>235</v>
      </c>
      <c r="T8" s="261" t="s">
        <v>246</v>
      </c>
      <c r="U8" s="261" t="s">
        <v>227</v>
      </c>
      <c r="V8" s="261" t="s">
        <v>7</v>
      </c>
      <c r="W8" s="241"/>
      <c r="X8" s="261" t="s">
        <v>14</v>
      </c>
      <c r="Y8" s="261" t="s">
        <v>230</v>
      </c>
      <c r="Z8" s="261" t="s">
        <v>231</v>
      </c>
      <c r="AA8" s="261" t="s">
        <v>235</v>
      </c>
      <c r="AB8" s="261" t="s">
        <v>227</v>
      </c>
      <c r="AC8" s="261" t="s">
        <v>236</v>
      </c>
    </row>
    <row r="9" spans="1:29" ht="18.75" customHeight="1" thickTop="1" thickBot="1">
      <c r="A9" s="98" cm="1">
        <f t="array" ref="A9:A104">_xlfn.ANCHORARRAY(ADMIN!P9)</f>
        <v>1</v>
      </c>
      <c r="C9" s="98" cm="1">
        <f t="array" ref="C9:C104">list_Periods.ALL</f>
        <v>1</v>
      </c>
      <c r="D9" s="239" cm="1">
        <f t="array" ref="D9:D104">list_Dates.ALL</f>
        <v>45292</v>
      </c>
      <c r="E9" s="243">
        <v>0</v>
      </c>
      <c r="F9" s="243" cm="1">
        <f t="array" ref="F9:F104">_xlfn.XLOOKUP(_xlfn.ANCHORARRAY($C9),i.LandAcq!$I$8:$I$20,i.LandAcq!F8:$F$20, 0, 0)</f>
        <v>0</v>
      </c>
      <c r="G9" s="243" cm="1">
        <f t="array" aca="1" ref="G9:G104" ca="1">SUMIF(DATABASE!$S$32:$S$84,_xlfn.ANCHORARRAY( $C9),_xlfn.ANCHORARRAY( DATABASE!$AI32))</f>
        <v>0</v>
      </c>
      <c r="H9" s="243">
        <f t="shared" ref="H9:H72" ca="1" si="0">E9+F9-G9</f>
        <v>0</v>
      </c>
      <c r="J9" s="248">
        <f>mProject!W9</f>
        <v>0</v>
      </c>
      <c r="K9" s="248" cm="1">
        <f t="array" ref="K9:K104">_xlfn.ANCHORARRAY(mProject!X9)</f>
        <v>0</v>
      </c>
      <c r="L9" s="248" cm="1">
        <f t="array" ref="L9:L104">_xlfn.ANCHORARRAY(mProject!AX9)</f>
        <v>245582.42499999999</v>
      </c>
      <c r="M9" s="248" cm="1">
        <f t="array" ref="M9:M368">mProject!BL9:'mProject'!BL368</f>
        <v>30000</v>
      </c>
      <c r="N9" s="248" cm="1">
        <f t="array" ref="N9:N104">_xlfn.ANCHORARRAY(mProject!L9)</f>
        <v>0</v>
      </c>
      <c r="O9" s="248">
        <f>J9+K9+L9+M9-N9</f>
        <v>275582.42499999999</v>
      </c>
      <c r="Q9" s="250" cm="1">
        <f t="array" ref="Q9:Q16">_xlfn.UNIQUE(list_Periods.Yr)</f>
        <v>1</v>
      </c>
      <c r="R9" s="250" cm="1">
        <f t="array" ref="R9:R16">_xlfn.ANCHORARRAY(ADMIN!U9)</f>
        <v>2024</v>
      </c>
      <c r="S9" s="243">
        <f>IF(Q9=0,"",E9)</f>
        <v>0</v>
      </c>
      <c r="T9" s="243" cm="1">
        <f t="array" ref="T9:T16">SUMIF(_xlfn.ANCHORARRAY($A9),_xlfn.ANCHORARRAY($Q9),_xlfn.ANCHORARRAY(F9))</f>
        <v>0</v>
      </c>
      <c r="U9" s="243" cm="1">
        <f t="array" aca="1" ref="U9:U16" ca="1">SUMIF(_xlfn.ANCHORARRAY($A9),_xlfn.ANCHORARRAY($Q9),_xlfn.ANCHORARRAY(G9))</f>
        <v>0</v>
      </c>
      <c r="V9" s="243" cm="1">
        <f t="array" aca="1" ref="V9:V16" ca="1">IF(_xlfn.ANCHORARRAY(Q9)=0,"",T9-U9)</f>
        <v>0</v>
      </c>
      <c r="W9" s="241"/>
      <c r="X9" s="248" cm="1">
        <f t="array" ref="X9:X16">SUMIF(_xlfn.ANCHORARRAY($A9),_xlfn.ANCHORARRAY($Q9),_xlfn.ANCHORARRAY(K9))</f>
        <v>0</v>
      </c>
      <c r="Y9" s="248" cm="1">
        <f t="array" ref="Y9:Y16">SUMIF(_xlfn.ANCHORARRAY($A9),_xlfn.ANCHORARRAY($Q9),_xlfn.ANCHORARRAY(L9))</f>
        <v>2946989.0999999996</v>
      </c>
      <c r="Z9" s="248" cm="1">
        <f t="array" ref="Z9:Z16">SUMIF(_xlfn.ANCHORARRAY($A9),_xlfn.ANCHORARRAY($Q9),_xlfn.ANCHORARRAY(M9))</f>
        <v>360000</v>
      </c>
      <c r="AA9" s="262" cm="1">
        <f t="array" aca="1" ref="AA9:AA16" ca="1">SUMIF(_xlfn.ANCHORARRAY($A9),_xlfn.ANCHORARRAY($Q9),_xlfn.ANCHORARRAY(O9))</f>
        <v>21495429.149999999</v>
      </c>
      <c r="AB9" s="262" cm="1">
        <f t="array" ref="AB9:AB16">SUMIF(_xlfn.ANCHORARRAY($A9),_xlfn.ANCHORARRAY($Q9),_xlfn.ANCHORARRAY(N9))</f>
        <v>0</v>
      </c>
      <c r="AC9" s="262">
        <f ca="1">AA9-AB9</f>
        <v>21495429.149999999</v>
      </c>
    </row>
    <row r="10" spans="1:29" ht="18.75" customHeight="1" thickTop="1" thickBot="1">
      <c r="A10" s="98">
        <v>1</v>
      </c>
      <c r="C10" s="98">
        <v>2</v>
      </c>
      <c r="D10" s="239">
        <v>45323</v>
      </c>
      <c r="E10" s="243">
        <f ca="1">H9</f>
        <v>0</v>
      </c>
      <c r="F10" s="243">
        <v>0</v>
      </c>
      <c r="G10" s="243">
        <f ca="1"/>
        <v>0</v>
      </c>
      <c r="H10" s="243">
        <f t="shared" ca="1" si="0"/>
        <v>0</v>
      </c>
      <c r="J10" s="248">
        <f t="shared" ref="J10:J41" si="1">O9</f>
        <v>275582.42499999999</v>
      </c>
      <c r="K10" s="248">
        <v>0</v>
      </c>
      <c r="L10" s="248">
        <v>245582.42499999999</v>
      </c>
      <c r="M10" s="248">
        <v>30000</v>
      </c>
      <c r="N10" s="248">
        <v>0</v>
      </c>
      <c r="O10" s="248">
        <f t="shared" ref="O10:O73" si="2">J10+K10+L10+M10-N10</f>
        <v>551164.85</v>
      </c>
      <c r="Q10" s="250">
        <v>2</v>
      </c>
      <c r="R10" s="249">
        <v>2025</v>
      </c>
      <c r="S10" s="243">
        <f ca="1">IF(Q10=0,"",V9)</f>
        <v>0</v>
      </c>
      <c r="T10" s="243">
        <v>1500</v>
      </c>
      <c r="U10" s="243">
        <f ca="1"/>
        <v>0</v>
      </c>
      <c r="V10" s="243">
        <f ca="1"/>
        <v>0</v>
      </c>
      <c r="W10" s="241"/>
      <c r="X10" s="248">
        <v>105000000</v>
      </c>
      <c r="Y10" s="248">
        <v>3900825.1766942739</v>
      </c>
      <c r="Z10" s="248">
        <v>1410000</v>
      </c>
      <c r="AA10" s="262">
        <f ca="1"/>
        <v>1334733134.4266939</v>
      </c>
      <c r="AB10" s="262">
        <v>0</v>
      </c>
      <c r="AC10" s="262">
        <f ca="1">AC9+AA10-AB10</f>
        <v>1356228563.576694</v>
      </c>
    </row>
    <row r="11" spans="1:29" ht="18.75" customHeight="1" thickTop="1" thickBot="1">
      <c r="A11" s="98">
        <v>1</v>
      </c>
      <c r="C11" s="98">
        <v>3</v>
      </c>
      <c r="D11" s="239">
        <v>45352</v>
      </c>
      <c r="E11" s="243">
        <f t="shared" ref="E11:E74" ca="1" si="3">H10</f>
        <v>0</v>
      </c>
      <c r="F11" s="243">
        <v>0</v>
      </c>
      <c r="G11" s="243">
        <f ca="1"/>
        <v>0</v>
      </c>
      <c r="H11" s="243">
        <f t="shared" ca="1" si="0"/>
        <v>0</v>
      </c>
      <c r="J11" s="248">
        <f t="shared" si="1"/>
        <v>551164.85</v>
      </c>
      <c r="K11" s="248">
        <v>0</v>
      </c>
      <c r="L11" s="248">
        <v>245582.42499999999</v>
      </c>
      <c r="M11" s="248">
        <v>30000</v>
      </c>
      <c r="N11" s="248">
        <v>0</v>
      </c>
      <c r="O11" s="248">
        <f t="shared" si="2"/>
        <v>826747.27499999991</v>
      </c>
      <c r="Q11" s="250">
        <v>3</v>
      </c>
      <c r="R11" s="249">
        <v>2026</v>
      </c>
      <c r="S11" s="243">
        <f t="shared" ref="S11:S38" ca="1" si="4">IF(Q11=0,"",V10)</f>
        <v>0</v>
      </c>
      <c r="T11" s="243">
        <v>0</v>
      </c>
      <c r="U11" s="243">
        <f ca="1"/>
        <v>104</v>
      </c>
      <c r="V11" s="243">
        <f ca="1"/>
        <v>0</v>
      </c>
      <c r="W11" s="241"/>
      <c r="X11" s="248">
        <v>0</v>
      </c>
      <c r="Y11" s="248">
        <v>11691615.345331291</v>
      </c>
      <c r="Z11" s="248">
        <v>673410.92090413603</v>
      </c>
      <c r="AA11" s="262">
        <f ca="1"/>
        <v>1115585562.0576622</v>
      </c>
      <c r="AB11" s="262">
        <v>30087448.406797066</v>
      </c>
      <c r="AC11" s="262">
        <f ca="1">AC10+AA11-AB11</f>
        <v>2441726677.2275596</v>
      </c>
    </row>
    <row r="12" spans="1:29" ht="18.75" customHeight="1" thickTop="1" thickBot="1">
      <c r="A12" s="98">
        <v>1</v>
      </c>
      <c r="C12" s="98">
        <v>4</v>
      </c>
      <c r="D12" s="239">
        <v>45383</v>
      </c>
      <c r="E12" s="243">
        <f t="shared" ca="1" si="3"/>
        <v>0</v>
      </c>
      <c r="F12" s="243">
        <v>0</v>
      </c>
      <c r="G12" s="243">
        <f ca="1"/>
        <v>0</v>
      </c>
      <c r="H12" s="243">
        <f t="shared" ca="1" si="0"/>
        <v>0</v>
      </c>
      <c r="J12" s="248">
        <f t="shared" si="1"/>
        <v>826747.27499999991</v>
      </c>
      <c r="K12" s="248">
        <v>0</v>
      </c>
      <c r="L12" s="248">
        <v>245582.42499999999</v>
      </c>
      <c r="M12" s="248">
        <v>30000</v>
      </c>
      <c r="N12" s="248">
        <v>0</v>
      </c>
      <c r="O12" s="248">
        <f t="shared" si="2"/>
        <v>1102329.7</v>
      </c>
      <c r="Q12" s="250">
        <v>4</v>
      </c>
      <c r="R12" s="249">
        <v>2027</v>
      </c>
      <c r="S12" s="243">
        <f t="shared" ca="1" si="4"/>
        <v>0</v>
      </c>
      <c r="T12" s="243">
        <v>0</v>
      </c>
      <c r="U12" s="243">
        <f ca="1"/>
        <v>649</v>
      </c>
      <c r="V12" s="243">
        <f ca="1"/>
        <v>0</v>
      </c>
      <c r="W12" s="241"/>
      <c r="X12" s="248">
        <v>0</v>
      </c>
      <c r="Y12" s="248">
        <v>7780687.6262075305</v>
      </c>
      <c r="Z12" s="248">
        <v>2809211.9059132561</v>
      </c>
      <c r="AA12" s="262">
        <f ca="1"/>
        <v>697645399.38608301</v>
      </c>
      <c r="AB12" s="262">
        <v>235124342.96767253</v>
      </c>
      <c r="AC12" s="262">
        <f ca="1">AC11+AA12-AB12</f>
        <v>2904247733.6459703</v>
      </c>
    </row>
    <row r="13" spans="1:29" ht="18.75" customHeight="1" thickTop="1" thickBot="1">
      <c r="A13" s="98">
        <v>1</v>
      </c>
      <c r="C13" s="98">
        <v>5</v>
      </c>
      <c r="D13" s="239">
        <v>45413</v>
      </c>
      <c r="E13" s="243">
        <f t="shared" ca="1" si="3"/>
        <v>0</v>
      </c>
      <c r="F13" s="243">
        <v>0</v>
      </c>
      <c r="G13" s="243">
        <f ca="1"/>
        <v>0</v>
      </c>
      <c r="H13" s="243">
        <f t="shared" ca="1" si="0"/>
        <v>0</v>
      </c>
      <c r="J13" s="248">
        <f t="shared" si="1"/>
        <v>1102329.7</v>
      </c>
      <c r="K13" s="248">
        <v>0</v>
      </c>
      <c r="L13" s="248">
        <v>245582.42499999999</v>
      </c>
      <c r="M13" s="248">
        <v>30000</v>
      </c>
      <c r="N13" s="248">
        <v>0</v>
      </c>
      <c r="O13" s="248">
        <f t="shared" si="2"/>
        <v>1377912.125</v>
      </c>
      <c r="Q13" s="250">
        <v>5</v>
      </c>
      <c r="R13" s="249">
        <v>2028</v>
      </c>
      <c r="S13" s="243">
        <f t="shared" ca="1" si="4"/>
        <v>0</v>
      </c>
      <c r="T13" s="243">
        <v>0</v>
      </c>
      <c r="U13" s="243">
        <f ca="1"/>
        <v>0</v>
      </c>
      <c r="V13" s="243">
        <f ca="1"/>
        <v>0</v>
      </c>
      <c r="W13" s="241"/>
      <c r="X13" s="248">
        <v>0</v>
      </c>
      <c r="Y13" s="248">
        <v>1495769.43582018</v>
      </c>
      <c r="Z13" s="248">
        <v>360000</v>
      </c>
      <c r="AA13" s="262">
        <f ca="1"/>
        <v>-1532828362.5976799</v>
      </c>
      <c r="AB13" s="262">
        <v>0</v>
      </c>
      <c r="AC13" s="262">
        <f ca="1">AC12+AA13-AB13</f>
        <v>1371419371.0482905</v>
      </c>
    </row>
    <row r="14" spans="1:29" ht="18.75" customHeight="1" thickTop="1" thickBot="1">
      <c r="A14" s="98">
        <v>1</v>
      </c>
      <c r="C14" s="98">
        <v>6</v>
      </c>
      <c r="D14" s="239">
        <v>45444</v>
      </c>
      <c r="E14" s="243">
        <f t="shared" ca="1" si="3"/>
        <v>0</v>
      </c>
      <c r="F14" s="243">
        <v>0</v>
      </c>
      <c r="G14" s="243">
        <f ca="1"/>
        <v>0</v>
      </c>
      <c r="H14" s="243">
        <f t="shared" ca="1" si="0"/>
        <v>0</v>
      </c>
      <c r="J14" s="248">
        <f t="shared" si="1"/>
        <v>1377912.125</v>
      </c>
      <c r="K14" s="248">
        <v>0</v>
      </c>
      <c r="L14" s="248">
        <v>245582.42499999999</v>
      </c>
      <c r="M14" s="248">
        <v>30000</v>
      </c>
      <c r="N14" s="248">
        <v>0</v>
      </c>
      <c r="O14" s="248">
        <f t="shared" si="2"/>
        <v>1653494.55</v>
      </c>
      <c r="Q14" s="250">
        <v>6</v>
      </c>
      <c r="R14" s="249">
        <v>2029</v>
      </c>
      <c r="S14" s="243">
        <f t="shared" ca="1" si="4"/>
        <v>0</v>
      </c>
      <c r="T14" s="243">
        <v>0</v>
      </c>
      <c r="U14" s="243">
        <f ca="1"/>
        <v>102</v>
      </c>
      <c r="V14" s="243">
        <f ca="1"/>
        <v>0</v>
      </c>
      <c r="W14" s="241"/>
      <c r="X14" s="248">
        <v>0</v>
      </c>
      <c r="Y14" s="248">
        <v>3834137.5720045115</v>
      </c>
      <c r="Z14" s="248">
        <v>433732.02560003661</v>
      </c>
      <c r="AA14" s="262">
        <f ca="1"/>
        <v>-1500558323.6138663</v>
      </c>
      <c r="AB14" s="262">
        <v>7078274.4576035161</v>
      </c>
      <c r="AC14" s="262">
        <f ca="1">AC13+AA14-AB14</f>
        <v>-136217227.02317935</v>
      </c>
    </row>
    <row r="15" spans="1:29" ht="18.75" customHeight="1" thickTop="1" thickBot="1">
      <c r="A15" s="98">
        <v>1</v>
      </c>
      <c r="C15" s="98">
        <v>7</v>
      </c>
      <c r="D15" s="239">
        <v>45474</v>
      </c>
      <c r="E15" s="243">
        <f t="shared" ca="1" si="3"/>
        <v>0</v>
      </c>
      <c r="F15" s="243">
        <v>0</v>
      </c>
      <c r="G15" s="243">
        <f ca="1"/>
        <v>0</v>
      </c>
      <c r="H15" s="243">
        <f t="shared" ca="1" si="0"/>
        <v>0</v>
      </c>
      <c r="J15" s="248">
        <f t="shared" si="1"/>
        <v>1653494.55</v>
      </c>
      <c r="K15" s="248">
        <v>0</v>
      </c>
      <c r="L15" s="248">
        <v>245582.42499999999</v>
      </c>
      <c r="M15" s="248">
        <v>30000</v>
      </c>
      <c r="N15" s="248">
        <v>0</v>
      </c>
      <c r="O15" s="248">
        <f t="shared" si="2"/>
        <v>1929076.9750000001</v>
      </c>
      <c r="Q15" s="250">
        <v>7</v>
      </c>
      <c r="R15" s="249">
        <v>2030</v>
      </c>
      <c r="S15" s="243">
        <f t="shared" ca="1" si="4"/>
        <v>0</v>
      </c>
      <c r="T15" s="243">
        <v>0</v>
      </c>
      <c r="U15" s="243">
        <f ca="1"/>
        <v>104</v>
      </c>
      <c r="V15" s="243">
        <f ca="1"/>
        <v>0</v>
      </c>
      <c r="W15" s="241"/>
      <c r="X15" s="248">
        <v>0</v>
      </c>
      <c r="Y15" s="248">
        <v>1650673.6182246148</v>
      </c>
      <c r="Z15" s="248">
        <v>594142.00086693303</v>
      </c>
      <c r="AA15" s="262">
        <f ca="1"/>
        <v>-1722700258.8602951</v>
      </c>
      <c r="AB15" s="262">
        <v>22477632.083225571</v>
      </c>
      <c r="AC15" s="262"/>
    </row>
    <row r="16" spans="1:29" ht="18.75" customHeight="1" thickTop="1" thickBot="1">
      <c r="A16" s="98">
        <v>1</v>
      </c>
      <c r="C16" s="98">
        <v>8</v>
      </c>
      <c r="D16" s="239">
        <v>45505</v>
      </c>
      <c r="E16" s="243">
        <f t="shared" ca="1" si="3"/>
        <v>0</v>
      </c>
      <c r="F16" s="243">
        <v>0</v>
      </c>
      <c r="G16" s="243">
        <f ca="1"/>
        <v>0</v>
      </c>
      <c r="H16" s="243">
        <f t="shared" ca="1" si="0"/>
        <v>0</v>
      </c>
      <c r="J16" s="248">
        <f t="shared" si="1"/>
        <v>1929076.9750000001</v>
      </c>
      <c r="K16" s="248">
        <v>0</v>
      </c>
      <c r="L16" s="248">
        <v>245582.42499999999</v>
      </c>
      <c r="M16" s="248">
        <v>30000</v>
      </c>
      <c r="N16" s="248">
        <v>0</v>
      </c>
      <c r="O16" s="248">
        <f t="shared" si="2"/>
        <v>2204659.4</v>
      </c>
      <c r="Q16" s="250">
        <v>8</v>
      </c>
      <c r="R16" s="249">
        <v>2031</v>
      </c>
      <c r="S16" s="243">
        <f t="shared" ca="1" si="4"/>
        <v>0</v>
      </c>
      <c r="T16" s="243">
        <v>0</v>
      </c>
      <c r="U16" s="243">
        <f ca="1"/>
        <v>131</v>
      </c>
      <c r="V16" s="243">
        <f ca="1"/>
        <v>0</v>
      </c>
      <c r="W16" s="241"/>
      <c r="X16" s="248">
        <v>0</v>
      </c>
      <c r="Y16" s="248">
        <v>5934926.4256454343</v>
      </c>
      <c r="Z16" s="248">
        <v>681850.10204272391</v>
      </c>
      <c r="AA16" s="262">
        <f ca="1"/>
        <v>-1787489312.9673243</v>
      </c>
      <c r="AB16" s="262">
        <v>33777609.796101488</v>
      </c>
      <c r="AC16" s="262"/>
    </row>
    <row r="17" spans="1:22" ht="18.75" customHeight="1" thickTop="1" thickBot="1">
      <c r="A17" s="98">
        <v>1</v>
      </c>
      <c r="C17" s="98">
        <v>9</v>
      </c>
      <c r="D17" s="239">
        <v>45536</v>
      </c>
      <c r="E17" s="243">
        <f t="shared" ca="1" si="3"/>
        <v>0</v>
      </c>
      <c r="F17" s="243">
        <v>0</v>
      </c>
      <c r="G17" s="243">
        <f ca="1"/>
        <v>0</v>
      </c>
      <c r="H17" s="243">
        <f t="shared" ca="1" si="0"/>
        <v>0</v>
      </c>
      <c r="J17" s="248">
        <f t="shared" si="1"/>
        <v>2204659.4</v>
      </c>
      <c r="K17" s="248">
        <v>0</v>
      </c>
      <c r="L17" s="248">
        <v>245582.42499999999</v>
      </c>
      <c r="M17" s="248">
        <v>30000</v>
      </c>
      <c r="N17" s="248">
        <v>0</v>
      </c>
      <c r="O17" s="248">
        <f t="shared" si="2"/>
        <v>2480241.8249999997</v>
      </c>
      <c r="Q17" s="250"/>
      <c r="R17" s="249"/>
      <c r="S17" s="243" t="str">
        <f t="shared" si="4"/>
        <v/>
      </c>
      <c r="T17" s="243"/>
      <c r="U17" s="243"/>
      <c r="V17" s="243"/>
    </row>
    <row r="18" spans="1:22" ht="18.75" customHeight="1" thickTop="1" thickBot="1">
      <c r="A18" s="98">
        <v>1</v>
      </c>
      <c r="C18" s="98">
        <v>10</v>
      </c>
      <c r="D18" s="239">
        <v>45566</v>
      </c>
      <c r="E18" s="243">
        <f t="shared" ca="1" si="3"/>
        <v>0</v>
      </c>
      <c r="F18" s="243">
        <v>0</v>
      </c>
      <c r="G18" s="243">
        <f ca="1"/>
        <v>0</v>
      </c>
      <c r="H18" s="243">
        <f t="shared" ca="1" si="0"/>
        <v>0</v>
      </c>
      <c r="J18" s="248">
        <f t="shared" si="1"/>
        <v>2480241.8249999997</v>
      </c>
      <c r="K18" s="248">
        <v>0</v>
      </c>
      <c r="L18" s="248">
        <v>245582.42499999999</v>
      </c>
      <c r="M18" s="248">
        <v>30000</v>
      </c>
      <c r="N18" s="248">
        <v>0</v>
      </c>
      <c r="O18" s="248">
        <f t="shared" si="2"/>
        <v>2755824.2499999995</v>
      </c>
      <c r="Q18" s="250"/>
      <c r="R18" s="249"/>
      <c r="S18" s="243" t="str">
        <f t="shared" si="4"/>
        <v/>
      </c>
      <c r="T18" s="243"/>
      <c r="U18" s="243"/>
      <c r="V18" s="243"/>
    </row>
    <row r="19" spans="1:22" ht="18.75" customHeight="1" thickTop="1" thickBot="1">
      <c r="A19" s="98">
        <v>1</v>
      </c>
      <c r="C19" s="98">
        <v>11</v>
      </c>
      <c r="D19" s="239">
        <v>45597</v>
      </c>
      <c r="E19" s="243">
        <f t="shared" ca="1" si="3"/>
        <v>0</v>
      </c>
      <c r="F19" s="243">
        <v>0</v>
      </c>
      <c r="G19" s="243">
        <f ca="1"/>
        <v>0</v>
      </c>
      <c r="H19" s="243">
        <f t="shared" ca="1" si="0"/>
        <v>0</v>
      </c>
      <c r="J19" s="248">
        <f t="shared" si="1"/>
        <v>2755824.2499999995</v>
      </c>
      <c r="K19" s="248">
        <v>0</v>
      </c>
      <c r="L19" s="248">
        <v>245582.42499999999</v>
      </c>
      <c r="M19" s="248">
        <v>30000</v>
      </c>
      <c r="N19" s="248">
        <v>0</v>
      </c>
      <c r="O19" s="248">
        <f t="shared" si="2"/>
        <v>3031406.6749999993</v>
      </c>
      <c r="Q19" s="250"/>
      <c r="R19" s="249"/>
      <c r="S19" s="243" t="str">
        <f t="shared" si="4"/>
        <v/>
      </c>
      <c r="T19" s="243"/>
      <c r="U19" s="243"/>
      <c r="V19" s="243"/>
    </row>
    <row r="20" spans="1:22" ht="18.75" customHeight="1" thickTop="1" thickBot="1">
      <c r="A20" s="98">
        <v>1</v>
      </c>
      <c r="C20" s="98">
        <v>12</v>
      </c>
      <c r="D20" s="239">
        <v>45627</v>
      </c>
      <c r="E20" s="243">
        <f t="shared" ca="1" si="3"/>
        <v>0</v>
      </c>
      <c r="F20" s="243">
        <v>0</v>
      </c>
      <c r="G20" s="243">
        <f ca="1"/>
        <v>0</v>
      </c>
      <c r="H20" s="243">
        <f t="shared" ca="1" si="0"/>
        <v>0</v>
      </c>
      <c r="J20" s="248">
        <f t="shared" si="1"/>
        <v>3031406.6749999993</v>
      </c>
      <c r="K20" s="248">
        <v>0</v>
      </c>
      <c r="L20" s="248">
        <v>245582.42499999999</v>
      </c>
      <c r="M20" s="248">
        <v>30000</v>
      </c>
      <c r="N20" s="248">
        <v>0</v>
      </c>
      <c r="O20" s="248">
        <f t="shared" si="2"/>
        <v>3306989.0999999992</v>
      </c>
      <c r="Q20" s="250"/>
      <c r="R20" s="249"/>
      <c r="S20" s="243" t="str">
        <f t="shared" si="4"/>
        <v/>
      </c>
      <c r="T20" s="243"/>
      <c r="U20" s="243"/>
      <c r="V20" s="243"/>
    </row>
    <row r="21" spans="1:22" ht="18.75" customHeight="1" thickTop="1" thickBot="1">
      <c r="A21" s="98">
        <v>2</v>
      </c>
      <c r="C21" s="98">
        <v>13</v>
      </c>
      <c r="D21" s="239">
        <v>45658</v>
      </c>
      <c r="E21" s="243">
        <f t="shared" ca="1" si="3"/>
        <v>0</v>
      </c>
      <c r="F21" s="243">
        <v>1500</v>
      </c>
      <c r="G21" s="243">
        <f ca="1"/>
        <v>0</v>
      </c>
      <c r="H21" s="243">
        <f t="shared" ca="1" si="0"/>
        <v>1500</v>
      </c>
      <c r="J21" s="248">
        <f t="shared" si="1"/>
        <v>3306989.0999999992</v>
      </c>
      <c r="K21" s="248">
        <v>105000000</v>
      </c>
      <c r="L21" s="248">
        <v>245582.42499999999</v>
      </c>
      <c r="M21" s="248">
        <v>1080000</v>
      </c>
      <c r="N21" s="248">
        <v>0</v>
      </c>
      <c r="O21" s="248">
        <f t="shared" si="2"/>
        <v>109632571.52499999</v>
      </c>
      <c r="Q21" s="250"/>
      <c r="R21" s="249"/>
      <c r="S21" s="243" t="str">
        <f t="shared" si="4"/>
        <v/>
      </c>
      <c r="T21" s="243"/>
      <c r="U21" s="243"/>
      <c r="V21" s="243"/>
    </row>
    <row r="22" spans="1:22" ht="18.75" customHeight="1" thickTop="1" thickBot="1">
      <c r="A22" s="98">
        <v>2</v>
      </c>
      <c r="C22" s="98">
        <v>14</v>
      </c>
      <c r="D22" s="239">
        <v>45689</v>
      </c>
      <c r="E22" s="243">
        <f t="shared" ca="1" si="3"/>
        <v>1500</v>
      </c>
      <c r="F22" s="243">
        <v>0</v>
      </c>
      <c r="G22" s="243">
        <f ca="1"/>
        <v>0</v>
      </c>
      <c r="H22" s="243">
        <f t="shared" ca="1" si="0"/>
        <v>1500</v>
      </c>
      <c r="J22" s="248">
        <f t="shared" si="1"/>
        <v>109632571.52499999</v>
      </c>
      <c r="K22" s="248">
        <v>0</v>
      </c>
      <c r="L22" s="248">
        <v>245582.42499999999</v>
      </c>
      <c r="M22" s="248">
        <v>30000</v>
      </c>
      <c r="N22" s="248">
        <v>0</v>
      </c>
      <c r="O22" s="248">
        <f t="shared" si="2"/>
        <v>109908153.94999999</v>
      </c>
      <c r="Q22" s="250"/>
      <c r="R22" s="249"/>
      <c r="S22" s="243" t="str">
        <f t="shared" si="4"/>
        <v/>
      </c>
      <c r="T22" s="243"/>
      <c r="U22" s="243"/>
      <c r="V22" s="243"/>
    </row>
    <row r="23" spans="1:22" ht="18.75" customHeight="1" thickTop="1" thickBot="1">
      <c r="A23" s="98">
        <v>2</v>
      </c>
      <c r="C23" s="98">
        <v>15</v>
      </c>
      <c r="D23" s="239">
        <v>45717</v>
      </c>
      <c r="E23" s="243">
        <f t="shared" ca="1" si="3"/>
        <v>1500</v>
      </c>
      <c r="F23" s="243">
        <v>0</v>
      </c>
      <c r="G23" s="243">
        <f ca="1"/>
        <v>0</v>
      </c>
      <c r="H23" s="243">
        <f t="shared" ca="1" si="0"/>
        <v>1500</v>
      </c>
      <c r="J23" s="248">
        <f t="shared" si="1"/>
        <v>109908153.94999999</v>
      </c>
      <c r="K23" s="248">
        <v>0</v>
      </c>
      <c r="L23" s="248">
        <v>245582.42499999999</v>
      </c>
      <c r="M23" s="248">
        <v>30000</v>
      </c>
      <c r="N23" s="248">
        <v>0</v>
      </c>
      <c r="O23" s="248">
        <f t="shared" si="2"/>
        <v>110183736.37499999</v>
      </c>
      <c r="Q23" s="250"/>
      <c r="R23" s="249"/>
      <c r="S23" s="243" t="str">
        <f t="shared" si="4"/>
        <v/>
      </c>
      <c r="T23" s="243"/>
      <c r="U23" s="243"/>
      <c r="V23" s="243"/>
    </row>
    <row r="24" spans="1:22" ht="18.75" customHeight="1" thickTop="1" thickBot="1">
      <c r="A24" s="98">
        <v>2</v>
      </c>
      <c r="C24" s="98">
        <v>16</v>
      </c>
      <c r="D24" s="239">
        <v>45748</v>
      </c>
      <c r="E24" s="243">
        <f t="shared" ca="1" si="3"/>
        <v>1500</v>
      </c>
      <c r="F24" s="243">
        <v>0</v>
      </c>
      <c r="G24" s="243">
        <f ca="1"/>
        <v>0</v>
      </c>
      <c r="H24" s="243">
        <f t="shared" ca="1" si="0"/>
        <v>1500</v>
      </c>
      <c r="J24" s="248">
        <f t="shared" si="1"/>
        <v>110183736.37499999</v>
      </c>
      <c r="K24" s="248">
        <v>0</v>
      </c>
      <c r="L24" s="248">
        <v>245582.42499999999</v>
      </c>
      <c r="M24" s="248">
        <v>30000</v>
      </c>
      <c r="N24" s="248">
        <v>0</v>
      </c>
      <c r="O24" s="248">
        <f t="shared" si="2"/>
        <v>110459318.79999998</v>
      </c>
      <c r="Q24" s="250"/>
      <c r="R24" s="249"/>
      <c r="S24" s="243" t="str">
        <f t="shared" si="4"/>
        <v/>
      </c>
      <c r="T24" s="243"/>
      <c r="U24" s="243"/>
      <c r="V24" s="243"/>
    </row>
    <row r="25" spans="1:22" ht="18.75" customHeight="1" thickTop="1" thickBot="1">
      <c r="A25" s="98">
        <v>2</v>
      </c>
      <c r="C25" s="98">
        <v>17</v>
      </c>
      <c r="D25" s="239">
        <v>45778</v>
      </c>
      <c r="E25" s="243">
        <f t="shared" ca="1" si="3"/>
        <v>1500</v>
      </c>
      <c r="F25" s="243">
        <v>0</v>
      </c>
      <c r="G25" s="243">
        <f ca="1"/>
        <v>0</v>
      </c>
      <c r="H25" s="243">
        <f t="shared" ca="1" si="0"/>
        <v>1500</v>
      </c>
      <c r="J25" s="248">
        <f t="shared" si="1"/>
        <v>110459318.79999998</v>
      </c>
      <c r="K25" s="248">
        <v>0</v>
      </c>
      <c r="L25" s="248">
        <v>245582.42499999999</v>
      </c>
      <c r="M25" s="248">
        <v>30000</v>
      </c>
      <c r="N25" s="248">
        <v>0</v>
      </c>
      <c r="O25" s="248">
        <f t="shared" si="2"/>
        <v>110734901.22499998</v>
      </c>
      <c r="Q25" s="250"/>
      <c r="R25" s="249"/>
      <c r="S25" s="243" t="str">
        <f t="shared" si="4"/>
        <v/>
      </c>
      <c r="T25" s="243"/>
      <c r="U25" s="243"/>
      <c r="V25" s="243"/>
    </row>
    <row r="26" spans="1:22" ht="18.75" customHeight="1" thickTop="1" thickBot="1">
      <c r="A26" s="98">
        <v>2</v>
      </c>
      <c r="C26" s="98">
        <v>18</v>
      </c>
      <c r="D26" s="239">
        <v>45809</v>
      </c>
      <c r="E26" s="243">
        <f t="shared" ca="1" si="3"/>
        <v>1500</v>
      </c>
      <c r="F26" s="243">
        <v>0</v>
      </c>
      <c r="G26" s="243">
        <f ca="1"/>
        <v>0</v>
      </c>
      <c r="H26" s="243">
        <f t="shared" ca="1" si="0"/>
        <v>1500</v>
      </c>
      <c r="J26" s="248">
        <f t="shared" si="1"/>
        <v>110734901.22499998</v>
      </c>
      <c r="K26" s="248">
        <v>0</v>
      </c>
      <c r="L26" s="248">
        <v>245582.42499999999</v>
      </c>
      <c r="M26" s="248">
        <v>30000</v>
      </c>
      <c r="N26" s="248">
        <v>0</v>
      </c>
      <c r="O26" s="248">
        <f t="shared" si="2"/>
        <v>111010483.64999998</v>
      </c>
      <c r="Q26" s="249"/>
      <c r="R26" s="249"/>
      <c r="S26" s="243" t="str">
        <f t="shared" si="4"/>
        <v/>
      </c>
      <c r="T26" s="243"/>
      <c r="U26" s="243"/>
      <c r="V26" s="243"/>
    </row>
    <row r="27" spans="1:22" ht="18.75" customHeight="1" thickTop="1" thickBot="1">
      <c r="A27" s="98">
        <v>2</v>
      </c>
      <c r="C27" s="98">
        <v>19</v>
      </c>
      <c r="D27" s="239">
        <v>45839</v>
      </c>
      <c r="E27" s="243">
        <f t="shared" ca="1" si="3"/>
        <v>1500</v>
      </c>
      <c r="F27" s="243">
        <v>0</v>
      </c>
      <c r="G27" s="243">
        <f ca="1"/>
        <v>0</v>
      </c>
      <c r="H27" s="243">
        <f t="shared" ca="1" si="0"/>
        <v>1500</v>
      </c>
      <c r="J27" s="248">
        <f t="shared" si="1"/>
        <v>111010483.64999998</v>
      </c>
      <c r="K27" s="248">
        <v>0</v>
      </c>
      <c r="L27" s="248">
        <v>245582.42499999999</v>
      </c>
      <c r="M27" s="248">
        <v>30000</v>
      </c>
      <c r="N27" s="248">
        <v>0</v>
      </c>
      <c r="O27" s="248">
        <f t="shared" si="2"/>
        <v>111286066.07499997</v>
      </c>
      <c r="Q27" s="249"/>
      <c r="R27" s="249"/>
      <c r="S27" s="243" t="str">
        <f t="shared" si="4"/>
        <v/>
      </c>
      <c r="T27" s="243"/>
      <c r="U27" s="243"/>
      <c r="V27" s="243"/>
    </row>
    <row r="28" spans="1:22" ht="18.75" customHeight="1" thickTop="1" thickBot="1">
      <c r="A28" s="98">
        <v>2</v>
      </c>
      <c r="C28" s="98">
        <v>20</v>
      </c>
      <c r="D28" s="239">
        <v>45870</v>
      </c>
      <c r="E28" s="243">
        <f t="shared" ca="1" si="3"/>
        <v>1500</v>
      </c>
      <c r="F28" s="243">
        <v>0</v>
      </c>
      <c r="G28" s="243">
        <f ca="1"/>
        <v>0</v>
      </c>
      <c r="H28" s="243">
        <f t="shared" ca="1" si="0"/>
        <v>1500</v>
      </c>
      <c r="J28" s="248">
        <f t="shared" si="1"/>
        <v>111286066.07499997</v>
      </c>
      <c r="K28" s="248">
        <v>0</v>
      </c>
      <c r="L28" s="248">
        <v>245582.42499999999</v>
      </c>
      <c r="M28" s="248">
        <v>30000</v>
      </c>
      <c r="N28" s="248">
        <v>0</v>
      </c>
      <c r="O28" s="248">
        <f t="shared" si="2"/>
        <v>111561648.49999997</v>
      </c>
      <c r="Q28" s="249"/>
      <c r="R28" s="249"/>
      <c r="S28" s="243" t="str">
        <f t="shared" si="4"/>
        <v/>
      </c>
      <c r="T28" s="243"/>
      <c r="U28" s="243"/>
      <c r="V28" s="243"/>
    </row>
    <row r="29" spans="1:22" ht="18.75" customHeight="1" thickTop="1" thickBot="1">
      <c r="A29" s="98">
        <v>2</v>
      </c>
      <c r="C29" s="98">
        <v>21</v>
      </c>
      <c r="D29" s="239">
        <v>45901</v>
      </c>
      <c r="E29" s="243">
        <f t="shared" ca="1" si="3"/>
        <v>1500</v>
      </c>
      <c r="F29" s="243">
        <v>0</v>
      </c>
      <c r="G29" s="243">
        <f ca="1"/>
        <v>0</v>
      </c>
      <c r="H29" s="243">
        <f t="shared" ca="1" si="0"/>
        <v>1500</v>
      </c>
      <c r="J29" s="248">
        <f t="shared" si="1"/>
        <v>111561648.49999997</v>
      </c>
      <c r="K29" s="248">
        <v>0</v>
      </c>
      <c r="L29" s="248">
        <v>245582.42499999999</v>
      </c>
      <c r="M29" s="248">
        <v>30000</v>
      </c>
      <c r="N29" s="248">
        <v>0</v>
      </c>
      <c r="O29" s="248">
        <f t="shared" si="2"/>
        <v>111837230.92499997</v>
      </c>
      <c r="Q29" s="249"/>
      <c r="R29" s="249"/>
      <c r="S29" s="243" t="str">
        <f t="shared" si="4"/>
        <v/>
      </c>
      <c r="T29" s="243"/>
      <c r="U29" s="243"/>
      <c r="V29" s="243"/>
    </row>
    <row r="30" spans="1:22" ht="18.75" customHeight="1" thickTop="1" thickBot="1">
      <c r="A30" s="98">
        <v>2</v>
      </c>
      <c r="C30" s="98">
        <v>22</v>
      </c>
      <c r="D30" s="239">
        <v>45931</v>
      </c>
      <c r="E30" s="243">
        <f t="shared" ca="1" si="3"/>
        <v>1500</v>
      </c>
      <c r="F30" s="243">
        <v>0</v>
      </c>
      <c r="G30" s="243">
        <f ca="1"/>
        <v>0</v>
      </c>
      <c r="H30" s="243">
        <f t="shared" ca="1" si="0"/>
        <v>1500</v>
      </c>
      <c r="J30" s="248">
        <f t="shared" si="1"/>
        <v>111837230.92499997</v>
      </c>
      <c r="K30" s="248">
        <v>0</v>
      </c>
      <c r="L30" s="248">
        <v>245582.42499999999</v>
      </c>
      <c r="M30" s="248">
        <v>30000</v>
      </c>
      <c r="N30" s="248">
        <v>0</v>
      </c>
      <c r="O30" s="248">
        <f t="shared" si="2"/>
        <v>112112813.34999996</v>
      </c>
      <c r="Q30" s="249"/>
      <c r="R30" s="249"/>
      <c r="S30" s="243" t="str">
        <f t="shared" si="4"/>
        <v/>
      </c>
      <c r="T30" s="243"/>
      <c r="U30" s="243"/>
      <c r="V30" s="243"/>
    </row>
    <row r="31" spans="1:22" ht="18.75" customHeight="1" thickTop="1" thickBot="1">
      <c r="A31" s="98">
        <v>2</v>
      </c>
      <c r="C31" s="98">
        <v>23</v>
      </c>
      <c r="D31" s="239">
        <v>45962</v>
      </c>
      <c r="E31" s="243">
        <f t="shared" ca="1" si="3"/>
        <v>1500</v>
      </c>
      <c r="F31" s="243">
        <v>0</v>
      </c>
      <c r="G31" s="243">
        <f ca="1"/>
        <v>0</v>
      </c>
      <c r="H31" s="243">
        <f t="shared" ca="1" si="0"/>
        <v>1500</v>
      </c>
      <c r="J31" s="248">
        <f t="shared" si="1"/>
        <v>112112813.34999996</v>
      </c>
      <c r="K31" s="248">
        <v>0</v>
      </c>
      <c r="L31" s="248">
        <v>245582.42499999999</v>
      </c>
      <c r="M31" s="248">
        <v>30000</v>
      </c>
      <c r="N31" s="248">
        <v>0</v>
      </c>
      <c r="O31" s="248">
        <f t="shared" si="2"/>
        <v>112388395.77499996</v>
      </c>
      <c r="Q31" s="249"/>
      <c r="R31" s="249"/>
      <c r="S31" s="243" t="str">
        <f t="shared" si="4"/>
        <v/>
      </c>
      <c r="T31" s="243"/>
      <c r="U31" s="243"/>
      <c r="V31" s="243"/>
    </row>
    <row r="32" spans="1:22" ht="18.75" customHeight="1" thickTop="1" thickBot="1">
      <c r="A32" s="98">
        <v>2</v>
      </c>
      <c r="C32" s="98">
        <v>24</v>
      </c>
      <c r="D32" s="239">
        <v>45992</v>
      </c>
      <c r="E32" s="243">
        <f t="shared" ca="1" si="3"/>
        <v>1500</v>
      </c>
      <c r="F32" s="243">
        <v>0</v>
      </c>
      <c r="G32" s="243">
        <f ca="1"/>
        <v>0</v>
      </c>
      <c r="H32" s="243">
        <f t="shared" ca="1" si="0"/>
        <v>1500</v>
      </c>
      <c r="J32" s="248">
        <f t="shared" si="1"/>
        <v>112388395.77499996</v>
      </c>
      <c r="K32" s="248">
        <v>0</v>
      </c>
      <c r="L32" s="248">
        <v>1199418.5016942744</v>
      </c>
      <c r="M32" s="248">
        <v>30000</v>
      </c>
      <c r="N32" s="248">
        <v>0</v>
      </c>
      <c r="O32" s="248">
        <f t="shared" si="2"/>
        <v>113617814.27669424</v>
      </c>
      <c r="Q32" s="249"/>
      <c r="R32" s="249"/>
      <c r="S32" s="243" t="str">
        <f t="shared" si="4"/>
        <v/>
      </c>
      <c r="T32" s="243"/>
      <c r="U32" s="243"/>
      <c r="V32" s="243"/>
    </row>
    <row r="33" spans="1:22" ht="18.75" customHeight="1" thickTop="1" thickBot="1">
      <c r="A33" s="98">
        <v>3</v>
      </c>
      <c r="C33" s="98">
        <v>25</v>
      </c>
      <c r="D33" s="239">
        <v>46023</v>
      </c>
      <c r="E33" s="243">
        <f t="shared" ca="1" si="3"/>
        <v>1500</v>
      </c>
      <c r="F33" s="243">
        <v>0</v>
      </c>
      <c r="G33" s="243">
        <f ca="1"/>
        <v>0</v>
      </c>
      <c r="H33" s="243">
        <f t="shared" ca="1" si="0"/>
        <v>1500</v>
      </c>
      <c r="J33" s="248">
        <f t="shared" si="1"/>
        <v>113617814.27669424</v>
      </c>
      <c r="K33" s="248">
        <v>0</v>
      </c>
      <c r="L33" s="248">
        <v>1199418.5016942744</v>
      </c>
      <c r="M33" s="248">
        <v>30000</v>
      </c>
      <c r="N33" s="248">
        <v>0</v>
      </c>
      <c r="O33" s="248">
        <f t="shared" si="2"/>
        <v>114847232.77838852</v>
      </c>
      <c r="Q33" s="249"/>
      <c r="R33" s="249"/>
      <c r="S33" s="243" t="str">
        <f t="shared" si="4"/>
        <v/>
      </c>
      <c r="T33" s="243"/>
      <c r="U33" s="243"/>
      <c r="V33" s="243"/>
    </row>
    <row r="34" spans="1:22" ht="18.75" customHeight="1" thickTop="1" thickBot="1">
      <c r="A34" s="98">
        <v>3</v>
      </c>
      <c r="C34" s="98">
        <v>26</v>
      </c>
      <c r="D34" s="239">
        <v>46054</v>
      </c>
      <c r="E34" s="243">
        <f t="shared" ca="1" si="3"/>
        <v>1500</v>
      </c>
      <c r="F34" s="243">
        <v>0</v>
      </c>
      <c r="G34" s="243">
        <f ca="1"/>
        <v>104</v>
      </c>
      <c r="H34" s="243">
        <f t="shared" ca="1" si="0"/>
        <v>1396</v>
      </c>
      <c r="J34" s="248">
        <f t="shared" si="1"/>
        <v>114847232.77838852</v>
      </c>
      <c r="K34" s="248">
        <v>0</v>
      </c>
      <c r="L34" s="248">
        <v>953836.07669427432</v>
      </c>
      <c r="M34" s="248">
        <v>343410.92090413609</v>
      </c>
      <c r="N34" s="248">
        <v>30087448.406797066</v>
      </c>
      <c r="O34" s="248">
        <f t="shared" si="2"/>
        <v>86057031.369189858</v>
      </c>
      <c r="Q34" s="249"/>
      <c r="R34" s="249"/>
      <c r="S34" s="243" t="str">
        <f t="shared" si="4"/>
        <v/>
      </c>
      <c r="T34" s="243"/>
      <c r="U34" s="243"/>
      <c r="V34" s="243"/>
    </row>
    <row r="35" spans="1:22" ht="18.75" customHeight="1" thickTop="1" thickBot="1">
      <c r="A35" s="98">
        <v>3</v>
      </c>
      <c r="C35" s="98">
        <v>27</v>
      </c>
      <c r="D35" s="239">
        <v>46082</v>
      </c>
      <c r="E35" s="243">
        <f t="shared" ca="1" si="3"/>
        <v>1396</v>
      </c>
      <c r="F35" s="243">
        <v>0</v>
      </c>
      <c r="G35" s="243">
        <f ca="1"/>
        <v>0</v>
      </c>
      <c r="H35" s="243">
        <f t="shared" ca="1" si="0"/>
        <v>1396</v>
      </c>
      <c r="J35" s="248">
        <f t="shared" si="1"/>
        <v>86057031.369189858</v>
      </c>
      <c r="K35" s="248">
        <v>0</v>
      </c>
      <c r="L35" s="248">
        <v>953836.07669427432</v>
      </c>
      <c r="M35" s="248">
        <v>30000</v>
      </c>
      <c r="N35" s="248">
        <v>0</v>
      </c>
      <c r="O35" s="248">
        <f t="shared" si="2"/>
        <v>87040867.445884138</v>
      </c>
      <c r="Q35" s="98"/>
      <c r="R35" s="249"/>
      <c r="S35" s="243" t="str">
        <f t="shared" si="4"/>
        <v/>
      </c>
      <c r="T35" s="243"/>
      <c r="U35" s="243"/>
      <c r="V35" s="243"/>
    </row>
    <row r="36" spans="1:22" ht="18.75" customHeight="1" thickTop="1" thickBot="1">
      <c r="A36" s="98">
        <v>3</v>
      </c>
      <c r="C36" s="98">
        <v>28</v>
      </c>
      <c r="D36" s="239">
        <v>46113</v>
      </c>
      <c r="E36" s="243">
        <f t="shared" ca="1" si="3"/>
        <v>1396</v>
      </c>
      <c r="F36" s="243">
        <v>0</v>
      </c>
      <c r="G36" s="243">
        <f ca="1"/>
        <v>0</v>
      </c>
      <c r="H36" s="243">
        <f t="shared" ca="1" si="0"/>
        <v>1396</v>
      </c>
      <c r="J36" s="248">
        <f t="shared" si="1"/>
        <v>87040867.445884138</v>
      </c>
      <c r="K36" s="248">
        <v>0</v>
      </c>
      <c r="L36" s="248">
        <v>953836.07669427432</v>
      </c>
      <c r="M36" s="248">
        <v>30000</v>
      </c>
      <c r="N36" s="248">
        <v>0</v>
      </c>
      <c r="O36" s="248">
        <f t="shared" si="2"/>
        <v>88024703.522578418</v>
      </c>
      <c r="Q36" s="98"/>
      <c r="R36" s="249"/>
      <c r="S36" s="243" t="str">
        <f t="shared" si="4"/>
        <v/>
      </c>
      <c r="T36" s="243"/>
      <c r="U36" s="243"/>
      <c r="V36" s="243"/>
    </row>
    <row r="37" spans="1:22" ht="18.75" customHeight="1" thickTop="1" thickBot="1">
      <c r="A37" s="98">
        <v>3</v>
      </c>
      <c r="C37" s="98">
        <v>29</v>
      </c>
      <c r="D37" s="239">
        <v>46143</v>
      </c>
      <c r="E37" s="243">
        <f t="shared" ca="1" si="3"/>
        <v>1396</v>
      </c>
      <c r="F37" s="243">
        <v>0</v>
      </c>
      <c r="G37" s="243">
        <f ca="1"/>
        <v>0</v>
      </c>
      <c r="H37" s="243">
        <f t="shared" ca="1" si="0"/>
        <v>1396</v>
      </c>
      <c r="J37" s="248">
        <f t="shared" si="1"/>
        <v>88024703.522578418</v>
      </c>
      <c r="K37" s="248">
        <v>0</v>
      </c>
      <c r="L37" s="248">
        <v>953836.07669427432</v>
      </c>
      <c r="M37" s="248">
        <v>30000</v>
      </c>
      <c r="N37" s="248">
        <v>0</v>
      </c>
      <c r="O37" s="248">
        <f t="shared" si="2"/>
        <v>89008539.599272698</v>
      </c>
      <c r="Q37" s="98"/>
      <c r="R37" s="249"/>
      <c r="S37" s="243" t="str">
        <f t="shared" si="4"/>
        <v/>
      </c>
      <c r="T37" s="243"/>
      <c r="U37" s="243"/>
      <c r="V37" s="243"/>
    </row>
    <row r="38" spans="1:22" ht="18.75" customHeight="1" thickTop="1" thickBot="1">
      <c r="A38" s="98">
        <v>3</v>
      </c>
      <c r="C38" s="98">
        <v>30</v>
      </c>
      <c r="D38" s="239">
        <v>46174</v>
      </c>
      <c r="E38" s="243">
        <f t="shared" ca="1" si="3"/>
        <v>1396</v>
      </c>
      <c r="F38" s="243">
        <v>0</v>
      </c>
      <c r="G38" s="243">
        <f ca="1"/>
        <v>0</v>
      </c>
      <c r="H38" s="243">
        <f t="shared" ca="1" si="0"/>
        <v>1396</v>
      </c>
      <c r="J38" s="248">
        <f t="shared" si="1"/>
        <v>89008539.599272698</v>
      </c>
      <c r="K38" s="248">
        <v>0</v>
      </c>
      <c r="L38" s="248">
        <v>953836.07669427432</v>
      </c>
      <c r="M38" s="248">
        <v>30000</v>
      </c>
      <c r="N38" s="248">
        <v>0</v>
      </c>
      <c r="O38" s="248">
        <f t="shared" si="2"/>
        <v>89992375.675966978</v>
      </c>
      <c r="Q38" s="98"/>
      <c r="R38" s="249"/>
      <c r="S38" s="243" t="str">
        <f t="shared" si="4"/>
        <v/>
      </c>
      <c r="T38" s="243"/>
      <c r="U38" s="243"/>
      <c r="V38" s="243"/>
    </row>
    <row r="39" spans="1:22" ht="18.75" customHeight="1" thickTop="1" thickBot="1">
      <c r="A39" s="98">
        <v>3</v>
      </c>
      <c r="C39" s="98">
        <v>31</v>
      </c>
      <c r="D39" s="239">
        <v>46204</v>
      </c>
      <c r="E39" s="243">
        <f t="shared" ca="1" si="3"/>
        <v>1396</v>
      </c>
      <c r="F39" s="243">
        <v>0</v>
      </c>
      <c r="G39" s="243">
        <f ca="1"/>
        <v>0</v>
      </c>
      <c r="H39" s="243">
        <f t="shared" ca="1" si="0"/>
        <v>1396</v>
      </c>
      <c r="J39" s="248">
        <f t="shared" si="1"/>
        <v>89992375.675966978</v>
      </c>
      <c r="K39" s="248">
        <v>0</v>
      </c>
      <c r="L39" s="248">
        <v>953836.07669427432</v>
      </c>
      <c r="M39" s="248">
        <v>30000</v>
      </c>
      <c r="N39" s="248">
        <v>0</v>
      </c>
      <c r="O39" s="248">
        <f t="shared" si="2"/>
        <v>90976211.752661258</v>
      </c>
      <c r="Q39" s="46"/>
      <c r="R39" s="46"/>
      <c r="S39" s="46"/>
      <c r="T39" s="46"/>
      <c r="U39" s="46"/>
      <c r="V39" s="46"/>
    </row>
    <row r="40" spans="1:22" ht="18.75" customHeight="1" thickTop="1" thickBot="1">
      <c r="A40" s="98">
        <v>3</v>
      </c>
      <c r="C40" s="98">
        <v>32</v>
      </c>
      <c r="D40" s="239">
        <v>46235</v>
      </c>
      <c r="E40" s="243">
        <f t="shared" ca="1" si="3"/>
        <v>1396</v>
      </c>
      <c r="F40" s="243">
        <v>0</v>
      </c>
      <c r="G40" s="243">
        <f ca="1"/>
        <v>0</v>
      </c>
      <c r="H40" s="243">
        <f t="shared" ca="1" si="0"/>
        <v>1396</v>
      </c>
      <c r="J40" s="248">
        <f t="shared" si="1"/>
        <v>90976211.752661258</v>
      </c>
      <c r="K40" s="248">
        <v>0</v>
      </c>
      <c r="L40" s="248">
        <v>953836.07669427432</v>
      </c>
      <c r="M40" s="248">
        <v>30000</v>
      </c>
      <c r="N40" s="248">
        <v>0</v>
      </c>
      <c r="O40" s="248">
        <f t="shared" si="2"/>
        <v>91960047.829355538</v>
      </c>
      <c r="Q40" s="46"/>
      <c r="R40" s="46"/>
      <c r="S40" s="46"/>
      <c r="T40" s="46"/>
      <c r="U40" s="46"/>
      <c r="V40" s="46"/>
    </row>
    <row r="41" spans="1:22" ht="18.75" customHeight="1" thickTop="1" thickBot="1">
      <c r="A41" s="98">
        <v>3</v>
      </c>
      <c r="C41" s="98">
        <v>33</v>
      </c>
      <c r="D41" s="239">
        <v>46266</v>
      </c>
      <c r="E41" s="243">
        <f t="shared" ca="1" si="3"/>
        <v>1396</v>
      </c>
      <c r="F41" s="243">
        <v>0</v>
      </c>
      <c r="G41" s="243">
        <f ca="1"/>
        <v>0</v>
      </c>
      <c r="H41" s="243">
        <f t="shared" ca="1" si="0"/>
        <v>1396</v>
      </c>
      <c r="J41" s="248">
        <f t="shared" si="1"/>
        <v>91960047.829355538</v>
      </c>
      <c r="K41" s="248">
        <v>0</v>
      </c>
      <c r="L41" s="248">
        <v>953836.07669427432</v>
      </c>
      <c r="M41" s="248">
        <v>30000</v>
      </c>
      <c r="N41" s="248">
        <v>0</v>
      </c>
      <c r="O41" s="248">
        <f t="shared" si="2"/>
        <v>92943883.906049818</v>
      </c>
      <c r="Q41" s="28"/>
      <c r="R41" s="28"/>
      <c r="S41" s="28"/>
    </row>
    <row r="42" spans="1:22" ht="18.75" customHeight="1" thickTop="1" thickBot="1">
      <c r="A42" s="98">
        <v>3</v>
      </c>
      <c r="C42" s="98">
        <v>34</v>
      </c>
      <c r="D42" s="239">
        <v>46296</v>
      </c>
      <c r="E42" s="243">
        <f t="shared" ca="1" si="3"/>
        <v>1396</v>
      </c>
      <c r="F42" s="243">
        <v>0</v>
      </c>
      <c r="G42" s="243">
        <f ca="1"/>
        <v>0</v>
      </c>
      <c r="H42" s="243">
        <f t="shared" ca="1" si="0"/>
        <v>1396</v>
      </c>
      <c r="J42" s="248">
        <f t="shared" ref="J42:J74" si="5">O41</f>
        <v>92943883.906049818</v>
      </c>
      <c r="K42" s="248">
        <v>0</v>
      </c>
      <c r="L42" s="248">
        <v>953836.07669427432</v>
      </c>
      <c r="M42" s="248">
        <v>30000</v>
      </c>
      <c r="N42" s="248">
        <v>0</v>
      </c>
      <c r="O42" s="248">
        <f t="shared" si="2"/>
        <v>93927719.982744098</v>
      </c>
      <c r="Q42" s="28"/>
      <c r="R42" s="28"/>
      <c r="S42" s="28"/>
      <c r="U42" s="28"/>
      <c r="V42" s="28"/>
    </row>
    <row r="43" spans="1:22" ht="18.75" customHeight="1" thickTop="1" thickBot="1">
      <c r="A43" s="98">
        <v>3</v>
      </c>
      <c r="C43" s="98">
        <v>35</v>
      </c>
      <c r="D43" s="239">
        <v>46327</v>
      </c>
      <c r="E43" s="243">
        <f t="shared" ca="1" si="3"/>
        <v>1396</v>
      </c>
      <c r="F43" s="243">
        <v>0</v>
      </c>
      <c r="G43" s="243">
        <f ca="1"/>
        <v>0</v>
      </c>
      <c r="H43" s="243">
        <f t="shared" ca="1" si="0"/>
        <v>1396</v>
      </c>
      <c r="J43" s="248">
        <f t="shared" si="5"/>
        <v>93927719.982744098</v>
      </c>
      <c r="K43" s="248">
        <v>0</v>
      </c>
      <c r="L43" s="248">
        <v>953836.07669427432</v>
      </c>
      <c r="M43" s="248">
        <v>30000</v>
      </c>
      <c r="N43" s="248">
        <v>0</v>
      </c>
      <c r="O43" s="248">
        <f t="shared" si="2"/>
        <v>94911556.059438378</v>
      </c>
      <c r="Q43" s="96"/>
      <c r="R43" s="96"/>
      <c r="S43" s="96"/>
      <c r="U43" s="342"/>
      <c r="V43" s="96"/>
    </row>
    <row r="44" spans="1:22" ht="18.75" customHeight="1" thickTop="1" thickBot="1">
      <c r="A44" s="98">
        <v>3</v>
      </c>
      <c r="C44" s="98">
        <v>36</v>
      </c>
      <c r="D44" s="239">
        <v>46357</v>
      </c>
      <c r="E44" s="243">
        <f t="shared" ca="1" si="3"/>
        <v>1396</v>
      </c>
      <c r="F44" s="243">
        <v>0</v>
      </c>
      <c r="G44" s="243">
        <f ca="1"/>
        <v>0</v>
      </c>
      <c r="H44" s="243">
        <f t="shared" ca="1" si="0"/>
        <v>1396</v>
      </c>
      <c r="J44" s="248">
        <f t="shared" si="5"/>
        <v>94911556.059438378</v>
      </c>
      <c r="K44" s="248">
        <v>0</v>
      </c>
      <c r="L44" s="248">
        <v>953836.07669427432</v>
      </c>
      <c r="M44" s="248">
        <v>30000</v>
      </c>
      <c r="N44" s="248">
        <v>0</v>
      </c>
      <c r="O44" s="248">
        <f t="shared" si="2"/>
        <v>95895392.136132658</v>
      </c>
      <c r="Q44" s="96"/>
      <c r="R44" s="96"/>
      <c r="S44" s="96"/>
      <c r="U44" s="342"/>
      <c r="V44" s="96"/>
    </row>
    <row r="45" spans="1:22" ht="18.75" customHeight="1" thickTop="1" thickBot="1">
      <c r="A45" s="98">
        <v>4</v>
      </c>
      <c r="C45" s="98">
        <v>37</v>
      </c>
      <c r="D45" s="239">
        <v>46388</v>
      </c>
      <c r="E45" s="243">
        <f t="shared" ca="1" si="3"/>
        <v>1396</v>
      </c>
      <c r="F45" s="243">
        <v>0</v>
      </c>
      <c r="G45" s="243">
        <f ca="1"/>
        <v>0</v>
      </c>
      <c r="H45" s="243">
        <f t="shared" ca="1" si="0"/>
        <v>1396</v>
      </c>
      <c r="J45" s="248">
        <f t="shared" si="5"/>
        <v>95895392.136132658</v>
      </c>
      <c r="K45" s="248">
        <v>0</v>
      </c>
      <c r="L45" s="248">
        <v>953836.07669427432</v>
      </c>
      <c r="M45" s="248">
        <v>30000</v>
      </c>
      <c r="N45" s="248">
        <v>0</v>
      </c>
      <c r="O45" s="248">
        <f t="shared" si="2"/>
        <v>96879228.212826937</v>
      </c>
      <c r="Q45" s="96"/>
      <c r="R45" s="96"/>
      <c r="S45" s="96"/>
      <c r="U45" s="342"/>
      <c r="V45" s="96"/>
    </row>
    <row r="46" spans="1:22" ht="18.75" customHeight="1" thickTop="1" thickBot="1">
      <c r="A46" s="98">
        <v>4</v>
      </c>
      <c r="C46" s="98">
        <v>38</v>
      </c>
      <c r="D46" s="239">
        <v>46419</v>
      </c>
      <c r="E46" s="243">
        <f t="shared" ca="1" si="3"/>
        <v>1396</v>
      </c>
      <c r="F46" s="243">
        <v>0</v>
      </c>
      <c r="G46" s="243">
        <f ca="1"/>
        <v>0</v>
      </c>
      <c r="H46" s="243">
        <f t="shared" ca="1" si="0"/>
        <v>1396</v>
      </c>
      <c r="J46" s="248">
        <f t="shared" si="5"/>
        <v>96879228.212826937</v>
      </c>
      <c r="K46" s="248">
        <v>0</v>
      </c>
      <c r="L46" s="248">
        <v>953836.07669427432</v>
      </c>
      <c r="M46" s="248">
        <v>30000</v>
      </c>
      <c r="N46" s="248">
        <v>0</v>
      </c>
      <c r="O46" s="248">
        <f t="shared" si="2"/>
        <v>97863064.289521217</v>
      </c>
      <c r="Q46" s="96"/>
      <c r="R46" s="96"/>
      <c r="S46" s="96"/>
    </row>
    <row r="47" spans="1:22" ht="18.75" customHeight="1" thickTop="1" thickBot="1">
      <c r="A47" s="98">
        <v>4</v>
      </c>
      <c r="C47" s="98">
        <v>39</v>
      </c>
      <c r="D47" s="239">
        <v>46447</v>
      </c>
      <c r="E47" s="243">
        <f t="shared" ca="1" si="3"/>
        <v>1396</v>
      </c>
      <c r="F47" s="243">
        <v>0</v>
      </c>
      <c r="G47" s="243">
        <f ca="1"/>
        <v>0</v>
      </c>
      <c r="H47" s="243">
        <f t="shared" ca="1" si="0"/>
        <v>1396</v>
      </c>
      <c r="J47" s="248">
        <f t="shared" si="5"/>
        <v>97863064.289521217</v>
      </c>
      <c r="K47" s="248">
        <v>0</v>
      </c>
      <c r="L47" s="248">
        <v>953836.07669427432</v>
      </c>
      <c r="M47" s="248">
        <v>30000</v>
      </c>
      <c r="N47" s="248">
        <v>0</v>
      </c>
      <c r="O47" s="248">
        <f t="shared" si="2"/>
        <v>98846900.366215497</v>
      </c>
      <c r="Q47" s="96"/>
      <c r="R47" s="96"/>
      <c r="S47" s="96"/>
    </row>
    <row r="48" spans="1:22" ht="18.75" customHeight="1" thickTop="1" thickBot="1">
      <c r="A48" s="98">
        <v>4</v>
      </c>
      <c r="C48" s="98">
        <v>40</v>
      </c>
      <c r="D48" s="239">
        <v>46478</v>
      </c>
      <c r="E48" s="243">
        <f t="shared" ca="1" si="3"/>
        <v>1396</v>
      </c>
      <c r="F48" s="243">
        <v>0</v>
      </c>
      <c r="G48" s="243">
        <f ca="1"/>
        <v>0</v>
      </c>
      <c r="H48" s="243">
        <f t="shared" ca="1" si="0"/>
        <v>1396</v>
      </c>
      <c r="J48" s="248">
        <f t="shared" si="5"/>
        <v>98846900.366215497</v>
      </c>
      <c r="K48" s="248">
        <v>0</v>
      </c>
      <c r="L48" s="248">
        <v>953836.07669427432</v>
      </c>
      <c r="M48" s="248">
        <v>30000</v>
      </c>
      <c r="N48" s="248">
        <v>0</v>
      </c>
      <c r="O48" s="248">
        <f t="shared" si="2"/>
        <v>99830736.442909777</v>
      </c>
      <c r="Q48" s="96"/>
      <c r="R48" s="96"/>
      <c r="S48" s="96"/>
    </row>
    <row r="49" spans="1:15" ht="18.75" customHeight="1" thickTop="1" thickBot="1">
      <c r="A49" s="98">
        <v>4</v>
      </c>
      <c r="C49" s="98">
        <v>41</v>
      </c>
      <c r="D49" s="239">
        <v>46508</v>
      </c>
      <c r="E49" s="243">
        <f t="shared" ca="1" si="3"/>
        <v>1396</v>
      </c>
      <c r="F49" s="243">
        <v>0</v>
      </c>
      <c r="G49" s="243">
        <f ca="1"/>
        <v>0</v>
      </c>
      <c r="H49" s="243">
        <f t="shared" ca="1" si="0"/>
        <v>1396</v>
      </c>
      <c r="J49" s="248">
        <f t="shared" si="5"/>
        <v>99830736.442909777</v>
      </c>
      <c r="K49" s="248">
        <v>0</v>
      </c>
      <c r="L49" s="248">
        <v>953836.07669427432</v>
      </c>
      <c r="M49" s="248">
        <v>30000</v>
      </c>
      <c r="N49" s="248">
        <v>0</v>
      </c>
      <c r="O49" s="248">
        <f t="shared" si="2"/>
        <v>100814572.51960406</v>
      </c>
    </row>
    <row r="50" spans="1:15" ht="16" thickTop="1" thickBot="1">
      <c r="A50" s="98">
        <v>4</v>
      </c>
      <c r="C50" s="98">
        <v>42</v>
      </c>
      <c r="D50" s="239">
        <v>46539</v>
      </c>
      <c r="E50" s="243">
        <f t="shared" ca="1" si="3"/>
        <v>1396</v>
      </c>
      <c r="F50" s="243">
        <v>0</v>
      </c>
      <c r="G50" s="243">
        <f ca="1"/>
        <v>147</v>
      </c>
      <c r="H50" s="243">
        <f t="shared" ca="1" si="0"/>
        <v>1249</v>
      </c>
      <c r="J50" s="248">
        <f t="shared" si="5"/>
        <v>100814572.51960406</v>
      </c>
      <c r="K50" s="248">
        <v>0</v>
      </c>
      <c r="L50" s="248">
        <v>484229.78399257042</v>
      </c>
      <c r="M50" s="248">
        <v>527607.56443340983</v>
      </c>
      <c r="N50" s="248">
        <v>47770326.185607359</v>
      </c>
      <c r="O50" s="248">
        <f t="shared" si="2"/>
        <v>54056083.682422683</v>
      </c>
    </row>
    <row r="51" spans="1:15" ht="16" thickTop="1" thickBot="1">
      <c r="A51" s="98">
        <v>4</v>
      </c>
      <c r="C51" s="98">
        <v>43</v>
      </c>
      <c r="D51" s="239">
        <v>46569</v>
      </c>
      <c r="E51" s="243">
        <f t="shared" ca="1" si="3"/>
        <v>1249</v>
      </c>
      <c r="F51" s="243">
        <v>0</v>
      </c>
      <c r="G51" s="243">
        <f ca="1"/>
        <v>0</v>
      </c>
      <c r="H51" s="243">
        <f t="shared" ca="1" si="0"/>
        <v>1249</v>
      </c>
      <c r="J51" s="248">
        <f t="shared" si="5"/>
        <v>54056083.682422683</v>
      </c>
      <c r="K51" s="248">
        <v>0</v>
      </c>
      <c r="L51" s="248">
        <v>484229.78399257042</v>
      </c>
      <c r="M51" s="248">
        <v>30000</v>
      </c>
      <c r="N51" s="248">
        <v>0</v>
      </c>
      <c r="O51" s="248">
        <f t="shared" si="2"/>
        <v>54570313.466415256</v>
      </c>
    </row>
    <row r="52" spans="1:15" ht="16" thickTop="1" thickBot="1">
      <c r="A52" s="98">
        <v>4</v>
      </c>
      <c r="C52" s="98">
        <v>44</v>
      </c>
      <c r="D52" s="239">
        <v>46600</v>
      </c>
      <c r="E52" s="243">
        <f t="shared" ca="1" si="3"/>
        <v>1249</v>
      </c>
      <c r="F52" s="243">
        <v>0</v>
      </c>
      <c r="G52" s="243">
        <f ca="1"/>
        <v>0</v>
      </c>
      <c r="H52" s="243">
        <f t="shared" ca="1" si="0"/>
        <v>1249</v>
      </c>
      <c r="J52" s="248">
        <f t="shared" si="5"/>
        <v>54570313.466415256</v>
      </c>
      <c r="K52" s="248">
        <v>0</v>
      </c>
      <c r="L52" s="248">
        <v>484229.78399257042</v>
      </c>
      <c r="M52" s="248">
        <v>30000</v>
      </c>
      <c r="N52" s="248">
        <v>0</v>
      </c>
      <c r="O52" s="248">
        <f t="shared" si="2"/>
        <v>55084543.25040783</v>
      </c>
    </row>
    <row r="53" spans="1:15" ht="16" thickTop="1" thickBot="1">
      <c r="A53" s="98">
        <v>4</v>
      </c>
      <c r="C53" s="98">
        <v>45</v>
      </c>
      <c r="D53" s="239">
        <v>46631</v>
      </c>
      <c r="E53" s="243">
        <f t="shared" ca="1" si="3"/>
        <v>1249</v>
      </c>
      <c r="F53" s="243">
        <v>0</v>
      </c>
      <c r="G53" s="243">
        <f ca="1"/>
        <v>0</v>
      </c>
      <c r="H53" s="243">
        <f t="shared" ca="1" si="0"/>
        <v>1249</v>
      </c>
      <c r="J53" s="248">
        <f t="shared" si="5"/>
        <v>55084543.25040783</v>
      </c>
      <c r="K53" s="248">
        <v>0</v>
      </c>
      <c r="L53" s="248">
        <v>484229.78399257042</v>
      </c>
      <c r="M53" s="248">
        <v>30000</v>
      </c>
      <c r="N53" s="248">
        <v>0</v>
      </c>
      <c r="O53" s="248">
        <f t="shared" si="2"/>
        <v>55598773.034400403</v>
      </c>
    </row>
    <row r="54" spans="1:15" ht="16" thickTop="1" thickBot="1">
      <c r="A54" s="98">
        <v>4</v>
      </c>
      <c r="C54" s="98">
        <v>46</v>
      </c>
      <c r="D54" s="239">
        <v>46661</v>
      </c>
      <c r="E54" s="243">
        <f t="shared" ca="1" si="3"/>
        <v>1249</v>
      </c>
      <c r="F54" s="243">
        <v>0</v>
      </c>
      <c r="G54" s="243">
        <f ca="1"/>
        <v>0</v>
      </c>
      <c r="H54" s="243">
        <f t="shared" ca="1" si="0"/>
        <v>1249</v>
      </c>
      <c r="J54" s="248">
        <f t="shared" si="5"/>
        <v>55598773.034400403</v>
      </c>
      <c r="K54" s="248">
        <v>0</v>
      </c>
      <c r="L54" s="248">
        <v>484229.78399257042</v>
      </c>
      <c r="M54" s="248">
        <v>30000</v>
      </c>
      <c r="N54" s="248">
        <v>0</v>
      </c>
      <c r="O54" s="248">
        <f t="shared" si="2"/>
        <v>56113002.818392977</v>
      </c>
    </row>
    <row r="55" spans="1:15" ht="16" thickTop="1" thickBot="1">
      <c r="A55" s="98">
        <v>4</v>
      </c>
      <c r="C55" s="98">
        <v>47</v>
      </c>
      <c r="D55" s="239">
        <v>46692</v>
      </c>
      <c r="E55" s="243">
        <f t="shared" ca="1" si="3"/>
        <v>1249</v>
      </c>
      <c r="F55" s="243">
        <v>0</v>
      </c>
      <c r="G55" s="243">
        <f ca="1"/>
        <v>0</v>
      </c>
      <c r="H55" s="243">
        <f t="shared" ca="1" si="0"/>
        <v>1249</v>
      </c>
      <c r="J55" s="248">
        <f t="shared" si="5"/>
        <v>56113002.818392977</v>
      </c>
      <c r="K55" s="248">
        <v>0</v>
      </c>
      <c r="L55" s="248">
        <v>484229.78399257042</v>
      </c>
      <c r="M55" s="248">
        <v>30000</v>
      </c>
      <c r="N55" s="248">
        <v>0</v>
      </c>
      <c r="O55" s="248">
        <f t="shared" si="2"/>
        <v>56627232.602385551</v>
      </c>
    </row>
    <row r="56" spans="1:15" ht="16" thickTop="1" thickBot="1">
      <c r="A56" s="98">
        <v>4</v>
      </c>
      <c r="C56" s="98">
        <v>48</v>
      </c>
      <c r="D56" s="239">
        <v>46722</v>
      </c>
      <c r="E56" s="243">
        <f t="shared" ca="1" si="3"/>
        <v>1249</v>
      </c>
      <c r="F56" s="243">
        <v>0</v>
      </c>
      <c r="G56" s="243">
        <f ca="1"/>
        <v>502</v>
      </c>
      <c r="H56" s="243">
        <f t="shared" ca="1" si="0"/>
        <v>747</v>
      </c>
      <c r="J56" s="248">
        <f t="shared" si="5"/>
        <v>56627232.602385551</v>
      </c>
      <c r="K56" s="248">
        <v>0</v>
      </c>
      <c r="L56" s="248">
        <v>106128.53878073423</v>
      </c>
      <c r="M56" s="248">
        <v>1981604.341479846</v>
      </c>
      <c r="N56" s="248">
        <v>187354016.78206518</v>
      </c>
      <c r="O56" s="248">
        <f t="shared" si="2"/>
        <v>-128639051.29941905</v>
      </c>
    </row>
    <row r="57" spans="1:15" ht="16" thickTop="1" thickBot="1">
      <c r="A57" s="98">
        <v>5</v>
      </c>
      <c r="C57" s="98">
        <v>49</v>
      </c>
      <c r="D57" s="239">
        <v>46753</v>
      </c>
      <c r="E57" s="243">
        <f t="shared" ca="1" si="3"/>
        <v>747</v>
      </c>
      <c r="F57" s="243">
        <v>0</v>
      </c>
      <c r="G57" s="243">
        <f ca="1"/>
        <v>0</v>
      </c>
      <c r="H57" s="243">
        <f t="shared" ca="1" si="0"/>
        <v>747</v>
      </c>
      <c r="J57" s="248">
        <f t="shared" si="5"/>
        <v>-128639051.29941905</v>
      </c>
      <c r="K57" s="248">
        <v>0</v>
      </c>
      <c r="L57" s="248">
        <v>106128.53878073423</v>
      </c>
      <c r="M57" s="248">
        <v>30000</v>
      </c>
      <c r="N57" s="248">
        <v>0</v>
      </c>
      <c r="O57" s="248">
        <f t="shared" si="2"/>
        <v>-128502922.76063831</v>
      </c>
    </row>
    <row r="58" spans="1:15" ht="16" thickTop="1" thickBot="1">
      <c r="A58" s="98">
        <v>5</v>
      </c>
      <c r="C58" s="98">
        <v>50</v>
      </c>
      <c r="D58" s="239">
        <v>46784</v>
      </c>
      <c r="E58" s="243">
        <f t="shared" ca="1" si="3"/>
        <v>747</v>
      </c>
      <c r="F58" s="243">
        <v>0</v>
      </c>
      <c r="G58" s="243">
        <f ca="1"/>
        <v>0</v>
      </c>
      <c r="H58" s="243">
        <f t="shared" ca="1" si="0"/>
        <v>747</v>
      </c>
      <c r="J58" s="248">
        <f t="shared" si="5"/>
        <v>-128502922.76063831</v>
      </c>
      <c r="K58" s="248">
        <v>0</v>
      </c>
      <c r="L58" s="248">
        <v>106128.53878073423</v>
      </c>
      <c r="M58" s="248">
        <v>30000</v>
      </c>
      <c r="N58" s="248">
        <v>0</v>
      </c>
      <c r="O58" s="248">
        <f t="shared" si="2"/>
        <v>-128366794.22185758</v>
      </c>
    </row>
    <row r="59" spans="1:15" ht="16" thickTop="1" thickBot="1">
      <c r="A59" s="98">
        <v>5</v>
      </c>
      <c r="C59" s="98">
        <v>51</v>
      </c>
      <c r="D59" s="239">
        <v>46813</v>
      </c>
      <c r="E59" s="243">
        <f t="shared" ca="1" si="3"/>
        <v>747</v>
      </c>
      <c r="F59" s="243">
        <v>0</v>
      </c>
      <c r="G59" s="243">
        <f ca="1"/>
        <v>0</v>
      </c>
      <c r="H59" s="243">
        <f t="shared" ca="1" si="0"/>
        <v>747</v>
      </c>
      <c r="J59" s="248">
        <f t="shared" si="5"/>
        <v>-128366794.22185758</v>
      </c>
      <c r="K59" s="248">
        <v>0</v>
      </c>
      <c r="L59" s="248">
        <v>106128.53878073423</v>
      </c>
      <c r="M59" s="248">
        <v>30000</v>
      </c>
      <c r="N59" s="248">
        <v>0</v>
      </c>
      <c r="O59" s="248">
        <f t="shared" si="2"/>
        <v>-128230665.68307684</v>
      </c>
    </row>
    <row r="60" spans="1:15" ht="16" thickTop="1" thickBot="1">
      <c r="A60" s="98">
        <v>5</v>
      </c>
      <c r="C60" s="98">
        <v>52</v>
      </c>
      <c r="D60" s="239">
        <v>46844</v>
      </c>
      <c r="E60" s="243">
        <f t="shared" ca="1" si="3"/>
        <v>747</v>
      </c>
      <c r="F60" s="243">
        <v>0</v>
      </c>
      <c r="G60" s="243">
        <f ca="1"/>
        <v>0</v>
      </c>
      <c r="H60" s="243">
        <f t="shared" ca="1" si="0"/>
        <v>747</v>
      </c>
      <c r="J60" s="248">
        <f t="shared" si="5"/>
        <v>-128230665.68307684</v>
      </c>
      <c r="K60" s="248">
        <v>0</v>
      </c>
      <c r="L60" s="248">
        <v>106128.53878073423</v>
      </c>
      <c r="M60" s="248">
        <v>30000</v>
      </c>
      <c r="N60" s="248">
        <v>0</v>
      </c>
      <c r="O60" s="248">
        <f t="shared" si="2"/>
        <v>-128094537.14429611</v>
      </c>
    </row>
    <row r="61" spans="1:15" ht="16" thickTop="1" thickBot="1">
      <c r="A61" s="98">
        <v>5</v>
      </c>
      <c r="C61" s="98">
        <v>53</v>
      </c>
      <c r="D61" s="239">
        <v>46874</v>
      </c>
      <c r="E61" s="243">
        <f t="shared" ca="1" si="3"/>
        <v>747</v>
      </c>
      <c r="F61" s="243">
        <v>0</v>
      </c>
      <c r="G61" s="243">
        <f ca="1"/>
        <v>0</v>
      </c>
      <c r="H61" s="243">
        <f t="shared" ca="1" si="0"/>
        <v>747</v>
      </c>
      <c r="J61" s="248">
        <f t="shared" si="5"/>
        <v>-128094537.14429611</v>
      </c>
      <c r="K61" s="248">
        <v>0</v>
      </c>
      <c r="L61" s="248">
        <v>106128.53878073423</v>
      </c>
      <c r="M61" s="248">
        <v>30000</v>
      </c>
      <c r="N61" s="248">
        <v>0</v>
      </c>
      <c r="O61" s="248">
        <f t="shared" si="2"/>
        <v>-127958408.60551538</v>
      </c>
    </row>
    <row r="62" spans="1:15" ht="16" thickTop="1" thickBot="1">
      <c r="A62" s="98">
        <v>5</v>
      </c>
      <c r="C62" s="98">
        <v>54</v>
      </c>
      <c r="D62" s="239">
        <v>46905</v>
      </c>
      <c r="E62" s="243">
        <f t="shared" ca="1" si="3"/>
        <v>747</v>
      </c>
      <c r="F62" s="243">
        <v>0</v>
      </c>
      <c r="G62" s="243">
        <f ca="1"/>
        <v>0</v>
      </c>
      <c r="H62" s="243">
        <f t="shared" ca="1" si="0"/>
        <v>747</v>
      </c>
      <c r="J62" s="248">
        <f t="shared" si="5"/>
        <v>-127958408.60551538</v>
      </c>
      <c r="K62" s="248">
        <v>0</v>
      </c>
      <c r="L62" s="248">
        <v>106128.53878073423</v>
      </c>
      <c r="M62" s="248">
        <v>30000</v>
      </c>
      <c r="N62" s="248">
        <v>0</v>
      </c>
      <c r="O62" s="248">
        <f t="shared" si="2"/>
        <v>-127822280.06673464</v>
      </c>
    </row>
    <row r="63" spans="1:15" ht="16" thickTop="1" thickBot="1">
      <c r="A63" s="98">
        <v>5</v>
      </c>
      <c r="C63" s="98">
        <v>55</v>
      </c>
      <c r="D63" s="239">
        <v>46935</v>
      </c>
      <c r="E63" s="243">
        <f t="shared" ca="1" si="3"/>
        <v>747</v>
      </c>
      <c r="F63" s="243">
        <v>0</v>
      </c>
      <c r="G63" s="243">
        <f ca="1"/>
        <v>0</v>
      </c>
      <c r="H63" s="243">
        <f t="shared" ca="1" si="0"/>
        <v>747</v>
      </c>
      <c r="J63" s="248">
        <f t="shared" si="5"/>
        <v>-127822280.06673464</v>
      </c>
      <c r="K63" s="248">
        <v>0</v>
      </c>
      <c r="L63" s="248">
        <v>106128.53878073423</v>
      </c>
      <c r="M63" s="248">
        <v>30000</v>
      </c>
      <c r="N63" s="248">
        <v>0</v>
      </c>
      <c r="O63" s="248">
        <f t="shared" si="2"/>
        <v>-127686151.52795391</v>
      </c>
    </row>
    <row r="64" spans="1:15" ht="16" thickTop="1" thickBot="1">
      <c r="A64" s="98">
        <v>5</v>
      </c>
      <c r="C64" s="98">
        <v>56</v>
      </c>
      <c r="D64" s="239">
        <v>46966</v>
      </c>
      <c r="E64" s="243">
        <f t="shared" ca="1" si="3"/>
        <v>747</v>
      </c>
      <c r="F64" s="243">
        <v>0</v>
      </c>
      <c r="G64" s="243">
        <f ca="1"/>
        <v>0</v>
      </c>
      <c r="H64" s="243">
        <f t="shared" ca="1" si="0"/>
        <v>747</v>
      </c>
      <c r="J64" s="248">
        <f t="shared" si="5"/>
        <v>-127686151.52795391</v>
      </c>
      <c r="K64" s="248">
        <v>0</v>
      </c>
      <c r="L64" s="248">
        <v>106128.53878073423</v>
      </c>
      <c r="M64" s="248">
        <v>30000</v>
      </c>
      <c r="N64" s="248">
        <v>0</v>
      </c>
      <c r="O64" s="248">
        <f t="shared" si="2"/>
        <v>-127550022.98917317</v>
      </c>
    </row>
    <row r="65" spans="1:15" ht="16" thickTop="1" thickBot="1">
      <c r="A65" s="98">
        <v>5</v>
      </c>
      <c r="C65" s="98">
        <v>57</v>
      </c>
      <c r="D65" s="239">
        <v>46997</v>
      </c>
      <c r="E65" s="243">
        <f t="shared" ca="1" si="3"/>
        <v>747</v>
      </c>
      <c r="F65" s="243">
        <v>0</v>
      </c>
      <c r="G65" s="243">
        <f ca="1"/>
        <v>0</v>
      </c>
      <c r="H65" s="243">
        <f t="shared" ca="1" si="0"/>
        <v>747</v>
      </c>
      <c r="J65" s="248">
        <f t="shared" si="5"/>
        <v>-127550022.98917317</v>
      </c>
      <c r="K65" s="248">
        <v>0</v>
      </c>
      <c r="L65" s="248">
        <v>106128.53878073423</v>
      </c>
      <c r="M65" s="248">
        <v>30000</v>
      </c>
      <c r="N65" s="248">
        <v>0</v>
      </c>
      <c r="O65" s="248">
        <f t="shared" si="2"/>
        <v>-127413894.45039244</v>
      </c>
    </row>
    <row r="66" spans="1:15" ht="16" thickTop="1" thickBot="1">
      <c r="A66" s="98">
        <v>5</v>
      </c>
      <c r="C66" s="98">
        <v>58</v>
      </c>
      <c r="D66" s="239">
        <v>47027</v>
      </c>
      <c r="E66" s="243">
        <f t="shared" ca="1" si="3"/>
        <v>747</v>
      </c>
      <c r="F66" s="243">
        <v>0</v>
      </c>
      <c r="G66" s="243">
        <f ca="1"/>
        <v>0</v>
      </c>
      <c r="H66" s="243">
        <f t="shared" ca="1" si="0"/>
        <v>747</v>
      </c>
      <c r="J66" s="248">
        <f t="shared" si="5"/>
        <v>-127413894.45039244</v>
      </c>
      <c r="K66" s="248">
        <v>0</v>
      </c>
      <c r="L66" s="248">
        <v>106128.53878073423</v>
      </c>
      <c r="M66" s="248">
        <v>30000</v>
      </c>
      <c r="N66" s="248">
        <v>0</v>
      </c>
      <c r="O66" s="248">
        <f t="shared" si="2"/>
        <v>-127277765.91161171</v>
      </c>
    </row>
    <row r="67" spans="1:15" ht="16" thickTop="1" thickBot="1">
      <c r="A67" s="98">
        <v>5</v>
      </c>
      <c r="C67" s="98">
        <v>59</v>
      </c>
      <c r="D67" s="239">
        <v>47058</v>
      </c>
      <c r="E67" s="243">
        <f t="shared" ca="1" si="3"/>
        <v>747</v>
      </c>
      <c r="F67" s="243">
        <v>0</v>
      </c>
      <c r="G67" s="243">
        <f ca="1"/>
        <v>0</v>
      </c>
      <c r="H67" s="243">
        <f t="shared" ca="1" si="0"/>
        <v>747</v>
      </c>
      <c r="J67" s="248">
        <f t="shared" si="5"/>
        <v>-127277765.91161171</v>
      </c>
      <c r="K67" s="248">
        <v>0</v>
      </c>
      <c r="L67" s="248">
        <v>106128.53878073423</v>
      </c>
      <c r="M67" s="248">
        <v>30000</v>
      </c>
      <c r="N67" s="248">
        <v>0</v>
      </c>
      <c r="O67" s="248">
        <f t="shared" si="2"/>
        <v>-127141637.37283097</v>
      </c>
    </row>
    <row r="68" spans="1:15" ht="16" thickTop="1" thickBot="1">
      <c r="A68" s="98">
        <v>5</v>
      </c>
      <c r="C68" s="98">
        <v>60</v>
      </c>
      <c r="D68" s="239">
        <v>47088</v>
      </c>
      <c r="E68" s="243">
        <f t="shared" ca="1" si="3"/>
        <v>747</v>
      </c>
      <c r="F68" s="243">
        <v>0</v>
      </c>
      <c r="G68" s="243">
        <f ca="1"/>
        <v>0</v>
      </c>
      <c r="H68" s="243">
        <f t="shared" ca="1" si="0"/>
        <v>747</v>
      </c>
      <c r="J68" s="248">
        <f t="shared" si="5"/>
        <v>-127141637.37283097</v>
      </c>
      <c r="K68" s="248">
        <v>0</v>
      </c>
      <c r="L68" s="248">
        <v>328355.50923210382</v>
      </c>
      <c r="M68" s="248">
        <v>30000</v>
      </c>
      <c r="N68" s="248">
        <v>0</v>
      </c>
      <c r="O68" s="248">
        <f t="shared" si="2"/>
        <v>-126783281.86359887</v>
      </c>
    </row>
    <row r="69" spans="1:15" ht="16" thickTop="1" thickBot="1">
      <c r="A69" s="98">
        <v>6</v>
      </c>
      <c r="C69" s="98">
        <v>61</v>
      </c>
      <c r="D69" s="239">
        <v>47119</v>
      </c>
      <c r="E69" s="243">
        <f t="shared" ca="1" si="3"/>
        <v>747</v>
      </c>
      <c r="F69" s="243">
        <v>0</v>
      </c>
      <c r="G69" s="243">
        <f ca="1"/>
        <v>0</v>
      </c>
      <c r="H69" s="243">
        <f t="shared" ca="1" si="0"/>
        <v>747</v>
      </c>
      <c r="J69" s="248">
        <f t="shared" si="5"/>
        <v>-126783281.86359887</v>
      </c>
      <c r="K69" s="248">
        <v>0</v>
      </c>
      <c r="L69" s="248">
        <v>328355.50923210382</v>
      </c>
      <c r="M69" s="248">
        <v>30000</v>
      </c>
      <c r="N69" s="248">
        <v>0</v>
      </c>
      <c r="O69" s="248">
        <f t="shared" si="2"/>
        <v>-126424926.35436676</v>
      </c>
    </row>
    <row r="70" spans="1:15" ht="16" thickTop="1" thickBot="1">
      <c r="A70" s="98">
        <v>6</v>
      </c>
      <c r="C70" s="98">
        <v>62</v>
      </c>
      <c r="D70" s="239">
        <v>47150</v>
      </c>
      <c r="E70" s="243">
        <f t="shared" ca="1" si="3"/>
        <v>747</v>
      </c>
      <c r="F70" s="243">
        <v>0</v>
      </c>
      <c r="G70" s="243">
        <f ca="1"/>
        <v>0</v>
      </c>
      <c r="H70" s="243">
        <f t="shared" ca="1" si="0"/>
        <v>747</v>
      </c>
      <c r="J70" s="248">
        <f t="shared" si="5"/>
        <v>-126424926.35436676</v>
      </c>
      <c r="K70" s="248">
        <v>0</v>
      </c>
      <c r="L70" s="248">
        <v>328355.50923210382</v>
      </c>
      <c r="M70" s="248">
        <v>30000</v>
      </c>
      <c r="N70" s="248">
        <v>0</v>
      </c>
      <c r="O70" s="248">
        <f t="shared" si="2"/>
        <v>-126066570.84513466</v>
      </c>
    </row>
    <row r="71" spans="1:15" ht="16" thickTop="1" thickBot="1">
      <c r="A71" s="98">
        <v>6</v>
      </c>
      <c r="C71" s="98">
        <v>63</v>
      </c>
      <c r="D71" s="239">
        <v>47178</v>
      </c>
      <c r="E71" s="243">
        <f t="shared" ca="1" si="3"/>
        <v>747</v>
      </c>
      <c r="F71" s="243">
        <v>0</v>
      </c>
      <c r="G71" s="243">
        <f ca="1"/>
        <v>0</v>
      </c>
      <c r="H71" s="243">
        <f t="shared" ca="1" si="0"/>
        <v>747</v>
      </c>
      <c r="J71" s="248">
        <f t="shared" si="5"/>
        <v>-126066570.84513466</v>
      </c>
      <c r="K71" s="248">
        <v>0</v>
      </c>
      <c r="L71" s="248">
        <v>328355.50923210382</v>
      </c>
      <c r="M71" s="248">
        <v>30000</v>
      </c>
      <c r="N71" s="248">
        <v>0</v>
      </c>
      <c r="O71" s="248">
        <f t="shared" si="2"/>
        <v>-125708215.33590256</v>
      </c>
    </row>
    <row r="72" spans="1:15" ht="16" thickTop="1" thickBot="1">
      <c r="A72" s="98">
        <v>6</v>
      </c>
      <c r="C72" s="98">
        <v>64</v>
      </c>
      <c r="D72" s="239">
        <v>47209</v>
      </c>
      <c r="E72" s="243">
        <f t="shared" ca="1" si="3"/>
        <v>747</v>
      </c>
      <c r="F72" s="243">
        <v>0</v>
      </c>
      <c r="G72" s="243">
        <f ca="1"/>
        <v>0</v>
      </c>
      <c r="H72" s="243">
        <f t="shared" ca="1" si="0"/>
        <v>747</v>
      </c>
      <c r="J72" s="248">
        <f t="shared" si="5"/>
        <v>-125708215.33590256</v>
      </c>
      <c r="K72" s="248">
        <v>0</v>
      </c>
      <c r="L72" s="248">
        <v>328355.50923210382</v>
      </c>
      <c r="M72" s="248">
        <v>30000</v>
      </c>
      <c r="N72" s="248">
        <v>0</v>
      </c>
      <c r="O72" s="248">
        <f t="shared" si="2"/>
        <v>-125349859.82667045</v>
      </c>
    </row>
    <row r="73" spans="1:15" ht="16" thickTop="1" thickBot="1">
      <c r="A73" s="98">
        <v>6</v>
      </c>
      <c r="C73" s="98">
        <v>65</v>
      </c>
      <c r="D73" s="239">
        <v>47239</v>
      </c>
      <c r="E73" s="243">
        <f t="shared" ca="1" si="3"/>
        <v>747</v>
      </c>
      <c r="F73" s="243">
        <v>0</v>
      </c>
      <c r="G73" s="243">
        <f ca="1"/>
        <v>0</v>
      </c>
      <c r="H73" s="243">
        <f t="shared" ref="H73:H136" ca="1" si="6">E73+F73-G73</f>
        <v>747</v>
      </c>
      <c r="J73" s="248">
        <f t="shared" si="5"/>
        <v>-125349859.82667045</v>
      </c>
      <c r="K73" s="248">
        <v>0</v>
      </c>
      <c r="L73" s="248">
        <v>328355.50923210382</v>
      </c>
      <c r="M73" s="248">
        <v>30000</v>
      </c>
      <c r="N73" s="248">
        <v>0</v>
      </c>
      <c r="O73" s="248">
        <f t="shared" si="2"/>
        <v>-124991504.31743835</v>
      </c>
    </row>
    <row r="74" spans="1:15" ht="16" thickTop="1" thickBot="1">
      <c r="A74" s="98">
        <v>6</v>
      </c>
      <c r="C74" s="98">
        <v>66</v>
      </c>
      <c r="D74" s="239">
        <v>47270</v>
      </c>
      <c r="E74" s="243">
        <f t="shared" ca="1" si="3"/>
        <v>747</v>
      </c>
      <c r="F74" s="243">
        <v>0</v>
      </c>
      <c r="G74" s="243">
        <f ca="1"/>
        <v>0</v>
      </c>
      <c r="H74" s="243">
        <f t="shared" ca="1" si="6"/>
        <v>747</v>
      </c>
      <c r="J74" s="248">
        <f t="shared" si="5"/>
        <v>-124991504.31743835</v>
      </c>
      <c r="K74" s="248">
        <v>0</v>
      </c>
      <c r="L74" s="248">
        <v>328355.50923210382</v>
      </c>
      <c r="M74" s="248">
        <v>30000</v>
      </c>
      <c r="N74" s="248">
        <v>0</v>
      </c>
      <c r="O74" s="248">
        <f t="shared" ref="O74:O137" si="7">J74+K74+L74+M74-N74</f>
        <v>-124633148.80820625</v>
      </c>
    </row>
    <row r="75" spans="1:15" ht="16" thickTop="1" thickBot="1">
      <c r="A75" s="98">
        <v>6</v>
      </c>
      <c r="C75" s="98">
        <v>67</v>
      </c>
      <c r="D75" s="239">
        <v>47300</v>
      </c>
      <c r="E75" s="243">
        <f t="shared" ref="E75:E138" ca="1" si="8">H74</f>
        <v>747</v>
      </c>
      <c r="F75" s="243">
        <v>0</v>
      </c>
      <c r="G75" s="243">
        <f ca="1"/>
        <v>0</v>
      </c>
      <c r="H75" s="243">
        <f t="shared" ca="1" si="6"/>
        <v>747</v>
      </c>
      <c r="J75" s="248">
        <f t="shared" ref="J75:J138" si="9">O74</f>
        <v>-124633148.80820625</v>
      </c>
      <c r="K75" s="248">
        <v>0</v>
      </c>
      <c r="L75" s="248">
        <v>328355.50923210382</v>
      </c>
      <c r="M75" s="248">
        <v>30000</v>
      </c>
      <c r="N75" s="248">
        <v>0</v>
      </c>
      <c r="O75" s="248">
        <f t="shared" si="7"/>
        <v>-124274793.29897414</v>
      </c>
    </row>
    <row r="76" spans="1:15" ht="16" thickTop="1" thickBot="1">
      <c r="A76" s="98">
        <v>6</v>
      </c>
      <c r="C76" s="98">
        <v>68</v>
      </c>
      <c r="D76" s="239">
        <v>47331</v>
      </c>
      <c r="E76" s="243">
        <f t="shared" ca="1" si="8"/>
        <v>747</v>
      </c>
      <c r="F76" s="243">
        <v>0</v>
      </c>
      <c r="G76" s="243">
        <f ca="1"/>
        <v>0</v>
      </c>
      <c r="H76" s="243">
        <f t="shared" ca="1" si="6"/>
        <v>747</v>
      </c>
      <c r="J76" s="248">
        <f t="shared" si="9"/>
        <v>-124274793.29897414</v>
      </c>
      <c r="K76" s="248">
        <v>0</v>
      </c>
      <c r="L76" s="248">
        <v>328355.50923210382</v>
      </c>
      <c r="M76" s="248">
        <v>30000</v>
      </c>
      <c r="N76" s="248">
        <v>0</v>
      </c>
      <c r="O76" s="248">
        <f t="shared" si="7"/>
        <v>-123916437.78974204</v>
      </c>
    </row>
    <row r="77" spans="1:15" ht="16" thickTop="1" thickBot="1">
      <c r="A77" s="98">
        <v>6</v>
      </c>
      <c r="C77" s="98">
        <v>69</v>
      </c>
      <c r="D77" s="239">
        <v>47362</v>
      </c>
      <c r="E77" s="243">
        <f t="shared" ca="1" si="8"/>
        <v>747</v>
      </c>
      <c r="F77" s="243">
        <v>0</v>
      </c>
      <c r="G77" s="243">
        <f ca="1"/>
        <v>0</v>
      </c>
      <c r="H77" s="243">
        <f t="shared" ca="1" si="6"/>
        <v>747</v>
      </c>
      <c r="J77" s="248">
        <f t="shared" si="9"/>
        <v>-123916437.78974204</v>
      </c>
      <c r="K77" s="248">
        <v>0</v>
      </c>
      <c r="L77" s="248">
        <v>328355.50923210382</v>
      </c>
      <c r="M77" s="248">
        <v>30000</v>
      </c>
      <c r="N77" s="248">
        <v>0</v>
      </c>
      <c r="O77" s="248">
        <f t="shared" si="7"/>
        <v>-123558082.28050993</v>
      </c>
    </row>
    <row r="78" spans="1:15" ht="16" thickTop="1" thickBot="1">
      <c r="A78" s="98">
        <v>6</v>
      </c>
      <c r="C78" s="98">
        <v>70</v>
      </c>
      <c r="D78" s="239">
        <v>47392</v>
      </c>
      <c r="E78" s="243">
        <f t="shared" ca="1" si="8"/>
        <v>747</v>
      </c>
      <c r="F78" s="243">
        <v>0</v>
      </c>
      <c r="G78" s="243">
        <f ca="1"/>
        <v>0</v>
      </c>
      <c r="H78" s="243">
        <f t="shared" ca="1" si="6"/>
        <v>747</v>
      </c>
      <c r="J78" s="248">
        <f t="shared" si="9"/>
        <v>-123558082.28050993</v>
      </c>
      <c r="K78" s="248">
        <v>0</v>
      </c>
      <c r="L78" s="248">
        <v>328355.50923210382</v>
      </c>
      <c r="M78" s="248">
        <v>30000</v>
      </c>
      <c r="N78" s="248">
        <v>0</v>
      </c>
      <c r="O78" s="248">
        <f t="shared" si="7"/>
        <v>-123199726.77127783</v>
      </c>
    </row>
    <row r="79" spans="1:15" ht="16" thickTop="1" thickBot="1">
      <c r="A79" s="98">
        <v>6</v>
      </c>
      <c r="C79" s="98">
        <v>71</v>
      </c>
      <c r="D79" s="239">
        <v>47423</v>
      </c>
      <c r="E79" s="243">
        <f t="shared" ca="1" si="8"/>
        <v>747</v>
      </c>
      <c r="F79" s="243">
        <v>0</v>
      </c>
      <c r="G79" s="243">
        <f ca="1"/>
        <v>0</v>
      </c>
      <c r="H79" s="243">
        <f t="shared" ca="1" si="6"/>
        <v>747</v>
      </c>
      <c r="J79" s="248">
        <f t="shared" si="9"/>
        <v>-123199726.77127783</v>
      </c>
      <c r="K79" s="248">
        <v>0</v>
      </c>
      <c r="L79" s="248">
        <v>328355.50923210382</v>
      </c>
      <c r="M79" s="248">
        <v>30000</v>
      </c>
      <c r="N79" s="248">
        <v>0</v>
      </c>
      <c r="O79" s="248">
        <f t="shared" si="7"/>
        <v>-122841371.26204573</v>
      </c>
    </row>
    <row r="80" spans="1:15" ht="16" thickTop="1" thickBot="1">
      <c r="A80" s="98">
        <v>6</v>
      </c>
      <c r="C80" s="98">
        <v>72</v>
      </c>
      <c r="D80" s="239">
        <v>47453</v>
      </c>
      <c r="E80" s="243">
        <f t="shared" ca="1" si="8"/>
        <v>747</v>
      </c>
      <c r="F80" s="243">
        <v>0</v>
      </c>
      <c r="G80" s="243">
        <f ca="1"/>
        <v>102</v>
      </c>
      <c r="H80" s="243">
        <f t="shared" ca="1" si="6"/>
        <v>645</v>
      </c>
      <c r="J80" s="248">
        <f t="shared" si="9"/>
        <v>-122841371.26204573</v>
      </c>
      <c r="K80" s="248">
        <v>0</v>
      </c>
      <c r="L80" s="248">
        <v>222226.97045136962</v>
      </c>
      <c r="M80" s="248">
        <v>103732.02560003662</v>
      </c>
      <c r="N80" s="248">
        <v>7078274.4576035161</v>
      </c>
      <c r="O80" s="248">
        <f t="shared" si="7"/>
        <v>-129593686.72359784</v>
      </c>
    </row>
    <row r="81" spans="1:15" ht="16" thickTop="1" thickBot="1">
      <c r="A81" s="98">
        <v>7</v>
      </c>
      <c r="C81" s="98">
        <v>73</v>
      </c>
      <c r="D81" s="239">
        <v>47484</v>
      </c>
      <c r="E81" s="243">
        <f t="shared" ca="1" si="8"/>
        <v>645</v>
      </c>
      <c r="F81" s="243">
        <v>0</v>
      </c>
      <c r="G81" s="243">
        <f ca="1"/>
        <v>21</v>
      </c>
      <c r="H81" s="243">
        <f t="shared" ca="1" si="6"/>
        <v>624</v>
      </c>
      <c r="J81" s="248">
        <f t="shared" si="9"/>
        <v>-129593686.72359784</v>
      </c>
      <c r="K81" s="248">
        <v>0</v>
      </c>
      <c r="L81" s="248">
        <v>222226.97045136962</v>
      </c>
      <c r="M81" s="248">
        <v>84447.315556098503</v>
      </c>
      <c r="N81" s="248">
        <v>5226942.2933854554</v>
      </c>
      <c r="O81" s="248">
        <f t="shared" si="7"/>
        <v>-134513954.73097584</v>
      </c>
    </row>
    <row r="82" spans="1:15" ht="16" thickTop="1" thickBot="1">
      <c r="A82" s="98">
        <v>7</v>
      </c>
      <c r="C82" s="98">
        <v>74</v>
      </c>
      <c r="D82" s="239">
        <v>47515</v>
      </c>
      <c r="E82" s="243">
        <f t="shared" ca="1" si="8"/>
        <v>624</v>
      </c>
      <c r="F82" s="243">
        <v>0</v>
      </c>
      <c r="G82" s="243">
        <f ca="1"/>
        <v>0</v>
      </c>
      <c r="H82" s="243">
        <f t="shared" ca="1" si="6"/>
        <v>624</v>
      </c>
      <c r="J82" s="248">
        <f t="shared" si="9"/>
        <v>-134513954.73097584</v>
      </c>
      <c r="K82" s="248">
        <v>0</v>
      </c>
      <c r="L82" s="248">
        <v>222226.97045136962</v>
      </c>
      <c r="M82" s="248">
        <v>30000</v>
      </c>
      <c r="N82" s="248">
        <v>0</v>
      </c>
      <c r="O82" s="248">
        <f t="shared" si="7"/>
        <v>-134261727.76052448</v>
      </c>
    </row>
    <row r="83" spans="1:15" ht="16" thickTop="1" thickBot="1">
      <c r="A83" s="98">
        <v>7</v>
      </c>
      <c r="C83" s="98">
        <v>75</v>
      </c>
      <c r="D83" s="239">
        <v>47543</v>
      </c>
      <c r="E83" s="243">
        <f t="shared" ca="1" si="8"/>
        <v>624</v>
      </c>
      <c r="F83" s="243">
        <v>0</v>
      </c>
      <c r="G83" s="243">
        <f ca="1"/>
        <v>0</v>
      </c>
      <c r="H83" s="243">
        <f t="shared" ca="1" si="6"/>
        <v>624</v>
      </c>
      <c r="J83" s="248">
        <f t="shared" si="9"/>
        <v>-134261727.76052448</v>
      </c>
      <c r="K83" s="248">
        <v>0</v>
      </c>
      <c r="L83" s="248">
        <v>222226.97045136962</v>
      </c>
      <c r="M83" s="248">
        <v>30000</v>
      </c>
      <c r="N83" s="248">
        <v>0</v>
      </c>
      <c r="O83" s="248">
        <f t="shared" si="7"/>
        <v>-134009500.79007311</v>
      </c>
    </row>
    <row r="84" spans="1:15" ht="16" thickTop="1" thickBot="1">
      <c r="A84" s="98">
        <v>7</v>
      </c>
      <c r="C84" s="98">
        <v>76</v>
      </c>
      <c r="D84" s="239">
        <v>47574</v>
      </c>
      <c r="E84" s="243">
        <f t="shared" ca="1" si="8"/>
        <v>624</v>
      </c>
      <c r="F84" s="243">
        <v>0</v>
      </c>
      <c r="G84" s="243">
        <f ca="1"/>
        <v>0</v>
      </c>
      <c r="H84" s="243">
        <f t="shared" ca="1" si="6"/>
        <v>624</v>
      </c>
      <c r="J84" s="248">
        <f t="shared" si="9"/>
        <v>-134009500.79007311</v>
      </c>
      <c r="K84" s="248">
        <v>0</v>
      </c>
      <c r="L84" s="248">
        <v>222226.97045136962</v>
      </c>
      <c r="M84" s="248">
        <v>30000</v>
      </c>
      <c r="N84" s="248">
        <v>0</v>
      </c>
      <c r="O84" s="248">
        <f t="shared" si="7"/>
        <v>-133757273.81962174</v>
      </c>
    </row>
    <row r="85" spans="1:15" ht="16" thickTop="1" thickBot="1">
      <c r="A85" s="98">
        <v>7</v>
      </c>
      <c r="C85" s="98">
        <v>77</v>
      </c>
      <c r="D85" s="239">
        <v>47604</v>
      </c>
      <c r="E85" s="243">
        <f t="shared" ca="1" si="8"/>
        <v>624</v>
      </c>
      <c r="F85" s="243">
        <v>0</v>
      </c>
      <c r="G85" s="243">
        <f ca="1"/>
        <v>0</v>
      </c>
      <c r="H85" s="243">
        <f t="shared" ca="1" si="6"/>
        <v>624</v>
      </c>
      <c r="J85" s="248">
        <f t="shared" si="9"/>
        <v>-133757273.81962174</v>
      </c>
      <c r="K85" s="248">
        <v>0</v>
      </c>
      <c r="L85" s="248">
        <v>222226.97045136962</v>
      </c>
      <c r="M85" s="248">
        <v>30000</v>
      </c>
      <c r="N85" s="248">
        <v>0</v>
      </c>
      <c r="O85" s="248">
        <f t="shared" si="7"/>
        <v>-133505046.84917037</v>
      </c>
    </row>
    <row r="86" spans="1:15" ht="16" thickTop="1" thickBot="1">
      <c r="A86" s="98">
        <v>7</v>
      </c>
      <c r="C86" s="98">
        <v>78</v>
      </c>
      <c r="D86" s="239">
        <v>47635</v>
      </c>
      <c r="E86" s="243">
        <f t="shared" ca="1" si="8"/>
        <v>624</v>
      </c>
      <c r="F86" s="243">
        <v>0</v>
      </c>
      <c r="G86" s="243">
        <f ca="1"/>
        <v>83</v>
      </c>
      <c r="H86" s="243">
        <f t="shared" ca="1" si="6"/>
        <v>541</v>
      </c>
      <c r="J86" s="248">
        <f t="shared" si="9"/>
        <v>-133505046.84917037</v>
      </c>
      <c r="K86" s="248">
        <v>0</v>
      </c>
      <c r="L86" s="248">
        <v>0</v>
      </c>
      <c r="M86" s="248">
        <v>209694.68531083452</v>
      </c>
      <c r="N86" s="248">
        <v>17250689.789840117</v>
      </c>
      <c r="O86" s="248">
        <f t="shared" si="7"/>
        <v>-150546041.95369965</v>
      </c>
    </row>
    <row r="87" spans="1:15" ht="16" thickTop="1" thickBot="1">
      <c r="A87" s="98">
        <v>7</v>
      </c>
      <c r="C87" s="98">
        <v>79</v>
      </c>
      <c r="D87" s="239">
        <v>47665</v>
      </c>
      <c r="E87" s="243">
        <f t="shared" ca="1" si="8"/>
        <v>541</v>
      </c>
      <c r="F87" s="243">
        <v>0</v>
      </c>
      <c r="G87" s="243">
        <f ca="1"/>
        <v>0</v>
      </c>
      <c r="H87" s="243">
        <f t="shared" ca="1" si="6"/>
        <v>541</v>
      </c>
      <c r="J87" s="248">
        <f t="shared" si="9"/>
        <v>-150546041.95369965</v>
      </c>
      <c r="K87" s="248">
        <v>0</v>
      </c>
      <c r="L87" s="248">
        <v>0</v>
      </c>
      <c r="M87" s="248">
        <v>30000</v>
      </c>
      <c r="N87" s="248">
        <v>0</v>
      </c>
      <c r="O87" s="248">
        <f t="shared" si="7"/>
        <v>-150516041.95369965</v>
      </c>
    </row>
    <row r="88" spans="1:15" ht="16" thickTop="1" thickBot="1">
      <c r="A88" s="98">
        <v>7</v>
      </c>
      <c r="C88" s="98">
        <v>80</v>
      </c>
      <c r="D88" s="239">
        <v>47696</v>
      </c>
      <c r="E88" s="243">
        <f t="shared" ca="1" si="8"/>
        <v>541</v>
      </c>
      <c r="F88" s="243">
        <v>0</v>
      </c>
      <c r="G88" s="243">
        <f ca="1"/>
        <v>0</v>
      </c>
      <c r="H88" s="243">
        <f t="shared" ca="1" si="6"/>
        <v>541</v>
      </c>
      <c r="J88" s="248">
        <f t="shared" si="9"/>
        <v>-150516041.95369965</v>
      </c>
      <c r="K88" s="248">
        <v>0</v>
      </c>
      <c r="L88" s="248">
        <v>0</v>
      </c>
      <c r="M88" s="248">
        <v>30000</v>
      </c>
      <c r="N88" s="248">
        <v>0</v>
      </c>
      <c r="O88" s="248">
        <f t="shared" si="7"/>
        <v>-150486041.95369965</v>
      </c>
    </row>
    <row r="89" spans="1:15" ht="16" thickTop="1" thickBot="1">
      <c r="A89" s="98">
        <v>7</v>
      </c>
      <c r="C89" s="98">
        <v>81</v>
      </c>
      <c r="D89" s="239">
        <v>47727</v>
      </c>
      <c r="E89" s="243">
        <f t="shared" ca="1" si="8"/>
        <v>541</v>
      </c>
      <c r="F89" s="243">
        <v>0</v>
      </c>
      <c r="G89" s="243">
        <f ca="1"/>
        <v>0</v>
      </c>
      <c r="H89" s="243">
        <f t="shared" ca="1" si="6"/>
        <v>541</v>
      </c>
      <c r="J89" s="248">
        <f t="shared" si="9"/>
        <v>-150486041.95369965</v>
      </c>
      <c r="K89" s="248">
        <v>0</v>
      </c>
      <c r="L89" s="248">
        <v>0</v>
      </c>
      <c r="M89" s="248">
        <v>30000</v>
      </c>
      <c r="N89" s="248">
        <v>0</v>
      </c>
      <c r="O89" s="248">
        <f t="shared" si="7"/>
        <v>-150456041.95369965</v>
      </c>
    </row>
    <row r="90" spans="1:15" ht="16" thickTop="1" thickBot="1">
      <c r="A90" s="98">
        <v>7</v>
      </c>
      <c r="C90" s="98">
        <v>82</v>
      </c>
      <c r="D90" s="239">
        <v>47757</v>
      </c>
      <c r="E90" s="243">
        <f t="shared" ca="1" si="8"/>
        <v>541</v>
      </c>
      <c r="F90" s="243">
        <v>0</v>
      </c>
      <c r="G90" s="243">
        <f ca="1"/>
        <v>0</v>
      </c>
      <c r="H90" s="243">
        <f t="shared" ca="1" si="6"/>
        <v>541</v>
      </c>
      <c r="J90" s="248">
        <f t="shared" si="9"/>
        <v>-150456041.95369965</v>
      </c>
      <c r="K90" s="248">
        <v>0</v>
      </c>
      <c r="L90" s="248">
        <v>0</v>
      </c>
      <c r="M90" s="248">
        <v>30000</v>
      </c>
      <c r="N90" s="248">
        <v>0</v>
      </c>
      <c r="O90" s="248">
        <f t="shared" si="7"/>
        <v>-150426041.95369965</v>
      </c>
    </row>
    <row r="91" spans="1:15" ht="16" thickTop="1" thickBot="1">
      <c r="A91" s="98">
        <v>7</v>
      </c>
      <c r="C91" s="98">
        <v>83</v>
      </c>
      <c r="D91" s="239">
        <v>47788</v>
      </c>
      <c r="E91" s="243">
        <f t="shared" ca="1" si="8"/>
        <v>541</v>
      </c>
      <c r="F91" s="243">
        <v>0</v>
      </c>
      <c r="G91" s="243">
        <f ca="1"/>
        <v>0</v>
      </c>
      <c r="H91" s="243">
        <f t="shared" ca="1" si="6"/>
        <v>541</v>
      </c>
      <c r="J91" s="248">
        <f t="shared" si="9"/>
        <v>-150426041.95369965</v>
      </c>
      <c r="K91" s="248">
        <v>0</v>
      </c>
      <c r="L91" s="248">
        <v>0</v>
      </c>
      <c r="M91" s="248">
        <v>30000</v>
      </c>
      <c r="N91" s="248">
        <v>0</v>
      </c>
      <c r="O91" s="248">
        <f t="shared" si="7"/>
        <v>-150396041.95369965</v>
      </c>
    </row>
    <row r="92" spans="1:15" ht="16" thickTop="1" thickBot="1">
      <c r="A92" s="98">
        <v>7</v>
      </c>
      <c r="C92" s="98">
        <v>84</v>
      </c>
      <c r="D92" s="239">
        <v>47818</v>
      </c>
      <c r="E92" s="243">
        <f t="shared" ca="1" si="8"/>
        <v>541</v>
      </c>
      <c r="F92" s="243">
        <v>0</v>
      </c>
      <c r="G92" s="243">
        <f ca="1"/>
        <v>0</v>
      </c>
      <c r="H92" s="243">
        <f t="shared" ca="1" si="6"/>
        <v>541</v>
      </c>
      <c r="J92" s="248">
        <f t="shared" si="9"/>
        <v>-150396041.95369965</v>
      </c>
      <c r="K92" s="248">
        <v>0</v>
      </c>
      <c r="L92" s="248">
        <v>539538.76596776675</v>
      </c>
      <c r="M92" s="248">
        <v>30000</v>
      </c>
      <c r="N92" s="248">
        <v>0</v>
      </c>
      <c r="O92" s="248">
        <f t="shared" si="7"/>
        <v>-149826503.18773189</v>
      </c>
    </row>
    <row r="93" spans="1:15" ht="16" thickTop="1" thickBot="1">
      <c r="A93" s="98">
        <v>8</v>
      </c>
      <c r="C93" s="98">
        <v>85</v>
      </c>
      <c r="D93" s="239">
        <v>47849</v>
      </c>
      <c r="E93" s="243">
        <f t="shared" ca="1" si="8"/>
        <v>541</v>
      </c>
      <c r="F93" s="243">
        <v>0</v>
      </c>
      <c r="G93" s="243">
        <f ca="1"/>
        <v>0</v>
      </c>
      <c r="H93" s="243">
        <f t="shared" ca="1" si="6"/>
        <v>541</v>
      </c>
      <c r="J93" s="248">
        <f t="shared" si="9"/>
        <v>-149826503.18773189</v>
      </c>
      <c r="K93" s="248">
        <v>0</v>
      </c>
      <c r="L93" s="248">
        <v>539538.76596776675</v>
      </c>
      <c r="M93" s="248">
        <v>30000</v>
      </c>
      <c r="N93" s="248">
        <v>0</v>
      </c>
      <c r="O93" s="248">
        <f t="shared" si="7"/>
        <v>-149256964.42176414</v>
      </c>
    </row>
    <row r="94" spans="1:15" ht="16" thickTop="1" thickBot="1">
      <c r="A94" s="98">
        <v>8</v>
      </c>
      <c r="C94" s="98">
        <v>86</v>
      </c>
      <c r="D94" s="239">
        <v>47880</v>
      </c>
      <c r="E94" s="243">
        <f t="shared" ca="1" si="8"/>
        <v>541</v>
      </c>
      <c r="F94" s="243">
        <v>0</v>
      </c>
      <c r="G94" s="243">
        <f ca="1"/>
        <v>0</v>
      </c>
      <c r="H94" s="243">
        <f t="shared" ca="1" si="6"/>
        <v>541</v>
      </c>
      <c r="J94" s="248">
        <f t="shared" si="9"/>
        <v>-149256964.42176414</v>
      </c>
      <c r="K94" s="248">
        <v>0</v>
      </c>
      <c r="L94" s="248">
        <v>539538.76596776675</v>
      </c>
      <c r="M94" s="248">
        <v>30000</v>
      </c>
      <c r="N94" s="248">
        <v>0</v>
      </c>
      <c r="O94" s="248">
        <f t="shared" si="7"/>
        <v>-148687425.65579638</v>
      </c>
    </row>
    <row r="95" spans="1:15" ht="16" thickTop="1" thickBot="1">
      <c r="A95" s="98">
        <v>8</v>
      </c>
      <c r="C95" s="98">
        <v>87</v>
      </c>
      <c r="D95" s="239">
        <v>47908</v>
      </c>
      <c r="E95" s="243">
        <f t="shared" ca="1" si="8"/>
        <v>541</v>
      </c>
      <c r="F95" s="243">
        <v>0</v>
      </c>
      <c r="G95" s="243">
        <f ca="1"/>
        <v>0</v>
      </c>
      <c r="H95" s="243">
        <f t="shared" ca="1" si="6"/>
        <v>541</v>
      </c>
      <c r="J95" s="248">
        <f t="shared" si="9"/>
        <v>-148687425.65579638</v>
      </c>
      <c r="K95" s="248">
        <v>0</v>
      </c>
      <c r="L95" s="248">
        <v>539538.76596776675</v>
      </c>
      <c r="M95" s="248">
        <v>30000</v>
      </c>
      <c r="N95" s="248">
        <v>0</v>
      </c>
      <c r="O95" s="248">
        <f t="shared" si="7"/>
        <v>-148117886.88982862</v>
      </c>
    </row>
    <row r="96" spans="1:15" ht="16" thickTop="1" thickBot="1">
      <c r="A96" s="98">
        <v>8</v>
      </c>
      <c r="C96" s="98">
        <v>88</v>
      </c>
      <c r="D96" s="239">
        <v>47939</v>
      </c>
      <c r="E96" s="243">
        <f t="shared" ca="1" si="8"/>
        <v>541</v>
      </c>
      <c r="F96" s="243">
        <v>0</v>
      </c>
      <c r="G96" s="243">
        <f ca="1"/>
        <v>0</v>
      </c>
      <c r="H96" s="243">
        <f t="shared" ca="1" si="6"/>
        <v>541</v>
      </c>
      <c r="J96" s="248">
        <f t="shared" si="9"/>
        <v>-148117886.88982862</v>
      </c>
      <c r="K96" s="248">
        <v>0</v>
      </c>
      <c r="L96" s="248">
        <v>539538.76596776675</v>
      </c>
      <c r="M96" s="248">
        <v>30000</v>
      </c>
      <c r="N96" s="248">
        <v>0</v>
      </c>
      <c r="O96" s="248">
        <f t="shared" si="7"/>
        <v>-147548348.12386087</v>
      </c>
    </row>
    <row r="97" spans="1:15" ht="16" thickTop="1" thickBot="1">
      <c r="A97" s="98">
        <v>8</v>
      </c>
      <c r="C97" s="98">
        <v>89</v>
      </c>
      <c r="D97" s="239">
        <v>47969</v>
      </c>
      <c r="E97" s="243">
        <f t="shared" ca="1" si="8"/>
        <v>541</v>
      </c>
      <c r="F97" s="243">
        <v>0</v>
      </c>
      <c r="G97" s="243">
        <f ca="1"/>
        <v>0</v>
      </c>
      <c r="H97" s="243">
        <f t="shared" ca="1" si="6"/>
        <v>541</v>
      </c>
      <c r="J97" s="248">
        <f t="shared" si="9"/>
        <v>-147548348.12386087</v>
      </c>
      <c r="K97" s="248">
        <v>0</v>
      </c>
      <c r="L97" s="248">
        <v>539538.76596776675</v>
      </c>
      <c r="M97" s="248">
        <v>30000</v>
      </c>
      <c r="N97" s="248">
        <v>0</v>
      </c>
      <c r="O97" s="248">
        <f t="shared" si="7"/>
        <v>-146978809.35789311</v>
      </c>
    </row>
    <row r="98" spans="1:15" ht="16" thickTop="1" thickBot="1">
      <c r="A98" s="98">
        <v>8</v>
      </c>
      <c r="C98" s="98">
        <v>90</v>
      </c>
      <c r="D98" s="239">
        <v>48000</v>
      </c>
      <c r="E98" s="243">
        <f t="shared" ca="1" si="8"/>
        <v>541</v>
      </c>
      <c r="F98" s="243">
        <v>0</v>
      </c>
      <c r="G98" s="243">
        <f ca="1"/>
        <v>0</v>
      </c>
      <c r="H98" s="243">
        <f t="shared" ca="1" si="6"/>
        <v>541</v>
      </c>
      <c r="J98" s="248">
        <f t="shared" si="9"/>
        <v>-146978809.35789311</v>
      </c>
      <c r="K98" s="248">
        <v>0</v>
      </c>
      <c r="L98" s="248">
        <v>539538.76596776675</v>
      </c>
      <c r="M98" s="248">
        <v>30000</v>
      </c>
      <c r="N98" s="248">
        <v>0</v>
      </c>
      <c r="O98" s="248">
        <f t="shared" si="7"/>
        <v>-146409270.59192535</v>
      </c>
    </row>
    <row r="99" spans="1:15" ht="16" thickTop="1" thickBot="1">
      <c r="A99" s="98">
        <v>8</v>
      </c>
      <c r="C99" s="98">
        <v>91</v>
      </c>
      <c r="D99" s="239">
        <v>48030</v>
      </c>
      <c r="E99" s="243">
        <f t="shared" ca="1" si="8"/>
        <v>541</v>
      </c>
      <c r="F99" s="243">
        <v>0</v>
      </c>
      <c r="G99" s="243">
        <f ca="1"/>
        <v>0</v>
      </c>
      <c r="H99" s="243">
        <f t="shared" ca="1" si="6"/>
        <v>541</v>
      </c>
      <c r="J99" s="248">
        <f t="shared" si="9"/>
        <v>-146409270.59192535</v>
      </c>
      <c r="K99" s="248">
        <v>0</v>
      </c>
      <c r="L99" s="248">
        <v>539538.76596776675</v>
      </c>
      <c r="M99" s="248">
        <v>30000</v>
      </c>
      <c r="N99" s="248">
        <v>0</v>
      </c>
      <c r="O99" s="248">
        <f t="shared" si="7"/>
        <v>-145839731.8259576</v>
      </c>
    </row>
    <row r="100" spans="1:15" ht="16" thickTop="1" thickBot="1">
      <c r="A100" s="98">
        <v>8</v>
      </c>
      <c r="C100" s="98">
        <v>92</v>
      </c>
      <c r="D100" s="239">
        <v>48061</v>
      </c>
      <c r="E100" s="243">
        <f t="shared" ca="1" si="8"/>
        <v>541</v>
      </c>
      <c r="F100" s="243">
        <v>0</v>
      </c>
      <c r="G100" s="243">
        <f ca="1"/>
        <v>0</v>
      </c>
      <c r="H100" s="243">
        <f t="shared" ca="1" si="6"/>
        <v>541</v>
      </c>
      <c r="J100" s="248">
        <f t="shared" si="9"/>
        <v>-145839731.8259576</v>
      </c>
      <c r="K100" s="248">
        <v>0</v>
      </c>
      <c r="L100" s="248">
        <v>539538.76596776675</v>
      </c>
      <c r="M100" s="248">
        <v>30000</v>
      </c>
      <c r="N100" s="248">
        <v>0</v>
      </c>
      <c r="O100" s="248">
        <f t="shared" si="7"/>
        <v>-145270193.05998984</v>
      </c>
    </row>
    <row r="101" spans="1:15" ht="16" thickTop="1" thickBot="1">
      <c r="A101" s="98">
        <v>8</v>
      </c>
      <c r="C101" s="98">
        <v>93</v>
      </c>
      <c r="D101" s="239">
        <v>48092</v>
      </c>
      <c r="E101" s="243">
        <f t="shared" ca="1" si="8"/>
        <v>541</v>
      </c>
      <c r="F101" s="243">
        <v>0</v>
      </c>
      <c r="G101" s="243">
        <f ca="1"/>
        <v>0</v>
      </c>
      <c r="H101" s="243">
        <f t="shared" ca="1" si="6"/>
        <v>541</v>
      </c>
      <c r="J101" s="248">
        <f t="shared" si="9"/>
        <v>-145270193.05998984</v>
      </c>
      <c r="K101" s="248">
        <v>0</v>
      </c>
      <c r="L101" s="248">
        <v>539538.76596776675</v>
      </c>
      <c r="M101" s="248">
        <v>30000</v>
      </c>
      <c r="N101" s="248">
        <v>0</v>
      </c>
      <c r="O101" s="248">
        <f t="shared" si="7"/>
        <v>-144700654.29402208</v>
      </c>
    </row>
    <row r="102" spans="1:15" ht="16" thickTop="1" thickBot="1">
      <c r="A102" s="98">
        <v>8</v>
      </c>
      <c r="C102" s="98">
        <v>94</v>
      </c>
      <c r="D102" s="239">
        <v>48122</v>
      </c>
      <c r="E102" s="243">
        <f t="shared" ca="1" si="8"/>
        <v>541</v>
      </c>
      <c r="F102" s="243">
        <v>0</v>
      </c>
      <c r="G102" s="243">
        <f ca="1"/>
        <v>0</v>
      </c>
      <c r="H102" s="243">
        <f t="shared" ca="1" si="6"/>
        <v>541</v>
      </c>
      <c r="J102" s="248">
        <f t="shared" si="9"/>
        <v>-144700654.29402208</v>
      </c>
      <c r="K102" s="248">
        <v>0</v>
      </c>
      <c r="L102" s="248">
        <v>539538.76596776675</v>
      </c>
      <c r="M102" s="248">
        <v>30000</v>
      </c>
      <c r="N102" s="248">
        <v>0</v>
      </c>
      <c r="O102" s="248">
        <f t="shared" si="7"/>
        <v>-144131115.52805433</v>
      </c>
    </row>
    <row r="103" spans="1:15" ht="16" thickTop="1" thickBot="1">
      <c r="A103" s="98">
        <v>8</v>
      </c>
      <c r="C103" s="98">
        <v>95</v>
      </c>
      <c r="D103" s="239">
        <v>48153</v>
      </c>
      <c r="E103" s="243">
        <f t="shared" ca="1" si="8"/>
        <v>541</v>
      </c>
      <c r="F103" s="243">
        <v>0</v>
      </c>
      <c r="G103" s="243">
        <f ca="1"/>
        <v>0</v>
      </c>
      <c r="H103" s="243">
        <f t="shared" ca="1" si="6"/>
        <v>541</v>
      </c>
      <c r="J103" s="248">
        <f t="shared" si="9"/>
        <v>-144131115.52805433</v>
      </c>
      <c r="K103" s="248">
        <v>0</v>
      </c>
      <c r="L103" s="248">
        <v>539538.76596776675</v>
      </c>
      <c r="M103" s="248">
        <v>30000</v>
      </c>
      <c r="N103" s="248">
        <v>0</v>
      </c>
      <c r="O103" s="248">
        <f t="shared" si="7"/>
        <v>-143561576.76208657</v>
      </c>
    </row>
    <row r="104" spans="1:15" ht="16" thickTop="1" thickBot="1">
      <c r="A104" s="98">
        <v>8</v>
      </c>
      <c r="C104" s="98">
        <v>96</v>
      </c>
      <c r="D104" s="239">
        <v>48183</v>
      </c>
      <c r="E104" s="243">
        <f t="shared" ca="1" si="8"/>
        <v>541</v>
      </c>
      <c r="F104" s="243">
        <v>0</v>
      </c>
      <c r="G104" s="243">
        <f ca="1"/>
        <v>131</v>
      </c>
      <c r="H104" s="243">
        <f t="shared" ca="1" si="6"/>
        <v>410</v>
      </c>
      <c r="J104" s="248">
        <f t="shared" si="9"/>
        <v>-143561576.76208657</v>
      </c>
      <c r="K104" s="248">
        <v>0</v>
      </c>
      <c r="L104" s="248">
        <v>0</v>
      </c>
      <c r="M104" s="248">
        <v>351850.10204272385</v>
      </c>
      <c r="N104" s="248">
        <v>33777609.796101488</v>
      </c>
      <c r="O104" s="248">
        <f t="shared" si="7"/>
        <v>-176987336.45614532</v>
      </c>
    </row>
    <row r="105" spans="1:15" ht="16" thickTop="1" thickBot="1">
      <c r="A105" s="98"/>
      <c r="C105" s="98"/>
      <c r="D105" s="239"/>
      <c r="E105" s="243">
        <f t="shared" ca="1" si="8"/>
        <v>410</v>
      </c>
      <c r="F105" s="243"/>
      <c r="G105" s="243"/>
      <c r="H105" s="243">
        <f t="shared" ca="1" si="6"/>
        <v>410</v>
      </c>
      <c r="J105" s="248">
        <f t="shared" si="9"/>
        <v>-176987336.45614532</v>
      </c>
      <c r="K105" s="248"/>
      <c r="L105" s="248"/>
      <c r="M105" s="248">
        <v>0</v>
      </c>
      <c r="N105" s="248"/>
      <c r="O105" s="248">
        <f t="shared" si="7"/>
        <v>-176987336.45614532</v>
      </c>
    </row>
    <row r="106" spans="1:15" ht="16" thickTop="1" thickBot="1">
      <c r="A106" s="98"/>
      <c r="C106" s="98"/>
      <c r="D106" s="239"/>
      <c r="E106" s="243">
        <f t="shared" ca="1" si="8"/>
        <v>410</v>
      </c>
      <c r="F106" s="243"/>
      <c r="G106" s="243"/>
      <c r="H106" s="243">
        <f t="shared" ca="1" si="6"/>
        <v>410</v>
      </c>
      <c r="J106" s="248">
        <f t="shared" si="9"/>
        <v>-176987336.45614532</v>
      </c>
      <c r="K106" s="248"/>
      <c r="L106" s="248"/>
      <c r="M106" s="248">
        <v>0</v>
      </c>
      <c r="N106" s="248"/>
      <c r="O106" s="248">
        <f t="shared" si="7"/>
        <v>-176987336.45614532</v>
      </c>
    </row>
    <row r="107" spans="1:15" ht="16" thickTop="1" thickBot="1">
      <c r="A107" s="98"/>
      <c r="C107" s="98"/>
      <c r="D107" s="239"/>
      <c r="E107" s="243">
        <f t="shared" ca="1" si="8"/>
        <v>410</v>
      </c>
      <c r="F107" s="243"/>
      <c r="G107" s="243"/>
      <c r="H107" s="243">
        <f t="shared" ca="1" si="6"/>
        <v>410</v>
      </c>
      <c r="J107" s="248">
        <f t="shared" si="9"/>
        <v>-176987336.45614532</v>
      </c>
      <c r="K107" s="248"/>
      <c r="L107" s="248"/>
      <c r="M107" s="248">
        <v>0</v>
      </c>
      <c r="N107" s="248"/>
      <c r="O107" s="248">
        <f t="shared" si="7"/>
        <v>-176987336.45614532</v>
      </c>
    </row>
    <row r="108" spans="1:15" ht="16" thickTop="1" thickBot="1">
      <c r="A108" s="98"/>
      <c r="C108" s="98"/>
      <c r="D108" s="239"/>
      <c r="E108" s="243">
        <f t="shared" ca="1" si="8"/>
        <v>410</v>
      </c>
      <c r="F108" s="243"/>
      <c r="G108" s="243"/>
      <c r="H108" s="243">
        <f t="shared" ca="1" si="6"/>
        <v>410</v>
      </c>
      <c r="J108" s="248">
        <f t="shared" si="9"/>
        <v>-176987336.45614532</v>
      </c>
      <c r="K108" s="248"/>
      <c r="L108" s="248"/>
      <c r="M108" s="248">
        <v>0</v>
      </c>
      <c r="N108" s="248"/>
      <c r="O108" s="248">
        <f t="shared" si="7"/>
        <v>-176987336.45614532</v>
      </c>
    </row>
    <row r="109" spans="1:15" ht="16" thickTop="1" thickBot="1">
      <c r="A109" s="98"/>
      <c r="C109" s="98"/>
      <c r="D109" s="239"/>
      <c r="E109" s="243">
        <f t="shared" ca="1" si="8"/>
        <v>410</v>
      </c>
      <c r="F109" s="243"/>
      <c r="G109" s="243"/>
      <c r="H109" s="243">
        <f t="shared" ca="1" si="6"/>
        <v>410</v>
      </c>
      <c r="J109" s="248">
        <f t="shared" si="9"/>
        <v>-176987336.45614532</v>
      </c>
      <c r="K109" s="248"/>
      <c r="L109" s="248"/>
      <c r="M109" s="248">
        <v>0</v>
      </c>
      <c r="N109" s="248"/>
      <c r="O109" s="248">
        <f t="shared" si="7"/>
        <v>-176987336.45614532</v>
      </c>
    </row>
    <row r="110" spans="1:15" ht="16" thickTop="1" thickBot="1">
      <c r="A110" s="98"/>
      <c r="C110" s="98"/>
      <c r="D110" s="239"/>
      <c r="E110" s="243">
        <f t="shared" ca="1" si="8"/>
        <v>410</v>
      </c>
      <c r="F110" s="243"/>
      <c r="G110" s="243"/>
      <c r="H110" s="243">
        <f t="shared" ca="1" si="6"/>
        <v>410</v>
      </c>
      <c r="J110" s="248">
        <f t="shared" si="9"/>
        <v>-176987336.45614532</v>
      </c>
      <c r="K110" s="248"/>
      <c r="L110" s="248"/>
      <c r="M110" s="248">
        <v>0</v>
      </c>
      <c r="N110" s="248"/>
      <c r="O110" s="248">
        <f t="shared" si="7"/>
        <v>-176987336.45614532</v>
      </c>
    </row>
    <row r="111" spans="1:15" ht="16" thickTop="1" thickBot="1">
      <c r="A111" s="98"/>
      <c r="C111" s="98"/>
      <c r="D111" s="239"/>
      <c r="E111" s="243">
        <f t="shared" ca="1" si="8"/>
        <v>410</v>
      </c>
      <c r="F111" s="243"/>
      <c r="G111" s="243"/>
      <c r="H111" s="243">
        <f t="shared" ca="1" si="6"/>
        <v>410</v>
      </c>
      <c r="J111" s="248">
        <f t="shared" si="9"/>
        <v>-176987336.45614532</v>
      </c>
      <c r="K111" s="248"/>
      <c r="L111" s="248"/>
      <c r="M111" s="248">
        <v>0</v>
      </c>
      <c r="N111" s="248"/>
      <c r="O111" s="248">
        <f t="shared" si="7"/>
        <v>-176987336.45614532</v>
      </c>
    </row>
    <row r="112" spans="1:15" ht="16" thickTop="1" thickBot="1">
      <c r="A112" s="98"/>
      <c r="C112" s="98"/>
      <c r="D112" s="239"/>
      <c r="E112" s="243">
        <f t="shared" ca="1" si="8"/>
        <v>410</v>
      </c>
      <c r="F112" s="243"/>
      <c r="G112" s="243"/>
      <c r="H112" s="243">
        <f t="shared" ca="1" si="6"/>
        <v>410</v>
      </c>
      <c r="J112" s="248">
        <f t="shared" si="9"/>
        <v>-176987336.45614532</v>
      </c>
      <c r="K112" s="248"/>
      <c r="L112" s="248"/>
      <c r="M112" s="248">
        <v>0</v>
      </c>
      <c r="N112" s="248"/>
      <c r="O112" s="248">
        <f t="shared" si="7"/>
        <v>-176987336.45614532</v>
      </c>
    </row>
    <row r="113" spans="3:15" ht="16" thickTop="1" thickBot="1">
      <c r="C113" s="98"/>
      <c r="D113" s="239"/>
      <c r="E113" s="243">
        <f t="shared" ca="1" si="8"/>
        <v>410</v>
      </c>
      <c r="F113" s="243"/>
      <c r="G113" s="243"/>
      <c r="H113" s="243">
        <f t="shared" ca="1" si="6"/>
        <v>410</v>
      </c>
      <c r="J113" s="248">
        <f t="shared" si="9"/>
        <v>-176987336.45614532</v>
      </c>
      <c r="K113" s="248"/>
      <c r="L113" s="248"/>
      <c r="M113" s="248">
        <v>0</v>
      </c>
      <c r="N113" s="248"/>
      <c r="O113" s="248">
        <f t="shared" si="7"/>
        <v>-176987336.45614532</v>
      </c>
    </row>
    <row r="114" spans="3:15" ht="16" thickTop="1" thickBot="1">
      <c r="C114" s="98"/>
      <c r="D114" s="239"/>
      <c r="E114" s="243">
        <f t="shared" ca="1" si="8"/>
        <v>410</v>
      </c>
      <c r="F114" s="243"/>
      <c r="G114" s="243"/>
      <c r="H114" s="243">
        <f t="shared" ca="1" si="6"/>
        <v>410</v>
      </c>
      <c r="J114" s="248">
        <f t="shared" si="9"/>
        <v>-176987336.45614532</v>
      </c>
      <c r="K114" s="248"/>
      <c r="L114" s="248"/>
      <c r="M114" s="248">
        <v>0</v>
      </c>
      <c r="N114" s="248"/>
      <c r="O114" s="248">
        <f t="shared" si="7"/>
        <v>-176987336.45614532</v>
      </c>
    </row>
    <row r="115" spans="3:15" ht="16" thickTop="1" thickBot="1">
      <c r="C115" s="98"/>
      <c r="D115" s="239"/>
      <c r="E115" s="243">
        <f t="shared" ca="1" si="8"/>
        <v>410</v>
      </c>
      <c r="F115" s="243"/>
      <c r="G115" s="243"/>
      <c r="H115" s="243">
        <f t="shared" ca="1" si="6"/>
        <v>410</v>
      </c>
      <c r="J115" s="248">
        <f t="shared" si="9"/>
        <v>-176987336.45614532</v>
      </c>
      <c r="K115" s="248"/>
      <c r="L115" s="248"/>
      <c r="M115" s="248">
        <v>0</v>
      </c>
      <c r="N115" s="248"/>
      <c r="O115" s="248">
        <f t="shared" si="7"/>
        <v>-176987336.45614532</v>
      </c>
    </row>
    <row r="116" spans="3:15" ht="16" thickTop="1" thickBot="1">
      <c r="C116" s="98"/>
      <c r="D116" s="239"/>
      <c r="E116" s="243">
        <f t="shared" ca="1" si="8"/>
        <v>410</v>
      </c>
      <c r="F116" s="243"/>
      <c r="G116" s="243"/>
      <c r="H116" s="243">
        <f t="shared" ca="1" si="6"/>
        <v>410</v>
      </c>
      <c r="J116" s="248">
        <f t="shared" si="9"/>
        <v>-176987336.45614532</v>
      </c>
      <c r="K116" s="248"/>
      <c r="L116" s="248"/>
      <c r="M116" s="248">
        <v>0</v>
      </c>
      <c r="N116" s="248"/>
      <c r="O116" s="248">
        <f t="shared" si="7"/>
        <v>-176987336.45614532</v>
      </c>
    </row>
    <row r="117" spans="3:15" ht="16" thickTop="1" thickBot="1">
      <c r="C117" s="98"/>
      <c r="D117" s="239"/>
      <c r="E117" s="243">
        <f t="shared" ca="1" si="8"/>
        <v>410</v>
      </c>
      <c r="F117" s="243"/>
      <c r="G117" s="243"/>
      <c r="H117" s="243">
        <f t="shared" ca="1" si="6"/>
        <v>410</v>
      </c>
      <c r="J117" s="248">
        <f t="shared" si="9"/>
        <v>-176987336.45614532</v>
      </c>
      <c r="K117" s="248"/>
      <c r="L117" s="248"/>
      <c r="M117" s="248">
        <v>0</v>
      </c>
      <c r="N117" s="248"/>
      <c r="O117" s="248">
        <f t="shared" si="7"/>
        <v>-176987336.45614532</v>
      </c>
    </row>
    <row r="118" spans="3:15" ht="16" thickTop="1" thickBot="1">
      <c r="C118" s="98"/>
      <c r="D118" s="239"/>
      <c r="E118" s="243">
        <f t="shared" ca="1" si="8"/>
        <v>410</v>
      </c>
      <c r="F118" s="243"/>
      <c r="G118" s="243"/>
      <c r="H118" s="243">
        <f t="shared" ca="1" si="6"/>
        <v>410</v>
      </c>
      <c r="J118" s="248">
        <f t="shared" si="9"/>
        <v>-176987336.45614532</v>
      </c>
      <c r="K118" s="248"/>
      <c r="L118" s="248"/>
      <c r="M118" s="248">
        <v>0</v>
      </c>
      <c r="N118" s="248"/>
      <c r="O118" s="248">
        <f t="shared" si="7"/>
        <v>-176987336.45614532</v>
      </c>
    </row>
    <row r="119" spans="3:15" ht="16" thickTop="1" thickBot="1">
      <c r="C119" s="98"/>
      <c r="D119" s="239"/>
      <c r="E119" s="243">
        <f t="shared" ca="1" si="8"/>
        <v>410</v>
      </c>
      <c r="F119" s="243"/>
      <c r="G119" s="243"/>
      <c r="H119" s="243">
        <f t="shared" ca="1" si="6"/>
        <v>410</v>
      </c>
      <c r="J119" s="248">
        <f t="shared" si="9"/>
        <v>-176987336.45614532</v>
      </c>
      <c r="K119" s="248"/>
      <c r="L119" s="248"/>
      <c r="M119" s="248">
        <v>0</v>
      </c>
      <c r="N119" s="248"/>
      <c r="O119" s="248">
        <f t="shared" si="7"/>
        <v>-176987336.45614532</v>
      </c>
    </row>
    <row r="120" spans="3:15" ht="16" thickTop="1" thickBot="1">
      <c r="C120" s="98"/>
      <c r="D120" s="239"/>
      <c r="E120" s="243">
        <f t="shared" ca="1" si="8"/>
        <v>410</v>
      </c>
      <c r="F120" s="243"/>
      <c r="G120" s="243"/>
      <c r="H120" s="243">
        <f t="shared" ca="1" si="6"/>
        <v>410</v>
      </c>
      <c r="J120" s="248">
        <f t="shared" si="9"/>
        <v>-176987336.45614532</v>
      </c>
      <c r="K120" s="248"/>
      <c r="L120" s="248"/>
      <c r="M120" s="248">
        <v>0</v>
      </c>
      <c r="N120" s="248"/>
      <c r="O120" s="248">
        <f t="shared" si="7"/>
        <v>-176987336.45614532</v>
      </c>
    </row>
    <row r="121" spans="3:15" ht="16" thickTop="1" thickBot="1">
      <c r="C121" s="98"/>
      <c r="D121" s="239"/>
      <c r="E121" s="243">
        <f t="shared" ca="1" si="8"/>
        <v>410</v>
      </c>
      <c r="F121" s="243"/>
      <c r="G121" s="243"/>
      <c r="H121" s="243">
        <f t="shared" ca="1" si="6"/>
        <v>410</v>
      </c>
      <c r="J121" s="248">
        <f t="shared" si="9"/>
        <v>-176987336.45614532</v>
      </c>
      <c r="K121" s="248"/>
      <c r="L121" s="248"/>
      <c r="M121" s="248">
        <v>0</v>
      </c>
      <c r="N121" s="248"/>
      <c r="O121" s="248">
        <f t="shared" si="7"/>
        <v>-176987336.45614532</v>
      </c>
    </row>
    <row r="122" spans="3:15" ht="16" thickTop="1" thickBot="1">
      <c r="C122" s="98"/>
      <c r="D122" s="239"/>
      <c r="E122" s="243">
        <f t="shared" ca="1" si="8"/>
        <v>410</v>
      </c>
      <c r="F122" s="243"/>
      <c r="G122" s="243"/>
      <c r="H122" s="243">
        <f t="shared" ca="1" si="6"/>
        <v>410</v>
      </c>
      <c r="J122" s="248">
        <f t="shared" si="9"/>
        <v>-176987336.45614532</v>
      </c>
      <c r="K122" s="248"/>
      <c r="L122" s="248"/>
      <c r="M122" s="248">
        <v>0</v>
      </c>
      <c r="N122" s="248"/>
      <c r="O122" s="248">
        <f t="shared" si="7"/>
        <v>-176987336.45614532</v>
      </c>
    </row>
    <row r="123" spans="3:15" ht="16" thickTop="1" thickBot="1">
      <c r="C123" s="98"/>
      <c r="D123" s="239"/>
      <c r="E123" s="243">
        <f t="shared" ca="1" si="8"/>
        <v>410</v>
      </c>
      <c r="F123" s="243"/>
      <c r="G123" s="243"/>
      <c r="H123" s="243">
        <f t="shared" ca="1" si="6"/>
        <v>410</v>
      </c>
      <c r="J123" s="248">
        <f t="shared" si="9"/>
        <v>-176987336.45614532</v>
      </c>
      <c r="K123" s="248"/>
      <c r="L123" s="248"/>
      <c r="M123" s="248">
        <v>0</v>
      </c>
      <c r="N123" s="248"/>
      <c r="O123" s="248">
        <f t="shared" si="7"/>
        <v>-176987336.45614532</v>
      </c>
    </row>
    <row r="124" spans="3:15" ht="16" thickTop="1" thickBot="1">
      <c r="C124" s="98"/>
      <c r="D124" s="239"/>
      <c r="E124" s="243">
        <f t="shared" ca="1" si="8"/>
        <v>410</v>
      </c>
      <c r="F124" s="243"/>
      <c r="G124" s="243"/>
      <c r="H124" s="243">
        <f t="shared" ca="1" si="6"/>
        <v>410</v>
      </c>
      <c r="J124" s="248">
        <f t="shared" si="9"/>
        <v>-176987336.45614532</v>
      </c>
      <c r="K124" s="248"/>
      <c r="L124" s="248"/>
      <c r="M124" s="248">
        <v>0</v>
      </c>
      <c r="N124" s="248"/>
      <c r="O124" s="248">
        <f t="shared" si="7"/>
        <v>-176987336.45614532</v>
      </c>
    </row>
    <row r="125" spans="3:15" ht="16" thickTop="1" thickBot="1">
      <c r="C125" s="98"/>
      <c r="D125" s="239"/>
      <c r="E125" s="243">
        <f t="shared" ca="1" si="8"/>
        <v>410</v>
      </c>
      <c r="F125" s="243"/>
      <c r="G125" s="243"/>
      <c r="H125" s="243">
        <f t="shared" ca="1" si="6"/>
        <v>410</v>
      </c>
      <c r="J125" s="248">
        <f t="shared" si="9"/>
        <v>-176987336.45614532</v>
      </c>
      <c r="K125" s="248"/>
      <c r="L125" s="248"/>
      <c r="M125" s="248">
        <v>0</v>
      </c>
      <c r="N125" s="248"/>
      <c r="O125" s="248">
        <f t="shared" si="7"/>
        <v>-176987336.45614532</v>
      </c>
    </row>
    <row r="126" spans="3:15" ht="16" thickTop="1" thickBot="1">
      <c r="C126" s="98"/>
      <c r="D126" s="239"/>
      <c r="E126" s="243">
        <f t="shared" ca="1" si="8"/>
        <v>410</v>
      </c>
      <c r="F126" s="243"/>
      <c r="G126" s="243"/>
      <c r="H126" s="243">
        <f t="shared" ca="1" si="6"/>
        <v>410</v>
      </c>
      <c r="J126" s="248">
        <f t="shared" si="9"/>
        <v>-176987336.45614532</v>
      </c>
      <c r="K126" s="248"/>
      <c r="L126" s="248"/>
      <c r="M126" s="248">
        <v>0</v>
      </c>
      <c r="N126" s="248"/>
      <c r="O126" s="248">
        <f t="shared" si="7"/>
        <v>-176987336.45614532</v>
      </c>
    </row>
    <row r="127" spans="3:15" ht="16" thickTop="1" thickBot="1">
      <c r="C127" s="98"/>
      <c r="D127" s="239"/>
      <c r="E127" s="243">
        <f t="shared" ca="1" si="8"/>
        <v>410</v>
      </c>
      <c r="F127" s="243"/>
      <c r="G127" s="243"/>
      <c r="H127" s="243">
        <f t="shared" ca="1" si="6"/>
        <v>410</v>
      </c>
      <c r="J127" s="248">
        <f t="shared" si="9"/>
        <v>-176987336.45614532</v>
      </c>
      <c r="K127" s="248"/>
      <c r="L127" s="248"/>
      <c r="M127" s="248">
        <v>0</v>
      </c>
      <c r="N127" s="248"/>
      <c r="O127" s="248">
        <f t="shared" si="7"/>
        <v>-176987336.45614532</v>
      </c>
    </row>
    <row r="128" spans="3:15" ht="16" thickTop="1" thickBot="1">
      <c r="C128" s="98"/>
      <c r="D128" s="239"/>
      <c r="E128" s="243">
        <f t="shared" ca="1" si="8"/>
        <v>410</v>
      </c>
      <c r="F128" s="243"/>
      <c r="G128" s="243"/>
      <c r="H128" s="243">
        <f t="shared" ca="1" si="6"/>
        <v>410</v>
      </c>
      <c r="J128" s="248">
        <f t="shared" si="9"/>
        <v>-176987336.45614532</v>
      </c>
      <c r="K128" s="248"/>
      <c r="L128" s="248"/>
      <c r="M128" s="248">
        <v>0</v>
      </c>
      <c r="N128" s="248"/>
      <c r="O128" s="248">
        <f t="shared" si="7"/>
        <v>-176987336.45614532</v>
      </c>
    </row>
    <row r="129" spans="3:15" ht="16" thickTop="1" thickBot="1">
      <c r="C129" s="98"/>
      <c r="D129" s="239"/>
      <c r="E129" s="243">
        <f t="shared" ca="1" si="8"/>
        <v>410</v>
      </c>
      <c r="F129" s="243"/>
      <c r="G129" s="243"/>
      <c r="H129" s="243">
        <f t="shared" ca="1" si="6"/>
        <v>410</v>
      </c>
      <c r="J129" s="248">
        <f t="shared" si="9"/>
        <v>-176987336.45614532</v>
      </c>
      <c r="K129" s="248"/>
      <c r="L129" s="248"/>
      <c r="M129" s="248">
        <v>0</v>
      </c>
      <c r="N129" s="248"/>
      <c r="O129" s="248">
        <f t="shared" si="7"/>
        <v>-176987336.45614532</v>
      </c>
    </row>
    <row r="130" spans="3:15" ht="16" thickTop="1" thickBot="1">
      <c r="C130" s="98"/>
      <c r="D130" s="239"/>
      <c r="E130" s="243">
        <f t="shared" ca="1" si="8"/>
        <v>410</v>
      </c>
      <c r="F130" s="243"/>
      <c r="G130" s="243"/>
      <c r="H130" s="243">
        <f t="shared" ca="1" si="6"/>
        <v>410</v>
      </c>
      <c r="J130" s="248">
        <f t="shared" si="9"/>
        <v>-176987336.45614532</v>
      </c>
      <c r="K130" s="248"/>
      <c r="L130" s="248"/>
      <c r="M130" s="248">
        <v>0</v>
      </c>
      <c r="N130" s="248"/>
      <c r="O130" s="248">
        <f t="shared" si="7"/>
        <v>-176987336.45614532</v>
      </c>
    </row>
    <row r="131" spans="3:15" ht="16" thickTop="1" thickBot="1">
      <c r="C131" s="98"/>
      <c r="D131" s="239"/>
      <c r="E131" s="243">
        <f t="shared" ca="1" si="8"/>
        <v>410</v>
      </c>
      <c r="F131" s="243"/>
      <c r="G131" s="243"/>
      <c r="H131" s="243">
        <f t="shared" ca="1" si="6"/>
        <v>410</v>
      </c>
      <c r="J131" s="248">
        <f t="shared" si="9"/>
        <v>-176987336.45614532</v>
      </c>
      <c r="K131" s="248"/>
      <c r="L131" s="248"/>
      <c r="M131" s="248">
        <v>0</v>
      </c>
      <c r="N131" s="248"/>
      <c r="O131" s="248">
        <f t="shared" si="7"/>
        <v>-176987336.45614532</v>
      </c>
    </row>
    <row r="132" spans="3:15" ht="16" thickTop="1" thickBot="1">
      <c r="C132" s="98"/>
      <c r="D132" s="239"/>
      <c r="E132" s="243">
        <f t="shared" ca="1" si="8"/>
        <v>410</v>
      </c>
      <c r="F132" s="243"/>
      <c r="G132" s="243"/>
      <c r="H132" s="243">
        <f t="shared" ca="1" si="6"/>
        <v>410</v>
      </c>
      <c r="J132" s="248">
        <f t="shared" si="9"/>
        <v>-176987336.45614532</v>
      </c>
      <c r="K132" s="248"/>
      <c r="L132" s="248"/>
      <c r="M132" s="248">
        <v>0</v>
      </c>
      <c r="N132" s="248"/>
      <c r="O132" s="248">
        <f t="shared" si="7"/>
        <v>-176987336.45614532</v>
      </c>
    </row>
    <row r="133" spans="3:15" ht="16" thickTop="1" thickBot="1">
      <c r="C133" s="98"/>
      <c r="D133" s="239"/>
      <c r="E133" s="243">
        <f t="shared" ca="1" si="8"/>
        <v>410</v>
      </c>
      <c r="F133" s="243"/>
      <c r="G133" s="243"/>
      <c r="H133" s="243">
        <f t="shared" ca="1" si="6"/>
        <v>410</v>
      </c>
      <c r="J133" s="248">
        <f t="shared" si="9"/>
        <v>-176987336.45614532</v>
      </c>
      <c r="K133" s="248"/>
      <c r="L133" s="248"/>
      <c r="M133" s="248">
        <v>0</v>
      </c>
      <c r="N133" s="248"/>
      <c r="O133" s="248">
        <f t="shared" si="7"/>
        <v>-176987336.45614532</v>
      </c>
    </row>
    <row r="134" spans="3:15" ht="16" thickTop="1" thickBot="1">
      <c r="C134" s="98"/>
      <c r="D134" s="239"/>
      <c r="E134" s="243">
        <f t="shared" ca="1" si="8"/>
        <v>410</v>
      </c>
      <c r="F134" s="243"/>
      <c r="G134" s="243"/>
      <c r="H134" s="243">
        <f t="shared" ca="1" si="6"/>
        <v>410</v>
      </c>
      <c r="J134" s="248">
        <f t="shared" si="9"/>
        <v>-176987336.45614532</v>
      </c>
      <c r="K134" s="248"/>
      <c r="L134" s="248"/>
      <c r="M134" s="248">
        <v>0</v>
      </c>
      <c r="N134" s="248"/>
      <c r="O134" s="248">
        <f t="shared" si="7"/>
        <v>-176987336.45614532</v>
      </c>
    </row>
    <row r="135" spans="3:15" ht="16" thickTop="1" thickBot="1">
      <c r="C135" s="98"/>
      <c r="D135" s="239"/>
      <c r="E135" s="243">
        <f t="shared" ca="1" si="8"/>
        <v>410</v>
      </c>
      <c r="F135" s="243"/>
      <c r="G135" s="243"/>
      <c r="H135" s="243">
        <f t="shared" ca="1" si="6"/>
        <v>410</v>
      </c>
      <c r="J135" s="248">
        <f t="shared" si="9"/>
        <v>-176987336.45614532</v>
      </c>
      <c r="K135" s="248"/>
      <c r="L135" s="248"/>
      <c r="M135" s="248">
        <v>0</v>
      </c>
      <c r="N135" s="248"/>
      <c r="O135" s="248">
        <f t="shared" si="7"/>
        <v>-176987336.45614532</v>
      </c>
    </row>
    <row r="136" spans="3:15" ht="16" thickTop="1" thickBot="1">
      <c r="C136" s="98"/>
      <c r="D136" s="239"/>
      <c r="E136" s="243">
        <f t="shared" ca="1" si="8"/>
        <v>410</v>
      </c>
      <c r="F136" s="243"/>
      <c r="G136" s="243"/>
      <c r="H136" s="243">
        <f t="shared" ca="1" si="6"/>
        <v>410</v>
      </c>
      <c r="J136" s="248">
        <f t="shared" si="9"/>
        <v>-176987336.45614532</v>
      </c>
      <c r="K136" s="248"/>
      <c r="L136" s="248"/>
      <c r="M136" s="248">
        <v>0</v>
      </c>
      <c r="N136" s="248"/>
      <c r="O136" s="248">
        <f t="shared" si="7"/>
        <v>-176987336.45614532</v>
      </c>
    </row>
    <row r="137" spans="3:15" ht="16" thickTop="1" thickBot="1">
      <c r="C137" s="98"/>
      <c r="D137" s="239"/>
      <c r="E137" s="243">
        <f t="shared" ca="1" si="8"/>
        <v>410</v>
      </c>
      <c r="F137" s="243"/>
      <c r="G137" s="243"/>
      <c r="H137" s="243">
        <f t="shared" ref="H137:H200" ca="1" si="10">E137+F137-G137</f>
        <v>410</v>
      </c>
      <c r="J137" s="248">
        <f t="shared" si="9"/>
        <v>-176987336.45614532</v>
      </c>
      <c r="K137" s="248"/>
      <c r="L137" s="248"/>
      <c r="M137" s="248">
        <v>0</v>
      </c>
      <c r="N137" s="248"/>
      <c r="O137" s="248">
        <f t="shared" si="7"/>
        <v>-176987336.45614532</v>
      </c>
    </row>
    <row r="138" spans="3:15" ht="16" thickTop="1" thickBot="1">
      <c r="C138" s="98"/>
      <c r="D138" s="239"/>
      <c r="E138" s="243">
        <f t="shared" ca="1" si="8"/>
        <v>410</v>
      </c>
      <c r="F138" s="243"/>
      <c r="G138" s="243"/>
      <c r="H138" s="243">
        <f t="shared" ca="1" si="10"/>
        <v>410</v>
      </c>
      <c r="J138" s="248">
        <f t="shared" si="9"/>
        <v>-176987336.45614532</v>
      </c>
      <c r="K138" s="248"/>
      <c r="L138" s="248"/>
      <c r="M138" s="248">
        <v>0</v>
      </c>
      <c r="N138" s="248"/>
      <c r="O138" s="248">
        <f t="shared" ref="O138:O201" si="11">J138+K138+L138+M138-N138</f>
        <v>-176987336.45614532</v>
      </c>
    </row>
    <row r="139" spans="3:15" ht="16" thickTop="1" thickBot="1">
      <c r="C139" s="98"/>
      <c r="D139" s="239"/>
      <c r="E139" s="243">
        <f t="shared" ref="E139:E202" ca="1" si="12">H138</f>
        <v>410</v>
      </c>
      <c r="F139" s="243"/>
      <c r="G139" s="243"/>
      <c r="H139" s="243">
        <f t="shared" ca="1" si="10"/>
        <v>410</v>
      </c>
      <c r="J139" s="248">
        <f t="shared" ref="J139:J202" si="13">O138</f>
        <v>-176987336.45614532</v>
      </c>
      <c r="K139" s="248"/>
      <c r="L139" s="248"/>
      <c r="M139" s="248">
        <v>0</v>
      </c>
      <c r="N139" s="248"/>
      <c r="O139" s="248">
        <f t="shared" si="11"/>
        <v>-176987336.45614532</v>
      </c>
    </row>
    <row r="140" spans="3:15" ht="16" thickTop="1" thickBot="1">
      <c r="C140" s="98"/>
      <c r="D140" s="239"/>
      <c r="E140" s="243">
        <f t="shared" ca="1" si="12"/>
        <v>410</v>
      </c>
      <c r="F140" s="243"/>
      <c r="G140" s="243"/>
      <c r="H140" s="243">
        <f t="shared" ca="1" si="10"/>
        <v>410</v>
      </c>
      <c r="J140" s="248">
        <f t="shared" si="13"/>
        <v>-176987336.45614532</v>
      </c>
      <c r="K140" s="248"/>
      <c r="L140" s="248"/>
      <c r="M140" s="248">
        <v>0</v>
      </c>
      <c r="N140" s="248"/>
      <c r="O140" s="248">
        <f t="shared" si="11"/>
        <v>-176987336.45614532</v>
      </c>
    </row>
    <row r="141" spans="3:15" ht="16" thickTop="1" thickBot="1">
      <c r="C141" s="98"/>
      <c r="D141" s="239"/>
      <c r="E141" s="243">
        <f t="shared" ca="1" si="12"/>
        <v>410</v>
      </c>
      <c r="F141" s="243"/>
      <c r="G141" s="243"/>
      <c r="H141" s="243">
        <f t="shared" ca="1" si="10"/>
        <v>410</v>
      </c>
      <c r="J141" s="248">
        <f t="shared" si="13"/>
        <v>-176987336.45614532</v>
      </c>
      <c r="K141" s="248"/>
      <c r="L141" s="248"/>
      <c r="M141" s="248">
        <v>0</v>
      </c>
      <c r="N141" s="248"/>
      <c r="O141" s="248">
        <f t="shared" si="11"/>
        <v>-176987336.45614532</v>
      </c>
    </row>
    <row r="142" spans="3:15" ht="16" thickTop="1" thickBot="1">
      <c r="C142" s="98"/>
      <c r="D142" s="239"/>
      <c r="E142" s="243">
        <f t="shared" ca="1" si="12"/>
        <v>410</v>
      </c>
      <c r="F142" s="243"/>
      <c r="G142" s="243"/>
      <c r="H142" s="243">
        <f t="shared" ca="1" si="10"/>
        <v>410</v>
      </c>
      <c r="J142" s="248">
        <f t="shared" si="13"/>
        <v>-176987336.45614532</v>
      </c>
      <c r="K142" s="248"/>
      <c r="L142" s="248"/>
      <c r="M142" s="248">
        <v>0</v>
      </c>
      <c r="N142" s="248"/>
      <c r="O142" s="248">
        <f t="shared" si="11"/>
        <v>-176987336.45614532</v>
      </c>
    </row>
    <row r="143" spans="3:15" ht="16" thickTop="1" thickBot="1">
      <c r="C143" s="98"/>
      <c r="D143" s="239"/>
      <c r="E143" s="243">
        <f t="shared" ca="1" si="12"/>
        <v>410</v>
      </c>
      <c r="F143" s="243"/>
      <c r="G143" s="243"/>
      <c r="H143" s="243">
        <f t="shared" ca="1" si="10"/>
        <v>410</v>
      </c>
      <c r="J143" s="248">
        <f t="shared" si="13"/>
        <v>-176987336.45614532</v>
      </c>
      <c r="K143" s="248"/>
      <c r="L143" s="248"/>
      <c r="M143" s="248">
        <v>0</v>
      </c>
      <c r="N143" s="248"/>
      <c r="O143" s="248">
        <f t="shared" si="11"/>
        <v>-176987336.45614532</v>
      </c>
    </row>
    <row r="144" spans="3:15" ht="16" thickTop="1" thickBot="1">
      <c r="C144" s="98"/>
      <c r="D144" s="239"/>
      <c r="E144" s="243">
        <f t="shared" ca="1" si="12"/>
        <v>410</v>
      </c>
      <c r="F144" s="243"/>
      <c r="G144" s="243"/>
      <c r="H144" s="243">
        <f t="shared" ca="1" si="10"/>
        <v>410</v>
      </c>
      <c r="J144" s="248">
        <f t="shared" si="13"/>
        <v>-176987336.45614532</v>
      </c>
      <c r="K144" s="248"/>
      <c r="L144" s="248"/>
      <c r="M144" s="248">
        <v>0</v>
      </c>
      <c r="N144" s="248"/>
      <c r="O144" s="248">
        <f t="shared" si="11"/>
        <v>-176987336.45614532</v>
      </c>
    </row>
    <row r="145" spans="3:15" ht="16" thickTop="1" thickBot="1">
      <c r="C145" s="98"/>
      <c r="D145" s="239"/>
      <c r="E145" s="243">
        <f t="shared" ca="1" si="12"/>
        <v>410</v>
      </c>
      <c r="F145" s="243"/>
      <c r="G145" s="243"/>
      <c r="H145" s="243">
        <f t="shared" ca="1" si="10"/>
        <v>410</v>
      </c>
      <c r="J145" s="248">
        <f t="shared" si="13"/>
        <v>-176987336.45614532</v>
      </c>
      <c r="K145" s="248"/>
      <c r="L145" s="248"/>
      <c r="M145" s="248">
        <v>0</v>
      </c>
      <c r="N145" s="248"/>
      <c r="O145" s="248">
        <f t="shared" si="11"/>
        <v>-176987336.45614532</v>
      </c>
    </row>
    <row r="146" spans="3:15" ht="16" thickTop="1" thickBot="1">
      <c r="C146" s="98"/>
      <c r="D146" s="239"/>
      <c r="E146" s="243">
        <f t="shared" ca="1" si="12"/>
        <v>410</v>
      </c>
      <c r="F146" s="243"/>
      <c r="G146" s="243"/>
      <c r="H146" s="243">
        <f t="shared" ca="1" si="10"/>
        <v>410</v>
      </c>
      <c r="J146" s="248">
        <f t="shared" si="13"/>
        <v>-176987336.45614532</v>
      </c>
      <c r="K146" s="248"/>
      <c r="L146" s="248"/>
      <c r="M146" s="248">
        <v>0</v>
      </c>
      <c r="N146" s="248"/>
      <c r="O146" s="248">
        <f t="shared" si="11"/>
        <v>-176987336.45614532</v>
      </c>
    </row>
    <row r="147" spans="3:15" ht="16" thickTop="1" thickBot="1">
      <c r="C147" s="98"/>
      <c r="D147" s="239"/>
      <c r="E147" s="243">
        <f t="shared" ca="1" si="12"/>
        <v>410</v>
      </c>
      <c r="F147" s="243"/>
      <c r="G147" s="243"/>
      <c r="H147" s="243">
        <f t="shared" ca="1" si="10"/>
        <v>410</v>
      </c>
      <c r="J147" s="248">
        <f t="shared" si="13"/>
        <v>-176987336.45614532</v>
      </c>
      <c r="K147" s="248"/>
      <c r="L147" s="248"/>
      <c r="M147" s="248">
        <v>0</v>
      </c>
      <c r="N147" s="248"/>
      <c r="O147" s="248">
        <f t="shared" si="11"/>
        <v>-176987336.45614532</v>
      </c>
    </row>
    <row r="148" spans="3:15" ht="16" thickTop="1" thickBot="1">
      <c r="C148" s="98"/>
      <c r="D148" s="239"/>
      <c r="E148" s="243">
        <f t="shared" ca="1" si="12"/>
        <v>410</v>
      </c>
      <c r="F148" s="243"/>
      <c r="G148" s="243"/>
      <c r="H148" s="243">
        <f t="shared" ca="1" si="10"/>
        <v>410</v>
      </c>
      <c r="J148" s="248">
        <f t="shared" si="13"/>
        <v>-176987336.45614532</v>
      </c>
      <c r="K148" s="248"/>
      <c r="L148" s="248"/>
      <c r="M148" s="248">
        <v>0</v>
      </c>
      <c r="N148" s="248"/>
      <c r="O148" s="248">
        <f t="shared" si="11"/>
        <v>-176987336.45614532</v>
      </c>
    </row>
    <row r="149" spans="3:15" ht="16" thickTop="1" thickBot="1">
      <c r="C149" s="98"/>
      <c r="D149" s="239"/>
      <c r="E149" s="243">
        <f t="shared" ca="1" si="12"/>
        <v>410</v>
      </c>
      <c r="F149" s="243"/>
      <c r="G149" s="243"/>
      <c r="H149" s="243">
        <f t="shared" ca="1" si="10"/>
        <v>410</v>
      </c>
      <c r="J149" s="248">
        <f t="shared" si="13"/>
        <v>-176987336.45614532</v>
      </c>
      <c r="K149" s="248"/>
      <c r="L149" s="248"/>
      <c r="M149" s="248">
        <v>0</v>
      </c>
      <c r="N149" s="248"/>
      <c r="O149" s="248">
        <f t="shared" si="11"/>
        <v>-176987336.45614532</v>
      </c>
    </row>
    <row r="150" spans="3:15" ht="16" thickTop="1" thickBot="1">
      <c r="C150" s="98"/>
      <c r="D150" s="239"/>
      <c r="E150" s="243">
        <f t="shared" ca="1" si="12"/>
        <v>410</v>
      </c>
      <c r="F150" s="243"/>
      <c r="G150" s="243"/>
      <c r="H150" s="243">
        <f t="shared" ca="1" si="10"/>
        <v>410</v>
      </c>
      <c r="J150" s="248">
        <f t="shared" si="13"/>
        <v>-176987336.45614532</v>
      </c>
      <c r="K150" s="248"/>
      <c r="L150" s="248"/>
      <c r="M150" s="248">
        <v>0</v>
      </c>
      <c r="N150" s="248"/>
      <c r="O150" s="248">
        <f t="shared" si="11"/>
        <v>-176987336.45614532</v>
      </c>
    </row>
    <row r="151" spans="3:15" ht="16" thickTop="1" thickBot="1">
      <c r="C151" s="98"/>
      <c r="D151" s="239"/>
      <c r="E151" s="243">
        <f t="shared" ca="1" si="12"/>
        <v>410</v>
      </c>
      <c r="F151" s="243"/>
      <c r="G151" s="243"/>
      <c r="H151" s="243">
        <f t="shared" ca="1" si="10"/>
        <v>410</v>
      </c>
      <c r="J151" s="248">
        <f t="shared" si="13"/>
        <v>-176987336.45614532</v>
      </c>
      <c r="K151" s="248"/>
      <c r="L151" s="248"/>
      <c r="M151" s="248">
        <v>0</v>
      </c>
      <c r="N151" s="248"/>
      <c r="O151" s="248">
        <f t="shared" si="11"/>
        <v>-176987336.45614532</v>
      </c>
    </row>
    <row r="152" spans="3:15" ht="16" thickTop="1" thickBot="1">
      <c r="C152" s="98"/>
      <c r="D152" s="239"/>
      <c r="E152" s="243">
        <f t="shared" ca="1" si="12"/>
        <v>410</v>
      </c>
      <c r="F152" s="243"/>
      <c r="G152" s="243"/>
      <c r="H152" s="243">
        <f t="shared" ca="1" si="10"/>
        <v>410</v>
      </c>
      <c r="J152" s="248">
        <f t="shared" si="13"/>
        <v>-176987336.45614532</v>
      </c>
      <c r="K152" s="248"/>
      <c r="L152" s="248"/>
      <c r="M152" s="248">
        <v>0</v>
      </c>
      <c r="N152" s="248"/>
      <c r="O152" s="248">
        <f t="shared" si="11"/>
        <v>-176987336.45614532</v>
      </c>
    </row>
    <row r="153" spans="3:15" ht="16" thickTop="1" thickBot="1">
      <c r="C153" s="98"/>
      <c r="D153" s="239"/>
      <c r="E153" s="243">
        <f t="shared" ca="1" si="12"/>
        <v>410</v>
      </c>
      <c r="F153" s="243"/>
      <c r="G153" s="243"/>
      <c r="H153" s="243">
        <f t="shared" ca="1" si="10"/>
        <v>410</v>
      </c>
      <c r="J153" s="248">
        <f t="shared" si="13"/>
        <v>-176987336.45614532</v>
      </c>
      <c r="K153" s="248"/>
      <c r="L153" s="248"/>
      <c r="M153" s="248">
        <v>0</v>
      </c>
      <c r="N153" s="248"/>
      <c r="O153" s="248">
        <f t="shared" si="11"/>
        <v>-176987336.45614532</v>
      </c>
    </row>
    <row r="154" spans="3:15" ht="16" thickTop="1" thickBot="1">
      <c r="C154" s="98"/>
      <c r="D154" s="239"/>
      <c r="E154" s="243">
        <f t="shared" ca="1" si="12"/>
        <v>410</v>
      </c>
      <c r="F154" s="243"/>
      <c r="G154" s="243"/>
      <c r="H154" s="243">
        <f t="shared" ca="1" si="10"/>
        <v>410</v>
      </c>
      <c r="J154" s="248">
        <f t="shared" si="13"/>
        <v>-176987336.45614532</v>
      </c>
      <c r="K154" s="248"/>
      <c r="L154" s="248"/>
      <c r="M154" s="248">
        <v>0</v>
      </c>
      <c r="N154" s="248"/>
      <c r="O154" s="248">
        <f t="shared" si="11"/>
        <v>-176987336.45614532</v>
      </c>
    </row>
    <row r="155" spans="3:15" ht="16" thickTop="1" thickBot="1">
      <c r="C155" s="98"/>
      <c r="D155" s="239"/>
      <c r="E155" s="243">
        <f t="shared" ca="1" si="12"/>
        <v>410</v>
      </c>
      <c r="F155" s="243"/>
      <c r="G155" s="243"/>
      <c r="H155" s="243">
        <f t="shared" ca="1" si="10"/>
        <v>410</v>
      </c>
      <c r="J155" s="248">
        <f t="shared" si="13"/>
        <v>-176987336.45614532</v>
      </c>
      <c r="K155" s="248"/>
      <c r="L155" s="248"/>
      <c r="M155" s="248">
        <v>0</v>
      </c>
      <c r="N155" s="248"/>
      <c r="O155" s="248">
        <f t="shared" si="11"/>
        <v>-176987336.45614532</v>
      </c>
    </row>
    <row r="156" spans="3:15" ht="16" thickTop="1" thickBot="1">
      <c r="C156" s="98"/>
      <c r="D156" s="239"/>
      <c r="E156" s="243">
        <f t="shared" ca="1" si="12"/>
        <v>410</v>
      </c>
      <c r="F156" s="243"/>
      <c r="G156" s="243"/>
      <c r="H156" s="243">
        <f t="shared" ca="1" si="10"/>
        <v>410</v>
      </c>
      <c r="J156" s="248">
        <f t="shared" si="13"/>
        <v>-176987336.45614532</v>
      </c>
      <c r="K156" s="248"/>
      <c r="L156" s="248"/>
      <c r="M156" s="248">
        <v>0</v>
      </c>
      <c r="N156" s="248"/>
      <c r="O156" s="248">
        <f t="shared" si="11"/>
        <v>-176987336.45614532</v>
      </c>
    </row>
    <row r="157" spans="3:15" ht="16" thickTop="1" thickBot="1">
      <c r="C157" s="98"/>
      <c r="D157" s="239"/>
      <c r="E157" s="243">
        <f t="shared" ca="1" si="12"/>
        <v>410</v>
      </c>
      <c r="F157" s="243"/>
      <c r="G157" s="243"/>
      <c r="H157" s="243">
        <f t="shared" ca="1" si="10"/>
        <v>410</v>
      </c>
      <c r="J157" s="248">
        <f t="shared" si="13"/>
        <v>-176987336.45614532</v>
      </c>
      <c r="K157" s="248"/>
      <c r="L157" s="248"/>
      <c r="M157" s="248">
        <v>0</v>
      </c>
      <c r="N157" s="248"/>
      <c r="O157" s="248">
        <f t="shared" si="11"/>
        <v>-176987336.45614532</v>
      </c>
    </row>
    <row r="158" spans="3:15" ht="16" thickTop="1" thickBot="1">
      <c r="C158" s="98"/>
      <c r="D158" s="239"/>
      <c r="E158" s="243">
        <f t="shared" ca="1" si="12"/>
        <v>410</v>
      </c>
      <c r="F158" s="243"/>
      <c r="G158" s="243"/>
      <c r="H158" s="243">
        <f t="shared" ca="1" si="10"/>
        <v>410</v>
      </c>
      <c r="J158" s="248">
        <f t="shared" si="13"/>
        <v>-176987336.45614532</v>
      </c>
      <c r="K158" s="248"/>
      <c r="L158" s="248"/>
      <c r="M158" s="248">
        <v>0</v>
      </c>
      <c r="N158" s="248"/>
      <c r="O158" s="248">
        <f t="shared" si="11"/>
        <v>-176987336.45614532</v>
      </c>
    </row>
    <row r="159" spans="3:15" ht="16" thickTop="1" thickBot="1">
      <c r="C159" s="98"/>
      <c r="D159" s="239"/>
      <c r="E159" s="243">
        <f t="shared" ca="1" si="12"/>
        <v>410</v>
      </c>
      <c r="F159" s="243"/>
      <c r="G159" s="243"/>
      <c r="H159" s="243">
        <f t="shared" ca="1" si="10"/>
        <v>410</v>
      </c>
      <c r="J159" s="248">
        <f t="shared" si="13"/>
        <v>-176987336.45614532</v>
      </c>
      <c r="K159" s="248"/>
      <c r="L159" s="248"/>
      <c r="M159" s="248">
        <v>0</v>
      </c>
      <c r="N159" s="248"/>
      <c r="O159" s="248">
        <f t="shared" si="11"/>
        <v>-176987336.45614532</v>
      </c>
    </row>
    <row r="160" spans="3:15" ht="16" thickTop="1" thickBot="1">
      <c r="C160" s="98"/>
      <c r="D160" s="239"/>
      <c r="E160" s="243">
        <f t="shared" ca="1" si="12"/>
        <v>410</v>
      </c>
      <c r="F160" s="243"/>
      <c r="G160" s="243"/>
      <c r="H160" s="243">
        <f t="shared" ca="1" si="10"/>
        <v>410</v>
      </c>
      <c r="J160" s="248">
        <f t="shared" si="13"/>
        <v>-176987336.45614532</v>
      </c>
      <c r="K160" s="248"/>
      <c r="L160" s="248"/>
      <c r="M160" s="248">
        <v>0</v>
      </c>
      <c r="N160" s="248"/>
      <c r="O160" s="248">
        <f t="shared" si="11"/>
        <v>-176987336.45614532</v>
      </c>
    </row>
    <row r="161" spans="3:15" ht="16" thickTop="1" thickBot="1">
      <c r="C161" s="98"/>
      <c r="D161" s="239"/>
      <c r="E161" s="243">
        <f t="shared" ca="1" si="12"/>
        <v>410</v>
      </c>
      <c r="F161" s="243"/>
      <c r="G161" s="243"/>
      <c r="H161" s="243">
        <f t="shared" ca="1" si="10"/>
        <v>410</v>
      </c>
      <c r="J161" s="248">
        <f t="shared" si="13"/>
        <v>-176987336.45614532</v>
      </c>
      <c r="K161" s="248"/>
      <c r="L161" s="248"/>
      <c r="M161" s="248">
        <v>0</v>
      </c>
      <c r="N161" s="248"/>
      <c r="O161" s="248">
        <f t="shared" si="11"/>
        <v>-176987336.45614532</v>
      </c>
    </row>
    <row r="162" spans="3:15" ht="16" thickTop="1" thickBot="1">
      <c r="C162" s="98"/>
      <c r="D162" s="239"/>
      <c r="E162" s="243">
        <f t="shared" ca="1" si="12"/>
        <v>410</v>
      </c>
      <c r="F162" s="243"/>
      <c r="G162" s="243"/>
      <c r="H162" s="243">
        <f t="shared" ca="1" si="10"/>
        <v>410</v>
      </c>
      <c r="J162" s="248">
        <f t="shared" si="13"/>
        <v>-176987336.45614532</v>
      </c>
      <c r="K162" s="248"/>
      <c r="L162" s="248"/>
      <c r="M162" s="248">
        <v>0</v>
      </c>
      <c r="N162" s="248"/>
      <c r="O162" s="248">
        <f t="shared" si="11"/>
        <v>-176987336.45614532</v>
      </c>
    </row>
    <row r="163" spans="3:15" ht="16" thickTop="1" thickBot="1">
      <c r="C163" s="98"/>
      <c r="D163" s="239"/>
      <c r="E163" s="243">
        <f t="shared" ca="1" si="12"/>
        <v>410</v>
      </c>
      <c r="F163" s="243"/>
      <c r="G163" s="243"/>
      <c r="H163" s="243">
        <f t="shared" ca="1" si="10"/>
        <v>410</v>
      </c>
      <c r="J163" s="248">
        <f t="shared" si="13"/>
        <v>-176987336.45614532</v>
      </c>
      <c r="K163" s="248"/>
      <c r="L163" s="248"/>
      <c r="M163" s="248">
        <v>0</v>
      </c>
      <c r="N163" s="248"/>
      <c r="O163" s="248">
        <f t="shared" si="11"/>
        <v>-176987336.45614532</v>
      </c>
    </row>
    <row r="164" spans="3:15" ht="16" thickTop="1" thickBot="1">
      <c r="C164" s="98"/>
      <c r="D164" s="239"/>
      <c r="E164" s="243">
        <f t="shared" ca="1" si="12"/>
        <v>410</v>
      </c>
      <c r="F164" s="243"/>
      <c r="G164" s="243"/>
      <c r="H164" s="243">
        <f t="shared" ca="1" si="10"/>
        <v>410</v>
      </c>
      <c r="J164" s="248">
        <f t="shared" si="13"/>
        <v>-176987336.45614532</v>
      </c>
      <c r="K164" s="248"/>
      <c r="L164" s="248"/>
      <c r="M164" s="248">
        <v>0</v>
      </c>
      <c r="N164" s="248"/>
      <c r="O164" s="248">
        <f t="shared" si="11"/>
        <v>-176987336.45614532</v>
      </c>
    </row>
    <row r="165" spans="3:15" ht="16" thickTop="1" thickBot="1">
      <c r="C165" s="98"/>
      <c r="D165" s="239"/>
      <c r="E165" s="243">
        <f t="shared" ca="1" si="12"/>
        <v>410</v>
      </c>
      <c r="F165" s="243"/>
      <c r="G165" s="243"/>
      <c r="H165" s="243">
        <f t="shared" ca="1" si="10"/>
        <v>410</v>
      </c>
      <c r="J165" s="248">
        <f t="shared" si="13"/>
        <v>-176987336.45614532</v>
      </c>
      <c r="K165" s="248"/>
      <c r="L165" s="248"/>
      <c r="M165" s="248">
        <v>0</v>
      </c>
      <c r="N165" s="248"/>
      <c r="O165" s="248">
        <f t="shared" si="11"/>
        <v>-176987336.45614532</v>
      </c>
    </row>
    <row r="166" spans="3:15" ht="16" thickTop="1" thickBot="1">
      <c r="C166" s="98"/>
      <c r="D166" s="239"/>
      <c r="E166" s="243">
        <f t="shared" ca="1" si="12"/>
        <v>410</v>
      </c>
      <c r="F166" s="243"/>
      <c r="G166" s="243"/>
      <c r="H166" s="243">
        <f t="shared" ca="1" si="10"/>
        <v>410</v>
      </c>
      <c r="J166" s="248">
        <f t="shared" si="13"/>
        <v>-176987336.45614532</v>
      </c>
      <c r="K166" s="248"/>
      <c r="L166" s="248"/>
      <c r="M166" s="248">
        <v>0</v>
      </c>
      <c r="N166" s="248"/>
      <c r="O166" s="248">
        <f t="shared" si="11"/>
        <v>-176987336.45614532</v>
      </c>
    </row>
    <row r="167" spans="3:15" ht="16" thickTop="1" thickBot="1">
      <c r="C167" s="98"/>
      <c r="D167" s="239"/>
      <c r="E167" s="243">
        <f t="shared" ca="1" si="12"/>
        <v>410</v>
      </c>
      <c r="F167" s="243"/>
      <c r="G167" s="243"/>
      <c r="H167" s="243">
        <f t="shared" ca="1" si="10"/>
        <v>410</v>
      </c>
      <c r="J167" s="248">
        <f t="shared" si="13"/>
        <v>-176987336.45614532</v>
      </c>
      <c r="K167" s="248"/>
      <c r="L167" s="248"/>
      <c r="M167" s="248">
        <v>0</v>
      </c>
      <c r="N167" s="248"/>
      <c r="O167" s="248">
        <f t="shared" si="11"/>
        <v>-176987336.45614532</v>
      </c>
    </row>
    <row r="168" spans="3:15" ht="16" thickTop="1" thickBot="1">
      <c r="C168" s="98"/>
      <c r="D168" s="239"/>
      <c r="E168" s="243">
        <f t="shared" ca="1" si="12"/>
        <v>410</v>
      </c>
      <c r="F168" s="243"/>
      <c r="G168" s="243"/>
      <c r="H168" s="243">
        <f t="shared" ca="1" si="10"/>
        <v>410</v>
      </c>
      <c r="J168" s="248">
        <f t="shared" si="13"/>
        <v>-176987336.45614532</v>
      </c>
      <c r="K168" s="248"/>
      <c r="L168" s="248"/>
      <c r="M168" s="248">
        <v>0</v>
      </c>
      <c r="N168" s="248"/>
      <c r="O168" s="248">
        <f t="shared" si="11"/>
        <v>-176987336.45614532</v>
      </c>
    </row>
    <row r="169" spans="3:15" ht="16" thickTop="1" thickBot="1">
      <c r="C169" s="98"/>
      <c r="D169" s="239"/>
      <c r="E169" s="243">
        <f t="shared" ca="1" si="12"/>
        <v>410</v>
      </c>
      <c r="F169" s="243"/>
      <c r="G169" s="243"/>
      <c r="H169" s="243">
        <f t="shared" ca="1" si="10"/>
        <v>410</v>
      </c>
      <c r="J169" s="248">
        <f t="shared" si="13"/>
        <v>-176987336.45614532</v>
      </c>
      <c r="K169" s="248"/>
      <c r="L169" s="248"/>
      <c r="M169" s="248">
        <v>0</v>
      </c>
      <c r="N169" s="248"/>
      <c r="O169" s="248">
        <f t="shared" si="11"/>
        <v>-176987336.45614532</v>
      </c>
    </row>
    <row r="170" spans="3:15" ht="16" thickTop="1" thickBot="1">
      <c r="C170" s="98"/>
      <c r="D170" s="239"/>
      <c r="E170" s="243">
        <f t="shared" ca="1" si="12"/>
        <v>410</v>
      </c>
      <c r="F170" s="243"/>
      <c r="G170" s="243"/>
      <c r="H170" s="243">
        <f t="shared" ca="1" si="10"/>
        <v>410</v>
      </c>
      <c r="J170" s="248">
        <f t="shared" si="13"/>
        <v>-176987336.45614532</v>
      </c>
      <c r="K170" s="248"/>
      <c r="L170" s="248"/>
      <c r="M170" s="248">
        <v>0</v>
      </c>
      <c r="N170" s="248"/>
      <c r="O170" s="248">
        <f t="shared" si="11"/>
        <v>-176987336.45614532</v>
      </c>
    </row>
    <row r="171" spans="3:15" ht="16" thickTop="1" thickBot="1">
      <c r="C171" s="98"/>
      <c r="D171" s="239"/>
      <c r="E171" s="243">
        <f t="shared" ca="1" si="12"/>
        <v>410</v>
      </c>
      <c r="F171" s="243"/>
      <c r="G171" s="243"/>
      <c r="H171" s="243">
        <f t="shared" ca="1" si="10"/>
        <v>410</v>
      </c>
      <c r="J171" s="248">
        <f t="shared" si="13"/>
        <v>-176987336.45614532</v>
      </c>
      <c r="K171" s="248"/>
      <c r="L171" s="248"/>
      <c r="M171" s="248">
        <v>0</v>
      </c>
      <c r="N171" s="248"/>
      <c r="O171" s="248">
        <f t="shared" si="11"/>
        <v>-176987336.45614532</v>
      </c>
    </row>
    <row r="172" spans="3:15" ht="16" thickTop="1" thickBot="1">
      <c r="C172" s="98"/>
      <c r="D172" s="239"/>
      <c r="E172" s="243">
        <f t="shared" ca="1" si="12"/>
        <v>410</v>
      </c>
      <c r="F172" s="243"/>
      <c r="G172" s="243"/>
      <c r="H172" s="243">
        <f t="shared" ca="1" si="10"/>
        <v>410</v>
      </c>
      <c r="J172" s="248">
        <f t="shared" si="13"/>
        <v>-176987336.45614532</v>
      </c>
      <c r="K172" s="248"/>
      <c r="L172" s="248"/>
      <c r="M172" s="248">
        <v>0</v>
      </c>
      <c r="N172" s="248"/>
      <c r="O172" s="248">
        <f t="shared" si="11"/>
        <v>-176987336.45614532</v>
      </c>
    </row>
    <row r="173" spans="3:15" ht="16" thickTop="1" thickBot="1">
      <c r="C173" s="98"/>
      <c r="D173" s="239"/>
      <c r="E173" s="243">
        <f t="shared" ca="1" si="12"/>
        <v>410</v>
      </c>
      <c r="F173" s="243"/>
      <c r="G173" s="243"/>
      <c r="H173" s="243">
        <f t="shared" ca="1" si="10"/>
        <v>410</v>
      </c>
      <c r="J173" s="248">
        <f t="shared" si="13"/>
        <v>-176987336.45614532</v>
      </c>
      <c r="K173" s="248"/>
      <c r="L173" s="248"/>
      <c r="M173" s="248">
        <v>0</v>
      </c>
      <c r="N173" s="248"/>
      <c r="O173" s="248">
        <f t="shared" si="11"/>
        <v>-176987336.45614532</v>
      </c>
    </row>
    <row r="174" spans="3:15" ht="16" thickTop="1" thickBot="1">
      <c r="C174" s="98"/>
      <c r="D174" s="239"/>
      <c r="E174" s="243">
        <f t="shared" ca="1" si="12"/>
        <v>410</v>
      </c>
      <c r="F174" s="243"/>
      <c r="G174" s="243"/>
      <c r="H174" s="243">
        <f t="shared" ca="1" si="10"/>
        <v>410</v>
      </c>
      <c r="J174" s="248">
        <f t="shared" si="13"/>
        <v>-176987336.45614532</v>
      </c>
      <c r="K174" s="248"/>
      <c r="L174" s="248"/>
      <c r="M174" s="248">
        <v>0</v>
      </c>
      <c r="N174" s="248"/>
      <c r="O174" s="248">
        <f t="shared" si="11"/>
        <v>-176987336.45614532</v>
      </c>
    </row>
    <row r="175" spans="3:15" ht="16" thickTop="1" thickBot="1">
      <c r="C175" s="98"/>
      <c r="D175" s="239"/>
      <c r="E175" s="243">
        <f t="shared" ca="1" si="12"/>
        <v>410</v>
      </c>
      <c r="F175" s="243"/>
      <c r="G175" s="243"/>
      <c r="H175" s="243">
        <f t="shared" ca="1" si="10"/>
        <v>410</v>
      </c>
      <c r="J175" s="248">
        <f t="shared" si="13"/>
        <v>-176987336.45614532</v>
      </c>
      <c r="K175" s="248"/>
      <c r="L175" s="248"/>
      <c r="M175" s="248">
        <v>0</v>
      </c>
      <c r="N175" s="248"/>
      <c r="O175" s="248">
        <f t="shared" si="11"/>
        <v>-176987336.45614532</v>
      </c>
    </row>
    <row r="176" spans="3:15" ht="16" thickTop="1" thickBot="1">
      <c r="C176" s="98"/>
      <c r="D176" s="239"/>
      <c r="E176" s="243">
        <f t="shared" ca="1" si="12"/>
        <v>410</v>
      </c>
      <c r="F176" s="243"/>
      <c r="G176" s="243"/>
      <c r="H176" s="243">
        <f t="shared" ca="1" si="10"/>
        <v>410</v>
      </c>
      <c r="J176" s="248">
        <f t="shared" si="13"/>
        <v>-176987336.45614532</v>
      </c>
      <c r="K176" s="248"/>
      <c r="L176" s="248"/>
      <c r="M176" s="248">
        <v>0</v>
      </c>
      <c r="N176" s="248"/>
      <c r="O176" s="248">
        <f t="shared" si="11"/>
        <v>-176987336.45614532</v>
      </c>
    </row>
    <row r="177" spans="3:15" ht="16" thickTop="1" thickBot="1">
      <c r="C177" s="98"/>
      <c r="D177" s="239"/>
      <c r="E177" s="243">
        <f t="shared" ca="1" si="12"/>
        <v>410</v>
      </c>
      <c r="F177" s="243"/>
      <c r="G177" s="243"/>
      <c r="H177" s="243">
        <f t="shared" ca="1" si="10"/>
        <v>410</v>
      </c>
      <c r="J177" s="248">
        <f t="shared" si="13"/>
        <v>-176987336.45614532</v>
      </c>
      <c r="K177" s="248"/>
      <c r="L177" s="248"/>
      <c r="M177" s="248">
        <v>0</v>
      </c>
      <c r="N177" s="248"/>
      <c r="O177" s="248">
        <f t="shared" si="11"/>
        <v>-176987336.45614532</v>
      </c>
    </row>
    <row r="178" spans="3:15" ht="16" thickTop="1" thickBot="1">
      <c r="C178" s="98"/>
      <c r="D178" s="239"/>
      <c r="E178" s="243">
        <f t="shared" ca="1" si="12"/>
        <v>410</v>
      </c>
      <c r="F178" s="243"/>
      <c r="G178" s="243"/>
      <c r="H178" s="243">
        <f t="shared" ca="1" si="10"/>
        <v>410</v>
      </c>
      <c r="J178" s="248">
        <f t="shared" si="13"/>
        <v>-176987336.45614532</v>
      </c>
      <c r="K178" s="248"/>
      <c r="L178" s="248"/>
      <c r="M178" s="248">
        <v>0</v>
      </c>
      <c r="N178" s="248"/>
      <c r="O178" s="248">
        <f t="shared" si="11"/>
        <v>-176987336.45614532</v>
      </c>
    </row>
    <row r="179" spans="3:15" ht="16" thickTop="1" thickBot="1">
      <c r="C179" s="98"/>
      <c r="D179" s="239"/>
      <c r="E179" s="243">
        <f t="shared" ca="1" si="12"/>
        <v>410</v>
      </c>
      <c r="F179" s="243"/>
      <c r="G179" s="243"/>
      <c r="H179" s="243">
        <f t="shared" ca="1" si="10"/>
        <v>410</v>
      </c>
      <c r="J179" s="248">
        <f t="shared" si="13"/>
        <v>-176987336.45614532</v>
      </c>
      <c r="K179" s="248"/>
      <c r="L179" s="248"/>
      <c r="M179" s="248">
        <v>0</v>
      </c>
      <c r="N179" s="248"/>
      <c r="O179" s="248">
        <f t="shared" si="11"/>
        <v>-176987336.45614532</v>
      </c>
    </row>
    <row r="180" spans="3:15" ht="16" thickTop="1" thickBot="1">
      <c r="C180" s="98"/>
      <c r="D180" s="239"/>
      <c r="E180" s="243">
        <f t="shared" ca="1" si="12"/>
        <v>410</v>
      </c>
      <c r="F180" s="243"/>
      <c r="G180" s="243"/>
      <c r="H180" s="243">
        <f t="shared" ca="1" si="10"/>
        <v>410</v>
      </c>
      <c r="J180" s="248">
        <f t="shared" si="13"/>
        <v>-176987336.45614532</v>
      </c>
      <c r="K180" s="248"/>
      <c r="L180" s="248"/>
      <c r="M180" s="248">
        <v>0</v>
      </c>
      <c r="N180" s="248"/>
      <c r="O180" s="248">
        <f t="shared" si="11"/>
        <v>-176987336.45614532</v>
      </c>
    </row>
    <row r="181" spans="3:15" ht="16" thickTop="1" thickBot="1">
      <c r="C181" s="98"/>
      <c r="D181" s="239"/>
      <c r="E181" s="243">
        <f t="shared" ca="1" si="12"/>
        <v>410</v>
      </c>
      <c r="F181" s="243"/>
      <c r="G181" s="243"/>
      <c r="H181" s="243">
        <f t="shared" ca="1" si="10"/>
        <v>410</v>
      </c>
      <c r="J181" s="248">
        <f t="shared" si="13"/>
        <v>-176987336.45614532</v>
      </c>
      <c r="K181" s="248"/>
      <c r="L181" s="248"/>
      <c r="M181" s="248">
        <v>0</v>
      </c>
      <c r="N181" s="248"/>
      <c r="O181" s="248">
        <f t="shared" si="11"/>
        <v>-176987336.45614532</v>
      </c>
    </row>
    <row r="182" spans="3:15" ht="16" thickTop="1" thickBot="1">
      <c r="C182" s="98"/>
      <c r="D182" s="239"/>
      <c r="E182" s="243">
        <f t="shared" ca="1" si="12"/>
        <v>410</v>
      </c>
      <c r="F182" s="243"/>
      <c r="G182" s="243"/>
      <c r="H182" s="243">
        <f t="shared" ca="1" si="10"/>
        <v>410</v>
      </c>
      <c r="J182" s="248">
        <f t="shared" si="13"/>
        <v>-176987336.45614532</v>
      </c>
      <c r="K182" s="248"/>
      <c r="L182" s="248"/>
      <c r="M182" s="248">
        <v>0</v>
      </c>
      <c r="N182" s="248"/>
      <c r="O182" s="248">
        <f t="shared" si="11"/>
        <v>-176987336.45614532</v>
      </c>
    </row>
    <row r="183" spans="3:15" ht="16" thickTop="1" thickBot="1">
      <c r="C183" s="98"/>
      <c r="D183" s="239"/>
      <c r="E183" s="243">
        <f t="shared" ca="1" si="12"/>
        <v>410</v>
      </c>
      <c r="F183" s="243"/>
      <c r="G183" s="243"/>
      <c r="H183" s="243">
        <f t="shared" ca="1" si="10"/>
        <v>410</v>
      </c>
      <c r="J183" s="248">
        <f t="shared" si="13"/>
        <v>-176987336.45614532</v>
      </c>
      <c r="K183" s="248"/>
      <c r="L183" s="248"/>
      <c r="M183" s="248">
        <v>0</v>
      </c>
      <c r="N183" s="248"/>
      <c r="O183" s="248">
        <f t="shared" si="11"/>
        <v>-176987336.45614532</v>
      </c>
    </row>
    <row r="184" spans="3:15" ht="16" thickTop="1" thickBot="1">
      <c r="C184" s="98"/>
      <c r="D184" s="239"/>
      <c r="E184" s="243">
        <f t="shared" ca="1" si="12"/>
        <v>410</v>
      </c>
      <c r="F184" s="243"/>
      <c r="G184" s="243"/>
      <c r="H184" s="243">
        <f t="shared" ca="1" si="10"/>
        <v>410</v>
      </c>
      <c r="J184" s="248">
        <f t="shared" si="13"/>
        <v>-176987336.45614532</v>
      </c>
      <c r="K184" s="248"/>
      <c r="L184" s="248"/>
      <c r="M184" s="248">
        <v>0</v>
      </c>
      <c r="N184" s="248"/>
      <c r="O184" s="248">
        <f t="shared" si="11"/>
        <v>-176987336.45614532</v>
      </c>
    </row>
    <row r="185" spans="3:15" ht="16" thickTop="1" thickBot="1">
      <c r="C185" s="98"/>
      <c r="D185" s="239"/>
      <c r="E185" s="243">
        <f t="shared" ca="1" si="12"/>
        <v>410</v>
      </c>
      <c r="F185" s="243"/>
      <c r="G185" s="243"/>
      <c r="H185" s="243">
        <f t="shared" ca="1" si="10"/>
        <v>410</v>
      </c>
      <c r="J185" s="248">
        <f t="shared" si="13"/>
        <v>-176987336.45614532</v>
      </c>
      <c r="K185" s="248"/>
      <c r="L185" s="248"/>
      <c r="M185" s="248">
        <v>0</v>
      </c>
      <c r="N185" s="248"/>
      <c r="O185" s="248">
        <f t="shared" si="11"/>
        <v>-176987336.45614532</v>
      </c>
    </row>
    <row r="186" spans="3:15" ht="16" thickTop="1" thickBot="1">
      <c r="C186" s="98"/>
      <c r="D186" s="239"/>
      <c r="E186" s="243">
        <f t="shared" ca="1" si="12"/>
        <v>410</v>
      </c>
      <c r="F186" s="243"/>
      <c r="G186" s="243"/>
      <c r="H186" s="243">
        <f t="shared" ca="1" si="10"/>
        <v>410</v>
      </c>
      <c r="J186" s="248">
        <f t="shared" si="13"/>
        <v>-176987336.45614532</v>
      </c>
      <c r="K186" s="248"/>
      <c r="L186" s="248"/>
      <c r="M186" s="248">
        <v>0</v>
      </c>
      <c r="N186" s="248"/>
      <c r="O186" s="248">
        <f t="shared" si="11"/>
        <v>-176987336.45614532</v>
      </c>
    </row>
    <row r="187" spans="3:15" ht="16" thickTop="1" thickBot="1">
      <c r="C187" s="98"/>
      <c r="D187" s="239"/>
      <c r="E187" s="243">
        <f t="shared" ca="1" si="12"/>
        <v>410</v>
      </c>
      <c r="F187" s="243"/>
      <c r="G187" s="243"/>
      <c r="H187" s="243">
        <f t="shared" ca="1" si="10"/>
        <v>410</v>
      </c>
      <c r="J187" s="248">
        <f t="shared" si="13"/>
        <v>-176987336.45614532</v>
      </c>
      <c r="K187" s="248"/>
      <c r="L187" s="248"/>
      <c r="M187" s="248">
        <v>0</v>
      </c>
      <c r="N187" s="248"/>
      <c r="O187" s="248">
        <f t="shared" si="11"/>
        <v>-176987336.45614532</v>
      </c>
    </row>
    <row r="188" spans="3:15" ht="16" thickTop="1" thickBot="1">
      <c r="C188" s="98"/>
      <c r="D188" s="239"/>
      <c r="E188" s="243">
        <f t="shared" ca="1" si="12"/>
        <v>410</v>
      </c>
      <c r="F188" s="243"/>
      <c r="G188" s="243"/>
      <c r="H188" s="243">
        <f t="shared" ca="1" si="10"/>
        <v>410</v>
      </c>
      <c r="J188" s="248">
        <f t="shared" si="13"/>
        <v>-176987336.45614532</v>
      </c>
      <c r="K188" s="248"/>
      <c r="L188" s="248"/>
      <c r="M188" s="248">
        <v>0</v>
      </c>
      <c r="N188" s="248"/>
      <c r="O188" s="248">
        <f t="shared" si="11"/>
        <v>-176987336.45614532</v>
      </c>
    </row>
    <row r="189" spans="3:15" ht="16" thickTop="1" thickBot="1">
      <c r="C189" s="98"/>
      <c r="D189" s="239"/>
      <c r="E189" s="243">
        <f t="shared" ca="1" si="12"/>
        <v>410</v>
      </c>
      <c r="F189" s="243"/>
      <c r="G189" s="243"/>
      <c r="H189" s="243">
        <f t="shared" ca="1" si="10"/>
        <v>410</v>
      </c>
      <c r="J189" s="248">
        <f t="shared" si="13"/>
        <v>-176987336.45614532</v>
      </c>
      <c r="K189" s="248"/>
      <c r="L189" s="248"/>
      <c r="M189" s="248">
        <v>0</v>
      </c>
      <c r="N189" s="248"/>
      <c r="O189" s="248">
        <f t="shared" si="11"/>
        <v>-176987336.45614532</v>
      </c>
    </row>
    <row r="190" spans="3:15" ht="16" thickTop="1" thickBot="1">
      <c r="C190" s="98"/>
      <c r="D190" s="239"/>
      <c r="E190" s="243">
        <f t="shared" ca="1" si="12"/>
        <v>410</v>
      </c>
      <c r="F190" s="243"/>
      <c r="G190" s="243"/>
      <c r="H190" s="243">
        <f t="shared" ca="1" si="10"/>
        <v>410</v>
      </c>
      <c r="J190" s="248">
        <f t="shared" si="13"/>
        <v>-176987336.45614532</v>
      </c>
      <c r="K190" s="248"/>
      <c r="L190" s="248"/>
      <c r="M190" s="248">
        <v>0</v>
      </c>
      <c r="N190" s="248"/>
      <c r="O190" s="248">
        <f t="shared" si="11"/>
        <v>-176987336.45614532</v>
      </c>
    </row>
    <row r="191" spans="3:15" ht="16" thickTop="1" thickBot="1">
      <c r="C191" s="98"/>
      <c r="D191" s="239"/>
      <c r="E191" s="243">
        <f t="shared" ca="1" si="12"/>
        <v>410</v>
      </c>
      <c r="F191" s="243"/>
      <c r="G191" s="243"/>
      <c r="H191" s="243">
        <f t="shared" ca="1" si="10"/>
        <v>410</v>
      </c>
      <c r="J191" s="248">
        <f t="shared" si="13"/>
        <v>-176987336.45614532</v>
      </c>
      <c r="K191" s="248"/>
      <c r="L191" s="248"/>
      <c r="M191" s="248">
        <v>0</v>
      </c>
      <c r="N191" s="248"/>
      <c r="O191" s="248">
        <f t="shared" si="11"/>
        <v>-176987336.45614532</v>
      </c>
    </row>
    <row r="192" spans="3:15" ht="16" thickTop="1" thickBot="1">
      <c r="C192" s="98"/>
      <c r="D192" s="239"/>
      <c r="E192" s="243">
        <f t="shared" ca="1" si="12"/>
        <v>410</v>
      </c>
      <c r="F192" s="243"/>
      <c r="G192" s="243"/>
      <c r="H192" s="243">
        <f t="shared" ca="1" si="10"/>
        <v>410</v>
      </c>
      <c r="J192" s="248">
        <f t="shared" si="13"/>
        <v>-176987336.45614532</v>
      </c>
      <c r="K192" s="248"/>
      <c r="L192" s="248"/>
      <c r="M192" s="248">
        <v>0</v>
      </c>
      <c r="N192" s="248"/>
      <c r="O192" s="248">
        <f t="shared" si="11"/>
        <v>-176987336.45614532</v>
      </c>
    </row>
    <row r="193" spans="3:15" ht="16" thickTop="1" thickBot="1">
      <c r="C193" s="98"/>
      <c r="D193" s="239"/>
      <c r="E193" s="243">
        <f t="shared" ca="1" si="12"/>
        <v>410</v>
      </c>
      <c r="F193" s="243"/>
      <c r="G193" s="243"/>
      <c r="H193" s="243">
        <f t="shared" ca="1" si="10"/>
        <v>410</v>
      </c>
      <c r="J193" s="248">
        <f t="shared" si="13"/>
        <v>-176987336.45614532</v>
      </c>
      <c r="K193" s="248"/>
      <c r="L193" s="248"/>
      <c r="M193" s="248">
        <v>0</v>
      </c>
      <c r="N193" s="248"/>
      <c r="O193" s="248">
        <f t="shared" si="11"/>
        <v>-176987336.45614532</v>
      </c>
    </row>
    <row r="194" spans="3:15" ht="16" thickTop="1" thickBot="1">
      <c r="C194" s="98"/>
      <c r="D194" s="239"/>
      <c r="E194" s="243">
        <f t="shared" ca="1" si="12"/>
        <v>410</v>
      </c>
      <c r="F194" s="243"/>
      <c r="G194" s="243"/>
      <c r="H194" s="243">
        <f t="shared" ca="1" si="10"/>
        <v>410</v>
      </c>
      <c r="J194" s="248">
        <f t="shared" si="13"/>
        <v>-176987336.45614532</v>
      </c>
      <c r="K194" s="248"/>
      <c r="L194" s="248"/>
      <c r="M194" s="248">
        <v>0</v>
      </c>
      <c r="N194" s="248"/>
      <c r="O194" s="248">
        <f t="shared" si="11"/>
        <v>-176987336.45614532</v>
      </c>
    </row>
    <row r="195" spans="3:15" ht="16" thickTop="1" thickBot="1">
      <c r="C195" s="98"/>
      <c r="D195" s="239"/>
      <c r="E195" s="243">
        <f t="shared" ca="1" si="12"/>
        <v>410</v>
      </c>
      <c r="F195" s="243"/>
      <c r="G195" s="243"/>
      <c r="H195" s="243">
        <f t="shared" ca="1" si="10"/>
        <v>410</v>
      </c>
      <c r="J195" s="248">
        <f t="shared" si="13"/>
        <v>-176987336.45614532</v>
      </c>
      <c r="K195" s="248"/>
      <c r="L195" s="248"/>
      <c r="M195" s="248">
        <v>0</v>
      </c>
      <c r="N195" s="248"/>
      <c r="O195" s="248">
        <f t="shared" si="11"/>
        <v>-176987336.45614532</v>
      </c>
    </row>
    <row r="196" spans="3:15" ht="16" thickTop="1" thickBot="1">
      <c r="C196" s="98"/>
      <c r="D196" s="239"/>
      <c r="E196" s="243">
        <f t="shared" ca="1" si="12"/>
        <v>410</v>
      </c>
      <c r="F196" s="243"/>
      <c r="G196" s="243"/>
      <c r="H196" s="243">
        <f t="shared" ca="1" si="10"/>
        <v>410</v>
      </c>
      <c r="J196" s="248">
        <f t="shared" si="13"/>
        <v>-176987336.45614532</v>
      </c>
      <c r="K196" s="248"/>
      <c r="L196" s="248"/>
      <c r="M196" s="248">
        <v>0</v>
      </c>
      <c r="N196" s="248"/>
      <c r="O196" s="248">
        <f t="shared" si="11"/>
        <v>-176987336.45614532</v>
      </c>
    </row>
    <row r="197" spans="3:15" ht="16" thickTop="1" thickBot="1">
      <c r="C197" s="98"/>
      <c r="D197" s="239"/>
      <c r="E197" s="243">
        <f t="shared" ca="1" si="12"/>
        <v>410</v>
      </c>
      <c r="F197" s="243"/>
      <c r="G197" s="243"/>
      <c r="H197" s="243">
        <f t="shared" ca="1" si="10"/>
        <v>410</v>
      </c>
      <c r="J197" s="248">
        <f t="shared" si="13"/>
        <v>-176987336.45614532</v>
      </c>
      <c r="K197" s="248"/>
      <c r="L197" s="248"/>
      <c r="M197" s="248">
        <v>0</v>
      </c>
      <c r="N197" s="248"/>
      <c r="O197" s="248">
        <f t="shared" si="11"/>
        <v>-176987336.45614532</v>
      </c>
    </row>
    <row r="198" spans="3:15" ht="16" thickTop="1" thickBot="1">
      <c r="C198" s="98"/>
      <c r="D198" s="239"/>
      <c r="E198" s="243">
        <f t="shared" ca="1" si="12"/>
        <v>410</v>
      </c>
      <c r="F198" s="243"/>
      <c r="G198" s="243"/>
      <c r="H198" s="243">
        <f t="shared" ca="1" si="10"/>
        <v>410</v>
      </c>
      <c r="J198" s="248">
        <f t="shared" si="13"/>
        <v>-176987336.45614532</v>
      </c>
      <c r="K198" s="248"/>
      <c r="L198" s="248"/>
      <c r="M198" s="248">
        <v>0</v>
      </c>
      <c r="N198" s="248"/>
      <c r="O198" s="248">
        <f t="shared" si="11"/>
        <v>-176987336.45614532</v>
      </c>
    </row>
    <row r="199" spans="3:15" ht="16" thickTop="1" thickBot="1">
      <c r="C199" s="98"/>
      <c r="D199" s="239"/>
      <c r="E199" s="243">
        <f t="shared" ca="1" si="12"/>
        <v>410</v>
      </c>
      <c r="F199" s="243"/>
      <c r="G199" s="243"/>
      <c r="H199" s="243">
        <f t="shared" ca="1" si="10"/>
        <v>410</v>
      </c>
      <c r="J199" s="248">
        <f t="shared" si="13"/>
        <v>-176987336.45614532</v>
      </c>
      <c r="K199" s="248"/>
      <c r="L199" s="248"/>
      <c r="M199" s="248">
        <v>0</v>
      </c>
      <c r="N199" s="248"/>
      <c r="O199" s="248">
        <f t="shared" si="11"/>
        <v>-176987336.45614532</v>
      </c>
    </row>
    <row r="200" spans="3:15" ht="16" thickTop="1" thickBot="1">
      <c r="C200" s="98"/>
      <c r="D200" s="239"/>
      <c r="E200" s="243">
        <f t="shared" ca="1" si="12"/>
        <v>410</v>
      </c>
      <c r="F200" s="243"/>
      <c r="G200" s="243"/>
      <c r="H200" s="243">
        <f t="shared" ca="1" si="10"/>
        <v>410</v>
      </c>
      <c r="J200" s="248">
        <f t="shared" si="13"/>
        <v>-176987336.45614532</v>
      </c>
      <c r="K200" s="248"/>
      <c r="L200" s="248"/>
      <c r="M200" s="248">
        <v>0</v>
      </c>
      <c r="N200" s="248"/>
      <c r="O200" s="248">
        <f t="shared" si="11"/>
        <v>-176987336.45614532</v>
      </c>
    </row>
    <row r="201" spans="3:15" ht="16" thickTop="1" thickBot="1">
      <c r="C201" s="98"/>
      <c r="D201" s="239"/>
      <c r="E201" s="243">
        <f t="shared" ca="1" si="12"/>
        <v>410</v>
      </c>
      <c r="F201" s="243"/>
      <c r="G201" s="243"/>
      <c r="H201" s="243">
        <f t="shared" ref="H201:H264" ca="1" si="14">E201+F201-G201</f>
        <v>410</v>
      </c>
      <c r="J201" s="248">
        <f t="shared" si="13"/>
        <v>-176987336.45614532</v>
      </c>
      <c r="K201" s="248"/>
      <c r="L201" s="248"/>
      <c r="M201" s="248">
        <v>0</v>
      </c>
      <c r="N201" s="248"/>
      <c r="O201" s="248">
        <f t="shared" si="11"/>
        <v>-176987336.45614532</v>
      </c>
    </row>
    <row r="202" spans="3:15" ht="16" thickTop="1" thickBot="1">
      <c r="C202" s="98"/>
      <c r="D202" s="239"/>
      <c r="E202" s="243">
        <f t="shared" ca="1" si="12"/>
        <v>410</v>
      </c>
      <c r="F202" s="243"/>
      <c r="G202" s="243"/>
      <c r="H202" s="243">
        <f t="shared" ca="1" si="14"/>
        <v>410</v>
      </c>
      <c r="J202" s="248">
        <f t="shared" si="13"/>
        <v>-176987336.45614532</v>
      </c>
      <c r="K202" s="248"/>
      <c r="L202" s="248"/>
      <c r="M202" s="248">
        <v>0</v>
      </c>
      <c r="N202" s="248"/>
      <c r="O202" s="248">
        <f t="shared" ref="O202:O265" si="15">J202+K202+L202+M202-N202</f>
        <v>-176987336.45614532</v>
      </c>
    </row>
    <row r="203" spans="3:15" ht="16" thickTop="1" thickBot="1">
      <c r="C203" s="98"/>
      <c r="D203" s="239"/>
      <c r="E203" s="243">
        <f t="shared" ref="E203:E266" ca="1" si="16">H202</f>
        <v>410</v>
      </c>
      <c r="F203" s="243"/>
      <c r="G203" s="243"/>
      <c r="H203" s="243">
        <f t="shared" ca="1" si="14"/>
        <v>410</v>
      </c>
      <c r="J203" s="248">
        <f t="shared" ref="J203:J266" si="17">O202</f>
        <v>-176987336.45614532</v>
      </c>
      <c r="K203" s="248"/>
      <c r="L203" s="248"/>
      <c r="M203" s="248">
        <v>0</v>
      </c>
      <c r="N203" s="248"/>
      <c r="O203" s="248">
        <f t="shared" si="15"/>
        <v>-176987336.45614532</v>
      </c>
    </row>
    <row r="204" spans="3:15" ht="16" thickTop="1" thickBot="1">
      <c r="C204" s="98"/>
      <c r="D204" s="239"/>
      <c r="E204" s="243">
        <f t="shared" ca="1" si="16"/>
        <v>410</v>
      </c>
      <c r="F204" s="243"/>
      <c r="G204" s="243"/>
      <c r="H204" s="243">
        <f t="shared" ca="1" si="14"/>
        <v>410</v>
      </c>
      <c r="J204" s="248">
        <f t="shared" si="17"/>
        <v>-176987336.45614532</v>
      </c>
      <c r="K204" s="248"/>
      <c r="L204" s="248"/>
      <c r="M204" s="248">
        <v>0</v>
      </c>
      <c r="N204" s="248"/>
      <c r="O204" s="248">
        <f t="shared" si="15"/>
        <v>-176987336.45614532</v>
      </c>
    </row>
    <row r="205" spans="3:15" ht="16" thickTop="1" thickBot="1">
      <c r="C205" s="98"/>
      <c r="D205" s="239"/>
      <c r="E205" s="243">
        <f t="shared" ca="1" si="16"/>
        <v>410</v>
      </c>
      <c r="F205" s="243"/>
      <c r="G205" s="243"/>
      <c r="H205" s="243">
        <f t="shared" ca="1" si="14"/>
        <v>410</v>
      </c>
      <c r="J205" s="248">
        <f t="shared" si="17"/>
        <v>-176987336.45614532</v>
      </c>
      <c r="K205" s="248"/>
      <c r="L205" s="248"/>
      <c r="M205" s="248">
        <v>0</v>
      </c>
      <c r="N205" s="248"/>
      <c r="O205" s="248">
        <f t="shared" si="15"/>
        <v>-176987336.45614532</v>
      </c>
    </row>
    <row r="206" spans="3:15" ht="16" thickTop="1" thickBot="1">
      <c r="C206" s="98"/>
      <c r="D206" s="239"/>
      <c r="E206" s="243">
        <f t="shared" ca="1" si="16"/>
        <v>410</v>
      </c>
      <c r="F206" s="243"/>
      <c r="G206" s="243"/>
      <c r="H206" s="243">
        <f t="shared" ca="1" si="14"/>
        <v>410</v>
      </c>
      <c r="J206" s="248">
        <f t="shared" si="17"/>
        <v>-176987336.45614532</v>
      </c>
      <c r="K206" s="248"/>
      <c r="L206" s="248"/>
      <c r="M206" s="248">
        <v>0</v>
      </c>
      <c r="N206" s="248"/>
      <c r="O206" s="248">
        <f t="shared" si="15"/>
        <v>-176987336.45614532</v>
      </c>
    </row>
    <row r="207" spans="3:15" ht="16" thickTop="1" thickBot="1">
      <c r="C207" s="98"/>
      <c r="D207" s="239"/>
      <c r="E207" s="243">
        <f t="shared" ca="1" si="16"/>
        <v>410</v>
      </c>
      <c r="F207" s="243"/>
      <c r="G207" s="243"/>
      <c r="H207" s="243">
        <f t="shared" ca="1" si="14"/>
        <v>410</v>
      </c>
      <c r="J207" s="248">
        <f t="shared" si="17"/>
        <v>-176987336.45614532</v>
      </c>
      <c r="K207" s="248"/>
      <c r="L207" s="248"/>
      <c r="M207" s="248">
        <v>0</v>
      </c>
      <c r="N207" s="248"/>
      <c r="O207" s="248">
        <f t="shared" si="15"/>
        <v>-176987336.45614532</v>
      </c>
    </row>
    <row r="208" spans="3:15" ht="16" thickTop="1" thickBot="1">
      <c r="C208" s="98"/>
      <c r="D208" s="239"/>
      <c r="E208" s="243">
        <f t="shared" ca="1" si="16"/>
        <v>410</v>
      </c>
      <c r="F208" s="243"/>
      <c r="G208" s="243"/>
      <c r="H208" s="243">
        <f t="shared" ca="1" si="14"/>
        <v>410</v>
      </c>
      <c r="J208" s="248">
        <f t="shared" si="17"/>
        <v>-176987336.45614532</v>
      </c>
      <c r="K208" s="248"/>
      <c r="L208" s="248"/>
      <c r="M208" s="248">
        <v>0</v>
      </c>
      <c r="N208" s="248"/>
      <c r="O208" s="248">
        <f t="shared" si="15"/>
        <v>-176987336.45614532</v>
      </c>
    </row>
    <row r="209" spans="3:15" ht="16" thickTop="1" thickBot="1">
      <c r="C209" s="98"/>
      <c r="D209" s="239"/>
      <c r="E209" s="243">
        <f t="shared" ca="1" si="16"/>
        <v>410</v>
      </c>
      <c r="F209" s="243"/>
      <c r="G209" s="243"/>
      <c r="H209" s="243">
        <f t="shared" ca="1" si="14"/>
        <v>410</v>
      </c>
      <c r="J209" s="248">
        <f t="shared" si="17"/>
        <v>-176987336.45614532</v>
      </c>
      <c r="K209" s="248"/>
      <c r="L209" s="248"/>
      <c r="M209" s="248">
        <v>0</v>
      </c>
      <c r="N209" s="248"/>
      <c r="O209" s="248">
        <f t="shared" si="15"/>
        <v>-176987336.45614532</v>
      </c>
    </row>
    <row r="210" spans="3:15" ht="16" thickTop="1" thickBot="1">
      <c r="C210" s="98"/>
      <c r="D210" s="239"/>
      <c r="E210" s="243">
        <f t="shared" ca="1" si="16"/>
        <v>410</v>
      </c>
      <c r="F210" s="243"/>
      <c r="G210" s="243"/>
      <c r="H210" s="243">
        <f t="shared" ca="1" si="14"/>
        <v>410</v>
      </c>
      <c r="J210" s="248">
        <f t="shared" si="17"/>
        <v>-176987336.45614532</v>
      </c>
      <c r="K210" s="248"/>
      <c r="L210" s="248"/>
      <c r="M210" s="248">
        <v>0</v>
      </c>
      <c r="N210" s="248"/>
      <c r="O210" s="248">
        <f t="shared" si="15"/>
        <v>-176987336.45614532</v>
      </c>
    </row>
    <row r="211" spans="3:15" ht="16" thickTop="1" thickBot="1">
      <c r="C211" s="98"/>
      <c r="D211" s="239"/>
      <c r="E211" s="243">
        <f t="shared" ca="1" si="16"/>
        <v>410</v>
      </c>
      <c r="F211" s="243"/>
      <c r="G211" s="243"/>
      <c r="H211" s="243">
        <f t="shared" ca="1" si="14"/>
        <v>410</v>
      </c>
      <c r="J211" s="248">
        <f t="shared" si="17"/>
        <v>-176987336.45614532</v>
      </c>
      <c r="K211" s="248"/>
      <c r="L211" s="248"/>
      <c r="M211" s="248">
        <v>0</v>
      </c>
      <c r="N211" s="248"/>
      <c r="O211" s="248">
        <f t="shared" si="15"/>
        <v>-176987336.45614532</v>
      </c>
    </row>
    <row r="212" spans="3:15" ht="16" thickTop="1" thickBot="1">
      <c r="C212" s="98"/>
      <c r="D212" s="239"/>
      <c r="E212" s="243">
        <f t="shared" ca="1" si="16"/>
        <v>410</v>
      </c>
      <c r="F212" s="243"/>
      <c r="G212" s="243"/>
      <c r="H212" s="243">
        <f t="shared" ca="1" si="14"/>
        <v>410</v>
      </c>
      <c r="J212" s="248">
        <f t="shared" si="17"/>
        <v>-176987336.45614532</v>
      </c>
      <c r="K212" s="248"/>
      <c r="L212" s="248"/>
      <c r="M212" s="248">
        <v>0</v>
      </c>
      <c r="N212" s="248"/>
      <c r="O212" s="248">
        <f t="shared" si="15"/>
        <v>-176987336.45614532</v>
      </c>
    </row>
    <row r="213" spans="3:15" ht="16" thickTop="1" thickBot="1">
      <c r="C213" s="98"/>
      <c r="D213" s="239"/>
      <c r="E213" s="243">
        <f t="shared" ca="1" si="16"/>
        <v>410</v>
      </c>
      <c r="F213" s="243"/>
      <c r="G213" s="243"/>
      <c r="H213" s="243">
        <f t="shared" ca="1" si="14"/>
        <v>410</v>
      </c>
      <c r="J213" s="248">
        <f t="shared" si="17"/>
        <v>-176987336.45614532</v>
      </c>
      <c r="K213" s="248"/>
      <c r="L213" s="248"/>
      <c r="M213" s="248">
        <v>0</v>
      </c>
      <c r="N213" s="248"/>
      <c r="O213" s="248">
        <f t="shared" si="15"/>
        <v>-176987336.45614532</v>
      </c>
    </row>
    <row r="214" spans="3:15" ht="16" thickTop="1" thickBot="1">
      <c r="C214" s="98"/>
      <c r="D214" s="239"/>
      <c r="E214" s="243">
        <f t="shared" ca="1" si="16"/>
        <v>410</v>
      </c>
      <c r="F214" s="243"/>
      <c r="G214" s="243"/>
      <c r="H214" s="243">
        <f t="shared" ca="1" si="14"/>
        <v>410</v>
      </c>
      <c r="J214" s="248">
        <f t="shared" si="17"/>
        <v>-176987336.45614532</v>
      </c>
      <c r="K214" s="248"/>
      <c r="L214" s="248"/>
      <c r="M214" s="248">
        <v>0</v>
      </c>
      <c r="N214" s="248"/>
      <c r="O214" s="248">
        <f t="shared" si="15"/>
        <v>-176987336.45614532</v>
      </c>
    </row>
    <row r="215" spans="3:15" ht="16" thickTop="1" thickBot="1">
      <c r="C215" s="98"/>
      <c r="D215" s="239"/>
      <c r="E215" s="243">
        <f t="shared" ca="1" si="16"/>
        <v>410</v>
      </c>
      <c r="F215" s="243"/>
      <c r="G215" s="243"/>
      <c r="H215" s="243">
        <f t="shared" ca="1" si="14"/>
        <v>410</v>
      </c>
      <c r="J215" s="248">
        <f t="shared" si="17"/>
        <v>-176987336.45614532</v>
      </c>
      <c r="K215" s="248"/>
      <c r="L215" s="248"/>
      <c r="M215" s="248">
        <v>0</v>
      </c>
      <c r="N215" s="248"/>
      <c r="O215" s="248">
        <f t="shared" si="15"/>
        <v>-176987336.45614532</v>
      </c>
    </row>
    <row r="216" spans="3:15" ht="16" thickTop="1" thickBot="1">
      <c r="C216" s="98"/>
      <c r="D216" s="239"/>
      <c r="E216" s="243">
        <f t="shared" ca="1" si="16"/>
        <v>410</v>
      </c>
      <c r="F216" s="243"/>
      <c r="G216" s="243"/>
      <c r="H216" s="243">
        <f t="shared" ca="1" si="14"/>
        <v>410</v>
      </c>
      <c r="J216" s="248">
        <f t="shared" si="17"/>
        <v>-176987336.45614532</v>
      </c>
      <c r="K216" s="248"/>
      <c r="L216" s="248"/>
      <c r="M216" s="248">
        <v>0</v>
      </c>
      <c r="N216" s="248"/>
      <c r="O216" s="248">
        <f t="shared" si="15"/>
        <v>-176987336.45614532</v>
      </c>
    </row>
    <row r="217" spans="3:15" ht="16" thickTop="1" thickBot="1">
      <c r="C217" s="98"/>
      <c r="D217" s="239"/>
      <c r="E217" s="243">
        <f t="shared" ca="1" si="16"/>
        <v>410</v>
      </c>
      <c r="F217" s="243"/>
      <c r="G217" s="243"/>
      <c r="H217" s="243">
        <f t="shared" ca="1" si="14"/>
        <v>410</v>
      </c>
      <c r="J217" s="248">
        <f t="shared" si="17"/>
        <v>-176987336.45614532</v>
      </c>
      <c r="K217" s="248"/>
      <c r="L217" s="248"/>
      <c r="M217" s="248">
        <v>0</v>
      </c>
      <c r="N217" s="248"/>
      <c r="O217" s="248">
        <f t="shared" si="15"/>
        <v>-176987336.45614532</v>
      </c>
    </row>
    <row r="218" spans="3:15" ht="16" thickTop="1" thickBot="1">
      <c r="C218" s="98"/>
      <c r="D218" s="239"/>
      <c r="E218" s="243">
        <f t="shared" ca="1" si="16"/>
        <v>410</v>
      </c>
      <c r="F218" s="243"/>
      <c r="G218" s="243"/>
      <c r="H218" s="243">
        <f t="shared" ca="1" si="14"/>
        <v>410</v>
      </c>
      <c r="J218" s="248">
        <f t="shared" si="17"/>
        <v>-176987336.45614532</v>
      </c>
      <c r="K218" s="248"/>
      <c r="L218" s="248"/>
      <c r="M218" s="248">
        <v>0</v>
      </c>
      <c r="N218" s="248"/>
      <c r="O218" s="248">
        <f t="shared" si="15"/>
        <v>-176987336.45614532</v>
      </c>
    </row>
    <row r="219" spans="3:15" ht="16" thickTop="1" thickBot="1">
      <c r="C219" s="98"/>
      <c r="D219" s="239"/>
      <c r="E219" s="243">
        <f t="shared" ca="1" si="16"/>
        <v>410</v>
      </c>
      <c r="F219" s="243"/>
      <c r="G219" s="243"/>
      <c r="H219" s="243">
        <f t="shared" ca="1" si="14"/>
        <v>410</v>
      </c>
      <c r="J219" s="248">
        <f t="shared" si="17"/>
        <v>-176987336.45614532</v>
      </c>
      <c r="K219" s="248"/>
      <c r="L219" s="248"/>
      <c r="M219" s="248">
        <v>0</v>
      </c>
      <c r="N219" s="248"/>
      <c r="O219" s="248">
        <f t="shared" si="15"/>
        <v>-176987336.45614532</v>
      </c>
    </row>
    <row r="220" spans="3:15" ht="16" thickTop="1" thickBot="1">
      <c r="C220" s="98"/>
      <c r="D220" s="239"/>
      <c r="E220" s="243">
        <f t="shared" ca="1" si="16"/>
        <v>410</v>
      </c>
      <c r="F220" s="243"/>
      <c r="G220" s="243"/>
      <c r="H220" s="243">
        <f t="shared" ca="1" si="14"/>
        <v>410</v>
      </c>
      <c r="J220" s="248">
        <f t="shared" si="17"/>
        <v>-176987336.45614532</v>
      </c>
      <c r="K220" s="248"/>
      <c r="L220" s="248"/>
      <c r="M220" s="248">
        <v>0</v>
      </c>
      <c r="N220" s="248"/>
      <c r="O220" s="248">
        <f t="shared" si="15"/>
        <v>-176987336.45614532</v>
      </c>
    </row>
    <row r="221" spans="3:15" ht="16" thickTop="1" thickBot="1">
      <c r="C221" s="98"/>
      <c r="D221" s="239"/>
      <c r="E221" s="243">
        <f t="shared" ca="1" si="16"/>
        <v>410</v>
      </c>
      <c r="F221" s="243"/>
      <c r="G221" s="243"/>
      <c r="H221" s="243">
        <f t="shared" ca="1" si="14"/>
        <v>410</v>
      </c>
      <c r="J221" s="248">
        <f t="shared" si="17"/>
        <v>-176987336.45614532</v>
      </c>
      <c r="K221" s="248"/>
      <c r="L221" s="248"/>
      <c r="M221" s="248">
        <v>0</v>
      </c>
      <c r="N221" s="248"/>
      <c r="O221" s="248">
        <f t="shared" si="15"/>
        <v>-176987336.45614532</v>
      </c>
    </row>
    <row r="222" spans="3:15" ht="16" thickTop="1" thickBot="1">
      <c r="C222" s="98"/>
      <c r="D222" s="239"/>
      <c r="E222" s="243">
        <f t="shared" ca="1" si="16"/>
        <v>410</v>
      </c>
      <c r="F222" s="243"/>
      <c r="G222" s="243"/>
      <c r="H222" s="243">
        <f t="shared" ca="1" si="14"/>
        <v>410</v>
      </c>
      <c r="J222" s="248">
        <f t="shared" si="17"/>
        <v>-176987336.45614532</v>
      </c>
      <c r="K222" s="248"/>
      <c r="L222" s="248"/>
      <c r="M222" s="248">
        <v>0</v>
      </c>
      <c r="N222" s="248"/>
      <c r="O222" s="248">
        <f t="shared" si="15"/>
        <v>-176987336.45614532</v>
      </c>
    </row>
    <row r="223" spans="3:15" ht="16" thickTop="1" thickBot="1">
      <c r="C223" s="98"/>
      <c r="D223" s="239"/>
      <c r="E223" s="243">
        <f t="shared" ca="1" si="16"/>
        <v>410</v>
      </c>
      <c r="F223" s="243"/>
      <c r="G223" s="243"/>
      <c r="H223" s="243">
        <f t="shared" ca="1" si="14"/>
        <v>410</v>
      </c>
      <c r="J223" s="248">
        <f t="shared" si="17"/>
        <v>-176987336.45614532</v>
      </c>
      <c r="K223" s="248"/>
      <c r="L223" s="248"/>
      <c r="M223" s="248">
        <v>0</v>
      </c>
      <c r="N223" s="248"/>
      <c r="O223" s="248">
        <f t="shared" si="15"/>
        <v>-176987336.45614532</v>
      </c>
    </row>
    <row r="224" spans="3:15" ht="16" thickTop="1" thickBot="1">
      <c r="C224" s="98"/>
      <c r="D224" s="239"/>
      <c r="E224" s="243">
        <f t="shared" ca="1" si="16"/>
        <v>410</v>
      </c>
      <c r="F224" s="243"/>
      <c r="G224" s="243"/>
      <c r="H224" s="243">
        <f t="shared" ca="1" si="14"/>
        <v>410</v>
      </c>
      <c r="J224" s="248">
        <f t="shared" si="17"/>
        <v>-176987336.45614532</v>
      </c>
      <c r="K224" s="248"/>
      <c r="L224" s="248"/>
      <c r="M224" s="248">
        <v>0</v>
      </c>
      <c r="N224" s="248"/>
      <c r="O224" s="248">
        <f t="shared" si="15"/>
        <v>-176987336.45614532</v>
      </c>
    </row>
    <row r="225" spans="3:15" ht="16" thickTop="1" thickBot="1">
      <c r="C225" s="98"/>
      <c r="D225" s="239"/>
      <c r="E225" s="243">
        <f t="shared" ca="1" si="16"/>
        <v>410</v>
      </c>
      <c r="F225" s="243"/>
      <c r="G225" s="243"/>
      <c r="H225" s="243">
        <f t="shared" ca="1" si="14"/>
        <v>410</v>
      </c>
      <c r="J225" s="248">
        <f t="shared" si="17"/>
        <v>-176987336.45614532</v>
      </c>
      <c r="K225" s="248"/>
      <c r="L225" s="248"/>
      <c r="M225" s="248">
        <v>0</v>
      </c>
      <c r="N225" s="248"/>
      <c r="O225" s="248">
        <f t="shared" si="15"/>
        <v>-176987336.45614532</v>
      </c>
    </row>
    <row r="226" spans="3:15" ht="16" thickTop="1" thickBot="1">
      <c r="C226" s="98"/>
      <c r="D226" s="239"/>
      <c r="E226" s="243">
        <f t="shared" ca="1" si="16"/>
        <v>410</v>
      </c>
      <c r="F226" s="243"/>
      <c r="G226" s="243"/>
      <c r="H226" s="243">
        <f t="shared" ca="1" si="14"/>
        <v>410</v>
      </c>
      <c r="J226" s="248">
        <f t="shared" si="17"/>
        <v>-176987336.45614532</v>
      </c>
      <c r="K226" s="248"/>
      <c r="L226" s="248"/>
      <c r="M226" s="248">
        <v>0</v>
      </c>
      <c r="N226" s="248"/>
      <c r="O226" s="248">
        <f t="shared" si="15"/>
        <v>-176987336.45614532</v>
      </c>
    </row>
    <row r="227" spans="3:15" ht="16" thickTop="1" thickBot="1">
      <c r="C227" s="98"/>
      <c r="D227" s="239"/>
      <c r="E227" s="243">
        <f t="shared" ca="1" si="16"/>
        <v>410</v>
      </c>
      <c r="F227" s="243"/>
      <c r="G227" s="243"/>
      <c r="H227" s="243">
        <f t="shared" ca="1" si="14"/>
        <v>410</v>
      </c>
      <c r="J227" s="248">
        <f t="shared" si="17"/>
        <v>-176987336.45614532</v>
      </c>
      <c r="K227" s="248"/>
      <c r="L227" s="248"/>
      <c r="M227" s="248">
        <v>0</v>
      </c>
      <c r="N227" s="248"/>
      <c r="O227" s="248">
        <f t="shared" si="15"/>
        <v>-176987336.45614532</v>
      </c>
    </row>
    <row r="228" spans="3:15" ht="16" thickTop="1" thickBot="1">
      <c r="C228" s="98"/>
      <c r="D228" s="239"/>
      <c r="E228" s="243">
        <f t="shared" ca="1" si="16"/>
        <v>410</v>
      </c>
      <c r="F228" s="243"/>
      <c r="G228" s="243"/>
      <c r="H228" s="243">
        <f t="shared" ca="1" si="14"/>
        <v>410</v>
      </c>
      <c r="J228" s="248">
        <f t="shared" si="17"/>
        <v>-176987336.45614532</v>
      </c>
      <c r="K228" s="248"/>
      <c r="L228" s="248"/>
      <c r="M228" s="248">
        <v>0</v>
      </c>
      <c r="N228" s="248"/>
      <c r="O228" s="248">
        <f t="shared" si="15"/>
        <v>-176987336.45614532</v>
      </c>
    </row>
    <row r="229" spans="3:15" ht="16" thickTop="1" thickBot="1">
      <c r="C229" s="98"/>
      <c r="D229" s="239"/>
      <c r="E229" s="243">
        <f t="shared" ca="1" si="16"/>
        <v>410</v>
      </c>
      <c r="F229" s="243"/>
      <c r="G229" s="243"/>
      <c r="H229" s="243">
        <f t="shared" ca="1" si="14"/>
        <v>410</v>
      </c>
      <c r="J229" s="248">
        <f t="shared" si="17"/>
        <v>-176987336.45614532</v>
      </c>
      <c r="K229" s="248"/>
      <c r="L229" s="248"/>
      <c r="M229" s="248">
        <v>0</v>
      </c>
      <c r="N229" s="248"/>
      <c r="O229" s="248">
        <f t="shared" si="15"/>
        <v>-176987336.45614532</v>
      </c>
    </row>
    <row r="230" spans="3:15" ht="16" thickTop="1" thickBot="1">
      <c r="C230" s="98"/>
      <c r="D230" s="239"/>
      <c r="E230" s="243">
        <f t="shared" ca="1" si="16"/>
        <v>410</v>
      </c>
      <c r="F230" s="243"/>
      <c r="G230" s="243"/>
      <c r="H230" s="243">
        <f t="shared" ca="1" si="14"/>
        <v>410</v>
      </c>
      <c r="J230" s="248">
        <f t="shared" si="17"/>
        <v>-176987336.45614532</v>
      </c>
      <c r="K230" s="248"/>
      <c r="L230" s="248"/>
      <c r="M230" s="248">
        <v>0</v>
      </c>
      <c r="N230" s="248"/>
      <c r="O230" s="248">
        <f t="shared" si="15"/>
        <v>-176987336.45614532</v>
      </c>
    </row>
    <row r="231" spans="3:15" ht="16" thickTop="1" thickBot="1">
      <c r="C231" s="98"/>
      <c r="D231" s="239"/>
      <c r="E231" s="243">
        <f t="shared" ca="1" si="16"/>
        <v>410</v>
      </c>
      <c r="F231" s="243"/>
      <c r="G231" s="243"/>
      <c r="H231" s="243">
        <f t="shared" ca="1" si="14"/>
        <v>410</v>
      </c>
      <c r="J231" s="248">
        <f t="shared" si="17"/>
        <v>-176987336.45614532</v>
      </c>
      <c r="K231" s="248"/>
      <c r="L231" s="248"/>
      <c r="M231" s="248">
        <v>0</v>
      </c>
      <c r="N231" s="248"/>
      <c r="O231" s="248">
        <f t="shared" si="15"/>
        <v>-176987336.45614532</v>
      </c>
    </row>
    <row r="232" spans="3:15" ht="16" thickTop="1" thickBot="1">
      <c r="C232" s="98"/>
      <c r="D232" s="239"/>
      <c r="E232" s="243">
        <f t="shared" ca="1" si="16"/>
        <v>410</v>
      </c>
      <c r="F232" s="243"/>
      <c r="G232" s="243"/>
      <c r="H232" s="243">
        <f t="shared" ca="1" si="14"/>
        <v>410</v>
      </c>
      <c r="J232" s="248">
        <f t="shared" si="17"/>
        <v>-176987336.45614532</v>
      </c>
      <c r="K232" s="248"/>
      <c r="L232" s="248"/>
      <c r="M232" s="248">
        <v>0</v>
      </c>
      <c r="N232" s="248"/>
      <c r="O232" s="248">
        <f t="shared" si="15"/>
        <v>-176987336.45614532</v>
      </c>
    </row>
    <row r="233" spans="3:15" ht="16" thickTop="1" thickBot="1">
      <c r="C233" s="98"/>
      <c r="D233" s="239"/>
      <c r="E233" s="243">
        <f t="shared" ca="1" si="16"/>
        <v>410</v>
      </c>
      <c r="F233" s="243"/>
      <c r="G233" s="243"/>
      <c r="H233" s="243">
        <f t="shared" ca="1" si="14"/>
        <v>410</v>
      </c>
      <c r="J233" s="248">
        <f t="shared" si="17"/>
        <v>-176987336.45614532</v>
      </c>
      <c r="K233" s="248"/>
      <c r="L233" s="248"/>
      <c r="M233" s="248">
        <v>0</v>
      </c>
      <c r="N233" s="248"/>
      <c r="O233" s="248">
        <f t="shared" si="15"/>
        <v>-176987336.45614532</v>
      </c>
    </row>
    <row r="234" spans="3:15" ht="16" thickTop="1" thickBot="1">
      <c r="C234" s="98"/>
      <c r="D234" s="239"/>
      <c r="E234" s="243">
        <f t="shared" ca="1" si="16"/>
        <v>410</v>
      </c>
      <c r="F234" s="243"/>
      <c r="G234" s="243"/>
      <c r="H234" s="243">
        <f t="shared" ca="1" si="14"/>
        <v>410</v>
      </c>
      <c r="J234" s="248">
        <f t="shared" si="17"/>
        <v>-176987336.45614532</v>
      </c>
      <c r="K234" s="248"/>
      <c r="L234" s="248"/>
      <c r="M234" s="248">
        <v>0</v>
      </c>
      <c r="N234" s="248"/>
      <c r="O234" s="248">
        <f t="shared" si="15"/>
        <v>-176987336.45614532</v>
      </c>
    </row>
    <row r="235" spans="3:15" ht="16" thickTop="1" thickBot="1">
      <c r="C235" s="98"/>
      <c r="D235" s="239"/>
      <c r="E235" s="243">
        <f t="shared" ca="1" si="16"/>
        <v>410</v>
      </c>
      <c r="F235" s="243"/>
      <c r="G235" s="243"/>
      <c r="H235" s="243">
        <f t="shared" ca="1" si="14"/>
        <v>410</v>
      </c>
      <c r="J235" s="248">
        <f t="shared" si="17"/>
        <v>-176987336.45614532</v>
      </c>
      <c r="K235" s="248"/>
      <c r="L235" s="248"/>
      <c r="M235" s="248">
        <v>0</v>
      </c>
      <c r="N235" s="248"/>
      <c r="O235" s="248">
        <f t="shared" si="15"/>
        <v>-176987336.45614532</v>
      </c>
    </row>
    <row r="236" spans="3:15" ht="16" thickTop="1" thickBot="1">
      <c r="C236" s="98"/>
      <c r="D236" s="239"/>
      <c r="E236" s="243">
        <f t="shared" ca="1" si="16"/>
        <v>410</v>
      </c>
      <c r="F236" s="243"/>
      <c r="G236" s="243"/>
      <c r="H236" s="243">
        <f t="shared" ca="1" si="14"/>
        <v>410</v>
      </c>
      <c r="J236" s="248">
        <f t="shared" si="17"/>
        <v>-176987336.45614532</v>
      </c>
      <c r="K236" s="248"/>
      <c r="L236" s="248"/>
      <c r="M236" s="248">
        <v>0</v>
      </c>
      <c r="N236" s="248"/>
      <c r="O236" s="248">
        <f t="shared" si="15"/>
        <v>-176987336.45614532</v>
      </c>
    </row>
    <row r="237" spans="3:15" ht="16" thickTop="1" thickBot="1">
      <c r="C237" s="98"/>
      <c r="D237" s="239"/>
      <c r="E237" s="243">
        <f t="shared" ca="1" si="16"/>
        <v>410</v>
      </c>
      <c r="F237" s="243"/>
      <c r="G237" s="243"/>
      <c r="H237" s="243">
        <f t="shared" ca="1" si="14"/>
        <v>410</v>
      </c>
      <c r="J237" s="248">
        <f t="shared" si="17"/>
        <v>-176987336.45614532</v>
      </c>
      <c r="K237" s="248"/>
      <c r="L237" s="248"/>
      <c r="M237" s="248">
        <v>0</v>
      </c>
      <c r="N237" s="248"/>
      <c r="O237" s="248">
        <f t="shared" si="15"/>
        <v>-176987336.45614532</v>
      </c>
    </row>
    <row r="238" spans="3:15" ht="16" thickTop="1" thickBot="1">
      <c r="C238" s="98"/>
      <c r="D238" s="239"/>
      <c r="E238" s="243">
        <f t="shared" ca="1" si="16"/>
        <v>410</v>
      </c>
      <c r="F238" s="243"/>
      <c r="G238" s="243"/>
      <c r="H238" s="243">
        <f t="shared" ca="1" si="14"/>
        <v>410</v>
      </c>
      <c r="J238" s="248">
        <f t="shared" si="17"/>
        <v>-176987336.45614532</v>
      </c>
      <c r="K238" s="248"/>
      <c r="L238" s="248"/>
      <c r="M238" s="248">
        <v>0</v>
      </c>
      <c r="N238" s="248"/>
      <c r="O238" s="248">
        <f t="shared" si="15"/>
        <v>-176987336.45614532</v>
      </c>
    </row>
    <row r="239" spans="3:15" ht="16" thickTop="1" thickBot="1">
      <c r="C239" s="98"/>
      <c r="D239" s="239"/>
      <c r="E239" s="243">
        <f t="shared" ca="1" si="16"/>
        <v>410</v>
      </c>
      <c r="F239" s="243"/>
      <c r="G239" s="243"/>
      <c r="H239" s="243">
        <f t="shared" ca="1" si="14"/>
        <v>410</v>
      </c>
      <c r="J239" s="248">
        <f t="shared" si="17"/>
        <v>-176987336.45614532</v>
      </c>
      <c r="K239" s="248"/>
      <c r="L239" s="248"/>
      <c r="M239" s="248">
        <v>0</v>
      </c>
      <c r="N239" s="248"/>
      <c r="O239" s="248">
        <f t="shared" si="15"/>
        <v>-176987336.45614532</v>
      </c>
    </row>
    <row r="240" spans="3:15" ht="16" thickTop="1" thickBot="1">
      <c r="C240" s="98"/>
      <c r="D240" s="239"/>
      <c r="E240" s="243">
        <f t="shared" ca="1" si="16"/>
        <v>410</v>
      </c>
      <c r="F240" s="243"/>
      <c r="G240" s="243"/>
      <c r="H240" s="243">
        <f t="shared" ca="1" si="14"/>
        <v>410</v>
      </c>
      <c r="J240" s="248">
        <f t="shared" si="17"/>
        <v>-176987336.45614532</v>
      </c>
      <c r="K240" s="248"/>
      <c r="L240" s="248"/>
      <c r="M240" s="248">
        <v>0</v>
      </c>
      <c r="N240" s="248"/>
      <c r="O240" s="248">
        <f t="shared" si="15"/>
        <v>-176987336.45614532</v>
      </c>
    </row>
    <row r="241" spans="3:15" ht="16" thickTop="1" thickBot="1">
      <c r="C241" s="98"/>
      <c r="D241" s="239"/>
      <c r="E241" s="243">
        <f t="shared" ca="1" si="16"/>
        <v>410</v>
      </c>
      <c r="F241" s="243"/>
      <c r="G241" s="243"/>
      <c r="H241" s="243">
        <f t="shared" ca="1" si="14"/>
        <v>410</v>
      </c>
      <c r="J241" s="248">
        <f t="shared" si="17"/>
        <v>-176987336.45614532</v>
      </c>
      <c r="K241" s="248"/>
      <c r="L241" s="248"/>
      <c r="M241" s="248">
        <v>0</v>
      </c>
      <c r="N241" s="248"/>
      <c r="O241" s="248">
        <f t="shared" si="15"/>
        <v>-176987336.45614532</v>
      </c>
    </row>
    <row r="242" spans="3:15" ht="16" thickTop="1" thickBot="1">
      <c r="C242" s="98"/>
      <c r="D242" s="239"/>
      <c r="E242" s="243">
        <f t="shared" ca="1" si="16"/>
        <v>410</v>
      </c>
      <c r="F242" s="243"/>
      <c r="G242" s="243"/>
      <c r="H242" s="243">
        <f t="shared" ca="1" si="14"/>
        <v>410</v>
      </c>
      <c r="J242" s="248">
        <f t="shared" si="17"/>
        <v>-176987336.45614532</v>
      </c>
      <c r="K242" s="248"/>
      <c r="L242" s="248"/>
      <c r="M242" s="248">
        <v>0</v>
      </c>
      <c r="N242" s="248"/>
      <c r="O242" s="248">
        <f t="shared" si="15"/>
        <v>-176987336.45614532</v>
      </c>
    </row>
    <row r="243" spans="3:15" ht="16" thickTop="1" thickBot="1">
      <c r="C243" s="98"/>
      <c r="D243" s="239"/>
      <c r="E243" s="243">
        <f t="shared" ca="1" si="16"/>
        <v>410</v>
      </c>
      <c r="F243" s="243"/>
      <c r="G243" s="243"/>
      <c r="H243" s="243">
        <f t="shared" ca="1" si="14"/>
        <v>410</v>
      </c>
      <c r="J243" s="248">
        <f t="shared" si="17"/>
        <v>-176987336.45614532</v>
      </c>
      <c r="K243" s="248"/>
      <c r="L243" s="248"/>
      <c r="M243" s="248">
        <v>0</v>
      </c>
      <c r="N243" s="248"/>
      <c r="O243" s="248">
        <f t="shared" si="15"/>
        <v>-176987336.45614532</v>
      </c>
    </row>
    <row r="244" spans="3:15" ht="16" thickTop="1" thickBot="1">
      <c r="C244" s="98"/>
      <c r="D244" s="239"/>
      <c r="E244" s="243">
        <f t="shared" ca="1" si="16"/>
        <v>410</v>
      </c>
      <c r="F244" s="243"/>
      <c r="G244" s="243"/>
      <c r="H244" s="243">
        <f t="shared" ca="1" si="14"/>
        <v>410</v>
      </c>
      <c r="J244" s="248">
        <f t="shared" si="17"/>
        <v>-176987336.45614532</v>
      </c>
      <c r="K244" s="248"/>
      <c r="L244" s="248"/>
      <c r="M244" s="248">
        <v>0</v>
      </c>
      <c r="N244" s="248"/>
      <c r="O244" s="248">
        <f t="shared" si="15"/>
        <v>-176987336.45614532</v>
      </c>
    </row>
    <row r="245" spans="3:15" ht="16" thickTop="1" thickBot="1">
      <c r="C245" s="98"/>
      <c r="D245" s="239"/>
      <c r="E245" s="243">
        <f t="shared" ca="1" si="16"/>
        <v>410</v>
      </c>
      <c r="F245" s="243"/>
      <c r="G245" s="243"/>
      <c r="H245" s="243">
        <f t="shared" ca="1" si="14"/>
        <v>410</v>
      </c>
      <c r="J245" s="248">
        <f t="shared" si="17"/>
        <v>-176987336.45614532</v>
      </c>
      <c r="K245" s="248"/>
      <c r="L245" s="248"/>
      <c r="M245" s="248">
        <v>0</v>
      </c>
      <c r="N245" s="248"/>
      <c r="O245" s="248">
        <f t="shared" si="15"/>
        <v>-176987336.45614532</v>
      </c>
    </row>
    <row r="246" spans="3:15" ht="16" thickTop="1" thickBot="1">
      <c r="C246" s="98"/>
      <c r="D246" s="239"/>
      <c r="E246" s="243">
        <f t="shared" ca="1" si="16"/>
        <v>410</v>
      </c>
      <c r="F246" s="243"/>
      <c r="G246" s="243"/>
      <c r="H246" s="243">
        <f t="shared" ca="1" si="14"/>
        <v>410</v>
      </c>
      <c r="J246" s="248">
        <f t="shared" si="17"/>
        <v>-176987336.45614532</v>
      </c>
      <c r="K246" s="248"/>
      <c r="L246" s="248"/>
      <c r="M246" s="248">
        <v>0</v>
      </c>
      <c r="N246" s="248"/>
      <c r="O246" s="248">
        <f t="shared" si="15"/>
        <v>-176987336.45614532</v>
      </c>
    </row>
    <row r="247" spans="3:15" ht="16" thickTop="1" thickBot="1">
      <c r="C247" s="98"/>
      <c r="D247" s="239"/>
      <c r="E247" s="243">
        <f t="shared" ca="1" si="16"/>
        <v>410</v>
      </c>
      <c r="F247" s="243"/>
      <c r="G247" s="243"/>
      <c r="H247" s="243">
        <f t="shared" ca="1" si="14"/>
        <v>410</v>
      </c>
      <c r="J247" s="248">
        <f t="shared" si="17"/>
        <v>-176987336.45614532</v>
      </c>
      <c r="K247" s="248"/>
      <c r="L247" s="248"/>
      <c r="M247" s="248">
        <v>0</v>
      </c>
      <c r="N247" s="248"/>
      <c r="O247" s="248">
        <f t="shared" si="15"/>
        <v>-176987336.45614532</v>
      </c>
    </row>
    <row r="248" spans="3:15" ht="16" thickTop="1" thickBot="1">
      <c r="C248" s="98"/>
      <c r="D248" s="239"/>
      <c r="E248" s="243">
        <f t="shared" ca="1" si="16"/>
        <v>410</v>
      </c>
      <c r="F248" s="243"/>
      <c r="G248" s="243"/>
      <c r="H248" s="243">
        <f t="shared" ca="1" si="14"/>
        <v>410</v>
      </c>
      <c r="J248" s="248">
        <f t="shared" si="17"/>
        <v>-176987336.45614532</v>
      </c>
      <c r="K248" s="248"/>
      <c r="L248" s="248"/>
      <c r="M248" s="248">
        <v>0</v>
      </c>
      <c r="N248" s="248"/>
      <c r="O248" s="248">
        <f t="shared" si="15"/>
        <v>-176987336.45614532</v>
      </c>
    </row>
    <row r="249" spans="3:15" ht="16" thickTop="1" thickBot="1">
      <c r="C249" s="98"/>
      <c r="D249" s="239"/>
      <c r="E249" s="243">
        <f t="shared" ca="1" si="16"/>
        <v>410</v>
      </c>
      <c r="F249" s="243"/>
      <c r="G249" s="243"/>
      <c r="H249" s="243">
        <f t="shared" ca="1" si="14"/>
        <v>410</v>
      </c>
      <c r="J249" s="248">
        <f t="shared" si="17"/>
        <v>-176987336.45614532</v>
      </c>
      <c r="K249" s="248"/>
      <c r="L249" s="248"/>
      <c r="M249" s="248">
        <v>0</v>
      </c>
      <c r="N249" s="248"/>
      <c r="O249" s="248">
        <f t="shared" si="15"/>
        <v>-176987336.45614532</v>
      </c>
    </row>
    <row r="250" spans="3:15" ht="16" thickTop="1" thickBot="1">
      <c r="C250" s="98"/>
      <c r="D250" s="239"/>
      <c r="E250" s="243">
        <f t="shared" ca="1" si="16"/>
        <v>410</v>
      </c>
      <c r="F250" s="243"/>
      <c r="G250" s="243"/>
      <c r="H250" s="243">
        <f t="shared" ca="1" si="14"/>
        <v>410</v>
      </c>
      <c r="J250" s="248">
        <f t="shared" si="17"/>
        <v>-176987336.45614532</v>
      </c>
      <c r="K250" s="248"/>
      <c r="L250" s="248"/>
      <c r="M250" s="248">
        <v>0</v>
      </c>
      <c r="N250" s="248"/>
      <c r="O250" s="248">
        <f t="shared" si="15"/>
        <v>-176987336.45614532</v>
      </c>
    </row>
    <row r="251" spans="3:15" ht="16" thickTop="1" thickBot="1">
      <c r="C251" s="98"/>
      <c r="D251" s="239"/>
      <c r="E251" s="243">
        <f t="shared" ca="1" si="16"/>
        <v>410</v>
      </c>
      <c r="F251" s="243"/>
      <c r="G251" s="243"/>
      <c r="H251" s="243">
        <f t="shared" ca="1" si="14"/>
        <v>410</v>
      </c>
      <c r="J251" s="248">
        <f t="shared" si="17"/>
        <v>-176987336.45614532</v>
      </c>
      <c r="K251" s="248"/>
      <c r="L251" s="248"/>
      <c r="M251" s="248">
        <v>0</v>
      </c>
      <c r="N251" s="248"/>
      <c r="O251" s="248">
        <f t="shared" si="15"/>
        <v>-176987336.45614532</v>
      </c>
    </row>
    <row r="252" spans="3:15" ht="16" thickTop="1" thickBot="1">
      <c r="C252" s="98"/>
      <c r="D252" s="239"/>
      <c r="E252" s="243">
        <f t="shared" ca="1" si="16"/>
        <v>410</v>
      </c>
      <c r="F252" s="243"/>
      <c r="G252" s="243"/>
      <c r="H252" s="243">
        <f t="shared" ca="1" si="14"/>
        <v>410</v>
      </c>
      <c r="J252" s="248">
        <f t="shared" si="17"/>
        <v>-176987336.45614532</v>
      </c>
      <c r="K252" s="248"/>
      <c r="L252" s="248"/>
      <c r="M252" s="248">
        <v>0</v>
      </c>
      <c r="N252" s="248"/>
      <c r="O252" s="248">
        <f t="shared" si="15"/>
        <v>-176987336.45614532</v>
      </c>
    </row>
    <row r="253" spans="3:15" ht="16" thickTop="1" thickBot="1">
      <c r="C253" s="98"/>
      <c r="D253" s="239"/>
      <c r="E253" s="243">
        <f t="shared" ca="1" si="16"/>
        <v>410</v>
      </c>
      <c r="F253" s="243"/>
      <c r="G253" s="243"/>
      <c r="H253" s="243">
        <f t="shared" ca="1" si="14"/>
        <v>410</v>
      </c>
      <c r="J253" s="248">
        <f t="shared" si="17"/>
        <v>-176987336.45614532</v>
      </c>
      <c r="K253" s="248"/>
      <c r="L253" s="248"/>
      <c r="M253" s="248">
        <v>0</v>
      </c>
      <c r="N253" s="248"/>
      <c r="O253" s="248">
        <f t="shared" si="15"/>
        <v>-176987336.45614532</v>
      </c>
    </row>
    <row r="254" spans="3:15" ht="16" thickTop="1" thickBot="1">
      <c r="C254" s="98"/>
      <c r="D254" s="239"/>
      <c r="E254" s="243">
        <f t="shared" ca="1" si="16"/>
        <v>410</v>
      </c>
      <c r="F254" s="243"/>
      <c r="G254" s="243"/>
      <c r="H254" s="243">
        <f t="shared" ca="1" si="14"/>
        <v>410</v>
      </c>
      <c r="J254" s="248">
        <f t="shared" si="17"/>
        <v>-176987336.45614532</v>
      </c>
      <c r="K254" s="248"/>
      <c r="L254" s="248"/>
      <c r="M254" s="248">
        <v>0</v>
      </c>
      <c r="N254" s="248"/>
      <c r="O254" s="248">
        <f t="shared" si="15"/>
        <v>-176987336.45614532</v>
      </c>
    </row>
    <row r="255" spans="3:15" ht="16" thickTop="1" thickBot="1">
      <c r="C255" s="98"/>
      <c r="D255" s="239"/>
      <c r="E255" s="243">
        <f t="shared" ca="1" si="16"/>
        <v>410</v>
      </c>
      <c r="F255" s="243"/>
      <c r="G255" s="243"/>
      <c r="H255" s="243">
        <f t="shared" ca="1" si="14"/>
        <v>410</v>
      </c>
      <c r="J255" s="248">
        <f t="shared" si="17"/>
        <v>-176987336.45614532</v>
      </c>
      <c r="K255" s="248"/>
      <c r="L255" s="248"/>
      <c r="M255" s="248">
        <v>0</v>
      </c>
      <c r="N255" s="248"/>
      <c r="O255" s="248">
        <f t="shared" si="15"/>
        <v>-176987336.45614532</v>
      </c>
    </row>
    <row r="256" spans="3:15" ht="16" thickTop="1" thickBot="1">
      <c r="C256" s="98"/>
      <c r="D256" s="239"/>
      <c r="E256" s="243">
        <f t="shared" ca="1" si="16"/>
        <v>410</v>
      </c>
      <c r="F256" s="243"/>
      <c r="G256" s="243"/>
      <c r="H256" s="243">
        <f t="shared" ca="1" si="14"/>
        <v>410</v>
      </c>
      <c r="J256" s="248">
        <f t="shared" si="17"/>
        <v>-176987336.45614532</v>
      </c>
      <c r="K256" s="248"/>
      <c r="L256" s="248"/>
      <c r="M256" s="248">
        <v>0</v>
      </c>
      <c r="N256" s="248"/>
      <c r="O256" s="248">
        <f t="shared" si="15"/>
        <v>-176987336.45614532</v>
      </c>
    </row>
    <row r="257" spans="3:15" ht="16" thickTop="1" thickBot="1">
      <c r="C257" s="98"/>
      <c r="D257" s="239"/>
      <c r="E257" s="243">
        <f t="shared" ca="1" si="16"/>
        <v>410</v>
      </c>
      <c r="F257" s="243"/>
      <c r="G257" s="243"/>
      <c r="H257" s="243">
        <f t="shared" ca="1" si="14"/>
        <v>410</v>
      </c>
      <c r="J257" s="248">
        <f t="shared" si="17"/>
        <v>-176987336.45614532</v>
      </c>
      <c r="K257" s="248"/>
      <c r="L257" s="248"/>
      <c r="M257" s="248">
        <v>0</v>
      </c>
      <c r="N257" s="248"/>
      <c r="O257" s="248">
        <f t="shared" si="15"/>
        <v>-176987336.45614532</v>
      </c>
    </row>
    <row r="258" spans="3:15" ht="16" thickTop="1" thickBot="1">
      <c r="C258" s="98"/>
      <c r="D258" s="239"/>
      <c r="E258" s="243">
        <f t="shared" ca="1" si="16"/>
        <v>410</v>
      </c>
      <c r="F258" s="243"/>
      <c r="G258" s="243"/>
      <c r="H258" s="243">
        <f t="shared" ca="1" si="14"/>
        <v>410</v>
      </c>
      <c r="J258" s="248">
        <f t="shared" si="17"/>
        <v>-176987336.45614532</v>
      </c>
      <c r="K258" s="248"/>
      <c r="L258" s="248"/>
      <c r="M258" s="248">
        <v>0</v>
      </c>
      <c r="N258" s="248"/>
      <c r="O258" s="248">
        <f t="shared" si="15"/>
        <v>-176987336.45614532</v>
      </c>
    </row>
    <row r="259" spans="3:15" ht="16" thickTop="1" thickBot="1">
      <c r="C259" s="98"/>
      <c r="D259" s="239"/>
      <c r="E259" s="243">
        <f t="shared" ca="1" si="16"/>
        <v>410</v>
      </c>
      <c r="F259" s="243"/>
      <c r="G259" s="243"/>
      <c r="H259" s="243">
        <f t="shared" ca="1" si="14"/>
        <v>410</v>
      </c>
      <c r="J259" s="248">
        <f t="shared" si="17"/>
        <v>-176987336.45614532</v>
      </c>
      <c r="K259" s="248"/>
      <c r="L259" s="248"/>
      <c r="M259" s="248">
        <v>0</v>
      </c>
      <c r="N259" s="248"/>
      <c r="O259" s="248">
        <f t="shared" si="15"/>
        <v>-176987336.45614532</v>
      </c>
    </row>
    <row r="260" spans="3:15" ht="16" thickTop="1" thickBot="1">
      <c r="C260" s="98"/>
      <c r="D260" s="239"/>
      <c r="E260" s="243">
        <f t="shared" ca="1" si="16"/>
        <v>410</v>
      </c>
      <c r="F260" s="243"/>
      <c r="G260" s="243"/>
      <c r="H260" s="243">
        <f t="shared" ca="1" si="14"/>
        <v>410</v>
      </c>
      <c r="J260" s="248">
        <f t="shared" si="17"/>
        <v>-176987336.45614532</v>
      </c>
      <c r="K260" s="248"/>
      <c r="L260" s="248"/>
      <c r="M260" s="248">
        <v>0</v>
      </c>
      <c r="N260" s="248"/>
      <c r="O260" s="248">
        <f t="shared" si="15"/>
        <v>-176987336.45614532</v>
      </c>
    </row>
    <row r="261" spans="3:15" ht="16" thickTop="1" thickBot="1">
      <c r="C261" s="98"/>
      <c r="D261" s="239"/>
      <c r="E261" s="243">
        <f t="shared" ca="1" si="16"/>
        <v>410</v>
      </c>
      <c r="F261" s="243"/>
      <c r="G261" s="243"/>
      <c r="H261" s="243">
        <f t="shared" ca="1" si="14"/>
        <v>410</v>
      </c>
      <c r="J261" s="248">
        <f t="shared" si="17"/>
        <v>-176987336.45614532</v>
      </c>
      <c r="K261" s="248"/>
      <c r="L261" s="248"/>
      <c r="M261" s="248">
        <v>0</v>
      </c>
      <c r="N261" s="248"/>
      <c r="O261" s="248">
        <f t="shared" si="15"/>
        <v>-176987336.45614532</v>
      </c>
    </row>
    <row r="262" spans="3:15" ht="16" thickTop="1" thickBot="1">
      <c r="C262" s="98"/>
      <c r="D262" s="239"/>
      <c r="E262" s="243">
        <f t="shared" ca="1" si="16"/>
        <v>410</v>
      </c>
      <c r="F262" s="243"/>
      <c r="G262" s="243"/>
      <c r="H262" s="243">
        <f t="shared" ca="1" si="14"/>
        <v>410</v>
      </c>
      <c r="J262" s="248">
        <f t="shared" si="17"/>
        <v>-176987336.45614532</v>
      </c>
      <c r="K262" s="248"/>
      <c r="L262" s="248"/>
      <c r="M262" s="248">
        <v>0</v>
      </c>
      <c r="N262" s="248"/>
      <c r="O262" s="248">
        <f t="shared" si="15"/>
        <v>-176987336.45614532</v>
      </c>
    </row>
    <row r="263" spans="3:15" ht="16" thickTop="1" thickBot="1">
      <c r="C263" s="98"/>
      <c r="D263" s="239"/>
      <c r="E263" s="243">
        <f t="shared" ca="1" si="16"/>
        <v>410</v>
      </c>
      <c r="F263" s="243"/>
      <c r="G263" s="243"/>
      <c r="H263" s="243">
        <f t="shared" ca="1" si="14"/>
        <v>410</v>
      </c>
      <c r="J263" s="248">
        <f t="shared" si="17"/>
        <v>-176987336.45614532</v>
      </c>
      <c r="K263" s="248"/>
      <c r="L263" s="248"/>
      <c r="M263" s="248">
        <v>0</v>
      </c>
      <c r="N263" s="248"/>
      <c r="O263" s="248">
        <f t="shared" si="15"/>
        <v>-176987336.45614532</v>
      </c>
    </row>
    <row r="264" spans="3:15" ht="16" thickTop="1" thickBot="1">
      <c r="C264" s="98"/>
      <c r="D264" s="239"/>
      <c r="E264" s="243">
        <f t="shared" ca="1" si="16"/>
        <v>410</v>
      </c>
      <c r="F264" s="243"/>
      <c r="G264" s="243"/>
      <c r="H264" s="243">
        <f t="shared" ca="1" si="14"/>
        <v>410</v>
      </c>
      <c r="J264" s="248">
        <f t="shared" si="17"/>
        <v>-176987336.45614532</v>
      </c>
      <c r="K264" s="248"/>
      <c r="L264" s="248"/>
      <c r="M264" s="248">
        <v>0</v>
      </c>
      <c r="N264" s="248"/>
      <c r="O264" s="248">
        <f t="shared" si="15"/>
        <v>-176987336.45614532</v>
      </c>
    </row>
    <row r="265" spans="3:15" ht="16" thickTop="1" thickBot="1">
      <c r="C265" s="98"/>
      <c r="D265" s="239"/>
      <c r="E265" s="243">
        <f t="shared" ca="1" si="16"/>
        <v>410</v>
      </c>
      <c r="F265" s="243"/>
      <c r="G265" s="243"/>
      <c r="H265" s="243">
        <f t="shared" ref="H265:H328" ca="1" si="18">E265+F265-G265</f>
        <v>410</v>
      </c>
      <c r="J265" s="248">
        <f t="shared" si="17"/>
        <v>-176987336.45614532</v>
      </c>
      <c r="K265" s="248"/>
      <c r="L265" s="248"/>
      <c r="M265" s="248">
        <v>0</v>
      </c>
      <c r="N265" s="248"/>
      <c r="O265" s="248">
        <f t="shared" si="15"/>
        <v>-176987336.45614532</v>
      </c>
    </row>
    <row r="266" spans="3:15" ht="16" thickTop="1" thickBot="1">
      <c r="C266" s="98"/>
      <c r="D266" s="239"/>
      <c r="E266" s="243">
        <f t="shared" ca="1" si="16"/>
        <v>410</v>
      </c>
      <c r="F266" s="243"/>
      <c r="G266" s="243"/>
      <c r="H266" s="243">
        <f t="shared" ca="1" si="18"/>
        <v>410</v>
      </c>
      <c r="J266" s="248">
        <f t="shared" si="17"/>
        <v>-176987336.45614532</v>
      </c>
      <c r="K266" s="248"/>
      <c r="L266" s="248"/>
      <c r="M266" s="248">
        <v>0</v>
      </c>
      <c r="N266" s="248"/>
      <c r="O266" s="248">
        <f t="shared" ref="O266:O329" si="19">J266+K266+L266+M266-N266</f>
        <v>-176987336.45614532</v>
      </c>
    </row>
    <row r="267" spans="3:15" ht="16" thickTop="1" thickBot="1">
      <c r="C267" s="98"/>
      <c r="D267" s="239"/>
      <c r="E267" s="243">
        <f t="shared" ref="E267:E330" ca="1" si="20">H266</f>
        <v>410</v>
      </c>
      <c r="F267" s="243"/>
      <c r="G267" s="243"/>
      <c r="H267" s="243">
        <f t="shared" ca="1" si="18"/>
        <v>410</v>
      </c>
      <c r="J267" s="248">
        <f t="shared" ref="J267:J330" si="21">O266</f>
        <v>-176987336.45614532</v>
      </c>
      <c r="K267" s="248"/>
      <c r="L267" s="248"/>
      <c r="M267" s="248">
        <v>0</v>
      </c>
      <c r="N267" s="248"/>
      <c r="O267" s="248">
        <f t="shared" si="19"/>
        <v>-176987336.45614532</v>
      </c>
    </row>
    <row r="268" spans="3:15" ht="16" thickTop="1" thickBot="1">
      <c r="C268" s="98"/>
      <c r="D268" s="239"/>
      <c r="E268" s="243">
        <f t="shared" ca="1" si="20"/>
        <v>410</v>
      </c>
      <c r="F268" s="243"/>
      <c r="G268" s="243"/>
      <c r="H268" s="243">
        <f t="shared" ca="1" si="18"/>
        <v>410</v>
      </c>
      <c r="J268" s="248">
        <f t="shared" si="21"/>
        <v>-176987336.45614532</v>
      </c>
      <c r="K268" s="248"/>
      <c r="L268" s="248"/>
      <c r="M268" s="248">
        <v>0</v>
      </c>
      <c r="N268" s="248"/>
      <c r="O268" s="248">
        <f t="shared" si="19"/>
        <v>-176987336.45614532</v>
      </c>
    </row>
    <row r="269" spans="3:15" ht="16" thickTop="1" thickBot="1">
      <c r="C269" s="98"/>
      <c r="D269" s="239"/>
      <c r="E269" s="243">
        <f t="shared" ca="1" si="20"/>
        <v>410</v>
      </c>
      <c r="F269" s="243"/>
      <c r="G269" s="243"/>
      <c r="H269" s="243">
        <f t="shared" ca="1" si="18"/>
        <v>410</v>
      </c>
      <c r="J269" s="248">
        <f t="shared" si="21"/>
        <v>-176987336.45614532</v>
      </c>
      <c r="K269" s="248"/>
      <c r="L269" s="248"/>
      <c r="M269" s="248">
        <v>0</v>
      </c>
      <c r="N269" s="248"/>
      <c r="O269" s="248">
        <f t="shared" si="19"/>
        <v>-176987336.45614532</v>
      </c>
    </row>
    <row r="270" spans="3:15" ht="16" thickTop="1" thickBot="1">
      <c r="C270" s="98"/>
      <c r="D270" s="239"/>
      <c r="E270" s="243">
        <f t="shared" ca="1" si="20"/>
        <v>410</v>
      </c>
      <c r="F270" s="243"/>
      <c r="G270" s="243"/>
      <c r="H270" s="243">
        <f t="shared" ca="1" si="18"/>
        <v>410</v>
      </c>
      <c r="J270" s="248">
        <f t="shared" si="21"/>
        <v>-176987336.45614532</v>
      </c>
      <c r="K270" s="248"/>
      <c r="L270" s="248"/>
      <c r="M270" s="248">
        <v>0</v>
      </c>
      <c r="N270" s="248"/>
      <c r="O270" s="248">
        <f t="shared" si="19"/>
        <v>-176987336.45614532</v>
      </c>
    </row>
    <row r="271" spans="3:15" ht="16" thickTop="1" thickBot="1">
      <c r="C271" s="98"/>
      <c r="D271" s="239"/>
      <c r="E271" s="243">
        <f t="shared" ca="1" si="20"/>
        <v>410</v>
      </c>
      <c r="F271" s="243"/>
      <c r="G271" s="243"/>
      <c r="H271" s="243">
        <f t="shared" ca="1" si="18"/>
        <v>410</v>
      </c>
      <c r="J271" s="248">
        <f t="shared" si="21"/>
        <v>-176987336.45614532</v>
      </c>
      <c r="K271" s="248"/>
      <c r="L271" s="248"/>
      <c r="M271" s="248">
        <v>0</v>
      </c>
      <c r="N271" s="248"/>
      <c r="O271" s="248">
        <f t="shared" si="19"/>
        <v>-176987336.45614532</v>
      </c>
    </row>
    <row r="272" spans="3:15" ht="16" thickTop="1" thickBot="1">
      <c r="C272" s="98"/>
      <c r="D272" s="239"/>
      <c r="E272" s="243">
        <f t="shared" ca="1" si="20"/>
        <v>410</v>
      </c>
      <c r="F272" s="243"/>
      <c r="G272" s="243"/>
      <c r="H272" s="243">
        <f t="shared" ca="1" si="18"/>
        <v>410</v>
      </c>
      <c r="J272" s="248">
        <f t="shared" si="21"/>
        <v>-176987336.45614532</v>
      </c>
      <c r="K272" s="248"/>
      <c r="L272" s="248"/>
      <c r="M272" s="248">
        <v>0</v>
      </c>
      <c r="N272" s="248"/>
      <c r="O272" s="248">
        <f t="shared" si="19"/>
        <v>-176987336.45614532</v>
      </c>
    </row>
    <row r="273" spans="3:15" ht="16" thickTop="1" thickBot="1">
      <c r="C273" s="98"/>
      <c r="D273" s="239"/>
      <c r="E273" s="243">
        <f t="shared" ca="1" si="20"/>
        <v>410</v>
      </c>
      <c r="F273" s="243"/>
      <c r="G273" s="243"/>
      <c r="H273" s="243">
        <f t="shared" ca="1" si="18"/>
        <v>410</v>
      </c>
      <c r="J273" s="248">
        <f t="shared" si="21"/>
        <v>-176987336.45614532</v>
      </c>
      <c r="K273" s="248"/>
      <c r="L273" s="248"/>
      <c r="M273" s="248">
        <v>0</v>
      </c>
      <c r="N273" s="248"/>
      <c r="O273" s="248">
        <f t="shared" si="19"/>
        <v>-176987336.45614532</v>
      </c>
    </row>
    <row r="274" spans="3:15" ht="16" thickTop="1" thickBot="1">
      <c r="C274" s="98"/>
      <c r="D274" s="239"/>
      <c r="E274" s="243">
        <f t="shared" ca="1" si="20"/>
        <v>410</v>
      </c>
      <c r="F274" s="243"/>
      <c r="G274" s="243"/>
      <c r="H274" s="243">
        <f t="shared" ca="1" si="18"/>
        <v>410</v>
      </c>
      <c r="J274" s="248">
        <f t="shared" si="21"/>
        <v>-176987336.45614532</v>
      </c>
      <c r="K274" s="248"/>
      <c r="L274" s="248"/>
      <c r="M274" s="248">
        <v>0</v>
      </c>
      <c r="N274" s="248"/>
      <c r="O274" s="248">
        <f t="shared" si="19"/>
        <v>-176987336.45614532</v>
      </c>
    </row>
    <row r="275" spans="3:15" ht="16" thickTop="1" thickBot="1">
      <c r="C275" s="98"/>
      <c r="D275" s="239"/>
      <c r="E275" s="243">
        <f t="shared" ca="1" si="20"/>
        <v>410</v>
      </c>
      <c r="F275" s="243"/>
      <c r="G275" s="243"/>
      <c r="H275" s="243">
        <f t="shared" ca="1" si="18"/>
        <v>410</v>
      </c>
      <c r="J275" s="248">
        <f t="shared" si="21"/>
        <v>-176987336.45614532</v>
      </c>
      <c r="K275" s="248"/>
      <c r="L275" s="248"/>
      <c r="M275" s="248">
        <v>0</v>
      </c>
      <c r="N275" s="248"/>
      <c r="O275" s="248">
        <f t="shared" si="19"/>
        <v>-176987336.45614532</v>
      </c>
    </row>
    <row r="276" spans="3:15" ht="16" thickTop="1" thickBot="1">
      <c r="C276" s="98"/>
      <c r="D276" s="239"/>
      <c r="E276" s="243">
        <f t="shared" ca="1" si="20"/>
        <v>410</v>
      </c>
      <c r="F276" s="243"/>
      <c r="G276" s="243"/>
      <c r="H276" s="243">
        <f t="shared" ca="1" si="18"/>
        <v>410</v>
      </c>
      <c r="J276" s="248">
        <f t="shared" si="21"/>
        <v>-176987336.45614532</v>
      </c>
      <c r="K276" s="248"/>
      <c r="L276" s="248"/>
      <c r="M276" s="248">
        <v>0</v>
      </c>
      <c r="N276" s="248"/>
      <c r="O276" s="248">
        <f t="shared" si="19"/>
        <v>-176987336.45614532</v>
      </c>
    </row>
    <row r="277" spans="3:15" ht="16" thickTop="1" thickBot="1">
      <c r="C277" s="98"/>
      <c r="D277" s="239"/>
      <c r="E277" s="243">
        <f t="shared" ca="1" si="20"/>
        <v>410</v>
      </c>
      <c r="F277" s="243"/>
      <c r="G277" s="243"/>
      <c r="H277" s="243">
        <f t="shared" ca="1" si="18"/>
        <v>410</v>
      </c>
      <c r="J277" s="248">
        <f t="shared" si="21"/>
        <v>-176987336.45614532</v>
      </c>
      <c r="K277" s="248"/>
      <c r="L277" s="248"/>
      <c r="M277" s="248">
        <v>0</v>
      </c>
      <c r="N277" s="248"/>
      <c r="O277" s="248">
        <f t="shared" si="19"/>
        <v>-176987336.45614532</v>
      </c>
    </row>
    <row r="278" spans="3:15" ht="16" thickTop="1" thickBot="1">
      <c r="C278" s="98"/>
      <c r="D278" s="239"/>
      <c r="E278" s="243">
        <f t="shared" ca="1" si="20"/>
        <v>410</v>
      </c>
      <c r="F278" s="243"/>
      <c r="G278" s="243"/>
      <c r="H278" s="243">
        <f t="shared" ca="1" si="18"/>
        <v>410</v>
      </c>
      <c r="J278" s="248">
        <f t="shared" si="21"/>
        <v>-176987336.45614532</v>
      </c>
      <c r="K278" s="248"/>
      <c r="L278" s="248"/>
      <c r="M278" s="248">
        <v>0</v>
      </c>
      <c r="N278" s="248"/>
      <c r="O278" s="248">
        <f t="shared" si="19"/>
        <v>-176987336.45614532</v>
      </c>
    </row>
    <row r="279" spans="3:15" ht="16" thickTop="1" thickBot="1">
      <c r="C279" s="98"/>
      <c r="D279" s="239"/>
      <c r="E279" s="243">
        <f t="shared" ca="1" si="20"/>
        <v>410</v>
      </c>
      <c r="F279" s="243"/>
      <c r="G279" s="243"/>
      <c r="H279" s="243">
        <f t="shared" ca="1" si="18"/>
        <v>410</v>
      </c>
      <c r="J279" s="248">
        <f t="shared" si="21"/>
        <v>-176987336.45614532</v>
      </c>
      <c r="K279" s="248"/>
      <c r="L279" s="248"/>
      <c r="M279" s="248">
        <v>0</v>
      </c>
      <c r="N279" s="248"/>
      <c r="O279" s="248">
        <f t="shared" si="19"/>
        <v>-176987336.45614532</v>
      </c>
    </row>
    <row r="280" spans="3:15" ht="16" thickTop="1" thickBot="1">
      <c r="C280" s="98"/>
      <c r="D280" s="239"/>
      <c r="E280" s="243">
        <f t="shared" ca="1" si="20"/>
        <v>410</v>
      </c>
      <c r="F280" s="243"/>
      <c r="G280" s="243"/>
      <c r="H280" s="243">
        <f t="shared" ca="1" si="18"/>
        <v>410</v>
      </c>
      <c r="J280" s="248">
        <f t="shared" si="21"/>
        <v>-176987336.45614532</v>
      </c>
      <c r="K280" s="248"/>
      <c r="L280" s="248"/>
      <c r="M280" s="248">
        <v>0</v>
      </c>
      <c r="N280" s="248"/>
      <c r="O280" s="248">
        <f t="shared" si="19"/>
        <v>-176987336.45614532</v>
      </c>
    </row>
    <row r="281" spans="3:15" ht="16" thickTop="1" thickBot="1">
      <c r="C281" s="98"/>
      <c r="D281" s="239"/>
      <c r="E281" s="243">
        <f t="shared" ca="1" si="20"/>
        <v>410</v>
      </c>
      <c r="F281" s="243"/>
      <c r="G281" s="243"/>
      <c r="H281" s="243">
        <f t="shared" ca="1" si="18"/>
        <v>410</v>
      </c>
      <c r="J281" s="248">
        <f t="shared" si="21"/>
        <v>-176987336.45614532</v>
      </c>
      <c r="K281" s="248"/>
      <c r="L281" s="248"/>
      <c r="M281" s="248">
        <v>0</v>
      </c>
      <c r="N281" s="248"/>
      <c r="O281" s="248">
        <f t="shared" si="19"/>
        <v>-176987336.45614532</v>
      </c>
    </row>
    <row r="282" spans="3:15" ht="16" thickTop="1" thickBot="1">
      <c r="C282" s="98"/>
      <c r="D282" s="239"/>
      <c r="E282" s="243">
        <f t="shared" ca="1" si="20"/>
        <v>410</v>
      </c>
      <c r="F282" s="243"/>
      <c r="G282" s="243"/>
      <c r="H282" s="243">
        <f t="shared" ca="1" si="18"/>
        <v>410</v>
      </c>
      <c r="J282" s="248">
        <f t="shared" si="21"/>
        <v>-176987336.45614532</v>
      </c>
      <c r="K282" s="248"/>
      <c r="L282" s="248"/>
      <c r="M282" s="248">
        <v>0</v>
      </c>
      <c r="N282" s="248"/>
      <c r="O282" s="248">
        <f t="shared" si="19"/>
        <v>-176987336.45614532</v>
      </c>
    </row>
    <row r="283" spans="3:15" ht="16" thickTop="1" thickBot="1">
      <c r="C283" s="98"/>
      <c r="D283" s="239"/>
      <c r="E283" s="243">
        <f t="shared" ca="1" si="20"/>
        <v>410</v>
      </c>
      <c r="F283" s="243"/>
      <c r="G283" s="243"/>
      <c r="H283" s="243">
        <f t="shared" ca="1" si="18"/>
        <v>410</v>
      </c>
      <c r="J283" s="248">
        <f t="shared" si="21"/>
        <v>-176987336.45614532</v>
      </c>
      <c r="K283" s="248"/>
      <c r="L283" s="248"/>
      <c r="M283" s="248">
        <v>0</v>
      </c>
      <c r="N283" s="248"/>
      <c r="O283" s="248">
        <f t="shared" si="19"/>
        <v>-176987336.45614532</v>
      </c>
    </row>
    <row r="284" spans="3:15" ht="16" thickTop="1" thickBot="1">
      <c r="C284" s="98"/>
      <c r="D284" s="239"/>
      <c r="E284" s="243">
        <f t="shared" ca="1" si="20"/>
        <v>410</v>
      </c>
      <c r="F284" s="243"/>
      <c r="G284" s="243"/>
      <c r="H284" s="243">
        <f t="shared" ca="1" si="18"/>
        <v>410</v>
      </c>
      <c r="J284" s="248">
        <f t="shared" si="21"/>
        <v>-176987336.45614532</v>
      </c>
      <c r="K284" s="248"/>
      <c r="L284" s="248"/>
      <c r="M284" s="248">
        <v>0</v>
      </c>
      <c r="N284" s="248"/>
      <c r="O284" s="248">
        <f t="shared" si="19"/>
        <v>-176987336.45614532</v>
      </c>
    </row>
    <row r="285" spans="3:15" ht="16" thickTop="1" thickBot="1">
      <c r="C285" s="98"/>
      <c r="D285" s="239"/>
      <c r="E285" s="243">
        <f t="shared" ca="1" si="20"/>
        <v>410</v>
      </c>
      <c r="F285" s="243"/>
      <c r="G285" s="243"/>
      <c r="H285" s="243">
        <f t="shared" ca="1" si="18"/>
        <v>410</v>
      </c>
      <c r="J285" s="248">
        <f t="shared" si="21"/>
        <v>-176987336.45614532</v>
      </c>
      <c r="K285" s="248"/>
      <c r="L285" s="248"/>
      <c r="M285" s="248">
        <v>0</v>
      </c>
      <c r="N285" s="248"/>
      <c r="O285" s="248">
        <f t="shared" si="19"/>
        <v>-176987336.45614532</v>
      </c>
    </row>
    <row r="286" spans="3:15" ht="16" thickTop="1" thickBot="1">
      <c r="C286" s="98"/>
      <c r="D286" s="239"/>
      <c r="E286" s="243">
        <f t="shared" ca="1" si="20"/>
        <v>410</v>
      </c>
      <c r="F286" s="243"/>
      <c r="G286" s="243"/>
      <c r="H286" s="243">
        <f t="shared" ca="1" si="18"/>
        <v>410</v>
      </c>
      <c r="J286" s="248">
        <f t="shared" si="21"/>
        <v>-176987336.45614532</v>
      </c>
      <c r="K286" s="248"/>
      <c r="L286" s="248"/>
      <c r="M286" s="248">
        <v>0</v>
      </c>
      <c r="N286" s="248"/>
      <c r="O286" s="248">
        <f t="shared" si="19"/>
        <v>-176987336.45614532</v>
      </c>
    </row>
    <row r="287" spans="3:15" ht="16" thickTop="1" thickBot="1">
      <c r="C287" s="98"/>
      <c r="D287" s="239"/>
      <c r="E287" s="243">
        <f t="shared" ca="1" si="20"/>
        <v>410</v>
      </c>
      <c r="F287" s="243"/>
      <c r="G287" s="243"/>
      <c r="H287" s="243">
        <f t="shared" ca="1" si="18"/>
        <v>410</v>
      </c>
      <c r="J287" s="248">
        <f t="shared" si="21"/>
        <v>-176987336.45614532</v>
      </c>
      <c r="K287" s="248"/>
      <c r="L287" s="248"/>
      <c r="M287" s="248">
        <v>0</v>
      </c>
      <c r="N287" s="248"/>
      <c r="O287" s="248">
        <f t="shared" si="19"/>
        <v>-176987336.45614532</v>
      </c>
    </row>
    <row r="288" spans="3:15" ht="16" thickTop="1" thickBot="1">
      <c r="C288" s="98"/>
      <c r="D288" s="239"/>
      <c r="E288" s="243">
        <f t="shared" ca="1" si="20"/>
        <v>410</v>
      </c>
      <c r="F288" s="243"/>
      <c r="G288" s="243"/>
      <c r="H288" s="243">
        <f t="shared" ca="1" si="18"/>
        <v>410</v>
      </c>
      <c r="J288" s="248">
        <f t="shared" si="21"/>
        <v>-176987336.45614532</v>
      </c>
      <c r="K288" s="248"/>
      <c r="L288" s="248"/>
      <c r="M288" s="248">
        <v>0</v>
      </c>
      <c r="N288" s="248"/>
      <c r="O288" s="248">
        <f t="shared" si="19"/>
        <v>-176987336.45614532</v>
      </c>
    </row>
    <row r="289" spans="3:15" ht="16" thickTop="1" thickBot="1">
      <c r="C289" s="98"/>
      <c r="D289" s="239"/>
      <c r="E289" s="243">
        <f t="shared" ca="1" si="20"/>
        <v>410</v>
      </c>
      <c r="F289" s="243"/>
      <c r="G289" s="243"/>
      <c r="H289" s="243">
        <f t="shared" ca="1" si="18"/>
        <v>410</v>
      </c>
      <c r="J289" s="248">
        <f t="shared" si="21"/>
        <v>-176987336.45614532</v>
      </c>
      <c r="K289" s="248"/>
      <c r="L289" s="248"/>
      <c r="M289" s="248">
        <v>0</v>
      </c>
      <c r="N289" s="248"/>
      <c r="O289" s="248">
        <f t="shared" si="19"/>
        <v>-176987336.45614532</v>
      </c>
    </row>
    <row r="290" spans="3:15" ht="16" thickTop="1" thickBot="1">
      <c r="C290" s="98"/>
      <c r="D290" s="239"/>
      <c r="E290" s="243">
        <f t="shared" ca="1" si="20"/>
        <v>410</v>
      </c>
      <c r="F290" s="243"/>
      <c r="G290" s="243"/>
      <c r="H290" s="243">
        <f t="shared" ca="1" si="18"/>
        <v>410</v>
      </c>
      <c r="J290" s="248">
        <f t="shared" si="21"/>
        <v>-176987336.45614532</v>
      </c>
      <c r="K290" s="248"/>
      <c r="L290" s="248"/>
      <c r="M290" s="248">
        <v>0</v>
      </c>
      <c r="N290" s="248"/>
      <c r="O290" s="248">
        <f t="shared" si="19"/>
        <v>-176987336.45614532</v>
      </c>
    </row>
    <row r="291" spans="3:15" ht="16" thickTop="1" thickBot="1">
      <c r="C291" s="98"/>
      <c r="D291" s="239"/>
      <c r="E291" s="243">
        <f t="shared" ca="1" si="20"/>
        <v>410</v>
      </c>
      <c r="F291" s="243"/>
      <c r="G291" s="243"/>
      <c r="H291" s="243">
        <f t="shared" ca="1" si="18"/>
        <v>410</v>
      </c>
      <c r="J291" s="248">
        <f t="shared" si="21"/>
        <v>-176987336.45614532</v>
      </c>
      <c r="K291" s="248"/>
      <c r="L291" s="248"/>
      <c r="M291" s="248">
        <v>0</v>
      </c>
      <c r="N291" s="248"/>
      <c r="O291" s="248">
        <f t="shared" si="19"/>
        <v>-176987336.45614532</v>
      </c>
    </row>
    <row r="292" spans="3:15" ht="16" thickTop="1" thickBot="1">
      <c r="C292" s="98"/>
      <c r="D292" s="239"/>
      <c r="E292" s="243">
        <f t="shared" ca="1" si="20"/>
        <v>410</v>
      </c>
      <c r="F292" s="243"/>
      <c r="G292" s="243"/>
      <c r="H292" s="243">
        <f t="shared" ca="1" si="18"/>
        <v>410</v>
      </c>
      <c r="J292" s="248">
        <f t="shared" si="21"/>
        <v>-176987336.45614532</v>
      </c>
      <c r="K292" s="248"/>
      <c r="L292" s="248"/>
      <c r="M292" s="248">
        <v>0</v>
      </c>
      <c r="N292" s="248"/>
      <c r="O292" s="248">
        <f t="shared" si="19"/>
        <v>-176987336.45614532</v>
      </c>
    </row>
    <row r="293" spans="3:15" ht="16" thickTop="1" thickBot="1">
      <c r="C293" s="98"/>
      <c r="D293" s="239"/>
      <c r="E293" s="243">
        <f t="shared" ca="1" si="20"/>
        <v>410</v>
      </c>
      <c r="F293" s="243"/>
      <c r="G293" s="243"/>
      <c r="H293" s="243">
        <f t="shared" ca="1" si="18"/>
        <v>410</v>
      </c>
      <c r="J293" s="248">
        <f t="shared" si="21"/>
        <v>-176987336.45614532</v>
      </c>
      <c r="K293" s="248"/>
      <c r="L293" s="248"/>
      <c r="M293" s="248">
        <v>0</v>
      </c>
      <c r="N293" s="248"/>
      <c r="O293" s="248">
        <f t="shared" si="19"/>
        <v>-176987336.45614532</v>
      </c>
    </row>
    <row r="294" spans="3:15" ht="16" thickTop="1" thickBot="1">
      <c r="C294" s="98"/>
      <c r="D294" s="239"/>
      <c r="E294" s="243">
        <f t="shared" ca="1" si="20"/>
        <v>410</v>
      </c>
      <c r="F294" s="243"/>
      <c r="G294" s="243"/>
      <c r="H294" s="243">
        <f t="shared" ca="1" si="18"/>
        <v>410</v>
      </c>
      <c r="J294" s="248">
        <f t="shared" si="21"/>
        <v>-176987336.45614532</v>
      </c>
      <c r="K294" s="248"/>
      <c r="L294" s="248"/>
      <c r="M294" s="248">
        <v>0</v>
      </c>
      <c r="N294" s="248"/>
      <c r="O294" s="248">
        <f t="shared" si="19"/>
        <v>-176987336.45614532</v>
      </c>
    </row>
    <row r="295" spans="3:15" ht="16" thickTop="1" thickBot="1">
      <c r="C295" s="98"/>
      <c r="D295" s="239"/>
      <c r="E295" s="243">
        <f t="shared" ca="1" si="20"/>
        <v>410</v>
      </c>
      <c r="F295" s="243"/>
      <c r="G295" s="243"/>
      <c r="H295" s="243">
        <f t="shared" ca="1" si="18"/>
        <v>410</v>
      </c>
      <c r="J295" s="248">
        <f t="shared" si="21"/>
        <v>-176987336.45614532</v>
      </c>
      <c r="K295" s="248"/>
      <c r="L295" s="248"/>
      <c r="M295" s="248">
        <v>0</v>
      </c>
      <c r="N295" s="248"/>
      <c r="O295" s="248">
        <f t="shared" si="19"/>
        <v>-176987336.45614532</v>
      </c>
    </row>
    <row r="296" spans="3:15" ht="16" thickTop="1" thickBot="1">
      <c r="C296" s="98"/>
      <c r="D296" s="239"/>
      <c r="E296" s="243">
        <f t="shared" ca="1" si="20"/>
        <v>410</v>
      </c>
      <c r="F296" s="243"/>
      <c r="G296" s="243"/>
      <c r="H296" s="243">
        <f t="shared" ca="1" si="18"/>
        <v>410</v>
      </c>
      <c r="J296" s="248">
        <f t="shared" si="21"/>
        <v>-176987336.45614532</v>
      </c>
      <c r="K296" s="248"/>
      <c r="L296" s="248"/>
      <c r="M296" s="248">
        <v>0</v>
      </c>
      <c r="N296" s="248"/>
      <c r="O296" s="248">
        <f t="shared" si="19"/>
        <v>-176987336.45614532</v>
      </c>
    </row>
    <row r="297" spans="3:15" ht="16" thickTop="1" thickBot="1">
      <c r="C297" s="98"/>
      <c r="D297" s="239"/>
      <c r="E297" s="243">
        <f t="shared" ca="1" si="20"/>
        <v>410</v>
      </c>
      <c r="F297" s="243"/>
      <c r="G297" s="243"/>
      <c r="H297" s="243">
        <f t="shared" ca="1" si="18"/>
        <v>410</v>
      </c>
      <c r="J297" s="248">
        <f t="shared" si="21"/>
        <v>-176987336.45614532</v>
      </c>
      <c r="K297" s="248"/>
      <c r="L297" s="248"/>
      <c r="M297" s="248">
        <v>0</v>
      </c>
      <c r="N297" s="248"/>
      <c r="O297" s="248">
        <f t="shared" si="19"/>
        <v>-176987336.45614532</v>
      </c>
    </row>
    <row r="298" spans="3:15" ht="16" thickTop="1" thickBot="1">
      <c r="C298" s="98"/>
      <c r="D298" s="239"/>
      <c r="E298" s="243">
        <f t="shared" ca="1" si="20"/>
        <v>410</v>
      </c>
      <c r="F298" s="243"/>
      <c r="G298" s="243"/>
      <c r="H298" s="243">
        <f t="shared" ca="1" si="18"/>
        <v>410</v>
      </c>
      <c r="J298" s="248">
        <f t="shared" si="21"/>
        <v>-176987336.45614532</v>
      </c>
      <c r="K298" s="248"/>
      <c r="L298" s="248"/>
      <c r="M298" s="248">
        <v>0</v>
      </c>
      <c r="N298" s="248"/>
      <c r="O298" s="248">
        <f t="shared" si="19"/>
        <v>-176987336.45614532</v>
      </c>
    </row>
    <row r="299" spans="3:15" ht="16" thickTop="1" thickBot="1">
      <c r="C299" s="98"/>
      <c r="D299" s="239"/>
      <c r="E299" s="243">
        <f t="shared" ca="1" si="20"/>
        <v>410</v>
      </c>
      <c r="F299" s="243"/>
      <c r="G299" s="243"/>
      <c r="H299" s="243">
        <f t="shared" ca="1" si="18"/>
        <v>410</v>
      </c>
      <c r="J299" s="248">
        <f t="shared" si="21"/>
        <v>-176987336.45614532</v>
      </c>
      <c r="K299" s="248"/>
      <c r="L299" s="248"/>
      <c r="M299" s="248">
        <v>0</v>
      </c>
      <c r="N299" s="248"/>
      <c r="O299" s="248">
        <f t="shared" si="19"/>
        <v>-176987336.45614532</v>
      </c>
    </row>
    <row r="300" spans="3:15" ht="16" thickTop="1" thickBot="1">
      <c r="C300" s="98"/>
      <c r="D300" s="239"/>
      <c r="E300" s="243">
        <f t="shared" ca="1" si="20"/>
        <v>410</v>
      </c>
      <c r="F300" s="243"/>
      <c r="G300" s="243"/>
      <c r="H300" s="243">
        <f t="shared" ca="1" si="18"/>
        <v>410</v>
      </c>
      <c r="J300" s="248">
        <f t="shared" si="21"/>
        <v>-176987336.45614532</v>
      </c>
      <c r="K300" s="248"/>
      <c r="L300" s="248"/>
      <c r="M300" s="248">
        <v>0</v>
      </c>
      <c r="N300" s="248"/>
      <c r="O300" s="248">
        <f t="shared" si="19"/>
        <v>-176987336.45614532</v>
      </c>
    </row>
    <row r="301" spans="3:15" ht="16" thickTop="1" thickBot="1">
      <c r="C301" s="98"/>
      <c r="D301" s="239"/>
      <c r="E301" s="243">
        <f t="shared" ca="1" si="20"/>
        <v>410</v>
      </c>
      <c r="F301" s="243"/>
      <c r="G301" s="243"/>
      <c r="H301" s="243">
        <f t="shared" ca="1" si="18"/>
        <v>410</v>
      </c>
      <c r="J301" s="248">
        <f t="shared" si="21"/>
        <v>-176987336.45614532</v>
      </c>
      <c r="K301" s="248"/>
      <c r="L301" s="248"/>
      <c r="M301" s="248">
        <v>0</v>
      </c>
      <c r="N301" s="248"/>
      <c r="O301" s="248">
        <f t="shared" si="19"/>
        <v>-176987336.45614532</v>
      </c>
    </row>
    <row r="302" spans="3:15" ht="16" thickTop="1" thickBot="1">
      <c r="C302" s="98"/>
      <c r="D302" s="239"/>
      <c r="E302" s="243">
        <f t="shared" ca="1" si="20"/>
        <v>410</v>
      </c>
      <c r="F302" s="243"/>
      <c r="G302" s="243"/>
      <c r="H302" s="243">
        <f t="shared" ca="1" si="18"/>
        <v>410</v>
      </c>
      <c r="J302" s="248">
        <f t="shared" si="21"/>
        <v>-176987336.45614532</v>
      </c>
      <c r="K302" s="248"/>
      <c r="L302" s="248"/>
      <c r="M302" s="248">
        <v>0</v>
      </c>
      <c r="N302" s="248"/>
      <c r="O302" s="248">
        <f t="shared" si="19"/>
        <v>-176987336.45614532</v>
      </c>
    </row>
    <row r="303" spans="3:15" ht="16" thickTop="1" thickBot="1">
      <c r="C303" s="98"/>
      <c r="D303" s="239"/>
      <c r="E303" s="243">
        <f t="shared" ca="1" si="20"/>
        <v>410</v>
      </c>
      <c r="F303" s="243"/>
      <c r="G303" s="243"/>
      <c r="H303" s="243">
        <f t="shared" ca="1" si="18"/>
        <v>410</v>
      </c>
      <c r="J303" s="248">
        <f t="shared" si="21"/>
        <v>-176987336.45614532</v>
      </c>
      <c r="K303" s="248"/>
      <c r="L303" s="248"/>
      <c r="M303" s="248">
        <v>0</v>
      </c>
      <c r="N303" s="248"/>
      <c r="O303" s="248">
        <f t="shared" si="19"/>
        <v>-176987336.45614532</v>
      </c>
    </row>
    <row r="304" spans="3:15" ht="16" thickTop="1" thickBot="1">
      <c r="C304" s="98"/>
      <c r="D304" s="239"/>
      <c r="E304" s="243">
        <f t="shared" ca="1" si="20"/>
        <v>410</v>
      </c>
      <c r="F304" s="243"/>
      <c r="G304" s="243"/>
      <c r="H304" s="243">
        <f t="shared" ca="1" si="18"/>
        <v>410</v>
      </c>
      <c r="J304" s="248">
        <f t="shared" si="21"/>
        <v>-176987336.45614532</v>
      </c>
      <c r="K304" s="248"/>
      <c r="L304" s="248"/>
      <c r="M304" s="248">
        <v>0</v>
      </c>
      <c r="N304" s="248"/>
      <c r="O304" s="248">
        <f t="shared" si="19"/>
        <v>-176987336.45614532</v>
      </c>
    </row>
    <row r="305" spans="3:15" ht="16" thickTop="1" thickBot="1">
      <c r="C305" s="98"/>
      <c r="D305" s="239"/>
      <c r="E305" s="243">
        <f t="shared" ca="1" si="20"/>
        <v>410</v>
      </c>
      <c r="F305" s="243"/>
      <c r="G305" s="243"/>
      <c r="H305" s="243">
        <f t="shared" ca="1" si="18"/>
        <v>410</v>
      </c>
      <c r="J305" s="248">
        <f t="shared" si="21"/>
        <v>-176987336.45614532</v>
      </c>
      <c r="K305" s="248"/>
      <c r="L305" s="248"/>
      <c r="M305" s="248">
        <v>0</v>
      </c>
      <c r="N305" s="248"/>
      <c r="O305" s="248">
        <f t="shared" si="19"/>
        <v>-176987336.45614532</v>
      </c>
    </row>
    <row r="306" spans="3:15" ht="16" thickTop="1" thickBot="1">
      <c r="C306" s="98"/>
      <c r="D306" s="239"/>
      <c r="E306" s="243">
        <f t="shared" ca="1" si="20"/>
        <v>410</v>
      </c>
      <c r="F306" s="243"/>
      <c r="G306" s="243"/>
      <c r="H306" s="243">
        <f t="shared" ca="1" si="18"/>
        <v>410</v>
      </c>
      <c r="J306" s="248">
        <f t="shared" si="21"/>
        <v>-176987336.45614532</v>
      </c>
      <c r="K306" s="248"/>
      <c r="L306" s="248"/>
      <c r="M306" s="248">
        <v>0</v>
      </c>
      <c r="N306" s="248"/>
      <c r="O306" s="248">
        <f t="shared" si="19"/>
        <v>-176987336.45614532</v>
      </c>
    </row>
    <row r="307" spans="3:15" ht="16" thickTop="1" thickBot="1">
      <c r="C307" s="98"/>
      <c r="D307" s="239"/>
      <c r="E307" s="243">
        <f t="shared" ca="1" si="20"/>
        <v>410</v>
      </c>
      <c r="F307" s="243"/>
      <c r="G307" s="243"/>
      <c r="H307" s="243">
        <f t="shared" ca="1" si="18"/>
        <v>410</v>
      </c>
      <c r="J307" s="248">
        <f t="shared" si="21"/>
        <v>-176987336.45614532</v>
      </c>
      <c r="K307" s="248"/>
      <c r="L307" s="248"/>
      <c r="M307" s="248">
        <v>0</v>
      </c>
      <c r="N307" s="248"/>
      <c r="O307" s="248">
        <f t="shared" si="19"/>
        <v>-176987336.45614532</v>
      </c>
    </row>
    <row r="308" spans="3:15" ht="16" thickTop="1" thickBot="1">
      <c r="C308" s="98"/>
      <c r="D308" s="239"/>
      <c r="E308" s="243">
        <f t="shared" ca="1" si="20"/>
        <v>410</v>
      </c>
      <c r="F308" s="243"/>
      <c r="G308" s="243"/>
      <c r="H308" s="243">
        <f t="shared" ca="1" si="18"/>
        <v>410</v>
      </c>
      <c r="J308" s="248">
        <f t="shared" si="21"/>
        <v>-176987336.45614532</v>
      </c>
      <c r="K308" s="248"/>
      <c r="L308" s="248"/>
      <c r="M308" s="248">
        <v>0</v>
      </c>
      <c r="N308" s="248"/>
      <c r="O308" s="248">
        <f t="shared" si="19"/>
        <v>-176987336.45614532</v>
      </c>
    </row>
    <row r="309" spans="3:15" ht="16" thickTop="1" thickBot="1">
      <c r="C309" s="98"/>
      <c r="D309" s="239"/>
      <c r="E309" s="243">
        <f t="shared" ca="1" si="20"/>
        <v>410</v>
      </c>
      <c r="F309" s="243"/>
      <c r="G309" s="243"/>
      <c r="H309" s="243">
        <f t="shared" ca="1" si="18"/>
        <v>410</v>
      </c>
      <c r="J309" s="248">
        <f t="shared" si="21"/>
        <v>-176987336.45614532</v>
      </c>
      <c r="K309" s="248"/>
      <c r="L309" s="248"/>
      <c r="M309" s="248">
        <v>0</v>
      </c>
      <c r="N309" s="248"/>
      <c r="O309" s="248">
        <f t="shared" si="19"/>
        <v>-176987336.45614532</v>
      </c>
    </row>
    <row r="310" spans="3:15" ht="16" thickTop="1" thickBot="1">
      <c r="C310" s="98"/>
      <c r="D310" s="239"/>
      <c r="E310" s="243">
        <f t="shared" ca="1" si="20"/>
        <v>410</v>
      </c>
      <c r="F310" s="243"/>
      <c r="G310" s="243"/>
      <c r="H310" s="243">
        <f t="shared" ca="1" si="18"/>
        <v>410</v>
      </c>
      <c r="J310" s="248">
        <f t="shared" si="21"/>
        <v>-176987336.45614532</v>
      </c>
      <c r="K310" s="248"/>
      <c r="L310" s="248"/>
      <c r="M310" s="248">
        <v>0</v>
      </c>
      <c r="N310" s="248"/>
      <c r="O310" s="248">
        <f t="shared" si="19"/>
        <v>-176987336.45614532</v>
      </c>
    </row>
    <row r="311" spans="3:15" ht="16" thickTop="1" thickBot="1">
      <c r="C311" s="98"/>
      <c r="D311" s="239"/>
      <c r="E311" s="243">
        <f t="shared" ca="1" si="20"/>
        <v>410</v>
      </c>
      <c r="F311" s="243"/>
      <c r="G311" s="243"/>
      <c r="H311" s="243">
        <f t="shared" ca="1" si="18"/>
        <v>410</v>
      </c>
      <c r="J311" s="248">
        <f t="shared" si="21"/>
        <v>-176987336.45614532</v>
      </c>
      <c r="K311" s="248"/>
      <c r="L311" s="248"/>
      <c r="M311" s="248">
        <v>0</v>
      </c>
      <c r="N311" s="248"/>
      <c r="O311" s="248">
        <f t="shared" si="19"/>
        <v>-176987336.45614532</v>
      </c>
    </row>
    <row r="312" spans="3:15" ht="16" thickTop="1" thickBot="1">
      <c r="C312" s="98"/>
      <c r="D312" s="239"/>
      <c r="E312" s="243">
        <f t="shared" ca="1" si="20"/>
        <v>410</v>
      </c>
      <c r="F312" s="243"/>
      <c r="G312" s="243"/>
      <c r="H312" s="243">
        <f t="shared" ca="1" si="18"/>
        <v>410</v>
      </c>
      <c r="J312" s="248">
        <f t="shared" si="21"/>
        <v>-176987336.45614532</v>
      </c>
      <c r="K312" s="248"/>
      <c r="L312" s="248"/>
      <c r="M312" s="248">
        <v>0</v>
      </c>
      <c r="N312" s="248"/>
      <c r="O312" s="248">
        <f t="shared" si="19"/>
        <v>-176987336.45614532</v>
      </c>
    </row>
    <row r="313" spans="3:15" ht="16" thickTop="1" thickBot="1">
      <c r="C313" s="98"/>
      <c r="D313" s="239"/>
      <c r="E313" s="243">
        <f t="shared" ca="1" si="20"/>
        <v>410</v>
      </c>
      <c r="F313" s="243"/>
      <c r="G313" s="243"/>
      <c r="H313" s="243">
        <f t="shared" ca="1" si="18"/>
        <v>410</v>
      </c>
      <c r="J313" s="248">
        <f t="shared" si="21"/>
        <v>-176987336.45614532</v>
      </c>
      <c r="K313" s="248"/>
      <c r="L313" s="248"/>
      <c r="M313" s="248">
        <v>0</v>
      </c>
      <c r="N313" s="248"/>
      <c r="O313" s="248">
        <f t="shared" si="19"/>
        <v>-176987336.45614532</v>
      </c>
    </row>
    <row r="314" spans="3:15" ht="16" thickTop="1" thickBot="1">
      <c r="C314" s="98"/>
      <c r="D314" s="239"/>
      <c r="E314" s="243">
        <f t="shared" ca="1" si="20"/>
        <v>410</v>
      </c>
      <c r="F314" s="243"/>
      <c r="G314" s="243"/>
      <c r="H314" s="243">
        <f t="shared" ca="1" si="18"/>
        <v>410</v>
      </c>
      <c r="J314" s="248">
        <f t="shared" si="21"/>
        <v>-176987336.45614532</v>
      </c>
      <c r="K314" s="248"/>
      <c r="L314" s="248"/>
      <c r="M314" s="248">
        <v>0</v>
      </c>
      <c r="N314" s="248"/>
      <c r="O314" s="248">
        <f t="shared" si="19"/>
        <v>-176987336.45614532</v>
      </c>
    </row>
    <row r="315" spans="3:15" ht="16" thickTop="1" thickBot="1">
      <c r="C315" s="98"/>
      <c r="D315" s="239"/>
      <c r="E315" s="243">
        <f t="shared" ca="1" si="20"/>
        <v>410</v>
      </c>
      <c r="F315" s="243"/>
      <c r="G315" s="243"/>
      <c r="H315" s="243">
        <f t="shared" ca="1" si="18"/>
        <v>410</v>
      </c>
      <c r="J315" s="248">
        <f t="shared" si="21"/>
        <v>-176987336.45614532</v>
      </c>
      <c r="K315" s="248"/>
      <c r="L315" s="248"/>
      <c r="M315" s="248">
        <v>0</v>
      </c>
      <c r="N315" s="248"/>
      <c r="O315" s="248">
        <f t="shared" si="19"/>
        <v>-176987336.45614532</v>
      </c>
    </row>
    <row r="316" spans="3:15" ht="16" thickTop="1" thickBot="1">
      <c r="C316" s="98"/>
      <c r="D316" s="239"/>
      <c r="E316" s="243">
        <f t="shared" ca="1" si="20"/>
        <v>410</v>
      </c>
      <c r="F316" s="243"/>
      <c r="G316" s="243"/>
      <c r="H316" s="243">
        <f t="shared" ca="1" si="18"/>
        <v>410</v>
      </c>
      <c r="J316" s="248">
        <f t="shared" si="21"/>
        <v>-176987336.45614532</v>
      </c>
      <c r="K316" s="248"/>
      <c r="L316" s="248"/>
      <c r="M316" s="248">
        <v>0</v>
      </c>
      <c r="N316" s="248"/>
      <c r="O316" s="248">
        <f t="shared" si="19"/>
        <v>-176987336.45614532</v>
      </c>
    </row>
    <row r="317" spans="3:15" ht="16" thickTop="1" thickBot="1">
      <c r="C317" s="98"/>
      <c r="D317" s="239"/>
      <c r="E317" s="243">
        <f t="shared" ca="1" si="20"/>
        <v>410</v>
      </c>
      <c r="F317" s="243"/>
      <c r="G317" s="243"/>
      <c r="H317" s="243">
        <f t="shared" ca="1" si="18"/>
        <v>410</v>
      </c>
      <c r="J317" s="248">
        <f t="shared" si="21"/>
        <v>-176987336.45614532</v>
      </c>
      <c r="K317" s="248"/>
      <c r="L317" s="248"/>
      <c r="M317" s="248">
        <v>0</v>
      </c>
      <c r="N317" s="248"/>
      <c r="O317" s="248">
        <f t="shared" si="19"/>
        <v>-176987336.45614532</v>
      </c>
    </row>
    <row r="318" spans="3:15" ht="16" thickTop="1" thickBot="1">
      <c r="C318" s="98"/>
      <c r="D318" s="239"/>
      <c r="E318" s="243">
        <f t="shared" ca="1" si="20"/>
        <v>410</v>
      </c>
      <c r="F318" s="243"/>
      <c r="G318" s="243"/>
      <c r="H318" s="243">
        <f t="shared" ca="1" si="18"/>
        <v>410</v>
      </c>
      <c r="J318" s="248">
        <f t="shared" si="21"/>
        <v>-176987336.45614532</v>
      </c>
      <c r="K318" s="248"/>
      <c r="L318" s="248"/>
      <c r="M318" s="248">
        <v>0</v>
      </c>
      <c r="N318" s="248"/>
      <c r="O318" s="248">
        <f t="shared" si="19"/>
        <v>-176987336.45614532</v>
      </c>
    </row>
    <row r="319" spans="3:15" ht="16" thickTop="1" thickBot="1">
      <c r="C319" s="98"/>
      <c r="D319" s="239"/>
      <c r="E319" s="243">
        <f t="shared" ca="1" si="20"/>
        <v>410</v>
      </c>
      <c r="F319" s="243"/>
      <c r="G319" s="243"/>
      <c r="H319" s="243">
        <f t="shared" ca="1" si="18"/>
        <v>410</v>
      </c>
      <c r="J319" s="248">
        <f t="shared" si="21"/>
        <v>-176987336.45614532</v>
      </c>
      <c r="K319" s="248"/>
      <c r="L319" s="248"/>
      <c r="M319" s="248">
        <v>0</v>
      </c>
      <c r="N319" s="248"/>
      <c r="O319" s="248">
        <f t="shared" si="19"/>
        <v>-176987336.45614532</v>
      </c>
    </row>
    <row r="320" spans="3:15" ht="16" thickTop="1" thickBot="1">
      <c r="C320" s="98"/>
      <c r="D320" s="239"/>
      <c r="E320" s="243">
        <f t="shared" ca="1" si="20"/>
        <v>410</v>
      </c>
      <c r="F320" s="243"/>
      <c r="G320" s="243"/>
      <c r="H320" s="243">
        <f t="shared" ca="1" si="18"/>
        <v>410</v>
      </c>
      <c r="J320" s="248">
        <f t="shared" si="21"/>
        <v>-176987336.45614532</v>
      </c>
      <c r="K320" s="248"/>
      <c r="L320" s="248"/>
      <c r="M320" s="248">
        <v>0</v>
      </c>
      <c r="N320" s="248"/>
      <c r="O320" s="248">
        <f t="shared" si="19"/>
        <v>-176987336.45614532</v>
      </c>
    </row>
    <row r="321" spans="3:15" ht="16" thickTop="1" thickBot="1">
      <c r="C321" s="98"/>
      <c r="D321" s="239"/>
      <c r="E321" s="243">
        <f t="shared" ca="1" si="20"/>
        <v>410</v>
      </c>
      <c r="F321" s="243"/>
      <c r="G321" s="243"/>
      <c r="H321" s="243">
        <f t="shared" ca="1" si="18"/>
        <v>410</v>
      </c>
      <c r="J321" s="248">
        <f t="shared" si="21"/>
        <v>-176987336.45614532</v>
      </c>
      <c r="K321" s="248"/>
      <c r="L321" s="248"/>
      <c r="M321" s="248">
        <v>0</v>
      </c>
      <c r="N321" s="248"/>
      <c r="O321" s="248">
        <f t="shared" si="19"/>
        <v>-176987336.45614532</v>
      </c>
    </row>
    <row r="322" spans="3:15" ht="16" thickTop="1" thickBot="1">
      <c r="C322" s="98"/>
      <c r="D322" s="239"/>
      <c r="E322" s="243">
        <f t="shared" ca="1" si="20"/>
        <v>410</v>
      </c>
      <c r="F322" s="243"/>
      <c r="G322" s="243"/>
      <c r="H322" s="243">
        <f t="shared" ca="1" si="18"/>
        <v>410</v>
      </c>
      <c r="J322" s="248">
        <f t="shared" si="21"/>
        <v>-176987336.45614532</v>
      </c>
      <c r="K322" s="248"/>
      <c r="L322" s="248"/>
      <c r="M322" s="248">
        <v>0</v>
      </c>
      <c r="N322" s="248"/>
      <c r="O322" s="248">
        <f t="shared" si="19"/>
        <v>-176987336.45614532</v>
      </c>
    </row>
    <row r="323" spans="3:15" ht="16" thickTop="1" thickBot="1">
      <c r="C323" s="98"/>
      <c r="D323" s="239"/>
      <c r="E323" s="243">
        <f t="shared" ca="1" si="20"/>
        <v>410</v>
      </c>
      <c r="F323" s="243"/>
      <c r="G323" s="243"/>
      <c r="H323" s="243">
        <f t="shared" ca="1" si="18"/>
        <v>410</v>
      </c>
      <c r="J323" s="248">
        <f t="shared" si="21"/>
        <v>-176987336.45614532</v>
      </c>
      <c r="K323" s="248"/>
      <c r="L323" s="248"/>
      <c r="M323" s="248">
        <v>0</v>
      </c>
      <c r="N323" s="248"/>
      <c r="O323" s="248">
        <f t="shared" si="19"/>
        <v>-176987336.45614532</v>
      </c>
    </row>
    <row r="324" spans="3:15" ht="16" thickTop="1" thickBot="1">
      <c r="C324" s="98"/>
      <c r="D324" s="239"/>
      <c r="E324" s="243">
        <f t="shared" ca="1" si="20"/>
        <v>410</v>
      </c>
      <c r="F324" s="243"/>
      <c r="G324" s="243"/>
      <c r="H324" s="243">
        <f t="shared" ca="1" si="18"/>
        <v>410</v>
      </c>
      <c r="J324" s="248">
        <f t="shared" si="21"/>
        <v>-176987336.45614532</v>
      </c>
      <c r="K324" s="248"/>
      <c r="L324" s="248"/>
      <c r="M324" s="248">
        <v>0</v>
      </c>
      <c r="N324" s="248"/>
      <c r="O324" s="248">
        <f t="shared" si="19"/>
        <v>-176987336.45614532</v>
      </c>
    </row>
    <row r="325" spans="3:15" ht="16" thickTop="1" thickBot="1">
      <c r="C325" s="98"/>
      <c r="D325" s="239"/>
      <c r="E325" s="243">
        <f t="shared" ca="1" si="20"/>
        <v>410</v>
      </c>
      <c r="F325" s="243"/>
      <c r="G325" s="243"/>
      <c r="H325" s="243">
        <f t="shared" ca="1" si="18"/>
        <v>410</v>
      </c>
      <c r="J325" s="248">
        <f t="shared" si="21"/>
        <v>-176987336.45614532</v>
      </c>
      <c r="K325" s="248"/>
      <c r="L325" s="248"/>
      <c r="M325" s="248">
        <v>0</v>
      </c>
      <c r="N325" s="248"/>
      <c r="O325" s="248">
        <f t="shared" si="19"/>
        <v>-176987336.45614532</v>
      </c>
    </row>
    <row r="326" spans="3:15" ht="16" thickTop="1" thickBot="1">
      <c r="C326" s="98"/>
      <c r="D326" s="239"/>
      <c r="E326" s="243">
        <f t="shared" ca="1" si="20"/>
        <v>410</v>
      </c>
      <c r="F326" s="243"/>
      <c r="G326" s="243"/>
      <c r="H326" s="243">
        <f t="shared" ca="1" si="18"/>
        <v>410</v>
      </c>
      <c r="J326" s="248">
        <f t="shared" si="21"/>
        <v>-176987336.45614532</v>
      </c>
      <c r="K326" s="248"/>
      <c r="L326" s="248"/>
      <c r="M326" s="248">
        <v>0</v>
      </c>
      <c r="N326" s="248"/>
      <c r="O326" s="248">
        <f t="shared" si="19"/>
        <v>-176987336.45614532</v>
      </c>
    </row>
    <row r="327" spans="3:15" ht="16" thickTop="1" thickBot="1">
      <c r="C327" s="98"/>
      <c r="D327" s="239"/>
      <c r="E327" s="243">
        <f t="shared" ca="1" si="20"/>
        <v>410</v>
      </c>
      <c r="F327" s="243"/>
      <c r="G327" s="243"/>
      <c r="H327" s="243">
        <f t="shared" ca="1" si="18"/>
        <v>410</v>
      </c>
      <c r="J327" s="248">
        <f t="shared" si="21"/>
        <v>-176987336.45614532</v>
      </c>
      <c r="K327" s="248"/>
      <c r="L327" s="248"/>
      <c r="M327" s="248">
        <v>0</v>
      </c>
      <c r="N327" s="248"/>
      <c r="O327" s="248">
        <f t="shared" si="19"/>
        <v>-176987336.45614532</v>
      </c>
    </row>
    <row r="328" spans="3:15" ht="16" thickTop="1" thickBot="1">
      <c r="C328" s="98"/>
      <c r="D328" s="239"/>
      <c r="E328" s="243">
        <f t="shared" ca="1" si="20"/>
        <v>410</v>
      </c>
      <c r="F328" s="243"/>
      <c r="G328" s="243"/>
      <c r="H328" s="243">
        <f t="shared" ca="1" si="18"/>
        <v>410</v>
      </c>
      <c r="J328" s="248">
        <f t="shared" si="21"/>
        <v>-176987336.45614532</v>
      </c>
      <c r="K328" s="248"/>
      <c r="L328" s="248"/>
      <c r="M328" s="248">
        <v>0</v>
      </c>
      <c r="N328" s="248"/>
      <c r="O328" s="248">
        <f t="shared" si="19"/>
        <v>-176987336.45614532</v>
      </c>
    </row>
    <row r="329" spans="3:15" ht="16" thickTop="1" thickBot="1">
      <c r="C329" s="98"/>
      <c r="D329" s="239"/>
      <c r="E329" s="243">
        <f t="shared" ca="1" si="20"/>
        <v>410</v>
      </c>
      <c r="F329" s="243"/>
      <c r="G329" s="243"/>
      <c r="H329" s="243">
        <f t="shared" ref="H329:H368" ca="1" si="22">E329+F329-G329</f>
        <v>410</v>
      </c>
      <c r="J329" s="248">
        <f t="shared" si="21"/>
        <v>-176987336.45614532</v>
      </c>
      <c r="K329" s="248"/>
      <c r="L329" s="248"/>
      <c r="M329" s="248">
        <v>0</v>
      </c>
      <c r="N329" s="248"/>
      <c r="O329" s="248">
        <f t="shared" si="19"/>
        <v>-176987336.45614532</v>
      </c>
    </row>
    <row r="330" spans="3:15" ht="16" thickTop="1" thickBot="1">
      <c r="C330" s="98"/>
      <c r="D330" s="239"/>
      <c r="E330" s="243">
        <f t="shared" ca="1" si="20"/>
        <v>410</v>
      </c>
      <c r="F330" s="243"/>
      <c r="G330" s="243"/>
      <c r="H330" s="243">
        <f t="shared" ca="1" si="22"/>
        <v>410</v>
      </c>
      <c r="J330" s="248">
        <f t="shared" si="21"/>
        <v>-176987336.45614532</v>
      </c>
      <c r="K330" s="248"/>
      <c r="L330" s="248"/>
      <c r="M330" s="248">
        <v>0</v>
      </c>
      <c r="N330" s="248"/>
      <c r="O330" s="248">
        <f t="shared" ref="O330:O370" si="23">J330+K330+L330+M330-N330</f>
        <v>-176987336.45614532</v>
      </c>
    </row>
    <row r="331" spans="3:15" ht="16" thickTop="1" thickBot="1">
      <c r="C331" s="98"/>
      <c r="D331" s="239"/>
      <c r="E331" s="243">
        <f t="shared" ref="E331:E368" ca="1" si="24">H330</f>
        <v>410</v>
      </c>
      <c r="F331" s="243"/>
      <c r="G331" s="243"/>
      <c r="H331" s="243">
        <f t="shared" ca="1" si="22"/>
        <v>410</v>
      </c>
      <c r="J331" s="248">
        <f t="shared" ref="J331:J368" si="25">O330</f>
        <v>-176987336.45614532</v>
      </c>
      <c r="K331" s="248"/>
      <c r="L331" s="248"/>
      <c r="M331" s="248">
        <v>0</v>
      </c>
      <c r="N331" s="248"/>
      <c r="O331" s="248">
        <f t="shared" si="23"/>
        <v>-176987336.45614532</v>
      </c>
    </row>
    <row r="332" spans="3:15" ht="16" thickTop="1" thickBot="1">
      <c r="C332" s="98"/>
      <c r="D332" s="239"/>
      <c r="E332" s="243">
        <f t="shared" ca="1" si="24"/>
        <v>410</v>
      </c>
      <c r="F332" s="243"/>
      <c r="G332" s="243"/>
      <c r="H332" s="243">
        <f t="shared" ca="1" si="22"/>
        <v>410</v>
      </c>
      <c r="J332" s="248">
        <f t="shared" si="25"/>
        <v>-176987336.45614532</v>
      </c>
      <c r="K332" s="248"/>
      <c r="L332" s="248"/>
      <c r="M332" s="248">
        <v>0</v>
      </c>
      <c r="N332" s="248"/>
      <c r="O332" s="248">
        <f t="shared" si="23"/>
        <v>-176987336.45614532</v>
      </c>
    </row>
    <row r="333" spans="3:15" ht="16" thickTop="1" thickBot="1">
      <c r="C333" s="98"/>
      <c r="D333" s="239"/>
      <c r="E333" s="243">
        <f t="shared" ca="1" si="24"/>
        <v>410</v>
      </c>
      <c r="F333" s="243"/>
      <c r="G333" s="243"/>
      <c r="H333" s="243">
        <f t="shared" ca="1" si="22"/>
        <v>410</v>
      </c>
      <c r="J333" s="248">
        <f t="shared" si="25"/>
        <v>-176987336.45614532</v>
      </c>
      <c r="K333" s="248"/>
      <c r="L333" s="248"/>
      <c r="M333" s="248">
        <v>0</v>
      </c>
      <c r="N333" s="248"/>
      <c r="O333" s="248">
        <f t="shared" si="23"/>
        <v>-176987336.45614532</v>
      </c>
    </row>
    <row r="334" spans="3:15" ht="16" thickTop="1" thickBot="1">
      <c r="C334" s="98"/>
      <c r="D334" s="239"/>
      <c r="E334" s="243">
        <f t="shared" ca="1" si="24"/>
        <v>410</v>
      </c>
      <c r="F334" s="243"/>
      <c r="G334" s="243"/>
      <c r="H334" s="243">
        <f t="shared" ca="1" si="22"/>
        <v>410</v>
      </c>
      <c r="J334" s="248">
        <f t="shared" si="25"/>
        <v>-176987336.45614532</v>
      </c>
      <c r="K334" s="248"/>
      <c r="L334" s="248"/>
      <c r="M334" s="248">
        <v>0</v>
      </c>
      <c r="N334" s="248"/>
      <c r="O334" s="248">
        <f t="shared" si="23"/>
        <v>-176987336.45614532</v>
      </c>
    </row>
    <row r="335" spans="3:15" ht="16" thickTop="1" thickBot="1">
      <c r="C335" s="98"/>
      <c r="D335" s="239"/>
      <c r="E335" s="243">
        <f t="shared" ca="1" si="24"/>
        <v>410</v>
      </c>
      <c r="F335" s="243"/>
      <c r="G335" s="243"/>
      <c r="H335" s="243">
        <f t="shared" ca="1" si="22"/>
        <v>410</v>
      </c>
      <c r="J335" s="248">
        <f t="shared" si="25"/>
        <v>-176987336.45614532</v>
      </c>
      <c r="K335" s="248"/>
      <c r="L335" s="248"/>
      <c r="M335" s="248">
        <v>0</v>
      </c>
      <c r="N335" s="248"/>
      <c r="O335" s="248">
        <f t="shared" si="23"/>
        <v>-176987336.45614532</v>
      </c>
    </row>
    <row r="336" spans="3:15" ht="16" thickTop="1" thickBot="1">
      <c r="C336" s="98"/>
      <c r="D336" s="239"/>
      <c r="E336" s="243">
        <f t="shared" ca="1" si="24"/>
        <v>410</v>
      </c>
      <c r="F336" s="243"/>
      <c r="G336" s="243"/>
      <c r="H336" s="243">
        <f t="shared" ca="1" si="22"/>
        <v>410</v>
      </c>
      <c r="J336" s="248">
        <f t="shared" si="25"/>
        <v>-176987336.45614532</v>
      </c>
      <c r="K336" s="248"/>
      <c r="L336" s="248"/>
      <c r="M336" s="248">
        <v>0</v>
      </c>
      <c r="N336" s="248"/>
      <c r="O336" s="248">
        <f t="shared" si="23"/>
        <v>-176987336.45614532</v>
      </c>
    </row>
    <row r="337" spans="3:15" ht="16" thickTop="1" thickBot="1">
      <c r="C337" s="98"/>
      <c r="D337" s="239"/>
      <c r="E337" s="243">
        <f t="shared" ca="1" si="24"/>
        <v>410</v>
      </c>
      <c r="F337" s="243"/>
      <c r="G337" s="243"/>
      <c r="H337" s="243">
        <f t="shared" ca="1" si="22"/>
        <v>410</v>
      </c>
      <c r="J337" s="248">
        <f t="shared" si="25"/>
        <v>-176987336.45614532</v>
      </c>
      <c r="K337" s="248"/>
      <c r="L337" s="248"/>
      <c r="M337" s="248">
        <v>0</v>
      </c>
      <c r="N337" s="248"/>
      <c r="O337" s="248">
        <f t="shared" si="23"/>
        <v>-176987336.45614532</v>
      </c>
    </row>
    <row r="338" spans="3:15" ht="16" thickTop="1" thickBot="1">
      <c r="C338" s="98"/>
      <c r="D338" s="239"/>
      <c r="E338" s="243">
        <f t="shared" ca="1" si="24"/>
        <v>410</v>
      </c>
      <c r="F338" s="243"/>
      <c r="G338" s="243"/>
      <c r="H338" s="243">
        <f t="shared" ca="1" si="22"/>
        <v>410</v>
      </c>
      <c r="J338" s="248">
        <f t="shared" si="25"/>
        <v>-176987336.45614532</v>
      </c>
      <c r="K338" s="248"/>
      <c r="L338" s="248"/>
      <c r="M338" s="248">
        <v>0</v>
      </c>
      <c r="N338" s="248"/>
      <c r="O338" s="248">
        <f t="shared" si="23"/>
        <v>-176987336.45614532</v>
      </c>
    </row>
    <row r="339" spans="3:15" ht="16" thickTop="1" thickBot="1">
      <c r="C339" s="98"/>
      <c r="D339" s="239"/>
      <c r="E339" s="243">
        <f t="shared" ca="1" si="24"/>
        <v>410</v>
      </c>
      <c r="F339" s="243"/>
      <c r="G339" s="243"/>
      <c r="H339" s="243">
        <f t="shared" ca="1" si="22"/>
        <v>410</v>
      </c>
      <c r="J339" s="248">
        <f t="shared" si="25"/>
        <v>-176987336.45614532</v>
      </c>
      <c r="K339" s="248"/>
      <c r="L339" s="248"/>
      <c r="M339" s="248">
        <v>0</v>
      </c>
      <c r="N339" s="248"/>
      <c r="O339" s="248">
        <f t="shared" si="23"/>
        <v>-176987336.45614532</v>
      </c>
    </row>
    <row r="340" spans="3:15" ht="16" thickTop="1" thickBot="1">
      <c r="C340" s="98"/>
      <c r="D340" s="239"/>
      <c r="E340" s="243">
        <f t="shared" ca="1" si="24"/>
        <v>410</v>
      </c>
      <c r="F340" s="243"/>
      <c r="G340" s="243"/>
      <c r="H340" s="243">
        <f t="shared" ca="1" si="22"/>
        <v>410</v>
      </c>
      <c r="J340" s="248">
        <f t="shared" si="25"/>
        <v>-176987336.45614532</v>
      </c>
      <c r="K340" s="248"/>
      <c r="L340" s="248"/>
      <c r="M340" s="248">
        <v>0</v>
      </c>
      <c r="N340" s="248"/>
      <c r="O340" s="248">
        <f t="shared" si="23"/>
        <v>-176987336.45614532</v>
      </c>
    </row>
    <row r="341" spans="3:15" ht="16" thickTop="1" thickBot="1">
      <c r="C341" s="98"/>
      <c r="D341" s="239"/>
      <c r="E341" s="243">
        <f t="shared" ca="1" si="24"/>
        <v>410</v>
      </c>
      <c r="F341" s="243"/>
      <c r="G341" s="243"/>
      <c r="H341" s="243">
        <f t="shared" ca="1" si="22"/>
        <v>410</v>
      </c>
      <c r="J341" s="248">
        <f t="shared" si="25"/>
        <v>-176987336.45614532</v>
      </c>
      <c r="K341" s="248"/>
      <c r="L341" s="248"/>
      <c r="M341" s="248">
        <v>0</v>
      </c>
      <c r="N341" s="248"/>
      <c r="O341" s="248">
        <f t="shared" si="23"/>
        <v>-176987336.45614532</v>
      </c>
    </row>
    <row r="342" spans="3:15" ht="16" thickTop="1" thickBot="1">
      <c r="C342" s="98"/>
      <c r="D342" s="239"/>
      <c r="E342" s="243">
        <f t="shared" ca="1" si="24"/>
        <v>410</v>
      </c>
      <c r="F342" s="243"/>
      <c r="G342" s="243"/>
      <c r="H342" s="243">
        <f t="shared" ca="1" si="22"/>
        <v>410</v>
      </c>
      <c r="J342" s="248">
        <f t="shared" si="25"/>
        <v>-176987336.45614532</v>
      </c>
      <c r="K342" s="248"/>
      <c r="L342" s="248"/>
      <c r="M342" s="248">
        <v>0</v>
      </c>
      <c r="N342" s="248"/>
      <c r="O342" s="248">
        <f t="shared" si="23"/>
        <v>-176987336.45614532</v>
      </c>
    </row>
    <row r="343" spans="3:15" ht="16" thickTop="1" thickBot="1">
      <c r="C343" s="98"/>
      <c r="D343" s="239"/>
      <c r="E343" s="243">
        <f t="shared" ca="1" si="24"/>
        <v>410</v>
      </c>
      <c r="F343" s="243"/>
      <c r="G343" s="243"/>
      <c r="H343" s="243">
        <f t="shared" ca="1" si="22"/>
        <v>410</v>
      </c>
      <c r="J343" s="248">
        <f t="shared" si="25"/>
        <v>-176987336.45614532</v>
      </c>
      <c r="K343" s="248"/>
      <c r="L343" s="248"/>
      <c r="M343" s="248">
        <v>0</v>
      </c>
      <c r="N343" s="248"/>
      <c r="O343" s="248">
        <f t="shared" si="23"/>
        <v>-176987336.45614532</v>
      </c>
    </row>
    <row r="344" spans="3:15" ht="16" thickTop="1" thickBot="1">
      <c r="C344" s="98"/>
      <c r="D344" s="239"/>
      <c r="E344" s="243">
        <f t="shared" ca="1" si="24"/>
        <v>410</v>
      </c>
      <c r="F344" s="243"/>
      <c r="G344" s="243"/>
      <c r="H344" s="243">
        <f t="shared" ca="1" si="22"/>
        <v>410</v>
      </c>
      <c r="J344" s="248">
        <f t="shared" si="25"/>
        <v>-176987336.45614532</v>
      </c>
      <c r="K344" s="248"/>
      <c r="L344" s="248"/>
      <c r="M344" s="248">
        <v>0</v>
      </c>
      <c r="N344" s="248"/>
      <c r="O344" s="248">
        <f t="shared" si="23"/>
        <v>-176987336.45614532</v>
      </c>
    </row>
    <row r="345" spans="3:15" ht="16" thickTop="1" thickBot="1">
      <c r="C345" s="98"/>
      <c r="D345" s="239"/>
      <c r="E345" s="243">
        <f t="shared" ca="1" si="24"/>
        <v>410</v>
      </c>
      <c r="F345" s="243"/>
      <c r="G345" s="243"/>
      <c r="H345" s="243">
        <f t="shared" ca="1" si="22"/>
        <v>410</v>
      </c>
      <c r="J345" s="248">
        <f t="shared" si="25"/>
        <v>-176987336.45614532</v>
      </c>
      <c r="K345" s="248"/>
      <c r="L345" s="248"/>
      <c r="M345" s="248">
        <v>0</v>
      </c>
      <c r="N345" s="248"/>
      <c r="O345" s="248">
        <f t="shared" si="23"/>
        <v>-176987336.45614532</v>
      </c>
    </row>
    <row r="346" spans="3:15" ht="16" thickTop="1" thickBot="1">
      <c r="C346" s="98"/>
      <c r="D346" s="239"/>
      <c r="E346" s="243">
        <f t="shared" ca="1" si="24"/>
        <v>410</v>
      </c>
      <c r="F346" s="243"/>
      <c r="G346" s="243"/>
      <c r="H346" s="243">
        <f t="shared" ca="1" si="22"/>
        <v>410</v>
      </c>
      <c r="J346" s="248">
        <f t="shared" si="25"/>
        <v>-176987336.45614532</v>
      </c>
      <c r="K346" s="248"/>
      <c r="L346" s="248"/>
      <c r="M346" s="248">
        <v>0</v>
      </c>
      <c r="N346" s="248"/>
      <c r="O346" s="248">
        <f t="shared" si="23"/>
        <v>-176987336.45614532</v>
      </c>
    </row>
    <row r="347" spans="3:15" ht="16" thickTop="1" thickBot="1">
      <c r="C347" s="98"/>
      <c r="D347" s="239"/>
      <c r="E347" s="243">
        <f t="shared" ca="1" si="24"/>
        <v>410</v>
      </c>
      <c r="F347" s="243"/>
      <c r="G347" s="243"/>
      <c r="H347" s="243">
        <f t="shared" ca="1" si="22"/>
        <v>410</v>
      </c>
      <c r="J347" s="248">
        <f t="shared" si="25"/>
        <v>-176987336.45614532</v>
      </c>
      <c r="K347" s="248"/>
      <c r="L347" s="248"/>
      <c r="M347" s="248">
        <v>0</v>
      </c>
      <c r="N347" s="248"/>
      <c r="O347" s="248">
        <f t="shared" si="23"/>
        <v>-176987336.45614532</v>
      </c>
    </row>
    <row r="348" spans="3:15" ht="16" thickTop="1" thickBot="1">
      <c r="C348" s="98"/>
      <c r="D348" s="239"/>
      <c r="E348" s="243">
        <f t="shared" ca="1" si="24"/>
        <v>410</v>
      </c>
      <c r="F348" s="243"/>
      <c r="G348" s="243"/>
      <c r="H348" s="243">
        <f t="shared" ca="1" si="22"/>
        <v>410</v>
      </c>
      <c r="J348" s="248">
        <f t="shared" si="25"/>
        <v>-176987336.45614532</v>
      </c>
      <c r="K348" s="248"/>
      <c r="L348" s="248"/>
      <c r="M348" s="248">
        <v>0</v>
      </c>
      <c r="N348" s="248"/>
      <c r="O348" s="248">
        <f t="shared" si="23"/>
        <v>-176987336.45614532</v>
      </c>
    </row>
    <row r="349" spans="3:15" ht="16" thickTop="1" thickBot="1">
      <c r="C349" s="98"/>
      <c r="D349" s="239"/>
      <c r="E349" s="243">
        <f t="shared" ca="1" si="24"/>
        <v>410</v>
      </c>
      <c r="F349" s="243"/>
      <c r="G349" s="243"/>
      <c r="H349" s="243">
        <f t="shared" ca="1" si="22"/>
        <v>410</v>
      </c>
      <c r="J349" s="248">
        <f t="shared" si="25"/>
        <v>-176987336.45614532</v>
      </c>
      <c r="K349" s="248"/>
      <c r="L349" s="248"/>
      <c r="M349" s="248">
        <v>0</v>
      </c>
      <c r="N349" s="248"/>
      <c r="O349" s="248">
        <f t="shared" si="23"/>
        <v>-176987336.45614532</v>
      </c>
    </row>
    <row r="350" spans="3:15" ht="16" thickTop="1" thickBot="1">
      <c r="C350" s="98"/>
      <c r="D350" s="239"/>
      <c r="E350" s="243">
        <f t="shared" ca="1" si="24"/>
        <v>410</v>
      </c>
      <c r="F350" s="243"/>
      <c r="G350" s="243"/>
      <c r="H350" s="243">
        <f t="shared" ca="1" si="22"/>
        <v>410</v>
      </c>
      <c r="J350" s="248">
        <f t="shared" si="25"/>
        <v>-176987336.45614532</v>
      </c>
      <c r="K350" s="248"/>
      <c r="L350" s="248"/>
      <c r="M350" s="248">
        <v>0</v>
      </c>
      <c r="N350" s="248"/>
      <c r="O350" s="248">
        <f t="shared" si="23"/>
        <v>-176987336.45614532</v>
      </c>
    </row>
    <row r="351" spans="3:15" ht="16" thickTop="1" thickBot="1">
      <c r="C351" s="98"/>
      <c r="D351" s="239"/>
      <c r="E351" s="243">
        <f t="shared" ca="1" si="24"/>
        <v>410</v>
      </c>
      <c r="F351" s="243"/>
      <c r="G351" s="243"/>
      <c r="H351" s="243">
        <f t="shared" ca="1" si="22"/>
        <v>410</v>
      </c>
      <c r="J351" s="248">
        <f t="shared" si="25"/>
        <v>-176987336.45614532</v>
      </c>
      <c r="K351" s="248"/>
      <c r="L351" s="248"/>
      <c r="M351" s="248">
        <v>0</v>
      </c>
      <c r="N351" s="248"/>
      <c r="O351" s="248">
        <f t="shared" si="23"/>
        <v>-176987336.45614532</v>
      </c>
    </row>
    <row r="352" spans="3:15" ht="16" thickTop="1" thickBot="1">
      <c r="C352" s="98"/>
      <c r="D352" s="239"/>
      <c r="E352" s="243">
        <f t="shared" ca="1" si="24"/>
        <v>410</v>
      </c>
      <c r="F352" s="243"/>
      <c r="G352" s="243"/>
      <c r="H352" s="243">
        <f t="shared" ca="1" si="22"/>
        <v>410</v>
      </c>
      <c r="J352" s="248">
        <f t="shared" si="25"/>
        <v>-176987336.45614532</v>
      </c>
      <c r="K352" s="248"/>
      <c r="L352" s="248"/>
      <c r="M352" s="248">
        <v>0</v>
      </c>
      <c r="N352" s="248"/>
      <c r="O352" s="248">
        <f t="shared" si="23"/>
        <v>-176987336.45614532</v>
      </c>
    </row>
    <row r="353" spans="3:15" ht="16" thickTop="1" thickBot="1">
      <c r="C353" s="98"/>
      <c r="D353" s="239"/>
      <c r="E353" s="243">
        <f t="shared" ca="1" si="24"/>
        <v>410</v>
      </c>
      <c r="F353" s="243"/>
      <c r="G353" s="243"/>
      <c r="H353" s="243">
        <f t="shared" ca="1" si="22"/>
        <v>410</v>
      </c>
      <c r="J353" s="248">
        <f t="shared" si="25"/>
        <v>-176987336.45614532</v>
      </c>
      <c r="K353" s="248"/>
      <c r="L353" s="248"/>
      <c r="M353" s="248">
        <v>0</v>
      </c>
      <c r="N353" s="248"/>
      <c r="O353" s="248">
        <f t="shared" si="23"/>
        <v>-176987336.45614532</v>
      </c>
    </row>
    <row r="354" spans="3:15" ht="16" thickTop="1" thickBot="1">
      <c r="C354" s="98"/>
      <c r="D354" s="239"/>
      <c r="E354" s="243">
        <f t="shared" ca="1" si="24"/>
        <v>410</v>
      </c>
      <c r="F354" s="243"/>
      <c r="G354" s="243"/>
      <c r="H354" s="243">
        <f t="shared" ca="1" si="22"/>
        <v>410</v>
      </c>
      <c r="J354" s="248">
        <f t="shared" si="25"/>
        <v>-176987336.45614532</v>
      </c>
      <c r="K354" s="248"/>
      <c r="L354" s="248"/>
      <c r="M354" s="248">
        <v>0</v>
      </c>
      <c r="N354" s="248"/>
      <c r="O354" s="248">
        <f t="shared" si="23"/>
        <v>-176987336.45614532</v>
      </c>
    </row>
    <row r="355" spans="3:15" ht="16" thickTop="1" thickBot="1">
      <c r="C355" s="98"/>
      <c r="D355" s="239"/>
      <c r="E355" s="243">
        <f t="shared" ca="1" si="24"/>
        <v>410</v>
      </c>
      <c r="F355" s="243"/>
      <c r="G355" s="243"/>
      <c r="H355" s="243">
        <f t="shared" ca="1" si="22"/>
        <v>410</v>
      </c>
      <c r="J355" s="248">
        <f t="shared" si="25"/>
        <v>-176987336.45614532</v>
      </c>
      <c r="K355" s="248"/>
      <c r="L355" s="248"/>
      <c r="M355" s="248">
        <v>0</v>
      </c>
      <c r="N355" s="248"/>
      <c r="O355" s="248">
        <f t="shared" si="23"/>
        <v>-176987336.45614532</v>
      </c>
    </row>
    <row r="356" spans="3:15" ht="16" thickTop="1" thickBot="1">
      <c r="C356" s="98"/>
      <c r="D356" s="239"/>
      <c r="E356" s="243">
        <f t="shared" ca="1" si="24"/>
        <v>410</v>
      </c>
      <c r="F356" s="243"/>
      <c r="G356" s="243"/>
      <c r="H356" s="243">
        <f t="shared" ca="1" si="22"/>
        <v>410</v>
      </c>
      <c r="J356" s="248">
        <f t="shared" si="25"/>
        <v>-176987336.45614532</v>
      </c>
      <c r="K356" s="248"/>
      <c r="L356" s="248"/>
      <c r="M356" s="248">
        <v>0</v>
      </c>
      <c r="N356" s="248"/>
      <c r="O356" s="248">
        <f t="shared" si="23"/>
        <v>-176987336.45614532</v>
      </c>
    </row>
    <row r="357" spans="3:15" ht="16" thickTop="1" thickBot="1">
      <c r="C357" s="98"/>
      <c r="D357" s="239"/>
      <c r="E357" s="243">
        <f t="shared" ca="1" si="24"/>
        <v>410</v>
      </c>
      <c r="F357" s="243"/>
      <c r="G357" s="243"/>
      <c r="H357" s="243">
        <f t="shared" ca="1" si="22"/>
        <v>410</v>
      </c>
      <c r="J357" s="248">
        <f t="shared" si="25"/>
        <v>-176987336.45614532</v>
      </c>
      <c r="K357" s="248"/>
      <c r="L357" s="248"/>
      <c r="M357" s="248">
        <v>0</v>
      </c>
      <c r="N357" s="248"/>
      <c r="O357" s="248">
        <f t="shared" si="23"/>
        <v>-176987336.45614532</v>
      </c>
    </row>
    <row r="358" spans="3:15" ht="16" thickTop="1" thickBot="1">
      <c r="C358" s="98"/>
      <c r="D358" s="239"/>
      <c r="E358" s="243">
        <f t="shared" ca="1" si="24"/>
        <v>410</v>
      </c>
      <c r="F358" s="243"/>
      <c r="G358" s="243"/>
      <c r="H358" s="243">
        <f t="shared" ca="1" si="22"/>
        <v>410</v>
      </c>
      <c r="J358" s="248">
        <f t="shared" si="25"/>
        <v>-176987336.45614532</v>
      </c>
      <c r="K358" s="248"/>
      <c r="L358" s="248"/>
      <c r="M358" s="248">
        <v>0</v>
      </c>
      <c r="N358" s="248"/>
      <c r="O358" s="248">
        <f t="shared" si="23"/>
        <v>-176987336.45614532</v>
      </c>
    </row>
    <row r="359" spans="3:15" ht="16" thickTop="1" thickBot="1">
      <c r="C359" s="98"/>
      <c r="D359" s="239"/>
      <c r="E359" s="243">
        <f t="shared" ca="1" si="24"/>
        <v>410</v>
      </c>
      <c r="F359" s="243"/>
      <c r="G359" s="243"/>
      <c r="H359" s="243">
        <f t="shared" ca="1" si="22"/>
        <v>410</v>
      </c>
      <c r="J359" s="248">
        <f t="shared" si="25"/>
        <v>-176987336.45614532</v>
      </c>
      <c r="K359" s="248"/>
      <c r="L359" s="248"/>
      <c r="M359" s="248">
        <v>0</v>
      </c>
      <c r="N359" s="248"/>
      <c r="O359" s="248">
        <f t="shared" si="23"/>
        <v>-176987336.45614532</v>
      </c>
    </row>
    <row r="360" spans="3:15" ht="16" thickTop="1" thickBot="1">
      <c r="C360" s="98"/>
      <c r="D360" s="239"/>
      <c r="E360" s="243">
        <f t="shared" ca="1" si="24"/>
        <v>410</v>
      </c>
      <c r="F360" s="243"/>
      <c r="G360" s="243"/>
      <c r="H360" s="243">
        <f t="shared" ca="1" si="22"/>
        <v>410</v>
      </c>
      <c r="J360" s="248">
        <f t="shared" si="25"/>
        <v>-176987336.45614532</v>
      </c>
      <c r="K360" s="248"/>
      <c r="L360" s="248"/>
      <c r="M360" s="248">
        <v>0</v>
      </c>
      <c r="N360" s="248"/>
      <c r="O360" s="248">
        <f t="shared" si="23"/>
        <v>-176987336.45614532</v>
      </c>
    </row>
    <row r="361" spans="3:15" ht="16" thickTop="1" thickBot="1">
      <c r="C361" s="98"/>
      <c r="D361" s="239"/>
      <c r="E361" s="243">
        <f t="shared" ca="1" si="24"/>
        <v>410</v>
      </c>
      <c r="F361" s="243"/>
      <c r="G361" s="243"/>
      <c r="H361" s="243">
        <f t="shared" ca="1" si="22"/>
        <v>410</v>
      </c>
      <c r="J361" s="248">
        <f t="shared" si="25"/>
        <v>-176987336.45614532</v>
      </c>
      <c r="K361" s="248"/>
      <c r="L361" s="248"/>
      <c r="M361" s="248">
        <v>0</v>
      </c>
      <c r="N361" s="248"/>
      <c r="O361" s="248">
        <f t="shared" si="23"/>
        <v>-176987336.45614532</v>
      </c>
    </row>
    <row r="362" spans="3:15" ht="16" thickTop="1" thickBot="1">
      <c r="C362" s="98"/>
      <c r="D362" s="239"/>
      <c r="E362" s="243">
        <f t="shared" ca="1" si="24"/>
        <v>410</v>
      </c>
      <c r="F362" s="243"/>
      <c r="G362" s="243"/>
      <c r="H362" s="243">
        <f t="shared" ca="1" si="22"/>
        <v>410</v>
      </c>
      <c r="J362" s="248">
        <f t="shared" si="25"/>
        <v>-176987336.45614532</v>
      </c>
      <c r="K362" s="248"/>
      <c r="L362" s="248"/>
      <c r="M362" s="248">
        <v>0</v>
      </c>
      <c r="N362" s="248"/>
      <c r="O362" s="248">
        <f t="shared" si="23"/>
        <v>-176987336.45614532</v>
      </c>
    </row>
    <row r="363" spans="3:15" ht="16" thickTop="1" thickBot="1">
      <c r="C363" s="98"/>
      <c r="D363" s="239"/>
      <c r="E363" s="243">
        <f t="shared" ca="1" si="24"/>
        <v>410</v>
      </c>
      <c r="F363" s="243"/>
      <c r="G363" s="243"/>
      <c r="H363" s="243">
        <f t="shared" ca="1" si="22"/>
        <v>410</v>
      </c>
      <c r="J363" s="248">
        <f t="shared" si="25"/>
        <v>-176987336.45614532</v>
      </c>
      <c r="K363" s="248"/>
      <c r="L363" s="248"/>
      <c r="M363" s="248">
        <v>0</v>
      </c>
      <c r="N363" s="248"/>
      <c r="O363" s="248">
        <f t="shared" si="23"/>
        <v>-176987336.45614532</v>
      </c>
    </row>
    <row r="364" spans="3:15" ht="16" thickTop="1" thickBot="1">
      <c r="C364" s="98"/>
      <c r="D364" s="239"/>
      <c r="E364" s="243">
        <f t="shared" ca="1" si="24"/>
        <v>410</v>
      </c>
      <c r="F364" s="243"/>
      <c r="G364" s="243"/>
      <c r="H364" s="243">
        <f t="shared" ca="1" si="22"/>
        <v>410</v>
      </c>
      <c r="J364" s="248">
        <f t="shared" si="25"/>
        <v>-176987336.45614532</v>
      </c>
      <c r="K364" s="248"/>
      <c r="L364" s="248"/>
      <c r="M364" s="248">
        <v>0</v>
      </c>
      <c r="N364" s="248"/>
      <c r="O364" s="248">
        <f t="shared" si="23"/>
        <v>-176987336.45614532</v>
      </c>
    </row>
    <row r="365" spans="3:15" ht="16" thickTop="1" thickBot="1">
      <c r="C365" s="98"/>
      <c r="D365" s="239"/>
      <c r="E365" s="243">
        <f t="shared" ca="1" si="24"/>
        <v>410</v>
      </c>
      <c r="F365" s="243"/>
      <c r="G365" s="243"/>
      <c r="H365" s="243">
        <f t="shared" ca="1" si="22"/>
        <v>410</v>
      </c>
      <c r="J365" s="248">
        <f t="shared" si="25"/>
        <v>-176987336.45614532</v>
      </c>
      <c r="K365" s="248"/>
      <c r="L365" s="248"/>
      <c r="M365" s="248">
        <v>0</v>
      </c>
      <c r="N365" s="248"/>
      <c r="O365" s="248">
        <f t="shared" si="23"/>
        <v>-176987336.45614532</v>
      </c>
    </row>
    <row r="366" spans="3:15" ht="16" thickTop="1" thickBot="1">
      <c r="C366" s="98"/>
      <c r="D366" s="239"/>
      <c r="E366" s="243">
        <f t="shared" ca="1" si="24"/>
        <v>410</v>
      </c>
      <c r="F366" s="243"/>
      <c r="G366" s="243"/>
      <c r="H366" s="243">
        <f t="shared" ca="1" si="22"/>
        <v>410</v>
      </c>
      <c r="J366" s="248">
        <f t="shared" si="25"/>
        <v>-176987336.45614532</v>
      </c>
      <c r="K366" s="248"/>
      <c r="L366" s="248"/>
      <c r="M366" s="248">
        <v>0</v>
      </c>
      <c r="N366" s="248"/>
      <c r="O366" s="248">
        <f t="shared" si="23"/>
        <v>-176987336.45614532</v>
      </c>
    </row>
    <row r="367" spans="3:15" ht="16" thickTop="1" thickBot="1">
      <c r="C367" s="98"/>
      <c r="D367" s="239"/>
      <c r="E367" s="243">
        <f t="shared" ca="1" si="24"/>
        <v>410</v>
      </c>
      <c r="F367" s="243"/>
      <c r="G367" s="243"/>
      <c r="H367" s="243">
        <f t="shared" ca="1" si="22"/>
        <v>410</v>
      </c>
      <c r="J367" s="248">
        <f t="shared" si="25"/>
        <v>-176987336.45614532</v>
      </c>
      <c r="K367" s="248"/>
      <c r="L367" s="248"/>
      <c r="M367" s="248">
        <v>0</v>
      </c>
      <c r="N367" s="248"/>
      <c r="O367" s="248">
        <f t="shared" si="23"/>
        <v>-176987336.45614532</v>
      </c>
    </row>
    <row r="368" spans="3:15" ht="16" thickTop="1" thickBot="1">
      <c r="C368" s="98"/>
      <c r="D368" s="239"/>
      <c r="E368" s="243">
        <f t="shared" ca="1" si="24"/>
        <v>410</v>
      </c>
      <c r="F368" s="243"/>
      <c r="G368" s="243"/>
      <c r="H368" s="243">
        <f t="shared" ca="1" si="22"/>
        <v>410</v>
      </c>
      <c r="J368" s="248">
        <f t="shared" si="25"/>
        <v>-176987336.45614532</v>
      </c>
      <c r="K368" s="248"/>
      <c r="L368" s="248"/>
      <c r="M368" s="248">
        <v>0</v>
      </c>
      <c r="N368" s="248"/>
      <c r="O368" s="248">
        <f t="shared" si="23"/>
        <v>-176987336.45614532</v>
      </c>
    </row>
    <row r="369" spans="15:15" ht="13.5" customHeight="1" thickTop="1" thickBot="1">
      <c r="O369" s="248">
        <f t="shared" si="23"/>
        <v>0</v>
      </c>
    </row>
    <row r="370" spans="15:15" ht="13.5" customHeight="1" thickTop="1" thickBot="1">
      <c r="O370" s="248">
        <f t="shared" si="23"/>
        <v>0</v>
      </c>
    </row>
  </sheetData>
  <sheetProtection formatColumns="0" formatRows="0" selectLockedCells="1"/>
  <mergeCells count="3">
    <mergeCell ref="E7:G7"/>
    <mergeCell ref="AA7:AB7"/>
    <mergeCell ref="J7:O7"/>
  </mergeCells>
  <hyperlinks>
    <hyperlink ref="A1" location="Index" display="Back to Index" xr:uid="{03C4A1C8-F202-1146-9034-6F067757A024}"/>
  </hyperlinks>
  <pageMargins left="0.7" right="0.7" top="0.75" bottom="0.75" header="0.3" footer="0.3"/>
  <pageSetup orientation="portrait" r:id="rId1"/>
  <picture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A5073-3385-8346-8384-7034831ED960}">
  <sheetPr codeName="Sheet1" filterMode="1">
    <tabColor rgb="FFFF0000"/>
  </sheetPr>
  <dimension ref="A1:EN444"/>
  <sheetViews>
    <sheetView showGridLines="0" topLeftCell="B18" workbookViewId="0">
      <selection activeCell="A18" sqref="A1:A1048576"/>
    </sheetView>
  </sheetViews>
  <sheetFormatPr baseColWidth="10" defaultColWidth="0" defaultRowHeight="14"/>
  <cols>
    <col min="1" max="1" width="5.5" style="760" hidden="1" customWidth="1"/>
    <col min="2" max="3" width="2" style="160" customWidth="1"/>
    <col min="4" max="4" width="8.1640625" style="160" customWidth="1"/>
    <col min="5" max="5" width="9.5" style="160" customWidth="1"/>
    <col min="6" max="6" width="6.6640625" style="160" bestFit="1" customWidth="1"/>
    <col min="7" max="7" width="19.5" style="160" customWidth="1"/>
    <col min="8" max="8" width="12.5" style="160" customWidth="1"/>
    <col min="9" max="10" width="13.83203125" style="160" bestFit="1" customWidth="1"/>
    <col min="11" max="11" width="10.1640625" style="160" bestFit="1" customWidth="1"/>
    <col min="12" max="12" width="11" style="160" bestFit="1" customWidth="1"/>
    <col min="13" max="13" width="13.1640625" style="160" customWidth="1"/>
    <col min="14" max="16" width="11.1640625" style="160" customWidth="1"/>
    <col min="17" max="17" width="9.83203125" style="160" bestFit="1" customWidth="1"/>
    <col min="18" max="18" width="11.1640625" style="160" bestFit="1" customWidth="1"/>
    <col min="19" max="19" width="10.6640625" style="160" bestFit="1" customWidth="1"/>
    <col min="20" max="21" width="11.1640625" style="160" bestFit="1" customWidth="1"/>
    <col min="22" max="22" width="10.6640625" style="160" bestFit="1" customWidth="1"/>
    <col min="23" max="23" width="10.1640625" style="160" bestFit="1" customWidth="1"/>
    <col min="24" max="24" width="10.6640625" style="160" bestFit="1" customWidth="1"/>
    <col min="25" max="28" width="11.1640625" style="160" bestFit="1" customWidth="1"/>
    <col min="29" max="29" width="12.1640625" style="160" bestFit="1" customWidth="1"/>
    <col min="30" max="30" width="10.33203125" style="160" customWidth="1"/>
    <col min="31" max="33" width="10.6640625" style="160" bestFit="1" customWidth="1"/>
    <col min="34" max="34" width="10" style="160" customWidth="1"/>
    <col min="35" max="35" width="11.1640625" style="160" bestFit="1" customWidth="1"/>
    <col min="36" max="36" width="9.83203125" style="160" bestFit="1" customWidth="1"/>
    <col min="37" max="37" width="10.6640625" style="160" customWidth="1"/>
    <col min="38" max="38" width="9" style="160" bestFit="1" customWidth="1"/>
    <col min="39" max="39" width="9.83203125" style="160" bestFit="1" customWidth="1"/>
    <col min="40" max="40" width="9" style="160" bestFit="1" customWidth="1"/>
    <col min="41" max="41" width="11.1640625" style="160" customWidth="1"/>
    <col min="42" max="42" width="10.6640625" style="160" bestFit="1" customWidth="1"/>
    <col min="43" max="43" width="13.33203125" style="160" customWidth="1"/>
    <col min="44" max="44" width="9.5" style="160" customWidth="1"/>
    <col min="45" max="45" width="10.1640625" style="160" customWidth="1"/>
    <col min="46" max="46" width="8.6640625" style="160" customWidth="1"/>
    <col min="47" max="48" width="11.33203125" style="160" customWidth="1"/>
    <col min="49" max="49" width="11.83203125" style="160" customWidth="1"/>
    <col min="50" max="50" width="10.1640625" style="160" customWidth="1"/>
    <col min="51" max="51" width="9.83203125" style="160" bestFit="1" customWidth="1"/>
    <col min="52" max="52" width="8.5" style="160" customWidth="1"/>
    <col min="53" max="53" width="3.1640625" style="160" customWidth="1"/>
    <col min="54" max="55" width="8.83203125" style="160" customWidth="1"/>
    <col min="56" max="56" width="3.1640625" style="160" bestFit="1" customWidth="1"/>
    <col min="57" max="57" width="9.83203125" style="160" bestFit="1" customWidth="1"/>
    <col min="58" max="58" width="9" style="160" bestFit="1" customWidth="1"/>
    <col min="59" max="59" width="9.83203125" style="160" bestFit="1" customWidth="1"/>
    <col min="60" max="60" width="3.1640625" style="160" bestFit="1" customWidth="1"/>
    <col min="61" max="61" width="12.83203125" style="160" customWidth="1"/>
    <col min="62" max="62" width="10.33203125" style="160" bestFit="1" customWidth="1"/>
    <col min="63" max="63" width="10.83203125" style="160" bestFit="1" customWidth="1"/>
    <col min="64" max="69" width="9" style="160" bestFit="1" customWidth="1"/>
    <col min="70" max="70" width="4.33203125" style="160" bestFit="1" customWidth="1"/>
    <col min="71" max="71" width="7.1640625" style="160" bestFit="1" customWidth="1"/>
    <col min="72" max="72" width="9.83203125" style="160" bestFit="1" customWidth="1"/>
    <col min="73" max="73" width="9.6640625" style="160" customWidth="1"/>
    <col min="74" max="74" width="11" style="160" bestFit="1" customWidth="1"/>
    <col min="75" max="75" width="4.83203125" style="160" bestFit="1" customWidth="1"/>
    <col min="76" max="82" width="12.83203125" style="160" customWidth="1"/>
    <col min="83" max="89" width="4.83203125" style="160" bestFit="1" customWidth="1"/>
    <col min="90" max="90" width="5.5" style="160" bestFit="1" customWidth="1"/>
    <col min="91" max="91" width="5.1640625" style="160" hidden="1" customWidth="1"/>
    <col min="92" max="144" width="0" style="160" hidden="1" customWidth="1"/>
    <col min="145" max="16384" width="5.1640625" style="160" hidden="1"/>
  </cols>
  <sheetData>
    <row r="1" spans="2:90" hidden="1"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6"/>
      <c r="X1" s="162"/>
      <c r="Y1" s="162"/>
      <c r="Z1" s="162" t="s">
        <v>16</v>
      </c>
      <c r="AA1" s="162" t="s">
        <v>16</v>
      </c>
      <c r="AB1" s="162" t="s">
        <v>16</v>
      </c>
      <c r="AC1" s="162" t="s">
        <v>16</v>
      </c>
      <c r="AD1" s="162" t="s">
        <v>16</v>
      </c>
      <c r="AE1" s="162" t="s">
        <v>16</v>
      </c>
      <c r="AF1" s="162" t="s">
        <v>16</v>
      </c>
      <c r="AG1" s="162" t="s">
        <v>16</v>
      </c>
      <c r="AH1" s="162" t="s">
        <v>16</v>
      </c>
      <c r="AI1" s="162" t="s">
        <v>16</v>
      </c>
      <c r="AJ1" s="162" t="s">
        <v>445</v>
      </c>
      <c r="AK1" s="162" t="s">
        <v>445</v>
      </c>
      <c r="AL1" s="162" t="s">
        <v>445</v>
      </c>
      <c r="AM1" s="162" t="s">
        <v>445</v>
      </c>
      <c r="AN1" s="162" t="s">
        <v>445</v>
      </c>
      <c r="AO1" s="162" t="s">
        <v>445</v>
      </c>
      <c r="AP1" s="162" t="s">
        <v>445</v>
      </c>
      <c r="AQ1" s="162" t="s">
        <v>445</v>
      </c>
      <c r="AR1" s="162" t="s">
        <v>445</v>
      </c>
      <c r="AS1" s="162" t="s">
        <v>445</v>
      </c>
      <c r="AT1" s="162" t="s">
        <v>445</v>
      </c>
      <c r="AU1" s="162" t="s">
        <v>446</v>
      </c>
      <c r="AV1" s="162" t="s">
        <v>446</v>
      </c>
      <c r="AW1" s="162" t="s">
        <v>446</v>
      </c>
      <c r="AX1" s="162" t="s">
        <v>446</v>
      </c>
      <c r="AY1" s="162" t="s">
        <v>446</v>
      </c>
      <c r="AZ1" s="162" t="s">
        <v>446</v>
      </c>
      <c r="BA1" s="162" t="s">
        <v>446</v>
      </c>
      <c r="BB1" s="162" t="s">
        <v>446</v>
      </c>
      <c r="BC1" s="162" t="s">
        <v>446</v>
      </c>
      <c r="BD1" s="162" t="s">
        <v>446</v>
      </c>
      <c r="BE1" s="162" t="s">
        <v>446</v>
      </c>
      <c r="BF1" s="162" t="s">
        <v>446</v>
      </c>
      <c r="BG1" s="162" t="s">
        <v>447</v>
      </c>
      <c r="BH1" s="162" t="s">
        <v>447</v>
      </c>
      <c r="BI1" s="162" t="s">
        <v>447</v>
      </c>
      <c r="BJ1" s="162" t="s">
        <v>447</v>
      </c>
      <c r="BK1" s="162" t="s">
        <v>447</v>
      </c>
      <c r="BL1" s="162" t="s">
        <v>447</v>
      </c>
      <c r="BM1" s="162" t="s">
        <v>447</v>
      </c>
      <c r="BN1" s="162" t="s">
        <v>447</v>
      </c>
      <c r="BO1" s="162" t="s">
        <v>447</v>
      </c>
      <c r="BP1" s="162" t="s">
        <v>447</v>
      </c>
      <c r="BQ1" s="162" t="s">
        <v>447</v>
      </c>
      <c r="BR1" s="162" t="s">
        <v>447</v>
      </c>
      <c r="BS1" s="162" t="s">
        <v>448</v>
      </c>
      <c r="BT1" s="162" t="s">
        <v>448</v>
      </c>
      <c r="BU1" s="162" t="s">
        <v>448</v>
      </c>
      <c r="BV1" s="162" t="s">
        <v>1</v>
      </c>
      <c r="BW1" s="162" t="s">
        <v>1</v>
      </c>
      <c r="BX1" s="162" t="s">
        <v>1</v>
      </c>
      <c r="BY1" s="166" t="s">
        <v>449</v>
      </c>
      <c r="BZ1" s="166" t="s">
        <v>449</v>
      </c>
      <c r="CA1" s="166" t="s">
        <v>449</v>
      </c>
      <c r="CB1" s="166" t="s">
        <v>449</v>
      </c>
      <c r="CC1" s="166" t="s">
        <v>449</v>
      </c>
      <c r="CD1" s="166" t="s">
        <v>449</v>
      </c>
      <c r="CE1" s="166" t="s">
        <v>449</v>
      </c>
      <c r="CF1" s="166" t="s">
        <v>449</v>
      </c>
      <c r="CG1" s="166" t="s">
        <v>449</v>
      </c>
      <c r="CH1" s="166" t="s">
        <v>449</v>
      </c>
      <c r="CI1" s="166" t="s">
        <v>449</v>
      </c>
      <c r="CJ1" s="166" t="s">
        <v>449</v>
      </c>
      <c r="CK1" s="166" t="s">
        <v>449</v>
      </c>
      <c r="CL1" s="166" t="s">
        <v>449</v>
      </c>
    </row>
    <row r="2" spans="2:90" ht="25.25" customHeight="1">
      <c r="B2" s="1052" t="str">
        <f>i_Project.Name</f>
        <v>Peoria Lakes</v>
      </c>
      <c r="C2" s="762"/>
      <c r="D2" s="762"/>
      <c r="E2" s="762"/>
      <c r="F2" s="762"/>
      <c r="G2" s="763"/>
      <c r="H2" s="764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  <c r="U2" s="762"/>
      <c r="V2" s="762"/>
      <c r="W2" s="765"/>
      <c r="X2" s="762"/>
      <c r="Y2" s="762"/>
      <c r="Z2" s="762"/>
      <c r="AA2" s="762"/>
      <c r="AB2" s="762"/>
      <c r="AC2" s="762"/>
      <c r="AD2" s="762"/>
      <c r="AE2" s="766"/>
      <c r="AF2" s="762"/>
      <c r="AG2" s="762"/>
      <c r="AH2" s="762"/>
      <c r="AI2" s="762"/>
      <c r="AJ2" s="762"/>
      <c r="AK2" s="762"/>
      <c r="AL2" s="762"/>
      <c r="AM2" s="762"/>
      <c r="AN2" s="762"/>
      <c r="AO2" s="762"/>
      <c r="AP2" s="766"/>
      <c r="AQ2" s="762"/>
      <c r="AR2" s="762"/>
      <c r="AS2" s="762"/>
      <c r="AT2" s="762"/>
      <c r="AU2" s="762"/>
      <c r="AV2" s="762"/>
      <c r="AW2" s="762"/>
      <c r="AX2" s="762"/>
      <c r="AY2" s="762"/>
      <c r="AZ2" s="762"/>
      <c r="BA2" s="762"/>
      <c r="BB2" s="762"/>
      <c r="BC2" s="762"/>
      <c r="BD2" s="762"/>
      <c r="BE2" s="762"/>
      <c r="BF2" s="762"/>
      <c r="BG2" s="762"/>
      <c r="BH2" s="762"/>
      <c r="BI2" s="762"/>
      <c r="BJ2" s="762"/>
      <c r="BK2" s="762"/>
      <c r="BL2" s="762"/>
      <c r="BM2" s="762"/>
      <c r="BN2" s="762"/>
      <c r="BO2" s="762"/>
      <c r="BP2" s="762"/>
      <c r="BQ2" s="762"/>
      <c r="BR2" s="762"/>
      <c r="BS2" s="762"/>
      <c r="BT2" s="762"/>
      <c r="BU2" s="762"/>
      <c r="BV2" s="762"/>
      <c r="BW2" s="762"/>
      <c r="BX2" s="762"/>
      <c r="BY2" s="762"/>
      <c r="BZ2" s="767" t="s">
        <v>450</v>
      </c>
      <c r="CA2" s="762"/>
      <c r="CB2" s="762"/>
      <c r="CC2" s="762"/>
      <c r="CD2" s="762"/>
      <c r="CE2" s="762"/>
      <c r="CF2" s="762"/>
      <c r="CG2" s="762"/>
      <c r="CH2" s="762"/>
      <c r="CI2" s="762"/>
      <c r="CJ2" s="762"/>
      <c r="CK2" s="762"/>
      <c r="CL2" s="762"/>
    </row>
    <row r="3" spans="2:90" s="889" customFormat="1" ht="14.25" customHeight="1">
      <c r="B3" s="890" t="str">
        <f>i_Project.Location</f>
        <v>Peoria Lakes</v>
      </c>
      <c r="C3" s="885"/>
      <c r="D3" s="885"/>
      <c r="E3" s="885"/>
      <c r="F3" s="885"/>
      <c r="G3" s="884"/>
      <c r="H3" s="886"/>
      <c r="I3" s="885"/>
      <c r="J3" s="885"/>
      <c r="K3" s="885"/>
      <c r="L3" s="885"/>
      <c r="M3" s="885"/>
      <c r="N3" s="885"/>
      <c r="O3" s="885"/>
      <c r="P3" s="885"/>
      <c r="Q3" s="885"/>
      <c r="R3" s="885"/>
      <c r="S3" s="885"/>
      <c r="T3" s="885"/>
      <c r="U3" s="885"/>
      <c r="V3" s="885"/>
      <c r="W3" s="887"/>
      <c r="X3" s="885"/>
      <c r="Y3" s="885"/>
      <c r="Z3" s="885"/>
      <c r="AA3" s="885"/>
      <c r="AB3" s="885"/>
      <c r="AC3" s="885"/>
      <c r="AD3" s="885"/>
      <c r="AE3" s="885"/>
      <c r="AF3" s="885"/>
      <c r="AG3" s="885"/>
      <c r="AH3" s="885"/>
      <c r="AI3" s="885"/>
      <c r="AJ3" s="885"/>
      <c r="AK3" s="885"/>
      <c r="AL3" s="885"/>
      <c r="AM3" s="885"/>
      <c r="AN3" s="885"/>
      <c r="AO3" s="885"/>
      <c r="AP3" s="885"/>
      <c r="AQ3" s="885"/>
      <c r="AR3" s="885"/>
      <c r="AS3" s="885"/>
      <c r="AT3" s="885"/>
      <c r="AU3" s="885"/>
      <c r="AV3" s="885"/>
      <c r="AW3" s="885"/>
      <c r="AX3" s="885"/>
      <c r="AY3" s="885"/>
      <c r="AZ3" s="885"/>
      <c r="BA3" s="885"/>
      <c r="BB3" s="885"/>
      <c r="BC3" s="885"/>
      <c r="BD3" s="885"/>
      <c r="BE3" s="885"/>
      <c r="BF3" s="885"/>
      <c r="BG3" s="885"/>
      <c r="BH3" s="885"/>
      <c r="BI3" s="885"/>
      <c r="BJ3" s="885"/>
      <c r="BK3" s="885"/>
      <c r="BL3" s="885"/>
      <c r="BM3" s="885"/>
      <c r="BN3" s="885"/>
      <c r="BO3" s="885"/>
      <c r="BP3" s="885"/>
      <c r="BQ3" s="885"/>
      <c r="BR3" s="885"/>
      <c r="BS3" s="885"/>
      <c r="BT3" s="885"/>
      <c r="BU3" s="885"/>
      <c r="BV3" s="885"/>
      <c r="BW3" s="885"/>
      <c r="BX3" s="885"/>
      <c r="BY3" s="885"/>
      <c r="BZ3" s="888"/>
      <c r="CA3" s="885"/>
      <c r="CB3" s="885"/>
      <c r="CC3" s="885"/>
      <c r="CD3" s="885"/>
      <c r="CE3" s="885"/>
      <c r="CF3" s="885"/>
      <c r="CG3" s="885"/>
      <c r="CH3" s="885"/>
      <c r="CI3" s="885"/>
      <c r="CJ3" s="885"/>
      <c r="CK3" s="885"/>
      <c r="CL3" s="885"/>
    </row>
    <row r="4" spans="2:90" ht="14.25" customHeight="1">
      <c r="B4" s="761"/>
      <c r="C4" s="762"/>
      <c r="D4" s="762"/>
      <c r="E4" s="762"/>
      <c r="F4" s="762"/>
      <c r="G4" s="763"/>
      <c r="H4" s="764"/>
      <c r="I4" s="762"/>
      <c r="J4" s="762"/>
      <c r="K4" s="762"/>
      <c r="L4" s="762"/>
      <c r="M4" s="762"/>
      <c r="N4" s="762"/>
      <c r="O4" s="762"/>
      <c r="P4" s="762"/>
      <c r="Q4" s="762"/>
      <c r="R4" s="762"/>
      <c r="S4" s="762"/>
      <c r="T4" s="762"/>
      <c r="U4" s="762"/>
      <c r="V4" s="762"/>
      <c r="W4" s="765"/>
      <c r="X4" s="762"/>
      <c r="Y4" s="762"/>
      <c r="Z4" s="762"/>
      <c r="AA4" s="762"/>
      <c r="AB4" s="762"/>
      <c r="AC4" s="762"/>
      <c r="AD4" s="762"/>
      <c r="AE4" s="766"/>
      <c r="AF4" s="762"/>
      <c r="AG4" s="762"/>
      <c r="AH4" s="762"/>
      <c r="AI4" s="762"/>
      <c r="AJ4" s="762"/>
      <c r="AK4" s="762"/>
      <c r="AL4" s="762"/>
      <c r="AM4" s="762"/>
      <c r="AN4" s="762"/>
      <c r="AO4" s="762"/>
      <c r="AP4" s="766"/>
      <c r="AQ4" s="762"/>
      <c r="AR4" s="762"/>
      <c r="AS4" s="762"/>
      <c r="AT4" s="762"/>
      <c r="AU4" s="762"/>
      <c r="AV4" s="762"/>
      <c r="AW4" s="762"/>
      <c r="AX4" s="762"/>
      <c r="AY4" s="762"/>
      <c r="AZ4" s="762"/>
      <c r="BA4" s="762"/>
      <c r="BB4" s="762"/>
      <c r="BC4" s="762"/>
      <c r="BD4" s="762"/>
      <c r="BE4" s="762"/>
      <c r="BF4" s="762"/>
      <c r="BG4" s="762"/>
      <c r="BH4" s="762"/>
      <c r="BI4" s="762"/>
      <c r="BJ4" s="762"/>
      <c r="BK4" s="762"/>
      <c r="BL4" s="762"/>
      <c r="BM4" s="762"/>
      <c r="BN4" s="762"/>
      <c r="BO4" s="762"/>
      <c r="BP4" s="762"/>
      <c r="BQ4" s="762"/>
      <c r="BR4" s="762"/>
      <c r="BS4" s="762"/>
      <c r="BT4" s="762"/>
      <c r="BU4" s="762"/>
      <c r="BV4" s="762"/>
      <c r="BW4" s="762"/>
      <c r="BX4" s="762"/>
      <c r="BY4" s="762"/>
      <c r="BZ4" s="767"/>
      <c r="CA4" s="762"/>
      <c r="CB4" s="762"/>
      <c r="CC4" s="762"/>
      <c r="CD4" s="762"/>
      <c r="CE4" s="762"/>
      <c r="CF4" s="762"/>
      <c r="CG4" s="762"/>
      <c r="CH4" s="762"/>
      <c r="CI4" s="762"/>
      <c r="CJ4" s="762"/>
      <c r="CK4" s="762"/>
      <c r="CL4" s="762"/>
    </row>
    <row r="5" spans="2:90" ht="9" customHeight="1">
      <c r="C5" s="569"/>
      <c r="D5" s="569"/>
      <c r="E5" s="569"/>
      <c r="F5" s="569"/>
      <c r="G5" s="570"/>
      <c r="H5" s="571"/>
      <c r="I5" s="571"/>
      <c r="J5" s="572"/>
      <c r="K5" s="572"/>
      <c r="L5" s="572"/>
      <c r="M5" s="572"/>
      <c r="N5" s="572"/>
      <c r="O5" s="572"/>
      <c r="P5" s="572"/>
      <c r="Q5" s="572"/>
      <c r="R5" s="572"/>
      <c r="S5" s="572"/>
      <c r="T5" s="572"/>
      <c r="U5" s="573"/>
      <c r="V5" s="573"/>
      <c r="W5" s="573"/>
      <c r="X5" s="572"/>
      <c r="Z5" s="572"/>
      <c r="AA5" s="572"/>
      <c r="AB5" s="572"/>
      <c r="AC5" s="572"/>
      <c r="AD5" s="572"/>
      <c r="AE5" s="768"/>
      <c r="AF5" s="572"/>
      <c r="AG5" s="572"/>
      <c r="AH5" s="769"/>
      <c r="AI5" s="572"/>
      <c r="AJ5" s="572"/>
      <c r="AK5" s="572"/>
      <c r="AL5" s="572"/>
      <c r="AM5" s="572"/>
      <c r="AN5" s="572"/>
      <c r="AO5" s="572"/>
      <c r="AP5" s="770"/>
      <c r="AQ5" s="572"/>
      <c r="AS5" s="572"/>
      <c r="AT5" s="572"/>
      <c r="AU5" s="572"/>
      <c r="AV5" s="572"/>
      <c r="AW5" s="572"/>
      <c r="AX5" s="769">
        <f ca="1">AM78</f>
        <v>-993142.74336094083</v>
      </c>
      <c r="AY5" s="572"/>
      <c r="AZ5" s="572"/>
      <c r="BA5" s="770"/>
      <c r="BC5" s="771"/>
      <c r="BE5" s="572"/>
      <c r="BG5" s="572"/>
      <c r="BH5" s="572"/>
      <c r="BI5" s="572"/>
      <c r="BJ5" s="572"/>
      <c r="BK5" s="572"/>
      <c r="BL5" s="572"/>
      <c r="BM5" s="770"/>
      <c r="BN5" s="770"/>
      <c r="BO5" s="572"/>
      <c r="BQ5" s="572"/>
      <c r="BS5" s="772"/>
      <c r="BT5" s="772"/>
      <c r="BU5" s="571"/>
      <c r="BZ5" s="572"/>
      <c r="CA5" s="572"/>
      <c r="CB5" s="572"/>
      <c r="CC5" s="572"/>
      <c r="CD5" s="572"/>
      <c r="CE5" s="572"/>
      <c r="CF5" s="572"/>
      <c r="CG5" s="572"/>
      <c r="CH5" s="572"/>
      <c r="CI5" s="572"/>
      <c r="CJ5" s="572"/>
      <c r="CK5" s="572"/>
      <c r="CL5" s="572"/>
    </row>
    <row r="6" spans="2:90" ht="15">
      <c r="C6" s="774"/>
      <c r="D6" s="775" t="s">
        <v>451</v>
      </c>
      <c r="E6" s="774"/>
      <c r="F6" s="774"/>
      <c r="G6" s="570"/>
      <c r="H6" s="571"/>
      <c r="I6" s="776"/>
      <c r="J6" s="572"/>
      <c r="L6" s="572"/>
      <c r="M6" s="572"/>
      <c r="N6" s="572"/>
      <c r="O6" s="572"/>
      <c r="P6" s="572"/>
      <c r="Q6" s="572"/>
      <c r="R6" s="572"/>
      <c r="S6" s="572"/>
      <c r="T6" s="572"/>
      <c r="U6" s="573"/>
      <c r="V6" s="573"/>
      <c r="W6" s="573"/>
      <c r="X6" s="572"/>
      <c r="Z6" s="572"/>
      <c r="AA6" s="572"/>
      <c r="AB6" s="572"/>
      <c r="AC6" s="572"/>
      <c r="AD6" s="572"/>
      <c r="AE6" s="768"/>
      <c r="AF6" s="572"/>
      <c r="AG6" s="572"/>
      <c r="AH6" s="769"/>
      <c r="AI6" s="572"/>
      <c r="AJ6" s="572"/>
      <c r="AK6" s="572"/>
      <c r="AL6" s="572"/>
      <c r="AM6" s="572"/>
      <c r="AN6" s="572"/>
      <c r="AO6" s="572"/>
      <c r="AP6" s="770"/>
      <c r="AQ6" s="572"/>
      <c r="AS6" s="572"/>
      <c r="AT6" s="572"/>
      <c r="AU6" s="572"/>
      <c r="AV6" s="572"/>
      <c r="AW6" s="572"/>
      <c r="AX6" s="769"/>
      <c r="AY6" s="572"/>
      <c r="AZ6" s="572"/>
      <c r="BA6" s="770"/>
      <c r="BC6" s="771"/>
      <c r="BE6" s="572"/>
      <c r="BG6" s="572"/>
      <c r="BH6" s="572"/>
      <c r="BI6" s="572"/>
      <c r="BJ6" s="572"/>
      <c r="BK6" s="572"/>
      <c r="BL6" s="572"/>
      <c r="BM6" s="770"/>
      <c r="BN6" s="770"/>
      <c r="BO6" s="572"/>
      <c r="BQ6" s="572"/>
      <c r="BS6" s="772"/>
      <c r="BT6" s="772"/>
      <c r="BU6" s="571"/>
      <c r="BZ6" s="572"/>
      <c r="CA6" s="572"/>
      <c r="CB6" s="572"/>
      <c r="CC6" s="572"/>
      <c r="CD6" s="572"/>
      <c r="CE6" s="572"/>
      <c r="CF6" s="572"/>
      <c r="CG6" s="572"/>
      <c r="CH6" s="572"/>
      <c r="CI6" s="572"/>
      <c r="CJ6" s="572"/>
      <c r="CK6" s="572"/>
      <c r="CL6" s="572"/>
    </row>
    <row r="7" spans="2:90" ht="16" thickBot="1">
      <c r="C7" s="777" t="s">
        <v>40</v>
      </c>
      <c r="D7" s="778"/>
      <c r="G7" s="883">
        <f>i_Date.Start</f>
        <v>45292</v>
      </c>
      <c r="K7" s="572"/>
      <c r="L7" s="572"/>
      <c r="M7" s="572"/>
      <c r="N7" s="572"/>
      <c r="O7" s="572"/>
      <c r="P7" s="572"/>
      <c r="Q7" s="572"/>
      <c r="R7" s="572"/>
      <c r="S7" s="572"/>
      <c r="T7" s="572"/>
      <c r="U7" s="572"/>
      <c r="V7" s="573"/>
      <c r="W7" s="573"/>
      <c r="X7" s="573"/>
      <c r="Y7" s="572"/>
      <c r="AA7" s="572"/>
      <c r="AB7" s="572"/>
      <c r="AC7" s="572"/>
      <c r="AD7" s="572"/>
      <c r="AE7" s="572"/>
      <c r="AF7" s="768"/>
      <c r="AG7" s="572"/>
      <c r="AH7" s="572"/>
      <c r="AI7" s="769"/>
      <c r="AJ7" s="572"/>
      <c r="AK7" s="572"/>
      <c r="AL7" s="572"/>
      <c r="AM7" s="572"/>
      <c r="AN7" s="572"/>
      <c r="AO7" s="572"/>
      <c r="AP7" s="572"/>
      <c r="AQ7" s="770"/>
      <c r="AR7" s="572"/>
      <c r="AT7" s="572"/>
      <c r="AU7" s="572"/>
      <c r="AV7" s="572"/>
      <c r="AW7" s="572"/>
      <c r="AX7" s="572"/>
      <c r="AY7" s="769"/>
      <c r="AZ7" s="572"/>
      <c r="BA7" s="572"/>
      <c r="BB7" s="770"/>
      <c r="BD7" s="771"/>
      <c r="BF7" s="572"/>
      <c r="BH7" s="572"/>
      <c r="BI7" s="572"/>
      <c r="BJ7" s="572"/>
      <c r="BK7" s="572"/>
      <c r="BL7" s="572"/>
      <c r="BM7" s="572"/>
      <c r="BN7" s="770"/>
      <c r="BO7" s="770"/>
      <c r="BP7" s="572"/>
      <c r="BR7" s="572"/>
      <c r="BT7" s="772"/>
      <c r="BU7" s="772"/>
      <c r="BV7" s="571"/>
      <c r="CA7" s="572"/>
      <c r="CB7" s="572"/>
      <c r="CC7" s="572"/>
      <c r="CD7" s="572"/>
      <c r="CE7" s="572"/>
      <c r="CF7" s="572"/>
      <c r="CG7" s="572"/>
      <c r="CH7" s="572"/>
      <c r="CI7" s="572"/>
      <c r="CJ7" s="572"/>
      <c r="CK7" s="572"/>
      <c r="CL7" s="572"/>
    </row>
    <row r="8" spans="2:90" s="780" customFormat="1" ht="17" thickTop="1" thickBot="1">
      <c r="B8" s="779"/>
      <c r="C8" s="160" t="s">
        <v>452</v>
      </c>
      <c r="D8" s="160"/>
      <c r="G8" s="781" cm="1">
        <f t="array" aca="1" ref="G8" ca="1">MATCH(1,0/G48:G407)</f>
        <v>96</v>
      </c>
      <c r="H8" s="782"/>
      <c r="I8" s="160"/>
      <c r="K8" s="572"/>
      <c r="L8" s="572"/>
      <c r="M8" s="907" t="s">
        <v>5</v>
      </c>
      <c r="N8" s="907"/>
      <c r="O8" s="907"/>
      <c r="P8" s="907"/>
      <c r="Q8" s="907" cm="1">
        <f t="array" ref="Q8:X8">TRANSPOSE(list_Term.Years)</f>
        <v>1</v>
      </c>
      <c r="R8" s="907">
        <v>2</v>
      </c>
      <c r="S8" s="907">
        <v>3</v>
      </c>
      <c r="T8" s="907">
        <v>4</v>
      </c>
      <c r="U8" s="907">
        <v>5</v>
      </c>
      <c r="V8" s="907">
        <v>6</v>
      </c>
      <c r="W8" s="907">
        <v>7</v>
      </c>
      <c r="X8" s="907">
        <v>8</v>
      </c>
      <c r="Y8" s="907"/>
      <c r="Z8" s="907"/>
      <c r="AA8" s="907"/>
      <c r="AB8" s="907"/>
      <c r="AC8" s="907"/>
      <c r="AD8" s="907"/>
      <c r="AE8" s="907"/>
      <c r="AF8" s="907"/>
      <c r="AG8" s="907"/>
      <c r="AH8" s="907"/>
      <c r="AI8" s="907"/>
      <c r="AJ8" s="907"/>
      <c r="AK8" s="907"/>
      <c r="AL8" s="770"/>
      <c r="AM8" s="572"/>
      <c r="AN8" s="160"/>
      <c r="AO8" s="572"/>
      <c r="AP8" s="572"/>
      <c r="AQ8" s="572"/>
      <c r="AR8" s="572"/>
      <c r="AS8" s="572"/>
      <c r="AT8" s="769"/>
      <c r="AU8" s="572"/>
      <c r="AV8" s="572"/>
      <c r="AW8" s="770"/>
      <c r="AX8" s="160"/>
      <c r="AY8" s="771"/>
      <c r="AZ8" s="160"/>
      <c r="BA8" s="572"/>
      <c r="BB8" s="160"/>
      <c r="BC8" s="572"/>
      <c r="BD8" s="572"/>
      <c r="BE8" s="572"/>
      <c r="BF8" s="572"/>
      <c r="BG8" s="572"/>
      <c r="BH8" s="572"/>
      <c r="BI8" s="770"/>
      <c r="BJ8" s="770"/>
      <c r="BK8" s="572"/>
      <c r="BL8" s="160"/>
      <c r="BM8" s="572"/>
      <c r="BN8" s="160"/>
      <c r="BO8" s="772"/>
      <c r="BP8" s="772"/>
      <c r="BQ8" s="571"/>
      <c r="BR8" s="160"/>
      <c r="BS8" s="160"/>
      <c r="BT8" s="160"/>
      <c r="BU8" s="160"/>
      <c r="BV8" s="572"/>
      <c r="BW8" s="572"/>
      <c r="BX8" s="572"/>
      <c r="BY8" s="572"/>
      <c r="BZ8" s="572"/>
      <c r="CA8" s="572"/>
      <c r="CB8" s="572"/>
      <c r="CC8" s="572"/>
      <c r="CD8" s="572"/>
      <c r="CE8" s="572"/>
      <c r="CF8" s="572"/>
      <c r="CG8" s="572"/>
      <c r="CH8" s="160"/>
    </row>
    <row r="9" spans="2:90" s="780" customFormat="1" ht="17" thickTop="1" thickBot="1">
      <c r="B9" s="779"/>
      <c r="C9" s="569"/>
      <c r="D9" s="569"/>
      <c r="G9" s="569"/>
      <c r="H9" s="570"/>
      <c r="I9" s="571"/>
      <c r="J9" s="571"/>
      <c r="K9" s="572"/>
      <c r="L9" s="572"/>
      <c r="M9" s="907" t="s">
        <v>4</v>
      </c>
      <c r="N9" s="907"/>
      <c r="O9" s="907"/>
      <c r="P9" s="907"/>
      <c r="Q9" s="907" cm="1">
        <f t="array" ref="Q9:X9">TRANSPOSE(list_Years.2XXX)</f>
        <v>2024</v>
      </c>
      <c r="R9" s="907">
        <v>2025</v>
      </c>
      <c r="S9" s="907">
        <v>2026</v>
      </c>
      <c r="T9" s="907">
        <v>2027</v>
      </c>
      <c r="U9" s="907">
        <v>2028</v>
      </c>
      <c r="V9" s="907">
        <v>2029</v>
      </c>
      <c r="W9" s="907">
        <v>2030</v>
      </c>
      <c r="X9" s="907">
        <v>2031</v>
      </c>
      <c r="Y9" s="907"/>
      <c r="Z9" s="907"/>
      <c r="AA9" s="907"/>
      <c r="AB9" s="907"/>
      <c r="AC9" s="907"/>
      <c r="AD9" s="907"/>
      <c r="AE9" s="907"/>
      <c r="AF9" s="907"/>
      <c r="AG9" s="907"/>
      <c r="AH9" s="907"/>
      <c r="AI9" s="907"/>
      <c r="AJ9" s="907"/>
      <c r="AK9" s="907"/>
      <c r="AL9" s="770"/>
      <c r="AM9" s="572"/>
      <c r="AN9" s="160"/>
      <c r="AO9" s="572"/>
      <c r="AP9" s="572"/>
      <c r="AQ9" s="572"/>
      <c r="AR9" s="572"/>
      <c r="AS9" s="572"/>
      <c r="AT9" s="769"/>
      <c r="AU9" s="572"/>
      <c r="AV9" s="572"/>
      <c r="AW9" s="770"/>
      <c r="AX9" s="160"/>
      <c r="AY9" s="771"/>
      <c r="AZ9" s="160"/>
      <c r="BA9" s="572"/>
      <c r="BB9" s="160"/>
      <c r="BC9" s="572"/>
      <c r="BD9" s="572"/>
      <c r="BE9" s="572"/>
      <c r="BF9" s="572"/>
      <c r="BG9" s="572"/>
      <c r="BH9" s="572"/>
      <c r="BI9" s="770"/>
      <c r="BJ9" s="770"/>
      <c r="BK9" s="572"/>
      <c r="BL9" s="160"/>
      <c r="BM9" s="572"/>
      <c r="BN9" s="160"/>
      <c r="BO9" s="772"/>
      <c r="BP9" s="772"/>
      <c r="BQ9" s="571"/>
      <c r="BR9" s="160"/>
      <c r="BS9" s="160"/>
      <c r="BT9" s="160"/>
      <c r="BU9" s="160"/>
      <c r="BV9" s="572"/>
      <c r="BW9" s="572"/>
      <c r="BX9" s="572"/>
      <c r="BY9" s="572"/>
      <c r="BZ9" s="572"/>
      <c r="CA9" s="572"/>
      <c r="CB9" s="572"/>
      <c r="CC9" s="572"/>
      <c r="CD9" s="572"/>
      <c r="CE9" s="572"/>
      <c r="CF9" s="572"/>
      <c r="CG9" s="572"/>
      <c r="CH9" s="160"/>
    </row>
    <row r="10" spans="2:90" ht="18" thickTop="1" thickBot="1">
      <c r="B10" s="779"/>
      <c r="C10" s="783" t="s">
        <v>331</v>
      </c>
      <c r="D10" s="784"/>
      <c r="E10" s="784"/>
      <c r="F10" s="784"/>
      <c r="G10" s="574"/>
      <c r="H10" s="574"/>
      <c r="I10" s="575"/>
      <c r="J10" s="575"/>
      <c r="K10" s="572"/>
      <c r="L10" s="572"/>
      <c r="M10" s="780"/>
      <c r="N10" s="920"/>
      <c r="O10" s="920"/>
      <c r="P10" s="920"/>
      <c r="Q10" s="780"/>
      <c r="R10" s="780"/>
      <c r="S10" s="780"/>
      <c r="T10" s="780"/>
      <c r="U10" s="780"/>
      <c r="V10" s="780"/>
      <c r="W10" s="780"/>
      <c r="X10" s="780"/>
      <c r="Y10" s="780"/>
      <c r="Z10" s="780"/>
      <c r="AA10" s="755"/>
      <c r="AB10" s="880"/>
      <c r="AE10" s="572"/>
      <c r="AF10" s="572"/>
      <c r="AG10" s="572"/>
      <c r="AH10" s="572"/>
      <c r="AI10" s="572"/>
      <c r="AJ10" s="572"/>
      <c r="AK10" s="572"/>
      <c r="AL10" s="770"/>
      <c r="AM10" s="572"/>
      <c r="AO10" s="572"/>
      <c r="AP10" s="572"/>
      <c r="AQ10" s="572"/>
      <c r="AR10" s="572"/>
      <c r="AS10" s="572"/>
      <c r="AT10" s="769"/>
      <c r="AU10" s="572"/>
      <c r="AV10" s="572"/>
      <c r="AW10" s="770"/>
      <c r="AY10" s="771"/>
      <c r="BA10" s="572"/>
      <c r="BC10" s="572"/>
      <c r="BD10" s="572"/>
      <c r="BE10" s="572"/>
      <c r="BF10" s="572"/>
      <c r="BG10" s="572"/>
      <c r="BH10" s="572"/>
      <c r="BI10" s="770"/>
      <c r="BJ10" s="770"/>
      <c r="BK10" s="572"/>
      <c r="BM10" s="572"/>
      <c r="BO10" s="772"/>
      <c r="BP10" s="772"/>
      <c r="BQ10" s="571"/>
      <c r="BV10" s="572"/>
      <c r="BW10" s="572"/>
      <c r="BX10" s="572"/>
      <c r="BY10" s="572"/>
      <c r="BZ10" s="572"/>
      <c r="CA10" s="572"/>
      <c r="CB10" s="572"/>
      <c r="CC10" s="572"/>
      <c r="CD10" s="572"/>
      <c r="CE10" s="572"/>
      <c r="CF10" s="572"/>
      <c r="CG10" s="572"/>
    </row>
    <row r="11" spans="2:90" ht="17" thickTop="1" thickBot="1">
      <c r="B11" s="779"/>
      <c r="C11" s="785" t="s">
        <v>338</v>
      </c>
      <c r="D11" s="785"/>
      <c r="E11" s="786"/>
      <c r="F11" s="787"/>
      <c r="G11" s="788"/>
      <c r="H11" s="882">
        <f>i_equity.GPshare</f>
        <v>0.05</v>
      </c>
      <c r="I11" s="789" cm="1">
        <f t="array" ref="I11">c_equity.LPshare</f>
        <v>0.95</v>
      </c>
      <c r="J11" s="790">
        <f>H11+I11</f>
        <v>1</v>
      </c>
      <c r="K11" s="572"/>
      <c r="L11" s="572"/>
      <c r="M11" s="780" t="s">
        <v>453</v>
      </c>
      <c r="N11" s="921"/>
      <c r="O11" s="921">
        <f ca="1">IRR(_xlfn.ANCHORARRAY(Q11))</f>
        <v>0.50687921068718711</v>
      </c>
      <c r="P11" s="924"/>
      <c r="Q11" s="908" cm="1">
        <f t="array" aca="1" ref="Q11:X11" ca="1">SUMIF($F$48:$F$408,_xlfn.ANCHORARRAY(Q$8),$G$48:$G$408)</f>
        <v>-3306989.0999999992</v>
      </c>
      <c r="R11" s="908">
        <f ca="1"/>
        <v>-110430825.17669424</v>
      </c>
      <c r="S11" s="908">
        <f ca="1"/>
        <v>17610048.807228312</v>
      </c>
      <c r="T11" s="908">
        <f ca="1"/>
        <v>224432970.10221842</v>
      </c>
      <c r="U11" s="908">
        <f ca="1"/>
        <v>-1915529.43582018</v>
      </c>
      <c r="V11" s="908">
        <f ca="1"/>
        <v>2751324.8599989675</v>
      </c>
      <c r="W11" s="908">
        <f ca="1"/>
        <v>20186769.797467355</v>
      </c>
      <c r="X11" s="908">
        <f ca="1"/>
        <v>27118426.601746663</v>
      </c>
      <c r="Y11" s="908"/>
      <c r="Z11" s="908"/>
      <c r="AA11" s="908"/>
      <c r="AB11" s="908"/>
      <c r="AC11" s="908"/>
      <c r="AD11" s="908"/>
      <c r="AE11" s="572"/>
      <c r="AF11" s="572"/>
      <c r="AG11" s="572"/>
      <c r="AH11" s="572"/>
      <c r="AI11" s="572"/>
      <c r="AJ11" s="572"/>
      <c r="AK11" s="572"/>
      <c r="AL11" s="770"/>
      <c r="AM11" s="572"/>
      <c r="AO11" s="572"/>
      <c r="AP11" s="572"/>
      <c r="AQ11" s="572"/>
      <c r="AR11" s="572"/>
      <c r="AS11" s="572"/>
      <c r="AT11" s="769"/>
      <c r="AU11" s="572"/>
      <c r="AV11" s="572"/>
      <c r="AW11" s="770"/>
      <c r="AY11" s="771"/>
      <c r="BA11" s="572"/>
      <c r="BC11" s="572"/>
      <c r="BD11" s="572"/>
      <c r="BE11" s="572"/>
      <c r="BF11" s="572"/>
      <c r="BG11" s="572"/>
      <c r="BH11" s="572"/>
      <c r="BI11" s="770"/>
      <c r="BJ11" s="770"/>
      <c r="BK11" s="572"/>
      <c r="BM11" s="572"/>
      <c r="BO11" s="772"/>
      <c r="BP11" s="772"/>
      <c r="BQ11" s="571"/>
      <c r="BV11" s="572"/>
      <c r="BW11" s="572"/>
      <c r="BX11" s="572"/>
      <c r="BY11" s="572"/>
      <c r="BZ11" s="572"/>
      <c r="CA11" s="572"/>
      <c r="CB11" s="572"/>
      <c r="CC11" s="572"/>
      <c r="CD11" s="572"/>
      <c r="CE11" s="572"/>
      <c r="CF11" s="572"/>
      <c r="CG11" s="572"/>
    </row>
    <row r="12" spans="2:90" ht="17" thickTop="1" thickBot="1">
      <c r="B12" s="779"/>
      <c r="C12" s="785" t="s">
        <v>340</v>
      </c>
      <c r="D12" s="785"/>
      <c r="E12" s="786"/>
      <c r="F12" s="787"/>
      <c r="G12" s="791"/>
      <c r="H12" s="792">
        <f ca="1">H11*-SUMIF($G$48:$G$407,"&lt;0",$G$48:$G$407)</f>
        <v>7323535.1313112043</v>
      </c>
      <c r="I12" s="792">
        <f ca="1">I11*-SUMIF($G$48:$G$407,"&lt;0",$G$48:$G$407)</f>
        <v>139147167.49491286</v>
      </c>
      <c r="J12" s="792">
        <f ca="1">J11*-SUMIF($G$48:$G$407,"&lt;0",$G$48:$G$407)</f>
        <v>146470702.62622407</v>
      </c>
      <c r="K12" s="572"/>
      <c r="L12" s="572"/>
      <c r="M12" s="780"/>
      <c r="N12" s="920"/>
      <c r="O12" s="920"/>
      <c r="P12" s="920"/>
      <c r="Q12" s="780"/>
      <c r="R12" s="908"/>
      <c r="S12" s="908"/>
      <c r="T12" s="908"/>
      <c r="U12" s="908"/>
      <c r="V12" s="908"/>
      <c r="W12" s="908"/>
      <c r="X12" s="908"/>
      <c r="Y12" s="908"/>
      <c r="Z12" s="908"/>
      <c r="AA12" s="908"/>
      <c r="AB12" s="908"/>
      <c r="AC12" s="908"/>
      <c r="AD12" s="908"/>
      <c r="AE12" s="572"/>
      <c r="AF12" s="572"/>
      <c r="AG12" s="572"/>
      <c r="AH12" s="572"/>
      <c r="AI12" s="572"/>
      <c r="AJ12" s="572"/>
      <c r="AK12" s="572"/>
      <c r="AL12" s="770"/>
      <c r="AM12" s="572"/>
      <c r="AO12" s="572"/>
      <c r="AP12" s="572"/>
      <c r="AQ12" s="572"/>
      <c r="AR12" s="572"/>
      <c r="AS12" s="572"/>
      <c r="AT12" s="769"/>
      <c r="AU12" s="572"/>
      <c r="AV12" s="572"/>
      <c r="AW12" s="770"/>
      <c r="AY12" s="771"/>
      <c r="BA12" s="572"/>
      <c r="BC12" s="572"/>
      <c r="BD12" s="572"/>
      <c r="BE12" s="572"/>
      <c r="BF12" s="572"/>
      <c r="BG12" s="572"/>
      <c r="BH12" s="572"/>
      <c r="BI12" s="770"/>
      <c r="BJ12" s="770"/>
      <c r="BK12" s="572"/>
      <c r="BM12" s="572"/>
      <c r="BO12" s="772"/>
      <c r="BP12" s="772"/>
      <c r="BQ12" s="571"/>
      <c r="BV12" s="572"/>
      <c r="BW12" s="572"/>
      <c r="BX12" s="572"/>
      <c r="BY12" s="572"/>
      <c r="BZ12" s="572"/>
      <c r="CA12" s="572"/>
      <c r="CB12" s="572"/>
      <c r="CC12" s="572"/>
      <c r="CD12" s="572"/>
      <c r="CE12" s="572"/>
      <c r="CF12" s="572"/>
      <c r="CG12" s="572"/>
    </row>
    <row r="13" spans="2:90" ht="17" thickTop="1" thickBot="1">
      <c r="B13" s="779"/>
      <c r="C13" s="570"/>
      <c r="D13" s="571"/>
      <c r="G13" s="571"/>
      <c r="H13" s="570"/>
      <c r="I13" s="571"/>
      <c r="J13" s="571"/>
      <c r="K13" s="572"/>
      <c r="L13" s="572"/>
      <c r="M13" s="780" t="s">
        <v>364</v>
      </c>
      <c r="N13" s="920"/>
      <c r="O13" s="920"/>
      <c r="P13" s="920"/>
      <c r="Q13" s="780"/>
      <c r="R13" s="908"/>
      <c r="S13" s="908"/>
      <c r="T13" s="908"/>
      <c r="U13" s="908"/>
      <c r="V13" s="908"/>
      <c r="W13" s="908"/>
      <c r="X13" s="908"/>
      <c r="Y13" s="908"/>
      <c r="Z13" s="908"/>
      <c r="AA13" s="908"/>
      <c r="AB13" s="908"/>
      <c r="AC13" s="908"/>
      <c r="AD13" s="908"/>
      <c r="AE13" s="572"/>
      <c r="AF13" s="572"/>
      <c r="AG13" s="572"/>
      <c r="AH13" s="572"/>
      <c r="AI13" s="572"/>
      <c r="AJ13" s="572"/>
      <c r="AK13" s="572"/>
      <c r="AL13" s="770"/>
      <c r="AM13" s="572"/>
      <c r="AO13" s="572"/>
      <c r="AP13" s="572"/>
      <c r="AQ13" s="572"/>
      <c r="AR13" s="572"/>
      <c r="AS13" s="572"/>
      <c r="AT13" s="769"/>
      <c r="AU13" s="572"/>
      <c r="AV13" s="572"/>
      <c r="AW13" s="770"/>
      <c r="AY13" s="771"/>
      <c r="BA13" s="572"/>
      <c r="BC13" s="572"/>
      <c r="BD13" s="572"/>
      <c r="BE13" s="572"/>
      <c r="BF13" s="572"/>
      <c r="BG13" s="572"/>
      <c r="BH13" s="572"/>
      <c r="BI13" s="770"/>
      <c r="BJ13" s="770"/>
      <c r="BK13" s="572"/>
      <c r="BM13" s="572"/>
      <c r="BO13" s="772"/>
      <c r="BP13" s="772"/>
      <c r="BQ13" s="571"/>
      <c r="BV13" s="572"/>
      <c r="BW13" s="572"/>
      <c r="BX13" s="572"/>
      <c r="BY13" s="572"/>
      <c r="BZ13" s="572"/>
      <c r="CA13" s="572"/>
      <c r="CB13" s="572"/>
      <c r="CC13" s="572"/>
      <c r="CD13" s="572"/>
      <c r="CE13" s="572"/>
      <c r="CF13" s="572"/>
      <c r="CG13" s="572"/>
    </row>
    <row r="14" spans="2:90" ht="17" thickTop="1" thickBot="1">
      <c r="B14" s="779"/>
      <c r="C14" s="793" t="s">
        <v>364</v>
      </c>
      <c r="D14" s="794"/>
      <c r="E14" s="794"/>
      <c r="F14" s="794"/>
      <c r="G14" s="637"/>
      <c r="H14" s="638" t="s">
        <v>365</v>
      </c>
      <c r="I14" s="638" t="s">
        <v>363</v>
      </c>
      <c r="J14" s="638" t="s">
        <v>362</v>
      </c>
      <c r="L14" s="572"/>
      <c r="M14" s="780" t="s">
        <v>368</v>
      </c>
      <c r="N14" s="925"/>
      <c r="O14" s="1106">
        <f>i_rate.Pref</f>
        <v>0.08</v>
      </c>
      <c r="P14" s="308"/>
      <c r="Q14" s="780"/>
      <c r="R14" s="908"/>
      <c r="S14" s="908"/>
      <c r="T14" s="908"/>
      <c r="U14" s="908"/>
      <c r="V14" s="908"/>
      <c r="W14" s="908"/>
      <c r="X14" s="908"/>
      <c r="Y14" s="908"/>
      <c r="Z14" s="908"/>
      <c r="AA14" s="908"/>
      <c r="AB14" s="908"/>
      <c r="AC14" s="908"/>
      <c r="AD14" s="908"/>
      <c r="AE14" s="572"/>
      <c r="AF14" s="572"/>
      <c r="AG14" s="572"/>
      <c r="AH14" s="572"/>
      <c r="AI14" s="572"/>
      <c r="AJ14" s="572"/>
      <c r="AK14" s="572"/>
      <c r="AL14" s="770"/>
      <c r="AM14" s="572"/>
      <c r="AO14" s="572"/>
      <c r="AP14" s="572"/>
      <c r="AQ14" s="572"/>
      <c r="AR14" s="572"/>
      <c r="AS14" s="572"/>
      <c r="AT14" s="769"/>
      <c r="AU14" s="572"/>
      <c r="AV14" s="572"/>
      <c r="AW14" s="770"/>
      <c r="AY14" s="771"/>
      <c r="BA14" s="572"/>
      <c r="BC14" s="572"/>
      <c r="BD14" s="572"/>
      <c r="BE14" s="572"/>
      <c r="BF14" s="572"/>
      <c r="BG14" s="572"/>
      <c r="BH14" s="572"/>
      <c r="BI14" s="770"/>
      <c r="BJ14" s="770"/>
      <c r="BK14" s="572"/>
      <c r="BM14" s="572"/>
      <c r="BO14" s="772"/>
      <c r="BP14" s="772"/>
      <c r="BQ14" s="571"/>
      <c r="BV14" s="572"/>
      <c r="BW14" s="572"/>
      <c r="BX14" s="572"/>
      <c r="BY14" s="572"/>
      <c r="BZ14" s="572"/>
      <c r="CA14" s="572"/>
      <c r="CB14" s="572"/>
      <c r="CC14" s="572"/>
      <c r="CD14" s="572"/>
      <c r="CE14" s="572"/>
      <c r="CF14" s="572"/>
      <c r="CG14" s="572"/>
    </row>
    <row r="15" spans="2:90" ht="17" thickTop="1" thickBot="1">
      <c r="B15" s="779"/>
      <c r="C15" s="795" t="s">
        <v>367</v>
      </c>
      <c r="D15" s="785"/>
      <c r="E15" s="786"/>
      <c r="F15" s="787"/>
      <c r="G15" s="796"/>
      <c r="H15" s="797"/>
      <c r="I15" s="797">
        <f>H11</f>
        <v>0.05</v>
      </c>
      <c r="J15" s="797">
        <f>I11</f>
        <v>0.95</v>
      </c>
      <c r="L15" s="572"/>
      <c r="M15" s="798" t="s">
        <v>454</v>
      </c>
      <c r="O15" s="880">
        <f>J16</f>
        <v>0.95</v>
      </c>
      <c r="Q15" s="908" cm="1">
        <f t="array" aca="1" ref="Q15:X15" ca="1">SUMIF($F$48:$F$407,_xlfn.ANCHORARRAY(Q$8),$N$48:$N$407)</f>
        <v>-3141639.6449999996</v>
      </c>
      <c r="R15" s="908">
        <f ca="1"/>
        <v>-104909283.91785949</v>
      </c>
      <c r="S15" s="908">
        <f ca="1"/>
        <v>16729546.366866887</v>
      </c>
      <c r="T15" s="908">
        <f ca="1"/>
        <v>114149563.88021253</v>
      </c>
      <c r="U15" s="908">
        <f ca="1"/>
        <v>-1819752.964029171</v>
      </c>
      <c r="V15" s="908">
        <f ca="1"/>
        <v>2177914.1877621319</v>
      </c>
      <c r="W15" s="908">
        <f ca="1"/>
        <v>-688347.45968665218</v>
      </c>
      <c r="X15" s="908">
        <f ca="1"/>
        <v>1000051.8742504874</v>
      </c>
      <c r="Y15" s="908"/>
      <c r="Z15" s="908"/>
      <c r="AA15" s="908"/>
      <c r="AB15" s="908"/>
      <c r="AC15" s="908"/>
      <c r="AD15" s="908"/>
      <c r="AE15" s="572"/>
      <c r="AF15" s="572"/>
      <c r="AG15" s="572"/>
      <c r="AH15" s="572"/>
      <c r="AI15" s="572"/>
      <c r="AJ15" s="572"/>
      <c r="AK15" s="572"/>
      <c r="AL15" s="770"/>
      <c r="AM15" s="572"/>
      <c r="AO15" s="572"/>
      <c r="AP15" s="572"/>
      <c r="AQ15" s="572"/>
      <c r="AR15" s="572"/>
      <c r="AS15" s="572"/>
      <c r="AT15" s="769"/>
      <c r="AU15" s="572"/>
      <c r="AV15" s="572"/>
      <c r="AW15" s="770"/>
      <c r="AY15" s="771"/>
      <c r="BA15" s="572"/>
      <c r="BC15" s="572"/>
      <c r="BD15" s="572"/>
      <c r="BE15" s="572"/>
      <c r="BF15" s="572"/>
      <c r="BG15" s="572"/>
      <c r="BH15" s="572"/>
      <c r="BI15" s="770"/>
      <c r="BJ15" s="770"/>
      <c r="BK15" s="572"/>
      <c r="BM15" s="572"/>
      <c r="BO15" s="772"/>
      <c r="BP15" s="772"/>
      <c r="BQ15" s="571"/>
      <c r="BV15" s="572"/>
      <c r="BW15" s="572"/>
      <c r="BX15" s="572"/>
      <c r="BY15" s="572"/>
      <c r="BZ15" s="572"/>
      <c r="CA15" s="572"/>
      <c r="CB15" s="572"/>
      <c r="CC15" s="572"/>
      <c r="CD15" s="572"/>
      <c r="CE15" s="572"/>
      <c r="CF15" s="572"/>
      <c r="CG15" s="572"/>
    </row>
    <row r="16" spans="2:90" ht="17" thickTop="1" thickBot="1">
      <c r="B16" s="779"/>
      <c r="C16" s="795" t="s">
        <v>368</v>
      </c>
      <c r="D16" s="785"/>
      <c r="E16" s="786"/>
      <c r="F16" s="787"/>
      <c r="G16" s="881">
        <f>i_rate.Pref</f>
        <v>0.08</v>
      </c>
      <c r="H16" s="882">
        <v>0</v>
      </c>
      <c r="I16" s="827" cm="1">
        <f t="array" ref="I16">1-(c_equity.LPshare*(1-H16))</f>
        <v>5.0000000000000044E-2</v>
      </c>
      <c r="J16" s="827">
        <f>J15</f>
        <v>0.95</v>
      </c>
      <c r="L16" s="572"/>
      <c r="M16" s="798" t="s">
        <v>455</v>
      </c>
      <c r="O16" s="880">
        <f>I16</f>
        <v>5.0000000000000044E-2</v>
      </c>
      <c r="Q16" s="908" cm="1">
        <f t="array" aca="1" ref="Q16:X16" ca="1">SUMIF($F$48:$F$408,_xlfn.ANCHORARRAY(Q$8),$O$48:$O$408)</f>
        <v>-165349.45499999999</v>
      </c>
      <c r="R16" s="908">
        <f ca="1"/>
        <v>-5521541.2588347122</v>
      </c>
      <c r="S16" s="908">
        <f ca="1"/>
        <v>880502.44036141573</v>
      </c>
      <c r="T16" s="908">
        <f ca="1"/>
        <v>6007871.7831690814</v>
      </c>
      <c r="U16" s="908">
        <f ca="1"/>
        <v>-95776.471791009026</v>
      </c>
      <c r="V16" s="908">
        <f ca="1"/>
        <v>114627.06251379638</v>
      </c>
      <c r="W16" s="908">
        <f ca="1"/>
        <v>-36228.813667718539</v>
      </c>
      <c r="X16" s="908">
        <f ca="1"/>
        <v>52634.309171078261</v>
      </c>
      <c r="Y16" s="908"/>
      <c r="Z16" s="908"/>
      <c r="AA16" s="908"/>
      <c r="AB16" s="908"/>
      <c r="AC16" s="908"/>
      <c r="AD16" s="908"/>
      <c r="AE16" s="572"/>
      <c r="AF16" s="572"/>
      <c r="AG16" s="572"/>
      <c r="AH16" s="572"/>
      <c r="AI16" s="572"/>
      <c r="AJ16" s="572"/>
      <c r="AK16" s="572"/>
      <c r="AL16" s="770"/>
      <c r="AM16" s="572"/>
      <c r="AO16" s="572"/>
      <c r="AP16" s="572"/>
      <c r="AQ16" s="572"/>
      <c r="AR16" s="572"/>
      <c r="AS16" s="572"/>
      <c r="AT16" s="769"/>
      <c r="AU16" s="572"/>
      <c r="AV16" s="572"/>
      <c r="AW16" s="770"/>
      <c r="AY16" s="771"/>
      <c r="BA16" s="572"/>
      <c r="BC16" s="572"/>
      <c r="BD16" s="572"/>
      <c r="BE16" s="572"/>
      <c r="BF16" s="572"/>
      <c r="BG16" s="572"/>
      <c r="BH16" s="572"/>
      <c r="BI16" s="770"/>
      <c r="BJ16" s="770"/>
      <c r="BK16" s="572"/>
      <c r="BM16" s="572"/>
      <c r="BO16" s="772"/>
      <c r="BP16" s="772"/>
      <c r="BQ16" s="571"/>
      <c r="BV16" s="572"/>
      <c r="BW16" s="572"/>
      <c r="BX16" s="572"/>
      <c r="BY16" s="572"/>
      <c r="BZ16" s="572"/>
      <c r="CA16" s="572"/>
      <c r="CB16" s="572"/>
      <c r="CC16" s="572"/>
      <c r="CD16" s="572"/>
      <c r="CE16" s="572"/>
      <c r="CF16" s="572"/>
      <c r="CG16" s="572"/>
    </row>
    <row r="17" spans="1:24" ht="17" thickTop="1" thickBot="1">
      <c r="A17" s="891"/>
      <c r="B17" s="779"/>
      <c r="C17" s="799" t="s">
        <v>369</v>
      </c>
      <c r="D17" s="800"/>
      <c r="G17" s="881">
        <f>i_rate.Hurdle1</f>
        <v>0.1</v>
      </c>
      <c r="H17" s="882">
        <f>i_Promote.Hurdle1</f>
        <v>0.1</v>
      </c>
      <c r="I17" s="827" cm="1">
        <f t="array" ref="I17">1-(c_equity.LPshare*(1-H17))</f>
        <v>0.14500000000000002</v>
      </c>
      <c r="J17" s="827">
        <f>1-I17</f>
        <v>0.85499999999999998</v>
      </c>
      <c r="L17" s="572"/>
      <c r="M17" s="780"/>
      <c r="P17" s="920"/>
      <c r="Q17" s="908"/>
      <c r="R17" s="908"/>
      <c r="S17" s="908"/>
      <c r="T17" s="908"/>
      <c r="U17" s="908"/>
      <c r="V17" s="908"/>
      <c r="W17" s="908"/>
      <c r="X17" s="908"/>
    </row>
    <row r="18" spans="1:24" ht="17" thickTop="1" thickBot="1">
      <c r="A18" s="891"/>
      <c r="B18" s="779"/>
      <c r="C18" s="799" t="s">
        <v>370</v>
      </c>
      <c r="D18" s="800"/>
      <c r="G18" s="881">
        <f>i_rate.Hurdle2</f>
        <v>0.12</v>
      </c>
      <c r="H18" s="882">
        <f>i_Promote.Hurdle2</f>
        <v>0.2</v>
      </c>
      <c r="I18" s="827" cm="1">
        <f t="array" ref="I18">1-(c_equity.LPshare*(1-H18))</f>
        <v>0.24</v>
      </c>
      <c r="J18" s="827">
        <f>1-I18</f>
        <v>0.76</v>
      </c>
      <c r="L18" s="572"/>
      <c r="M18" s="780" t="s">
        <v>335</v>
      </c>
      <c r="N18" s="922">
        <f>i_rate.Hurdle1</f>
        <v>0.1</v>
      </c>
      <c r="P18" s="308"/>
      <c r="Q18" s="908"/>
      <c r="R18" s="908"/>
      <c r="S18" s="908"/>
      <c r="T18" s="908"/>
      <c r="U18" s="908"/>
      <c r="V18" s="908"/>
      <c r="W18" s="908"/>
      <c r="X18" s="908"/>
    </row>
    <row r="19" spans="1:24" ht="17" thickTop="1" thickBot="1">
      <c r="A19" s="891"/>
      <c r="B19" s="779"/>
      <c r="C19" s="799" t="s">
        <v>371</v>
      </c>
      <c r="D19" s="800"/>
      <c r="G19" s="881">
        <f>i_rate.Hurdle3</f>
        <v>0.14000000000000001</v>
      </c>
      <c r="H19" s="882">
        <f>i_Promote.Hurdle3</f>
        <v>0.3</v>
      </c>
      <c r="I19" s="827" cm="1">
        <f t="array" ref="I19">1-(c_equity.LPshare*(1-H19))</f>
        <v>0.33500000000000008</v>
      </c>
      <c r="J19" s="827">
        <f>1-I19</f>
        <v>0.66499999999999992</v>
      </c>
      <c r="L19" s="572"/>
      <c r="M19" s="801" t="s">
        <v>456</v>
      </c>
      <c r="N19" s="923"/>
      <c r="O19" s="1108">
        <f>c_Hurdle1.Share_GP</f>
        <v>0.14500000000000002</v>
      </c>
      <c r="P19" s="308"/>
      <c r="Q19" s="908"/>
      <c r="R19" s="908"/>
      <c r="S19" s="908"/>
      <c r="T19" s="908"/>
      <c r="U19" s="908"/>
      <c r="V19" s="908"/>
      <c r="W19" s="908"/>
      <c r="X19" s="908"/>
    </row>
    <row r="20" spans="1:24" ht="17" thickTop="1" thickBot="1">
      <c r="A20" s="891"/>
      <c r="B20" s="779"/>
      <c r="C20" s="799" t="s">
        <v>355</v>
      </c>
      <c r="D20" s="800"/>
      <c r="H20" s="882">
        <f>i_residualGP</f>
        <v>0.5</v>
      </c>
      <c r="I20" s="827" cm="1">
        <f t="array" ref="I20">1-(c_equity.LPshare*(1-H20))</f>
        <v>0.52500000000000002</v>
      </c>
      <c r="J20" s="827">
        <f>1-I20</f>
        <v>0.47499999999999998</v>
      </c>
      <c r="L20" s="572"/>
      <c r="M20" s="798" t="s">
        <v>454</v>
      </c>
      <c r="O20" s="1107">
        <f>J17</f>
        <v>0.85499999999999998</v>
      </c>
      <c r="Q20" s="908" cm="1">
        <f t="array" aca="1" ref="Q20:X20" ca="1">SUMIF($F$48:$F$408,_xlfn.ANCHORARRAY(Q$8),$Y$48:$Y$408)-_xlfn.ANCHORARRAY(Q$15)</f>
        <v>0</v>
      </c>
      <c r="R20" s="908">
        <f ca="1"/>
        <v>0</v>
      </c>
      <c r="S20" s="908">
        <f ca="1"/>
        <v>0</v>
      </c>
      <c r="T20" s="908">
        <f ca="1"/>
        <v>6319740.024061963</v>
      </c>
      <c r="U20" s="908">
        <f ca="1"/>
        <v>0</v>
      </c>
      <c r="V20" s="908">
        <f ca="1"/>
        <v>90097.087113794871</v>
      </c>
      <c r="W20" s="908">
        <f ca="1"/>
        <v>3805.5518581937067</v>
      </c>
      <c r="X20" s="908">
        <f ca="1"/>
        <v>73041.305825819261</v>
      </c>
    </row>
    <row r="21" spans="1:24" ht="17" thickTop="1" thickBot="1">
      <c r="A21" s="891"/>
      <c r="B21" s="779"/>
      <c r="C21" s="802"/>
      <c r="D21" s="803"/>
      <c r="G21" s="803"/>
      <c r="H21" s="803"/>
      <c r="I21" s="803"/>
      <c r="J21" s="803"/>
      <c r="K21" s="572"/>
      <c r="L21" s="572"/>
      <c r="M21" s="798" t="s">
        <v>455</v>
      </c>
      <c r="O21" s="1107">
        <f>c_Hurdle1.Share_GP</f>
        <v>0.14500000000000002</v>
      </c>
      <c r="Q21" s="908" cm="1">
        <f t="array" aca="1" ref="Q21:X21" ca="1">SUMIF($F$48:$F$408,_xlfn.ANCHORARRAY(Q$8),$Z$48:$Z$408)-_xlfn.ANCHORARRAY(Q$16)</f>
        <v>0</v>
      </c>
      <c r="R21" s="908">
        <f ca="1"/>
        <v>0</v>
      </c>
      <c r="S21" s="908">
        <f ca="1"/>
        <v>0</v>
      </c>
      <c r="T21" s="908">
        <f ca="1"/>
        <v>1071768.7760105096</v>
      </c>
      <c r="U21" s="908">
        <f ca="1"/>
        <v>0</v>
      </c>
      <c r="V21" s="908">
        <f ca="1"/>
        <v>15279.62296081899</v>
      </c>
      <c r="W21" s="908">
        <f ca="1"/>
        <v>645.38598764688504</v>
      </c>
      <c r="X21" s="908">
        <f ca="1"/>
        <v>12387.122040636023</v>
      </c>
    </row>
    <row r="22" spans="1:24" ht="17" thickTop="1" thickBot="1">
      <c r="A22" s="891" t="s">
        <v>481</v>
      </c>
      <c r="B22" s="779"/>
      <c r="C22" s="804" t="s">
        <v>372</v>
      </c>
      <c r="D22" s="805"/>
      <c r="E22" s="805"/>
      <c r="F22" s="805"/>
      <c r="G22" s="911"/>
      <c r="H22" s="806" t="s">
        <v>1</v>
      </c>
      <c r="I22" s="807" t="s">
        <v>363</v>
      </c>
      <c r="J22" s="807" t="s">
        <v>362</v>
      </c>
      <c r="K22" s="572"/>
      <c r="L22" s="572"/>
      <c r="M22" s="780"/>
      <c r="N22" s="920"/>
      <c r="O22" s="920"/>
      <c r="P22" s="920"/>
      <c r="Q22" s="908"/>
      <c r="R22" s="908"/>
      <c r="S22" s="908"/>
      <c r="T22" s="908"/>
      <c r="U22" s="908"/>
      <c r="V22" s="908"/>
      <c r="W22" s="908"/>
      <c r="X22" s="908"/>
    </row>
    <row r="23" spans="1:24" ht="17" thickTop="1" thickBot="1">
      <c r="A23" s="892">
        <f ca="1">ROUND(H23-I23-J23,0)</f>
        <v>0</v>
      </c>
      <c r="B23" s="779"/>
      <c r="C23" s="795" t="s">
        <v>367</v>
      </c>
      <c r="D23" s="785"/>
      <c r="E23" s="786"/>
      <c r="F23" s="786"/>
      <c r="G23" s="912" t="str">
        <f t="shared" ref="G23:G28" ca="1" si="0">IF(A23=0,"R","T")</f>
        <v>R</v>
      </c>
      <c r="H23" s="808">
        <f ca="1">J23+I23</f>
        <v>146470702.62622407</v>
      </c>
      <c r="I23" s="809">
        <f ca="1">H12</f>
        <v>7323535.1313112043</v>
      </c>
      <c r="J23" s="809">
        <f ca="1">I12</f>
        <v>139147167.49491286</v>
      </c>
      <c r="L23" s="572"/>
      <c r="M23" s="780" t="s">
        <v>336</v>
      </c>
      <c r="N23" s="922">
        <f>i_rate.Hurdle2</f>
        <v>0.12</v>
      </c>
      <c r="P23" s="308"/>
      <c r="Q23" s="908"/>
      <c r="R23" s="908"/>
      <c r="S23" s="908"/>
      <c r="T23" s="908"/>
      <c r="U23" s="908"/>
      <c r="V23" s="908"/>
      <c r="W23" s="908"/>
      <c r="X23" s="908"/>
    </row>
    <row r="24" spans="1:24" ht="17" thickTop="1" thickBot="1">
      <c r="A24" s="892">
        <f t="shared" ref="A24:A30" ca="1" si="1">ROUND(H24-I24-J24,0)</f>
        <v>0</v>
      </c>
      <c r="B24" s="779"/>
      <c r="C24" s="795" t="s">
        <v>368</v>
      </c>
      <c r="D24" s="785"/>
      <c r="E24" s="786"/>
      <c r="F24" s="786"/>
      <c r="G24" s="912" t="str">
        <f t="shared" ca="1" si="0"/>
        <v>R</v>
      </c>
      <c r="H24" s="808">
        <f ca="1">P46</f>
        <v>24734791.91843871</v>
      </c>
      <c r="I24" s="809">
        <f ca="1">O46</f>
        <v>1236739.5959219323</v>
      </c>
      <c r="J24" s="809">
        <f ca="1">N46</f>
        <v>23498052.322516877</v>
      </c>
      <c r="L24" s="1102"/>
      <c r="M24" s="801" t="s">
        <v>456</v>
      </c>
      <c r="N24" s="923"/>
      <c r="O24" s="1108">
        <f>H18</f>
        <v>0.2</v>
      </c>
      <c r="P24" s="308"/>
      <c r="Q24" s="908"/>
      <c r="R24" s="908"/>
      <c r="S24" s="908"/>
      <c r="T24" s="908"/>
      <c r="U24" s="908"/>
      <c r="V24" s="908"/>
      <c r="W24" s="908"/>
      <c r="X24" s="908"/>
    </row>
    <row r="25" spans="1:24" ht="17" thickTop="1" thickBot="1">
      <c r="A25" s="892">
        <f t="shared" ca="1" si="1"/>
        <v>0</v>
      </c>
      <c r="B25" s="779"/>
      <c r="C25" s="795" t="s">
        <v>369</v>
      </c>
      <c r="D25" s="785"/>
      <c r="E25" s="786"/>
      <c r="F25" s="786"/>
      <c r="G25" s="912" t="str">
        <f t="shared" ca="1" si="0"/>
        <v>R</v>
      </c>
      <c r="H25" s="808">
        <f ca="1">J25+I25</f>
        <v>7586764.8758593798</v>
      </c>
      <c r="I25" s="809">
        <f ca="1">Z46-I24</f>
        <v>1100080.9069996071</v>
      </c>
      <c r="J25" s="809">
        <f ca="1">Y46-J24</f>
        <v>6486683.9688597731</v>
      </c>
      <c r="L25" s="572"/>
      <c r="M25" s="798" t="s">
        <v>454</v>
      </c>
      <c r="N25" s="308"/>
      <c r="O25" s="925">
        <f>J18</f>
        <v>0.76</v>
      </c>
      <c r="Q25" s="908" cm="1">
        <f t="array" aca="1" ref="Q25:X25" ca="1">SUMIF($F$48:$F$408,_xlfn.ANCHORARRAY(Q$8),$AK$48:$AK$408)-_xlfn.ANCHORARRAY(Q$15)</f>
        <v>0</v>
      </c>
      <c r="R25" s="908">
        <f ca="1"/>
        <v>0</v>
      </c>
      <c r="S25" s="908">
        <f ca="1"/>
        <v>0</v>
      </c>
      <c r="T25" s="908">
        <f ca="1"/>
        <v>12893418.082798272</v>
      </c>
      <c r="U25" s="908">
        <f ca="1"/>
        <v>0</v>
      </c>
      <c r="V25" s="908">
        <f ca="1"/>
        <v>180424.8595456481</v>
      </c>
      <c r="W25" s="908">
        <f ca="1"/>
        <v>7559.6031911552418</v>
      </c>
      <c r="X25" s="908">
        <f ca="1"/>
        <v>145727.07176757045</v>
      </c>
    </row>
    <row r="26" spans="1:24" ht="17" thickTop="1" thickBot="1">
      <c r="A26" s="892">
        <f t="shared" ca="1" si="1"/>
        <v>0</v>
      </c>
      <c r="B26" s="779"/>
      <c r="C26" s="795" t="s">
        <v>370</v>
      </c>
      <c r="D26" s="785"/>
      <c r="E26" s="786"/>
      <c r="F26" s="786"/>
      <c r="G26" s="912" t="str">
        <f t="shared" ca="1" si="0"/>
        <v>R</v>
      </c>
      <c r="H26" s="808">
        <f ca="1">J26+I26</f>
        <v>8869007.4321616776</v>
      </c>
      <c r="I26" s="809">
        <f ca="1">BO47</f>
        <v>2128561.783718803</v>
      </c>
      <c r="J26" s="809">
        <f ca="1">BN47</f>
        <v>6740445.6484428756</v>
      </c>
      <c r="L26" s="572"/>
      <c r="M26" s="798" t="s">
        <v>455</v>
      </c>
      <c r="N26" s="308"/>
      <c r="O26" s="925">
        <f>c_Hurdle2.Share_GP</f>
        <v>0.24</v>
      </c>
      <c r="Q26" s="908" cm="1">
        <f t="array" aca="1" ref="Q26:X26" ca="1">SUMIF($F$48:$F$408,_xlfn.ANCHORARRAY(Q$8),$AL$48:$AL$408)-_xlfn.ANCHORARRAY(Q$16)</f>
        <v>0</v>
      </c>
      <c r="R26" s="908">
        <f ca="1"/>
        <v>0</v>
      </c>
      <c r="S26" s="908">
        <f ca="1"/>
        <v>0</v>
      </c>
      <c r="T26" s="908">
        <f ca="1"/>
        <v>3147667.1103482917</v>
      </c>
      <c r="U26" s="908">
        <f ca="1"/>
        <v>0</v>
      </c>
      <c r="V26" s="908">
        <f ca="1"/>
        <v>43804.182676141034</v>
      </c>
      <c r="W26" s="908">
        <f ca="1"/>
        <v>1830.8758822663149</v>
      </c>
      <c r="X26" s="908">
        <f ca="1"/>
        <v>35340.521811715327</v>
      </c>
    </row>
    <row r="27" spans="1:24" ht="17" thickTop="1" thickBot="1">
      <c r="A27" s="892">
        <f t="shared" ca="1" si="1"/>
        <v>0</v>
      </c>
      <c r="B27" s="779"/>
      <c r="C27" s="795" t="s">
        <v>371</v>
      </c>
      <c r="D27" s="785"/>
      <c r="E27" s="786"/>
      <c r="F27" s="786"/>
      <c r="G27" s="912" t="str">
        <f t="shared" ca="1" si="0"/>
        <v>R</v>
      </c>
      <c r="H27" s="808">
        <f ca="1">J27+I27</f>
        <v>10524292.001573382</v>
      </c>
      <c r="I27" s="809">
        <f ca="1">BQ47</f>
        <v>3525637.8205270832</v>
      </c>
      <c r="J27" s="809">
        <f ca="1">BP47</f>
        <v>6998654.1810462987</v>
      </c>
      <c r="L27" s="572"/>
      <c r="N27" s="308"/>
      <c r="O27" s="308"/>
      <c r="P27" s="308"/>
      <c r="Q27" s="908"/>
      <c r="R27" s="908"/>
      <c r="S27" s="908"/>
      <c r="T27" s="908"/>
      <c r="U27" s="908"/>
      <c r="V27" s="908"/>
      <c r="W27" s="908"/>
      <c r="X27" s="908"/>
    </row>
    <row r="28" spans="1:24" ht="17" thickTop="1" thickBot="1">
      <c r="A28" s="892">
        <f t="shared" ca="1" si="1"/>
        <v>0</v>
      </c>
      <c r="B28" s="779"/>
      <c r="C28" s="810" t="s">
        <v>355</v>
      </c>
      <c r="D28" s="811"/>
      <c r="E28" s="812"/>
      <c r="F28" s="909"/>
      <c r="G28" s="913" t="str">
        <f t="shared" ca="1" si="0"/>
        <v>R</v>
      </c>
      <c r="H28" s="813">
        <f ca="1">J28+I28</f>
        <v>124731340.22811219</v>
      </c>
      <c r="I28" s="814">
        <f ca="1">BC46</f>
        <v>62365670.114056095</v>
      </c>
      <c r="J28" s="814">
        <f ca="1">BB46</f>
        <v>62365670.114056095</v>
      </c>
      <c r="L28" s="572"/>
      <c r="M28" s="780" t="s">
        <v>337</v>
      </c>
      <c r="N28" s="922">
        <f>i_rate.Hurdle3</f>
        <v>0.14000000000000001</v>
      </c>
      <c r="P28" s="308"/>
      <c r="Q28" s="908"/>
      <c r="R28" s="908"/>
      <c r="S28" s="908"/>
      <c r="T28" s="908"/>
      <c r="U28" s="908"/>
      <c r="V28" s="908"/>
      <c r="W28" s="908"/>
      <c r="X28" s="908"/>
    </row>
    <row r="29" spans="1:24" ht="17" thickTop="1" thickBot="1">
      <c r="A29" s="892">
        <f t="shared" ca="1" si="1"/>
        <v>0</v>
      </c>
      <c r="B29" s="779"/>
      <c r="C29" s="815" t="s">
        <v>373</v>
      </c>
      <c r="D29" s="816"/>
      <c r="E29" s="817"/>
      <c r="F29" s="910"/>
      <c r="G29" s="914" t="str">
        <f ca="1">IF(A29=0,"R","T")</f>
        <v>R</v>
      </c>
      <c r="H29" s="818">
        <f ca="1">SUM(H23:H28)</f>
        <v>322916899.08236945</v>
      </c>
      <c r="I29" s="819">
        <f ca="1">SUM(I23:I28)</f>
        <v>77680225.352534726</v>
      </c>
      <c r="J29" s="819">
        <f ca="1">SUM(J23:J28)</f>
        <v>245236673.72983479</v>
      </c>
      <c r="L29" s="572"/>
      <c r="M29" s="801" t="s">
        <v>456</v>
      </c>
      <c r="N29" s="923"/>
      <c r="O29" s="1108">
        <f>H19</f>
        <v>0.3</v>
      </c>
      <c r="P29" s="308"/>
      <c r="Q29" s="908"/>
      <c r="R29" s="908"/>
      <c r="S29" s="908"/>
      <c r="T29" s="908"/>
      <c r="U29" s="908"/>
      <c r="V29" s="908"/>
      <c r="W29" s="908"/>
      <c r="X29" s="908"/>
    </row>
    <row r="30" spans="1:24" ht="17" thickTop="1" thickBot="1">
      <c r="A30" s="892">
        <f t="shared" ca="1" si="1"/>
        <v>0</v>
      </c>
      <c r="B30" s="779"/>
      <c r="C30" s="820" t="s">
        <v>374</v>
      </c>
      <c r="D30" s="821"/>
      <c r="E30" s="822"/>
      <c r="F30" s="822"/>
      <c r="G30" s="915" t="str">
        <f ca="1">IF(I30+J30-H30=0,"R","T")</f>
        <v>R</v>
      </c>
      <c r="H30" s="823">
        <f ca="1">I30+J30</f>
        <v>1.0000000000000002</v>
      </c>
      <c r="I30" s="797">
        <f ca="1">I29/H29</f>
        <v>0.24055794408183048</v>
      </c>
      <c r="J30" s="797">
        <f ca="1">J29/H29</f>
        <v>0.75944205591816971</v>
      </c>
      <c r="L30" s="572"/>
      <c r="M30" s="798" t="s">
        <v>454</v>
      </c>
      <c r="N30" s="308"/>
      <c r="O30" s="925">
        <f>J19</f>
        <v>0.66499999999999992</v>
      </c>
      <c r="Q30" s="908" cm="1">
        <f t="array" aca="1" ref="Q30:X30" ca="1">SUMIF($F$48:$F$408,_xlfn.ANCHORARRAY(Q$8),$AW$48:$AW$408)-_xlfn.ANCHORARRAY(Q$15)</f>
        <v>0</v>
      </c>
      <c r="R30" s="908">
        <f ca="1"/>
        <v>0</v>
      </c>
      <c r="S30" s="908">
        <f ca="1"/>
        <v>0</v>
      </c>
      <c r="T30" s="908">
        <f ca="1"/>
        <v>19725466.115375146</v>
      </c>
      <c r="U30" s="908">
        <f ca="1"/>
        <v>0</v>
      </c>
      <c r="V30" s="908">
        <f ca="1"/>
        <v>270986.89485209621</v>
      </c>
      <c r="W30" s="908">
        <f ca="1"/>
        <v>11263.760473801754</v>
      </c>
      <c r="X30" s="908">
        <f ca="1"/>
        <v>218067.0276479004</v>
      </c>
    </row>
    <row r="31" spans="1:24" ht="17" thickTop="1" thickBot="1">
      <c r="A31" s="892"/>
      <c r="B31" s="779"/>
      <c r="C31" s="683"/>
      <c r="G31" s="916"/>
      <c r="L31" s="572"/>
      <c r="M31" s="798" t="s">
        <v>455</v>
      </c>
      <c r="N31" s="308"/>
      <c r="O31" s="925">
        <f>c_Hurdle3.Share_GP</f>
        <v>0.33500000000000008</v>
      </c>
      <c r="Q31" s="908" cm="1">
        <f t="array" aca="1" ref="Q31:X31" ca="1">SUMIF($F$50:$F$410,_xlfn.ANCHORARRAY(Q$8),$AX$50:$AX$410)-_xlfn.ANCHORARRAY(Q$16)</f>
        <v>27558.242499999993</v>
      </c>
      <c r="R31" s="908">
        <f ca="1"/>
        <v>0</v>
      </c>
      <c r="S31" s="908">
        <f ca="1"/>
        <v>0</v>
      </c>
      <c r="T31" s="908">
        <f ca="1"/>
        <v>6589375.5177366417</v>
      </c>
      <c r="U31" s="908">
        <f ca="1"/>
        <v>0</v>
      </c>
      <c r="V31" s="908">
        <f ca="1"/>
        <v>89425.659108712629</v>
      </c>
      <c r="W31" s="908">
        <f ca="1"/>
        <v>3696.8799269077936</v>
      </c>
      <c r="X31" s="908">
        <f ca="1"/>
        <v>71782.454473234946</v>
      </c>
    </row>
    <row r="32" spans="1:24" ht="17" thickTop="1" thickBot="1">
      <c r="A32" s="892"/>
      <c r="B32" s="779"/>
      <c r="C32" s="804" t="s">
        <v>331</v>
      </c>
      <c r="D32" s="805"/>
      <c r="E32" s="805"/>
      <c r="F32" s="805"/>
      <c r="G32" s="911"/>
      <c r="H32" s="806" t="s">
        <v>333</v>
      </c>
      <c r="I32" s="807" t="s">
        <v>363</v>
      </c>
      <c r="J32" s="807" t="s">
        <v>362</v>
      </c>
      <c r="K32" s="572"/>
      <c r="L32" s="572"/>
      <c r="N32" s="308"/>
      <c r="O32" s="308"/>
      <c r="P32" s="308"/>
      <c r="Q32" s="908"/>
      <c r="R32" s="908"/>
      <c r="S32" s="908"/>
      <c r="T32" s="908"/>
      <c r="U32" s="908"/>
      <c r="V32" s="908"/>
      <c r="W32" s="908"/>
      <c r="X32" s="908"/>
    </row>
    <row r="33" spans="1:82" ht="17" thickTop="1" thickBot="1">
      <c r="A33" s="892"/>
      <c r="B33" s="779"/>
      <c r="C33" s="795" t="s">
        <v>375</v>
      </c>
      <c r="D33" s="824"/>
      <c r="E33" s="824"/>
      <c r="F33" s="824"/>
      <c r="G33" s="915" t="str">
        <f ca="1">IF(I33+J33-H33=0,"R","T")</f>
        <v>R</v>
      </c>
      <c r="H33" s="825">
        <f ca="1">I33+J33</f>
        <v>146470702.62622407</v>
      </c>
      <c r="I33" s="826">
        <f ca="1">I23</f>
        <v>7323535.1313112043</v>
      </c>
      <c r="J33" s="826">
        <f ca="1">J23</f>
        <v>139147167.49491286</v>
      </c>
      <c r="K33" s="572"/>
      <c r="L33" s="572"/>
      <c r="M33" s="780" t="s">
        <v>355</v>
      </c>
      <c r="N33" s="922"/>
      <c r="O33" s="922"/>
      <c r="P33" s="308"/>
      <c r="Q33" s="908"/>
      <c r="R33" s="908"/>
      <c r="S33" s="908"/>
      <c r="T33" s="908"/>
      <c r="U33" s="908"/>
      <c r="V33" s="908"/>
      <c r="W33" s="908"/>
      <c r="X33" s="908"/>
      <c r="Y33" s="908"/>
      <c r="Z33" s="908"/>
      <c r="AA33" s="908"/>
      <c r="AB33" s="908"/>
      <c r="AC33" s="908"/>
      <c r="AD33" s="908"/>
      <c r="AE33" s="572"/>
      <c r="AF33" s="572"/>
      <c r="AG33" s="572"/>
      <c r="AH33" s="572"/>
      <c r="AI33" s="572"/>
      <c r="AJ33" s="572"/>
      <c r="AK33" s="572"/>
      <c r="AL33" s="770"/>
      <c r="AM33" s="572"/>
      <c r="AO33" s="572"/>
      <c r="AP33" s="572"/>
      <c r="AQ33" s="572"/>
      <c r="AR33" s="572"/>
      <c r="AS33" s="572"/>
      <c r="AT33" s="769"/>
      <c r="AU33" s="572"/>
      <c r="AV33" s="572"/>
      <c r="AW33" s="770"/>
      <c r="AY33" s="771"/>
      <c r="BA33" s="572"/>
      <c r="BC33" s="572"/>
      <c r="BD33" s="572"/>
      <c r="BE33" s="572"/>
      <c r="BF33" s="572"/>
      <c r="BG33" s="572"/>
      <c r="BH33" s="572"/>
      <c r="BI33" s="770"/>
      <c r="BJ33" s="770"/>
      <c r="BK33" s="572"/>
      <c r="BM33" s="572"/>
      <c r="BO33" s="772"/>
      <c r="BP33" s="772"/>
      <c r="BQ33" s="571"/>
      <c r="BV33" s="572"/>
      <c r="BW33" s="572"/>
      <c r="BX33" s="572"/>
      <c r="BY33" s="572"/>
      <c r="BZ33" s="572"/>
      <c r="CA33" s="572"/>
      <c r="CB33" s="572"/>
      <c r="CC33" s="572"/>
      <c r="CD33" s="572"/>
    </row>
    <row r="34" spans="1:82" ht="17" thickTop="1" thickBot="1">
      <c r="A34" s="892"/>
      <c r="B34" s="779"/>
      <c r="C34" s="795" t="s">
        <v>376</v>
      </c>
      <c r="D34" s="824"/>
      <c r="E34" s="824"/>
      <c r="F34" s="824"/>
      <c r="G34" s="915" t="str">
        <f ca="1">IF(I34+J34-H34=0,"R","T")</f>
        <v>R</v>
      </c>
      <c r="H34" s="825">
        <f ca="1">I34+J34</f>
        <v>176446196.45614547</v>
      </c>
      <c r="I34" s="826">
        <f ca="1">SUM(I24:I28)</f>
        <v>70356690.221223518</v>
      </c>
      <c r="J34" s="826">
        <f ca="1">SUM(J24:J28)</f>
        <v>106089506.23492193</v>
      </c>
      <c r="K34" s="572"/>
      <c r="L34" s="572"/>
      <c r="M34" s="801" t="s">
        <v>456</v>
      </c>
      <c r="N34" s="923">
        <f>H20</f>
        <v>0.5</v>
      </c>
      <c r="O34" s="923"/>
      <c r="P34" s="308"/>
      <c r="Q34" s="908"/>
      <c r="R34" s="908"/>
      <c r="S34" s="908"/>
      <c r="T34" s="908"/>
      <c r="U34" s="908"/>
      <c r="V34" s="908"/>
      <c r="W34" s="908"/>
      <c r="X34" s="908"/>
      <c r="Y34" s="908"/>
      <c r="Z34" s="908"/>
      <c r="AA34" s="908"/>
      <c r="AB34" s="908"/>
      <c r="AC34" s="908"/>
      <c r="AD34" s="908"/>
      <c r="AE34" s="572"/>
      <c r="AF34" s="572"/>
      <c r="AG34" s="572"/>
      <c r="AH34" s="572"/>
      <c r="AI34" s="572"/>
      <c r="AJ34" s="572"/>
      <c r="AK34" s="572"/>
      <c r="AL34" s="770"/>
      <c r="AM34" s="572"/>
      <c r="AO34" s="572"/>
      <c r="AP34" s="572"/>
      <c r="AQ34" s="572"/>
      <c r="AR34" s="572"/>
      <c r="AS34" s="572"/>
      <c r="AT34" s="769"/>
      <c r="AU34" s="572"/>
      <c r="AV34" s="572"/>
      <c r="AW34" s="770"/>
      <c r="AY34" s="771"/>
      <c r="BA34" s="572"/>
      <c r="BC34" s="572"/>
      <c r="BD34" s="572"/>
      <c r="BE34" s="572"/>
      <c r="BF34" s="572"/>
      <c r="BG34" s="572"/>
      <c r="BH34" s="572"/>
      <c r="BI34" s="770"/>
      <c r="BJ34" s="770"/>
      <c r="BK34" s="572"/>
      <c r="BM34" s="572"/>
      <c r="BO34" s="772"/>
      <c r="BP34" s="772"/>
      <c r="BQ34" s="571"/>
      <c r="BV34" s="572"/>
      <c r="BW34" s="572"/>
      <c r="BX34" s="572"/>
      <c r="BY34" s="572"/>
      <c r="BZ34" s="572"/>
      <c r="CA34" s="572"/>
      <c r="CB34" s="572"/>
      <c r="CC34" s="572"/>
      <c r="CD34" s="572"/>
    </row>
    <row r="35" spans="1:82" ht="17" thickTop="1" thickBot="1">
      <c r="A35" s="892"/>
      <c r="B35" s="779"/>
      <c r="C35" s="795" t="s">
        <v>373</v>
      </c>
      <c r="D35" s="824"/>
      <c r="E35" s="824"/>
      <c r="F35" s="824"/>
      <c r="G35" s="915" t="str">
        <f ca="1">IF(I35+J35-H35=0,"R","T")</f>
        <v>T</v>
      </c>
      <c r="H35" s="826">
        <f ca="1">H33+H34</f>
        <v>322916899.08236957</v>
      </c>
      <c r="I35" s="826">
        <f ca="1">I33+I34</f>
        <v>77680225.352534726</v>
      </c>
      <c r="J35" s="826">
        <f ca="1">J33+J34</f>
        <v>245236673.72983479</v>
      </c>
      <c r="K35" s="572"/>
      <c r="L35" s="572"/>
      <c r="M35" s="798" t="s">
        <v>454</v>
      </c>
      <c r="N35" s="308"/>
      <c r="O35" s="925">
        <f>J20</f>
        <v>0.47499999999999998</v>
      </c>
      <c r="Q35" s="908" cm="1">
        <f t="array" aca="1" ref="Q35:X35" ca="1">SUMIF($F$48:$F$408,_xlfn.ANCHORARRAY(Q$8),$BB$48:$BB$408)</f>
        <v>0</v>
      </c>
      <c r="R35" s="908">
        <f ca="1"/>
        <v>0</v>
      </c>
      <c r="S35" s="908">
        <f ca="1"/>
        <v>0</v>
      </c>
      <c r="T35" s="908">
        <f ca="1"/>
        <v>38980346.402862497</v>
      </c>
      <c r="U35" s="908">
        <f ca="1"/>
        <v>0</v>
      </c>
      <c r="V35" s="908">
        <f ca="1"/>
        <v>49185.527881115675</v>
      </c>
      <c r="W35" s="908">
        <f ca="1"/>
        <v>10448192.715210509</v>
      </c>
      <c r="X35" s="908">
        <f ca="1"/>
        <v>12887945.468101982</v>
      </c>
      <c r="Y35" s="908"/>
      <c r="Z35" s="908"/>
      <c r="AA35" s="908"/>
      <c r="AB35" s="908"/>
      <c r="AC35" s="908"/>
      <c r="AD35" s="908"/>
      <c r="AE35" s="572"/>
      <c r="AF35" s="572"/>
      <c r="AG35" s="572"/>
      <c r="AH35" s="572"/>
      <c r="AI35" s="572"/>
      <c r="AJ35" s="572"/>
      <c r="AK35" s="572"/>
      <c r="AL35" s="770"/>
      <c r="AM35" s="572"/>
      <c r="AO35" s="572"/>
      <c r="AP35" s="572"/>
      <c r="AQ35" s="572"/>
      <c r="AR35" s="572"/>
      <c r="AS35" s="572"/>
      <c r="AT35" s="769"/>
      <c r="AU35" s="572"/>
      <c r="AV35" s="572"/>
      <c r="AW35" s="770"/>
      <c r="AY35" s="771"/>
      <c r="BA35" s="572"/>
      <c r="BC35" s="572"/>
      <c r="BD35" s="572"/>
      <c r="BE35" s="572"/>
      <c r="BF35" s="572"/>
      <c r="BG35" s="572"/>
      <c r="BH35" s="572"/>
      <c r="BI35" s="770"/>
      <c r="BJ35" s="770"/>
      <c r="BK35" s="572"/>
      <c r="BM35" s="572"/>
      <c r="BO35" s="772"/>
      <c r="BP35" s="772"/>
      <c r="BQ35" s="571"/>
      <c r="BV35" s="572"/>
      <c r="BW35" s="572"/>
      <c r="BX35" s="572"/>
      <c r="BY35" s="572"/>
      <c r="BZ35" s="572"/>
      <c r="CA35" s="572"/>
      <c r="CB35" s="572"/>
      <c r="CC35" s="572"/>
      <c r="CD35" s="572"/>
    </row>
    <row r="36" spans="1:82" ht="17" thickTop="1" thickBot="1">
      <c r="A36" s="892"/>
      <c r="B36" s="779"/>
      <c r="C36" s="795" t="s">
        <v>377</v>
      </c>
      <c r="D36" s="824"/>
      <c r="E36" s="824"/>
      <c r="F36" s="824"/>
      <c r="G36" s="917"/>
      <c r="H36" s="827">
        <f ca="1">XIRR(G$48:G$407,$E$48:$E$407)</f>
        <v>0.36349046826362619</v>
      </c>
      <c r="I36" s="827">
        <f ca="1">XIRR(BF$48:BF$407,$E$48:$E$407)</f>
        <v>1.2272779583930973</v>
      </c>
      <c r="J36" s="827">
        <f ca="1">XIRR(BE$48:BE$407,$E$48:$E$407)</f>
        <v>0.26642361283302307</v>
      </c>
      <c r="K36" s="572"/>
      <c r="L36" s="572"/>
      <c r="M36" s="798" t="s">
        <v>455</v>
      </c>
      <c r="N36" s="308"/>
      <c r="O36" s="925">
        <f>I20</f>
        <v>0.52500000000000002</v>
      </c>
      <c r="Q36" s="908" cm="1">
        <f t="array" aca="1" ref="Q36:X36" ca="1">SUMIF($F$48:$F$408,_xlfn.ANCHORARRAY(Q$8),$BC$48:$BC$408)</f>
        <v>0</v>
      </c>
      <c r="R36" s="908">
        <f ca="1"/>
        <v>0</v>
      </c>
      <c r="S36" s="908">
        <f ca="1"/>
        <v>0</v>
      </c>
      <c r="T36" s="908">
        <f ca="1"/>
        <v>38980346.402862497</v>
      </c>
      <c r="U36" s="908">
        <f ca="1"/>
        <v>0</v>
      </c>
      <c r="V36" s="908">
        <f ca="1"/>
        <v>49185.527881115675</v>
      </c>
      <c r="W36" s="908">
        <f ca="1"/>
        <v>10448192.715210509</v>
      </c>
      <c r="X36" s="908">
        <f ca="1"/>
        <v>12887945.468101982</v>
      </c>
      <c r="Y36" s="908"/>
      <c r="Z36" s="908"/>
      <c r="AA36" s="908"/>
      <c r="AB36" s="908"/>
      <c r="AC36" s="908"/>
      <c r="AD36" s="908"/>
      <c r="AE36" s="572"/>
      <c r="AF36" s="572"/>
      <c r="AG36" s="572"/>
      <c r="AH36" s="572"/>
      <c r="AI36" s="572"/>
      <c r="AJ36" s="572"/>
      <c r="AK36" s="572"/>
      <c r="AL36" s="770"/>
      <c r="AM36" s="572"/>
      <c r="AO36" s="572"/>
      <c r="AP36" s="572"/>
      <c r="AQ36" s="572"/>
      <c r="AR36" s="572"/>
      <c r="AS36" s="572"/>
      <c r="AT36" s="769"/>
      <c r="AU36" s="572"/>
      <c r="AV36" s="572"/>
      <c r="AW36" s="770"/>
      <c r="AY36" s="771"/>
      <c r="BA36" s="572"/>
      <c r="BC36" s="572"/>
      <c r="BD36" s="572"/>
      <c r="BE36" s="572"/>
      <c r="BF36" s="572"/>
      <c r="BG36" s="572"/>
      <c r="BH36" s="572"/>
      <c r="BI36" s="770"/>
      <c r="BJ36" s="770"/>
      <c r="BK36" s="572"/>
      <c r="BM36" s="572"/>
      <c r="BO36" s="772"/>
      <c r="BP36" s="772"/>
      <c r="BQ36" s="571"/>
      <c r="BV36" s="572"/>
      <c r="BW36" s="572"/>
      <c r="BX36" s="572"/>
      <c r="BY36" s="572"/>
      <c r="BZ36" s="572"/>
      <c r="CA36" s="572"/>
      <c r="CB36" s="572"/>
      <c r="CC36" s="572"/>
      <c r="CD36" s="572"/>
    </row>
    <row r="37" spans="1:82" ht="17" thickTop="1" thickBot="1">
      <c r="A37" s="891"/>
      <c r="B37" s="779"/>
      <c r="C37" s="795" t="s">
        <v>378</v>
      </c>
      <c r="D37" s="824"/>
      <c r="E37" s="824"/>
      <c r="F37" s="824"/>
      <c r="G37" s="917"/>
      <c r="H37" s="828">
        <f ca="1">1+H35/H33</f>
        <v>3.2046518060776656</v>
      </c>
      <c r="I37" s="828">
        <f ca="1">1+I35/I33</f>
        <v>11.606930117726748</v>
      </c>
      <c r="J37" s="828">
        <f ca="1">1+J35/J33</f>
        <v>2.762426631780345</v>
      </c>
      <c r="K37" s="572"/>
      <c r="L37" s="572"/>
      <c r="N37" s="308"/>
      <c r="O37" s="308"/>
      <c r="P37" s="308"/>
      <c r="Q37" s="908"/>
      <c r="R37" s="908"/>
      <c r="S37" s="908"/>
      <c r="T37" s="908"/>
      <c r="U37" s="908"/>
      <c r="V37" s="908"/>
      <c r="W37" s="908"/>
      <c r="X37" s="908"/>
      <c r="Y37" s="908"/>
      <c r="Z37" s="908"/>
      <c r="AA37" s="908"/>
      <c r="AB37" s="908"/>
      <c r="AC37" s="908"/>
      <c r="AD37" s="908"/>
      <c r="AE37" s="572"/>
      <c r="AF37" s="572"/>
      <c r="AG37" s="572"/>
      <c r="AH37" s="572"/>
      <c r="AI37" s="572"/>
      <c r="AJ37" s="572"/>
      <c r="AK37" s="572"/>
      <c r="AL37" s="770"/>
      <c r="AM37" s="572"/>
      <c r="AO37" s="572"/>
      <c r="AP37" s="572"/>
      <c r="AQ37" s="572"/>
      <c r="AR37" s="572"/>
      <c r="AS37" s="572"/>
      <c r="AT37" s="769"/>
      <c r="AU37" s="572"/>
      <c r="AV37" s="572"/>
      <c r="AW37" s="770"/>
      <c r="AY37" s="771"/>
      <c r="BA37" s="572"/>
      <c r="BC37" s="572"/>
      <c r="BD37" s="572"/>
      <c r="BE37" s="572"/>
      <c r="BF37" s="572"/>
      <c r="BG37" s="572"/>
      <c r="BH37" s="572"/>
      <c r="BI37" s="770"/>
      <c r="BJ37" s="770"/>
      <c r="BK37" s="572"/>
      <c r="BM37" s="572"/>
      <c r="BO37" s="772"/>
      <c r="BP37" s="772"/>
      <c r="BQ37" s="571"/>
      <c r="BV37" s="572"/>
      <c r="BW37" s="572"/>
      <c r="BX37" s="572"/>
      <c r="BY37" s="572"/>
      <c r="BZ37" s="572"/>
      <c r="CA37" s="572"/>
      <c r="CB37" s="572"/>
      <c r="CC37" s="572"/>
      <c r="CD37" s="572"/>
    </row>
    <row r="38" spans="1:82" ht="17" thickTop="1" thickBot="1">
      <c r="A38" s="891"/>
      <c r="B38" s="779"/>
      <c r="I38" s="572"/>
      <c r="K38" s="572"/>
      <c r="L38" s="572"/>
      <c r="M38" s="160" t="s">
        <v>457</v>
      </c>
      <c r="N38" s="921"/>
      <c r="O38" s="1109">
        <f ca="1">J36</f>
        <v>0.26642361283302307</v>
      </c>
      <c r="P38" s="308"/>
      <c r="Q38" s="908" cm="1">
        <f t="array" aca="1" ref="Q38:X38" ca="1">SUMIF($F$50:$F$410,_xlfn.ANCHORARRAY(Q$8),$BE$50:$BE$410)</f>
        <v>-2618033.0374999996</v>
      </c>
      <c r="R38" s="908">
        <f ca="1"/>
        <v>-104909283.91785949</v>
      </c>
      <c r="S38" s="908">
        <f ca="1"/>
        <v>16729546.366866887</v>
      </c>
      <c r="T38" s="908">
        <f ca="1"/>
        <v>172855376.39845017</v>
      </c>
      <c r="U38" s="908">
        <f ca="1"/>
        <v>-1819752.964029171</v>
      </c>
      <c r="V38" s="908">
        <f ca="1"/>
        <v>2498086.6104953438</v>
      </c>
      <c r="W38" s="908">
        <f ca="1"/>
        <v>9771109.0159976557</v>
      </c>
      <c r="X38" s="908">
        <f ca="1"/>
        <v>14106064.370000372</v>
      </c>
      <c r="Y38" s="908"/>
      <c r="Z38" s="908"/>
      <c r="AA38" s="908"/>
      <c r="AB38" s="908"/>
      <c r="AC38" s="908"/>
      <c r="AD38" s="908"/>
      <c r="AE38" s="572"/>
      <c r="AF38" s="572"/>
      <c r="AG38" s="572"/>
      <c r="AH38" s="572"/>
      <c r="AI38" s="572"/>
      <c r="AJ38" s="572"/>
      <c r="AK38" s="572"/>
      <c r="AL38" s="770"/>
      <c r="AM38" s="572"/>
      <c r="AO38" s="572"/>
      <c r="AP38" s="572"/>
      <c r="AQ38" s="572"/>
      <c r="AR38" s="572"/>
      <c r="AS38" s="572"/>
      <c r="AT38" s="769"/>
      <c r="AU38" s="572"/>
      <c r="AV38" s="572"/>
      <c r="AW38" s="770"/>
      <c r="AY38" s="771"/>
      <c r="BA38" s="572"/>
      <c r="BC38" s="572"/>
      <c r="BD38" s="572"/>
      <c r="BE38" s="572"/>
      <c r="BF38" s="572"/>
      <c r="BG38" s="572"/>
      <c r="BH38" s="572"/>
      <c r="BI38" s="770"/>
      <c r="BJ38" s="770"/>
      <c r="BK38" s="572"/>
      <c r="BM38" s="572"/>
      <c r="BO38" s="772"/>
      <c r="BP38" s="772"/>
      <c r="BQ38" s="571"/>
      <c r="BV38" s="572"/>
      <c r="BW38" s="572"/>
      <c r="BX38" s="572"/>
      <c r="BY38" s="572"/>
      <c r="BZ38" s="572"/>
      <c r="CA38" s="572"/>
      <c r="CB38" s="572"/>
      <c r="CC38" s="572"/>
      <c r="CD38" s="572"/>
    </row>
    <row r="39" spans="1:82" ht="17" thickTop="1" thickBot="1">
      <c r="A39" s="891"/>
      <c r="B39" s="779"/>
      <c r="H39" s="829"/>
      <c r="I39" s="572"/>
      <c r="K39" s="572"/>
      <c r="L39" s="572"/>
      <c r="M39" s="160" t="s">
        <v>458</v>
      </c>
      <c r="N39" s="921"/>
      <c r="O39" s="1109">
        <f ca="1">I36</f>
        <v>1.2272779583930973</v>
      </c>
      <c r="P39" s="308"/>
      <c r="Q39" s="908" cm="1">
        <f t="array" aca="1" ref="Q39:X39" ca="1">SUMIF($F$50:$F$410,_xlfn.ANCHORARRAY(Q$8),$BF$50:$BF$410)</f>
        <v>-137791.21249999999</v>
      </c>
      <c r="R39" s="908">
        <f ca="1"/>
        <v>-5521541.2588347122</v>
      </c>
      <c r="S39" s="908">
        <f ca="1"/>
        <v>880502.44036141573</v>
      </c>
      <c r="T39" s="908">
        <f ca="1"/>
        <v>51577593.703768224</v>
      </c>
      <c r="U39" s="908">
        <f ca="1"/>
        <v>-95776.471791009026</v>
      </c>
      <c r="V39" s="908">
        <f ca="1"/>
        <v>253238.24950362468</v>
      </c>
      <c r="W39" s="908">
        <f ca="1"/>
        <v>10415660.781469695</v>
      </c>
      <c r="X39" s="908">
        <f ca="1"/>
        <v>13012362.231746294</v>
      </c>
      <c r="Y39" s="908"/>
      <c r="Z39" s="908"/>
      <c r="AA39" s="908"/>
      <c r="AB39" s="908"/>
      <c r="AC39" s="908"/>
      <c r="AD39" s="908"/>
      <c r="AE39" s="572"/>
      <c r="AF39" s="572"/>
      <c r="AG39" s="572"/>
      <c r="AH39" s="572"/>
      <c r="AI39" s="572"/>
      <c r="AJ39" s="572"/>
      <c r="AK39" s="572"/>
      <c r="AL39" s="770"/>
      <c r="AM39" s="572"/>
      <c r="AO39" s="572"/>
      <c r="AP39" s="572"/>
      <c r="AQ39" s="572"/>
      <c r="AR39" s="572"/>
      <c r="AS39" s="572"/>
      <c r="AT39" s="769"/>
      <c r="AU39" s="572"/>
      <c r="AV39" s="572"/>
      <c r="AW39" s="770"/>
      <c r="AY39" s="771"/>
      <c r="BA39" s="572"/>
      <c r="BC39" s="572"/>
      <c r="BD39" s="572"/>
      <c r="BE39" s="572"/>
      <c r="BF39" s="572"/>
      <c r="BG39" s="572"/>
      <c r="BH39" s="572"/>
      <c r="BI39" s="770"/>
      <c r="BJ39" s="770"/>
      <c r="BK39" s="572"/>
      <c r="BM39" s="572"/>
      <c r="BO39" s="772"/>
      <c r="BP39" s="772"/>
      <c r="BQ39" s="571"/>
      <c r="BV39" s="572"/>
      <c r="BW39" s="572"/>
      <c r="BX39" s="572"/>
      <c r="BY39" s="572"/>
      <c r="BZ39" s="572"/>
      <c r="CA39" s="572"/>
      <c r="CB39" s="572"/>
      <c r="CC39" s="572"/>
      <c r="CD39" s="572"/>
    </row>
    <row r="40" spans="1:82" ht="17" thickTop="1" thickBot="1">
      <c r="A40" s="891"/>
      <c r="B40" s="779"/>
      <c r="G40" s="908"/>
      <c r="I40" s="572"/>
      <c r="K40" s="572"/>
      <c r="L40" s="572"/>
      <c r="AJ40" s="572"/>
      <c r="AK40" s="572"/>
      <c r="AL40" s="770"/>
      <c r="AM40" s="572"/>
      <c r="AO40" s="572"/>
      <c r="AP40" s="572"/>
      <c r="AQ40" s="572"/>
      <c r="AR40" s="572"/>
      <c r="AS40" s="572"/>
      <c r="AT40" s="769"/>
      <c r="AU40" s="572"/>
      <c r="AV40" s="572"/>
      <c r="AW40" s="770"/>
      <c r="AY40" s="771"/>
      <c r="BA40" s="572"/>
      <c r="BC40" s="572"/>
      <c r="BD40" s="572"/>
      <c r="BE40" s="572"/>
      <c r="BF40" s="572"/>
      <c r="BG40" s="572"/>
      <c r="BH40" s="572"/>
      <c r="BI40" s="770"/>
      <c r="BJ40" s="770"/>
      <c r="BK40" s="572"/>
      <c r="BM40" s="572"/>
      <c r="BO40" s="772"/>
      <c r="BP40" s="772"/>
      <c r="BQ40" s="571"/>
      <c r="BV40" s="572"/>
      <c r="BW40" s="572"/>
      <c r="BX40" s="572"/>
      <c r="BY40" s="572"/>
      <c r="BZ40" s="572"/>
      <c r="CA40" s="572"/>
      <c r="CB40" s="572"/>
      <c r="CC40" s="572"/>
      <c r="CD40" s="572"/>
    </row>
    <row r="41" spans="1:82" ht="17" thickTop="1" thickBot="1">
      <c r="A41" s="891"/>
      <c r="B41" s="779"/>
      <c r="C41" s="572"/>
      <c r="D41" s="573"/>
      <c r="E41" s="573"/>
      <c r="F41" s="573"/>
      <c r="G41" s="908"/>
      <c r="I41" s="572"/>
      <c r="J41" s="572"/>
      <c r="K41" s="572"/>
      <c r="L41" s="572"/>
      <c r="M41" s="572"/>
      <c r="N41" s="768"/>
      <c r="O41" s="572"/>
      <c r="P41" s="572"/>
      <c r="Q41" s="769"/>
      <c r="R41" s="572"/>
      <c r="S41" s="572"/>
      <c r="T41" s="572"/>
      <c r="U41" s="572"/>
      <c r="V41" s="572"/>
      <c r="W41" s="572"/>
      <c r="X41" s="572"/>
      <c r="Y41" s="770"/>
      <c r="Z41" s="572"/>
      <c r="AB41" s="572"/>
      <c r="AC41" s="572"/>
      <c r="AD41" s="572"/>
      <c r="AE41" s="572"/>
      <c r="AF41" s="572"/>
      <c r="AG41" s="769"/>
      <c r="AH41" s="572"/>
      <c r="AI41" s="572"/>
      <c r="AJ41" s="770"/>
      <c r="AL41" s="771"/>
      <c r="AN41" s="572"/>
      <c r="AP41" s="572"/>
      <c r="AQ41" s="572"/>
      <c r="AR41" s="572"/>
      <c r="AS41" s="572"/>
      <c r="AT41" s="572"/>
      <c r="AU41" s="572"/>
      <c r="AV41" s="770"/>
      <c r="AW41" s="770"/>
      <c r="AX41" s="572"/>
      <c r="AZ41" s="572"/>
      <c r="BB41" s="772"/>
      <c r="BC41" s="772"/>
      <c r="BD41" s="571"/>
      <c r="BI41" s="572"/>
      <c r="BJ41" s="867"/>
      <c r="BK41" s="867"/>
      <c r="BL41" s="867"/>
      <c r="BM41" s="867"/>
      <c r="BN41" s="867"/>
      <c r="BO41" s="867"/>
      <c r="BP41" s="867"/>
      <c r="BQ41" s="867"/>
      <c r="BR41" s="867"/>
      <c r="BS41" s="867"/>
      <c r="BT41" s="867"/>
      <c r="BU41" s="572"/>
      <c r="BX41" s="572"/>
      <c r="BY41" s="572"/>
      <c r="BZ41" s="572"/>
      <c r="CA41" s="572"/>
      <c r="CB41" s="572"/>
      <c r="CC41" s="572"/>
      <c r="CD41" s="572"/>
    </row>
    <row r="42" spans="1:82" ht="19" thickTop="1">
      <c r="A42" s="891">
        <v>1</v>
      </c>
      <c r="B42" s="779"/>
      <c r="C42" s="572"/>
      <c r="D42" s="576" t="s">
        <v>332</v>
      </c>
      <c r="E42" s="577"/>
      <c r="F42" s="578"/>
      <c r="G42" s="579" t="s">
        <v>333</v>
      </c>
      <c r="I42" s="580" t="s">
        <v>334</v>
      </c>
      <c r="J42" s="581"/>
      <c r="K42" s="896">
        <f>i_rate.Pref</f>
        <v>0.08</v>
      </c>
      <c r="L42" s="894" t="s">
        <v>267</v>
      </c>
      <c r="M42" s="581"/>
      <c r="N42" s="581"/>
      <c r="O42" s="581"/>
      <c r="P42" s="581"/>
      <c r="Q42" s="582"/>
      <c r="S42" s="583" t="s">
        <v>335</v>
      </c>
      <c r="T42" s="584"/>
      <c r="U42" s="896">
        <f>i_rate.Hurdle1</f>
        <v>0.1</v>
      </c>
      <c r="V42" s="894" t="str">
        <f>L42</f>
        <v>Annual</v>
      </c>
      <c r="W42" s="584"/>
      <c r="X42" s="584"/>
      <c r="Y42" s="830"/>
      <c r="Z42" s="830"/>
      <c r="AA42" s="830"/>
      <c r="AB42" s="585"/>
      <c r="AD42" s="586" t="s">
        <v>336</v>
      </c>
      <c r="AE42" s="587"/>
      <c r="AF42" s="900">
        <f>i_rate.Hurdle2</f>
        <v>0.12</v>
      </c>
      <c r="AG42" s="898" t="str">
        <f>V42</f>
        <v>Annual</v>
      </c>
      <c r="AH42" s="587"/>
      <c r="AI42" s="587"/>
      <c r="AJ42" s="587"/>
      <c r="AK42" s="831"/>
      <c r="AL42" s="588"/>
      <c r="AM42" s="587"/>
      <c r="AN42" s="589"/>
      <c r="AP42" s="590" t="s">
        <v>337</v>
      </c>
      <c r="AQ42" s="591"/>
      <c r="AR42" s="902">
        <f>i_rate.Hurdle3</f>
        <v>0.14000000000000001</v>
      </c>
      <c r="AS42" s="905" t="str">
        <f>AG42</f>
        <v>Annual</v>
      </c>
      <c r="AT42" s="591"/>
      <c r="AU42" s="591"/>
      <c r="AV42" s="591"/>
      <c r="AW42" s="592"/>
      <c r="AX42" s="593"/>
      <c r="AY42" s="591"/>
      <c r="AZ42" s="594"/>
      <c r="BB42" s="1737" t="s">
        <v>355</v>
      </c>
      <c r="BC42" s="1738"/>
      <c r="BD42" s="572"/>
      <c r="BE42" s="595" t="s">
        <v>1</v>
      </c>
      <c r="BF42" s="832"/>
      <c r="BG42" s="833"/>
      <c r="BI42" s="596"/>
      <c r="BJ42" s="581"/>
      <c r="BK42" s="581"/>
      <c r="BL42" s="581"/>
      <c r="BM42" s="581"/>
      <c r="BN42" s="581"/>
      <c r="BO42" s="581"/>
      <c r="BP42" s="581"/>
      <c r="BQ42" s="581"/>
      <c r="BR42" s="581"/>
      <c r="BS42" s="581"/>
      <c r="BT42" s="581"/>
      <c r="BU42" s="581"/>
      <c r="BX42" s="596"/>
      <c r="BY42" s="581"/>
      <c r="BZ42" s="581"/>
      <c r="CA42" s="581"/>
      <c r="CB42" s="581"/>
      <c r="CC42" s="581"/>
      <c r="CD42" s="581"/>
    </row>
    <row r="43" spans="1:82" ht="19" thickBot="1">
      <c r="A43" s="891">
        <v>1</v>
      </c>
      <c r="B43" s="779"/>
      <c r="C43" s="572"/>
      <c r="D43" s="597"/>
      <c r="E43" s="598"/>
      <c r="F43" s="599"/>
      <c r="G43" s="600" t="s">
        <v>339</v>
      </c>
      <c r="I43" s="601"/>
      <c r="J43" s="602"/>
      <c r="K43" s="897" cm="1">
        <f t="array" ref="K43">c_rate.Pref.MO</f>
        <v>6.4340301100034303E-3</v>
      </c>
      <c r="L43" s="895" t="s">
        <v>266</v>
      </c>
      <c r="M43" s="602"/>
      <c r="N43" s="602"/>
      <c r="O43" s="602"/>
      <c r="P43" s="602"/>
      <c r="Q43" s="834"/>
      <c r="S43" s="603"/>
      <c r="T43" s="604"/>
      <c r="U43" s="897" cm="1">
        <f t="array" ref="U43">c_rate.Hurdle1.MO</f>
        <v>7.9741404289037643E-3</v>
      </c>
      <c r="V43" s="895" t="str">
        <f>L43</f>
        <v>Monthly</v>
      </c>
      <c r="W43" s="604"/>
      <c r="X43" s="604"/>
      <c r="Y43" s="835"/>
      <c r="Z43" s="836"/>
      <c r="AA43" s="836"/>
      <c r="AB43" s="837"/>
      <c r="AD43" s="605"/>
      <c r="AE43" s="607"/>
      <c r="AF43" s="901" cm="1">
        <f t="array" ref="AF43">c_rate.Hurdle2.MO</f>
        <v>9.4887929345830457E-3</v>
      </c>
      <c r="AG43" s="899" t="str">
        <f>V43</f>
        <v>Monthly</v>
      </c>
      <c r="AH43" s="607"/>
      <c r="AI43" s="607"/>
      <c r="AJ43" s="607"/>
      <c r="AK43" s="838"/>
      <c r="AL43" s="606"/>
      <c r="AM43" s="839"/>
      <c r="AN43" s="840"/>
      <c r="AP43" s="608"/>
      <c r="AQ43" s="610"/>
      <c r="AR43" s="903" cm="1">
        <f t="array" ref="AR43">c_rate.Hurdle3.MO</f>
        <v>1.0978851950173452E-2</v>
      </c>
      <c r="AS43" s="904" t="str">
        <f>AG43</f>
        <v>Monthly</v>
      </c>
      <c r="AT43" s="610"/>
      <c r="AU43" s="610"/>
      <c r="AV43" s="610"/>
      <c r="AW43" s="611"/>
      <c r="AX43" s="609"/>
      <c r="AY43" s="841"/>
      <c r="AZ43" s="842"/>
      <c r="BB43" s="1739" t="s">
        <v>459</v>
      </c>
      <c r="BC43" s="1740"/>
      <c r="BD43" s="572"/>
      <c r="BE43" s="612"/>
      <c r="BF43" s="843"/>
      <c r="BG43" s="844"/>
      <c r="BI43" s="613"/>
      <c r="BJ43" s="602"/>
      <c r="BK43" s="1103">
        <f ca="1">BJ47+BK47</f>
        <v>24734791.918438811</v>
      </c>
      <c r="BL43" s="602"/>
      <c r="BM43" s="1103">
        <f ca="1">BL47+BM47</f>
        <v>7586764.8758593807</v>
      </c>
      <c r="BN43" s="602"/>
      <c r="BO43" s="1103">
        <f ca="1">BN47+BO47</f>
        <v>8869007.4321616776</v>
      </c>
      <c r="BP43" s="602"/>
      <c r="BQ43" s="1103">
        <f ca="1">BP47+BQ47</f>
        <v>10524292.001573382</v>
      </c>
      <c r="BR43" s="602"/>
      <c r="BS43" s="1103">
        <f ca="1">BR47+BS47</f>
        <v>124731340.22811219</v>
      </c>
      <c r="BT43" s="602"/>
      <c r="BU43" s="602"/>
      <c r="BX43" s="613"/>
      <c r="BY43" s="602"/>
      <c r="BZ43" s="602"/>
      <c r="CA43" s="602"/>
      <c r="CB43" s="602"/>
      <c r="CC43" s="602"/>
      <c r="CD43" s="602"/>
    </row>
    <row r="44" spans="1:82" ht="17" thickTop="1" thickBot="1">
      <c r="A44" s="891">
        <v>1</v>
      </c>
      <c r="B44" s="779"/>
      <c r="C44" s="572"/>
      <c r="D44" s="614"/>
      <c r="E44" s="614"/>
      <c r="F44" s="614"/>
      <c r="G44" s="614" t="s">
        <v>341</v>
      </c>
      <c r="I44" s="615" t="s">
        <v>334</v>
      </c>
      <c r="J44" s="845" t="s">
        <v>362</v>
      </c>
      <c r="K44" s="615" t="s">
        <v>342</v>
      </c>
      <c r="L44" s="846" t="s">
        <v>460</v>
      </c>
      <c r="M44" s="615" t="s">
        <v>334</v>
      </c>
      <c r="N44" s="617" t="s">
        <v>345</v>
      </c>
      <c r="O44" s="847"/>
      <c r="P44" s="847"/>
      <c r="Q44" s="847"/>
      <c r="S44" s="618" t="s">
        <v>461</v>
      </c>
      <c r="T44" s="618" t="s">
        <v>346</v>
      </c>
      <c r="U44" s="618" t="s">
        <v>462</v>
      </c>
      <c r="V44" s="846" t="s">
        <v>463</v>
      </c>
      <c r="W44" s="618" t="s">
        <v>360</v>
      </c>
      <c r="X44" s="618" t="s">
        <v>335</v>
      </c>
      <c r="Y44" s="619" t="s">
        <v>464</v>
      </c>
      <c r="Z44" s="848"/>
      <c r="AA44" s="848"/>
      <c r="AB44" s="848"/>
      <c r="AD44" s="620" t="s">
        <v>465</v>
      </c>
      <c r="AE44" s="620" t="s">
        <v>346</v>
      </c>
      <c r="AF44" s="620" t="s">
        <v>342</v>
      </c>
      <c r="AG44" s="620" t="str">
        <f>V44</f>
        <v>LP Prior</v>
      </c>
      <c r="AH44" s="620"/>
      <c r="AI44" s="620" t="s">
        <v>344</v>
      </c>
      <c r="AJ44" s="620" t="s">
        <v>347</v>
      </c>
      <c r="AK44" s="621" t="s">
        <v>348</v>
      </c>
      <c r="AL44" s="849"/>
      <c r="AM44" s="849"/>
      <c r="AN44" s="849"/>
      <c r="AP44" s="622" t="s">
        <v>466</v>
      </c>
      <c r="AQ44" s="622" t="s">
        <v>346</v>
      </c>
      <c r="AR44" s="622" t="s">
        <v>342</v>
      </c>
      <c r="AS44" s="622" t="s">
        <v>463</v>
      </c>
      <c r="AT44" s="622"/>
      <c r="AU44" s="622" t="s">
        <v>344</v>
      </c>
      <c r="AV44" s="622" t="s">
        <v>349</v>
      </c>
      <c r="AW44" s="623" t="s">
        <v>350</v>
      </c>
      <c r="AX44" s="850"/>
      <c r="AY44" s="850"/>
      <c r="AZ44" s="850"/>
      <c r="BB44" s="624" t="s">
        <v>351</v>
      </c>
      <c r="BC44" s="851"/>
      <c r="BD44" s="572"/>
      <c r="BE44" s="625" t="str">
        <f>BB44</f>
        <v>Cash Flow Distributions</v>
      </c>
      <c r="BF44" s="852"/>
      <c r="BG44" s="852"/>
      <c r="BI44" s="615" t="s">
        <v>1</v>
      </c>
      <c r="BJ44" s="616" t="s">
        <v>352</v>
      </c>
      <c r="BK44" s="853"/>
      <c r="BL44" s="616" t="str">
        <f>W44</f>
        <v>to Hurdle 1</v>
      </c>
      <c r="BM44" s="853"/>
      <c r="BN44" s="616" t="s">
        <v>353</v>
      </c>
      <c r="BO44" s="853"/>
      <c r="BP44" s="616" t="s">
        <v>354</v>
      </c>
      <c r="BQ44" s="853"/>
      <c r="BR44" s="616" t="s">
        <v>355</v>
      </c>
      <c r="BS44" s="853"/>
      <c r="BT44" s="616" t="s">
        <v>1</v>
      </c>
      <c r="BU44" s="854"/>
      <c r="BX44" s="615" t="s">
        <v>1</v>
      </c>
      <c r="BY44" s="615" t="s">
        <v>334</v>
      </c>
      <c r="BZ44" s="615" t="s">
        <v>467</v>
      </c>
      <c r="CA44" s="615" t="s">
        <v>467</v>
      </c>
      <c r="CB44" s="615" t="s">
        <v>467</v>
      </c>
      <c r="CC44" s="615" t="s">
        <v>355</v>
      </c>
      <c r="CD44" s="615"/>
    </row>
    <row r="45" spans="1:82" ht="16" thickTop="1">
      <c r="A45" s="773">
        <v>1</v>
      </c>
      <c r="B45" s="779"/>
      <c r="C45" s="572"/>
      <c r="D45" s="626"/>
      <c r="E45" s="626" t="s">
        <v>7</v>
      </c>
      <c r="F45" s="626" t="s">
        <v>41</v>
      </c>
      <c r="G45" s="626" t="s">
        <v>356</v>
      </c>
      <c r="I45" s="627" t="s">
        <v>468</v>
      </c>
      <c r="J45" s="615" t="s">
        <v>346</v>
      </c>
      <c r="K45" s="627" t="s">
        <v>334</v>
      </c>
      <c r="L45" s="855" t="s">
        <v>343</v>
      </c>
      <c r="M45" s="627" t="s">
        <v>469</v>
      </c>
      <c r="N45" s="627" t="s">
        <v>358</v>
      </c>
      <c r="O45" s="627" t="s">
        <v>359</v>
      </c>
      <c r="P45" s="627" t="s">
        <v>1</v>
      </c>
      <c r="Q45" s="627" t="s">
        <v>355</v>
      </c>
      <c r="S45" s="629" t="s">
        <v>468</v>
      </c>
      <c r="T45" s="629" t="s">
        <v>357</v>
      </c>
      <c r="U45" s="629" t="s">
        <v>335</v>
      </c>
      <c r="V45" s="855" t="s">
        <v>343</v>
      </c>
      <c r="W45" s="856">
        <f>U42</f>
        <v>0.1</v>
      </c>
      <c r="X45" s="629" t="s">
        <v>7</v>
      </c>
      <c r="Y45" s="630" t="s">
        <v>358</v>
      </c>
      <c r="Z45" s="630" t="s">
        <v>359</v>
      </c>
      <c r="AA45" s="630" t="s">
        <v>1</v>
      </c>
      <c r="AB45" s="630" t="s">
        <v>355</v>
      </c>
      <c r="AD45" s="631" t="s">
        <v>468</v>
      </c>
      <c r="AE45" s="631" t="s">
        <v>357</v>
      </c>
      <c r="AF45" s="631" t="s">
        <v>336</v>
      </c>
      <c r="AG45" s="631" t="s">
        <v>343</v>
      </c>
      <c r="AH45" s="631" t="s">
        <v>353</v>
      </c>
      <c r="AI45" s="631" t="s">
        <v>361</v>
      </c>
      <c r="AJ45" s="631" t="s">
        <v>42</v>
      </c>
      <c r="AK45" s="632" t="s">
        <v>358</v>
      </c>
      <c r="AL45" s="632" t="s">
        <v>359</v>
      </c>
      <c r="AM45" s="632" t="s">
        <v>1</v>
      </c>
      <c r="AN45" s="632" t="s">
        <v>355</v>
      </c>
      <c r="AP45" s="633" t="s">
        <v>468</v>
      </c>
      <c r="AQ45" s="633" t="s">
        <v>357</v>
      </c>
      <c r="AR45" s="633" t="s">
        <v>337</v>
      </c>
      <c r="AS45" s="633" t="s">
        <v>343</v>
      </c>
      <c r="AT45" s="633" t="s">
        <v>354</v>
      </c>
      <c r="AU45" s="633" t="s">
        <v>361</v>
      </c>
      <c r="AV45" s="633" t="s">
        <v>42</v>
      </c>
      <c r="AW45" s="634" t="s">
        <v>358</v>
      </c>
      <c r="AX45" s="634" t="s">
        <v>359</v>
      </c>
      <c r="AY45" s="634" t="s">
        <v>1</v>
      </c>
      <c r="AZ45" s="634" t="s">
        <v>355</v>
      </c>
      <c r="BB45" s="635" t="s">
        <v>362</v>
      </c>
      <c r="BC45" s="635" t="s">
        <v>363</v>
      </c>
      <c r="BD45" s="572"/>
      <c r="BE45" s="636" t="s">
        <v>362</v>
      </c>
      <c r="BF45" s="636" t="s">
        <v>363</v>
      </c>
      <c r="BG45" s="636" t="s">
        <v>1</v>
      </c>
      <c r="BI45" s="627" t="s">
        <v>333</v>
      </c>
      <c r="BJ45" s="628" t="s">
        <v>358</v>
      </c>
      <c r="BK45" s="628" t="s">
        <v>359</v>
      </c>
      <c r="BL45" s="628" t="s">
        <v>358</v>
      </c>
      <c r="BM45" s="628" t="str">
        <f>BK45</f>
        <v>to GP</v>
      </c>
      <c r="BN45" s="628" t="s">
        <v>358</v>
      </c>
      <c r="BO45" s="628" t="str">
        <f>BM45</f>
        <v>to GP</v>
      </c>
      <c r="BP45" s="628" t="s">
        <v>358</v>
      </c>
      <c r="BQ45" s="628" t="str">
        <f>BO45</f>
        <v>to GP</v>
      </c>
      <c r="BR45" s="628" t="s">
        <v>358</v>
      </c>
      <c r="BS45" s="628" t="str">
        <f>BQ45</f>
        <v>to GP</v>
      </c>
      <c r="BT45" s="1741" t="s">
        <v>358</v>
      </c>
      <c r="BU45" s="1741" t="s">
        <v>359</v>
      </c>
      <c r="BX45" s="627" t="s">
        <v>333</v>
      </c>
      <c r="BY45" s="627" t="s">
        <v>470</v>
      </c>
      <c r="BZ45" s="627" t="s">
        <v>471</v>
      </c>
      <c r="CA45" s="627" t="s">
        <v>472</v>
      </c>
      <c r="CB45" s="627" t="s">
        <v>473</v>
      </c>
      <c r="CC45" s="627" t="s">
        <v>474</v>
      </c>
      <c r="CD45" s="627" t="s">
        <v>1</v>
      </c>
    </row>
    <row r="46" spans="1:82" ht="16" thickBot="1">
      <c r="A46" s="773">
        <v>1</v>
      </c>
      <c r="B46" s="779"/>
      <c r="C46" s="572"/>
      <c r="D46" s="639" t="s">
        <v>35</v>
      </c>
      <c r="E46" s="639" t="s">
        <v>6</v>
      </c>
      <c r="F46" s="639" t="s">
        <v>4</v>
      </c>
      <c r="G46" s="640">
        <f ca="1">SUM(G48:G407)</f>
        <v>176446196.45614529</v>
      </c>
      <c r="I46" s="641">
        <f>I11</f>
        <v>0.95</v>
      </c>
      <c r="J46" s="640">
        <f ca="1">SUM(J48:J407)</f>
        <v>139147167.49491292</v>
      </c>
      <c r="K46" s="640">
        <f ca="1">SUM(K48:K407)</f>
        <v>23498052.32251681</v>
      </c>
      <c r="L46" s="640">
        <f ca="1">SUM(L48:L407)</f>
        <v>162645219.81742963</v>
      </c>
      <c r="M46" s="642" t="s">
        <v>366</v>
      </c>
      <c r="N46" s="640">
        <f ca="1">SUM(N48:N407)</f>
        <v>23498052.322516877</v>
      </c>
      <c r="O46" s="640">
        <f ca="1">SUM(O48:O407)</f>
        <v>1236739.5959219323</v>
      </c>
      <c r="P46" s="640">
        <f ca="1">SUM(P48:P407)</f>
        <v>24734791.91843871</v>
      </c>
      <c r="Q46" s="640">
        <f ca="1">SUM(Q48:Q407)</f>
        <v>151711404.5</v>
      </c>
      <c r="S46" s="643">
        <f>J17</f>
        <v>0.85499999999999998</v>
      </c>
      <c r="T46" s="640">
        <f ca="1">SUM(T48:T407)</f>
        <v>139147167.49491292</v>
      </c>
      <c r="U46" s="640">
        <f ca="1">SUM(U48:U407)</f>
        <v>29984736.291376628</v>
      </c>
      <c r="V46" s="857">
        <f ca="1">SUM(V48:V407)</f>
        <v>162645219.81742963</v>
      </c>
      <c r="W46" s="640">
        <f ca="1">SUM(W48:W407)</f>
        <v>6486683.9688597703</v>
      </c>
      <c r="X46" s="645" t="s">
        <v>366</v>
      </c>
      <c r="Y46" s="640">
        <f ca="1">SUM(Y48:Y407)</f>
        <v>29984736.29137665</v>
      </c>
      <c r="Z46" s="640">
        <f ca="1">SUM(Z48:Z407)</f>
        <v>2336820.5029215394</v>
      </c>
      <c r="AA46" s="640">
        <f ca="1">SUM(AA48:AA407)</f>
        <v>32321556.794298097</v>
      </c>
      <c r="AB46" s="644">
        <f ca="1">SUM(AB48:AB407)</f>
        <v>144124639.66184726</v>
      </c>
      <c r="AD46" s="646">
        <f>J18</f>
        <v>0.76</v>
      </c>
      <c r="AE46" s="647">
        <f ca="1">SUM(AE48:AE407)</f>
        <v>139147167.49491292</v>
      </c>
      <c r="AF46" s="647">
        <f ca="1">SUM(AF48:AF407)</f>
        <v>36725181.939819537</v>
      </c>
      <c r="AG46" s="647">
        <f ca="1">SUM(AG48:AG407)</f>
        <v>169131903.78628942</v>
      </c>
      <c r="AH46" s="647">
        <f ca="1">SUM(AH48:AH407)</f>
        <v>6740445.6484428756</v>
      </c>
      <c r="AI46" s="648"/>
      <c r="AJ46" s="858">
        <f ca="1">XIRR(AJ48:AJ407,$E48:$E407)</f>
        <v>0.12005057930946347</v>
      </c>
      <c r="AK46" s="647">
        <f ca="1">SUM(AK48:AK407)</f>
        <v>36725181.939819455</v>
      </c>
      <c r="AL46" s="647">
        <f ca="1">SUM(AL48:AL407)</f>
        <v>4465382.2866403498</v>
      </c>
      <c r="AM46" s="647">
        <f ca="1">SUM(AM48:AM407)</f>
        <v>41190564.226459742</v>
      </c>
      <c r="AN46" s="647">
        <f ca="1">SUM(AN48:AN407)</f>
        <v>135255632.22968557</v>
      </c>
      <c r="AP46" s="649">
        <f>J19</f>
        <v>0.66499999999999992</v>
      </c>
      <c r="AQ46" s="650">
        <f ca="1">SUM(AQ48:AQ407)</f>
        <v>139147167.49491292</v>
      </c>
      <c r="AR46" s="650">
        <f ca="1">SUM(AR48:AR407)</f>
        <v>43723836.120865718</v>
      </c>
      <c r="AS46" s="650">
        <f ca="1">SUM(AS48:AS407)</f>
        <v>175872349.43473232</v>
      </c>
      <c r="AT46" s="650">
        <f ca="1">SUM(AT48:AT407)</f>
        <v>6998654.1810462987</v>
      </c>
      <c r="AU46" s="651"/>
      <c r="AV46" s="859">
        <f ca="1">XIRR(AV48:AV179,$E48:$E179)</f>
        <v>0.14005946516990661</v>
      </c>
      <c r="AW46" s="650">
        <f ca="1">SUM(AW48:AW407)</f>
        <v>43723836.120865747</v>
      </c>
      <c r="AX46" s="650">
        <f ca="1">SUM(AX48:AX407)</f>
        <v>7991020.1071674405</v>
      </c>
      <c r="AY46" s="650">
        <f ca="1">SUM(AY48:AY407)</f>
        <v>51714856.228033133</v>
      </c>
      <c r="AZ46" s="650">
        <f ca="1">SUM(AZ48:AZ407)</f>
        <v>124731340.22811219</v>
      </c>
      <c r="BB46" s="652">
        <f ca="1">SUM(BB48:BB407)</f>
        <v>62365670.114056095</v>
      </c>
      <c r="BC46" s="652">
        <f ca="1">SUM(BC48:BC407)</f>
        <v>62365670.114056095</v>
      </c>
      <c r="BD46" s="572"/>
      <c r="BE46" s="653">
        <f ca="1">SUM(BE48:BE407)</f>
        <v>106089506.2349219</v>
      </c>
      <c r="BF46" s="653">
        <f ca="1">SUM(BF48:BF407)</f>
        <v>70356690.221223414</v>
      </c>
      <c r="BG46" s="653">
        <f ca="1">SUM(BG48:BG407)</f>
        <v>176446196.45614529</v>
      </c>
      <c r="BI46" s="641" t="s">
        <v>339</v>
      </c>
      <c r="BJ46" s="1105">
        <f>I11</f>
        <v>0.95</v>
      </c>
      <c r="BK46" s="1105">
        <f>1-BJ46</f>
        <v>5.0000000000000044E-2</v>
      </c>
      <c r="BL46" s="1105">
        <f>S46</f>
        <v>0.85499999999999998</v>
      </c>
      <c r="BM46" s="1105">
        <f>1-BL46</f>
        <v>0.14500000000000002</v>
      </c>
      <c r="BN46" s="1105">
        <f>J18</f>
        <v>0.76</v>
      </c>
      <c r="BO46" s="1105">
        <f>1-BN46</f>
        <v>0.24</v>
      </c>
      <c r="BP46" s="1105">
        <f>J19</f>
        <v>0.66499999999999992</v>
      </c>
      <c r="BQ46" s="1105">
        <f>1-BP46</f>
        <v>0.33500000000000008</v>
      </c>
      <c r="BR46" s="1105">
        <f>J20</f>
        <v>0.47499999999999998</v>
      </c>
      <c r="BS46" s="1105">
        <f>1-BR46</f>
        <v>0.52500000000000002</v>
      </c>
      <c r="BT46" s="1742"/>
      <c r="BU46" s="1742"/>
      <c r="BX46" s="641" t="s">
        <v>339</v>
      </c>
      <c r="BY46" s="641">
        <f>i_rate.Pref</f>
        <v>0.08</v>
      </c>
      <c r="BZ46" s="641">
        <f>i_rate.Hurdle1</f>
        <v>0.1</v>
      </c>
      <c r="CA46" s="641">
        <f>i_rate.Hurdle2</f>
        <v>0.12</v>
      </c>
      <c r="CB46" s="641">
        <f>i_rate.Hurdle3</f>
        <v>0.14000000000000001</v>
      </c>
      <c r="CC46" s="641" t="s">
        <v>475</v>
      </c>
      <c r="CD46" s="641" t="s">
        <v>343</v>
      </c>
    </row>
    <row r="47" spans="1:82" ht="17" thickTop="1" thickBot="1">
      <c r="A47" s="773">
        <v>1</v>
      </c>
      <c r="B47" s="779"/>
      <c r="C47" s="572"/>
      <c r="D47" s="654"/>
      <c r="E47" s="655"/>
      <c r="F47" s="656"/>
      <c r="G47" s="893"/>
      <c r="H47" s="161"/>
      <c r="I47" s="654"/>
      <c r="J47" s="657"/>
      <c r="K47" s="655"/>
      <c r="L47" s="657"/>
      <c r="M47" s="657"/>
      <c r="N47" s="893">
        <f ca="1">XIRR(N48:N407,$E$48:$E$407)</f>
        <v>8.0033197999000577E-2</v>
      </c>
      <c r="O47" s="893">
        <f ca="1">XIRR(O48:O407,$E$48:$E$407)</f>
        <v>8.0033197999000577E-2</v>
      </c>
      <c r="P47" s="893">
        <f ca="1">XIRR(P48:P407,$E$48:$E$407)</f>
        <v>8.0033197999000577E-2</v>
      </c>
      <c r="Q47" s="657"/>
      <c r="R47" s="161"/>
      <c r="S47" s="654"/>
      <c r="T47" s="657"/>
      <c r="U47" s="655"/>
      <c r="V47" s="657"/>
      <c r="W47" s="657"/>
      <c r="X47" s="657"/>
      <c r="Y47" s="860">
        <f ca="1">XIRR(Y48:Y407,$E$48:$E$407)</f>
        <v>0.10004182457923888</v>
      </c>
      <c r="Z47" s="860">
        <f ca="1">XIRR(Z48:Z407,$E$48:$E$407)</f>
        <v>0.14193300604820255</v>
      </c>
      <c r="AA47" s="860">
        <f ca="1">XIRR(AA48:AA407,$E$48:$E$407)</f>
        <v>0.10221775174140932</v>
      </c>
      <c r="AB47" s="657"/>
      <c r="AC47" s="161"/>
      <c r="AD47" s="654"/>
      <c r="AE47" s="657"/>
      <c r="AF47" s="655"/>
      <c r="AG47" s="657"/>
      <c r="AH47" s="657"/>
      <c r="AI47" s="657"/>
      <c r="AJ47" s="861"/>
      <c r="AK47" s="860">
        <f ca="1">XIRR(AK48:AK407,$E$48:$E$407)</f>
        <v>0.12005057930946347</v>
      </c>
      <c r="AL47" s="860">
        <f ca="1">XIRR(AL48:AL407,$E$48:$E$407)</f>
        <v>0.24483901858329771</v>
      </c>
      <c r="AM47" s="860">
        <f ca="1">XIRR(AM48:AM407,$E$48:$E$407)</f>
        <v>0.12701128125190736</v>
      </c>
      <c r="AN47" s="657"/>
      <c r="AO47" s="161"/>
      <c r="AP47" s="654"/>
      <c r="AQ47" s="657"/>
      <c r="AR47" s="655"/>
      <c r="AS47" s="657"/>
      <c r="AT47" s="657"/>
      <c r="AU47" s="657"/>
      <c r="AV47" s="861"/>
      <c r="AW47" s="860">
        <f ca="1">XIRR(AW48:AW407,$E$48:$E$407)</f>
        <v>0.14005946516990661</v>
      </c>
      <c r="AX47" s="860">
        <f ca="1">XIRR(AX48:AX407,$E$48:$E$407)</f>
        <v>0.38393625617027283</v>
      </c>
      <c r="AY47" s="860">
        <f ca="1">XIRR(AY48:AY407,$E$48:$E$407)</f>
        <v>0.15501623749732979</v>
      </c>
      <c r="AZ47" s="657"/>
      <c r="BA47" s="161"/>
      <c r="BB47" s="657"/>
      <c r="BC47" s="657"/>
      <c r="BD47" s="658"/>
      <c r="BE47" s="860">
        <f ca="1">XIRR(BE48:BE407,$E$48:$E$407)</f>
        <v>0.26642361283302307</v>
      </c>
      <c r="BF47" s="860">
        <f ca="1">XIRR(BF48:BF407,$E$48:$E$407)</f>
        <v>1.2272779583930973</v>
      </c>
      <c r="BG47" s="860">
        <f ca="1">XIRR(BG48:BG407,$E$48:$E$407)</f>
        <v>0.36349046826362619</v>
      </c>
      <c r="BI47" s="919">
        <f ca="1">SUM(_xlfn.ANCHORARRAY(BI48))</f>
        <v>176446196.45614529</v>
      </c>
      <c r="BJ47" s="919">
        <f ca="1">SUM(_xlfn.ANCHORARRAY(BJ48))</f>
        <v>23498052.322516877</v>
      </c>
      <c r="BK47" s="919">
        <f ca="1">SUM(_xlfn.ANCHORARRAY(BK48))</f>
        <v>1236739.5959219323</v>
      </c>
      <c r="BL47" s="919">
        <f t="shared" ref="BL47:BQ47" ca="1" si="2">SUM(BL48:BL407)</f>
        <v>6486683.9688597703</v>
      </c>
      <c r="BM47" s="919">
        <f t="shared" ca="1" si="2"/>
        <v>1100080.9069996104</v>
      </c>
      <c r="BN47" s="919">
        <f t="shared" ca="1" si="2"/>
        <v>6740445.6484428756</v>
      </c>
      <c r="BO47" s="919">
        <f t="shared" ca="1" si="2"/>
        <v>2128561.783718803</v>
      </c>
      <c r="BP47" s="919">
        <f t="shared" ca="1" si="2"/>
        <v>6998654.1810462987</v>
      </c>
      <c r="BQ47" s="919">
        <f t="shared" ca="1" si="2"/>
        <v>3525637.8205270832</v>
      </c>
      <c r="BR47" s="919">
        <f ca="1">SUM(_xlfn.ANCHORARRAY(BR48))</f>
        <v>62365670.114056095</v>
      </c>
      <c r="BS47" s="919">
        <f ca="1">SUM(_xlfn.ANCHORARRAY(BS48))</f>
        <v>62365670.114056095</v>
      </c>
      <c r="BT47" s="919">
        <f ca="1">SUM(BT48:BT407)</f>
        <v>106089506.2349219</v>
      </c>
      <c r="BU47" s="919">
        <f ca="1">SUM(BU48:BU407)</f>
        <v>70356690.221223414</v>
      </c>
      <c r="BX47" s="919"/>
      <c r="BY47" s="919">
        <f ca="1">SUM(BY48:BY407)+BX48</f>
        <v>24734791.918438707</v>
      </c>
      <c r="BZ47" s="919">
        <f ca="1">SUM(BZ48:BZ407)</f>
        <v>7586764.8758593816</v>
      </c>
      <c r="CA47" s="919">
        <f ca="1">SUM(CA48:CA407)</f>
        <v>8869007.4321616776</v>
      </c>
      <c r="CB47" s="919">
        <f ca="1">SUM(CB48:CB407)</f>
        <v>10524292.001573382</v>
      </c>
      <c r="CC47" s="919">
        <f ca="1">SUM(CC48:CC407)</f>
        <v>124731340.22811219</v>
      </c>
      <c r="CD47" s="919">
        <f ca="1">SUM(CD48:CD407)</f>
        <v>176721778.8811453</v>
      </c>
    </row>
    <row r="48" spans="1:82" ht="17" thickTop="1" thickBot="1">
      <c r="A48" s="773">
        <f>IF(D48&gt;0,1,0)</f>
        <v>1</v>
      </c>
      <c r="B48" s="779"/>
      <c r="C48" s="572"/>
      <c r="D48" s="660" cm="1">
        <f t="array" ref="D48:D143">list_Periods.ALL</f>
        <v>1</v>
      </c>
      <c r="E48" s="661" cm="1">
        <f t="array" ref="E48:E143">list_Dates.ALL</f>
        <v>45292</v>
      </c>
      <c r="F48" s="862" cm="1">
        <f t="array" ref="F48:F143">list_Periods.Yr</f>
        <v>1</v>
      </c>
      <c r="G48" s="863" cm="1">
        <f t="array" aca="1" ref="G48:G143" ca="1">_xlfn._xlws.FILTER(_xlfn.ANCHORARRAY(mProject!BP9),_xlfn.ANCHORARRAY(mProject!BP9)&lt;&gt;0)</f>
        <v>-275582.42499999999</v>
      </c>
      <c r="H48" s="961"/>
      <c r="I48" s="864">
        <f>IF(E47=0,0,M48)</f>
        <v>0</v>
      </c>
      <c r="J48" s="864" cm="1">
        <f t="array" aca="1" ref="J48" ca="1">IF($G48=0,0,-MIN(0,G48*c_equity.LPshare))</f>
        <v>261803.30374999996</v>
      </c>
      <c r="K48" s="864">
        <f>I48*($G$16/12)</f>
        <v>0</v>
      </c>
      <c r="L48" s="864">
        <f ca="1">IF($G48=0,0,MAX(MIN($G48*$I$46,I48+K48-J48),0))</f>
        <v>0</v>
      </c>
      <c r="M48" s="864">
        <f ca="1">J48</f>
        <v>261803.30374999996</v>
      </c>
      <c r="N48" s="864">
        <f ca="1">-M48</f>
        <v>-261803.30374999996</v>
      </c>
      <c r="O48" s="864">
        <f ca="1">G48*i_equity.GPshare</f>
        <v>-13779.12125</v>
      </c>
      <c r="P48" s="864">
        <f ca="1">G48</f>
        <v>-275582.42499999999</v>
      </c>
      <c r="Q48" s="865">
        <f ca="1">ROUND(IF(E48=0,0,MAX(G48-P48,0)),1)</f>
        <v>0</v>
      </c>
      <c r="R48" s="906">
        <f ca="1">P48-G48</f>
        <v>0</v>
      </c>
      <c r="S48" s="867">
        <v>0</v>
      </c>
      <c r="T48" s="867" cm="1">
        <f t="array" aca="1" ref="T48" ca="1">IF($G48=0,0,-MIN(0,$G48*c_equity.LPshare))</f>
        <v>261803.30374999996</v>
      </c>
      <c r="U48" s="867" cm="1">
        <f t="array" ref="U48">IF($D48=0,0,S48*(c_rate.Hurdle1.MO))</f>
        <v>0</v>
      </c>
      <c r="V48" s="867">
        <v>0</v>
      </c>
      <c r="W48" s="867">
        <f ca="1">MIN(S48+U48-V48,Q48*S$46)</f>
        <v>0</v>
      </c>
      <c r="X48" s="867">
        <f ca="1">S48+U48+T48-V48-W48</f>
        <v>261803.30374999996</v>
      </c>
      <c r="Y48" s="867">
        <f ca="1">-T48</f>
        <v>-261803.30374999996</v>
      </c>
      <c r="Z48" s="867">
        <f ca="1">O48</f>
        <v>-13779.12125</v>
      </c>
      <c r="AA48" s="867">
        <f ca="1">Y48+Z48</f>
        <v>-275582.42499999999</v>
      </c>
      <c r="AB48" s="867">
        <f ca="1">IF(AA48&lt;0,0,MAX($G48-AA48,0))</f>
        <v>0</v>
      </c>
      <c r="AC48" s="866"/>
      <c r="AD48" s="867">
        <v>0</v>
      </c>
      <c r="AE48" s="867" cm="1">
        <f t="array" aca="1" ref="AE48" ca="1">IF($G48=0,0,-MIN(0,$G48*c_equity.LPshare))</f>
        <v>261803.30374999996</v>
      </c>
      <c r="AF48" s="867">
        <v>0</v>
      </c>
      <c r="AG48" s="867">
        <f ca="1">V48+W48</f>
        <v>0</v>
      </c>
      <c r="AH48" s="867"/>
      <c r="AI48" s="867">
        <f ca="1">AD48+AF48+AE48-AG48-AH48</f>
        <v>261803.30374999996</v>
      </c>
      <c r="AJ48" s="868">
        <f ca="1">-AE48+AG48+AH48</f>
        <v>-261803.30374999996</v>
      </c>
      <c r="AK48" s="867">
        <f ca="1">Y48+AH48</f>
        <v>-261803.30374999996</v>
      </c>
      <c r="AL48" s="867">
        <f ca="1">Z48</f>
        <v>-13779.12125</v>
      </c>
      <c r="AM48" s="867">
        <f ca="1">AK48+AL48</f>
        <v>-275582.42499999999</v>
      </c>
      <c r="AN48" s="867">
        <f t="shared" ref="AN48:AN111" ca="1" si="3">IF(AM48&lt;0,0,MAX($G48-AM48,0))</f>
        <v>0</v>
      </c>
      <c r="AO48" s="866"/>
      <c r="AP48" s="867">
        <v>0</v>
      </c>
      <c r="AQ48" s="867" cm="1">
        <f t="array" aca="1" ref="AQ48" ca="1">IF($G48=0,0,-MIN(0,$G48*c_equity.LPshare))</f>
        <v>261803.30374999996</v>
      </c>
      <c r="AR48" s="867" cm="1">
        <f t="array" ref="AR48">IF($D48=0,0,AP48*(c_rate.Hurdle3.MO))</f>
        <v>0</v>
      </c>
      <c r="AS48" s="867">
        <f ca="1">AG48+AH48</f>
        <v>0</v>
      </c>
      <c r="AT48" s="867">
        <v>0</v>
      </c>
      <c r="AU48" s="867">
        <f ca="1">AP48+AR48+AQ48-AS48-AT48</f>
        <v>261803.30374999996</v>
      </c>
      <c r="AV48" s="868">
        <f ca="1">-AQ48+AS48+AT48</f>
        <v>-261803.30374999996</v>
      </c>
      <c r="AW48" s="867">
        <f ca="1">AK48</f>
        <v>-261803.30374999996</v>
      </c>
      <c r="AX48" s="867">
        <f ca="1">AL48</f>
        <v>-13779.12125</v>
      </c>
      <c r="AY48" s="867">
        <f ca="1">AM48</f>
        <v>-275582.42499999999</v>
      </c>
      <c r="AZ48" s="867">
        <v>0</v>
      </c>
      <c r="BA48" s="866"/>
      <c r="BB48" s="867">
        <f>$AZ48-BC48</f>
        <v>0</v>
      </c>
      <c r="BC48" s="867">
        <f t="shared" ref="BC48:BC111" si="4">$AZ48*i_residualGP</f>
        <v>0</v>
      </c>
      <c r="BD48" s="659"/>
      <c r="BE48" s="867">
        <f ca="1">AW48</f>
        <v>-261803.30374999996</v>
      </c>
      <c r="BF48" s="867">
        <f ca="1">AX48</f>
        <v>-13779.12125</v>
      </c>
      <c r="BG48" s="867">
        <f ca="1">SUM(BE48:BF48)</f>
        <v>-275582.42499999999</v>
      </c>
      <c r="BI48" s="867" cm="1">
        <f t="array" aca="1" ref="BI48:BI407" ca="1">G48:G407</f>
        <v>-275582.42499999999</v>
      </c>
      <c r="BJ48" s="867" cm="1">
        <f t="array" aca="1" ref="BJ48:BJ407" ca="1">N48:N407</f>
        <v>-261803.30374999996</v>
      </c>
      <c r="BK48" s="867" cm="1">
        <f t="array" aca="1" ref="BK48:BK407" ca="1">O48:O407</f>
        <v>-13779.12125</v>
      </c>
      <c r="BL48" s="867">
        <f ca="1">Y48-N48</f>
        <v>0</v>
      </c>
      <c r="BM48" s="867">
        <f ca="1">Z48-O48</f>
        <v>0</v>
      </c>
      <c r="BN48" s="867">
        <f ca="1">AK48-Y48</f>
        <v>0</v>
      </c>
      <c r="BO48" s="867">
        <f ca="1">AL48-Z48</f>
        <v>0</v>
      </c>
      <c r="BP48" s="867">
        <f ca="1">AW48-AK48</f>
        <v>0</v>
      </c>
      <c r="BQ48" s="867">
        <f ca="1">AX48-AL48</f>
        <v>0</v>
      </c>
      <c r="BR48" s="867" cm="1">
        <f t="array" aca="1" ref="BR48:BR407" ca="1">BB48:BB407</f>
        <v>0</v>
      </c>
      <c r="BS48" s="867" cm="1">
        <f t="array" aca="1" ref="BS48:BS407" ca="1">BC48:BC407</f>
        <v>0</v>
      </c>
      <c r="BT48" s="867">
        <f ca="1">BJ48+BL48+BN48+BP48+BR48</f>
        <v>-261803.30374999996</v>
      </c>
      <c r="BU48" s="867">
        <f ca="1">BK48+BM48+BO48+BQ48+BS48</f>
        <v>-13779.12125</v>
      </c>
      <c r="BV48" s="829">
        <f ca="1">BI48-BT48-BU48</f>
        <v>-2.5465851649641991E-11</v>
      </c>
      <c r="BX48" s="867" cm="1">
        <f t="array" aca="1" ref="BX48:BX407" ca="1">G48:G407</f>
        <v>-275582.42499999999</v>
      </c>
      <c r="BY48" s="867"/>
      <c r="BZ48" s="867">
        <f ca="1">BL48+BM48</f>
        <v>0</v>
      </c>
      <c r="CA48" s="867">
        <f ca="1">BN48+BO48</f>
        <v>0</v>
      </c>
      <c r="CB48" s="867">
        <f ca="1">BP48+BQ48</f>
        <v>0</v>
      </c>
      <c r="CC48" s="867">
        <f ca="1">BR48+BS48</f>
        <v>0</v>
      </c>
      <c r="CD48" s="867">
        <f ca="1">SUM(BY48:CC48)</f>
        <v>0</v>
      </c>
    </row>
    <row r="49" spans="1:82" ht="17" thickTop="1" thickBot="1">
      <c r="A49" s="773">
        <f t="shared" ref="A49:A112" si="5">IF(D49&gt;0,1,0)</f>
        <v>1</v>
      </c>
      <c r="B49" s="779"/>
      <c r="C49" s="572"/>
      <c r="D49" s="660">
        <v>2</v>
      </c>
      <c r="E49" s="661">
        <v>45323</v>
      </c>
      <c r="F49" s="862">
        <v>1</v>
      </c>
      <c r="G49" s="863">
        <f ca="1"/>
        <v>-275582.42499999999</v>
      </c>
      <c r="H49" s="961"/>
      <c r="I49" s="865">
        <f ca="1">IF(D49=0,0,M48)</f>
        <v>261803.30374999996</v>
      </c>
      <c r="J49" s="864" cm="1">
        <f t="array" aca="1" ref="J49" ca="1">IF($G49=0,0,-MIN(0,G49*c_equity.LPshare))</f>
        <v>261803.30374999996</v>
      </c>
      <c r="K49" s="865" cm="1">
        <f t="array" aca="1" ref="K49" ca="1">I49*c_rate.Pref.MO</f>
        <v>1684.4503392258737</v>
      </c>
      <c r="L49" s="865">
        <f ca="1">IF($G49=0,0,MAX(MIN($G49*$I$46,I49+K49-J49),0))</f>
        <v>0</v>
      </c>
      <c r="M49" s="865">
        <f ca="1">I49+K49+J49-L49</f>
        <v>525291.05783922574</v>
      </c>
      <c r="N49" s="865">
        <f ca="1">L49-J49</f>
        <v>-261803.30374999996</v>
      </c>
      <c r="O49" s="864" cm="1">
        <f t="array" aca="1" ref="O49" ca="1">IF(N49=0,0,IF(G49&lt;0,N49/c_equity.LPshare*i_equity.GPshare,L49/c_equity.LPshare*i_equity.GPshare))</f>
        <v>-13779.12125</v>
      </c>
      <c r="P49" s="865">
        <f ca="1">N49+O49</f>
        <v>-275582.42499999999</v>
      </c>
      <c r="Q49" s="865">
        <f ca="1">ROUND(IF(E49=0,0,MAX(G49-P49,0)),1)</f>
        <v>0</v>
      </c>
      <c r="R49" s="161"/>
      <c r="S49" s="867">
        <f ca="1">X48</f>
        <v>261803.30374999996</v>
      </c>
      <c r="T49" s="867" cm="1">
        <f t="array" aca="1" ref="T49" ca="1">IF($G49=0,0,-MIN(0,$G49*c_equity.LPshare))</f>
        <v>261803.30374999996</v>
      </c>
      <c r="U49" s="869" cm="1">
        <f t="array" aca="1" ref="U49" ca="1">IF($D49=0,0,S49*c_rate.Hurdle1.MO)</f>
        <v>2087.6563088534472</v>
      </c>
      <c r="V49" s="867">
        <f ca="1">L49</f>
        <v>0</v>
      </c>
      <c r="W49" s="867">
        <f ca="1">MIN(S49+U49-V49,Q49*S$46)</f>
        <v>0</v>
      </c>
      <c r="X49" s="869">
        <f ca="1">S49+T49+U49-V49-W49</f>
        <v>525694.26380885334</v>
      </c>
      <c r="Y49" s="869">
        <f ca="1">N49+W49</f>
        <v>-261803.30374999996</v>
      </c>
      <c r="Z49" s="869">
        <f ca="1">IF(Y49=0,0,O49+(W49/$J$17*c_Hurdle1.Share_GP))</f>
        <v>-13779.12125</v>
      </c>
      <c r="AA49" s="869">
        <f ca="1">Y49+Z49</f>
        <v>-275582.42499999999</v>
      </c>
      <c r="AB49" s="867">
        <f ca="1">IF(AA49&lt;0,0,MAX($G49-AA49,0))</f>
        <v>0</v>
      </c>
      <c r="AC49" s="161"/>
      <c r="AD49" s="869">
        <f ca="1">AI48</f>
        <v>261803.30374999996</v>
      </c>
      <c r="AE49" s="867" cm="1">
        <f t="array" aca="1" ref="AE49" ca="1">IF($G49=0,0,-MIN(0,$G49*c_equity.LPshare))</f>
        <v>261803.30374999996</v>
      </c>
      <c r="AF49" s="869" cm="1">
        <f t="array" aca="1" ref="AF49" ca="1">IF($D49=0,0,AD49*(c_rate.Hurdle2.MO))</f>
        <v>2484.1973388734987</v>
      </c>
      <c r="AG49" s="869">
        <f ca="1">V49+W49</f>
        <v>0</v>
      </c>
      <c r="AH49" s="869">
        <f ca="1">IF(AB49=0,0,MIN(AD49+AE49+AF49-AG49,AB49*AD$46))</f>
        <v>0</v>
      </c>
      <c r="AI49" s="869">
        <f ca="1">AD49+AF49+AE49-AG49-AH49</f>
        <v>526090.80483887345</v>
      </c>
      <c r="AJ49" s="868">
        <f t="shared" ref="AJ49:AJ112" ca="1" si="6">-AE49+AG49+AH49</f>
        <v>-261803.30374999996</v>
      </c>
      <c r="AK49" s="867">
        <f ca="1">Y49+AH49</f>
        <v>-261803.30374999996</v>
      </c>
      <c r="AL49" s="869">
        <f t="shared" ref="AL49:AL80" ca="1" si="7">IF(AK49=0,0,Z49+(AH49/$J$18*c_Hurdle2.Share_GP))</f>
        <v>-13779.12125</v>
      </c>
      <c r="AM49" s="869">
        <f ca="1">AK49+AL49</f>
        <v>-275582.42499999999</v>
      </c>
      <c r="AN49" s="867">
        <f t="shared" ca="1" si="3"/>
        <v>0</v>
      </c>
      <c r="AO49" s="161"/>
      <c r="AP49" s="869">
        <f ca="1">AU48</f>
        <v>261803.30374999996</v>
      </c>
      <c r="AQ49" s="867" cm="1">
        <f t="array" aca="1" ref="AQ49" ca="1">IF($G49=0,0,-MIN(0,$G49*c_equity.LPshare))</f>
        <v>261803.30374999996</v>
      </c>
      <c r="AR49" s="869" cm="1">
        <f t="array" aca="1" ref="AR49" ca="1">IF($D49=0,0,AP49*(c_rate.Hurdle3.MO))</f>
        <v>2874.2997119375395</v>
      </c>
      <c r="AS49" s="869">
        <f ca="1">AG49+AH49</f>
        <v>0</v>
      </c>
      <c r="AT49" s="869">
        <f ca="1">IF(AP49=0,0,MIN(AP49+AQ49+AR49-AS49,AN49*AP$46))</f>
        <v>0</v>
      </c>
      <c r="AU49" s="869">
        <f ca="1">AP49+AR49+AQ49-AS49-AT49</f>
        <v>526480.90721193748</v>
      </c>
      <c r="AV49" s="870">
        <f ca="1">-AQ49+AS49+AT49</f>
        <v>-261803.30374999996</v>
      </c>
      <c r="AW49" s="867">
        <f ca="1">AK49+AT49</f>
        <v>-261803.30374999996</v>
      </c>
      <c r="AX49" s="869">
        <f t="shared" ref="AX49:AX80" ca="1" si="8">IF(AW49=0,0,AL49+AT49/$J$19*c_Hurdle3.Share_GP)</f>
        <v>-13779.12125</v>
      </c>
      <c r="AY49" s="869">
        <f ca="1">AW49+AX49</f>
        <v>-275582.42499999999</v>
      </c>
      <c r="AZ49" s="867">
        <f ca="1">IF(AY49&lt;0,0,MAX($G49-AY49,0))</f>
        <v>0</v>
      </c>
      <c r="BA49" s="161"/>
      <c r="BB49" s="867">
        <f ca="1">$AZ49-BC49</f>
        <v>0</v>
      </c>
      <c r="BC49" s="867">
        <f t="shared" ca="1" si="4"/>
        <v>0</v>
      </c>
      <c r="BD49" s="658"/>
      <c r="BE49" s="867">
        <f ca="1">AW49+BB49</f>
        <v>-261803.30374999996</v>
      </c>
      <c r="BF49" s="867">
        <f ca="1">AX49+BC49</f>
        <v>-13779.12125</v>
      </c>
      <c r="BG49" s="867">
        <f ca="1">SUM(BE49:BF49)</f>
        <v>-275582.42499999999</v>
      </c>
      <c r="BI49" s="867">
        <f ca="1"/>
        <v>-275582.42499999999</v>
      </c>
      <c r="BJ49" s="867">
        <f ca="1"/>
        <v>-261803.30374999996</v>
      </c>
      <c r="BK49" s="867">
        <f ca="1"/>
        <v>-13779.12125</v>
      </c>
      <c r="BL49" s="867">
        <f ca="1">Y49-N49</f>
        <v>0</v>
      </c>
      <c r="BM49" s="867">
        <f ca="1">Z49-O49</f>
        <v>0</v>
      </c>
      <c r="BN49" s="867">
        <f ca="1">AK49-Y49</f>
        <v>0</v>
      </c>
      <c r="BO49" s="867">
        <f ca="1">AL49-Z49</f>
        <v>0</v>
      </c>
      <c r="BP49" s="867">
        <f ca="1">AW49-AK49</f>
        <v>0</v>
      </c>
      <c r="BQ49" s="867">
        <f ca="1">AX49-AL49</f>
        <v>0</v>
      </c>
      <c r="BR49" s="867">
        <f ca="1"/>
        <v>0</v>
      </c>
      <c r="BS49" s="867">
        <f ca="1"/>
        <v>0</v>
      </c>
      <c r="BT49" s="867">
        <f t="shared" ref="BT49:BT112" ca="1" si="9">BJ49+BL49+BN49+BP49+BR49</f>
        <v>-261803.30374999996</v>
      </c>
      <c r="BU49" s="867">
        <f ca="1">BK49+BM49+BO49+BQ49+BS49</f>
        <v>-13779.12125</v>
      </c>
      <c r="BV49" s="829">
        <f t="shared" ref="BV49:BV112" ca="1" si="10">BI49-BT49-BU49</f>
        <v>-2.5465851649641991E-11</v>
      </c>
      <c r="BX49" s="867">
        <f ca="1"/>
        <v>-275582.42499999999</v>
      </c>
      <c r="BY49" s="867">
        <f ca="1">BJ49+BK49</f>
        <v>-275582.42499999999</v>
      </c>
      <c r="BZ49" s="867">
        <f ca="1">BL49+BM49</f>
        <v>0</v>
      </c>
      <c r="CA49" s="867">
        <f ca="1">BN49+BO49</f>
        <v>0</v>
      </c>
      <c r="CB49" s="867">
        <f ca="1">BP49+BQ49</f>
        <v>0</v>
      </c>
      <c r="CC49" s="867">
        <f ca="1">BR49+BS49</f>
        <v>0</v>
      </c>
      <c r="CD49" s="867">
        <f ca="1">SUM(BY49:CC49)</f>
        <v>-275582.42499999999</v>
      </c>
    </row>
    <row r="50" spans="1:82" ht="17" thickTop="1" thickBot="1">
      <c r="A50" s="773">
        <f t="shared" si="5"/>
        <v>1</v>
      </c>
      <c r="B50" s="779"/>
      <c r="C50" s="572"/>
      <c r="D50" s="660">
        <v>3</v>
      </c>
      <c r="E50" s="661">
        <v>45352</v>
      </c>
      <c r="F50" s="862">
        <v>1</v>
      </c>
      <c r="G50" s="863">
        <f ca="1"/>
        <v>-275582.42499999999</v>
      </c>
      <c r="H50" s="961"/>
      <c r="I50" s="865">
        <f t="shared" ref="I50:I113" ca="1" si="11">IF(D50=0,0,M49)</f>
        <v>525291.05783922574</v>
      </c>
      <c r="J50" s="864" cm="1">
        <f t="array" aca="1" ref="J50" ca="1">IF($G50=0,0,-MIN(0,G50*c_equity.LPshare))</f>
        <v>261803.30374999996</v>
      </c>
      <c r="K50" s="865" cm="1">
        <f t="array" aca="1" ref="K50" ca="1">I50*c_rate.Pref.MO</f>
        <v>3379.738482653132</v>
      </c>
      <c r="L50" s="865">
        <f t="shared" ref="L50:L113" ca="1" si="12">IF($G50=0,0,MAX(MIN($G50*$I$46,I50+K50-J50),0))</f>
        <v>0</v>
      </c>
      <c r="M50" s="865">
        <f t="shared" ref="M50:M113" ca="1" si="13">I50+K50+J50-L50</f>
        <v>790474.10007187887</v>
      </c>
      <c r="N50" s="865">
        <f t="shared" ref="N50:N113" ca="1" si="14">L50-J50</f>
        <v>-261803.30374999996</v>
      </c>
      <c r="O50" s="864" cm="1">
        <f t="array" aca="1" ref="O50" ca="1">IF(N50=0,0,IF(G50&lt;0,N50/c_equity.LPshare*i_equity.GPshare,L50/c_equity.LPshare*i_equity.GPshare))</f>
        <v>-13779.12125</v>
      </c>
      <c r="P50" s="865">
        <f t="shared" ref="P50:P113" ca="1" si="15">N50+O50</f>
        <v>-275582.42499999999</v>
      </c>
      <c r="Q50" s="865">
        <f t="shared" ref="Q50:Q113" ca="1" si="16">ROUND(IF(E50=0,0,MAX(G50-P50,0)),1)</f>
        <v>0</v>
      </c>
      <c r="R50" s="161"/>
      <c r="S50" s="867">
        <f t="shared" ref="S50:S113" ca="1" si="17">X49</f>
        <v>525694.26380885334</v>
      </c>
      <c r="T50" s="867" cm="1">
        <f t="array" aca="1" ref="T50" ca="1">IF($G50=0,0,-MIN(0,$G50*c_equity.LPshare))</f>
        <v>261803.30374999996</v>
      </c>
      <c r="U50" s="869" cm="1">
        <f t="array" aca="1" ref="U50" ca="1">IF($D50=0,0,S50*c_rate.Hurdle1.MO)</f>
        <v>4191.9598822809785</v>
      </c>
      <c r="V50" s="867">
        <f t="shared" ref="V50:V113" ca="1" si="18">L50</f>
        <v>0</v>
      </c>
      <c r="W50" s="867">
        <f t="shared" ref="W50:W113" ca="1" si="19">MIN(S50+U50-V50,Q50*S$46)</f>
        <v>0</v>
      </c>
      <c r="X50" s="869">
        <f t="shared" ref="X50:X113" ca="1" si="20">S50+T50+U50-V50-W50</f>
        <v>791689.52744113433</v>
      </c>
      <c r="Y50" s="869">
        <f t="shared" ref="Y50:Y113" ca="1" si="21">N50+W50</f>
        <v>-261803.30374999996</v>
      </c>
      <c r="Z50" s="869">
        <f t="shared" ref="Z50:Z113" ca="1" si="22">IF(Y50=0,0,O50+(W50/$J$17*c_Hurdle1.Share_GP))</f>
        <v>-13779.12125</v>
      </c>
      <c r="AA50" s="869">
        <f t="shared" ref="AA50:AA113" ca="1" si="23">Y50+Z50</f>
        <v>-275582.42499999999</v>
      </c>
      <c r="AB50" s="867">
        <f t="shared" ref="AB50:AB113" ca="1" si="24">IF(AA50&lt;0,0,MAX($G50-AA50,0))</f>
        <v>0</v>
      </c>
      <c r="AC50" s="161"/>
      <c r="AD50" s="869">
        <f t="shared" ref="AD50:AD113" ca="1" si="25">AI49</f>
        <v>526090.80483887345</v>
      </c>
      <c r="AE50" s="867" cm="1">
        <f t="array" aca="1" ref="AE50" ca="1">IF($G50=0,0,-MIN(0,$G50*c_equity.LPshare))</f>
        <v>261803.30374999996</v>
      </c>
      <c r="AF50" s="869" cm="1">
        <f t="array" aca="1" ref="AF50" ca="1">IF($D50=0,0,AD50*(c_rate.Hurdle2.MO))</f>
        <v>4991.9667119042106</v>
      </c>
      <c r="AG50" s="869">
        <f t="shared" ref="AG50:AG113" ca="1" si="26">V50+W50</f>
        <v>0</v>
      </c>
      <c r="AH50" s="869">
        <f t="shared" ref="AH50:AH113" ca="1" si="27">IF(AB50=0,0,MIN(AD50+AE50+AF50-AG50,AB50*AD$46))</f>
        <v>0</v>
      </c>
      <c r="AI50" s="869">
        <f t="shared" ref="AI50:AI113" ca="1" si="28">AD50+AF50+AE50-AG50-AH50</f>
        <v>792886.07530077756</v>
      </c>
      <c r="AJ50" s="868">
        <f t="shared" ca="1" si="6"/>
        <v>-261803.30374999996</v>
      </c>
      <c r="AK50" s="867">
        <f t="shared" ref="AK50:AK113" ca="1" si="29">Y50+AH50</f>
        <v>-261803.30374999996</v>
      </c>
      <c r="AL50" s="869">
        <f t="shared" ca="1" si="7"/>
        <v>-13779.12125</v>
      </c>
      <c r="AM50" s="869">
        <f t="shared" ref="AM50:AM113" ca="1" si="30">AK50+AL50</f>
        <v>-275582.42499999999</v>
      </c>
      <c r="AN50" s="867">
        <f t="shared" ca="1" si="3"/>
        <v>0</v>
      </c>
      <c r="AO50" s="161"/>
      <c r="AP50" s="869">
        <f t="shared" ref="AP50:AP113" ca="1" si="31">AU49</f>
        <v>526480.90721193748</v>
      </c>
      <c r="AQ50" s="867" cm="1">
        <f t="array" aca="1" ref="AQ50" ca="1">IF($G50=0,0,-MIN(0,$G50*c_equity.LPshare))</f>
        <v>261803.30374999996</v>
      </c>
      <c r="AR50" s="869" cm="1">
        <f t="array" aca="1" ref="AR50" ca="1">IF($D50=0,0,AP50*(c_rate.Hurdle3.MO))</f>
        <v>5780.1559348728679</v>
      </c>
      <c r="AS50" s="869">
        <f t="shared" ref="AS50:AS113" ca="1" si="32">AG50+AH50</f>
        <v>0</v>
      </c>
      <c r="AT50" s="869">
        <f t="shared" ref="AT50:AT113" ca="1" si="33">IF(AP50=0,0,MIN(AP50+AQ50+AR50-AS50,AN50*AP$46))</f>
        <v>0</v>
      </c>
      <c r="AU50" s="869">
        <f t="shared" ref="AU50:AU113" ca="1" si="34">AP50+AR50+AQ50-AS50-AT50</f>
        <v>794064.36689681036</v>
      </c>
      <c r="AV50" s="870">
        <f t="shared" ref="AV50:AV113" ca="1" si="35">-AQ50+AS50+AT50</f>
        <v>-261803.30374999996</v>
      </c>
      <c r="AW50" s="867">
        <f t="shared" ref="AW50:AW113" ca="1" si="36">AK50+AT50</f>
        <v>-261803.30374999996</v>
      </c>
      <c r="AX50" s="869">
        <f t="shared" ca="1" si="8"/>
        <v>-13779.12125</v>
      </c>
      <c r="AY50" s="869">
        <f t="shared" ref="AY50:AY113" ca="1" si="37">AW50+AX50</f>
        <v>-275582.42499999999</v>
      </c>
      <c r="AZ50" s="867">
        <f t="shared" ref="AZ50:AZ113" ca="1" si="38">IF(AY50&lt;0,0,MAX($G50-AY50,0))</f>
        <v>0</v>
      </c>
      <c r="BA50" s="161"/>
      <c r="BB50" s="867">
        <f t="shared" ref="BB50:BB113" ca="1" si="39">$AZ50-BC50</f>
        <v>0</v>
      </c>
      <c r="BC50" s="867">
        <f t="shared" ca="1" si="4"/>
        <v>0</v>
      </c>
      <c r="BD50" s="658"/>
      <c r="BE50" s="867">
        <f t="shared" ref="BE50:BE113" ca="1" si="40">AW50+BB50</f>
        <v>-261803.30374999996</v>
      </c>
      <c r="BF50" s="867">
        <f t="shared" ref="BF50:BF113" ca="1" si="41">AX50+BC50</f>
        <v>-13779.12125</v>
      </c>
      <c r="BG50" s="867">
        <f t="shared" ref="BG50:BG113" ca="1" si="42">SUM(BE50:BF50)</f>
        <v>-275582.42499999999</v>
      </c>
      <c r="BI50" s="867">
        <f ca="1"/>
        <v>-275582.42499999999</v>
      </c>
      <c r="BJ50" s="867">
        <f ca="1"/>
        <v>-261803.30374999996</v>
      </c>
      <c r="BK50" s="867">
        <f ca="1"/>
        <v>-13779.12125</v>
      </c>
      <c r="BL50" s="867">
        <f t="shared" ref="BL50:BL113" ca="1" si="43">Y50-N50</f>
        <v>0</v>
      </c>
      <c r="BM50" s="867">
        <f t="shared" ref="BM50:BM113" ca="1" si="44">Z50-O50</f>
        <v>0</v>
      </c>
      <c r="BN50" s="867">
        <f t="shared" ref="BN50:BN113" ca="1" si="45">AK50-Y50</f>
        <v>0</v>
      </c>
      <c r="BO50" s="867">
        <f t="shared" ref="BO50:BO113" ca="1" si="46">AL50-Z50</f>
        <v>0</v>
      </c>
      <c r="BP50" s="867">
        <f t="shared" ref="BP50:BP113" ca="1" si="47">AW50-AK50</f>
        <v>0</v>
      </c>
      <c r="BQ50" s="867">
        <f t="shared" ref="BQ50:BQ113" ca="1" si="48">AX50-AL50</f>
        <v>0</v>
      </c>
      <c r="BR50" s="867">
        <f ca="1"/>
        <v>0</v>
      </c>
      <c r="BS50" s="867">
        <f ca="1"/>
        <v>0</v>
      </c>
      <c r="BT50" s="867">
        <f t="shared" ca="1" si="9"/>
        <v>-261803.30374999996</v>
      </c>
      <c r="BU50" s="867">
        <f t="shared" ref="BU50:BU113" ca="1" si="49">BK50+BM50+BO50+BQ50+BS50</f>
        <v>-13779.12125</v>
      </c>
      <c r="BV50" s="829">
        <f t="shared" ca="1" si="10"/>
        <v>-2.5465851649641991E-11</v>
      </c>
      <c r="BX50" s="867">
        <f ca="1"/>
        <v>-275582.42499999999</v>
      </c>
      <c r="BY50" s="867">
        <f t="shared" ref="BY50:BY113" ca="1" si="50">BJ50+BK50</f>
        <v>-275582.42499999999</v>
      </c>
      <c r="BZ50" s="867">
        <f t="shared" ref="BZ50:BZ113" ca="1" si="51">BL50+BM50</f>
        <v>0</v>
      </c>
      <c r="CA50" s="867">
        <f t="shared" ref="CA50:CA113" ca="1" si="52">BN50+BO50</f>
        <v>0</v>
      </c>
      <c r="CB50" s="867">
        <f t="shared" ref="CB50:CB113" ca="1" si="53">BP50+BQ50</f>
        <v>0</v>
      </c>
      <c r="CC50" s="867">
        <f t="shared" ref="CC50:CC113" ca="1" si="54">BR50+BS50</f>
        <v>0</v>
      </c>
      <c r="CD50" s="867">
        <f t="shared" ref="CD50:CD113" ca="1" si="55">SUM(BY50:CC50)</f>
        <v>-275582.42499999999</v>
      </c>
    </row>
    <row r="51" spans="1:82" ht="17" thickTop="1" thickBot="1">
      <c r="A51" s="773">
        <f t="shared" si="5"/>
        <v>1</v>
      </c>
      <c r="B51" s="779"/>
      <c r="C51" s="572"/>
      <c r="D51" s="660">
        <v>4</v>
      </c>
      <c r="E51" s="661">
        <v>45383</v>
      </c>
      <c r="F51" s="862">
        <v>1</v>
      </c>
      <c r="G51" s="863">
        <f ca="1"/>
        <v>-275582.42499999999</v>
      </c>
      <c r="H51" s="961"/>
      <c r="I51" s="865">
        <f t="shared" ca="1" si="11"/>
        <v>790474.10007187887</v>
      </c>
      <c r="J51" s="864" cm="1">
        <f t="array" aca="1" ref="J51" ca="1">IF($G51=0,0,-MIN(0,G51*c_equity.LPshare))</f>
        <v>261803.30374999996</v>
      </c>
      <c r="K51" s="865" cm="1">
        <f t="array" aca="1" ref="K51" ca="1">I51*c_rate.Pref.MO</f>
        <v>5085.9341610403335</v>
      </c>
      <c r="L51" s="865">
        <f t="shared" ca="1" si="12"/>
        <v>0</v>
      </c>
      <c r="M51" s="865">
        <f t="shared" ca="1" si="13"/>
        <v>1057363.3379829191</v>
      </c>
      <c r="N51" s="865">
        <f t="shared" ca="1" si="14"/>
        <v>-261803.30374999996</v>
      </c>
      <c r="O51" s="864" cm="1">
        <f t="array" aca="1" ref="O51" ca="1">IF(N51=0,0,IF(G51&lt;0,N51/c_equity.LPshare*i_equity.GPshare,L51/c_equity.LPshare*i_equity.GPshare))</f>
        <v>-13779.12125</v>
      </c>
      <c r="P51" s="865">
        <f t="shared" ca="1" si="15"/>
        <v>-275582.42499999999</v>
      </c>
      <c r="Q51" s="865">
        <f t="shared" ca="1" si="16"/>
        <v>0</v>
      </c>
      <c r="R51" s="161"/>
      <c r="S51" s="867">
        <f t="shared" ca="1" si="17"/>
        <v>791689.52744113433</v>
      </c>
      <c r="T51" s="867" cm="1">
        <f t="array" aca="1" ref="T51" ca="1">IF($G51=0,0,-MIN(0,$G51*c_equity.LPshare))</f>
        <v>261803.30374999996</v>
      </c>
      <c r="U51" s="869" cm="1">
        <f t="array" aca="1" ref="U51" ca="1">IF($D51=0,0,S51*c_rate.Hurdle1.MO)</f>
        <v>6313.0434679080654</v>
      </c>
      <c r="V51" s="867">
        <f t="shared" ca="1" si="18"/>
        <v>0</v>
      </c>
      <c r="W51" s="867">
        <f t="shared" ca="1" si="19"/>
        <v>0</v>
      </c>
      <c r="X51" s="869">
        <f t="shared" ca="1" si="20"/>
        <v>1059805.8746590423</v>
      </c>
      <c r="Y51" s="869">
        <f t="shared" ca="1" si="21"/>
        <v>-261803.30374999996</v>
      </c>
      <c r="Z51" s="869">
        <f t="shared" ca="1" si="22"/>
        <v>-13779.12125</v>
      </c>
      <c r="AA51" s="869">
        <f t="shared" ca="1" si="23"/>
        <v>-275582.42499999999</v>
      </c>
      <c r="AB51" s="867">
        <f t="shared" ca="1" si="24"/>
        <v>0</v>
      </c>
      <c r="AC51" s="161"/>
      <c r="AD51" s="869">
        <f t="shared" ca="1" si="25"/>
        <v>792886.07530077756</v>
      </c>
      <c r="AE51" s="867" cm="1">
        <f t="array" aca="1" ref="AE51" ca="1">IF($G51=0,0,-MIN(0,$G51*c_equity.LPshare))</f>
        <v>261803.30374999996</v>
      </c>
      <c r="AF51" s="869" cm="1">
        <f t="array" aca="1" ref="AF51" ca="1">IF($D51=0,0,AD51*(c_rate.Hurdle2.MO))</f>
        <v>7523.5317892432986</v>
      </c>
      <c r="AG51" s="869">
        <f t="shared" ca="1" si="26"/>
        <v>0</v>
      </c>
      <c r="AH51" s="869">
        <f t="shared" ca="1" si="27"/>
        <v>0</v>
      </c>
      <c r="AI51" s="869">
        <f t="shared" ca="1" si="28"/>
        <v>1062212.910840021</v>
      </c>
      <c r="AJ51" s="868">
        <f t="shared" ca="1" si="6"/>
        <v>-261803.30374999996</v>
      </c>
      <c r="AK51" s="867">
        <f t="shared" ca="1" si="29"/>
        <v>-261803.30374999996</v>
      </c>
      <c r="AL51" s="869">
        <f t="shared" ca="1" si="7"/>
        <v>-13779.12125</v>
      </c>
      <c r="AM51" s="869">
        <f t="shared" ca="1" si="30"/>
        <v>-275582.42499999999</v>
      </c>
      <c r="AN51" s="867">
        <f t="shared" ca="1" si="3"/>
        <v>0</v>
      </c>
      <c r="AO51" s="161"/>
      <c r="AP51" s="869">
        <f t="shared" ca="1" si="31"/>
        <v>794064.36689681036</v>
      </c>
      <c r="AQ51" s="867" cm="1">
        <f t="array" aca="1" ref="AQ51" ca="1">IF($G51=0,0,-MIN(0,$G51*c_equity.LPshare))</f>
        <v>261803.30374999996</v>
      </c>
      <c r="AR51" s="869" cm="1">
        <f t="array" aca="1" ref="AR51" ca="1">IF($D51=0,0,AP51*(c_rate.Hurdle3.MO))</f>
        <v>8717.9151230682928</v>
      </c>
      <c r="AS51" s="869">
        <f t="shared" ca="1" si="32"/>
        <v>0</v>
      </c>
      <c r="AT51" s="869">
        <f t="shared" ca="1" si="33"/>
        <v>0</v>
      </c>
      <c r="AU51" s="869">
        <f t="shared" ca="1" si="34"/>
        <v>1064585.5857698787</v>
      </c>
      <c r="AV51" s="870">
        <f t="shared" ca="1" si="35"/>
        <v>-261803.30374999996</v>
      </c>
      <c r="AW51" s="867">
        <f t="shared" ca="1" si="36"/>
        <v>-261803.30374999996</v>
      </c>
      <c r="AX51" s="869">
        <f t="shared" ca="1" si="8"/>
        <v>-13779.12125</v>
      </c>
      <c r="AY51" s="869">
        <f t="shared" ca="1" si="37"/>
        <v>-275582.42499999999</v>
      </c>
      <c r="AZ51" s="867">
        <f t="shared" ca="1" si="38"/>
        <v>0</v>
      </c>
      <c r="BA51" s="161"/>
      <c r="BB51" s="867">
        <f t="shared" ca="1" si="39"/>
        <v>0</v>
      </c>
      <c r="BC51" s="867">
        <f t="shared" ca="1" si="4"/>
        <v>0</v>
      </c>
      <c r="BD51" s="658"/>
      <c r="BE51" s="867">
        <f t="shared" ca="1" si="40"/>
        <v>-261803.30374999996</v>
      </c>
      <c r="BF51" s="867">
        <f t="shared" ca="1" si="41"/>
        <v>-13779.12125</v>
      </c>
      <c r="BG51" s="867">
        <f t="shared" ca="1" si="42"/>
        <v>-275582.42499999999</v>
      </c>
      <c r="BI51" s="867">
        <f ca="1"/>
        <v>-275582.42499999999</v>
      </c>
      <c r="BJ51" s="867">
        <f ca="1"/>
        <v>-261803.30374999996</v>
      </c>
      <c r="BK51" s="867">
        <f ca="1"/>
        <v>-13779.12125</v>
      </c>
      <c r="BL51" s="867">
        <f t="shared" ca="1" si="43"/>
        <v>0</v>
      </c>
      <c r="BM51" s="867">
        <f t="shared" ca="1" si="44"/>
        <v>0</v>
      </c>
      <c r="BN51" s="867">
        <f t="shared" ca="1" si="45"/>
        <v>0</v>
      </c>
      <c r="BO51" s="867">
        <f t="shared" ca="1" si="46"/>
        <v>0</v>
      </c>
      <c r="BP51" s="867">
        <f t="shared" ca="1" si="47"/>
        <v>0</v>
      </c>
      <c r="BQ51" s="867">
        <f t="shared" ca="1" si="48"/>
        <v>0</v>
      </c>
      <c r="BR51" s="867">
        <f ca="1"/>
        <v>0</v>
      </c>
      <c r="BS51" s="867">
        <f ca="1"/>
        <v>0</v>
      </c>
      <c r="BT51" s="867">
        <f t="shared" ca="1" si="9"/>
        <v>-261803.30374999996</v>
      </c>
      <c r="BU51" s="867">
        <f t="shared" ca="1" si="49"/>
        <v>-13779.12125</v>
      </c>
      <c r="BV51" s="829">
        <f t="shared" ca="1" si="10"/>
        <v>-2.5465851649641991E-11</v>
      </c>
      <c r="BX51" s="867">
        <f ca="1"/>
        <v>-275582.42499999999</v>
      </c>
      <c r="BY51" s="867">
        <f t="shared" ca="1" si="50"/>
        <v>-275582.42499999999</v>
      </c>
      <c r="BZ51" s="867">
        <f t="shared" ca="1" si="51"/>
        <v>0</v>
      </c>
      <c r="CA51" s="867">
        <f t="shared" ca="1" si="52"/>
        <v>0</v>
      </c>
      <c r="CB51" s="867">
        <f t="shared" ca="1" si="53"/>
        <v>0</v>
      </c>
      <c r="CC51" s="867">
        <f t="shared" ca="1" si="54"/>
        <v>0</v>
      </c>
      <c r="CD51" s="867">
        <f t="shared" ca="1" si="55"/>
        <v>-275582.42499999999</v>
      </c>
    </row>
    <row r="52" spans="1:82" ht="17" thickTop="1" thickBot="1">
      <c r="A52" s="773">
        <f t="shared" si="5"/>
        <v>1</v>
      </c>
      <c r="B52" s="779"/>
      <c r="C52" s="572"/>
      <c r="D52" s="660">
        <v>5</v>
      </c>
      <c r="E52" s="661">
        <v>45413</v>
      </c>
      <c r="F52" s="862">
        <v>1</v>
      </c>
      <c r="G52" s="863">
        <f ca="1"/>
        <v>-275582.42499999999</v>
      </c>
      <c r="H52" s="961"/>
      <c r="I52" s="865">
        <f t="shared" ca="1" si="11"/>
        <v>1057363.3379829191</v>
      </c>
      <c r="J52" s="864" cm="1">
        <f t="array" aca="1" ref="J52" ca="1">IF($G52=0,0,-MIN(0,G52*c_equity.LPshare))</f>
        <v>261803.30374999996</v>
      </c>
      <c r="K52" s="865" cm="1">
        <f t="array" aca="1" ref="K52" ca="1">I52*c_rate.Pref.MO</f>
        <v>6803.107553795835</v>
      </c>
      <c r="L52" s="865">
        <f t="shared" ca="1" si="12"/>
        <v>0</v>
      </c>
      <c r="M52" s="865">
        <f t="shared" ca="1" si="13"/>
        <v>1325969.7492867149</v>
      </c>
      <c r="N52" s="865">
        <f t="shared" ca="1" si="14"/>
        <v>-261803.30374999996</v>
      </c>
      <c r="O52" s="864" cm="1">
        <f t="array" aca="1" ref="O52" ca="1">IF(N52=0,0,IF(G52&lt;0,N52/c_equity.LPshare*i_equity.GPshare,L52/c_equity.LPshare*i_equity.GPshare))</f>
        <v>-13779.12125</v>
      </c>
      <c r="P52" s="865">
        <f t="shared" ca="1" si="15"/>
        <v>-275582.42499999999</v>
      </c>
      <c r="Q52" s="865">
        <f t="shared" ca="1" si="16"/>
        <v>0</v>
      </c>
      <c r="R52" s="161"/>
      <c r="S52" s="867">
        <f t="shared" ca="1" si="17"/>
        <v>1059805.8746590423</v>
      </c>
      <c r="T52" s="867" cm="1">
        <f t="array" aca="1" ref="T52" ca="1">IF($G52=0,0,-MIN(0,$G52*c_equity.LPshare))</f>
        <v>261803.30374999996</v>
      </c>
      <c r="U52" s="869" cm="1">
        <f t="array" aca="1" ref="U52" ca="1">IF($D52=0,0,S52*c_rate.Hurdle1.MO)</f>
        <v>8451.0408719083844</v>
      </c>
      <c r="V52" s="867">
        <f t="shared" ca="1" si="18"/>
        <v>0</v>
      </c>
      <c r="W52" s="867">
        <f t="shared" ca="1" si="19"/>
        <v>0</v>
      </c>
      <c r="X52" s="869">
        <f t="shared" ca="1" si="20"/>
        <v>1330060.2192809507</v>
      </c>
      <c r="Y52" s="869">
        <f t="shared" ca="1" si="21"/>
        <v>-261803.30374999996</v>
      </c>
      <c r="Z52" s="869">
        <f t="shared" ca="1" si="22"/>
        <v>-13779.12125</v>
      </c>
      <c r="AA52" s="869">
        <f t="shared" ca="1" si="23"/>
        <v>-275582.42499999999</v>
      </c>
      <c r="AB52" s="867">
        <f t="shared" ca="1" si="24"/>
        <v>0</v>
      </c>
      <c r="AC52" s="161"/>
      <c r="AD52" s="869">
        <f t="shared" ca="1" si="25"/>
        <v>1062212.910840021</v>
      </c>
      <c r="AE52" s="867" cm="1">
        <f t="array" aca="1" ref="AE52" ca="1">IF($G52=0,0,-MIN(0,$G52*c_equity.LPshare))</f>
        <v>261803.30374999996</v>
      </c>
      <c r="AF52" s="869" cm="1">
        <f t="array" aca="1" ref="AF52" ca="1">IF($D52=0,0,AD52*(c_rate.Hurdle2.MO))</f>
        <v>10079.118363401682</v>
      </c>
      <c r="AG52" s="869">
        <f t="shared" ca="1" si="26"/>
        <v>0</v>
      </c>
      <c r="AH52" s="869">
        <f t="shared" ca="1" si="27"/>
        <v>0</v>
      </c>
      <c r="AI52" s="869">
        <f t="shared" ca="1" si="28"/>
        <v>1334095.3329534226</v>
      </c>
      <c r="AJ52" s="868">
        <f t="shared" ca="1" si="6"/>
        <v>-261803.30374999996</v>
      </c>
      <c r="AK52" s="867">
        <f t="shared" ca="1" si="29"/>
        <v>-261803.30374999996</v>
      </c>
      <c r="AL52" s="869">
        <f t="shared" ca="1" si="7"/>
        <v>-13779.12125</v>
      </c>
      <c r="AM52" s="869">
        <f t="shared" ca="1" si="30"/>
        <v>-275582.42499999999</v>
      </c>
      <c r="AN52" s="867">
        <f t="shared" ca="1" si="3"/>
        <v>0</v>
      </c>
      <c r="AO52" s="161"/>
      <c r="AP52" s="869">
        <f t="shared" ca="1" si="31"/>
        <v>1064585.5857698787</v>
      </c>
      <c r="AQ52" s="867" cm="1">
        <f t="array" aca="1" ref="AQ52" ca="1">IF($G52=0,0,-MIN(0,$G52*c_equity.LPshare))</f>
        <v>261803.30374999996</v>
      </c>
      <c r="AR52" s="869" cm="1">
        <f t="array" aca="1" ref="AR52" ca="1">IF($D52=0,0,AP52*(c_rate.Hurdle3.MO))</f>
        <v>11687.927534456179</v>
      </c>
      <c r="AS52" s="869">
        <f t="shared" ca="1" si="32"/>
        <v>0</v>
      </c>
      <c r="AT52" s="869">
        <f t="shared" ca="1" si="33"/>
        <v>0</v>
      </c>
      <c r="AU52" s="869">
        <f t="shared" ca="1" si="34"/>
        <v>1338076.8170543348</v>
      </c>
      <c r="AV52" s="870">
        <f t="shared" ca="1" si="35"/>
        <v>-261803.30374999996</v>
      </c>
      <c r="AW52" s="867">
        <f t="shared" ca="1" si="36"/>
        <v>-261803.30374999996</v>
      </c>
      <c r="AX52" s="869">
        <f t="shared" ca="1" si="8"/>
        <v>-13779.12125</v>
      </c>
      <c r="AY52" s="869">
        <f t="shared" ca="1" si="37"/>
        <v>-275582.42499999999</v>
      </c>
      <c r="AZ52" s="867">
        <f t="shared" ca="1" si="38"/>
        <v>0</v>
      </c>
      <c r="BA52" s="161"/>
      <c r="BB52" s="867">
        <f t="shared" ca="1" si="39"/>
        <v>0</v>
      </c>
      <c r="BC52" s="867">
        <f t="shared" ca="1" si="4"/>
        <v>0</v>
      </c>
      <c r="BD52" s="658"/>
      <c r="BE52" s="867">
        <f t="shared" ca="1" si="40"/>
        <v>-261803.30374999996</v>
      </c>
      <c r="BF52" s="867">
        <f t="shared" ca="1" si="41"/>
        <v>-13779.12125</v>
      </c>
      <c r="BG52" s="867">
        <f t="shared" ca="1" si="42"/>
        <v>-275582.42499999999</v>
      </c>
      <c r="BI52" s="867">
        <f ca="1"/>
        <v>-275582.42499999999</v>
      </c>
      <c r="BJ52" s="867">
        <f ca="1"/>
        <v>-261803.30374999996</v>
      </c>
      <c r="BK52" s="867">
        <f ca="1"/>
        <v>-13779.12125</v>
      </c>
      <c r="BL52" s="867">
        <f t="shared" ca="1" si="43"/>
        <v>0</v>
      </c>
      <c r="BM52" s="867">
        <f t="shared" ca="1" si="44"/>
        <v>0</v>
      </c>
      <c r="BN52" s="867">
        <f t="shared" ca="1" si="45"/>
        <v>0</v>
      </c>
      <c r="BO52" s="867">
        <f t="shared" ca="1" si="46"/>
        <v>0</v>
      </c>
      <c r="BP52" s="867">
        <f t="shared" ca="1" si="47"/>
        <v>0</v>
      </c>
      <c r="BQ52" s="867">
        <f t="shared" ca="1" si="48"/>
        <v>0</v>
      </c>
      <c r="BR52" s="867">
        <f ca="1"/>
        <v>0</v>
      </c>
      <c r="BS52" s="867">
        <f ca="1"/>
        <v>0</v>
      </c>
      <c r="BT52" s="867">
        <f t="shared" ca="1" si="9"/>
        <v>-261803.30374999996</v>
      </c>
      <c r="BU52" s="867">
        <f t="shared" ca="1" si="49"/>
        <v>-13779.12125</v>
      </c>
      <c r="BV52" s="829">
        <f t="shared" ca="1" si="10"/>
        <v>-2.5465851649641991E-11</v>
      </c>
      <c r="BX52" s="867">
        <f ca="1"/>
        <v>-275582.42499999999</v>
      </c>
      <c r="BY52" s="867">
        <f t="shared" ca="1" si="50"/>
        <v>-275582.42499999999</v>
      </c>
      <c r="BZ52" s="867">
        <f t="shared" ca="1" si="51"/>
        <v>0</v>
      </c>
      <c r="CA52" s="867">
        <f t="shared" ca="1" si="52"/>
        <v>0</v>
      </c>
      <c r="CB52" s="867">
        <f t="shared" ca="1" si="53"/>
        <v>0</v>
      </c>
      <c r="CC52" s="867">
        <f t="shared" ca="1" si="54"/>
        <v>0</v>
      </c>
      <c r="CD52" s="867">
        <f t="shared" ca="1" si="55"/>
        <v>-275582.42499999999</v>
      </c>
    </row>
    <row r="53" spans="1:82" ht="17" thickTop="1" thickBot="1">
      <c r="A53" s="773">
        <f t="shared" si="5"/>
        <v>1</v>
      </c>
      <c r="B53" s="779"/>
      <c r="C53" s="572"/>
      <c r="D53" s="660">
        <v>6</v>
      </c>
      <c r="E53" s="661">
        <v>45444</v>
      </c>
      <c r="F53" s="862">
        <v>1</v>
      </c>
      <c r="G53" s="863">
        <f ca="1"/>
        <v>-275582.42499999999</v>
      </c>
      <c r="H53" s="961"/>
      <c r="I53" s="865">
        <f t="shared" ca="1" si="11"/>
        <v>1325969.7492867149</v>
      </c>
      <c r="J53" s="864" cm="1">
        <f t="array" aca="1" ref="J53" ca="1">IF($G53=0,0,-MIN(0,G53*c_equity.LPshare))</f>
        <v>261803.30374999996</v>
      </c>
      <c r="K53" s="865" cm="1">
        <f t="array" aca="1" ref="K53" ca="1">I53*c_rate.Pref.MO</f>
        <v>8531.3292918644238</v>
      </c>
      <c r="L53" s="865">
        <f t="shared" ca="1" si="12"/>
        <v>0</v>
      </c>
      <c r="M53" s="865">
        <f t="shared" ca="1" si="13"/>
        <v>1596304.3823285794</v>
      </c>
      <c r="N53" s="865">
        <f t="shared" ca="1" si="14"/>
        <v>-261803.30374999996</v>
      </c>
      <c r="O53" s="864" cm="1">
        <f t="array" aca="1" ref="O53" ca="1">IF(N53=0,0,IF(G53&lt;0,N53/c_equity.LPshare*i_equity.GPshare,L53/c_equity.LPshare*i_equity.GPshare))</f>
        <v>-13779.12125</v>
      </c>
      <c r="P53" s="865">
        <f t="shared" ca="1" si="15"/>
        <v>-275582.42499999999</v>
      </c>
      <c r="Q53" s="865">
        <f t="shared" ca="1" si="16"/>
        <v>0</v>
      </c>
      <c r="R53" s="161"/>
      <c r="S53" s="867">
        <f t="shared" ca="1" si="17"/>
        <v>1330060.2192809507</v>
      </c>
      <c r="T53" s="867" cm="1">
        <f t="array" aca="1" ref="T53" ca="1">IF($G53=0,0,-MIN(0,$G53*c_equity.LPshare))</f>
        <v>261803.30374999996</v>
      </c>
      <c r="U53" s="869" cm="1">
        <f t="array" aca="1" ref="U53" ca="1">IF($D53=0,0,S53*c_rate.Hurdle1.MO)</f>
        <v>10606.086967444835</v>
      </c>
      <c r="V53" s="867">
        <f t="shared" ca="1" si="18"/>
        <v>0</v>
      </c>
      <c r="W53" s="867">
        <f t="shared" ca="1" si="19"/>
        <v>0</v>
      </c>
      <c r="X53" s="869">
        <f t="shared" ca="1" si="20"/>
        <v>1602469.6099983954</v>
      </c>
      <c r="Y53" s="869">
        <f t="shared" ca="1" si="21"/>
        <v>-261803.30374999996</v>
      </c>
      <c r="Z53" s="869">
        <f t="shared" ca="1" si="22"/>
        <v>-13779.12125</v>
      </c>
      <c r="AA53" s="869">
        <f t="shared" ca="1" si="23"/>
        <v>-275582.42499999999</v>
      </c>
      <c r="AB53" s="867">
        <f t="shared" ca="1" si="24"/>
        <v>0</v>
      </c>
      <c r="AC53" s="161"/>
      <c r="AD53" s="869">
        <f t="shared" ca="1" si="25"/>
        <v>1334095.3329534226</v>
      </c>
      <c r="AE53" s="867" cm="1">
        <f t="array" aca="1" ref="AE53" ca="1">IF($G53=0,0,-MIN(0,$G53*c_equity.LPshare))</f>
        <v>261803.30374999996</v>
      </c>
      <c r="AF53" s="869" cm="1">
        <f t="array" aca="1" ref="AF53" ca="1">IF($D53=0,0,AD53*(c_rate.Hurdle2.MO))</f>
        <v>12658.954369388652</v>
      </c>
      <c r="AG53" s="869">
        <f t="shared" ca="1" si="26"/>
        <v>0</v>
      </c>
      <c r="AH53" s="869">
        <f t="shared" ca="1" si="27"/>
        <v>0</v>
      </c>
      <c r="AI53" s="869">
        <f t="shared" ca="1" si="28"/>
        <v>1608557.5910728113</v>
      </c>
      <c r="AJ53" s="868">
        <f t="shared" ca="1" si="6"/>
        <v>-261803.30374999996</v>
      </c>
      <c r="AK53" s="867">
        <f t="shared" ca="1" si="29"/>
        <v>-261803.30374999996</v>
      </c>
      <c r="AL53" s="869">
        <f t="shared" ca="1" si="7"/>
        <v>-13779.12125</v>
      </c>
      <c r="AM53" s="869">
        <f t="shared" ca="1" si="30"/>
        <v>-275582.42499999999</v>
      </c>
      <c r="AN53" s="867">
        <f t="shared" ca="1" si="3"/>
        <v>0</v>
      </c>
      <c r="AO53" s="161"/>
      <c r="AP53" s="869">
        <f t="shared" ca="1" si="31"/>
        <v>1338076.8170543348</v>
      </c>
      <c r="AQ53" s="867" cm="1">
        <f t="array" aca="1" ref="AQ53" ca="1">IF($G53=0,0,-MIN(0,$G53*c_equity.LPshare))</f>
        <v>261803.30374999996</v>
      </c>
      <c r="AR53" s="869" cm="1">
        <f t="array" aca="1" ref="AR53" ca="1">IF($D53=0,0,AP53*(c_rate.Hurdle3.MO))</f>
        <v>14690.547272398868</v>
      </c>
      <c r="AS53" s="869">
        <f t="shared" ca="1" si="32"/>
        <v>0</v>
      </c>
      <c r="AT53" s="869">
        <f t="shared" ca="1" si="33"/>
        <v>0</v>
      </c>
      <c r="AU53" s="869">
        <f t="shared" ca="1" si="34"/>
        <v>1614570.6680767336</v>
      </c>
      <c r="AV53" s="870">
        <f t="shared" ca="1" si="35"/>
        <v>-261803.30374999996</v>
      </c>
      <c r="AW53" s="867">
        <f t="shared" ca="1" si="36"/>
        <v>-261803.30374999996</v>
      </c>
      <c r="AX53" s="869">
        <f t="shared" ca="1" si="8"/>
        <v>-13779.12125</v>
      </c>
      <c r="AY53" s="869">
        <f t="shared" ca="1" si="37"/>
        <v>-275582.42499999999</v>
      </c>
      <c r="AZ53" s="867">
        <f t="shared" ca="1" si="38"/>
        <v>0</v>
      </c>
      <c r="BA53" s="161"/>
      <c r="BB53" s="867">
        <f t="shared" ca="1" si="39"/>
        <v>0</v>
      </c>
      <c r="BC53" s="867">
        <f t="shared" ca="1" si="4"/>
        <v>0</v>
      </c>
      <c r="BD53" s="658"/>
      <c r="BE53" s="867">
        <f t="shared" ca="1" si="40"/>
        <v>-261803.30374999996</v>
      </c>
      <c r="BF53" s="867">
        <f t="shared" ca="1" si="41"/>
        <v>-13779.12125</v>
      </c>
      <c r="BG53" s="867">
        <f t="shared" ca="1" si="42"/>
        <v>-275582.42499999999</v>
      </c>
      <c r="BI53" s="867">
        <f ca="1"/>
        <v>-275582.42499999999</v>
      </c>
      <c r="BJ53" s="867">
        <f ca="1"/>
        <v>-261803.30374999996</v>
      </c>
      <c r="BK53" s="867">
        <f ca="1"/>
        <v>-13779.12125</v>
      </c>
      <c r="BL53" s="867">
        <f t="shared" ca="1" si="43"/>
        <v>0</v>
      </c>
      <c r="BM53" s="867">
        <f t="shared" ca="1" si="44"/>
        <v>0</v>
      </c>
      <c r="BN53" s="867">
        <f t="shared" ca="1" si="45"/>
        <v>0</v>
      </c>
      <c r="BO53" s="867">
        <f t="shared" ca="1" si="46"/>
        <v>0</v>
      </c>
      <c r="BP53" s="867">
        <f t="shared" ca="1" si="47"/>
        <v>0</v>
      </c>
      <c r="BQ53" s="867">
        <f t="shared" ca="1" si="48"/>
        <v>0</v>
      </c>
      <c r="BR53" s="867">
        <f ca="1"/>
        <v>0</v>
      </c>
      <c r="BS53" s="867">
        <f ca="1"/>
        <v>0</v>
      </c>
      <c r="BT53" s="867">
        <f t="shared" ca="1" si="9"/>
        <v>-261803.30374999996</v>
      </c>
      <c r="BU53" s="867">
        <f t="shared" ca="1" si="49"/>
        <v>-13779.12125</v>
      </c>
      <c r="BV53" s="829">
        <f t="shared" ca="1" si="10"/>
        <v>-2.5465851649641991E-11</v>
      </c>
      <c r="BX53" s="867">
        <f ca="1"/>
        <v>-275582.42499999999</v>
      </c>
      <c r="BY53" s="867">
        <f t="shared" ca="1" si="50"/>
        <v>-275582.42499999999</v>
      </c>
      <c r="BZ53" s="867">
        <f t="shared" ca="1" si="51"/>
        <v>0</v>
      </c>
      <c r="CA53" s="867">
        <f t="shared" ca="1" si="52"/>
        <v>0</v>
      </c>
      <c r="CB53" s="867">
        <f t="shared" ca="1" si="53"/>
        <v>0</v>
      </c>
      <c r="CC53" s="867">
        <f t="shared" ca="1" si="54"/>
        <v>0</v>
      </c>
      <c r="CD53" s="867">
        <f t="shared" ca="1" si="55"/>
        <v>-275582.42499999999</v>
      </c>
    </row>
    <row r="54" spans="1:82" ht="17" thickTop="1" thickBot="1">
      <c r="A54" s="773">
        <f t="shared" si="5"/>
        <v>1</v>
      </c>
      <c r="B54" s="779"/>
      <c r="C54" s="572"/>
      <c r="D54" s="660">
        <v>7</v>
      </c>
      <c r="E54" s="661">
        <v>45474</v>
      </c>
      <c r="F54" s="862">
        <v>1</v>
      </c>
      <c r="G54" s="863">
        <f ca="1"/>
        <v>-275582.42499999999</v>
      </c>
      <c r="H54" s="961"/>
      <c r="I54" s="865">
        <f t="shared" ca="1" si="11"/>
        <v>1596304.3823285794</v>
      </c>
      <c r="J54" s="864" cm="1">
        <f t="array" aca="1" ref="J54" ca="1">IF($G54=0,0,-MIN(0,G54*c_equity.LPshare))</f>
        <v>261803.30374999996</v>
      </c>
      <c r="K54" s="865" cm="1">
        <f t="array" aca="1" ref="K54" ca="1">I54*c_rate.Pref.MO</f>
        <v>10270.670460632507</v>
      </c>
      <c r="L54" s="865">
        <f t="shared" ca="1" si="12"/>
        <v>0</v>
      </c>
      <c r="M54" s="865">
        <f t="shared" ca="1" si="13"/>
        <v>1868378.3565392119</v>
      </c>
      <c r="N54" s="865">
        <f t="shared" ca="1" si="14"/>
        <v>-261803.30374999996</v>
      </c>
      <c r="O54" s="864" cm="1">
        <f t="array" aca="1" ref="O54" ca="1">IF(N54=0,0,IF(G54&lt;0,N54/c_equity.LPshare*i_equity.GPshare,L54/c_equity.LPshare*i_equity.GPshare))</f>
        <v>-13779.12125</v>
      </c>
      <c r="P54" s="865">
        <f t="shared" ca="1" si="15"/>
        <v>-275582.42499999999</v>
      </c>
      <c r="Q54" s="865">
        <f t="shared" ca="1" si="16"/>
        <v>0</v>
      </c>
      <c r="R54" s="161"/>
      <c r="S54" s="867">
        <f t="shared" ca="1" si="17"/>
        <v>1602469.6099983954</v>
      </c>
      <c r="T54" s="867" cm="1">
        <f t="array" aca="1" ref="T54" ca="1">IF($G54=0,0,-MIN(0,$G54*c_equity.LPshare))</f>
        <v>261803.30374999996</v>
      </c>
      <c r="U54" s="869" cm="1">
        <f t="array" aca="1" ref="U54" ca="1">IF($D54=0,0,S54*c_rate.Hurdle1.MO)</f>
        <v>12778.317703177852</v>
      </c>
      <c r="V54" s="867">
        <f t="shared" ca="1" si="18"/>
        <v>0</v>
      </c>
      <c r="W54" s="867">
        <f t="shared" ca="1" si="19"/>
        <v>0</v>
      </c>
      <c r="X54" s="869">
        <f t="shared" ca="1" si="20"/>
        <v>1877051.2314515733</v>
      </c>
      <c r="Y54" s="869">
        <f t="shared" ca="1" si="21"/>
        <v>-261803.30374999996</v>
      </c>
      <c r="Z54" s="869">
        <f t="shared" ca="1" si="22"/>
        <v>-13779.12125</v>
      </c>
      <c r="AA54" s="869">
        <f t="shared" ca="1" si="23"/>
        <v>-275582.42499999999</v>
      </c>
      <c r="AB54" s="867">
        <f t="shared" ca="1" si="24"/>
        <v>0</v>
      </c>
      <c r="AC54" s="161"/>
      <c r="AD54" s="869">
        <f t="shared" ca="1" si="25"/>
        <v>1608557.5910728113</v>
      </c>
      <c r="AE54" s="867" cm="1">
        <f t="array" aca="1" ref="AE54" ca="1">IF($G54=0,0,-MIN(0,$G54*c_equity.LPshare))</f>
        <v>261803.30374999996</v>
      </c>
      <c r="AF54" s="869" cm="1">
        <f t="array" aca="1" ref="AF54" ca="1">IF($D54=0,0,AD54*(c_rate.Hurdle2.MO))</f>
        <v>15263.269905041616</v>
      </c>
      <c r="AG54" s="869">
        <f t="shared" ca="1" si="26"/>
        <v>0</v>
      </c>
      <c r="AH54" s="869">
        <f t="shared" ca="1" si="27"/>
        <v>0</v>
      </c>
      <c r="AI54" s="869">
        <f t="shared" ca="1" si="28"/>
        <v>1885624.1647278529</v>
      </c>
      <c r="AJ54" s="868">
        <f t="shared" ca="1" si="6"/>
        <v>-261803.30374999996</v>
      </c>
      <c r="AK54" s="867">
        <f t="shared" ca="1" si="29"/>
        <v>-261803.30374999996</v>
      </c>
      <c r="AL54" s="869">
        <f t="shared" ca="1" si="7"/>
        <v>-13779.12125</v>
      </c>
      <c r="AM54" s="869">
        <f t="shared" ca="1" si="30"/>
        <v>-275582.42499999999</v>
      </c>
      <c r="AN54" s="867">
        <f t="shared" ca="1" si="3"/>
        <v>0</v>
      </c>
      <c r="AO54" s="161"/>
      <c r="AP54" s="869">
        <f t="shared" ca="1" si="31"/>
        <v>1614570.6680767336</v>
      </c>
      <c r="AQ54" s="867" cm="1">
        <f t="array" aca="1" ref="AQ54" ca="1">IF($G54=0,0,-MIN(0,$G54*c_equity.LPshare))</f>
        <v>261803.30374999996</v>
      </c>
      <c r="AR54" s="869" cm="1">
        <f t="array" aca="1" ref="AR54" ca="1">IF($D54=0,0,AP54*(c_rate.Hurdle3.MO))</f>
        <v>17726.1323279071</v>
      </c>
      <c r="AS54" s="869">
        <f t="shared" ca="1" si="32"/>
        <v>0</v>
      </c>
      <c r="AT54" s="869">
        <f t="shared" ca="1" si="33"/>
        <v>0</v>
      </c>
      <c r="AU54" s="869">
        <f t="shared" ca="1" si="34"/>
        <v>1894100.1041546406</v>
      </c>
      <c r="AV54" s="870">
        <f t="shared" ca="1" si="35"/>
        <v>-261803.30374999996</v>
      </c>
      <c r="AW54" s="867">
        <f t="shared" ca="1" si="36"/>
        <v>-261803.30374999996</v>
      </c>
      <c r="AX54" s="869">
        <f t="shared" ca="1" si="8"/>
        <v>-13779.12125</v>
      </c>
      <c r="AY54" s="869">
        <f t="shared" ca="1" si="37"/>
        <v>-275582.42499999999</v>
      </c>
      <c r="AZ54" s="867">
        <f t="shared" ca="1" si="38"/>
        <v>0</v>
      </c>
      <c r="BA54" s="161"/>
      <c r="BB54" s="867">
        <f t="shared" ca="1" si="39"/>
        <v>0</v>
      </c>
      <c r="BC54" s="867">
        <f t="shared" ca="1" si="4"/>
        <v>0</v>
      </c>
      <c r="BD54" s="658"/>
      <c r="BE54" s="867">
        <f t="shared" ca="1" si="40"/>
        <v>-261803.30374999996</v>
      </c>
      <c r="BF54" s="867">
        <f t="shared" ca="1" si="41"/>
        <v>-13779.12125</v>
      </c>
      <c r="BG54" s="867">
        <f t="shared" ca="1" si="42"/>
        <v>-275582.42499999999</v>
      </c>
      <c r="BI54" s="867">
        <f ca="1"/>
        <v>-275582.42499999999</v>
      </c>
      <c r="BJ54" s="867">
        <f ca="1"/>
        <v>-261803.30374999996</v>
      </c>
      <c r="BK54" s="867">
        <f ca="1"/>
        <v>-13779.12125</v>
      </c>
      <c r="BL54" s="867">
        <f t="shared" ca="1" si="43"/>
        <v>0</v>
      </c>
      <c r="BM54" s="867">
        <f t="shared" ca="1" si="44"/>
        <v>0</v>
      </c>
      <c r="BN54" s="867">
        <f t="shared" ca="1" si="45"/>
        <v>0</v>
      </c>
      <c r="BO54" s="867">
        <f t="shared" ca="1" si="46"/>
        <v>0</v>
      </c>
      <c r="BP54" s="867">
        <f t="shared" ca="1" si="47"/>
        <v>0</v>
      </c>
      <c r="BQ54" s="867">
        <f t="shared" ca="1" si="48"/>
        <v>0</v>
      </c>
      <c r="BR54" s="867">
        <f ca="1"/>
        <v>0</v>
      </c>
      <c r="BS54" s="867">
        <f ca="1"/>
        <v>0</v>
      </c>
      <c r="BT54" s="867">
        <f t="shared" ca="1" si="9"/>
        <v>-261803.30374999996</v>
      </c>
      <c r="BU54" s="867">
        <f t="shared" ca="1" si="49"/>
        <v>-13779.12125</v>
      </c>
      <c r="BV54" s="829">
        <f t="shared" ca="1" si="10"/>
        <v>-2.5465851649641991E-11</v>
      </c>
      <c r="BX54" s="867">
        <f ca="1"/>
        <v>-275582.42499999999</v>
      </c>
      <c r="BY54" s="867">
        <f t="shared" ca="1" si="50"/>
        <v>-275582.42499999999</v>
      </c>
      <c r="BZ54" s="867">
        <f t="shared" ca="1" si="51"/>
        <v>0</v>
      </c>
      <c r="CA54" s="867">
        <f t="shared" ca="1" si="52"/>
        <v>0</v>
      </c>
      <c r="CB54" s="867">
        <f t="shared" ca="1" si="53"/>
        <v>0</v>
      </c>
      <c r="CC54" s="867">
        <f t="shared" ca="1" si="54"/>
        <v>0</v>
      </c>
      <c r="CD54" s="867">
        <f t="shared" ca="1" si="55"/>
        <v>-275582.42499999999</v>
      </c>
    </row>
    <row r="55" spans="1:82" ht="17" thickTop="1" thickBot="1">
      <c r="A55" s="773">
        <f t="shared" si="5"/>
        <v>1</v>
      </c>
      <c r="B55" s="779"/>
      <c r="C55" s="572"/>
      <c r="D55" s="660">
        <v>8</v>
      </c>
      <c r="E55" s="661">
        <v>45505</v>
      </c>
      <c r="F55" s="862">
        <v>1</v>
      </c>
      <c r="G55" s="863">
        <f ca="1"/>
        <v>-275582.42499999999</v>
      </c>
      <c r="H55" s="961"/>
      <c r="I55" s="865">
        <f t="shared" ca="1" si="11"/>
        <v>1868378.3565392119</v>
      </c>
      <c r="J55" s="864" cm="1">
        <f t="array" aca="1" ref="J55" ca="1">IF($G55=0,0,-MIN(0,G55*c_equity.LPshare))</f>
        <v>261803.30374999996</v>
      </c>
      <c r="K55" s="865" cm="1">
        <f t="array" aca="1" ref="K55" ca="1">I55*c_rate.Pref.MO</f>
        <v>12021.202602852014</v>
      </c>
      <c r="L55" s="865">
        <f t="shared" ca="1" si="12"/>
        <v>0</v>
      </c>
      <c r="M55" s="865">
        <f t="shared" ca="1" si="13"/>
        <v>2142202.8628920638</v>
      </c>
      <c r="N55" s="865">
        <f t="shared" ca="1" si="14"/>
        <v>-261803.30374999996</v>
      </c>
      <c r="O55" s="864" cm="1">
        <f t="array" aca="1" ref="O55" ca="1">IF(N55=0,0,IF(G55&lt;0,N55/c_equity.LPshare*i_equity.GPshare,L55/c_equity.LPshare*i_equity.GPshare))</f>
        <v>-13779.12125</v>
      </c>
      <c r="P55" s="865">
        <f t="shared" ca="1" si="15"/>
        <v>-275582.42499999999</v>
      </c>
      <c r="Q55" s="865">
        <f t="shared" ca="1" si="16"/>
        <v>0</v>
      </c>
      <c r="R55" s="161"/>
      <c r="S55" s="867">
        <f t="shared" ca="1" si="17"/>
        <v>1877051.2314515733</v>
      </c>
      <c r="T55" s="867" cm="1">
        <f t="array" aca="1" ref="T55" ca="1">IF($G55=0,0,-MIN(0,$G55*c_equity.LPshare))</f>
        <v>261803.30374999996</v>
      </c>
      <c r="U55" s="869" cm="1">
        <f t="array" aca="1" ref="U55" ca="1">IF($D55=0,0,S55*c_rate.Hurdle1.MO)</f>
        <v>14967.870111841588</v>
      </c>
      <c r="V55" s="867">
        <f t="shared" ca="1" si="18"/>
        <v>0</v>
      </c>
      <c r="W55" s="867">
        <f t="shared" ca="1" si="19"/>
        <v>0</v>
      </c>
      <c r="X55" s="869">
        <f t="shared" ca="1" si="20"/>
        <v>2153822.405313415</v>
      </c>
      <c r="Y55" s="869">
        <f t="shared" ca="1" si="21"/>
        <v>-261803.30374999996</v>
      </c>
      <c r="Z55" s="869">
        <f t="shared" ca="1" si="22"/>
        <v>-13779.12125</v>
      </c>
      <c r="AA55" s="869">
        <f t="shared" ca="1" si="23"/>
        <v>-275582.42499999999</v>
      </c>
      <c r="AB55" s="867">
        <f t="shared" ca="1" si="24"/>
        <v>0</v>
      </c>
      <c r="AC55" s="161"/>
      <c r="AD55" s="869">
        <f t="shared" ca="1" si="25"/>
        <v>1885624.1647278529</v>
      </c>
      <c r="AE55" s="867" cm="1">
        <f t="array" aca="1" ref="AE55" ca="1">IF($G55=0,0,-MIN(0,$G55*c_equity.LPshare))</f>
        <v>261803.30374999996</v>
      </c>
      <c r="AF55" s="869" cm="1">
        <f t="array" aca="1" ref="AF55" ca="1">IF($D55=0,0,AD55*(c_rate.Hurdle2.MO))</f>
        <v>17892.297251548709</v>
      </c>
      <c r="AG55" s="869">
        <f t="shared" ca="1" si="26"/>
        <v>0</v>
      </c>
      <c r="AH55" s="869">
        <f t="shared" ca="1" si="27"/>
        <v>0</v>
      </c>
      <c r="AI55" s="869">
        <f t="shared" ca="1" si="28"/>
        <v>2165319.7657294013</v>
      </c>
      <c r="AJ55" s="868">
        <f t="shared" ca="1" si="6"/>
        <v>-261803.30374999996</v>
      </c>
      <c r="AK55" s="867">
        <f t="shared" ca="1" si="29"/>
        <v>-261803.30374999996</v>
      </c>
      <c r="AL55" s="869">
        <f t="shared" ca="1" si="7"/>
        <v>-13779.12125</v>
      </c>
      <c r="AM55" s="869">
        <f t="shared" ca="1" si="30"/>
        <v>-275582.42499999999</v>
      </c>
      <c r="AN55" s="867">
        <f t="shared" ca="1" si="3"/>
        <v>0</v>
      </c>
      <c r="AO55" s="161"/>
      <c r="AP55" s="869">
        <f t="shared" ca="1" si="31"/>
        <v>1894100.1041546406</v>
      </c>
      <c r="AQ55" s="867" cm="1">
        <f t="array" aca="1" ref="AQ55" ca="1">IF($G55=0,0,-MIN(0,$G55*c_equity.LPshare))</f>
        <v>261803.30374999996</v>
      </c>
      <c r="AR55" s="869" cm="1">
        <f t="array" aca="1" ref="AR55" ca="1">IF($D55=0,0,AP55*(c_rate.Hurdle3.MO))</f>
        <v>20795.044622321915</v>
      </c>
      <c r="AS55" s="869">
        <f t="shared" ca="1" si="32"/>
        <v>0</v>
      </c>
      <c r="AT55" s="869">
        <f t="shared" ca="1" si="33"/>
        <v>0</v>
      </c>
      <c r="AU55" s="869">
        <f t="shared" ca="1" si="34"/>
        <v>2176698.4525269624</v>
      </c>
      <c r="AV55" s="870">
        <f t="shared" ca="1" si="35"/>
        <v>-261803.30374999996</v>
      </c>
      <c r="AW55" s="867">
        <f t="shared" ca="1" si="36"/>
        <v>-261803.30374999996</v>
      </c>
      <c r="AX55" s="869">
        <f t="shared" ca="1" si="8"/>
        <v>-13779.12125</v>
      </c>
      <c r="AY55" s="869">
        <f t="shared" ca="1" si="37"/>
        <v>-275582.42499999999</v>
      </c>
      <c r="AZ55" s="867">
        <f t="shared" ca="1" si="38"/>
        <v>0</v>
      </c>
      <c r="BA55" s="161"/>
      <c r="BB55" s="867">
        <f t="shared" ca="1" si="39"/>
        <v>0</v>
      </c>
      <c r="BC55" s="867">
        <f t="shared" ca="1" si="4"/>
        <v>0</v>
      </c>
      <c r="BD55" s="658"/>
      <c r="BE55" s="867">
        <f t="shared" ca="1" si="40"/>
        <v>-261803.30374999996</v>
      </c>
      <c r="BF55" s="867">
        <f t="shared" ca="1" si="41"/>
        <v>-13779.12125</v>
      </c>
      <c r="BG55" s="867">
        <f t="shared" ca="1" si="42"/>
        <v>-275582.42499999999</v>
      </c>
      <c r="BI55" s="867">
        <f ca="1"/>
        <v>-275582.42499999999</v>
      </c>
      <c r="BJ55" s="867">
        <f ca="1"/>
        <v>-261803.30374999996</v>
      </c>
      <c r="BK55" s="867">
        <f ca="1"/>
        <v>-13779.12125</v>
      </c>
      <c r="BL55" s="867">
        <f t="shared" ca="1" si="43"/>
        <v>0</v>
      </c>
      <c r="BM55" s="867">
        <f t="shared" ca="1" si="44"/>
        <v>0</v>
      </c>
      <c r="BN55" s="867">
        <f t="shared" ca="1" si="45"/>
        <v>0</v>
      </c>
      <c r="BO55" s="867">
        <f t="shared" ca="1" si="46"/>
        <v>0</v>
      </c>
      <c r="BP55" s="867">
        <f t="shared" ca="1" si="47"/>
        <v>0</v>
      </c>
      <c r="BQ55" s="867">
        <f t="shared" ca="1" si="48"/>
        <v>0</v>
      </c>
      <c r="BR55" s="867">
        <f ca="1"/>
        <v>0</v>
      </c>
      <c r="BS55" s="867">
        <f ca="1"/>
        <v>0</v>
      </c>
      <c r="BT55" s="867">
        <f t="shared" ca="1" si="9"/>
        <v>-261803.30374999996</v>
      </c>
      <c r="BU55" s="867">
        <f t="shared" ca="1" si="49"/>
        <v>-13779.12125</v>
      </c>
      <c r="BV55" s="829">
        <f t="shared" ca="1" si="10"/>
        <v>-2.5465851649641991E-11</v>
      </c>
      <c r="BX55" s="867">
        <f ca="1"/>
        <v>-275582.42499999999</v>
      </c>
      <c r="BY55" s="867">
        <f t="shared" ca="1" si="50"/>
        <v>-275582.42499999999</v>
      </c>
      <c r="BZ55" s="867">
        <f t="shared" ca="1" si="51"/>
        <v>0</v>
      </c>
      <c r="CA55" s="867">
        <f t="shared" ca="1" si="52"/>
        <v>0</v>
      </c>
      <c r="CB55" s="867">
        <f t="shared" ca="1" si="53"/>
        <v>0</v>
      </c>
      <c r="CC55" s="867">
        <f t="shared" ca="1" si="54"/>
        <v>0</v>
      </c>
      <c r="CD55" s="867">
        <f t="shared" ca="1" si="55"/>
        <v>-275582.42499999999</v>
      </c>
    </row>
    <row r="56" spans="1:82" ht="17" thickTop="1" thickBot="1">
      <c r="A56" s="773">
        <f t="shared" si="5"/>
        <v>1</v>
      </c>
      <c r="B56" s="779"/>
      <c r="C56" s="572"/>
      <c r="D56" s="660">
        <v>9</v>
      </c>
      <c r="E56" s="661">
        <v>45536</v>
      </c>
      <c r="F56" s="862">
        <v>1</v>
      </c>
      <c r="G56" s="863">
        <f ca="1"/>
        <v>-275582.42499999999</v>
      </c>
      <c r="H56" s="961"/>
      <c r="I56" s="865">
        <f t="shared" ca="1" si="11"/>
        <v>2142202.8628920638</v>
      </c>
      <c r="J56" s="864" cm="1">
        <f t="array" aca="1" ref="J56" ca="1">IF($G56=0,0,-MIN(0,G56*c_equity.LPshare))</f>
        <v>261803.30374999996</v>
      </c>
      <c r="K56" s="865" cm="1">
        <f t="array" aca="1" ref="K56" ca="1">I56*c_rate.Pref.MO</f>
        <v>13782.997721583088</v>
      </c>
      <c r="L56" s="865">
        <f t="shared" ca="1" si="12"/>
        <v>0</v>
      </c>
      <c r="M56" s="865">
        <f t="shared" ca="1" si="13"/>
        <v>2417789.1643636469</v>
      </c>
      <c r="N56" s="865">
        <f t="shared" ca="1" si="14"/>
        <v>-261803.30374999996</v>
      </c>
      <c r="O56" s="864" cm="1">
        <f t="array" aca="1" ref="O56" ca="1">IF(N56=0,0,IF(G56&lt;0,N56/c_equity.LPshare*i_equity.GPshare,L56/c_equity.LPshare*i_equity.GPshare))</f>
        <v>-13779.12125</v>
      </c>
      <c r="P56" s="865">
        <f t="shared" ca="1" si="15"/>
        <v>-275582.42499999999</v>
      </c>
      <c r="Q56" s="865">
        <f t="shared" ca="1" si="16"/>
        <v>0</v>
      </c>
      <c r="R56" s="161"/>
      <c r="S56" s="867">
        <f t="shared" ca="1" si="17"/>
        <v>2153822.405313415</v>
      </c>
      <c r="T56" s="867" cm="1">
        <f t="array" aca="1" ref="T56" ca="1">IF($G56=0,0,-MIN(0,$G56*c_equity.LPshare))</f>
        <v>261803.30374999996</v>
      </c>
      <c r="U56" s="869" cm="1">
        <f t="array" aca="1" ref="U56" ca="1">IF($D56=0,0,S56*c_rate.Hurdle1.MO)</f>
        <v>17174.882318888453</v>
      </c>
      <c r="V56" s="867">
        <f t="shared" ca="1" si="18"/>
        <v>0</v>
      </c>
      <c r="W56" s="867">
        <f t="shared" ca="1" si="19"/>
        <v>0</v>
      </c>
      <c r="X56" s="869">
        <f t="shared" ca="1" si="20"/>
        <v>2432800.5913823033</v>
      </c>
      <c r="Y56" s="869">
        <f t="shared" ca="1" si="21"/>
        <v>-261803.30374999996</v>
      </c>
      <c r="Z56" s="869">
        <f t="shared" ca="1" si="22"/>
        <v>-13779.12125</v>
      </c>
      <c r="AA56" s="869">
        <f t="shared" ca="1" si="23"/>
        <v>-275582.42499999999</v>
      </c>
      <c r="AB56" s="867">
        <f t="shared" ca="1" si="24"/>
        <v>0</v>
      </c>
      <c r="AC56" s="161"/>
      <c r="AD56" s="869">
        <f t="shared" ca="1" si="25"/>
        <v>2165319.7657294013</v>
      </c>
      <c r="AE56" s="867" cm="1">
        <f t="array" aca="1" ref="AE56" ca="1">IF($G56=0,0,-MIN(0,$G56*c_equity.LPshare))</f>
        <v>261803.30374999996</v>
      </c>
      <c r="AF56" s="869" cm="1">
        <f t="array" aca="1" ref="AF56" ca="1">IF($D56=0,0,AD56*(c_rate.Hurdle2.MO))</f>
        <v>20546.270894166159</v>
      </c>
      <c r="AG56" s="869">
        <f t="shared" ca="1" si="26"/>
        <v>0</v>
      </c>
      <c r="AH56" s="869">
        <f t="shared" ca="1" si="27"/>
        <v>0</v>
      </c>
      <c r="AI56" s="869">
        <f t="shared" ca="1" si="28"/>
        <v>2447669.3403735673</v>
      </c>
      <c r="AJ56" s="868">
        <f t="shared" ca="1" si="6"/>
        <v>-261803.30374999996</v>
      </c>
      <c r="AK56" s="867">
        <f t="shared" ca="1" si="29"/>
        <v>-261803.30374999996</v>
      </c>
      <c r="AL56" s="869">
        <f t="shared" ca="1" si="7"/>
        <v>-13779.12125</v>
      </c>
      <c r="AM56" s="869">
        <f t="shared" ca="1" si="30"/>
        <v>-275582.42499999999</v>
      </c>
      <c r="AN56" s="867">
        <f t="shared" ca="1" si="3"/>
        <v>0</v>
      </c>
      <c r="AO56" s="161"/>
      <c r="AP56" s="869">
        <f t="shared" ca="1" si="31"/>
        <v>2176698.4525269624</v>
      </c>
      <c r="AQ56" s="867" cm="1">
        <f t="array" aca="1" ref="AQ56" ca="1">IF($G56=0,0,-MIN(0,$G56*c_equity.LPshare))</f>
        <v>261803.30374999996</v>
      </c>
      <c r="AR56" s="869" cm="1">
        <f t="array" aca="1" ref="AR56" ca="1">IF($D56=0,0,AP56*(c_rate.Hurdle3.MO))</f>
        <v>23897.650050465174</v>
      </c>
      <c r="AS56" s="869">
        <f t="shared" ca="1" si="32"/>
        <v>0</v>
      </c>
      <c r="AT56" s="869">
        <f t="shared" ca="1" si="33"/>
        <v>0</v>
      </c>
      <c r="AU56" s="869">
        <f t="shared" ca="1" si="34"/>
        <v>2462399.4063274274</v>
      </c>
      <c r="AV56" s="870">
        <f t="shared" ca="1" si="35"/>
        <v>-261803.30374999996</v>
      </c>
      <c r="AW56" s="867">
        <f t="shared" ca="1" si="36"/>
        <v>-261803.30374999996</v>
      </c>
      <c r="AX56" s="869">
        <f t="shared" ca="1" si="8"/>
        <v>-13779.12125</v>
      </c>
      <c r="AY56" s="869">
        <f t="shared" ca="1" si="37"/>
        <v>-275582.42499999999</v>
      </c>
      <c r="AZ56" s="867">
        <f t="shared" ca="1" si="38"/>
        <v>0</v>
      </c>
      <c r="BA56" s="161"/>
      <c r="BB56" s="867">
        <f t="shared" ca="1" si="39"/>
        <v>0</v>
      </c>
      <c r="BC56" s="867">
        <f t="shared" ca="1" si="4"/>
        <v>0</v>
      </c>
      <c r="BD56" s="658"/>
      <c r="BE56" s="867">
        <f t="shared" ca="1" si="40"/>
        <v>-261803.30374999996</v>
      </c>
      <c r="BF56" s="867">
        <f t="shared" ca="1" si="41"/>
        <v>-13779.12125</v>
      </c>
      <c r="BG56" s="867">
        <f t="shared" ca="1" si="42"/>
        <v>-275582.42499999999</v>
      </c>
      <c r="BI56" s="867">
        <f ca="1"/>
        <v>-275582.42499999999</v>
      </c>
      <c r="BJ56" s="867">
        <f ca="1"/>
        <v>-261803.30374999996</v>
      </c>
      <c r="BK56" s="867">
        <f ca="1"/>
        <v>-13779.12125</v>
      </c>
      <c r="BL56" s="867">
        <f t="shared" ca="1" si="43"/>
        <v>0</v>
      </c>
      <c r="BM56" s="867">
        <f t="shared" ca="1" si="44"/>
        <v>0</v>
      </c>
      <c r="BN56" s="867">
        <f t="shared" ca="1" si="45"/>
        <v>0</v>
      </c>
      <c r="BO56" s="867">
        <f t="shared" ca="1" si="46"/>
        <v>0</v>
      </c>
      <c r="BP56" s="867">
        <f t="shared" ca="1" si="47"/>
        <v>0</v>
      </c>
      <c r="BQ56" s="867">
        <f t="shared" ca="1" si="48"/>
        <v>0</v>
      </c>
      <c r="BR56" s="867">
        <f ca="1"/>
        <v>0</v>
      </c>
      <c r="BS56" s="867">
        <f ca="1"/>
        <v>0</v>
      </c>
      <c r="BT56" s="867">
        <f t="shared" ca="1" si="9"/>
        <v>-261803.30374999996</v>
      </c>
      <c r="BU56" s="867">
        <f t="shared" ca="1" si="49"/>
        <v>-13779.12125</v>
      </c>
      <c r="BV56" s="829">
        <f t="shared" ca="1" si="10"/>
        <v>-2.5465851649641991E-11</v>
      </c>
      <c r="BX56" s="867">
        <f ca="1"/>
        <v>-275582.42499999999</v>
      </c>
      <c r="BY56" s="867">
        <f t="shared" ca="1" si="50"/>
        <v>-275582.42499999999</v>
      </c>
      <c r="BZ56" s="867">
        <f t="shared" ca="1" si="51"/>
        <v>0</v>
      </c>
      <c r="CA56" s="867">
        <f t="shared" ca="1" si="52"/>
        <v>0</v>
      </c>
      <c r="CB56" s="867">
        <f t="shared" ca="1" si="53"/>
        <v>0</v>
      </c>
      <c r="CC56" s="867">
        <f t="shared" ca="1" si="54"/>
        <v>0</v>
      </c>
      <c r="CD56" s="867">
        <f t="shared" ca="1" si="55"/>
        <v>-275582.42499999999</v>
      </c>
    </row>
    <row r="57" spans="1:82" ht="17" thickTop="1" thickBot="1">
      <c r="A57" s="773">
        <f t="shared" si="5"/>
        <v>1</v>
      </c>
      <c r="B57" s="779"/>
      <c r="C57" s="572"/>
      <c r="D57" s="660">
        <v>10</v>
      </c>
      <c r="E57" s="661">
        <v>45566</v>
      </c>
      <c r="F57" s="862">
        <v>1</v>
      </c>
      <c r="G57" s="863">
        <f ca="1"/>
        <v>-275582.42499999999</v>
      </c>
      <c r="H57" s="961"/>
      <c r="I57" s="865">
        <f t="shared" ca="1" si="11"/>
        <v>2417789.1643636469</v>
      </c>
      <c r="J57" s="864" cm="1">
        <f t="array" aca="1" ref="J57" ca="1">IF($G57=0,0,-MIN(0,G57*c_equity.LPshare))</f>
        <v>261803.30374999996</v>
      </c>
      <c r="K57" s="865" cm="1">
        <f t="array" aca="1" ref="K57" ca="1">I57*c_rate.Pref.MO</f>
        <v>15556.128283155736</v>
      </c>
      <c r="L57" s="865">
        <f t="shared" ca="1" si="12"/>
        <v>0</v>
      </c>
      <c r="M57" s="865">
        <f t="shared" ca="1" si="13"/>
        <v>2695148.5963968025</v>
      </c>
      <c r="N57" s="865">
        <f t="shared" ca="1" si="14"/>
        <v>-261803.30374999996</v>
      </c>
      <c r="O57" s="864" cm="1">
        <f t="array" aca="1" ref="O57" ca="1">IF(N57=0,0,IF(G57&lt;0,N57/c_equity.LPshare*i_equity.GPshare,L57/c_equity.LPshare*i_equity.GPshare))</f>
        <v>-13779.12125</v>
      </c>
      <c r="P57" s="865">
        <f t="shared" ca="1" si="15"/>
        <v>-275582.42499999999</v>
      </c>
      <c r="Q57" s="865">
        <f t="shared" ca="1" si="16"/>
        <v>0</v>
      </c>
      <c r="R57" s="161"/>
      <c r="S57" s="867">
        <f t="shared" ca="1" si="17"/>
        <v>2432800.5913823033</v>
      </c>
      <c r="T57" s="867" cm="1">
        <f t="array" aca="1" ref="T57" ca="1">IF($G57=0,0,-MIN(0,$G57*c_equity.LPshare))</f>
        <v>261803.30374999996</v>
      </c>
      <c r="U57" s="869" cm="1">
        <f t="array" aca="1" ref="U57" ca="1">IF($D57=0,0,S57*c_rate.Hurdle1.MO)</f>
        <v>19399.49355120261</v>
      </c>
      <c r="V57" s="867">
        <f t="shared" ca="1" si="18"/>
        <v>0</v>
      </c>
      <c r="W57" s="867">
        <f t="shared" ca="1" si="19"/>
        <v>0</v>
      </c>
      <c r="X57" s="869">
        <f t="shared" ca="1" si="20"/>
        <v>2714003.3886835058</v>
      </c>
      <c r="Y57" s="869">
        <f t="shared" ca="1" si="21"/>
        <v>-261803.30374999996</v>
      </c>
      <c r="Z57" s="869">
        <f t="shared" ca="1" si="22"/>
        <v>-13779.12125</v>
      </c>
      <c r="AA57" s="869">
        <f t="shared" ca="1" si="23"/>
        <v>-275582.42499999999</v>
      </c>
      <c r="AB57" s="867">
        <f t="shared" ca="1" si="24"/>
        <v>0</v>
      </c>
      <c r="AC57" s="161"/>
      <c r="AD57" s="869">
        <f t="shared" ca="1" si="25"/>
        <v>2447669.3403735673</v>
      </c>
      <c r="AE57" s="867" cm="1">
        <f t="array" aca="1" ref="AE57" ca="1">IF($G57=0,0,-MIN(0,$G57*c_equity.LPshare))</f>
        <v>261803.30374999996</v>
      </c>
      <c r="AF57" s="869" cm="1">
        <f t="array" aca="1" ref="AF57" ca="1">IF($D57=0,0,AD57*(c_rate.Hurdle2.MO))</f>
        <v>23225.427543132249</v>
      </c>
      <c r="AG57" s="869">
        <f t="shared" ca="1" si="26"/>
        <v>0</v>
      </c>
      <c r="AH57" s="869">
        <f t="shared" ca="1" si="27"/>
        <v>0</v>
      </c>
      <c r="AI57" s="869">
        <f t="shared" ca="1" si="28"/>
        <v>2732698.0716666994</v>
      </c>
      <c r="AJ57" s="868">
        <f t="shared" ca="1" si="6"/>
        <v>-261803.30374999996</v>
      </c>
      <c r="AK57" s="867">
        <f t="shared" ca="1" si="29"/>
        <v>-261803.30374999996</v>
      </c>
      <c r="AL57" s="869">
        <f t="shared" ca="1" si="7"/>
        <v>-13779.12125</v>
      </c>
      <c r="AM57" s="869">
        <f t="shared" ca="1" si="30"/>
        <v>-275582.42499999999</v>
      </c>
      <c r="AN57" s="867">
        <f t="shared" ca="1" si="3"/>
        <v>0</v>
      </c>
      <c r="AO57" s="161"/>
      <c r="AP57" s="869">
        <f t="shared" ca="1" si="31"/>
        <v>2462399.4063274274</v>
      </c>
      <c r="AQ57" s="867" cm="1">
        <f t="array" aca="1" ref="AQ57" ca="1">IF($G57=0,0,-MIN(0,$G57*c_equity.LPshare))</f>
        <v>261803.30374999996</v>
      </c>
      <c r="AR57" s="869" cm="1">
        <f t="array" aca="1" ref="AR57" ca="1">IF($D57=0,0,AP57*(c_rate.Hurdle3.MO))</f>
        <v>27034.318524263825</v>
      </c>
      <c r="AS57" s="869">
        <f t="shared" ca="1" si="32"/>
        <v>0</v>
      </c>
      <c r="AT57" s="869">
        <f t="shared" ca="1" si="33"/>
        <v>0</v>
      </c>
      <c r="AU57" s="869">
        <f t="shared" ca="1" si="34"/>
        <v>2751237.0286016911</v>
      </c>
      <c r="AV57" s="870">
        <f t="shared" ca="1" si="35"/>
        <v>-261803.30374999996</v>
      </c>
      <c r="AW57" s="867">
        <f t="shared" ca="1" si="36"/>
        <v>-261803.30374999996</v>
      </c>
      <c r="AX57" s="869">
        <f t="shared" ca="1" si="8"/>
        <v>-13779.12125</v>
      </c>
      <c r="AY57" s="869">
        <f t="shared" ca="1" si="37"/>
        <v>-275582.42499999999</v>
      </c>
      <c r="AZ57" s="867">
        <f t="shared" ca="1" si="38"/>
        <v>0</v>
      </c>
      <c r="BA57" s="161"/>
      <c r="BB57" s="867">
        <f t="shared" ca="1" si="39"/>
        <v>0</v>
      </c>
      <c r="BC57" s="867">
        <f t="shared" ca="1" si="4"/>
        <v>0</v>
      </c>
      <c r="BD57" s="658"/>
      <c r="BE57" s="867">
        <f t="shared" ca="1" si="40"/>
        <v>-261803.30374999996</v>
      </c>
      <c r="BF57" s="867">
        <f t="shared" ca="1" si="41"/>
        <v>-13779.12125</v>
      </c>
      <c r="BG57" s="867">
        <f t="shared" ca="1" si="42"/>
        <v>-275582.42499999999</v>
      </c>
      <c r="BI57" s="867">
        <f ca="1"/>
        <v>-275582.42499999999</v>
      </c>
      <c r="BJ57" s="867">
        <f ca="1"/>
        <v>-261803.30374999996</v>
      </c>
      <c r="BK57" s="867">
        <f ca="1"/>
        <v>-13779.12125</v>
      </c>
      <c r="BL57" s="867">
        <f t="shared" ca="1" si="43"/>
        <v>0</v>
      </c>
      <c r="BM57" s="867">
        <f t="shared" ca="1" si="44"/>
        <v>0</v>
      </c>
      <c r="BN57" s="867">
        <f t="shared" ca="1" si="45"/>
        <v>0</v>
      </c>
      <c r="BO57" s="867">
        <f t="shared" ca="1" si="46"/>
        <v>0</v>
      </c>
      <c r="BP57" s="867">
        <f t="shared" ca="1" si="47"/>
        <v>0</v>
      </c>
      <c r="BQ57" s="867">
        <f t="shared" ca="1" si="48"/>
        <v>0</v>
      </c>
      <c r="BR57" s="867">
        <f ca="1"/>
        <v>0</v>
      </c>
      <c r="BS57" s="867">
        <f ca="1"/>
        <v>0</v>
      </c>
      <c r="BT57" s="867">
        <f t="shared" ca="1" si="9"/>
        <v>-261803.30374999996</v>
      </c>
      <c r="BU57" s="867">
        <f t="shared" ca="1" si="49"/>
        <v>-13779.12125</v>
      </c>
      <c r="BV57" s="829">
        <f t="shared" ca="1" si="10"/>
        <v>-2.5465851649641991E-11</v>
      </c>
      <c r="BX57" s="867">
        <f ca="1"/>
        <v>-275582.42499999999</v>
      </c>
      <c r="BY57" s="867">
        <f t="shared" ca="1" si="50"/>
        <v>-275582.42499999999</v>
      </c>
      <c r="BZ57" s="867">
        <f t="shared" ca="1" si="51"/>
        <v>0</v>
      </c>
      <c r="CA57" s="867">
        <f t="shared" ca="1" si="52"/>
        <v>0</v>
      </c>
      <c r="CB57" s="867">
        <f t="shared" ca="1" si="53"/>
        <v>0</v>
      </c>
      <c r="CC57" s="867">
        <f t="shared" ca="1" si="54"/>
        <v>0</v>
      </c>
      <c r="CD57" s="867">
        <f t="shared" ca="1" si="55"/>
        <v>-275582.42499999999</v>
      </c>
    </row>
    <row r="58" spans="1:82" ht="17" thickTop="1" thickBot="1">
      <c r="A58" s="773">
        <f t="shared" si="5"/>
        <v>1</v>
      </c>
      <c r="B58" s="779"/>
      <c r="C58" s="572"/>
      <c r="D58" s="660">
        <v>11</v>
      </c>
      <c r="E58" s="661">
        <v>45597</v>
      </c>
      <c r="F58" s="862">
        <v>1</v>
      </c>
      <c r="G58" s="863">
        <f ca="1"/>
        <v>-275582.42499999999</v>
      </c>
      <c r="H58" s="961"/>
      <c r="I58" s="865">
        <f t="shared" ca="1" si="11"/>
        <v>2695148.5963968025</v>
      </c>
      <c r="J58" s="864" cm="1">
        <f t="array" aca="1" ref="J58" ca="1">IF($G58=0,0,-MIN(0,G58*c_equity.LPshare))</f>
        <v>261803.30374999996</v>
      </c>
      <c r="K58" s="865" cm="1">
        <f t="array" aca="1" ref="K58" ca="1">I58*c_rate.Pref.MO</f>
        <v>17340.66722015051</v>
      </c>
      <c r="L58" s="865">
        <f t="shared" ca="1" si="12"/>
        <v>0</v>
      </c>
      <c r="M58" s="865">
        <f t="shared" ca="1" si="13"/>
        <v>2974292.567366953</v>
      </c>
      <c r="N58" s="865">
        <f t="shared" ca="1" si="14"/>
        <v>-261803.30374999996</v>
      </c>
      <c r="O58" s="864" cm="1">
        <f t="array" aca="1" ref="O58" ca="1">IF(N58=0,0,IF(G58&lt;0,N58/c_equity.LPshare*i_equity.GPshare,L58/c_equity.LPshare*i_equity.GPshare))</f>
        <v>-13779.12125</v>
      </c>
      <c r="P58" s="865">
        <f t="shared" ca="1" si="15"/>
        <v>-275582.42499999999</v>
      </c>
      <c r="Q58" s="865">
        <f t="shared" ca="1" si="16"/>
        <v>0</v>
      </c>
      <c r="R58" s="161"/>
      <c r="S58" s="867">
        <f t="shared" ca="1" si="17"/>
        <v>2714003.3886835058</v>
      </c>
      <c r="T58" s="867" cm="1">
        <f t="array" aca="1" ref="T58" ca="1">IF($G58=0,0,-MIN(0,$G58*c_equity.LPshare))</f>
        <v>261803.30374999996</v>
      </c>
      <c r="U58" s="869" cm="1">
        <f t="array" aca="1" ref="U58" ca="1">IF($D58=0,0,S58*c_rate.Hurdle1.MO)</f>
        <v>21641.844145882962</v>
      </c>
      <c r="V58" s="867">
        <f t="shared" ca="1" si="18"/>
        <v>0</v>
      </c>
      <c r="W58" s="867">
        <f t="shared" ca="1" si="19"/>
        <v>0</v>
      </c>
      <c r="X58" s="869">
        <f t="shared" ca="1" si="20"/>
        <v>2997448.5365793887</v>
      </c>
      <c r="Y58" s="869">
        <f t="shared" ca="1" si="21"/>
        <v>-261803.30374999996</v>
      </c>
      <c r="Z58" s="869">
        <f t="shared" ca="1" si="22"/>
        <v>-13779.12125</v>
      </c>
      <c r="AA58" s="869">
        <f t="shared" ca="1" si="23"/>
        <v>-275582.42499999999</v>
      </c>
      <c r="AB58" s="867">
        <f t="shared" ca="1" si="24"/>
        <v>0</v>
      </c>
      <c r="AC58" s="161"/>
      <c r="AD58" s="869">
        <f t="shared" ca="1" si="25"/>
        <v>2732698.0716666994</v>
      </c>
      <c r="AE58" s="867" cm="1">
        <f t="array" aca="1" ref="AE58" ca="1">IF($G58=0,0,-MIN(0,$G58*c_equity.LPshare))</f>
        <v>261803.30374999996</v>
      </c>
      <c r="AF58" s="869" cm="1">
        <f t="array" aca="1" ref="AF58" ca="1">IF($D58=0,0,AD58*(c_rate.Hurdle2.MO))</f>
        <v>25930.00615477969</v>
      </c>
      <c r="AG58" s="869">
        <f t="shared" ca="1" si="26"/>
        <v>0</v>
      </c>
      <c r="AH58" s="869">
        <f t="shared" ca="1" si="27"/>
        <v>0</v>
      </c>
      <c r="AI58" s="869">
        <f t="shared" ca="1" si="28"/>
        <v>3020431.3815714791</v>
      </c>
      <c r="AJ58" s="868">
        <f t="shared" ca="1" si="6"/>
        <v>-261803.30374999996</v>
      </c>
      <c r="AK58" s="867">
        <f t="shared" ca="1" si="29"/>
        <v>-261803.30374999996</v>
      </c>
      <c r="AL58" s="869">
        <f t="shared" ca="1" si="7"/>
        <v>-13779.12125</v>
      </c>
      <c r="AM58" s="869">
        <f t="shared" ca="1" si="30"/>
        <v>-275582.42499999999</v>
      </c>
      <c r="AN58" s="867">
        <f t="shared" ca="1" si="3"/>
        <v>0</v>
      </c>
      <c r="AO58" s="161"/>
      <c r="AP58" s="869">
        <f t="shared" ca="1" si="31"/>
        <v>2751237.0286016911</v>
      </c>
      <c r="AQ58" s="867" cm="1">
        <f t="array" aca="1" ref="AQ58" ca="1">IF($G58=0,0,-MIN(0,$G58*c_equity.LPshare))</f>
        <v>261803.30374999996</v>
      </c>
      <c r="AR58" s="869" cm="1">
        <f t="array" aca="1" ref="AR58" ca="1">IF($D58=0,0,AP58*(c_rate.Hurdle3.MO))</f>
        <v>30205.424016853089</v>
      </c>
      <c r="AS58" s="869">
        <f t="shared" ca="1" si="32"/>
        <v>0</v>
      </c>
      <c r="AT58" s="869">
        <f t="shared" ca="1" si="33"/>
        <v>0</v>
      </c>
      <c r="AU58" s="869">
        <f t="shared" ca="1" si="34"/>
        <v>3043245.756368544</v>
      </c>
      <c r="AV58" s="870">
        <f t="shared" ca="1" si="35"/>
        <v>-261803.30374999996</v>
      </c>
      <c r="AW58" s="867">
        <f t="shared" ca="1" si="36"/>
        <v>-261803.30374999996</v>
      </c>
      <c r="AX58" s="869">
        <f t="shared" ca="1" si="8"/>
        <v>-13779.12125</v>
      </c>
      <c r="AY58" s="869">
        <f t="shared" ca="1" si="37"/>
        <v>-275582.42499999999</v>
      </c>
      <c r="AZ58" s="867">
        <f t="shared" ca="1" si="38"/>
        <v>0</v>
      </c>
      <c r="BA58" s="161"/>
      <c r="BB58" s="867">
        <f t="shared" ca="1" si="39"/>
        <v>0</v>
      </c>
      <c r="BC58" s="867">
        <f t="shared" ca="1" si="4"/>
        <v>0</v>
      </c>
      <c r="BD58" s="658"/>
      <c r="BE58" s="867">
        <f t="shared" ca="1" si="40"/>
        <v>-261803.30374999996</v>
      </c>
      <c r="BF58" s="867">
        <f t="shared" ca="1" si="41"/>
        <v>-13779.12125</v>
      </c>
      <c r="BG58" s="867">
        <f t="shared" ca="1" si="42"/>
        <v>-275582.42499999999</v>
      </c>
      <c r="BI58" s="867">
        <f ca="1"/>
        <v>-275582.42499999999</v>
      </c>
      <c r="BJ58" s="867">
        <f ca="1"/>
        <v>-261803.30374999996</v>
      </c>
      <c r="BK58" s="867">
        <f ca="1"/>
        <v>-13779.12125</v>
      </c>
      <c r="BL58" s="867">
        <f t="shared" ca="1" si="43"/>
        <v>0</v>
      </c>
      <c r="BM58" s="867">
        <f t="shared" ca="1" si="44"/>
        <v>0</v>
      </c>
      <c r="BN58" s="867">
        <f t="shared" ca="1" si="45"/>
        <v>0</v>
      </c>
      <c r="BO58" s="867">
        <f t="shared" ca="1" si="46"/>
        <v>0</v>
      </c>
      <c r="BP58" s="867">
        <f t="shared" ca="1" si="47"/>
        <v>0</v>
      </c>
      <c r="BQ58" s="867">
        <f t="shared" ca="1" si="48"/>
        <v>0</v>
      </c>
      <c r="BR58" s="867">
        <f ca="1"/>
        <v>0</v>
      </c>
      <c r="BS58" s="867">
        <f ca="1"/>
        <v>0</v>
      </c>
      <c r="BT58" s="867">
        <f t="shared" ca="1" si="9"/>
        <v>-261803.30374999996</v>
      </c>
      <c r="BU58" s="867">
        <f t="shared" ca="1" si="49"/>
        <v>-13779.12125</v>
      </c>
      <c r="BV58" s="829">
        <f t="shared" ca="1" si="10"/>
        <v>-2.5465851649641991E-11</v>
      </c>
      <c r="BX58" s="867">
        <f ca="1"/>
        <v>-275582.42499999999</v>
      </c>
      <c r="BY58" s="867">
        <f t="shared" ca="1" si="50"/>
        <v>-275582.42499999999</v>
      </c>
      <c r="BZ58" s="867">
        <f t="shared" ca="1" si="51"/>
        <v>0</v>
      </c>
      <c r="CA58" s="867">
        <f t="shared" ca="1" si="52"/>
        <v>0</v>
      </c>
      <c r="CB58" s="867">
        <f t="shared" ca="1" si="53"/>
        <v>0</v>
      </c>
      <c r="CC58" s="867">
        <f t="shared" ca="1" si="54"/>
        <v>0</v>
      </c>
      <c r="CD58" s="867">
        <f t="shared" ca="1" si="55"/>
        <v>-275582.42499999999</v>
      </c>
    </row>
    <row r="59" spans="1:82" ht="17" thickTop="1" thickBot="1">
      <c r="A59" s="773">
        <f t="shared" si="5"/>
        <v>1</v>
      </c>
      <c r="B59" s="779"/>
      <c r="C59" s="572"/>
      <c r="D59" s="660">
        <v>12</v>
      </c>
      <c r="E59" s="661">
        <v>45627</v>
      </c>
      <c r="F59" s="862">
        <v>1</v>
      </c>
      <c r="G59" s="863">
        <f ca="1"/>
        <v>-275582.42499999999</v>
      </c>
      <c r="H59" s="961"/>
      <c r="I59" s="865">
        <f t="shared" ca="1" si="11"/>
        <v>2974292.567366953</v>
      </c>
      <c r="J59" s="864" cm="1">
        <f t="array" aca="1" ref="J59" ca="1">IF($G59=0,0,-MIN(0,G59*c_equity.LPshare))</f>
        <v>261803.30374999996</v>
      </c>
      <c r="K59" s="865" cm="1">
        <f t="array" aca="1" ref="K59" ca="1">I59*c_rate.Pref.MO</f>
        <v>19136.687934398382</v>
      </c>
      <c r="L59" s="865">
        <f t="shared" ca="1" si="12"/>
        <v>0</v>
      </c>
      <c r="M59" s="865">
        <f t="shared" ca="1" si="13"/>
        <v>3255232.5590513512</v>
      </c>
      <c r="N59" s="865">
        <f t="shared" ca="1" si="14"/>
        <v>-261803.30374999996</v>
      </c>
      <c r="O59" s="864" cm="1">
        <f t="array" aca="1" ref="O59" ca="1">IF(N59=0,0,IF(G59&lt;0,N59/c_equity.LPshare*i_equity.GPshare,L59/c_equity.LPshare*i_equity.GPshare))</f>
        <v>-13779.12125</v>
      </c>
      <c r="P59" s="865">
        <f t="shared" ca="1" si="15"/>
        <v>-275582.42499999999</v>
      </c>
      <c r="Q59" s="865">
        <f t="shared" ca="1" si="16"/>
        <v>0</v>
      </c>
      <c r="R59" s="161"/>
      <c r="S59" s="867">
        <f t="shared" ca="1" si="17"/>
        <v>2997448.5365793887</v>
      </c>
      <c r="T59" s="867" cm="1">
        <f t="array" aca="1" ref="T59" ca="1">IF($G59=0,0,-MIN(0,$G59*c_equity.LPshare))</f>
        <v>261803.30374999996</v>
      </c>
      <c r="U59" s="869" cm="1">
        <f t="array" aca="1" ref="U59" ca="1">IF($D59=0,0,S59*c_rate.Hurdle1.MO)</f>
        <v>23902.075559096127</v>
      </c>
      <c r="V59" s="867">
        <f t="shared" ca="1" si="18"/>
        <v>0</v>
      </c>
      <c r="W59" s="867">
        <f t="shared" ca="1" si="19"/>
        <v>0</v>
      </c>
      <c r="X59" s="869">
        <f t="shared" ca="1" si="20"/>
        <v>3283153.9158884846</v>
      </c>
      <c r="Y59" s="869">
        <f t="shared" ca="1" si="21"/>
        <v>-261803.30374999996</v>
      </c>
      <c r="Z59" s="869">
        <f t="shared" ca="1" si="22"/>
        <v>-13779.12125</v>
      </c>
      <c r="AA59" s="869">
        <f t="shared" ca="1" si="23"/>
        <v>-275582.42499999999</v>
      </c>
      <c r="AB59" s="867">
        <f t="shared" ca="1" si="24"/>
        <v>0</v>
      </c>
      <c r="AC59" s="161"/>
      <c r="AD59" s="869">
        <f t="shared" ca="1" si="25"/>
        <v>3020431.3815714791</v>
      </c>
      <c r="AE59" s="867" cm="1">
        <f t="array" aca="1" ref="AE59" ca="1">IF($G59=0,0,-MIN(0,$G59*c_equity.LPshare))</f>
        <v>261803.30374999996</v>
      </c>
      <c r="AF59" s="869" cm="1">
        <f t="array" aca="1" ref="AF59" ca="1">IF($D59=0,0,AD59*(c_rate.Hurdle2.MO))</f>
        <v>28660.24795284836</v>
      </c>
      <c r="AG59" s="869">
        <f t="shared" ca="1" si="26"/>
        <v>0</v>
      </c>
      <c r="AH59" s="869">
        <f t="shared" ca="1" si="27"/>
        <v>0</v>
      </c>
      <c r="AI59" s="869">
        <f t="shared" ca="1" si="28"/>
        <v>3310894.9332743273</v>
      </c>
      <c r="AJ59" s="868">
        <f t="shared" ca="1" si="6"/>
        <v>-261803.30374999996</v>
      </c>
      <c r="AK59" s="867">
        <f t="shared" ca="1" si="29"/>
        <v>-261803.30374999996</v>
      </c>
      <c r="AL59" s="869">
        <f t="shared" ca="1" si="7"/>
        <v>-13779.12125</v>
      </c>
      <c r="AM59" s="869">
        <f t="shared" ca="1" si="30"/>
        <v>-275582.42499999999</v>
      </c>
      <c r="AN59" s="867">
        <f t="shared" ca="1" si="3"/>
        <v>0</v>
      </c>
      <c r="AO59" s="161"/>
      <c r="AP59" s="869">
        <f t="shared" ca="1" si="31"/>
        <v>3043245.756368544</v>
      </c>
      <c r="AQ59" s="867" cm="1">
        <f t="array" aca="1" ref="AQ59" ca="1">IF($G59=0,0,-MIN(0,$G59*c_equity.LPshare))</f>
        <v>261803.30374999996</v>
      </c>
      <c r="AR59" s="869" cm="1">
        <f t="array" aca="1" ref="AR59" ca="1">IF($D59=0,0,AP59*(c_rate.Hurdle3.MO))</f>
        <v>33411.344607163868</v>
      </c>
      <c r="AS59" s="869">
        <f t="shared" ca="1" si="32"/>
        <v>0</v>
      </c>
      <c r="AT59" s="869">
        <f t="shared" ca="1" si="33"/>
        <v>0</v>
      </c>
      <c r="AU59" s="869">
        <f t="shared" ca="1" si="34"/>
        <v>3338460.4047257076</v>
      </c>
      <c r="AV59" s="870">
        <f t="shared" ca="1" si="35"/>
        <v>-261803.30374999996</v>
      </c>
      <c r="AW59" s="867">
        <f t="shared" ca="1" si="36"/>
        <v>-261803.30374999996</v>
      </c>
      <c r="AX59" s="869">
        <f t="shared" ca="1" si="8"/>
        <v>-13779.12125</v>
      </c>
      <c r="AY59" s="869">
        <f t="shared" ca="1" si="37"/>
        <v>-275582.42499999999</v>
      </c>
      <c r="AZ59" s="867">
        <f t="shared" ca="1" si="38"/>
        <v>0</v>
      </c>
      <c r="BA59" s="161"/>
      <c r="BB59" s="867">
        <f t="shared" ca="1" si="39"/>
        <v>0</v>
      </c>
      <c r="BC59" s="867">
        <f t="shared" ca="1" si="4"/>
        <v>0</v>
      </c>
      <c r="BD59" s="658"/>
      <c r="BE59" s="867">
        <f t="shared" ca="1" si="40"/>
        <v>-261803.30374999996</v>
      </c>
      <c r="BF59" s="867">
        <f t="shared" ca="1" si="41"/>
        <v>-13779.12125</v>
      </c>
      <c r="BG59" s="867">
        <f t="shared" ca="1" si="42"/>
        <v>-275582.42499999999</v>
      </c>
      <c r="BI59" s="867">
        <f ca="1"/>
        <v>-275582.42499999999</v>
      </c>
      <c r="BJ59" s="867">
        <f ca="1"/>
        <v>-261803.30374999996</v>
      </c>
      <c r="BK59" s="867">
        <f ca="1"/>
        <v>-13779.12125</v>
      </c>
      <c r="BL59" s="867">
        <f t="shared" ca="1" si="43"/>
        <v>0</v>
      </c>
      <c r="BM59" s="867">
        <f t="shared" ca="1" si="44"/>
        <v>0</v>
      </c>
      <c r="BN59" s="867">
        <f t="shared" ca="1" si="45"/>
        <v>0</v>
      </c>
      <c r="BO59" s="867">
        <f t="shared" ca="1" si="46"/>
        <v>0</v>
      </c>
      <c r="BP59" s="867">
        <f t="shared" ca="1" si="47"/>
        <v>0</v>
      </c>
      <c r="BQ59" s="867">
        <f t="shared" ca="1" si="48"/>
        <v>0</v>
      </c>
      <c r="BR59" s="867">
        <f ca="1"/>
        <v>0</v>
      </c>
      <c r="BS59" s="867">
        <f ca="1"/>
        <v>0</v>
      </c>
      <c r="BT59" s="867">
        <f t="shared" ca="1" si="9"/>
        <v>-261803.30374999996</v>
      </c>
      <c r="BU59" s="867">
        <f t="shared" ca="1" si="49"/>
        <v>-13779.12125</v>
      </c>
      <c r="BV59" s="829">
        <f t="shared" ca="1" si="10"/>
        <v>-2.5465851649641991E-11</v>
      </c>
      <c r="BX59" s="867">
        <f ca="1"/>
        <v>-275582.42499999999</v>
      </c>
      <c r="BY59" s="867">
        <f t="shared" ca="1" si="50"/>
        <v>-275582.42499999999</v>
      </c>
      <c r="BZ59" s="867">
        <f t="shared" ca="1" si="51"/>
        <v>0</v>
      </c>
      <c r="CA59" s="867">
        <f t="shared" ca="1" si="52"/>
        <v>0</v>
      </c>
      <c r="CB59" s="867">
        <f t="shared" ca="1" si="53"/>
        <v>0</v>
      </c>
      <c r="CC59" s="867">
        <f t="shared" ca="1" si="54"/>
        <v>0</v>
      </c>
      <c r="CD59" s="867">
        <f t="shared" ca="1" si="55"/>
        <v>-275582.42499999999</v>
      </c>
    </row>
    <row r="60" spans="1:82" ht="17" thickTop="1" thickBot="1">
      <c r="A60" s="773">
        <f t="shared" si="5"/>
        <v>1</v>
      </c>
      <c r="B60" s="779"/>
      <c r="C60" s="572"/>
      <c r="D60" s="660">
        <v>13</v>
      </c>
      <c r="E60" s="661">
        <v>45658</v>
      </c>
      <c r="F60" s="862">
        <v>2</v>
      </c>
      <c r="G60" s="863">
        <f ca="1"/>
        <v>-106335582.425</v>
      </c>
      <c r="H60" s="961"/>
      <c r="I60" s="865">
        <f t="shared" ca="1" si="11"/>
        <v>3255232.5590513512</v>
      </c>
      <c r="J60" s="864" cm="1">
        <f t="array" aca="1" ref="J60" ca="1">IF($G60=0,0,-MIN(0,G60*c_equity.LPshare))</f>
        <v>101018803.30374999</v>
      </c>
      <c r="K60" s="865" cm="1">
        <f t="array" aca="1" ref="K60" ca="1">I60*c_rate.Pref.MO</f>
        <v>20944.264299999912</v>
      </c>
      <c r="L60" s="865">
        <f t="shared" ca="1" si="12"/>
        <v>0</v>
      </c>
      <c r="M60" s="865">
        <f t="shared" ca="1" si="13"/>
        <v>104294980.12710135</v>
      </c>
      <c r="N60" s="865">
        <f t="shared" ca="1" si="14"/>
        <v>-101018803.30374999</v>
      </c>
      <c r="O60" s="864" cm="1">
        <f t="array" aca="1" ref="O60" ca="1">IF(N60=0,0,IF(G60&lt;0,N60/c_equity.LPshare*i_equity.GPshare,L60/c_equity.LPshare*i_equity.GPshare))</f>
        <v>-5316779.1212499999</v>
      </c>
      <c r="P60" s="865">
        <f t="shared" ca="1" si="15"/>
        <v>-106335582.425</v>
      </c>
      <c r="Q60" s="865">
        <f t="shared" ca="1" si="16"/>
        <v>0</v>
      </c>
      <c r="R60" s="161"/>
      <c r="S60" s="867">
        <f t="shared" ca="1" si="17"/>
        <v>3283153.9158884846</v>
      </c>
      <c r="T60" s="867" cm="1">
        <f t="array" aca="1" ref="T60" ca="1">IF($G60=0,0,-MIN(0,$G60*c_equity.LPshare))</f>
        <v>101018803.30374999</v>
      </c>
      <c r="U60" s="869" cm="1">
        <f t="array" aca="1" ref="U60" ca="1">IF($D60=0,0,S60*c_rate.Hurdle1.MO)</f>
        <v>26180.330375000074</v>
      </c>
      <c r="V60" s="867">
        <f t="shared" ca="1" si="18"/>
        <v>0</v>
      </c>
      <c r="W60" s="867">
        <f t="shared" ca="1" si="19"/>
        <v>0</v>
      </c>
      <c r="X60" s="869">
        <f t="shared" ca="1" si="20"/>
        <v>104328137.55001348</v>
      </c>
      <c r="Y60" s="869">
        <f t="shared" ca="1" si="21"/>
        <v>-101018803.30374999</v>
      </c>
      <c r="Z60" s="869">
        <f t="shared" ca="1" si="22"/>
        <v>-5316779.1212499999</v>
      </c>
      <c r="AA60" s="869">
        <f t="shared" ca="1" si="23"/>
        <v>-106335582.425</v>
      </c>
      <c r="AB60" s="867">
        <f t="shared" ca="1" si="24"/>
        <v>0</v>
      </c>
      <c r="AC60" s="161"/>
      <c r="AD60" s="869">
        <f t="shared" ca="1" si="25"/>
        <v>3310894.9332743273</v>
      </c>
      <c r="AE60" s="867" cm="1">
        <f t="array" aca="1" ref="AE60" ca="1">IF($G60=0,0,-MIN(0,$G60*c_equity.LPshare))</f>
        <v>101018803.30374999</v>
      </c>
      <c r="AF60" s="869" cm="1">
        <f t="array" aca="1" ref="AF60" ca="1">IF($D60=0,0,AD60*(c_rate.Hurdle2.MO))</f>
        <v>31416.39645000024</v>
      </c>
      <c r="AG60" s="869">
        <f t="shared" ca="1" si="26"/>
        <v>0</v>
      </c>
      <c r="AH60" s="869">
        <f t="shared" ca="1" si="27"/>
        <v>0</v>
      </c>
      <c r="AI60" s="869">
        <f t="shared" ca="1" si="28"/>
        <v>104361114.63347432</v>
      </c>
      <c r="AJ60" s="868">
        <f t="shared" ca="1" si="6"/>
        <v>-101018803.30374999</v>
      </c>
      <c r="AK60" s="867">
        <f t="shared" ca="1" si="29"/>
        <v>-101018803.30374999</v>
      </c>
      <c r="AL60" s="869">
        <f t="shared" ca="1" si="7"/>
        <v>-5316779.1212499999</v>
      </c>
      <c r="AM60" s="869">
        <f t="shared" ca="1" si="30"/>
        <v>-106335582.425</v>
      </c>
      <c r="AN60" s="867">
        <f t="shared" ca="1" si="3"/>
        <v>0</v>
      </c>
      <c r="AO60" s="161"/>
      <c r="AP60" s="869">
        <f t="shared" ca="1" si="31"/>
        <v>3338460.4047257076</v>
      </c>
      <c r="AQ60" s="867" cm="1">
        <f t="array" aca="1" ref="AQ60" ca="1">IF($G60=0,0,-MIN(0,$G60*c_equity.LPshare))</f>
        <v>101018803.30374999</v>
      </c>
      <c r="AR60" s="869" cm="1">
        <f t="array" aca="1" ref="AR60" ca="1">IF($D60=0,0,AP60*(c_rate.Hurdle3.MO))</f>
        <v>36652.462524999683</v>
      </c>
      <c r="AS60" s="869">
        <f t="shared" ca="1" si="32"/>
        <v>0</v>
      </c>
      <c r="AT60" s="869">
        <f t="shared" ca="1" si="33"/>
        <v>0</v>
      </c>
      <c r="AU60" s="869">
        <f t="shared" ca="1" si="34"/>
        <v>104393916.1710007</v>
      </c>
      <c r="AV60" s="870">
        <f t="shared" ca="1" si="35"/>
        <v>-101018803.30374999</v>
      </c>
      <c r="AW60" s="867">
        <f t="shared" ca="1" si="36"/>
        <v>-101018803.30374999</v>
      </c>
      <c r="AX60" s="869">
        <f t="shared" ca="1" si="8"/>
        <v>-5316779.1212499999</v>
      </c>
      <c r="AY60" s="869">
        <f t="shared" ca="1" si="37"/>
        <v>-106335582.425</v>
      </c>
      <c r="AZ60" s="867">
        <f t="shared" ca="1" si="38"/>
        <v>0</v>
      </c>
      <c r="BA60" s="161"/>
      <c r="BB60" s="867">
        <f t="shared" ca="1" si="39"/>
        <v>0</v>
      </c>
      <c r="BC60" s="867">
        <f t="shared" ca="1" si="4"/>
        <v>0</v>
      </c>
      <c r="BD60" s="658"/>
      <c r="BE60" s="867">
        <f t="shared" ca="1" si="40"/>
        <v>-101018803.30374999</v>
      </c>
      <c r="BF60" s="867">
        <f t="shared" ca="1" si="41"/>
        <v>-5316779.1212499999</v>
      </c>
      <c r="BG60" s="867">
        <f t="shared" ca="1" si="42"/>
        <v>-106335582.425</v>
      </c>
      <c r="BI60" s="867">
        <f ca="1"/>
        <v>-106335582.425</v>
      </c>
      <c r="BJ60" s="867">
        <f ca="1"/>
        <v>-101018803.30374999</v>
      </c>
      <c r="BK60" s="867">
        <f ca="1"/>
        <v>-5316779.1212499999</v>
      </c>
      <c r="BL60" s="867">
        <f t="shared" ca="1" si="43"/>
        <v>0</v>
      </c>
      <c r="BM60" s="867">
        <f t="shared" ca="1" si="44"/>
        <v>0</v>
      </c>
      <c r="BN60" s="867">
        <f t="shared" ca="1" si="45"/>
        <v>0</v>
      </c>
      <c r="BO60" s="867">
        <f t="shared" ca="1" si="46"/>
        <v>0</v>
      </c>
      <c r="BP60" s="867">
        <f t="shared" ca="1" si="47"/>
        <v>0</v>
      </c>
      <c r="BQ60" s="867">
        <f t="shared" ca="1" si="48"/>
        <v>0</v>
      </c>
      <c r="BR60" s="867">
        <f ca="1"/>
        <v>0</v>
      </c>
      <c r="BS60" s="867">
        <f ca="1"/>
        <v>0</v>
      </c>
      <c r="BT60" s="867">
        <f t="shared" ca="1" si="9"/>
        <v>-101018803.30374999</v>
      </c>
      <c r="BU60" s="867">
        <f t="shared" ca="1" si="49"/>
        <v>-5316779.1212499999</v>
      </c>
      <c r="BV60" s="829">
        <f t="shared" ca="1" si="10"/>
        <v>0</v>
      </c>
      <c r="BX60" s="867">
        <f ca="1"/>
        <v>-106335582.425</v>
      </c>
      <c r="BY60" s="867">
        <f t="shared" ca="1" si="50"/>
        <v>-106335582.425</v>
      </c>
      <c r="BZ60" s="867">
        <f t="shared" ca="1" si="51"/>
        <v>0</v>
      </c>
      <c r="CA60" s="867">
        <f t="shared" ca="1" si="52"/>
        <v>0</v>
      </c>
      <c r="CB60" s="867">
        <f t="shared" ca="1" si="53"/>
        <v>0</v>
      </c>
      <c r="CC60" s="867">
        <f t="shared" ca="1" si="54"/>
        <v>0</v>
      </c>
      <c r="CD60" s="867">
        <f t="shared" ca="1" si="55"/>
        <v>-106335582.425</v>
      </c>
    </row>
    <row r="61" spans="1:82" ht="17" thickTop="1" thickBot="1">
      <c r="A61" s="773">
        <f t="shared" si="5"/>
        <v>1</v>
      </c>
      <c r="B61" s="779"/>
      <c r="C61" s="572"/>
      <c r="D61" s="660">
        <v>14</v>
      </c>
      <c r="E61" s="661">
        <v>45689</v>
      </c>
      <c r="F61" s="862">
        <v>2</v>
      </c>
      <c r="G61" s="863">
        <f ca="1"/>
        <v>-285582.42499999999</v>
      </c>
      <c r="H61" s="961"/>
      <c r="I61" s="865">
        <f t="shared" ca="1" si="11"/>
        <v>104294980.12710135</v>
      </c>
      <c r="J61" s="864" cm="1">
        <f t="array" aca="1" ref="J61" ca="1">IF($G61=0,0,-MIN(0,G61*c_equity.LPshare))</f>
        <v>271303.30374999996</v>
      </c>
      <c r="K61" s="865" cm="1">
        <f t="array" aca="1" ref="K61" ca="1">I61*c_rate.Pref.MO</f>
        <v>671037.04245997942</v>
      </c>
      <c r="L61" s="865">
        <f t="shared" ca="1" si="12"/>
        <v>0</v>
      </c>
      <c r="M61" s="865">
        <f t="shared" ca="1" si="13"/>
        <v>105237320.47331132</v>
      </c>
      <c r="N61" s="865">
        <f t="shared" ca="1" si="14"/>
        <v>-271303.30374999996</v>
      </c>
      <c r="O61" s="864" cm="1">
        <f t="array" aca="1" ref="O61" ca="1">IF(N61=0,0,IF(G61&lt;0,N61/c_equity.LPshare*i_equity.GPshare,L61/c_equity.LPshare*i_equity.GPshare))</f>
        <v>-14279.12125</v>
      </c>
      <c r="P61" s="865">
        <f t="shared" ca="1" si="15"/>
        <v>-285582.42499999999</v>
      </c>
      <c r="Q61" s="865">
        <f t="shared" ca="1" si="16"/>
        <v>0</v>
      </c>
      <c r="R61" s="161"/>
      <c r="S61" s="867">
        <f t="shared" ca="1" si="17"/>
        <v>104328137.55001348</v>
      </c>
      <c r="T61" s="867" cm="1">
        <f t="array" aca="1" ref="T61" ca="1">IF($G61=0,0,-MIN(0,$G61*c_equity.LPshare))</f>
        <v>271303.30374999996</v>
      </c>
      <c r="U61" s="869" cm="1">
        <f t="array" aca="1" ref="U61" ca="1">IF($D61=0,0,S61*c_rate.Hurdle1.MO)</f>
        <v>831927.21950979542</v>
      </c>
      <c r="V61" s="867">
        <f t="shared" ca="1" si="18"/>
        <v>0</v>
      </c>
      <c r="W61" s="867">
        <f t="shared" ca="1" si="19"/>
        <v>0</v>
      </c>
      <c r="X61" s="869">
        <f t="shared" ca="1" si="20"/>
        <v>105431368.07327327</v>
      </c>
      <c r="Y61" s="869">
        <f t="shared" ca="1" si="21"/>
        <v>-271303.30374999996</v>
      </c>
      <c r="Z61" s="869">
        <f t="shared" ca="1" si="22"/>
        <v>-14279.12125</v>
      </c>
      <c r="AA61" s="869">
        <f t="shared" ca="1" si="23"/>
        <v>-285582.42499999999</v>
      </c>
      <c r="AB61" s="867">
        <f t="shared" ca="1" si="24"/>
        <v>0</v>
      </c>
      <c r="AC61" s="161"/>
      <c r="AD61" s="869">
        <f t="shared" ca="1" si="25"/>
        <v>104361114.63347432</v>
      </c>
      <c r="AE61" s="867" cm="1">
        <f t="array" aca="1" ref="AE61" ca="1">IF($G61=0,0,-MIN(0,$G61*c_equity.LPshare))</f>
        <v>271303.30374999996</v>
      </c>
      <c r="AF61" s="869" cm="1">
        <f t="array" aca="1" ref="AF61" ca="1">IF($D61=0,0,AD61*(c_rate.Hurdle2.MO))</f>
        <v>990261.00717932242</v>
      </c>
      <c r="AG61" s="869">
        <f t="shared" ca="1" si="26"/>
        <v>0</v>
      </c>
      <c r="AH61" s="869">
        <f t="shared" ca="1" si="27"/>
        <v>0</v>
      </c>
      <c r="AI61" s="869">
        <f t="shared" ca="1" si="28"/>
        <v>105622678.94440363</v>
      </c>
      <c r="AJ61" s="868">
        <f t="shared" ca="1" si="6"/>
        <v>-271303.30374999996</v>
      </c>
      <c r="AK61" s="867">
        <f t="shared" ca="1" si="29"/>
        <v>-271303.30374999996</v>
      </c>
      <c r="AL61" s="869">
        <f t="shared" ca="1" si="7"/>
        <v>-14279.12125</v>
      </c>
      <c r="AM61" s="869">
        <f t="shared" ca="1" si="30"/>
        <v>-285582.42499999999</v>
      </c>
      <c r="AN61" s="867">
        <f t="shared" ca="1" si="3"/>
        <v>0</v>
      </c>
      <c r="AO61" s="161"/>
      <c r="AP61" s="869">
        <f t="shared" ca="1" si="31"/>
        <v>104393916.1710007</v>
      </c>
      <c r="AQ61" s="867" cm="1">
        <f t="array" aca="1" ref="AQ61" ca="1">IF($G61=0,0,-MIN(0,$G61*c_equity.LPshare))</f>
        <v>271303.30374999996</v>
      </c>
      <c r="AR61" s="869" cm="1">
        <f t="array" aca="1" ref="AR61" ca="1">IF($D61=0,0,AP61*(c_rate.Hurdle3.MO))</f>
        <v>1146125.3501402349</v>
      </c>
      <c r="AS61" s="869">
        <f t="shared" ca="1" si="32"/>
        <v>0</v>
      </c>
      <c r="AT61" s="869">
        <f t="shared" ca="1" si="33"/>
        <v>0</v>
      </c>
      <c r="AU61" s="869">
        <f t="shared" ca="1" si="34"/>
        <v>105811344.82489093</v>
      </c>
      <c r="AV61" s="870">
        <f t="shared" ca="1" si="35"/>
        <v>-271303.30374999996</v>
      </c>
      <c r="AW61" s="867">
        <f t="shared" ca="1" si="36"/>
        <v>-271303.30374999996</v>
      </c>
      <c r="AX61" s="869">
        <f t="shared" ca="1" si="8"/>
        <v>-14279.12125</v>
      </c>
      <c r="AY61" s="869">
        <f t="shared" ca="1" si="37"/>
        <v>-285582.42499999999</v>
      </c>
      <c r="AZ61" s="867">
        <f t="shared" ca="1" si="38"/>
        <v>0</v>
      </c>
      <c r="BA61" s="161"/>
      <c r="BB61" s="867">
        <f t="shared" ca="1" si="39"/>
        <v>0</v>
      </c>
      <c r="BC61" s="867">
        <f t="shared" ca="1" si="4"/>
        <v>0</v>
      </c>
      <c r="BD61" s="658"/>
      <c r="BE61" s="867">
        <f t="shared" ca="1" si="40"/>
        <v>-271303.30374999996</v>
      </c>
      <c r="BF61" s="867">
        <f t="shared" ca="1" si="41"/>
        <v>-14279.12125</v>
      </c>
      <c r="BG61" s="867">
        <f t="shared" ca="1" si="42"/>
        <v>-285582.42499999999</v>
      </c>
      <c r="BI61" s="867">
        <f ca="1"/>
        <v>-285582.42499999999</v>
      </c>
      <c r="BJ61" s="867">
        <f ca="1"/>
        <v>-271303.30374999996</v>
      </c>
      <c r="BK61" s="867">
        <f ca="1"/>
        <v>-14279.12125</v>
      </c>
      <c r="BL61" s="867">
        <f t="shared" ca="1" si="43"/>
        <v>0</v>
      </c>
      <c r="BM61" s="867">
        <f t="shared" ca="1" si="44"/>
        <v>0</v>
      </c>
      <c r="BN61" s="867">
        <f t="shared" ca="1" si="45"/>
        <v>0</v>
      </c>
      <c r="BO61" s="867">
        <f t="shared" ca="1" si="46"/>
        <v>0</v>
      </c>
      <c r="BP61" s="867">
        <f t="shared" ca="1" si="47"/>
        <v>0</v>
      </c>
      <c r="BQ61" s="867">
        <f t="shared" ca="1" si="48"/>
        <v>0</v>
      </c>
      <c r="BR61" s="867">
        <f ca="1"/>
        <v>0</v>
      </c>
      <c r="BS61" s="867">
        <f ca="1"/>
        <v>0</v>
      </c>
      <c r="BT61" s="867">
        <f t="shared" ca="1" si="9"/>
        <v>-271303.30374999996</v>
      </c>
      <c r="BU61" s="867">
        <f t="shared" ca="1" si="49"/>
        <v>-14279.12125</v>
      </c>
      <c r="BV61" s="829">
        <f t="shared" ca="1" si="10"/>
        <v>-2.5465851649641991E-11</v>
      </c>
      <c r="BX61" s="867">
        <f ca="1"/>
        <v>-285582.42499999999</v>
      </c>
      <c r="BY61" s="867">
        <f t="shared" ca="1" si="50"/>
        <v>-285582.42499999999</v>
      </c>
      <c r="BZ61" s="867">
        <f t="shared" ca="1" si="51"/>
        <v>0</v>
      </c>
      <c r="CA61" s="867">
        <f t="shared" ca="1" si="52"/>
        <v>0</v>
      </c>
      <c r="CB61" s="867">
        <f t="shared" ca="1" si="53"/>
        <v>0</v>
      </c>
      <c r="CC61" s="867">
        <f t="shared" ca="1" si="54"/>
        <v>0</v>
      </c>
      <c r="CD61" s="867">
        <f t="shared" ca="1" si="55"/>
        <v>-285582.42499999999</v>
      </c>
    </row>
    <row r="62" spans="1:82" ht="17" thickTop="1" thickBot="1">
      <c r="A62" s="773">
        <f t="shared" si="5"/>
        <v>1</v>
      </c>
      <c r="B62" s="779"/>
      <c r="C62" s="572"/>
      <c r="D62" s="660">
        <v>15</v>
      </c>
      <c r="E62" s="661">
        <v>45717</v>
      </c>
      <c r="F62" s="862">
        <v>2</v>
      </c>
      <c r="G62" s="863">
        <f ca="1"/>
        <v>-285582.42499999999</v>
      </c>
      <c r="H62" s="961"/>
      <c r="I62" s="865">
        <f t="shared" ca="1" si="11"/>
        <v>105237320.47331132</v>
      </c>
      <c r="J62" s="864" cm="1">
        <f t="array" aca="1" ref="J62" ca="1">IF($G62=0,0,-MIN(0,G62*c_equity.LPshare))</f>
        <v>271303.30374999996</v>
      </c>
      <c r="K62" s="865" cm="1">
        <f t="array" aca="1" ref="K62" ca="1">I62*c_rate.Pref.MO</f>
        <v>677100.08862136549</v>
      </c>
      <c r="L62" s="865">
        <f t="shared" ca="1" si="12"/>
        <v>0</v>
      </c>
      <c r="M62" s="865">
        <f t="shared" ca="1" si="13"/>
        <v>106185723.86568268</v>
      </c>
      <c r="N62" s="865">
        <f t="shared" ca="1" si="14"/>
        <v>-271303.30374999996</v>
      </c>
      <c r="O62" s="864" cm="1">
        <f t="array" aca="1" ref="O62" ca="1">IF(N62=0,0,IF(G62&lt;0,N62/c_equity.LPshare*i_equity.GPshare,L62/c_equity.LPshare*i_equity.GPshare))</f>
        <v>-14279.12125</v>
      </c>
      <c r="P62" s="865">
        <f t="shared" ca="1" si="15"/>
        <v>-285582.42499999999</v>
      </c>
      <c r="Q62" s="865">
        <f t="shared" ca="1" si="16"/>
        <v>0</v>
      </c>
      <c r="R62" s="161"/>
      <c r="S62" s="867">
        <f t="shared" ca="1" si="17"/>
        <v>105431368.07327327</v>
      </c>
      <c r="T62" s="867" cm="1">
        <f t="array" aca="1" ref="T62" ca="1">IF($G62=0,0,-MIN(0,$G62*c_equity.LPshare))</f>
        <v>271303.30374999996</v>
      </c>
      <c r="U62" s="869" cm="1">
        <f t="array" aca="1" ref="U62" ca="1">IF($D62=0,0,S62*c_rate.Hurdle1.MO)</f>
        <v>840724.53462772199</v>
      </c>
      <c r="V62" s="867">
        <f t="shared" ca="1" si="18"/>
        <v>0</v>
      </c>
      <c r="W62" s="867">
        <f t="shared" ca="1" si="19"/>
        <v>0</v>
      </c>
      <c r="X62" s="869">
        <f t="shared" ca="1" si="20"/>
        <v>106543395.91165099</v>
      </c>
      <c r="Y62" s="869">
        <f t="shared" ca="1" si="21"/>
        <v>-271303.30374999996</v>
      </c>
      <c r="Z62" s="869">
        <f t="shared" ca="1" si="22"/>
        <v>-14279.12125</v>
      </c>
      <c r="AA62" s="869">
        <f t="shared" ca="1" si="23"/>
        <v>-285582.42499999999</v>
      </c>
      <c r="AB62" s="867">
        <f t="shared" ca="1" si="24"/>
        <v>0</v>
      </c>
      <c r="AC62" s="161"/>
      <c r="AD62" s="869">
        <f t="shared" ca="1" si="25"/>
        <v>105622678.94440363</v>
      </c>
      <c r="AE62" s="867" cm="1">
        <f t="array" aca="1" ref="AE62" ca="1">IF($G62=0,0,-MIN(0,$G62*c_equity.LPshare))</f>
        <v>271303.30374999996</v>
      </c>
      <c r="AF62" s="869" cm="1">
        <f t="array" aca="1" ref="AF62" ca="1">IF($D62=0,0,AD62*(c_rate.Hurdle2.MO))</f>
        <v>1002231.7296993906</v>
      </c>
      <c r="AG62" s="869">
        <f t="shared" ca="1" si="26"/>
        <v>0</v>
      </c>
      <c r="AH62" s="869">
        <f t="shared" ca="1" si="27"/>
        <v>0</v>
      </c>
      <c r="AI62" s="869">
        <f t="shared" ca="1" si="28"/>
        <v>106896213.97785302</v>
      </c>
      <c r="AJ62" s="868">
        <f t="shared" ca="1" si="6"/>
        <v>-271303.30374999996</v>
      </c>
      <c r="AK62" s="867">
        <f t="shared" ca="1" si="29"/>
        <v>-271303.30374999996</v>
      </c>
      <c r="AL62" s="869">
        <f t="shared" ca="1" si="7"/>
        <v>-14279.12125</v>
      </c>
      <c r="AM62" s="869">
        <f t="shared" ca="1" si="30"/>
        <v>-285582.42499999999</v>
      </c>
      <c r="AN62" s="867">
        <f t="shared" ca="1" si="3"/>
        <v>0</v>
      </c>
      <c r="AO62" s="161"/>
      <c r="AP62" s="869">
        <f t="shared" ca="1" si="31"/>
        <v>105811344.82489093</v>
      </c>
      <c r="AQ62" s="867" cm="1">
        <f t="array" aca="1" ref="AQ62" ca="1">IF($G62=0,0,-MIN(0,$G62*c_equity.LPshare))</f>
        <v>271303.30374999996</v>
      </c>
      <c r="AR62" s="869" cm="1">
        <f t="array" aca="1" ref="AR62" ca="1">IF($D62=0,0,AP62*(c_rate.Hurdle3.MO))</f>
        <v>1161687.0894812292</v>
      </c>
      <c r="AS62" s="869">
        <f t="shared" ca="1" si="32"/>
        <v>0</v>
      </c>
      <c r="AT62" s="869">
        <f t="shared" ca="1" si="33"/>
        <v>0</v>
      </c>
      <c r="AU62" s="869">
        <f t="shared" ca="1" si="34"/>
        <v>107244335.21812215</v>
      </c>
      <c r="AV62" s="870">
        <f t="shared" ca="1" si="35"/>
        <v>-271303.30374999996</v>
      </c>
      <c r="AW62" s="867">
        <f t="shared" ca="1" si="36"/>
        <v>-271303.30374999996</v>
      </c>
      <c r="AX62" s="869">
        <f t="shared" ca="1" si="8"/>
        <v>-14279.12125</v>
      </c>
      <c r="AY62" s="869">
        <f t="shared" ca="1" si="37"/>
        <v>-285582.42499999999</v>
      </c>
      <c r="AZ62" s="867">
        <f t="shared" ca="1" si="38"/>
        <v>0</v>
      </c>
      <c r="BA62" s="161"/>
      <c r="BB62" s="867">
        <f t="shared" ca="1" si="39"/>
        <v>0</v>
      </c>
      <c r="BC62" s="867">
        <f t="shared" ca="1" si="4"/>
        <v>0</v>
      </c>
      <c r="BD62" s="658"/>
      <c r="BE62" s="867">
        <f t="shared" ca="1" si="40"/>
        <v>-271303.30374999996</v>
      </c>
      <c r="BF62" s="867">
        <f t="shared" ca="1" si="41"/>
        <v>-14279.12125</v>
      </c>
      <c r="BG62" s="867">
        <f t="shared" ca="1" si="42"/>
        <v>-285582.42499999999</v>
      </c>
      <c r="BI62" s="867">
        <f ca="1"/>
        <v>-285582.42499999999</v>
      </c>
      <c r="BJ62" s="867">
        <f ca="1"/>
        <v>-271303.30374999996</v>
      </c>
      <c r="BK62" s="867">
        <f ca="1"/>
        <v>-14279.12125</v>
      </c>
      <c r="BL62" s="867">
        <f t="shared" ca="1" si="43"/>
        <v>0</v>
      </c>
      <c r="BM62" s="867">
        <f t="shared" ca="1" si="44"/>
        <v>0</v>
      </c>
      <c r="BN62" s="867">
        <f t="shared" ca="1" si="45"/>
        <v>0</v>
      </c>
      <c r="BO62" s="867">
        <f t="shared" ca="1" si="46"/>
        <v>0</v>
      </c>
      <c r="BP62" s="867">
        <f t="shared" ca="1" si="47"/>
        <v>0</v>
      </c>
      <c r="BQ62" s="867">
        <f t="shared" ca="1" si="48"/>
        <v>0</v>
      </c>
      <c r="BR62" s="867">
        <f ca="1"/>
        <v>0</v>
      </c>
      <c r="BS62" s="867">
        <f ca="1"/>
        <v>0</v>
      </c>
      <c r="BT62" s="867">
        <f t="shared" ca="1" si="9"/>
        <v>-271303.30374999996</v>
      </c>
      <c r="BU62" s="867">
        <f t="shared" ca="1" si="49"/>
        <v>-14279.12125</v>
      </c>
      <c r="BV62" s="829">
        <f t="shared" ca="1" si="10"/>
        <v>-2.5465851649641991E-11</v>
      </c>
      <c r="BX62" s="867">
        <f ca="1"/>
        <v>-285582.42499999999</v>
      </c>
      <c r="BY62" s="867">
        <f t="shared" ca="1" si="50"/>
        <v>-285582.42499999999</v>
      </c>
      <c r="BZ62" s="867">
        <f t="shared" ca="1" si="51"/>
        <v>0</v>
      </c>
      <c r="CA62" s="867">
        <f t="shared" ca="1" si="52"/>
        <v>0</v>
      </c>
      <c r="CB62" s="867">
        <f t="shared" ca="1" si="53"/>
        <v>0</v>
      </c>
      <c r="CC62" s="867">
        <f t="shared" ca="1" si="54"/>
        <v>0</v>
      </c>
      <c r="CD62" s="867">
        <f t="shared" ca="1" si="55"/>
        <v>-285582.42499999999</v>
      </c>
    </row>
    <row r="63" spans="1:82" ht="17" thickTop="1" thickBot="1">
      <c r="A63" s="773">
        <f t="shared" si="5"/>
        <v>1</v>
      </c>
      <c r="B63" s="779"/>
      <c r="C63" s="572"/>
      <c r="D63" s="660">
        <v>16</v>
      </c>
      <c r="E63" s="661">
        <v>45748</v>
      </c>
      <c r="F63" s="862">
        <v>2</v>
      </c>
      <c r="G63" s="863">
        <f ca="1"/>
        <v>-285582.42499999999</v>
      </c>
      <c r="H63" s="961"/>
      <c r="I63" s="865">
        <f t="shared" ca="1" si="11"/>
        <v>106185723.86568268</v>
      </c>
      <c r="J63" s="864" cm="1">
        <f t="array" aca="1" ref="J63" ca="1">IF($G63=0,0,-MIN(0,G63*c_equity.LPshare))</f>
        <v>271303.30374999996</v>
      </c>
      <c r="K63" s="865" cm="1">
        <f t="array" aca="1" ref="K63" ca="1">I63*c_rate.Pref.MO</f>
        <v>683202.14460431214</v>
      </c>
      <c r="L63" s="865">
        <f t="shared" ca="1" si="12"/>
        <v>0</v>
      </c>
      <c r="M63" s="865">
        <f t="shared" ca="1" si="13"/>
        <v>107140229.31403698</v>
      </c>
      <c r="N63" s="865">
        <f t="shared" ca="1" si="14"/>
        <v>-271303.30374999996</v>
      </c>
      <c r="O63" s="864" cm="1">
        <f t="array" aca="1" ref="O63" ca="1">IF(N63=0,0,IF(G63&lt;0,N63/c_equity.LPshare*i_equity.GPshare,L63/c_equity.LPshare*i_equity.GPshare))</f>
        <v>-14279.12125</v>
      </c>
      <c r="P63" s="865">
        <f t="shared" ca="1" si="15"/>
        <v>-285582.42499999999</v>
      </c>
      <c r="Q63" s="865">
        <f t="shared" ca="1" si="16"/>
        <v>0</v>
      </c>
      <c r="R63" s="161"/>
      <c r="S63" s="867">
        <f t="shared" ca="1" si="17"/>
        <v>106543395.91165099</v>
      </c>
      <c r="T63" s="867" cm="1">
        <f t="array" aca="1" ref="T63" ca="1">IF($G63=0,0,-MIN(0,$G63*c_equity.LPshare))</f>
        <v>271303.30374999996</v>
      </c>
      <c r="U63" s="869" cm="1">
        <f t="array" aca="1" ref="U63" ca="1">IF($D63=0,0,S63*c_rate.Hurdle1.MO)</f>
        <v>849592.0007717961</v>
      </c>
      <c r="V63" s="867">
        <f t="shared" ca="1" si="18"/>
        <v>0</v>
      </c>
      <c r="W63" s="867">
        <f t="shared" ca="1" si="19"/>
        <v>0</v>
      </c>
      <c r="X63" s="869">
        <f t="shared" ca="1" si="20"/>
        <v>107664291.21617277</v>
      </c>
      <c r="Y63" s="869">
        <f t="shared" ca="1" si="21"/>
        <v>-271303.30374999996</v>
      </c>
      <c r="Z63" s="869">
        <f t="shared" ca="1" si="22"/>
        <v>-14279.12125</v>
      </c>
      <c r="AA63" s="869">
        <f t="shared" ca="1" si="23"/>
        <v>-285582.42499999999</v>
      </c>
      <c r="AB63" s="867">
        <f t="shared" ca="1" si="24"/>
        <v>0</v>
      </c>
      <c r="AC63" s="161"/>
      <c r="AD63" s="869">
        <f t="shared" ca="1" si="25"/>
        <v>106896213.97785302</v>
      </c>
      <c r="AE63" s="867" cm="1">
        <f t="array" aca="1" ref="AE63" ca="1">IF($G63=0,0,-MIN(0,$G63*c_equity.LPshare))</f>
        <v>271303.30374999996</v>
      </c>
      <c r="AF63" s="869" cm="1">
        <f t="array" aca="1" ref="AF63" ca="1">IF($D63=0,0,AD63*(c_rate.Hurdle2.MO))</f>
        <v>1014316.039926729</v>
      </c>
      <c r="AG63" s="869">
        <f t="shared" ca="1" si="26"/>
        <v>0</v>
      </c>
      <c r="AH63" s="869">
        <f t="shared" ca="1" si="27"/>
        <v>0</v>
      </c>
      <c r="AI63" s="869">
        <f t="shared" ca="1" si="28"/>
        <v>108181833.32152973</v>
      </c>
      <c r="AJ63" s="868">
        <f t="shared" ca="1" si="6"/>
        <v>-271303.30374999996</v>
      </c>
      <c r="AK63" s="867">
        <f t="shared" ca="1" si="29"/>
        <v>-271303.30374999996</v>
      </c>
      <c r="AL63" s="869">
        <f t="shared" ca="1" si="7"/>
        <v>-14279.12125</v>
      </c>
      <c r="AM63" s="869">
        <f t="shared" ca="1" si="30"/>
        <v>-285582.42499999999</v>
      </c>
      <c r="AN63" s="867">
        <f t="shared" ca="1" si="3"/>
        <v>0</v>
      </c>
      <c r="AO63" s="161"/>
      <c r="AP63" s="869">
        <f t="shared" ca="1" si="31"/>
        <v>107244335.21812215</v>
      </c>
      <c r="AQ63" s="867" cm="1">
        <f t="array" aca="1" ref="AQ63" ca="1">IF($G63=0,0,-MIN(0,$G63*c_equity.LPshare))</f>
        <v>271303.30374999996</v>
      </c>
      <c r="AR63" s="869" cm="1">
        <f t="array" aca="1" ref="AR63" ca="1">IF($D63=0,0,AP63*(c_rate.Hurdle3.MO))</f>
        <v>1177419.6788545358</v>
      </c>
      <c r="AS63" s="869">
        <f t="shared" ca="1" si="32"/>
        <v>0</v>
      </c>
      <c r="AT63" s="869">
        <f t="shared" ca="1" si="33"/>
        <v>0</v>
      </c>
      <c r="AU63" s="869">
        <f t="shared" ca="1" si="34"/>
        <v>108693058.20072669</v>
      </c>
      <c r="AV63" s="870">
        <f t="shared" ca="1" si="35"/>
        <v>-271303.30374999996</v>
      </c>
      <c r="AW63" s="867">
        <f t="shared" ca="1" si="36"/>
        <v>-271303.30374999996</v>
      </c>
      <c r="AX63" s="869">
        <f t="shared" ca="1" si="8"/>
        <v>-14279.12125</v>
      </c>
      <c r="AY63" s="869">
        <f t="shared" ca="1" si="37"/>
        <v>-285582.42499999999</v>
      </c>
      <c r="AZ63" s="867">
        <f t="shared" ca="1" si="38"/>
        <v>0</v>
      </c>
      <c r="BA63" s="161"/>
      <c r="BB63" s="867">
        <f t="shared" ca="1" si="39"/>
        <v>0</v>
      </c>
      <c r="BC63" s="867">
        <f t="shared" ca="1" si="4"/>
        <v>0</v>
      </c>
      <c r="BD63" s="658"/>
      <c r="BE63" s="867">
        <f t="shared" ca="1" si="40"/>
        <v>-271303.30374999996</v>
      </c>
      <c r="BF63" s="867">
        <f t="shared" ca="1" si="41"/>
        <v>-14279.12125</v>
      </c>
      <c r="BG63" s="867">
        <f t="shared" ca="1" si="42"/>
        <v>-285582.42499999999</v>
      </c>
      <c r="BI63" s="867">
        <f ca="1"/>
        <v>-285582.42499999999</v>
      </c>
      <c r="BJ63" s="867">
        <f ca="1"/>
        <v>-271303.30374999996</v>
      </c>
      <c r="BK63" s="867">
        <f ca="1"/>
        <v>-14279.12125</v>
      </c>
      <c r="BL63" s="867">
        <f t="shared" ca="1" si="43"/>
        <v>0</v>
      </c>
      <c r="BM63" s="867">
        <f t="shared" ca="1" si="44"/>
        <v>0</v>
      </c>
      <c r="BN63" s="867">
        <f t="shared" ca="1" si="45"/>
        <v>0</v>
      </c>
      <c r="BO63" s="867">
        <f t="shared" ca="1" si="46"/>
        <v>0</v>
      </c>
      <c r="BP63" s="867">
        <f t="shared" ca="1" si="47"/>
        <v>0</v>
      </c>
      <c r="BQ63" s="867">
        <f t="shared" ca="1" si="48"/>
        <v>0</v>
      </c>
      <c r="BR63" s="867">
        <f ca="1"/>
        <v>0</v>
      </c>
      <c r="BS63" s="867">
        <f ca="1"/>
        <v>0</v>
      </c>
      <c r="BT63" s="867">
        <f t="shared" ca="1" si="9"/>
        <v>-271303.30374999996</v>
      </c>
      <c r="BU63" s="867">
        <f t="shared" ca="1" si="49"/>
        <v>-14279.12125</v>
      </c>
      <c r="BV63" s="829">
        <f t="shared" ca="1" si="10"/>
        <v>-2.5465851649641991E-11</v>
      </c>
      <c r="BX63" s="867">
        <f ca="1"/>
        <v>-285582.42499999999</v>
      </c>
      <c r="BY63" s="867">
        <f t="shared" ca="1" si="50"/>
        <v>-285582.42499999999</v>
      </c>
      <c r="BZ63" s="867">
        <f t="shared" ca="1" si="51"/>
        <v>0</v>
      </c>
      <c r="CA63" s="867">
        <f t="shared" ca="1" si="52"/>
        <v>0</v>
      </c>
      <c r="CB63" s="867">
        <f t="shared" ca="1" si="53"/>
        <v>0</v>
      </c>
      <c r="CC63" s="867">
        <f t="shared" ca="1" si="54"/>
        <v>0</v>
      </c>
      <c r="CD63" s="867">
        <f t="shared" ca="1" si="55"/>
        <v>-285582.42499999999</v>
      </c>
    </row>
    <row r="64" spans="1:82" ht="17" thickTop="1" thickBot="1">
      <c r="A64" s="773">
        <f t="shared" si="5"/>
        <v>1</v>
      </c>
      <c r="B64" s="779"/>
      <c r="C64" s="572"/>
      <c r="D64" s="660">
        <v>17</v>
      </c>
      <c r="E64" s="661">
        <v>45778</v>
      </c>
      <c r="F64" s="862">
        <v>2</v>
      </c>
      <c r="G64" s="863">
        <f ca="1"/>
        <v>-285582.42499999999</v>
      </c>
      <c r="H64" s="961"/>
      <c r="I64" s="865">
        <f t="shared" ca="1" si="11"/>
        <v>107140229.31403698</v>
      </c>
      <c r="J64" s="864" cm="1">
        <f t="array" aca="1" ref="J64" ca="1">IF($G64=0,0,-MIN(0,G64*c_equity.LPshare))</f>
        <v>271303.30374999996</v>
      </c>
      <c r="K64" s="865" cm="1">
        <f t="array" aca="1" ref="K64" ca="1">I64*c_rate.Pref.MO</f>
        <v>689343.46139918605</v>
      </c>
      <c r="L64" s="865">
        <f t="shared" ca="1" si="12"/>
        <v>0</v>
      </c>
      <c r="M64" s="865">
        <f t="shared" ca="1" si="13"/>
        <v>108100876.07918616</v>
      </c>
      <c r="N64" s="865">
        <f t="shared" ca="1" si="14"/>
        <v>-271303.30374999996</v>
      </c>
      <c r="O64" s="864" cm="1">
        <f t="array" aca="1" ref="O64" ca="1">IF(N64=0,0,IF(G64&lt;0,N64/c_equity.LPshare*i_equity.GPshare,L64/c_equity.LPshare*i_equity.GPshare))</f>
        <v>-14279.12125</v>
      </c>
      <c r="P64" s="865">
        <f t="shared" ca="1" si="15"/>
        <v>-285582.42499999999</v>
      </c>
      <c r="Q64" s="865">
        <f t="shared" ca="1" si="16"/>
        <v>0</v>
      </c>
      <c r="R64" s="161"/>
      <c r="S64" s="867">
        <f t="shared" ca="1" si="17"/>
        <v>107664291.21617277</v>
      </c>
      <c r="T64" s="867" cm="1">
        <f t="array" aca="1" ref="T64" ca="1">IF($G64=0,0,-MIN(0,$G64*c_equity.LPshare))</f>
        <v>271303.30374999996</v>
      </c>
      <c r="U64" s="869" cm="1">
        <f t="array" aca="1" ref="U64" ca="1">IF($D64=0,0,S64*c_rate.Hurdle1.MO)</f>
        <v>858530.17733615171</v>
      </c>
      <c r="V64" s="867">
        <f t="shared" ca="1" si="18"/>
        <v>0</v>
      </c>
      <c r="W64" s="867">
        <f t="shared" ca="1" si="19"/>
        <v>0</v>
      </c>
      <c r="X64" s="869">
        <f t="shared" ca="1" si="20"/>
        <v>108794124.69725892</v>
      </c>
      <c r="Y64" s="869">
        <f t="shared" ca="1" si="21"/>
        <v>-271303.30374999996</v>
      </c>
      <c r="Z64" s="869">
        <f t="shared" ca="1" si="22"/>
        <v>-14279.12125</v>
      </c>
      <c r="AA64" s="869">
        <f t="shared" ca="1" si="23"/>
        <v>-285582.42499999999</v>
      </c>
      <c r="AB64" s="867">
        <f t="shared" ca="1" si="24"/>
        <v>0</v>
      </c>
      <c r="AC64" s="161"/>
      <c r="AD64" s="869">
        <f t="shared" ca="1" si="25"/>
        <v>108181833.32152973</v>
      </c>
      <c r="AE64" s="867" cm="1">
        <f t="array" aca="1" ref="AE64" ca="1">IF($G64=0,0,-MIN(0,$G64*c_equity.LPshare))</f>
        <v>271303.30374999996</v>
      </c>
      <c r="AF64" s="869" cm="1">
        <f t="array" aca="1" ref="AF64" ca="1">IF($D64=0,0,AD64*(c_rate.Hurdle2.MO))</f>
        <v>1026515.0156715721</v>
      </c>
      <c r="AG64" s="869">
        <f t="shared" ca="1" si="26"/>
        <v>0</v>
      </c>
      <c r="AH64" s="869">
        <f t="shared" ca="1" si="27"/>
        <v>0</v>
      </c>
      <c r="AI64" s="869">
        <f t="shared" ca="1" si="28"/>
        <v>109479651.64095129</v>
      </c>
      <c r="AJ64" s="868">
        <f t="shared" ca="1" si="6"/>
        <v>-271303.30374999996</v>
      </c>
      <c r="AK64" s="867">
        <f t="shared" ca="1" si="29"/>
        <v>-271303.30374999996</v>
      </c>
      <c r="AL64" s="869">
        <f t="shared" ca="1" si="7"/>
        <v>-14279.12125</v>
      </c>
      <c r="AM64" s="869">
        <f t="shared" ca="1" si="30"/>
        <v>-285582.42499999999</v>
      </c>
      <c r="AN64" s="867">
        <f t="shared" ca="1" si="3"/>
        <v>0</v>
      </c>
      <c r="AO64" s="161"/>
      <c r="AP64" s="869">
        <f t="shared" ca="1" si="31"/>
        <v>108693058.20072669</v>
      </c>
      <c r="AQ64" s="867" cm="1">
        <f t="array" aca="1" ref="AQ64" ca="1">IF($G64=0,0,-MIN(0,$G64*c_equity.LPshare))</f>
        <v>271303.30374999996</v>
      </c>
      <c r="AR64" s="869" cm="1">
        <f t="array" aca="1" ref="AR64" ca="1">IF($D64=0,0,AP64*(c_rate.Hurdle3.MO))</f>
        <v>1193324.9939973648</v>
      </c>
      <c r="AS64" s="869">
        <f t="shared" ca="1" si="32"/>
        <v>0</v>
      </c>
      <c r="AT64" s="869">
        <f t="shared" ca="1" si="33"/>
        <v>0</v>
      </c>
      <c r="AU64" s="869">
        <f t="shared" ca="1" si="34"/>
        <v>110157686.49847405</v>
      </c>
      <c r="AV64" s="870">
        <f t="shared" ca="1" si="35"/>
        <v>-271303.30374999996</v>
      </c>
      <c r="AW64" s="867">
        <f t="shared" ca="1" si="36"/>
        <v>-271303.30374999996</v>
      </c>
      <c r="AX64" s="869">
        <f t="shared" ca="1" si="8"/>
        <v>-14279.12125</v>
      </c>
      <c r="AY64" s="869">
        <f t="shared" ca="1" si="37"/>
        <v>-285582.42499999999</v>
      </c>
      <c r="AZ64" s="867">
        <f t="shared" ca="1" si="38"/>
        <v>0</v>
      </c>
      <c r="BA64" s="161"/>
      <c r="BB64" s="867">
        <f t="shared" ca="1" si="39"/>
        <v>0</v>
      </c>
      <c r="BC64" s="867">
        <f t="shared" ca="1" si="4"/>
        <v>0</v>
      </c>
      <c r="BD64" s="658"/>
      <c r="BE64" s="867">
        <f t="shared" ca="1" si="40"/>
        <v>-271303.30374999996</v>
      </c>
      <c r="BF64" s="867">
        <f t="shared" ca="1" si="41"/>
        <v>-14279.12125</v>
      </c>
      <c r="BG64" s="867">
        <f t="shared" ca="1" si="42"/>
        <v>-285582.42499999999</v>
      </c>
      <c r="BI64" s="867">
        <f ca="1"/>
        <v>-285582.42499999999</v>
      </c>
      <c r="BJ64" s="867">
        <f ca="1"/>
        <v>-271303.30374999996</v>
      </c>
      <c r="BK64" s="867">
        <f ca="1"/>
        <v>-14279.12125</v>
      </c>
      <c r="BL64" s="867">
        <f t="shared" ca="1" si="43"/>
        <v>0</v>
      </c>
      <c r="BM64" s="867">
        <f t="shared" ca="1" si="44"/>
        <v>0</v>
      </c>
      <c r="BN64" s="867">
        <f t="shared" ca="1" si="45"/>
        <v>0</v>
      </c>
      <c r="BO64" s="867">
        <f t="shared" ca="1" si="46"/>
        <v>0</v>
      </c>
      <c r="BP64" s="867">
        <f t="shared" ca="1" si="47"/>
        <v>0</v>
      </c>
      <c r="BQ64" s="867">
        <f t="shared" ca="1" si="48"/>
        <v>0</v>
      </c>
      <c r="BR64" s="867">
        <f ca="1"/>
        <v>0</v>
      </c>
      <c r="BS64" s="867">
        <f ca="1"/>
        <v>0</v>
      </c>
      <c r="BT64" s="867">
        <f t="shared" ca="1" si="9"/>
        <v>-271303.30374999996</v>
      </c>
      <c r="BU64" s="867">
        <f t="shared" ca="1" si="49"/>
        <v>-14279.12125</v>
      </c>
      <c r="BV64" s="829">
        <f t="shared" ca="1" si="10"/>
        <v>-2.5465851649641991E-11</v>
      </c>
      <c r="BX64" s="867">
        <f ca="1"/>
        <v>-285582.42499999999</v>
      </c>
      <c r="BY64" s="867">
        <f t="shared" ca="1" si="50"/>
        <v>-285582.42499999999</v>
      </c>
      <c r="BZ64" s="867">
        <f t="shared" ca="1" si="51"/>
        <v>0</v>
      </c>
      <c r="CA64" s="867">
        <f t="shared" ca="1" si="52"/>
        <v>0</v>
      </c>
      <c r="CB64" s="867">
        <f t="shared" ca="1" si="53"/>
        <v>0</v>
      </c>
      <c r="CC64" s="867">
        <f t="shared" ca="1" si="54"/>
        <v>0</v>
      </c>
      <c r="CD64" s="867">
        <f t="shared" ca="1" si="55"/>
        <v>-285582.42499999999</v>
      </c>
    </row>
    <row r="65" spans="1:82" ht="17" thickTop="1" thickBot="1">
      <c r="A65" s="773">
        <f t="shared" si="5"/>
        <v>1</v>
      </c>
      <c r="B65" s="779"/>
      <c r="C65" s="572"/>
      <c r="D65" s="660">
        <v>18</v>
      </c>
      <c r="E65" s="661">
        <v>45809</v>
      </c>
      <c r="F65" s="862">
        <v>2</v>
      </c>
      <c r="G65" s="863">
        <f ca="1"/>
        <v>-285582.42499999999</v>
      </c>
      <c r="H65" s="961"/>
      <c r="I65" s="865">
        <f t="shared" ca="1" si="11"/>
        <v>108100876.07918616</v>
      </c>
      <c r="J65" s="864" cm="1">
        <f t="array" aca="1" ref="J65" ca="1">IF($G65=0,0,-MIN(0,G65*c_equity.LPshare))</f>
        <v>271303.30374999996</v>
      </c>
      <c r="K65" s="865" cm="1">
        <f t="array" aca="1" ref="K65" ca="1">I65*c_rate.Pref.MO</f>
        <v>695524.29161123326</v>
      </c>
      <c r="L65" s="865">
        <f t="shared" ca="1" si="12"/>
        <v>0</v>
      </c>
      <c r="M65" s="865">
        <f t="shared" ca="1" si="13"/>
        <v>109067703.67454739</v>
      </c>
      <c r="N65" s="865">
        <f t="shared" ca="1" si="14"/>
        <v>-271303.30374999996</v>
      </c>
      <c r="O65" s="864" cm="1">
        <f t="array" aca="1" ref="O65" ca="1">IF(N65=0,0,IF(G65&lt;0,N65/c_equity.LPshare*i_equity.GPshare,L65/c_equity.LPshare*i_equity.GPshare))</f>
        <v>-14279.12125</v>
      </c>
      <c r="P65" s="865">
        <f t="shared" ca="1" si="15"/>
        <v>-285582.42499999999</v>
      </c>
      <c r="Q65" s="865">
        <f t="shared" ca="1" si="16"/>
        <v>0</v>
      </c>
      <c r="R65" s="161"/>
      <c r="S65" s="867">
        <f t="shared" ca="1" si="17"/>
        <v>108794124.69725892</v>
      </c>
      <c r="T65" s="867" cm="1">
        <f t="array" aca="1" ref="T65" ca="1">IF($G65=0,0,-MIN(0,$G65*c_equity.LPshare))</f>
        <v>271303.30374999996</v>
      </c>
      <c r="U65" s="869" cm="1">
        <f t="array" aca="1" ref="U65" ca="1">IF($D65=0,0,S65*c_rate.Hurdle1.MO)</f>
        <v>867539.62817560986</v>
      </c>
      <c r="V65" s="867">
        <f t="shared" ca="1" si="18"/>
        <v>0</v>
      </c>
      <c r="W65" s="867">
        <f t="shared" ca="1" si="19"/>
        <v>0</v>
      </c>
      <c r="X65" s="869">
        <f t="shared" ca="1" si="20"/>
        <v>109932967.62918453</v>
      </c>
      <c r="Y65" s="869">
        <f t="shared" ca="1" si="21"/>
        <v>-271303.30374999996</v>
      </c>
      <c r="Z65" s="869">
        <f t="shared" ca="1" si="22"/>
        <v>-14279.12125</v>
      </c>
      <c r="AA65" s="869">
        <f t="shared" ca="1" si="23"/>
        <v>-285582.42499999999</v>
      </c>
      <c r="AB65" s="867">
        <f t="shared" ca="1" si="24"/>
        <v>0</v>
      </c>
      <c r="AC65" s="161"/>
      <c r="AD65" s="869">
        <f t="shared" ca="1" si="25"/>
        <v>109479651.64095129</v>
      </c>
      <c r="AE65" s="867" cm="1">
        <f t="array" aca="1" ref="AE65" ca="1">IF($G65=0,0,-MIN(0,$G65*c_equity.LPshare))</f>
        <v>271303.30374999996</v>
      </c>
      <c r="AF65" s="869" cm="1">
        <f t="array" aca="1" ref="AF65" ca="1">IF($D65=0,0,AD65*(c_rate.Hurdle2.MO))</f>
        <v>1038829.7449712717</v>
      </c>
      <c r="AG65" s="869">
        <f t="shared" ca="1" si="26"/>
        <v>0</v>
      </c>
      <c r="AH65" s="869">
        <f t="shared" ca="1" si="27"/>
        <v>0</v>
      </c>
      <c r="AI65" s="869">
        <f t="shared" ca="1" si="28"/>
        <v>110789784.68967256</v>
      </c>
      <c r="AJ65" s="868">
        <f t="shared" ca="1" si="6"/>
        <v>-271303.30374999996</v>
      </c>
      <c r="AK65" s="867">
        <f t="shared" ca="1" si="29"/>
        <v>-271303.30374999996</v>
      </c>
      <c r="AL65" s="869">
        <f t="shared" ca="1" si="7"/>
        <v>-14279.12125</v>
      </c>
      <c r="AM65" s="869">
        <f t="shared" ca="1" si="30"/>
        <v>-285582.42499999999</v>
      </c>
      <c r="AN65" s="867">
        <f t="shared" ca="1" si="3"/>
        <v>0</v>
      </c>
      <c r="AO65" s="161"/>
      <c r="AP65" s="869">
        <f t="shared" ca="1" si="31"/>
        <v>110157686.49847405</v>
      </c>
      <c r="AQ65" s="867" cm="1">
        <f t="array" aca="1" ref="AQ65" ca="1">IF($G65=0,0,-MIN(0,$G65*c_equity.LPshare))</f>
        <v>271303.30374999996</v>
      </c>
      <c r="AR65" s="869" cm="1">
        <f t="array" aca="1" ref="AR65" ca="1">IF($D65=0,0,AP65*(c_rate.Hurdle3.MO))</f>
        <v>1209404.9312403675</v>
      </c>
      <c r="AS65" s="869">
        <f t="shared" ca="1" si="32"/>
        <v>0</v>
      </c>
      <c r="AT65" s="869">
        <f t="shared" ca="1" si="33"/>
        <v>0</v>
      </c>
      <c r="AU65" s="869">
        <f t="shared" ca="1" si="34"/>
        <v>111638394.7334644</v>
      </c>
      <c r="AV65" s="870">
        <f t="shared" ca="1" si="35"/>
        <v>-271303.30374999996</v>
      </c>
      <c r="AW65" s="867">
        <f t="shared" ca="1" si="36"/>
        <v>-271303.30374999996</v>
      </c>
      <c r="AX65" s="869">
        <f t="shared" ca="1" si="8"/>
        <v>-14279.12125</v>
      </c>
      <c r="AY65" s="869">
        <f t="shared" ca="1" si="37"/>
        <v>-285582.42499999999</v>
      </c>
      <c r="AZ65" s="867">
        <f t="shared" ca="1" si="38"/>
        <v>0</v>
      </c>
      <c r="BA65" s="161"/>
      <c r="BB65" s="867">
        <f t="shared" ca="1" si="39"/>
        <v>0</v>
      </c>
      <c r="BC65" s="867">
        <f t="shared" ca="1" si="4"/>
        <v>0</v>
      </c>
      <c r="BD65" s="658"/>
      <c r="BE65" s="867">
        <f t="shared" ca="1" si="40"/>
        <v>-271303.30374999996</v>
      </c>
      <c r="BF65" s="867">
        <f t="shared" ca="1" si="41"/>
        <v>-14279.12125</v>
      </c>
      <c r="BG65" s="867">
        <f t="shared" ca="1" si="42"/>
        <v>-285582.42499999999</v>
      </c>
      <c r="BI65" s="867">
        <f ca="1"/>
        <v>-285582.42499999999</v>
      </c>
      <c r="BJ65" s="867">
        <f ca="1"/>
        <v>-271303.30374999996</v>
      </c>
      <c r="BK65" s="867">
        <f ca="1"/>
        <v>-14279.12125</v>
      </c>
      <c r="BL65" s="867">
        <f t="shared" ca="1" si="43"/>
        <v>0</v>
      </c>
      <c r="BM65" s="867">
        <f t="shared" ca="1" si="44"/>
        <v>0</v>
      </c>
      <c r="BN65" s="867">
        <f t="shared" ca="1" si="45"/>
        <v>0</v>
      </c>
      <c r="BO65" s="867">
        <f t="shared" ca="1" si="46"/>
        <v>0</v>
      </c>
      <c r="BP65" s="867">
        <f t="shared" ca="1" si="47"/>
        <v>0</v>
      </c>
      <c r="BQ65" s="867">
        <f t="shared" ca="1" si="48"/>
        <v>0</v>
      </c>
      <c r="BR65" s="867">
        <f ca="1"/>
        <v>0</v>
      </c>
      <c r="BS65" s="867">
        <f ca="1"/>
        <v>0</v>
      </c>
      <c r="BT65" s="867">
        <f t="shared" ca="1" si="9"/>
        <v>-271303.30374999996</v>
      </c>
      <c r="BU65" s="867">
        <f t="shared" ca="1" si="49"/>
        <v>-14279.12125</v>
      </c>
      <c r="BV65" s="829">
        <f t="shared" ca="1" si="10"/>
        <v>-2.5465851649641991E-11</v>
      </c>
      <c r="BX65" s="867">
        <f ca="1"/>
        <v>-285582.42499999999</v>
      </c>
      <c r="BY65" s="867">
        <f t="shared" ca="1" si="50"/>
        <v>-285582.42499999999</v>
      </c>
      <c r="BZ65" s="867">
        <f t="shared" ca="1" si="51"/>
        <v>0</v>
      </c>
      <c r="CA65" s="867">
        <f t="shared" ca="1" si="52"/>
        <v>0</v>
      </c>
      <c r="CB65" s="867">
        <f t="shared" ca="1" si="53"/>
        <v>0</v>
      </c>
      <c r="CC65" s="867">
        <f t="shared" ca="1" si="54"/>
        <v>0</v>
      </c>
      <c r="CD65" s="867">
        <f t="shared" ca="1" si="55"/>
        <v>-285582.42499999999</v>
      </c>
    </row>
    <row r="66" spans="1:82" ht="17" thickTop="1" thickBot="1">
      <c r="A66" s="773">
        <f t="shared" si="5"/>
        <v>1</v>
      </c>
      <c r="B66" s="779"/>
      <c r="C66" s="572"/>
      <c r="D66" s="660">
        <v>19</v>
      </c>
      <c r="E66" s="661">
        <v>45839</v>
      </c>
      <c r="F66" s="862">
        <v>2</v>
      </c>
      <c r="G66" s="863">
        <f ca="1"/>
        <v>-285582.42499999999</v>
      </c>
      <c r="H66" s="961"/>
      <c r="I66" s="865">
        <f t="shared" ca="1" si="11"/>
        <v>109067703.67454739</v>
      </c>
      <c r="J66" s="864" cm="1">
        <f t="array" aca="1" ref="J66" ca="1">IF($G66=0,0,-MIN(0,G66*c_equity.LPshare))</f>
        <v>271303.30374999996</v>
      </c>
      <c r="K66" s="865" cm="1">
        <f t="array" aca="1" ref="K66" ca="1">I66*c_rate.Pref.MO</f>
        <v>701744.88947096968</v>
      </c>
      <c r="L66" s="865">
        <f t="shared" ca="1" si="12"/>
        <v>0</v>
      </c>
      <c r="M66" s="865">
        <f t="shared" ca="1" si="13"/>
        <v>110040751.86776835</v>
      </c>
      <c r="N66" s="865">
        <f t="shared" ca="1" si="14"/>
        <v>-271303.30374999996</v>
      </c>
      <c r="O66" s="864" cm="1">
        <f t="array" aca="1" ref="O66" ca="1">IF(N66=0,0,IF(G66&lt;0,N66/c_equity.LPshare*i_equity.GPshare,L66/c_equity.LPshare*i_equity.GPshare))</f>
        <v>-14279.12125</v>
      </c>
      <c r="P66" s="865">
        <f t="shared" ca="1" si="15"/>
        <v>-285582.42499999999</v>
      </c>
      <c r="Q66" s="865">
        <f t="shared" ca="1" si="16"/>
        <v>0</v>
      </c>
      <c r="R66" s="161"/>
      <c r="S66" s="867">
        <f t="shared" ca="1" si="17"/>
        <v>109932967.62918453</v>
      </c>
      <c r="T66" s="867" cm="1">
        <f t="array" aca="1" ref="T66" ca="1">IF($G66=0,0,-MIN(0,$G66*c_equity.LPshare))</f>
        <v>271303.30374999996</v>
      </c>
      <c r="U66" s="869" cm="1">
        <f t="array" aca="1" ref="U66" ca="1">IF($D66=0,0,S66*c_rate.Hurdle1.MO)</f>
        <v>876620.92164124921</v>
      </c>
      <c r="V66" s="867">
        <f t="shared" ca="1" si="18"/>
        <v>0</v>
      </c>
      <c r="W66" s="867">
        <f t="shared" ca="1" si="19"/>
        <v>0</v>
      </c>
      <c r="X66" s="869">
        <f t="shared" ca="1" si="20"/>
        <v>111080891.85457577</v>
      </c>
      <c r="Y66" s="869">
        <f t="shared" ca="1" si="21"/>
        <v>-271303.30374999996</v>
      </c>
      <c r="Z66" s="869">
        <f t="shared" ca="1" si="22"/>
        <v>-14279.12125</v>
      </c>
      <c r="AA66" s="869">
        <f t="shared" ca="1" si="23"/>
        <v>-285582.42499999999</v>
      </c>
      <c r="AB66" s="867">
        <f t="shared" ca="1" si="24"/>
        <v>0</v>
      </c>
      <c r="AC66" s="161"/>
      <c r="AD66" s="869">
        <f t="shared" ca="1" si="25"/>
        <v>110789784.68967256</v>
      </c>
      <c r="AE66" s="867" cm="1">
        <f t="array" aca="1" ref="AE66" ca="1">IF($G66=0,0,-MIN(0,$G66*c_equity.LPshare))</f>
        <v>271303.30374999996</v>
      </c>
      <c r="AF66" s="869" cm="1">
        <f t="array" aca="1" ref="AF66" ca="1">IF($D66=0,0,AD66*(c_rate.Hurdle2.MO))</f>
        <v>1051261.3261873419</v>
      </c>
      <c r="AG66" s="869">
        <f t="shared" ca="1" si="26"/>
        <v>0</v>
      </c>
      <c r="AH66" s="869">
        <f t="shared" ca="1" si="27"/>
        <v>0</v>
      </c>
      <c r="AI66" s="869">
        <f t="shared" ca="1" si="28"/>
        <v>112112349.3196099</v>
      </c>
      <c r="AJ66" s="868">
        <f t="shared" ca="1" si="6"/>
        <v>-271303.30374999996</v>
      </c>
      <c r="AK66" s="867">
        <f t="shared" ca="1" si="29"/>
        <v>-271303.30374999996</v>
      </c>
      <c r="AL66" s="869">
        <f t="shared" ca="1" si="7"/>
        <v>-14279.12125</v>
      </c>
      <c r="AM66" s="869">
        <f t="shared" ca="1" si="30"/>
        <v>-285582.42499999999</v>
      </c>
      <c r="AN66" s="867">
        <f t="shared" ca="1" si="3"/>
        <v>0</v>
      </c>
      <c r="AO66" s="161"/>
      <c r="AP66" s="869">
        <f t="shared" ca="1" si="31"/>
        <v>111638394.7334644</v>
      </c>
      <c r="AQ66" s="867" cm="1">
        <f t="array" aca="1" ref="AQ66" ca="1">IF($G66=0,0,-MIN(0,$G66*c_equity.LPshare))</f>
        <v>271303.30374999996</v>
      </c>
      <c r="AR66" s="869" cm="1">
        <f t="array" aca="1" ref="AR66" ca="1">IF($D66=0,0,AP66*(c_rate.Hurdle3.MO))</f>
        <v>1225661.4077337293</v>
      </c>
      <c r="AS66" s="869">
        <f t="shared" ca="1" si="32"/>
        <v>0</v>
      </c>
      <c r="AT66" s="869">
        <f t="shared" ca="1" si="33"/>
        <v>0</v>
      </c>
      <c r="AU66" s="869">
        <f t="shared" ca="1" si="34"/>
        <v>113135359.44494812</v>
      </c>
      <c r="AV66" s="870">
        <f t="shared" ca="1" si="35"/>
        <v>-271303.30374999996</v>
      </c>
      <c r="AW66" s="867">
        <f t="shared" ca="1" si="36"/>
        <v>-271303.30374999996</v>
      </c>
      <c r="AX66" s="869">
        <f t="shared" ca="1" si="8"/>
        <v>-14279.12125</v>
      </c>
      <c r="AY66" s="869">
        <f t="shared" ca="1" si="37"/>
        <v>-285582.42499999999</v>
      </c>
      <c r="AZ66" s="867">
        <f t="shared" ca="1" si="38"/>
        <v>0</v>
      </c>
      <c r="BA66" s="161"/>
      <c r="BB66" s="867">
        <f t="shared" ca="1" si="39"/>
        <v>0</v>
      </c>
      <c r="BC66" s="867">
        <f t="shared" ca="1" si="4"/>
        <v>0</v>
      </c>
      <c r="BD66" s="658"/>
      <c r="BE66" s="867">
        <f t="shared" ca="1" si="40"/>
        <v>-271303.30374999996</v>
      </c>
      <c r="BF66" s="867">
        <f t="shared" ca="1" si="41"/>
        <v>-14279.12125</v>
      </c>
      <c r="BG66" s="867">
        <f t="shared" ca="1" si="42"/>
        <v>-285582.42499999999</v>
      </c>
      <c r="BI66" s="867">
        <f ca="1"/>
        <v>-285582.42499999999</v>
      </c>
      <c r="BJ66" s="867">
        <f ca="1"/>
        <v>-271303.30374999996</v>
      </c>
      <c r="BK66" s="867">
        <f ca="1"/>
        <v>-14279.12125</v>
      </c>
      <c r="BL66" s="867">
        <f t="shared" ca="1" si="43"/>
        <v>0</v>
      </c>
      <c r="BM66" s="867">
        <f t="shared" ca="1" si="44"/>
        <v>0</v>
      </c>
      <c r="BN66" s="867">
        <f t="shared" ca="1" si="45"/>
        <v>0</v>
      </c>
      <c r="BO66" s="867">
        <f t="shared" ca="1" si="46"/>
        <v>0</v>
      </c>
      <c r="BP66" s="867">
        <f t="shared" ca="1" si="47"/>
        <v>0</v>
      </c>
      <c r="BQ66" s="867">
        <f t="shared" ca="1" si="48"/>
        <v>0</v>
      </c>
      <c r="BR66" s="867">
        <f ca="1"/>
        <v>0</v>
      </c>
      <c r="BS66" s="867">
        <f ca="1"/>
        <v>0</v>
      </c>
      <c r="BT66" s="867">
        <f t="shared" ca="1" si="9"/>
        <v>-271303.30374999996</v>
      </c>
      <c r="BU66" s="867">
        <f t="shared" ca="1" si="49"/>
        <v>-14279.12125</v>
      </c>
      <c r="BV66" s="829">
        <f t="shared" ca="1" si="10"/>
        <v>-2.5465851649641991E-11</v>
      </c>
      <c r="BX66" s="867">
        <f ca="1"/>
        <v>-285582.42499999999</v>
      </c>
      <c r="BY66" s="867">
        <f t="shared" ca="1" si="50"/>
        <v>-285582.42499999999</v>
      </c>
      <c r="BZ66" s="867">
        <f t="shared" ca="1" si="51"/>
        <v>0</v>
      </c>
      <c r="CA66" s="867">
        <f t="shared" ca="1" si="52"/>
        <v>0</v>
      </c>
      <c r="CB66" s="867">
        <f t="shared" ca="1" si="53"/>
        <v>0</v>
      </c>
      <c r="CC66" s="867">
        <f t="shared" ca="1" si="54"/>
        <v>0</v>
      </c>
      <c r="CD66" s="867">
        <f t="shared" ca="1" si="55"/>
        <v>-285582.42499999999</v>
      </c>
    </row>
    <row r="67" spans="1:82" ht="17" thickTop="1" thickBot="1">
      <c r="A67" s="773">
        <f t="shared" si="5"/>
        <v>1</v>
      </c>
      <c r="B67" s="779"/>
      <c r="C67" s="572"/>
      <c r="D67" s="660">
        <v>20</v>
      </c>
      <c r="E67" s="661">
        <v>45870</v>
      </c>
      <c r="F67" s="862">
        <v>2</v>
      </c>
      <c r="G67" s="863">
        <f ca="1"/>
        <v>-285582.42499999999</v>
      </c>
      <c r="H67" s="961"/>
      <c r="I67" s="865">
        <f t="shared" ca="1" si="11"/>
        <v>110040751.86776835</v>
      </c>
      <c r="J67" s="864" cm="1">
        <f t="array" aca="1" ref="J67" ca="1">IF($G67=0,0,-MIN(0,G67*c_equity.LPshare))</f>
        <v>271303.30374999996</v>
      </c>
      <c r="K67" s="865" cm="1">
        <f t="array" aca="1" ref="K67" ca="1">I67*c_rate.Pref.MO</f>
        <v>708005.51084463776</v>
      </c>
      <c r="L67" s="865">
        <f t="shared" ca="1" si="12"/>
        <v>0</v>
      </c>
      <c r="M67" s="865">
        <f t="shared" ca="1" si="13"/>
        <v>111020060.68236297</v>
      </c>
      <c r="N67" s="865">
        <f t="shared" ca="1" si="14"/>
        <v>-271303.30374999996</v>
      </c>
      <c r="O67" s="864" cm="1">
        <f t="array" aca="1" ref="O67" ca="1">IF(N67=0,0,IF(G67&lt;0,N67/c_equity.LPshare*i_equity.GPshare,L67/c_equity.LPshare*i_equity.GPshare))</f>
        <v>-14279.12125</v>
      </c>
      <c r="P67" s="865">
        <f t="shared" ca="1" si="15"/>
        <v>-285582.42499999999</v>
      </c>
      <c r="Q67" s="865">
        <f t="shared" ca="1" si="16"/>
        <v>0</v>
      </c>
      <c r="R67" s="161"/>
      <c r="S67" s="867">
        <f t="shared" ca="1" si="17"/>
        <v>111080891.85457577</v>
      </c>
      <c r="T67" s="867" cm="1">
        <f t="array" aca="1" ref="T67" ca="1">IF($G67=0,0,-MIN(0,$G67*c_equity.LPshare))</f>
        <v>271303.30374999996</v>
      </c>
      <c r="U67" s="869" cm="1">
        <f t="array" aca="1" ref="U67" ca="1">IF($D67=0,0,S67*c_rate.Hurdle1.MO)</f>
        <v>885774.63061625953</v>
      </c>
      <c r="V67" s="867">
        <f t="shared" ca="1" si="18"/>
        <v>0</v>
      </c>
      <c r="W67" s="867">
        <f t="shared" ca="1" si="19"/>
        <v>0</v>
      </c>
      <c r="X67" s="869">
        <f t="shared" ca="1" si="20"/>
        <v>112237969.78894202</v>
      </c>
      <c r="Y67" s="869">
        <f t="shared" ca="1" si="21"/>
        <v>-271303.30374999996</v>
      </c>
      <c r="Z67" s="869">
        <f t="shared" ca="1" si="22"/>
        <v>-14279.12125</v>
      </c>
      <c r="AA67" s="869">
        <f t="shared" ca="1" si="23"/>
        <v>-285582.42499999999</v>
      </c>
      <c r="AB67" s="867">
        <f t="shared" ca="1" si="24"/>
        <v>0</v>
      </c>
      <c r="AC67" s="161"/>
      <c r="AD67" s="869">
        <f t="shared" ca="1" si="25"/>
        <v>112112349.3196099</v>
      </c>
      <c r="AE67" s="867" cm="1">
        <f t="array" aca="1" ref="AE67" ca="1">IF($G67=0,0,-MIN(0,$G67*c_equity.LPshare))</f>
        <v>271303.30374999996</v>
      </c>
      <c r="AF67" s="869" cm="1">
        <f t="array" aca="1" ref="AF67" ca="1">IF($D67=0,0,AD67*(c_rate.Hurdle2.MO))</f>
        <v>1063810.8681034206</v>
      </c>
      <c r="AG67" s="869">
        <f t="shared" ca="1" si="26"/>
        <v>0</v>
      </c>
      <c r="AH67" s="869">
        <f t="shared" ca="1" si="27"/>
        <v>0</v>
      </c>
      <c r="AI67" s="869">
        <f t="shared" ca="1" si="28"/>
        <v>113447463.4914633</v>
      </c>
      <c r="AJ67" s="868">
        <f t="shared" ca="1" si="6"/>
        <v>-271303.30374999996</v>
      </c>
      <c r="AK67" s="867">
        <f t="shared" ca="1" si="29"/>
        <v>-271303.30374999996</v>
      </c>
      <c r="AL67" s="869">
        <f t="shared" ca="1" si="7"/>
        <v>-14279.12125</v>
      </c>
      <c r="AM67" s="869">
        <f t="shared" ca="1" si="30"/>
        <v>-285582.42499999999</v>
      </c>
      <c r="AN67" s="867">
        <f t="shared" ca="1" si="3"/>
        <v>0</v>
      </c>
      <c r="AO67" s="161"/>
      <c r="AP67" s="869">
        <f t="shared" ca="1" si="31"/>
        <v>113135359.44494812</v>
      </c>
      <c r="AQ67" s="867" cm="1">
        <f t="array" aca="1" ref="AQ67" ca="1">IF($G67=0,0,-MIN(0,$G67*c_equity.LPshare))</f>
        <v>271303.30374999996</v>
      </c>
      <c r="AR67" s="869" cm="1">
        <f t="array" aca="1" ref="AR67" ca="1">IF($D67=0,0,AP67*(c_rate.Hurdle3.MO))</f>
        <v>1242096.361675743</v>
      </c>
      <c r="AS67" s="869">
        <f t="shared" ca="1" si="32"/>
        <v>0</v>
      </c>
      <c r="AT67" s="869">
        <f t="shared" ca="1" si="33"/>
        <v>0</v>
      </c>
      <c r="AU67" s="869">
        <f t="shared" ca="1" si="34"/>
        <v>114648759.11037385</v>
      </c>
      <c r="AV67" s="870">
        <f t="shared" ca="1" si="35"/>
        <v>-271303.30374999996</v>
      </c>
      <c r="AW67" s="867">
        <f t="shared" ca="1" si="36"/>
        <v>-271303.30374999996</v>
      </c>
      <c r="AX67" s="869">
        <f t="shared" ca="1" si="8"/>
        <v>-14279.12125</v>
      </c>
      <c r="AY67" s="869">
        <f t="shared" ca="1" si="37"/>
        <v>-285582.42499999999</v>
      </c>
      <c r="AZ67" s="867">
        <f t="shared" ca="1" si="38"/>
        <v>0</v>
      </c>
      <c r="BA67" s="161"/>
      <c r="BB67" s="867">
        <f t="shared" ca="1" si="39"/>
        <v>0</v>
      </c>
      <c r="BC67" s="867">
        <f t="shared" ca="1" si="4"/>
        <v>0</v>
      </c>
      <c r="BD67" s="658"/>
      <c r="BE67" s="867">
        <f t="shared" ca="1" si="40"/>
        <v>-271303.30374999996</v>
      </c>
      <c r="BF67" s="867">
        <f t="shared" ca="1" si="41"/>
        <v>-14279.12125</v>
      </c>
      <c r="BG67" s="867">
        <f t="shared" ca="1" si="42"/>
        <v>-285582.42499999999</v>
      </c>
      <c r="BI67" s="867">
        <f ca="1"/>
        <v>-285582.42499999999</v>
      </c>
      <c r="BJ67" s="867">
        <f ca="1"/>
        <v>-271303.30374999996</v>
      </c>
      <c r="BK67" s="867">
        <f ca="1"/>
        <v>-14279.12125</v>
      </c>
      <c r="BL67" s="867">
        <f t="shared" ca="1" si="43"/>
        <v>0</v>
      </c>
      <c r="BM67" s="867">
        <f t="shared" ca="1" si="44"/>
        <v>0</v>
      </c>
      <c r="BN67" s="867">
        <f t="shared" ca="1" si="45"/>
        <v>0</v>
      </c>
      <c r="BO67" s="867">
        <f t="shared" ca="1" si="46"/>
        <v>0</v>
      </c>
      <c r="BP67" s="867">
        <f t="shared" ca="1" si="47"/>
        <v>0</v>
      </c>
      <c r="BQ67" s="867">
        <f t="shared" ca="1" si="48"/>
        <v>0</v>
      </c>
      <c r="BR67" s="867">
        <f ca="1"/>
        <v>0</v>
      </c>
      <c r="BS67" s="867">
        <f ca="1"/>
        <v>0</v>
      </c>
      <c r="BT67" s="867">
        <f t="shared" ca="1" si="9"/>
        <v>-271303.30374999996</v>
      </c>
      <c r="BU67" s="867">
        <f t="shared" ca="1" si="49"/>
        <v>-14279.12125</v>
      </c>
      <c r="BV67" s="829">
        <f t="shared" ca="1" si="10"/>
        <v>-2.5465851649641991E-11</v>
      </c>
      <c r="BX67" s="867">
        <f ca="1"/>
        <v>-285582.42499999999</v>
      </c>
      <c r="BY67" s="867">
        <f t="shared" ca="1" si="50"/>
        <v>-285582.42499999999</v>
      </c>
      <c r="BZ67" s="867">
        <f t="shared" ca="1" si="51"/>
        <v>0</v>
      </c>
      <c r="CA67" s="867">
        <f t="shared" ca="1" si="52"/>
        <v>0</v>
      </c>
      <c r="CB67" s="867">
        <f t="shared" ca="1" si="53"/>
        <v>0</v>
      </c>
      <c r="CC67" s="867">
        <f t="shared" ca="1" si="54"/>
        <v>0</v>
      </c>
      <c r="CD67" s="867">
        <f t="shared" ca="1" si="55"/>
        <v>-285582.42499999999</v>
      </c>
    </row>
    <row r="68" spans="1:82" ht="17" thickTop="1" thickBot="1">
      <c r="A68" s="773">
        <f t="shared" si="5"/>
        <v>1</v>
      </c>
      <c r="B68" s="779"/>
      <c r="C68" s="572"/>
      <c r="D68" s="660">
        <v>21</v>
      </c>
      <c r="E68" s="661">
        <v>45901</v>
      </c>
      <c r="F68" s="862">
        <v>2</v>
      </c>
      <c r="G68" s="863">
        <f ca="1"/>
        <v>-285582.42499999999</v>
      </c>
      <c r="H68" s="961"/>
      <c r="I68" s="865">
        <f t="shared" ca="1" si="11"/>
        <v>111020060.68236297</v>
      </c>
      <c r="J68" s="864" cm="1">
        <f t="array" aca="1" ref="J68" ca="1">IF($G68=0,0,-MIN(0,G68*c_equity.LPshare))</f>
        <v>271303.30374999996</v>
      </c>
      <c r="K68" s="865" cm="1">
        <f t="array" aca="1" ref="K68" ca="1">I68*c_rate.Pref.MO</f>
        <v>714306.41324473138</v>
      </c>
      <c r="L68" s="865">
        <f t="shared" ca="1" si="12"/>
        <v>0</v>
      </c>
      <c r="M68" s="865">
        <f t="shared" ca="1" si="13"/>
        <v>112005670.39935769</v>
      </c>
      <c r="N68" s="865">
        <f t="shared" ca="1" si="14"/>
        <v>-271303.30374999996</v>
      </c>
      <c r="O68" s="864" cm="1">
        <f t="array" aca="1" ref="O68" ca="1">IF(N68=0,0,IF(G68&lt;0,N68/c_equity.LPshare*i_equity.GPshare,L68/c_equity.LPshare*i_equity.GPshare))</f>
        <v>-14279.12125</v>
      </c>
      <c r="P68" s="865">
        <f t="shared" ca="1" si="15"/>
        <v>-285582.42499999999</v>
      </c>
      <c r="Q68" s="865">
        <f t="shared" ca="1" si="16"/>
        <v>0</v>
      </c>
      <c r="R68" s="161"/>
      <c r="S68" s="867">
        <f t="shared" ca="1" si="17"/>
        <v>112237969.78894202</v>
      </c>
      <c r="T68" s="867" cm="1">
        <f t="array" aca="1" ref="T68" ca="1">IF($G68=0,0,-MIN(0,$G68*c_equity.LPshare))</f>
        <v>271303.30374999996</v>
      </c>
      <c r="U68" s="869" cm="1">
        <f t="array" aca="1" ref="U68" ca="1">IF($D68=0,0,S68*c_rate.Hurdle1.MO)</f>
        <v>895001.33255208191</v>
      </c>
      <c r="V68" s="867">
        <f t="shared" ca="1" si="18"/>
        <v>0</v>
      </c>
      <c r="W68" s="867">
        <f t="shared" ca="1" si="19"/>
        <v>0</v>
      </c>
      <c r="X68" s="869">
        <f t="shared" ca="1" si="20"/>
        <v>113404274.42524409</v>
      </c>
      <c r="Y68" s="869">
        <f t="shared" ca="1" si="21"/>
        <v>-271303.30374999996</v>
      </c>
      <c r="Z68" s="869">
        <f t="shared" ca="1" si="22"/>
        <v>-14279.12125</v>
      </c>
      <c r="AA68" s="869">
        <f t="shared" ca="1" si="23"/>
        <v>-285582.42499999999</v>
      </c>
      <c r="AB68" s="867">
        <f t="shared" ca="1" si="24"/>
        <v>0</v>
      </c>
      <c r="AC68" s="161"/>
      <c r="AD68" s="869">
        <f t="shared" ca="1" si="25"/>
        <v>113447463.4914633</v>
      </c>
      <c r="AE68" s="867" cm="1">
        <f t="array" aca="1" ref="AE68" ca="1">IF($G68=0,0,-MIN(0,$G68*c_equity.LPshare))</f>
        <v>271303.30374999996</v>
      </c>
      <c r="AF68" s="869" cm="1">
        <f t="array" aca="1" ref="AF68" ca="1">IF($D68=0,0,AD68*(c_rate.Hurdle2.MO))</f>
        <v>1076479.490024165</v>
      </c>
      <c r="AG68" s="869">
        <f t="shared" ca="1" si="26"/>
        <v>0</v>
      </c>
      <c r="AH68" s="869">
        <f t="shared" ca="1" si="27"/>
        <v>0</v>
      </c>
      <c r="AI68" s="869">
        <f t="shared" ca="1" si="28"/>
        <v>114795246.28523746</v>
      </c>
      <c r="AJ68" s="868">
        <f t="shared" ca="1" si="6"/>
        <v>-271303.30374999996</v>
      </c>
      <c r="AK68" s="867">
        <f t="shared" ca="1" si="29"/>
        <v>-271303.30374999996</v>
      </c>
      <c r="AL68" s="869">
        <f t="shared" ca="1" si="7"/>
        <v>-14279.12125</v>
      </c>
      <c r="AM68" s="869">
        <f t="shared" ca="1" si="30"/>
        <v>-285582.42499999999</v>
      </c>
      <c r="AN68" s="867">
        <f t="shared" ca="1" si="3"/>
        <v>0</v>
      </c>
      <c r="AO68" s="161"/>
      <c r="AP68" s="869">
        <f t="shared" ca="1" si="31"/>
        <v>114648759.11037385</v>
      </c>
      <c r="AQ68" s="867" cm="1">
        <f t="array" aca="1" ref="AQ68" ca="1">IF($G68=0,0,-MIN(0,$G68*c_equity.LPshare))</f>
        <v>271303.30374999996</v>
      </c>
      <c r="AR68" s="869" cm="1">
        <f t="array" aca="1" ref="AR68" ca="1">IF($D68=0,0,AP68*(c_rate.Hurdle3.MO))</f>
        <v>1258711.7525438943</v>
      </c>
      <c r="AS68" s="869">
        <f t="shared" ca="1" si="32"/>
        <v>0</v>
      </c>
      <c r="AT68" s="869">
        <f t="shared" ca="1" si="33"/>
        <v>0</v>
      </c>
      <c r="AU68" s="869">
        <f t="shared" ca="1" si="34"/>
        <v>116178774.16666774</v>
      </c>
      <c r="AV68" s="870">
        <f t="shared" ca="1" si="35"/>
        <v>-271303.30374999996</v>
      </c>
      <c r="AW68" s="867">
        <f t="shared" ca="1" si="36"/>
        <v>-271303.30374999996</v>
      </c>
      <c r="AX68" s="869">
        <f t="shared" ca="1" si="8"/>
        <v>-14279.12125</v>
      </c>
      <c r="AY68" s="869">
        <f t="shared" ca="1" si="37"/>
        <v>-285582.42499999999</v>
      </c>
      <c r="AZ68" s="867">
        <f t="shared" ca="1" si="38"/>
        <v>0</v>
      </c>
      <c r="BA68" s="161"/>
      <c r="BB68" s="867">
        <f t="shared" ca="1" si="39"/>
        <v>0</v>
      </c>
      <c r="BC68" s="867">
        <f t="shared" ca="1" si="4"/>
        <v>0</v>
      </c>
      <c r="BD68" s="658"/>
      <c r="BE68" s="867">
        <f t="shared" ca="1" si="40"/>
        <v>-271303.30374999996</v>
      </c>
      <c r="BF68" s="867">
        <f t="shared" ca="1" si="41"/>
        <v>-14279.12125</v>
      </c>
      <c r="BG68" s="867">
        <f t="shared" ca="1" si="42"/>
        <v>-285582.42499999999</v>
      </c>
      <c r="BI68" s="867">
        <f ca="1"/>
        <v>-285582.42499999999</v>
      </c>
      <c r="BJ68" s="867">
        <f ca="1"/>
        <v>-271303.30374999996</v>
      </c>
      <c r="BK68" s="867">
        <f ca="1"/>
        <v>-14279.12125</v>
      </c>
      <c r="BL68" s="867">
        <f t="shared" ca="1" si="43"/>
        <v>0</v>
      </c>
      <c r="BM68" s="867">
        <f t="shared" ca="1" si="44"/>
        <v>0</v>
      </c>
      <c r="BN68" s="867">
        <f t="shared" ca="1" si="45"/>
        <v>0</v>
      </c>
      <c r="BO68" s="867">
        <f t="shared" ca="1" si="46"/>
        <v>0</v>
      </c>
      <c r="BP68" s="867">
        <f t="shared" ca="1" si="47"/>
        <v>0</v>
      </c>
      <c r="BQ68" s="867">
        <f t="shared" ca="1" si="48"/>
        <v>0</v>
      </c>
      <c r="BR68" s="867">
        <f ca="1"/>
        <v>0</v>
      </c>
      <c r="BS68" s="867">
        <f ca="1"/>
        <v>0</v>
      </c>
      <c r="BT68" s="867">
        <f t="shared" ca="1" si="9"/>
        <v>-271303.30374999996</v>
      </c>
      <c r="BU68" s="867">
        <f t="shared" ca="1" si="49"/>
        <v>-14279.12125</v>
      </c>
      <c r="BV68" s="829">
        <f t="shared" ca="1" si="10"/>
        <v>-2.5465851649641991E-11</v>
      </c>
      <c r="BX68" s="867">
        <f ca="1"/>
        <v>-285582.42499999999</v>
      </c>
      <c r="BY68" s="867">
        <f t="shared" ca="1" si="50"/>
        <v>-285582.42499999999</v>
      </c>
      <c r="BZ68" s="867">
        <f t="shared" ca="1" si="51"/>
        <v>0</v>
      </c>
      <c r="CA68" s="867">
        <f t="shared" ca="1" si="52"/>
        <v>0</v>
      </c>
      <c r="CB68" s="867">
        <f t="shared" ca="1" si="53"/>
        <v>0</v>
      </c>
      <c r="CC68" s="867">
        <f t="shared" ca="1" si="54"/>
        <v>0</v>
      </c>
      <c r="CD68" s="867">
        <f t="shared" ca="1" si="55"/>
        <v>-285582.42499999999</v>
      </c>
    </row>
    <row r="69" spans="1:82" ht="17" thickTop="1" thickBot="1">
      <c r="A69" s="773">
        <f t="shared" si="5"/>
        <v>1</v>
      </c>
      <c r="B69" s="779"/>
      <c r="C69" s="572"/>
      <c r="D69" s="660">
        <v>22</v>
      </c>
      <c r="E69" s="661">
        <v>45931</v>
      </c>
      <c r="F69" s="862">
        <v>2</v>
      </c>
      <c r="G69" s="863">
        <f ca="1"/>
        <v>-285582.42499999999</v>
      </c>
      <c r="H69" s="961"/>
      <c r="I69" s="865">
        <f t="shared" ca="1" si="11"/>
        <v>112005670.39935769</v>
      </c>
      <c r="J69" s="864" cm="1">
        <f t="array" aca="1" ref="J69" ca="1">IF($G69=0,0,-MIN(0,G69*c_equity.LPshare))</f>
        <v>271303.30374999996</v>
      </c>
      <c r="K69" s="865" cm="1">
        <f t="array" aca="1" ref="K69" ca="1">I69*c_rate.Pref.MO</f>
        <v>720647.85584058729</v>
      </c>
      <c r="L69" s="865">
        <f t="shared" ca="1" si="12"/>
        <v>0</v>
      </c>
      <c r="M69" s="865">
        <f t="shared" ca="1" si="13"/>
        <v>112997621.55894828</v>
      </c>
      <c r="N69" s="865">
        <f t="shared" ca="1" si="14"/>
        <v>-271303.30374999996</v>
      </c>
      <c r="O69" s="864" cm="1">
        <f t="array" aca="1" ref="O69" ca="1">IF(N69=0,0,IF(G69&lt;0,N69/c_equity.LPshare*i_equity.GPshare,L69/c_equity.LPshare*i_equity.GPshare))</f>
        <v>-14279.12125</v>
      </c>
      <c r="P69" s="865">
        <f t="shared" ca="1" si="15"/>
        <v>-285582.42499999999</v>
      </c>
      <c r="Q69" s="865">
        <f t="shared" ca="1" si="16"/>
        <v>0</v>
      </c>
      <c r="R69" s="161"/>
      <c r="S69" s="867">
        <f t="shared" ca="1" si="17"/>
        <v>113404274.42524409</v>
      </c>
      <c r="T69" s="867" cm="1">
        <f t="array" aca="1" ref="T69" ca="1">IF($G69=0,0,-MIN(0,$G69*c_equity.LPshare))</f>
        <v>271303.30374999996</v>
      </c>
      <c r="U69" s="869" cm="1">
        <f t="array" aca="1" ref="U69" ca="1">IF($D69=0,0,S69*c_rate.Hurdle1.MO)</f>
        <v>904301.60950483615</v>
      </c>
      <c r="V69" s="867">
        <f t="shared" ca="1" si="18"/>
        <v>0</v>
      </c>
      <c r="W69" s="867">
        <f t="shared" ca="1" si="19"/>
        <v>0</v>
      </c>
      <c r="X69" s="869">
        <f t="shared" ca="1" si="20"/>
        <v>114579879.33849892</v>
      </c>
      <c r="Y69" s="869">
        <f t="shared" ca="1" si="21"/>
        <v>-271303.30374999996</v>
      </c>
      <c r="Z69" s="869">
        <f t="shared" ca="1" si="22"/>
        <v>-14279.12125</v>
      </c>
      <c r="AA69" s="869">
        <f t="shared" ca="1" si="23"/>
        <v>-285582.42499999999</v>
      </c>
      <c r="AB69" s="867">
        <f t="shared" ca="1" si="24"/>
        <v>0</v>
      </c>
      <c r="AC69" s="161"/>
      <c r="AD69" s="869">
        <f t="shared" ca="1" si="25"/>
        <v>114795246.28523746</v>
      </c>
      <c r="AE69" s="867" cm="1">
        <f t="array" aca="1" ref="AE69" ca="1">IF($G69=0,0,-MIN(0,$G69*c_equity.LPshare))</f>
        <v>271303.30374999996</v>
      </c>
      <c r="AF69" s="869" cm="1">
        <f t="array" aca="1" ref="AF69" ca="1">IF($D69=0,0,AD69*(c_rate.Hurdle2.MO))</f>
        <v>1089268.3218750819</v>
      </c>
      <c r="AG69" s="869">
        <f t="shared" ca="1" si="26"/>
        <v>0</v>
      </c>
      <c r="AH69" s="869">
        <f t="shared" ca="1" si="27"/>
        <v>0</v>
      </c>
      <c r="AI69" s="869">
        <f t="shared" ca="1" si="28"/>
        <v>116155817.91086254</v>
      </c>
      <c r="AJ69" s="868">
        <f t="shared" ca="1" si="6"/>
        <v>-271303.30374999996</v>
      </c>
      <c r="AK69" s="867">
        <f t="shared" ca="1" si="29"/>
        <v>-271303.30374999996</v>
      </c>
      <c r="AL69" s="869">
        <f t="shared" ca="1" si="7"/>
        <v>-14279.12125</v>
      </c>
      <c r="AM69" s="869">
        <f t="shared" ca="1" si="30"/>
        <v>-285582.42499999999</v>
      </c>
      <c r="AN69" s="867">
        <f t="shared" ca="1" si="3"/>
        <v>0</v>
      </c>
      <c r="AO69" s="161"/>
      <c r="AP69" s="869">
        <f t="shared" ca="1" si="31"/>
        <v>116178774.16666774</v>
      </c>
      <c r="AQ69" s="867" cm="1">
        <f t="array" aca="1" ref="AQ69" ca="1">IF($G69=0,0,-MIN(0,$G69*c_equity.LPshare))</f>
        <v>271303.30374999996</v>
      </c>
      <c r="AR69" s="869" cm="1">
        <f t="array" aca="1" ref="AR69" ca="1">IF($D69=0,0,AP69*(c_rate.Hurdle3.MO))</f>
        <v>1275509.5613284812</v>
      </c>
      <c r="AS69" s="869">
        <f t="shared" ca="1" si="32"/>
        <v>0</v>
      </c>
      <c r="AT69" s="869">
        <f t="shared" ca="1" si="33"/>
        <v>0</v>
      </c>
      <c r="AU69" s="869">
        <f t="shared" ca="1" si="34"/>
        <v>117725587.03174622</v>
      </c>
      <c r="AV69" s="870">
        <f t="shared" ca="1" si="35"/>
        <v>-271303.30374999996</v>
      </c>
      <c r="AW69" s="867">
        <f t="shared" ca="1" si="36"/>
        <v>-271303.30374999996</v>
      </c>
      <c r="AX69" s="869">
        <f t="shared" ca="1" si="8"/>
        <v>-14279.12125</v>
      </c>
      <c r="AY69" s="869">
        <f t="shared" ca="1" si="37"/>
        <v>-285582.42499999999</v>
      </c>
      <c r="AZ69" s="867">
        <f t="shared" ca="1" si="38"/>
        <v>0</v>
      </c>
      <c r="BA69" s="161"/>
      <c r="BB69" s="867">
        <f t="shared" ca="1" si="39"/>
        <v>0</v>
      </c>
      <c r="BC69" s="867">
        <f t="shared" ca="1" si="4"/>
        <v>0</v>
      </c>
      <c r="BD69" s="658"/>
      <c r="BE69" s="867">
        <f t="shared" ca="1" si="40"/>
        <v>-271303.30374999996</v>
      </c>
      <c r="BF69" s="867">
        <f t="shared" ca="1" si="41"/>
        <v>-14279.12125</v>
      </c>
      <c r="BG69" s="867">
        <f t="shared" ca="1" si="42"/>
        <v>-285582.42499999999</v>
      </c>
      <c r="BI69" s="867">
        <f ca="1"/>
        <v>-285582.42499999999</v>
      </c>
      <c r="BJ69" s="867">
        <f ca="1"/>
        <v>-271303.30374999996</v>
      </c>
      <c r="BK69" s="867">
        <f ca="1"/>
        <v>-14279.12125</v>
      </c>
      <c r="BL69" s="867">
        <f t="shared" ca="1" si="43"/>
        <v>0</v>
      </c>
      <c r="BM69" s="867">
        <f t="shared" ca="1" si="44"/>
        <v>0</v>
      </c>
      <c r="BN69" s="867">
        <f t="shared" ca="1" si="45"/>
        <v>0</v>
      </c>
      <c r="BO69" s="867">
        <f t="shared" ca="1" si="46"/>
        <v>0</v>
      </c>
      <c r="BP69" s="867">
        <f t="shared" ca="1" si="47"/>
        <v>0</v>
      </c>
      <c r="BQ69" s="867">
        <f t="shared" ca="1" si="48"/>
        <v>0</v>
      </c>
      <c r="BR69" s="867">
        <f ca="1"/>
        <v>0</v>
      </c>
      <c r="BS69" s="867">
        <f ca="1"/>
        <v>0</v>
      </c>
      <c r="BT69" s="867">
        <f t="shared" ca="1" si="9"/>
        <v>-271303.30374999996</v>
      </c>
      <c r="BU69" s="867">
        <f t="shared" ca="1" si="49"/>
        <v>-14279.12125</v>
      </c>
      <c r="BV69" s="829">
        <f t="shared" ca="1" si="10"/>
        <v>-2.5465851649641991E-11</v>
      </c>
      <c r="BX69" s="867">
        <f ca="1"/>
        <v>-285582.42499999999</v>
      </c>
      <c r="BY69" s="867">
        <f t="shared" ca="1" si="50"/>
        <v>-285582.42499999999</v>
      </c>
      <c r="BZ69" s="867">
        <f t="shared" ca="1" si="51"/>
        <v>0</v>
      </c>
      <c r="CA69" s="867">
        <f t="shared" ca="1" si="52"/>
        <v>0</v>
      </c>
      <c r="CB69" s="867">
        <f t="shared" ca="1" si="53"/>
        <v>0</v>
      </c>
      <c r="CC69" s="867">
        <f t="shared" ca="1" si="54"/>
        <v>0</v>
      </c>
      <c r="CD69" s="867">
        <f t="shared" ca="1" si="55"/>
        <v>-285582.42499999999</v>
      </c>
    </row>
    <row r="70" spans="1:82" ht="17" thickTop="1" thickBot="1">
      <c r="A70" s="773">
        <f t="shared" si="5"/>
        <v>1</v>
      </c>
      <c r="B70" s="779"/>
      <c r="C70" s="572"/>
      <c r="D70" s="660">
        <v>23</v>
      </c>
      <c r="E70" s="661">
        <v>45962</v>
      </c>
      <c r="F70" s="862">
        <v>2</v>
      </c>
      <c r="G70" s="863">
        <f ca="1"/>
        <v>-285582.42499999999</v>
      </c>
      <c r="H70" s="961"/>
      <c r="I70" s="865">
        <f t="shared" ca="1" si="11"/>
        <v>112997621.55894828</v>
      </c>
      <c r="J70" s="864" cm="1">
        <f t="array" aca="1" ref="J70" ca="1">IF($G70=0,0,-MIN(0,G70*c_equity.LPshare))</f>
        <v>271303.30374999996</v>
      </c>
      <c r="K70" s="865" cm="1">
        <f t="array" aca="1" ref="K70" ca="1">I70*c_rate.Pref.MO</f>
        <v>727030.09946904599</v>
      </c>
      <c r="L70" s="865">
        <f t="shared" ca="1" si="12"/>
        <v>0</v>
      </c>
      <c r="M70" s="865">
        <f t="shared" ca="1" si="13"/>
        <v>113995954.96216732</v>
      </c>
      <c r="N70" s="865">
        <f t="shared" ca="1" si="14"/>
        <v>-271303.30374999996</v>
      </c>
      <c r="O70" s="864" cm="1">
        <f t="array" aca="1" ref="O70" ca="1">IF(N70=0,0,IF(G70&lt;0,N70/c_equity.LPshare*i_equity.GPshare,L70/c_equity.LPshare*i_equity.GPshare))</f>
        <v>-14279.12125</v>
      </c>
      <c r="P70" s="865">
        <f t="shared" ca="1" si="15"/>
        <v>-285582.42499999999</v>
      </c>
      <c r="Q70" s="865">
        <f t="shared" ca="1" si="16"/>
        <v>0</v>
      </c>
      <c r="R70" s="161"/>
      <c r="S70" s="867">
        <f t="shared" ca="1" si="17"/>
        <v>114579879.33849892</v>
      </c>
      <c r="T70" s="867" cm="1">
        <f t="array" aca="1" ref="T70" ca="1">IF($G70=0,0,-MIN(0,$G70*c_equity.LPshare))</f>
        <v>271303.30374999996</v>
      </c>
      <c r="U70" s="869" cm="1">
        <f t="array" aca="1" ref="U70" ca="1">IF($D70=0,0,S70*c_rate.Hurdle1.MO)</f>
        <v>913676.04817203933</v>
      </c>
      <c r="V70" s="867">
        <f t="shared" ca="1" si="18"/>
        <v>0</v>
      </c>
      <c r="W70" s="867">
        <f t="shared" ca="1" si="19"/>
        <v>0</v>
      </c>
      <c r="X70" s="869">
        <f t="shared" ca="1" si="20"/>
        <v>115764858.69042096</v>
      </c>
      <c r="Y70" s="869">
        <f t="shared" ca="1" si="21"/>
        <v>-271303.30374999996</v>
      </c>
      <c r="Z70" s="869">
        <f t="shared" ca="1" si="22"/>
        <v>-14279.12125</v>
      </c>
      <c r="AA70" s="869">
        <f t="shared" ca="1" si="23"/>
        <v>-285582.42499999999</v>
      </c>
      <c r="AB70" s="867">
        <f t="shared" ca="1" si="24"/>
        <v>0</v>
      </c>
      <c r="AC70" s="161"/>
      <c r="AD70" s="869">
        <f t="shared" ca="1" si="25"/>
        <v>116155817.91086254</v>
      </c>
      <c r="AE70" s="867" cm="1">
        <f t="array" aca="1" ref="AE70" ca="1">IF($G70=0,0,-MIN(0,$G70*c_equity.LPshare))</f>
        <v>271303.30374999996</v>
      </c>
      <c r="AF70" s="869" cm="1">
        <f t="array" aca="1" ref="AF70" ca="1">IF($D70=0,0,AD70*(c_rate.Hurdle2.MO))</f>
        <v>1102178.5043033073</v>
      </c>
      <c r="AG70" s="869">
        <f t="shared" ca="1" si="26"/>
        <v>0</v>
      </c>
      <c r="AH70" s="869">
        <f t="shared" ca="1" si="27"/>
        <v>0</v>
      </c>
      <c r="AI70" s="869">
        <f t="shared" ca="1" si="28"/>
        <v>117529299.71891584</v>
      </c>
      <c r="AJ70" s="868">
        <f t="shared" ca="1" si="6"/>
        <v>-271303.30374999996</v>
      </c>
      <c r="AK70" s="867">
        <f t="shared" ca="1" si="29"/>
        <v>-271303.30374999996</v>
      </c>
      <c r="AL70" s="869">
        <f t="shared" ca="1" si="7"/>
        <v>-14279.12125</v>
      </c>
      <c r="AM70" s="869">
        <f t="shared" ca="1" si="30"/>
        <v>-285582.42499999999</v>
      </c>
      <c r="AN70" s="867">
        <f t="shared" ca="1" si="3"/>
        <v>0</v>
      </c>
      <c r="AO70" s="161"/>
      <c r="AP70" s="869">
        <f t="shared" ca="1" si="31"/>
        <v>117725587.03174622</v>
      </c>
      <c r="AQ70" s="867" cm="1">
        <f t="array" aca="1" ref="AQ70" ca="1">IF($G70=0,0,-MIN(0,$G70*c_equity.LPshare))</f>
        <v>271303.30374999996</v>
      </c>
      <c r="AR70" s="869" cm="1">
        <f t="array" aca="1" ref="AR70" ca="1">IF($D70=0,0,AP70*(c_rate.Hurdle3.MO))</f>
        <v>1292491.7907688015</v>
      </c>
      <c r="AS70" s="869">
        <f t="shared" ca="1" si="32"/>
        <v>0</v>
      </c>
      <c r="AT70" s="869">
        <f t="shared" ca="1" si="33"/>
        <v>0</v>
      </c>
      <c r="AU70" s="869">
        <f t="shared" ca="1" si="34"/>
        <v>119289382.12626502</v>
      </c>
      <c r="AV70" s="870">
        <f t="shared" ca="1" si="35"/>
        <v>-271303.30374999996</v>
      </c>
      <c r="AW70" s="867">
        <f t="shared" ca="1" si="36"/>
        <v>-271303.30374999996</v>
      </c>
      <c r="AX70" s="869">
        <f t="shared" ca="1" si="8"/>
        <v>-14279.12125</v>
      </c>
      <c r="AY70" s="869">
        <f t="shared" ca="1" si="37"/>
        <v>-285582.42499999999</v>
      </c>
      <c r="AZ70" s="867">
        <f t="shared" ca="1" si="38"/>
        <v>0</v>
      </c>
      <c r="BA70" s="161"/>
      <c r="BB70" s="867">
        <f t="shared" ca="1" si="39"/>
        <v>0</v>
      </c>
      <c r="BC70" s="867">
        <f t="shared" ca="1" si="4"/>
        <v>0</v>
      </c>
      <c r="BD70" s="658"/>
      <c r="BE70" s="867">
        <f t="shared" ca="1" si="40"/>
        <v>-271303.30374999996</v>
      </c>
      <c r="BF70" s="867">
        <f t="shared" ca="1" si="41"/>
        <v>-14279.12125</v>
      </c>
      <c r="BG70" s="867">
        <f t="shared" ca="1" si="42"/>
        <v>-285582.42499999999</v>
      </c>
      <c r="BI70" s="867">
        <f ca="1"/>
        <v>-285582.42499999999</v>
      </c>
      <c r="BJ70" s="867">
        <f ca="1"/>
        <v>-271303.30374999996</v>
      </c>
      <c r="BK70" s="867">
        <f ca="1"/>
        <v>-14279.12125</v>
      </c>
      <c r="BL70" s="867">
        <f t="shared" ca="1" si="43"/>
        <v>0</v>
      </c>
      <c r="BM70" s="867">
        <f t="shared" ca="1" si="44"/>
        <v>0</v>
      </c>
      <c r="BN70" s="867">
        <f t="shared" ca="1" si="45"/>
        <v>0</v>
      </c>
      <c r="BO70" s="867">
        <f t="shared" ca="1" si="46"/>
        <v>0</v>
      </c>
      <c r="BP70" s="867">
        <f t="shared" ca="1" si="47"/>
        <v>0</v>
      </c>
      <c r="BQ70" s="867">
        <f t="shared" ca="1" si="48"/>
        <v>0</v>
      </c>
      <c r="BR70" s="867">
        <f ca="1"/>
        <v>0</v>
      </c>
      <c r="BS70" s="867">
        <f ca="1"/>
        <v>0</v>
      </c>
      <c r="BT70" s="867">
        <f t="shared" ca="1" si="9"/>
        <v>-271303.30374999996</v>
      </c>
      <c r="BU70" s="867">
        <f t="shared" ca="1" si="49"/>
        <v>-14279.12125</v>
      </c>
      <c r="BV70" s="829">
        <f t="shared" ca="1" si="10"/>
        <v>-2.5465851649641991E-11</v>
      </c>
      <c r="BX70" s="867">
        <f ca="1"/>
        <v>-285582.42499999999</v>
      </c>
      <c r="BY70" s="867">
        <f t="shared" ca="1" si="50"/>
        <v>-285582.42499999999</v>
      </c>
      <c r="BZ70" s="867">
        <f t="shared" ca="1" si="51"/>
        <v>0</v>
      </c>
      <c r="CA70" s="867">
        <f t="shared" ca="1" si="52"/>
        <v>0</v>
      </c>
      <c r="CB70" s="867">
        <f t="shared" ca="1" si="53"/>
        <v>0</v>
      </c>
      <c r="CC70" s="867">
        <f t="shared" ca="1" si="54"/>
        <v>0</v>
      </c>
      <c r="CD70" s="867">
        <f t="shared" ca="1" si="55"/>
        <v>-285582.42499999999</v>
      </c>
    </row>
    <row r="71" spans="1:82" ht="17" thickTop="1" thickBot="1">
      <c r="A71" s="773">
        <f t="shared" si="5"/>
        <v>1</v>
      </c>
      <c r="B71" s="779"/>
      <c r="C71" s="572"/>
      <c r="D71" s="660">
        <v>24</v>
      </c>
      <c r="E71" s="661">
        <v>45992</v>
      </c>
      <c r="F71" s="862">
        <v>2</v>
      </c>
      <c r="G71" s="863">
        <f ca="1"/>
        <v>-1239418.5016942744</v>
      </c>
      <c r="H71" s="961"/>
      <c r="I71" s="865">
        <f t="shared" ca="1" si="11"/>
        <v>113995954.96216732</v>
      </c>
      <c r="J71" s="864" cm="1">
        <f t="array" aca="1" ref="J71" ca="1">IF($G71=0,0,-MIN(0,G71*c_equity.LPshare))</f>
        <v>1177447.5766095605</v>
      </c>
      <c r="K71" s="865" cm="1">
        <f t="array" aca="1" ref="K71" ca="1">I71*c_rate.Pref.MO</f>
        <v>733453.40664517949</v>
      </c>
      <c r="L71" s="865">
        <f t="shared" ca="1" si="12"/>
        <v>0</v>
      </c>
      <c r="M71" s="865">
        <f t="shared" ca="1" si="13"/>
        <v>115906855.94542207</v>
      </c>
      <c r="N71" s="865">
        <f t="shared" ca="1" si="14"/>
        <v>-1177447.5766095605</v>
      </c>
      <c r="O71" s="864" cm="1">
        <f t="array" aca="1" ref="O71" ca="1">IF(N71=0,0,IF(G71&lt;0,N71/c_equity.LPshare*i_equity.GPshare,L71/c_equity.LPshare*i_equity.GPshare))</f>
        <v>-61970.925084713723</v>
      </c>
      <c r="P71" s="865">
        <f t="shared" ca="1" si="15"/>
        <v>-1239418.5016942741</v>
      </c>
      <c r="Q71" s="865">
        <f t="shared" ca="1" si="16"/>
        <v>0</v>
      </c>
      <c r="R71" s="161"/>
      <c r="S71" s="867">
        <f t="shared" ca="1" si="17"/>
        <v>115764858.69042096</v>
      </c>
      <c r="T71" s="867" cm="1">
        <f t="array" aca="1" ref="T71" ca="1">IF($G71=0,0,-MIN(0,$G71*c_equity.LPshare))</f>
        <v>1177447.5766095605</v>
      </c>
      <c r="U71" s="869" cm="1">
        <f t="array" aca="1" ref="U71" ca="1">IF($D71=0,0,S71*c_rate.Hurdle1.MO)</f>
        <v>923125.23992961703</v>
      </c>
      <c r="V71" s="867">
        <f t="shared" ca="1" si="18"/>
        <v>0</v>
      </c>
      <c r="W71" s="867">
        <f t="shared" ca="1" si="19"/>
        <v>0</v>
      </c>
      <c r="X71" s="869">
        <f t="shared" ca="1" si="20"/>
        <v>117865431.50696014</v>
      </c>
      <c r="Y71" s="869">
        <f t="shared" ca="1" si="21"/>
        <v>-1177447.5766095605</v>
      </c>
      <c r="Z71" s="869">
        <f t="shared" ca="1" si="22"/>
        <v>-61970.925084713723</v>
      </c>
      <c r="AA71" s="869">
        <f t="shared" ca="1" si="23"/>
        <v>-1239418.5016942741</v>
      </c>
      <c r="AB71" s="867">
        <f t="shared" ca="1" si="24"/>
        <v>0</v>
      </c>
      <c r="AC71" s="161"/>
      <c r="AD71" s="869">
        <f t="shared" ca="1" si="25"/>
        <v>117529299.71891584</v>
      </c>
      <c r="AE71" s="867" cm="1">
        <f t="array" aca="1" ref="AE71" ca="1">IF($G71=0,0,-MIN(0,$G71*c_equity.LPshare))</f>
        <v>1177447.5766095605</v>
      </c>
      <c r="AF71" s="869" cm="1">
        <f t="array" aca="1" ref="AF71" ca="1">IF($D71=0,0,AD71*(c_rate.Hurdle2.MO))</f>
        <v>1115211.1887793418</v>
      </c>
      <c r="AG71" s="869">
        <f t="shared" ca="1" si="26"/>
        <v>0</v>
      </c>
      <c r="AH71" s="869">
        <f t="shared" ca="1" si="27"/>
        <v>0</v>
      </c>
      <c r="AI71" s="869">
        <f t="shared" ca="1" si="28"/>
        <v>119821958.48430474</v>
      </c>
      <c r="AJ71" s="868">
        <f t="shared" ca="1" si="6"/>
        <v>-1177447.5766095605</v>
      </c>
      <c r="AK71" s="867">
        <f t="shared" ca="1" si="29"/>
        <v>-1177447.5766095605</v>
      </c>
      <c r="AL71" s="869">
        <f t="shared" ca="1" si="7"/>
        <v>-61970.925084713723</v>
      </c>
      <c r="AM71" s="869">
        <f t="shared" ca="1" si="30"/>
        <v>-1239418.5016942741</v>
      </c>
      <c r="AN71" s="867">
        <f t="shared" ca="1" si="3"/>
        <v>0</v>
      </c>
      <c r="AO71" s="161"/>
      <c r="AP71" s="869">
        <f t="shared" ca="1" si="31"/>
        <v>119289382.12626502</v>
      </c>
      <c r="AQ71" s="867" cm="1">
        <f t="array" aca="1" ref="AQ71" ca="1">IF($G71=0,0,-MIN(0,$G71*c_equity.LPshare))</f>
        <v>1177447.5766095605</v>
      </c>
      <c r="AR71" s="869" cm="1">
        <f t="array" aca="1" ref="AR71" ca="1">IF($D71=0,0,AP71*(c_rate.Hurdle3.MO))</f>
        <v>1309660.4655919308</v>
      </c>
      <c r="AS71" s="869">
        <f t="shared" ca="1" si="32"/>
        <v>0</v>
      </c>
      <c r="AT71" s="869">
        <f t="shared" ca="1" si="33"/>
        <v>0</v>
      </c>
      <c r="AU71" s="869">
        <f t="shared" ca="1" si="34"/>
        <v>121776490.16846652</v>
      </c>
      <c r="AV71" s="870">
        <f t="shared" ca="1" si="35"/>
        <v>-1177447.5766095605</v>
      </c>
      <c r="AW71" s="867">
        <f t="shared" ca="1" si="36"/>
        <v>-1177447.5766095605</v>
      </c>
      <c r="AX71" s="869">
        <f t="shared" ca="1" si="8"/>
        <v>-61970.925084713723</v>
      </c>
      <c r="AY71" s="869">
        <f t="shared" ca="1" si="37"/>
        <v>-1239418.5016942741</v>
      </c>
      <c r="AZ71" s="867">
        <f t="shared" ca="1" si="38"/>
        <v>0</v>
      </c>
      <c r="BA71" s="161"/>
      <c r="BB71" s="867">
        <f t="shared" ca="1" si="39"/>
        <v>0</v>
      </c>
      <c r="BC71" s="867">
        <f t="shared" ca="1" si="4"/>
        <v>0</v>
      </c>
      <c r="BD71" s="658"/>
      <c r="BE71" s="867">
        <f t="shared" ca="1" si="40"/>
        <v>-1177447.5766095605</v>
      </c>
      <c r="BF71" s="867">
        <f t="shared" ca="1" si="41"/>
        <v>-61970.925084713723</v>
      </c>
      <c r="BG71" s="867">
        <f t="shared" ca="1" si="42"/>
        <v>-1239418.5016942741</v>
      </c>
      <c r="BI71" s="867">
        <f ca="1"/>
        <v>-1239418.5016942744</v>
      </c>
      <c r="BJ71" s="867">
        <f ca="1"/>
        <v>-1177447.5766095605</v>
      </c>
      <c r="BK71" s="867">
        <f ca="1"/>
        <v>-61970.925084713723</v>
      </c>
      <c r="BL71" s="867">
        <f t="shared" ca="1" si="43"/>
        <v>0</v>
      </c>
      <c r="BM71" s="867">
        <f t="shared" ca="1" si="44"/>
        <v>0</v>
      </c>
      <c r="BN71" s="867">
        <f t="shared" ca="1" si="45"/>
        <v>0</v>
      </c>
      <c r="BO71" s="867">
        <f t="shared" ca="1" si="46"/>
        <v>0</v>
      </c>
      <c r="BP71" s="867">
        <f t="shared" ca="1" si="47"/>
        <v>0</v>
      </c>
      <c r="BQ71" s="867">
        <f t="shared" ca="1" si="48"/>
        <v>0</v>
      </c>
      <c r="BR71" s="867">
        <f ca="1"/>
        <v>0</v>
      </c>
      <c r="BS71" s="867">
        <f ca="1"/>
        <v>0</v>
      </c>
      <c r="BT71" s="867">
        <f t="shared" ca="1" si="9"/>
        <v>-1177447.5766095605</v>
      </c>
      <c r="BU71" s="867">
        <f t="shared" ca="1" si="49"/>
        <v>-61970.925084713723</v>
      </c>
      <c r="BV71" s="829">
        <f t="shared" ca="1" si="10"/>
        <v>-1.2369127944111824E-10</v>
      </c>
      <c r="BX71" s="867">
        <f ca="1"/>
        <v>-1239418.5016942744</v>
      </c>
      <c r="BY71" s="867">
        <f t="shared" ca="1" si="50"/>
        <v>-1239418.5016942741</v>
      </c>
      <c r="BZ71" s="867">
        <f t="shared" ca="1" si="51"/>
        <v>0</v>
      </c>
      <c r="CA71" s="867">
        <f t="shared" ca="1" si="52"/>
        <v>0</v>
      </c>
      <c r="CB71" s="867">
        <f t="shared" ca="1" si="53"/>
        <v>0</v>
      </c>
      <c r="CC71" s="867">
        <f t="shared" ca="1" si="54"/>
        <v>0</v>
      </c>
      <c r="CD71" s="867">
        <f t="shared" ca="1" si="55"/>
        <v>-1239418.5016942741</v>
      </c>
    </row>
    <row r="72" spans="1:82" ht="17" thickTop="1" thickBot="1">
      <c r="A72" s="773">
        <f t="shared" si="5"/>
        <v>1</v>
      </c>
      <c r="B72" s="779"/>
      <c r="C72" s="572"/>
      <c r="D72" s="660">
        <v>25</v>
      </c>
      <c r="E72" s="661">
        <v>46023</v>
      </c>
      <c r="F72" s="862">
        <v>3</v>
      </c>
      <c r="G72" s="863">
        <f ca="1"/>
        <v>-1239418.5016942744</v>
      </c>
      <c r="H72" s="961"/>
      <c r="I72" s="865">
        <f t="shared" ca="1" si="11"/>
        <v>115906855.94542207</v>
      </c>
      <c r="J72" s="864" cm="1">
        <f t="array" aca="1" ref="J72" ca="1">IF($G72=0,0,-MIN(0,G72*c_equity.LPshare))</f>
        <v>1177447.5766095605</v>
      </c>
      <c r="K72" s="865" cm="1">
        <f t="array" aca="1" ref="K72" ca="1">I72*c_rate.Pref.MO</f>
        <v>745748.20110867568</v>
      </c>
      <c r="L72" s="865">
        <f t="shared" ca="1" si="12"/>
        <v>0</v>
      </c>
      <c r="M72" s="865">
        <f t="shared" ca="1" si="13"/>
        <v>117830051.72314031</v>
      </c>
      <c r="N72" s="865">
        <f t="shared" ca="1" si="14"/>
        <v>-1177447.5766095605</v>
      </c>
      <c r="O72" s="864" cm="1">
        <f t="array" aca="1" ref="O72" ca="1">IF(N72=0,0,IF(G72&lt;0,N72/c_equity.LPshare*i_equity.GPshare,L72/c_equity.LPshare*i_equity.GPshare))</f>
        <v>-61970.925084713723</v>
      </c>
      <c r="P72" s="865">
        <f t="shared" ca="1" si="15"/>
        <v>-1239418.5016942741</v>
      </c>
      <c r="Q72" s="865">
        <f t="shared" ca="1" si="16"/>
        <v>0</v>
      </c>
      <c r="R72" s="161"/>
      <c r="S72" s="867">
        <f t="shared" ca="1" si="17"/>
        <v>117865431.50696014</v>
      </c>
      <c r="T72" s="867" cm="1">
        <f t="array" aca="1" ref="T72" ca="1">IF($G72=0,0,-MIN(0,$G72*c_equity.LPshare))</f>
        <v>1177447.5766095605</v>
      </c>
      <c r="U72" s="869" cm="1">
        <f t="array" aca="1" ref="U72" ca="1">IF($D72=0,0,S72*c_rate.Hurdle1.MO)</f>
        <v>939875.50254983839</v>
      </c>
      <c r="V72" s="867">
        <f t="shared" ca="1" si="18"/>
        <v>0</v>
      </c>
      <c r="W72" s="867">
        <f t="shared" ca="1" si="19"/>
        <v>0</v>
      </c>
      <c r="X72" s="869">
        <f t="shared" ca="1" si="20"/>
        <v>119982754.58611955</v>
      </c>
      <c r="Y72" s="869">
        <f t="shared" ca="1" si="21"/>
        <v>-1177447.5766095605</v>
      </c>
      <c r="Z72" s="869">
        <f t="shared" ca="1" si="22"/>
        <v>-61970.925084713723</v>
      </c>
      <c r="AA72" s="869">
        <f t="shared" ca="1" si="23"/>
        <v>-1239418.5016942741</v>
      </c>
      <c r="AB72" s="867">
        <f t="shared" ca="1" si="24"/>
        <v>0</v>
      </c>
      <c r="AC72" s="161"/>
      <c r="AD72" s="869">
        <f t="shared" ca="1" si="25"/>
        <v>119821958.48430474</v>
      </c>
      <c r="AE72" s="867" cm="1">
        <f t="array" aca="1" ref="AE72" ca="1">IF($G72=0,0,-MIN(0,$G72*c_equity.LPshare))</f>
        <v>1177447.5766095605</v>
      </c>
      <c r="AF72" s="869" cm="1">
        <f t="array" aca="1" ref="AF72" ca="1">IF($D72=0,0,AD72*(c_rate.Hurdle2.MO))</f>
        <v>1136965.7530737738</v>
      </c>
      <c r="AG72" s="869">
        <f t="shared" ca="1" si="26"/>
        <v>0</v>
      </c>
      <c r="AH72" s="869">
        <f t="shared" ca="1" si="27"/>
        <v>0</v>
      </c>
      <c r="AI72" s="869">
        <f t="shared" ca="1" si="28"/>
        <v>122136371.81398807</v>
      </c>
      <c r="AJ72" s="868">
        <f t="shared" ca="1" si="6"/>
        <v>-1177447.5766095605</v>
      </c>
      <c r="AK72" s="867">
        <f t="shared" ca="1" si="29"/>
        <v>-1177447.5766095605</v>
      </c>
      <c r="AL72" s="869">
        <f t="shared" ca="1" si="7"/>
        <v>-61970.925084713723</v>
      </c>
      <c r="AM72" s="869">
        <f t="shared" ca="1" si="30"/>
        <v>-1239418.5016942741</v>
      </c>
      <c r="AN72" s="867">
        <f t="shared" ca="1" si="3"/>
        <v>0</v>
      </c>
      <c r="AO72" s="161"/>
      <c r="AP72" s="869">
        <f t="shared" ca="1" si="31"/>
        <v>121776490.16846652</v>
      </c>
      <c r="AQ72" s="867" cm="1">
        <f t="array" aca="1" ref="AQ72" ca="1">IF($G72=0,0,-MIN(0,$G72*c_equity.LPshare))</f>
        <v>1177447.5766095605</v>
      </c>
      <c r="AR72" s="869" cm="1">
        <f t="array" aca="1" ref="AR72" ca="1">IF($D72=0,0,AP72*(c_rate.Hurdle3.MO))</f>
        <v>1336966.0565713469</v>
      </c>
      <c r="AS72" s="869">
        <f t="shared" ca="1" si="32"/>
        <v>0</v>
      </c>
      <c r="AT72" s="869">
        <f t="shared" ca="1" si="33"/>
        <v>0</v>
      </c>
      <c r="AU72" s="869">
        <f t="shared" ca="1" si="34"/>
        <v>124290903.80164744</v>
      </c>
      <c r="AV72" s="870">
        <f t="shared" ca="1" si="35"/>
        <v>-1177447.5766095605</v>
      </c>
      <c r="AW72" s="867">
        <f t="shared" ca="1" si="36"/>
        <v>-1177447.5766095605</v>
      </c>
      <c r="AX72" s="869">
        <f t="shared" ca="1" si="8"/>
        <v>-61970.925084713723</v>
      </c>
      <c r="AY72" s="869">
        <f t="shared" ca="1" si="37"/>
        <v>-1239418.5016942741</v>
      </c>
      <c r="AZ72" s="867">
        <f t="shared" ca="1" si="38"/>
        <v>0</v>
      </c>
      <c r="BA72" s="161"/>
      <c r="BB72" s="867">
        <f t="shared" ca="1" si="39"/>
        <v>0</v>
      </c>
      <c r="BC72" s="867">
        <f t="shared" ca="1" si="4"/>
        <v>0</v>
      </c>
      <c r="BD72" s="658"/>
      <c r="BE72" s="867">
        <f t="shared" ca="1" si="40"/>
        <v>-1177447.5766095605</v>
      </c>
      <c r="BF72" s="867">
        <f t="shared" ca="1" si="41"/>
        <v>-61970.925084713723</v>
      </c>
      <c r="BG72" s="867">
        <f t="shared" ca="1" si="42"/>
        <v>-1239418.5016942741</v>
      </c>
      <c r="BI72" s="867">
        <f ca="1"/>
        <v>-1239418.5016942744</v>
      </c>
      <c r="BJ72" s="867">
        <f ca="1"/>
        <v>-1177447.5766095605</v>
      </c>
      <c r="BK72" s="867">
        <f ca="1"/>
        <v>-61970.925084713723</v>
      </c>
      <c r="BL72" s="867">
        <f t="shared" ca="1" si="43"/>
        <v>0</v>
      </c>
      <c r="BM72" s="867">
        <f t="shared" ca="1" si="44"/>
        <v>0</v>
      </c>
      <c r="BN72" s="867">
        <f t="shared" ca="1" si="45"/>
        <v>0</v>
      </c>
      <c r="BO72" s="867">
        <f t="shared" ca="1" si="46"/>
        <v>0</v>
      </c>
      <c r="BP72" s="867">
        <f t="shared" ca="1" si="47"/>
        <v>0</v>
      </c>
      <c r="BQ72" s="867">
        <f t="shared" ca="1" si="48"/>
        <v>0</v>
      </c>
      <c r="BR72" s="867">
        <f ca="1"/>
        <v>0</v>
      </c>
      <c r="BS72" s="867">
        <f ca="1"/>
        <v>0</v>
      </c>
      <c r="BT72" s="867">
        <f t="shared" ca="1" si="9"/>
        <v>-1177447.5766095605</v>
      </c>
      <c r="BU72" s="867">
        <f t="shared" ca="1" si="49"/>
        <v>-61970.925084713723</v>
      </c>
      <c r="BV72" s="829">
        <f t="shared" ca="1" si="10"/>
        <v>-1.2369127944111824E-10</v>
      </c>
      <c r="BX72" s="867">
        <f ca="1"/>
        <v>-1239418.5016942744</v>
      </c>
      <c r="BY72" s="867">
        <f t="shared" ca="1" si="50"/>
        <v>-1239418.5016942741</v>
      </c>
      <c r="BZ72" s="867">
        <f t="shared" ca="1" si="51"/>
        <v>0</v>
      </c>
      <c r="CA72" s="867">
        <f t="shared" ca="1" si="52"/>
        <v>0</v>
      </c>
      <c r="CB72" s="867">
        <f t="shared" ca="1" si="53"/>
        <v>0</v>
      </c>
      <c r="CC72" s="867">
        <f t="shared" ca="1" si="54"/>
        <v>0</v>
      </c>
      <c r="CD72" s="867">
        <f t="shared" ca="1" si="55"/>
        <v>-1239418.5016942741</v>
      </c>
    </row>
    <row r="73" spans="1:82" ht="17" thickTop="1" thickBot="1">
      <c r="A73" s="773">
        <f t="shared" si="5"/>
        <v>1</v>
      </c>
      <c r="B73" s="779"/>
      <c r="C73" s="572"/>
      <c r="D73" s="660">
        <v>26</v>
      </c>
      <c r="E73" s="661">
        <v>46054</v>
      </c>
      <c r="F73" s="862">
        <v>3</v>
      </c>
      <c r="G73" s="863">
        <f ca="1"/>
        <v>28780894.742531989</v>
      </c>
      <c r="H73" s="961"/>
      <c r="I73" s="865">
        <f t="shared" ca="1" si="11"/>
        <v>117830051.72314031</v>
      </c>
      <c r="J73" s="864" cm="1">
        <f t="array" aca="1" ref="J73" ca="1">IF($G73=0,0,-MIN(0,G73*c_equity.LPshare))</f>
        <v>0</v>
      </c>
      <c r="K73" s="865" cm="1">
        <f t="array" aca="1" ref="K73" ca="1">I73*c_rate.Pref.MO</f>
        <v>758122.10064994637</v>
      </c>
      <c r="L73" s="865">
        <f t="shared" ca="1" si="12"/>
        <v>27341850.005405389</v>
      </c>
      <c r="M73" s="865">
        <f t="shared" ca="1" si="13"/>
        <v>91246323.818384886</v>
      </c>
      <c r="N73" s="865">
        <f t="shared" ca="1" si="14"/>
        <v>27341850.005405389</v>
      </c>
      <c r="O73" s="864" cm="1">
        <f t="array" aca="1" ref="O73" ca="1">IF(N73=0,0,IF(G73&lt;0,N73/c_equity.LPshare*i_equity.GPshare,L73/c_equity.LPshare*i_equity.GPshare))</f>
        <v>1439044.7371265995</v>
      </c>
      <c r="P73" s="865">
        <f t="shared" ca="1" si="15"/>
        <v>28780894.742531989</v>
      </c>
      <c r="Q73" s="865">
        <f t="shared" ca="1" si="16"/>
        <v>0</v>
      </c>
      <c r="R73" s="161"/>
      <c r="S73" s="867">
        <f t="shared" ca="1" si="17"/>
        <v>119982754.58611955</v>
      </c>
      <c r="T73" s="867" cm="1">
        <f t="array" aca="1" ref="T73" ca="1">IF($G73=0,0,-MIN(0,$G73*c_equity.LPshare))</f>
        <v>0</v>
      </c>
      <c r="U73" s="869" cm="1">
        <f t="array" aca="1" ref="U73" ca="1">IF($D73=0,0,S73*c_rate.Hurdle1.MO)</f>
        <v>956759.33411641442</v>
      </c>
      <c r="V73" s="867">
        <f t="shared" ca="1" si="18"/>
        <v>27341850.005405389</v>
      </c>
      <c r="W73" s="867">
        <f t="shared" ca="1" si="19"/>
        <v>0</v>
      </c>
      <c r="X73" s="869">
        <f t="shared" ca="1" si="20"/>
        <v>93597663.914830565</v>
      </c>
      <c r="Y73" s="869">
        <f t="shared" ca="1" si="21"/>
        <v>27341850.005405389</v>
      </c>
      <c r="Z73" s="869">
        <f t="shared" ca="1" si="22"/>
        <v>1439044.7371265995</v>
      </c>
      <c r="AA73" s="869">
        <f t="shared" ca="1" si="23"/>
        <v>28780894.742531989</v>
      </c>
      <c r="AB73" s="867">
        <f t="shared" ca="1" si="24"/>
        <v>0</v>
      </c>
      <c r="AC73" s="161"/>
      <c r="AD73" s="869">
        <f t="shared" ca="1" si="25"/>
        <v>122136371.81398807</v>
      </c>
      <c r="AE73" s="867" cm="1">
        <f t="array" aca="1" ref="AE73" ca="1">IF($G73=0,0,-MIN(0,$G73*c_equity.LPshare))</f>
        <v>0</v>
      </c>
      <c r="AF73" s="869" cm="1">
        <f t="array" aca="1" ref="AF73" ca="1">IF($D73=0,0,AD73*(c_rate.Hurdle2.MO))</f>
        <v>1158926.7419241779</v>
      </c>
      <c r="AG73" s="869">
        <f t="shared" ca="1" si="26"/>
        <v>27341850.005405389</v>
      </c>
      <c r="AH73" s="869">
        <f t="shared" ca="1" si="27"/>
        <v>0</v>
      </c>
      <c r="AI73" s="869">
        <f t="shared" ca="1" si="28"/>
        <v>95953448.55050686</v>
      </c>
      <c r="AJ73" s="868">
        <f t="shared" ca="1" si="6"/>
        <v>27341850.005405389</v>
      </c>
      <c r="AK73" s="867">
        <f t="shared" ca="1" si="29"/>
        <v>27341850.005405389</v>
      </c>
      <c r="AL73" s="869">
        <f t="shared" ca="1" si="7"/>
        <v>1439044.7371265995</v>
      </c>
      <c r="AM73" s="869">
        <f t="shared" ca="1" si="30"/>
        <v>28780894.742531989</v>
      </c>
      <c r="AN73" s="867">
        <f t="shared" ca="1" si="3"/>
        <v>0</v>
      </c>
      <c r="AO73" s="161"/>
      <c r="AP73" s="869">
        <f t="shared" ca="1" si="31"/>
        <v>124290903.80164744</v>
      </c>
      <c r="AQ73" s="867" cm="1">
        <f t="array" aca="1" ref="AQ73" ca="1">IF($G73=0,0,-MIN(0,$G73*c_equity.LPshare))</f>
        <v>0</v>
      </c>
      <c r="AR73" s="869" cm="1">
        <f t="array" aca="1" ref="AR73" ca="1">IF($D73=0,0,AP73*(c_rate.Hurdle3.MO))</f>
        <v>1364571.4315915378</v>
      </c>
      <c r="AS73" s="869">
        <f t="shared" ca="1" si="32"/>
        <v>27341850.005405389</v>
      </c>
      <c r="AT73" s="869">
        <f t="shared" ca="1" si="33"/>
        <v>0</v>
      </c>
      <c r="AU73" s="869">
        <f t="shared" ca="1" si="34"/>
        <v>98313625.227833599</v>
      </c>
      <c r="AV73" s="870">
        <f t="shared" ca="1" si="35"/>
        <v>27341850.005405389</v>
      </c>
      <c r="AW73" s="867">
        <f t="shared" ca="1" si="36"/>
        <v>27341850.005405389</v>
      </c>
      <c r="AX73" s="869">
        <f t="shared" ca="1" si="8"/>
        <v>1439044.7371265995</v>
      </c>
      <c r="AY73" s="869">
        <f t="shared" ca="1" si="37"/>
        <v>28780894.742531989</v>
      </c>
      <c r="AZ73" s="867">
        <f t="shared" ca="1" si="38"/>
        <v>0</v>
      </c>
      <c r="BA73" s="161"/>
      <c r="BB73" s="867">
        <f t="shared" ca="1" si="39"/>
        <v>0</v>
      </c>
      <c r="BC73" s="867">
        <f t="shared" ca="1" si="4"/>
        <v>0</v>
      </c>
      <c r="BD73" s="658"/>
      <c r="BE73" s="867">
        <f t="shared" ca="1" si="40"/>
        <v>27341850.005405389</v>
      </c>
      <c r="BF73" s="867">
        <f t="shared" ca="1" si="41"/>
        <v>1439044.7371265995</v>
      </c>
      <c r="BG73" s="867">
        <f t="shared" ca="1" si="42"/>
        <v>28780894.742531989</v>
      </c>
      <c r="BI73" s="867">
        <f ca="1"/>
        <v>28780894.742531989</v>
      </c>
      <c r="BJ73" s="867">
        <f ca="1"/>
        <v>27341850.005405389</v>
      </c>
      <c r="BK73" s="867">
        <f ca="1"/>
        <v>1439044.7371265995</v>
      </c>
      <c r="BL73" s="867">
        <f t="shared" ca="1" si="43"/>
        <v>0</v>
      </c>
      <c r="BM73" s="867">
        <f t="shared" ca="1" si="44"/>
        <v>0</v>
      </c>
      <c r="BN73" s="867">
        <f t="shared" ca="1" si="45"/>
        <v>0</v>
      </c>
      <c r="BO73" s="867">
        <f t="shared" ca="1" si="46"/>
        <v>0</v>
      </c>
      <c r="BP73" s="867">
        <f t="shared" ca="1" si="47"/>
        <v>0</v>
      </c>
      <c r="BQ73" s="867">
        <f t="shared" ca="1" si="48"/>
        <v>0</v>
      </c>
      <c r="BR73" s="867">
        <f ca="1"/>
        <v>0</v>
      </c>
      <c r="BS73" s="867">
        <f ca="1"/>
        <v>0</v>
      </c>
      <c r="BT73" s="867">
        <f t="shared" ca="1" si="9"/>
        <v>27341850.005405389</v>
      </c>
      <c r="BU73" s="867">
        <f t="shared" ca="1" si="49"/>
        <v>1439044.7371265995</v>
      </c>
      <c r="BV73" s="829">
        <f t="shared" ca="1" si="10"/>
        <v>0</v>
      </c>
      <c r="BX73" s="867">
        <f ca="1"/>
        <v>28780894.742531989</v>
      </c>
      <c r="BY73" s="867">
        <f t="shared" ca="1" si="50"/>
        <v>28780894.742531989</v>
      </c>
      <c r="BZ73" s="867">
        <f t="shared" ca="1" si="51"/>
        <v>0</v>
      </c>
      <c r="CA73" s="867">
        <f t="shared" ca="1" si="52"/>
        <v>0</v>
      </c>
      <c r="CB73" s="867">
        <f t="shared" ca="1" si="53"/>
        <v>0</v>
      </c>
      <c r="CC73" s="867">
        <f t="shared" ca="1" si="54"/>
        <v>0</v>
      </c>
      <c r="CD73" s="867">
        <f t="shared" ca="1" si="55"/>
        <v>28780894.742531989</v>
      </c>
    </row>
    <row r="74" spans="1:82" ht="17" thickTop="1" thickBot="1">
      <c r="A74" s="773">
        <f t="shared" si="5"/>
        <v>1</v>
      </c>
      <c r="B74" s="779"/>
      <c r="C74" s="572"/>
      <c r="D74" s="660">
        <v>27</v>
      </c>
      <c r="E74" s="661">
        <v>46082</v>
      </c>
      <c r="F74" s="862">
        <v>3</v>
      </c>
      <c r="G74" s="863">
        <f ca="1"/>
        <v>-993142.74336094095</v>
      </c>
      <c r="H74" s="961"/>
      <c r="I74" s="865">
        <f t="shared" ca="1" si="11"/>
        <v>91246323.818384886</v>
      </c>
      <c r="J74" s="864" cm="1">
        <f t="array" aca="1" ref="J74" ca="1">IF($G74=0,0,-MIN(0,G74*c_equity.LPshare))</f>
        <v>943485.60619289381</v>
      </c>
      <c r="K74" s="865" cm="1">
        <f t="array" aca="1" ref="K74" ca="1">I74*c_rate.Pref.MO</f>
        <v>587081.59487461147</v>
      </c>
      <c r="L74" s="865">
        <f t="shared" ca="1" si="12"/>
        <v>0</v>
      </c>
      <c r="M74" s="865">
        <f t="shared" ca="1" si="13"/>
        <v>92776891.019452378</v>
      </c>
      <c r="N74" s="865">
        <f t="shared" ca="1" si="14"/>
        <v>-943485.60619289381</v>
      </c>
      <c r="O74" s="864" cm="1">
        <f t="array" aca="1" ref="O74" ca="1">IF(N74=0,0,IF(G74&lt;0,N74/c_equity.LPshare*i_equity.GPshare,L74/c_equity.LPshare*i_equity.GPshare))</f>
        <v>-49657.137168047047</v>
      </c>
      <c r="P74" s="865">
        <f t="shared" ca="1" si="15"/>
        <v>-993142.74336094083</v>
      </c>
      <c r="Q74" s="865">
        <f t="shared" ca="1" si="16"/>
        <v>0</v>
      </c>
      <c r="R74" s="161"/>
      <c r="S74" s="867">
        <f t="shared" ca="1" si="17"/>
        <v>93597663.914830565</v>
      </c>
      <c r="T74" s="867" cm="1">
        <f t="array" aca="1" ref="T74" ca="1">IF($G74=0,0,-MIN(0,$G74*c_equity.LPshare))</f>
        <v>943485.60619289381</v>
      </c>
      <c r="U74" s="869" cm="1">
        <f t="array" aca="1" ref="U74" ca="1">IF($D74=0,0,S74*c_rate.Hurdle1.MO)</f>
        <v>746360.91587419738</v>
      </c>
      <c r="V74" s="867">
        <f t="shared" ca="1" si="18"/>
        <v>0</v>
      </c>
      <c r="W74" s="867">
        <f t="shared" ca="1" si="19"/>
        <v>0</v>
      </c>
      <c r="X74" s="869">
        <f t="shared" ca="1" si="20"/>
        <v>95287510.43689765</v>
      </c>
      <c r="Y74" s="869">
        <f t="shared" ca="1" si="21"/>
        <v>-943485.60619289381</v>
      </c>
      <c r="Z74" s="869">
        <f t="shared" ca="1" si="22"/>
        <v>-49657.137168047047</v>
      </c>
      <c r="AA74" s="869">
        <f t="shared" ca="1" si="23"/>
        <v>-993142.74336094083</v>
      </c>
      <c r="AB74" s="867">
        <f t="shared" ca="1" si="24"/>
        <v>0</v>
      </c>
      <c r="AC74" s="161"/>
      <c r="AD74" s="869">
        <f t="shared" ca="1" si="25"/>
        <v>95953448.55050686</v>
      </c>
      <c r="AE74" s="867" cm="1">
        <f t="array" aca="1" ref="AE74" ca="1">IF($G74=0,0,-MIN(0,$G74*c_equity.LPshare))</f>
        <v>943485.60619289381</v>
      </c>
      <c r="AF74" s="869" cm="1">
        <f t="array" aca="1" ref="AF74" ca="1">IF($D74=0,0,AD74*(c_rate.Hurdle2.MO))</f>
        <v>910482.40465492732</v>
      </c>
      <c r="AG74" s="869">
        <f t="shared" ca="1" si="26"/>
        <v>0</v>
      </c>
      <c r="AH74" s="869">
        <f t="shared" ca="1" si="27"/>
        <v>0</v>
      </c>
      <c r="AI74" s="869">
        <f t="shared" ca="1" si="28"/>
        <v>97807416.561354667</v>
      </c>
      <c r="AJ74" s="868">
        <f t="shared" ca="1" si="6"/>
        <v>-943485.60619289381</v>
      </c>
      <c r="AK74" s="867">
        <f t="shared" ca="1" si="29"/>
        <v>-943485.60619289381</v>
      </c>
      <c r="AL74" s="869">
        <f t="shared" ca="1" si="7"/>
        <v>-49657.137168047047</v>
      </c>
      <c r="AM74" s="869">
        <f t="shared" ca="1" si="30"/>
        <v>-993142.74336094083</v>
      </c>
      <c r="AN74" s="867">
        <f t="shared" ca="1" si="3"/>
        <v>0</v>
      </c>
      <c r="AO74" s="161"/>
      <c r="AP74" s="869">
        <f t="shared" ca="1" si="31"/>
        <v>98313625.227833599</v>
      </c>
      <c r="AQ74" s="867" cm="1">
        <f t="array" aca="1" ref="AQ74" ca="1">IF($G74=0,0,-MIN(0,$G74*c_equity.LPshare))</f>
        <v>943485.60619289381</v>
      </c>
      <c r="AR74" s="869" cm="1">
        <f t="array" aca="1" ref="AR74" ca="1">IF($D74=0,0,AP74*(c_rate.Hurdle3.MO))</f>
        <v>1079370.7360612229</v>
      </c>
      <c r="AS74" s="869">
        <f t="shared" ca="1" si="32"/>
        <v>0</v>
      </c>
      <c r="AT74" s="869">
        <f t="shared" ca="1" si="33"/>
        <v>0</v>
      </c>
      <c r="AU74" s="869">
        <f t="shared" ca="1" si="34"/>
        <v>100336481.5700877</v>
      </c>
      <c r="AV74" s="870">
        <f t="shared" ca="1" si="35"/>
        <v>-943485.60619289381</v>
      </c>
      <c r="AW74" s="867">
        <f t="shared" ca="1" si="36"/>
        <v>-943485.60619289381</v>
      </c>
      <c r="AX74" s="869">
        <f t="shared" ca="1" si="8"/>
        <v>-49657.137168047047</v>
      </c>
      <c r="AY74" s="869">
        <f t="shared" ca="1" si="37"/>
        <v>-993142.74336094083</v>
      </c>
      <c r="AZ74" s="867">
        <f t="shared" ca="1" si="38"/>
        <v>0</v>
      </c>
      <c r="BA74" s="161"/>
      <c r="BB74" s="867">
        <f t="shared" ca="1" si="39"/>
        <v>0</v>
      </c>
      <c r="BC74" s="867">
        <f t="shared" ca="1" si="4"/>
        <v>0</v>
      </c>
      <c r="BD74" s="658"/>
      <c r="BE74" s="867">
        <f t="shared" ca="1" si="40"/>
        <v>-943485.60619289381</v>
      </c>
      <c r="BF74" s="867">
        <f t="shared" ca="1" si="41"/>
        <v>-49657.137168047047</v>
      </c>
      <c r="BG74" s="867">
        <f t="shared" ca="1" si="42"/>
        <v>-993142.74336094083</v>
      </c>
      <c r="BI74" s="867">
        <f ca="1"/>
        <v>-993142.74336094095</v>
      </c>
      <c r="BJ74" s="867">
        <f ca="1"/>
        <v>-943485.60619289381</v>
      </c>
      <c r="BK74" s="867">
        <f ca="1"/>
        <v>-49657.137168047047</v>
      </c>
      <c r="BL74" s="867">
        <f t="shared" ca="1" si="43"/>
        <v>0</v>
      </c>
      <c r="BM74" s="867">
        <f t="shared" ca="1" si="44"/>
        <v>0</v>
      </c>
      <c r="BN74" s="867">
        <f t="shared" ca="1" si="45"/>
        <v>0</v>
      </c>
      <c r="BO74" s="867">
        <f t="shared" ca="1" si="46"/>
        <v>0</v>
      </c>
      <c r="BP74" s="867">
        <f t="shared" ca="1" si="47"/>
        <v>0</v>
      </c>
      <c r="BQ74" s="867">
        <f t="shared" ca="1" si="48"/>
        <v>0</v>
      </c>
      <c r="BR74" s="867">
        <f ca="1"/>
        <v>0</v>
      </c>
      <c r="BS74" s="867">
        <f ca="1"/>
        <v>0</v>
      </c>
      <c r="BT74" s="867">
        <f t="shared" ca="1" si="9"/>
        <v>-943485.60619289381</v>
      </c>
      <c r="BU74" s="867">
        <f t="shared" ca="1" si="49"/>
        <v>-49657.137168047047</v>
      </c>
      <c r="BV74" s="829">
        <f t="shared" ca="1" si="10"/>
        <v>-8.7311491370201111E-11</v>
      </c>
      <c r="BX74" s="867">
        <f ca="1"/>
        <v>-993142.74336094095</v>
      </c>
      <c r="BY74" s="867">
        <f t="shared" ca="1" si="50"/>
        <v>-993142.74336094083</v>
      </c>
      <c r="BZ74" s="867">
        <f t="shared" ca="1" si="51"/>
        <v>0</v>
      </c>
      <c r="CA74" s="867">
        <f t="shared" ca="1" si="52"/>
        <v>0</v>
      </c>
      <c r="CB74" s="867">
        <f t="shared" ca="1" si="53"/>
        <v>0</v>
      </c>
      <c r="CC74" s="867">
        <f t="shared" ca="1" si="54"/>
        <v>0</v>
      </c>
      <c r="CD74" s="867">
        <f t="shared" ca="1" si="55"/>
        <v>-993142.74336094083</v>
      </c>
    </row>
    <row r="75" spans="1:82" ht="17" thickTop="1" thickBot="1">
      <c r="A75" s="773">
        <f t="shared" si="5"/>
        <v>1</v>
      </c>
      <c r="B75" s="779"/>
      <c r="C75" s="572"/>
      <c r="D75" s="660">
        <v>28</v>
      </c>
      <c r="E75" s="661">
        <v>46113</v>
      </c>
      <c r="F75" s="862">
        <v>3</v>
      </c>
      <c r="G75" s="863">
        <f ca="1"/>
        <v>-993142.74336094095</v>
      </c>
      <c r="H75" s="961"/>
      <c r="I75" s="865">
        <f t="shared" ca="1" si="11"/>
        <v>92776891.019452378</v>
      </c>
      <c r="J75" s="864" cm="1">
        <f t="array" aca="1" ref="J75" ca="1">IF($G75=0,0,-MIN(0,G75*c_equity.LPshare))</f>
        <v>943485.60619289381</v>
      </c>
      <c r="K75" s="865" cm="1">
        <f t="array" aca="1" ref="K75" ca="1">I75*c_rate.Pref.MO</f>
        <v>596929.31033166347</v>
      </c>
      <c r="L75" s="865">
        <f t="shared" ca="1" si="12"/>
        <v>0</v>
      </c>
      <c r="M75" s="865">
        <f t="shared" ca="1" si="13"/>
        <v>94317305.935976923</v>
      </c>
      <c r="N75" s="865">
        <f t="shared" ca="1" si="14"/>
        <v>-943485.60619289381</v>
      </c>
      <c r="O75" s="864" cm="1">
        <f t="array" aca="1" ref="O75" ca="1">IF(N75=0,0,IF(G75&lt;0,N75/c_equity.LPshare*i_equity.GPshare,L75/c_equity.LPshare*i_equity.GPshare))</f>
        <v>-49657.137168047047</v>
      </c>
      <c r="P75" s="865">
        <f t="shared" ca="1" si="15"/>
        <v>-993142.74336094083</v>
      </c>
      <c r="Q75" s="865">
        <f t="shared" ca="1" si="16"/>
        <v>0</v>
      </c>
      <c r="R75" s="161"/>
      <c r="S75" s="867">
        <f t="shared" ca="1" si="17"/>
        <v>95287510.43689765</v>
      </c>
      <c r="T75" s="867" cm="1">
        <f t="array" aca="1" ref="T75" ca="1">IF($G75=0,0,-MIN(0,$G75*c_equity.LPshare))</f>
        <v>943485.60619289381</v>
      </c>
      <c r="U75" s="869" cm="1">
        <f t="array" aca="1" ref="U75" ca="1">IF($D75=0,0,S75*c_rate.Hurdle1.MO)</f>
        <v>759835.98934445495</v>
      </c>
      <c r="V75" s="867">
        <f t="shared" ca="1" si="18"/>
        <v>0</v>
      </c>
      <c r="W75" s="867">
        <f t="shared" ca="1" si="19"/>
        <v>0</v>
      </c>
      <c r="X75" s="869">
        <f t="shared" ca="1" si="20"/>
        <v>96990832.032434985</v>
      </c>
      <c r="Y75" s="869">
        <f t="shared" ca="1" si="21"/>
        <v>-943485.60619289381</v>
      </c>
      <c r="Z75" s="869">
        <f t="shared" ca="1" si="22"/>
        <v>-49657.137168047047</v>
      </c>
      <c r="AA75" s="869">
        <f t="shared" ca="1" si="23"/>
        <v>-993142.74336094083</v>
      </c>
      <c r="AB75" s="867">
        <f t="shared" ca="1" si="24"/>
        <v>0</v>
      </c>
      <c r="AC75" s="161"/>
      <c r="AD75" s="869">
        <f t="shared" ca="1" si="25"/>
        <v>97807416.561354667</v>
      </c>
      <c r="AE75" s="867" cm="1">
        <f t="array" aca="1" ref="AE75" ca="1">IF($G75=0,0,-MIN(0,$G75*c_equity.LPshare))</f>
        <v>943485.60619289381</v>
      </c>
      <c r="AF75" s="869" cm="1">
        <f t="array" aca="1" ref="AF75" ca="1">IF($D75=0,0,AD75*(c_rate.Hurdle2.MO))</f>
        <v>928074.32321720291</v>
      </c>
      <c r="AG75" s="869">
        <f t="shared" ca="1" si="26"/>
        <v>0</v>
      </c>
      <c r="AH75" s="869">
        <f t="shared" ca="1" si="27"/>
        <v>0</v>
      </c>
      <c r="AI75" s="869">
        <f t="shared" ca="1" si="28"/>
        <v>99678976.490764752</v>
      </c>
      <c r="AJ75" s="868">
        <f t="shared" ca="1" si="6"/>
        <v>-943485.60619289381</v>
      </c>
      <c r="AK75" s="867">
        <f t="shared" ca="1" si="29"/>
        <v>-943485.60619289381</v>
      </c>
      <c r="AL75" s="869">
        <f t="shared" ca="1" si="7"/>
        <v>-49657.137168047047</v>
      </c>
      <c r="AM75" s="869">
        <f t="shared" ca="1" si="30"/>
        <v>-993142.74336094083</v>
      </c>
      <c r="AN75" s="867">
        <f t="shared" ca="1" si="3"/>
        <v>0</v>
      </c>
      <c r="AO75" s="161"/>
      <c r="AP75" s="869">
        <f t="shared" ca="1" si="31"/>
        <v>100336481.5700877</v>
      </c>
      <c r="AQ75" s="867" cm="1">
        <f t="array" aca="1" ref="AQ75" ca="1">IF($G75=0,0,-MIN(0,$G75*c_equity.LPshare))</f>
        <v>943485.60619289381</v>
      </c>
      <c r="AR75" s="869" cm="1">
        <f t="array" aca="1" ref="AR75" ca="1">IF($D75=0,0,AP75*(c_rate.Hurdle3.MO))</f>
        <v>1101579.3763593</v>
      </c>
      <c r="AS75" s="869">
        <f t="shared" ca="1" si="32"/>
        <v>0</v>
      </c>
      <c r="AT75" s="869">
        <f t="shared" ca="1" si="33"/>
        <v>0</v>
      </c>
      <c r="AU75" s="869">
        <f t="shared" ca="1" si="34"/>
        <v>102381546.55263989</v>
      </c>
      <c r="AV75" s="870">
        <f t="shared" ca="1" si="35"/>
        <v>-943485.60619289381</v>
      </c>
      <c r="AW75" s="867">
        <f t="shared" ca="1" si="36"/>
        <v>-943485.60619289381</v>
      </c>
      <c r="AX75" s="869">
        <f t="shared" ca="1" si="8"/>
        <v>-49657.137168047047</v>
      </c>
      <c r="AY75" s="869">
        <f t="shared" ca="1" si="37"/>
        <v>-993142.74336094083</v>
      </c>
      <c r="AZ75" s="867">
        <f t="shared" ca="1" si="38"/>
        <v>0</v>
      </c>
      <c r="BA75" s="161"/>
      <c r="BB75" s="867">
        <f t="shared" ca="1" si="39"/>
        <v>0</v>
      </c>
      <c r="BC75" s="867">
        <f t="shared" ca="1" si="4"/>
        <v>0</v>
      </c>
      <c r="BD75" s="658"/>
      <c r="BE75" s="867">
        <f t="shared" ca="1" si="40"/>
        <v>-943485.60619289381</v>
      </c>
      <c r="BF75" s="867">
        <f t="shared" ca="1" si="41"/>
        <v>-49657.137168047047</v>
      </c>
      <c r="BG75" s="867">
        <f t="shared" ca="1" si="42"/>
        <v>-993142.74336094083</v>
      </c>
      <c r="BI75" s="867">
        <f ca="1"/>
        <v>-993142.74336094095</v>
      </c>
      <c r="BJ75" s="867">
        <f ca="1"/>
        <v>-943485.60619289381</v>
      </c>
      <c r="BK75" s="867">
        <f ca="1"/>
        <v>-49657.137168047047</v>
      </c>
      <c r="BL75" s="867">
        <f t="shared" ca="1" si="43"/>
        <v>0</v>
      </c>
      <c r="BM75" s="867">
        <f t="shared" ca="1" si="44"/>
        <v>0</v>
      </c>
      <c r="BN75" s="867">
        <f t="shared" ca="1" si="45"/>
        <v>0</v>
      </c>
      <c r="BO75" s="867">
        <f t="shared" ca="1" si="46"/>
        <v>0</v>
      </c>
      <c r="BP75" s="867">
        <f t="shared" ca="1" si="47"/>
        <v>0</v>
      </c>
      <c r="BQ75" s="867">
        <f t="shared" ca="1" si="48"/>
        <v>0</v>
      </c>
      <c r="BR75" s="867">
        <f ca="1"/>
        <v>0</v>
      </c>
      <c r="BS75" s="867">
        <f ca="1"/>
        <v>0</v>
      </c>
      <c r="BT75" s="867">
        <f t="shared" ca="1" si="9"/>
        <v>-943485.60619289381</v>
      </c>
      <c r="BU75" s="867">
        <f t="shared" ca="1" si="49"/>
        <v>-49657.137168047047</v>
      </c>
      <c r="BV75" s="829">
        <f t="shared" ca="1" si="10"/>
        <v>-8.7311491370201111E-11</v>
      </c>
      <c r="BX75" s="867">
        <f ca="1"/>
        <v>-993142.74336094095</v>
      </c>
      <c r="BY75" s="867">
        <f t="shared" ca="1" si="50"/>
        <v>-993142.74336094083</v>
      </c>
      <c r="BZ75" s="867">
        <f t="shared" ca="1" si="51"/>
        <v>0</v>
      </c>
      <c r="CA75" s="867">
        <f t="shared" ca="1" si="52"/>
        <v>0</v>
      </c>
      <c r="CB75" s="867">
        <f t="shared" ca="1" si="53"/>
        <v>0</v>
      </c>
      <c r="CC75" s="867">
        <f t="shared" ca="1" si="54"/>
        <v>0</v>
      </c>
      <c r="CD75" s="867">
        <f t="shared" ca="1" si="55"/>
        <v>-993142.74336094083</v>
      </c>
    </row>
    <row r="76" spans="1:82" ht="17" thickTop="1" thickBot="1">
      <c r="A76" s="773">
        <f t="shared" si="5"/>
        <v>1</v>
      </c>
      <c r="B76" s="779"/>
      <c r="C76" s="572"/>
      <c r="D76" s="660">
        <v>29</v>
      </c>
      <c r="E76" s="661">
        <v>46143</v>
      </c>
      <c r="F76" s="862">
        <v>3</v>
      </c>
      <c r="G76" s="863">
        <f ca="1"/>
        <v>-993142.74336094095</v>
      </c>
      <c r="H76" s="961"/>
      <c r="I76" s="865">
        <f t="shared" ca="1" si="11"/>
        <v>94317305.935976923</v>
      </c>
      <c r="J76" s="864" cm="1">
        <f t="array" aca="1" ref="J76" ca="1">IF($G76=0,0,-MIN(0,G76*c_equity.LPshare))</f>
        <v>943485.60619289381</v>
      </c>
      <c r="K76" s="865" cm="1">
        <f t="array" aca="1" ref="K76" ca="1">I76*c_rate.Pref.MO</f>
        <v>606840.38628648082</v>
      </c>
      <c r="L76" s="865">
        <f t="shared" ca="1" si="12"/>
        <v>0</v>
      </c>
      <c r="M76" s="865">
        <f t="shared" ca="1" si="13"/>
        <v>95867631.928456292</v>
      </c>
      <c r="N76" s="865">
        <f t="shared" ca="1" si="14"/>
        <v>-943485.60619289381</v>
      </c>
      <c r="O76" s="864" cm="1">
        <f t="array" aca="1" ref="O76" ca="1">IF(N76=0,0,IF(G76&lt;0,N76/c_equity.LPshare*i_equity.GPshare,L76/c_equity.LPshare*i_equity.GPshare))</f>
        <v>-49657.137168047047</v>
      </c>
      <c r="P76" s="865">
        <f t="shared" ca="1" si="15"/>
        <v>-993142.74336094083</v>
      </c>
      <c r="Q76" s="865">
        <f t="shared" ca="1" si="16"/>
        <v>0</v>
      </c>
      <c r="R76" s="161"/>
      <c r="S76" s="867">
        <f t="shared" ca="1" si="17"/>
        <v>96990832.032434985</v>
      </c>
      <c r="T76" s="867" cm="1">
        <f t="array" aca="1" ref="T76" ca="1">IF($G76=0,0,-MIN(0,$G76*c_equity.LPshare))</f>
        <v>943485.60619289381</v>
      </c>
      <c r="U76" s="869" cm="1">
        <f t="array" aca="1" ref="U76" ca="1">IF($D76=0,0,S76*c_rate.Hurdle1.MO)</f>
        <v>773418.51494285406</v>
      </c>
      <c r="V76" s="867">
        <f t="shared" ca="1" si="18"/>
        <v>0</v>
      </c>
      <c r="W76" s="867">
        <f t="shared" ca="1" si="19"/>
        <v>0</v>
      </c>
      <c r="X76" s="869">
        <f t="shared" ca="1" si="20"/>
        <v>98707736.153570727</v>
      </c>
      <c r="Y76" s="869">
        <f t="shared" ca="1" si="21"/>
        <v>-943485.60619289381</v>
      </c>
      <c r="Z76" s="869">
        <f t="shared" ca="1" si="22"/>
        <v>-49657.137168047047</v>
      </c>
      <c r="AA76" s="869">
        <f t="shared" ca="1" si="23"/>
        <v>-993142.74336094083</v>
      </c>
      <c r="AB76" s="867">
        <f t="shared" ca="1" si="24"/>
        <v>0</v>
      </c>
      <c r="AC76" s="161"/>
      <c r="AD76" s="869">
        <f t="shared" ca="1" si="25"/>
        <v>99678976.490764752</v>
      </c>
      <c r="AE76" s="867" cm="1">
        <f t="array" aca="1" ref="AE76" ca="1">IF($G76=0,0,-MIN(0,$G76*c_equity.LPshare))</f>
        <v>943485.60619289381</v>
      </c>
      <c r="AF76" s="869" cm="1">
        <f t="array" aca="1" ref="AF76" ca="1">IF($D76=0,0,AD76*(c_rate.Hurdle2.MO))</f>
        <v>945833.16785203805</v>
      </c>
      <c r="AG76" s="869">
        <f t="shared" ca="1" si="26"/>
        <v>0</v>
      </c>
      <c r="AH76" s="869">
        <f t="shared" ca="1" si="27"/>
        <v>0</v>
      </c>
      <c r="AI76" s="869">
        <f t="shared" ca="1" si="28"/>
        <v>101568295.26480968</v>
      </c>
      <c r="AJ76" s="868">
        <f t="shared" ca="1" si="6"/>
        <v>-943485.60619289381</v>
      </c>
      <c r="AK76" s="867">
        <f t="shared" ca="1" si="29"/>
        <v>-943485.60619289381</v>
      </c>
      <c r="AL76" s="869">
        <f t="shared" ca="1" si="7"/>
        <v>-49657.137168047047</v>
      </c>
      <c r="AM76" s="869">
        <f t="shared" ca="1" si="30"/>
        <v>-993142.74336094083</v>
      </c>
      <c r="AN76" s="867">
        <f t="shared" ca="1" si="3"/>
        <v>0</v>
      </c>
      <c r="AO76" s="161"/>
      <c r="AP76" s="869">
        <f t="shared" ca="1" si="31"/>
        <v>102381546.55263989</v>
      </c>
      <c r="AQ76" s="867" cm="1">
        <f t="array" aca="1" ref="AQ76" ca="1">IF($G76=0,0,-MIN(0,$G76*c_equity.LPshare))</f>
        <v>943485.60619289381</v>
      </c>
      <c r="AR76" s="869" cm="1">
        <f t="array" aca="1" ref="AR76" ca="1">IF($D76=0,0,AP76*(c_rate.Hurdle3.MO))</f>
        <v>1124031.8420312244</v>
      </c>
      <c r="AS76" s="869">
        <f t="shared" ca="1" si="32"/>
        <v>0</v>
      </c>
      <c r="AT76" s="869">
        <f t="shared" ca="1" si="33"/>
        <v>0</v>
      </c>
      <c r="AU76" s="869">
        <f t="shared" ca="1" si="34"/>
        <v>104449064.000864</v>
      </c>
      <c r="AV76" s="870">
        <f t="shared" ca="1" si="35"/>
        <v>-943485.60619289381</v>
      </c>
      <c r="AW76" s="867">
        <f t="shared" ca="1" si="36"/>
        <v>-943485.60619289381</v>
      </c>
      <c r="AX76" s="869">
        <f t="shared" ca="1" si="8"/>
        <v>-49657.137168047047</v>
      </c>
      <c r="AY76" s="869">
        <f t="shared" ca="1" si="37"/>
        <v>-993142.74336094083</v>
      </c>
      <c r="AZ76" s="867">
        <f t="shared" ca="1" si="38"/>
        <v>0</v>
      </c>
      <c r="BA76" s="161"/>
      <c r="BB76" s="867">
        <f t="shared" ca="1" si="39"/>
        <v>0</v>
      </c>
      <c r="BC76" s="867">
        <f t="shared" ca="1" si="4"/>
        <v>0</v>
      </c>
      <c r="BD76" s="658"/>
      <c r="BE76" s="867">
        <f t="shared" ca="1" si="40"/>
        <v>-943485.60619289381</v>
      </c>
      <c r="BF76" s="867">
        <f t="shared" ca="1" si="41"/>
        <v>-49657.137168047047</v>
      </c>
      <c r="BG76" s="867">
        <f t="shared" ca="1" si="42"/>
        <v>-993142.74336094083</v>
      </c>
      <c r="BI76" s="867">
        <f ca="1"/>
        <v>-993142.74336094095</v>
      </c>
      <c r="BJ76" s="867">
        <f ca="1"/>
        <v>-943485.60619289381</v>
      </c>
      <c r="BK76" s="867">
        <f ca="1"/>
        <v>-49657.137168047047</v>
      </c>
      <c r="BL76" s="867">
        <f t="shared" ca="1" si="43"/>
        <v>0</v>
      </c>
      <c r="BM76" s="867">
        <f t="shared" ca="1" si="44"/>
        <v>0</v>
      </c>
      <c r="BN76" s="867">
        <f t="shared" ca="1" si="45"/>
        <v>0</v>
      </c>
      <c r="BO76" s="867">
        <f t="shared" ca="1" si="46"/>
        <v>0</v>
      </c>
      <c r="BP76" s="867">
        <f t="shared" ca="1" si="47"/>
        <v>0</v>
      </c>
      <c r="BQ76" s="867">
        <f t="shared" ca="1" si="48"/>
        <v>0</v>
      </c>
      <c r="BR76" s="867">
        <f ca="1"/>
        <v>0</v>
      </c>
      <c r="BS76" s="867">
        <f ca="1"/>
        <v>0</v>
      </c>
      <c r="BT76" s="867">
        <f t="shared" ca="1" si="9"/>
        <v>-943485.60619289381</v>
      </c>
      <c r="BU76" s="867">
        <f t="shared" ca="1" si="49"/>
        <v>-49657.137168047047</v>
      </c>
      <c r="BV76" s="829">
        <f t="shared" ca="1" si="10"/>
        <v>-8.7311491370201111E-11</v>
      </c>
      <c r="BX76" s="867">
        <f ca="1"/>
        <v>-993142.74336094095</v>
      </c>
      <c r="BY76" s="867">
        <f t="shared" ca="1" si="50"/>
        <v>-993142.74336094083</v>
      </c>
      <c r="BZ76" s="867">
        <f t="shared" ca="1" si="51"/>
        <v>0</v>
      </c>
      <c r="CA76" s="867">
        <f t="shared" ca="1" si="52"/>
        <v>0</v>
      </c>
      <c r="CB76" s="867">
        <f t="shared" ca="1" si="53"/>
        <v>0</v>
      </c>
      <c r="CC76" s="867">
        <f t="shared" ca="1" si="54"/>
        <v>0</v>
      </c>
      <c r="CD76" s="867">
        <f t="shared" ca="1" si="55"/>
        <v>-993142.74336094083</v>
      </c>
    </row>
    <row r="77" spans="1:82" ht="17" thickTop="1" thickBot="1">
      <c r="A77" s="773">
        <f t="shared" si="5"/>
        <v>1</v>
      </c>
      <c r="B77" s="779"/>
      <c r="C77" s="572"/>
      <c r="D77" s="660">
        <v>30</v>
      </c>
      <c r="E77" s="661">
        <v>46174</v>
      </c>
      <c r="F77" s="862">
        <v>3</v>
      </c>
      <c r="G77" s="863">
        <f ca="1"/>
        <v>-993142.74336094095</v>
      </c>
      <c r="H77" s="961"/>
      <c r="I77" s="865">
        <f t="shared" ca="1" si="11"/>
        <v>95867631.928456292</v>
      </c>
      <c r="J77" s="864" cm="1">
        <f t="array" aca="1" ref="J77" ca="1">IF($G77=0,0,-MIN(0,G77*c_equity.LPshare))</f>
        <v>943485.60619289381</v>
      </c>
      <c r="K77" s="865" cm="1">
        <f t="array" aca="1" ref="K77" ca="1">I77*c_rate.Pref.MO</f>
        <v>616815.23040241399</v>
      </c>
      <c r="L77" s="865">
        <f t="shared" ca="1" si="12"/>
        <v>0</v>
      </c>
      <c r="M77" s="865">
        <f t="shared" ca="1" si="13"/>
        <v>97427932.765051588</v>
      </c>
      <c r="N77" s="865">
        <f t="shared" ca="1" si="14"/>
        <v>-943485.60619289381</v>
      </c>
      <c r="O77" s="864" cm="1">
        <f t="array" aca="1" ref="O77" ca="1">IF(N77=0,0,IF(G77&lt;0,N77/c_equity.LPshare*i_equity.GPshare,L77/c_equity.LPshare*i_equity.GPshare))</f>
        <v>-49657.137168047047</v>
      </c>
      <c r="P77" s="865">
        <f t="shared" ca="1" si="15"/>
        <v>-993142.74336094083</v>
      </c>
      <c r="Q77" s="865">
        <f t="shared" ca="1" si="16"/>
        <v>0</v>
      </c>
      <c r="R77" s="161"/>
      <c r="S77" s="867">
        <f t="shared" ca="1" si="17"/>
        <v>98707736.153570727</v>
      </c>
      <c r="T77" s="867" cm="1">
        <f t="array" aca="1" ref="T77" ca="1">IF($G77=0,0,-MIN(0,$G77*c_equity.LPshare))</f>
        <v>943485.60619289381</v>
      </c>
      <c r="U77" s="869" cm="1">
        <f t="array" aca="1" ref="U77" ca="1">IF($D77=0,0,S77*c_rate.Hurdle1.MO)</f>
        <v>787109.34950775409</v>
      </c>
      <c r="V77" s="867">
        <f t="shared" ca="1" si="18"/>
        <v>0</v>
      </c>
      <c r="W77" s="867">
        <f t="shared" ca="1" si="19"/>
        <v>0</v>
      </c>
      <c r="X77" s="869">
        <f t="shared" ca="1" si="20"/>
        <v>100438331.10927136</v>
      </c>
      <c r="Y77" s="869">
        <f t="shared" ca="1" si="21"/>
        <v>-943485.60619289381</v>
      </c>
      <c r="Z77" s="869">
        <f t="shared" ca="1" si="22"/>
        <v>-49657.137168047047</v>
      </c>
      <c r="AA77" s="869">
        <f t="shared" ca="1" si="23"/>
        <v>-993142.74336094083</v>
      </c>
      <c r="AB77" s="867">
        <f t="shared" ca="1" si="24"/>
        <v>0</v>
      </c>
      <c r="AC77" s="161"/>
      <c r="AD77" s="869">
        <f t="shared" ca="1" si="25"/>
        <v>101568295.26480968</v>
      </c>
      <c r="AE77" s="867" cm="1">
        <f t="array" aca="1" ref="AE77" ca="1">IF($G77=0,0,-MIN(0,$G77*c_equity.LPshare))</f>
        <v>943485.60619289381</v>
      </c>
      <c r="AF77" s="869" cm="1">
        <f t="array" aca="1" ref="AF77" ca="1">IF($D77=0,0,AD77*(c_rate.Hurdle2.MO))</f>
        <v>963760.52248637076</v>
      </c>
      <c r="AG77" s="869">
        <f t="shared" ca="1" si="26"/>
        <v>0</v>
      </c>
      <c r="AH77" s="869">
        <f t="shared" ca="1" si="27"/>
        <v>0</v>
      </c>
      <c r="AI77" s="869">
        <f t="shared" ca="1" si="28"/>
        <v>103475541.39348894</v>
      </c>
      <c r="AJ77" s="868">
        <f t="shared" ca="1" si="6"/>
        <v>-943485.60619289381</v>
      </c>
      <c r="AK77" s="867">
        <f t="shared" ca="1" si="29"/>
        <v>-943485.60619289381</v>
      </c>
      <c r="AL77" s="869">
        <f t="shared" ca="1" si="7"/>
        <v>-49657.137168047047</v>
      </c>
      <c r="AM77" s="869">
        <f t="shared" ca="1" si="30"/>
        <v>-993142.74336094083</v>
      </c>
      <c r="AN77" s="867">
        <f t="shared" ca="1" si="3"/>
        <v>0</v>
      </c>
      <c r="AO77" s="161"/>
      <c r="AP77" s="869">
        <f t="shared" ca="1" si="31"/>
        <v>104449064.000864</v>
      </c>
      <c r="AQ77" s="867" cm="1">
        <f t="array" aca="1" ref="AQ77" ca="1">IF($G77=0,0,-MIN(0,$G77*c_equity.LPshare))</f>
        <v>943485.60619289381</v>
      </c>
      <c r="AR77" s="869" cm="1">
        <f t="array" aca="1" ref="AR77" ca="1">IF($D77=0,0,AP77*(c_rate.Hurdle3.MO))</f>
        <v>1146730.8099996774</v>
      </c>
      <c r="AS77" s="869">
        <f t="shared" ca="1" si="32"/>
        <v>0</v>
      </c>
      <c r="AT77" s="869">
        <f t="shared" ca="1" si="33"/>
        <v>0</v>
      </c>
      <c r="AU77" s="869">
        <f t="shared" ca="1" si="34"/>
        <v>106539280.41705656</v>
      </c>
      <c r="AV77" s="870">
        <f t="shared" ca="1" si="35"/>
        <v>-943485.60619289381</v>
      </c>
      <c r="AW77" s="867">
        <f t="shared" ca="1" si="36"/>
        <v>-943485.60619289381</v>
      </c>
      <c r="AX77" s="869">
        <f t="shared" ca="1" si="8"/>
        <v>-49657.137168047047</v>
      </c>
      <c r="AY77" s="869">
        <f t="shared" ca="1" si="37"/>
        <v>-993142.74336094083</v>
      </c>
      <c r="AZ77" s="867">
        <f t="shared" ca="1" si="38"/>
        <v>0</v>
      </c>
      <c r="BA77" s="161"/>
      <c r="BB77" s="867">
        <f t="shared" ca="1" si="39"/>
        <v>0</v>
      </c>
      <c r="BC77" s="867">
        <f t="shared" ca="1" si="4"/>
        <v>0</v>
      </c>
      <c r="BD77" s="658"/>
      <c r="BE77" s="867">
        <f t="shared" ca="1" si="40"/>
        <v>-943485.60619289381</v>
      </c>
      <c r="BF77" s="867">
        <f t="shared" ca="1" si="41"/>
        <v>-49657.137168047047</v>
      </c>
      <c r="BG77" s="867">
        <f t="shared" ca="1" si="42"/>
        <v>-993142.74336094083</v>
      </c>
      <c r="BI77" s="867">
        <f ca="1"/>
        <v>-993142.74336094095</v>
      </c>
      <c r="BJ77" s="867">
        <f ca="1"/>
        <v>-943485.60619289381</v>
      </c>
      <c r="BK77" s="867">
        <f ca="1"/>
        <v>-49657.137168047047</v>
      </c>
      <c r="BL77" s="867">
        <f t="shared" ca="1" si="43"/>
        <v>0</v>
      </c>
      <c r="BM77" s="867">
        <f t="shared" ca="1" si="44"/>
        <v>0</v>
      </c>
      <c r="BN77" s="867">
        <f t="shared" ca="1" si="45"/>
        <v>0</v>
      </c>
      <c r="BO77" s="867">
        <f t="shared" ca="1" si="46"/>
        <v>0</v>
      </c>
      <c r="BP77" s="867">
        <f t="shared" ca="1" si="47"/>
        <v>0</v>
      </c>
      <c r="BQ77" s="867">
        <f t="shared" ca="1" si="48"/>
        <v>0</v>
      </c>
      <c r="BR77" s="867">
        <f ca="1"/>
        <v>0</v>
      </c>
      <c r="BS77" s="867">
        <f ca="1"/>
        <v>0</v>
      </c>
      <c r="BT77" s="867">
        <f t="shared" ca="1" si="9"/>
        <v>-943485.60619289381</v>
      </c>
      <c r="BU77" s="867">
        <f t="shared" ca="1" si="49"/>
        <v>-49657.137168047047</v>
      </c>
      <c r="BV77" s="829">
        <f t="shared" ca="1" si="10"/>
        <v>-8.7311491370201111E-11</v>
      </c>
      <c r="BX77" s="867">
        <f ca="1"/>
        <v>-993142.74336094095</v>
      </c>
      <c r="BY77" s="867">
        <f t="shared" ca="1" si="50"/>
        <v>-993142.74336094083</v>
      </c>
      <c r="BZ77" s="867">
        <f t="shared" ca="1" si="51"/>
        <v>0</v>
      </c>
      <c r="CA77" s="867">
        <f t="shared" ca="1" si="52"/>
        <v>0</v>
      </c>
      <c r="CB77" s="867">
        <f t="shared" ca="1" si="53"/>
        <v>0</v>
      </c>
      <c r="CC77" s="867">
        <f t="shared" ca="1" si="54"/>
        <v>0</v>
      </c>
      <c r="CD77" s="867">
        <f t="shared" ca="1" si="55"/>
        <v>-993142.74336094083</v>
      </c>
    </row>
    <row r="78" spans="1:82" ht="17" thickTop="1" thickBot="1">
      <c r="A78" s="773">
        <f t="shared" si="5"/>
        <v>1</v>
      </c>
      <c r="B78" s="779"/>
      <c r="C78" s="572"/>
      <c r="D78" s="660">
        <v>31</v>
      </c>
      <c r="E78" s="661">
        <v>46204</v>
      </c>
      <c r="F78" s="862">
        <v>3</v>
      </c>
      <c r="G78" s="863">
        <f ca="1"/>
        <v>-993142.74336094095</v>
      </c>
      <c r="H78" s="961"/>
      <c r="I78" s="865">
        <f t="shared" ca="1" si="11"/>
        <v>97427932.765051588</v>
      </c>
      <c r="J78" s="864" cm="1">
        <f t="array" aca="1" ref="J78" ca="1">IF($G78=0,0,-MIN(0,G78*c_equity.LPshare))</f>
        <v>943485.60619289381</v>
      </c>
      <c r="K78" s="865" cm="1">
        <f t="array" aca="1" ref="K78" ca="1">I78*c_rate.Pref.MO</f>
        <v>626854.25296573166</v>
      </c>
      <c r="L78" s="865">
        <f t="shared" ca="1" si="12"/>
        <v>0</v>
      </c>
      <c r="M78" s="865">
        <f t="shared" ca="1" si="13"/>
        <v>98998272.624210209</v>
      </c>
      <c r="N78" s="865">
        <f t="shared" ca="1" si="14"/>
        <v>-943485.60619289381</v>
      </c>
      <c r="O78" s="864" cm="1">
        <f t="array" aca="1" ref="O78" ca="1">IF(N78=0,0,IF(G78&lt;0,N78/c_equity.LPshare*i_equity.GPshare,L78/c_equity.LPshare*i_equity.GPshare))</f>
        <v>-49657.137168047047</v>
      </c>
      <c r="P78" s="865">
        <f t="shared" ca="1" si="15"/>
        <v>-993142.74336094083</v>
      </c>
      <c r="Q78" s="865">
        <f t="shared" ca="1" si="16"/>
        <v>0</v>
      </c>
      <c r="R78" s="161"/>
      <c r="S78" s="867">
        <f t="shared" ca="1" si="17"/>
        <v>100438331.10927136</v>
      </c>
      <c r="T78" s="867" cm="1">
        <f t="array" aca="1" ref="T78" ca="1">IF($G78=0,0,-MIN(0,$G78*c_equity.LPshare))</f>
        <v>943485.60619289381</v>
      </c>
      <c r="U78" s="869" cm="1">
        <f t="array" aca="1" ref="U78" ca="1">IF($D78=0,0,S78*c_rate.Hurdle1.MO)</f>
        <v>800909.35671006341</v>
      </c>
      <c r="V78" s="867">
        <f t="shared" ca="1" si="18"/>
        <v>0</v>
      </c>
      <c r="W78" s="867">
        <f t="shared" ca="1" si="19"/>
        <v>0</v>
      </c>
      <c r="X78" s="869">
        <f t="shared" ca="1" si="20"/>
        <v>102182726.07217431</v>
      </c>
      <c r="Y78" s="869">
        <f t="shared" ca="1" si="21"/>
        <v>-943485.60619289381</v>
      </c>
      <c r="Z78" s="869">
        <f t="shared" ca="1" si="22"/>
        <v>-49657.137168047047</v>
      </c>
      <c r="AA78" s="869">
        <f t="shared" ca="1" si="23"/>
        <v>-993142.74336094083</v>
      </c>
      <c r="AB78" s="867">
        <f t="shared" ca="1" si="24"/>
        <v>0</v>
      </c>
      <c r="AC78" s="161"/>
      <c r="AD78" s="869">
        <f t="shared" ca="1" si="25"/>
        <v>103475541.39348894</v>
      </c>
      <c r="AE78" s="867" cm="1">
        <f t="array" aca="1" ref="AE78" ca="1">IF($G78=0,0,-MIN(0,$G78*c_equity.LPshare))</f>
        <v>943485.60619289381</v>
      </c>
      <c r="AF78" s="869" cm="1">
        <f t="array" aca="1" ref="AF78" ca="1">IF($D78=0,0,AD78*(c_rate.Hurdle2.MO))</f>
        <v>981857.9860766934</v>
      </c>
      <c r="AG78" s="869">
        <f t="shared" ca="1" si="26"/>
        <v>0</v>
      </c>
      <c r="AH78" s="869">
        <f t="shared" ca="1" si="27"/>
        <v>0</v>
      </c>
      <c r="AI78" s="869">
        <f t="shared" ca="1" si="28"/>
        <v>105400884.98575853</v>
      </c>
      <c r="AJ78" s="868">
        <f t="shared" ca="1" si="6"/>
        <v>-943485.60619289381</v>
      </c>
      <c r="AK78" s="867">
        <f t="shared" ca="1" si="29"/>
        <v>-943485.60619289381</v>
      </c>
      <c r="AL78" s="869">
        <f t="shared" ca="1" si="7"/>
        <v>-49657.137168047047</v>
      </c>
      <c r="AM78" s="869">
        <f t="shared" ca="1" si="30"/>
        <v>-993142.74336094083</v>
      </c>
      <c r="AN78" s="867">
        <f t="shared" ca="1" si="3"/>
        <v>0</v>
      </c>
      <c r="AO78" s="161"/>
      <c r="AP78" s="869">
        <f t="shared" ca="1" si="31"/>
        <v>106539280.41705656</v>
      </c>
      <c r="AQ78" s="867" cm="1">
        <f t="array" aca="1" ref="AQ78" ca="1">IF($G78=0,0,-MIN(0,$G78*c_equity.LPshare))</f>
        <v>943485.60619289381</v>
      </c>
      <c r="AR78" s="869" cm="1">
        <f t="array" aca="1" ref="AR78" ca="1">IF($D78=0,0,AP78*(c_rate.Hurdle3.MO))</f>
        <v>1169678.9865768775</v>
      </c>
      <c r="AS78" s="869">
        <f t="shared" ca="1" si="32"/>
        <v>0</v>
      </c>
      <c r="AT78" s="869">
        <f t="shared" ca="1" si="33"/>
        <v>0</v>
      </c>
      <c r="AU78" s="869">
        <f t="shared" ca="1" si="34"/>
        <v>108652445.00982633</v>
      </c>
      <c r="AV78" s="870">
        <f t="shared" ca="1" si="35"/>
        <v>-943485.60619289381</v>
      </c>
      <c r="AW78" s="867">
        <f t="shared" ca="1" si="36"/>
        <v>-943485.60619289381</v>
      </c>
      <c r="AX78" s="869">
        <f t="shared" ca="1" si="8"/>
        <v>-49657.137168047047</v>
      </c>
      <c r="AY78" s="869">
        <f t="shared" ca="1" si="37"/>
        <v>-993142.74336094083</v>
      </c>
      <c r="AZ78" s="867">
        <f t="shared" ca="1" si="38"/>
        <v>0</v>
      </c>
      <c r="BA78" s="161"/>
      <c r="BB78" s="867">
        <f t="shared" ca="1" si="39"/>
        <v>0</v>
      </c>
      <c r="BC78" s="867">
        <f t="shared" ca="1" si="4"/>
        <v>0</v>
      </c>
      <c r="BD78" s="658"/>
      <c r="BE78" s="867">
        <f t="shared" ca="1" si="40"/>
        <v>-943485.60619289381</v>
      </c>
      <c r="BF78" s="867">
        <f t="shared" ca="1" si="41"/>
        <v>-49657.137168047047</v>
      </c>
      <c r="BG78" s="867">
        <f t="shared" ca="1" si="42"/>
        <v>-993142.74336094083</v>
      </c>
      <c r="BI78" s="867">
        <f ca="1"/>
        <v>-993142.74336094095</v>
      </c>
      <c r="BJ78" s="867">
        <f ca="1"/>
        <v>-943485.60619289381</v>
      </c>
      <c r="BK78" s="867">
        <f ca="1"/>
        <v>-49657.137168047047</v>
      </c>
      <c r="BL78" s="867">
        <f t="shared" ca="1" si="43"/>
        <v>0</v>
      </c>
      <c r="BM78" s="867">
        <f t="shared" ca="1" si="44"/>
        <v>0</v>
      </c>
      <c r="BN78" s="867">
        <f t="shared" ca="1" si="45"/>
        <v>0</v>
      </c>
      <c r="BO78" s="867">
        <f t="shared" ca="1" si="46"/>
        <v>0</v>
      </c>
      <c r="BP78" s="867">
        <f t="shared" ca="1" si="47"/>
        <v>0</v>
      </c>
      <c r="BQ78" s="867">
        <f t="shared" ca="1" si="48"/>
        <v>0</v>
      </c>
      <c r="BR78" s="867">
        <f ca="1"/>
        <v>0</v>
      </c>
      <c r="BS78" s="867">
        <f ca="1"/>
        <v>0</v>
      </c>
      <c r="BT78" s="867">
        <f t="shared" ca="1" si="9"/>
        <v>-943485.60619289381</v>
      </c>
      <c r="BU78" s="867">
        <f t="shared" ca="1" si="49"/>
        <v>-49657.137168047047</v>
      </c>
      <c r="BV78" s="829">
        <f t="shared" ca="1" si="10"/>
        <v>-8.7311491370201111E-11</v>
      </c>
      <c r="BX78" s="867">
        <f ca="1"/>
        <v>-993142.74336094095</v>
      </c>
      <c r="BY78" s="867">
        <f t="shared" ca="1" si="50"/>
        <v>-993142.74336094083</v>
      </c>
      <c r="BZ78" s="867">
        <f t="shared" ca="1" si="51"/>
        <v>0</v>
      </c>
      <c r="CA78" s="867">
        <f t="shared" ca="1" si="52"/>
        <v>0</v>
      </c>
      <c r="CB78" s="867">
        <f t="shared" ca="1" si="53"/>
        <v>0</v>
      </c>
      <c r="CC78" s="867">
        <f t="shared" ca="1" si="54"/>
        <v>0</v>
      </c>
      <c r="CD78" s="867">
        <f t="shared" ca="1" si="55"/>
        <v>-993142.74336094083</v>
      </c>
    </row>
    <row r="79" spans="1:82" ht="17" thickTop="1" thickBot="1">
      <c r="A79" s="773">
        <f t="shared" si="5"/>
        <v>1</v>
      </c>
      <c r="B79" s="779"/>
      <c r="C79" s="572"/>
      <c r="D79" s="660">
        <v>32</v>
      </c>
      <c r="E79" s="661">
        <v>46235</v>
      </c>
      <c r="F79" s="862">
        <v>3</v>
      </c>
      <c r="G79" s="863">
        <f ca="1"/>
        <v>-993142.74336094095</v>
      </c>
      <c r="H79" s="961"/>
      <c r="I79" s="865">
        <f t="shared" ca="1" si="11"/>
        <v>98998272.624210209</v>
      </c>
      <c r="J79" s="864" cm="1">
        <f t="array" aca="1" ref="J79" ca="1">IF($G79=0,0,-MIN(0,G79*c_equity.LPshare))</f>
        <v>943485.60619289381</v>
      </c>
      <c r="K79" s="865" cm="1">
        <f t="array" aca="1" ref="K79" ca="1">I79*c_rate.Pref.MO</f>
        <v>636957.86690249678</v>
      </c>
      <c r="L79" s="865">
        <f t="shared" ca="1" si="12"/>
        <v>0</v>
      </c>
      <c r="M79" s="865">
        <f t="shared" ca="1" si="13"/>
        <v>100578716.0973056</v>
      </c>
      <c r="N79" s="865">
        <f t="shared" ca="1" si="14"/>
        <v>-943485.60619289381</v>
      </c>
      <c r="O79" s="864" cm="1">
        <f t="array" aca="1" ref="O79" ca="1">IF(N79=0,0,IF(G79&lt;0,N79/c_equity.LPshare*i_equity.GPshare,L79/c_equity.LPshare*i_equity.GPshare))</f>
        <v>-49657.137168047047</v>
      </c>
      <c r="P79" s="865">
        <f t="shared" ca="1" si="15"/>
        <v>-993142.74336094083</v>
      </c>
      <c r="Q79" s="865">
        <f t="shared" ca="1" si="16"/>
        <v>0</v>
      </c>
      <c r="R79" s="161"/>
      <c r="S79" s="867">
        <f t="shared" ca="1" si="17"/>
        <v>102182726.07217431</v>
      </c>
      <c r="T79" s="867" cm="1">
        <f t="array" aca="1" ref="T79" ca="1">IF($G79=0,0,-MIN(0,$G79*c_equity.LPshare))</f>
        <v>943485.60619289381</v>
      </c>
      <c r="U79" s="869" cm="1">
        <f t="array" aca="1" ref="U79" ca="1">IF($D79=0,0,S79*c_rate.Hurdle1.MO)</f>
        <v>814819.40710772388</v>
      </c>
      <c r="V79" s="867">
        <f t="shared" ca="1" si="18"/>
        <v>0</v>
      </c>
      <c r="W79" s="867">
        <f t="shared" ca="1" si="19"/>
        <v>0</v>
      </c>
      <c r="X79" s="869">
        <f t="shared" ca="1" si="20"/>
        <v>103941031.08547492</v>
      </c>
      <c r="Y79" s="869">
        <f t="shared" ca="1" si="21"/>
        <v>-943485.60619289381</v>
      </c>
      <c r="Z79" s="869">
        <f t="shared" ca="1" si="22"/>
        <v>-49657.137168047047</v>
      </c>
      <c r="AA79" s="869">
        <f t="shared" ca="1" si="23"/>
        <v>-993142.74336094083</v>
      </c>
      <c r="AB79" s="867">
        <f t="shared" ca="1" si="24"/>
        <v>0</v>
      </c>
      <c r="AC79" s="161"/>
      <c r="AD79" s="869">
        <f t="shared" ca="1" si="25"/>
        <v>105400884.98575853</v>
      </c>
      <c r="AE79" s="867" cm="1">
        <f t="array" aca="1" ref="AE79" ca="1">IF($G79=0,0,-MIN(0,$G79*c_equity.LPshare))</f>
        <v>943485.60619289381</v>
      </c>
      <c r="AF79" s="869" cm="1">
        <f t="array" aca="1" ref="AF79" ca="1">IF($D79=0,0,AD79*(c_rate.Hurdle2.MO))</f>
        <v>1000127.1727516657</v>
      </c>
      <c r="AG79" s="869">
        <f t="shared" ca="1" si="26"/>
        <v>0</v>
      </c>
      <c r="AH79" s="869">
        <f t="shared" ca="1" si="27"/>
        <v>0</v>
      </c>
      <c r="AI79" s="869">
        <f t="shared" ca="1" si="28"/>
        <v>107344497.76470308</v>
      </c>
      <c r="AJ79" s="868">
        <f t="shared" ca="1" si="6"/>
        <v>-943485.60619289381</v>
      </c>
      <c r="AK79" s="867">
        <f t="shared" ca="1" si="29"/>
        <v>-943485.60619289381</v>
      </c>
      <c r="AL79" s="869">
        <f t="shared" ca="1" si="7"/>
        <v>-49657.137168047047</v>
      </c>
      <c r="AM79" s="869">
        <f t="shared" ca="1" si="30"/>
        <v>-993142.74336094083</v>
      </c>
      <c r="AN79" s="867">
        <f t="shared" ca="1" si="3"/>
        <v>0</v>
      </c>
      <c r="AO79" s="161"/>
      <c r="AP79" s="869">
        <f t="shared" ca="1" si="31"/>
        <v>108652445.00982633</v>
      </c>
      <c r="AQ79" s="867" cm="1">
        <f t="array" aca="1" ref="AQ79" ca="1">IF($G79=0,0,-MIN(0,$G79*c_equity.LPshare))</f>
        <v>943485.60619289381</v>
      </c>
      <c r="AR79" s="869" cm="1">
        <f t="array" aca="1" ref="AR79" ca="1">IF($D79=0,0,AP79*(c_rate.Hurdle3.MO))</f>
        <v>1192879.1077872457</v>
      </c>
      <c r="AS79" s="869">
        <f t="shared" ca="1" si="32"/>
        <v>0</v>
      </c>
      <c r="AT79" s="869">
        <f t="shared" ca="1" si="33"/>
        <v>0</v>
      </c>
      <c r="AU79" s="869">
        <f t="shared" ca="1" si="34"/>
        <v>110788809.72380647</v>
      </c>
      <c r="AV79" s="870">
        <f t="shared" ca="1" si="35"/>
        <v>-943485.60619289381</v>
      </c>
      <c r="AW79" s="867">
        <f t="shared" ca="1" si="36"/>
        <v>-943485.60619289381</v>
      </c>
      <c r="AX79" s="869">
        <f t="shared" ca="1" si="8"/>
        <v>-49657.137168047047</v>
      </c>
      <c r="AY79" s="869">
        <f t="shared" ca="1" si="37"/>
        <v>-993142.74336094083</v>
      </c>
      <c r="AZ79" s="867">
        <f t="shared" ca="1" si="38"/>
        <v>0</v>
      </c>
      <c r="BA79" s="161"/>
      <c r="BB79" s="867">
        <f t="shared" ca="1" si="39"/>
        <v>0</v>
      </c>
      <c r="BC79" s="867">
        <f t="shared" ca="1" si="4"/>
        <v>0</v>
      </c>
      <c r="BD79" s="658"/>
      <c r="BE79" s="867">
        <f t="shared" ca="1" si="40"/>
        <v>-943485.60619289381</v>
      </c>
      <c r="BF79" s="867">
        <f t="shared" ca="1" si="41"/>
        <v>-49657.137168047047</v>
      </c>
      <c r="BG79" s="867">
        <f t="shared" ca="1" si="42"/>
        <v>-993142.74336094083</v>
      </c>
      <c r="BI79" s="867">
        <f ca="1"/>
        <v>-993142.74336094095</v>
      </c>
      <c r="BJ79" s="867">
        <f ca="1"/>
        <v>-943485.60619289381</v>
      </c>
      <c r="BK79" s="867">
        <f ca="1"/>
        <v>-49657.137168047047</v>
      </c>
      <c r="BL79" s="867">
        <f t="shared" ca="1" si="43"/>
        <v>0</v>
      </c>
      <c r="BM79" s="867">
        <f t="shared" ca="1" si="44"/>
        <v>0</v>
      </c>
      <c r="BN79" s="867">
        <f t="shared" ca="1" si="45"/>
        <v>0</v>
      </c>
      <c r="BO79" s="867">
        <f t="shared" ca="1" si="46"/>
        <v>0</v>
      </c>
      <c r="BP79" s="867">
        <f t="shared" ca="1" si="47"/>
        <v>0</v>
      </c>
      <c r="BQ79" s="867">
        <f t="shared" ca="1" si="48"/>
        <v>0</v>
      </c>
      <c r="BR79" s="867">
        <f ca="1"/>
        <v>0</v>
      </c>
      <c r="BS79" s="867">
        <f ca="1"/>
        <v>0</v>
      </c>
      <c r="BT79" s="867">
        <f t="shared" ca="1" si="9"/>
        <v>-943485.60619289381</v>
      </c>
      <c r="BU79" s="867">
        <f t="shared" ca="1" si="49"/>
        <v>-49657.137168047047</v>
      </c>
      <c r="BV79" s="829">
        <f t="shared" ca="1" si="10"/>
        <v>-8.7311491370201111E-11</v>
      </c>
      <c r="BX79" s="867">
        <f ca="1"/>
        <v>-993142.74336094095</v>
      </c>
      <c r="BY79" s="867">
        <f t="shared" ca="1" si="50"/>
        <v>-993142.74336094083</v>
      </c>
      <c r="BZ79" s="867">
        <f t="shared" ca="1" si="51"/>
        <v>0</v>
      </c>
      <c r="CA79" s="867">
        <f t="shared" ca="1" si="52"/>
        <v>0</v>
      </c>
      <c r="CB79" s="867">
        <f t="shared" ca="1" si="53"/>
        <v>0</v>
      </c>
      <c r="CC79" s="867">
        <f t="shared" ca="1" si="54"/>
        <v>0</v>
      </c>
      <c r="CD79" s="867">
        <f t="shared" ca="1" si="55"/>
        <v>-993142.74336094083</v>
      </c>
    </row>
    <row r="80" spans="1:82" ht="17" thickTop="1" thickBot="1">
      <c r="A80" s="773">
        <f t="shared" si="5"/>
        <v>1</v>
      </c>
      <c r="B80" s="779"/>
      <c r="C80" s="572"/>
      <c r="D80" s="660">
        <v>33</v>
      </c>
      <c r="E80" s="661">
        <v>46266</v>
      </c>
      <c r="F80" s="862">
        <v>3</v>
      </c>
      <c r="G80" s="863">
        <f ca="1"/>
        <v>-993142.74336094095</v>
      </c>
      <c r="H80" s="961"/>
      <c r="I80" s="865">
        <f t="shared" ca="1" si="11"/>
        <v>100578716.0973056</v>
      </c>
      <c r="J80" s="864" cm="1">
        <f t="array" aca="1" ref="J80" ca="1">IF($G80=0,0,-MIN(0,G80*c_equity.LPshare))</f>
        <v>943485.60619289381</v>
      </c>
      <c r="K80" s="865" cm="1">
        <f t="array" aca="1" ref="K80" ca="1">I80*c_rate.Pref.MO</f>
        <v>647126.48779555096</v>
      </c>
      <c r="L80" s="865">
        <f t="shared" ca="1" si="12"/>
        <v>0</v>
      </c>
      <c r="M80" s="865">
        <f t="shared" ca="1" si="13"/>
        <v>102169328.19129403</v>
      </c>
      <c r="N80" s="865">
        <f t="shared" ca="1" si="14"/>
        <v>-943485.60619289381</v>
      </c>
      <c r="O80" s="864" cm="1">
        <f t="array" aca="1" ref="O80" ca="1">IF(N80=0,0,IF(G80&lt;0,N80/c_equity.LPshare*i_equity.GPshare,L80/c_equity.LPshare*i_equity.GPshare))</f>
        <v>-49657.137168047047</v>
      </c>
      <c r="P80" s="865">
        <f t="shared" ca="1" si="15"/>
        <v>-993142.74336094083</v>
      </c>
      <c r="Q80" s="865">
        <f t="shared" ca="1" si="16"/>
        <v>0</v>
      </c>
      <c r="R80" s="161"/>
      <c r="S80" s="867">
        <f t="shared" ca="1" si="17"/>
        <v>103941031.08547492</v>
      </c>
      <c r="T80" s="867" cm="1">
        <f t="array" aca="1" ref="T80" ca="1">IF($G80=0,0,-MIN(0,$G80*c_equity.LPshare))</f>
        <v>943485.60619289381</v>
      </c>
      <c r="U80" s="869" cm="1">
        <f t="array" aca="1" ref="U80" ca="1">IF($D80=0,0,S80*c_rate.Hurdle1.MO)</f>
        <v>828840.37820062845</v>
      </c>
      <c r="V80" s="867">
        <f t="shared" ca="1" si="18"/>
        <v>0</v>
      </c>
      <c r="W80" s="867">
        <f t="shared" ca="1" si="19"/>
        <v>0</v>
      </c>
      <c r="X80" s="869">
        <f t="shared" ca="1" si="20"/>
        <v>105713357.06986845</v>
      </c>
      <c r="Y80" s="869">
        <f t="shared" ca="1" si="21"/>
        <v>-943485.60619289381</v>
      </c>
      <c r="Z80" s="869">
        <f t="shared" ca="1" si="22"/>
        <v>-49657.137168047047</v>
      </c>
      <c r="AA80" s="869">
        <f t="shared" ca="1" si="23"/>
        <v>-993142.74336094083</v>
      </c>
      <c r="AB80" s="867">
        <f t="shared" ca="1" si="24"/>
        <v>0</v>
      </c>
      <c r="AC80" s="161"/>
      <c r="AD80" s="869">
        <f t="shared" ca="1" si="25"/>
        <v>107344497.76470308</v>
      </c>
      <c r="AE80" s="867" cm="1">
        <f t="array" aca="1" ref="AE80" ca="1">IF($G80=0,0,-MIN(0,$G80*c_equity.LPshare))</f>
        <v>943485.60619289381</v>
      </c>
      <c r="AF80" s="869" cm="1">
        <f t="array" aca="1" ref="AF80" ca="1">IF($D80=0,0,AD80*(c_rate.Hurdle2.MO))</f>
        <v>1018569.7119560802</v>
      </c>
      <c r="AG80" s="869">
        <f t="shared" ca="1" si="26"/>
        <v>0</v>
      </c>
      <c r="AH80" s="869">
        <f t="shared" ca="1" si="27"/>
        <v>0</v>
      </c>
      <c r="AI80" s="869">
        <f t="shared" ca="1" si="28"/>
        <v>109306553.08285205</v>
      </c>
      <c r="AJ80" s="868">
        <f t="shared" ca="1" si="6"/>
        <v>-943485.60619289381</v>
      </c>
      <c r="AK80" s="867">
        <f t="shared" ca="1" si="29"/>
        <v>-943485.60619289381</v>
      </c>
      <c r="AL80" s="869">
        <f t="shared" ca="1" si="7"/>
        <v>-49657.137168047047</v>
      </c>
      <c r="AM80" s="869">
        <f t="shared" ca="1" si="30"/>
        <v>-993142.74336094083</v>
      </c>
      <c r="AN80" s="867">
        <f t="shared" ca="1" si="3"/>
        <v>0</v>
      </c>
      <c r="AO80" s="161"/>
      <c r="AP80" s="869">
        <f t="shared" ca="1" si="31"/>
        <v>110788809.72380647</v>
      </c>
      <c r="AQ80" s="867" cm="1">
        <f t="array" aca="1" ref="AQ80" ca="1">IF($G80=0,0,-MIN(0,$G80*c_equity.LPshare))</f>
        <v>943485.60619289381</v>
      </c>
      <c r="AR80" s="869" cm="1">
        <f t="array" aca="1" ref="AR80" ca="1">IF($D80=0,0,AP80*(c_rate.Hurdle3.MO))</f>
        <v>1216333.9396936081</v>
      </c>
      <c r="AS80" s="869">
        <f t="shared" ca="1" si="32"/>
        <v>0</v>
      </c>
      <c r="AT80" s="869">
        <f t="shared" ca="1" si="33"/>
        <v>0</v>
      </c>
      <c r="AU80" s="869">
        <f t="shared" ca="1" si="34"/>
        <v>112948629.26969297</v>
      </c>
      <c r="AV80" s="870">
        <f t="shared" ca="1" si="35"/>
        <v>-943485.60619289381</v>
      </c>
      <c r="AW80" s="867">
        <f t="shared" ca="1" si="36"/>
        <v>-943485.60619289381</v>
      </c>
      <c r="AX80" s="869">
        <f t="shared" ca="1" si="8"/>
        <v>-49657.137168047047</v>
      </c>
      <c r="AY80" s="869">
        <f t="shared" ca="1" si="37"/>
        <v>-993142.74336094083</v>
      </c>
      <c r="AZ80" s="867">
        <f t="shared" ca="1" si="38"/>
        <v>0</v>
      </c>
      <c r="BA80" s="161"/>
      <c r="BB80" s="867">
        <f t="shared" ca="1" si="39"/>
        <v>0</v>
      </c>
      <c r="BC80" s="867">
        <f t="shared" ca="1" si="4"/>
        <v>0</v>
      </c>
      <c r="BD80" s="658"/>
      <c r="BE80" s="867">
        <f t="shared" ca="1" si="40"/>
        <v>-943485.60619289381</v>
      </c>
      <c r="BF80" s="867">
        <f t="shared" ca="1" si="41"/>
        <v>-49657.137168047047</v>
      </c>
      <c r="BG80" s="867">
        <f t="shared" ca="1" si="42"/>
        <v>-993142.74336094083</v>
      </c>
      <c r="BI80" s="867">
        <f ca="1"/>
        <v>-993142.74336094095</v>
      </c>
      <c r="BJ80" s="867">
        <f ca="1"/>
        <v>-943485.60619289381</v>
      </c>
      <c r="BK80" s="867">
        <f ca="1"/>
        <v>-49657.137168047047</v>
      </c>
      <c r="BL80" s="867">
        <f t="shared" ca="1" si="43"/>
        <v>0</v>
      </c>
      <c r="BM80" s="867">
        <f t="shared" ca="1" si="44"/>
        <v>0</v>
      </c>
      <c r="BN80" s="867">
        <f t="shared" ca="1" si="45"/>
        <v>0</v>
      </c>
      <c r="BO80" s="867">
        <f t="shared" ca="1" si="46"/>
        <v>0</v>
      </c>
      <c r="BP80" s="867">
        <f t="shared" ca="1" si="47"/>
        <v>0</v>
      </c>
      <c r="BQ80" s="867">
        <f t="shared" ca="1" si="48"/>
        <v>0</v>
      </c>
      <c r="BR80" s="867">
        <f ca="1"/>
        <v>0</v>
      </c>
      <c r="BS80" s="867">
        <f ca="1"/>
        <v>0</v>
      </c>
      <c r="BT80" s="867">
        <f t="shared" ca="1" si="9"/>
        <v>-943485.60619289381</v>
      </c>
      <c r="BU80" s="867">
        <f t="shared" ca="1" si="49"/>
        <v>-49657.137168047047</v>
      </c>
      <c r="BV80" s="829">
        <f t="shared" ca="1" si="10"/>
        <v>-8.7311491370201111E-11</v>
      </c>
      <c r="BX80" s="867">
        <f ca="1"/>
        <v>-993142.74336094095</v>
      </c>
      <c r="BY80" s="867">
        <f t="shared" ca="1" si="50"/>
        <v>-993142.74336094083</v>
      </c>
      <c r="BZ80" s="867">
        <f t="shared" ca="1" si="51"/>
        <v>0</v>
      </c>
      <c r="CA80" s="867">
        <f t="shared" ca="1" si="52"/>
        <v>0</v>
      </c>
      <c r="CB80" s="867">
        <f t="shared" ca="1" si="53"/>
        <v>0</v>
      </c>
      <c r="CC80" s="867">
        <f t="shared" ca="1" si="54"/>
        <v>0</v>
      </c>
      <c r="CD80" s="867">
        <f t="shared" ca="1" si="55"/>
        <v>-993142.74336094083</v>
      </c>
    </row>
    <row r="81" spans="1:82" ht="17" thickTop="1" thickBot="1">
      <c r="A81" s="773">
        <f t="shared" si="5"/>
        <v>1</v>
      </c>
      <c r="B81" s="779"/>
      <c r="C81" s="572"/>
      <c r="D81" s="660">
        <v>34</v>
      </c>
      <c r="E81" s="661">
        <v>46296</v>
      </c>
      <c r="F81" s="862">
        <v>3</v>
      </c>
      <c r="G81" s="863">
        <f ca="1"/>
        <v>-993142.74336094095</v>
      </c>
      <c r="H81" s="961"/>
      <c r="I81" s="865">
        <f t="shared" ca="1" si="11"/>
        <v>102169328.19129403</v>
      </c>
      <c r="J81" s="864" cm="1">
        <f t="array" aca="1" ref="J81" ca="1">IF($G81=0,0,-MIN(0,G81*c_equity.LPshare))</f>
        <v>943485.60619289381</v>
      </c>
      <c r="K81" s="865" cm="1">
        <f t="array" aca="1" ref="K81" ca="1">I81*c_rate.Pref.MO</f>
        <v>657360.53390160808</v>
      </c>
      <c r="L81" s="865">
        <f t="shared" ca="1" si="12"/>
        <v>0</v>
      </c>
      <c r="M81" s="865">
        <f t="shared" ca="1" si="13"/>
        <v>103770174.33138852</v>
      </c>
      <c r="N81" s="865">
        <f t="shared" ca="1" si="14"/>
        <v>-943485.60619289381</v>
      </c>
      <c r="O81" s="864" cm="1">
        <f t="array" aca="1" ref="O81" ca="1">IF(N81=0,0,IF(G81&lt;0,N81/c_equity.LPshare*i_equity.GPshare,L81/c_equity.LPshare*i_equity.GPshare))</f>
        <v>-49657.137168047047</v>
      </c>
      <c r="P81" s="865">
        <f t="shared" ca="1" si="15"/>
        <v>-993142.74336094083</v>
      </c>
      <c r="Q81" s="865">
        <f t="shared" ca="1" si="16"/>
        <v>0</v>
      </c>
      <c r="R81" s="161"/>
      <c r="S81" s="867">
        <f t="shared" ca="1" si="17"/>
        <v>105713357.06986845</v>
      </c>
      <c r="T81" s="867" cm="1">
        <f t="array" aca="1" ref="T81" ca="1">IF($G81=0,0,-MIN(0,$G81*c_equity.LPshare))</f>
        <v>943485.60619289381</v>
      </c>
      <c r="U81" s="869" cm="1">
        <f t="array" aca="1" ref="U81" ca="1">IF($D81=0,0,S81*c_rate.Hurdle1.MO)</f>
        <v>842973.1544859776</v>
      </c>
      <c r="V81" s="867">
        <f t="shared" ca="1" si="18"/>
        <v>0</v>
      </c>
      <c r="W81" s="867">
        <f t="shared" ca="1" si="19"/>
        <v>0</v>
      </c>
      <c r="X81" s="869">
        <f t="shared" ca="1" si="20"/>
        <v>107499815.8305473</v>
      </c>
      <c r="Y81" s="869">
        <f t="shared" ca="1" si="21"/>
        <v>-943485.60619289381</v>
      </c>
      <c r="Z81" s="869">
        <f t="shared" ca="1" si="22"/>
        <v>-49657.137168047047</v>
      </c>
      <c r="AA81" s="869">
        <f t="shared" ca="1" si="23"/>
        <v>-993142.74336094083</v>
      </c>
      <c r="AB81" s="867">
        <f t="shared" ca="1" si="24"/>
        <v>0</v>
      </c>
      <c r="AC81" s="161"/>
      <c r="AD81" s="869">
        <f t="shared" ca="1" si="25"/>
        <v>109306553.08285205</v>
      </c>
      <c r="AE81" s="867" cm="1">
        <f t="array" aca="1" ref="AE81" ca="1">IF($G81=0,0,-MIN(0,$G81*c_equity.LPshare))</f>
        <v>943485.60619289381</v>
      </c>
      <c r="AF81" s="869" cm="1">
        <f t="array" aca="1" ref="AF81" ca="1">IF($D81=0,0,AD81*(c_rate.Hurdle2.MO))</f>
        <v>1037187.2485961932</v>
      </c>
      <c r="AG81" s="869">
        <f t="shared" ca="1" si="26"/>
        <v>0</v>
      </c>
      <c r="AH81" s="869">
        <f t="shared" ca="1" si="27"/>
        <v>0</v>
      </c>
      <c r="AI81" s="869">
        <f t="shared" ca="1" si="28"/>
        <v>111287225.93764113</v>
      </c>
      <c r="AJ81" s="868">
        <f t="shared" ca="1" si="6"/>
        <v>-943485.60619289381</v>
      </c>
      <c r="AK81" s="867">
        <f t="shared" ca="1" si="29"/>
        <v>-943485.60619289381</v>
      </c>
      <c r="AL81" s="869">
        <f t="shared" ref="AL81:AL112" ca="1" si="56">IF(AK81=0,0,Z81+(AH81/$J$18*c_Hurdle2.Share_GP))</f>
        <v>-49657.137168047047</v>
      </c>
      <c r="AM81" s="869">
        <f t="shared" ca="1" si="30"/>
        <v>-993142.74336094083</v>
      </c>
      <c r="AN81" s="867">
        <f t="shared" ca="1" si="3"/>
        <v>0</v>
      </c>
      <c r="AO81" s="161"/>
      <c r="AP81" s="869">
        <f t="shared" ca="1" si="31"/>
        <v>112948629.26969297</v>
      </c>
      <c r="AQ81" s="867" cm="1">
        <f t="array" aca="1" ref="AQ81" ca="1">IF($G81=0,0,-MIN(0,$G81*c_equity.LPshare))</f>
        <v>943485.60619289381</v>
      </c>
      <c r="AR81" s="869" cm="1">
        <f t="array" aca="1" ref="AR81" ca="1">IF($D81=0,0,AP81*(c_rate.Hurdle3.MO))</f>
        <v>1240046.2787269868</v>
      </c>
      <c r="AS81" s="869">
        <f t="shared" ca="1" si="32"/>
        <v>0</v>
      </c>
      <c r="AT81" s="869">
        <f t="shared" ca="1" si="33"/>
        <v>0</v>
      </c>
      <c r="AU81" s="869">
        <f t="shared" ca="1" si="34"/>
        <v>115132161.15461284</v>
      </c>
      <c r="AV81" s="870">
        <f t="shared" ca="1" si="35"/>
        <v>-943485.60619289381</v>
      </c>
      <c r="AW81" s="867">
        <f t="shared" ca="1" si="36"/>
        <v>-943485.60619289381</v>
      </c>
      <c r="AX81" s="869">
        <f t="shared" ref="AX81:AX112" ca="1" si="57">IF(AW81=0,0,AL81+AT81/$J$19*c_Hurdle3.Share_GP)</f>
        <v>-49657.137168047047</v>
      </c>
      <c r="AY81" s="869">
        <f t="shared" ca="1" si="37"/>
        <v>-993142.74336094083</v>
      </c>
      <c r="AZ81" s="867">
        <f t="shared" ca="1" si="38"/>
        <v>0</v>
      </c>
      <c r="BA81" s="161"/>
      <c r="BB81" s="867">
        <f t="shared" ca="1" si="39"/>
        <v>0</v>
      </c>
      <c r="BC81" s="867">
        <f t="shared" ca="1" si="4"/>
        <v>0</v>
      </c>
      <c r="BD81" s="658"/>
      <c r="BE81" s="867">
        <f t="shared" ca="1" si="40"/>
        <v>-943485.60619289381</v>
      </c>
      <c r="BF81" s="867">
        <f t="shared" ca="1" si="41"/>
        <v>-49657.137168047047</v>
      </c>
      <c r="BG81" s="867">
        <f t="shared" ca="1" si="42"/>
        <v>-993142.74336094083</v>
      </c>
      <c r="BI81" s="867">
        <f ca="1"/>
        <v>-993142.74336094095</v>
      </c>
      <c r="BJ81" s="867">
        <f ca="1"/>
        <v>-943485.60619289381</v>
      </c>
      <c r="BK81" s="867">
        <f ca="1"/>
        <v>-49657.137168047047</v>
      </c>
      <c r="BL81" s="867">
        <f t="shared" ca="1" si="43"/>
        <v>0</v>
      </c>
      <c r="BM81" s="867">
        <f t="shared" ca="1" si="44"/>
        <v>0</v>
      </c>
      <c r="BN81" s="867">
        <f t="shared" ca="1" si="45"/>
        <v>0</v>
      </c>
      <c r="BO81" s="867">
        <f t="shared" ca="1" si="46"/>
        <v>0</v>
      </c>
      <c r="BP81" s="867">
        <f t="shared" ca="1" si="47"/>
        <v>0</v>
      </c>
      <c r="BQ81" s="867">
        <f t="shared" ca="1" si="48"/>
        <v>0</v>
      </c>
      <c r="BR81" s="867">
        <f ca="1"/>
        <v>0</v>
      </c>
      <c r="BS81" s="867">
        <f ca="1"/>
        <v>0</v>
      </c>
      <c r="BT81" s="867">
        <f t="shared" ca="1" si="9"/>
        <v>-943485.60619289381</v>
      </c>
      <c r="BU81" s="867">
        <f t="shared" ca="1" si="49"/>
        <v>-49657.137168047047</v>
      </c>
      <c r="BV81" s="829">
        <f t="shared" ca="1" si="10"/>
        <v>-8.7311491370201111E-11</v>
      </c>
      <c r="BX81" s="867">
        <f ca="1"/>
        <v>-993142.74336094095</v>
      </c>
      <c r="BY81" s="867">
        <f t="shared" ca="1" si="50"/>
        <v>-993142.74336094083</v>
      </c>
      <c r="BZ81" s="867">
        <f t="shared" ca="1" si="51"/>
        <v>0</v>
      </c>
      <c r="CA81" s="867">
        <f t="shared" ca="1" si="52"/>
        <v>0</v>
      </c>
      <c r="CB81" s="867">
        <f t="shared" ca="1" si="53"/>
        <v>0</v>
      </c>
      <c r="CC81" s="867">
        <f t="shared" ca="1" si="54"/>
        <v>0</v>
      </c>
      <c r="CD81" s="867">
        <f t="shared" ca="1" si="55"/>
        <v>-993142.74336094083</v>
      </c>
    </row>
    <row r="82" spans="1:82" ht="17" thickTop="1" thickBot="1">
      <c r="A82" s="773">
        <f t="shared" si="5"/>
        <v>1</v>
      </c>
      <c r="B82" s="779"/>
      <c r="C82" s="572"/>
      <c r="D82" s="660">
        <v>35</v>
      </c>
      <c r="E82" s="661">
        <v>46327</v>
      </c>
      <c r="F82" s="862">
        <v>3</v>
      </c>
      <c r="G82" s="863">
        <f ca="1"/>
        <v>-993142.74336094095</v>
      </c>
      <c r="H82" s="961"/>
      <c r="I82" s="865">
        <f t="shared" ca="1" si="11"/>
        <v>103770174.33138852</v>
      </c>
      <c r="J82" s="864" cm="1">
        <f t="array" aca="1" ref="J82" ca="1">IF($G82=0,0,-MIN(0,G82*c_equity.LPshare))</f>
        <v>943485.60619289381</v>
      </c>
      <c r="K82" s="865" cm="1">
        <f t="array" aca="1" ref="K82" ca="1">I82*c_rate.Pref.MO</f>
        <v>667660.42616845877</v>
      </c>
      <c r="L82" s="865">
        <f t="shared" ca="1" si="12"/>
        <v>0</v>
      </c>
      <c r="M82" s="865">
        <f t="shared" ca="1" si="13"/>
        <v>105381320.36374986</v>
      </c>
      <c r="N82" s="865">
        <f t="shared" ca="1" si="14"/>
        <v>-943485.60619289381</v>
      </c>
      <c r="O82" s="864" cm="1">
        <f t="array" aca="1" ref="O82" ca="1">IF(N82=0,0,IF(G82&lt;0,N82/c_equity.LPshare*i_equity.GPshare,L82/c_equity.LPshare*i_equity.GPshare))</f>
        <v>-49657.137168047047</v>
      </c>
      <c r="P82" s="865">
        <f t="shared" ca="1" si="15"/>
        <v>-993142.74336094083</v>
      </c>
      <c r="Q82" s="865">
        <f t="shared" ca="1" si="16"/>
        <v>0</v>
      </c>
      <c r="R82" s="161"/>
      <c r="S82" s="867">
        <f t="shared" ca="1" si="17"/>
        <v>107499815.8305473</v>
      </c>
      <c r="T82" s="867" cm="1">
        <f t="array" aca="1" ref="T82" ca="1">IF($G82=0,0,-MIN(0,$G82*c_equity.LPshare))</f>
        <v>943485.60619289381</v>
      </c>
      <c r="U82" s="869" cm="1">
        <f t="array" aca="1" ref="U82" ca="1">IF($D82=0,0,S82*c_rate.Hurdle1.MO)</f>
        <v>857218.62751407619</v>
      </c>
      <c r="V82" s="867">
        <f t="shared" ca="1" si="18"/>
        <v>0</v>
      </c>
      <c r="W82" s="867">
        <f t="shared" ca="1" si="19"/>
        <v>0</v>
      </c>
      <c r="X82" s="869">
        <f t="shared" ca="1" si="20"/>
        <v>109300520.06425427</v>
      </c>
      <c r="Y82" s="869">
        <f t="shared" ca="1" si="21"/>
        <v>-943485.60619289381</v>
      </c>
      <c r="Z82" s="869">
        <f t="shared" ca="1" si="22"/>
        <v>-49657.137168047047</v>
      </c>
      <c r="AA82" s="869">
        <f t="shared" ca="1" si="23"/>
        <v>-993142.74336094083</v>
      </c>
      <c r="AB82" s="867">
        <f t="shared" ca="1" si="24"/>
        <v>0</v>
      </c>
      <c r="AC82" s="161"/>
      <c r="AD82" s="869">
        <f t="shared" ca="1" si="25"/>
        <v>111287225.93764113</v>
      </c>
      <c r="AE82" s="867" cm="1">
        <f t="array" aca="1" ref="AE82" ca="1">IF($G82=0,0,-MIN(0,$G82*c_equity.LPshare))</f>
        <v>943485.60619289381</v>
      </c>
      <c r="AF82" s="869" cm="1">
        <f t="array" aca="1" ref="AF82" ca="1">IF($D82=0,0,AD82*(c_rate.Hurdle2.MO))</f>
        <v>1055981.4431864363</v>
      </c>
      <c r="AG82" s="869">
        <f t="shared" ca="1" si="26"/>
        <v>0</v>
      </c>
      <c r="AH82" s="869">
        <f t="shared" ca="1" si="27"/>
        <v>0</v>
      </c>
      <c r="AI82" s="869">
        <f t="shared" ca="1" si="28"/>
        <v>113286692.98702045</v>
      </c>
      <c r="AJ82" s="868">
        <f t="shared" ca="1" si="6"/>
        <v>-943485.60619289381</v>
      </c>
      <c r="AK82" s="867">
        <f t="shared" ca="1" si="29"/>
        <v>-943485.60619289381</v>
      </c>
      <c r="AL82" s="869">
        <f t="shared" ca="1" si="56"/>
        <v>-49657.137168047047</v>
      </c>
      <c r="AM82" s="869">
        <f t="shared" ca="1" si="30"/>
        <v>-993142.74336094083</v>
      </c>
      <c r="AN82" s="867">
        <f t="shared" ca="1" si="3"/>
        <v>0</v>
      </c>
      <c r="AO82" s="161"/>
      <c r="AP82" s="869">
        <f t="shared" ca="1" si="31"/>
        <v>115132161.15461284</v>
      </c>
      <c r="AQ82" s="867" cm="1">
        <f t="array" aca="1" ref="AQ82" ca="1">IF($G82=0,0,-MIN(0,$G82*c_equity.LPshare))</f>
        <v>943485.60619289381</v>
      </c>
      <c r="AR82" s="869" cm="1">
        <f t="array" aca="1" ref="AR82" ca="1">IF($D82=0,0,AP82*(c_rate.Hurdle3.MO))</f>
        <v>1264018.9520200053</v>
      </c>
      <c r="AS82" s="869">
        <f t="shared" ca="1" si="32"/>
        <v>0</v>
      </c>
      <c r="AT82" s="869">
        <f t="shared" ca="1" si="33"/>
        <v>0</v>
      </c>
      <c r="AU82" s="869">
        <f t="shared" ca="1" si="34"/>
        <v>117339665.71282573</v>
      </c>
      <c r="AV82" s="870">
        <f t="shared" ca="1" si="35"/>
        <v>-943485.60619289381</v>
      </c>
      <c r="AW82" s="867">
        <f t="shared" ca="1" si="36"/>
        <v>-943485.60619289381</v>
      </c>
      <c r="AX82" s="869">
        <f t="shared" ca="1" si="57"/>
        <v>-49657.137168047047</v>
      </c>
      <c r="AY82" s="869">
        <f t="shared" ca="1" si="37"/>
        <v>-993142.74336094083</v>
      </c>
      <c r="AZ82" s="867">
        <f t="shared" ca="1" si="38"/>
        <v>0</v>
      </c>
      <c r="BA82" s="161"/>
      <c r="BB82" s="867">
        <f t="shared" ca="1" si="39"/>
        <v>0</v>
      </c>
      <c r="BC82" s="867">
        <f t="shared" ca="1" si="4"/>
        <v>0</v>
      </c>
      <c r="BD82" s="658"/>
      <c r="BE82" s="867">
        <f t="shared" ca="1" si="40"/>
        <v>-943485.60619289381</v>
      </c>
      <c r="BF82" s="867">
        <f t="shared" ca="1" si="41"/>
        <v>-49657.137168047047</v>
      </c>
      <c r="BG82" s="867">
        <f t="shared" ca="1" si="42"/>
        <v>-993142.74336094083</v>
      </c>
      <c r="BI82" s="867">
        <f ca="1"/>
        <v>-993142.74336094095</v>
      </c>
      <c r="BJ82" s="867">
        <f ca="1"/>
        <v>-943485.60619289381</v>
      </c>
      <c r="BK82" s="867">
        <f ca="1"/>
        <v>-49657.137168047047</v>
      </c>
      <c r="BL82" s="867">
        <f t="shared" ca="1" si="43"/>
        <v>0</v>
      </c>
      <c r="BM82" s="867">
        <f t="shared" ca="1" si="44"/>
        <v>0</v>
      </c>
      <c r="BN82" s="867">
        <f t="shared" ca="1" si="45"/>
        <v>0</v>
      </c>
      <c r="BO82" s="867">
        <f t="shared" ca="1" si="46"/>
        <v>0</v>
      </c>
      <c r="BP82" s="867">
        <f t="shared" ca="1" si="47"/>
        <v>0</v>
      </c>
      <c r="BQ82" s="867">
        <f t="shared" ca="1" si="48"/>
        <v>0</v>
      </c>
      <c r="BR82" s="867">
        <f ca="1"/>
        <v>0</v>
      </c>
      <c r="BS82" s="867">
        <f ca="1"/>
        <v>0</v>
      </c>
      <c r="BT82" s="867">
        <f t="shared" ca="1" si="9"/>
        <v>-943485.60619289381</v>
      </c>
      <c r="BU82" s="867">
        <f t="shared" ca="1" si="49"/>
        <v>-49657.137168047047</v>
      </c>
      <c r="BV82" s="829">
        <f t="shared" ca="1" si="10"/>
        <v>-8.7311491370201111E-11</v>
      </c>
      <c r="BX82" s="867">
        <f ca="1"/>
        <v>-993142.74336094095</v>
      </c>
      <c r="BY82" s="867">
        <f t="shared" ca="1" si="50"/>
        <v>-993142.74336094083</v>
      </c>
      <c r="BZ82" s="867">
        <f t="shared" ca="1" si="51"/>
        <v>0</v>
      </c>
      <c r="CA82" s="867">
        <f t="shared" ca="1" si="52"/>
        <v>0</v>
      </c>
      <c r="CB82" s="867">
        <f t="shared" ca="1" si="53"/>
        <v>0</v>
      </c>
      <c r="CC82" s="867">
        <f t="shared" ca="1" si="54"/>
        <v>0</v>
      </c>
      <c r="CD82" s="867">
        <f t="shared" ca="1" si="55"/>
        <v>-993142.74336094083</v>
      </c>
    </row>
    <row r="83" spans="1:82" ht="17" thickTop="1" thickBot="1">
      <c r="A83" s="773">
        <f t="shared" si="5"/>
        <v>1</v>
      </c>
      <c r="B83" s="779"/>
      <c r="C83" s="572"/>
      <c r="D83" s="660">
        <v>36</v>
      </c>
      <c r="E83" s="661">
        <v>46357</v>
      </c>
      <c r="F83" s="862">
        <v>3</v>
      </c>
      <c r="G83" s="863">
        <f ca="1"/>
        <v>-993142.74336094095</v>
      </c>
      <c r="H83" s="961"/>
      <c r="I83" s="865">
        <f t="shared" ca="1" si="11"/>
        <v>105381320.36374986</v>
      </c>
      <c r="J83" s="864" cm="1">
        <f t="array" aca="1" ref="J83" ca="1">IF($G83=0,0,-MIN(0,G83*c_equity.LPshare))</f>
        <v>943485.60619289381</v>
      </c>
      <c r="K83" s="865" cm="1">
        <f t="array" aca="1" ref="K83" ca="1">I83*c_rate.Pref.MO</f>
        <v>678026.58825228421</v>
      </c>
      <c r="L83" s="865">
        <f t="shared" ca="1" si="12"/>
        <v>0</v>
      </c>
      <c r="M83" s="865">
        <f t="shared" ca="1" si="13"/>
        <v>107002832.55819504</v>
      </c>
      <c r="N83" s="865">
        <f t="shared" ca="1" si="14"/>
        <v>-943485.60619289381</v>
      </c>
      <c r="O83" s="864" cm="1">
        <f t="array" aca="1" ref="O83" ca="1">IF(N83=0,0,IF(G83&lt;0,N83/c_equity.LPshare*i_equity.GPshare,L83/c_equity.LPshare*i_equity.GPshare))</f>
        <v>-49657.137168047047</v>
      </c>
      <c r="P83" s="865">
        <f t="shared" ca="1" si="15"/>
        <v>-993142.74336094083</v>
      </c>
      <c r="Q83" s="865">
        <f t="shared" ca="1" si="16"/>
        <v>0</v>
      </c>
      <c r="R83" s="161"/>
      <c r="S83" s="867">
        <f t="shared" ca="1" si="17"/>
        <v>109300520.06425427</v>
      </c>
      <c r="T83" s="867" cm="1">
        <f t="array" aca="1" ref="T83" ca="1">IF($G83=0,0,-MIN(0,$G83*c_equity.LPshare))</f>
        <v>943485.60619289381</v>
      </c>
      <c r="U83" s="869" cm="1">
        <f t="array" aca="1" ref="U83" ca="1">IF($D83=0,0,S83*c_rate.Hurdle1.MO)</f>
        <v>871577.69594457699</v>
      </c>
      <c r="V83" s="867">
        <f t="shared" ca="1" si="18"/>
        <v>0</v>
      </c>
      <c r="W83" s="867">
        <f t="shared" ca="1" si="19"/>
        <v>0</v>
      </c>
      <c r="X83" s="869">
        <f t="shared" ca="1" si="20"/>
        <v>111115583.36639173</v>
      </c>
      <c r="Y83" s="869">
        <f t="shared" ca="1" si="21"/>
        <v>-943485.60619289381</v>
      </c>
      <c r="Z83" s="869">
        <f t="shared" ca="1" si="22"/>
        <v>-49657.137168047047</v>
      </c>
      <c r="AA83" s="869">
        <f t="shared" ca="1" si="23"/>
        <v>-993142.74336094083</v>
      </c>
      <c r="AB83" s="867">
        <f t="shared" ca="1" si="24"/>
        <v>0</v>
      </c>
      <c r="AC83" s="161"/>
      <c r="AD83" s="869">
        <f t="shared" ca="1" si="25"/>
        <v>113286692.98702045</v>
      </c>
      <c r="AE83" s="867" cm="1">
        <f t="array" aca="1" ref="AE83" ca="1">IF($G83=0,0,-MIN(0,$G83*c_equity.LPshare))</f>
        <v>943485.60619289381</v>
      </c>
      <c r="AF83" s="869" cm="1">
        <f t="array" aca="1" ref="AF83" ca="1">IF($D83=0,0,AD83*(c_rate.Hurdle2.MO))</f>
        <v>1074953.9719975183</v>
      </c>
      <c r="AG83" s="869">
        <f t="shared" ca="1" si="26"/>
        <v>0</v>
      </c>
      <c r="AH83" s="869">
        <f t="shared" ca="1" si="27"/>
        <v>0</v>
      </c>
      <c r="AI83" s="869">
        <f t="shared" ca="1" si="28"/>
        <v>115305132.56521085</v>
      </c>
      <c r="AJ83" s="868">
        <f t="shared" ca="1" si="6"/>
        <v>-943485.60619289381</v>
      </c>
      <c r="AK83" s="867">
        <f t="shared" ca="1" si="29"/>
        <v>-943485.60619289381</v>
      </c>
      <c r="AL83" s="869">
        <f t="shared" ca="1" si="56"/>
        <v>-49657.137168047047</v>
      </c>
      <c r="AM83" s="869">
        <f t="shared" ca="1" si="30"/>
        <v>-993142.74336094083</v>
      </c>
      <c r="AN83" s="867">
        <f t="shared" ca="1" si="3"/>
        <v>0</v>
      </c>
      <c r="AO83" s="161"/>
      <c r="AP83" s="869">
        <f t="shared" ca="1" si="31"/>
        <v>117339665.71282573</v>
      </c>
      <c r="AQ83" s="867" cm="1">
        <f t="array" aca="1" ref="AQ83" ca="1">IF($G83=0,0,-MIN(0,$G83*c_equity.LPshare))</f>
        <v>943485.60619289381</v>
      </c>
      <c r="AR83" s="869" cm="1">
        <f t="array" aca="1" ref="AR83" ca="1">IF($D83=0,0,AP83*(c_rate.Hurdle3.MO))</f>
        <v>1288254.8177439577</v>
      </c>
      <c r="AS83" s="869">
        <f t="shared" ca="1" si="32"/>
        <v>0</v>
      </c>
      <c r="AT83" s="869">
        <f t="shared" ca="1" si="33"/>
        <v>0</v>
      </c>
      <c r="AU83" s="869">
        <f t="shared" ca="1" si="34"/>
        <v>119571406.13676257</v>
      </c>
      <c r="AV83" s="870">
        <f t="shared" ca="1" si="35"/>
        <v>-943485.60619289381</v>
      </c>
      <c r="AW83" s="867">
        <f t="shared" ca="1" si="36"/>
        <v>-943485.60619289381</v>
      </c>
      <c r="AX83" s="869">
        <f t="shared" ca="1" si="57"/>
        <v>-49657.137168047047</v>
      </c>
      <c r="AY83" s="869">
        <f t="shared" ca="1" si="37"/>
        <v>-993142.74336094083</v>
      </c>
      <c r="AZ83" s="867">
        <f t="shared" ca="1" si="38"/>
        <v>0</v>
      </c>
      <c r="BA83" s="161"/>
      <c r="BB83" s="867">
        <f t="shared" ca="1" si="39"/>
        <v>0</v>
      </c>
      <c r="BC83" s="867">
        <f t="shared" ca="1" si="4"/>
        <v>0</v>
      </c>
      <c r="BD83" s="658"/>
      <c r="BE83" s="867">
        <f t="shared" ca="1" si="40"/>
        <v>-943485.60619289381</v>
      </c>
      <c r="BF83" s="867">
        <f t="shared" ca="1" si="41"/>
        <v>-49657.137168047047</v>
      </c>
      <c r="BG83" s="867">
        <f t="shared" ca="1" si="42"/>
        <v>-993142.74336094083</v>
      </c>
      <c r="BI83" s="867">
        <f ca="1"/>
        <v>-993142.74336094095</v>
      </c>
      <c r="BJ83" s="867">
        <f ca="1"/>
        <v>-943485.60619289381</v>
      </c>
      <c r="BK83" s="867">
        <f ca="1"/>
        <v>-49657.137168047047</v>
      </c>
      <c r="BL83" s="867">
        <f t="shared" ca="1" si="43"/>
        <v>0</v>
      </c>
      <c r="BM83" s="867">
        <f t="shared" ca="1" si="44"/>
        <v>0</v>
      </c>
      <c r="BN83" s="867">
        <f t="shared" ca="1" si="45"/>
        <v>0</v>
      </c>
      <c r="BO83" s="867">
        <f t="shared" ca="1" si="46"/>
        <v>0</v>
      </c>
      <c r="BP83" s="867">
        <f t="shared" ca="1" si="47"/>
        <v>0</v>
      </c>
      <c r="BQ83" s="867">
        <f t="shared" ca="1" si="48"/>
        <v>0</v>
      </c>
      <c r="BR83" s="867">
        <f ca="1"/>
        <v>0</v>
      </c>
      <c r="BS83" s="867">
        <f ca="1"/>
        <v>0</v>
      </c>
      <c r="BT83" s="867">
        <f t="shared" ca="1" si="9"/>
        <v>-943485.60619289381</v>
      </c>
      <c r="BU83" s="867">
        <f t="shared" ca="1" si="49"/>
        <v>-49657.137168047047</v>
      </c>
      <c r="BV83" s="829">
        <f t="shared" ca="1" si="10"/>
        <v>-8.7311491370201111E-11</v>
      </c>
      <c r="BX83" s="867">
        <f ca="1"/>
        <v>-993142.74336094095</v>
      </c>
      <c r="BY83" s="867">
        <f t="shared" ca="1" si="50"/>
        <v>-993142.74336094083</v>
      </c>
      <c r="BZ83" s="867">
        <f t="shared" ca="1" si="51"/>
        <v>0</v>
      </c>
      <c r="CA83" s="867">
        <f t="shared" ca="1" si="52"/>
        <v>0</v>
      </c>
      <c r="CB83" s="867">
        <f t="shared" ca="1" si="53"/>
        <v>0</v>
      </c>
      <c r="CC83" s="867">
        <f t="shared" ca="1" si="54"/>
        <v>0</v>
      </c>
      <c r="CD83" s="867">
        <f t="shared" ca="1" si="55"/>
        <v>-993142.74336094083</v>
      </c>
    </row>
    <row r="84" spans="1:82" ht="17" thickTop="1" thickBot="1">
      <c r="A84" s="773">
        <f t="shared" si="5"/>
        <v>1</v>
      </c>
      <c r="B84" s="779"/>
      <c r="C84" s="572"/>
      <c r="D84" s="660">
        <v>37</v>
      </c>
      <c r="E84" s="661">
        <v>46388</v>
      </c>
      <c r="F84" s="862">
        <v>4</v>
      </c>
      <c r="G84" s="863">
        <f ca="1"/>
        <v>-993142.74336094095</v>
      </c>
      <c r="H84" s="961"/>
      <c r="I84" s="865">
        <f t="shared" ca="1" si="11"/>
        <v>107002832.55819504</v>
      </c>
      <c r="J84" s="864" cm="1">
        <f t="array" aca="1" ref="J84" ca="1">IF($G84=0,0,-MIN(0,G84*c_equity.LPshare))</f>
        <v>943485.60619289381</v>
      </c>
      <c r="K84" s="865" cm="1">
        <f t="array" aca="1" ref="K84" ca="1">I84*c_rate.Pref.MO</f>
        <v>688459.4465350823</v>
      </c>
      <c r="L84" s="865">
        <f t="shared" ca="1" si="12"/>
        <v>0</v>
      </c>
      <c r="M84" s="865">
        <f t="shared" ca="1" si="13"/>
        <v>108634777.61092301</v>
      </c>
      <c r="N84" s="865">
        <f t="shared" ca="1" si="14"/>
        <v>-943485.60619289381</v>
      </c>
      <c r="O84" s="864" cm="1">
        <f t="array" aca="1" ref="O84" ca="1">IF(N84=0,0,IF(G84&lt;0,N84/c_equity.LPshare*i_equity.GPshare,L84/c_equity.LPshare*i_equity.GPshare))</f>
        <v>-49657.137168047047</v>
      </c>
      <c r="P84" s="865">
        <f t="shared" ca="1" si="15"/>
        <v>-993142.74336094083</v>
      </c>
      <c r="Q84" s="865">
        <f t="shared" ca="1" si="16"/>
        <v>0</v>
      </c>
      <c r="R84" s="161"/>
      <c r="S84" s="867">
        <f t="shared" ca="1" si="17"/>
        <v>111115583.36639173</v>
      </c>
      <c r="T84" s="867" cm="1">
        <f t="array" aca="1" ref="T84" ca="1">IF($G84=0,0,-MIN(0,$G84*c_equity.LPshare))</f>
        <v>943485.60619289381</v>
      </c>
      <c r="U84" s="869" cm="1">
        <f t="array" aca="1" ref="U84" ca="1">IF($D84=0,0,S84*c_rate.Hurdle1.MO)</f>
        <v>886051.26560317096</v>
      </c>
      <c r="V84" s="867">
        <f t="shared" ca="1" si="18"/>
        <v>0</v>
      </c>
      <c r="W84" s="867">
        <f t="shared" ca="1" si="19"/>
        <v>0</v>
      </c>
      <c r="X84" s="869">
        <f t="shared" ca="1" si="20"/>
        <v>112945120.23818779</v>
      </c>
      <c r="Y84" s="869">
        <f t="shared" ca="1" si="21"/>
        <v>-943485.60619289381</v>
      </c>
      <c r="Z84" s="869">
        <f t="shared" ca="1" si="22"/>
        <v>-49657.137168047047</v>
      </c>
      <c r="AA84" s="869">
        <f t="shared" ca="1" si="23"/>
        <v>-993142.74336094083</v>
      </c>
      <c r="AB84" s="867">
        <f t="shared" ca="1" si="24"/>
        <v>0</v>
      </c>
      <c r="AC84" s="161"/>
      <c r="AD84" s="869">
        <f t="shared" ca="1" si="25"/>
        <v>115305132.56521085</v>
      </c>
      <c r="AE84" s="867" cm="1">
        <f t="array" aca="1" ref="AE84" ca="1">IF($G84=0,0,-MIN(0,$G84*c_equity.LPshare))</f>
        <v>943485.60619289381</v>
      </c>
      <c r="AF84" s="869" cm="1">
        <f t="array" aca="1" ref="AF84" ca="1">IF($D84=0,0,AD84*(c_rate.Hurdle2.MO))</f>
        <v>1094106.527205934</v>
      </c>
      <c r="AG84" s="869">
        <f t="shared" ca="1" si="26"/>
        <v>0</v>
      </c>
      <c r="AH84" s="869">
        <f t="shared" ca="1" si="27"/>
        <v>0</v>
      </c>
      <c r="AI84" s="869">
        <f t="shared" ca="1" si="28"/>
        <v>117342724.69860967</v>
      </c>
      <c r="AJ84" s="868">
        <f t="shared" ca="1" si="6"/>
        <v>-943485.60619289381</v>
      </c>
      <c r="AK84" s="867">
        <f t="shared" ca="1" si="29"/>
        <v>-943485.60619289381</v>
      </c>
      <c r="AL84" s="869">
        <f t="shared" ca="1" si="56"/>
        <v>-49657.137168047047</v>
      </c>
      <c r="AM84" s="869">
        <f t="shared" ca="1" si="30"/>
        <v>-993142.74336094083</v>
      </c>
      <c r="AN84" s="867">
        <f t="shared" ca="1" si="3"/>
        <v>0</v>
      </c>
      <c r="AO84" s="161"/>
      <c r="AP84" s="869">
        <f t="shared" ca="1" si="31"/>
        <v>119571406.13676257</v>
      </c>
      <c r="AQ84" s="867" cm="1">
        <f t="array" aca="1" ref="AQ84" ca="1">IF($G84=0,0,-MIN(0,$G84*c_equity.LPshare))</f>
        <v>943485.60619289381</v>
      </c>
      <c r="AR84" s="869" cm="1">
        <f t="array" aca="1" ref="AR84" ca="1">IF($D84=0,0,AP84*(c_rate.Hurdle3.MO))</f>
        <v>1312756.7654495777</v>
      </c>
      <c r="AS84" s="869">
        <f t="shared" ca="1" si="32"/>
        <v>0</v>
      </c>
      <c r="AT84" s="869">
        <f t="shared" ca="1" si="33"/>
        <v>0</v>
      </c>
      <c r="AU84" s="869">
        <f t="shared" ca="1" si="34"/>
        <v>121827648.50840504</v>
      </c>
      <c r="AV84" s="870">
        <f t="shared" ca="1" si="35"/>
        <v>-943485.60619289381</v>
      </c>
      <c r="AW84" s="867">
        <f t="shared" ca="1" si="36"/>
        <v>-943485.60619289381</v>
      </c>
      <c r="AX84" s="869">
        <f t="shared" ca="1" si="57"/>
        <v>-49657.137168047047</v>
      </c>
      <c r="AY84" s="869">
        <f t="shared" ca="1" si="37"/>
        <v>-993142.74336094083</v>
      </c>
      <c r="AZ84" s="867">
        <f t="shared" ca="1" si="38"/>
        <v>0</v>
      </c>
      <c r="BA84" s="161"/>
      <c r="BB84" s="867">
        <f t="shared" ca="1" si="39"/>
        <v>0</v>
      </c>
      <c r="BC84" s="867">
        <f t="shared" ca="1" si="4"/>
        <v>0</v>
      </c>
      <c r="BD84" s="658"/>
      <c r="BE84" s="867">
        <f t="shared" ca="1" si="40"/>
        <v>-943485.60619289381</v>
      </c>
      <c r="BF84" s="867">
        <f t="shared" ca="1" si="41"/>
        <v>-49657.137168047047</v>
      </c>
      <c r="BG84" s="867">
        <f t="shared" ca="1" si="42"/>
        <v>-993142.74336094083</v>
      </c>
      <c r="BI84" s="867">
        <f ca="1"/>
        <v>-993142.74336094095</v>
      </c>
      <c r="BJ84" s="867">
        <f ca="1"/>
        <v>-943485.60619289381</v>
      </c>
      <c r="BK84" s="867">
        <f ca="1"/>
        <v>-49657.137168047047</v>
      </c>
      <c r="BL84" s="867">
        <f t="shared" ca="1" si="43"/>
        <v>0</v>
      </c>
      <c r="BM84" s="867">
        <f t="shared" ca="1" si="44"/>
        <v>0</v>
      </c>
      <c r="BN84" s="867">
        <f t="shared" ca="1" si="45"/>
        <v>0</v>
      </c>
      <c r="BO84" s="867">
        <f t="shared" ca="1" si="46"/>
        <v>0</v>
      </c>
      <c r="BP84" s="867">
        <f t="shared" ca="1" si="47"/>
        <v>0</v>
      </c>
      <c r="BQ84" s="867">
        <f t="shared" ca="1" si="48"/>
        <v>0</v>
      </c>
      <c r="BR84" s="867">
        <f ca="1"/>
        <v>0</v>
      </c>
      <c r="BS84" s="867">
        <f ca="1"/>
        <v>0</v>
      </c>
      <c r="BT84" s="867">
        <f t="shared" ca="1" si="9"/>
        <v>-943485.60619289381</v>
      </c>
      <c r="BU84" s="867">
        <f t="shared" ca="1" si="49"/>
        <v>-49657.137168047047</v>
      </c>
      <c r="BV84" s="829">
        <f t="shared" ca="1" si="10"/>
        <v>-8.7311491370201111E-11</v>
      </c>
      <c r="BX84" s="867">
        <f ca="1"/>
        <v>-993142.74336094095</v>
      </c>
      <c r="BY84" s="867">
        <f t="shared" ca="1" si="50"/>
        <v>-993142.74336094083</v>
      </c>
      <c r="BZ84" s="867">
        <f t="shared" ca="1" si="51"/>
        <v>0</v>
      </c>
      <c r="CA84" s="867">
        <f t="shared" ca="1" si="52"/>
        <v>0</v>
      </c>
      <c r="CB84" s="867">
        <f t="shared" ca="1" si="53"/>
        <v>0</v>
      </c>
      <c r="CC84" s="867">
        <f t="shared" ca="1" si="54"/>
        <v>0</v>
      </c>
      <c r="CD84" s="867">
        <f t="shared" ca="1" si="55"/>
        <v>-993142.74336094083</v>
      </c>
    </row>
    <row r="85" spans="1:82" ht="17" thickTop="1" thickBot="1">
      <c r="A85" s="773">
        <f t="shared" si="5"/>
        <v>1</v>
      </c>
      <c r="B85" s="779"/>
      <c r="C85" s="572"/>
      <c r="D85" s="660">
        <v>38</v>
      </c>
      <c r="E85" s="661">
        <v>46419</v>
      </c>
      <c r="F85" s="862">
        <v>4</v>
      </c>
      <c r="G85" s="863">
        <f ca="1"/>
        <v>-993142.74336094095</v>
      </c>
      <c r="H85" s="961"/>
      <c r="I85" s="865">
        <f t="shared" ca="1" si="11"/>
        <v>108634777.61092301</v>
      </c>
      <c r="J85" s="864" cm="1">
        <f t="array" aca="1" ref="J85" ca="1">IF($G85=0,0,-MIN(0,G85*c_equity.LPshare))</f>
        <v>943485.60619289381</v>
      </c>
      <c r="K85" s="865" cm="1">
        <f t="array" aca="1" ref="K85" ca="1">I85*c_rate.Pref.MO</f>
        <v>698959.43014220509</v>
      </c>
      <c r="L85" s="865">
        <f t="shared" ca="1" si="12"/>
        <v>0</v>
      </c>
      <c r="M85" s="865">
        <f t="shared" ca="1" si="13"/>
        <v>110277222.6472581</v>
      </c>
      <c r="N85" s="865">
        <f t="shared" ca="1" si="14"/>
        <v>-943485.60619289381</v>
      </c>
      <c r="O85" s="864" cm="1">
        <f t="array" aca="1" ref="O85" ca="1">IF(N85=0,0,IF(G85&lt;0,N85/c_equity.LPshare*i_equity.GPshare,L85/c_equity.LPshare*i_equity.GPshare))</f>
        <v>-49657.137168047047</v>
      </c>
      <c r="P85" s="865">
        <f t="shared" ca="1" si="15"/>
        <v>-993142.74336094083</v>
      </c>
      <c r="Q85" s="865">
        <f t="shared" ca="1" si="16"/>
        <v>0</v>
      </c>
      <c r="R85" s="161"/>
      <c r="S85" s="867">
        <f t="shared" ca="1" si="17"/>
        <v>112945120.23818779</v>
      </c>
      <c r="T85" s="867" cm="1">
        <f t="array" aca="1" ref="T85" ca="1">IF($G85=0,0,-MIN(0,$G85*c_equity.LPshare))</f>
        <v>943485.60619289381</v>
      </c>
      <c r="U85" s="869" cm="1">
        <f t="array" aca="1" ref="U85" ca="1">IF($D85=0,0,S85*c_rate.Hurdle1.MO)</f>
        <v>900640.24953873002</v>
      </c>
      <c r="V85" s="867">
        <f t="shared" ca="1" si="18"/>
        <v>0</v>
      </c>
      <c r="W85" s="867">
        <f t="shared" ca="1" si="19"/>
        <v>0</v>
      </c>
      <c r="X85" s="869">
        <f t="shared" ca="1" si="20"/>
        <v>114789246.09391941</v>
      </c>
      <c r="Y85" s="869">
        <f t="shared" ca="1" si="21"/>
        <v>-943485.60619289381</v>
      </c>
      <c r="Z85" s="869">
        <f t="shared" ca="1" si="22"/>
        <v>-49657.137168047047</v>
      </c>
      <c r="AA85" s="869">
        <f t="shared" ca="1" si="23"/>
        <v>-993142.74336094083</v>
      </c>
      <c r="AB85" s="867">
        <f t="shared" ca="1" si="24"/>
        <v>0</v>
      </c>
      <c r="AC85" s="161"/>
      <c r="AD85" s="869">
        <f t="shared" ca="1" si="25"/>
        <v>117342724.69860967</v>
      </c>
      <c r="AE85" s="867" cm="1">
        <f t="array" aca="1" ref="AE85" ca="1">IF($G85=0,0,-MIN(0,$G85*c_equity.LPshare))</f>
        <v>943485.60619289381</v>
      </c>
      <c r="AF85" s="869" cm="1">
        <f t="array" aca="1" ref="AF85" ca="1">IF($D85=0,0,AD85*(c_rate.Hurdle2.MO))</f>
        <v>1113440.817044891</v>
      </c>
      <c r="AG85" s="869">
        <f t="shared" ca="1" si="26"/>
        <v>0</v>
      </c>
      <c r="AH85" s="869">
        <f t="shared" ca="1" si="27"/>
        <v>0</v>
      </c>
      <c r="AI85" s="869">
        <f t="shared" ca="1" si="28"/>
        <v>119399651.12184744</v>
      </c>
      <c r="AJ85" s="868">
        <f t="shared" ca="1" si="6"/>
        <v>-943485.60619289381</v>
      </c>
      <c r="AK85" s="867">
        <f t="shared" ca="1" si="29"/>
        <v>-943485.60619289381</v>
      </c>
      <c r="AL85" s="869">
        <f t="shared" ca="1" si="56"/>
        <v>-49657.137168047047</v>
      </c>
      <c r="AM85" s="869">
        <f t="shared" ca="1" si="30"/>
        <v>-993142.74336094083</v>
      </c>
      <c r="AN85" s="867">
        <f t="shared" ca="1" si="3"/>
        <v>0</v>
      </c>
      <c r="AO85" s="161"/>
      <c r="AP85" s="869">
        <f t="shared" ca="1" si="31"/>
        <v>121827648.50840504</v>
      </c>
      <c r="AQ85" s="867" cm="1">
        <f t="array" aca="1" ref="AQ85" ca="1">IF($G85=0,0,-MIN(0,$G85*c_equity.LPshare))</f>
        <v>943485.60619289381</v>
      </c>
      <c r="AR85" s="869" cm="1">
        <f t="array" aca="1" ref="AR85" ca="1">IF($D85=0,0,AP85*(c_rate.Hurdle3.MO))</f>
        <v>1337527.7164115484</v>
      </c>
      <c r="AS85" s="869">
        <f t="shared" ca="1" si="32"/>
        <v>0</v>
      </c>
      <c r="AT85" s="869">
        <f t="shared" ca="1" si="33"/>
        <v>0</v>
      </c>
      <c r="AU85" s="869">
        <f t="shared" ca="1" si="34"/>
        <v>124108661.83100948</v>
      </c>
      <c r="AV85" s="870">
        <f t="shared" ca="1" si="35"/>
        <v>-943485.60619289381</v>
      </c>
      <c r="AW85" s="867">
        <f t="shared" ca="1" si="36"/>
        <v>-943485.60619289381</v>
      </c>
      <c r="AX85" s="869">
        <f t="shared" ca="1" si="57"/>
        <v>-49657.137168047047</v>
      </c>
      <c r="AY85" s="869">
        <f t="shared" ca="1" si="37"/>
        <v>-993142.74336094083</v>
      </c>
      <c r="AZ85" s="867">
        <f t="shared" ca="1" si="38"/>
        <v>0</v>
      </c>
      <c r="BA85" s="161"/>
      <c r="BB85" s="867">
        <f t="shared" ca="1" si="39"/>
        <v>0</v>
      </c>
      <c r="BC85" s="867">
        <f t="shared" ca="1" si="4"/>
        <v>0</v>
      </c>
      <c r="BD85" s="658"/>
      <c r="BE85" s="867">
        <f t="shared" ca="1" si="40"/>
        <v>-943485.60619289381</v>
      </c>
      <c r="BF85" s="867">
        <f t="shared" ca="1" si="41"/>
        <v>-49657.137168047047</v>
      </c>
      <c r="BG85" s="867">
        <f t="shared" ca="1" si="42"/>
        <v>-993142.74336094083</v>
      </c>
      <c r="BI85" s="867">
        <f ca="1"/>
        <v>-993142.74336094095</v>
      </c>
      <c r="BJ85" s="867">
        <f ca="1"/>
        <v>-943485.60619289381</v>
      </c>
      <c r="BK85" s="867">
        <f ca="1"/>
        <v>-49657.137168047047</v>
      </c>
      <c r="BL85" s="867">
        <f t="shared" ca="1" si="43"/>
        <v>0</v>
      </c>
      <c r="BM85" s="867">
        <f t="shared" ca="1" si="44"/>
        <v>0</v>
      </c>
      <c r="BN85" s="867">
        <f t="shared" ca="1" si="45"/>
        <v>0</v>
      </c>
      <c r="BO85" s="867">
        <f t="shared" ca="1" si="46"/>
        <v>0</v>
      </c>
      <c r="BP85" s="867">
        <f t="shared" ca="1" si="47"/>
        <v>0</v>
      </c>
      <c r="BQ85" s="867">
        <f t="shared" ca="1" si="48"/>
        <v>0</v>
      </c>
      <c r="BR85" s="867">
        <f ca="1"/>
        <v>0</v>
      </c>
      <c r="BS85" s="867">
        <f ca="1"/>
        <v>0</v>
      </c>
      <c r="BT85" s="867">
        <f t="shared" ca="1" si="9"/>
        <v>-943485.60619289381</v>
      </c>
      <c r="BU85" s="867">
        <f t="shared" ca="1" si="49"/>
        <v>-49657.137168047047</v>
      </c>
      <c r="BV85" s="829">
        <f t="shared" ca="1" si="10"/>
        <v>-8.7311491370201111E-11</v>
      </c>
      <c r="BX85" s="867">
        <f ca="1"/>
        <v>-993142.74336094095</v>
      </c>
      <c r="BY85" s="867">
        <f t="shared" ca="1" si="50"/>
        <v>-993142.74336094083</v>
      </c>
      <c r="BZ85" s="867">
        <f t="shared" ca="1" si="51"/>
        <v>0</v>
      </c>
      <c r="CA85" s="867">
        <f t="shared" ca="1" si="52"/>
        <v>0</v>
      </c>
      <c r="CB85" s="867">
        <f t="shared" ca="1" si="53"/>
        <v>0</v>
      </c>
      <c r="CC85" s="867">
        <f t="shared" ca="1" si="54"/>
        <v>0</v>
      </c>
      <c r="CD85" s="867">
        <f t="shared" ca="1" si="55"/>
        <v>-993142.74336094083</v>
      </c>
    </row>
    <row r="86" spans="1:82" ht="17" thickTop="1" thickBot="1">
      <c r="A86" s="773">
        <f t="shared" si="5"/>
        <v>1</v>
      </c>
      <c r="B86" s="779"/>
      <c r="C86" s="572"/>
      <c r="D86" s="660">
        <v>39</v>
      </c>
      <c r="E86" s="661">
        <v>46447</v>
      </c>
      <c r="F86" s="862">
        <v>4</v>
      </c>
      <c r="G86" s="863">
        <f ca="1"/>
        <v>-993142.74336094095</v>
      </c>
      <c r="H86" s="961"/>
      <c r="I86" s="865">
        <f t="shared" ca="1" si="11"/>
        <v>110277222.6472581</v>
      </c>
      <c r="J86" s="864" cm="1">
        <f t="array" aca="1" ref="J86" ca="1">IF($G86=0,0,-MIN(0,G86*c_equity.LPshare))</f>
        <v>943485.60619289381</v>
      </c>
      <c r="K86" s="865" cm="1">
        <f t="array" aca="1" ref="K86" ca="1">I86*c_rate.Pref.MO</f>
        <v>709526.97096001077</v>
      </c>
      <c r="L86" s="865">
        <f t="shared" ca="1" si="12"/>
        <v>0</v>
      </c>
      <c r="M86" s="865">
        <f t="shared" ca="1" si="13"/>
        <v>111930235.224411</v>
      </c>
      <c r="N86" s="865">
        <f t="shared" ca="1" si="14"/>
        <v>-943485.60619289381</v>
      </c>
      <c r="O86" s="864" cm="1">
        <f t="array" aca="1" ref="O86" ca="1">IF(N86=0,0,IF(G86&lt;0,N86/c_equity.LPshare*i_equity.GPshare,L86/c_equity.LPshare*i_equity.GPshare))</f>
        <v>-49657.137168047047</v>
      </c>
      <c r="P86" s="865">
        <f t="shared" ca="1" si="15"/>
        <v>-993142.74336094083</v>
      </c>
      <c r="Q86" s="865">
        <f t="shared" ca="1" si="16"/>
        <v>0</v>
      </c>
      <c r="R86" s="161"/>
      <c r="S86" s="867">
        <f t="shared" ca="1" si="17"/>
        <v>114789246.09391941</v>
      </c>
      <c r="T86" s="867" cm="1">
        <f t="array" aca="1" ref="T86" ca="1">IF($G86=0,0,-MIN(0,$G86*c_equity.LPshare))</f>
        <v>943485.60619289381</v>
      </c>
      <c r="U86" s="869" cm="1">
        <f t="array" aca="1" ref="U86" ca="1">IF($D86=0,0,S86*c_rate.Hurdle1.MO)</f>
        <v>915345.56808090629</v>
      </c>
      <c r="V86" s="867">
        <f t="shared" ca="1" si="18"/>
        <v>0</v>
      </c>
      <c r="W86" s="867">
        <f t="shared" ca="1" si="19"/>
        <v>0</v>
      </c>
      <c r="X86" s="869">
        <f t="shared" ca="1" si="20"/>
        <v>116648077.2681932</v>
      </c>
      <c r="Y86" s="869">
        <f t="shared" ca="1" si="21"/>
        <v>-943485.60619289381</v>
      </c>
      <c r="Z86" s="869">
        <f t="shared" ca="1" si="22"/>
        <v>-49657.137168047047</v>
      </c>
      <c r="AA86" s="869">
        <f t="shared" ca="1" si="23"/>
        <v>-993142.74336094083</v>
      </c>
      <c r="AB86" s="867">
        <f t="shared" ca="1" si="24"/>
        <v>0</v>
      </c>
      <c r="AC86" s="161"/>
      <c r="AD86" s="869">
        <f t="shared" ca="1" si="25"/>
        <v>119399651.12184744</v>
      </c>
      <c r="AE86" s="867" cm="1">
        <f t="array" aca="1" ref="AE86" ca="1">IF($G86=0,0,-MIN(0,$G86*c_equity.LPshare))</f>
        <v>943485.60619289381</v>
      </c>
      <c r="AF86" s="869" cm="1">
        <f t="array" aca="1" ref="AF86" ca="1">IF($D86=0,0,AD86*(c_rate.Hurdle2.MO))</f>
        <v>1132958.5659566666</v>
      </c>
      <c r="AG86" s="869">
        <f t="shared" ca="1" si="26"/>
        <v>0</v>
      </c>
      <c r="AH86" s="869">
        <f t="shared" ca="1" si="27"/>
        <v>0</v>
      </c>
      <c r="AI86" s="869">
        <f t="shared" ca="1" si="28"/>
        <v>121476095.29399699</v>
      </c>
      <c r="AJ86" s="868">
        <f t="shared" ca="1" si="6"/>
        <v>-943485.60619289381</v>
      </c>
      <c r="AK86" s="867">
        <f t="shared" ca="1" si="29"/>
        <v>-943485.60619289381</v>
      </c>
      <c r="AL86" s="869">
        <f t="shared" ca="1" si="56"/>
        <v>-49657.137168047047</v>
      </c>
      <c r="AM86" s="869">
        <f t="shared" ca="1" si="30"/>
        <v>-993142.74336094083</v>
      </c>
      <c r="AN86" s="867">
        <f t="shared" ca="1" si="3"/>
        <v>0</v>
      </c>
      <c r="AO86" s="161"/>
      <c r="AP86" s="869">
        <f t="shared" ca="1" si="31"/>
        <v>124108661.83100948</v>
      </c>
      <c r="AQ86" s="867" cm="1">
        <f t="array" aca="1" ref="AQ86" ca="1">IF($G86=0,0,-MIN(0,$G86*c_equity.LPshare))</f>
        <v>943485.60619289381</v>
      </c>
      <c r="AR86" s="869" cm="1">
        <f t="array" aca="1" ref="AR86" ca="1">IF($D86=0,0,AP86*(c_rate.Hurdle3.MO))</f>
        <v>1362570.6239767959</v>
      </c>
      <c r="AS86" s="869">
        <f t="shared" ca="1" si="32"/>
        <v>0</v>
      </c>
      <c r="AT86" s="869">
        <f t="shared" ca="1" si="33"/>
        <v>0</v>
      </c>
      <c r="AU86" s="869">
        <f t="shared" ca="1" si="34"/>
        <v>126414718.06117916</v>
      </c>
      <c r="AV86" s="870">
        <f t="shared" ca="1" si="35"/>
        <v>-943485.60619289381</v>
      </c>
      <c r="AW86" s="867">
        <f t="shared" ca="1" si="36"/>
        <v>-943485.60619289381</v>
      </c>
      <c r="AX86" s="869">
        <f t="shared" ca="1" si="57"/>
        <v>-49657.137168047047</v>
      </c>
      <c r="AY86" s="869">
        <f t="shared" ca="1" si="37"/>
        <v>-993142.74336094083</v>
      </c>
      <c r="AZ86" s="867">
        <f t="shared" ca="1" si="38"/>
        <v>0</v>
      </c>
      <c r="BA86" s="161"/>
      <c r="BB86" s="867">
        <f t="shared" ca="1" si="39"/>
        <v>0</v>
      </c>
      <c r="BC86" s="867">
        <f t="shared" ca="1" si="4"/>
        <v>0</v>
      </c>
      <c r="BD86" s="658"/>
      <c r="BE86" s="867">
        <f t="shared" ca="1" si="40"/>
        <v>-943485.60619289381</v>
      </c>
      <c r="BF86" s="867">
        <f t="shared" ca="1" si="41"/>
        <v>-49657.137168047047</v>
      </c>
      <c r="BG86" s="867">
        <f t="shared" ca="1" si="42"/>
        <v>-993142.74336094083</v>
      </c>
      <c r="BI86" s="867">
        <f ca="1"/>
        <v>-993142.74336094095</v>
      </c>
      <c r="BJ86" s="867">
        <f ca="1"/>
        <v>-943485.60619289381</v>
      </c>
      <c r="BK86" s="867">
        <f ca="1"/>
        <v>-49657.137168047047</v>
      </c>
      <c r="BL86" s="867">
        <f t="shared" ca="1" si="43"/>
        <v>0</v>
      </c>
      <c r="BM86" s="867">
        <f t="shared" ca="1" si="44"/>
        <v>0</v>
      </c>
      <c r="BN86" s="867">
        <f t="shared" ca="1" si="45"/>
        <v>0</v>
      </c>
      <c r="BO86" s="867">
        <f t="shared" ca="1" si="46"/>
        <v>0</v>
      </c>
      <c r="BP86" s="867">
        <f t="shared" ca="1" si="47"/>
        <v>0</v>
      </c>
      <c r="BQ86" s="867">
        <f t="shared" ca="1" si="48"/>
        <v>0</v>
      </c>
      <c r="BR86" s="867">
        <f ca="1"/>
        <v>0</v>
      </c>
      <c r="BS86" s="867">
        <f ca="1"/>
        <v>0</v>
      </c>
      <c r="BT86" s="867">
        <f t="shared" ca="1" si="9"/>
        <v>-943485.60619289381</v>
      </c>
      <c r="BU86" s="867">
        <f t="shared" ca="1" si="49"/>
        <v>-49657.137168047047</v>
      </c>
      <c r="BV86" s="829">
        <f t="shared" ca="1" si="10"/>
        <v>-8.7311491370201111E-11</v>
      </c>
      <c r="BX86" s="867">
        <f ca="1"/>
        <v>-993142.74336094095</v>
      </c>
      <c r="BY86" s="867">
        <f t="shared" ca="1" si="50"/>
        <v>-993142.74336094083</v>
      </c>
      <c r="BZ86" s="867">
        <f t="shared" ca="1" si="51"/>
        <v>0</v>
      </c>
      <c r="CA86" s="867">
        <f t="shared" ca="1" si="52"/>
        <v>0</v>
      </c>
      <c r="CB86" s="867">
        <f t="shared" ca="1" si="53"/>
        <v>0</v>
      </c>
      <c r="CC86" s="867">
        <f t="shared" ca="1" si="54"/>
        <v>0</v>
      </c>
      <c r="CD86" s="867">
        <f t="shared" ca="1" si="55"/>
        <v>-993142.74336094083</v>
      </c>
    </row>
    <row r="87" spans="1:82" ht="17" thickTop="1" thickBot="1">
      <c r="A87" s="773">
        <f t="shared" si="5"/>
        <v>1</v>
      </c>
      <c r="B87" s="779"/>
      <c r="C87" s="572"/>
      <c r="D87" s="660">
        <v>40</v>
      </c>
      <c r="E87" s="661">
        <v>46478</v>
      </c>
      <c r="F87" s="862">
        <v>4</v>
      </c>
      <c r="G87" s="863">
        <f ca="1"/>
        <v>-993142.74336094095</v>
      </c>
      <c r="H87" s="961"/>
      <c r="I87" s="865">
        <f t="shared" ca="1" si="11"/>
        <v>111930235.224411</v>
      </c>
      <c r="J87" s="864" cm="1">
        <f t="array" aca="1" ref="J87" ca="1">IF($G87=0,0,-MIN(0,G87*c_equity.LPshare))</f>
        <v>943485.60619289381</v>
      </c>
      <c r="K87" s="865" cm="1">
        <f t="array" aca="1" ref="K87" ca="1">I87*c_rate.Pref.MO</f>
        <v>720162.50365362689</v>
      </c>
      <c r="L87" s="865">
        <f t="shared" ca="1" si="12"/>
        <v>0</v>
      </c>
      <c r="M87" s="865">
        <f t="shared" ca="1" si="13"/>
        <v>113593883.33425751</v>
      </c>
      <c r="N87" s="865">
        <f t="shared" ca="1" si="14"/>
        <v>-943485.60619289381</v>
      </c>
      <c r="O87" s="864" cm="1">
        <f t="array" aca="1" ref="O87" ca="1">IF(N87=0,0,IF(G87&lt;0,N87/c_equity.LPshare*i_equity.GPshare,L87/c_equity.LPshare*i_equity.GPshare))</f>
        <v>-49657.137168047047</v>
      </c>
      <c r="P87" s="865">
        <f t="shared" ca="1" si="15"/>
        <v>-993142.74336094083</v>
      </c>
      <c r="Q87" s="865">
        <f t="shared" ca="1" si="16"/>
        <v>0</v>
      </c>
      <c r="R87" s="161"/>
      <c r="S87" s="867">
        <f t="shared" ca="1" si="17"/>
        <v>116648077.2681932</v>
      </c>
      <c r="T87" s="867" cm="1">
        <f t="array" aca="1" ref="T87" ca="1">IF($G87=0,0,-MIN(0,$G87*c_equity.LPshare))</f>
        <v>943485.60619289381</v>
      </c>
      <c r="U87" s="869" cm="1">
        <f t="array" aca="1" ref="U87" ca="1">IF($D87=0,0,S87*c_rate.Hurdle1.MO)</f>
        <v>930168.14889818954</v>
      </c>
      <c r="V87" s="867">
        <f t="shared" ca="1" si="18"/>
        <v>0</v>
      </c>
      <c r="W87" s="867">
        <f t="shared" ca="1" si="19"/>
        <v>0</v>
      </c>
      <c r="X87" s="869">
        <f t="shared" ca="1" si="20"/>
        <v>118521731.02328427</v>
      </c>
      <c r="Y87" s="869">
        <f t="shared" ca="1" si="21"/>
        <v>-943485.60619289381</v>
      </c>
      <c r="Z87" s="869">
        <f t="shared" ca="1" si="22"/>
        <v>-49657.137168047047</v>
      </c>
      <c r="AA87" s="869">
        <f t="shared" ca="1" si="23"/>
        <v>-993142.74336094083</v>
      </c>
      <c r="AB87" s="867">
        <f t="shared" ca="1" si="24"/>
        <v>0</v>
      </c>
      <c r="AC87" s="161"/>
      <c r="AD87" s="869">
        <f t="shared" ca="1" si="25"/>
        <v>121476095.29399699</v>
      </c>
      <c r="AE87" s="867" cm="1">
        <f t="array" aca="1" ref="AE87" ca="1">IF($G87=0,0,-MIN(0,$G87*c_equity.LPshare))</f>
        <v>943485.60619289381</v>
      </c>
      <c r="AF87" s="869" cm="1">
        <f t="array" aca="1" ref="AF87" ca="1">IF($D87=0,0,AD87*(c_rate.Hurdle2.MO))</f>
        <v>1152661.5147464154</v>
      </c>
      <c r="AG87" s="869">
        <f t="shared" ca="1" si="26"/>
        <v>0</v>
      </c>
      <c r="AH87" s="869">
        <f t="shared" ca="1" si="27"/>
        <v>0</v>
      </c>
      <c r="AI87" s="869">
        <f t="shared" ca="1" si="28"/>
        <v>123572242.41493629</v>
      </c>
      <c r="AJ87" s="868">
        <f t="shared" ca="1" si="6"/>
        <v>-943485.60619289381</v>
      </c>
      <c r="AK87" s="867">
        <f t="shared" ca="1" si="29"/>
        <v>-943485.60619289381</v>
      </c>
      <c r="AL87" s="869">
        <f t="shared" ca="1" si="56"/>
        <v>-49657.137168047047</v>
      </c>
      <c r="AM87" s="869">
        <f t="shared" ca="1" si="30"/>
        <v>-993142.74336094083</v>
      </c>
      <c r="AN87" s="867">
        <f t="shared" ca="1" si="3"/>
        <v>0</v>
      </c>
      <c r="AO87" s="161"/>
      <c r="AP87" s="869">
        <f t="shared" ca="1" si="31"/>
        <v>126414718.06117916</v>
      </c>
      <c r="AQ87" s="867" cm="1">
        <f t="array" aca="1" ref="AQ87" ca="1">IF($G87=0,0,-MIN(0,$G87*c_equity.LPshare))</f>
        <v>943485.60619289381</v>
      </c>
      <c r="AR87" s="869" cm="1">
        <f t="array" aca="1" ref="AR87" ca="1">IF($D87=0,0,AP87*(c_rate.Hurdle3.MO))</f>
        <v>1387888.473916604</v>
      </c>
      <c r="AS87" s="869">
        <f t="shared" ca="1" si="32"/>
        <v>0</v>
      </c>
      <c r="AT87" s="869">
        <f t="shared" ca="1" si="33"/>
        <v>0</v>
      </c>
      <c r="AU87" s="869">
        <f t="shared" ca="1" si="34"/>
        <v>128746092.14128865</v>
      </c>
      <c r="AV87" s="870">
        <f t="shared" ca="1" si="35"/>
        <v>-943485.60619289381</v>
      </c>
      <c r="AW87" s="867">
        <f t="shared" ca="1" si="36"/>
        <v>-943485.60619289381</v>
      </c>
      <c r="AX87" s="869">
        <f t="shared" ca="1" si="57"/>
        <v>-49657.137168047047</v>
      </c>
      <c r="AY87" s="869">
        <f t="shared" ca="1" si="37"/>
        <v>-993142.74336094083</v>
      </c>
      <c r="AZ87" s="867">
        <f t="shared" ca="1" si="38"/>
        <v>0</v>
      </c>
      <c r="BA87" s="161"/>
      <c r="BB87" s="867">
        <f t="shared" ca="1" si="39"/>
        <v>0</v>
      </c>
      <c r="BC87" s="867">
        <f t="shared" ca="1" si="4"/>
        <v>0</v>
      </c>
      <c r="BD87" s="658"/>
      <c r="BE87" s="867">
        <f t="shared" ca="1" si="40"/>
        <v>-943485.60619289381</v>
      </c>
      <c r="BF87" s="867">
        <f t="shared" ca="1" si="41"/>
        <v>-49657.137168047047</v>
      </c>
      <c r="BG87" s="867">
        <f t="shared" ca="1" si="42"/>
        <v>-993142.74336094083</v>
      </c>
      <c r="BI87" s="867">
        <f ca="1"/>
        <v>-993142.74336094095</v>
      </c>
      <c r="BJ87" s="867">
        <f ca="1"/>
        <v>-943485.60619289381</v>
      </c>
      <c r="BK87" s="867">
        <f ca="1"/>
        <v>-49657.137168047047</v>
      </c>
      <c r="BL87" s="867">
        <f t="shared" ca="1" si="43"/>
        <v>0</v>
      </c>
      <c r="BM87" s="867">
        <f t="shared" ca="1" si="44"/>
        <v>0</v>
      </c>
      <c r="BN87" s="867">
        <f t="shared" ca="1" si="45"/>
        <v>0</v>
      </c>
      <c r="BO87" s="867">
        <f t="shared" ca="1" si="46"/>
        <v>0</v>
      </c>
      <c r="BP87" s="867">
        <f t="shared" ca="1" si="47"/>
        <v>0</v>
      </c>
      <c r="BQ87" s="867">
        <f t="shared" ca="1" si="48"/>
        <v>0</v>
      </c>
      <c r="BR87" s="867">
        <f ca="1"/>
        <v>0</v>
      </c>
      <c r="BS87" s="867">
        <f ca="1"/>
        <v>0</v>
      </c>
      <c r="BT87" s="867">
        <f t="shared" ca="1" si="9"/>
        <v>-943485.60619289381</v>
      </c>
      <c r="BU87" s="867">
        <f t="shared" ca="1" si="49"/>
        <v>-49657.137168047047</v>
      </c>
      <c r="BV87" s="829">
        <f t="shared" ca="1" si="10"/>
        <v>-8.7311491370201111E-11</v>
      </c>
      <c r="BX87" s="867">
        <f ca="1"/>
        <v>-993142.74336094095</v>
      </c>
      <c r="BY87" s="867">
        <f t="shared" ca="1" si="50"/>
        <v>-993142.74336094083</v>
      </c>
      <c r="BZ87" s="867">
        <f t="shared" ca="1" si="51"/>
        <v>0</v>
      </c>
      <c r="CA87" s="867">
        <f t="shared" ca="1" si="52"/>
        <v>0</v>
      </c>
      <c r="CB87" s="867">
        <f t="shared" ca="1" si="53"/>
        <v>0</v>
      </c>
      <c r="CC87" s="867">
        <f t="shared" ca="1" si="54"/>
        <v>0</v>
      </c>
      <c r="CD87" s="867">
        <f t="shared" ca="1" si="55"/>
        <v>-993142.74336094083</v>
      </c>
    </row>
    <row r="88" spans="1:82" ht="17" thickTop="1" thickBot="1">
      <c r="A88" s="773">
        <f t="shared" si="5"/>
        <v>1</v>
      </c>
      <c r="B88" s="779"/>
      <c r="C88" s="572"/>
      <c r="D88" s="660">
        <v>41</v>
      </c>
      <c r="E88" s="661">
        <v>46508</v>
      </c>
      <c r="F88" s="862">
        <v>4</v>
      </c>
      <c r="G88" s="863">
        <f ca="1"/>
        <v>-993142.74336094095</v>
      </c>
      <c r="H88" s="961"/>
      <c r="I88" s="865">
        <f t="shared" ca="1" si="11"/>
        <v>113593883.33425751</v>
      </c>
      <c r="J88" s="864" cm="1">
        <f t="array" aca="1" ref="J88" ca="1">IF($G88=0,0,-MIN(0,G88*c_equity.LPshare))</f>
        <v>943485.60619289381</v>
      </c>
      <c r="K88" s="865" cm="1">
        <f t="array" aca="1" ref="K88" ca="1">I88*c_rate.Pref.MO</f>
        <v>730866.46568482975</v>
      </c>
      <c r="L88" s="865">
        <f t="shared" ca="1" si="12"/>
        <v>0</v>
      </c>
      <c r="M88" s="865">
        <f t="shared" ca="1" si="13"/>
        <v>115268235.40613523</v>
      </c>
      <c r="N88" s="865">
        <f t="shared" ca="1" si="14"/>
        <v>-943485.60619289381</v>
      </c>
      <c r="O88" s="864" cm="1">
        <f t="array" aca="1" ref="O88" ca="1">IF(N88=0,0,IF(G88&lt;0,N88/c_equity.LPshare*i_equity.GPshare,L88/c_equity.LPshare*i_equity.GPshare))</f>
        <v>-49657.137168047047</v>
      </c>
      <c r="P88" s="865">
        <f t="shared" ca="1" si="15"/>
        <v>-993142.74336094083</v>
      </c>
      <c r="Q88" s="865">
        <f t="shared" ca="1" si="16"/>
        <v>0</v>
      </c>
      <c r="R88" s="161"/>
      <c r="S88" s="867">
        <f t="shared" ca="1" si="17"/>
        <v>118521731.02328427</v>
      </c>
      <c r="T88" s="867" cm="1">
        <f t="array" aca="1" ref="T88" ca="1">IF($G88=0,0,-MIN(0,$G88*c_equity.LPshare))</f>
        <v>943485.60619289381</v>
      </c>
      <c r="U88" s="869" cm="1">
        <f t="array" aca="1" ref="U88" ca="1">IF($D88=0,0,S88*c_rate.Hurdle1.MO)</f>
        <v>945108.92705642863</v>
      </c>
      <c r="V88" s="867">
        <f t="shared" ca="1" si="18"/>
        <v>0</v>
      </c>
      <c r="W88" s="867">
        <f t="shared" ca="1" si="19"/>
        <v>0</v>
      </c>
      <c r="X88" s="869">
        <f t="shared" ca="1" si="20"/>
        <v>120410325.55653359</v>
      </c>
      <c r="Y88" s="869">
        <f t="shared" ca="1" si="21"/>
        <v>-943485.60619289381</v>
      </c>
      <c r="Z88" s="869">
        <f t="shared" ca="1" si="22"/>
        <v>-49657.137168047047</v>
      </c>
      <c r="AA88" s="869">
        <f t="shared" ca="1" si="23"/>
        <v>-993142.74336094083</v>
      </c>
      <c r="AB88" s="867">
        <f t="shared" ca="1" si="24"/>
        <v>0</v>
      </c>
      <c r="AC88" s="161"/>
      <c r="AD88" s="869">
        <f t="shared" ca="1" si="25"/>
        <v>123572242.41493629</v>
      </c>
      <c r="AE88" s="867" cm="1">
        <f t="array" aca="1" ref="AE88" ca="1">IF($G88=0,0,-MIN(0,$G88*c_equity.LPshare))</f>
        <v>943485.60619289381</v>
      </c>
      <c r="AF88" s="869" cm="1">
        <f t="array" aca="1" ref="AF88" ca="1">IF($D88=0,0,AD88*(c_rate.Hurdle2.MO))</f>
        <v>1172551.4207374309</v>
      </c>
      <c r="AG88" s="869">
        <f t="shared" ca="1" si="26"/>
        <v>0</v>
      </c>
      <c r="AH88" s="869">
        <f t="shared" ca="1" si="27"/>
        <v>0</v>
      </c>
      <c r="AI88" s="869">
        <f t="shared" ca="1" si="28"/>
        <v>125688279.44186661</v>
      </c>
      <c r="AJ88" s="868">
        <f t="shared" ca="1" si="6"/>
        <v>-943485.60619289381</v>
      </c>
      <c r="AK88" s="867">
        <f t="shared" ca="1" si="29"/>
        <v>-943485.60619289381</v>
      </c>
      <c r="AL88" s="869">
        <f t="shared" ca="1" si="56"/>
        <v>-49657.137168047047</v>
      </c>
      <c r="AM88" s="869">
        <f t="shared" ca="1" si="30"/>
        <v>-993142.74336094083</v>
      </c>
      <c r="AN88" s="867">
        <f t="shared" ca="1" si="3"/>
        <v>0</v>
      </c>
      <c r="AO88" s="161"/>
      <c r="AP88" s="869">
        <f t="shared" ca="1" si="31"/>
        <v>128746092.14128865</v>
      </c>
      <c r="AQ88" s="867" cm="1">
        <f t="array" aca="1" ref="AQ88" ca="1">IF($G88=0,0,-MIN(0,$G88*c_equity.LPshare))</f>
        <v>943485.60619289381</v>
      </c>
      <c r="AR88" s="869" cm="1">
        <f t="array" aca="1" ref="AR88" ca="1">IF($D88=0,0,AP88*(c_rate.Hurdle3.MO))</f>
        <v>1413484.2847825978</v>
      </c>
      <c r="AS88" s="869">
        <f t="shared" ca="1" si="32"/>
        <v>0</v>
      </c>
      <c r="AT88" s="869">
        <f t="shared" ca="1" si="33"/>
        <v>0</v>
      </c>
      <c r="AU88" s="869">
        <f t="shared" ca="1" si="34"/>
        <v>131103062.03226414</v>
      </c>
      <c r="AV88" s="870">
        <f t="shared" ca="1" si="35"/>
        <v>-943485.60619289381</v>
      </c>
      <c r="AW88" s="867">
        <f t="shared" ca="1" si="36"/>
        <v>-943485.60619289381</v>
      </c>
      <c r="AX88" s="869">
        <f t="shared" ca="1" si="57"/>
        <v>-49657.137168047047</v>
      </c>
      <c r="AY88" s="869">
        <f t="shared" ca="1" si="37"/>
        <v>-993142.74336094083</v>
      </c>
      <c r="AZ88" s="867">
        <f t="shared" ca="1" si="38"/>
        <v>0</v>
      </c>
      <c r="BA88" s="161"/>
      <c r="BB88" s="867">
        <f t="shared" ca="1" si="39"/>
        <v>0</v>
      </c>
      <c r="BC88" s="867">
        <f t="shared" ca="1" si="4"/>
        <v>0</v>
      </c>
      <c r="BD88" s="658"/>
      <c r="BE88" s="867">
        <f t="shared" ca="1" si="40"/>
        <v>-943485.60619289381</v>
      </c>
      <c r="BF88" s="867">
        <f t="shared" ca="1" si="41"/>
        <v>-49657.137168047047</v>
      </c>
      <c r="BG88" s="867">
        <f t="shared" ca="1" si="42"/>
        <v>-993142.74336094083</v>
      </c>
      <c r="BI88" s="867">
        <f ca="1"/>
        <v>-993142.74336094095</v>
      </c>
      <c r="BJ88" s="867">
        <f ca="1"/>
        <v>-943485.60619289381</v>
      </c>
      <c r="BK88" s="867">
        <f ca="1"/>
        <v>-49657.137168047047</v>
      </c>
      <c r="BL88" s="867">
        <f t="shared" ca="1" si="43"/>
        <v>0</v>
      </c>
      <c r="BM88" s="867">
        <f t="shared" ca="1" si="44"/>
        <v>0</v>
      </c>
      <c r="BN88" s="867">
        <f t="shared" ca="1" si="45"/>
        <v>0</v>
      </c>
      <c r="BO88" s="867">
        <f t="shared" ca="1" si="46"/>
        <v>0</v>
      </c>
      <c r="BP88" s="867">
        <f t="shared" ca="1" si="47"/>
        <v>0</v>
      </c>
      <c r="BQ88" s="867">
        <f t="shared" ca="1" si="48"/>
        <v>0</v>
      </c>
      <c r="BR88" s="867">
        <f ca="1"/>
        <v>0</v>
      </c>
      <c r="BS88" s="867">
        <f ca="1"/>
        <v>0</v>
      </c>
      <c r="BT88" s="867">
        <f t="shared" ca="1" si="9"/>
        <v>-943485.60619289381</v>
      </c>
      <c r="BU88" s="867">
        <f t="shared" ca="1" si="49"/>
        <v>-49657.137168047047</v>
      </c>
      <c r="BV88" s="829">
        <f t="shared" ca="1" si="10"/>
        <v>-8.7311491370201111E-11</v>
      </c>
      <c r="BX88" s="867">
        <f ca="1"/>
        <v>-993142.74336094095</v>
      </c>
      <c r="BY88" s="867">
        <f t="shared" ca="1" si="50"/>
        <v>-993142.74336094083</v>
      </c>
      <c r="BZ88" s="867">
        <f t="shared" ca="1" si="51"/>
        <v>0</v>
      </c>
      <c r="CA88" s="867">
        <f t="shared" ca="1" si="52"/>
        <v>0</v>
      </c>
      <c r="CB88" s="867">
        <f t="shared" ca="1" si="53"/>
        <v>0</v>
      </c>
      <c r="CC88" s="867">
        <f t="shared" ca="1" si="54"/>
        <v>0</v>
      </c>
      <c r="CD88" s="867">
        <f t="shared" ca="1" si="55"/>
        <v>-993142.74336094083</v>
      </c>
    </row>
    <row r="89" spans="1:82" ht="17" thickTop="1" thickBot="1">
      <c r="A89" s="773">
        <f t="shared" si="5"/>
        <v>1</v>
      </c>
      <c r="B89" s="779"/>
      <c r="C89" s="572"/>
      <c r="D89" s="660">
        <v>42</v>
      </c>
      <c r="E89" s="661">
        <v>46539</v>
      </c>
      <c r="F89" s="862">
        <v>4</v>
      </c>
      <c r="G89" s="863">
        <f ca="1"/>
        <v>46750162.17051471</v>
      </c>
      <c r="H89" s="961"/>
      <c r="I89" s="865">
        <f t="shared" ca="1" si="11"/>
        <v>115268235.40613523</v>
      </c>
      <c r="J89" s="864" cm="1">
        <f t="array" aca="1" ref="J89" ca="1">IF($G89=0,0,-MIN(0,G89*c_equity.LPshare))</f>
        <v>0</v>
      </c>
      <c r="K89" s="865" cm="1">
        <f t="array" aca="1" ref="K89" ca="1">I89*c_rate.Pref.MO</f>
        <v>741639.29733003757</v>
      </c>
      <c r="L89" s="865">
        <f t="shared" ca="1" si="12"/>
        <v>44412654.061988972</v>
      </c>
      <c r="M89" s="865">
        <f t="shared" ca="1" si="13"/>
        <v>71597220.641476303</v>
      </c>
      <c r="N89" s="865">
        <f t="shared" ca="1" si="14"/>
        <v>44412654.061988972</v>
      </c>
      <c r="O89" s="864" cm="1">
        <f t="array" aca="1" ref="O89" ca="1">IF(N89=0,0,IF(G89&lt;0,N89/c_equity.LPshare*i_equity.GPshare,L89/c_equity.LPshare*i_equity.GPshare))</f>
        <v>2337508.1085257358</v>
      </c>
      <c r="P89" s="865">
        <f t="shared" ca="1" si="15"/>
        <v>46750162.17051471</v>
      </c>
      <c r="Q89" s="865">
        <f t="shared" ca="1" si="16"/>
        <v>0</v>
      </c>
      <c r="R89" s="161"/>
      <c r="S89" s="867">
        <f t="shared" ca="1" si="17"/>
        <v>120410325.55653359</v>
      </c>
      <c r="T89" s="867" cm="1">
        <f t="array" aca="1" ref="T89" ca="1">IF($G89=0,0,-MIN(0,$G89*c_equity.LPshare))</f>
        <v>0</v>
      </c>
      <c r="U89" s="869" cm="1">
        <f t="array" aca="1" ref="U89" ca="1">IF($D89=0,0,S89*c_rate.Hurdle1.MO)</f>
        <v>960168.84507781861</v>
      </c>
      <c r="V89" s="867">
        <f t="shared" ca="1" si="18"/>
        <v>44412654.061988972</v>
      </c>
      <c r="W89" s="867">
        <f t="shared" ca="1" si="19"/>
        <v>0</v>
      </c>
      <c r="X89" s="869">
        <f t="shared" ca="1" si="20"/>
        <v>76957840.339622438</v>
      </c>
      <c r="Y89" s="869">
        <f t="shared" ca="1" si="21"/>
        <v>44412654.061988972</v>
      </c>
      <c r="Z89" s="869">
        <f t="shared" ca="1" si="22"/>
        <v>2337508.1085257358</v>
      </c>
      <c r="AA89" s="869">
        <f t="shared" ca="1" si="23"/>
        <v>46750162.17051471</v>
      </c>
      <c r="AB89" s="867">
        <f t="shared" ca="1" si="24"/>
        <v>0</v>
      </c>
      <c r="AC89" s="161"/>
      <c r="AD89" s="869">
        <f t="shared" ca="1" si="25"/>
        <v>125688279.44186661</v>
      </c>
      <c r="AE89" s="867" cm="1">
        <f t="array" aca="1" ref="AE89" ca="1">IF($G89=0,0,-MIN(0,$G89*c_equity.LPshare))</f>
        <v>0</v>
      </c>
      <c r="AF89" s="869" cm="1">
        <f t="array" aca="1" ref="AF89" ca="1">IF($D89=0,0,AD89*(c_rate.Hurdle2.MO))</f>
        <v>1192630.0579278832</v>
      </c>
      <c r="AG89" s="869">
        <f t="shared" ca="1" si="26"/>
        <v>44412654.061988972</v>
      </c>
      <c r="AH89" s="869">
        <f t="shared" ca="1" si="27"/>
        <v>0</v>
      </c>
      <c r="AI89" s="869">
        <f t="shared" ca="1" si="28"/>
        <v>82468255.437805504</v>
      </c>
      <c r="AJ89" s="868">
        <f t="shared" ca="1" si="6"/>
        <v>44412654.061988972</v>
      </c>
      <c r="AK89" s="867">
        <f t="shared" ca="1" si="29"/>
        <v>44412654.061988972</v>
      </c>
      <c r="AL89" s="869">
        <f t="shared" ca="1" si="56"/>
        <v>2337508.1085257358</v>
      </c>
      <c r="AM89" s="869">
        <f t="shared" ca="1" si="30"/>
        <v>46750162.17051471</v>
      </c>
      <c r="AN89" s="867">
        <f t="shared" ca="1" si="3"/>
        <v>0</v>
      </c>
      <c r="AO89" s="161"/>
      <c r="AP89" s="869">
        <f t="shared" ca="1" si="31"/>
        <v>131103062.03226414</v>
      </c>
      <c r="AQ89" s="867" cm="1">
        <f t="array" aca="1" ref="AQ89" ca="1">IF($G89=0,0,-MIN(0,$G89*c_equity.LPshare))</f>
        <v>0</v>
      </c>
      <c r="AR89" s="869" cm="1">
        <f t="array" aca="1" ref="AR89" ca="1">IF($D89=0,0,AP89*(c_rate.Hurdle3.MO))</f>
        <v>1439361.1082666342</v>
      </c>
      <c r="AS89" s="869">
        <f t="shared" ca="1" si="32"/>
        <v>44412654.061988972</v>
      </c>
      <c r="AT89" s="869">
        <f t="shared" ca="1" si="33"/>
        <v>0</v>
      </c>
      <c r="AU89" s="869">
        <f t="shared" ca="1" si="34"/>
        <v>88129769.078541815</v>
      </c>
      <c r="AV89" s="870">
        <f t="shared" ca="1" si="35"/>
        <v>44412654.061988972</v>
      </c>
      <c r="AW89" s="867">
        <f t="shared" ca="1" si="36"/>
        <v>44412654.061988972</v>
      </c>
      <c r="AX89" s="869">
        <f t="shared" ca="1" si="57"/>
        <v>2337508.1085257358</v>
      </c>
      <c r="AY89" s="869">
        <f t="shared" ca="1" si="37"/>
        <v>46750162.17051471</v>
      </c>
      <c r="AZ89" s="867">
        <f t="shared" ca="1" si="38"/>
        <v>0</v>
      </c>
      <c r="BA89" s="161"/>
      <c r="BB89" s="867">
        <f t="shared" ca="1" si="39"/>
        <v>0</v>
      </c>
      <c r="BC89" s="867">
        <f t="shared" ca="1" si="4"/>
        <v>0</v>
      </c>
      <c r="BD89" s="658"/>
      <c r="BE89" s="867">
        <f t="shared" ca="1" si="40"/>
        <v>44412654.061988972</v>
      </c>
      <c r="BF89" s="867">
        <f t="shared" ca="1" si="41"/>
        <v>2337508.1085257358</v>
      </c>
      <c r="BG89" s="867">
        <f t="shared" ca="1" si="42"/>
        <v>46750162.17051471</v>
      </c>
      <c r="BI89" s="867">
        <f ca="1"/>
        <v>46750162.17051471</v>
      </c>
      <c r="BJ89" s="867">
        <f ca="1"/>
        <v>44412654.061988972</v>
      </c>
      <c r="BK89" s="867">
        <f ca="1"/>
        <v>2337508.1085257358</v>
      </c>
      <c r="BL89" s="867">
        <f t="shared" ca="1" si="43"/>
        <v>0</v>
      </c>
      <c r="BM89" s="867">
        <f t="shared" ca="1" si="44"/>
        <v>0</v>
      </c>
      <c r="BN89" s="867">
        <f t="shared" ca="1" si="45"/>
        <v>0</v>
      </c>
      <c r="BO89" s="867">
        <f t="shared" ca="1" si="46"/>
        <v>0</v>
      </c>
      <c r="BP89" s="867">
        <f t="shared" ca="1" si="47"/>
        <v>0</v>
      </c>
      <c r="BQ89" s="867">
        <f t="shared" ca="1" si="48"/>
        <v>0</v>
      </c>
      <c r="BR89" s="867">
        <f ca="1"/>
        <v>0</v>
      </c>
      <c r="BS89" s="867">
        <f ca="1"/>
        <v>0</v>
      </c>
      <c r="BT89" s="867">
        <f t="shared" ca="1" si="9"/>
        <v>44412654.061988972</v>
      </c>
      <c r="BU89" s="867">
        <f t="shared" ca="1" si="49"/>
        <v>2337508.1085257358</v>
      </c>
      <c r="BV89" s="829">
        <f t="shared" ca="1" si="10"/>
        <v>0</v>
      </c>
      <c r="BX89" s="867">
        <f ca="1"/>
        <v>46750162.17051471</v>
      </c>
      <c r="BY89" s="867">
        <f t="shared" ca="1" si="50"/>
        <v>46750162.17051471</v>
      </c>
      <c r="BZ89" s="867">
        <f t="shared" ca="1" si="51"/>
        <v>0</v>
      </c>
      <c r="CA89" s="867">
        <f t="shared" ca="1" si="52"/>
        <v>0</v>
      </c>
      <c r="CB89" s="867">
        <f t="shared" ca="1" si="53"/>
        <v>0</v>
      </c>
      <c r="CC89" s="867">
        <f t="shared" ca="1" si="54"/>
        <v>0</v>
      </c>
      <c r="CD89" s="867">
        <f t="shared" ca="1" si="55"/>
        <v>46750162.17051471</v>
      </c>
    </row>
    <row r="90" spans="1:82" ht="17" thickTop="1" thickBot="1">
      <c r="A90" s="773">
        <f t="shared" si="5"/>
        <v>1</v>
      </c>
      <c r="B90" s="779"/>
      <c r="C90" s="572"/>
      <c r="D90" s="660">
        <v>43</v>
      </c>
      <c r="E90" s="661">
        <v>46569</v>
      </c>
      <c r="F90" s="862">
        <v>4</v>
      </c>
      <c r="G90" s="863">
        <f ca="1"/>
        <v>-522556.4506592371</v>
      </c>
      <c r="H90" s="961"/>
      <c r="I90" s="865">
        <f t="shared" ca="1" si="11"/>
        <v>71597220.641476303</v>
      </c>
      <c r="J90" s="864" cm="1">
        <f t="array" aca="1" ref="J90" ca="1">IF($G90=0,0,-MIN(0,G90*c_equity.LPshare))</f>
        <v>496428.6281262752</v>
      </c>
      <c r="K90" s="865" cm="1">
        <f t="array" aca="1" ref="K90" ca="1">I90*c_rate.Pref.MO</f>
        <v>460658.67339981766</v>
      </c>
      <c r="L90" s="865">
        <f t="shared" ca="1" si="12"/>
        <v>0</v>
      </c>
      <c r="M90" s="865">
        <f t="shared" ca="1" si="13"/>
        <v>72554307.943002403</v>
      </c>
      <c r="N90" s="865">
        <f t="shared" ca="1" si="14"/>
        <v>-496428.6281262752</v>
      </c>
      <c r="O90" s="864" cm="1">
        <f t="array" aca="1" ref="O90" ca="1">IF(N90=0,0,IF(G90&lt;0,N90/c_equity.LPshare*i_equity.GPshare,L90/c_equity.LPshare*i_equity.GPshare))</f>
        <v>-26127.822532961858</v>
      </c>
      <c r="P90" s="865">
        <f t="shared" ca="1" si="15"/>
        <v>-522556.45065923705</v>
      </c>
      <c r="Q90" s="865">
        <f t="shared" ca="1" si="16"/>
        <v>0</v>
      </c>
      <c r="R90" s="161"/>
      <c r="S90" s="867">
        <f t="shared" ca="1" si="17"/>
        <v>76957840.339622438</v>
      </c>
      <c r="T90" s="867" cm="1">
        <f t="array" aca="1" ref="T90" ca="1">IF($G90=0,0,-MIN(0,$G90*c_equity.LPshare))</f>
        <v>496428.6281262752</v>
      </c>
      <c r="U90" s="869" cm="1">
        <f t="array" aca="1" ref="U90" ca="1">IF($D90=0,0,S90*c_rate.Hurdle1.MO)</f>
        <v>613672.62597330427</v>
      </c>
      <c r="V90" s="867">
        <f t="shared" ca="1" si="18"/>
        <v>0</v>
      </c>
      <c r="W90" s="867">
        <f t="shared" ca="1" si="19"/>
        <v>0</v>
      </c>
      <c r="X90" s="869">
        <f t="shared" ca="1" si="20"/>
        <v>78067941.593722016</v>
      </c>
      <c r="Y90" s="869">
        <f t="shared" ca="1" si="21"/>
        <v>-496428.6281262752</v>
      </c>
      <c r="Z90" s="869">
        <f t="shared" ca="1" si="22"/>
        <v>-26127.822532961858</v>
      </c>
      <c r="AA90" s="869">
        <f t="shared" ca="1" si="23"/>
        <v>-522556.45065923705</v>
      </c>
      <c r="AB90" s="867">
        <f t="shared" ca="1" si="24"/>
        <v>0</v>
      </c>
      <c r="AC90" s="161"/>
      <c r="AD90" s="869">
        <f t="shared" ca="1" si="25"/>
        <v>82468255.437805504</v>
      </c>
      <c r="AE90" s="867" cm="1">
        <f t="array" aca="1" ref="AE90" ca="1">IF($G90=0,0,-MIN(0,$G90*c_equity.LPshare))</f>
        <v>496428.6281262752</v>
      </c>
      <c r="AF90" s="869" cm="1">
        <f t="array" aca="1" ref="AF90" ca="1">IF($D90=0,0,AD90*(c_rate.Hurdle2.MO))</f>
        <v>782524.19952563872</v>
      </c>
      <c r="AG90" s="869">
        <f t="shared" ca="1" si="26"/>
        <v>0</v>
      </c>
      <c r="AH90" s="869">
        <f t="shared" ca="1" si="27"/>
        <v>0</v>
      </c>
      <c r="AI90" s="869">
        <f t="shared" ca="1" si="28"/>
        <v>83747208.265457422</v>
      </c>
      <c r="AJ90" s="868">
        <f t="shared" ca="1" si="6"/>
        <v>-496428.6281262752</v>
      </c>
      <c r="AK90" s="867">
        <f t="shared" ca="1" si="29"/>
        <v>-496428.6281262752</v>
      </c>
      <c r="AL90" s="869">
        <f t="shared" ca="1" si="56"/>
        <v>-26127.822532961858</v>
      </c>
      <c r="AM90" s="869">
        <f t="shared" ca="1" si="30"/>
        <v>-522556.45065923705</v>
      </c>
      <c r="AN90" s="867">
        <f t="shared" ca="1" si="3"/>
        <v>0</v>
      </c>
      <c r="AO90" s="161"/>
      <c r="AP90" s="869">
        <f t="shared" ca="1" si="31"/>
        <v>88129769.078541815</v>
      </c>
      <c r="AQ90" s="867" cm="1">
        <f t="array" aca="1" ref="AQ90" ca="1">IF($G90=0,0,-MIN(0,$G90*c_equity.LPshare))</f>
        <v>496428.6281262752</v>
      </c>
      <c r="AR90" s="869" cm="1">
        <f t="array" aca="1" ref="AR90" ca="1">IF($D90=0,0,AP90*(c_rate.Hurdle3.MO))</f>
        <v>967563.68711628474</v>
      </c>
      <c r="AS90" s="869">
        <f t="shared" ca="1" si="32"/>
        <v>0</v>
      </c>
      <c r="AT90" s="869">
        <f t="shared" ca="1" si="33"/>
        <v>0</v>
      </c>
      <c r="AU90" s="869">
        <f t="shared" ca="1" si="34"/>
        <v>89593761.393784374</v>
      </c>
      <c r="AV90" s="870">
        <f t="shared" ca="1" si="35"/>
        <v>-496428.6281262752</v>
      </c>
      <c r="AW90" s="867">
        <f t="shared" ca="1" si="36"/>
        <v>-496428.6281262752</v>
      </c>
      <c r="AX90" s="869">
        <f t="shared" ca="1" si="57"/>
        <v>-26127.822532961858</v>
      </c>
      <c r="AY90" s="869">
        <f t="shared" ca="1" si="37"/>
        <v>-522556.45065923705</v>
      </c>
      <c r="AZ90" s="867">
        <f t="shared" ca="1" si="38"/>
        <v>0</v>
      </c>
      <c r="BA90" s="161"/>
      <c r="BB90" s="867">
        <f t="shared" ca="1" si="39"/>
        <v>0</v>
      </c>
      <c r="BC90" s="867">
        <f t="shared" ca="1" si="4"/>
        <v>0</v>
      </c>
      <c r="BD90" s="658"/>
      <c r="BE90" s="867">
        <f t="shared" ca="1" si="40"/>
        <v>-496428.6281262752</v>
      </c>
      <c r="BF90" s="867">
        <f t="shared" ca="1" si="41"/>
        <v>-26127.822532961858</v>
      </c>
      <c r="BG90" s="867">
        <f t="shared" ca="1" si="42"/>
        <v>-522556.45065923705</v>
      </c>
      <c r="BI90" s="867">
        <f ca="1"/>
        <v>-522556.4506592371</v>
      </c>
      <c r="BJ90" s="867">
        <f ca="1"/>
        <v>-496428.6281262752</v>
      </c>
      <c r="BK90" s="867">
        <f ca="1"/>
        <v>-26127.822532961858</v>
      </c>
      <c r="BL90" s="867">
        <f t="shared" ca="1" si="43"/>
        <v>0</v>
      </c>
      <c r="BM90" s="867">
        <f t="shared" ca="1" si="44"/>
        <v>0</v>
      </c>
      <c r="BN90" s="867">
        <f t="shared" ca="1" si="45"/>
        <v>0</v>
      </c>
      <c r="BO90" s="867">
        <f t="shared" ca="1" si="46"/>
        <v>0</v>
      </c>
      <c r="BP90" s="867">
        <f t="shared" ca="1" si="47"/>
        <v>0</v>
      </c>
      <c r="BQ90" s="867">
        <f t="shared" ca="1" si="48"/>
        <v>0</v>
      </c>
      <c r="BR90" s="867">
        <f ca="1"/>
        <v>0</v>
      </c>
      <c r="BS90" s="867">
        <f ca="1"/>
        <v>0</v>
      </c>
      <c r="BT90" s="867">
        <f t="shared" ca="1" si="9"/>
        <v>-496428.6281262752</v>
      </c>
      <c r="BU90" s="867">
        <f t="shared" ca="1" si="49"/>
        <v>-26127.822532961858</v>
      </c>
      <c r="BV90" s="829">
        <f t="shared" ca="1" si="10"/>
        <v>-4.3655745685100555E-11</v>
      </c>
      <c r="BX90" s="867">
        <f ca="1"/>
        <v>-522556.4506592371</v>
      </c>
      <c r="BY90" s="867">
        <f t="shared" ca="1" si="50"/>
        <v>-522556.45065923705</v>
      </c>
      <c r="BZ90" s="867">
        <f t="shared" ca="1" si="51"/>
        <v>0</v>
      </c>
      <c r="CA90" s="867">
        <f t="shared" ca="1" si="52"/>
        <v>0</v>
      </c>
      <c r="CB90" s="867">
        <f t="shared" ca="1" si="53"/>
        <v>0</v>
      </c>
      <c r="CC90" s="867">
        <f t="shared" ca="1" si="54"/>
        <v>0</v>
      </c>
      <c r="CD90" s="867">
        <f t="shared" ca="1" si="55"/>
        <v>-522556.45065923705</v>
      </c>
    </row>
    <row r="91" spans="1:82" ht="17" thickTop="1" thickBot="1">
      <c r="A91" s="773">
        <f t="shared" si="5"/>
        <v>1</v>
      </c>
      <c r="B91" s="779"/>
      <c r="C91" s="572"/>
      <c r="D91" s="660">
        <v>44</v>
      </c>
      <c r="E91" s="661">
        <v>46600</v>
      </c>
      <c r="F91" s="862">
        <v>4</v>
      </c>
      <c r="G91" s="863">
        <f ca="1"/>
        <v>-522556.4506592371</v>
      </c>
      <c r="H91" s="961"/>
      <c r="I91" s="865">
        <f t="shared" ca="1" si="11"/>
        <v>72554307.943002403</v>
      </c>
      <c r="J91" s="864" cm="1">
        <f t="array" aca="1" ref="J91" ca="1">IF($G91=0,0,-MIN(0,G91*c_equity.LPshare))</f>
        <v>496428.6281262752</v>
      </c>
      <c r="K91" s="865" cm="1">
        <f t="array" aca="1" ref="K91" ca="1">I91*c_rate.Pref.MO</f>
        <v>466816.60191573849</v>
      </c>
      <c r="L91" s="865">
        <f t="shared" ca="1" si="12"/>
        <v>0</v>
      </c>
      <c r="M91" s="865">
        <f t="shared" ca="1" si="13"/>
        <v>73517553.173044413</v>
      </c>
      <c r="N91" s="865">
        <f t="shared" ca="1" si="14"/>
        <v>-496428.6281262752</v>
      </c>
      <c r="O91" s="864" cm="1">
        <f t="array" aca="1" ref="O91" ca="1">IF(N91=0,0,IF(G91&lt;0,N91/c_equity.LPshare*i_equity.GPshare,L91/c_equity.LPshare*i_equity.GPshare))</f>
        <v>-26127.822532961858</v>
      </c>
      <c r="P91" s="865">
        <f t="shared" ca="1" si="15"/>
        <v>-522556.45065923705</v>
      </c>
      <c r="Q91" s="865">
        <f t="shared" ca="1" si="16"/>
        <v>0</v>
      </c>
      <c r="R91" s="161"/>
      <c r="S91" s="867">
        <f t="shared" ca="1" si="17"/>
        <v>78067941.593722016</v>
      </c>
      <c r="T91" s="867" cm="1">
        <f t="array" aca="1" ref="T91" ca="1">IF($G91=0,0,-MIN(0,$G91*c_equity.LPshare))</f>
        <v>496428.6281262752</v>
      </c>
      <c r="U91" s="869" cm="1">
        <f t="array" aca="1" ref="U91" ca="1">IF($D91=0,0,S91*c_rate.Hurdle1.MO)</f>
        <v>622524.72926379647</v>
      </c>
      <c r="V91" s="867">
        <f t="shared" ca="1" si="18"/>
        <v>0</v>
      </c>
      <c r="W91" s="867">
        <f t="shared" ca="1" si="19"/>
        <v>0</v>
      </c>
      <c r="X91" s="869">
        <f t="shared" ca="1" si="20"/>
        <v>79186894.951112092</v>
      </c>
      <c r="Y91" s="869">
        <f t="shared" ca="1" si="21"/>
        <v>-496428.6281262752</v>
      </c>
      <c r="Z91" s="869">
        <f t="shared" ca="1" si="22"/>
        <v>-26127.822532961858</v>
      </c>
      <c r="AA91" s="869">
        <f t="shared" ca="1" si="23"/>
        <v>-522556.45065923705</v>
      </c>
      <c r="AB91" s="867">
        <f t="shared" ca="1" si="24"/>
        <v>0</v>
      </c>
      <c r="AC91" s="161"/>
      <c r="AD91" s="869">
        <f t="shared" ca="1" si="25"/>
        <v>83747208.265457422</v>
      </c>
      <c r="AE91" s="867" cm="1">
        <f t="array" aca="1" ref="AE91" ca="1">IF($G91=0,0,-MIN(0,$G91*c_equity.LPshare))</f>
        <v>496428.6281262752</v>
      </c>
      <c r="AF91" s="869" cm="1">
        <f t="array" aca="1" ref="AF91" ca="1">IF($D91=0,0,AD91*(c_rate.Hurdle2.MO))</f>
        <v>794659.91808032722</v>
      </c>
      <c r="AG91" s="869">
        <f t="shared" ca="1" si="26"/>
        <v>0</v>
      </c>
      <c r="AH91" s="869">
        <f t="shared" ca="1" si="27"/>
        <v>0</v>
      </c>
      <c r="AI91" s="869">
        <f t="shared" ca="1" si="28"/>
        <v>85038296.81166403</v>
      </c>
      <c r="AJ91" s="868">
        <f t="shared" ca="1" si="6"/>
        <v>-496428.6281262752</v>
      </c>
      <c r="AK91" s="867">
        <f t="shared" ca="1" si="29"/>
        <v>-496428.6281262752</v>
      </c>
      <c r="AL91" s="869">
        <f t="shared" ca="1" si="56"/>
        <v>-26127.822532961858</v>
      </c>
      <c r="AM91" s="869">
        <f t="shared" ca="1" si="30"/>
        <v>-522556.45065923705</v>
      </c>
      <c r="AN91" s="867">
        <f t="shared" ca="1" si="3"/>
        <v>0</v>
      </c>
      <c r="AO91" s="161"/>
      <c r="AP91" s="869">
        <f t="shared" ca="1" si="31"/>
        <v>89593761.393784374</v>
      </c>
      <c r="AQ91" s="867" cm="1">
        <f t="array" aca="1" ref="AQ91" ca="1">IF($G91=0,0,-MIN(0,$G91*c_equity.LPshare))</f>
        <v>496428.6281262752</v>
      </c>
      <c r="AR91" s="869" cm="1">
        <f t="array" aca="1" ref="AR91" ca="1">IF($D91=0,0,AP91*(c_rate.Hurdle3.MO))</f>
        <v>983636.64200152445</v>
      </c>
      <c r="AS91" s="869">
        <f t="shared" ca="1" si="32"/>
        <v>0</v>
      </c>
      <c r="AT91" s="869">
        <f t="shared" ca="1" si="33"/>
        <v>0</v>
      </c>
      <c r="AU91" s="869">
        <f t="shared" ca="1" si="34"/>
        <v>91073826.663912177</v>
      </c>
      <c r="AV91" s="870">
        <f t="shared" ca="1" si="35"/>
        <v>-496428.6281262752</v>
      </c>
      <c r="AW91" s="867">
        <f t="shared" ca="1" si="36"/>
        <v>-496428.6281262752</v>
      </c>
      <c r="AX91" s="869">
        <f t="shared" ca="1" si="57"/>
        <v>-26127.822532961858</v>
      </c>
      <c r="AY91" s="869">
        <f t="shared" ca="1" si="37"/>
        <v>-522556.45065923705</v>
      </c>
      <c r="AZ91" s="867">
        <f t="shared" ca="1" si="38"/>
        <v>0</v>
      </c>
      <c r="BA91" s="161"/>
      <c r="BB91" s="867">
        <f t="shared" ca="1" si="39"/>
        <v>0</v>
      </c>
      <c r="BC91" s="867">
        <f t="shared" ca="1" si="4"/>
        <v>0</v>
      </c>
      <c r="BD91" s="658"/>
      <c r="BE91" s="867">
        <f t="shared" ca="1" si="40"/>
        <v>-496428.6281262752</v>
      </c>
      <c r="BF91" s="867">
        <f t="shared" ca="1" si="41"/>
        <v>-26127.822532961858</v>
      </c>
      <c r="BG91" s="867">
        <f t="shared" ca="1" si="42"/>
        <v>-522556.45065923705</v>
      </c>
      <c r="BI91" s="867">
        <f ca="1"/>
        <v>-522556.4506592371</v>
      </c>
      <c r="BJ91" s="867">
        <f ca="1"/>
        <v>-496428.6281262752</v>
      </c>
      <c r="BK91" s="867">
        <f ca="1"/>
        <v>-26127.822532961858</v>
      </c>
      <c r="BL91" s="867">
        <f t="shared" ca="1" si="43"/>
        <v>0</v>
      </c>
      <c r="BM91" s="867">
        <f t="shared" ca="1" si="44"/>
        <v>0</v>
      </c>
      <c r="BN91" s="867">
        <f t="shared" ca="1" si="45"/>
        <v>0</v>
      </c>
      <c r="BO91" s="867">
        <f t="shared" ca="1" si="46"/>
        <v>0</v>
      </c>
      <c r="BP91" s="867">
        <f t="shared" ca="1" si="47"/>
        <v>0</v>
      </c>
      <c r="BQ91" s="867">
        <f t="shared" ca="1" si="48"/>
        <v>0</v>
      </c>
      <c r="BR91" s="867">
        <f ca="1"/>
        <v>0</v>
      </c>
      <c r="BS91" s="867">
        <f ca="1"/>
        <v>0</v>
      </c>
      <c r="BT91" s="867">
        <f t="shared" ca="1" si="9"/>
        <v>-496428.6281262752</v>
      </c>
      <c r="BU91" s="867">
        <f t="shared" ca="1" si="49"/>
        <v>-26127.822532961858</v>
      </c>
      <c r="BV91" s="829">
        <f t="shared" ca="1" si="10"/>
        <v>-4.3655745685100555E-11</v>
      </c>
      <c r="BX91" s="867">
        <f ca="1"/>
        <v>-522556.4506592371</v>
      </c>
      <c r="BY91" s="867">
        <f t="shared" ca="1" si="50"/>
        <v>-522556.45065923705</v>
      </c>
      <c r="BZ91" s="867">
        <f t="shared" ca="1" si="51"/>
        <v>0</v>
      </c>
      <c r="CA91" s="867">
        <f t="shared" ca="1" si="52"/>
        <v>0</v>
      </c>
      <c r="CB91" s="867">
        <f t="shared" ca="1" si="53"/>
        <v>0</v>
      </c>
      <c r="CC91" s="867">
        <f t="shared" ca="1" si="54"/>
        <v>0</v>
      </c>
      <c r="CD91" s="867">
        <f t="shared" ca="1" si="55"/>
        <v>-522556.45065923705</v>
      </c>
    </row>
    <row r="92" spans="1:82" ht="17" thickTop="1" thickBot="1">
      <c r="A92" s="773">
        <f t="shared" si="5"/>
        <v>1</v>
      </c>
      <c r="B92" s="779"/>
      <c r="C92" s="572"/>
      <c r="D92" s="660">
        <v>45</v>
      </c>
      <c r="E92" s="661">
        <v>46631</v>
      </c>
      <c r="F92" s="862">
        <v>4</v>
      </c>
      <c r="G92" s="863">
        <f ca="1"/>
        <v>-522556.4506592371</v>
      </c>
      <c r="H92" s="961"/>
      <c r="I92" s="865">
        <f t="shared" ca="1" si="11"/>
        <v>73517553.173044413</v>
      </c>
      <c r="J92" s="864" cm="1">
        <f t="array" aca="1" ref="J92" ca="1">IF($G92=0,0,-MIN(0,G92*c_equity.LPshare))</f>
        <v>496428.6281262752</v>
      </c>
      <c r="K92" s="865" cm="1">
        <f t="array" aca="1" ref="K92" ca="1">I92*c_rate.Pref.MO</f>
        <v>473014.15072914597</v>
      </c>
      <c r="L92" s="865">
        <f t="shared" ca="1" si="12"/>
        <v>0</v>
      </c>
      <c r="M92" s="865">
        <f t="shared" ca="1" si="13"/>
        <v>74486995.951899841</v>
      </c>
      <c r="N92" s="865">
        <f t="shared" ca="1" si="14"/>
        <v>-496428.6281262752</v>
      </c>
      <c r="O92" s="864" cm="1">
        <f t="array" aca="1" ref="O92" ca="1">IF(N92=0,0,IF(G92&lt;0,N92/c_equity.LPshare*i_equity.GPshare,L92/c_equity.LPshare*i_equity.GPshare))</f>
        <v>-26127.822532961858</v>
      </c>
      <c r="P92" s="865">
        <f t="shared" ca="1" si="15"/>
        <v>-522556.45065923705</v>
      </c>
      <c r="Q92" s="865">
        <f t="shared" ca="1" si="16"/>
        <v>0</v>
      </c>
      <c r="R92" s="161"/>
      <c r="S92" s="867">
        <f t="shared" ca="1" si="17"/>
        <v>79186894.951112092</v>
      </c>
      <c r="T92" s="867" cm="1">
        <f t="array" aca="1" ref="T92" ca="1">IF($G92=0,0,-MIN(0,$G92*c_equity.LPshare))</f>
        <v>496428.6281262752</v>
      </c>
      <c r="U92" s="869" cm="1">
        <f t="array" aca="1" ref="U92" ca="1">IF($D92=0,0,S92*c_rate.Hurdle1.MO)</f>
        <v>631447.42046901828</v>
      </c>
      <c r="V92" s="867">
        <f t="shared" ca="1" si="18"/>
        <v>0</v>
      </c>
      <c r="W92" s="867">
        <f t="shared" ca="1" si="19"/>
        <v>0</v>
      </c>
      <c r="X92" s="869">
        <f t="shared" ca="1" si="20"/>
        <v>80314770.999707386</v>
      </c>
      <c r="Y92" s="869">
        <f t="shared" ca="1" si="21"/>
        <v>-496428.6281262752</v>
      </c>
      <c r="Z92" s="869">
        <f t="shared" ca="1" si="22"/>
        <v>-26127.822532961858</v>
      </c>
      <c r="AA92" s="869">
        <f t="shared" ca="1" si="23"/>
        <v>-522556.45065923705</v>
      </c>
      <c r="AB92" s="867">
        <f t="shared" ca="1" si="24"/>
        <v>0</v>
      </c>
      <c r="AC92" s="161"/>
      <c r="AD92" s="869">
        <f t="shared" ca="1" si="25"/>
        <v>85038296.81166403</v>
      </c>
      <c r="AE92" s="867" cm="1">
        <f t="array" aca="1" ref="AE92" ca="1">IF($G92=0,0,-MIN(0,$G92*c_equity.LPshare))</f>
        <v>496428.6281262752</v>
      </c>
      <c r="AF92" s="869" cm="1">
        <f t="array" aca="1" ref="AF92" ca="1">IF($D92=0,0,AD92*(c_rate.Hurdle2.MO))</f>
        <v>806910.78995549364</v>
      </c>
      <c r="AG92" s="869">
        <f t="shared" ca="1" si="26"/>
        <v>0</v>
      </c>
      <c r="AH92" s="869">
        <f t="shared" ca="1" si="27"/>
        <v>0</v>
      </c>
      <c r="AI92" s="869">
        <f t="shared" ca="1" si="28"/>
        <v>86341636.229745805</v>
      </c>
      <c r="AJ92" s="868">
        <f t="shared" ca="1" si="6"/>
        <v>-496428.6281262752</v>
      </c>
      <c r="AK92" s="867">
        <f t="shared" ca="1" si="29"/>
        <v>-496428.6281262752</v>
      </c>
      <c r="AL92" s="869">
        <f t="shared" ca="1" si="56"/>
        <v>-26127.822532961858</v>
      </c>
      <c r="AM92" s="869">
        <f t="shared" ca="1" si="30"/>
        <v>-522556.45065923705</v>
      </c>
      <c r="AN92" s="867">
        <f t="shared" ca="1" si="3"/>
        <v>0</v>
      </c>
      <c r="AO92" s="161"/>
      <c r="AP92" s="869">
        <f t="shared" ca="1" si="31"/>
        <v>91073826.663912177</v>
      </c>
      <c r="AQ92" s="867" cm="1">
        <f t="array" aca="1" ref="AQ92" ca="1">IF($G92=0,0,-MIN(0,$G92*c_equity.LPshare))</f>
        <v>496428.6281262752</v>
      </c>
      <c r="AR92" s="869" cm="1">
        <f t="array" aca="1" ref="AR92" ca="1">IF($D92=0,0,AP92*(c_rate.Hurdle3.MO))</f>
        <v>999886.05947885115</v>
      </c>
      <c r="AS92" s="869">
        <f t="shared" ca="1" si="32"/>
        <v>0</v>
      </c>
      <c r="AT92" s="869">
        <f t="shared" ca="1" si="33"/>
        <v>0</v>
      </c>
      <c r="AU92" s="869">
        <f t="shared" ca="1" si="34"/>
        <v>92570141.351517305</v>
      </c>
      <c r="AV92" s="870">
        <f t="shared" ca="1" si="35"/>
        <v>-496428.6281262752</v>
      </c>
      <c r="AW92" s="867">
        <f t="shared" ca="1" si="36"/>
        <v>-496428.6281262752</v>
      </c>
      <c r="AX92" s="869">
        <f t="shared" ca="1" si="57"/>
        <v>-26127.822532961858</v>
      </c>
      <c r="AY92" s="869">
        <f t="shared" ca="1" si="37"/>
        <v>-522556.45065923705</v>
      </c>
      <c r="AZ92" s="867">
        <f t="shared" ca="1" si="38"/>
        <v>0</v>
      </c>
      <c r="BA92" s="161"/>
      <c r="BB92" s="867">
        <f t="shared" ca="1" si="39"/>
        <v>0</v>
      </c>
      <c r="BC92" s="867">
        <f t="shared" ca="1" si="4"/>
        <v>0</v>
      </c>
      <c r="BD92" s="658"/>
      <c r="BE92" s="867">
        <f t="shared" ca="1" si="40"/>
        <v>-496428.6281262752</v>
      </c>
      <c r="BF92" s="867">
        <f t="shared" ca="1" si="41"/>
        <v>-26127.822532961858</v>
      </c>
      <c r="BG92" s="867">
        <f t="shared" ca="1" si="42"/>
        <v>-522556.45065923705</v>
      </c>
      <c r="BI92" s="867">
        <f ca="1"/>
        <v>-522556.4506592371</v>
      </c>
      <c r="BJ92" s="867">
        <f ca="1"/>
        <v>-496428.6281262752</v>
      </c>
      <c r="BK92" s="867">
        <f ca="1"/>
        <v>-26127.822532961858</v>
      </c>
      <c r="BL92" s="867">
        <f t="shared" ca="1" si="43"/>
        <v>0</v>
      </c>
      <c r="BM92" s="867">
        <f t="shared" ca="1" si="44"/>
        <v>0</v>
      </c>
      <c r="BN92" s="867">
        <f t="shared" ca="1" si="45"/>
        <v>0</v>
      </c>
      <c r="BO92" s="867">
        <f t="shared" ca="1" si="46"/>
        <v>0</v>
      </c>
      <c r="BP92" s="867">
        <f t="shared" ca="1" si="47"/>
        <v>0</v>
      </c>
      <c r="BQ92" s="867">
        <f t="shared" ca="1" si="48"/>
        <v>0</v>
      </c>
      <c r="BR92" s="867">
        <f ca="1"/>
        <v>0</v>
      </c>
      <c r="BS92" s="867">
        <f ca="1"/>
        <v>0</v>
      </c>
      <c r="BT92" s="867">
        <f t="shared" ca="1" si="9"/>
        <v>-496428.6281262752</v>
      </c>
      <c r="BU92" s="867">
        <f t="shared" ca="1" si="49"/>
        <v>-26127.822532961858</v>
      </c>
      <c r="BV92" s="829">
        <f t="shared" ca="1" si="10"/>
        <v>-4.3655745685100555E-11</v>
      </c>
      <c r="BX92" s="867">
        <f ca="1"/>
        <v>-522556.4506592371</v>
      </c>
      <c r="BY92" s="867">
        <f t="shared" ca="1" si="50"/>
        <v>-522556.45065923705</v>
      </c>
      <c r="BZ92" s="867">
        <f t="shared" ca="1" si="51"/>
        <v>0</v>
      </c>
      <c r="CA92" s="867">
        <f t="shared" ca="1" si="52"/>
        <v>0</v>
      </c>
      <c r="CB92" s="867">
        <f t="shared" ca="1" si="53"/>
        <v>0</v>
      </c>
      <c r="CC92" s="867">
        <f t="shared" ca="1" si="54"/>
        <v>0</v>
      </c>
      <c r="CD92" s="867">
        <f t="shared" ca="1" si="55"/>
        <v>-522556.45065923705</v>
      </c>
    </row>
    <row r="93" spans="1:82" ht="17" thickTop="1" thickBot="1">
      <c r="A93" s="773">
        <f t="shared" si="5"/>
        <v>1</v>
      </c>
      <c r="B93" s="779"/>
      <c r="C93" s="572"/>
      <c r="D93" s="660">
        <v>46</v>
      </c>
      <c r="E93" s="661">
        <v>46661</v>
      </c>
      <c r="F93" s="862">
        <v>4</v>
      </c>
      <c r="G93" s="863">
        <f ca="1"/>
        <v>-522556.4506592371</v>
      </c>
      <c r="H93" s="961"/>
      <c r="I93" s="865">
        <f t="shared" ca="1" si="11"/>
        <v>74486995.951899841</v>
      </c>
      <c r="J93" s="864" cm="1">
        <f t="array" aca="1" ref="J93" ca="1">IF($G93=0,0,-MIN(0,G93*c_equity.LPshare))</f>
        <v>496428.6281262752</v>
      </c>
      <c r="K93" s="865" cm="1">
        <f t="array" aca="1" ref="K93" ca="1">I93*c_rate.Pref.MO</f>
        <v>479251.57475822722</v>
      </c>
      <c r="L93" s="865">
        <f t="shared" ca="1" si="12"/>
        <v>0</v>
      </c>
      <c r="M93" s="865">
        <f t="shared" ca="1" si="13"/>
        <v>75462676.154784352</v>
      </c>
      <c r="N93" s="865">
        <f t="shared" ca="1" si="14"/>
        <v>-496428.6281262752</v>
      </c>
      <c r="O93" s="864" cm="1">
        <f t="array" aca="1" ref="O93" ca="1">IF(N93=0,0,IF(G93&lt;0,N93/c_equity.LPshare*i_equity.GPshare,L93/c_equity.LPshare*i_equity.GPshare))</f>
        <v>-26127.822532961858</v>
      </c>
      <c r="P93" s="865">
        <f t="shared" ca="1" si="15"/>
        <v>-522556.45065923705</v>
      </c>
      <c r="Q93" s="865">
        <f t="shared" ca="1" si="16"/>
        <v>0</v>
      </c>
      <c r="R93" s="161"/>
      <c r="S93" s="867">
        <f t="shared" ca="1" si="17"/>
        <v>80314770.999707386</v>
      </c>
      <c r="T93" s="867" cm="1">
        <f t="array" aca="1" ref="T93" ca="1">IF($G93=0,0,-MIN(0,$G93*c_equity.LPshare))</f>
        <v>496428.6281262752</v>
      </c>
      <c r="U93" s="869" cm="1">
        <f t="array" aca="1" ref="U93" ca="1">IF($D93=0,0,S93*c_rate.Hurdle1.MO)</f>
        <v>640441.26246691425</v>
      </c>
      <c r="V93" s="867">
        <f t="shared" ca="1" si="18"/>
        <v>0</v>
      </c>
      <c r="W93" s="867">
        <f t="shared" ca="1" si="19"/>
        <v>0</v>
      </c>
      <c r="X93" s="869">
        <f t="shared" ca="1" si="20"/>
        <v>81451640.890300572</v>
      </c>
      <c r="Y93" s="869">
        <f t="shared" ca="1" si="21"/>
        <v>-496428.6281262752</v>
      </c>
      <c r="Z93" s="869">
        <f t="shared" ca="1" si="22"/>
        <v>-26127.822532961858</v>
      </c>
      <c r="AA93" s="869">
        <f t="shared" ca="1" si="23"/>
        <v>-522556.45065923705</v>
      </c>
      <c r="AB93" s="867">
        <f t="shared" ca="1" si="24"/>
        <v>0</v>
      </c>
      <c r="AC93" s="161"/>
      <c r="AD93" s="869">
        <f t="shared" ca="1" si="25"/>
        <v>86341636.229745805</v>
      </c>
      <c r="AE93" s="867" cm="1">
        <f t="array" aca="1" ref="AE93" ca="1">IF($G93=0,0,-MIN(0,$G93*c_equity.LPshare))</f>
        <v>496428.6281262752</v>
      </c>
      <c r="AF93" s="869" cm="1">
        <f t="array" aca="1" ref="AF93" ca="1">IF($D93=0,0,AD93*(c_rate.Hurdle2.MO))</f>
        <v>819277.90781715151</v>
      </c>
      <c r="AG93" s="869">
        <f t="shared" ca="1" si="26"/>
        <v>0</v>
      </c>
      <c r="AH93" s="869">
        <f t="shared" ca="1" si="27"/>
        <v>0</v>
      </c>
      <c r="AI93" s="869">
        <f t="shared" ca="1" si="28"/>
        <v>87657342.765689239</v>
      </c>
      <c r="AJ93" s="868">
        <f t="shared" ca="1" si="6"/>
        <v>-496428.6281262752</v>
      </c>
      <c r="AK93" s="867">
        <f t="shared" ca="1" si="29"/>
        <v>-496428.6281262752</v>
      </c>
      <c r="AL93" s="869">
        <f t="shared" ca="1" si="56"/>
        <v>-26127.822532961858</v>
      </c>
      <c r="AM93" s="869">
        <f t="shared" ca="1" si="30"/>
        <v>-522556.45065923705</v>
      </c>
      <c r="AN93" s="867">
        <f t="shared" ca="1" si="3"/>
        <v>0</v>
      </c>
      <c r="AO93" s="161"/>
      <c r="AP93" s="869">
        <f t="shared" ca="1" si="31"/>
        <v>92570141.351517305</v>
      </c>
      <c r="AQ93" s="867" cm="1">
        <f t="array" aca="1" ref="AQ93" ca="1">IF($G93=0,0,-MIN(0,$G93*c_equity.LPshare))</f>
        <v>496428.6281262752</v>
      </c>
      <c r="AR93" s="869" cm="1">
        <f t="array" aca="1" ref="AR93" ca="1">IF($D93=0,0,AP93*(c_rate.Hurdle3.MO))</f>
        <v>1016313.8769049378</v>
      </c>
      <c r="AS93" s="869">
        <f t="shared" ca="1" si="32"/>
        <v>0</v>
      </c>
      <c r="AT93" s="869">
        <f t="shared" ca="1" si="33"/>
        <v>0</v>
      </c>
      <c r="AU93" s="869">
        <f t="shared" ca="1" si="34"/>
        <v>94082883.856548518</v>
      </c>
      <c r="AV93" s="870">
        <f t="shared" ca="1" si="35"/>
        <v>-496428.6281262752</v>
      </c>
      <c r="AW93" s="867">
        <f t="shared" ca="1" si="36"/>
        <v>-496428.6281262752</v>
      </c>
      <c r="AX93" s="869">
        <f t="shared" ca="1" si="57"/>
        <v>-26127.822532961858</v>
      </c>
      <c r="AY93" s="869">
        <f t="shared" ca="1" si="37"/>
        <v>-522556.45065923705</v>
      </c>
      <c r="AZ93" s="867">
        <f t="shared" ca="1" si="38"/>
        <v>0</v>
      </c>
      <c r="BA93" s="161"/>
      <c r="BB93" s="867">
        <f t="shared" ca="1" si="39"/>
        <v>0</v>
      </c>
      <c r="BC93" s="867">
        <f t="shared" ca="1" si="4"/>
        <v>0</v>
      </c>
      <c r="BD93" s="658"/>
      <c r="BE93" s="867">
        <f t="shared" ca="1" si="40"/>
        <v>-496428.6281262752</v>
      </c>
      <c r="BF93" s="867">
        <f t="shared" ca="1" si="41"/>
        <v>-26127.822532961858</v>
      </c>
      <c r="BG93" s="867">
        <f t="shared" ca="1" si="42"/>
        <v>-522556.45065923705</v>
      </c>
      <c r="BI93" s="867">
        <f ca="1"/>
        <v>-522556.4506592371</v>
      </c>
      <c r="BJ93" s="867">
        <f ca="1"/>
        <v>-496428.6281262752</v>
      </c>
      <c r="BK93" s="867">
        <f ca="1"/>
        <v>-26127.822532961858</v>
      </c>
      <c r="BL93" s="867">
        <f t="shared" ca="1" si="43"/>
        <v>0</v>
      </c>
      <c r="BM93" s="867">
        <f t="shared" ca="1" si="44"/>
        <v>0</v>
      </c>
      <c r="BN93" s="867">
        <f t="shared" ca="1" si="45"/>
        <v>0</v>
      </c>
      <c r="BO93" s="867">
        <f t="shared" ca="1" si="46"/>
        <v>0</v>
      </c>
      <c r="BP93" s="867">
        <f t="shared" ca="1" si="47"/>
        <v>0</v>
      </c>
      <c r="BQ93" s="867">
        <f t="shared" ca="1" si="48"/>
        <v>0</v>
      </c>
      <c r="BR93" s="867">
        <f ca="1"/>
        <v>0</v>
      </c>
      <c r="BS93" s="867">
        <f ca="1"/>
        <v>0</v>
      </c>
      <c r="BT93" s="867">
        <f t="shared" ca="1" si="9"/>
        <v>-496428.6281262752</v>
      </c>
      <c r="BU93" s="867">
        <f t="shared" ca="1" si="49"/>
        <v>-26127.822532961858</v>
      </c>
      <c r="BV93" s="829">
        <f t="shared" ca="1" si="10"/>
        <v>-4.3655745685100555E-11</v>
      </c>
      <c r="BX93" s="867">
        <f ca="1"/>
        <v>-522556.4506592371</v>
      </c>
      <c r="BY93" s="867">
        <f t="shared" ca="1" si="50"/>
        <v>-522556.45065923705</v>
      </c>
      <c r="BZ93" s="867">
        <f t="shared" ca="1" si="51"/>
        <v>0</v>
      </c>
      <c r="CA93" s="867">
        <f t="shared" ca="1" si="52"/>
        <v>0</v>
      </c>
      <c r="CB93" s="867">
        <f t="shared" ca="1" si="53"/>
        <v>0</v>
      </c>
      <c r="CC93" s="867">
        <f t="shared" ca="1" si="54"/>
        <v>0</v>
      </c>
      <c r="CD93" s="867">
        <f t="shared" ca="1" si="55"/>
        <v>-522556.45065923705</v>
      </c>
    </row>
    <row r="94" spans="1:82" ht="17" thickTop="1" thickBot="1">
      <c r="A94" s="773">
        <f t="shared" si="5"/>
        <v>1</v>
      </c>
      <c r="B94" s="779"/>
      <c r="C94" s="572"/>
      <c r="D94" s="660">
        <v>47</v>
      </c>
      <c r="E94" s="661">
        <v>46692</v>
      </c>
      <c r="F94" s="862">
        <v>4</v>
      </c>
      <c r="G94" s="863">
        <f ca="1"/>
        <v>-522556.4506592371</v>
      </c>
      <c r="H94" s="961"/>
      <c r="I94" s="865">
        <f t="shared" ca="1" si="11"/>
        <v>75462676.154784352</v>
      </c>
      <c r="J94" s="864" cm="1">
        <f t="array" aca="1" ref="J94" ca="1">IF($G94=0,0,-MIN(0,G94*c_equity.LPshare))</f>
        <v>496428.6281262752</v>
      </c>
      <c r="K94" s="865" cm="1">
        <f t="array" aca="1" ref="K94" ca="1">I94*c_rate.Pref.MO</f>
        <v>485529.1305613204</v>
      </c>
      <c r="L94" s="865">
        <f t="shared" ca="1" si="12"/>
        <v>0</v>
      </c>
      <c r="M94" s="865">
        <f t="shared" ca="1" si="13"/>
        <v>76444633.913471952</v>
      </c>
      <c r="N94" s="865">
        <f t="shared" ca="1" si="14"/>
        <v>-496428.6281262752</v>
      </c>
      <c r="O94" s="864" cm="1">
        <f t="array" aca="1" ref="O94" ca="1">IF(N94=0,0,IF(G94&lt;0,N94/c_equity.LPshare*i_equity.GPshare,L94/c_equity.LPshare*i_equity.GPshare))</f>
        <v>-26127.822532961858</v>
      </c>
      <c r="P94" s="865">
        <f t="shared" ca="1" si="15"/>
        <v>-522556.45065923705</v>
      </c>
      <c r="Q94" s="865">
        <f t="shared" ca="1" si="16"/>
        <v>0</v>
      </c>
      <c r="R94" s="161"/>
      <c r="S94" s="867">
        <f t="shared" ca="1" si="17"/>
        <v>81451640.890300572</v>
      </c>
      <c r="T94" s="867" cm="1">
        <f t="array" aca="1" ref="T94" ca="1">IF($G94=0,0,-MIN(0,$G94*c_equity.LPshare))</f>
        <v>496428.6281262752</v>
      </c>
      <c r="U94" s="869" cm="1">
        <f t="array" aca="1" ref="U94" ca="1">IF($D94=0,0,S94*c_rate.Hurdle1.MO)</f>
        <v>649506.82262389676</v>
      </c>
      <c r="V94" s="867">
        <f t="shared" ca="1" si="18"/>
        <v>0</v>
      </c>
      <c r="W94" s="867">
        <f t="shared" ca="1" si="19"/>
        <v>0</v>
      </c>
      <c r="X94" s="869">
        <f t="shared" ca="1" si="20"/>
        <v>82597576.341050744</v>
      </c>
      <c r="Y94" s="869">
        <f t="shared" ca="1" si="21"/>
        <v>-496428.6281262752</v>
      </c>
      <c r="Z94" s="869">
        <f t="shared" ca="1" si="22"/>
        <v>-26127.822532961858</v>
      </c>
      <c r="AA94" s="869">
        <f t="shared" ca="1" si="23"/>
        <v>-522556.45065923705</v>
      </c>
      <c r="AB94" s="867">
        <f t="shared" ca="1" si="24"/>
        <v>0</v>
      </c>
      <c r="AC94" s="161"/>
      <c r="AD94" s="869">
        <f t="shared" ca="1" si="25"/>
        <v>87657342.765689239</v>
      </c>
      <c r="AE94" s="867" cm="1">
        <f t="array" aca="1" ref="AE94" ca="1">IF($G94=0,0,-MIN(0,$G94*c_equity.LPshare))</f>
        <v>496428.6281262752</v>
      </c>
      <c r="AF94" s="869" cm="1">
        <f t="array" aca="1" ref="AF94" ca="1">IF($D94=0,0,AD94*(c_rate.Hurdle2.MO))</f>
        <v>831762.37469939631</v>
      </c>
      <c r="AG94" s="869">
        <f t="shared" ca="1" si="26"/>
        <v>0</v>
      </c>
      <c r="AH94" s="869">
        <f t="shared" ca="1" si="27"/>
        <v>0</v>
      </c>
      <c r="AI94" s="869">
        <f t="shared" ca="1" si="28"/>
        <v>88985533.768514916</v>
      </c>
      <c r="AJ94" s="868">
        <f t="shared" ca="1" si="6"/>
        <v>-496428.6281262752</v>
      </c>
      <c r="AK94" s="867">
        <f t="shared" ca="1" si="29"/>
        <v>-496428.6281262752</v>
      </c>
      <c r="AL94" s="869">
        <f t="shared" ca="1" si="56"/>
        <v>-26127.822532961858</v>
      </c>
      <c r="AM94" s="869">
        <f t="shared" ca="1" si="30"/>
        <v>-522556.45065923705</v>
      </c>
      <c r="AN94" s="867">
        <f t="shared" ca="1" si="3"/>
        <v>0</v>
      </c>
      <c r="AO94" s="161"/>
      <c r="AP94" s="869">
        <f t="shared" ca="1" si="31"/>
        <v>94082883.856548518</v>
      </c>
      <c r="AQ94" s="867" cm="1">
        <f t="array" aca="1" ref="AQ94" ca="1">IF($G94=0,0,-MIN(0,$G94*c_equity.LPshare))</f>
        <v>496428.6281262752</v>
      </c>
      <c r="AR94" s="869" cm="1">
        <f t="array" aca="1" ref="AR94" ca="1">IF($D94=0,0,AP94*(c_rate.Hurdle3.MO))</f>
        <v>1032922.0529064101</v>
      </c>
      <c r="AS94" s="869">
        <f t="shared" ca="1" si="32"/>
        <v>0</v>
      </c>
      <c r="AT94" s="869">
        <f t="shared" ca="1" si="33"/>
        <v>0</v>
      </c>
      <c r="AU94" s="869">
        <f t="shared" ca="1" si="34"/>
        <v>95612234.537581205</v>
      </c>
      <c r="AV94" s="870">
        <f t="shared" ca="1" si="35"/>
        <v>-496428.6281262752</v>
      </c>
      <c r="AW94" s="867">
        <f t="shared" ca="1" si="36"/>
        <v>-496428.6281262752</v>
      </c>
      <c r="AX94" s="869">
        <f t="shared" ca="1" si="57"/>
        <v>-26127.822532961858</v>
      </c>
      <c r="AY94" s="869">
        <f t="shared" ca="1" si="37"/>
        <v>-522556.45065923705</v>
      </c>
      <c r="AZ94" s="867">
        <f t="shared" ca="1" si="38"/>
        <v>0</v>
      </c>
      <c r="BA94" s="161"/>
      <c r="BB94" s="867">
        <f t="shared" ca="1" si="39"/>
        <v>0</v>
      </c>
      <c r="BC94" s="867">
        <f t="shared" ca="1" si="4"/>
        <v>0</v>
      </c>
      <c r="BD94" s="658"/>
      <c r="BE94" s="867">
        <f t="shared" ca="1" si="40"/>
        <v>-496428.6281262752</v>
      </c>
      <c r="BF94" s="867">
        <f t="shared" ca="1" si="41"/>
        <v>-26127.822532961858</v>
      </c>
      <c r="BG94" s="867">
        <f t="shared" ca="1" si="42"/>
        <v>-522556.45065923705</v>
      </c>
      <c r="BI94" s="867">
        <f ca="1"/>
        <v>-522556.4506592371</v>
      </c>
      <c r="BJ94" s="867">
        <f ca="1"/>
        <v>-496428.6281262752</v>
      </c>
      <c r="BK94" s="867">
        <f ca="1"/>
        <v>-26127.822532961858</v>
      </c>
      <c r="BL94" s="867">
        <f t="shared" ca="1" si="43"/>
        <v>0</v>
      </c>
      <c r="BM94" s="867">
        <f t="shared" ca="1" si="44"/>
        <v>0</v>
      </c>
      <c r="BN94" s="867">
        <f t="shared" ca="1" si="45"/>
        <v>0</v>
      </c>
      <c r="BO94" s="867">
        <f t="shared" ca="1" si="46"/>
        <v>0</v>
      </c>
      <c r="BP94" s="867">
        <f t="shared" ca="1" si="47"/>
        <v>0</v>
      </c>
      <c r="BQ94" s="867">
        <f t="shared" ca="1" si="48"/>
        <v>0</v>
      </c>
      <c r="BR94" s="867">
        <f ca="1"/>
        <v>0</v>
      </c>
      <c r="BS94" s="867">
        <f ca="1"/>
        <v>0</v>
      </c>
      <c r="BT94" s="867">
        <f t="shared" ca="1" si="9"/>
        <v>-496428.6281262752</v>
      </c>
      <c r="BU94" s="867">
        <f t="shared" ca="1" si="49"/>
        <v>-26127.822532961858</v>
      </c>
      <c r="BV94" s="829">
        <f t="shared" ca="1" si="10"/>
        <v>-4.3655745685100555E-11</v>
      </c>
      <c r="BX94" s="867">
        <f ca="1"/>
        <v>-522556.4506592371</v>
      </c>
      <c r="BY94" s="867">
        <f t="shared" ca="1" si="50"/>
        <v>-522556.45065923705</v>
      </c>
      <c r="BZ94" s="867">
        <f t="shared" ca="1" si="51"/>
        <v>0</v>
      </c>
      <c r="CA94" s="867">
        <f t="shared" ca="1" si="52"/>
        <v>0</v>
      </c>
      <c r="CB94" s="867">
        <f t="shared" ca="1" si="53"/>
        <v>0</v>
      </c>
      <c r="CC94" s="867">
        <f t="shared" ca="1" si="54"/>
        <v>0</v>
      </c>
      <c r="CD94" s="867">
        <f t="shared" ca="1" si="55"/>
        <v>-522556.45065923705</v>
      </c>
    </row>
    <row r="95" spans="1:82" ht="17" thickTop="1" thickBot="1">
      <c r="A95" s="773">
        <f t="shared" si="5"/>
        <v>1</v>
      </c>
      <c r="B95" s="779"/>
      <c r="C95" s="572"/>
      <c r="D95" s="660">
        <v>48</v>
      </c>
      <c r="E95" s="661">
        <v>46722</v>
      </c>
      <c r="F95" s="862">
        <v>4</v>
      </c>
      <c r="G95" s="863">
        <f ca="1"/>
        <v>185261303.9018046</v>
      </c>
      <c r="H95" s="961"/>
      <c r="I95" s="865">
        <f t="shared" ca="1" si="11"/>
        <v>76444633.913471952</v>
      </c>
      <c r="J95" s="864" cm="1">
        <f t="array" aca="1" ref="J95" ca="1">IF($G95=0,0,-MIN(0,G95*c_equity.LPshare))</f>
        <v>0</v>
      </c>
      <c r="K95" s="865" cm="1">
        <f t="array" aca="1" ref="K95" ca="1">I95*c_rate.Pref.MO</f>
        <v>491847.0763474679</v>
      </c>
      <c r="L95" s="865">
        <f t="shared" ca="1" si="12"/>
        <v>76936480.989819422</v>
      </c>
      <c r="M95" s="865">
        <f t="shared" ca="1" si="13"/>
        <v>0</v>
      </c>
      <c r="N95" s="865">
        <f t="shared" ca="1" si="14"/>
        <v>76936480.989819422</v>
      </c>
      <c r="O95" s="864" cm="1">
        <f t="array" aca="1" ref="O95" ca="1">IF(N95=0,0,IF(G95&lt;0,N95/c_equity.LPshare*i_equity.GPshare,L95/c_equity.LPshare*i_equity.GPshare))</f>
        <v>4049288.4731483907</v>
      </c>
      <c r="P95" s="865">
        <f t="shared" ca="1" si="15"/>
        <v>80985769.462967813</v>
      </c>
      <c r="Q95" s="865">
        <f t="shared" ca="1" si="16"/>
        <v>104275534.40000001</v>
      </c>
      <c r="R95" s="161"/>
      <c r="S95" s="867">
        <f t="shared" ca="1" si="17"/>
        <v>82597576.341050744</v>
      </c>
      <c r="T95" s="867" cm="1">
        <f t="array" aca="1" ref="T95" ca="1">IF($G95=0,0,-MIN(0,$G95*c_equity.LPshare))</f>
        <v>0</v>
      </c>
      <c r="U95" s="869" cm="1">
        <f t="array" aca="1" ref="U95" ca="1">IF($D95=0,0,S95*c_rate.Hurdle1.MO)</f>
        <v>658644.67283063778</v>
      </c>
      <c r="V95" s="867">
        <f t="shared" ca="1" si="18"/>
        <v>76936480.989819422</v>
      </c>
      <c r="W95" s="867">
        <f t="shared" ca="1" si="19"/>
        <v>6319740.024061963</v>
      </c>
      <c r="X95" s="869">
        <f t="shared" ca="1" si="20"/>
        <v>0</v>
      </c>
      <c r="Y95" s="869">
        <f t="shared" ca="1" si="21"/>
        <v>83256221.013881385</v>
      </c>
      <c r="Z95" s="869">
        <f t="shared" ca="1" si="22"/>
        <v>5121057.2491588993</v>
      </c>
      <c r="AA95" s="869">
        <f t="shared" ca="1" si="23"/>
        <v>88377278.263040289</v>
      </c>
      <c r="AB95" s="867">
        <f t="shared" ca="1" si="24"/>
        <v>96884025.638764307</v>
      </c>
      <c r="AC95" s="161"/>
      <c r="AD95" s="869">
        <f t="shared" ca="1" si="25"/>
        <v>88985533.768514916</v>
      </c>
      <c r="AE95" s="867" cm="1">
        <f t="array" aca="1" ref="AE95" ca="1">IF($G95=0,0,-MIN(0,$G95*c_equity.LPshare))</f>
        <v>0</v>
      </c>
      <c r="AF95" s="869" cm="1">
        <f t="array" aca="1" ref="AF95" ca="1">IF($D95=0,0,AD95*(c_rate.Hurdle2.MO))</f>
        <v>844365.30410278542</v>
      </c>
      <c r="AG95" s="869">
        <f t="shared" ca="1" si="26"/>
        <v>83256221.013881385</v>
      </c>
      <c r="AH95" s="869">
        <f t="shared" ca="1" si="27"/>
        <v>6573678.0587363094</v>
      </c>
      <c r="AI95" s="869">
        <f t="shared" ca="1" si="28"/>
        <v>0</v>
      </c>
      <c r="AJ95" s="868">
        <f t="shared" ca="1" si="6"/>
        <v>89829899.072617695</v>
      </c>
      <c r="AK95" s="867">
        <f t="shared" ca="1" si="29"/>
        <v>89829899.072617695</v>
      </c>
      <c r="AL95" s="869">
        <f t="shared" ca="1" si="56"/>
        <v>7196955.5834966814</v>
      </c>
      <c r="AM95" s="869">
        <f t="shared" ca="1" si="30"/>
        <v>97026854.65611437</v>
      </c>
      <c r="AN95" s="867">
        <f t="shared" ca="1" si="3"/>
        <v>88234449.245690227</v>
      </c>
      <c r="AO95" s="161"/>
      <c r="AP95" s="869">
        <f t="shared" ca="1" si="31"/>
        <v>95612234.537581205</v>
      </c>
      <c r="AQ95" s="867" cm="1">
        <f t="array" aca="1" ref="AQ95" ca="1">IF($G95=0,0,-MIN(0,$G95*c_equity.LPshare))</f>
        <v>0</v>
      </c>
      <c r="AR95" s="869" cm="1">
        <f t="array" aca="1" ref="AR95" ca="1">IF($D95=0,0,AP95*(c_rate.Hurdle3.MO))</f>
        <v>1049712.5676133649</v>
      </c>
      <c r="AS95" s="869">
        <f t="shared" ca="1" si="32"/>
        <v>89829899.072617695</v>
      </c>
      <c r="AT95" s="869">
        <f t="shared" ca="1" si="33"/>
        <v>6832048.0325768739</v>
      </c>
      <c r="AU95" s="869">
        <f t="shared" ca="1" si="34"/>
        <v>0</v>
      </c>
      <c r="AV95" s="870">
        <f t="shared" ca="1" si="35"/>
        <v>96661947.105194569</v>
      </c>
      <c r="AW95" s="867">
        <f t="shared" ca="1" si="36"/>
        <v>96661947.105194569</v>
      </c>
      <c r="AX95" s="869">
        <f t="shared" ca="1" si="57"/>
        <v>10638663.990885032</v>
      </c>
      <c r="AY95" s="869">
        <f t="shared" ca="1" si="37"/>
        <v>107300611.0960796</v>
      </c>
      <c r="AZ95" s="867">
        <f t="shared" ca="1" si="38"/>
        <v>77960692.805724993</v>
      </c>
      <c r="BA95" s="161"/>
      <c r="BB95" s="867">
        <f t="shared" ca="1" si="39"/>
        <v>38980346.402862497</v>
      </c>
      <c r="BC95" s="867">
        <f t="shared" ca="1" si="4"/>
        <v>38980346.402862497</v>
      </c>
      <c r="BD95" s="658"/>
      <c r="BE95" s="867">
        <f t="shared" ca="1" si="40"/>
        <v>135642293.50805706</v>
      </c>
      <c r="BF95" s="867">
        <f t="shared" ca="1" si="41"/>
        <v>49619010.393747531</v>
      </c>
      <c r="BG95" s="867">
        <f t="shared" ca="1" si="42"/>
        <v>185261303.9018046</v>
      </c>
      <c r="BI95" s="867">
        <f ca="1"/>
        <v>185261303.9018046</v>
      </c>
      <c r="BJ95" s="867">
        <f ca="1"/>
        <v>76936480.989819422</v>
      </c>
      <c r="BK95" s="867">
        <f ca="1"/>
        <v>4049288.4731483907</v>
      </c>
      <c r="BL95" s="867">
        <f t="shared" ca="1" si="43"/>
        <v>6319740.024061963</v>
      </c>
      <c r="BM95" s="867">
        <f t="shared" ca="1" si="44"/>
        <v>1071768.7760105086</v>
      </c>
      <c r="BN95" s="867">
        <f t="shared" ca="1" si="45"/>
        <v>6573678.0587363094</v>
      </c>
      <c r="BO95" s="867">
        <f t="shared" ca="1" si="46"/>
        <v>2075898.3343377821</v>
      </c>
      <c r="BP95" s="867">
        <f t="shared" ca="1" si="47"/>
        <v>6832048.0325768739</v>
      </c>
      <c r="BQ95" s="867">
        <f t="shared" ca="1" si="48"/>
        <v>3441708.4073883509</v>
      </c>
      <c r="BR95" s="867">
        <f ca="1"/>
        <v>38980346.402862497</v>
      </c>
      <c r="BS95" s="867">
        <f ca="1"/>
        <v>38980346.402862497</v>
      </c>
      <c r="BT95" s="867">
        <f t="shared" ca="1" si="9"/>
        <v>135642293.50805706</v>
      </c>
      <c r="BU95" s="867">
        <f t="shared" ca="1" si="49"/>
        <v>49619010.393747531</v>
      </c>
      <c r="BV95" s="829">
        <f t="shared" ca="1" si="10"/>
        <v>0</v>
      </c>
      <c r="BX95" s="867">
        <f ca="1"/>
        <v>185261303.9018046</v>
      </c>
      <c r="BY95" s="867">
        <f t="shared" ca="1" si="50"/>
        <v>80985769.462967813</v>
      </c>
      <c r="BZ95" s="867">
        <f t="shared" ca="1" si="51"/>
        <v>7391508.8000724716</v>
      </c>
      <c r="CA95" s="867">
        <f t="shared" ca="1" si="52"/>
        <v>8649576.3930740915</v>
      </c>
      <c r="CB95" s="867">
        <f t="shared" ca="1" si="53"/>
        <v>10273756.439965226</v>
      </c>
      <c r="CC95" s="867">
        <f t="shared" ca="1" si="54"/>
        <v>77960692.805724993</v>
      </c>
      <c r="CD95" s="867">
        <f t="shared" ca="1" si="55"/>
        <v>185261303.90180463</v>
      </c>
    </row>
    <row r="96" spans="1:82" ht="17" thickTop="1" thickBot="1">
      <c r="A96" s="773">
        <f t="shared" si="5"/>
        <v>1</v>
      </c>
      <c r="B96" s="779"/>
      <c r="C96" s="572"/>
      <c r="D96" s="660">
        <v>49</v>
      </c>
      <c r="E96" s="661">
        <v>46753</v>
      </c>
      <c r="F96" s="862">
        <v>5</v>
      </c>
      <c r="G96" s="863">
        <f ca="1"/>
        <v>-141108.53878073423</v>
      </c>
      <c r="H96" s="961"/>
      <c r="I96" s="865">
        <f t="shared" ca="1" si="11"/>
        <v>0</v>
      </c>
      <c r="J96" s="864" cm="1">
        <f t="array" aca="1" ref="J96" ca="1">IF($G96=0,0,-MIN(0,G96*c_equity.LPshare))</f>
        <v>134053.11184169751</v>
      </c>
      <c r="K96" s="865" cm="1">
        <f t="array" aca="1" ref="K96" ca="1">I96*c_rate.Pref.MO</f>
        <v>0</v>
      </c>
      <c r="L96" s="865">
        <f t="shared" ca="1" si="12"/>
        <v>0</v>
      </c>
      <c r="M96" s="865">
        <f t="shared" ca="1" si="13"/>
        <v>134053.11184169751</v>
      </c>
      <c r="N96" s="865">
        <f t="shared" ca="1" si="14"/>
        <v>-134053.11184169751</v>
      </c>
      <c r="O96" s="864" cm="1">
        <f t="array" aca="1" ref="O96" ca="1">IF(N96=0,0,IF(G96&lt;0,N96/c_equity.LPshare*i_equity.GPshare,L96/c_equity.LPshare*i_equity.GPshare))</f>
        <v>-7055.4269390367117</v>
      </c>
      <c r="P96" s="865">
        <f t="shared" ca="1" si="15"/>
        <v>-141108.53878073423</v>
      </c>
      <c r="Q96" s="865">
        <f t="shared" ca="1" si="16"/>
        <v>0</v>
      </c>
      <c r="R96" s="161"/>
      <c r="S96" s="867">
        <f t="shared" ca="1" si="17"/>
        <v>0</v>
      </c>
      <c r="T96" s="867" cm="1">
        <f t="array" aca="1" ref="T96" ca="1">IF($G96=0,0,-MIN(0,$G96*c_equity.LPshare))</f>
        <v>134053.11184169751</v>
      </c>
      <c r="U96" s="869" cm="1">
        <f t="array" aca="1" ref="U96" ca="1">IF($D96=0,0,S96*c_rate.Hurdle1.MO)</f>
        <v>0</v>
      </c>
      <c r="V96" s="867">
        <f t="shared" ca="1" si="18"/>
        <v>0</v>
      </c>
      <c r="W96" s="867">
        <f t="shared" ca="1" si="19"/>
        <v>0</v>
      </c>
      <c r="X96" s="869">
        <f t="shared" ca="1" si="20"/>
        <v>134053.11184169751</v>
      </c>
      <c r="Y96" s="869">
        <f t="shared" ca="1" si="21"/>
        <v>-134053.11184169751</v>
      </c>
      <c r="Z96" s="869">
        <f t="shared" ca="1" si="22"/>
        <v>-7055.4269390367117</v>
      </c>
      <c r="AA96" s="869">
        <f t="shared" ca="1" si="23"/>
        <v>-141108.53878073423</v>
      </c>
      <c r="AB96" s="867">
        <f t="shared" ca="1" si="24"/>
        <v>0</v>
      </c>
      <c r="AC96" s="161"/>
      <c r="AD96" s="869">
        <f t="shared" ca="1" si="25"/>
        <v>0</v>
      </c>
      <c r="AE96" s="867" cm="1">
        <f t="array" aca="1" ref="AE96" ca="1">IF($G96=0,0,-MIN(0,$G96*c_equity.LPshare))</f>
        <v>134053.11184169751</v>
      </c>
      <c r="AF96" s="869" cm="1">
        <f t="array" aca="1" ref="AF96" ca="1">IF($D96=0,0,AD96*(c_rate.Hurdle2.MO))</f>
        <v>0</v>
      </c>
      <c r="AG96" s="869">
        <f t="shared" ca="1" si="26"/>
        <v>0</v>
      </c>
      <c r="AH96" s="869">
        <f t="shared" ca="1" si="27"/>
        <v>0</v>
      </c>
      <c r="AI96" s="869">
        <f t="shared" ca="1" si="28"/>
        <v>134053.11184169751</v>
      </c>
      <c r="AJ96" s="868">
        <f t="shared" ca="1" si="6"/>
        <v>-134053.11184169751</v>
      </c>
      <c r="AK96" s="867">
        <f t="shared" ca="1" si="29"/>
        <v>-134053.11184169751</v>
      </c>
      <c r="AL96" s="869">
        <f t="shared" ca="1" si="56"/>
        <v>-7055.4269390367117</v>
      </c>
      <c r="AM96" s="869">
        <f t="shared" ca="1" si="30"/>
        <v>-141108.53878073423</v>
      </c>
      <c r="AN96" s="867">
        <f t="shared" ca="1" si="3"/>
        <v>0</v>
      </c>
      <c r="AO96" s="161"/>
      <c r="AP96" s="869">
        <f t="shared" ca="1" si="31"/>
        <v>0</v>
      </c>
      <c r="AQ96" s="867" cm="1">
        <f t="array" aca="1" ref="AQ96" ca="1">IF($G96=0,0,-MIN(0,$G96*c_equity.LPshare))</f>
        <v>134053.11184169751</v>
      </c>
      <c r="AR96" s="869" cm="1">
        <f t="array" aca="1" ref="AR96" ca="1">IF($D96=0,0,AP96*(c_rate.Hurdle3.MO))</f>
        <v>0</v>
      </c>
      <c r="AS96" s="869">
        <f t="shared" ca="1" si="32"/>
        <v>0</v>
      </c>
      <c r="AT96" s="869">
        <f t="shared" ca="1" si="33"/>
        <v>0</v>
      </c>
      <c r="AU96" s="869">
        <f t="shared" ca="1" si="34"/>
        <v>134053.11184169751</v>
      </c>
      <c r="AV96" s="870">
        <f t="shared" ca="1" si="35"/>
        <v>-134053.11184169751</v>
      </c>
      <c r="AW96" s="867">
        <f t="shared" ca="1" si="36"/>
        <v>-134053.11184169751</v>
      </c>
      <c r="AX96" s="869">
        <f t="shared" ca="1" si="57"/>
        <v>-7055.4269390367117</v>
      </c>
      <c r="AY96" s="869">
        <f t="shared" ca="1" si="37"/>
        <v>-141108.53878073423</v>
      </c>
      <c r="AZ96" s="867">
        <f t="shared" ca="1" si="38"/>
        <v>0</v>
      </c>
      <c r="BA96" s="161"/>
      <c r="BB96" s="867">
        <f t="shared" ca="1" si="39"/>
        <v>0</v>
      </c>
      <c r="BC96" s="867">
        <f t="shared" ca="1" si="4"/>
        <v>0</v>
      </c>
      <c r="BD96" s="658"/>
      <c r="BE96" s="867">
        <f t="shared" ca="1" si="40"/>
        <v>-134053.11184169751</v>
      </c>
      <c r="BF96" s="867">
        <f t="shared" ca="1" si="41"/>
        <v>-7055.4269390367117</v>
      </c>
      <c r="BG96" s="867">
        <f t="shared" ca="1" si="42"/>
        <v>-141108.53878073423</v>
      </c>
      <c r="BI96" s="867">
        <f ca="1"/>
        <v>-141108.53878073423</v>
      </c>
      <c r="BJ96" s="867">
        <f ca="1"/>
        <v>-134053.11184169751</v>
      </c>
      <c r="BK96" s="867">
        <f ca="1"/>
        <v>-7055.4269390367117</v>
      </c>
      <c r="BL96" s="867">
        <f t="shared" ca="1" si="43"/>
        <v>0</v>
      </c>
      <c r="BM96" s="867">
        <f t="shared" ca="1" si="44"/>
        <v>0</v>
      </c>
      <c r="BN96" s="867">
        <f t="shared" ca="1" si="45"/>
        <v>0</v>
      </c>
      <c r="BO96" s="867">
        <f t="shared" ca="1" si="46"/>
        <v>0</v>
      </c>
      <c r="BP96" s="867">
        <f t="shared" ca="1" si="47"/>
        <v>0</v>
      </c>
      <c r="BQ96" s="867">
        <f t="shared" ca="1" si="48"/>
        <v>0</v>
      </c>
      <c r="BR96" s="867">
        <f ca="1"/>
        <v>0</v>
      </c>
      <c r="BS96" s="867">
        <f ca="1"/>
        <v>0</v>
      </c>
      <c r="BT96" s="867">
        <f t="shared" ca="1" si="9"/>
        <v>-134053.11184169751</v>
      </c>
      <c r="BU96" s="867">
        <f t="shared" ca="1" si="49"/>
        <v>-7055.4269390367117</v>
      </c>
      <c r="BV96" s="829">
        <f t="shared" ca="1" si="10"/>
        <v>-1.4551915228366852E-11</v>
      </c>
      <c r="BX96" s="867">
        <f ca="1"/>
        <v>-141108.53878073423</v>
      </c>
      <c r="BY96" s="867">
        <f t="shared" ca="1" si="50"/>
        <v>-141108.53878073423</v>
      </c>
      <c r="BZ96" s="867">
        <f t="shared" ca="1" si="51"/>
        <v>0</v>
      </c>
      <c r="CA96" s="867">
        <f t="shared" ca="1" si="52"/>
        <v>0</v>
      </c>
      <c r="CB96" s="867">
        <f t="shared" ca="1" si="53"/>
        <v>0</v>
      </c>
      <c r="CC96" s="867">
        <f t="shared" ca="1" si="54"/>
        <v>0</v>
      </c>
      <c r="CD96" s="867">
        <f t="shared" ca="1" si="55"/>
        <v>-141108.53878073423</v>
      </c>
    </row>
    <row r="97" spans="1:82" ht="17" thickTop="1" thickBot="1">
      <c r="A97" s="773">
        <f t="shared" si="5"/>
        <v>1</v>
      </c>
      <c r="B97" s="779"/>
      <c r="C97" s="572"/>
      <c r="D97" s="660">
        <v>50</v>
      </c>
      <c r="E97" s="661">
        <v>46784</v>
      </c>
      <c r="F97" s="862">
        <v>5</v>
      </c>
      <c r="G97" s="863">
        <f ca="1"/>
        <v>-141108.53878073423</v>
      </c>
      <c r="H97" s="961"/>
      <c r="I97" s="865">
        <f t="shared" ca="1" si="11"/>
        <v>134053.11184169751</v>
      </c>
      <c r="J97" s="864" cm="1">
        <f t="array" aca="1" ref="J97" ca="1">IF($G97=0,0,-MIN(0,G97*c_equity.LPshare))</f>
        <v>134053.11184169751</v>
      </c>
      <c r="K97" s="865" cm="1">
        <f t="array" aca="1" ref="K97" ca="1">I97*c_rate.Pref.MO</f>
        <v>862.5017579291391</v>
      </c>
      <c r="L97" s="865">
        <f t="shared" ca="1" si="12"/>
        <v>0</v>
      </c>
      <c r="M97" s="865">
        <f t="shared" ca="1" si="13"/>
        <v>268968.72544132418</v>
      </c>
      <c r="N97" s="865">
        <f t="shared" ca="1" si="14"/>
        <v>-134053.11184169751</v>
      </c>
      <c r="O97" s="864" cm="1">
        <f t="array" aca="1" ref="O97" ca="1">IF(N97=0,0,IF(G97&lt;0,N97/c_equity.LPshare*i_equity.GPshare,L97/c_equity.LPshare*i_equity.GPshare))</f>
        <v>-7055.4269390367117</v>
      </c>
      <c r="P97" s="865">
        <f t="shared" ca="1" si="15"/>
        <v>-141108.53878073423</v>
      </c>
      <c r="Q97" s="865">
        <f t="shared" ca="1" si="16"/>
        <v>0</v>
      </c>
      <c r="R97" s="161"/>
      <c r="S97" s="867">
        <f t="shared" ca="1" si="17"/>
        <v>134053.11184169751</v>
      </c>
      <c r="T97" s="867" cm="1">
        <f t="array" aca="1" ref="T97" ca="1">IF($G97=0,0,-MIN(0,$G97*c_equity.LPshare))</f>
        <v>134053.11184169751</v>
      </c>
      <c r="U97" s="869" cm="1">
        <f t="array" aca="1" ref="U97" ca="1">IF($D97=0,0,S97*c_rate.Hurdle1.MO)</f>
        <v>1068.9583387572382</v>
      </c>
      <c r="V97" s="867">
        <f t="shared" ca="1" si="18"/>
        <v>0</v>
      </c>
      <c r="W97" s="867">
        <f t="shared" ca="1" si="19"/>
        <v>0</v>
      </c>
      <c r="X97" s="869">
        <f t="shared" ca="1" si="20"/>
        <v>269175.18202215224</v>
      </c>
      <c r="Y97" s="869">
        <f t="shared" ca="1" si="21"/>
        <v>-134053.11184169751</v>
      </c>
      <c r="Z97" s="869">
        <f t="shared" ca="1" si="22"/>
        <v>-7055.4269390367117</v>
      </c>
      <c r="AA97" s="869">
        <f t="shared" ca="1" si="23"/>
        <v>-141108.53878073423</v>
      </c>
      <c r="AB97" s="867">
        <f t="shared" ca="1" si="24"/>
        <v>0</v>
      </c>
      <c r="AC97" s="161"/>
      <c r="AD97" s="869">
        <f t="shared" ca="1" si="25"/>
        <v>134053.11184169751</v>
      </c>
      <c r="AE97" s="867" cm="1">
        <f t="array" aca="1" ref="AE97" ca="1">IF($G97=0,0,-MIN(0,$G97*c_equity.LPshare))</f>
        <v>134053.11184169751</v>
      </c>
      <c r="AF97" s="869" cm="1">
        <f t="array" aca="1" ref="AF97" ca="1">IF($D97=0,0,AD97*(c_rate.Hurdle2.MO))</f>
        <v>1272.0022205023702</v>
      </c>
      <c r="AG97" s="869">
        <f t="shared" ca="1" si="26"/>
        <v>0</v>
      </c>
      <c r="AH97" s="869">
        <f t="shared" ca="1" si="27"/>
        <v>0</v>
      </c>
      <c r="AI97" s="869">
        <f t="shared" ca="1" si="28"/>
        <v>269378.22590389737</v>
      </c>
      <c r="AJ97" s="868">
        <f t="shared" ca="1" si="6"/>
        <v>-134053.11184169751</v>
      </c>
      <c r="AK97" s="867">
        <f t="shared" ca="1" si="29"/>
        <v>-134053.11184169751</v>
      </c>
      <c r="AL97" s="869">
        <f t="shared" ca="1" si="56"/>
        <v>-7055.4269390367117</v>
      </c>
      <c r="AM97" s="869">
        <f t="shared" ca="1" si="30"/>
        <v>-141108.53878073423</v>
      </c>
      <c r="AN97" s="867">
        <f t="shared" ca="1" si="3"/>
        <v>0</v>
      </c>
      <c r="AO97" s="161"/>
      <c r="AP97" s="869">
        <f t="shared" ca="1" si="31"/>
        <v>134053.11184169751</v>
      </c>
      <c r="AQ97" s="867" cm="1">
        <f t="array" aca="1" ref="AQ97" ca="1">IF($G97=0,0,-MIN(0,$G97*c_equity.LPshare))</f>
        <v>134053.11184169751</v>
      </c>
      <c r="AR97" s="869" cm="1">
        <f t="array" aca="1" ref="AR97" ca="1">IF($D97=0,0,AP97*(c_rate.Hurdle3.MO))</f>
        <v>1471.7492683700405</v>
      </c>
      <c r="AS97" s="869">
        <f t="shared" ca="1" si="32"/>
        <v>0</v>
      </c>
      <c r="AT97" s="869">
        <f t="shared" ca="1" si="33"/>
        <v>0</v>
      </c>
      <c r="AU97" s="869">
        <f t="shared" ca="1" si="34"/>
        <v>269577.97295176506</v>
      </c>
      <c r="AV97" s="870">
        <f t="shared" ca="1" si="35"/>
        <v>-134053.11184169751</v>
      </c>
      <c r="AW97" s="867">
        <f t="shared" ca="1" si="36"/>
        <v>-134053.11184169751</v>
      </c>
      <c r="AX97" s="869">
        <f t="shared" ca="1" si="57"/>
        <v>-7055.4269390367117</v>
      </c>
      <c r="AY97" s="869">
        <f t="shared" ca="1" si="37"/>
        <v>-141108.53878073423</v>
      </c>
      <c r="AZ97" s="867">
        <f t="shared" ca="1" si="38"/>
        <v>0</v>
      </c>
      <c r="BA97" s="161"/>
      <c r="BB97" s="867">
        <f t="shared" ca="1" si="39"/>
        <v>0</v>
      </c>
      <c r="BC97" s="867">
        <f t="shared" ca="1" si="4"/>
        <v>0</v>
      </c>
      <c r="BD97" s="658"/>
      <c r="BE97" s="867">
        <f t="shared" ca="1" si="40"/>
        <v>-134053.11184169751</v>
      </c>
      <c r="BF97" s="867">
        <f t="shared" ca="1" si="41"/>
        <v>-7055.4269390367117</v>
      </c>
      <c r="BG97" s="867">
        <f t="shared" ca="1" si="42"/>
        <v>-141108.53878073423</v>
      </c>
      <c r="BI97" s="867">
        <f ca="1"/>
        <v>-141108.53878073423</v>
      </c>
      <c r="BJ97" s="867">
        <f ca="1"/>
        <v>-134053.11184169751</v>
      </c>
      <c r="BK97" s="867">
        <f ca="1"/>
        <v>-7055.4269390367117</v>
      </c>
      <c r="BL97" s="867">
        <f t="shared" ca="1" si="43"/>
        <v>0</v>
      </c>
      <c r="BM97" s="867">
        <f t="shared" ca="1" si="44"/>
        <v>0</v>
      </c>
      <c r="BN97" s="867">
        <f t="shared" ca="1" si="45"/>
        <v>0</v>
      </c>
      <c r="BO97" s="867">
        <f t="shared" ca="1" si="46"/>
        <v>0</v>
      </c>
      <c r="BP97" s="867">
        <f t="shared" ca="1" si="47"/>
        <v>0</v>
      </c>
      <c r="BQ97" s="867">
        <f t="shared" ca="1" si="48"/>
        <v>0</v>
      </c>
      <c r="BR97" s="867">
        <f ca="1"/>
        <v>0</v>
      </c>
      <c r="BS97" s="867">
        <f ca="1"/>
        <v>0</v>
      </c>
      <c r="BT97" s="867">
        <f t="shared" ca="1" si="9"/>
        <v>-134053.11184169751</v>
      </c>
      <c r="BU97" s="867">
        <f t="shared" ca="1" si="49"/>
        <v>-7055.4269390367117</v>
      </c>
      <c r="BV97" s="829">
        <f t="shared" ca="1" si="10"/>
        <v>-1.4551915228366852E-11</v>
      </c>
      <c r="BX97" s="867">
        <f ca="1"/>
        <v>-141108.53878073423</v>
      </c>
      <c r="BY97" s="867">
        <f t="shared" ca="1" si="50"/>
        <v>-141108.53878073423</v>
      </c>
      <c r="BZ97" s="867">
        <f t="shared" ca="1" si="51"/>
        <v>0</v>
      </c>
      <c r="CA97" s="867">
        <f t="shared" ca="1" si="52"/>
        <v>0</v>
      </c>
      <c r="CB97" s="867">
        <f t="shared" ca="1" si="53"/>
        <v>0</v>
      </c>
      <c r="CC97" s="867">
        <f t="shared" ca="1" si="54"/>
        <v>0</v>
      </c>
      <c r="CD97" s="867">
        <f t="shared" ca="1" si="55"/>
        <v>-141108.53878073423</v>
      </c>
    </row>
    <row r="98" spans="1:82" ht="17" thickTop="1" thickBot="1">
      <c r="A98" s="773">
        <f t="shared" si="5"/>
        <v>1</v>
      </c>
      <c r="B98" s="779"/>
      <c r="C98" s="572"/>
      <c r="D98" s="660">
        <v>51</v>
      </c>
      <c r="E98" s="661">
        <v>46813</v>
      </c>
      <c r="F98" s="862">
        <v>5</v>
      </c>
      <c r="G98" s="863">
        <f ca="1"/>
        <v>-141108.53878073423</v>
      </c>
      <c r="H98" s="961"/>
      <c r="I98" s="865">
        <f t="shared" ca="1" si="11"/>
        <v>268968.72544132418</v>
      </c>
      <c r="J98" s="864" cm="1">
        <f t="array" aca="1" ref="J98" ca="1">IF($G98=0,0,-MIN(0,G98*c_equity.LPshare))</f>
        <v>134053.11184169751</v>
      </c>
      <c r="K98" s="865" cm="1">
        <f t="array" aca="1" ref="K98" ca="1">I98*c_rate.Pref.MO</f>
        <v>1730.5528781387254</v>
      </c>
      <c r="L98" s="865">
        <f t="shared" ca="1" si="12"/>
        <v>0</v>
      </c>
      <c r="M98" s="865">
        <f t="shared" ca="1" si="13"/>
        <v>404752.39016116038</v>
      </c>
      <c r="N98" s="865">
        <f t="shared" ca="1" si="14"/>
        <v>-134053.11184169751</v>
      </c>
      <c r="O98" s="864" cm="1">
        <f t="array" aca="1" ref="O98" ca="1">IF(N98=0,0,IF(G98&lt;0,N98/c_equity.LPshare*i_equity.GPshare,L98/c_equity.LPshare*i_equity.GPshare))</f>
        <v>-7055.4269390367117</v>
      </c>
      <c r="P98" s="865">
        <f t="shared" ca="1" si="15"/>
        <v>-141108.53878073423</v>
      </c>
      <c r="Q98" s="865">
        <f t="shared" ca="1" si="16"/>
        <v>0</v>
      </c>
      <c r="R98" s="161"/>
      <c r="S98" s="867">
        <f t="shared" ca="1" si="17"/>
        <v>269175.18202215224</v>
      </c>
      <c r="T98" s="867" cm="1">
        <f t="array" aca="1" ref="T98" ca="1">IF($G98=0,0,-MIN(0,$G98*c_equity.LPshare))</f>
        <v>134053.11184169751</v>
      </c>
      <c r="U98" s="869" cm="1">
        <f t="array" aca="1" ref="U98" ca="1">IF($D98=0,0,S98*c_rate.Hurdle1.MO)</f>
        <v>2146.4407014203739</v>
      </c>
      <c r="V98" s="867">
        <f t="shared" ca="1" si="18"/>
        <v>0</v>
      </c>
      <c r="W98" s="867">
        <f t="shared" ca="1" si="19"/>
        <v>0</v>
      </c>
      <c r="X98" s="869">
        <f t="shared" ca="1" si="20"/>
        <v>405374.73456527008</v>
      </c>
      <c r="Y98" s="869">
        <f t="shared" ca="1" si="21"/>
        <v>-134053.11184169751</v>
      </c>
      <c r="Z98" s="869">
        <f t="shared" ca="1" si="22"/>
        <v>-7055.4269390367117</v>
      </c>
      <c r="AA98" s="869">
        <f t="shared" ca="1" si="23"/>
        <v>-141108.53878073423</v>
      </c>
      <c r="AB98" s="867">
        <f t="shared" ca="1" si="24"/>
        <v>0</v>
      </c>
      <c r="AC98" s="161"/>
      <c r="AD98" s="869">
        <f t="shared" ca="1" si="25"/>
        <v>269378.22590389737</v>
      </c>
      <c r="AE98" s="867" cm="1">
        <f t="array" aca="1" ref="AE98" ca="1">IF($G98=0,0,-MIN(0,$G98*c_equity.LPshare))</f>
        <v>134053.11184169751</v>
      </c>
      <c r="AF98" s="869" cm="1">
        <f t="array" aca="1" ref="AF98" ca="1">IF($D98=0,0,AD98*(c_rate.Hurdle2.MO))</f>
        <v>2556.0742066874168</v>
      </c>
      <c r="AG98" s="869">
        <f t="shared" ca="1" si="26"/>
        <v>0</v>
      </c>
      <c r="AH98" s="869">
        <f t="shared" ca="1" si="27"/>
        <v>0</v>
      </c>
      <c r="AI98" s="869">
        <f t="shared" ca="1" si="28"/>
        <v>405987.4119522823</v>
      </c>
      <c r="AJ98" s="868">
        <f t="shared" ca="1" si="6"/>
        <v>-134053.11184169751</v>
      </c>
      <c r="AK98" s="867">
        <f t="shared" ca="1" si="29"/>
        <v>-134053.11184169751</v>
      </c>
      <c r="AL98" s="869">
        <f t="shared" ca="1" si="56"/>
        <v>-7055.4269390367117</v>
      </c>
      <c r="AM98" s="869">
        <f t="shared" ca="1" si="30"/>
        <v>-141108.53878073423</v>
      </c>
      <c r="AN98" s="867">
        <f t="shared" ca="1" si="3"/>
        <v>0</v>
      </c>
      <c r="AO98" s="161"/>
      <c r="AP98" s="869">
        <f t="shared" ca="1" si="31"/>
        <v>269577.97295176506</v>
      </c>
      <c r="AQ98" s="867" cm="1">
        <f t="array" aca="1" ref="AQ98" ca="1">IF($G98=0,0,-MIN(0,$G98*c_equity.LPshare))</f>
        <v>134053.11184169751</v>
      </c>
      <c r="AR98" s="869" cm="1">
        <f t="array" aca="1" ref="AR98" ca="1">IF($D98=0,0,AP98*(c_rate.Hurdle3.MO))</f>
        <v>2959.6566540652916</v>
      </c>
      <c r="AS98" s="869">
        <f t="shared" ca="1" si="32"/>
        <v>0</v>
      </c>
      <c r="AT98" s="869">
        <f t="shared" ca="1" si="33"/>
        <v>0</v>
      </c>
      <c r="AU98" s="869">
        <f t="shared" ca="1" si="34"/>
        <v>406590.74144752789</v>
      </c>
      <c r="AV98" s="870">
        <f t="shared" ca="1" si="35"/>
        <v>-134053.11184169751</v>
      </c>
      <c r="AW98" s="867">
        <f t="shared" ca="1" si="36"/>
        <v>-134053.11184169751</v>
      </c>
      <c r="AX98" s="869">
        <f t="shared" ca="1" si="57"/>
        <v>-7055.4269390367117</v>
      </c>
      <c r="AY98" s="869">
        <f t="shared" ca="1" si="37"/>
        <v>-141108.53878073423</v>
      </c>
      <c r="AZ98" s="867">
        <f t="shared" ca="1" si="38"/>
        <v>0</v>
      </c>
      <c r="BA98" s="161"/>
      <c r="BB98" s="867">
        <f t="shared" ca="1" si="39"/>
        <v>0</v>
      </c>
      <c r="BC98" s="867">
        <f t="shared" ca="1" si="4"/>
        <v>0</v>
      </c>
      <c r="BD98" s="658"/>
      <c r="BE98" s="867">
        <f t="shared" ca="1" si="40"/>
        <v>-134053.11184169751</v>
      </c>
      <c r="BF98" s="867">
        <f t="shared" ca="1" si="41"/>
        <v>-7055.4269390367117</v>
      </c>
      <c r="BG98" s="867">
        <f t="shared" ca="1" si="42"/>
        <v>-141108.53878073423</v>
      </c>
      <c r="BI98" s="867">
        <f ca="1"/>
        <v>-141108.53878073423</v>
      </c>
      <c r="BJ98" s="867">
        <f ca="1"/>
        <v>-134053.11184169751</v>
      </c>
      <c r="BK98" s="867">
        <f ca="1"/>
        <v>-7055.4269390367117</v>
      </c>
      <c r="BL98" s="867">
        <f t="shared" ca="1" si="43"/>
        <v>0</v>
      </c>
      <c r="BM98" s="867">
        <f t="shared" ca="1" si="44"/>
        <v>0</v>
      </c>
      <c r="BN98" s="867">
        <f t="shared" ca="1" si="45"/>
        <v>0</v>
      </c>
      <c r="BO98" s="867">
        <f t="shared" ca="1" si="46"/>
        <v>0</v>
      </c>
      <c r="BP98" s="867">
        <f t="shared" ca="1" si="47"/>
        <v>0</v>
      </c>
      <c r="BQ98" s="867">
        <f t="shared" ca="1" si="48"/>
        <v>0</v>
      </c>
      <c r="BR98" s="867">
        <f ca="1"/>
        <v>0</v>
      </c>
      <c r="BS98" s="867">
        <f ca="1"/>
        <v>0</v>
      </c>
      <c r="BT98" s="867">
        <f t="shared" ca="1" si="9"/>
        <v>-134053.11184169751</v>
      </c>
      <c r="BU98" s="867">
        <f t="shared" ca="1" si="49"/>
        <v>-7055.4269390367117</v>
      </c>
      <c r="BV98" s="829">
        <f t="shared" ca="1" si="10"/>
        <v>-1.4551915228366852E-11</v>
      </c>
      <c r="BX98" s="867">
        <f ca="1"/>
        <v>-141108.53878073423</v>
      </c>
      <c r="BY98" s="867">
        <f t="shared" ca="1" si="50"/>
        <v>-141108.53878073423</v>
      </c>
      <c r="BZ98" s="867">
        <f t="shared" ca="1" si="51"/>
        <v>0</v>
      </c>
      <c r="CA98" s="867">
        <f t="shared" ca="1" si="52"/>
        <v>0</v>
      </c>
      <c r="CB98" s="867">
        <f t="shared" ca="1" si="53"/>
        <v>0</v>
      </c>
      <c r="CC98" s="867">
        <f t="shared" ca="1" si="54"/>
        <v>0</v>
      </c>
      <c r="CD98" s="867">
        <f t="shared" ca="1" si="55"/>
        <v>-141108.53878073423</v>
      </c>
    </row>
    <row r="99" spans="1:82" ht="17" thickTop="1" thickBot="1">
      <c r="A99" s="773">
        <f t="shared" si="5"/>
        <v>1</v>
      </c>
      <c r="B99" s="779"/>
      <c r="C99" s="572"/>
      <c r="D99" s="660">
        <v>52</v>
      </c>
      <c r="E99" s="661">
        <v>46844</v>
      </c>
      <c r="F99" s="862">
        <v>5</v>
      </c>
      <c r="G99" s="863">
        <f ca="1"/>
        <v>-141108.53878073423</v>
      </c>
      <c r="H99" s="961"/>
      <c r="I99" s="865">
        <f t="shared" ca="1" si="11"/>
        <v>404752.39016116038</v>
      </c>
      <c r="J99" s="864" cm="1">
        <f t="array" aca="1" ref="J99" ca="1">IF($G99=0,0,-MIN(0,G99*c_equity.LPshare))</f>
        <v>134053.11184169751</v>
      </c>
      <c r="K99" s="865" cm="1">
        <f t="array" aca="1" ref="K99" ca="1">I99*c_rate.Pref.MO</f>
        <v>2604.1890653927621</v>
      </c>
      <c r="L99" s="865">
        <f t="shared" ca="1" si="12"/>
        <v>0</v>
      </c>
      <c r="M99" s="865">
        <f t="shared" ca="1" si="13"/>
        <v>541409.69106825069</v>
      </c>
      <c r="N99" s="865">
        <f t="shared" ca="1" si="14"/>
        <v>-134053.11184169751</v>
      </c>
      <c r="O99" s="864" cm="1">
        <f t="array" aca="1" ref="O99" ca="1">IF(N99=0,0,IF(G99&lt;0,N99/c_equity.LPshare*i_equity.GPshare,L99/c_equity.LPshare*i_equity.GPshare))</f>
        <v>-7055.4269390367117</v>
      </c>
      <c r="P99" s="865">
        <f t="shared" ca="1" si="15"/>
        <v>-141108.53878073423</v>
      </c>
      <c r="Q99" s="865">
        <f t="shared" ca="1" si="16"/>
        <v>0</v>
      </c>
      <c r="R99" s="161"/>
      <c r="S99" s="867">
        <f t="shared" ca="1" si="17"/>
        <v>405374.73456527008</v>
      </c>
      <c r="T99" s="867" cm="1">
        <f t="array" aca="1" ref="T99" ca="1">IF($G99=0,0,-MIN(0,$G99*c_equity.LPshare))</f>
        <v>134053.11184169751</v>
      </c>
      <c r="U99" s="869" cm="1">
        <f t="array" aca="1" ref="U99" ca="1">IF($D99=0,0,S99*c_rate.Hurdle1.MO)</f>
        <v>3232.5150597530524</v>
      </c>
      <c r="V99" s="867">
        <f t="shared" ca="1" si="18"/>
        <v>0</v>
      </c>
      <c r="W99" s="867">
        <f t="shared" ca="1" si="19"/>
        <v>0</v>
      </c>
      <c r="X99" s="869">
        <f t="shared" ca="1" si="20"/>
        <v>542660.3614667207</v>
      </c>
      <c r="Y99" s="869">
        <f t="shared" ca="1" si="21"/>
        <v>-134053.11184169751</v>
      </c>
      <c r="Z99" s="869">
        <f t="shared" ca="1" si="22"/>
        <v>-7055.4269390367117</v>
      </c>
      <c r="AA99" s="869">
        <f t="shared" ca="1" si="23"/>
        <v>-141108.53878073423</v>
      </c>
      <c r="AB99" s="867">
        <f t="shared" ca="1" si="24"/>
        <v>0</v>
      </c>
      <c r="AC99" s="161"/>
      <c r="AD99" s="869">
        <f t="shared" ca="1" si="25"/>
        <v>405987.4119522823</v>
      </c>
      <c r="AE99" s="867" cm="1">
        <f t="array" aca="1" ref="AE99" ca="1">IF($G99=0,0,-MIN(0,$G99*c_equity.LPshare))</f>
        <v>134053.11184169751</v>
      </c>
      <c r="AF99" s="869" cm="1">
        <f t="array" aca="1" ref="AF99" ca="1">IF($D99=0,0,AD99*(c_rate.Hurdle2.MO))</f>
        <v>3852.3304860624726</v>
      </c>
      <c r="AG99" s="869">
        <f t="shared" ca="1" si="26"/>
        <v>0</v>
      </c>
      <c r="AH99" s="869">
        <f t="shared" ca="1" si="27"/>
        <v>0</v>
      </c>
      <c r="AI99" s="869">
        <f t="shared" ca="1" si="28"/>
        <v>543892.85428004223</v>
      </c>
      <c r="AJ99" s="868">
        <f t="shared" ca="1" si="6"/>
        <v>-134053.11184169751</v>
      </c>
      <c r="AK99" s="867">
        <f t="shared" ca="1" si="29"/>
        <v>-134053.11184169751</v>
      </c>
      <c r="AL99" s="869">
        <f t="shared" ca="1" si="56"/>
        <v>-7055.4269390367117</v>
      </c>
      <c r="AM99" s="869">
        <f t="shared" ca="1" si="30"/>
        <v>-141108.53878073423</v>
      </c>
      <c r="AN99" s="867">
        <f t="shared" ca="1" si="3"/>
        <v>0</v>
      </c>
      <c r="AO99" s="161"/>
      <c r="AP99" s="869">
        <f t="shared" ca="1" si="31"/>
        <v>406590.74144752789</v>
      </c>
      <c r="AQ99" s="867" cm="1">
        <f t="array" aca="1" ref="AQ99" ca="1">IF($G99=0,0,-MIN(0,$G99*c_equity.LPshare))</f>
        <v>134053.11184169751</v>
      </c>
      <c r="AR99" s="869" cm="1">
        <f t="array" aca="1" ref="AR99" ca="1">IF($D99=0,0,AP99*(c_rate.Hurdle3.MO))</f>
        <v>4463.8995546636615</v>
      </c>
      <c r="AS99" s="869">
        <f t="shared" ca="1" si="32"/>
        <v>0</v>
      </c>
      <c r="AT99" s="869">
        <f t="shared" ca="1" si="33"/>
        <v>0</v>
      </c>
      <c r="AU99" s="869">
        <f t="shared" ca="1" si="34"/>
        <v>545107.75284388906</v>
      </c>
      <c r="AV99" s="870">
        <f t="shared" ca="1" si="35"/>
        <v>-134053.11184169751</v>
      </c>
      <c r="AW99" s="867">
        <f t="shared" ca="1" si="36"/>
        <v>-134053.11184169751</v>
      </c>
      <c r="AX99" s="869">
        <f t="shared" ca="1" si="57"/>
        <v>-7055.4269390367117</v>
      </c>
      <c r="AY99" s="869">
        <f t="shared" ca="1" si="37"/>
        <v>-141108.53878073423</v>
      </c>
      <c r="AZ99" s="867">
        <f t="shared" ca="1" si="38"/>
        <v>0</v>
      </c>
      <c r="BA99" s="161"/>
      <c r="BB99" s="867">
        <f t="shared" ca="1" si="39"/>
        <v>0</v>
      </c>
      <c r="BC99" s="867">
        <f t="shared" ca="1" si="4"/>
        <v>0</v>
      </c>
      <c r="BD99" s="658"/>
      <c r="BE99" s="867">
        <f t="shared" ca="1" si="40"/>
        <v>-134053.11184169751</v>
      </c>
      <c r="BF99" s="867">
        <f t="shared" ca="1" si="41"/>
        <v>-7055.4269390367117</v>
      </c>
      <c r="BG99" s="867">
        <f t="shared" ca="1" si="42"/>
        <v>-141108.53878073423</v>
      </c>
      <c r="BI99" s="867">
        <f ca="1"/>
        <v>-141108.53878073423</v>
      </c>
      <c r="BJ99" s="867">
        <f ca="1"/>
        <v>-134053.11184169751</v>
      </c>
      <c r="BK99" s="867">
        <f ca="1"/>
        <v>-7055.4269390367117</v>
      </c>
      <c r="BL99" s="867">
        <f t="shared" ca="1" si="43"/>
        <v>0</v>
      </c>
      <c r="BM99" s="867">
        <f t="shared" ca="1" si="44"/>
        <v>0</v>
      </c>
      <c r="BN99" s="867">
        <f t="shared" ca="1" si="45"/>
        <v>0</v>
      </c>
      <c r="BO99" s="867">
        <f t="shared" ca="1" si="46"/>
        <v>0</v>
      </c>
      <c r="BP99" s="867">
        <f t="shared" ca="1" si="47"/>
        <v>0</v>
      </c>
      <c r="BQ99" s="867">
        <f t="shared" ca="1" si="48"/>
        <v>0</v>
      </c>
      <c r="BR99" s="867">
        <f ca="1"/>
        <v>0</v>
      </c>
      <c r="BS99" s="867">
        <f ca="1"/>
        <v>0</v>
      </c>
      <c r="BT99" s="867">
        <f t="shared" ca="1" si="9"/>
        <v>-134053.11184169751</v>
      </c>
      <c r="BU99" s="867">
        <f t="shared" ca="1" si="49"/>
        <v>-7055.4269390367117</v>
      </c>
      <c r="BV99" s="829">
        <f t="shared" ca="1" si="10"/>
        <v>-1.4551915228366852E-11</v>
      </c>
      <c r="BX99" s="867">
        <f ca="1"/>
        <v>-141108.53878073423</v>
      </c>
      <c r="BY99" s="867">
        <f t="shared" ca="1" si="50"/>
        <v>-141108.53878073423</v>
      </c>
      <c r="BZ99" s="867">
        <f t="shared" ca="1" si="51"/>
        <v>0</v>
      </c>
      <c r="CA99" s="867">
        <f t="shared" ca="1" si="52"/>
        <v>0</v>
      </c>
      <c r="CB99" s="867">
        <f t="shared" ca="1" si="53"/>
        <v>0</v>
      </c>
      <c r="CC99" s="867">
        <f t="shared" ca="1" si="54"/>
        <v>0</v>
      </c>
      <c r="CD99" s="867">
        <f t="shared" ca="1" si="55"/>
        <v>-141108.53878073423</v>
      </c>
    </row>
    <row r="100" spans="1:82" ht="17" thickTop="1" thickBot="1">
      <c r="A100" s="773">
        <f t="shared" si="5"/>
        <v>1</v>
      </c>
      <c r="B100" s="779"/>
      <c r="C100" s="572"/>
      <c r="D100" s="660">
        <v>53</v>
      </c>
      <c r="E100" s="661">
        <v>46874</v>
      </c>
      <c r="F100" s="862">
        <v>5</v>
      </c>
      <c r="G100" s="863">
        <f ca="1"/>
        <v>-141108.53878073423</v>
      </c>
      <c r="H100" s="961"/>
      <c r="I100" s="865">
        <f t="shared" ca="1" si="11"/>
        <v>541409.69106825069</v>
      </c>
      <c r="J100" s="864" cm="1">
        <f t="array" aca="1" ref="J100" ca="1">IF($G100=0,0,-MIN(0,G100*c_equity.LPshare))</f>
        <v>134053.11184169751</v>
      </c>
      <c r="K100" s="865" cm="1">
        <f t="array" aca="1" ref="K100" ca="1">I100*c_rate.Pref.MO</f>
        <v>3483.4462541807802</v>
      </c>
      <c r="L100" s="865">
        <f t="shared" ca="1" si="12"/>
        <v>0</v>
      </c>
      <c r="M100" s="865">
        <f t="shared" ca="1" si="13"/>
        <v>678946.24916412891</v>
      </c>
      <c r="N100" s="865">
        <f t="shared" ca="1" si="14"/>
        <v>-134053.11184169751</v>
      </c>
      <c r="O100" s="864" cm="1">
        <f t="array" aca="1" ref="O100" ca="1">IF(N100=0,0,IF(G100&lt;0,N100/c_equity.LPshare*i_equity.GPshare,L100/c_equity.LPshare*i_equity.GPshare))</f>
        <v>-7055.4269390367117</v>
      </c>
      <c r="P100" s="865">
        <f t="shared" ca="1" si="15"/>
        <v>-141108.53878073423</v>
      </c>
      <c r="Q100" s="865">
        <f t="shared" ca="1" si="16"/>
        <v>0</v>
      </c>
      <c r="R100" s="161"/>
      <c r="S100" s="867">
        <f t="shared" ca="1" si="17"/>
        <v>542660.3614667207</v>
      </c>
      <c r="T100" s="867" cm="1">
        <f t="array" aca="1" ref="T100" ca="1">IF($G100=0,0,-MIN(0,$G100*c_equity.LPshare))</f>
        <v>134053.11184169751</v>
      </c>
      <c r="U100" s="869" cm="1">
        <f t="array" aca="1" ref="U100" ca="1">IF($D100=0,0,S100*c_rate.Hurdle1.MO)</f>
        <v>4327.2499275353084</v>
      </c>
      <c r="V100" s="867">
        <f t="shared" ca="1" si="18"/>
        <v>0</v>
      </c>
      <c r="W100" s="867">
        <f t="shared" ca="1" si="19"/>
        <v>0</v>
      </c>
      <c r="X100" s="869">
        <f t="shared" ca="1" si="20"/>
        <v>681040.72323595348</v>
      </c>
      <c r="Y100" s="869">
        <f t="shared" ca="1" si="21"/>
        <v>-134053.11184169751</v>
      </c>
      <c r="Z100" s="869">
        <f t="shared" ca="1" si="22"/>
        <v>-7055.4269390367117</v>
      </c>
      <c r="AA100" s="869">
        <f t="shared" ca="1" si="23"/>
        <v>-141108.53878073423</v>
      </c>
      <c r="AB100" s="867">
        <f t="shared" ca="1" si="24"/>
        <v>0</v>
      </c>
      <c r="AC100" s="161"/>
      <c r="AD100" s="869">
        <f t="shared" ca="1" si="25"/>
        <v>543892.85428004223</v>
      </c>
      <c r="AE100" s="867" cm="1">
        <f t="array" aca="1" ref="AE100" ca="1">IF($G100=0,0,-MIN(0,$G100*c_equity.LPshare))</f>
        <v>134053.11184169751</v>
      </c>
      <c r="AF100" s="869" cm="1">
        <f t="array" aca="1" ref="AF100" ca="1">IF($D100=0,0,AD100*(c_rate.Hurdle2.MO))</f>
        <v>5160.8866728626708</v>
      </c>
      <c r="AG100" s="869">
        <f t="shared" ca="1" si="26"/>
        <v>0</v>
      </c>
      <c r="AH100" s="869">
        <f t="shared" ca="1" si="27"/>
        <v>0</v>
      </c>
      <c r="AI100" s="869">
        <f t="shared" ca="1" si="28"/>
        <v>683106.8527946024</v>
      </c>
      <c r="AJ100" s="868">
        <f t="shared" ca="1" si="6"/>
        <v>-134053.11184169751</v>
      </c>
      <c r="AK100" s="867">
        <f t="shared" ca="1" si="29"/>
        <v>-134053.11184169751</v>
      </c>
      <c r="AL100" s="869">
        <f t="shared" ca="1" si="56"/>
        <v>-7055.4269390367117</v>
      </c>
      <c r="AM100" s="869">
        <f t="shared" ca="1" si="30"/>
        <v>-141108.53878073423</v>
      </c>
      <c r="AN100" s="867">
        <f t="shared" ca="1" si="3"/>
        <v>0</v>
      </c>
      <c r="AO100" s="161"/>
      <c r="AP100" s="869">
        <f t="shared" ca="1" si="31"/>
        <v>545107.75284388906</v>
      </c>
      <c r="AQ100" s="867" cm="1">
        <f t="array" aca="1" ref="AQ100" ca="1">IF($G100=0,0,-MIN(0,$G100*c_equity.LPshare))</f>
        <v>134053.11184169751</v>
      </c>
      <c r="AR100" s="869" cm="1">
        <f t="array" aca="1" ref="AR100" ca="1">IF($D100=0,0,AP100*(c_rate.Hurdle3.MO))</f>
        <v>5984.6573153647996</v>
      </c>
      <c r="AS100" s="869">
        <f t="shared" ca="1" si="32"/>
        <v>0</v>
      </c>
      <c r="AT100" s="869">
        <f t="shared" ca="1" si="33"/>
        <v>0</v>
      </c>
      <c r="AU100" s="869">
        <f t="shared" ca="1" si="34"/>
        <v>685145.52200095134</v>
      </c>
      <c r="AV100" s="870">
        <f t="shared" ca="1" si="35"/>
        <v>-134053.11184169751</v>
      </c>
      <c r="AW100" s="867">
        <f t="shared" ca="1" si="36"/>
        <v>-134053.11184169751</v>
      </c>
      <c r="AX100" s="869">
        <f t="shared" ca="1" si="57"/>
        <v>-7055.4269390367117</v>
      </c>
      <c r="AY100" s="869">
        <f t="shared" ca="1" si="37"/>
        <v>-141108.53878073423</v>
      </c>
      <c r="AZ100" s="867">
        <f t="shared" ca="1" si="38"/>
        <v>0</v>
      </c>
      <c r="BA100" s="161"/>
      <c r="BB100" s="867">
        <f t="shared" ca="1" si="39"/>
        <v>0</v>
      </c>
      <c r="BC100" s="867">
        <f t="shared" ca="1" si="4"/>
        <v>0</v>
      </c>
      <c r="BD100" s="658"/>
      <c r="BE100" s="867">
        <f t="shared" ca="1" si="40"/>
        <v>-134053.11184169751</v>
      </c>
      <c r="BF100" s="867">
        <f t="shared" ca="1" si="41"/>
        <v>-7055.4269390367117</v>
      </c>
      <c r="BG100" s="867">
        <f t="shared" ca="1" si="42"/>
        <v>-141108.53878073423</v>
      </c>
      <c r="BI100" s="867">
        <f ca="1"/>
        <v>-141108.53878073423</v>
      </c>
      <c r="BJ100" s="867">
        <f ca="1"/>
        <v>-134053.11184169751</v>
      </c>
      <c r="BK100" s="867">
        <f ca="1"/>
        <v>-7055.4269390367117</v>
      </c>
      <c r="BL100" s="867">
        <f t="shared" ca="1" si="43"/>
        <v>0</v>
      </c>
      <c r="BM100" s="867">
        <f t="shared" ca="1" si="44"/>
        <v>0</v>
      </c>
      <c r="BN100" s="867">
        <f t="shared" ca="1" si="45"/>
        <v>0</v>
      </c>
      <c r="BO100" s="867">
        <f t="shared" ca="1" si="46"/>
        <v>0</v>
      </c>
      <c r="BP100" s="867">
        <f t="shared" ca="1" si="47"/>
        <v>0</v>
      </c>
      <c r="BQ100" s="867">
        <f t="shared" ca="1" si="48"/>
        <v>0</v>
      </c>
      <c r="BR100" s="867">
        <f ca="1"/>
        <v>0</v>
      </c>
      <c r="BS100" s="867">
        <f ca="1"/>
        <v>0</v>
      </c>
      <c r="BT100" s="867">
        <f t="shared" ca="1" si="9"/>
        <v>-134053.11184169751</v>
      </c>
      <c r="BU100" s="867">
        <f t="shared" ca="1" si="49"/>
        <v>-7055.4269390367117</v>
      </c>
      <c r="BV100" s="829">
        <f t="shared" ca="1" si="10"/>
        <v>-1.4551915228366852E-11</v>
      </c>
      <c r="BX100" s="867">
        <f ca="1"/>
        <v>-141108.53878073423</v>
      </c>
      <c r="BY100" s="867">
        <f t="shared" ca="1" si="50"/>
        <v>-141108.53878073423</v>
      </c>
      <c r="BZ100" s="867">
        <f t="shared" ca="1" si="51"/>
        <v>0</v>
      </c>
      <c r="CA100" s="867">
        <f t="shared" ca="1" si="52"/>
        <v>0</v>
      </c>
      <c r="CB100" s="867">
        <f t="shared" ca="1" si="53"/>
        <v>0</v>
      </c>
      <c r="CC100" s="867">
        <f t="shared" ca="1" si="54"/>
        <v>0</v>
      </c>
      <c r="CD100" s="867">
        <f t="shared" ca="1" si="55"/>
        <v>-141108.53878073423</v>
      </c>
    </row>
    <row r="101" spans="1:82" ht="17" thickTop="1" thickBot="1">
      <c r="A101" s="773">
        <f t="shared" si="5"/>
        <v>1</v>
      </c>
      <c r="B101" s="779"/>
      <c r="C101" s="572"/>
      <c r="D101" s="660">
        <v>54</v>
      </c>
      <c r="E101" s="661">
        <v>46905</v>
      </c>
      <c r="F101" s="862">
        <v>5</v>
      </c>
      <c r="G101" s="863">
        <f ca="1"/>
        <v>-141108.53878073423</v>
      </c>
      <c r="H101" s="961"/>
      <c r="I101" s="865">
        <f t="shared" ca="1" si="11"/>
        <v>678946.24916412891</v>
      </c>
      <c r="J101" s="864" cm="1">
        <f t="array" aca="1" ref="J101" ca="1">IF($G101=0,0,-MIN(0,G101*c_equity.LPshare))</f>
        <v>134053.11184169751</v>
      </c>
      <c r="K101" s="865" cm="1">
        <f t="array" aca="1" ref="K101" ca="1">I101*c_rate.Pref.MO</f>
        <v>4368.3606101958967</v>
      </c>
      <c r="L101" s="865">
        <f t="shared" ca="1" si="12"/>
        <v>0</v>
      </c>
      <c r="M101" s="865">
        <f t="shared" ca="1" si="13"/>
        <v>817367.72161602229</v>
      </c>
      <c r="N101" s="865">
        <f t="shared" ca="1" si="14"/>
        <v>-134053.11184169751</v>
      </c>
      <c r="O101" s="864" cm="1">
        <f t="array" aca="1" ref="O101" ca="1">IF(N101=0,0,IF(G101&lt;0,N101/c_equity.LPshare*i_equity.GPshare,L101/c_equity.LPshare*i_equity.GPshare))</f>
        <v>-7055.4269390367117</v>
      </c>
      <c r="P101" s="865">
        <f t="shared" ca="1" si="15"/>
        <v>-141108.53878073423</v>
      </c>
      <c r="Q101" s="865">
        <f t="shared" ca="1" si="16"/>
        <v>0</v>
      </c>
      <c r="R101" s="161"/>
      <c r="S101" s="867">
        <f t="shared" ca="1" si="17"/>
        <v>681040.72323595348</v>
      </c>
      <c r="T101" s="867" cm="1">
        <f t="array" aca="1" ref="T101" ca="1">IF($G101=0,0,-MIN(0,$G101*c_equity.LPshare))</f>
        <v>134053.11184169751</v>
      </c>
      <c r="U101" s="869" cm="1">
        <f t="array" aca="1" ref="U101" ca="1">IF($D101=0,0,S101*c_rate.Hurdle1.MO)</f>
        <v>5430.7143648856763</v>
      </c>
      <c r="V101" s="867">
        <f t="shared" ca="1" si="18"/>
        <v>0</v>
      </c>
      <c r="W101" s="867">
        <f t="shared" ca="1" si="19"/>
        <v>0</v>
      </c>
      <c r="X101" s="869">
        <f t="shared" ca="1" si="20"/>
        <v>820524.54944253666</v>
      </c>
      <c r="Y101" s="869">
        <f t="shared" ca="1" si="21"/>
        <v>-134053.11184169751</v>
      </c>
      <c r="Z101" s="869">
        <f t="shared" ca="1" si="22"/>
        <v>-7055.4269390367117</v>
      </c>
      <c r="AA101" s="869">
        <f t="shared" ca="1" si="23"/>
        <v>-141108.53878073423</v>
      </c>
      <c r="AB101" s="867">
        <f t="shared" ca="1" si="24"/>
        <v>0</v>
      </c>
      <c r="AC101" s="161"/>
      <c r="AD101" s="869">
        <f t="shared" ca="1" si="25"/>
        <v>683106.8527946024</v>
      </c>
      <c r="AE101" s="867" cm="1">
        <f t="array" aca="1" ref="AE101" ca="1">IF($G101=0,0,-MIN(0,$G101*c_equity.LPshare))</f>
        <v>134053.11184169751</v>
      </c>
      <c r="AF101" s="869" cm="1">
        <f t="array" aca="1" ref="AF101" ca="1">IF($D101=0,0,AD101*(c_rate.Hurdle2.MO))</f>
        <v>6481.8594783626841</v>
      </c>
      <c r="AG101" s="869">
        <f t="shared" ca="1" si="26"/>
        <v>0</v>
      </c>
      <c r="AH101" s="869">
        <f t="shared" ca="1" si="27"/>
        <v>0</v>
      </c>
      <c r="AI101" s="869">
        <f t="shared" ca="1" si="28"/>
        <v>823641.8241146626</v>
      </c>
      <c r="AJ101" s="868">
        <f t="shared" ca="1" si="6"/>
        <v>-134053.11184169751</v>
      </c>
      <c r="AK101" s="867">
        <f t="shared" ca="1" si="29"/>
        <v>-134053.11184169751</v>
      </c>
      <c r="AL101" s="869">
        <f t="shared" ca="1" si="56"/>
        <v>-7055.4269390367117</v>
      </c>
      <c r="AM101" s="869">
        <f t="shared" ca="1" si="30"/>
        <v>-141108.53878073423</v>
      </c>
      <c r="AN101" s="867">
        <f t="shared" ca="1" si="3"/>
        <v>0</v>
      </c>
      <c r="AO101" s="161"/>
      <c r="AP101" s="869">
        <f t="shared" ca="1" si="31"/>
        <v>685145.52200095134</v>
      </c>
      <c r="AQ101" s="867" cm="1">
        <f t="array" aca="1" ref="AQ101" ca="1">IF($G101=0,0,-MIN(0,$G101*c_equity.LPshare))</f>
        <v>134053.11184169751</v>
      </c>
      <c r="AR101" s="869" cm="1">
        <f t="array" aca="1" ref="AR101" ca="1">IF($D101=0,0,AP101*(c_rate.Hurdle3.MO))</f>
        <v>7522.1112503727518</v>
      </c>
      <c r="AS101" s="869">
        <f t="shared" ca="1" si="32"/>
        <v>0</v>
      </c>
      <c r="AT101" s="869">
        <f t="shared" ca="1" si="33"/>
        <v>0</v>
      </c>
      <c r="AU101" s="869">
        <f t="shared" ca="1" si="34"/>
        <v>826720.74509302154</v>
      </c>
      <c r="AV101" s="870">
        <f t="shared" ca="1" si="35"/>
        <v>-134053.11184169751</v>
      </c>
      <c r="AW101" s="867">
        <f t="shared" ca="1" si="36"/>
        <v>-134053.11184169751</v>
      </c>
      <c r="AX101" s="869">
        <f t="shared" ca="1" si="57"/>
        <v>-7055.4269390367117</v>
      </c>
      <c r="AY101" s="869">
        <f t="shared" ca="1" si="37"/>
        <v>-141108.53878073423</v>
      </c>
      <c r="AZ101" s="867">
        <f t="shared" ca="1" si="38"/>
        <v>0</v>
      </c>
      <c r="BA101" s="161"/>
      <c r="BB101" s="867">
        <f t="shared" ca="1" si="39"/>
        <v>0</v>
      </c>
      <c r="BC101" s="867">
        <f t="shared" ca="1" si="4"/>
        <v>0</v>
      </c>
      <c r="BD101" s="658"/>
      <c r="BE101" s="867">
        <f t="shared" ca="1" si="40"/>
        <v>-134053.11184169751</v>
      </c>
      <c r="BF101" s="867">
        <f t="shared" ca="1" si="41"/>
        <v>-7055.4269390367117</v>
      </c>
      <c r="BG101" s="867">
        <f t="shared" ca="1" si="42"/>
        <v>-141108.53878073423</v>
      </c>
      <c r="BI101" s="867">
        <f ca="1"/>
        <v>-141108.53878073423</v>
      </c>
      <c r="BJ101" s="867">
        <f ca="1"/>
        <v>-134053.11184169751</v>
      </c>
      <c r="BK101" s="867">
        <f ca="1"/>
        <v>-7055.4269390367117</v>
      </c>
      <c r="BL101" s="867">
        <f t="shared" ca="1" si="43"/>
        <v>0</v>
      </c>
      <c r="BM101" s="867">
        <f t="shared" ca="1" si="44"/>
        <v>0</v>
      </c>
      <c r="BN101" s="867">
        <f t="shared" ca="1" si="45"/>
        <v>0</v>
      </c>
      <c r="BO101" s="867">
        <f t="shared" ca="1" si="46"/>
        <v>0</v>
      </c>
      <c r="BP101" s="867">
        <f t="shared" ca="1" si="47"/>
        <v>0</v>
      </c>
      <c r="BQ101" s="867">
        <f t="shared" ca="1" si="48"/>
        <v>0</v>
      </c>
      <c r="BR101" s="867">
        <f ca="1"/>
        <v>0</v>
      </c>
      <c r="BS101" s="867">
        <f ca="1"/>
        <v>0</v>
      </c>
      <c r="BT101" s="867">
        <f t="shared" ca="1" si="9"/>
        <v>-134053.11184169751</v>
      </c>
      <c r="BU101" s="867">
        <f t="shared" ca="1" si="49"/>
        <v>-7055.4269390367117</v>
      </c>
      <c r="BV101" s="829">
        <f t="shared" ca="1" si="10"/>
        <v>-1.4551915228366852E-11</v>
      </c>
      <c r="BX101" s="867">
        <f ca="1"/>
        <v>-141108.53878073423</v>
      </c>
      <c r="BY101" s="867">
        <f t="shared" ca="1" si="50"/>
        <v>-141108.53878073423</v>
      </c>
      <c r="BZ101" s="867">
        <f t="shared" ca="1" si="51"/>
        <v>0</v>
      </c>
      <c r="CA101" s="867">
        <f t="shared" ca="1" si="52"/>
        <v>0</v>
      </c>
      <c r="CB101" s="867">
        <f t="shared" ca="1" si="53"/>
        <v>0</v>
      </c>
      <c r="CC101" s="867">
        <f t="shared" ca="1" si="54"/>
        <v>0</v>
      </c>
      <c r="CD101" s="867">
        <f t="shared" ca="1" si="55"/>
        <v>-141108.53878073423</v>
      </c>
    </row>
    <row r="102" spans="1:82" ht="17" thickTop="1" thickBot="1">
      <c r="A102" s="773">
        <f t="shared" si="5"/>
        <v>1</v>
      </c>
      <c r="B102" s="779"/>
      <c r="C102" s="572"/>
      <c r="D102" s="660">
        <v>55</v>
      </c>
      <c r="E102" s="661">
        <v>46935</v>
      </c>
      <c r="F102" s="862">
        <v>5</v>
      </c>
      <c r="G102" s="863">
        <f ca="1"/>
        <v>-141108.53878073423</v>
      </c>
      <c r="H102" s="961"/>
      <c r="I102" s="865">
        <f t="shared" ca="1" si="11"/>
        <v>817367.72161602229</v>
      </c>
      <c r="J102" s="864" cm="1">
        <f t="array" aca="1" ref="J102" ca="1">IF($G102=0,0,-MIN(0,G102*c_equity.LPshare))</f>
        <v>134053.11184169751</v>
      </c>
      <c r="K102" s="865" cm="1">
        <f t="array" aca="1" ref="K102" ca="1">I102*c_rate.Pref.MO</f>
        <v>5258.9685318223892</v>
      </c>
      <c r="L102" s="865">
        <f t="shared" ca="1" si="12"/>
        <v>0</v>
      </c>
      <c r="M102" s="865">
        <f t="shared" ca="1" si="13"/>
        <v>956679.8019895422</v>
      </c>
      <c r="N102" s="865">
        <f t="shared" ca="1" si="14"/>
        <v>-134053.11184169751</v>
      </c>
      <c r="O102" s="864" cm="1">
        <f t="array" aca="1" ref="O102" ca="1">IF(N102=0,0,IF(G102&lt;0,N102/c_equity.LPshare*i_equity.GPshare,L102/c_equity.LPshare*i_equity.GPshare))</f>
        <v>-7055.4269390367117</v>
      </c>
      <c r="P102" s="865">
        <f t="shared" ca="1" si="15"/>
        <v>-141108.53878073423</v>
      </c>
      <c r="Q102" s="865">
        <f t="shared" ca="1" si="16"/>
        <v>0</v>
      </c>
      <c r="R102" s="161"/>
      <c r="S102" s="867">
        <f t="shared" ca="1" si="17"/>
        <v>820524.54944253666</v>
      </c>
      <c r="T102" s="867" cm="1">
        <f t="array" aca="1" ref="T102" ca="1">IF($G102=0,0,-MIN(0,$G102*c_equity.LPshare))</f>
        <v>134053.11184169751</v>
      </c>
      <c r="U102" s="869" cm="1">
        <f t="array" aca="1" ref="U102" ca="1">IF($D102=0,0,S102*c_rate.Hurdle1.MO)</f>
        <v>6542.9779826177773</v>
      </c>
      <c r="V102" s="867">
        <f t="shared" ca="1" si="18"/>
        <v>0</v>
      </c>
      <c r="W102" s="867">
        <f t="shared" ca="1" si="19"/>
        <v>0</v>
      </c>
      <c r="X102" s="869">
        <f t="shared" ca="1" si="20"/>
        <v>961120.63926685194</v>
      </c>
      <c r="Y102" s="869">
        <f t="shared" ca="1" si="21"/>
        <v>-134053.11184169751</v>
      </c>
      <c r="Z102" s="869">
        <f t="shared" ca="1" si="22"/>
        <v>-7055.4269390367117</v>
      </c>
      <c r="AA102" s="869">
        <f t="shared" ca="1" si="23"/>
        <v>-141108.53878073423</v>
      </c>
      <c r="AB102" s="867">
        <f t="shared" ca="1" si="24"/>
        <v>0</v>
      </c>
      <c r="AC102" s="161"/>
      <c r="AD102" s="869">
        <f t="shared" ca="1" si="25"/>
        <v>823641.8241146626</v>
      </c>
      <c r="AE102" s="867" cm="1">
        <f t="array" aca="1" ref="AE102" ca="1">IF($G102=0,0,-MIN(0,$G102*c_equity.LPshare))</f>
        <v>134053.11184169751</v>
      </c>
      <c r="AF102" s="869" cm="1">
        <f t="array" aca="1" ref="AF102" ca="1">IF($D102=0,0,AD102*(c_rate.Hurdle2.MO))</f>
        <v>7815.366721286302</v>
      </c>
      <c r="AG102" s="869">
        <f t="shared" ca="1" si="26"/>
        <v>0</v>
      </c>
      <c r="AH102" s="869">
        <f t="shared" ca="1" si="27"/>
        <v>0</v>
      </c>
      <c r="AI102" s="869">
        <f t="shared" ca="1" si="28"/>
        <v>965510.3026776464</v>
      </c>
      <c r="AJ102" s="868">
        <f t="shared" ca="1" si="6"/>
        <v>-134053.11184169751</v>
      </c>
      <c r="AK102" s="867">
        <f t="shared" ca="1" si="29"/>
        <v>-134053.11184169751</v>
      </c>
      <c r="AL102" s="869">
        <f t="shared" ca="1" si="56"/>
        <v>-7055.4269390367117</v>
      </c>
      <c r="AM102" s="869">
        <f t="shared" ca="1" si="30"/>
        <v>-141108.53878073423</v>
      </c>
      <c r="AN102" s="867">
        <f t="shared" ca="1" si="3"/>
        <v>0</v>
      </c>
      <c r="AO102" s="161"/>
      <c r="AP102" s="869">
        <f t="shared" ca="1" si="31"/>
        <v>826720.74509302154</v>
      </c>
      <c r="AQ102" s="867" cm="1">
        <f t="array" aca="1" ref="AQ102" ca="1">IF($G102=0,0,-MIN(0,$G102*c_equity.LPshare))</f>
        <v>134053.11184169751</v>
      </c>
      <c r="AR102" s="869" cm="1">
        <f t="array" aca="1" ref="AR102" ca="1">IF($D102=0,0,AP102*(c_rate.Hurdle3.MO))</f>
        <v>9076.4446645133685</v>
      </c>
      <c r="AS102" s="869">
        <f t="shared" ca="1" si="32"/>
        <v>0</v>
      </c>
      <c r="AT102" s="869">
        <f t="shared" ca="1" si="33"/>
        <v>0</v>
      </c>
      <c r="AU102" s="869">
        <f t="shared" ca="1" si="34"/>
        <v>969850.30159923236</v>
      </c>
      <c r="AV102" s="870">
        <f t="shared" ca="1" si="35"/>
        <v>-134053.11184169751</v>
      </c>
      <c r="AW102" s="867">
        <f t="shared" ca="1" si="36"/>
        <v>-134053.11184169751</v>
      </c>
      <c r="AX102" s="869">
        <f t="shared" ca="1" si="57"/>
        <v>-7055.4269390367117</v>
      </c>
      <c r="AY102" s="869">
        <f t="shared" ca="1" si="37"/>
        <v>-141108.53878073423</v>
      </c>
      <c r="AZ102" s="867">
        <f t="shared" ca="1" si="38"/>
        <v>0</v>
      </c>
      <c r="BA102" s="161"/>
      <c r="BB102" s="867">
        <f t="shared" ca="1" si="39"/>
        <v>0</v>
      </c>
      <c r="BC102" s="867">
        <f t="shared" ca="1" si="4"/>
        <v>0</v>
      </c>
      <c r="BD102" s="658"/>
      <c r="BE102" s="867">
        <f t="shared" ca="1" si="40"/>
        <v>-134053.11184169751</v>
      </c>
      <c r="BF102" s="867">
        <f t="shared" ca="1" si="41"/>
        <v>-7055.4269390367117</v>
      </c>
      <c r="BG102" s="867">
        <f t="shared" ca="1" si="42"/>
        <v>-141108.53878073423</v>
      </c>
      <c r="BI102" s="867">
        <f ca="1"/>
        <v>-141108.53878073423</v>
      </c>
      <c r="BJ102" s="867">
        <f ca="1"/>
        <v>-134053.11184169751</v>
      </c>
      <c r="BK102" s="867">
        <f ca="1"/>
        <v>-7055.4269390367117</v>
      </c>
      <c r="BL102" s="867">
        <f t="shared" ca="1" si="43"/>
        <v>0</v>
      </c>
      <c r="BM102" s="867">
        <f t="shared" ca="1" si="44"/>
        <v>0</v>
      </c>
      <c r="BN102" s="867">
        <f t="shared" ca="1" si="45"/>
        <v>0</v>
      </c>
      <c r="BO102" s="867">
        <f t="shared" ca="1" si="46"/>
        <v>0</v>
      </c>
      <c r="BP102" s="867">
        <f t="shared" ca="1" si="47"/>
        <v>0</v>
      </c>
      <c r="BQ102" s="867">
        <f t="shared" ca="1" si="48"/>
        <v>0</v>
      </c>
      <c r="BR102" s="867">
        <f ca="1"/>
        <v>0</v>
      </c>
      <c r="BS102" s="867">
        <f ca="1"/>
        <v>0</v>
      </c>
      <c r="BT102" s="867">
        <f t="shared" ca="1" si="9"/>
        <v>-134053.11184169751</v>
      </c>
      <c r="BU102" s="867">
        <f t="shared" ca="1" si="49"/>
        <v>-7055.4269390367117</v>
      </c>
      <c r="BV102" s="829">
        <f t="shared" ca="1" si="10"/>
        <v>-1.4551915228366852E-11</v>
      </c>
      <c r="BX102" s="867">
        <f ca="1"/>
        <v>-141108.53878073423</v>
      </c>
      <c r="BY102" s="867">
        <f t="shared" ca="1" si="50"/>
        <v>-141108.53878073423</v>
      </c>
      <c r="BZ102" s="867">
        <f t="shared" ca="1" si="51"/>
        <v>0</v>
      </c>
      <c r="CA102" s="867">
        <f t="shared" ca="1" si="52"/>
        <v>0</v>
      </c>
      <c r="CB102" s="867">
        <f t="shared" ca="1" si="53"/>
        <v>0</v>
      </c>
      <c r="CC102" s="867">
        <f t="shared" ca="1" si="54"/>
        <v>0</v>
      </c>
      <c r="CD102" s="867">
        <f t="shared" ca="1" si="55"/>
        <v>-141108.53878073423</v>
      </c>
    </row>
    <row r="103" spans="1:82" ht="17" thickTop="1" thickBot="1">
      <c r="A103" s="773">
        <f t="shared" si="5"/>
        <v>1</v>
      </c>
      <c r="B103" s="779"/>
      <c r="C103" s="572"/>
      <c r="D103" s="660">
        <v>56</v>
      </c>
      <c r="E103" s="661">
        <v>46966</v>
      </c>
      <c r="F103" s="862">
        <v>5</v>
      </c>
      <c r="G103" s="863">
        <f ca="1"/>
        <v>-141108.53878073423</v>
      </c>
      <c r="H103" s="961"/>
      <c r="I103" s="865">
        <f t="shared" ca="1" si="11"/>
        <v>956679.8019895422</v>
      </c>
      <c r="J103" s="864" cm="1">
        <f t="array" aca="1" ref="J103" ca="1">IF($G103=0,0,-MIN(0,G103*c_equity.LPshare))</f>
        <v>134053.11184169751</v>
      </c>
      <c r="K103" s="865" cm="1">
        <f t="array" aca="1" ref="K103" ca="1">I103*c_rate.Pref.MO</f>
        <v>6155.3066516328345</v>
      </c>
      <c r="L103" s="865">
        <f t="shared" ca="1" si="12"/>
        <v>0</v>
      </c>
      <c r="M103" s="865">
        <f t="shared" ca="1" si="13"/>
        <v>1096888.2204828726</v>
      </c>
      <c r="N103" s="865">
        <f t="shared" ca="1" si="14"/>
        <v>-134053.11184169751</v>
      </c>
      <c r="O103" s="864" cm="1">
        <f t="array" aca="1" ref="O103" ca="1">IF(N103=0,0,IF(G103&lt;0,N103/c_equity.LPshare*i_equity.GPshare,L103/c_equity.LPshare*i_equity.GPshare))</f>
        <v>-7055.4269390367117</v>
      </c>
      <c r="P103" s="865">
        <f t="shared" ca="1" si="15"/>
        <v>-141108.53878073423</v>
      </c>
      <c r="Q103" s="865">
        <f t="shared" ca="1" si="16"/>
        <v>0</v>
      </c>
      <c r="R103" s="161"/>
      <c r="S103" s="867">
        <f t="shared" ca="1" si="17"/>
        <v>961120.63926685194</v>
      </c>
      <c r="T103" s="867" cm="1">
        <f t="array" aca="1" ref="T103" ca="1">IF($G103=0,0,-MIN(0,$G103*c_equity.LPshare))</f>
        <v>134053.11184169751</v>
      </c>
      <c r="U103" s="869" cm="1">
        <f t="array" aca="1" ref="U103" ca="1">IF($D103=0,0,S103*c_rate.Hurdle1.MO)</f>
        <v>7664.1109466316348</v>
      </c>
      <c r="V103" s="867">
        <f t="shared" ca="1" si="18"/>
        <v>0</v>
      </c>
      <c r="W103" s="867">
        <f t="shared" ca="1" si="19"/>
        <v>0</v>
      </c>
      <c r="X103" s="869">
        <f t="shared" ca="1" si="20"/>
        <v>1102837.8620551811</v>
      </c>
      <c r="Y103" s="869">
        <f t="shared" ca="1" si="21"/>
        <v>-134053.11184169751</v>
      </c>
      <c r="Z103" s="869">
        <f t="shared" ca="1" si="22"/>
        <v>-7055.4269390367117</v>
      </c>
      <c r="AA103" s="869">
        <f t="shared" ca="1" si="23"/>
        <v>-141108.53878073423</v>
      </c>
      <c r="AB103" s="867">
        <f t="shared" ca="1" si="24"/>
        <v>0</v>
      </c>
      <c r="AC103" s="161"/>
      <c r="AD103" s="869">
        <f t="shared" ca="1" si="25"/>
        <v>965510.3026776464</v>
      </c>
      <c r="AE103" s="867" cm="1">
        <f t="array" aca="1" ref="AE103" ca="1">IF($G103=0,0,-MIN(0,$G103*c_equity.LPshare))</f>
        <v>134053.11184169751</v>
      </c>
      <c r="AF103" s="869" cm="1">
        <f t="array" aca="1" ref="AF103" ca="1">IF($D103=0,0,AD103*(c_rate.Hurdle2.MO))</f>
        <v>9161.5273383147887</v>
      </c>
      <c r="AG103" s="869">
        <f t="shared" ca="1" si="26"/>
        <v>0</v>
      </c>
      <c r="AH103" s="869">
        <f t="shared" ca="1" si="27"/>
        <v>0</v>
      </c>
      <c r="AI103" s="869">
        <f t="shared" ca="1" si="28"/>
        <v>1108724.9418576588</v>
      </c>
      <c r="AJ103" s="868">
        <f t="shared" ca="1" si="6"/>
        <v>-134053.11184169751</v>
      </c>
      <c r="AK103" s="867">
        <f t="shared" ca="1" si="29"/>
        <v>-134053.11184169751</v>
      </c>
      <c r="AL103" s="869">
        <f t="shared" ca="1" si="56"/>
        <v>-7055.4269390367117</v>
      </c>
      <c r="AM103" s="869">
        <f t="shared" ca="1" si="30"/>
        <v>-141108.53878073423</v>
      </c>
      <c r="AN103" s="867">
        <f t="shared" ca="1" si="3"/>
        <v>0</v>
      </c>
      <c r="AO103" s="161"/>
      <c r="AP103" s="869">
        <f t="shared" ca="1" si="31"/>
        <v>969850.30159923236</v>
      </c>
      <c r="AQ103" s="867" cm="1">
        <f t="array" aca="1" ref="AQ103" ca="1">IF($G103=0,0,-MIN(0,$G103*c_equity.LPshare))</f>
        <v>134053.11184169751</v>
      </c>
      <c r="AR103" s="869" cm="1">
        <f t="array" aca="1" ref="AR103" ca="1">IF($D103=0,0,AP103*(c_rate.Hurdle3.MO))</f>
        <v>10647.842875089042</v>
      </c>
      <c r="AS103" s="869">
        <f t="shared" ca="1" si="32"/>
        <v>0</v>
      </c>
      <c r="AT103" s="869">
        <f t="shared" ca="1" si="33"/>
        <v>0</v>
      </c>
      <c r="AU103" s="869">
        <f t="shared" ca="1" si="34"/>
        <v>1114551.256316019</v>
      </c>
      <c r="AV103" s="870">
        <f t="shared" ca="1" si="35"/>
        <v>-134053.11184169751</v>
      </c>
      <c r="AW103" s="867">
        <f t="shared" ca="1" si="36"/>
        <v>-134053.11184169751</v>
      </c>
      <c r="AX103" s="869">
        <f t="shared" ca="1" si="57"/>
        <v>-7055.4269390367117</v>
      </c>
      <c r="AY103" s="869">
        <f t="shared" ca="1" si="37"/>
        <v>-141108.53878073423</v>
      </c>
      <c r="AZ103" s="867">
        <f t="shared" ca="1" si="38"/>
        <v>0</v>
      </c>
      <c r="BA103" s="161"/>
      <c r="BB103" s="867">
        <f t="shared" ca="1" si="39"/>
        <v>0</v>
      </c>
      <c r="BC103" s="867">
        <f t="shared" ca="1" si="4"/>
        <v>0</v>
      </c>
      <c r="BD103" s="658"/>
      <c r="BE103" s="867">
        <f t="shared" ca="1" si="40"/>
        <v>-134053.11184169751</v>
      </c>
      <c r="BF103" s="867">
        <f t="shared" ca="1" si="41"/>
        <v>-7055.4269390367117</v>
      </c>
      <c r="BG103" s="867">
        <f t="shared" ca="1" si="42"/>
        <v>-141108.53878073423</v>
      </c>
      <c r="BI103" s="867">
        <f ca="1"/>
        <v>-141108.53878073423</v>
      </c>
      <c r="BJ103" s="867">
        <f ca="1"/>
        <v>-134053.11184169751</v>
      </c>
      <c r="BK103" s="867">
        <f ca="1"/>
        <v>-7055.4269390367117</v>
      </c>
      <c r="BL103" s="867">
        <f t="shared" ca="1" si="43"/>
        <v>0</v>
      </c>
      <c r="BM103" s="867">
        <f t="shared" ca="1" si="44"/>
        <v>0</v>
      </c>
      <c r="BN103" s="867">
        <f t="shared" ca="1" si="45"/>
        <v>0</v>
      </c>
      <c r="BO103" s="867">
        <f t="shared" ca="1" si="46"/>
        <v>0</v>
      </c>
      <c r="BP103" s="867">
        <f t="shared" ca="1" si="47"/>
        <v>0</v>
      </c>
      <c r="BQ103" s="867">
        <f t="shared" ca="1" si="48"/>
        <v>0</v>
      </c>
      <c r="BR103" s="867">
        <f ca="1"/>
        <v>0</v>
      </c>
      <c r="BS103" s="867">
        <f ca="1"/>
        <v>0</v>
      </c>
      <c r="BT103" s="867">
        <f t="shared" ca="1" si="9"/>
        <v>-134053.11184169751</v>
      </c>
      <c r="BU103" s="867">
        <f t="shared" ca="1" si="49"/>
        <v>-7055.4269390367117</v>
      </c>
      <c r="BV103" s="829">
        <f t="shared" ca="1" si="10"/>
        <v>-1.4551915228366852E-11</v>
      </c>
      <c r="BX103" s="867">
        <f ca="1"/>
        <v>-141108.53878073423</v>
      </c>
      <c r="BY103" s="867">
        <f t="shared" ca="1" si="50"/>
        <v>-141108.53878073423</v>
      </c>
      <c r="BZ103" s="867">
        <f t="shared" ca="1" si="51"/>
        <v>0</v>
      </c>
      <c r="CA103" s="867">
        <f t="shared" ca="1" si="52"/>
        <v>0</v>
      </c>
      <c r="CB103" s="867">
        <f t="shared" ca="1" si="53"/>
        <v>0</v>
      </c>
      <c r="CC103" s="867">
        <f t="shared" ca="1" si="54"/>
        <v>0</v>
      </c>
      <c r="CD103" s="867">
        <f t="shared" ca="1" si="55"/>
        <v>-141108.53878073423</v>
      </c>
    </row>
    <row r="104" spans="1:82" ht="17" thickTop="1" thickBot="1">
      <c r="A104" s="773">
        <f t="shared" si="5"/>
        <v>1</v>
      </c>
      <c r="B104" s="779"/>
      <c r="C104" s="572"/>
      <c r="D104" s="660">
        <v>57</v>
      </c>
      <c r="E104" s="661">
        <v>46997</v>
      </c>
      <c r="F104" s="862">
        <v>5</v>
      </c>
      <c r="G104" s="863">
        <f ca="1"/>
        <v>-141108.53878073423</v>
      </c>
      <c r="H104" s="961"/>
      <c r="I104" s="865">
        <f t="shared" ca="1" si="11"/>
        <v>1096888.2204828726</v>
      </c>
      <c r="J104" s="864" cm="1">
        <f t="array" aca="1" ref="J104" ca="1">IF($G104=0,0,-MIN(0,G104*c_equity.LPshare))</f>
        <v>134053.11184169751</v>
      </c>
      <c r="K104" s="865" cm="1">
        <f t="array" aca="1" ref="K104" ca="1">I104*c_rate.Pref.MO</f>
        <v>7057.4118378948833</v>
      </c>
      <c r="L104" s="865">
        <f t="shared" ca="1" si="12"/>
        <v>0</v>
      </c>
      <c r="M104" s="865">
        <f t="shared" ca="1" si="13"/>
        <v>1237998.744162465</v>
      </c>
      <c r="N104" s="865">
        <f t="shared" ca="1" si="14"/>
        <v>-134053.11184169751</v>
      </c>
      <c r="O104" s="864" cm="1">
        <f t="array" aca="1" ref="O104" ca="1">IF(N104=0,0,IF(G104&lt;0,N104/c_equity.LPshare*i_equity.GPshare,L104/c_equity.LPshare*i_equity.GPshare))</f>
        <v>-7055.4269390367117</v>
      </c>
      <c r="P104" s="865">
        <f t="shared" ca="1" si="15"/>
        <v>-141108.53878073423</v>
      </c>
      <c r="Q104" s="865">
        <f t="shared" ca="1" si="16"/>
        <v>0</v>
      </c>
      <c r="R104" s="161"/>
      <c r="S104" s="867">
        <f t="shared" ca="1" si="17"/>
        <v>1102837.8620551811</v>
      </c>
      <c r="T104" s="867" cm="1">
        <f t="array" aca="1" ref="T104" ca="1">IF($G104=0,0,-MIN(0,$G104*c_equity.LPshare))</f>
        <v>134053.11184169751</v>
      </c>
      <c r="U104" s="869" cm="1">
        <f t="array" aca="1" ref="U104" ca="1">IF($D104=0,0,S104*c_rate.Hurdle1.MO)</f>
        <v>8794.1839823400114</v>
      </c>
      <c r="V104" s="867">
        <f t="shared" ca="1" si="18"/>
        <v>0</v>
      </c>
      <c r="W104" s="867">
        <f t="shared" ca="1" si="19"/>
        <v>0</v>
      </c>
      <c r="X104" s="869">
        <f t="shared" ca="1" si="20"/>
        <v>1245685.1578792185</v>
      </c>
      <c r="Y104" s="869">
        <f t="shared" ca="1" si="21"/>
        <v>-134053.11184169751</v>
      </c>
      <c r="Z104" s="869">
        <f t="shared" ca="1" si="22"/>
        <v>-7055.4269390367117</v>
      </c>
      <c r="AA104" s="869">
        <f t="shared" ca="1" si="23"/>
        <v>-141108.53878073423</v>
      </c>
      <c r="AB104" s="867">
        <f t="shared" ca="1" si="24"/>
        <v>0</v>
      </c>
      <c r="AC104" s="161"/>
      <c r="AD104" s="869">
        <f t="shared" ca="1" si="25"/>
        <v>1108724.9418576588</v>
      </c>
      <c r="AE104" s="867" cm="1">
        <f t="array" aca="1" ref="AE104" ca="1">IF($G104=0,0,-MIN(0,$G104*c_equity.LPshare))</f>
        <v>134053.11184169751</v>
      </c>
      <c r="AF104" s="869" cm="1">
        <f t="array" aca="1" ref="AF104" ca="1">IF($D104=0,0,AD104*(c_rate.Hurdle2.MO))</f>
        <v>10520.46139469495</v>
      </c>
      <c r="AG104" s="869">
        <f t="shared" ca="1" si="26"/>
        <v>0</v>
      </c>
      <c r="AH104" s="869">
        <f t="shared" ca="1" si="27"/>
        <v>0</v>
      </c>
      <c r="AI104" s="869">
        <f t="shared" ca="1" si="28"/>
        <v>1253298.5150940511</v>
      </c>
      <c r="AJ104" s="868">
        <f t="shared" ca="1" si="6"/>
        <v>-134053.11184169751</v>
      </c>
      <c r="AK104" s="867">
        <f t="shared" ca="1" si="29"/>
        <v>-134053.11184169751</v>
      </c>
      <c r="AL104" s="869">
        <f t="shared" ca="1" si="56"/>
        <v>-7055.4269390367117</v>
      </c>
      <c r="AM104" s="869">
        <f t="shared" ca="1" si="30"/>
        <v>-141108.53878073423</v>
      </c>
      <c r="AN104" s="867">
        <f t="shared" ca="1" si="3"/>
        <v>0</v>
      </c>
      <c r="AO104" s="161"/>
      <c r="AP104" s="869">
        <f t="shared" ca="1" si="31"/>
        <v>1114551.256316019</v>
      </c>
      <c r="AQ104" s="867" cm="1">
        <f t="array" aca="1" ref="AQ104" ca="1">IF($G104=0,0,-MIN(0,$G104*c_equity.LPshare))</f>
        <v>134053.11184169751</v>
      </c>
      <c r="AR104" s="869" cm="1">
        <f t="array" aca="1" ref="AR104" ca="1">IF($D104=0,0,AP104*(c_rate.Hurdle3.MO))</f>
        <v>12236.493233973395</v>
      </c>
      <c r="AS104" s="869">
        <f t="shared" ca="1" si="32"/>
        <v>0</v>
      </c>
      <c r="AT104" s="869">
        <f t="shared" ca="1" si="33"/>
        <v>0</v>
      </c>
      <c r="AU104" s="869">
        <f t="shared" ca="1" si="34"/>
        <v>1260840.8613916899</v>
      </c>
      <c r="AV104" s="870">
        <f t="shared" ca="1" si="35"/>
        <v>-134053.11184169751</v>
      </c>
      <c r="AW104" s="867">
        <f t="shared" ca="1" si="36"/>
        <v>-134053.11184169751</v>
      </c>
      <c r="AX104" s="869">
        <f t="shared" ca="1" si="57"/>
        <v>-7055.4269390367117</v>
      </c>
      <c r="AY104" s="869">
        <f t="shared" ca="1" si="37"/>
        <v>-141108.53878073423</v>
      </c>
      <c r="AZ104" s="867">
        <f t="shared" ca="1" si="38"/>
        <v>0</v>
      </c>
      <c r="BA104" s="161"/>
      <c r="BB104" s="867">
        <f t="shared" ca="1" si="39"/>
        <v>0</v>
      </c>
      <c r="BC104" s="867">
        <f t="shared" ca="1" si="4"/>
        <v>0</v>
      </c>
      <c r="BD104" s="658"/>
      <c r="BE104" s="867">
        <f t="shared" ca="1" si="40"/>
        <v>-134053.11184169751</v>
      </c>
      <c r="BF104" s="867">
        <f t="shared" ca="1" si="41"/>
        <v>-7055.4269390367117</v>
      </c>
      <c r="BG104" s="867">
        <f t="shared" ca="1" si="42"/>
        <v>-141108.53878073423</v>
      </c>
      <c r="BI104" s="867">
        <f ca="1"/>
        <v>-141108.53878073423</v>
      </c>
      <c r="BJ104" s="867">
        <f ca="1"/>
        <v>-134053.11184169751</v>
      </c>
      <c r="BK104" s="867">
        <f ca="1"/>
        <v>-7055.4269390367117</v>
      </c>
      <c r="BL104" s="867">
        <f t="shared" ca="1" si="43"/>
        <v>0</v>
      </c>
      <c r="BM104" s="867">
        <f t="shared" ca="1" si="44"/>
        <v>0</v>
      </c>
      <c r="BN104" s="867">
        <f t="shared" ca="1" si="45"/>
        <v>0</v>
      </c>
      <c r="BO104" s="867">
        <f t="shared" ca="1" si="46"/>
        <v>0</v>
      </c>
      <c r="BP104" s="867">
        <f t="shared" ca="1" si="47"/>
        <v>0</v>
      </c>
      <c r="BQ104" s="867">
        <f t="shared" ca="1" si="48"/>
        <v>0</v>
      </c>
      <c r="BR104" s="867">
        <f ca="1"/>
        <v>0</v>
      </c>
      <c r="BS104" s="867">
        <f ca="1"/>
        <v>0</v>
      </c>
      <c r="BT104" s="867">
        <f t="shared" ca="1" si="9"/>
        <v>-134053.11184169751</v>
      </c>
      <c r="BU104" s="867">
        <f t="shared" ca="1" si="49"/>
        <v>-7055.4269390367117</v>
      </c>
      <c r="BV104" s="829">
        <f t="shared" ca="1" si="10"/>
        <v>-1.4551915228366852E-11</v>
      </c>
      <c r="BX104" s="867">
        <f ca="1"/>
        <v>-141108.53878073423</v>
      </c>
      <c r="BY104" s="867">
        <f t="shared" ca="1" si="50"/>
        <v>-141108.53878073423</v>
      </c>
      <c r="BZ104" s="867">
        <f t="shared" ca="1" si="51"/>
        <v>0</v>
      </c>
      <c r="CA104" s="867">
        <f t="shared" ca="1" si="52"/>
        <v>0</v>
      </c>
      <c r="CB104" s="867">
        <f t="shared" ca="1" si="53"/>
        <v>0</v>
      </c>
      <c r="CC104" s="867">
        <f t="shared" ca="1" si="54"/>
        <v>0</v>
      </c>
      <c r="CD104" s="867">
        <f t="shared" ca="1" si="55"/>
        <v>-141108.53878073423</v>
      </c>
    </row>
    <row r="105" spans="1:82" ht="17" thickTop="1" thickBot="1">
      <c r="A105" s="773">
        <f t="shared" si="5"/>
        <v>1</v>
      </c>
      <c r="B105" s="779"/>
      <c r="C105" s="572"/>
      <c r="D105" s="660">
        <v>58</v>
      </c>
      <c r="E105" s="661">
        <v>47027</v>
      </c>
      <c r="F105" s="862">
        <v>5</v>
      </c>
      <c r="G105" s="863">
        <f ca="1"/>
        <v>-141108.53878073423</v>
      </c>
      <c r="H105" s="961"/>
      <c r="I105" s="865">
        <f t="shared" ca="1" si="11"/>
        <v>1237998.744162465</v>
      </c>
      <c r="J105" s="864" cm="1">
        <f t="array" aca="1" ref="J105" ca="1">IF($G105=0,0,-MIN(0,G105*c_equity.LPshare))</f>
        <v>134053.11184169751</v>
      </c>
      <c r="K105" s="865" cm="1">
        <f t="array" aca="1" ref="K105" ca="1">I105*c_rate.Pref.MO</f>
        <v>7965.3211960877334</v>
      </c>
      <c r="L105" s="865">
        <f t="shared" ca="1" si="12"/>
        <v>0</v>
      </c>
      <c r="M105" s="865">
        <f t="shared" ca="1" si="13"/>
        <v>1380017.1772002501</v>
      </c>
      <c r="N105" s="865">
        <f t="shared" ca="1" si="14"/>
        <v>-134053.11184169751</v>
      </c>
      <c r="O105" s="864" cm="1">
        <f t="array" aca="1" ref="O105" ca="1">IF(N105=0,0,IF(G105&lt;0,N105/c_equity.LPshare*i_equity.GPshare,L105/c_equity.LPshare*i_equity.GPshare))</f>
        <v>-7055.4269390367117</v>
      </c>
      <c r="P105" s="865">
        <f t="shared" ca="1" si="15"/>
        <v>-141108.53878073423</v>
      </c>
      <c r="Q105" s="865">
        <f t="shared" ca="1" si="16"/>
        <v>0</v>
      </c>
      <c r="R105" s="161"/>
      <c r="S105" s="867">
        <f t="shared" ca="1" si="17"/>
        <v>1245685.1578792185</v>
      </c>
      <c r="T105" s="867" cm="1">
        <f t="array" aca="1" ref="T105" ca="1">IF($G105=0,0,-MIN(0,$G105*c_equity.LPshare))</f>
        <v>134053.11184169751</v>
      </c>
      <c r="U105" s="869" cm="1">
        <f t="array" aca="1" ref="U105" ca="1">IF($D105=0,0,S105*c_rate.Hurdle1.MO)</f>
        <v>9933.2683791300442</v>
      </c>
      <c r="V105" s="867">
        <f t="shared" ca="1" si="18"/>
        <v>0</v>
      </c>
      <c r="W105" s="867">
        <f t="shared" ca="1" si="19"/>
        <v>0</v>
      </c>
      <c r="X105" s="869">
        <f t="shared" ca="1" si="20"/>
        <v>1389671.5381000459</v>
      </c>
      <c r="Y105" s="869">
        <f t="shared" ca="1" si="21"/>
        <v>-134053.11184169751</v>
      </c>
      <c r="Z105" s="869">
        <f t="shared" ca="1" si="22"/>
        <v>-7055.4269390367117</v>
      </c>
      <c r="AA105" s="869">
        <f t="shared" ca="1" si="23"/>
        <v>-141108.53878073423</v>
      </c>
      <c r="AB105" s="867">
        <f t="shared" ca="1" si="24"/>
        <v>0</v>
      </c>
      <c r="AC105" s="161"/>
      <c r="AD105" s="869">
        <f t="shared" ca="1" si="25"/>
        <v>1253298.5150940511</v>
      </c>
      <c r="AE105" s="867" cm="1">
        <f t="array" aca="1" ref="AE105" ca="1">IF($G105=0,0,-MIN(0,$G105*c_equity.LPshare))</f>
        <v>134053.11184169751</v>
      </c>
      <c r="AF105" s="869" cm="1">
        <f t="array" aca="1" ref="AF105" ca="1">IF($D105=0,0,AD105*(c_rate.Hurdle2.MO))</f>
        <v>11892.290094947855</v>
      </c>
      <c r="AG105" s="869">
        <f t="shared" ca="1" si="26"/>
        <v>0</v>
      </c>
      <c r="AH105" s="869">
        <f t="shared" ca="1" si="27"/>
        <v>0</v>
      </c>
      <c r="AI105" s="869">
        <f t="shared" ca="1" si="28"/>
        <v>1399243.9170306965</v>
      </c>
      <c r="AJ105" s="868">
        <f t="shared" ca="1" si="6"/>
        <v>-134053.11184169751</v>
      </c>
      <c r="AK105" s="867">
        <f t="shared" ca="1" si="29"/>
        <v>-134053.11184169751</v>
      </c>
      <c r="AL105" s="869">
        <f t="shared" ca="1" si="56"/>
        <v>-7055.4269390367117</v>
      </c>
      <c r="AM105" s="869">
        <f t="shared" ca="1" si="30"/>
        <v>-141108.53878073423</v>
      </c>
      <c r="AN105" s="867">
        <f t="shared" ca="1" si="3"/>
        <v>0</v>
      </c>
      <c r="AO105" s="161"/>
      <c r="AP105" s="869">
        <f t="shared" ca="1" si="31"/>
        <v>1260840.8613916899</v>
      </c>
      <c r="AQ105" s="867" cm="1">
        <f t="array" aca="1" ref="AQ105" ca="1">IF($G105=0,0,-MIN(0,$G105*c_equity.LPshare))</f>
        <v>134053.11184169751</v>
      </c>
      <c r="AR105" s="869" cm="1">
        <f t="array" aca="1" ref="AR105" ca="1">IF($D105=0,0,AP105*(c_rate.Hurdle3.MO))</f>
        <v>13842.585149948529</v>
      </c>
      <c r="AS105" s="869">
        <f t="shared" ca="1" si="32"/>
        <v>0</v>
      </c>
      <c r="AT105" s="869">
        <f t="shared" ca="1" si="33"/>
        <v>0</v>
      </c>
      <c r="AU105" s="869">
        <f t="shared" ca="1" si="34"/>
        <v>1408736.5583833358</v>
      </c>
      <c r="AV105" s="870">
        <f t="shared" ca="1" si="35"/>
        <v>-134053.11184169751</v>
      </c>
      <c r="AW105" s="867">
        <f t="shared" ca="1" si="36"/>
        <v>-134053.11184169751</v>
      </c>
      <c r="AX105" s="869">
        <f t="shared" ca="1" si="57"/>
        <v>-7055.4269390367117</v>
      </c>
      <c r="AY105" s="869">
        <f t="shared" ca="1" si="37"/>
        <v>-141108.53878073423</v>
      </c>
      <c r="AZ105" s="867">
        <f t="shared" ca="1" si="38"/>
        <v>0</v>
      </c>
      <c r="BA105" s="161"/>
      <c r="BB105" s="867">
        <f t="shared" ca="1" si="39"/>
        <v>0</v>
      </c>
      <c r="BC105" s="867">
        <f t="shared" ca="1" si="4"/>
        <v>0</v>
      </c>
      <c r="BD105" s="658"/>
      <c r="BE105" s="867">
        <f t="shared" ca="1" si="40"/>
        <v>-134053.11184169751</v>
      </c>
      <c r="BF105" s="867">
        <f t="shared" ca="1" si="41"/>
        <v>-7055.4269390367117</v>
      </c>
      <c r="BG105" s="867">
        <f t="shared" ca="1" si="42"/>
        <v>-141108.53878073423</v>
      </c>
      <c r="BI105" s="867">
        <f ca="1"/>
        <v>-141108.53878073423</v>
      </c>
      <c r="BJ105" s="867">
        <f ca="1"/>
        <v>-134053.11184169751</v>
      </c>
      <c r="BK105" s="867">
        <f ca="1"/>
        <v>-7055.4269390367117</v>
      </c>
      <c r="BL105" s="867">
        <f t="shared" ca="1" si="43"/>
        <v>0</v>
      </c>
      <c r="BM105" s="867">
        <f t="shared" ca="1" si="44"/>
        <v>0</v>
      </c>
      <c r="BN105" s="867">
        <f t="shared" ca="1" si="45"/>
        <v>0</v>
      </c>
      <c r="BO105" s="867">
        <f t="shared" ca="1" si="46"/>
        <v>0</v>
      </c>
      <c r="BP105" s="867">
        <f t="shared" ca="1" si="47"/>
        <v>0</v>
      </c>
      <c r="BQ105" s="867">
        <f t="shared" ca="1" si="48"/>
        <v>0</v>
      </c>
      <c r="BR105" s="867">
        <f ca="1"/>
        <v>0</v>
      </c>
      <c r="BS105" s="867">
        <f ca="1"/>
        <v>0</v>
      </c>
      <c r="BT105" s="867">
        <f t="shared" ca="1" si="9"/>
        <v>-134053.11184169751</v>
      </c>
      <c r="BU105" s="867">
        <f t="shared" ca="1" si="49"/>
        <v>-7055.4269390367117</v>
      </c>
      <c r="BV105" s="829">
        <f t="shared" ca="1" si="10"/>
        <v>-1.4551915228366852E-11</v>
      </c>
      <c r="BX105" s="867">
        <f ca="1"/>
        <v>-141108.53878073423</v>
      </c>
      <c r="BY105" s="867">
        <f t="shared" ca="1" si="50"/>
        <v>-141108.53878073423</v>
      </c>
      <c r="BZ105" s="867">
        <f t="shared" ca="1" si="51"/>
        <v>0</v>
      </c>
      <c r="CA105" s="867">
        <f t="shared" ca="1" si="52"/>
        <v>0</v>
      </c>
      <c r="CB105" s="867">
        <f t="shared" ca="1" si="53"/>
        <v>0</v>
      </c>
      <c r="CC105" s="867">
        <f t="shared" ca="1" si="54"/>
        <v>0</v>
      </c>
      <c r="CD105" s="867">
        <f t="shared" ca="1" si="55"/>
        <v>-141108.53878073423</v>
      </c>
    </row>
    <row r="106" spans="1:82" ht="17" thickTop="1" thickBot="1">
      <c r="A106" s="773">
        <f t="shared" si="5"/>
        <v>1</v>
      </c>
      <c r="B106" s="779"/>
      <c r="C106" s="572"/>
      <c r="D106" s="660">
        <v>59</v>
      </c>
      <c r="E106" s="661">
        <v>47058</v>
      </c>
      <c r="F106" s="862">
        <v>5</v>
      </c>
      <c r="G106" s="863">
        <f ca="1"/>
        <v>-141108.53878073423</v>
      </c>
      <c r="H106" s="961"/>
      <c r="I106" s="865">
        <f t="shared" ca="1" si="11"/>
        <v>1380017.1772002501</v>
      </c>
      <c r="J106" s="864" cm="1">
        <f t="array" aca="1" ref="J106" ca="1">IF($G106=0,0,-MIN(0,G106*c_equity.LPshare))</f>
        <v>134053.11184169751</v>
      </c>
      <c r="K106" s="865" cm="1">
        <f t="array" aca="1" ref="K106" ca="1">I106*c_rate.Pref.MO</f>
        <v>8879.0720704283485</v>
      </c>
      <c r="L106" s="865">
        <f t="shared" ca="1" si="12"/>
        <v>0</v>
      </c>
      <c r="M106" s="865">
        <f t="shared" ca="1" si="13"/>
        <v>1522949.361112376</v>
      </c>
      <c r="N106" s="865">
        <f t="shared" ca="1" si="14"/>
        <v>-134053.11184169751</v>
      </c>
      <c r="O106" s="864" cm="1">
        <f t="array" aca="1" ref="O106" ca="1">IF(N106=0,0,IF(G106&lt;0,N106/c_equity.LPshare*i_equity.GPshare,L106/c_equity.LPshare*i_equity.GPshare))</f>
        <v>-7055.4269390367117</v>
      </c>
      <c r="P106" s="865">
        <f t="shared" ca="1" si="15"/>
        <v>-141108.53878073423</v>
      </c>
      <c r="Q106" s="865">
        <f t="shared" ca="1" si="16"/>
        <v>0</v>
      </c>
      <c r="R106" s="161"/>
      <c r="S106" s="867">
        <f t="shared" ca="1" si="17"/>
        <v>1389671.5381000459</v>
      </c>
      <c r="T106" s="867" cm="1">
        <f t="array" aca="1" ref="T106" ca="1">IF($G106=0,0,-MIN(0,$G106*c_equity.LPshare))</f>
        <v>134053.11184169751</v>
      </c>
      <c r="U106" s="869" cm="1">
        <f t="array" aca="1" ref="U106" ca="1">IF($D106=0,0,S106*c_rate.Hurdle1.MO)</f>
        <v>11081.435994860454</v>
      </c>
      <c r="V106" s="867">
        <f t="shared" ca="1" si="18"/>
        <v>0</v>
      </c>
      <c r="W106" s="867">
        <f t="shared" ca="1" si="19"/>
        <v>0</v>
      </c>
      <c r="X106" s="869">
        <f t="shared" ca="1" si="20"/>
        <v>1534806.0859366038</v>
      </c>
      <c r="Y106" s="869">
        <f t="shared" ca="1" si="21"/>
        <v>-134053.11184169751</v>
      </c>
      <c r="Z106" s="869">
        <f t="shared" ca="1" si="22"/>
        <v>-7055.4269390367117</v>
      </c>
      <c r="AA106" s="869">
        <f t="shared" ca="1" si="23"/>
        <v>-141108.53878073423</v>
      </c>
      <c r="AB106" s="867">
        <f t="shared" ca="1" si="24"/>
        <v>0</v>
      </c>
      <c r="AC106" s="161"/>
      <c r="AD106" s="869">
        <f t="shared" ca="1" si="25"/>
        <v>1399243.9170306965</v>
      </c>
      <c r="AE106" s="867" cm="1">
        <f t="array" aca="1" ref="AE106" ca="1">IF($G106=0,0,-MIN(0,$G106*c_equity.LPshare))</f>
        <v>134053.11184169751</v>
      </c>
      <c r="AF106" s="869" cm="1">
        <f t="array" aca="1" ref="AF106" ca="1">IF($D106=0,0,AD106*(c_rate.Hurdle2.MO))</f>
        <v>13277.135793679179</v>
      </c>
      <c r="AG106" s="869">
        <f t="shared" ca="1" si="26"/>
        <v>0</v>
      </c>
      <c r="AH106" s="869">
        <f t="shared" ca="1" si="27"/>
        <v>0</v>
      </c>
      <c r="AI106" s="869">
        <f t="shared" ca="1" si="28"/>
        <v>1546574.1646660732</v>
      </c>
      <c r="AJ106" s="868">
        <f t="shared" ca="1" si="6"/>
        <v>-134053.11184169751</v>
      </c>
      <c r="AK106" s="867">
        <f t="shared" ca="1" si="29"/>
        <v>-134053.11184169751</v>
      </c>
      <c r="AL106" s="869">
        <f t="shared" ca="1" si="56"/>
        <v>-7055.4269390367117</v>
      </c>
      <c r="AM106" s="869">
        <f t="shared" ca="1" si="30"/>
        <v>-141108.53878073423</v>
      </c>
      <c r="AN106" s="867">
        <f t="shared" ca="1" si="3"/>
        <v>0</v>
      </c>
      <c r="AO106" s="161"/>
      <c r="AP106" s="869">
        <f t="shared" ca="1" si="31"/>
        <v>1408736.5583833358</v>
      </c>
      <c r="AQ106" s="867" cm="1">
        <f t="array" aca="1" ref="AQ106" ca="1">IF($G106=0,0,-MIN(0,$G106*c_equity.LPshare))</f>
        <v>134053.11184169751</v>
      </c>
      <c r="AR106" s="869" cm="1">
        <f t="array" aca="1" ref="AR106" ca="1">IF($D106=0,0,AP106*(c_rate.Hurdle3.MO))</f>
        <v>15466.310111287523</v>
      </c>
      <c r="AS106" s="869">
        <f t="shared" ca="1" si="32"/>
        <v>0</v>
      </c>
      <c r="AT106" s="869">
        <f t="shared" ca="1" si="33"/>
        <v>0</v>
      </c>
      <c r="AU106" s="869">
        <f t="shared" ca="1" si="34"/>
        <v>1558255.9803363208</v>
      </c>
      <c r="AV106" s="870">
        <f t="shared" ca="1" si="35"/>
        <v>-134053.11184169751</v>
      </c>
      <c r="AW106" s="867">
        <f t="shared" ca="1" si="36"/>
        <v>-134053.11184169751</v>
      </c>
      <c r="AX106" s="869">
        <f t="shared" ca="1" si="57"/>
        <v>-7055.4269390367117</v>
      </c>
      <c r="AY106" s="869">
        <f t="shared" ca="1" si="37"/>
        <v>-141108.53878073423</v>
      </c>
      <c r="AZ106" s="867">
        <f t="shared" ca="1" si="38"/>
        <v>0</v>
      </c>
      <c r="BA106" s="161"/>
      <c r="BB106" s="867">
        <f t="shared" ca="1" si="39"/>
        <v>0</v>
      </c>
      <c r="BC106" s="867">
        <f t="shared" ca="1" si="4"/>
        <v>0</v>
      </c>
      <c r="BD106" s="658"/>
      <c r="BE106" s="867">
        <f t="shared" ca="1" si="40"/>
        <v>-134053.11184169751</v>
      </c>
      <c r="BF106" s="867">
        <f t="shared" ca="1" si="41"/>
        <v>-7055.4269390367117</v>
      </c>
      <c r="BG106" s="867">
        <f t="shared" ca="1" si="42"/>
        <v>-141108.53878073423</v>
      </c>
      <c r="BI106" s="867">
        <f ca="1"/>
        <v>-141108.53878073423</v>
      </c>
      <c r="BJ106" s="867">
        <f ca="1"/>
        <v>-134053.11184169751</v>
      </c>
      <c r="BK106" s="867">
        <f ca="1"/>
        <v>-7055.4269390367117</v>
      </c>
      <c r="BL106" s="867">
        <f t="shared" ca="1" si="43"/>
        <v>0</v>
      </c>
      <c r="BM106" s="867">
        <f t="shared" ca="1" si="44"/>
        <v>0</v>
      </c>
      <c r="BN106" s="867">
        <f t="shared" ca="1" si="45"/>
        <v>0</v>
      </c>
      <c r="BO106" s="867">
        <f t="shared" ca="1" si="46"/>
        <v>0</v>
      </c>
      <c r="BP106" s="867">
        <f t="shared" ca="1" si="47"/>
        <v>0</v>
      </c>
      <c r="BQ106" s="867">
        <f t="shared" ca="1" si="48"/>
        <v>0</v>
      </c>
      <c r="BR106" s="867">
        <f ca="1"/>
        <v>0</v>
      </c>
      <c r="BS106" s="867">
        <f ca="1"/>
        <v>0</v>
      </c>
      <c r="BT106" s="867">
        <f t="shared" ca="1" si="9"/>
        <v>-134053.11184169751</v>
      </c>
      <c r="BU106" s="867">
        <f t="shared" ca="1" si="49"/>
        <v>-7055.4269390367117</v>
      </c>
      <c r="BV106" s="829">
        <f t="shared" ca="1" si="10"/>
        <v>-1.4551915228366852E-11</v>
      </c>
      <c r="BX106" s="867">
        <f ca="1"/>
        <v>-141108.53878073423</v>
      </c>
      <c r="BY106" s="867">
        <f t="shared" ca="1" si="50"/>
        <v>-141108.53878073423</v>
      </c>
      <c r="BZ106" s="867">
        <f t="shared" ca="1" si="51"/>
        <v>0</v>
      </c>
      <c r="CA106" s="867">
        <f t="shared" ca="1" si="52"/>
        <v>0</v>
      </c>
      <c r="CB106" s="867">
        <f t="shared" ca="1" si="53"/>
        <v>0</v>
      </c>
      <c r="CC106" s="867">
        <f t="shared" ca="1" si="54"/>
        <v>0</v>
      </c>
      <c r="CD106" s="867">
        <f t="shared" ca="1" si="55"/>
        <v>-141108.53878073423</v>
      </c>
    </row>
    <row r="107" spans="1:82" ht="17" thickTop="1" thickBot="1">
      <c r="A107" s="773">
        <f t="shared" si="5"/>
        <v>1</v>
      </c>
      <c r="B107" s="779"/>
      <c r="C107" s="572"/>
      <c r="D107" s="660">
        <v>60</v>
      </c>
      <c r="E107" s="661">
        <v>47088</v>
      </c>
      <c r="F107" s="862">
        <v>5</v>
      </c>
      <c r="G107" s="863">
        <f ca="1"/>
        <v>-363335.50923210382</v>
      </c>
      <c r="H107" s="961"/>
      <c r="I107" s="865">
        <f t="shared" ca="1" si="11"/>
        <v>1522949.361112376</v>
      </c>
      <c r="J107" s="864" cm="1">
        <f t="array" aca="1" ref="J107" ca="1">IF($G107=0,0,-MIN(0,G107*c_equity.LPshare))</f>
        <v>345168.7337704986</v>
      </c>
      <c r="K107" s="865" cm="1">
        <f t="array" aca="1" ref="K107" ca="1">I107*c_rate.Pref.MO</f>
        <v>9798.7020454075137</v>
      </c>
      <c r="L107" s="865">
        <f t="shared" ca="1" si="12"/>
        <v>0</v>
      </c>
      <c r="M107" s="865">
        <f t="shared" ca="1" si="13"/>
        <v>1877916.7969282821</v>
      </c>
      <c r="N107" s="865">
        <f t="shared" ca="1" si="14"/>
        <v>-345168.7337704986</v>
      </c>
      <c r="O107" s="864" cm="1">
        <f t="array" aca="1" ref="O107" ca="1">IF(N107=0,0,IF(G107&lt;0,N107/c_equity.LPshare*i_equity.GPshare,L107/c_equity.LPshare*i_equity.GPshare))</f>
        <v>-18166.775461605193</v>
      </c>
      <c r="P107" s="865">
        <f t="shared" ca="1" si="15"/>
        <v>-363335.50923210377</v>
      </c>
      <c r="Q107" s="865">
        <f t="shared" ca="1" si="16"/>
        <v>0</v>
      </c>
      <c r="R107" s="161"/>
      <c r="S107" s="867">
        <f t="shared" ca="1" si="17"/>
        <v>1534806.0859366038</v>
      </c>
      <c r="T107" s="867" cm="1">
        <f t="array" aca="1" ref="T107" ca="1">IF($G107=0,0,-MIN(0,$G107*c_equity.LPshare))</f>
        <v>345168.7337704986</v>
      </c>
      <c r="U107" s="869" cm="1">
        <f t="array" aca="1" ref="U107" ca="1">IF($D107=0,0,S107*c_rate.Hurdle1.MO)</f>
        <v>12238.759260394618</v>
      </c>
      <c r="V107" s="867">
        <f t="shared" ca="1" si="18"/>
        <v>0</v>
      </c>
      <c r="W107" s="867">
        <f t="shared" ca="1" si="19"/>
        <v>0</v>
      </c>
      <c r="X107" s="869">
        <f t="shared" ca="1" si="20"/>
        <v>1892213.578967497</v>
      </c>
      <c r="Y107" s="869">
        <f t="shared" ca="1" si="21"/>
        <v>-345168.7337704986</v>
      </c>
      <c r="Z107" s="869">
        <f t="shared" ca="1" si="22"/>
        <v>-18166.775461605193</v>
      </c>
      <c r="AA107" s="869">
        <f t="shared" ca="1" si="23"/>
        <v>-363335.50923210377</v>
      </c>
      <c r="AB107" s="867">
        <f t="shared" ca="1" si="24"/>
        <v>0</v>
      </c>
      <c r="AC107" s="161"/>
      <c r="AD107" s="869">
        <f t="shared" ca="1" si="25"/>
        <v>1546574.1646660732</v>
      </c>
      <c r="AE107" s="867" cm="1">
        <f t="array" aca="1" ref="AE107" ca="1">IF($G107=0,0,-MIN(0,$G107*c_equity.LPshare))</f>
        <v>345168.7337704986</v>
      </c>
      <c r="AF107" s="869" cm="1">
        <f t="array" aca="1" ref="AF107" ca="1">IF($D107=0,0,AD107*(c_rate.Hurdle2.MO))</f>
        <v>14675.122006492111</v>
      </c>
      <c r="AG107" s="869">
        <f t="shared" ca="1" si="26"/>
        <v>0</v>
      </c>
      <c r="AH107" s="869">
        <f t="shared" ca="1" si="27"/>
        <v>0</v>
      </c>
      <c r="AI107" s="869">
        <f t="shared" ca="1" si="28"/>
        <v>1906418.0204430639</v>
      </c>
      <c r="AJ107" s="868">
        <f t="shared" ca="1" si="6"/>
        <v>-345168.7337704986</v>
      </c>
      <c r="AK107" s="867">
        <f t="shared" ca="1" si="29"/>
        <v>-345168.7337704986</v>
      </c>
      <c r="AL107" s="869">
        <f t="shared" ca="1" si="56"/>
        <v>-18166.775461605193</v>
      </c>
      <c r="AM107" s="869">
        <f t="shared" ca="1" si="30"/>
        <v>-363335.50923210377</v>
      </c>
      <c r="AN107" s="867">
        <f t="shared" ca="1" si="3"/>
        <v>0</v>
      </c>
      <c r="AO107" s="161"/>
      <c r="AP107" s="869">
        <f t="shared" ca="1" si="31"/>
        <v>1558255.9803363208</v>
      </c>
      <c r="AQ107" s="867" cm="1">
        <f t="array" aca="1" ref="AQ107" ca="1">IF($G107=0,0,-MIN(0,$G107*c_equity.LPshare))</f>
        <v>345168.7337704986</v>
      </c>
      <c r="AR107" s="869" cm="1">
        <f t="array" aca="1" ref="AR107" ca="1">IF($D107=0,0,AP107*(c_rate.Hurdle3.MO))</f>
        <v>17107.86170858486</v>
      </c>
      <c r="AS107" s="869">
        <f t="shared" ca="1" si="32"/>
        <v>0</v>
      </c>
      <c r="AT107" s="869">
        <f t="shared" ca="1" si="33"/>
        <v>0</v>
      </c>
      <c r="AU107" s="869">
        <f t="shared" ca="1" si="34"/>
        <v>1920532.5758154043</v>
      </c>
      <c r="AV107" s="870">
        <f t="shared" ca="1" si="35"/>
        <v>-345168.7337704986</v>
      </c>
      <c r="AW107" s="867">
        <f t="shared" ca="1" si="36"/>
        <v>-345168.7337704986</v>
      </c>
      <c r="AX107" s="869">
        <f t="shared" ca="1" si="57"/>
        <v>-18166.775461605193</v>
      </c>
      <c r="AY107" s="869">
        <f t="shared" ca="1" si="37"/>
        <v>-363335.50923210377</v>
      </c>
      <c r="AZ107" s="867">
        <f t="shared" ca="1" si="38"/>
        <v>0</v>
      </c>
      <c r="BA107" s="161"/>
      <c r="BB107" s="867">
        <f t="shared" ca="1" si="39"/>
        <v>0</v>
      </c>
      <c r="BC107" s="867">
        <f t="shared" ca="1" si="4"/>
        <v>0</v>
      </c>
      <c r="BD107" s="658"/>
      <c r="BE107" s="867">
        <f t="shared" ca="1" si="40"/>
        <v>-345168.7337704986</v>
      </c>
      <c r="BF107" s="867">
        <f t="shared" ca="1" si="41"/>
        <v>-18166.775461605193</v>
      </c>
      <c r="BG107" s="867">
        <f t="shared" ca="1" si="42"/>
        <v>-363335.50923210377</v>
      </c>
      <c r="BI107" s="867">
        <f ca="1"/>
        <v>-363335.50923210382</v>
      </c>
      <c r="BJ107" s="867">
        <f ca="1"/>
        <v>-345168.7337704986</v>
      </c>
      <c r="BK107" s="867">
        <f ca="1"/>
        <v>-18166.775461605193</v>
      </c>
      <c r="BL107" s="867">
        <f t="shared" ca="1" si="43"/>
        <v>0</v>
      </c>
      <c r="BM107" s="867">
        <f t="shared" ca="1" si="44"/>
        <v>0</v>
      </c>
      <c r="BN107" s="867">
        <f t="shared" ca="1" si="45"/>
        <v>0</v>
      </c>
      <c r="BO107" s="867">
        <f t="shared" ca="1" si="46"/>
        <v>0</v>
      </c>
      <c r="BP107" s="867">
        <f t="shared" ca="1" si="47"/>
        <v>0</v>
      </c>
      <c r="BQ107" s="867">
        <f t="shared" ca="1" si="48"/>
        <v>0</v>
      </c>
      <c r="BR107" s="867">
        <f ca="1"/>
        <v>0</v>
      </c>
      <c r="BS107" s="867">
        <f ca="1"/>
        <v>0</v>
      </c>
      <c r="BT107" s="867">
        <f t="shared" ca="1" si="9"/>
        <v>-345168.7337704986</v>
      </c>
      <c r="BU107" s="867">
        <f t="shared" ca="1" si="49"/>
        <v>-18166.775461605193</v>
      </c>
      <c r="BV107" s="829">
        <f t="shared" ca="1" si="10"/>
        <v>-3.2741809263825417E-11</v>
      </c>
      <c r="BX107" s="867">
        <f ca="1"/>
        <v>-363335.50923210382</v>
      </c>
      <c r="BY107" s="867">
        <f t="shared" ca="1" si="50"/>
        <v>-363335.50923210377</v>
      </c>
      <c r="BZ107" s="867">
        <f t="shared" ca="1" si="51"/>
        <v>0</v>
      </c>
      <c r="CA107" s="867">
        <f t="shared" ca="1" si="52"/>
        <v>0</v>
      </c>
      <c r="CB107" s="867">
        <f t="shared" ca="1" si="53"/>
        <v>0</v>
      </c>
      <c r="CC107" s="867">
        <f t="shared" ca="1" si="54"/>
        <v>0</v>
      </c>
      <c r="CD107" s="867">
        <f t="shared" ca="1" si="55"/>
        <v>-363335.50923210377</v>
      </c>
    </row>
    <row r="108" spans="1:82" ht="17" thickTop="1" thickBot="1">
      <c r="A108" s="773">
        <f t="shared" si="5"/>
        <v>1</v>
      </c>
      <c r="B108" s="779"/>
      <c r="C108" s="572"/>
      <c r="D108" s="660">
        <v>61</v>
      </c>
      <c r="E108" s="661">
        <v>47119</v>
      </c>
      <c r="F108" s="862">
        <v>6</v>
      </c>
      <c r="G108" s="863">
        <f ca="1"/>
        <v>-363335.50923210382</v>
      </c>
      <c r="H108" s="961"/>
      <c r="I108" s="865">
        <f t="shared" ca="1" si="11"/>
        <v>1877916.7969282821</v>
      </c>
      <c r="J108" s="864" cm="1">
        <f t="array" aca="1" ref="J108" ca="1">IF($G108=0,0,-MIN(0,G108*c_equity.LPshare))</f>
        <v>345168.7337704986</v>
      </c>
      <c r="K108" s="865" cm="1">
        <f t="array" aca="1" ref="K108" ca="1">I108*c_rate.Pref.MO</f>
        <v>12082.573215517765</v>
      </c>
      <c r="L108" s="865">
        <f t="shared" ca="1" si="12"/>
        <v>0</v>
      </c>
      <c r="M108" s="865">
        <f t="shared" ca="1" si="13"/>
        <v>2235168.1039142986</v>
      </c>
      <c r="N108" s="865">
        <f t="shared" ca="1" si="14"/>
        <v>-345168.7337704986</v>
      </c>
      <c r="O108" s="864" cm="1">
        <f t="array" aca="1" ref="O108" ca="1">IF(N108=0,0,IF(G108&lt;0,N108/c_equity.LPshare*i_equity.GPshare,L108/c_equity.LPshare*i_equity.GPshare))</f>
        <v>-18166.775461605193</v>
      </c>
      <c r="P108" s="865">
        <f t="shared" ca="1" si="15"/>
        <v>-363335.50923210377</v>
      </c>
      <c r="Q108" s="865">
        <f t="shared" ca="1" si="16"/>
        <v>0</v>
      </c>
      <c r="R108" s="161"/>
      <c r="S108" s="867">
        <f t="shared" ca="1" si="17"/>
        <v>1892213.578967497</v>
      </c>
      <c r="T108" s="867" cm="1">
        <f t="array" aca="1" ref="T108" ca="1">IF($G108=0,0,-MIN(0,$G108*c_equity.LPshare))</f>
        <v>345168.7337704986</v>
      </c>
      <c r="U108" s="869" cm="1">
        <f t="array" aca="1" ref="U108" ca="1">IF($D108=0,0,S108*c_rate.Hurdle1.MO)</f>
        <v>15088.776800165404</v>
      </c>
      <c r="V108" s="867">
        <f t="shared" ca="1" si="18"/>
        <v>0</v>
      </c>
      <c r="W108" s="867">
        <f t="shared" ca="1" si="19"/>
        <v>0</v>
      </c>
      <c r="X108" s="869">
        <f t="shared" ca="1" si="20"/>
        <v>2252471.0895381612</v>
      </c>
      <c r="Y108" s="869">
        <f t="shared" ca="1" si="21"/>
        <v>-345168.7337704986</v>
      </c>
      <c r="Z108" s="869">
        <f t="shared" ca="1" si="22"/>
        <v>-18166.775461605193</v>
      </c>
      <c r="AA108" s="869">
        <f t="shared" ca="1" si="23"/>
        <v>-363335.50923210377</v>
      </c>
      <c r="AB108" s="867">
        <f t="shared" ca="1" si="24"/>
        <v>0</v>
      </c>
      <c r="AC108" s="161"/>
      <c r="AD108" s="869">
        <f t="shared" ca="1" si="25"/>
        <v>1906418.0204430639</v>
      </c>
      <c r="AE108" s="867" cm="1">
        <f t="array" aca="1" ref="AE108" ca="1">IF($G108=0,0,-MIN(0,$G108*c_equity.LPshare))</f>
        <v>345168.7337704986</v>
      </c>
      <c r="AF108" s="869" cm="1">
        <f t="array" aca="1" ref="AF108" ca="1">IF($D108=0,0,AD108*(c_rate.Hurdle2.MO))</f>
        <v>18089.605842741941</v>
      </c>
      <c r="AG108" s="869">
        <f t="shared" ca="1" si="26"/>
        <v>0</v>
      </c>
      <c r="AH108" s="869">
        <f t="shared" ca="1" si="27"/>
        <v>0</v>
      </c>
      <c r="AI108" s="869">
        <f t="shared" ca="1" si="28"/>
        <v>2269676.3600563044</v>
      </c>
      <c r="AJ108" s="868">
        <f t="shared" ca="1" si="6"/>
        <v>-345168.7337704986</v>
      </c>
      <c r="AK108" s="867">
        <f t="shared" ca="1" si="29"/>
        <v>-345168.7337704986</v>
      </c>
      <c r="AL108" s="869">
        <f t="shared" ca="1" si="56"/>
        <v>-18166.775461605193</v>
      </c>
      <c r="AM108" s="869">
        <f t="shared" ca="1" si="30"/>
        <v>-363335.50923210377</v>
      </c>
      <c r="AN108" s="867">
        <f t="shared" ca="1" si="3"/>
        <v>0</v>
      </c>
      <c r="AO108" s="161"/>
      <c r="AP108" s="869">
        <f t="shared" ca="1" si="31"/>
        <v>1920532.5758154043</v>
      </c>
      <c r="AQ108" s="867" cm="1">
        <f t="array" aca="1" ref="AQ108" ca="1">IF($G108=0,0,-MIN(0,$G108*c_equity.LPshare))</f>
        <v>345168.7337704986</v>
      </c>
      <c r="AR108" s="869" cm="1">
        <f t="array" aca="1" ref="AR108" ca="1">IF($D108=0,0,AP108*(c_rate.Hurdle3.MO))</f>
        <v>21085.242815362595</v>
      </c>
      <c r="AS108" s="869">
        <f t="shared" ca="1" si="32"/>
        <v>0</v>
      </c>
      <c r="AT108" s="869">
        <f t="shared" ca="1" si="33"/>
        <v>0</v>
      </c>
      <c r="AU108" s="869">
        <f t="shared" ca="1" si="34"/>
        <v>2286786.5524012656</v>
      </c>
      <c r="AV108" s="870">
        <f t="shared" ca="1" si="35"/>
        <v>-345168.7337704986</v>
      </c>
      <c r="AW108" s="867">
        <f t="shared" ca="1" si="36"/>
        <v>-345168.7337704986</v>
      </c>
      <c r="AX108" s="869">
        <f t="shared" ca="1" si="57"/>
        <v>-18166.775461605193</v>
      </c>
      <c r="AY108" s="869">
        <f t="shared" ca="1" si="37"/>
        <v>-363335.50923210377</v>
      </c>
      <c r="AZ108" s="867">
        <f t="shared" ca="1" si="38"/>
        <v>0</v>
      </c>
      <c r="BA108" s="161"/>
      <c r="BB108" s="867">
        <f t="shared" ca="1" si="39"/>
        <v>0</v>
      </c>
      <c r="BC108" s="867">
        <f t="shared" ca="1" si="4"/>
        <v>0</v>
      </c>
      <c r="BD108" s="658"/>
      <c r="BE108" s="867">
        <f t="shared" ca="1" si="40"/>
        <v>-345168.7337704986</v>
      </c>
      <c r="BF108" s="867">
        <f t="shared" ca="1" si="41"/>
        <v>-18166.775461605193</v>
      </c>
      <c r="BG108" s="867">
        <f t="shared" ca="1" si="42"/>
        <v>-363335.50923210377</v>
      </c>
      <c r="BI108" s="867">
        <f ca="1"/>
        <v>-363335.50923210382</v>
      </c>
      <c r="BJ108" s="867">
        <f ca="1"/>
        <v>-345168.7337704986</v>
      </c>
      <c r="BK108" s="867">
        <f ca="1"/>
        <v>-18166.775461605193</v>
      </c>
      <c r="BL108" s="867">
        <f t="shared" ca="1" si="43"/>
        <v>0</v>
      </c>
      <c r="BM108" s="867">
        <f t="shared" ca="1" si="44"/>
        <v>0</v>
      </c>
      <c r="BN108" s="867">
        <f t="shared" ca="1" si="45"/>
        <v>0</v>
      </c>
      <c r="BO108" s="867">
        <f t="shared" ca="1" si="46"/>
        <v>0</v>
      </c>
      <c r="BP108" s="867">
        <f t="shared" ca="1" si="47"/>
        <v>0</v>
      </c>
      <c r="BQ108" s="867">
        <f t="shared" ca="1" si="48"/>
        <v>0</v>
      </c>
      <c r="BR108" s="867">
        <f ca="1"/>
        <v>0</v>
      </c>
      <c r="BS108" s="867">
        <f ca="1"/>
        <v>0</v>
      </c>
      <c r="BT108" s="867">
        <f t="shared" ca="1" si="9"/>
        <v>-345168.7337704986</v>
      </c>
      <c r="BU108" s="867">
        <f t="shared" ca="1" si="49"/>
        <v>-18166.775461605193</v>
      </c>
      <c r="BV108" s="829">
        <f t="shared" ca="1" si="10"/>
        <v>-3.2741809263825417E-11</v>
      </c>
      <c r="BX108" s="867">
        <f ca="1"/>
        <v>-363335.50923210382</v>
      </c>
      <c r="BY108" s="867">
        <f t="shared" ca="1" si="50"/>
        <v>-363335.50923210377</v>
      </c>
      <c r="BZ108" s="867">
        <f t="shared" ca="1" si="51"/>
        <v>0</v>
      </c>
      <c r="CA108" s="867">
        <f t="shared" ca="1" si="52"/>
        <v>0</v>
      </c>
      <c r="CB108" s="867">
        <f t="shared" ca="1" si="53"/>
        <v>0</v>
      </c>
      <c r="CC108" s="867">
        <f t="shared" ca="1" si="54"/>
        <v>0</v>
      </c>
      <c r="CD108" s="867">
        <f t="shared" ca="1" si="55"/>
        <v>-363335.50923210377</v>
      </c>
    </row>
    <row r="109" spans="1:82" ht="17" thickTop="1" thickBot="1">
      <c r="A109" s="773">
        <f t="shared" si="5"/>
        <v>1</v>
      </c>
      <c r="B109" s="779"/>
      <c r="C109" s="572"/>
      <c r="D109" s="660">
        <v>62</v>
      </c>
      <c r="E109" s="661">
        <v>47150</v>
      </c>
      <c r="F109" s="862">
        <v>6</v>
      </c>
      <c r="G109" s="863">
        <f ca="1"/>
        <v>-363335.50923210382</v>
      </c>
      <c r="H109" s="961"/>
      <c r="I109" s="865">
        <f t="shared" ca="1" si="11"/>
        <v>2235168.1039142986</v>
      </c>
      <c r="J109" s="864" cm="1">
        <f t="array" aca="1" ref="J109" ca="1">IF($G109=0,0,-MIN(0,G109*c_equity.LPshare))</f>
        <v>345168.7337704986</v>
      </c>
      <c r="K109" s="865" cm="1">
        <f t="array" aca="1" ref="K109" ca="1">I109*c_rate.Pref.MO</f>
        <v>14381.138881503874</v>
      </c>
      <c r="L109" s="865">
        <f t="shared" ca="1" si="12"/>
        <v>0</v>
      </c>
      <c r="M109" s="865">
        <f t="shared" ca="1" si="13"/>
        <v>2594717.9765663012</v>
      </c>
      <c r="N109" s="865">
        <f t="shared" ca="1" si="14"/>
        <v>-345168.7337704986</v>
      </c>
      <c r="O109" s="864" cm="1">
        <f t="array" aca="1" ref="O109" ca="1">IF(N109=0,0,IF(G109&lt;0,N109/c_equity.LPshare*i_equity.GPshare,L109/c_equity.LPshare*i_equity.GPshare))</f>
        <v>-18166.775461605193</v>
      </c>
      <c r="P109" s="865">
        <f t="shared" ca="1" si="15"/>
        <v>-363335.50923210377</v>
      </c>
      <c r="Q109" s="865">
        <f t="shared" ca="1" si="16"/>
        <v>0</v>
      </c>
      <c r="R109" s="161"/>
      <c r="S109" s="867">
        <f t="shared" ca="1" si="17"/>
        <v>2252471.0895381612</v>
      </c>
      <c r="T109" s="867" cm="1">
        <f t="array" aca="1" ref="T109" ca="1">IF($G109=0,0,-MIN(0,$G109*c_equity.LPshare))</f>
        <v>345168.7337704986</v>
      </c>
      <c r="U109" s="869" cm="1">
        <f t="array" aca="1" ref="U109" ca="1">IF($D109=0,0,S109*c_rate.Hurdle1.MO)</f>
        <v>17961.520780023162</v>
      </c>
      <c r="V109" s="867">
        <f t="shared" ca="1" si="18"/>
        <v>0</v>
      </c>
      <c r="W109" s="867">
        <f t="shared" ca="1" si="19"/>
        <v>0</v>
      </c>
      <c r="X109" s="869">
        <f t="shared" ca="1" si="20"/>
        <v>2615601.3440886829</v>
      </c>
      <c r="Y109" s="869">
        <f t="shared" ca="1" si="21"/>
        <v>-345168.7337704986</v>
      </c>
      <c r="Z109" s="869">
        <f t="shared" ca="1" si="22"/>
        <v>-18166.775461605193</v>
      </c>
      <c r="AA109" s="869">
        <f t="shared" ca="1" si="23"/>
        <v>-363335.50923210377</v>
      </c>
      <c r="AB109" s="867">
        <f t="shared" ca="1" si="24"/>
        <v>0</v>
      </c>
      <c r="AC109" s="161"/>
      <c r="AD109" s="869">
        <f t="shared" ca="1" si="25"/>
        <v>2269676.3600563044</v>
      </c>
      <c r="AE109" s="867" cm="1">
        <f t="array" aca="1" ref="AE109" ca="1">IF($G109=0,0,-MIN(0,$G109*c_equity.LPshare))</f>
        <v>345168.7337704986</v>
      </c>
      <c r="AF109" s="869" cm="1">
        <f t="array" aca="1" ref="AF109" ca="1">IF($D109=0,0,AD109*(c_rate.Hurdle2.MO))</f>
        <v>21536.489009092427</v>
      </c>
      <c r="AG109" s="869">
        <f t="shared" ca="1" si="26"/>
        <v>0</v>
      </c>
      <c r="AH109" s="869">
        <f t="shared" ca="1" si="27"/>
        <v>0</v>
      </c>
      <c r="AI109" s="869">
        <f t="shared" ca="1" si="28"/>
        <v>2636381.5828358955</v>
      </c>
      <c r="AJ109" s="868">
        <f t="shared" ca="1" si="6"/>
        <v>-345168.7337704986</v>
      </c>
      <c r="AK109" s="867">
        <f t="shared" ca="1" si="29"/>
        <v>-345168.7337704986</v>
      </c>
      <c r="AL109" s="869">
        <f t="shared" ca="1" si="56"/>
        <v>-18166.775461605193</v>
      </c>
      <c r="AM109" s="869">
        <f t="shared" ca="1" si="30"/>
        <v>-363335.50923210377</v>
      </c>
      <c r="AN109" s="867">
        <f t="shared" ca="1" si="3"/>
        <v>0</v>
      </c>
      <c r="AO109" s="161"/>
      <c r="AP109" s="869">
        <f t="shared" ca="1" si="31"/>
        <v>2286786.5524012656</v>
      </c>
      <c r="AQ109" s="867" cm="1">
        <f t="array" aca="1" ref="AQ109" ca="1">IF($G109=0,0,-MIN(0,$G109*c_equity.LPshare))</f>
        <v>345168.7337704986</v>
      </c>
      <c r="AR109" s="869" cm="1">
        <f t="array" aca="1" ref="AR109" ca="1">IF($D109=0,0,AP109*(c_rate.Hurdle3.MO))</f>
        <v>25106.29100046106</v>
      </c>
      <c r="AS109" s="869">
        <f t="shared" ca="1" si="32"/>
        <v>0</v>
      </c>
      <c r="AT109" s="869">
        <f t="shared" ca="1" si="33"/>
        <v>0</v>
      </c>
      <c r="AU109" s="869">
        <f t="shared" ca="1" si="34"/>
        <v>2657061.5771722253</v>
      </c>
      <c r="AV109" s="870">
        <f t="shared" ca="1" si="35"/>
        <v>-345168.7337704986</v>
      </c>
      <c r="AW109" s="867">
        <f t="shared" ca="1" si="36"/>
        <v>-345168.7337704986</v>
      </c>
      <c r="AX109" s="869">
        <f t="shared" ca="1" si="57"/>
        <v>-18166.775461605193</v>
      </c>
      <c r="AY109" s="869">
        <f t="shared" ca="1" si="37"/>
        <v>-363335.50923210377</v>
      </c>
      <c r="AZ109" s="867">
        <f t="shared" ca="1" si="38"/>
        <v>0</v>
      </c>
      <c r="BA109" s="161"/>
      <c r="BB109" s="867">
        <f t="shared" ca="1" si="39"/>
        <v>0</v>
      </c>
      <c r="BC109" s="867">
        <f t="shared" ca="1" si="4"/>
        <v>0</v>
      </c>
      <c r="BD109" s="658"/>
      <c r="BE109" s="867">
        <f t="shared" ca="1" si="40"/>
        <v>-345168.7337704986</v>
      </c>
      <c r="BF109" s="867">
        <f t="shared" ca="1" si="41"/>
        <v>-18166.775461605193</v>
      </c>
      <c r="BG109" s="867">
        <f t="shared" ca="1" si="42"/>
        <v>-363335.50923210377</v>
      </c>
      <c r="BI109" s="867">
        <f ca="1"/>
        <v>-363335.50923210382</v>
      </c>
      <c r="BJ109" s="867">
        <f ca="1"/>
        <v>-345168.7337704986</v>
      </c>
      <c r="BK109" s="867">
        <f ca="1"/>
        <v>-18166.775461605193</v>
      </c>
      <c r="BL109" s="867">
        <f t="shared" ca="1" si="43"/>
        <v>0</v>
      </c>
      <c r="BM109" s="867">
        <f t="shared" ca="1" si="44"/>
        <v>0</v>
      </c>
      <c r="BN109" s="867">
        <f t="shared" ca="1" si="45"/>
        <v>0</v>
      </c>
      <c r="BO109" s="867">
        <f t="shared" ca="1" si="46"/>
        <v>0</v>
      </c>
      <c r="BP109" s="867">
        <f t="shared" ca="1" si="47"/>
        <v>0</v>
      </c>
      <c r="BQ109" s="867">
        <f t="shared" ca="1" si="48"/>
        <v>0</v>
      </c>
      <c r="BR109" s="867">
        <f ca="1"/>
        <v>0</v>
      </c>
      <c r="BS109" s="867">
        <f ca="1"/>
        <v>0</v>
      </c>
      <c r="BT109" s="867">
        <f t="shared" ca="1" si="9"/>
        <v>-345168.7337704986</v>
      </c>
      <c r="BU109" s="867">
        <f t="shared" ca="1" si="49"/>
        <v>-18166.775461605193</v>
      </c>
      <c r="BV109" s="829">
        <f t="shared" ca="1" si="10"/>
        <v>-3.2741809263825417E-11</v>
      </c>
      <c r="BX109" s="867">
        <f ca="1"/>
        <v>-363335.50923210382</v>
      </c>
      <c r="BY109" s="867">
        <f t="shared" ca="1" si="50"/>
        <v>-363335.50923210377</v>
      </c>
      <c r="BZ109" s="867">
        <f t="shared" ca="1" si="51"/>
        <v>0</v>
      </c>
      <c r="CA109" s="867">
        <f t="shared" ca="1" si="52"/>
        <v>0</v>
      </c>
      <c r="CB109" s="867">
        <f t="shared" ca="1" si="53"/>
        <v>0</v>
      </c>
      <c r="CC109" s="867">
        <f t="shared" ca="1" si="54"/>
        <v>0</v>
      </c>
      <c r="CD109" s="867">
        <f t="shared" ca="1" si="55"/>
        <v>-363335.50923210377</v>
      </c>
    </row>
    <row r="110" spans="1:82" ht="17" thickTop="1" thickBot="1">
      <c r="A110" s="773">
        <f t="shared" si="5"/>
        <v>1</v>
      </c>
      <c r="B110" s="779"/>
      <c r="C110" s="572"/>
      <c r="D110" s="660">
        <v>63</v>
      </c>
      <c r="E110" s="661">
        <v>47178</v>
      </c>
      <c r="F110" s="862">
        <v>6</v>
      </c>
      <c r="G110" s="863">
        <f ca="1"/>
        <v>-363335.50923210382</v>
      </c>
      <c r="H110" s="961"/>
      <c r="I110" s="865">
        <f t="shared" ca="1" si="11"/>
        <v>2594717.9765663012</v>
      </c>
      <c r="J110" s="864" cm="1">
        <f t="array" aca="1" ref="J110" ca="1">IF($G110=0,0,-MIN(0,G110*c_equity.LPshare))</f>
        <v>345168.7337704986</v>
      </c>
      <c r="K110" s="865" cm="1">
        <f t="array" aca="1" ref="K110" ca="1">I110*c_rate.Pref.MO</f>
        <v>16694.493588194757</v>
      </c>
      <c r="L110" s="865">
        <f t="shared" ca="1" si="12"/>
        <v>0</v>
      </c>
      <c r="M110" s="865">
        <f t="shared" ca="1" si="13"/>
        <v>2956581.2039249945</v>
      </c>
      <c r="N110" s="865">
        <f t="shared" ca="1" si="14"/>
        <v>-345168.7337704986</v>
      </c>
      <c r="O110" s="864" cm="1">
        <f t="array" aca="1" ref="O110" ca="1">IF(N110=0,0,IF(G110&lt;0,N110/c_equity.LPshare*i_equity.GPshare,L110/c_equity.LPshare*i_equity.GPshare))</f>
        <v>-18166.775461605193</v>
      </c>
      <c r="P110" s="865">
        <f t="shared" ca="1" si="15"/>
        <v>-363335.50923210377</v>
      </c>
      <c r="Q110" s="865">
        <f t="shared" ca="1" si="16"/>
        <v>0</v>
      </c>
      <c r="R110" s="161"/>
      <c r="S110" s="867">
        <f t="shared" ca="1" si="17"/>
        <v>2615601.3440886829</v>
      </c>
      <c r="T110" s="867" cm="1">
        <f t="array" aca="1" ref="T110" ca="1">IF($G110=0,0,-MIN(0,$G110*c_equity.LPshare))</f>
        <v>345168.7337704986</v>
      </c>
      <c r="U110" s="869" cm="1">
        <f t="array" aca="1" ref="U110" ca="1">IF($D110=0,0,S110*c_rate.Hurdle1.MO)</f>
        <v>20857.172423792592</v>
      </c>
      <c r="V110" s="867">
        <f t="shared" ca="1" si="18"/>
        <v>0</v>
      </c>
      <c r="W110" s="867">
        <f t="shared" ca="1" si="19"/>
        <v>0</v>
      </c>
      <c r="X110" s="869">
        <f t="shared" ca="1" si="20"/>
        <v>2981627.250282974</v>
      </c>
      <c r="Y110" s="869">
        <f t="shared" ca="1" si="21"/>
        <v>-345168.7337704986</v>
      </c>
      <c r="Z110" s="869">
        <f t="shared" ca="1" si="22"/>
        <v>-18166.775461605193</v>
      </c>
      <c r="AA110" s="869">
        <f t="shared" ca="1" si="23"/>
        <v>-363335.50923210377</v>
      </c>
      <c r="AB110" s="867">
        <f t="shared" ca="1" si="24"/>
        <v>0</v>
      </c>
      <c r="AC110" s="161"/>
      <c r="AD110" s="869">
        <f t="shared" ca="1" si="25"/>
        <v>2636381.5828358955</v>
      </c>
      <c r="AE110" s="867" cm="1">
        <f t="array" aca="1" ref="AE110" ca="1">IF($G110=0,0,-MIN(0,$G110*c_equity.LPshare))</f>
        <v>345168.7337704986</v>
      </c>
      <c r="AF110" s="869" cm="1">
        <f t="array" aca="1" ref="AF110" ca="1">IF($D110=0,0,AD110*(c_rate.Hurdle2.MO))</f>
        <v>25016.078936078113</v>
      </c>
      <c r="AG110" s="869">
        <f t="shared" ca="1" si="26"/>
        <v>0</v>
      </c>
      <c r="AH110" s="869">
        <f t="shared" ca="1" si="27"/>
        <v>0</v>
      </c>
      <c r="AI110" s="869">
        <f t="shared" ca="1" si="28"/>
        <v>3006566.3955424721</v>
      </c>
      <c r="AJ110" s="868">
        <f t="shared" ca="1" si="6"/>
        <v>-345168.7337704986</v>
      </c>
      <c r="AK110" s="867">
        <f t="shared" ca="1" si="29"/>
        <v>-345168.7337704986</v>
      </c>
      <c r="AL110" s="869">
        <f t="shared" ca="1" si="56"/>
        <v>-18166.775461605193</v>
      </c>
      <c r="AM110" s="869">
        <f t="shared" ca="1" si="30"/>
        <v>-363335.50923210377</v>
      </c>
      <c r="AN110" s="867">
        <f t="shared" ca="1" si="3"/>
        <v>0</v>
      </c>
      <c r="AO110" s="161"/>
      <c r="AP110" s="869">
        <f t="shared" ca="1" si="31"/>
        <v>2657061.5771722253</v>
      </c>
      <c r="AQ110" s="867" cm="1">
        <f t="array" aca="1" ref="AQ110" ca="1">IF($G110=0,0,-MIN(0,$G110*c_equity.LPshare))</f>
        <v>345168.7337704986</v>
      </c>
      <c r="AR110" s="869" cm="1">
        <f t="array" aca="1" ref="AR110" ca="1">IF($D110=0,0,AP110*(c_rate.Hurdle3.MO))</f>
        <v>29171.485678268233</v>
      </c>
      <c r="AS110" s="869">
        <f t="shared" ca="1" si="32"/>
        <v>0</v>
      </c>
      <c r="AT110" s="869">
        <f t="shared" ca="1" si="33"/>
        <v>0</v>
      </c>
      <c r="AU110" s="869">
        <f t="shared" ca="1" si="34"/>
        <v>3031401.796620992</v>
      </c>
      <c r="AV110" s="870">
        <f t="shared" ca="1" si="35"/>
        <v>-345168.7337704986</v>
      </c>
      <c r="AW110" s="867">
        <f t="shared" ca="1" si="36"/>
        <v>-345168.7337704986</v>
      </c>
      <c r="AX110" s="869">
        <f t="shared" ca="1" si="57"/>
        <v>-18166.775461605193</v>
      </c>
      <c r="AY110" s="869">
        <f t="shared" ca="1" si="37"/>
        <v>-363335.50923210377</v>
      </c>
      <c r="AZ110" s="867">
        <f t="shared" ca="1" si="38"/>
        <v>0</v>
      </c>
      <c r="BA110" s="161"/>
      <c r="BB110" s="867">
        <f t="shared" ca="1" si="39"/>
        <v>0</v>
      </c>
      <c r="BC110" s="867">
        <f t="shared" ca="1" si="4"/>
        <v>0</v>
      </c>
      <c r="BD110" s="658"/>
      <c r="BE110" s="867">
        <f t="shared" ca="1" si="40"/>
        <v>-345168.7337704986</v>
      </c>
      <c r="BF110" s="867">
        <f t="shared" ca="1" si="41"/>
        <v>-18166.775461605193</v>
      </c>
      <c r="BG110" s="867">
        <f t="shared" ca="1" si="42"/>
        <v>-363335.50923210377</v>
      </c>
      <c r="BI110" s="867">
        <f ca="1"/>
        <v>-363335.50923210382</v>
      </c>
      <c r="BJ110" s="867">
        <f ca="1"/>
        <v>-345168.7337704986</v>
      </c>
      <c r="BK110" s="867">
        <f ca="1"/>
        <v>-18166.775461605193</v>
      </c>
      <c r="BL110" s="867">
        <f t="shared" ca="1" si="43"/>
        <v>0</v>
      </c>
      <c r="BM110" s="867">
        <f t="shared" ca="1" si="44"/>
        <v>0</v>
      </c>
      <c r="BN110" s="867">
        <f t="shared" ca="1" si="45"/>
        <v>0</v>
      </c>
      <c r="BO110" s="867">
        <f t="shared" ca="1" si="46"/>
        <v>0</v>
      </c>
      <c r="BP110" s="867">
        <f t="shared" ca="1" si="47"/>
        <v>0</v>
      </c>
      <c r="BQ110" s="867">
        <f t="shared" ca="1" si="48"/>
        <v>0</v>
      </c>
      <c r="BR110" s="867">
        <f ca="1"/>
        <v>0</v>
      </c>
      <c r="BS110" s="867">
        <f ca="1"/>
        <v>0</v>
      </c>
      <c r="BT110" s="867">
        <f t="shared" ca="1" si="9"/>
        <v>-345168.7337704986</v>
      </c>
      <c r="BU110" s="867">
        <f t="shared" ca="1" si="49"/>
        <v>-18166.775461605193</v>
      </c>
      <c r="BV110" s="829">
        <f t="shared" ca="1" si="10"/>
        <v>-3.2741809263825417E-11</v>
      </c>
      <c r="BX110" s="867">
        <f ca="1"/>
        <v>-363335.50923210382</v>
      </c>
      <c r="BY110" s="867">
        <f t="shared" ca="1" si="50"/>
        <v>-363335.50923210377</v>
      </c>
      <c r="BZ110" s="867">
        <f t="shared" ca="1" si="51"/>
        <v>0</v>
      </c>
      <c r="CA110" s="867">
        <f t="shared" ca="1" si="52"/>
        <v>0</v>
      </c>
      <c r="CB110" s="867">
        <f t="shared" ca="1" si="53"/>
        <v>0</v>
      </c>
      <c r="CC110" s="867">
        <f t="shared" ca="1" si="54"/>
        <v>0</v>
      </c>
      <c r="CD110" s="867">
        <f t="shared" ca="1" si="55"/>
        <v>-363335.50923210377</v>
      </c>
    </row>
    <row r="111" spans="1:82" ht="17" thickTop="1" thickBot="1">
      <c r="A111" s="773">
        <f t="shared" si="5"/>
        <v>1</v>
      </c>
      <c r="B111" s="779"/>
      <c r="C111" s="572"/>
      <c r="D111" s="660">
        <v>64</v>
      </c>
      <c r="E111" s="661">
        <v>47209</v>
      </c>
      <c r="F111" s="862">
        <v>6</v>
      </c>
      <c r="G111" s="863">
        <f ca="1"/>
        <v>-363335.50923210382</v>
      </c>
      <c r="H111" s="961"/>
      <c r="I111" s="865">
        <f t="shared" ca="1" si="11"/>
        <v>2956581.2039249945</v>
      </c>
      <c r="J111" s="864" cm="1">
        <f t="array" aca="1" ref="J111" ca="1">IF($G111=0,0,-MIN(0,G111*c_equity.LPshare))</f>
        <v>345168.7337704986</v>
      </c>
      <c r="K111" s="865" cm="1">
        <f t="array" aca="1" ref="K111" ca="1">I111*c_rate.Pref.MO</f>
        <v>19022.732488723606</v>
      </c>
      <c r="L111" s="865">
        <f t="shared" ca="1" si="12"/>
        <v>0</v>
      </c>
      <c r="M111" s="865">
        <f t="shared" ca="1" si="13"/>
        <v>3320772.6701842165</v>
      </c>
      <c r="N111" s="865">
        <f t="shared" ca="1" si="14"/>
        <v>-345168.7337704986</v>
      </c>
      <c r="O111" s="864" cm="1">
        <f t="array" aca="1" ref="O111" ca="1">IF(N111=0,0,IF(G111&lt;0,N111/c_equity.LPshare*i_equity.GPshare,L111/c_equity.LPshare*i_equity.GPshare))</f>
        <v>-18166.775461605193</v>
      </c>
      <c r="P111" s="865">
        <f t="shared" ca="1" si="15"/>
        <v>-363335.50923210377</v>
      </c>
      <c r="Q111" s="865">
        <f t="shared" ca="1" si="16"/>
        <v>0</v>
      </c>
      <c r="R111" s="161"/>
      <c r="S111" s="867">
        <f t="shared" ca="1" si="17"/>
        <v>2981627.250282974</v>
      </c>
      <c r="T111" s="867" cm="1">
        <f t="array" aca="1" ref="T111" ca="1">IF($G111=0,0,-MIN(0,$G111*c_equity.LPshare))</f>
        <v>345168.7337704986</v>
      </c>
      <c r="U111" s="869" cm="1">
        <f t="array" aca="1" ref="U111" ca="1">IF($D111=0,0,S111*c_rate.Hurdle1.MO)</f>
        <v>23775.914400402624</v>
      </c>
      <c r="V111" s="867">
        <f t="shared" ca="1" si="18"/>
        <v>0</v>
      </c>
      <c r="W111" s="867">
        <f t="shared" ca="1" si="19"/>
        <v>0</v>
      </c>
      <c r="X111" s="869">
        <f t="shared" ca="1" si="20"/>
        <v>3350571.898453875</v>
      </c>
      <c r="Y111" s="869">
        <f t="shared" ca="1" si="21"/>
        <v>-345168.7337704986</v>
      </c>
      <c r="Z111" s="869">
        <f t="shared" ca="1" si="22"/>
        <v>-18166.775461605193</v>
      </c>
      <c r="AA111" s="869">
        <f t="shared" ca="1" si="23"/>
        <v>-363335.50923210377</v>
      </c>
      <c r="AB111" s="867">
        <f t="shared" ca="1" si="24"/>
        <v>0</v>
      </c>
      <c r="AC111" s="161"/>
      <c r="AD111" s="869">
        <f t="shared" ca="1" si="25"/>
        <v>3006566.3955424721</v>
      </c>
      <c r="AE111" s="867" cm="1">
        <f t="array" aca="1" ref="AE111" ca="1">IF($G111=0,0,-MIN(0,$G111*c_equity.LPshare))</f>
        <v>345168.7337704986</v>
      </c>
      <c r="AF111" s="869" cm="1">
        <f t="array" aca="1" ref="AF111" ca="1">IF($D111=0,0,AD111*(c_rate.Hurdle2.MO))</f>
        <v>28528.685971378225</v>
      </c>
      <c r="AG111" s="869">
        <f t="shared" ca="1" si="26"/>
        <v>0</v>
      </c>
      <c r="AH111" s="869">
        <f t="shared" ca="1" si="27"/>
        <v>0</v>
      </c>
      <c r="AI111" s="869">
        <f t="shared" ca="1" si="28"/>
        <v>3380263.815284349</v>
      </c>
      <c r="AJ111" s="868">
        <f t="shared" ca="1" si="6"/>
        <v>-345168.7337704986</v>
      </c>
      <c r="AK111" s="867">
        <f t="shared" ca="1" si="29"/>
        <v>-345168.7337704986</v>
      </c>
      <c r="AL111" s="869">
        <f t="shared" ca="1" si="56"/>
        <v>-18166.775461605193</v>
      </c>
      <c r="AM111" s="869">
        <f t="shared" ca="1" si="30"/>
        <v>-363335.50923210377</v>
      </c>
      <c r="AN111" s="867">
        <f t="shared" ca="1" si="3"/>
        <v>0</v>
      </c>
      <c r="AO111" s="161"/>
      <c r="AP111" s="869">
        <f t="shared" ca="1" si="31"/>
        <v>3031401.796620992</v>
      </c>
      <c r="AQ111" s="867" cm="1">
        <f t="array" aca="1" ref="AQ111" ca="1">IF($G111=0,0,-MIN(0,$G111*c_equity.LPshare))</f>
        <v>345168.7337704986</v>
      </c>
      <c r="AR111" s="869" cm="1">
        <f t="array" aca="1" ref="AR111" ca="1">IF($D111=0,0,AP111*(c_rate.Hurdle3.MO))</f>
        <v>33281.311526591686</v>
      </c>
      <c r="AS111" s="869">
        <f t="shared" ca="1" si="32"/>
        <v>0</v>
      </c>
      <c r="AT111" s="869">
        <f t="shared" ca="1" si="33"/>
        <v>0</v>
      </c>
      <c r="AU111" s="869">
        <f t="shared" ca="1" si="34"/>
        <v>3409851.8419180824</v>
      </c>
      <c r="AV111" s="870">
        <f t="shared" ca="1" si="35"/>
        <v>-345168.7337704986</v>
      </c>
      <c r="AW111" s="867">
        <f t="shared" ca="1" si="36"/>
        <v>-345168.7337704986</v>
      </c>
      <c r="AX111" s="869">
        <f t="shared" ca="1" si="57"/>
        <v>-18166.775461605193</v>
      </c>
      <c r="AY111" s="869">
        <f t="shared" ca="1" si="37"/>
        <v>-363335.50923210377</v>
      </c>
      <c r="AZ111" s="867">
        <f t="shared" ca="1" si="38"/>
        <v>0</v>
      </c>
      <c r="BA111" s="161"/>
      <c r="BB111" s="867">
        <f t="shared" ca="1" si="39"/>
        <v>0</v>
      </c>
      <c r="BC111" s="867">
        <f t="shared" ca="1" si="4"/>
        <v>0</v>
      </c>
      <c r="BD111" s="658"/>
      <c r="BE111" s="867">
        <f t="shared" ca="1" si="40"/>
        <v>-345168.7337704986</v>
      </c>
      <c r="BF111" s="867">
        <f t="shared" ca="1" si="41"/>
        <v>-18166.775461605193</v>
      </c>
      <c r="BG111" s="867">
        <f t="shared" ca="1" si="42"/>
        <v>-363335.50923210377</v>
      </c>
      <c r="BI111" s="867">
        <f ca="1"/>
        <v>-363335.50923210382</v>
      </c>
      <c r="BJ111" s="867">
        <f ca="1"/>
        <v>-345168.7337704986</v>
      </c>
      <c r="BK111" s="867">
        <f ca="1"/>
        <v>-18166.775461605193</v>
      </c>
      <c r="BL111" s="867">
        <f t="shared" ca="1" si="43"/>
        <v>0</v>
      </c>
      <c r="BM111" s="867">
        <f t="shared" ca="1" si="44"/>
        <v>0</v>
      </c>
      <c r="BN111" s="867">
        <f t="shared" ca="1" si="45"/>
        <v>0</v>
      </c>
      <c r="BO111" s="867">
        <f t="shared" ca="1" si="46"/>
        <v>0</v>
      </c>
      <c r="BP111" s="867">
        <f t="shared" ca="1" si="47"/>
        <v>0</v>
      </c>
      <c r="BQ111" s="867">
        <f t="shared" ca="1" si="48"/>
        <v>0</v>
      </c>
      <c r="BR111" s="867">
        <f ca="1"/>
        <v>0</v>
      </c>
      <c r="BS111" s="867">
        <f ca="1"/>
        <v>0</v>
      </c>
      <c r="BT111" s="867">
        <f t="shared" ca="1" si="9"/>
        <v>-345168.7337704986</v>
      </c>
      <c r="BU111" s="867">
        <f t="shared" ca="1" si="49"/>
        <v>-18166.775461605193</v>
      </c>
      <c r="BV111" s="829">
        <f t="shared" ca="1" si="10"/>
        <v>-3.2741809263825417E-11</v>
      </c>
      <c r="BX111" s="867">
        <f ca="1"/>
        <v>-363335.50923210382</v>
      </c>
      <c r="BY111" s="867">
        <f t="shared" ca="1" si="50"/>
        <v>-363335.50923210377</v>
      </c>
      <c r="BZ111" s="867">
        <f t="shared" ca="1" si="51"/>
        <v>0</v>
      </c>
      <c r="CA111" s="867">
        <f t="shared" ca="1" si="52"/>
        <v>0</v>
      </c>
      <c r="CB111" s="867">
        <f t="shared" ca="1" si="53"/>
        <v>0</v>
      </c>
      <c r="CC111" s="867">
        <f t="shared" ca="1" si="54"/>
        <v>0</v>
      </c>
      <c r="CD111" s="867">
        <f t="shared" ca="1" si="55"/>
        <v>-363335.50923210377</v>
      </c>
    </row>
    <row r="112" spans="1:82" ht="17" thickTop="1" thickBot="1">
      <c r="A112" s="773">
        <f t="shared" si="5"/>
        <v>1</v>
      </c>
      <c r="B112" s="779"/>
      <c r="C112" s="572"/>
      <c r="D112" s="660">
        <v>65</v>
      </c>
      <c r="E112" s="661">
        <v>47239</v>
      </c>
      <c r="F112" s="862">
        <v>6</v>
      </c>
      <c r="G112" s="863">
        <f ca="1"/>
        <v>-363335.50923210382</v>
      </c>
      <c r="H112" s="961"/>
      <c r="I112" s="865">
        <f t="shared" ca="1" si="11"/>
        <v>3320772.6701842165</v>
      </c>
      <c r="J112" s="864" cm="1">
        <f t="array" aca="1" ref="J112" ca="1">IF($G112=0,0,-MIN(0,G112*c_equity.LPshare))</f>
        <v>345168.7337704986</v>
      </c>
      <c r="K112" s="865" cm="1">
        <f t="array" aca="1" ref="K112" ca="1">I112*c_rate.Pref.MO</f>
        <v>21365.95134844174</v>
      </c>
      <c r="L112" s="865">
        <f t="shared" ca="1" si="12"/>
        <v>0</v>
      </c>
      <c r="M112" s="865">
        <f t="shared" ca="1" si="13"/>
        <v>3687307.3553031567</v>
      </c>
      <c r="N112" s="865">
        <f t="shared" ca="1" si="14"/>
        <v>-345168.7337704986</v>
      </c>
      <c r="O112" s="864" cm="1">
        <f t="array" aca="1" ref="O112" ca="1">IF(N112=0,0,IF(G112&lt;0,N112/c_equity.LPshare*i_equity.GPshare,L112/c_equity.LPshare*i_equity.GPshare))</f>
        <v>-18166.775461605193</v>
      </c>
      <c r="P112" s="865">
        <f t="shared" ca="1" si="15"/>
        <v>-363335.50923210377</v>
      </c>
      <c r="Q112" s="865">
        <f t="shared" ca="1" si="16"/>
        <v>0</v>
      </c>
      <c r="R112" s="161"/>
      <c r="S112" s="867">
        <f t="shared" ca="1" si="17"/>
        <v>3350571.898453875</v>
      </c>
      <c r="T112" s="867" cm="1">
        <f t="array" aca="1" ref="T112" ca="1">IF($G112=0,0,-MIN(0,$G112*c_equity.LPshare))</f>
        <v>345168.7337704986</v>
      </c>
      <c r="U112" s="869" cm="1">
        <f t="array" aca="1" ref="U112" ca="1">IF($D112=0,0,S112*c_rate.Hurdle1.MO)</f>
        <v>26717.930835409883</v>
      </c>
      <c r="V112" s="867">
        <f t="shared" ca="1" si="18"/>
        <v>0</v>
      </c>
      <c r="W112" s="867">
        <f t="shared" ca="1" si="19"/>
        <v>0</v>
      </c>
      <c r="X112" s="869">
        <f t="shared" ca="1" si="20"/>
        <v>3722458.5630597835</v>
      </c>
      <c r="Y112" s="869">
        <f t="shared" ca="1" si="21"/>
        <v>-345168.7337704986</v>
      </c>
      <c r="Z112" s="869">
        <f t="shared" ca="1" si="22"/>
        <v>-18166.775461605193</v>
      </c>
      <c r="AA112" s="869">
        <f t="shared" ca="1" si="23"/>
        <v>-363335.50923210377</v>
      </c>
      <c r="AB112" s="867">
        <f t="shared" ca="1" si="24"/>
        <v>0</v>
      </c>
      <c r="AC112" s="161"/>
      <c r="AD112" s="869">
        <f t="shared" ca="1" si="25"/>
        <v>3380263.815284349</v>
      </c>
      <c r="AE112" s="867" cm="1">
        <f t="array" aca="1" ref="AE112" ca="1">IF($G112=0,0,-MIN(0,$G112*c_equity.LPshare))</f>
        <v>345168.7337704986</v>
      </c>
      <c r="AF112" s="869" cm="1">
        <f t="array" aca="1" ref="AF112" ca="1">IF($D112=0,0,AD112*(c_rate.Hurdle2.MO))</f>
        <v>32074.62340749686</v>
      </c>
      <c r="AG112" s="869">
        <f t="shared" ca="1" si="26"/>
        <v>0</v>
      </c>
      <c r="AH112" s="869">
        <f t="shared" ca="1" si="27"/>
        <v>0</v>
      </c>
      <c r="AI112" s="869">
        <f t="shared" ca="1" si="28"/>
        <v>3757507.1724623446</v>
      </c>
      <c r="AJ112" s="868">
        <f t="shared" ca="1" si="6"/>
        <v>-345168.7337704986</v>
      </c>
      <c r="AK112" s="867">
        <f t="shared" ca="1" si="29"/>
        <v>-345168.7337704986</v>
      </c>
      <c r="AL112" s="869">
        <f t="shared" ca="1" si="56"/>
        <v>-18166.775461605193</v>
      </c>
      <c r="AM112" s="869">
        <f t="shared" ca="1" si="30"/>
        <v>-363335.50923210377</v>
      </c>
      <c r="AN112" s="867">
        <f t="shared" ref="AN112:AN175" ca="1" si="58">IF(AM112&lt;0,0,MAX($G112-AM112,0))</f>
        <v>0</v>
      </c>
      <c r="AO112" s="161"/>
      <c r="AP112" s="869">
        <f t="shared" ca="1" si="31"/>
        <v>3409851.8419180824</v>
      </c>
      <c r="AQ112" s="867" cm="1">
        <f t="array" aca="1" ref="AQ112" ca="1">IF($G112=0,0,-MIN(0,$G112*c_equity.LPshare))</f>
        <v>345168.7337704986</v>
      </c>
      <c r="AR112" s="869" cm="1">
        <f t="array" aca="1" ref="AR112" ca="1">IF($D112=0,0,AP112*(c_rate.Hurdle3.MO))</f>
        <v>37436.258544444878</v>
      </c>
      <c r="AS112" s="869">
        <f t="shared" ca="1" si="32"/>
        <v>0</v>
      </c>
      <c r="AT112" s="869">
        <f t="shared" ca="1" si="33"/>
        <v>0</v>
      </c>
      <c r="AU112" s="869">
        <f t="shared" ca="1" si="34"/>
        <v>3792456.834233026</v>
      </c>
      <c r="AV112" s="870">
        <f t="shared" ca="1" si="35"/>
        <v>-345168.7337704986</v>
      </c>
      <c r="AW112" s="867">
        <f t="shared" ca="1" si="36"/>
        <v>-345168.7337704986</v>
      </c>
      <c r="AX112" s="869">
        <f t="shared" ca="1" si="57"/>
        <v>-18166.775461605193</v>
      </c>
      <c r="AY112" s="869">
        <f t="shared" ca="1" si="37"/>
        <v>-363335.50923210377</v>
      </c>
      <c r="AZ112" s="867">
        <f t="shared" ca="1" si="38"/>
        <v>0</v>
      </c>
      <c r="BA112" s="161"/>
      <c r="BB112" s="867">
        <f t="shared" ca="1" si="39"/>
        <v>0</v>
      </c>
      <c r="BC112" s="867">
        <f t="shared" ref="BC112:BC175" ca="1" si="59">$AZ112*i_residualGP</f>
        <v>0</v>
      </c>
      <c r="BD112" s="658"/>
      <c r="BE112" s="867">
        <f t="shared" ca="1" si="40"/>
        <v>-345168.7337704986</v>
      </c>
      <c r="BF112" s="867">
        <f t="shared" ca="1" si="41"/>
        <v>-18166.775461605193</v>
      </c>
      <c r="BG112" s="867">
        <f t="shared" ca="1" si="42"/>
        <v>-363335.50923210377</v>
      </c>
      <c r="BI112" s="867">
        <f ca="1"/>
        <v>-363335.50923210382</v>
      </c>
      <c r="BJ112" s="867">
        <f ca="1"/>
        <v>-345168.7337704986</v>
      </c>
      <c r="BK112" s="867">
        <f ca="1"/>
        <v>-18166.775461605193</v>
      </c>
      <c r="BL112" s="867">
        <f t="shared" ca="1" si="43"/>
        <v>0</v>
      </c>
      <c r="BM112" s="867">
        <f t="shared" ca="1" si="44"/>
        <v>0</v>
      </c>
      <c r="BN112" s="867">
        <f t="shared" ca="1" si="45"/>
        <v>0</v>
      </c>
      <c r="BO112" s="867">
        <f t="shared" ca="1" si="46"/>
        <v>0</v>
      </c>
      <c r="BP112" s="867">
        <f t="shared" ca="1" si="47"/>
        <v>0</v>
      </c>
      <c r="BQ112" s="867">
        <f t="shared" ca="1" si="48"/>
        <v>0</v>
      </c>
      <c r="BR112" s="867">
        <f ca="1"/>
        <v>0</v>
      </c>
      <c r="BS112" s="867">
        <f ca="1"/>
        <v>0</v>
      </c>
      <c r="BT112" s="867">
        <f t="shared" ca="1" si="9"/>
        <v>-345168.7337704986</v>
      </c>
      <c r="BU112" s="867">
        <f t="shared" ca="1" si="49"/>
        <v>-18166.775461605193</v>
      </c>
      <c r="BV112" s="829">
        <f t="shared" ca="1" si="10"/>
        <v>-3.2741809263825417E-11</v>
      </c>
      <c r="BX112" s="867">
        <f ca="1"/>
        <v>-363335.50923210382</v>
      </c>
      <c r="BY112" s="867">
        <f t="shared" ca="1" si="50"/>
        <v>-363335.50923210377</v>
      </c>
      <c r="BZ112" s="867">
        <f t="shared" ca="1" si="51"/>
        <v>0</v>
      </c>
      <c r="CA112" s="867">
        <f t="shared" ca="1" si="52"/>
        <v>0</v>
      </c>
      <c r="CB112" s="867">
        <f t="shared" ca="1" si="53"/>
        <v>0</v>
      </c>
      <c r="CC112" s="867">
        <f t="shared" ca="1" si="54"/>
        <v>0</v>
      </c>
      <c r="CD112" s="867">
        <f t="shared" ca="1" si="55"/>
        <v>-363335.50923210377</v>
      </c>
    </row>
    <row r="113" spans="1:82" ht="17" thickTop="1" thickBot="1">
      <c r="A113" s="773">
        <f t="shared" ref="A113:A176" si="60">IF(D113&gt;0,1,0)</f>
        <v>1</v>
      </c>
      <c r="B113" s="779"/>
      <c r="C113" s="572"/>
      <c r="D113" s="660">
        <v>66</v>
      </c>
      <c r="E113" s="661">
        <v>47270</v>
      </c>
      <c r="F113" s="862">
        <v>6</v>
      </c>
      <c r="G113" s="863">
        <f ca="1"/>
        <v>-363335.50923210382</v>
      </c>
      <c r="H113" s="961"/>
      <c r="I113" s="865">
        <f t="shared" ca="1" si="11"/>
        <v>3687307.3553031567</v>
      </c>
      <c r="J113" s="864" cm="1">
        <f t="array" aca="1" ref="J113" ca="1">IF($G113=0,0,-MIN(0,G113*c_equity.LPshare))</f>
        <v>345168.7337704986</v>
      </c>
      <c r="K113" s="865" cm="1">
        <f t="array" aca="1" ref="K113" ca="1">I113*c_rate.Pref.MO</f>
        <v>23724.246548857627</v>
      </c>
      <c r="L113" s="865">
        <f t="shared" ca="1" si="12"/>
        <v>0</v>
      </c>
      <c r="M113" s="865">
        <f t="shared" ca="1" si="13"/>
        <v>4056200.3356225127</v>
      </c>
      <c r="N113" s="865">
        <f t="shared" ca="1" si="14"/>
        <v>-345168.7337704986</v>
      </c>
      <c r="O113" s="864" cm="1">
        <f t="array" aca="1" ref="O113" ca="1">IF(N113=0,0,IF(G113&lt;0,N113/c_equity.LPshare*i_equity.GPshare,L113/c_equity.LPshare*i_equity.GPshare))</f>
        <v>-18166.775461605193</v>
      </c>
      <c r="P113" s="865">
        <f t="shared" ca="1" si="15"/>
        <v>-363335.50923210377</v>
      </c>
      <c r="Q113" s="865">
        <f t="shared" ca="1" si="16"/>
        <v>0</v>
      </c>
      <c r="R113" s="161"/>
      <c r="S113" s="867">
        <f t="shared" ca="1" si="17"/>
        <v>3722458.5630597835</v>
      </c>
      <c r="T113" s="867" cm="1">
        <f t="array" aca="1" ref="T113" ca="1">IF($G113=0,0,-MIN(0,$G113*c_equity.LPshare))</f>
        <v>345168.7337704986</v>
      </c>
      <c r="U113" s="869" cm="1">
        <f t="array" aca="1" ref="U113" ca="1">IF($D113=0,0,S113*c_rate.Hurdle1.MO)</f>
        <v>29683.407322614032</v>
      </c>
      <c r="V113" s="867">
        <f t="shared" ca="1" si="18"/>
        <v>0</v>
      </c>
      <c r="W113" s="867">
        <f t="shared" ca="1" si="19"/>
        <v>0</v>
      </c>
      <c r="X113" s="869">
        <f t="shared" ca="1" si="20"/>
        <v>4097310.7041528961</v>
      </c>
      <c r="Y113" s="869">
        <f t="shared" ca="1" si="21"/>
        <v>-345168.7337704986</v>
      </c>
      <c r="Z113" s="869">
        <f t="shared" ca="1" si="22"/>
        <v>-18166.775461605193</v>
      </c>
      <c r="AA113" s="869">
        <f t="shared" ca="1" si="23"/>
        <v>-363335.50923210377</v>
      </c>
      <c r="AB113" s="867">
        <f t="shared" ca="1" si="24"/>
        <v>0</v>
      </c>
      <c r="AC113" s="161"/>
      <c r="AD113" s="869">
        <f t="shared" ca="1" si="25"/>
        <v>3757507.1724623446</v>
      </c>
      <c r="AE113" s="867" cm="1">
        <f t="array" aca="1" ref="AE113" ca="1">IF($G113=0,0,-MIN(0,$G113*c_equity.LPshare))</f>
        <v>345168.7337704986</v>
      </c>
      <c r="AF113" s="869" cm="1">
        <f t="array" aca="1" ref="AF113" ca="1">IF($D113=0,0,AD113*(c_rate.Hurdle2.MO))</f>
        <v>35654.207509705811</v>
      </c>
      <c r="AG113" s="869">
        <f t="shared" ca="1" si="26"/>
        <v>0</v>
      </c>
      <c r="AH113" s="869">
        <f t="shared" ca="1" si="27"/>
        <v>0</v>
      </c>
      <c r="AI113" s="869">
        <f t="shared" ca="1" si="28"/>
        <v>4138330.113742549</v>
      </c>
      <c r="AJ113" s="868">
        <f t="shared" ref="AJ113:AJ176" ca="1" si="61">-AE113+AG113+AH113</f>
        <v>-345168.7337704986</v>
      </c>
      <c r="AK113" s="867">
        <f t="shared" ca="1" si="29"/>
        <v>-345168.7337704986</v>
      </c>
      <c r="AL113" s="869">
        <f t="shared" ref="AL113:AL144" ca="1" si="62">IF(AK113=0,0,Z113+(AH113/$J$18*c_Hurdle2.Share_GP))</f>
        <v>-18166.775461605193</v>
      </c>
      <c r="AM113" s="869">
        <f t="shared" ca="1" si="30"/>
        <v>-363335.50923210377</v>
      </c>
      <c r="AN113" s="867">
        <f t="shared" ca="1" si="58"/>
        <v>0</v>
      </c>
      <c r="AO113" s="161"/>
      <c r="AP113" s="869">
        <f t="shared" ca="1" si="31"/>
        <v>3792456.834233026</v>
      </c>
      <c r="AQ113" s="867" cm="1">
        <f t="array" aca="1" ref="AQ113" ca="1">IF($G113=0,0,-MIN(0,$G113*c_equity.LPshare))</f>
        <v>345168.7337704986</v>
      </c>
      <c r="AR113" s="869" cm="1">
        <f t="array" aca="1" ref="AR113" ca="1">IF($D113=0,0,AP113*(c_rate.Hurdle3.MO))</f>
        <v>41636.822110467889</v>
      </c>
      <c r="AS113" s="869">
        <f t="shared" ca="1" si="32"/>
        <v>0</v>
      </c>
      <c r="AT113" s="869">
        <f t="shared" ca="1" si="33"/>
        <v>0</v>
      </c>
      <c r="AU113" s="869">
        <f t="shared" ca="1" si="34"/>
        <v>4179262.3901139926</v>
      </c>
      <c r="AV113" s="870">
        <f t="shared" ca="1" si="35"/>
        <v>-345168.7337704986</v>
      </c>
      <c r="AW113" s="867">
        <f t="shared" ca="1" si="36"/>
        <v>-345168.7337704986</v>
      </c>
      <c r="AX113" s="869">
        <f t="shared" ref="AX113:AX144" ca="1" si="63">IF(AW113=0,0,AL113+AT113/$J$19*c_Hurdle3.Share_GP)</f>
        <v>-18166.775461605193</v>
      </c>
      <c r="AY113" s="869">
        <f t="shared" ca="1" si="37"/>
        <v>-363335.50923210377</v>
      </c>
      <c r="AZ113" s="867">
        <f t="shared" ca="1" si="38"/>
        <v>0</v>
      </c>
      <c r="BA113" s="161"/>
      <c r="BB113" s="867">
        <f t="shared" ca="1" si="39"/>
        <v>0</v>
      </c>
      <c r="BC113" s="867">
        <f t="shared" ca="1" si="59"/>
        <v>0</v>
      </c>
      <c r="BD113" s="658"/>
      <c r="BE113" s="867">
        <f t="shared" ca="1" si="40"/>
        <v>-345168.7337704986</v>
      </c>
      <c r="BF113" s="867">
        <f t="shared" ca="1" si="41"/>
        <v>-18166.775461605193</v>
      </c>
      <c r="BG113" s="867">
        <f t="shared" ca="1" si="42"/>
        <v>-363335.50923210377</v>
      </c>
      <c r="BI113" s="867">
        <f ca="1"/>
        <v>-363335.50923210382</v>
      </c>
      <c r="BJ113" s="867">
        <f ca="1"/>
        <v>-345168.7337704986</v>
      </c>
      <c r="BK113" s="867">
        <f ca="1"/>
        <v>-18166.775461605193</v>
      </c>
      <c r="BL113" s="867">
        <f t="shared" ca="1" si="43"/>
        <v>0</v>
      </c>
      <c r="BM113" s="867">
        <f t="shared" ca="1" si="44"/>
        <v>0</v>
      </c>
      <c r="BN113" s="867">
        <f t="shared" ca="1" si="45"/>
        <v>0</v>
      </c>
      <c r="BO113" s="867">
        <f t="shared" ca="1" si="46"/>
        <v>0</v>
      </c>
      <c r="BP113" s="867">
        <f t="shared" ca="1" si="47"/>
        <v>0</v>
      </c>
      <c r="BQ113" s="867">
        <f t="shared" ca="1" si="48"/>
        <v>0</v>
      </c>
      <c r="BR113" s="867">
        <f ca="1"/>
        <v>0</v>
      </c>
      <c r="BS113" s="867">
        <f ca="1"/>
        <v>0</v>
      </c>
      <c r="BT113" s="867">
        <f t="shared" ref="BT113:BT176" ca="1" si="64">BJ113+BL113+BN113+BP113+BR113</f>
        <v>-345168.7337704986</v>
      </c>
      <c r="BU113" s="867">
        <f t="shared" ca="1" si="49"/>
        <v>-18166.775461605193</v>
      </c>
      <c r="BV113" s="829">
        <f t="shared" ref="BV113:BV176" ca="1" si="65">BI113-BT113-BU113</f>
        <v>-3.2741809263825417E-11</v>
      </c>
      <c r="BX113" s="867">
        <f ca="1"/>
        <v>-363335.50923210382</v>
      </c>
      <c r="BY113" s="867">
        <f t="shared" ca="1" si="50"/>
        <v>-363335.50923210377</v>
      </c>
      <c r="BZ113" s="867">
        <f t="shared" ca="1" si="51"/>
        <v>0</v>
      </c>
      <c r="CA113" s="867">
        <f t="shared" ca="1" si="52"/>
        <v>0</v>
      </c>
      <c r="CB113" s="867">
        <f t="shared" ca="1" si="53"/>
        <v>0</v>
      </c>
      <c r="CC113" s="867">
        <f t="shared" ca="1" si="54"/>
        <v>0</v>
      </c>
      <c r="CD113" s="867">
        <f t="shared" ca="1" si="55"/>
        <v>-363335.50923210377</v>
      </c>
    </row>
    <row r="114" spans="1:82" ht="17" thickTop="1" thickBot="1">
      <c r="A114" s="773">
        <f t="shared" si="60"/>
        <v>1</v>
      </c>
      <c r="B114" s="779"/>
      <c r="C114" s="572"/>
      <c r="D114" s="660">
        <v>67</v>
      </c>
      <c r="E114" s="661">
        <v>47300</v>
      </c>
      <c r="F114" s="862">
        <v>6</v>
      </c>
      <c r="G114" s="863">
        <f ca="1"/>
        <v>-363335.50923210382</v>
      </c>
      <c r="H114" s="961"/>
      <c r="I114" s="865">
        <f t="shared" ref="I114:I177" ca="1" si="66">IF(D114=0,0,M113)</f>
        <v>4056200.3356225127</v>
      </c>
      <c r="J114" s="864" cm="1">
        <f t="array" aca="1" ref="J114" ca="1">IF($G114=0,0,-MIN(0,G114*c_equity.LPshare))</f>
        <v>345168.7337704986</v>
      </c>
      <c r="K114" s="865" cm="1">
        <f t="array" aca="1" ref="K114" ca="1">I114*c_rate.Pref.MO</f>
        <v>26097.715091601265</v>
      </c>
      <c r="L114" s="865">
        <f t="shared" ref="L114:L177" ca="1" si="67">IF($G114=0,0,MAX(MIN($G114*$I$46,I114+K114-J114),0))</f>
        <v>0</v>
      </c>
      <c r="M114" s="865">
        <f t="shared" ref="M114:M177" ca="1" si="68">I114+K114+J114-L114</f>
        <v>4427466.7844846128</v>
      </c>
      <c r="N114" s="865">
        <f t="shared" ref="N114:N177" ca="1" si="69">L114-J114</f>
        <v>-345168.7337704986</v>
      </c>
      <c r="O114" s="864" cm="1">
        <f t="array" aca="1" ref="O114" ca="1">IF(N114=0,0,IF(G114&lt;0,N114/c_equity.LPshare*i_equity.GPshare,L114/c_equity.LPshare*i_equity.GPshare))</f>
        <v>-18166.775461605193</v>
      </c>
      <c r="P114" s="865">
        <f t="shared" ref="P114:P177" ca="1" si="70">N114+O114</f>
        <v>-363335.50923210377</v>
      </c>
      <c r="Q114" s="865">
        <f t="shared" ref="Q114:Q177" ca="1" si="71">ROUND(IF(E114=0,0,MAX(G114-P114,0)),1)</f>
        <v>0</v>
      </c>
      <c r="R114" s="161"/>
      <c r="S114" s="867">
        <f t="shared" ref="S114:S177" ca="1" si="72">X113</f>
        <v>4097310.7041528961</v>
      </c>
      <c r="T114" s="867" cm="1">
        <f t="array" aca="1" ref="T114" ca="1">IF($G114=0,0,-MIN(0,$G114*c_equity.LPshare))</f>
        <v>345168.7337704986</v>
      </c>
      <c r="U114" s="869" cm="1">
        <f t="array" aca="1" ref="U114" ca="1">IF($D114=0,0,S114*c_rate.Hurdle1.MO)</f>
        <v>32672.530935765761</v>
      </c>
      <c r="V114" s="867">
        <f t="shared" ref="V114:V177" ca="1" si="73">L114</f>
        <v>0</v>
      </c>
      <c r="W114" s="867">
        <f t="shared" ref="W114:W177" ca="1" si="74">MIN(S114+U114-V114,Q114*S$46)</f>
        <v>0</v>
      </c>
      <c r="X114" s="869">
        <f t="shared" ref="X114:X177" ca="1" si="75">S114+T114+U114-V114-W114</f>
        <v>4475151.9688591613</v>
      </c>
      <c r="Y114" s="869">
        <f t="shared" ref="Y114:Y177" ca="1" si="76">N114+W114</f>
        <v>-345168.7337704986</v>
      </c>
      <c r="Z114" s="869">
        <f t="shared" ref="Z114:Z177" ca="1" si="77">IF(Y114=0,0,O114+(W114/$J$17*c_Hurdle1.Share_GP))</f>
        <v>-18166.775461605193</v>
      </c>
      <c r="AA114" s="869">
        <f t="shared" ref="AA114:AA177" ca="1" si="78">Y114+Z114</f>
        <v>-363335.50923210377</v>
      </c>
      <c r="AB114" s="867">
        <f t="shared" ref="AB114:AB177" ca="1" si="79">IF(AA114&lt;0,0,MAX($G114-AA114,0))</f>
        <v>0</v>
      </c>
      <c r="AC114" s="161"/>
      <c r="AD114" s="869">
        <f t="shared" ref="AD114:AD177" ca="1" si="80">AI113</f>
        <v>4138330.113742549</v>
      </c>
      <c r="AE114" s="867" cm="1">
        <f t="array" aca="1" ref="AE114" ca="1">IF($G114=0,0,-MIN(0,$G114*c_equity.LPshare))</f>
        <v>345168.7337704986</v>
      </c>
      <c r="AF114" s="869" cm="1">
        <f t="array" aca="1" ref="AF114" ca="1">IF($D114=0,0,AD114*(c_rate.Hurdle2.MO))</f>
        <v>39267.757544252549</v>
      </c>
      <c r="AG114" s="869">
        <f t="shared" ref="AG114:AG177" ca="1" si="81">V114+W114</f>
        <v>0</v>
      </c>
      <c r="AH114" s="869">
        <f t="shared" ref="AH114:AH177" ca="1" si="82">IF(AB114=0,0,MIN(AD114+AE114+AF114-AG114,AB114*AD$46))</f>
        <v>0</v>
      </c>
      <c r="AI114" s="869">
        <f t="shared" ref="AI114:AI177" ca="1" si="83">AD114+AF114+AE114-AG114-AH114</f>
        <v>4522766.6050573001</v>
      </c>
      <c r="AJ114" s="868">
        <f t="shared" ca="1" si="61"/>
        <v>-345168.7337704986</v>
      </c>
      <c r="AK114" s="867">
        <f t="shared" ref="AK114:AK177" ca="1" si="84">Y114+AH114</f>
        <v>-345168.7337704986</v>
      </c>
      <c r="AL114" s="869">
        <f t="shared" ca="1" si="62"/>
        <v>-18166.775461605193</v>
      </c>
      <c r="AM114" s="869">
        <f t="shared" ref="AM114:AM177" ca="1" si="85">AK114+AL114</f>
        <v>-363335.50923210377</v>
      </c>
      <c r="AN114" s="867">
        <f t="shared" ca="1" si="58"/>
        <v>0</v>
      </c>
      <c r="AO114" s="161"/>
      <c r="AP114" s="869">
        <f t="shared" ref="AP114:AP177" ca="1" si="86">AU113</f>
        <v>4179262.3901139926</v>
      </c>
      <c r="AQ114" s="867" cm="1">
        <f t="array" aca="1" ref="AQ114" ca="1">IF($G114=0,0,-MIN(0,$G114*c_equity.LPshare))</f>
        <v>345168.7337704986</v>
      </c>
      <c r="AR114" s="869" cm="1">
        <f t="array" aca="1" ref="AR114" ca="1">IF($D114=0,0,AP114*(c_rate.Hurdle3.MO))</f>
        <v>45883.50304198957</v>
      </c>
      <c r="AS114" s="869">
        <f t="shared" ref="AS114:AS177" ca="1" si="87">AG114+AH114</f>
        <v>0</v>
      </c>
      <c r="AT114" s="869">
        <f t="shared" ref="AT114:AT177" ca="1" si="88">IF(AP114=0,0,MIN(AP114+AQ114+AR114-AS114,AN114*AP$46))</f>
        <v>0</v>
      </c>
      <c r="AU114" s="869">
        <f t="shared" ref="AU114:AU177" ca="1" si="89">AP114+AR114+AQ114-AS114-AT114</f>
        <v>4570314.6269264808</v>
      </c>
      <c r="AV114" s="870">
        <f t="shared" ref="AV114:AV177" ca="1" si="90">-AQ114+AS114+AT114</f>
        <v>-345168.7337704986</v>
      </c>
      <c r="AW114" s="867">
        <f t="shared" ref="AW114:AW177" ca="1" si="91">AK114+AT114</f>
        <v>-345168.7337704986</v>
      </c>
      <c r="AX114" s="869">
        <f t="shared" ca="1" si="63"/>
        <v>-18166.775461605193</v>
      </c>
      <c r="AY114" s="869">
        <f t="shared" ref="AY114:AY177" ca="1" si="92">AW114+AX114</f>
        <v>-363335.50923210377</v>
      </c>
      <c r="AZ114" s="867">
        <f t="shared" ref="AZ114:AZ177" ca="1" si="93">IF(AY114&lt;0,0,MAX($G114-AY114,0))</f>
        <v>0</v>
      </c>
      <c r="BA114" s="161"/>
      <c r="BB114" s="867">
        <f t="shared" ref="BB114:BB177" ca="1" si="94">$AZ114-BC114</f>
        <v>0</v>
      </c>
      <c r="BC114" s="867">
        <f t="shared" ca="1" si="59"/>
        <v>0</v>
      </c>
      <c r="BD114" s="658"/>
      <c r="BE114" s="867">
        <f t="shared" ref="BE114:BE177" ca="1" si="95">AW114+BB114</f>
        <v>-345168.7337704986</v>
      </c>
      <c r="BF114" s="867">
        <f t="shared" ref="BF114:BF177" ca="1" si="96">AX114+BC114</f>
        <v>-18166.775461605193</v>
      </c>
      <c r="BG114" s="867">
        <f t="shared" ref="BG114:BG177" ca="1" si="97">SUM(BE114:BF114)</f>
        <v>-363335.50923210377</v>
      </c>
      <c r="BI114" s="867">
        <f ca="1"/>
        <v>-363335.50923210382</v>
      </c>
      <c r="BJ114" s="867">
        <f ca="1"/>
        <v>-345168.7337704986</v>
      </c>
      <c r="BK114" s="867">
        <f ca="1"/>
        <v>-18166.775461605193</v>
      </c>
      <c r="BL114" s="867">
        <f t="shared" ref="BL114:BL177" ca="1" si="98">Y114-N114</f>
        <v>0</v>
      </c>
      <c r="BM114" s="867">
        <f t="shared" ref="BM114:BM177" ca="1" si="99">Z114-O114</f>
        <v>0</v>
      </c>
      <c r="BN114" s="867">
        <f t="shared" ref="BN114:BN177" ca="1" si="100">AK114-Y114</f>
        <v>0</v>
      </c>
      <c r="BO114" s="867">
        <f t="shared" ref="BO114:BO177" ca="1" si="101">AL114-Z114</f>
        <v>0</v>
      </c>
      <c r="BP114" s="867">
        <f t="shared" ref="BP114:BP177" ca="1" si="102">AW114-AK114</f>
        <v>0</v>
      </c>
      <c r="BQ114" s="867">
        <f t="shared" ref="BQ114:BQ177" ca="1" si="103">AX114-AL114</f>
        <v>0</v>
      </c>
      <c r="BR114" s="867">
        <f ca="1"/>
        <v>0</v>
      </c>
      <c r="BS114" s="867">
        <f ca="1"/>
        <v>0</v>
      </c>
      <c r="BT114" s="867">
        <f t="shared" ca="1" si="64"/>
        <v>-345168.7337704986</v>
      </c>
      <c r="BU114" s="867">
        <f t="shared" ref="BU114:BU177" ca="1" si="104">BK114+BM114+BO114+BQ114+BS114</f>
        <v>-18166.775461605193</v>
      </c>
      <c r="BV114" s="829">
        <f t="shared" ca="1" si="65"/>
        <v>-3.2741809263825417E-11</v>
      </c>
      <c r="BX114" s="867">
        <f ca="1"/>
        <v>-363335.50923210382</v>
      </c>
      <c r="BY114" s="867">
        <f t="shared" ref="BY114:BY177" ca="1" si="105">BJ114+BK114</f>
        <v>-363335.50923210377</v>
      </c>
      <c r="BZ114" s="867">
        <f t="shared" ref="BZ114:BZ177" ca="1" si="106">BL114+BM114</f>
        <v>0</v>
      </c>
      <c r="CA114" s="867">
        <f t="shared" ref="CA114:CA177" ca="1" si="107">BN114+BO114</f>
        <v>0</v>
      </c>
      <c r="CB114" s="867">
        <f t="shared" ref="CB114:CB177" ca="1" si="108">BP114+BQ114</f>
        <v>0</v>
      </c>
      <c r="CC114" s="867">
        <f t="shared" ref="CC114:CC177" ca="1" si="109">BR114+BS114</f>
        <v>0</v>
      </c>
      <c r="CD114" s="867">
        <f t="shared" ref="CD114:CD177" ca="1" si="110">SUM(BY114:CC114)</f>
        <v>-363335.50923210377</v>
      </c>
    </row>
    <row r="115" spans="1:82" ht="17" thickTop="1" thickBot="1">
      <c r="A115" s="773">
        <f t="shared" si="60"/>
        <v>1</v>
      </c>
      <c r="B115" s="779"/>
      <c r="C115" s="572"/>
      <c r="D115" s="660">
        <v>68</v>
      </c>
      <c r="E115" s="661">
        <v>47331</v>
      </c>
      <c r="F115" s="862">
        <v>6</v>
      </c>
      <c r="G115" s="863">
        <f ca="1"/>
        <v>-363335.50923210382</v>
      </c>
      <c r="H115" s="961"/>
      <c r="I115" s="865">
        <f t="shared" ca="1" si="66"/>
        <v>4427466.7844846128</v>
      </c>
      <c r="J115" s="864" cm="1">
        <f t="array" aca="1" ref="J115" ca="1">IF($G115=0,0,-MIN(0,G115*c_equity.LPshare))</f>
        <v>345168.7337704986</v>
      </c>
      <c r="K115" s="865" cm="1">
        <f t="array" aca="1" ref="K115" ca="1">I115*c_rate.Pref.MO</f>
        <v>28486.454602414065</v>
      </c>
      <c r="L115" s="865">
        <f t="shared" ca="1" si="67"/>
        <v>0</v>
      </c>
      <c r="M115" s="865">
        <f t="shared" ca="1" si="68"/>
        <v>4801121.9728575256</v>
      </c>
      <c r="N115" s="865">
        <f t="shared" ca="1" si="69"/>
        <v>-345168.7337704986</v>
      </c>
      <c r="O115" s="864" cm="1">
        <f t="array" aca="1" ref="O115" ca="1">IF(N115=0,0,IF(G115&lt;0,N115/c_equity.LPshare*i_equity.GPshare,L115/c_equity.LPshare*i_equity.GPshare))</f>
        <v>-18166.775461605193</v>
      </c>
      <c r="P115" s="865">
        <f t="shared" ca="1" si="70"/>
        <v>-363335.50923210377</v>
      </c>
      <c r="Q115" s="865">
        <f t="shared" ca="1" si="71"/>
        <v>0</v>
      </c>
      <c r="R115" s="161"/>
      <c r="S115" s="867">
        <f t="shared" ca="1" si="72"/>
        <v>4475151.9688591613</v>
      </c>
      <c r="T115" s="867" cm="1">
        <f t="array" aca="1" ref="T115" ca="1">IF($G115=0,0,-MIN(0,$G115*c_equity.LPshare))</f>
        <v>345168.7337704986</v>
      </c>
      <c r="U115" s="869" cm="1">
        <f t="array" aca="1" ref="U115" ca="1">IF($D115=0,0,S115*c_rate.Hurdle1.MO)</f>
        <v>35685.490240368119</v>
      </c>
      <c r="V115" s="867">
        <f t="shared" ca="1" si="73"/>
        <v>0</v>
      </c>
      <c r="W115" s="867">
        <f t="shared" ca="1" si="74"/>
        <v>0</v>
      </c>
      <c r="X115" s="869">
        <f t="shared" ca="1" si="75"/>
        <v>4856006.1928700283</v>
      </c>
      <c r="Y115" s="869">
        <f t="shared" ca="1" si="76"/>
        <v>-345168.7337704986</v>
      </c>
      <c r="Z115" s="869">
        <f t="shared" ca="1" si="77"/>
        <v>-18166.775461605193</v>
      </c>
      <c r="AA115" s="869">
        <f t="shared" ca="1" si="78"/>
        <v>-363335.50923210377</v>
      </c>
      <c r="AB115" s="867">
        <f t="shared" ca="1" si="79"/>
        <v>0</v>
      </c>
      <c r="AC115" s="161"/>
      <c r="AD115" s="869">
        <f t="shared" ca="1" si="80"/>
        <v>4522766.6050573001</v>
      </c>
      <c r="AE115" s="867" cm="1">
        <f t="array" aca="1" ref="AE115" ca="1">IF($G115=0,0,-MIN(0,$G115*c_equity.LPshare))</f>
        <v>345168.7337704986</v>
      </c>
      <c r="AF115" s="869" cm="1">
        <f t="array" aca="1" ref="AF115" ca="1">IF($D115=0,0,AD115*(c_rate.Hurdle2.MO))</f>
        <v>42915.59580683586</v>
      </c>
      <c r="AG115" s="869">
        <f t="shared" ca="1" si="81"/>
        <v>0</v>
      </c>
      <c r="AH115" s="869">
        <f t="shared" ca="1" si="82"/>
        <v>0</v>
      </c>
      <c r="AI115" s="869">
        <f t="shared" ca="1" si="83"/>
        <v>4910850.9346346352</v>
      </c>
      <c r="AJ115" s="868">
        <f t="shared" ca="1" si="61"/>
        <v>-345168.7337704986</v>
      </c>
      <c r="AK115" s="867">
        <f t="shared" ca="1" si="84"/>
        <v>-345168.7337704986</v>
      </c>
      <c r="AL115" s="869">
        <f t="shared" ca="1" si="62"/>
        <v>-18166.775461605193</v>
      </c>
      <c r="AM115" s="869">
        <f t="shared" ca="1" si="85"/>
        <v>-363335.50923210377</v>
      </c>
      <c r="AN115" s="867">
        <f t="shared" ca="1" si="58"/>
        <v>0</v>
      </c>
      <c r="AO115" s="161"/>
      <c r="AP115" s="869">
        <f t="shared" ca="1" si="86"/>
        <v>4570314.6269264808</v>
      </c>
      <c r="AQ115" s="867" cm="1">
        <f t="array" aca="1" ref="AQ115" ca="1">IF($G115=0,0,-MIN(0,$G115*c_equity.LPshare))</f>
        <v>345168.7337704986</v>
      </c>
      <c r="AR115" s="869" cm="1">
        <f t="array" aca="1" ref="AR115" ca="1">IF($D115=0,0,AP115*(c_rate.Hurdle3.MO))</f>
        <v>50176.807654738048</v>
      </c>
      <c r="AS115" s="869">
        <f t="shared" ca="1" si="87"/>
        <v>0</v>
      </c>
      <c r="AT115" s="869">
        <f t="shared" ca="1" si="88"/>
        <v>0</v>
      </c>
      <c r="AU115" s="869">
        <f t="shared" ca="1" si="89"/>
        <v>4965660.1683517182</v>
      </c>
      <c r="AV115" s="870">
        <f t="shared" ca="1" si="90"/>
        <v>-345168.7337704986</v>
      </c>
      <c r="AW115" s="867">
        <f t="shared" ca="1" si="91"/>
        <v>-345168.7337704986</v>
      </c>
      <c r="AX115" s="869">
        <f t="shared" ca="1" si="63"/>
        <v>-18166.775461605193</v>
      </c>
      <c r="AY115" s="869">
        <f t="shared" ca="1" si="92"/>
        <v>-363335.50923210377</v>
      </c>
      <c r="AZ115" s="867">
        <f t="shared" ca="1" si="93"/>
        <v>0</v>
      </c>
      <c r="BA115" s="161"/>
      <c r="BB115" s="867">
        <f t="shared" ca="1" si="94"/>
        <v>0</v>
      </c>
      <c r="BC115" s="867">
        <f t="shared" ca="1" si="59"/>
        <v>0</v>
      </c>
      <c r="BD115" s="658"/>
      <c r="BE115" s="867">
        <f t="shared" ca="1" si="95"/>
        <v>-345168.7337704986</v>
      </c>
      <c r="BF115" s="867">
        <f t="shared" ca="1" si="96"/>
        <v>-18166.775461605193</v>
      </c>
      <c r="BG115" s="867">
        <f t="shared" ca="1" si="97"/>
        <v>-363335.50923210377</v>
      </c>
      <c r="BI115" s="867">
        <f ca="1"/>
        <v>-363335.50923210382</v>
      </c>
      <c r="BJ115" s="867">
        <f ca="1"/>
        <v>-345168.7337704986</v>
      </c>
      <c r="BK115" s="867">
        <f ca="1"/>
        <v>-18166.775461605193</v>
      </c>
      <c r="BL115" s="867">
        <f t="shared" ca="1" si="98"/>
        <v>0</v>
      </c>
      <c r="BM115" s="867">
        <f t="shared" ca="1" si="99"/>
        <v>0</v>
      </c>
      <c r="BN115" s="867">
        <f t="shared" ca="1" si="100"/>
        <v>0</v>
      </c>
      <c r="BO115" s="867">
        <f t="shared" ca="1" si="101"/>
        <v>0</v>
      </c>
      <c r="BP115" s="867">
        <f t="shared" ca="1" si="102"/>
        <v>0</v>
      </c>
      <c r="BQ115" s="867">
        <f t="shared" ca="1" si="103"/>
        <v>0</v>
      </c>
      <c r="BR115" s="867">
        <f ca="1"/>
        <v>0</v>
      </c>
      <c r="BS115" s="867">
        <f ca="1"/>
        <v>0</v>
      </c>
      <c r="BT115" s="867">
        <f t="shared" ca="1" si="64"/>
        <v>-345168.7337704986</v>
      </c>
      <c r="BU115" s="867">
        <f t="shared" ca="1" si="104"/>
        <v>-18166.775461605193</v>
      </c>
      <c r="BV115" s="829">
        <f t="shared" ca="1" si="65"/>
        <v>-3.2741809263825417E-11</v>
      </c>
      <c r="BX115" s="867">
        <f ca="1"/>
        <v>-363335.50923210382</v>
      </c>
      <c r="BY115" s="867">
        <f t="shared" ca="1" si="105"/>
        <v>-363335.50923210377</v>
      </c>
      <c r="BZ115" s="867">
        <f t="shared" ca="1" si="106"/>
        <v>0</v>
      </c>
      <c r="CA115" s="867">
        <f t="shared" ca="1" si="107"/>
        <v>0</v>
      </c>
      <c r="CB115" s="867">
        <f t="shared" ca="1" si="108"/>
        <v>0</v>
      </c>
      <c r="CC115" s="867">
        <f t="shared" ca="1" si="109"/>
        <v>0</v>
      </c>
      <c r="CD115" s="867">
        <f t="shared" ca="1" si="110"/>
        <v>-363335.50923210377</v>
      </c>
    </row>
    <row r="116" spans="1:82" ht="17" thickTop="1" thickBot="1">
      <c r="A116" s="773">
        <f t="shared" si="60"/>
        <v>1</v>
      </c>
      <c r="B116" s="779"/>
      <c r="C116" s="572"/>
      <c r="D116" s="660">
        <v>69</v>
      </c>
      <c r="E116" s="661">
        <v>47362</v>
      </c>
      <c r="F116" s="862">
        <v>6</v>
      </c>
      <c r="G116" s="863">
        <f ca="1"/>
        <v>-363335.50923210382</v>
      </c>
      <c r="H116" s="961"/>
      <c r="I116" s="865">
        <f t="shared" ca="1" si="66"/>
        <v>4801121.9728575256</v>
      </c>
      <c r="J116" s="864" cm="1">
        <f t="array" aca="1" ref="J116" ca="1">IF($G116=0,0,-MIN(0,G116*c_equity.LPshare))</f>
        <v>345168.7337704986</v>
      </c>
      <c r="K116" s="865" cm="1">
        <f t="array" aca="1" ref="K116" ca="1">I116*c_rate.Pref.MO</f>
        <v>30890.563335164392</v>
      </c>
      <c r="L116" s="865">
        <f t="shared" ca="1" si="67"/>
        <v>0</v>
      </c>
      <c r="M116" s="865">
        <f t="shared" ca="1" si="68"/>
        <v>5177181.269963189</v>
      </c>
      <c r="N116" s="865">
        <f t="shared" ca="1" si="69"/>
        <v>-345168.7337704986</v>
      </c>
      <c r="O116" s="864" cm="1">
        <f t="array" aca="1" ref="O116" ca="1">IF(N116=0,0,IF(G116&lt;0,N116/c_equity.LPshare*i_equity.GPshare,L116/c_equity.LPshare*i_equity.GPshare))</f>
        <v>-18166.775461605193</v>
      </c>
      <c r="P116" s="865">
        <f t="shared" ca="1" si="70"/>
        <v>-363335.50923210377</v>
      </c>
      <c r="Q116" s="865">
        <f t="shared" ca="1" si="71"/>
        <v>0</v>
      </c>
      <c r="R116" s="161"/>
      <c r="S116" s="867">
        <f t="shared" ca="1" si="72"/>
        <v>4856006.1928700283</v>
      </c>
      <c r="T116" s="867" cm="1">
        <f t="array" aca="1" ref="T116" ca="1">IF($G116=0,0,-MIN(0,$G116*c_equity.LPshare))</f>
        <v>345168.7337704986</v>
      </c>
      <c r="U116" s="869" cm="1">
        <f t="array" aca="1" ref="U116" ca="1">IF($D116=0,0,S116*c_rate.Hurdle1.MO)</f>
        <v>38722.475305571941</v>
      </c>
      <c r="V116" s="867">
        <f t="shared" ca="1" si="73"/>
        <v>0</v>
      </c>
      <c r="W116" s="867">
        <f t="shared" ca="1" si="74"/>
        <v>0</v>
      </c>
      <c r="X116" s="869">
        <f t="shared" ca="1" si="75"/>
        <v>5239897.4019460995</v>
      </c>
      <c r="Y116" s="869">
        <f t="shared" ca="1" si="76"/>
        <v>-345168.7337704986</v>
      </c>
      <c r="Z116" s="869">
        <f t="shared" ca="1" si="77"/>
        <v>-18166.775461605193</v>
      </c>
      <c r="AA116" s="869">
        <f t="shared" ca="1" si="78"/>
        <v>-363335.50923210377</v>
      </c>
      <c r="AB116" s="867">
        <f t="shared" ca="1" si="79"/>
        <v>0</v>
      </c>
      <c r="AC116" s="161"/>
      <c r="AD116" s="869">
        <f t="shared" ca="1" si="80"/>
        <v>4910850.9346346352</v>
      </c>
      <c r="AE116" s="867" cm="1">
        <f t="array" aca="1" ref="AE116" ca="1">IF($G116=0,0,-MIN(0,$G116*c_equity.LPshare))</f>
        <v>345168.7337704986</v>
      </c>
      <c r="AF116" s="869" cm="1">
        <f t="array" aca="1" ref="AF116" ca="1">IF($D116=0,0,AD116*(c_rate.Hurdle2.MO))</f>
        <v>46598.047651351677</v>
      </c>
      <c r="AG116" s="869">
        <f t="shared" ca="1" si="81"/>
        <v>0</v>
      </c>
      <c r="AH116" s="869">
        <f t="shared" ca="1" si="82"/>
        <v>0</v>
      </c>
      <c r="AI116" s="869">
        <f t="shared" ca="1" si="83"/>
        <v>5302617.7160564857</v>
      </c>
      <c r="AJ116" s="868">
        <f t="shared" ca="1" si="61"/>
        <v>-345168.7337704986</v>
      </c>
      <c r="AK116" s="867">
        <f t="shared" ca="1" si="84"/>
        <v>-345168.7337704986</v>
      </c>
      <c r="AL116" s="869">
        <f t="shared" ca="1" si="62"/>
        <v>-18166.775461605193</v>
      </c>
      <c r="AM116" s="869">
        <f t="shared" ca="1" si="85"/>
        <v>-363335.50923210377</v>
      </c>
      <c r="AN116" s="867">
        <f t="shared" ca="1" si="58"/>
        <v>0</v>
      </c>
      <c r="AO116" s="161"/>
      <c r="AP116" s="869">
        <f t="shared" ca="1" si="86"/>
        <v>4965660.1683517182</v>
      </c>
      <c r="AQ116" s="867" cm="1">
        <f t="array" aca="1" ref="AQ116" ca="1">IF($G116=0,0,-MIN(0,$G116*c_equity.LPshare))</f>
        <v>345168.7337704986</v>
      </c>
      <c r="AR116" s="869" cm="1">
        <f t="array" aca="1" ref="AR116" ca="1">IF($D116=0,0,AP116*(c_rate.Hurdle3.MO))</f>
        <v>54517.24782320689</v>
      </c>
      <c r="AS116" s="869">
        <f t="shared" ca="1" si="87"/>
        <v>0</v>
      </c>
      <c r="AT116" s="869">
        <f t="shared" ca="1" si="88"/>
        <v>0</v>
      </c>
      <c r="AU116" s="869">
        <f t="shared" ca="1" si="89"/>
        <v>5365346.1499454239</v>
      </c>
      <c r="AV116" s="870">
        <f t="shared" ca="1" si="90"/>
        <v>-345168.7337704986</v>
      </c>
      <c r="AW116" s="867">
        <f t="shared" ca="1" si="91"/>
        <v>-345168.7337704986</v>
      </c>
      <c r="AX116" s="869">
        <f t="shared" ca="1" si="63"/>
        <v>-18166.775461605193</v>
      </c>
      <c r="AY116" s="869">
        <f t="shared" ca="1" si="92"/>
        <v>-363335.50923210377</v>
      </c>
      <c r="AZ116" s="867">
        <f t="shared" ca="1" si="93"/>
        <v>0</v>
      </c>
      <c r="BA116" s="161"/>
      <c r="BB116" s="867">
        <f t="shared" ca="1" si="94"/>
        <v>0</v>
      </c>
      <c r="BC116" s="867">
        <f t="shared" ca="1" si="59"/>
        <v>0</v>
      </c>
      <c r="BD116" s="658"/>
      <c r="BE116" s="867">
        <f t="shared" ca="1" si="95"/>
        <v>-345168.7337704986</v>
      </c>
      <c r="BF116" s="867">
        <f t="shared" ca="1" si="96"/>
        <v>-18166.775461605193</v>
      </c>
      <c r="BG116" s="867">
        <f t="shared" ca="1" si="97"/>
        <v>-363335.50923210377</v>
      </c>
      <c r="BI116" s="867">
        <f ca="1"/>
        <v>-363335.50923210382</v>
      </c>
      <c r="BJ116" s="867">
        <f ca="1"/>
        <v>-345168.7337704986</v>
      </c>
      <c r="BK116" s="867">
        <f ca="1"/>
        <v>-18166.775461605193</v>
      </c>
      <c r="BL116" s="867">
        <f t="shared" ca="1" si="98"/>
        <v>0</v>
      </c>
      <c r="BM116" s="867">
        <f t="shared" ca="1" si="99"/>
        <v>0</v>
      </c>
      <c r="BN116" s="867">
        <f t="shared" ca="1" si="100"/>
        <v>0</v>
      </c>
      <c r="BO116" s="867">
        <f t="shared" ca="1" si="101"/>
        <v>0</v>
      </c>
      <c r="BP116" s="867">
        <f t="shared" ca="1" si="102"/>
        <v>0</v>
      </c>
      <c r="BQ116" s="867">
        <f t="shared" ca="1" si="103"/>
        <v>0</v>
      </c>
      <c r="BR116" s="867">
        <f ca="1"/>
        <v>0</v>
      </c>
      <c r="BS116" s="867">
        <f ca="1"/>
        <v>0</v>
      </c>
      <c r="BT116" s="867">
        <f t="shared" ca="1" si="64"/>
        <v>-345168.7337704986</v>
      </c>
      <c r="BU116" s="867">
        <f t="shared" ca="1" si="104"/>
        <v>-18166.775461605193</v>
      </c>
      <c r="BV116" s="829">
        <f t="shared" ca="1" si="65"/>
        <v>-3.2741809263825417E-11</v>
      </c>
      <c r="BX116" s="867">
        <f ca="1"/>
        <v>-363335.50923210382</v>
      </c>
      <c r="BY116" s="867">
        <f t="shared" ca="1" si="105"/>
        <v>-363335.50923210377</v>
      </c>
      <c r="BZ116" s="867">
        <f t="shared" ca="1" si="106"/>
        <v>0</v>
      </c>
      <c r="CA116" s="867">
        <f t="shared" ca="1" si="107"/>
        <v>0</v>
      </c>
      <c r="CB116" s="867">
        <f t="shared" ca="1" si="108"/>
        <v>0</v>
      </c>
      <c r="CC116" s="867">
        <f t="shared" ca="1" si="109"/>
        <v>0</v>
      </c>
      <c r="CD116" s="867">
        <f t="shared" ca="1" si="110"/>
        <v>-363335.50923210377</v>
      </c>
    </row>
    <row r="117" spans="1:82" ht="17" thickTop="1" thickBot="1">
      <c r="A117" s="773">
        <f t="shared" si="60"/>
        <v>1</v>
      </c>
      <c r="B117" s="779"/>
      <c r="C117" s="572"/>
      <c r="D117" s="660">
        <v>70</v>
      </c>
      <c r="E117" s="661">
        <v>47392</v>
      </c>
      <c r="F117" s="862">
        <v>6</v>
      </c>
      <c r="G117" s="863">
        <f ca="1"/>
        <v>-363335.50923210382</v>
      </c>
      <c r="H117" s="961"/>
      <c r="I117" s="865">
        <f t="shared" ca="1" si="66"/>
        <v>5177181.269963189</v>
      </c>
      <c r="J117" s="864" cm="1">
        <f t="array" aca="1" ref="J117" ca="1">IF($G117=0,0,-MIN(0,G117*c_equity.LPshare))</f>
        <v>345168.7337704986</v>
      </c>
      <c r="K117" s="865" cm="1">
        <f t="array" aca="1" ref="K117" ca="1">I117*c_rate.Pref.MO</f>
        <v>33310.140175888955</v>
      </c>
      <c r="L117" s="865">
        <f t="shared" ca="1" si="67"/>
        <v>0</v>
      </c>
      <c r="M117" s="865">
        <f t="shared" ca="1" si="68"/>
        <v>5555660.1439095773</v>
      </c>
      <c r="N117" s="865">
        <f t="shared" ca="1" si="69"/>
        <v>-345168.7337704986</v>
      </c>
      <c r="O117" s="864" cm="1">
        <f t="array" aca="1" ref="O117" ca="1">IF(N117=0,0,IF(G117&lt;0,N117/c_equity.LPshare*i_equity.GPshare,L117/c_equity.LPshare*i_equity.GPshare))</f>
        <v>-18166.775461605193</v>
      </c>
      <c r="P117" s="865">
        <f t="shared" ca="1" si="70"/>
        <v>-363335.50923210377</v>
      </c>
      <c r="Q117" s="865">
        <f t="shared" ca="1" si="71"/>
        <v>0</v>
      </c>
      <c r="R117" s="161"/>
      <c r="S117" s="867">
        <f t="shared" ca="1" si="72"/>
        <v>5239897.4019460995</v>
      </c>
      <c r="T117" s="867" cm="1">
        <f t="array" aca="1" ref="T117" ca="1">IF($G117=0,0,-MIN(0,$G117*c_equity.LPshare))</f>
        <v>345168.7337704986</v>
      </c>
      <c r="U117" s="869" cm="1">
        <f t="array" aca="1" ref="U117" ca="1">IF($D117=0,0,S117*c_rate.Hurdle1.MO)</f>
        <v>41783.677716166188</v>
      </c>
      <c r="V117" s="867">
        <f t="shared" ca="1" si="73"/>
        <v>0</v>
      </c>
      <c r="W117" s="867">
        <f t="shared" ca="1" si="74"/>
        <v>0</v>
      </c>
      <c r="X117" s="869">
        <f t="shared" ca="1" si="75"/>
        <v>5626849.8134327643</v>
      </c>
      <c r="Y117" s="869">
        <f t="shared" ca="1" si="76"/>
        <v>-345168.7337704986</v>
      </c>
      <c r="Z117" s="869">
        <f t="shared" ca="1" si="77"/>
        <v>-18166.775461605193</v>
      </c>
      <c r="AA117" s="869">
        <f t="shared" ca="1" si="78"/>
        <v>-363335.50923210377</v>
      </c>
      <c r="AB117" s="867">
        <f t="shared" ca="1" si="79"/>
        <v>0</v>
      </c>
      <c r="AC117" s="161"/>
      <c r="AD117" s="869">
        <f t="shared" ca="1" si="80"/>
        <v>5302617.7160564857</v>
      </c>
      <c r="AE117" s="867" cm="1">
        <f t="array" aca="1" ref="AE117" ca="1">IF($G117=0,0,-MIN(0,$G117*c_equity.LPshare))</f>
        <v>345168.7337704986</v>
      </c>
      <c r="AF117" s="869" cm="1">
        <f t="array" aca="1" ref="AF117" ca="1">IF($D117=0,0,AD117*(c_rate.Hurdle2.MO))</f>
        <v>50315.44151891167</v>
      </c>
      <c r="AG117" s="869">
        <f t="shared" ca="1" si="81"/>
        <v>0</v>
      </c>
      <c r="AH117" s="869">
        <f t="shared" ca="1" si="82"/>
        <v>0</v>
      </c>
      <c r="AI117" s="869">
        <f t="shared" ca="1" si="83"/>
        <v>5698101.8913458968</v>
      </c>
      <c r="AJ117" s="868">
        <f t="shared" ca="1" si="61"/>
        <v>-345168.7337704986</v>
      </c>
      <c r="AK117" s="867">
        <f t="shared" ca="1" si="84"/>
        <v>-345168.7337704986</v>
      </c>
      <c r="AL117" s="869">
        <f t="shared" ca="1" si="62"/>
        <v>-18166.775461605193</v>
      </c>
      <c r="AM117" s="869">
        <f t="shared" ca="1" si="85"/>
        <v>-363335.50923210377</v>
      </c>
      <c r="AN117" s="867">
        <f t="shared" ca="1" si="58"/>
        <v>0</v>
      </c>
      <c r="AO117" s="161"/>
      <c r="AP117" s="869">
        <f t="shared" ca="1" si="86"/>
        <v>5365346.1499454239</v>
      </c>
      <c r="AQ117" s="867" cm="1">
        <f t="array" aca="1" ref="AQ117" ca="1">IF($G117=0,0,-MIN(0,$G117*c_equity.LPshare))</f>
        <v>345168.7337704986</v>
      </c>
      <c r="AR117" s="869" cm="1">
        <f t="array" aca="1" ref="AR117" ca="1">IF($D117=0,0,AP117*(c_rate.Hurdle3.MO))</f>
        <v>58905.34104168394</v>
      </c>
      <c r="AS117" s="869">
        <f t="shared" ca="1" si="87"/>
        <v>0</v>
      </c>
      <c r="AT117" s="869">
        <f t="shared" ca="1" si="88"/>
        <v>0</v>
      </c>
      <c r="AU117" s="869">
        <f t="shared" ca="1" si="89"/>
        <v>5769420.2247576071</v>
      </c>
      <c r="AV117" s="870">
        <f t="shared" ca="1" si="90"/>
        <v>-345168.7337704986</v>
      </c>
      <c r="AW117" s="867">
        <f t="shared" ca="1" si="91"/>
        <v>-345168.7337704986</v>
      </c>
      <c r="AX117" s="869">
        <f t="shared" ca="1" si="63"/>
        <v>-18166.775461605193</v>
      </c>
      <c r="AY117" s="869">
        <f t="shared" ca="1" si="92"/>
        <v>-363335.50923210377</v>
      </c>
      <c r="AZ117" s="867">
        <f t="shared" ca="1" si="93"/>
        <v>0</v>
      </c>
      <c r="BA117" s="161"/>
      <c r="BB117" s="867">
        <f t="shared" ca="1" si="94"/>
        <v>0</v>
      </c>
      <c r="BC117" s="867">
        <f t="shared" ca="1" si="59"/>
        <v>0</v>
      </c>
      <c r="BD117" s="658"/>
      <c r="BE117" s="867">
        <f t="shared" ca="1" si="95"/>
        <v>-345168.7337704986</v>
      </c>
      <c r="BF117" s="867">
        <f t="shared" ca="1" si="96"/>
        <v>-18166.775461605193</v>
      </c>
      <c r="BG117" s="867">
        <f t="shared" ca="1" si="97"/>
        <v>-363335.50923210377</v>
      </c>
      <c r="BI117" s="867">
        <f ca="1"/>
        <v>-363335.50923210382</v>
      </c>
      <c r="BJ117" s="867">
        <f ca="1"/>
        <v>-345168.7337704986</v>
      </c>
      <c r="BK117" s="867">
        <f ca="1"/>
        <v>-18166.775461605193</v>
      </c>
      <c r="BL117" s="867">
        <f t="shared" ca="1" si="98"/>
        <v>0</v>
      </c>
      <c r="BM117" s="867">
        <f t="shared" ca="1" si="99"/>
        <v>0</v>
      </c>
      <c r="BN117" s="867">
        <f t="shared" ca="1" si="100"/>
        <v>0</v>
      </c>
      <c r="BO117" s="867">
        <f t="shared" ca="1" si="101"/>
        <v>0</v>
      </c>
      <c r="BP117" s="867">
        <f t="shared" ca="1" si="102"/>
        <v>0</v>
      </c>
      <c r="BQ117" s="867">
        <f t="shared" ca="1" si="103"/>
        <v>0</v>
      </c>
      <c r="BR117" s="867">
        <f ca="1"/>
        <v>0</v>
      </c>
      <c r="BS117" s="867">
        <f ca="1"/>
        <v>0</v>
      </c>
      <c r="BT117" s="867">
        <f t="shared" ca="1" si="64"/>
        <v>-345168.7337704986</v>
      </c>
      <c r="BU117" s="867">
        <f t="shared" ca="1" si="104"/>
        <v>-18166.775461605193</v>
      </c>
      <c r="BV117" s="829">
        <f t="shared" ca="1" si="65"/>
        <v>-3.2741809263825417E-11</v>
      </c>
      <c r="BX117" s="867">
        <f ca="1"/>
        <v>-363335.50923210382</v>
      </c>
      <c r="BY117" s="867">
        <f t="shared" ca="1" si="105"/>
        <v>-363335.50923210377</v>
      </c>
      <c r="BZ117" s="867">
        <f t="shared" ca="1" si="106"/>
        <v>0</v>
      </c>
      <c r="CA117" s="867">
        <f t="shared" ca="1" si="107"/>
        <v>0</v>
      </c>
      <c r="CB117" s="867">
        <f t="shared" ca="1" si="108"/>
        <v>0</v>
      </c>
      <c r="CC117" s="867">
        <f t="shared" ca="1" si="109"/>
        <v>0</v>
      </c>
      <c r="CD117" s="867">
        <f t="shared" ca="1" si="110"/>
        <v>-363335.50923210377</v>
      </c>
    </row>
    <row r="118" spans="1:82" ht="17" thickTop="1" thickBot="1">
      <c r="A118" s="773">
        <f t="shared" si="60"/>
        <v>1</v>
      </c>
      <c r="B118" s="779"/>
      <c r="C118" s="572"/>
      <c r="D118" s="660">
        <v>71</v>
      </c>
      <c r="E118" s="661">
        <v>47423</v>
      </c>
      <c r="F118" s="862">
        <v>6</v>
      </c>
      <c r="G118" s="863">
        <f ca="1"/>
        <v>-363335.50923210382</v>
      </c>
      <c r="H118" s="961"/>
      <c r="I118" s="865">
        <f t="shared" ca="1" si="66"/>
        <v>5555660.1439095773</v>
      </c>
      <c r="J118" s="864" cm="1">
        <f t="array" aca="1" ref="J118" ca="1">IF($G118=0,0,-MIN(0,G118*c_equity.LPshare))</f>
        <v>345168.7337704986</v>
      </c>
      <c r="K118" s="865" cm="1">
        <f t="array" aca="1" ref="K118" ca="1">I118*c_rate.Pref.MO</f>
        <v>35745.284646860207</v>
      </c>
      <c r="L118" s="865">
        <f t="shared" ca="1" si="67"/>
        <v>0</v>
      </c>
      <c r="M118" s="865">
        <f t="shared" ca="1" si="68"/>
        <v>5936574.1623269366</v>
      </c>
      <c r="N118" s="865">
        <f t="shared" ca="1" si="69"/>
        <v>-345168.7337704986</v>
      </c>
      <c r="O118" s="864" cm="1">
        <f t="array" aca="1" ref="O118" ca="1">IF(N118=0,0,IF(G118&lt;0,N118/c_equity.LPshare*i_equity.GPshare,L118/c_equity.LPshare*i_equity.GPshare))</f>
        <v>-18166.775461605193</v>
      </c>
      <c r="P118" s="865">
        <f t="shared" ca="1" si="70"/>
        <v>-363335.50923210377</v>
      </c>
      <c r="Q118" s="865">
        <f t="shared" ca="1" si="71"/>
        <v>0</v>
      </c>
      <c r="R118" s="161"/>
      <c r="S118" s="867">
        <f t="shared" ca="1" si="72"/>
        <v>5626849.8134327643</v>
      </c>
      <c r="T118" s="867" cm="1">
        <f t="array" aca="1" ref="T118" ca="1">IF($G118=0,0,-MIN(0,$G118*c_equity.LPshare))</f>
        <v>345168.7337704986</v>
      </c>
      <c r="U118" s="869" cm="1">
        <f t="array" aca="1" ref="U118" ca="1">IF($D118=0,0,S118*c_rate.Hurdle1.MO)</f>
        <v>44869.29058466381</v>
      </c>
      <c r="V118" s="867">
        <f t="shared" ca="1" si="73"/>
        <v>0</v>
      </c>
      <c r="W118" s="867">
        <f t="shared" ca="1" si="74"/>
        <v>0</v>
      </c>
      <c r="X118" s="869">
        <f t="shared" ca="1" si="75"/>
        <v>6016887.8377879271</v>
      </c>
      <c r="Y118" s="869">
        <f t="shared" ca="1" si="76"/>
        <v>-345168.7337704986</v>
      </c>
      <c r="Z118" s="869">
        <f t="shared" ca="1" si="77"/>
        <v>-18166.775461605193</v>
      </c>
      <c r="AA118" s="869">
        <f t="shared" ca="1" si="78"/>
        <v>-363335.50923210377</v>
      </c>
      <c r="AB118" s="867">
        <f t="shared" ca="1" si="79"/>
        <v>0</v>
      </c>
      <c r="AC118" s="161"/>
      <c r="AD118" s="869">
        <f t="shared" ca="1" si="80"/>
        <v>5698101.8913458968</v>
      </c>
      <c r="AE118" s="867" cm="1">
        <f t="array" aca="1" ref="AE118" ca="1">IF($G118=0,0,-MIN(0,$G118*c_equity.LPshare))</f>
        <v>345168.7337704986</v>
      </c>
      <c r="AF118" s="869" cm="1">
        <f t="array" aca="1" ref="AF118" ca="1">IF($D118=0,0,AD118*(c_rate.Hurdle2.MO))</f>
        <v>54068.108967137232</v>
      </c>
      <c r="AG118" s="869">
        <f t="shared" ca="1" si="81"/>
        <v>0</v>
      </c>
      <c r="AH118" s="869">
        <f t="shared" ca="1" si="82"/>
        <v>0</v>
      </c>
      <c r="AI118" s="869">
        <f t="shared" ca="1" si="83"/>
        <v>6097338.7340835333</v>
      </c>
      <c r="AJ118" s="868">
        <f t="shared" ca="1" si="61"/>
        <v>-345168.7337704986</v>
      </c>
      <c r="AK118" s="867">
        <f t="shared" ca="1" si="84"/>
        <v>-345168.7337704986</v>
      </c>
      <c r="AL118" s="869">
        <f t="shared" ca="1" si="62"/>
        <v>-18166.775461605193</v>
      </c>
      <c r="AM118" s="869">
        <f t="shared" ca="1" si="85"/>
        <v>-363335.50923210377</v>
      </c>
      <c r="AN118" s="867">
        <f t="shared" ca="1" si="58"/>
        <v>0</v>
      </c>
      <c r="AO118" s="161"/>
      <c r="AP118" s="869">
        <f t="shared" ca="1" si="86"/>
        <v>5769420.2247576071</v>
      </c>
      <c r="AQ118" s="867" cm="1">
        <f t="array" aca="1" ref="AQ118" ca="1">IF($G118=0,0,-MIN(0,$G118*c_equity.LPshare))</f>
        <v>345168.7337704986</v>
      </c>
      <c r="AR118" s="869" cm="1">
        <f t="array" aca="1" ref="AR118" ca="1">IF($D118=0,0,AP118*(c_rate.Hurdle3.MO))</f>
        <v>63341.610485950208</v>
      </c>
      <c r="AS118" s="869">
        <f t="shared" ca="1" si="87"/>
        <v>0</v>
      </c>
      <c r="AT118" s="869">
        <f t="shared" ca="1" si="88"/>
        <v>0</v>
      </c>
      <c r="AU118" s="869">
        <f t="shared" ca="1" si="89"/>
        <v>6177930.5690140566</v>
      </c>
      <c r="AV118" s="870">
        <f t="shared" ca="1" si="90"/>
        <v>-345168.7337704986</v>
      </c>
      <c r="AW118" s="867">
        <f t="shared" ca="1" si="91"/>
        <v>-345168.7337704986</v>
      </c>
      <c r="AX118" s="869">
        <f t="shared" ca="1" si="63"/>
        <v>-18166.775461605193</v>
      </c>
      <c r="AY118" s="869">
        <f t="shared" ca="1" si="92"/>
        <v>-363335.50923210377</v>
      </c>
      <c r="AZ118" s="867">
        <f t="shared" ca="1" si="93"/>
        <v>0</v>
      </c>
      <c r="BA118" s="161"/>
      <c r="BB118" s="867">
        <f t="shared" ca="1" si="94"/>
        <v>0</v>
      </c>
      <c r="BC118" s="867">
        <f t="shared" ca="1" si="59"/>
        <v>0</v>
      </c>
      <c r="BD118" s="658"/>
      <c r="BE118" s="867">
        <f t="shared" ca="1" si="95"/>
        <v>-345168.7337704986</v>
      </c>
      <c r="BF118" s="867">
        <f t="shared" ca="1" si="96"/>
        <v>-18166.775461605193</v>
      </c>
      <c r="BG118" s="867">
        <f t="shared" ca="1" si="97"/>
        <v>-363335.50923210377</v>
      </c>
      <c r="BI118" s="867">
        <f ca="1"/>
        <v>-363335.50923210382</v>
      </c>
      <c r="BJ118" s="867">
        <f ca="1"/>
        <v>-345168.7337704986</v>
      </c>
      <c r="BK118" s="867">
        <f ca="1"/>
        <v>-18166.775461605193</v>
      </c>
      <c r="BL118" s="867">
        <f t="shared" ca="1" si="98"/>
        <v>0</v>
      </c>
      <c r="BM118" s="867">
        <f t="shared" ca="1" si="99"/>
        <v>0</v>
      </c>
      <c r="BN118" s="867">
        <f t="shared" ca="1" si="100"/>
        <v>0</v>
      </c>
      <c r="BO118" s="867">
        <f t="shared" ca="1" si="101"/>
        <v>0</v>
      </c>
      <c r="BP118" s="867">
        <f t="shared" ca="1" si="102"/>
        <v>0</v>
      </c>
      <c r="BQ118" s="867">
        <f t="shared" ca="1" si="103"/>
        <v>0</v>
      </c>
      <c r="BR118" s="867">
        <f ca="1"/>
        <v>0</v>
      </c>
      <c r="BS118" s="867">
        <f ca="1"/>
        <v>0</v>
      </c>
      <c r="BT118" s="867">
        <f t="shared" ca="1" si="64"/>
        <v>-345168.7337704986</v>
      </c>
      <c r="BU118" s="867">
        <f t="shared" ca="1" si="104"/>
        <v>-18166.775461605193</v>
      </c>
      <c r="BV118" s="829">
        <f t="shared" ca="1" si="65"/>
        <v>-3.2741809263825417E-11</v>
      </c>
      <c r="BX118" s="867">
        <f ca="1"/>
        <v>-363335.50923210382</v>
      </c>
      <c r="BY118" s="867">
        <f t="shared" ca="1" si="105"/>
        <v>-363335.50923210377</v>
      </c>
      <c r="BZ118" s="867">
        <f t="shared" ca="1" si="106"/>
        <v>0</v>
      </c>
      <c r="CA118" s="867">
        <f t="shared" ca="1" si="107"/>
        <v>0</v>
      </c>
      <c r="CB118" s="867">
        <f t="shared" ca="1" si="108"/>
        <v>0</v>
      </c>
      <c r="CC118" s="867">
        <f t="shared" ca="1" si="109"/>
        <v>0</v>
      </c>
      <c r="CD118" s="867">
        <f t="shared" ca="1" si="110"/>
        <v>-363335.50923210377</v>
      </c>
    </row>
    <row r="119" spans="1:82" ht="17" thickTop="1" thickBot="1">
      <c r="A119" s="773">
        <f t="shared" si="60"/>
        <v>1</v>
      </c>
      <c r="B119" s="779"/>
      <c r="C119" s="572"/>
      <c r="D119" s="660">
        <v>72</v>
      </c>
      <c r="E119" s="661">
        <v>47453</v>
      </c>
      <c r="F119" s="862">
        <v>6</v>
      </c>
      <c r="G119" s="863">
        <f ca="1"/>
        <v>6748015.4615521096</v>
      </c>
      <c r="H119" s="961"/>
      <c r="I119" s="865">
        <f t="shared" ca="1" si="66"/>
        <v>5936574.1623269366</v>
      </c>
      <c r="J119" s="864" cm="1">
        <f t="array" aca="1" ref="J119" ca="1">IF($G119=0,0,-MIN(0,G119*c_equity.LPshare))</f>
        <v>0</v>
      </c>
      <c r="K119" s="865" cm="1">
        <f t="array" aca="1" ref="K119" ca="1">I119*c_rate.Pref.MO</f>
        <v>38196.096910679902</v>
      </c>
      <c r="L119" s="865">
        <f t="shared" ca="1" si="67"/>
        <v>5974770.2592376163</v>
      </c>
      <c r="M119" s="865">
        <f t="shared" ca="1" si="68"/>
        <v>0</v>
      </c>
      <c r="N119" s="865">
        <f t="shared" ca="1" si="69"/>
        <v>5974770.2592376163</v>
      </c>
      <c r="O119" s="864" cm="1">
        <f t="array" aca="1" ref="O119" ca="1">IF(N119=0,0,IF(G119&lt;0,N119/c_equity.LPshare*i_equity.GPshare,L119/c_equity.LPshare*i_equity.GPshare))</f>
        <v>314461.59259145352</v>
      </c>
      <c r="P119" s="865">
        <f t="shared" ca="1" si="70"/>
        <v>6289231.8518290697</v>
      </c>
      <c r="Q119" s="865">
        <f t="shared" ca="1" si="71"/>
        <v>458783.6</v>
      </c>
      <c r="R119" s="1104"/>
      <c r="S119" s="867">
        <f t="shared" ca="1" si="72"/>
        <v>6016887.8377879271</v>
      </c>
      <c r="T119" s="867" cm="1">
        <f t="array" aca="1" ref="T119" ca="1">IF($G119=0,0,-MIN(0,$G119*c_equity.LPshare))</f>
        <v>0</v>
      </c>
      <c r="U119" s="869" cm="1">
        <f t="array" aca="1" ref="U119" ca="1">IF($D119=0,0,S119*c_rate.Hurdle1.MO)</f>
        <v>47979.508563484065</v>
      </c>
      <c r="V119" s="867">
        <f t="shared" ca="1" si="73"/>
        <v>5974770.2592376163</v>
      </c>
      <c r="W119" s="867">
        <f t="shared" ca="1" si="74"/>
        <v>90097.087113794871</v>
      </c>
      <c r="X119" s="869">
        <f t="shared" ca="1" si="75"/>
        <v>0</v>
      </c>
      <c r="Y119" s="869">
        <f t="shared" ca="1" si="76"/>
        <v>6064867.3463514112</v>
      </c>
      <c r="Z119" s="869">
        <f t="shared" ca="1" si="77"/>
        <v>329741.21555227251</v>
      </c>
      <c r="AA119" s="869">
        <f t="shared" ca="1" si="78"/>
        <v>6394608.5619036835</v>
      </c>
      <c r="AB119" s="867">
        <f t="shared" ca="1" si="79"/>
        <v>353406.8996484261</v>
      </c>
      <c r="AC119" s="161"/>
      <c r="AD119" s="869">
        <f t="shared" ca="1" si="80"/>
        <v>6097338.7340835333</v>
      </c>
      <c r="AE119" s="867" cm="1">
        <f t="array" aca="1" ref="AE119" ca="1">IF($G119=0,0,-MIN(0,$G119*c_equity.LPshare))</f>
        <v>0</v>
      </c>
      <c r="AF119" s="869" cm="1">
        <f t="array" aca="1" ref="AF119" ca="1">IF($D119=0,0,AD119*(c_rate.Hurdle2.MO))</f>
        <v>57856.384699731359</v>
      </c>
      <c r="AG119" s="869">
        <f t="shared" ca="1" si="81"/>
        <v>6064867.3463514112</v>
      </c>
      <c r="AH119" s="869">
        <f t="shared" ca="1" si="82"/>
        <v>90327.772431853227</v>
      </c>
      <c r="AI119" s="869">
        <f t="shared" ca="1" si="83"/>
        <v>0</v>
      </c>
      <c r="AJ119" s="868">
        <f t="shared" ca="1" si="61"/>
        <v>6155195.1187832644</v>
      </c>
      <c r="AK119" s="867">
        <f t="shared" ca="1" si="84"/>
        <v>6155195.1187832644</v>
      </c>
      <c r="AL119" s="869">
        <f t="shared" ca="1" si="62"/>
        <v>358265.77526759455</v>
      </c>
      <c r="AM119" s="869">
        <f t="shared" ca="1" si="85"/>
        <v>6513460.8940508589</v>
      </c>
      <c r="AN119" s="867">
        <f t="shared" ca="1" si="58"/>
        <v>234554.56750125065</v>
      </c>
      <c r="AO119" s="161"/>
      <c r="AP119" s="869">
        <f t="shared" ca="1" si="86"/>
        <v>6177930.5690140566</v>
      </c>
      <c r="AQ119" s="867" cm="1">
        <f t="array" aca="1" ref="AQ119" ca="1">IF($G119=0,0,-MIN(0,$G119*c_equity.LPshare))</f>
        <v>0</v>
      </c>
      <c r="AR119" s="869" cm="1">
        <f t="array" aca="1" ref="AR119" ca="1">IF($D119=0,0,AP119*(c_rate.Hurdle3.MO))</f>
        <v>67826.585075656156</v>
      </c>
      <c r="AS119" s="869">
        <f t="shared" ca="1" si="87"/>
        <v>6155195.1187832644</v>
      </c>
      <c r="AT119" s="869">
        <f t="shared" ca="1" si="88"/>
        <v>90562.035306448117</v>
      </c>
      <c r="AU119" s="869">
        <f t="shared" ca="1" si="89"/>
        <v>0</v>
      </c>
      <c r="AV119" s="870">
        <f t="shared" ca="1" si="90"/>
        <v>6245757.1540897125</v>
      </c>
      <c r="AW119" s="867">
        <f t="shared" ca="1" si="91"/>
        <v>6245757.1540897125</v>
      </c>
      <c r="AX119" s="869">
        <f t="shared" ca="1" si="63"/>
        <v>403887.25170016615</v>
      </c>
      <c r="AY119" s="869">
        <f t="shared" ca="1" si="92"/>
        <v>6649644.4057898782</v>
      </c>
      <c r="AZ119" s="867">
        <f t="shared" ca="1" si="93"/>
        <v>98371.05576223135</v>
      </c>
      <c r="BA119" s="161"/>
      <c r="BB119" s="867">
        <f t="shared" ca="1" si="94"/>
        <v>49185.527881115675</v>
      </c>
      <c r="BC119" s="867">
        <f t="shared" ca="1" si="59"/>
        <v>49185.527881115675</v>
      </c>
      <c r="BD119" s="658"/>
      <c r="BE119" s="867">
        <f t="shared" ca="1" si="95"/>
        <v>6294942.6819708282</v>
      </c>
      <c r="BF119" s="867">
        <f t="shared" ca="1" si="96"/>
        <v>453072.77958128182</v>
      </c>
      <c r="BG119" s="867">
        <f t="shared" ca="1" si="97"/>
        <v>6748015.4615521096</v>
      </c>
      <c r="BI119" s="867">
        <f ca="1"/>
        <v>6748015.4615521096</v>
      </c>
      <c r="BJ119" s="867">
        <f ca="1"/>
        <v>5974770.2592376163</v>
      </c>
      <c r="BK119" s="867">
        <f ca="1"/>
        <v>314461.59259145352</v>
      </c>
      <c r="BL119" s="867">
        <f t="shared" ca="1" si="98"/>
        <v>90097.087113794871</v>
      </c>
      <c r="BM119" s="867">
        <f t="shared" ca="1" si="99"/>
        <v>15279.62296081899</v>
      </c>
      <c r="BN119" s="867">
        <f t="shared" ca="1" si="100"/>
        <v>90327.772431853227</v>
      </c>
      <c r="BO119" s="867">
        <f t="shared" ca="1" si="101"/>
        <v>28524.559715322044</v>
      </c>
      <c r="BP119" s="867">
        <f t="shared" ca="1" si="102"/>
        <v>90562.035306448117</v>
      </c>
      <c r="BQ119" s="867">
        <f t="shared" ca="1" si="103"/>
        <v>45621.476432571595</v>
      </c>
      <c r="BR119" s="867">
        <f ca="1"/>
        <v>49185.527881115675</v>
      </c>
      <c r="BS119" s="867">
        <f ca="1"/>
        <v>49185.527881115675</v>
      </c>
      <c r="BT119" s="867">
        <f t="shared" ca="1" si="64"/>
        <v>6294942.6819708282</v>
      </c>
      <c r="BU119" s="867">
        <f t="shared" ca="1" si="104"/>
        <v>453072.77958128182</v>
      </c>
      <c r="BV119" s="829">
        <f t="shared" ca="1" si="65"/>
        <v>-4.6566128730773926E-10</v>
      </c>
      <c r="BX119" s="867">
        <f ca="1"/>
        <v>6748015.4615521096</v>
      </c>
      <c r="BY119" s="867">
        <f t="shared" ca="1" si="105"/>
        <v>6289231.8518290697</v>
      </c>
      <c r="BZ119" s="867">
        <f t="shared" ca="1" si="106"/>
        <v>105376.71007461386</v>
      </c>
      <c r="CA119" s="867">
        <f t="shared" ca="1" si="107"/>
        <v>118852.33214717527</v>
      </c>
      <c r="CB119" s="867">
        <f t="shared" ca="1" si="108"/>
        <v>136183.51173901971</v>
      </c>
      <c r="CC119" s="867">
        <f t="shared" ca="1" si="109"/>
        <v>98371.05576223135</v>
      </c>
      <c r="CD119" s="867">
        <f t="shared" ca="1" si="110"/>
        <v>6748015.4615521096</v>
      </c>
    </row>
    <row r="120" spans="1:82" ht="17" thickTop="1" thickBot="1">
      <c r="A120" s="773">
        <f t="shared" si="60"/>
        <v>1</v>
      </c>
      <c r="B120" s="779"/>
      <c r="C120" s="572"/>
      <c r="D120" s="660">
        <v>73</v>
      </c>
      <c r="E120" s="661">
        <v>47484</v>
      </c>
      <c r="F120" s="862">
        <v>7</v>
      </c>
      <c r="G120" s="863">
        <f ca="1"/>
        <v>4916108.0073779877</v>
      </c>
      <c r="H120" s="961"/>
      <c r="I120" s="865">
        <f t="shared" ca="1" si="66"/>
        <v>0</v>
      </c>
      <c r="J120" s="864" cm="1">
        <f t="array" aca="1" ref="J120" ca="1">IF($G120=0,0,-MIN(0,G120*c_equity.LPshare))</f>
        <v>0</v>
      </c>
      <c r="K120" s="865" cm="1">
        <f t="array" aca="1" ref="K120" ca="1">I120*c_rate.Pref.MO</f>
        <v>0</v>
      </c>
      <c r="L120" s="865">
        <f t="shared" ca="1" si="67"/>
        <v>0</v>
      </c>
      <c r="M120" s="865">
        <f t="shared" ca="1" si="68"/>
        <v>0</v>
      </c>
      <c r="N120" s="865">
        <f t="shared" ca="1" si="69"/>
        <v>0</v>
      </c>
      <c r="O120" s="864" cm="1">
        <f t="array" aca="1" ref="O120" ca="1">IF(N120=0,0,IF(G120&lt;0,N120/c_equity.LPshare*i_equity.GPshare,L120/c_equity.LPshare*i_equity.GPshare))</f>
        <v>0</v>
      </c>
      <c r="P120" s="865">
        <f t="shared" ca="1" si="70"/>
        <v>0</v>
      </c>
      <c r="Q120" s="865">
        <f t="shared" ca="1" si="71"/>
        <v>4916108</v>
      </c>
      <c r="R120" s="161"/>
      <c r="S120" s="867">
        <f t="shared" ca="1" si="72"/>
        <v>0</v>
      </c>
      <c r="T120" s="867" cm="1">
        <f t="array" aca="1" ref="T120" ca="1">IF($G120=0,0,-MIN(0,$G120*c_equity.LPshare))</f>
        <v>0</v>
      </c>
      <c r="U120" s="869" cm="1">
        <f t="array" aca="1" ref="U120" ca="1">IF($D120=0,0,S120*c_rate.Hurdle1.MO)</f>
        <v>0</v>
      </c>
      <c r="V120" s="867">
        <f t="shared" ca="1" si="73"/>
        <v>0</v>
      </c>
      <c r="W120" s="867">
        <f t="shared" ca="1" si="74"/>
        <v>0</v>
      </c>
      <c r="X120" s="869">
        <f t="shared" ca="1" si="75"/>
        <v>0</v>
      </c>
      <c r="Y120" s="869">
        <f t="shared" ca="1" si="76"/>
        <v>0</v>
      </c>
      <c r="Z120" s="869">
        <f t="shared" ca="1" si="77"/>
        <v>0</v>
      </c>
      <c r="AA120" s="869">
        <f t="shared" ca="1" si="78"/>
        <v>0</v>
      </c>
      <c r="AB120" s="867">
        <f t="shared" ca="1" si="79"/>
        <v>4916108.0073779877</v>
      </c>
      <c r="AC120" s="161"/>
      <c r="AD120" s="869">
        <f t="shared" ca="1" si="80"/>
        <v>0</v>
      </c>
      <c r="AE120" s="867" cm="1">
        <f t="array" aca="1" ref="AE120" ca="1">IF($G120=0,0,-MIN(0,$G120*c_equity.LPshare))</f>
        <v>0</v>
      </c>
      <c r="AF120" s="869" cm="1">
        <f t="array" aca="1" ref="AF120" ca="1">IF($D120=0,0,AD120*(c_rate.Hurdle2.MO))</f>
        <v>0</v>
      </c>
      <c r="AG120" s="869">
        <f t="shared" ca="1" si="81"/>
        <v>0</v>
      </c>
      <c r="AH120" s="869">
        <f t="shared" ca="1" si="82"/>
        <v>0</v>
      </c>
      <c r="AI120" s="869">
        <f t="shared" ca="1" si="83"/>
        <v>0</v>
      </c>
      <c r="AJ120" s="868">
        <f t="shared" ca="1" si="61"/>
        <v>0</v>
      </c>
      <c r="AK120" s="867">
        <f t="shared" ca="1" si="84"/>
        <v>0</v>
      </c>
      <c r="AL120" s="869">
        <f t="shared" ca="1" si="62"/>
        <v>0</v>
      </c>
      <c r="AM120" s="869">
        <f t="shared" ca="1" si="85"/>
        <v>0</v>
      </c>
      <c r="AN120" s="867">
        <f t="shared" ca="1" si="58"/>
        <v>4916108.0073779877</v>
      </c>
      <c r="AO120" s="161"/>
      <c r="AP120" s="869">
        <f t="shared" ca="1" si="86"/>
        <v>0</v>
      </c>
      <c r="AQ120" s="867" cm="1">
        <f t="array" aca="1" ref="AQ120" ca="1">IF($G120=0,0,-MIN(0,$G120*c_equity.LPshare))</f>
        <v>0</v>
      </c>
      <c r="AR120" s="869" cm="1">
        <f t="array" aca="1" ref="AR120" ca="1">IF($D120=0,0,AP120*(c_rate.Hurdle3.MO))</f>
        <v>0</v>
      </c>
      <c r="AS120" s="869">
        <f t="shared" ca="1" si="87"/>
        <v>0</v>
      </c>
      <c r="AT120" s="869">
        <f t="shared" ca="1" si="88"/>
        <v>0</v>
      </c>
      <c r="AU120" s="869">
        <f t="shared" ca="1" si="89"/>
        <v>0</v>
      </c>
      <c r="AV120" s="870">
        <f t="shared" ca="1" si="90"/>
        <v>0</v>
      </c>
      <c r="AW120" s="867">
        <f t="shared" ca="1" si="91"/>
        <v>0</v>
      </c>
      <c r="AX120" s="869">
        <f t="shared" ca="1" si="63"/>
        <v>0</v>
      </c>
      <c r="AY120" s="869">
        <f t="shared" ca="1" si="92"/>
        <v>0</v>
      </c>
      <c r="AZ120" s="867">
        <f t="shared" ca="1" si="93"/>
        <v>4916108.0073779877</v>
      </c>
      <c r="BA120" s="161"/>
      <c r="BB120" s="867">
        <f t="shared" ca="1" si="94"/>
        <v>2458054.0036889939</v>
      </c>
      <c r="BC120" s="867">
        <f t="shared" ca="1" si="59"/>
        <v>2458054.0036889939</v>
      </c>
      <c r="BD120" s="658"/>
      <c r="BE120" s="867">
        <f t="shared" ca="1" si="95"/>
        <v>2458054.0036889939</v>
      </c>
      <c r="BF120" s="867">
        <f t="shared" ca="1" si="96"/>
        <v>2458054.0036889939</v>
      </c>
      <c r="BG120" s="867">
        <f t="shared" ca="1" si="97"/>
        <v>4916108.0073779877</v>
      </c>
      <c r="BI120" s="867">
        <f ca="1"/>
        <v>4916108.0073779877</v>
      </c>
      <c r="BJ120" s="867">
        <f ca="1"/>
        <v>0</v>
      </c>
      <c r="BK120" s="867">
        <f ca="1"/>
        <v>0</v>
      </c>
      <c r="BL120" s="867">
        <f t="shared" ca="1" si="98"/>
        <v>0</v>
      </c>
      <c r="BM120" s="867">
        <f t="shared" ca="1" si="99"/>
        <v>0</v>
      </c>
      <c r="BN120" s="867">
        <f t="shared" ca="1" si="100"/>
        <v>0</v>
      </c>
      <c r="BO120" s="867">
        <f t="shared" ca="1" si="101"/>
        <v>0</v>
      </c>
      <c r="BP120" s="867">
        <f t="shared" ca="1" si="102"/>
        <v>0</v>
      </c>
      <c r="BQ120" s="867">
        <f t="shared" ca="1" si="103"/>
        <v>0</v>
      </c>
      <c r="BR120" s="867">
        <f ca="1"/>
        <v>2458054.0036889939</v>
      </c>
      <c r="BS120" s="867">
        <f ca="1"/>
        <v>2458054.0036889939</v>
      </c>
      <c r="BT120" s="867">
        <f t="shared" ca="1" si="64"/>
        <v>2458054.0036889939</v>
      </c>
      <c r="BU120" s="867">
        <f t="shared" ca="1" si="104"/>
        <v>2458054.0036889939</v>
      </c>
      <c r="BV120" s="829">
        <f t="shared" ca="1" si="65"/>
        <v>0</v>
      </c>
      <c r="BX120" s="867">
        <f ca="1"/>
        <v>4916108.0073779877</v>
      </c>
      <c r="BY120" s="867">
        <f t="shared" ca="1" si="105"/>
        <v>0</v>
      </c>
      <c r="BZ120" s="867">
        <f t="shared" ca="1" si="106"/>
        <v>0</v>
      </c>
      <c r="CA120" s="867">
        <f t="shared" ca="1" si="107"/>
        <v>0</v>
      </c>
      <c r="CB120" s="867">
        <f t="shared" ca="1" si="108"/>
        <v>0</v>
      </c>
      <c r="CC120" s="867">
        <f t="shared" ca="1" si="109"/>
        <v>4916108.0073779877</v>
      </c>
      <c r="CD120" s="867">
        <f t="shared" ca="1" si="110"/>
        <v>4916108.0073779877</v>
      </c>
    </row>
    <row r="121" spans="1:82" ht="17" thickTop="1" thickBot="1">
      <c r="A121" s="773">
        <f t="shared" si="60"/>
        <v>1</v>
      </c>
      <c r="B121" s="779"/>
      <c r="C121" s="572"/>
      <c r="D121" s="660">
        <v>74</v>
      </c>
      <c r="E121" s="661">
        <v>47515</v>
      </c>
      <c r="F121" s="862">
        <v>7</v>
      </c>
      <c r="G121" s="863">
        <f ca="1"/>
        <v>-256386.97045136962</v>
      </c>
      <c r="H121" s="961"/>
      <c r="I121" s="865">
        <f t="shared" ca="1" si="66"/>
        <v>0</v>
      </c>
      <c r="J121" s="864" cm="1">
        <f t="array" aca="1" ref="J121" ca="1">IF($G121=0,0,-MIN(0,G121*c_equity.LPshare))</f>
        <v>243567.62192880112</v>
      </c>
      <c r="K121" s="865" cm="1">
        <f t="array" aca="1" ref="K121" ca="1">I121*c_rate.Pref.MO</f>
        <v>0</v>
      </c>
      <c r="L121" s="865">
        <f t="shared" ca="1" si="67"/>
        <v>0</v>
      </c>
      <c r="M121" s="865">
        <f t="shared" ca="1" si="68"/>
        <v>243567.62192880112</v>
      </c>
      <c r="N121" s="865">
        <f t="shared" ca="1" si="69"/>
        <v>-243567.62192880112</v>
      </c>
      <c r="O121" s="864" cm="1">
        <f t="array" aca="1" ref="O121" ca="1">IF(N121=0,0,IF(G121&lt;0,N121/c_equity.LPshare*i_equity.GPshare,L121/c_equity.LPshare*i_equity.GPshare))</f>
        <v>-12819.348522568482</v>
      </c>
      <c r="P121" s="865">
        <f t="shared" ca="1" si="70"/>
        <v>-256386.97045136959</v>
      </c>
      <c r="Q121" s="865">
        <f t="shared" ca="1" si="71"/>
        <v>0</v>
      </c>
      <c r="R121" s="161"/>
      <c r="S121" s="867">
        <f t="shared" ca="1" si="72"/>
        <v>0</v>
      </c>
      <c r="T121" s="867" cm="1">
        <f t="array" aca="1" ref="T121" ca="1">IF($G121=0,0,-MIN(0,$G121*c_equity.LPshare))</f>
        <v>243567.62192880112</v>
      </c>
      <c r="U121" s="869" cm="1">
        <f t="array" aca="1" ref="U121" ca="1">IF($D121=0,0,S121*c_rate.Hurdle1.MO)</f>
        <v>0</v>
      </c>
      <c r="V121" s="867">
        <f t="shared" ca="1" si="73"/>
        <v>0</v>
      </c>
      <c r="W121" s="867">
        <f t="shared" ca="1" si="74"/>
        <v>0</v>
      </c>
      <c r="X121" s="869">
        <f t="shared" ca="1" si="75"/>
        <v>243567.62192880112</v>
      </c>
      <c r="Y121" s="869">
        <f t="shared" ca="1" si="76"/>
        <v>-243567.62192880112</v>
      </c>
      <c r="Z121" s="869">
        <f t="shared" ca="1" si="77"/>
        <v>-12819.348522568482</v>
      </c>
      <c r="AA121" s="869">
        <f t="shared" ca="1" si="78"/>
        <v>-256386.97045136959</v>
      </c>
      <c r="AB121" s="867">
        <f t="shared" ca="1" si="79"/>
        <v>0</v>
      </c>
      <c r="AC121" s="161"/>
      <c r="AD121" s="869">
        <f t="shared" ca="1" si="80"/>
        <v>0</v>
      </c>
      <c r="AE121" s="867" cm="1">
        <f t="array" aca="1" ref="AE121" ca="1">IF($G121=0,0,-MIN(0,$G121*c_equity.LPshare))</f>
        <v>243567.62192880112</v>
      </c>
      <c r="AF121" s="869" cm="1">
        <f t="array" aca="1" ref="AF121" ca="1">IF($D121=0,0,AD121*(c_rate.Hurdle2.MO))</f>
        <v>0</v>
      </c>
      <c r="AG121" s="869">
        <f t="shared" ca="1" si="81"/>
        <v>0</v>
      </c>
      <c r="AH121" s="869">
        <f t="shared" ca="1" si="82"/>
        <v>0</v>
      </c>
      <c r="AI121" s="869">
        <f t="shared" ca="1" si="83"/>
        <v>243567.62192880112</v>
      </c>
      <c r="AJ121" s="868">
        <f t="shared" ca="1" si="61"/>
        <v>-243567.62192880112</v>
      </c>
      <c r="AK121" s="867">
        <f t="shared" ca="1" si="84"/>
        <v>-243567.62192880112</v>
      </c>
      <c r="AL121" s="869">
        <f t="shared" ca="1" si="62"/>
        <v>-12819.348522568482</v>
      </c>
      <c r="AM121" s="869">
        <f t="shared" ca="1" si="85"/>
        <v>-256386.97045136959</v>
      </c>
      <c r="AN121" s="867">
        <f t="shared" ca="1" si="58"/>
        <v>0</v>
      </c>
      <c r="AO121" s="161"/>
      <c r="AP121" s="869">
        <f t="shared" ca="1" si="86"/>
        <v>0</v>
      </c>
      <c r="AQ121" s="867" cm="1">
        <f t="array" aca="1" ref="AQ121" ca="1">IF($G121=0,0,-MIN(0,$G121*c_equity.LPshare))</f>
        <v>243567.62192880112</v>
      </c>
      <c r="AR121" s="869" cm="1">
        <f t="array" aca="1" ref="AR121" ca="1">IF($D121=0,0,AP121*(c_rate.Hurdle3.MO))</f>
        <v>0</v>
      </c>
      <c r="AS121" s="869">
        <f t="shared" ca="1" si="87"/>
        <v>0</v>
      </c>
      <c r="AT121" s="869">
        <f t="shared" ca="1" si="88"/>
        <v>0</v>
      </c>
      <c r="AU121" s="869">
        <f t="shared" ca="1" si="89"/>
        <v>243567.62192880112</v>
      </c>
      <c r="AV121" s="870">
        <f t="shared" ca="1" si="90"/>
        <v>-243567.62192880112</v>
      </c>
      <c r="AW121" s="867">
        <f t="shared" ca="1" si="91"/>
        <v>-243567.62192880112</v>
      </c>
      <c r="AX121" s="869">
        <f t="shared" ca="1" si="63"/>
        <v>-12819.348522568482</v>
      </c>
      <c r="AY121" s="869">
        <f t="shared" ca="1" si="92"/>
        <v>-256386.97045136959</v>
      </c>
      <c r="AZ121" s="867">
        <f t="shared" ca="1" si="93"/>
        <v>0</v>
      </c>
      <c r="BA121" s="161"/>
      <c r="BB121" s="867">
        <f t="shared" ca="1" si="94"/>
        <v>0</v>
      </c>
      <c r="BC121" s="867">
        <f t="shared" ca="1" si="59"/>
        <v>0</v>
      </c>
      <c r="BD121" s="658"/>
      <c r="BE121" s="867">
        <f t="shared" ca="1" si="95"/>
        <v>-243567.62192880112</v>
      </c>
      <c r="BF121" s="867">
        <f t="shared" ca="1" si="96"/>
        <v>-12819.348522568482</v>
      </c>
      <c r="BG121" s="867">
        <f t="shared" ca="1" si="97"/>
        <v>-256386.97045136959</v>
      </c>
      <c r="BI121" s="867">
        <f ca="1"/>
        <v>-256386.97045136962</v>
      </c>
      <c r="BJ121" s="867">
        <f ca="1"/>
        <v>-243567.62192880112</v>
      </c>
      <c r="BK121" s="867">
        <f ca="1"/>
        <v>-12819.348522568482</v>
      </c>
      <c r="BL121" s="867">
        <f t="shared" ca="1" si="98"/>
        <v>0</v>
      </c>
      <c r="BM121" s="867">
        <f t="shared" ca="1" si="99"/>
        <v>0</v>
      </c>
      <c r="BN121" s="867">
        <f t="shared" ca="1" si="100"/>
        <v>0</v>
      </c>
      <c r="BO121" s="867">
        <f t="shared" ca="1" si="101"/>
        <v>0</v>
      </c>
      <c r="BP121" s="867">
        <f t="shared" ca="1" si="102"/>
        <v>0</v>
      </c>
      <c r="BQ121" s="867">
        <f t="shared" ca="1" si="103"/>
        <v>0</v>
      </c>
      <c r="BR121" s="867">
        <f ca="1"/>
        <v>0</v>
      </c>
      <c r="BS121" s="867">
        <f ca="1"/>
        <v>0</v>
      </c>
      <c r="BT121" s="867">
        <f t="shared" ca="1" si="64"/>
        <v>-243567.62192880112</v>
      </c>
      <c r="BU121" s="867">
        <f t="shared" ca="1" si="104"/>
        <v>-12819.348522568482</v>
      </c>
      <c r="BV121" s="829">
        <f t="shared" ca="1" si="65"/>
        <v>-1.8189894035458565E-11</v>
      </c>
      <c r="BX121" s="867">
        <f ca="1"/>
        <v>-256386.97045136962</v>
      </c>
      <c r="BY121" s="867">
        <f t="shared" ca="1" si="105"/>
        <v>-256386.97045136959</v>
      </c>
      <c r="BZ121" s="867">
        <f t="shared" ca="1" si="106"/>
        <v>0</v>
      </c>
      <c r="CA121" s="867">
        <f t="shared" ca="1" si="107"/>
        <v>0</v>
      </c>
      <c r="CB121" s="867">
        <f t="shared" ca="1" si="108"/>
        <v>0</v>
      </c>
      <c r="CC121" s="867">
        <f t="shared" ca="1" si="109"/>
        <v>0</v>
      </c>
      <c r="CD121" s="867">
        <f t="shared" ca="1" si="110"/>
        <v>-256386.97045136959</v>
      </c>
    </row>
    <row r="122" spans="1:82" ht="17" thickTop="1" thickBot="1">
      <c r="A122" s="773">
        <f t="shared" si="60"/>
        <v>1</v>
      </c>
      <c r="B122" s="779"/>
      <c r="C122" s="572"/>
      <c r="D122" s="660">
        <v>75</v>
      </c>
      <c r="E122" s="661">
        <v>47543</v>
      </c>
      <c r="F122" s="862">
        <v>7</v>
      </c>
      <c r="G122" s="863">
        <f ca="1"/>
        <v>-256386.97045136962</v>
      </c>
      <c r="H122" s="961"/>
      <c r="I122" s="865">
        <f t="shared" ca="1" si="66"/>
        <v>243567.62192880112</v>
      </c>
      <c r="J122" s="864" cm="1">
        <f t="array" aca="1" ref="J122" ca="1">IF($G122=0,0,-MIN(0,G122*c_equity.LPshare))</f>
        <v>243567.62192880112</v>
      </c>
      <c r="K122" s="865" cm="1">
        <f t="array" aca="1" ref="K122" ca="1">I122*c_rate.Pref.MO</f>
        <v>1567.1214133118383</v>
      </c>
      <c r="L122" s="865">
        <f t="shared" ca="1" si="67"/>
        <v>0</v>
      </c>
      <c r="M122" s="865">
        <f t="shared" ca="1" si="68"/>
        <v>488702.36527091404</v>
      </c>
      <c r="N122" s="865">
        <f t="shared" ca="1" si="69"/>
        <v>-243567.62192880112</v>
      </c>
      <c r="O122" s="864" cm="1">
        <f t="array" aca="1" ref="O122" ca="1">IF(N122=0,0,IF(G122&lt;0,N122/c_equity.LPshare*i_equity.GPshare,L122/c_equity.LPshare*i_equity.GPshare))</f>
        <v>-12819.348522568482</v>
      </c>
      <c r="P122" s="865">
        <f t="shared" ca="1" si="70"/>
        <v>-256386.97045136959</v>
      </c>
      <c r="Q122" s="865">
        <f t="shared" ca="1" si="71"/>
        <v>0</v>
      </c>
      <c r="R122" s="161"/>
      <c r="S122" s="867">
        <f t="shared" ca="1" si="72"/>
        <v>243567.62192880112</v>
      </c>
      <c r="T122" s="867" cm="1">
        <f t="array" aca="1" ref="T122" ca="1">IF($G122=0,0,-MIN(0,$G122*c_equity.LPshare))</f>
        <v>243567.62192880112</v>
      </c>
      <c r="U122" s="869" cm="1">
        <f t="array" aca="1" ref="U122" ca="1">IF($D122=0,0,S122*c_rate.Hurdle1.MO)</f>
        <v>1942.2424211944001</v>
      </c>
      <c r="V122" s="867">
        <f t="shared" ca="1" si="73"/>
        <v>0</v>
      </c>
      <c r="W122" s="867">
        <f t="shared" ca="1" si="74"/>
        <v>0</v>
      </c>
      <c r="X122" s="869">
        <f t="shared" ca="1" si="75"/>
        <v>489077.48627879663</v>
      </c>
      <c r="Y122" s="869">
        <f t="shared" ca="1" si="76"/>
        <v>-243567.62192880112</v>
      </c>
      <c r="Z122" s="869">
        <f t="shared" ca="1" si="77"/>
        <v>-12819.348522568482</v>
      </c>
      <c r="AA122" s="869">
        <f t="shared" ca="1" si="78"/>
        <v>-256386.97045136959</v>
      </c>
      <c r="AB122" s="867">
        <f t="shared" ca="1" si="79"/>
        <v>0</v>
      </c>
      <c r="AC122" s="161"/>
      <c r="AD122" s="869">
        <f t="shared" ca="1" si="80"/>
        <v>243567.62192880112</v>
      </c>
      <c r="AE122" s="867" cm="1">
        <f t="array" aca="1" ref="AE122" ca="1">IF($G122=0,0,-MIN(0,$G122*c_equity.LPshare))</f>
        <v>243567.62192880112</v>
      </c>
      <c r="AF122" s="869" cm="1">
        <f t="array" aca="1" ref="AF122" ca="1">IF($D122=0,0,AD122*(c_rate.Hurdle2.MO))</f>
        <v>2311.1627300512027</v>
      </c>
      <c r="AG122" s="869">
        <f t="shared" ca="1" si="81"/>
        <v>0</v>
      </c>
      <c r="AH122" s="869">
        <f t="shared" ca="1" si="82"/>
        <v>0</v>
      </c>
      <c r="AI122" s="869">
        <f t="shared" ca="1" si="83"/>
        <v>489446.40658765344</v>
      </c>
      <c r="AJ122" s="868">
        <f t="shared" ca="1" si="61"/>
        <v>-243567.62192880112</v>
      </c>
      <c r="AK122" s="867">
        <f t="shared" ca="1" si="84"/>
        <v>-243567.62192880112</v>
      </c>
      <c r="AL122" s="869">
        <f t="shared" ca="1" si="62"/>
        <v>-12819.348522568482</v>
      </c>
      <c r="AM122" s="869">
        <f t="shared" ca="1" si="85"/>
        <v>-256386.97045136959</v>
      </c>
      <c r="AN122" s="867">
        <f t="shared" ca="1" si="58"/>
        <v>0</v>
      </c>
      <c r="AO122" s="161"/>
      <c r="AP122" s="869">
        <f t="shared" ca="1" si="86"/>
        <v>243567.62192880112</v>
      </c>
      <c r="AQ122" s="867" cm="1">
        <f t="array" aca="1" ref="AQ122" ca="1">IF($G122=0,0,-MIN(0,$G122*c_equity.LPshare))</f>
        <v>243567.62192880112</v>
      </c>
      <c r="AR122" s="869" cm="1">
        <f t="array" aca="1" ref="AR122" ca="1">IF($D122=0,0,AP122*(c_rate.Hurdle3.MO))</f>
        <v>2674.0928610121282</v>
      </c>
      <c r="AS122" s="869">
        <f t="shared" ca="1" si="87"/>
        <v>0</v>
      </c>
      <c r="AT122" s="869">
        <f t="shared" ca="1" si="88"/>
        <v>0</v>
      </c>
      <c r="AU122" s="869">
        <f t="shared" ca="1" si="89"/>
        <v>489809.33671861433</v>
      </c>
      <c r="AV122" s="870">
        <f t="shared" ca="1" si="90"/>
        <v>-243567.62192880112</v>
      </c>
      <c r="AW122" s="867">
        <f t="shared" ca="1" si="91"/>
        <v>-243567.62192880112</v>
      </c>
      <c r="AX122" s="869">
        <f t="shared" ca="1" si="63"/>
        <v>-12819.348522568482</v>
      </c>
      <c r="AY122" s="869">
        <f t="shared" ca="1" si="92"/>
        <v>-256386.97045136959</v>
      </c>
      <c r="AZ122" s="867">
        <f t="shared" ca="1" si="93"/>
        <v>0</v>
      </c>
      <c r="BA122" s="161"/>
      <c r="BB122" s="867">
        <f t="shared" ca="1" si="94"/>
        <v>0</v>
      </c>
      <c r="BC122" s="867">
        <f t="shared" ca="1" si="59"/>
        <v>0</v>
      </c>
      <c r="BD122" s="658"/>
      <c r="BE122" s="867">
        <f t="shared" ca="1" si="95"/>
        <v>-243567.62192880112</v>
      </c>
      <c r="BF122" s="867">
        <f t="shared" ca="1" si="96"/>
        <v>-12819.348522568482</v>
      </c>
      <c r="BG122" s="867">
        <f t="shared" ca="1" si="97"/>
        <v>-256386.97045136959</v>
      </c>
      <c r="BI122" s="867">
        <f ca="1"/>
        <v>-256386.97045136962</v>
      </c>
      <c r="BJ122" s="867">
        <f ca="1"/>
        <v>-243567.62192880112</v>
      </c>
      <c r="BK122" s="867">
        <f ca="1"/>
        <v>-12819.348522568482</v>
      </c>
      <c r="BL122" s="867">
        <f t="shared" ca="1" si="98"/>
        <v>0</v>
      </c>
      <c r="BM122" s="867">
        <f t="shared" ca="1" si="99"/>
        <v>0</v>
      </c>
      <c r="BN122" s="867">
        <f t="shared" ca="1" si="100"/>
        <v>0</v>
      </c>
      <c r="BO122" s="867">
        <f t="shared" ca="1" si="101"/>
        <v>0</v>
      </c>
      <c r="BP122" s="867">
        <f t="shared" ca="1" si="102"/>
        <v>0</v>
      </c>
      <c r="BQ122" s="867">
        <f t="shared" ca="1" si="103"/>
        <v>0</v>
      </c>
      <c r="BR122" s="867">
        <f ca="1"/>
        <v>0</v>
      </c>
      <c r="BS122" s="867">
        <f ca="1"/>
        <v>0</v>
      </c>
      <c r="BT122" s="867">
        <f t="shared" ca="1" si="64"/>
        <v>-243567.62192880112</v>
      </c>
      <c r="BU122" s="867">
        <f t="shared" ca="1" si="104"/>
        <v>-12819.348522568482</v>
      </c>
      <c r="BV122" s="829">
        <f t="shared" ca="1" si="65"/>
        <v>-1.8189894035458565E-11</v>
      </c>
      <c r="BX122" s="867">
        <f ca="1"/>
        <v>-256386.97045136962</v>
      </c>
      <c r="BY122" s="867">
        <f t="shared" ca="1" si="105"/>
        <v>-256386.97045136959</v>
      </c>
      <c r="BZ122" s="867">
        <f t="shared" ca="1" si="106"/>
        <v>0</v>
      </c>
      <c r="CA122" s="867">
        <f t="shared" ca="1" si="107"/>
        <v>0</v>
      </c>
      <c r="CB122" s="867">
        <f t="shared" ca="1" si="108"/>
        <v>0</v>
      </c>
      <c r="CC122" s="867">
        <f t="shared" ca="1" si="109"/>
        <v>0</v>
      </c>
      <c r="CD122" s="867">
        <f t="shared" ca="1" si="110"/>
        <v>-256386.97045136959</v>
      </c>
    </row>
    <row r="123" spans="1:82" ht="17" thickTop="1" thickBot="1">
      <c r="A123" s="773">
        <f t="shared" si="60"/>
        <v>1</v>
      </c>
      <c r="B123" s="779"/>
      <c r="C123" s="572"/>
      <c r="D123" s="660">
        <v>76</v>
      </c>
      <c r="E123" s="661">
        <v>47574</v>
      </c>
      <c r="F123" s="862">
        <v>7</v>
      </c>
      <c r="G123" s="863">
        <f ca="1"/>
        <v>-256386.97045136962</v>
      </c>
      <c r="H123" s="961"/>
      <c r="I123" s="865">
        <f t="shared" ca="1" si="66"/>
        <v>488702.36527091404</v>
      </c>
      <c r="J123" s="864" cm="1">
        <f t="array" aca="1" ref="J123" ca="1">IF($G123=0,0,-MIN(0,G123*c_equity.LPshare))</f>
        <v>243567.62192880112</v>
      </c>
      <c r="K123" s="865" cm="1">
        <f t="array" aca="1" ref="K123" ca="1">I123*c_rate.Pref.MO</f>
        <v>3144.3257329829557</v>
      </c>
      <c r="L123" s="865">
        <f t="shared" ca="1" si="67"/>
        <v>0</v>
      </c>
      <c r="M123" s="865">
        <f t="shared" ca="1" si="68"/>
        <v>735414.31293269806</v>
      </c>
      <c r="N123" s="865">
        <f t="shared" ca="1" si="69"/>
        <v>-243567.62192880112</v>
      </c>
      <c r="O123" s="864" cm="1">
        <f t="array" aca="1" ref="O123" ca="1">IF(N123=0,0,IF(G123&lt;0,N123/c_equity.LPshare*i_equity.GPshare,L123/c_equity.LPshare*i_equity.GPshare))</f>
        <v>-12819.348522568482</v>
      </c>
      <c r="P123" s="865">
        <f t="shared" ca="1" si="70"/>
        <v>-256386.97045136959</v>
      </c>
      <c r="Q123" s="865">
        <f t="shared" ca="1" si="71"/>
        <v>0</v>
      </c>
      <c r="R123" s="161"/>
      <c r="S123" s="867">
        <f t="shared" ca="1" si="72"/>
        <v>489077.48627879663</v>
      </c>
      <c r="T123" s="867" cm="1">
        <f t="array" aca="1" ref="T123" ca="1">IF($G123=0,0,-MIN(0,$G123*c_equity.LPshare))</f>
        <v>243567.62192880112</v>
      </c>
      <c r="U123" s="869" cm="1">
        <f t="array" aca="1" ref="U123" ca="1">IF($D123=0,0,S123*c_rate.Hurdle1.MO)</f>
        <v>3899.9725562023782</v>
      </c>
      <c r="V123" s="867">
        <f t="shared" ca="1" si="73"/>
        <v>0</v>
      </c>
      <c r="W123" s="867">
        <f t="shared" ca="1" si="74"/>
        <v>0</v>
      </c>
      <c r="X123" s="869">
        <f t="shared" ca="1" si="75"/>
        <v>736545.08076380007</v>
      </c>
      <c r="Y123" s="869">
        <f t="shared" ca="1" si="76"/>
        <v>-243567.62192880112</v>
      </c>
      <c r="Z123" s="869">
        <f t="shared" ca="1" si="77"/>
        <v>-12819.348522568482</v>
      </c>
      <c r="AA123" s="869">
        <f t="shared" ca="1" si="78"/>
        <v>-256386.97045136959</v>
      </c>
      <c r="AB123" s="867">
        <f t="shared" ca="1" si="79"/>
        <v>0</v>
      </c>
      <c r="AC123" s="161"/>
      <c r="AD123" s="869">
        <f t="shared" ca="1" si="80"/>
        <v>489446.40658765344</v>
      </c>
      <c r="AE123" s="867" cm="1">
        <f t="array" aca="1" ref="AE123" ca="1">IF($G123=0,0,-MIN(0,$G123*c_equity.LPshare))</f>
        <v>243567.62192880112</v>
      </c>
      <c r="AF123" s="869" cm="1">
        <f t="array" aca="1" ref="AF123" ca="1">IF($D123=0,0,AD123*(c_rate.Hurdle2.MO))</f>
        <v>4644.2556046859863</v>
      </c>
      <c r="AG123" s="869">
        <f t="shared" ca="1" si="81"/>
        <v>0</v>
      </c>
      <c r="AH123" s="869">
        <f t="shared" ca="1" si="82"/>
        <v>0</v>
      </c>
      <c r="AI123" s="869">
        <f t="shared" ca="1" si="83"/>
        <v>737658.2841211406</v>
      </c>
      <c r="AJ123" s="868">
        <f t="shared" ca="1" si="61"/>
        <v>-243567.62192880112</v>
      </c>
      <c r="AK123" s="867">
        <f t="shared" ca="1" si="84"/>
        <v>-243567.62192880112</v>
      </c>
      <c r="AL123" s="869">
        <f t="shared" ca="1" si="62"/>
        <v>-12819.348522568482</v>
      </c>
      <c r="AM123" s="869">
        <f t="shared" ca="1" si="85"/>
        <v>-256386.97045136959</v>
      </c>
      <c r="AN123" s="867">
        <f t="shared" ca="1" si="58"/>
        <v>0</v>
      </c>
      <c r="AO123" s="161"/>
      <c r="AP123" s="869">
        <f t="shared" ca="1" si="86"/>
        <v>489809.33671861433</v>
      </c>
      <c r="AQ123" s="867" cm="1">
        <f t="array" aca="1" ref="AQ123" ca="1">IF($G123=0,0,-MIN(0,$G123*c_equity.LPshare))</f>
        <v>243567.62192880112</v>
      </c>
      <c r="AR123" s="869" cm="1">
        <f t="array" aca="1" ref="AR123" ca="1">IF($D123=0,0,AP123*(c_rate.Hurdle3.MO))</f>
        <v>5377.5441916463242</v>
      </c>
      <c r="AS123" s="869">
        <f t="shared" ca="1" si="87"/>
        <v>0</v>
      </c>
      <c r="AT123" s="869">
        <f t="shared" ca="1" si="88"/>
        <v>0</v>
      </c>
      <c r="AU123" s="869">
        <f t="shared" ca="1" si="89"/>
        <v>738754.50283906178</v>
      </c>
      <c r="AV123" s="870">
        <f t="shared" ca="1" si="90"/>
        <v>-243567.62192880112</v>
      </c>
      <c r="AW123" s="867">
        <f t="shared" ca="1" si="91"/>
        <v>-243567.62192880112</v>
      </c>
      <c r="AX123" s="869">
        <f t="shared" ca="1" si="63"/>
        <v>-12819.348522568482</v>
      </c>
      <c r="AY123" s="869">
        <f t="shared" ca="1" si="92"/>
        <v>-256386.97045136959</v>
      </c>
      <c r="AZ123" s="867">
        <f t="shared" ca="1" si="93"/>
        <v>0</v>
      </c>
      <c r="BA123" s="161"/>
      <c r="BB123" s="867">
        <f t="shared" ca="1" si="94"/>
        <v>0</v>
      </c>
      <c r="BC123" s="867">
        <f t="shared" ca="1" si="59"/>
        <v>0</v>
      </c>
      <c r="BD123" s="658"/>
      <c r="BE123" s="867">
        <f t="shared" ca="1" si="95"/>
        <v>-243567.62192880112</v>
      </c>
      <c r="BF123" s="867">
        <f t="shared" ca="1" si="96"/>
        <v>-12819.348522568482</v>
      </c>
      <c r="BG123" s="867">
        <f t="shared" ca="1" si="97"/>
        <v>-256386.97045136959</v>
      </c>
      <c r="BI123" s="867">
        <f ca="1"/>
        <v>-256386.97045136962</v>
      </c>
      <c r="BJ123" s="867">
        <f ca="1"/>
        <v>-243567.62192880112</v>
      </c>
      <c r="BK123" s="867">
        <f ca="1"/>
        <v>-12819.348522568482</v>
      </c>
      <c r="BL123" s="867">
        <f t="shared" ca="1" si="98"/>
        <v>0</v>
      </c>
      <c r="BM123" s="867">
        <f t="shared" ca="1" si="99"/>
        <v>0</v>
      </c>
      <c r="BN123" s="867">
        <f t="shared" ca="1" si="100"/>
        <v>0</v>
      </c>
      <c r="BO123" s="867">
        <f t="shared" ca="1" si="101"/>
        <v>0</v>
      </c>
      <c r="BP123" s="867">
        <f t="shared" ca="1" si="102"/>
        <v>0</v>
      </c>
      <c r="BQ123" s="867">
        <f t="shared" ca="1" si="103"/>
        <v>0</v>
      </c>
      <c r="BR123" s="867">
        <f ca="1"/>
        <v>0</v>
      </c>
      <c r="BS123" s="867">
        <f ca="1"/>
        <v>0</v>
      </c>
      <c r="BT123" s="867">
        <f t="shared" ca="1" si="64"/>
        <v>-243567.62192880112</v>
      </c>
      <c r="BU123" s="867">
        <f t="shared" ca="1" si="104"/>
        <v>-12819.348522568482</v>
      </c>
      <c r="BV123" s="829">
        <f t="shared" ca="1" si="65"/>
        <v>-1.8189894035458565E-11</v>
      </c>
      <c r="BX123" s="867">
        <f ca="1"/>
        <v>-256386.97045136962</v>
      </c>
      <c r="BY123" s="867">
        <f t="shared" ca="1" si="105"/>
        <v>-256386.97045136959</v>
      </c>
      <c r="BZ123" s="867">
        <f t="shared" ca="1" si="106"/>
        <v>0</v>
      </c>
      <c r="CA123" s="867">
        <f t="shared" ca="1" si="107"/>
        <v>0</v>
      </c>
      <c r="CB123" s="867">
        <f t="shared" ca="1" si="108"/>
        <v>0</v>
      </c>
      <c r="CC123" s="867">
        <f t="shared" ca="1" si="109"/>
        <v>0</v>
      </c>
      <c r="CD123" s="867">
        <f t="shared" ca="1" si="110"/>
        <v>-256386.97045136959</v>
      </c>
    </row>
    <row r="124" spans="1:82" ht="17" thickTop="1" thickBot="1">
      <c r="A124" s="773">
        <f t="shared" si="60"/>
        <v>1</v>
      </c>
      <c r="B124" s="779"/>
      <c r="C124" s="572"/>
      <c r="D124" s="660">
        <v>77</v>
      </c>
      <c r="E124" s="661">
        <v>47604</v>
      </c>
      <c r="F124" s="862">
        <v>7</v>
      </c>
      <c r="G124" s="863">
        <f ca="1"/>
        <v>-256386.97045136962</v>
      </c>
      <c r="H124" s="961"/>
      <c r="I124" s="865">
        <f t="shared" ca="1" si="66"/>
        <v>735414.31293269806</v>
      </c>
      <c r="J124" s="864" cm="1">
        <f t="array" aca="1" ref="J124" ca="1">IF($G124=0,0,-MIN(0,G124*c_equity.LPshare))</f>
        <v>243567.62192880112</v>
      </c>
      <c r="K124" s="865" cm="1">
        <f t="array" aca="1" ref="K124" ca="1">I124*c_rate.Pref.MO</f>
        <v>4731.6778327364646</v>
      </c>
      <c r="L124" s="865">
        <f t="shared" ca="1" si="67"/>
        <v>0</v>
      </c>
      <c r="M124" s="865">
        <f t="shared" ca="1" si="68"/>
        <v>983713.61269423575</v>
      </c>
      <c r="N124" s="865">
        <f t="shared" ca="1" si="69"/>
        <v>-243567.62192880112</v>
      </c>
      <c r="O124" s="864" cm="1">
        <f t="array" aca="1" ref="O124" ca="1">IF(N124=0,0,IF(G124&lt;0,N124/c_equity.LPshare*i_equity.GPshare,L124/c_equity.LPshare*i_equity.GPshare))</f>
        <v>-12819.348522568482</v>
      </c>
      <c r="P124" s="865">
        <f t="shared" ca="1" si="70"/>
        <v>-256386.97045136959</v>
      </c>
      <c r="Q124" s="865">
        <f t="shared" ca="1" si="71"/>
        <v>0</v>
      </c>
      <c r="R124" s="161"/>
      <c r="S124" s="867">
        <f t="shared" ca="1" si="72"/>
        <v>736545.08076380007</v>
      </c>
      <c r="T124" s="867" cm="1">
        <f t="array" aca="1" ref="T124" ca="1">IF($G124=0,0,-MIN(0,$G124*c_equity.LPshare))</f>
        <v>243567.62192880112</v>
      </c>
      <c r="U124" s="869" cm="1">
        <f t="array" aca="1" ref="U124" ca="1">IF($D124=0,0,S124*c_rate.Hurdle1.MO)</f>
        <v>5873.3139062288064</v>
      </c>
      <c r="V124" s="867">
        <f t="shared" ca="1" si="73"/>
        <v>0</v>
      </c>
      <c r="W124" s="867">
        <f t="shared" ca="1" si="74"/>
        <v>0</v>
      </c>
      <c r="X124" s="869">
        <f t="shared" ca="1" si="75"/>
        <v>985986.01659882988</v>
      </c>
      <c r="Y124" s="869">
        <f t="shared" ca="1" si="76"/>
        <v>-243567.62192880112</v>
      </c>
      <c r="Z124" s="869">
        <f t="shared" ca="1" si="77"/>
        <v>-12819.348522568482</v>
      </c>
      <c r="AA124" s="869">
        <f t="shared" ca="1" si="78"/>
        <v>-256386.97045136959</v>
      </c>
      <c r="AB124" s="867">
        <f t="shared" ca="1" si="79"/>
        <v>0</v>
      </c>
      <c r="AC124" s="161"/>
      <c r="AD124" s="869">
        <f t="shared" ca="1" si="80"/>
        <v>737658.2841211406</v>
      </c>
      <c r="AE124" s="867" cm="1">
        <f t="array" aca="1" ref="AE124" ca="1">IF($G124=0,0,-MIN(0,$G124*c_equity.LPshare))</f>
        <v>243567.62192880112</v>
      </c>
      <c r="AF124" s="869" cm="1">
        <f t="array" aca="1" ref="AF124" ca="1">IF($D124=0,0,AD124*(c_rate.Hurdle2.MO))</f>
        <v>6999.4867145053322</v>
      </c>
      <c r="AG124" s="869">
        <f t="shared" ca="1" si="81"/>
        <v>0</v>
      </c>
      <c r="AH124" s="869">
        <f t="shared" ca="1" si="82"/>
        <v>0</v>
      </c>
      <c r="AI124" s="869">
        <f t="shared" ca="1" si="83"/>
        <v>988225.39276444702</v>
      </c>
      <c r="AJ124" s="868">
        <f t="shared" ca="1" si="61"/>
        <v>-243567.62192880112</v>
      </c>
      <c r="AK124" s="867">
        <f t="shared" ca="1" si="84"/>
        <v>-243567.62192880112</v>
      </c>
      <c r="AL124" s="869">
        <f t="shared" ca="1" si="62"/>
        <v>-12819.348522568482</v>
      </c>
      <c r="AM124" s="869">
        <f t="shared" ca="1" si="85"/>
        <v>-256386.97045136959</v>
      </c>
      <c r="AN124" s="867">
        <f t="shared" ca="1" si="58"/>
        <v>0</v>
      </c>
      <c r="AO124" s="161"/>
      <c r="AP124" s="869">
        <f t="shared" ca="1" si="86"/>
        <v>738754.50283906178</v>
      </c>
      <c r="AQ124" s="867" cm="1">
        <f t="array" aca="1" ref="AQ124" ca="1">IF($G124=0,0,-MIN(0,$G124*c_equity.LPshare))</f>
        <v>243567.62192880112</v>
      </c>
      <c r="AR124" s="869" cm="1">
        <f t="array" aca="1" ref="AR124" ca="1">IF($D124=0,0,AP124*(c_rate.Hurdle3.MO))</f>
        <v>8110.6763141940519</v>
      </c>
      <c r="AS124" s="869">
        <f t="shared" ca="1" si="87"/>
        <v>0</v>
      </c>
      <c r="AT124" s="869">
        <f t="shared" ca="1" si="88"/>
        <v>0</v>
      </c>
      <c r="AU124" s="869">
        <f t="shared" ca="1" si="89"/>
        <v>990432.80108205695</v>
      </c>
      <c r="AV124" s="870">
        <f t="shared" ca="1" si="90"/>
        <v>-243567.62192880112</v>
      </c>
      <c r="AW124" s="867">
        <f t="shared" ca="1" si="91"/>
        <v>-243567.62192880112</v>
      </c>
      <c r="AX124" s="869">
        <f t="shared" ca="1" si="63"/>
        <v>-12819.348522568482</v>
      </c>
      <c r="AY124" s="869">
        <f t="shared" ca="1" si="92"/>
        <v>-256386.97045136959</v>
      </c>
      <c r="AZ124" s="867">
        <f t="shared" ca="1" si="93"/>
        <v>0</v>
      </c>
      <c r="BA124" s="161"/>
      <c r="BB124" s="867">
        <f t="shared" ca="1" si="94"/>
        <v>0</v>
      </c>
      <c r="BC124" s="867">
        <f t="shared" ca="1" si="59"/>
        <v>0</v>
      </c>
      <c r="BD124" s="658"/>
      <c r="BE124" s="867">
        <f t="shared" ca="1" si="95"/>
        <v>-243567.62192880112</v>
      </c>
      <c r="BF124" s="867">
        <f t="shared" ca="1" si="96"/>
        <v>-12819.348522568482</v>
      </c>
      <c r="BG124" s="867">
        <f t="shared" ca="1" si="97"/>
        <v>-256386.97045136959</v>
      </c>
      <c r="BI124" s="867">
        <f ca="1"/>
        <v>-256386.97045136962</v>
      </c>
      <c r="BJ124" s="867">
        <f ca="1"/>
        <v>-243567.62192880112</v>
      </c>
      <c r="BK124" s="867">
        <f ca="1"/>
        <v>-12819.348522568482</v>
      </c>
      <c r="BL124" s="867">
        <f t="shared" ca="1" si="98"/>
        <v>0</v>
      </c>
      <c r="BM124" s="867">
        <f t="shared" ca="1" si="99"/>
        <v>0</v>
      </c>
      <c r="BN124" s="867">
        <f t="shared" ca="1" si="100"/>
        <v>0</v>
      </c>
      <c r="BO124" s="867">
        <f t="shared" ca="1" si="101"/>
        <v>0</v>
      </c>
      <c r="BP124" s="867">
        <f t="shared" ca="1" si="102"/>
        <v>0</v>
      </c>
      <c r="BQ124" s="867">
        <f t="shared" ca="1" si="103"/>
        <v>0</v>
      </c>
      <c r="BR124" s="867">
        <f ca="1"/>
        <v>0</v>
      </c>
      <c r="BS124" s="867">
        <f ca="1"/>
        <v>0</v>
      </c>
      <c r="BT124" s="867">
        <f t="shared" ca="1" si="64"/>
        <v>-243567.62192880112</v>
      </c>
      <c r="BU124" s="867">
        <f t="shared" ca="1" si="104"/>
        <v>-12819.348522568482</v>
      </c>
      <c r="BV124" s="829">
        <f t="shared" ca="1" si="65"/>
        <v>-1.8189894035458565E-11</v>
      </c>
      <c r="BX124" s="867">
        <f ca="1"/>
        <v>-256386.97045136962</v>
      </c>
      <c r="BY124" s="867">
        <f t="shared" ca="1" si="105"/>
        <v>-256386.97045136959</v>
      </c>
      <c r="BZ124" s="867">
        <f t="shared" ca="1" si="106"/>
        <v>0</v>
      </c>
      <c r="CA124" s="867">
        <f t="shared" ca="1" si="107"/>
        <v>0</v>
      </c>
      <c r="CB124" s="867">
        <f t="shared" ca="1" si="108"/>
        <v>0</v>
      </c>
      <c r="CC124" s="867">
        <f t="shared" ca="1" si="109"/>
        <v>0</v>
      </c>
      <c r="CD124" s="867">
        <f t="shared" ca="1" si="110"/>
        <v>-256386.97045136959</v>
      </c>
    </row>
    <row r="125" spans="1:82" ht="17" thickTop="1" thickBot="1">
      <c r="A125" s="773">
        <f t="shared" si="60"/>
        <v>1</v>
      </c>
      <c r="B125" s="779"/>
      <c r="C125" s="572"/>
      <c r="D125" s="660">
        <v>78</v>
      </c>
      <c r="E125" s="661">
        <v>47635</v>
      </c>
      <c r="F125" s="862">
        <v>7</v>
      </c>
      <c r="G125" s="863">
        <f ca="1"/>
        <v>17037388.437862616</v>
      </c>
      <c r="H125" s="961"/>
      <c r="I125" s="865">
        <f t="shared" ca="1" si="66"/>
        <v>983713.61269423575</v>
      </c>
      <c r="J125" s="864" cm="1">
        <f t="array" aca="1" ref="J125" ca="1">IF($G125=0,0,-MIN(0,G125*c_equity.LPshare))</f>
        <v>0</v>
      </c>
      <c r="K125" s="865" cm="1">
        <f t="array" aca="1" ref="K125" ca="1">I125*c_rate.Pref.MO</f>
        <v>6329.2430036949654</v>
      </c>
      <c r="L125" s="865">
        <f t="shared" ca="1" si="67"/>
        <v>990042.85569793067</v>
      </c>
      <c r="M125" s="865">
        <f t="shared" ca="1" si="68"/>
        <v>0</v>
      </c>
      <c r="N125" s="865">
        <f t="shared" ca="1" si="69"/>
        <v>990042.85569793067</v>
      </c>
      <c r="O125" s="864" cm="1">
        <f t="array" aca="1" ref="O125" ca="1">IF(N125=0,0,IF(G125&lt;0,N125/c_equity.LPshare*i_equity.GPshare,L125/c_equity.LPshare*i_equity.GPshare))</f>
        <v>52107.518720943721</v>
      </c>
      <c r="P125" s="865">
        <f t="shared" ca="1" si="70"/>
        <v>1042150.3744188744</v>
      </c>
      <c r="Q125" s="865">
        <f t="shared" ca="1" si="71"/>
        <v>15995238.1</v>
      </c>
      <c r="R125" s="161"/>
      <c r="S125" s="867">
        <f t="shared" ca="1" si="72"/>
        <v>985986.01659882988</v>
      </c>
      <c r="T125" s="867" cm="1">
        <f t="array" aca="1" ref="T125" ca="1">IF($G125=0,0,-MIN(0,$G125*c_equity.LPshare))</f>
        <v>0</v>
      </c>
      <c r="U125" s="869" cm="1">
        <f t="array" aca="1" ref="U125" ca="1">IF($D125=0,0,S125*c_rate.Hurdle1.MO)</f>
        <v>7862.3909572945076</v>
      </c>
      <c r="V125" s="867">
        <f t="shared" ca="1" si="73"/>
        <v>990042.85569793067</v>
      </c>
      <c r="W125" s="867">
        <f t="shared" ca="1" si="74"/>
        <v>3805.5518581937067</v>
      </c>
      <c r="X125" s="869">
        <f t="shared" ca="1" si="75"/>
        <v>0</v>
      </c>
      <c r="Y125" s="869">
        <f t="shared" ca="1" si="76"/>
        <v>993848.40755612438</v>
      </c>
      <c r="Z125" s="869">
        <f t="shared" ca="1" si="77"/>
        <v>52752.904708590606</v>
      </c>
      <c r="AA125" s="869">
        <f t="shared" ca="1" si="78"/>
        <v>1046601.312264715</v>
      </c>
      <c r="AB125" s="867">
        <f t="shared" ca="1" si="79"/>
        <v>15990787.125597902</v>
      </c>
      <c r="AC125" s="161"/>
      <c r="AD125" s="869">
        <f t="shared" ca="1" si="80"/>
        <v>988225.39276444702</v>
      </c>
      <c r="AE125" s="867" cm="1">
        <f t="array" aca="1" ref="AE125" ca="1">IF($G125=0,0,-MIN(0,$G125*c_equity.LPshare))</f>
        <v>0</v>
      </c>
      <c r="AF125" s="869" cm="1">
        <f t="array" aca="1" ref="AF125" ca="1">IF($D125=0,0,AD125*(c_rate.Hurdle2.MO))</f>
        <v>9377.0661246388408</v>
      </c>
      <c r="AG125" s="869">
        <f t="shared" ca="1" si="81"/>
        <v>993848.40755612438</v>
      </c>
      <c r="AH125" s="869">
        <f t="shared" ca="1" si="82"/>
        <v>3754.0513329615351</v>
      </c>
      <c r="AI125" s="869">
        <f t="shared" ca="1" si="83"/>
        <v>0</v>
      </c>
      <c r="AJ125" s="868">
        <f t="shared" ca="1" si="61"/>
        <v>997602.45888908592</v>
      </c>
      <c r="AK125" s="867">
        <f t="shared" ca="1" si="84"/>
        <v>997602.45888908592</v>
      </c>
      <c r="AL125" s="869">
        <f t="shared" ca="1" si="62"/>
        <v>53938.394603210036</v>
      </c>
      <c r="AM125" s="869">
        <f t="shared" ca="1" si="85"/>
        <v>1051540.8534922958</v>
      </c>
      <c r="AN125" s="867">
        <f t="shared" ca="1" si="58"/>
        <v>15985847.584370321</v>
      </c>
      <c r="AO125" s="161"/>
      <c r="AP125" s="869">
        <f t="shared" ca="1" si="86"/>
        <v>990432.80108205695</v>
      </c>
      <c r="AQ125" s="867" cm="1">
        <f t="array" aca="1" ref="AQ125" ca="1">IF($G125=0,0,-MIN(0,$G125*c_equity.LPshare))</f>
        <v>0</v>
      </c>
      <c r="AR125" s="869" cm="1">
        <f t="array" aca="1" ref="AR125" ca="1">IF($D125=0,0,AP125*(c_rate.Hurdle3.MO))</f>
        <v>10873.815089675496</v>
      </c>
      <c r="AS125" s="869">
        <f t="shared" ca="1" si="87"/>
        <v>997602.45888908592</v>
      </c>
      <c r="AT125" s="869">
        <f t="shared" ca="1" si="88"/>
        <v>3704.1572826465126</v>
      </c>
      <c r="AU125" s="869">
        <f t="shared" ca="1" si="89"/>
        <v>0</v>
      </c>
      <c r="AV125" s="870">
        <f t="shared" ca="1" si="90"/>
        <v>1001306.6161717324</v>
      </c>
      <c r="AW125" s="867">
        <f t="shared" ca="1" si="91"/>
        <v>1001306.6161717324</v>
      </c>
      <c r="AX125" s="869">
        <f t="shared" ca="1" si="63"/>
        <v>55804.398647851514</v>
      </c>
      <c r="AY125" s="869">
        <f t="shared" ca="1" si="92"/>
        <v>1057111.0148195839</v>
      </c>
      <c r="AZ125" s="867">
        <f t="shared" ca="1" si="93"/>
        <v>15980277.423043031</v>
      </c>
      <c r="BA125" s="161"/>
      <c r="BB125" s="867">
        <f t="shared" ca="1" si="94"/>
        <v>7990138.7115215156</v>
      </c>
      <c r="BC125" s="867">
        <f t="shared" ca="1" si="59"/>
        <v>7990138.7115215156</v>
      </c>
      <c r="BD125" s="658"/>
      <c r="BE125" s="867">
        <f t="shared" ca="1" si="95"/>
        <v>8991445.3276932482</v>
      </c>
      <c r="BF125" s="867">
        <f t="shared" ca="1" si="96"/>
        <v>8045943.1101693669</v>
      </c>
      <c r="BG125" s="867">
        <f t="shared" ca="1" si="97"/>
        <v>17037388.437862616</v>
      </c>
      <c r="BI125" s="867">
        <f ca="1"/>
        <v>17037388.437862616</v>
      </c>
      <c r="BJ125" s="867">
        <f ca="1"/>
        <v>990042.85569793067</v>
      </c>
      <c r="BK125" s="867">
        <f ca="1"/>
        <v>52107.518720943721</v>
      </c>
      <c r="BL125" s="867">
        <f t="shared" ca="1" si="98"/>
        <v>3805.5518581937067</v>
      </c>
      <c r="BM125" s="867">
        <f t="shared" ca="1" si="99"/>
        <v>645.38598764688504</v>
      </c>
      <c r="BN125" s="867">
        <f t="shared" ca="1" si="100"/>
        <v>3754.0513329615351</v>
      </c>
      <c r="BO125" s="867">
        <f t="shared" ca="1" si="101"/>
        <v>1185.4898946194298</v>
      </c>
      <c r="BP125" s="867">
        <f t="shared" ca="1" si="102"/>
        <v>3704.1572826465126</v>
      </c>
      <c r="BQ125" s="867">
        <f t="shared" ca="1" si="103"/>
        <v>1866.0040446414787</v>
      </c>
      <c r="BR125" s="867">
        <f ca="1"/>
        <v>7990138.7115215156</v>
      </c>
      <c r="BS125" s="867">
        <f ca="1"/>
        <v>7990138.7115215156</v>
      </c>
      <c r="BT125" s="867">
        <f t="shared" ca="1" si="64"/>
        <v>8991445.3276932482</v>
      </c>
      <c r="BU125" s="867">
        <f t="shared" ca="1" si="104"/>
        <v>8045943.1101693669</v>
      </c>
      <c r="BV125" s="829">
        <f t="shared" ca="1" si="65"/>
        <v>0</v>
      </c>
      <c r="BX125" s="867">
        <f ca="1"/>
        <v>17037388.437862616</v>
      </c>
      <c r="BY125" s="867">
        <f t="shared" ca="1" si="105"/>
        <v>1042150.3744188744</v>
      </c>
      <c r="BZ125" s="867">
        <f t="shared" ca="1" si="106"/>
        <v>4450.9378458405918</v>
      </c>
      <c r="CA125" s="867">
        <f t="shared" ca="1" si="107"/>
        <v>4939.5412275809649</v>
      </c>
      <c r="CB125" s="867">
        <f t="shared" ca="1" si="108"/>
        <v>5570.1613272879913</v>
      </c>
      <c r="CC125" s="867">
        <f t="shared" ca="1" si="109"/>
        <v>15980277.423043031</v>
      </c>
      <c r="CD125" s="867">
        <f t="shared" ca="1" si="110"/>
        <v>17037388.437862616</v>
      </c>
    </row>
    <row r="126" spans="1:82" ht="17" thickTop="1" thickBot="1">
      <c r="A126" s="773">
        <f t="shared" si="60"/>
        <v>1</v>
      </c>
      <c r="B126" s="779"/>
      <c r="C126" s="572"/>
      <c r="D126" s="660">
        <v>79</v>
      </c>
      <c r="E126" s="661">
        <v>47665</v>
      </c>
      <c r="F126" s="862">
        <v>7</v>
      </c>
      <c r="G126" s="863">
        <f ca="1"/>
        <v>-33606.666666666664</v>
      </c>
      <c r="H126" s="961"/>
      <c r="I126" s="865">
        <f t="shared" ca="1" si="66"/>
        <v>0</v>
      </c>
      <c r="J126" s="864" cm="1">
        <f t="array" aca="1" ref="J126" ca="1">IF($G126=0,0,-MIN(0,G126*c_equity.LPshare))</f>
        <v>31926.333333333328</v>
      </c>
      <c r="K126" s="865" cm="1">
        <f t="array" aca="1" ref="K126" ca="1">I126*c_rate.Pref.MO</f>
        <v>0</v>
      </c>
      <c r="L126" s="865">
        <f t="shared" ca="1" si="67"/>
        <v>0</v>
      </c>
      <c r="M126" s="865">
        <f t="shared" ca="1" si="68"/>
        <v>31926.333333333328</v>
      </c>
      <c r="N126" s="865">
        <f t="shared" ca="1" si="69"/>
        <v>-31926.333333333328</v>
      </c>
      <c r="O126" s="864" cm="1">
        <f t="array" aca="1" ref="O126" ca="1">IF(N126=0,0,IF(G126&lt;0,N126/c_equity.LPshare*i_equity.GPshare,L126/c_equity.LPshare*i_equity.GPshare))</f>
        <v>-1680.3333333333333</v>
      </c>
      <c r="P126" s="865">
        <f t="shared" ca="1" si="70"/>
        <v>-33606.666666666664</v>
      </c>
      <c r="Q126" s="865">
        <f t="shared" ca="1" si="71"/>
        <v>0</v>
      </c>
      <c r="R126" s="161"/>
      <c r="S126" s="867">
        <f t="shared" ca="1" si="72"/>
        <v>0</v>
      </c>
      <c r="T126" s="867" cm="1">
        <f t="array" aca="1" ref="T126" ca="1">IF($G126=0,0,-MIN(0,$G126*c_equity.LPshare))</f>
        <v>31926.333333333328</v>
      </c>
      <c r="U126" s="869" cm="1">
        <f t="array" aca="1" ref="U126" ca="1">IF($D126=0,0,S126*c_rate.Hurdle1.MO)</f>
        <v>0</v>
      </c>
      <c r="V126" s="867">
        <f t="shared" ca="1" si="73"/>
        <v>0</v>
      </c>
      <c r="W126" s="867">
        <f t="shared" ca="1" si="74"/>
        <v>0</v>
      </c>
      <c r="X126" s="869">
        <f t="shared" ca="1" si="75"/>
        <v>31926.333333333328</v>
      </c>
      <c r="Y126" s="869">
        <f t="shared" ca="1" si="76"/>
        <v>-31926.333333333328</v>
      </c>
      <c r="Z126" s="869">
        <f t="shared" ca="1" si="77"/>
        <v>-1680.3333333333333</v>
      </c>
      <c r="AA126" s="869">
        <f t="shared" ca="1" si="78"/>
        <v>-33606.666666666664</v>
      </c>
      <c r="AB126" s="867">
        <f t="shared" ca="1" si="79"/>
        <v>0</v>
      </c>
      <c r="AC126" s="161"/>
      <c r="AD126" s="869">
        <f t="shared" ca="1" si="80"/>
        <v>0</v>
      </c>
      <c r="AE126" s="867" cm="1">
        <f t="array" aca="1" ref="AE126" ca="1">IF($G126=0,0,-MIN(0,$G126*c_equity.LPshare))</f>
        <v>31926.333333333328</v>
      </c>
      <c r="AF126" s="869" cm="1">
        <f t="array" aca="1" ref="AF126" ca="1">IF($D126=0,0,AD126*(c_rate.Hurdle2.MO))</f>
        <v>0</v>
      </c>
      <c r="AG126" s="869">
        <f t="shared" ca="1" si="81"/>
        <v>0</v>
      </c>
      <c r="AH126" s="869">
        <f t="shared" ca="1" si="82"/>
        <v>0</v>
      </c>
      <c r="AI126" s="869">
        <f t="shared" ca="1" si="83"/>
        <v>31926.333333333328</v>
      </c>
      <c r="AJ126" s="868">
        <f t="shared" ca="1" si="61"/>
        <v>-31926.333333333328</v>
      </c>
      <c r="AK126" s="867">
        <f t="shared" ca="1" si="84"/>
        <v>-31926.333333333328</v>
      </c>
      <c r="AL126" s="869">
        <f t="shared" ca="1" si="62"/>
        <v>-1680.3333333333333</v>
      </c>
      <c r="AM126" s="869">
        <f t="shared" ca="1" si="85"/>
        <v>-33606.666666666664</v>
      </c>
      <c r="AN126" s="867">
        <f t="shared" ca="1" si="58"/>
        <v>0</v>
      </c>
      <c r="AO126" s="161"/>
      <c r="AP126" s="869">
        <f t="shared" ca="1" si="86"/>
        <v>0</v>
      </c>
      <c r="AQ126" s="867" cm="1">
        <f t="array" aca="1" ref="AQ126" ca="1">IF($G126=0,0,-MIN(0,$G126*c_equity.LPshare))</f>
        <v>31926.333333333328</v>
      </c>
      <c r="AR126" s="869" cm="1">
        <f t="array" aca="1" ref="AR126" ca="1">IF($D126=0,0,AP126*(c_rate.Hurdle3.MO))</f>
        <v>0</v>
      </c>
      <c r="AS126" s="869">
        <f t="shared" ca="1" si="87"/>
        <v>0</v>
      </c>
      <c r="AT126" s="869">
        <f t="shared" ca="1" si="88"/>
        <v>0</v>
      </c>
      <c r="AU126" s="869">
        <f t="shared" ca="1" si="89"/>
        <v>31926.333333333328</v>
      </c>
      <c r="AV126" s="870">
        <f t="shared" ca="1" si="90"/>
        <v>-31926.333333333328</v>
      </c>
      <c r="AW126" s="867">
        <f t="shared" ca="1" si="91"/>
        <v>-31926.333333333328</v>
      </c>
      <c r="AX126" s="869">
        <f t="shared" ca="1" si="63"/>
        <v>-1680.3333333333333</v>
      </c>
      <c r="AY126" s="869">
        <f t="shared" ca="1" si="92"/>
        <v>-33606.666666666664</v>
      </c>
      <c r="AZ126" s="867">
        <f t="shared" ca="1" si="93"/>
        <v>0</v>
      </c>
      <c r="BA126" s="161"/>
      <c r="BB126" s="867">
        <f t="shared" ca="1" si="94"/>
        <v>0</v>
      </c>
      <c r="BC126" s="867">
        <f t="shared" ca="1" si="59"/>
        <v>0</v>
      </c>
      <c r="BD126" s="658"/>
      <c r="BE126" s="867">
        <f t="shared" ca="1" si="95"/>
        <v>-31926.333333333328</v>
      </c>
      <c r="BF126" s="867">
        <f t="shared" ca="1" si="96"/>
        <v>-1680.3333333333333</v>
      </c>
      <c r="BG126" s="867">
        <f t="shared" ca="1" si="97"/>
        <v>-33606.666666666664</v>
      </c>
      <c r="BI126" s="867">
        <f ca="1"/>
        <v>-33606.666666666664</v>
      </c>
      <c r="BJ126" s="867">
        <f ca="1"/>
        <v>-31926.333333333328</v>
      </c>
      <c r="BK126" s="867">
        <f ca="1"/>
        <v>-1680.3333333333333</v>
      </c>
      <c r="BL126" s="867">
        <f t="shared" ca="1" si="98"/>
        <v>0</v>
      </c>
      <c r="BM126" s="867">
        <f t="shared" ca="1" si="99"/>
        <v>0</v>
      </c>
      <c r="BN126" s="867">
        <f t="shared" ca="1" si="100"/>
        <v>0</v>
      </c>
      <c r="BO126" s="867">
        <f t="shared" ca="1" si="101"/>
        <v>0</v>
      </c>
      <c r="BP126" s="867">
        <f t="shared" ca="1" si="102"/>
        <v>0</v>
      </c>
      <c r="BQ126" s="867">
        <f t="shared" ca="1" si="103"/>
        <v>0</v>
      </c>
      <c r="BR126" s="867">
        <f ca="1"/>
        <v>0</v>
      </c>
      <c r="BS126" s="867">
        <f ca="1"/>
        <v>0</v>
      </c>
      <c r="BT126" s="867">
        <f t="shared" ca="1" si="64"/>
        <v>-31926.333333333328</v>
      </c>
      <c r="BU126" s="867">
        <f t="shared" ca="1" si="104"/>
        <v>-1680.3333333333333</v>
      </c>
      <c r="BV126" s="829">
        <f t="shared" ca="1" si="65"/>
        <v>-2.5011104298755527E-12</v>
      </c>
      <c r="BX126" s="867">
        <f ca="1"/>
        <v>-33606.666666666664</v>
      </c>
      <c r="BY126" s="867">
        <f t="shared" ca="1" si="105"/>
        <v>-33606.666666666664</v>
      </c>
      <c r="BZ126" s="867">
        <f t="shared" ca="1" si="106"/>
        <v>0</v>
      </c>
      <c r="CA126" s="867">
        <f t="shared" ca="1" si="107"/>
        <v>0</v>
      </c>
      <c r="CB126" s="867">
        <f t="shared" ca="1" si="108"/>
        <v>0</v>
      </c>
      <c r="CC126" s="867">
        <f t="shared" ca="1" si="109"/>
        <v>0</v>
      </c>
      <c r="CD126" s="867">
        <f t="shared" ca="1" si="110"/>
        <v>-33606.666666666664</v>
      </c>
    </row>
    <row r="127" spans="1:82" ht="17" thickTop="1" thickBot="1">
      <c r="A127" s="773">
        <f t="shared" si="60"/>
        <v>1</v>
      </c>
      <c r="B127" s="779"/>
      <c r="C127" s="572"/>
      <c r="D127" s="660">
        <v>80</v>
      </c>
      <c r="E127" s="661">
        <v>47696</v>
      </c>
      <c r="F127" s="862">
        <v>7</v>
      </c>
      <c r="G127" s="863">
        <f ca="1"/>
        <v>-33606.666666666664</v>
      </c>
      <c r="H127" s="961"/>
      <c r="I127" s="865">
        <f t="shared" ca="1" si="66"/>
        <v>31926.333333333328</v>
      </c>
      <c r="J127" s="864" cm="1">
        <f t="array" aca="1" ref="J127" ca="1">IF($G127=0,0,-MIN(0,G127*c_equity.LPshare))</f>
        <v>31926.333333333328</v>
      </c>
      <c r="K127" s="865" cm="1">
        <f t="array" aca="1" ref="K127" ca="1">I127*c_rate.Pref.MO</f>
        <v>205.41498996867281</v>
      </c>
      <c r="L127" s="865">
        <f t="shared" ca="1" si="67"/>
        <v>0</v>
      </c>
      <c r="M127" s="865">
        <f t="shared" ca="1" si="68"/>
        <v>64058.081656635331</v>
      </c>
      <c r="N127" s="865">
        <f t="shared" ca="1" si="69"/>
        <v>-31926.333333333328</v>
      </c>
      <c r="O127" s="864" cm="1">
        <f t="array" aca="1" ref="O127" ca="1">IF(N127=0,0,IF(G127&lt;0,N127/c_equity.LPshare*i_equity.GPshare,L127/c_equity.LPshare*i_equity.GPshare))</f>
        <v>-1680.3333333333333</v>
      </c>
      <c r="P127" s="865">
        <f t="shared" ca="1" si="70"/>
        <v>-33606.666666666664</v>
      </c>
      <c r="Q127" s="865">
        <f t="shared" ca="1" si="71"/>
        <v>0</v>
      </c>
      <c r="R127" s="161"/>
      <c r="S127" s="867">
        <f t="shared" ca="1" si="72"/>
        <v>31926.333333333328</v>
      </c>
      <c r="T127" s="867" cm="1">
        <f t="array" aca="1" ref="T127" ca="1">IF($G127=0,0,-MIN(0,$G127*c_equity.LPshare))</f>
        <v>31926.333333333328</v>
      </c>
      <c r="U127" s="869" cm="1">
        <f t="array" aca="1" ref="U127" ca="1">IF($D127=0,0,S127*c_rate.Hurdle1.MO)</f>
        <v>254.58506537999116</v>
      </c>
      <c r="V127" s="867">
        <f t="shared" ca="1" si="73"/>
        <v>0</v>
      </c>
      <c r="W127" s="867">
        <f t="shared" ca="1" si="74"/>
        <v>0</v>
      </c>
      <c r="X127" s="869">
        <f t="shared" ca="1" si="75"/>
        <v>64107.25173204665</v>
      </c>
      <c r="Y127" s="869">
        <f t="shared" ca="1" si="76"/>
        <v>-31926.333333333328</v>
      </c>
      <c r="Z127" s="869">
        <f t="shared" ca="1" si="77"/>
        <v>-1680.3333333333333</v>
      </c>
      <c r="AA127" s="869">
        <f t="shared" ca="1" si="78"/>
        <v>-33606.666666666664</v>
      </c>
      <c r="AB127" s="867">
        <f t="shared" ca="1" si="79"/>
        <v>0</v>
      </c>
      <c r="AC127" s="161"/>
      <c r="AD127" s="869">
        <f t="shared" ca="1" si="80"/>
        <v>31926.333333333328</v>
      </c>
      <c r="AE127" s="867" cm="1">
        <f t="array" aca="1" ref="AE127" ca="1">IF($G127=0,0,-MIN(0,$G127*c_equity.LPshare))</f>
        <v>31926.333333333328</v>
      </c>
      <c r="AF127" s="869" cm="1">
        <f t="array" aca="1" ref="AF127" ca="1">IF($D127=0,0,AD127*(c_rate.Hurdle2.MO))</f>
        <v>302.94236616047647</v>
      </c>
      <c r="AG127" s="869">
        <f t="shared" ca="1" si="81"/>
        <v>0</v>
      </c>
      <c r="AH127" s="869">
        <f t="shared" ca="1" si="82"/>
        <v>0</v>
      </c>
      <c r="AI127" s="869">
        <f t="shared" ca="1" si="83"/>
        <v>64155.609032827138</v>
      </c>
      <c r="AJ127" s="868">
        <f t="shared" ca="1" si="61"/>
        <v>-31926.333333333328</v>
      </c>
      <c r="AK127" s="867">
        <f t="shared" ca="1" si="84"/>
        <v>-31926.333333333328</v>
      </c>
      <c r="AL127" s="869">
        <f t="shared" ca="1" si="62"/>
        <v>-1680.3333333333333</v>
      </c>
      <c r="AM127" s="869">
        <f t="shared" ca="1" si="85"/>
        <v>-33606.666666666664</v>
      </c>
      <c r="AN127" s="867">
        <f t="shared" ca="1" si="58"/>
        <v>0</v>
      </c>
      <c r="AO127" s="161"/>
      <c r="AP127" s="869">
        <f t="shared" ca="1" si="86"/>
        <v>31926.333333333328</v>
      </c>
      <c r="AQ127" s="867" cm="1">
        <f t="array" aca="1" ref="AQ127" ca="1">IF($G127=0,0,-MIN(0,$G127*c_equity.LPshare))</f>
        <v>31926.333333333328</v>
      </c>
      <c r="AR127" s="869" cm="1">
        <f t="array" aca="1" ref="AR127" ca="1">IF($D127=0,0,AP127*(c_rate.Hurdle3.MO))</f>
        <v>350.51448697855426</v>
      </c>
      <c r="AS127" s="869">
        <f t="shared" ca="1" si="87"/>
        <v>0</v>
      </c>
      <c r="AT127" s="869">
        <f t="shared" ca="1" si="88"/>
        <v>0</v>
      </c>
      <c r="AU127" s="869">
        <f t="shared" ca="1" si="89"/>
        <v>64203.181153645215</v>
      </c>
      <c r="AV127" s="870">
        <f t="shared" ca="1" si="90"/>
        <v>-31926.333333333328</v>
      </c>
      <c r="AW127" s="867">
        <f t="shared" ca="1" si="91"/>
        <v>-31926.333333333328</v>
      </c>
      <c r="AX127" s="869">
        <f t="shared" ca="1" si="63"/>
        <v>-1680.3333333333333</v>
      </c>
      <c r="AY127" s="869">
        <f t="shared" ca="1" si="92"/>
        <v>-33606.666666666664</v>
      </c>
      <c r="AZ127" s="867">
        <f t="shared" ca="1" si="93"/>
        <v>0</v>
      </c>
      <c r="BA127" s="161"/>
      <c r="BB127" s="867">
        <f t="shared" ca="1" si="94"/>
        <v>0</v>
      </c>
      <c r="BC127" s="867">
        <f t="shared" ca="1" si="59"/>
        <v>0</v>
      </c>
      <c r="BD127" s="658"/>
      <c r="BE127" s="867">
        <f t="shared" ca="1" si="95"/>
        <v>-31926.333333333328</v>
      </c>
      <c r="BF127" s="867">
        <f t="shared" ca="1" si="96"/>
        <v>-1680.3333333333333</v>
      </c>
      <c r="BG127" s="867">
        <f t="shared" ca="1" si="97"/>
        <v>-33606.666666666664</v>
      </c>
      <c r="BI127" s="867">
        <f ca="1"/>
        <v>-33606.666666666664</v>
      </c>
      <c r="BJ127" s="867">
        <f ca="1"/>
        <v>-31926.333333333328</v>
      </c>
      <c r="BK127" s="867">
        <f ca="1"/>
        <v>-1680.3333333333333</v>
      </c>
      <c r="BL127" s="867">
        <f t="shared" ca="1" si="98"/>
        <v>0</v>
      </c>
      <c r="BM127" s="867">
        <f t="shared" ca="1" si="99"/>
        <v>0</v>
      </c>
      <c r="BN127" s="867">
        <f t="shared" ca="1" si="100"/>
        <v>0</v>
      </c>
      <c r="BO127" s="867">
        <f t="shared" ca="1" si="101"/>
        <v>0</v>
      </c>
      <c r="BP127" s="867">
        <f t="shared" ca="1" si="102"/>
        <v>0</v>
      </c>
      <c r="BQ127" s="867">
        <f t="shared" ca="1" si="103"/>
        <v>0</v>
      </c>
      <c r="BR127" s="867">
        <f ca="1"/>
        <v>0</v>
      </c>
      <c r="BS127" s="867">
        <f ca="1"/>
        <v>0</v>
      </c>
      <c r="BT127" s="867">
        <f t="shared" ca="1" si="64"/>
        <v>-31926.333333333328</v>
      </c>
      <c r="BU127" s="867">
        <f t="shared" ca="1" si="104"/>
        <v>-1680.3333333333333</v>
      </c>
      <c r="BV127" s="829">
        <f t="shared" ca="1" si="65"/>
        <v>-2.5011104298755527E-12</v>
      </c>
      <c r="BX127" s="867">
        <f ca="1"/>
        <v>-33606.666666666664</v>
      </c>
      <c r="BY127" s="867">
        <f t="shared" ca="1" si="105"/>
        <v>-33606.666666666664</v>
      </c>
      <c r="BZ127" s="867">
        <f t="shared" ca="1" si="106"/>
        <v>0</v>
      </c>
      <c r="CA127" s="867">
        <f t="shared" ca="1" si="107"/>
        <v>0</v>
      </c>
      <c r="CB127" s="867">
        <f t="shared" ca="1" si="108"/>
        <v>0</v>
      </c>
      <c r="CC127" s="867">
        <f t="shared" ca="1" si="109"/>
        <v>0</v>
      </c>
      <c r="CD127" s="867">
        <f t="shared" ca="1" si="110"/>
        <v>-33606.666666666664</v>
      </c>
    </row>
    <row r="128" spans="1:82" ht="17" thickTop="1" thickBot="1">
      <c r="A128" s="773">
        <f t="shared" si="60"/>
        <v>1</v>
      </c>
      <c r="B128" s="779"/>
      <c r="C128" s="572"/>
      <c r="D128" s="660">
        <v>81</v>
      </c>
      <c r="E128" s="661">
        <v>47727</v>
      </c>
      <c r="F128" s="862">
        <v>7</v>
      </c>
      <c r="G128" s="863">
        <f ca="1"/>
        <v>-33606.666666666664</v>
      </c>
      <c r="H128" s="961"/>
      <c r="I128" s="865">
        <f t="shared" ca="1" si="66"/>
        <v>64058.081656635331</v>
      </c>
      <c r="J128" s="864" cm="1">
        <f t="array" aca="1" ref="J128" ca="1">IF($G128=0,0,-MIN(0,G128*c_equity.LPshare))</f>
        <v>31926.333333333328</v>
      </c>
      <c r="K128" s="865" cm="1">
        <f t="array" aca="1" ref="K128" ca="1">I128*c_rate.Pref.MO</f>
        <v>412.15162616785017</v>
      </c>
      <c r="L128" s="865">
        <f t="shared" ca="1" si="67"/>
        <v>0</v>
      </c>
      <c r="M128" s="865">
        <f t="shared" ca="1" si="68"/>
        <v>96396.566616136508</v>
      </c>
      <c r="N128" s="865">
        <f t="shared" ca="1" si="69"/>
        <v>-31926.333333333328</v>
      </c>
      <c r="O128" s="864" cm="1">
        <f t="array" aca="1" ref="O128" ca="1">IF(N128=0,0,IF(G128&lt;0,N128/c_equity.LPshare*i_equity.GPshare,L128/c_equity.LPshare*i_equity.GPshare))</f>
        <v>-1680.3333333333333</v>
      </c>
      <c r="P128" s="865">
        <f t="shared" ca="1" si="70"/>
        <v>-33606.666666666664</v>
      </c>
      <c r="Q128" s="865">
        <f t="shared" ca="1" si="71"/>
        <v>0</v>
      </c>
      <c r="R128" s="161"/>
      <c r="S128" s="867">
        <f t="shared" ca="1" si="72"/>
        <v>64107.25173204665</v>
      </c>
      <c r="T128" s="867" cm="1">
        <f t="array" aca="1" ref="T128" ca="1">IF($G128=0,0,-MIN(0,$G128*c_equity.LPshare))</f>
        <v>31926.333333333328</v>
      </c>
      <c r="U128" s="869" cm="1">
        <f t="array" aca="1" ref="U128" ca="1">IF($D128=0,0,S128*c_rate.Hurdle1.MO)</f>
        <v>511.20022782242404</v>
      </c>
      <c r="V128" s="867">
        <f t="shared" ca="1" si="73"/>
        <v>0</v>
      </c>
      <c r="W128" s="867">
        <f t="shared" ca="1" si="74"/>
        <v>0</v>
      </c>
      <c r="X128" s="869">
        <f t="shared" ca="1" si="75"/>
        <v>96544.785293202396</v>
      </c>
      <c r="Y128" s="869">
        <f t="shared" ca="1" si="76"/>
        <v>-31926.333333333328</v>
      </c>
      <c r="Z128" s="869">
        <f t="shared" ca="1" si="77"/>
        <v>-1680.3333333333333</v>
      </c>
      <c r="AA128" s="869">
        <f t="shared" ca="1" si="78"/>
        <v>-33606.666666666664</v>
      </c>
      <c r="AB128" s="867">
        <f t="shared" ca="1" si="79"/>
        <v>0</v>
      </c>
      <c r="AC128" s="161"/>
      <c r="AD128" s="869">
        <f t="shared" ca="1" si="80"/>
        <v>64155.609032827138</v>
      </c>
      <c r="AE128" s="867" cm="1">
        <f t="array" aca="1" ref="AE128" ca="1">IF($G128=0,0,-MIN(0,$G128*c_equity.LPshare))</f>
        <v>31926.333333333328</v>
      </c>
      <c r="AF128" s="869" cm="1">
        <f t="array" aca="1" ref="AF128" ca="1">IF($D128=0,0,AD128*(c_rate.Hurdle2.MO))</f>
        <v>608.75928970456243</v>
      </c>
      <c r="AG128" s="869">
        <f t="shared" ca="1" si="81"/>
        <v>0</v>
      </c>
      <c r="AH128" s="869">
        <f t="shared" ca="1" si="82"/>
        <v>0</v>
      </c>
      <c r="AI128" s="869">
        <f t="shared" ca="1" si="83"/>
        <v>96690.701655865036</v>
      </c>
      <c r="AJ128" s="868">
        <f t="shared" ca="1" si="61"/>
        <v>-31926.333333333328</v>
      </c>
      <c r="AK128" s="867">
        <f t="shared" ca="1" si="84"/>
        <v>-31926.333333333328</v>
      </c>
      <c r="AL128" s="869">
        <f t="shared" ca="1" si="62"/>
        <v>-1680.3333333333333</v>
      </c>
      <c r="AM128" s="869">
        <f t="shared" ca="1" si="85"/>
        <v>-33606.666666666664</v>
      </c>
      <c r="AN128" s="867">
        <f t="shared" ca="1" si="58"/>
        <v>0</v>
      </c>
      <c r="AO128" s="161"/>
      <c r="AP128" s="869">
        <f t="shared" ca="1" si="86"/>
        <v>64203.181153645215</v>
      </c>
      <c r="AQ128" s="867" cm="1">
        <f t="array" aca="1" ref="AQ128" ca="1">IF($G128=0,0,-MIN(0,$G128*c_equity.LPshare))</f>
        <v>31926.333333333328</v>
      </c>
      <c r="AR128" s="869" cm="1">
        <f t="array" aca="1" ref="AR128" ca="1">IF($D128=0,0,AP128*(c_rate.Hurdle3.MO))</f>
        <v>704.87722061603722</v>
      </c>
      <c r="AS128" s="869">
        <f t="shared" ca="1" si="87"/>
        <v>0</v>
      </c>
      <c r="AT128" s="869">
        <f t="shared" ca="1" si="88"/>
        <v>0</v>
      </c>
      <c r="AU128" s="869">
        <f t="shared" ca="1" si="89"/>
        <v>96834.391707594579</v>
      </c>
      <c r="AV128" s="870">
        <f t="shared" ca="1" si="90"/>
        <v>-31926.333333333328</v>
      </c>
      <c r="AW128" s="867">
        <f t="shared" ca="1" si="91"/>
        <v>-31926.333333333328</v>
      </c>
      <c r="AX128" s="869">
        <f t="shared" ca="1" si="63"/>
        <v>-1680.3333333333333</v>
      </c>
      <c r="AY128" s="869">
        <f t="shared" ca="1" si="92"/>
        <v>-33606.666666666664</v>
      </c>
      <c r="AZ128" s="867">
        <f t="shared" ca="1" si="93"/>
        <v>0</v>
      </c>
      <c r="BA128" s="161"/>
      <c r="BB128" s="867">
        <f t="shared" ca="1" si="94"/>
        <v>0</v>
      </c>
      <c r="BC128" s="867">
        <f t="shared" ca="1" si="59"/>
        <v>0</v>
      </c>
      <c r="BD128" s="658"/>
      <c r="BE128" s="867">
        <f t="shared" ca="1" si="95"/>
        <v>-31926.333333333328</v>
      </c>
      <c r="BF128" s="867">
        <f t="shared" ca="1" si="96"/>
        <v>-1680.3333333333333</v>
      </c>
      <c r="BG128" s="867">
        <f t="shared" ca="1" si="97"/>
        <v>-33606.666666666664</v>
      </c>
      <c r="BI128" s="867">
        <f ca="1"/>
        <v>-33606.666666666664</v>
      </c>
      <c r="BJ128" s="867">
        <f ca="1"/>
        <v>-31926.333333333328</v>
      </c>
      <c r="BK128" s="867">
        <f ca="1"/>
        <v>-1680.3333333333333</v>
      </c>
      <c r="BL128" s="867">
        <f t="shared" ca="1" si="98"/>
        <v>0</v>
      </c>
      <c r="BM128" s="867">
        <f t="shared" ca="1" si="99"/>
        <v>0</v>
      </c>
      <c r="BN128" s="867">
        <f t="shared" ca="1" si="100"/>
        <v>0</v>
      </c>
      <c r="BO128" s="867">
        <f t="shared" ca="1" si="101"/>
        <v>0</v>
      </c>
      <c r="BP128" s="867">
        <f t="shared" ca="1" si="102"/>
        <v>0</v>
      </c>
      <c r="BQ128" s="867">
        <f t="shared" ca="1" si="103"/>
        <v>0</v>
      </c>
      <c r="BR128" s="867">
        <f ca="1"/>
        <v>0</v>
      </c>
      <c r="BS128" s="867">
        <f ca="1"/>
        <v>0</v>
      </c>
      <c r="BT128" s="867">
        <f t="shared" ca="1" si="64"/>
        <v>-31926.333333333328</v>
      </c>
      <c r="BU128" s="867">
        <f t="shared" ca="1" si="104"/>
        <v>-1680.3333333333333</v>
      </c>
      <c r="BV128" s="829">
        <f t="shared" ca="1" si="65"/>
        <v>-2.5011104298755527E-12</v>
      </c>
      <c r="BX128" s="867">
        <f ca="1"/>
        <v>-33606.666666666664</v>
      </c>
      <c r="BY128" s="867">
        <f t="shared" ca="1" si="105"/>
        <v>-33606.666666666664</v>
      </c>
      <c r="BZ128" s="867">
        <f t="shared" ca="1" si="106"/>
        <v>0</v>
      </c>
      <c r="CA128" s="867">
        <f t="shared" ca="1" si="107"/>
        <v>0</v>
      </c>
      <c r="CB128" s="867">
        <f t="shared" ca="1" si="108"/>
        <v>0</v>
      </c>
      <c r="CC128" s="867">
        <f t="shared" ca="1" si="109"/>
        <v>0</v>
      </c>
      <c r="CD128" s="867">
        <f t="shared" ca="1" si="110"/>
        <v>-33606.666666666664</v>
      </c>
    </row>
    <row r="129" spans="1:82" ht="17" thickTop="1" thickBot="1">
      <c r="A129" s="773">
        <f t="shared" si="60"/>
        <v>1</v>
      </c>
      <c r="B129" s="779"/>
      <c r="C129" s="572"/>
      <c r="D129" s="660">
        <v>82</v>
      </c>
      <c r="E129" s="661">
        <v>47757</v>
      </c>
      <c r="F129" s="862">
        <v>7</v>
      </c>
      <c r="G129" s="863">
        <f ca="1"/>
        <v>-33606.666666666664</v>
      </c>
      <c r="H129" s="961"/>
      <c r="I129" s="865">
        <f t="shared" ca="1" si="66"/>
        <v>96396.566616136508</v>
      </c>
      <c r="J129" s="864" cm="1">
        <f t="array" aca="1" ref="J129" ca="1">IF($G129=0,0,-MIN(0,G129*c_equity.LPshare))</f>
        <v>31926.333333333328</v>
      </c>
      <c r="K129" s="865" cm="1">
        <f t="array" aca="1" ref="K129" ca="1">I129*c_rate.Pref.MO</f>
        <v>620.21841210917376</v>
      </c>
      <c r="L129" s="865">
        <f t="shared" ca="1" si="67"/>
        <v>0</v>
      </c>
      <c r="M129" s="865">
        <f t="shared" ca="1" si="68"/>
        <v>128943.11836157901</v>
      </c>
      <c r="N129" s="865">
        <f t="shared" ca="1" si="69"/>
        <v>-31926.333333333328</v>
      </c>
      <c r="O129" s="864" cm="1">
        <f t="array" aca="1" ref="O129" ca="1">IF(N129=0,0,IF(G129&lt;0,N129/c_equity.LPshare*i_equity.GPshare,L129/c_equity.LPshare*i_equity.GPshare))</f>
        <v>-1680.3333333333333</v>
      </c>
      <c r="P129" s="865">
        <f t="shared" ca="1" si="70"/>
        <v>-33606.666666666664</v>
      </c>
      <c r="Q129" s="865">
        <f t="shared" ca="1" si="71"/>
        <v>0</v>
      </c>
      <c r="R129" s="161"/>
      <c r="S129" s="867">
        <f t="shared" ca="1" si="72"/>
        <v>96544.785293202396</v>
      </c>
      <c r="T129" s="867" cm="1">
        <f t="array" aca="1" ref="T129" ca="1">IF($G129=0,0,-MIN(0,$G129*c_equity.LPshare))</f>
        <v>31926.333333333328</v>
      </c>
      <c r="U129" s="869" cm="1">
        <f t="array" aca="1" ref="U129" ca="1">IF($D129=0,0,S129*c_rate.Hurdle1.MO)</f>
        <v>769.86167560635874</v>
      </c>
      <c r="V129" s="867">
        <f t="shared" ca="1" si="73"/>
        <v>0</v>
      </c>
      <c r="W129" s="867">
        <f t="shared" ca="1" si="74"/>
        <v>0</v>
      </c>
      <c r="X129" s="869">
        <f t="shared" ca="1" si="75"/>
        <v>129240.98030214208</v>
      </c>
      <c r="Y129" s="869">
        <f t="shared" ca="1" si="76"/>
        <v>-31926.333333333328</v>
      </c>
      <c r="Z129" s="869">
        <f t="shared" ca="1" si="77"/>
        <v>-1680.3333333333333</v>
      </c>
      <c r="AA129" s="869">
        <f t="shared" ca="1" si="78"/>
        <v>-33606.666666666664</v>
      </c>
      <c r="AB129" s="867">
        <f t="shared" ca="1" si="79"/>
        <v>0</v>
      </c>
      <c r="AC129" s="161"/>
      <c r="AD129" s="869">
        <f t="shared" ca="1" si="80"/>
        <v>96690.701655865036</v>
      </c>
      <c r="AE129" s="867" cm="1">
        <f t="array" aca="1" ref="AE129" ca="1">IF($G129=0,0,-MIN(0,$G129*c_equity.LPshare))</f>
        <v>31926.333333333328</v>
      </c>
      <c r="AF129" s="869" cm="1">
        <f t="array" aca="1" ref="AF129" ca="1">IF($D129=0,0,AD129*(c_rate.Hurdle2.MO))</f>
        <v>917.47804671204938</v>
      </c>
      <c r="AG129" s="869">
        <f t="shared" ca="1" si="81"/>
        <v>0</v>
      </c>
      <c r="AH129" s="869">
        <f t="shared" ca="1" si="82"/>
        <v>0</v>
      </c>
      <c r="AI129" s="869">
        <f t="shared" ca="1" si="83"/>
        <v>129534.51303591041</v>
      </c>
      <c r="AJ129" s="868">
        <f t="shared" ca="1" si="61"/>
        <v>-31926.333333333328</v>
      </c>
      <c r="AK129" s="867">
        <f t="shared" ca="1" si="84"/>
        <v>-31926.333333333328</v>
      </c>
      <c r="AL129" s="869">
        <f t="shared" ca="1" si="62"/>
        <v>-1680.3333333333333</v>
      </c>
      <c r="AM129" s="869">
        <f t="shared" ca="1" si="85"/>
        <v>-33606.666666666664</v>
      </c>
      <c r="AN129" s="867">
        <f t="shared" ca="1" si="58"/>
        <v>0</v>
      </c>
      <c r="AO129" s="161"/>
      <c r="AP129" s="869">
        <f t="shared" ca="1" si="86"/>
        <v>96834.391707594579</v>
      </c>
      <c r="AQ129" s="867" cm="1">
        <f t="array" aca="1" ref="AQ129" ca="1">IF($G129=0,0,-MIN(0,$G129*c_equity.LPshare))</f>
        <v>31926.333333333328</v>
      </c>
      <c r="AR129" s="869" cm="1">
        <f t="array" aca="1" ref="AR129" ca="1">IF($D129=0,0,AP129*(c_rate.Hurdle3.MO))</f>
        <v>1063.1304502427847</v>
      </c>
      <c r="AS129" s="869">
        <f t="shared" ca="1" si="87"/>
        <v>0</v>
      </c>
      <c r="AT129" s="869">
        <f t="shared" ca="1" si="88"/>
        <v>0</v>
      </c>
      <c r="AU129" s="869">
        <f t="shared" ca="1" si="89"/>
        <v>129823.85549117069</v>
      </c>
      <c r="AV129" s="870">
        <f t="shared" ca="1" si="90"/>
        <v>-31926.333333333328</v>
      </c>
      <c r="AW129" s="867">
        <f t="shared" ca="1" si="91"/>
        <v>-31926.333333333328</v>
      </c>
      <c r="AX129" s="869">
        <f t="shared" ca="1" si="63"/>
        <v>-1680.3333333333333</v>
      </c>
      <c r="AY129" s="869">
        <f t="shared" ca="1" si="92"/>
        <v>-33606.666666666664</v>
      </c>
      <c r="AZ129" s="867">
        <f t="shared" ca="1" si="93"/>
        <v>0</v>
      </c>
      <c r="BA129" s="161"/>
      <c r="BB129" s="867">
        <f t="shared" ca="1" si="94"/>
        <v>0</v>
      </c>
      <c r="BC129" s="867">
        <f t="shared" ca="1" si="59"/>
        <v>0</v>
      </c>
      <c r="BD129" s="658"/>
      <c r="BE129" s="867">
        <f t="shared" ca="1" si="95"/>
        <v>-31926.333333333328</v>
      </c>
      <c r="BF129" s="867">
        <f t="shared" ca="1" si="96"/>
        <v>-1680.3333333333333</v>
      </c>
      <c r="BG129" s="867">
        <f t="shared" ca="1" si="97"/>
        <v>-33606.666666666664</v>
      </c>
      <c r="BI129" s="867">
        <f ca="1"/>
        <v>-33606.666666666664</v>
      </c>
      <c r="BJ129" s="867">
        <f ca="1"/>
        <v>-31926.333333333328</v>
      </c>
      <c r="BK129" s="867">
        <f ca="1"/>
        <v>-1680.3333333333333</v>
      </c>
      <c r="BL129" s="867">
        <f t="shared" ca="1" si="98"/>
        <v>0</v>
      </c>
      <c r="BM129" s="867">
        <f t="shared" ca="1" si="99"/>
        <v>0</v>
      </c>
      <c r="BN129" s="867">
        <f t="shared" ca="1" si="100"/>
        <v>0</v>
      </c>
      <c r="BO129" s="867">
        <f t="shared" ca="1" si="101"/>
        <v>0</v>
      </c>
      <c r="BP129" s="867">
        <f t="shared" ca="1" si="102"/>
        <v>0</v>
      </c>
      <c r="BQ129" s="867">
        <f t="shared" ca="1" si="103"/>
        <v>0</v>
      </c>
      <c r="BR129" s="867">
        <f ca="1"/>
        <v>0</v>
      </c>
      <c r="BS129" s="867">
        <f ca="1"/>
        <v>0</v>
      </c>
      <c r="BT129" s="867">
        <f t="shared" ca="1" si="64"/>
        <v>-31926.333333333328</v>
      </c>
      <c r="BU129" s="867">
        <f t="shared" ca="1" si="104"/>
        <v>-1680.3333333333333</v>
      </c>
      <c r="BV129" s="829">
        <f t="shared" ca="1" si="65"/>
        <v>-2.5011104298755527E-12</v>
      </c>
      <c r="BX129" s="867">
        <f ca="1"/>
        <v>-33606.666666666664</v>
      </c>
      <c r="BY129" s="867">
        <f t="shared" ca="1" si="105"/>
        <v>-33606.666666666664</v>
      </c>
      <c r="BZ129" s="867">
        <f t="shared" ca="1" si="106"/>
        <v>0</v>
      </c>
      <c r="CA129" s="867">
        <f t="shared" ca="1" si="107"/>
        <v>0</v>
      </c>
      <c r="CB129" s="867">
        <f t="shared" ca="1" si="108"/>
        <v>0</v>
      </c>
      <c r="CC129" s="867">
        <f t="shared" ca="1" si="109"/>
        <v>0</v>
      </c>
      <c r="CD129" s="867">
        <f t="shared" ca="1" si="110"/>
        <v>-33606.666666666664</v>
      </c>
    </row>
    <row r="130" spans="1:82" ht="17" thickTop="1" thickBot="1">
      <c r="A130" s="773">
        <f t="shared" si="60"/>
        <v>1</v>
      </c>
      <c r="B130" s="779"/>
      <c r="C130" s="572"/>
      <c r="D130" s="660">
        <v>83</v>
      </c>
      <c r="E130" s="661">
        <v>47788</v>
      </c>
      <c r="F130" s="862">
        <v>7</v>
      </c>
      <c r="G130" s="863">
        <f ca="1"/>
        <v>-33606.666666666664</v>
      </c>
      <c r="H130" s="961"/>
      <c r="I130" s="865">
        <f t="shared" ca="1" si="66"/>
        <v>128943.11836157901</v>
      </c>
      <c r="J130" s="864" cm="1">
        <f t="array" aca="1" ref="J130" ca="1">IF($G130=0,0,-MIN(0,G130*c_equity.LPshare))</f>
        <v>31926.333333333328</v>
      </c>
      <c r="K130" s="865" cm="1">
        <f t="array" aca="1" ref="K130" ca="1">I130*c_rate.Pref.MO</f>
        <v>829.62390601613549</v>
      </c>
      <c r="L130" s="865">
        <f t="shared" ca="1" si="67"/>
        <v>0</v>
      </c>
      <c r="M130" s="865">
        <f t="shared" ca="1" si="68"/>
        <v>161699.07560092845</v>
      </c>
      <c r="N130" s="865">
        <f t="shared" ca="1" si="69"/>
        <v>-31926.333333333328</v>
      </c>
      <c r="O130" s="864" cm="1">
        <f t="array" aca="1" ref="O130" ca="1">IF(N130=0,0,IF(G130&lt;0,N130/c_equity.LPshare*i_equity.GPshare,L130/c_equity.LPshare*i_equity.GPshare))</f>
        <v>-1680.3333333333333</v>
      </c>
      <c r="P130" s="865">
        <f t="shared" ca="1" si="70"/>
        <v>-33606.666666666664</v>
      </c>
      <c r="Q130" s="865">
        <f t="shared" ca="1" si="71"/>
        <v>0</v>
      </c>
      <c r="R130" s="161"/>
      <c r="S130" s="867">
        <f t="shared" ca="1" si="72"/>
        <v>129240.98030214208</v>
      </c>
      <c r="T130" s="867" cm="1">
        <f t="array" aca="1" ref="T130" ca="1">IF($G130=0,0,-MIN(0,$G130*c_equity.LPshare))</f>
        <v>31926.333333333328</v>
      </c>
      <c r="U130" s="869" cm="1">
        <f t="array" aca="1" ref="U130" ca="1">IF($D130=0,0,S130*c_rate.Hurdle1.MO)</f>
        <v>1030.5857260984662</v>
      </c>
      <c r="V130" s="867">
        <f t="shared" ca="1" si="73"/>
        <v>0</v>
      </c>
      <c r="W130" s="867">
        <f t="shared" ca="1" si="74"/>
        <v>0</v>
      </c>
      <c r="X130" s="869">
        <f t="shared" ca="1" si="75"/>
        <v>162197.89936157389</v>
      </c>
      <c r="Y130" s="869">
        <f t="shared" ca="1" si="76"/>
        <v>-31926.333333333328</v>
      </c>
      <c r="Z130" s="869">
        <f t="shared" ca="1" si="77"/>
        <v>-1680.3333333333333</v>
      </c>
      <c r="AA130" s="869">
        <f t="shared" ca="1" si="78"/>
        <v>-33606.666666666664</v>
      </c>
      <c r="AB130" s="867">
        <f t="shared" ca="1" si="79"/>
        <v>0</v>
      </c>
      <c r="AC130" s="867"/>
      <c r="AD130" s="869">
        <f t="shared" ca="1" si="80"/>
        <v>129534.51303591041</v>
      </c>
      <c r="AE130" s="867" cm="1">
        <f t="array" aca="1" ref="AE130" ca="1">IF($G130=0,0,-MIN(0,$G130*c_equity.LPshare))</f>
        <v>31926.333333333328</v>
      </c>
      <c r="AF130" s="869" cm="1">
        <f t="array" aca="1" ref="AF130" ca="1">IF($D130=0,0,AD130*(c_rate.Hurdle2.MO))</f>
        <v>1229.126172079802</v>
      </c>
      <c r="AG130" s="869">
        <f t="shared" ca="1" si="81"/>
        <v>0</v>
      </c>
      <c r="AH130" s="869">
        <f t="shared" ca="1" si="82"/>
        <v>0</v>
      </c>
      <c r="AI130" s="869">
        <f t="shared" ca="1" si="83"/>
        <v>162689.97254132354</v>
      </c>
      <c r="AJ130" s="868">
        <f t="shared" ca="1" si="61"/>
        <v>-31926.333333333328</v>
      </c>
      <c r="AK130" s="867">
        <f t="shared" ca="1" si="84"/>
        <v>-31926.333333333328</v>
      </c>
      <c r="AL130" s="869">
        <f t="shared" ca="1" si="62"/>
        <v>-1680.3333333333333</v>
      </c>
      <c r="AM130" s="869">
        <f t="shared" ca="1" si="85"/>
        <v>-33606.666666666664</v>
      </c>
      <c r="AN130" s="867">
        <f t="shared" ca="1" si="58"/>
        <v>0</v>
      </c>
      <c r="AO130" s="161"/>
      <c r="AP130" s="869">
        <f t="shared" ca="1" si="86"/>
        <v>129823.85549117069</v>
      </c>
      <c r="AQ130" s="867" cm="1">
        <f t="array" aca="1" ref="AQ130" ca="1">IF($G130=0,0,-MIN(0,$G130*c_equity.LPshare))</f>
        <v>31926.333333333328</v>
      </c>
      <c r="AR130" s="869" cm="1">
        <f t="array" aca="1" ref="AR130" ca="1">IF($D130=0,0,AP130*(c_rate.Hurdle3.MO))</f>
        <v>1425.3168890382756</v>
      </c>
      <c r="AS130" s="869">
        <f t="shared" ca="1" si="87"/>
        <v>0</v>
      </c>
      <c r="AT130" s="869">
        <f t="shared" ca="1" si="88"/>
        <v>0</v>
      </c>
      <c r="AU130" s="869">
        <f t="shared" ca="1" si="89"/>
        <v>163175.50571354228</v>
      </c>
      <c r="AV130" s="870">
        <f t="shared" ca="1" si="90"/>
        <v>-31926.333333333328</v>
      </c>
      <c r="AW130" s="867">
        <f t="shared" ca="1" si="91"/>
        <v>-31926.333333333328</v>
      </c>
      <c r="AX130" s="869">
        <f t="shared" ca="1" si="63"/>
        <v>-1680.3333333333333</v>
      </c>
      <c r="AY130" s="869">
        <f t="shared" ca="1" si="92"/>
        <v>-33606.666666666664</v>
      </c>
      <c r="AZ130" s="867">
        <f t="shared" ca="1" si="93"/>
        <v>0</v>
      </c>
      <c r="BA130" s="161"/>
      <c r="BB130" s="867">
        <f t="shared" ca="1" si="94"/>
        <v>0</v>
      </c>
      <c r="BC130" s="867">
        <f t="shared" ca="1" si="59"/>
        <v>0</v>
      </c>
      <c r="BD130" s="658"/>
      <c r="BE130" s="867">
        <f t="shared" ca="1" si="95"/>
        <v>-31926.333333333328</v>
      </c>
      <c r="BF130" s="867">
        <f t="shared" ca="1" si="96"/>
        <v>-1680.3333333333333</v>
      </c>
      <c r="BG130" s="867">
        <f t="shared" ca="1" si="97"/>
        <v>-33606.666666666664</v>
      </c>
      <c r="BI130" s="867">
        <f ca="1"/>
        <v>-33606.666666666664</v>
      </c>
      <c r="BJ130" s="867">
        <f ca="1"/>
        <v>-31926.333333333328</v>
      </c>
      <c r="BK130" s="867">
        <f ca="1"/>
        <v>-1680.3333333333333</v>
      </c>
      <c r="BL130" s="867">
        <f t="shared" ca="1" si="98"/>
        <v>0</v>
      </c>
      <c r="BM130" s="867">
        <f t="shared" ca="1" si="99"/>
        <v>0</v>
      </c>
      <c r="BN130" s="867">
        <f t="shared" ca="1" si="100"/>
        <v>0</v>
      </c>
      <c r="BO130" s="867">
        <f t="shared" ca="1" si="101"/>
        <v>0</v>
      </c>
      <c r="BP130" s="867">
        <f t="shared" ca="1" si="102"/>
        <v>0</v>
      </c>
      <c r="BQ130" s="867">
        <f t="shared" ca="1" si="103"/>
        <v>0</v>
      </c>
      <c r="BR130" s="867">
        <f ca="1"/>
        <v>0</v>
      </c>
      <c r="BS130" s="867">
        <f ca="1"/>
        <v>0</v>
      </c>
      <c r="BT130" s="867">
        <f t="shared" ca="1" si="64"/>
        <v>-31926.333333333328</v>
      </c>
      <c r="BU130" s="867">
        <f t="shared" ca="1" si="104"/>
        <v>-1680.3333333333333</v>
      </c>
      <c r="BV130" s="829">
        <f t="shared" ca="1" si="65"/>
        <v>-2.5011104298755527E-12</v>
      </c>
      <c r="BX130" s="867">
        <f ca="1"/>
        <v>-33606.666666666664</v>
      </c>
      <c r="BY130" s="867">
        <f t="shared" ca="1" si="105"/>
        <v>-33606.666666666664</v>
      </c>
      <c r="BZ130" s="867">
        <f t="shared" ca="1" si="106"/>
        <v>0</v>
      </c>
      <c r="CA130" s="867">
        <f t="shared" ca="1" si="107"/>
        <v>0</v>
      </c>
      <c r="CB130" s="867">
        <f t="shared" ca="1" si="108"/>
        <v>0</v>
      </c>
      <c r="CC130" s="867">
        <f t="shared" ca="1" si="109"/>
        <v>0</v>
      </c>
      <c r="CD130" s="867">
        <f t="shared" ca="1" si="110"/>
        <v>-33606.666666666664</v>
      </c>
    </row>
    <row r="131" spans="1:82" ht="17" thickTop="1" thickBot="1">
      <c r="A131" s="773">
        <f t="shared" si="60"/>
        <v>1</v>
      </c>
      <c r="B131" s="779"/>
      <c r="C131" s="572"/>
      <c r="D131" s="660">
        <v>84</v>
      </c>
      <c r="E131" s="661">
        <v>47818</v>
      </c>
      <c r="F131" s="862">
        <v>7</v>
      </c>
      <c r="G131" s="863">
        <f ca="1"/>
        <v>-573145.43263443338</v>
      </c>
      <c r="H131" s="961"/>
      <c r="I131" s="865">
        <f t="shared" ca="1" si="66"/>
        <v>161699.07560092845</v>
      </c>
      <c r="J131" s="864" cm="1">
        <f t="array" aca="1" ref="J131" ca="1">IF($G131=0,0,-MIN(0,G131*c_equity.LPshare))</f>
        <v>544488.16100271174</v>
      </c>
      <c r="K131" s="865" cm="1">
        <f t="array" aca="1" ref="K131" ca="1">I131*c_rate.Pref.MO</f>
        <v>1040.3767211760946</v>
      </c>
      <c r="L131" s="865">
        <f t="shared" ca="1" si="67"/>
        <v>0</v>
      </c>
      <c r="M131" s="865">
        <f t="shared" ca="1" si="68"/>
        <v>707227.61332481634</v>
      </c>
      <c r="N131" s="865">
        <f t="shared" ca="1" si="69"/>
        <v>-544488.16100271174</v>
      </c>
      <c r="O131" s="864" cm="1">
        <f t="array" aca="1" ref="O131" ca="1">IF(N131=0,0,IF(G131&lt;0,N131/c_equity.LPshare*i_equity.GPshare,L131/c_equity.LPshare*i_equity.GPshare))</f>
        <v>-28657.271631721669</v>
      </c>
      <c r="P131" s="865">
        <f t="shared" ca="1" si="70"/>
        <v>-573145.43263443338</v>
      </c>
      <c r="Q131" s="865">
        <f t="shared" ca="1" si="71"/>
        <v>0</v>
      </c>
      <c r="R131" s="161"/>
      <c r="S131" s="867">
        <f t="shared" ca="1" si="72"/>
        <v>162197.89936157389</v>
      </c>
      <c r="T131" s="867" cm="1">
        <f t="array" aca="1" ref="T131" ca="1">IF($G131=0,0,-MIN(0,$G131*c_equity.LPshare))</f>
        <v>544488.16100271174</v>
      </c>
      <c r="U131" s="869" cm="1">
        <f t="array" aca="1" ref="U131" ca="1">IF($D131=0,0,S131*c_rate.Hurdle1.MO)</f>
        <v>1293.3888267823904</v>
      </c>
      <c r="V131" s="867">
        <f t="shared" ca="1" si="73"/>
        <v>0</v>
      </c>
      <c r="W131" s="867">
        <f t="shared" ca="1" si="74"/>
        <v>0</v>
      </c>
      <c r="X131" s="869">
        <f t="shared" ca="1" si="75"/>
        <v>707979.44919106795</v>
      </c>
      <c r="Y131" s="869">
        <f t="shared" ca="1" si="76"/>
        <v>-544488.16100271174</v>
      </c>
      <c r="Z131" s="869">
        <f t="shared" ca="1" si="77"/>
        <v>-28657.271631721669</v>
      </c>
      <c r="AA131" s="869">
        <f t="shared" ca="1" si="78"/>
        <v>-573145.43263443338</v>
      </c>
      <c r="AB131" s="867">
        <f t="shared" ca="1" si="79"/>
        <v>0</v>
      </c>
      <c r="AC131" s="867"/>
      <c r="AD131" s="869">
        <f t="shared" ca="1" si="80"/>
        <v>162689.97254132354</v>
      </c>
      <c r="AE131" s="867" cm="1">
        <f t="array" aca="1" ref="AE131" ca="1">IF($G131=0,0,-MIN(0,$G131*c_equity.LPshare))</f>
        <v>544488.16100271174</v>
      </c>
      <c r="AF131" s="869" cm="1">
        <f t="array" aca="1" ref="AF131" ca="1">IF($D131=0,0,AD131*(c_rate.Hurdle2.MO))</f>
        <v>1543.7314619776205</v>
      </c>
      <c r="AG131" s="869">
        <f t="shared" ca="1" si="81"/>
        <v>0</v>
      </c>
      <c r="AH131" s="869">
        <f t="shared" ca="1" si="82"/>
        <v>0</v>
      </c>
      <c r="AI131" s="869">
        <f t="shared" ca="1" si="83"/>
        <v>708721.86500601284</v>
      </c>
      <c r="AJ131" s="868">
        <f t="shared" ca="1" si="61"/>
        <v>-544488.16100271174</v>
      </c>
      <c r="AK131" s="867">
        <f t="shared" ca="1" si="84"/>
        <v>-544488.16100271174</v>
      </c>
      <c r="AL131" s="869">
        <f t="shared" ca="1" si="62"/>
        <v>-28657.271631721669</v>
      </c>
      <c r="AM131" s="869">
        <f t="shared" ca="1" si="85"/>
        <v>-573145.43263443338</v>
      </c>
      <c r="AN131" s="867">
        <f t="shared" ca="1" si="58"/>
        <v>0</v>
      </c>
      <c r="AO131" s="161"/>
      <c r="AP131" s="869">
        <f t="shared" ca="1" si="86"/>
        <v>163175.50571354228</v>
      </c>
      <c r="AQ131" s="867" cm="1">
        <f t="array" aca="1" ref="AQ131" ca="1">IF($G131=0,0,-MIN(0,$G131*c_equity.LPshare))</f>
        <v>544488.16100271174</v>
      </c>
      <c r="AR131" s="869" cm="1">
        <f t="array" aca="1" ref="AR131" ca="1">IF($D131=0,0,AP131*(c_rate.Hurdle3.MO))</f>
        <v>1791.4797191236628</v>
      </c>
      <c r="AS131" s="869">
        <f t="shared" ca="1" si="87"/>
        <v>0</v>
      </c>
      <c r="AT131" s="869">
        <f t="shared" ca="1" si="88"/>
        <v>0</v>
      </c>
      <c r="AU131" s="869">
        <f t="shared" ca="1" si="89"/>
        <v>709455.14643537765</v>
      </c>
      <c r="AV131" s="870">
        <f t="shared" ca="1" si="90"/>
        <v>-544488.16100271174</v>
      </c>
      <c r="AW131" s="867">
        <f t="shared" ca="1" si="91"/>
        <v>-544488.16100271174</v>
      </c>
      <c r="AX131" s="869">
        <f t="shared" ca="1" si="63"/>
        <v>-28657.271631721669</v>
      </c>
      <c r="AY131" s="869">
        <f t="shared" ca="1" si="92"/>
        <v>-573145.43263443338</v>
      </c>
      <c r="AZ131" s="867">
        <f t="shared" ca="1" si="93"/>
        <v>0</v>
      </c>
      <c r="BA131" s="161"/>
      <c r="BB131" s="867">
        <f t="shared" ca="1" si="94"/>
        <v>0</v>
      </c>
      <c r="BC131" s="867">
        <f t="shared" ca="1" si="59"/>
        <v>0</v>
      </c>
      <c r="BD131" s="658"/>
      <c r="BE131" s="867">
        <f t="shared" ca="1" si="95"/>
        <v>-544488.16100271174</v>
      </c>
      <c r="BF131" s="867">
        <f t="shared" ca="1" si="96"/>
        <v>-28657.271631721669</v>
      </c>
      <c r="BG131" s="867">
        <f t="shared" ca="1" si="97"/>
        <v>-573145.43263443338</v>
      </c>
      <c r="BI131" s="867">
        <f ca="1"/>
        <v>-573145.43263443338</v>
      </c>
      <c r="BJ131" s="867">
        <f ca="1"/>
        <v>-544488.16100271174</v>
      </c>
      <c r="BK131" s="867">
        <f ca="1"/>
        <v>-28657.271631721669</v>
      </c>
      <c r="BL131" s="867">
        <f t="shared" ca="1" si="98"/>
        <v>0</v>
      </c>
      <c r="BM131" s="867">
        <f t="shared" ca="1" si="99"/>
        <v>0</v>
      </c>
      <c r="BN131" s="867">
        <f t="shared" ca="1" si="100"/>
        <v>0</v>
      </c>
      <c r="BO131" s="867">
        <f t="shared" ca="1" si="101"/>
        <v>0</v>
      </c>
      <c r="BP131" s="867">
        <f t="shared" ca="1" si="102"/>
        <v>0</v>
      </c>
      <c r="BQ131" s="867">
        <f t="shared" ca="1" si="103"/>
        <v>0</v>
      </c>
      <c r="BR131" s="867">
        <f ca="1"/>
        <v>0</v>
      </c>
      <c r="BS131" s="867">
        <f ca="1"/>
        <v>0</v>
      </c>
      <c r="BT131" s="867">
        <f t="shared" ca="1" si="64"/>
        <v>-544488.16100271174</v>
      </c>
      <c r="BU131" s="867">
        <f t="shared" ca="1" si="104"/>
        <v>-28657.271631721669</v>
      </c>
      <c r="BV131" s="829">
        <f t="shared" ca="1" si="65"/>
        <v>2.9103830456733704E-11</v>
      </c>
      <c r="BX131" s="867">
        <f ca="1"/>
        <v>-573145.43263443338</v>
      </c>
      <c r="BY131" s="867">
        <f t="shared" ca="1" si="105"/>
        <v>-573145.43263443338</v>
      </c>
      <c r="BZ131" s="867">
        <f t="shared" ca="1" si="106"/>
        <v>0</v>
      </c>
      <c r="CA131" s="867">
        <f t="shared" ca="1" si="107"/>
        <v>0</v>
      </c>
      <c r="CB131" s="867">
        <f t="shared" ca="1" si="108"/>
        <v>0</v>
      </c>
      <c r="CC131" s="867">
        <f t="shared" ca="1" si="109"/>
        <v>0</v>
      </c>
      <c r="CD131" s="867">
        <f t="shared" ca="1" si="110"/>
        <v>-573145.43263443338</v>
      </c>
    </row>
    <row r="132" spans="1:82" ht="17" thickTop="1" thickBot="1">
      <c r="A132" s="773">
        <f t="shared" si="60"/>
        <v>1</v>
      </c>
      <c r="B132" s="779"/>
      <c r="C132" s="572"/>
      <c r="D132" s="660">
        <v>85</v>
      </c>
      <c r="E132" s="661">
        <v>47849</v>
      </c>
      <c r="F132" s="862">
        <v>8</v>
      </c>
      <c r="G132" s="863">
        <f ca="1"/>
        <v>-573145.43263443338</v>
      </c>
      <c r="H132" s="961"/>
      <c r="I132" s="865">
        <f t="shared" ca="1" si="66"/>
        <v>707227.61332481634</v>
      </c>
      <c r="J132" s="864" cm="1">
        <f t="array" aca="1" ref="J132" ca="1">IF($G132=0,0,-MIN(0,G132*c_equity.LPshare))</f>
        <v>544488.16100271174</v>
      </c>
      <c r="K132" s="865" cm="1">
        <f t="array" aca="1" ref="K132" ca="1">I132*c_rate.Pref.MO</f>
        <v>4550.3237587577314</v>
      </c>
      <c r="L132" s="865">
        <f t="shared" ca="1" si="67"/>
        <v>0</v>
      </c>
      <c r="M132" s="865">
        <f t="shared" ca="1" si="68"/>
        <v>1256266.0980862859</v>
      </c>
      <c r="N132" s="865">
        <f t="shared" ca="1" si="69"/>
        <v>-544488.16100271174</v>
      </c>
      <c r="O132" s="864" cm="1">
        <f t="array" aca="1" ref="O132" ca="1">IF(N132=0,0,IF(G132&lt;0,N132/c_equity.LPshare*i_equity.GPshare,L132/c_equity.LPshare*i_equity.GPshare))</f>
        <v>-28657.271631721669</v>
      </c>
      <c r="P132" s="865">
        <f t="shared" ca="1" si="70"/>
        <v>-573145.43263443338</v>
      </c>
      <c r="Q132" s="865">
        <f t="shared" ca="1" si="71"/>
        <v>0</v>
      </c>
      <c r="R132" s="161"/>
      <c r="S132" s="867">
        <f t="shared" ca="1" si="72"/>
        <v>707979.44919106795</v>
      </c>
      <c r="T132" s="867" cm="1">
        <f t="array" aca="1" ref="T132" ca="1">IF($G132=0,0,-MIN(0,$G132*c_equity.LPshare))</f>
        <v>544488.16100271174</v>
      </c>
      <c r="U132" s="869" cm="1">
        <f t="array" aca="1" ref="U132" ca="1">IF($D132=0,0,S132*c_rate.Hurdle1.MO)</f>
        <v>5645.5275486275132</v>
      </c>
      <c r="V132" s="867">
        <f t="shared" ca="1" si="73"/>
        <v>0</v>
      </c>
      <c r="W132" s="867">
        <f t="shared" ca="1" si="74"/>
        <v>0</v>
      </c>
      <c r="X132" s="869">
        <f t="shared" ca="1" si="75"/>
        <v>1258113.1377424072</v>
      </c>
      <c r="Y132" s="869">
        <f t="shared" ca="1" si="76"/>
        <v>-544488.16100271174</v>
      </c>
      <c r="Z132" s="869">
        <f t="shared" ca="1" si="77"/>
        <v>-28657.271631721669</v>
      </c>
      <c r="AA132" s="869">
        <f t="shared" ca="1" si="78"/>
        <v>-573145.43263443338</v>
      </c>
      <c r="AB132" s="867">
        <f t="shared" ca="1" si="79"/>
        <v>0</v>
      </c>
      <c r="AC132" s="867"/>
      <c r="AD132" s="869">
        <f t="shared" ca="1" si="80"/>
        <v>708721.86500601284</v>
      </c>
      <c r="AE132" s="867" cm="1">
        <f t="array" aca="1" ref="AE132" ca="1">IF($G132=0,0,-MIN(0,$G132*c_equity.LPshare))</f>
        <v>544488.16100271174</v>
      </c>
      <c r="AF132" s="869" cm="1">
        <f t="array" aca="1" ref="AF132" ca="1">IF($D132=0,0,AD132*(c_rate.Hurdle2.MO))</f>
        <v>6724.9150252535737</v>
      </c>
      <c r="AG132" s="869">
        <f t="shared" ca="1" si="81"/>
        <v>0</v>
      </c>
      <c r="AH132" s="869">
        <f t="shared" ca="1" si="82"/>
        <v>0</v>
      </c>
      <c r="AI132" s="869">
        <f t="shared" ca="1" si="83"/>
        <v>1259934.941033978</v>
      </c>
      <c r="AJ132" s="868">
        <f t="shared" ca="1" si="61"/>
        <v>-544488.16100271174</v>
      </c>
      <c r="AK132" s="867">
        <f t="shared" ca="1" si="84"/>
        <v>-544488.16100271174</v>
      </c>
      <c r="AL132" s="869">
        <f t="shared" ca="1" si="62"/>
        <v>-28657.271631721669</v>
      </c>
      <c r="AM132" s="869">
        <f t="shared" ca="1" si="85"/>
        <v>-573145.43263443338</v>
      </c>
      <c r="AN132" s="867">
        <f t="shared" ca="1" si="58"/>
        <v>0</v>
      </c>
      <c r="AO132" s="161"/>
      <c r="AP132" s="869">
        <f t="shared" ca="1" si="86"/>
        <v>709455.14643537765</v>
      </c>
      <c r="AQ132" s="867" cm="1">
        <f t="array" aca="1" ref="AQ132" ca="1">IF($G132=0,0,-MIN(0,$G132*c_equity.LPshare))</f>
        <v>544488.16100271174</v>
      </c>
      <c r="AR132" s="869" cm="1">
        <f t="array" aca="1" ref="AR132" ca="1">IF($D132=0,0,AP132*(c_rate.Hurdle3.MO))</f>
        <v>7789.0030180026379</v>
      </c>
      <c r="AS132" s="869">
        <f t="shared" ca="1" si="87"/>
        <v>0</v>
      </c>
      <c r="AT132" s="869">
        <f t="shared" ca="1" si="88"/>
        <v>0</v>
      </c>
      <c r="AU132" s="869">
        <f t="shared" ca="1" si="89"/>
        <v>1261732.310456092</v>
      </c>
      <c r="AV132" s="870">
        <f t="shared" ca="1" si="90"/>
        <v>-544488.16100271174</v>
      </c>
      <c r="AW132" s="867">
        <f t="shared" ca="1" si="91"/>
        <v>-544488.16100271174</v>
      </c>
      <c r="AX132" s="869">
        <f t="shared" ca="1" si="63"/>
        <v>-28657.271631721669</v>
      </c>
      <c r="AY132" s="869">
        <f t="shared" ca="1" si="92"/>
        <v>-573145.43263443338</v>
      </c>
      <c r="AZ132" s="867">
        <f t="shared" ca="1" si="93"/>
        <v>0</v>
      </c>
      <c r="BA132" s="161"/>
      <c r="BB132" s="867">
        <f t="shared" ca="1" si="94"/>
        <v>0</v>
      </c>
      <c r="BC132" s="867">
        <f t="shared" ca="1" si="59"/>
        <v>0</v>
      </c>
      <c r="BD132" s="658"/>
      <c r="BE132" s="867">
        <f t="shared" ca="1" si="95"/>
        <v>-544488.16100271174</v>
      </c>
      <c r="BF132" s="867">
        <f t="shared" ca="1" si="96"/>
        <v>-28657.271631721669</v>
      </c>
      <c r="BG132" s="867">
        <f t="shared" ca="1" si="97"/>
        <v>-573145.43263443338</v>
      </c>
      <c r="BI132" s="867">
        <f ca="1"/>
        <v>-573145.43263443338</v>
      </c>
      <c r="BJ132" s="867">
        <f ca="1"/>
        <v>-544488.16100271174</v>
      </c>
      <c r="BK132" s="867">
        <f ca="1"/>
        <v>-28657.271631721669</v>
      </c>
      <c r="BL132" s="867">
        <f t="shared" ca="1" si="98"/>
        <v>0</v>
      </c>
      <c r="BM132" s="867">
        <f t="shared" ca="1" si="99"/>
        <v>0</v>
      </c>
      <c r="BN132" s="867">
        <f t="shared" ca="1" si="100"/>
        <v>0</v>
      </c>
      <c r="BO132" s="867">
        <f t="shared" ca="1" si="101"/>
        <v>0</v>
      </c>
      <c r="BP132" s="867">
        <f t="shared" ca="1" si="102"/>
        <v>0</v>
      </c>
      <c r="BQ132" s="867">
        <f t="shared" ca="1" si="103"/>
        <v>0</v>
      </c>
      <c r="BR132" s="867">
        <f ca="1"/>
        <v>0</v>
      </c>
      <c r="BS132" s="867">
        <f ca="1"/>
        <v>0</v>
      </c>
      <c r="BT132" s="867">
        <f t="shared" ca="1" si="64"/>
        <v>-544488.16100271174</v>
      </c>
      <c r="BU132" s="867">
        <f t="shared" ca="1" si="104"/>
        <v>-28657.271631721669</v>
      </c>
      <c r="BV132" s="829">
        <f t="shared" ca="1" si="65"/>
        <v>2.9103830456733704E-11</v>
      </c>
      <c r="BX132" s="867">
        <f ca="1"/>
        <v>-573145.43263443338</v>
      </c>
      <c r="BY132" s="867">
        <f t="shared" ca="1" si="105"/>
        <v>-573145.43263443338</v>
      </c>
      <c r="BZ132" s="867">
        <f t="shared" ca="1" si="106"/>
        <v>0</v>
      </c>
      <c r="CA132" s="867">
        <f t="shared" ca="1" si="107"/>
        <v>0</v>
      </c>
      <c r="CB132" s="867">
        <f t="shared" ca="1" si="108"/>
        <v>0</v>
      </c>
      <c r="CC132" s="867">
        <f t="shared" ca="1" si="109"/>
        <v>0</v>
      </c>
      <c r="CD132" s="867">
        <f t="shared" ca="1" si="110"/>
        <v>-573145.43263443338</v>
      </c>
    </row>
    <row r="133" spans="1:82" ht="17" thickTop="1" thickBot="1">
      <c r="A133" s="773">
        <f t="shared" si="60"/>
        <v>1</v>
      </c>
      <c r="B133" s="779"/>
      <c r="C133" s="572"/>
      <c r="D133" s="660">
        <v>86</v>
      </c>
      <c r="E133" s="661">
        <v>47880</v>
      </c>
      <c r="F133" s="862">
        <v>8</v>
      </c>
      <c r="G133" s="863">
        <f ca="1"/>
        <v>-573145.43263443338</v>
      </c>
      <c r="H133" s="961"/>
      <c r="I133" s="865">
        <f t="shared" ca="1" si="66"/>
        <v>1256266.0980862859</v>
      </c>
      <c r="J133" s="864" cm="1">
        <f t="array" aca="1" ref="J133" ca="1">IF($G133=0,0,-MIN(0,G133*c_equity.LPshare))</f>
        <v>544488.16100271174</v>
      </c>
      <c r="K133" s="865" cm="1">
        <f t="array" aca="1" ref="K133" ca="1">I133*c_rate.Pref.MO</f>
        <v>8082.8539012636857</v>
      </c>
      <c r="L133" s="865">
        <f t="shared" ca="1" si="67"/>
        <v>0</v>
      </c>
      <c r="M133" s="865">
        <f t="shared" ca="1" si="68"/>
        <v>1808837.1129902615</v>
      </c>
      <c r="N133" s="865">
        <f t="shared" ca="1" si="69"/>
        <v>-544488.16100271174</v>
      </c>
      <c r="O133" s="864" cm="1">
        <f t="array" aca="1" ref="O133" ca="1">IF(N133=0,0,IF(G133&lt;0,N133/c_equity.LPshare*i_equity.GPshare,L133/c_equity.LPshare*i_equity.GPshare))</f>
        <v>-28657.271631721669</v>
      </c>
      <c r="P133" s="865">
        <f t="shared" ca="1" si="70"/>
        <v>-573145.43263443338</v>
      </c>
      <c r="Q133" s="865">
        <f t="shared" ca="1" si="71"/>
        <v>0</v>
      </c>
      <c r="R133" s="161"/>
      <c r="S133" s="867">
        <f t="shared" ca="1" si="72"/>
        <v>1258113.1377424072</v>
      </c>
      <c r="T133" s="867" cm="1">
        <f t="array" aca="1" ref="T133" ca="1">IF($G133=0,0,-MIN(0,$G133*c_equity.LPshare))</f>
        <v>544488.16100271174</v>
      </c>
      <c r="U133" s="869" cm="1">
        <f t="array" aca="1" ref="U133" ca="1">IF($D133=0,0,S133*c_rate.Hurdle1.MO)</f>
        <v>10032.3708358067</v>
      </c>
      <c r="V133" s="867">
        <f t="shared" ca="1" si="73"/>
        <v>0</v>
      </c>
      <c r="W133" s="867">
        <f t="shared" ca="1" si="74"/>
        <v>0</v>
      </c>
      <c r="X133" s="869">
        <f t="shared" ca="1" si="75"/>
        <v>1812633.6695809257</v>
      </c>
      <c r="Y133" s="869">
        <f t="shared" ca="1" si="76"/>
        <v>-544488.16100271174</v>
      </c>
      <c r="Z133" s="869">
        <f t="shared" ca="1" si="77"/>
        <v>-28657.271631721669</v>
      </c>
      <c r="AA133" s="869">
        <f t="shared" ca="1" si="78"/>
        <v>-573145.43263443338</v>
      </c>
      <c r="AB133" s="867">
        <f t="shared" ca="1" si="79"/>
        <v>0</v>
      </c>
      <c r="AC133" s="867"/>
      <c r="AD133" s="869">
        <f t="shared" ca="1" si="80"/>
        <v>1259934.941033978</v>
      </c>
      <c r="AE133" s="867" cm="1">
        <f t="array" aca="1" ref="AE133" ca="1">IF($G133=0,0,-MIN(0,$G133*c_equity.LPshare))</f>
        <v>544488.16100271174</v>
      </c>
      <c r="AF133" s="869" cm="1">
        <f t="array" aca="1" ref="AF133" ca="1">IF($D133=0,0,AD133*(c_rate.Hurdle2.MO))</f>
        <v>11955.261766517517</v>
      </c>
      <c r="AG133" s="869">
        <f t="shared" ca="1" si="81"/>
        <v>0</v>
      </c>
      <c r="AH133" s="869">
        <f t="shared" ca="1" si="82"/>
        <v>0</v>
      </c>
      <c r="AI133" s="869">
        <f t="shared" ca="1" si="83"/>
        <v>1816378.3638032074</v>
      </c>
      <c r="AJ133" s="868">
        <f t="shared" ca="1" si="61"/>
        <v>-544488.16100271174</v>
      </c>
      <c r="AK133" s="867">
        <f t="shared" ca="1" si="84"/>
        <v>-544488.16100271174</v>
      </c>
      <c r="AL133" s="869">
        <f t="shared" ca="1" si="62"/>
        <v>-28657.271631721669</v>
      </c>
      <c r="AM133" s="869">
        <f t="shared" ca="1" si="85"/>
        <v>-573145.43263443338</v>
      </c>
      <c r="AN133" s="867">
        <f t="shared" ca="1" si="58"/>
        <v>0</v>
      </c>
      <c r="AO133" s="161"/>
      <c r="AP133" s="869">
        <f t="shared" ca="1" si="86"/>
        <v>1261732.310456092</v>
      </c>
      <c r="AQ133" s="867" cm="1">
        <f t="array" aca="1" ref="AQ133" ca="1">IF($G133=0,0,-MIN(0,$G133*c_equity.LPshare))</f>
        <v>544488.16100271174</v>
      </c>
      <c r="AR133" s="869" cm="1">
        <f t="array" aca="1" ref="AR133" ca="1">IF($D133=0,0,AP133*(c_rate.Hurdle3.MO))</f>
        <v>13852.37223724772</v>
      </c>
      <c r="AS133" s="869">
        <f t="shared" ca="1" si="87"/>
        <v>0</v>
      </c>
      <c r="AT133" s="869">
        <f t="shared" ca="1" si="88"/>
        <v>0</v>
      </c>
      <c r="AU133" s="869">
        <f t="shared" ca="1" si="89"/>
        <v>1820072.8436960513</v>
      </c>
      <c r="AV133" s="870">
        <f t="shared" ca="1" si="90"/>
        <v>-544488.16100271174</v>
      </c>
      <c r="AW133" s="867">
        <f t="shared" ca="1" si="91"/>
        <v>-544488.16100271174</v>
      </c>
      <c r="AX133" s="869">
        <f t="shared" ca="1" si="63"/>
        <v>-28657.271631721669</v>
      </c>
      <c r="AY133" s="869">
        <f t="shared" ca="1" si="92"/>
        <v>-573145.43263443338</v>
      </c>
      <c r="AZ133" s="867">
        <f t="shared" ca="1" si="93"/>
        <v>0</v>
      </c>
      <c r="BA133" s="161"/>
      <c r="BB133" s="867">
        <f t="shared" ca="1" si="94"/>
        <v>0</v>
      </c>
      <c r="BC133" s="867">
        <f t="shared" ca="1" si="59"/>
        <v>0</v>
      </c>
      <c r="BD133" s="658"/>
      <c r="BE133" s="867">
        <f t="shared" ca="1" si="95"/>
        <v>-544488.16100271174</v>
      </c>
      <c r="BF133" s="867">
        <f t="shared" ca="1" si="96"/>
        <v>-28657.271631721669</v>
      </c>
      <c r="BG133" s="867">
        <f t="shared" ca="1" si="97"/>
        <v>-573145.43263443338</v>
      </c>
      <c r="BI133" s="867">
        <f ca="1"/>
        <v>-573145.43263443338</v>
      </c>
      <c r="BJ133" s="867">
        <f ca="1"/>
        <v>-544488.16100271174</v>
      </c>
      <c r="BK133" s="867">
        <f ca="1"/>
        <v>-28657.271631721669</v>
      </c>
      <c r="BL133" s="867">
        <f t="shared" ca="1" si="98"/>
        <v>0</v>
      </c>
      <c r="BM133" s="867">
        <f t="shared" ca="1" si="99"/>
        <v>0</v>
      </c>
      <c r="BN133" s="867">
        <f t="shared" ca="1" si="100"/>
        <v>0</v>
      </c>
      <c r="BO133" s="867">
        <f t="shared" ca="1" si="101"/>
        <v>0</v>
      </c>
      <c r="BP133" s="867">
        <f t="shared" ca="1" si="102"/>
        <v>0</v>
      </c>
      <c r="BQ133" s="867">
        <f t="shared" ca="1" si="103"/>
        <v>0</v>
      </c>
      <c r="BR133" s="867">
        <f ca="1"/>
        <v>0</v>
      </c>
      <c r="BS133" s="867">
        <f ca="1"/>
        <v>0</v>
      </c>
      <c r="BT133" s="867">
        <f t="shared" ca="1" si="64"/>
        <v>-544488.16100271174</v>
      </c>
      <c r="BU133" s="867">
        <f t="shared" ca="1" si="104"/>
        <v>-28657.271631721669</v>
      </c>
      <c r="BV133" s="829">
        <f t="shared" ca="1" si="65"/>
        <v>2.9103830456733704E-11</v>
      </c>
      <c r="BX133" s="867">
        <f ca="1"/>
        <v>-573145.43263443338</v>
      </c>
      <c r="BY133" s="867">
        <f t="shared" ca="1" si="105"/>
        <v>-573145.43263443338</v>
      </c>
      <c r="BZ133" s="867">
        <f t="shared" ca="1" si="106"/>
        <v>0</v>
      </c>
      <c r="CA133" s="867">
        <f t="shared" ca="1" si="107"/>
        <v>0</v>
      </c>
      <c r="CB133" s="867">
        <f t="shared" ca="1" si="108"/>
        <v>0</v>
      </c>
      <c r="CC133" s="867">
        <f t="shared" ca="1" si="109"/>
        <v>0</v>
      </c>
      <c r="CD133" s="867">
        <f t="shared" ca="1" si="110"/>
        <v>-573145.43263443338</v>
      </c>
    </row>
    <row r="134" spans="1:82" ht="17" thickTop="1" thickBot="1">
      <c r="A134" s="773">
        <f t="shared" si="60"/>
        <v>1</v>
      </c>
      <c r="B134" s="779"/>
      <c r="C134" s="572"/>
      <c r="D134" s="660">
        <v>87</v>
      </c>
      <c r="E134" s="661">
        <v>47908</v>
      </c>
      <c r="F134" s="862">
        <v>8</v>
      </c>
      <c r="G134" s="863">
        <f ca="1"/>
        <v>-573145.43263443338</v>
      </c>
      <c r="H134" s="961"/>
      <c r="I134" s="865">
        <f t="shared" ca="1" si="66"/>
        <v>1808837.1129902615</v>
      </c>
      <c r="J134" s="864" cm="1">
        <f t="array" aca="1" ref="J134" ca="1">IF($G134=0,0,-MIN(0,G134*c_equity.LPshare))</f>
        <v>544488.16100271174</v>
      </c>
      <c r="K134" s="865" cm="1">
        <f t="array" aca="1" ref="K134" ca="1">I134*c_rate.Pref.MO</f>
        <v>11638.112449071019</v>
      </c>
      <c r="L134" s="865">
        <f t="shared" ca="1" si="67"/>
        <v>0</v>
      </c>
      <c r="M134" s="865">
        <f t="shared" ca="1" si="68"/>
        <v>2364963.3864420443</v>
      </c>
      <c r="N134" s="865">
        <f t="shared" ca="1" si="69"/>
        <v>-544488.16100271174</v>
      </c>
      <c r="O134" s="864" cm="1">
        <f t="array" aca="1" ref="O134" ca="1">IF(N134=0,0,IF(G134&lt;0,N134/c_equity.LPshare*i_equity.GPshare,L134/c_equity.LPshare*i_equity.GPshare))</f>
        <v>-28657.271631721669</v>
      </c>
      <c r="P134" s="865">
        <f t="shared" ca="1" si="70"/>
        <v>-573145.43263443338</v>
      </c>
      <c r="Q134" s="865">
        <f t="shared" ca="1" si="71"/>
        <v>0</v>
      </c>
      <c r="R134" s="161"/>
      <c r="S134" s="867">
        <f t="shared" ca="1" si="72"/>
        <v>1812633.6695809257</v>
      </c>
      <c r="T134" s="867" cm="1">
        <f t="array" aca="1" ref="T134" ca="1">IF($G134=0,0,-MIN(0,$G134*c_equity.LPshare))</f>
        <v>544488.16100271174</v>
      </c>
      <c r="U134" s="869" cm="1">
        <f t="array" aca="1" ref="U134" ca="1">IF($D134=0,0,S134*c_rate.Hurdle1.MO)</f>
        <v>14454.195427397448</v>
      </c>
      <c r="V134" s="867">
        <f t="shared" ca="1" si="73"/>
        <v>0</v>
      </c>
      <c r="W134" s="867">
        <f t="shared" ca="1" si="74"/>
        <v>0</v>
      </c>
      <c r="X134" s="869">
        <f t="shared" ca="1" si="75"/>
        <v>2371576.0260110348</v>
      </c>
      <c r="Y134" s="869">
        <f t="shared" ca="1" si="76"/>
        <v>-544488.16100271174</v>
      </c>
      <c r="Z134" s="869">
        <f t="shared" ca="1" si="77"/>
        <v>-28657.271631721669</v>
      </c>
      <c r="AA134" s="869">
        <f t="shared" ca="1" si="78"/>
        <v>-573145.43263443338</v>
      </c>
      <c r="AB134" s="867">
        <f t="shared" ca="1" si="79"/>
        <v>0</v>
      </c>
      <c r="AC134" s="867"/>
      <c r="AD134" s="869">
        <f t="shared" ca="1" si="80"/>
        <v>1816378.3638032074</v>
      </c>
      <c r="AE134" s="867" cm="1">
        <f t="array" aca="1" ref="AE134" ca="1">IF($G134=0,0,-MIN(0,$G134*c_equity.LPshare))</f>
        <v>544488.16100271174</v>
      </c>
      <c r="AF134" s="869" cm="1">
        <f t="array" aca="1" ref="AF134" ca="1">IF($D134=0,0,AD134*(c_rate.Hurdle2.MO))</f>
        <v>17235.238184985388</v>
      </c>
      <c r="AG134" s="869">
        <f t="shared" ca="1" si="81"/>
        <v>0</v>
      </c>
      <c r="AH134" s="869">
        <f t="shared" ca="1" si="82"/>
        <v>0</v>
      </c>
      <c r="AI134" s="869">
        <f t="shared" ca="1" si="83"/>
        <v>2378101.7629909045</v>
      </c>
      <c r="AJ134" s="868">
        <f t="shared" ca="1" si="61"/>
        <v>-544488.16100271174</v>
      </c>
      <c r="AK134" s="867">
        <f t="shared" ca="1" si="84"/>
        <v>-544488.16100271174</v>
      </c>
      <c r="AL134" s="869">
        <f t="shared" ca="1" si="62"/>
        <v>-28657.271631721669</v>
      </c>
      <c r="AM134" s="869">
        <f t="shared" ca="1" si="85"/>
        <v>-573145.43263443338</v>
      </c>
      <c r="AN134" s="867">
        <f t="shared" ca="1" si="58"/>
        <v>0</v>
      </c>
      <c r="AO134" s="161"/>
      <c r="AP134" s="869">
        <f t="shared" ca="1" si="86"/>
        <v>1820072.8436960513</v>
      </c>
      <c r="AQ134" s="867" cm="1">
        <f t="array" aca="1" ref="AQ134" ca="1">IF($G134=0,0,-MIN(0,$G134*c_equity.LPshare))</f>
        <v>544488.16100271174</v>
      </c>
      <c r="AR134" s="869" cm="1">
        <f t="array" aca="1" ref="AR134" ca="1">IF($D134=0,0,AP134*(c_rate.Hurdle3.MO))</f>
        <v>19982.310289470133</v>
      </c>
      <c r="AS134" s="869">
        <f t="shared" ca="1" si="87"/>
        <v>0</v>
      </c>
      <c r="AT134" s="869">
        <f t="shared" ca="1" si="88"/>
        <v>0</v>
      </c>
      <c r="AU134" s="869">
        <f t="shared" ca="1" si="89"/>
        <v>2384543.3149882331</v>
      </c>
      <c r="AV134" s="870">
        <f t="shared" ca="1" si="90"/>
        <v>-544488.16100271174</v>
      </c>
      <c r="AW134" s="867">
        <f t="shared" ca="1" si="91"/>
        <v>-544488.16100271174</v>
      </c>
      <c r="AX134" s="869">
        <f t="shared" ca="1" si="63"/>
        <v>-28657.271631721669</v>
      </c>
      <c r="AY134" s="869">
        <f t="shared" ca="1" si="92"/>
        <v>-573145.43263443338</v>
      </c>
      <c r="AZ134" s="867">
        <f t="shared" ca="1" si="93"/>
        <v>0</v>
      </c>
      <c r="BA134" s="161"/>
      <c r="BB134" s="867">
        <f t="shared" ca="1" si="94"/>
        <v>0</v>
      </c>
      <c r="BC134" s="867">
        <f t="shared" ca="1" si="59"/>
        <v>0</v>
      </c>
      <c r="BD134" s="658"/>
      <c r="BE134" s="867">
        <f t="shared" ca="1" si="95"/>
        <v>-544488.16100271174</v>
      </c>
      <c r="BF134" s="867">
        <f t="shared" ca="1" si="96"/>
        <v>-28657.271631721669</v>
      </c>
      <c r="BG134" s="867">
        <f t="shared" ca="1" si="97"/>
        <v>-573145.43263443338</v>
      </c>
      <c r="BI134" s="867">
        <f ca="1"/>
        <v>-573145.43263443338</v>
      </c>
      <c r="BJ134" s="867">
        <f ca="1"/>
        <v>-544488.16100271174</v>
      </c>
      <c r="BK134" s="867">
        <f ca="1"/>
        <v>-28657.271631721669</v>
      </c>
      <c r="BL134" s="867">
        <f t="shared" ca="1" si="98"/>
        <v>0</v>
      </c>
      <c r="BM134" s="867">
        <f t="shared" ca="1" si="99"/>
        <v>0</v>
      </c>
      <c r="BN134" s="867">
        <f t="shared" ca="1" si="100"/>
        <v>0</v>
      </c>
      <c r="BO134" s="867">
        <f t="shared" ca="1" si="101"/>
        <v>0</v>
      </c>
      <c r="BP134" s="867">
        <f t="shared" ca="1" si="102"/>
        <v>0</v>
      </c>
      <c r="BQ134" s="867">
        <f t="shared" ca="1" si="103"/>
        <v>0</v>
      </c>
      <c r="BR134" s="867">
        <f ca="1"/>
        <v>0</v>
      </c>
      <c r="BS134" s="867">
        <f ca="1"/>
        <v>0</v>
      </c>
      <c r="BT134" s="867">
        <f t="shared" ca="1" si="64"/>
        <v>-544488.16100271174</v>
      </c>
      <c r="BU134" s="867">
        <f t="shared" ca="1" si="104"/>
        <v>-28657.271631721669</v>
      </c>
      <c r="BV134" s="829">
        <f t="shared" ca="1" si="65"/>
        <v>2.9103830456733704E-11</v>
      </c>
      <c r="BX134" s="867">
        <f ca="1"/>
        <v>-573145.43263443338</v>
      </c>
      <c r="BY134" s="867">
        <f t="shared" ca="1" si="105"/>
        <v>-573145.43263443338</v>
      </c>
      <c r="BZ134" s="867">
        <f t="shared" ca="1" si="106"/>
        <v>0</v>
      </c>
      <c r="CA134" s="867">
        <f t="shared" ca="1" si="107"/>
        <v>0</v>
      </c>
      <c r="CB134" s="867">
        <f t="shared" ca="1" si="108"/>
        <v>0</v>
      </c>
      <c r="CC134" s="867">
        <f t="shared" ca="1" si="109"/>
        <v>0</v>
      </c>
      <c r="CD134" s="867">
        <f t="shared" ca="1" si="110"/>
        <v>-573145.43263443338</v>
      </c>
    </row>
    <row r="135" spans="1:82" ht="17" thickTop="1" thickBot="1">
      <c r="A135" s="773">
        <f t="shared" si="60"/>
        <v>1</v>
      </c>
      <c r="B135" s="779"/>
      <c r="C135" s="572"/>
      <c r="D135" s="660">
        <v>88</v>
      </c>
      <c r="E135" s="661">
        <v>47939</v>
      </c>
      <c r="F135" s="862">
        <v>8</v>
      </c>
      <c r="G135" s="863">
        <f ca="1"/>
        <v>-573145.43263443338</v>
      </c>
      <c r="H135" s="961"/>
      <c r="I135" s="865">
        <f t="shared" ca="1" si="66"/>
        <v>2364963.3864420443</v>
      </c>
      <c r="J135" s="864" cm="1">
        <f t="array" aca="1" ref="J135" ca="1">IF($G135=0,0,-MIN(0,G135*c_equity.LPshare))</f>
        <v>544488.16100271174</v>
      </c>
      <c r="K135" s="865" cm="1">
        <f t="array" aca="1" ref="K135" ca="1">I135*c_rate.Pref.MO</f>
        <v>15216.245637423792</v>
      </c>
      <c r="L135" s="865">
        <f t="shared" ca="1" si="67"/>
        <v>0</v>
      </c>
      <c r="M135" s="865">
        <f t="shared" ca="1" si="68"/>
        <v>2924667.79308218</v>
      </c>
      <c r="N135" s="865">
        <f t="shared" ca="1" si="69"/>
        <v>-544488.16100271174</v>
      </c>
      <c r="O135" s="864" cm="1">
        <f t="array" aca="1" ref="O135" ca="1">IF(N135=0,0,IF(G135&lt;0,N135/c_equity.LPshare*i_equity.GPshare,L135/c_equity.LPshare*i_equity.GPshare))</f>
        <v>-28657.271631721669</v>
      </c>
      <c r="P135" s="865">
        <f t="shared" ca="1" si="70"/>
        <v>-573145.43263443338</v>
      </c>
      <c r="Q135" s="865">
        <f t="shared" ca="1" si="71"/>
        <v>0</v>
      </c>
      <c r="R135" s="161"/>
      <c r="S135" s="867">
        <f t="shared" ca="1" si="72"/>
        <v>2371576.0260110348</v>
      </c>
      <c r="T135" s="867" cm="1">
        <f t="array" aca="1" ref="T135" ca="1">IF($G135=0,0,-MIN(0,$G135*c_equity.LPshare))</f>
        <v>544488.16100271174</v>
      </c>
      <c r="U135" s="869" cm="1">
        <f t="array" aca="1" ref="U135" ca="1">IF($D135=0,0,S135*c_rate.Hurdle1.MO)</f>
        <v>18911.280269233517</v>
      </c>
      <c r="V135" s="867">
        <f t="shared" ca="1" si="73"/>
        <v>0</v>
      </c>
      <c r="W135" s="867">
        <f t="shared" ca="1" si="74"/>
        <v>0</v>
      </c>
      <c r="X135" s="869">
        <f t="shared" ca="1" si="75"/>
        <v>2934975.4672829802</v>
      </c>
      <c r="Y135" s="869">
        <f t="shared" ca="1" si="76"/>
        <v>-544488.16100271174</v>
      </c>
      <c r="Z135" s="869">
        <f t="shared" ca="1" si="77"/>
        <v>-28657.271631721669</v>
      </c>
      <c r="AA135" s="869">
        <f t="shared" ca="1" si="78"/>
        <v>-573145.43263443338</v>
      </c>
      <c r="AB135" s="867">
        <f t="shared" ca="1" si="79"/>
        <v>0</v>
      </c>
      <c r="AC135" s="867"/>
      <c r="AD135" s="869">
        <f t="shared" ca="1" si="80"/>
        <v>2378101.7629909045</v>
      </c>
      <c r="AE135" s="867" cm="1">
        <f t="array" aca="1" ref="AE135" ca="1">IF($G135=0,0,-MIN(0,$G135*c_equity.LPshare))</f>
        <v>544488.16100271174</v>
      </c>
      <c r="AF135" s="869" cm="1">
        <f t="array" aca="1" ref="AF135" ca="1">IF($D135=0,0,AD135*(c_rate.Hurdle2.MO))</f>
        <v>22565.315206387579</v>
      </c>
      <c r="AG135" s="869">
        <f t="shared" ca="1" si="81"/>
        <v>0</v>
      </c>
      <c r="AH135" s="869">
        <f t="shared" ca="1" si="82"/>
        <v>0</v>
      </c>
      <c r="AI135" s="869">
        <f t="shared" ca="1" si="83"/>
        <v>2945155.2392000039</v>
      </c>
      <c r="AJ135" s="868">
        <f t="shared" ca="1" si="61"/>
        <v>-544488.16100271174</v>
      </c>
      <c r="AK135" s="867">
        <f t="shared" ca="1" si="84"/>
        <v>-544488.16100271174</v>
      </c>
      <c r="AL135" s="869">
        <f t="shared" ca="1" si="62"/>
        <v>-28657.271631721669</v>
      </c>
      <c r="AM135" s="869">
        <f t="shared" ca="1" si="85"/>
        <v>-573145.43263443338</v>
      </c>
      <c r="AN135" s="867">
        <f t="shared" ca="1" si="58"/>
        <v>0</v>
      </c>
      <c r="AO135" s="161"/>
      <c r="AP135" s="869">
        <f t="shared" ca="1" si="86"/>
        <v>2384543.3149882331</v>
      </c>
      <c r="AQ135" s="867" cm="1">
        <f t="array" aca="1" ref="AQ135" ca="1">IF($G135=0,0,-MIN(0,$G135*c_equity.LPshare))</f>
        <v>544488.16100271174</v>
      </c>
      <c r="AR135" s="869" cm="1">
        <f t="array" aca="1" ref="AR135" ca="1">IF($D135=0,0,AP135*(c_rate.Hurdle3.MO))</f>
        <v>26179.548024031632</v>
      </c>
      <c r="AS135" s="869">
        <f t="shared" ca="1" si="87"/>
        <v>0</v>
      </c>
      <c r="AT135" s="869">
        <f t="shared" ca="1" si="88"/>
        <v>0</v>
      </c>
      <c r="AU135" s="869">
        <f t="shared" ca="1" si="89"/>
        <v>2955211.0240149768</v>
      </c>
      <c r="AV135" s="870">
        <f t="shared" ca="1" si="90"/>
        <v>-544488.16100271174</v>
      </c>
      <c r="AW135" s="867">
        <f t="shared" ca="1" si="91"/>
        <v>-544488.16100271174</v>
      </c>
      <c r="AX135" s="869">
        <f t="shared" ca="1" si="63"/>
        <v>-28657.271631721669</v>
      </c>
      <c r="AY135" s="869">
        <f t="shared" ca="1" si="92"/>
        <v>-573145.43263443338</v>
      </c>
      <c r="AZ135" s="867">
        <f t="shared" ca="1" si="93"/>
        <v>0</v>
      </c>
      <c r="BA135" s="161"/>
      <c r="BB135" s="867">
        <f t="shared" ca="1" si="94"/>
        <v>0</v>
      </c>
      <c r="BC135" s="867">
        <f t="shared" ca="1" si="59"/>
        <v>0</v>
      </c>
      <c r="BD135" s="658"/>
      <c r="BE135" s="867">
        <f t="shared" ca="1" si="95"/>
        <v>-544488.16100271174</v>
      </c>
      <c r="BF135" s="867">
        <f t="shared" ca="1" si="96"/>
        <v>-28657.271631721669</v>
      </c>
      <c r="BG135" s="867">
        <f t="shared" ca="1" si="97"/>
        <v>-573145.43263443338</v>
      </c>
      <c r="BI135" s="867">
        <f ca="1"/>
        <v>-573145.43263443338</v>
      </c>
      <c r="BJ135" s="867">
        <f ca="1"/>
        <v>-544488.16100271174</v>
      </c>
      <c r="BK135" s="867">
        <f ca="1"/>
        <v>-28657.271631721669</v>
      </c>
      <c r="BL135" s="867">
        <f t="shared" ca="1" si="98"/>
        <v>0</v>
      </c>
      <c r="BM135" s="867">
        <f t="shared" ca="1" si="99"/>
        <v>0</v>
      </c>
      <c r="BN135" s="867">
        <f t="shared" ca="1" si="100"/>
        <v>0</v>
      </c>
      <c r="BO135" s="867">
        <f t="shared" ca="1" si="101"/>
        <v>0</v>
      </c>
      <c r="BP135" s="867">
        <f t="shared" ca="1" si="102"/>
        <v>0</v>
      </c>
      <c r="BQ135" s="867">
        <f t="shared" ca="1" si="103"/>
        <v>0</v>
      </c>
      <c r="BR135" s="867">
        <f ca="1"/>
        <v>0</v>
      </c>
      <c r="BS135" s="867">
        <f ca="1"/>
        <v>0</v>
      </c>
      <c r="BT135" s="867">
        <f t="shared" ca="1" si="64"/>
        <v>-544488.16100271174</v>
      </c>
      <c r="BU135" s="867">
        <f t="shared" ca="1" si="104"/>
        <v>-28657.271631721669</v>
      </c>
      <c r="BV135" s="829">
        <f t="shared" ca="1" si="65"/>
        <v>2.9103830456733704E-11</v>
      </c>
      <c r="BX135" s="867">
        <f ca="1"/>
        <v>-573145.43263443338</v>
      </c>
      <c r="BY135" s="867">
        <f t="shared" ca="1" si="105"/>
        <v>-573145.43263443338</v>
      </c>
      <c r="BZ135" s="867">
        <f t="shared" ca="1" si="106"/>
        <v>0</v>
      </c>
      <c r="CA135" s="867">
        <f t="shared" ca="1" si="107"/>
        <v>0</v>
      </c>
      <c r="CB135" s="867">
        <f t="shared" ca="1" si="108"/>
        <v>0</v>
      </c>
      <c r="CC135" s="867">
        <f t="shared" ca="1" si="109"/>
        <v>0</v>
      </c>
      <c r="CD135" s="867">
        <f t="shared" ca="1" si="110"/>
        <v>-573145.43263443338</v>
      </c>
    </row>
    <row r="136" spans="1:82" ht="17" thickTop="1" thickBot="1">
      <c r="A136" s="773">
        <f t="shared" si="60"/>
        <v>1</v>
      </c>
      <c r="B136" s="779"/>
      <c r="C136" s="572"/>
      <c r="D136" s="660">
        <v>89</v>
      </c>
      <c r="E136" s="661">
        <v>47969</v>
      </c>
      <c r="F136" s="862">
        <v>8</v>
      </c>
      <c r="G136" s="863">
        <f ca="1"/>
        <v>-573145.43263443338</v>
      </c>
      <c r="H136" s="961"/>
      <c r="I136" s="865">
        <f t="shared" ca="1" si="66"/>
        <v>2924667.79308218</v>
      </c>
      <c r="J136" s="864" cm="1">
        <f t="array" aca="1" ref="J136" ca="1">IF($G136=0,0,-MIN(0,G136*c_equity.LPshare))</f>
        <v>544488.16100271174</v>
      </c>
      <c r="K136" s="865" cm="1">
        <f t="array" aca="1" ref="K136" ca="1">I136*c_rate.Pref.MO</f>
        <v>18817.400642448029</v>
      </c>
      <c r="L136" s="865">
        <f t="shared" ca="1" si="67"/>
        <v>0</v>
      </c>
      <c r="M136" s="865">
        <f t="shared" ca="1" si="68"/>
        <v>3487973.3547273399</v>
      </c>
      <c r="N136" s="865">
        <f t="shared" ca="1" si="69"/>
        <v>-544488.16100271174</v>
      </c>
      <c r="O136" s="864" cm="1">
        <f t="array" aca="1" ref="O136" ca="1">IF(N136=0,0,IF(G136&lt;0,N136/c_equity.LPshare*i_equity.GPshare,L136/c_equity.LPshare*i_equity.GPshare))</f>
        <v>-28657.271631721669</v>
      </c>
      <c r="P136" s="865">
        <f t="shared" ca="1" si="70"/>
        <v>-573145.43263443338</v>
      </c>
      <c r="Q136" s="865">
        <f t="shared" ca="1" si="71"/>
        <v>0</v>
      </c>
      <c r="R136" s="161"/>
      <c r="S136" s="867">
        <f t="shared" ca="1" si="72"/>
        <v>2934975.4672829802</v>
      </c>
      <c r="T136" s="867" cm="1">
        <f t="array" aca="1" ref="T136" ca="1">IF($G136=0,0,-MIN(0,$G136*c_equity.LPshare))</f>
        <v>544488.16100271174</v>
      </c>
      <c r="U136" s="869" cm="1">
        <f t="array" aca="1" ref="U136" ca="1">IF($D136=0,0,S136*c_rate.Hurdle1.MO)</f>
        <v>23403.906531501929</v>
      </c>
      <c r="V136" s="867">
        <f t="shared" ca="1" si="73"/>
        <v>0</v>
      </c>
      <c r="W136" s="867">
        <f t="shared" ca="1" si="74"/>
        <v>0</v>
      </c>
      <c r="X136" s="869">
        <f t="shared" ca="1" si="75"/>
        <v>3502867.5348171941</v>
      </c>
      <c r="Y136" s="869">
        <f t="shared" ca="1" si="76"/>
        <v>-544488.16100271174</v>
      </c>
      <c r="Z136" s="869">
        <f t="shared" ca="1" si="77"/>
        <v>-28657.271631721669</v>
      </c>
      <c r="AA136" s="869">
        <f t="shared" ca="1" si="78"/>
        <v>-573145.43263443338</v>
      </c>
      <c r="AB136" s="867">
        <f t="shared" ca="1" si="79"/>
        <v>0</v>
      </c>
      <c r="AC136" s="867"/>
      <c r="AD136" s="869">
        <f t="shared" ca="1" si="80"/>
        <v>2945155.2392000039</v>
      </c>
      <c r="AE136" s="867" cm="1">
        <f t="array" aca="1" ref="AE136" ca="1">IF($G136=0,0,-MIN(0,$G136*c_equity.LPshare))</f>
        <v>544488.16100271174</v>
      </c>
      <c r="AF136" s="869" cm="1">
        <f t="array" aca="1" ref="AF136" ca="1">IF($D136=0,0,AD136*(c_rate.Hurdle2.MO))</f>
        <v>27945.968224971239</v>
      </c>
      <c r="AG136" s="869">
        <f t="shared" ca="1" si="81"/>
        <v>0</v>
      </c>
      <c r="AH136" s="869">
        <f t="shared" ca="1" si="82"/>
        <v>0</v>
      </c>
      <c r="AI136" s="869">
        <f t="shared" ca="1" si="83"/>
        <v>3517589.3684276869</v>
      </c>
      <c r="AJ136" s="868">
        <f t="shared" ca="1" si="61"/>
        <v>-544488.16100271174</v>
      </c>
      <c r="AK136" s="867">
        <f t="shared" ca="1" si="84"/>
        <v>-544488.16100271174</v>
      </c>
      <c r="AL136" s="869">
        <f t="shared" ca="1" si="62"/>
        <v>-28657.271631721669</v>
      </c>
      <c r="AM136" s="869">
        <f t="shared" ca="1" si="85"/>
        <v>-573145.43263443338</v>
      </c>
      <c r="AN136" s="867">
        <f t="shared" ca="1" si="58"/>
        <v>0</v>
      </c>
      <c r="AO136" s="161"/>
      <c r="AP136" s="869">
        <f t="shared" ca="1" si="86"/>
        <v>2955211.0240149768</v>
      </c>
      <c r="AQ136" s="867" cm="1">
        <f t="array" aca="1" ref="AQ136" ca="1">IF($G136=0,0,-MIN(0,$G136*c_equity.LPshare))</f>
        <v>544488.16100271174</v>
      </c>
      <c r="AR136" s="869" cm="1">
        <f t="array" aca="1" ref="AR136" ca="1">IF($D136=0,0,AP136*(c_rate.Hurdle3.MO))</f>
        <v>32444.824314180911</v>
      </c>
      <c r="AS136" s="869">
        <f t="shared" ca="1" si="87"/>
        <v>0</v>
      </c>
      <c r="AT136" s="869">
        <f t="shared" ca="1" si="88"/>
        <v>0</v>
      </c>
      <c r="AU136" s="869">
        <f t="shared" ca="1" si="89"/>
        <v>3532144.0093318694</v>
      </c>
      <c r="AV136" s="870">
        <f t="shared" ca="1" si="90"/>
        <v>-544488.16100271174</v>
      </c>
      <c r="AW136" s="867">
        <f t="shared" ca="1" si="91"/>
        <v>-544488.16100271174</v>
      </c>
      <c r="AX136" s="869">
        <f t="shared" ca="1" si="63"/>
        <v>-28657.271631721669</v>
      </c>
      <c r="AY136" s="869">
        <f t="shared" ca="1" si="92"/>
        <v>-573145.43263443338</v>
      </c>
      <c r="AZ136" s="867">
        <f t="shared" ca="1" si="93"/>
        <v>0</v>
      </c>
      <c r="BA136" s="161"/>
      <c r="BB136" s="867">
        <f t="shared" ca="1" si="94"/>
        <v>0</v>
      </c>
      <c r="BC136" s="867">
        <f t="shared" ca="1" si="59"/>
        <v>0</v>
      </c>
      <c r="BD136" s="658"/>
      <c r="BE136" s="867">
        <f t="shared" ca="1" si="95"/>
        <v>-544488.16100271174</v>
      </c>
      <c r="BF136" s="867">
        <f t="shared" ca="1" si="96"/>
        <v>-28657.271631721669</v>
      </c>
      <c r="BG136" s="867">
        <f t="shared" ca="1" si="97"/>
        <v>-573145.43263443338</v>
      </c>
      <c r="BI136" s="867">
        <f ca="1"/>
        <v>-573145.43263443338</v>
      </c>
      <c r="BJ136" s="867">
        <f ca="1"/>
        <v>-544488.16100271174</v>
      </c>
      <c r="BK136" s="867">
        <f ca="1"/>
        <v>-28657.271631721669</v>
      </c>
      <c r="BL136" s="867">
        <f t="shared" ca="1" si="98"/>
        <v>0</v>
      </c>
      <c r="BM136" s="867">
        <f t="shared" ca="1" si="99"/>
        <v>0</v>
      </c>
      <c r="BN136" s="867">
        <f t="shared" ca="1" si="100"/>
        <v>0</v>
      </c>
      <c r="BO136" s="867">
        <f t="shared" ca="1" si="101"/>
        <v>0</v>
      </c>
      <c r="BP136" s="867">
        <f t="shared" ca="1" si="102"/>
        <v>0</v>
      </c>
      <c r="BQ136" s="867">
        <f t="shared" ca="1" si="103"/>
        <v>0</v>
      </c>
      <c r="BR136" s="867">
        <f ca="1"/>
        <v>0</v>
      </c>
      <c r="BS136" s="867">
        <f ca="1"/>
        <v>0</v>
      </c>
      <c r="BT136" s="867">
        <f t="shared" ca="1" si="64"/>
        <v>-544488.16100271174</v>
      </c>
      <c r="BU136" s="867">
        <f t="shared" ca="1" si="104"/>
        <v>-28657.271631721669</v>
      </c>
      <c r="BV136" s="829">
        <f t="shared" ca="1" si="65"/>
        <v>2.9103830456733704E-11</v>
      </c>
      <c r="BX136" s="867">
        <f ca="1"/>
        <v>-573145.43263443338</v>
      </c>
      <c r="BY136" s="867">
        <f t="shared" ca="1" si="105"/>
        <v>-573145.43263443338</v>
      </c>
      <c r="BZ136" s="867">
        <f t="shared" ca="1" si="106"/>
        <v>0</v>
      </c>
      <c r="CA136" s="867">
        <f t="shared" ca="1" si="107"/>
        <v>0</v>
      </c>
      <c r="CB136" s="867">
        <f t="shared" ca="1" si="108"/>
        <v>0</v>
      </c>
      <c r="CC136" s="867">
        <f t="shared" ca="1" si="109"/>
        <v>0</v>
      </c>
      <c r="CD136" s="867">
        <f t="shared" ca="1" si="110"/>
        <v>-573145.43263443338</v>
      </c>
    </row>
    <row r="137" spans="1:82" ht="17" thickTop="1" thickBot="1">
      <c r="A137" s="773">
        <f t="shared" si="60"/>
        <v>1</v>
      </c>
      <c r="B137" s="779"/>
      <c r="C137" s="572"/>
      <c r="D137" s="660">
        <v>90</v>
      </c>
      <c r="E137" s="661">
        <v>48000</v>
      </c>
      <c r="F137" s="862">
        <v>8</v>
      </c>
      <c r="G137" s="863">
        <f ca="1"/>
        <v>-573145.43263443338</v>
      </c>
      <c r="H137" s="961"/>
      <c r="I137" s="865">
        <f t="shared" ca="1" si="66"/>
        <v>3487973.3547273399</v>
      </c>
      <c r="J137" s="864" cm="1">
        <f t="array" aca="1" ref="J137" ca="1">IF($G137=0,0,-MIN(0,G137*c_equity.LPshare))</f>
        <v>544488.16100271174</v>
      </c>
      <c r="K137" s="865" cm="1">
        <f t="array" aca="1" ref="K137" ca="1">I137*c_rate.Pref.MO</f>
        <v>22441.725587205379</v>
      </c>
      <c r="L137" s="865">
        <f t="shared" ca="1" si="67"/>
        <v>0</v>
      </c>
      <c r="M137" s="865">
        <f t="shared" ca="1" si="68"/>
        <v>4054903.2413172573</v>
      </c>
      <c r="N137" s="865">
        <f t="shared" ca="1" si="69"/>
        <v>-544488.16100271174</v>
      </c>
      <c r="O137" s="864" cm="1">
        <f t="array" aca="1" ref="O137" ca="1">IF(N137=0,0,IF(G137&lt;0,N137/c_equity.LPshare*i_equity.GPshare,L137/c_equity.LPshare*i_equity.GPshare))</f>
        <v>-28657.271631721669</v>
      </c>
      <c r="P137" s="865">
        <f t="shared" ca="1" si="70"/>
        <v>-573145.43263443338</v>
      </c>
      <c r="Q137" s="865">
        <f t="shared" ca="1" si="71"/>
        <v>0</v>
      </c>
      <c r="R137" s="161"/>
      <c r="S137" s="867">
        <f t="shared" ca="1" si="72"/>
        <v>3502867.5348171941</v>
      </c>
      <c r="T137" s="867" cm="1">
        <f t="array" aca="1" ref="T137" ca="1">IF($G137=0,0,-MIN(0,$G137*c_equity.LPshare))</f>
        <v>544488.16100271174</v>
      </c>
      <c r="U137" s="869" cm="1">
        <f t="array" aca="1" ref="U137" ca="1">IF($D137=0,0,S137*c_rate.Hurdle1.MO)</f>
        <v>27932.35762648025</v>
      </c>
      <c r="V137" s="867">
        <f t="shared" ca="1" si="73"/>
        <v>0</v>
      </c>
      <c r="W137" s="867">
        <f t="shared" ca="1" si="74"/>
        <v>0</v>
      </c>
      <c r="X137" s="869">
        <f t="shared" ca="1" si="75"/>
        <v>4075288.053446386</v>
      </c>
      <c r="Y137" s="869">
        <f t="shared" ca="1" si="76"/>
        <v>-544488.16100271174</v>
      </c>
      <c r="Z137" s="869">
        <f t="shared" ca="1" si="77"/>
        <v>-28657.271631721669</v>
      </c>
      <c r="AA137" s="869">
        <f t="shared" ca="1" si="78"/>
        <v>-573145.43263443338</v>
      </c>
      <c r="AB137" s="867">
        <f t="shared" ca="1" si="79"/>
        <v>0</v>
      </c>
      <c r="AC137" s="867"/>
      <c r="AD137" s="869">
        <f t="shared" ca="1" si="80"/>
        <v>3517589.3684276869</v>
      </c>
      <c r="AE137" s="867" cm="1">
        <f t="array" aca="1" ref="AE137" ca="1">IF($G137=0,0,-MIN(0,$G137*c_equity.LPshare))</f>
        <v>544488.16100271174</v>
      </c>
      <c r="AF137" s="869" cm="1">
        <f t="array" aca="1" ref="AF137" ca="1">IF($D137=0,0,AD137*(c_rate.Hurdle2.MO))</f>
        <v>33377.677145901071</v>
      </c>
      <c r="AG137" s="869">
        <f t="shared" ca="1" si="81"/>
        <v>0</v>
      </c>
      <c r="AH137" s="869">
        <f t="shared" ca="1" si="82"/>
        <v>0</v>
      </c>
      <c r="AI137" s="869">
        <f t="shared" ca="1" si="83"/>
        <v>4095455.2065762999</v>
      </c>
      <c r="AJ137" s="868">
        <f t="shared" ca="1" si="61"/>
        <v>-544488.16100271174</v>
      </c>
      <c r="AK137" s="867">
        <f t="shared" ca="1" si="84"/>
        <v>-544488.16100271174</v>
      </c>
      <c r="AL137" s="869">
        <f t="shared" ca="1" si="62"/>
        <v>-28657.271631721669</v>
      </c>
      <c r="AM137" s="869">
        <f t="shared" ca="1" si="85"/>
        <v>-573145.43263443338</v>
      </c>
      <c r="AN137" s="867">
        <f t="shared" ca="1" si="58"/>
        <v>0</v>
      </c>
      <c r="AO137" s="161"/>
      <c r="AP137" s="869">
        <f t="shared" ca="1" si="86"/>
        <v>3532144.0093318694</v>
      </c>
      <c r="AQ137" s="867" cm="1">
        <f t="array" aca="1" ref="AQ137" ca="1">IF($G137=0,0,-MIN(0,$G137*c_equity.LPshare))</f>
        <v>544488.16100271174</v>
      </c>
      <c r="AR137" s="869" cm="1">
        <f t="array" aca="1" ref="AR137" ca="1">IF($D137=0,0,AP137*(c_rate.Hurdle3.MO))</f>
        <v>38778.886145146666</v>
      </c>
      <c r="AS137" s="869">
        <f t="shared" ca="1" si="87"/>
        <v>0</v>
      </c>
      <c r="AT137" s="869">
        <f t="shared" ca="1" si="88"/>
        <v>0</v>
      </c>
      <c r="AU137" s="869">
        <f t="shared" ca="1" si="89"/>
        <v>4115411.0564797278</v>
      </c>
      <c r="AV137" s="870">
        <f t="shared" ca="1" si="90"/>
        <v>-544488.16100271174</v>
      </c>
      <c r="AW137" s="867">
        <f t="shared" ca="1" si="91"/>
        <v>-544488.16100271174</v>
      </c>
      <c r="AX137" s="869">
        <f t="shared" ca="1" si="63"/>
        <v>-28657.271631721669</v>
      </c>
      <c r="AY137" s="869">
        <f t="shared" ca="1" si="92"/>
        <v>-573145.43263443338</v>
      </c>
      <c r="AZ137" s="867">
        <f t="shared" ca="1" si="93"/>
        <v>0</v>
      </c>
      <c r="BA137" s="161"/>
      <c r="BB137" s="867">
        <f t="shared" ca="1" si="94"/>
        <v>0</v>
      </c>
      <c r="BC137" s="867">
        <f t="shared" ca="1" si="59"/>
        <v>0</v>
      </c>
      <c r="BD137" s="658"/>
      <c r="BE137" s="867">
        <f t="shared" ca="1" si="95"/>
        <v>-544488.16100271174</v>
      </c>
      <c r="BF137" s="867">
        <f t="shared" ca="1" si="96"/>
        <v>-28657.271631721669</v>
      </c>
      <c r="BG137" s="867">
        <f t="shared" ca="1" si="97"/>
        <v>-573145.43263443338</v>
      </c>
      <c r="BI137" s="867">
        <f ca="1"/>
        <v>-573145.43263443338</v>
      </c>
      <c r="BJ137" s="867">
        <f ca="1"/>
        <v>-544488.16100271174</v>
      </c>
      <c r="BK137" s="867">
        <f ca="1"/>
        <v>-28657.271631721669</v>
      </c>
      <c r="BL137" s="867">
        <f t="shared" ca="1" si="98"/>
        <v>0</v>
      </c>
      <c r="BM137" s="867">
        <f t="shared" ca="1" si="99"/>
        <v>0</v>
      </c>
      <c r="BN137" s="867">
        <f t="shared" ca="1" si="100"/>
        <v>0</v>
      </c>
      <c r="BO137" s="867">
        <f t="shared" ca="1" si="101"/>
        <v>0</v>
      </c>
      <c r="BP137" s="867">
        <f t="shared" ca="1" si="102"/>
        <v>0</v>
      </c>
      <c r="BQ137" s="867">
        <f t="shared" ca="1" si="103"/>
        <v>0</v>
      </c>
      <c r="BR137" s="867">
        <f ca="1"/>
        <v>0</v>
      </c>
      <c r="BS137" s="867">
        <f ca="1"/>
        <v>0</v>
      </c>
      <c r="BT137" s="867">
        <f t="shared" ca="1" si="64"/>
        <v>-544488.16100271174</v>
      </c>
      <c r="BU137" s="867">
        <f t="shared" ca="1" si="104"/>
        <v>-28657.271631721669</v>
      </c>
      <c r="BV137" s="829">
        <f t="shared" ca="1" si="65"/>
        <v>2.9103830456733704E-11</v>
      </c>
      <c r="BX137" s="867">
        <f ca="1"/>
        <v>-573145.43263443338</v>
      </c>
      <c r="BY137" s="867">
        <f t="shared" ca="1" si="105"/>
        <v>-573145.43263443338</v>
      </c>
      <c r="BZ137" s="867">
        <f t="shared" ca="1" si="106"/>
        <v>0</v>
      </c>
      <c r="CA137" s="867">
        <f t="shared" ca="1" si="107"/>
        <v>0</v>
      </c>
      <c r="CB137" s="867">
        <f t="shared" ca="1" si="108"/>
        <v>0</v>
      </c>
      <c r="CC137" s="867">
        <f t="shared" ca="1" si="109"/>
        <v>0</v>
      </c>
      <c r="CD137" s="867">
        <f t="shared" ca="1" si="110"/>
        <v>-573145.43263443338</v>
      </c>
    </row>
    <row r="138" spans="1:82" ht="17" thickTop="1" thickBot="1">
      <c r="A138" s="773">
        <f t="shared" si="60"/>
        <v>1</v>
      </c>
      <c r="B138" s="779"/>
      <c r="C138" s="572"/>
      <c r="D138" s="660">
        <v>91</v>
      </c>
      <c r="E138" s="661">
        <v>48030</v>
      </c>
      <c r="F138" s="862">
        <v>8</v>
      </c>
      <c r="G138" s="863">
        <f ca="1"/>
        <v>-573145.43263443338</v>
      </c>
      <c r="H138" s="961"/>
      <c r="I138" s="865">
        <f t="shared" ca="1" si="66"/>
        <v>4054903.2413172573</v>
      </c>
      <c r="J138" s="864" cm="1">
        <f t="array" aca="1" ref="J138" ca="1">IF($G138=0,0,-MIN(0,G138*c_equity.LPshare))</f>
        <v>544488.16100271174</v>
      </c>
      <c r="K138" s="865" cm="1">
        <f t="array" aca="1" ref="K138" ca="1">I138*c_rate.Pref.MO</f>
        <v>26089.36954778574</v>
      </c>
      <c r="L138" s="865">
        <f t="shared" ca="1" si="67"/>
        <v>0</v>
      </c>
      <c r="M138" s="865">
        <f t="shared" ca="1" si="68"/>
        <v>4625480.7718677549</v>
      </c>
      <c r="N138" s="865">
        <f t="shared" ca="1" si="69"/>
        <v>-544488.16100271174</v>
      </c>
      <c r="O138" s="864" cm="1">
        <f t="array" aca="1" ref="O138" ca="1">IF(N138=0,0,IF(G138&lt;0,N138/c_equity.LPshare*i_equity.GPshare,L138/c_equity.LPshare*i_equity.GPshare))</f>
        <v>-28657.271631721669</v>
      </c>
      <c r="P138" s="865">
        <f t="shared" ca="1" si="70"/>
        <v>-573145.43263443338</v>
      </c>
      <c r="Q138" s="865">
        <f t="shared" ca="1" si="71"/>
        <v>0</v>
      </c>
      <c r="R138" s="161"/>
      <c r="S138" s="867">
        <f t="shared" ca="1" si="72"/>
        <v>4075288.053446386</v>
      </c>
      <c r="T138" s="867" cm="1">
        <f t="array" aca="1" ref="T138" ca="1">IF($G138=0,0,-MIN(0,$G138*c_equity.LPshare))</f>
        <v>544488.16100271174</v>
      </c>
      <c r="U138" s="869" cm="1">
        <f t="array" aca="1" ref="U138" ca="1">IF($D138=0,0,S138*c_rate.Hurdle1.MO)</f>
        <v>32496.91922641535</v>
      </c>
      <c r="V138" s="867">
        <f t="shared" ca="1" si="73"/>
        <v>0</v>
      </c>
      <c r="W138" s="867">
        <f t="shared" ca="1" si="74"/>
        <v>0</v>
      </c>
      <c r="X138" s="869">
        <f t="shared" ca="1" si="75"/>
        <v>4652273.1336755129</v>
      </c>
      <c r="Y138" s="869">
        <f t="shared" ca="1" si="76"/>
        <v>-544488.16100271174</v>
      </c>
      <c r="Z138" s="869">
        <f t="shared" ca="1" si="77"/>
        <v>-28657.271631721669</v>
      </c>
      <c r="AA138" s="869">
        <f t="shared" ca="1" si="78"/>
        <v>-573145.43263443338</v>
      </c>
      <c r="AB138" s="867">
        <f t="shared" ca="1" si="79"/>
        <v>0</v>
      </c>
      <c r="AC138" s="867"/>
      <c r="AD138" s="869">
        <f t="shared" ca="1" si="80"/>
        <v>4095455.2065762999</v>
      </c>
      <c r="AE138" s="867" cm="1">
        <f t="array" aca="1" ref="AE138" ca="1">IF($G138=0,0,-MIN(0,$G138*c_equity.LPshare))</f>
        <v>544488.16100271174</v>
      </c>
      <c r="AF138" s="869" cm="1">
        <f t="array" aca="1" ref="AF138" ca="1">IF($D138=0,0,AD138*(c_rate.Hurdle2.MO))</f>
        <v>38860.926428062543</v>
      </c>
      <c r="AG138" s="869">
        <f t="shared" ca="1" si="81"/>
        <v>0</v>
      </c>
      <c r="AH138" s="869">
        <f t="shared" ca="1" si="82"/>
        <v>0</v>
      </c>
      <c r="AI138" s="869">
        <f t="shared" ca="1" si="83"/>
        <v>4678804.2940070741</v>
      </c>
      <c r="AJ138" s="868">
        <f t="shared" ca="1" si="61"/>
        <v>-544488.16100271174</v>
      </c>
      <c r="AK138" s="867">
        <f t="shared" ca="1" si="84"/>
        <v>-544488.16100271174</v>
      </c>
      <c r="AL138" s="869">
        <f t="shared" ca="1" si="62"/>
        <v>-28657.271631721669</v>
      </c>
      <c r="AM138" s="869">
        <f t="shared" ca="1" si="85"/>
        <v>-573145.43263443338</v>
      </c>
      <c r="AN138" s="867">
        <f t="shared" ca="1" si="58"/>
        <v>0</v>
      </c>
      <c r="AO138" s="161"/>
      <c r="AP138" s="869">
        <f t="shared" ca="1" si="86"/>
        <v>4115411.0564797278</v>
      </c>
      <c r="AQ138" s="867" cm="1">
        <f t="array" aca="1" ref="AQ138" ca="1">IF($G138=0,0,-MIN(0,$G138*c_equity.LPshare))</f>
        <v>544488.16100271174</v>
      </c>
      <c r="AR138" s="869" cm="1">
        <f t="array" aca="1" ref="AR138" ca="1">IF($D138=0,0,AP138*(c_rate.Hurdle3.MO))</f>
        <v>45182.488703197843</v>
      </c>
      <c r="AS138" s="869">
        <f t="shared" ca="1" si="87"/>
        <v>0</v>
      </c>
      <c r="AT138" s="869">
        <f t="shared" ca="1" si="88"/>
        <v>0</v>
      </c>
      <c r="AU138" s="869">
        <f t="shared" ca="1" si="89"/>
        <v>4705081.706185637</v>
      </c>
      <c r="AV138" s="870">
        <f t="shared" ca="1" si="90"/>
        <v>-544488.16100271174</v>
      </c>
      <c r="AW138" s="867">
        <f t="shared" ca="1" si="91"/>
        <v>-544488.16100271174</v>
      </c>
      <c r="AX138" s="869">
        <f t="shared" ca="1" si="63"/>
        <v>-28657.271631721669</v>
      </c>
      <c r="AY138" s="869">
        <f t="shared" ca="1" si="92"/>
        <v>-573145.43263443338</v>
      </c>
      <c r="AZ138" s="867">
        <f t="shared" ca="1" si="93"/>
        <v>0</v>
      </c>
      <c r="BA138" s="161"/>
      <c r="BB138" s="867">
        <f t="shared" ca="1" si="94"/>
        <v>0</v>
      </c>
      <c r="BC138" s="867">
        <f t="shared" ca="1" si="59"/>
        <v>0</v>
      </c>
      <c r="BD138" s="658"/>
      <c r="BE138" s="867">
        <f t="shared" ca="1" si="95"/>
        <v>-544488.16100271174</v>
      </c>
      <c r="BF138" s="867">
        <f t="shared" ca="1" si="96"/>
        <v>-28657.271631721669</v>
      </c>
      <c r="BG138" s="867">
        <f t="shared" ca="1" si="97"/>
        <v>-573145.43263443338</v>
      </c>
      <c r="BI138" s="867">
        <f ca="1"/>
        <v>-573145.43263443338</v>
      </c>
      <c r="BJ138" s="867">
        <f ca="1"/>
        <v>-544488.16100271174</v>
      </c>
      <c r="BK138" s="867">
        <f ca="1"/>
        <v>-28657.271631721669</v>
      </c>
      <c r="BL138" s="867">
        <f t="shared" ca="1" si="98"/>
        <v>0</v>
      </c>
      <c r="BM138" s="867">
        <f t="shared" ca="1" si="99"/>
        <v>0</v>
      </c>
      <c r="BN138" s="867">
        <f t="shared" ca="1" si="100"/>
        <v>0</v>
      </c>
      <c r="BO138" s="867">
        <f t="shared" ca="1" si="101"/>
        <v>0</v>
      </c>
      <c r="BP138" s="867">
        <f t="shared" ca="1" si="102"/>
        <v>0</v>
      </c>
      <c r="BQ138" s="867">
        <f t="shared" ca="1" si="103"/>
        <v>0</v>
      </c>
      <c r="BR138" s="867">
        <f ca="1"/>
        <v>0</v>
      </c>
      <c r="BS138" s="867">
        <f ca="1"/>
        <v>0</v>
      </c>
      <c r="BT138" s="867">
        <f t="shared" ca="1" si="64"/>
        <v>-544488.16100271174</v>
      </c>
      <c r="BU138" s="867">
        <f t="shared" ca="1" si="104"/>
        <v>-28657.271631721669</v>
      </c>
      <c r="BV138" s="829">
        <f t="shared" ca="1" si="65"/>
        <v>2.9103830456733704E-11</v>
      </c>
      <c r="BX138" s="867">
        <f ca="1"/>
        <v>-573145.43263443338</v>
      </c>
      <c r="BY138" s="867">
        <f t="shared" ca="1" si="105"/>
        <v>-573145.43263443338</v>
      </c>
      <c r="BZ138" s="867">
        <f t="shared" ca="1" si="106"/>
        <v>0</v>
      </c>
      <c r="CA138" s="867">
        <f t="shared" ca="1" si="107"/>
        <v>0</v>
      </c>
      <c r="CB138" s="867">
        <f t="shared" ca="1" si="108"/>
        <v>0</v>
      </c>
      <c r="CC138" s="867">
        <f t="shared" ca="1" si="109"/>
        <v>0</v>
      </c>
      <c r="CD138" s="867">
        <f t="shared" ca="1" si="110"/>
        <v>-573145.43263443338</v>
      </c>
    </row>
    <row r="139" spans="1:82" ht="17" thickTop="1" thickBot="1">
      <c r="A139" s="773">
        <f t="shared" si="60"/>
        <v>1</v>
      </c>
      <c r="B139" s="779"/>
      <c r="C139" s="572"/>
      <c r="D139" s="660">
        <v>92</v>
      </c>
      <c r="E139" s="661">
        <v>48061</v>
      </c>
      <c r="F139" s="862">
        <v>8</v>
      </c>
      <c r="G139" s="863">
        <f ca="1"/>
        <v>-573145.43263443338</v>
      </c>
      <c r="H139" s="961"/>
      <c r="I139" s="865">
        <f t="shared" ca="1" si="66"/>
        <v>4625480.7718677549</v>
      </c>
      <c r="J139" s="864" cm="1">
        <f t="array" aca="1" ref="J139" ca="1">IF($G139=0,0,-MIN(0,G139*c_equity.LPshare))</f>
        <v>544488.16100271174</v>
      </c>
      <c r="K139" s="865" cm="1">
        <f t="array" aca="1" ref="K139" ca="1">I139*c_rate.Pref.MO</f>
        <v>29760.482559439042</v>
      </c>
      <c r="L139" s="865">
        <f t="shared" ca="1" si="67"/>
        <v>0</v>
      </c>
      <c r="M139" s="865">
        <f t="shared" ca="1" si="68"/>
        <v>5199729.4154299051</v>
      </c>
      <c r="N139" s="865">
        <f t="shared" ca="1" si="69"/>
        <v>-544488.16100271174</v>
      </c>
      <c r="O139" s="864" cm="1">
        <f t="array" aca="1" ref="O139" ca="1">IF(N139=0,0,IF(G139&lt;0,N139/c_equity.LPshare*i_equity.GPshare,L139/c_equity.LPshare*i_equity.GPshare))</f>
        <v>-28657.271631721669</v>
      </c>
      <c r="P139" s="865">
        <f t="shared" ca="1" si="70"/>
        <v>-573145.43263443338</v>
      </c>
      <c r="Q139" s="865">
        <f t="shared" ca="1" si="71"/>
        <v>0</v>
      </c>
      <c r="R139" s="161"/>
      <c r="S139" s="867">
        <f t="shared" ca="1" si="72"/>
        <v>4652273.1336755129</v>
      </c>
      <c r="T139" s="867" cm="1">
        <f t="array" aca="1" ref="T139" ca="1">IF($G139=0,0,-MIN(0,$G139*c_equity.LPshare))</f>
        <v>544488.16100271174</v>
      </c>
      <c r="U139" s="869" cm="1">
        <f t="array" aca="1" ref="U139" ca="1">IF($D139=0,0,S139*c_rate.Hurdle1.MO)</f>
        <v>37097.879281544716</v>
      </c>
      <c r="V139" s="867">
        <f t="shared" ca="1" si="73"/>
        <v>0</v>
      </c>
      <c r="W139" s="867">
        <f t="shared" ca="1" si="74"/>
        <v>0</v>
      </c>
      <c r="X139" s="869">
        <f t="shared" ca="1" si="75"/>
        <v>5233859.1739597693</v>
      </c>
      <c r="Y139" s="869">
        <f t="shared" ca="1" si="76"/>
        <v>-544488.16100271174</v>
      </c>
      <c r="Z139" s="869">
        <f t="shared" ca="1" si="77"/>
        <v>-28657.271631721669</v>
      </c>
      <c r="AA139" s="869">
        <f t="shared" ca="1" si="78"/>
        <v>-573145.43263443338</v>
      </c>
      <c r="AB139" s="867">
        <f t="shared" ca="1" si="79"/>
        <v>0</v>
      </c>
      <c r="AC139" s="867"/>
      <c r="AD139" s="869">
        <f t="shared" ca="1" si="80"/>
        <v>4678804.2940070741</v>
      </c>
      <c r="AE139" s="867" cm="1">
        <f t="array" aca="1" ref="AE139" ca="1">IF($G139=0,0,-MIN(0,$G139*c_equity.LPshare))</f>
        <v>544488.16100271174</v>
      </c>
      <c r="AF139" s="869" cm="1">
        <f t="array" aca="1" ref="AF139" ca="1">IF($D139=0,0,AD139*(c_rate.Hurdle2.MO))</f>
        <v>44396.20512727114</v>
      </c>
      <c r="AG139" s="869">
        <f t="shared" ca="1" si="81"/>
        <v>0</v>
      </c>
      <c r="AH139" s="869">
        <f t="shared" ca="1" si="82"/>
        <v>0</v>
      </c>
      <c r="AI139" s="869">
        <f t="shared" ca="1" si="83"/>
        <v>5267688.6601370564</v>
      </c>
      <c r="AJ139" s="868">
        <f t="shared" ca="1" si="61"/>
        <v>-544488.16100271174</v>
      </c>
      <c r="AK139" s="867">
        <f t="shared" ca="1" si="84"/>
        <v>-544488.16100271174</v>
      </c>
      <c r="AL139" s="869">
        <f t="shared" ca="1" si="62"/>
        <v>-28657.271631721669</v>
      </c>
      <c r="AM139" s="869">
        <f t="shared" ca="1" si="85"/>
        <v>-573145.43263443338</v>
      </c>
      <c r="AN139" s="867">
        <f t="shared" ca="1" si="58"/>
        <v>0</v>
      </c>
      <c r="AO139" s="161"/>
      <c r="AP139" s="869">
        <f t="shared" ca="1" si="86"/>
        <v>4705081.706185637</v>
      </c>
      <c r="AQ139" s="867" cm="1">
        <f t="array" aca="1" ref="AQ139" ca="1">IF($G139=0,0,-MIN(0,$G139*c_equity.LPshare))</f>
        <v>544488.16100271174</v>
      </c>
      <c r="AR139" s="869" cm="1">
        <f t="array" aca="1" ref="AR139" ca="1">IF($D139=0,0,AP139*(c_rate.Hurdle3.MO))</f>
        <v>51656.395465681613</v>
      </c>
      <c r="AS139" s="869">
        <f t="shared" ca="1" si="87"/>
        <v>0</v>
      </c>
      <c r="AT139" s="869">
        <f t="shared" ca="1" si="88"/>
        <v>0</v>
      </c>
      <c r="AU139" s="869">
        <f t="shared" ca="1" si="89"/>
        <v>5301226.2626540298</v>
      </c>
      <c r="AV139" s="870">
        <f t="shared" ca="1" si="90"/>
        <v>-544488.16100271174</v>
      </c>
      <c r="AW139" s="867">
        <f t="shared" ca="1" si="91"/>
        <v>-544488.16100271174</v>
      </c>
      <c r="AX139" s="869">
        <f t="shared" ca="1" si="63"/>
        <v>-28657.271631721669</v>
      </c>
      <c r="AY139" s="869">
        <f t="shared" ca="1" si="92"/>
        <v>-573145.43263443338</v>
      </c>
      <c r="AZ139" s="867">
        <f t="shared" ca="1" si="93"/>
        <v>0</v>
      </c>
      <c r="BA139" s="161"/>
      <c r="BB139" s="867">
        <f t="shared" ca="1" si="94"/>
        <v>0</v>
      </c>
      <c r="BC139" s="867">
        <f t="shared" ca="1" si="59"/>
        <v>0</v>
      </c>
      <c r="BD139" s="658"/>
      <c r="BE139" s="867">
        <f t="shared" ca="1" si="95"/>
        <v>-544488.16100271174</v>
      </c>
      <c r="BF139" s="867">
        <f t="shared" ca="1" si="96"/>
        <v>-28657.271631721669</v>
      </c>
      <c r="BG139" s="867">
        <f t="shared" ca="1" si="97"/>
        <v>-573145.43263443338</v>
      </c>
      <c r="BI139" s="867">
        <f ca="1"/>
        <v>-573145.43263443338</v>
      </c>
      <c r="BJ139" s="867">
        <f ca="1"/>
        <v>-544488.16100271174</v>
      </c>
      <c r="BK139" s="867">
        <f ca="1"/>
        <v>-28657.271631721669</v>
      </c>
      <c r="BL139" s="867">
        <f t="shared" ca="1" si="98"/>
        <v>0</v>
      </c>
      <c r="BM139" s="867">
        <f t="shared" ca="1" si="99"/>
        <v>0</v>
      </c>
      <c r="BN139" s="867">
        <f t="shared" ca="1" si="100"/>
        <v>0</v>
      </c>
      <c r="BO139" s="867">
        <f t="shared" ca="1" si="101"/>
        <v>0</v>
      </c>
      <c r="BP139" s="867">
        <f t="shared" ca="1" si="102"/>
        <v>0</v>
      </c>
      <c r="BQ139" s="867">
        <f t="shared" ca="1" si="103"/>
        <v>0</v>
      </c>
      <c r="BR139" s="867">
        <f ca="1"/>
        <v>0</v>
      </c>
      <c r="BS139" s="867">
        <f ca="1"/>
        <v>0</v>
      </c>
      <c r="BT139" s="867">
        <f t="shared" ca="1" si="64"/>
        <v>-544488.16100271174</v>
      </c>
      <c r="BU139" s="867">
        <f t="shared" ca="1" si="104"/>
        <v>-28657.271631721669</v>
      </c>
      <c r="BV139" s="829">
        <f t="shared" ca="1" si="65"/>
        <v>2.9103830456733704E-11</v>
      </c>
      <c r="BX139" s="867">
        <f ca="1"/>
        <v>-573145.43263443338</v>
      </c>
      <c r="BY139" s="867">
        <f t="shared" ca="1" si="105"/>
        <v>-573145.43263443338</v>
      </c>
      <c r="BZ139" s="867">
        <f t="shared" ca="1" si="106"/>
        <v>0</v>
      </c>
      <c r="CA139" s="867">
        <f t="shared" ca="1" si="107"/>
        <v>0</v>
      </c>
      <c r="CB139" s="867">
        <f t="shared" ca="1" si="108"/>
        <v>0</v>
      </c>
      <c r="CC139" s="867">
        <f t="shared" ca="1" si="109"/>
        <v>0</v>
      </c>
      <c r="CD139" s="867">
        <f t="shared" ca="1" si="110"/>
        <v>-573145.43263443338</v>
      </c>
    </row>
    <row r="140" spans="1:82" ht="17" thickTop="1" thickBot="1">
      <c r="A140" s="773">
        <f t="shared" si="60"/>
        <v>1</v>
      </c>
      <c r="B140" s="779"/>
      <c r="C140" s="572"/>
      <c r="D140" s="660">
        <v>93</v>
      </c>
      <c r="E140" s="661">
        <v>48092</v>
      </c>
      <c r="F140" s="862">
        <v>8</v>
      </c>
      <c r="G140" s="863">
        <f ca="1"/>
        <v>-573145.43263443338</v>
      </c>
      <c r="H140" s="961"/>
      <c r="I140" s="865">
        <f t="shared" ca="1" si="66"/>
        <v>5199729.4154299051</v>
      </c>
      <c r="J140" s="864" cm="1">
        <f t="array" aca="1" ref="J140" ca="1">IF($G140=0,0,-MIN(0,G140*c_equity.LPshare))</f>
        <v>544488.16100271174</v>
      </c>
      <c r="K140" s="865" cm="1">
        <f t="array" aca="1" ref="K140" ca="1">I140*c_rate.Pref.MO</f>
        <v>33455.215622746546</v>
      </c>
      <c r="L140" s="865">
        <f t="shared" ca="1" si="67"/>
        <v>0</v>
      </c>
      <c r="M140" s="865">
        <f t="shared" ca="1" si="68"/>
        <v>5777672.7920553628</v>
      </c>
      <c r="N140" s="865">
        <f t="shared" ca="1" si="69"/>
        <v>-544488.16100271174</v>
      </c>
      <c r="O140" s="864" cm="1">
        <f t="array" aca="1" ref="O140" ca="1">IF(N140=0,0,IF(G140&lt;0,N140/c_equity.LPshare*i_equity.GPshare,L140/c_equity.LPshare*i_equity.GPshare))</f>
        <v>-28657.271631721669</v>
      </c>
      <c r="P140" s="865">
        <f t="shared" ca="1" si="70"/>
        <v>-573145.43263443338</v>
      </c>
      <c r="Q140" s="865">
        <f t="shared" ca="1" si="71"/>
        <v>0</v>
      </c>
      <c r="R140" s="161"/>
      <c r="S140" s="867">
        <f t="shared" ca="1" si="72"/>
        <v>5233859.1739597693</v>
      </c>
      <c r="T140" s="867" cm="1">
        <f t="array" aca="1" ref="T140" ca="1">IF($G140=0,0,-MIN(0,$G140*c_equity.LPshare))</f>
        <v>544488.16100271174</v>
      </c>
      <c r="U140" s="869" cm="1">
        <f t="array" aca="1" ref="U140" ca="1">IF($D140=0,0,S140*c_rate.Hurdle1.MO)</f>
        <v>41735.528038261458</v>
      </c>
      <c r="V140" s="867">
        <f t="shared" ca="1" si="73"/>
        <v>0</v>
      </c>
      <c r="W140" s="867">
        <f t="shared" ca="1" si="74"/>
        <v>0</v>
      </c>
      <c r="X140" s="869">
        <f t="shared" ca="1" si="75"/>
        <v>5820082.8630007422</v>
      </c>
      <c r="Y140" s="869">
        <f t="shared" ca="1" si="76"/>
        <v>-544488.16100271174</v>
      </c>
      <c r="Z140" s="869">
        <f t="shared" ca="1" si="77"/>
        <v>-28657.271631721669</v>
      </c>
      <c r="AA140" s="869">
        <f t="shared" ca="1" si="78"/>
        <v>-573145.43263443338</v>
      </c>
      <c r="AB140" s="867">
        <f t="shared" ca="1" si="79"/>
        <v>0</v>
      </c>
      <c r="AC140" s="867"/>
      <c r="AD140" s="869">
        <f t="shared" ca="1" si="80"/>
        <v>5267688.6601370564</v>
      </c>
      <c r="AE140" s="867" cm="1">
        <f t="array" aca="1" ref="AE140" ca="1">IF($G140=0,0,-MIN(0,$G140*c_equity.LPshare))</f>
        <v>544488.16100271174</v>
      </c>
      <c r="AF140" s="869" cm="1">
        <f t="array" aca="1" ref="AF140" ca="1">IF($D140=0,0,AD140*(c_rate.Hurdle2.MO))</f>
        <v>49984.006939891733</v>
      </c>
      <c r="AG140" s="869">
        <f t="shared" ca="1" si="81"/>
        <v>0</v>
      </c>
      <c r="AH140" s="869">
        <f t="shared" ca="1" si="82"/>
        <v>0</v>
      </c>
      <c r="AI140" s="869">
        <f t="shared" ca="1" si="83"/>
        <v>5862160.8280796595</v>
      </c>
      <c r="AJ140" s="868">
        <f t="shared" ca="1" si="61"/>
        <v>-544488.16100271174</v>
      </c>
      <c r="AK140" s="867">
        <f t="shared" ca="1" si="84"/>
        <v>-544488.16100271174</v>
      </c>
      <c r="AL140" s="869">
        <f t="shared" ca="1" si="62"/>
        <v>-28657.271631721669</v>
      </c>
      <c r="AM140" s="869">
        <f t="shared" ca="1" si="85"/>
        <v>-573145.43263443338</v>
      </c>
      <c r="AN140" s="867">
        <f t="shared" ca="1" si="58"/>
        <v>0</v>
      </c>
      <c r="AO140" s="161"/>
      <c r="AP140" s="869">
        <f t="shared" ca="1" si="86"/>
        <v>5301226.2626540298</v>
      </c>
      <c r="AQ140" s="867" cm="1">
        <f t="array" aca="1" ref="AQ140" ca="1">IF($G140=0,0,-MIN(0,$G140*c_equity.LPshare))</f>
        <v>544488.16100271174</v>
      </c>
      <c r="AR140" s="869" cm="1">
        <f t="array" aca="1" ref="AR140" ca="1">IF($D140=0,0,AP140*(c_rate.Hurdle3.MO))</f>
        <v>58201.378292049914</v>
      </c>
      <c r="AS140" s="869">
        <f t="shared" ca="1" si="87"/>
        <v>0</v>
      </c>
      <c r="AT140" s="869">
        <f t="shared" ca="1" si="88"/>
        <v>0</v>
      </c>
      <c r="AU140" s="869">
        <f t="shared" ca="1" si="89"/>
        <v>5903915.8019487914</v>
      </c>
      <c r="AV140" s="870">
        <f t="shared" ca="1" si="90"/>
        <v>-544488.16100271174</v>
      </c>
      <c r="AW140" s="867">
        <f t="shared" ca="1" si="91"/>
        <v>-544488.16100271174</v>
      </c>
      <c r="AX140" s="869">
        <f t="shared" ca="1" si="63"/>
        <v>-28657.271631721669</v>
      </c>
      <c r="AY140" s="869">
        <f t="shared" ca="1" si="92"/>
        <v>-573145.43263443338</v>
      </c>
      <c r="AZ140" s="867">
        <f t="shared" ca="1" si="93"/>
        <v>0</v>
      </c>
      <c r="BA140" s="161"/>
      <c r="BB140" s="867">
        <f t="shared" ca="1" si="94"/>
        <v>0</v>
      </c>
      <c r="BC140" s="867">
        <f t="shared" ca="1" si="59"/>
        <v>0</v>
      </c>
      <c r="BD140" s="658"/>
      <c r="BE140" s="867">
        <f t="shared" ca="1" si="95"/>
        <v>-544488.16100271174</v>
      </c>
      <c r="BF140" s="867">
        <f t="shared" ca="1" si="96"/>
        <v>-28657.271631721669</v>
      </c>
      <c r="BG140" s="867">
        <f t="shared" ca="1" si="97"/>
        <v>-573145.43263443338</v>
      </c>
      <c r="BI140" s="867">
        <f ca="1"/>
        <v>-573145.43263443338</v>
      </c>
      <c r="BJ140" s="867">
        <f ca="1"/>
        <v>-544488.16100271174</v>
      </c>
      <c r="BK140" s="867">
        <f ca="1"/>
        <v>-28657.271631721669</v>
      </c>
      <c r="BL140" s="867">
        <f t="shared" ca="1" si="98"/>
        <v>0</v>
      </c>
      <c r="BM140" s="867">
        <f t="shared" ca="1" si="99"/>
        <v>0</v>
      </c>
      <c r="BN140" s="867">
        <f t="shared" ca="1" si="100"/>
        <v>0</v>
      </c>
      <c r="BO140" s="867">
        <f t="shared" ca="1" si="101"/>
        <v>0</v>
      </c>
      <c r="BP140" s="867">
        <f t="shared" ca="1" si="102"/>
        <v>0</v>
      </c>
      <c r="BQ140" s="867">
        <f t="shared" ca="1" si="103"/>
        <v>0</v>
      </c>
      <c r="BR140" s="867">
        <f ca="1"/>
        <v>0</v>
      </c>
      <c r="BS140" s="867">
        <f ca="1"/>
        <v>0</v>
      </c>
      <c r="BT140" s="867">
        <f t="shared" ca="1" si="64"/>
        <v>-544488.16100271174</v>
      </c>
      <c r="BU140" s="867">
        <f t="shared" ca="1" si="104"/>
        <v>-28657.271631721669</v>
      </c>
      <c r="BV140" s="829">
        <f t="shared" ca="1" si="65"/>
        <v>2.9103830456733704E-11</v>
      </c>
      <c r="BX140" s="867">
        <f ca="1"/>
        <v>-573145.43263443338</v>
      </c>
      <c r="BY140" s="867">
        <f t="shared" ca="1" si="105"/>
        <v>-573145.43263443338</v>
      </c>
      <c r="BZ140" s="867">
        <f t="shared" ca="1" si="106"/>
        <v>0</v>
      </c>
      <c r="CA140" s="867">
        <f t="shared" ca="1" si="107"/>
        <v>0</v>
      </c>
      <c r="CB140" s="867">
        <f t="shared" ca="1" si="108"/>
        <v>0</v>
      </c>
      <c r="CC140" s="867">
        <f t="shared" ca="1" si="109"/>
        <v>0</v>
      </c>
      <c r="CD140" s="867">
        <f t="shared" ca="1" si="110"/>
        <v>-573145.43263443338</v>
      </c>
    </row>
    <row r="141" spans="1:82" ht="17" thickTop="1" thickBot="1">
      <c r="A141" s="773">
        <f t="shared" si="60"/>
        <v>1</v>
      </c>
      <c r="B141" s="779"/>
      <c r="C141" s="572"/>
      <c r="D141" s="660">
        <v>94</v>
      </c>
      <c r="E141" s="661">
        <v>48122</v>
      </c>
      <c r="F141" s="862">
        <v>8</v>
      </c>
      <c r="G141" s="863">
        <f ca="1"/>
        <v>-573145.43263443338</v>
      </c>
      <c r="H141" s="961"/>
      <c r="I141" s="865">
        <f t="shared" ca="1" si="66"/>
        <v>5777672.7920553628</v>
      </c>
      <c r="J141" s="864" cm="1">
        <f t="array" aca="1" ref="J141" ca="1">IF($G141=0,0,-MIN(0,G141*c_equity.LPshare))</f>
        <v>544488.16100271174</v>
      </c>
      <c r="K141" s="865" cm="1">
        <f t="array" aca="1" ref="K141" ca="1">I141*c_rate.Pref.MO</f>
        <v>37173.720709831796</v>
      </c>
      <c r="L141" s="865">
        <f t="shared" ca="1" si="67"/>
        <v>0</v>
      </c>
      <c r="M141" s="865">
        <f t="shared" ca="1" si="68"/>
        <v>6359334.6737679057</v>
      </c>
      <c r="N141" s="865">
        <f t="shared" ca="1" si="69"/>
        <v>-544488.16100271174</v>
      </c>
      <c r="O141" s="864" cm="1">
        <f t="array" aca="1" ref="O141" ca="1">IF(N141=0,0,IF(G141&lt;0,N141/c_equity.LPshare*i_equity.GPshare,L141/c_equity.LPshare*i_equity.GPshare))</f>
        <v>-28657.271631721669</v>
      </c>
      <c r="P141" s="865">
        <f t="shared" ca="1" si="70"/>
        <v>-573145.43263443338</v>
      </c>
      <c r="Q141" s="865">
        <f t="shared" ca="1" si="71"/>
        <v>0</v>
      </c>
      <c r="R141" s="161"/>
      <c r="S141" s="867">
        <f t="shared" ca="1" si="72"/>
        <v>5820082.8630007422</v>
      </c>
      <c r="T141" s="867" cm="1">
        <f t="array" aca="1" ref="T141" ca="1">IF($G141=0,0,-MIN(0,$G141*c_equity.LPshare))</f>
        <v>544488.16100271174</v>
      </c>
      <c r="U141" s="869" cm="1">
        <f t="array" aca="1" ref="U141" ca="1">IF($D141=0,0,S141*c_rate.Hurdle1.MO)</f>
        <v>46410.158057424189</v>
      </c>
      <c r="V141" s="867">
        <f t="shared" ca="1" si="73"/>
        <v>0</v>
      </c>
      <c r="W141" s="867">
        <f t="shared" ca="1" si="74"/>
        <v>0</v>
      </c>
      <c r="X141" s="869">
        <f t="shared" ca="1" si="75"/>
        <v>6410981.1820608778</v>
      </c>
      <c r="Y141" s="869">
        <f t="shared" ca="1" si="76"/>
        <v>-544488.16100271174</v>
      </c>
      <c r="Z141" s="869">
        <f t="shared" ca="1" si="77"/>
        <v>-28657.271631721669</v>
      </c>
      <c r="AA141" s="869">
        <f t="shared" ca="1" si="78"/>
        <v>-573145.43263443338</v>
      </c>
      <c r="AB141" s="867">
        <f t="shared" ca="1" si="79"/>
        <v>0</v>
      </c>
      <c r="AC141" s="867"/>
      <c r="AD141" s="869">
        <f t="shared" ca="1" si="80"/>
        <v>5862160.8280796595</v>
      </c>
      <c r="AE141" s="867" cm="1">
        <f t="array" aca="1" ref="AE141" ca="1">IF($G141=0,0,-MIN(0,$G141*c_equity.LPshare))</f>
        <v>544488.16100271174</v>
      </c>
      <c r="AF141" s="869" cm="1">
        <f t="array" aca="1" ref="AF141" ca="1">IF($D141=0,0,AD141*(c_rate.Hurdle2.MO))</f>
        <v>55624.830246871767</v>
      </c>
      <c r="AG141" s="869">
        <f t="shared" ca="1" si="81"/>
        <v>0</v>
      </c>
      <c r="AH141" s="869">
        <f t="shared" ca="1" si="82"/>
        <v>0</v>
      </c>
      <c r="AI141" s="869">
        <f t="shared" ca="1" si="83"/>
        <v>6462273.8193292422</v>
      </c>
      <c r="AJ141" s="868">
        <f t="shared" ca="1" si="61"/>
        <v>-544488.16100271174</v>
      </c>
      <c r="AK141" s="867">
        <f t="shared" ca="1" si="84"/>
        <v>-544488.16100271174</v>
      </c>
      <c r="AL141" s="869">
        <f t="shared" ca="1" si="62"/>
        <v>-28657.271631721669</v>
      </c>
      <c r="AM141" s="869">
        <f t="shared" ca="1" si="85"/>
        <v>-573145.43263443338</v>
      </c>
      <c r="AN141" s="867">
        <f t="shared" ca="1" si="58"/>
        <v>0</v>
      </c>
      <c r="AO141" s="161"/>
      <c r="AP141" s="869">
        <f t="shared" ca="1" si="86"/>
        <v>5903915.8019487914</v>
      </c>
      <c r="AQ141" s="867" cm="1">
        <f t="array" aca="1" ref="AQ141" ca="1">IF($G141=0,0,-MIN(0,$G141*c_equity.LPshare))</f>
        <v>544488.16100271174</v>
      </c>
      <c r="AR141" s="869" cm="1">
        <f t="array" aca="1" ref="AR141" ca="1">IF($D141=0,0,AP141*(c_rate.Hurdle3.MO))</f>
        <v>64818.217515885342</v>
      </c>
      <c r="AS141" s="869">
        <f t="shared" ca="1" si="87"/>
        <v>0</v>
      </c>
      <c r="AT141" s="869">
        <f t="shared" ca="1" si="88"/>
        <v>0</v>
      </c>
      <c r="AU141" s="869">
        <f t="shared" ca="1" si="89"/>
        <v>6513222.1804673877</v>
      </c>
      <c r="AV141" s="870">
        <f t="shared" ca="1" si="90"/>
        <v>-544488.16100271174</v>
      </c>
      <c r="AW141" s="867">
        <f t="shared" ca="1" si="91"/>
        <v>-544488.16100271174</v>
      </c>
      <c r="AX141" s="869">
        <f t="shared" ca="1" si="63"/>
        <v>-28657.271631721669</v>
      </c>
      <c r="AY141" s="869">
        <f t="shared" ca="1" si="92"/>
        <v>-573145.43263443338</v>
      </c>
      <c r="AZ141" s="867">
        <f t="shared" ca="1" si="93"/>
        <v>0</v>
      </c>
      <c r="BA141" s="161"/>
      <c r="BB141" s="867">
        <f t="shared" ca="1" si="94"/>
        <v>0</v>
      </c>
      <c r="BC141" s="867">
        <f t="shared" ca="1" si="59"/>
        <v>0</v>
      </c>
      <c r="BD141" s="658"/>
      <c r="BE141" s="867">
        <f t="shared" ca="1" si="95"/>
        <v>-544488.16100271174</v>
      </c>
      <c r="BF141" s="867">
        <f t="shared" ca="1" si="96"/>
        <v>-28657.271631721669</v>
      </c>
      <c r="BG141" s="867">
        <f t="shared" ca="1" si="97"/>
        <v>-573145.43263443338</v>
      </c>
      <c r="BI141" s="867">
        <f ca="1"/>
        <v>-573145.43263443338</v>
      </c>
      <c r="BJ141" s="867">
        <f ca="1"/>
        <v>-544488.16100271174</v>
      </c>
      <c r="BK141" s="867">
        <f ca="1"/>
        <v>-28657.271631721669</v>
      </c>
      <c r="BL141" s="867">
        <f t="shared" ca="1" si="98"/>
        <v>0</v>
      </c>
      <c r="BM141" s="867">
        <f t="shared" ca="1" si="99"/>
        <v>0</v>
      </c>
      <c r="BN141" s="867">
        <f t="shared" ca="1" si="100"/>
        <v>0</v>
      </c>
      <c r="BO141" s="867">
        <f t="shared" ca="1" si="101"/>
        <v>0</v>
      </c>
      <c r="BP141" s="867">
        <f t="shared" ca="1" si="102"/>
        <v>0</v>
      </c>
      <c r="BQ141" s="867">
        <f t="shared" ca="1" si="103"/>
        <v>0</v>
      </c>
      <c r="BR141" s="867">
        <f ca="1"/>
        <v>0</v>
      </c>
      <c r="BS141" s="867">
        <f ca="1"/>
        <v>0</v>
      </c>
      <c r="BT141" s="867">
        <f t="shared" ca="1" si="64"/>
        <v>-544488.16100271174</v>
      </c>
      <c r="BU141" s="867">
        <f t="shared" ca="1" si="104"/>
        <v>-28657.271631721669</v>
      </c>
      <c r="BV141" s="829">
        <f t="shared" ca="1" si="65"/>
        <v>2.9103830456733704E-11</v>
      </c>
      <c r="BX141" s="867">
        <f ca="1"/>
        <v>-573145.43263443338</v>
      </c>
      <c r="BY141" s="867">
        <f t="shared" ca="1" si="105"/>
        <v>-573145.43263443338</v>
      </c>
      <c r="BZ141" s="867">
        <f t="shared" ca="1" si="106"/>
        <v>0</v>
      </c>
      <c r="CA141" s="867">
        <f t="shared" ca="1" si="107"/>
        <v>0</v>
      </c>
      <c r="CB141" s="867">
        <f t="shared" ca="1" si="108"/>
        <v>0</v>
      </c>
      <c r="CC141" s="867">
        <f t="shared" ca="1" si="109"/>
        <v>0</v>
      </c>
      <c r="CD141" s="867">
        <f t="shared" ca="1" si="110"/>
        <v>-573145.43263443338</v>
      </c>
    </row>
    <row r="142" spans="1:82" ht="17" thickTop="1" thickBot="1">
      <c r="A142" s="773">
        <f t="shared" si="60"/>
        <v>1</v>
      </c>
      <c r="B142" s="779"/>
      <c r="C142" s="572"/>
      <c r="D142" s="660">
        <v>95</v>
      </c>
      <c r="E142" s="661">
        <v>48153</v>
      </c>
      <c r="F142" s="862">
        <v>8</v>
      </c>
      <c r="G142" s="863">
        <f ca="1"/>
        <v>-573145.43263443338</v>
      </c>
      <c r="H142" s="961"/>
      <c r="I142" s="865">
        <f t="shared" ca="1" si="66"/>
        <v>6359334.6737679057</v>
      </c>
      <c r="J142" s="864" cm="1">
        <f t="array" aca="1" ref="J142" ca="1">IF($G142=0,0,-MIN(0,G142*c_equity.LPshare))</f>
        <v>544488.16100271174</v>
      </c>
      <c r="K142" s="865" cm="1">
        <f t="array" aca="1" ref="K142" ca="1">I142*c_rate.Pref.MO</f>
        <v>40916.150770611544</v>
      </c>
      <c r="L142" s="865">
        <f t="shared" ca="1" si="67"/>
        <v>0</v>
      </c>
      <c r="M142" s="865">
        <f t="shared" ca="1" si="68"/>
        <v>6944738.9855412282</v>
      </c>
      <c r="N142" s="865">
        <f t="shared" ca="1" si="69"/>
        <v>-544488.16100271174</v>
      </c>
      <c r="O142" s="864" cm="1">
        <f t="array" aca="1" ref="O142" ca="1">IF(N142=0,0,IF(G142&lt;0,N142/c_equity.LPshare*i_equity.GPshare,L142/c_equity.LPshare*i_equity.GPshare))</f>
        <v>-28657.271631721669</v>
      </c>
      <c r="P142" s="865">
        <f t="shared" ca="1" si="70"/>
        <v>-573145.43263443338</v>
      </c>
      <c r="Q142" s="865">
        <f t="shared" ca="1" si="71"/>
        <v>0</v>
      </c>
      <c r="R142" s="161"/>
      <c r="S142" s="867">
        <f t="shared" ca="1" si="72"/>
        <v>6410981.1820608778</v>
      </c>
      <c r="T142" s="867" cm="1">
        <f t="array" aca="1" ref="T142" ca="1">IF($G142=0,0,-MIN(0,$G142*c_equity.LPshare))</f>
        <v>544488.16100271174</v>
      </c>
      <c r="U142" s="869" cm="1">
        <f t="array" aca="1" ref="U142" ca="1">IF($D142=0,0,S142*c_rate.Hurdle1.MO)</f>
        <v>51122.064232812889</v>
      </c>
      <c r="V142" s="867">
        <f t="shared" ca="1" si="73"/>
        <v>0</v>
      </c>
      <c r="W142" s="867">
        <f t="shared" ca="1" si="74"/>
        <v>0</v>
      </c>
      <c r="X142" s="869">
        <f t="shared" ca="1" si="75"/>
        <v>7006591.4072964024</v>
      </c>
      <c r="Y142" s="869">
        <f t="shared" ca="1" si="76"/>
        <v>-544488.16100271174</v>
      </c>
      <c r="Z142" s="869">
        <f t="shared" ca="1" si="77"/>
        <v>-28657.271631721669</v>
      </c>
      <c r="AA142" s="869">
        <f t="shared" ca="1" si="78"/>
        <v>-573145.43263443338</v>
      </c>
      <c r="AB142" s="867">
        <f t="shared" ca="1" si="79"/>
        <v>0</v>
      </c>
      <c r="AC142" s="867"/>
      <c r="AD142" s="869">
        <f t="shared" ca="1" si="80"/>
        <v>6462273.8193292422</v>
      </c>
      <c r="AE142" s="867" cm="1">
        <f t="array" aca="1" ref="AE142" ca="1">IF($G142=0,0,-MIN(0,$G142*c_equity.LPshare))</f>
        <v>544488.16100271174</v>
      </c>
      <c r="AF142" s="869" cm="1">
        <f t="array" aca="1" ref="AF142" ca="1">IF($D142=0,0,AD142*(c_rate.Hurdle2.MO))</f>
        <v>61319.178158192306</v>
      </c>
      <c r="AG142" s="869">
        <f t="shared" ca="1" si="81"/>
        <v>0</v>
      </c>
      <c r="AH142" s="869">
        <f t="shared" ca="1" si="82"/>
        <v>0</v>
      </c>
      <c r="AI142" s="869">
        <f t="shared" ca="1" si="83"/>
        <v>7068081.1584901456</v>
      </c>
      <c r="AJ142" s="868">
        <f t="shared" ca="1" si="61"/>
        <v>-544488.16100271174</v>
      </c>
      <c r="AK142" s="867">
        <f t="shared" ca="1" si="84"/>
        <v>-544488.16100271174</v>
      </c>
      <c r="AL142" s="869">
        <f t="shared" ca="1" si="62"/>
        <v>-28657.271631721669</v>
      </c>
      <c r="AM142" s="869">
        <f t="shared" ca="1" si="85"/>
        <v>-573145.43263443338</v>
      </c>
      <c r="AN142" s="867">
        <f t="shared" ca="1" si="58"/>
        <v>0</v>
      </c>
      <c r="AO142" s="161"/>
      <c r="AP142" s="869">
        <f t="shared" ca="1" si="86"/>
        <v>6513222.1804673877</v>
      </c>
      <c r="AQ142" s="867" cm="1">
        <f t="array" aca="1" ref="AQ142" ca="1">IF($G142=0,0,-MIN(0,$G142*c_equity.LPshare))</f>
        <v>544488.16100271174</v>
      </c>
      <c r="AR142" s="869" cm="1">
        <f t="array" aca="1" ref="AR142" ca="1">IF($D142=0,0,AP142*(c_rate.Hurdle3.MO))</f>
        <v>71507.702037937357</v>
      </c>
      <c r="AS142" s="869">
        <f t="shared" ca="1" si="87"/>
        <v>0</v>
      </c>
      <c r="AT142" s="869">
        <f t="shared" ca="1" si="88"/>
        <v>0</v>
      </c>
      <c r="AU142" s="869">
        <f t="shared" ca="1" si="89"/>
        <v>7129218.0435080361</v>
      </c>
      <c r="AV142" s="870">
        <f t="shared" ca="1" si="90"/>
        <v>-544488.16100271174</v>
      </c>
      <c r="AW142" s="867">
        <f t="shared" ca="1" si="91"/>
        <v>-544488.16100271174</v>
      </c>
      <c r="AX142" s="869">
        <f t="shared" ca="1" si="63"/>
        <v>-28657.271631721669</v>
      </c>
      <c r="AY142" s="869">
        <f t="shared" ca="1" si="92"/>
        <v>-573145.43263443338</v>
      </c>
      <c r="AZ142" s="867">
        <f t="shared" ca="1" si="93"/>
        <v>0</v>
      </c>
      <c r="BA142" s="161"/>
      <c r="BB142" s="867">
        <f t="shared" ca="1" si="94"/>
        <v>0</v>
      </c>
      <c r="BC142" s="867">
        <f t="shared" ca="1" si="59"/>
        <v>0</v>
      </c>
      <c r="BD142" s="658"/>
      <c r="BE142" s="867">
        <f t="shared" ca="1" si="95"/>
        <v>-544488.16100271174</v>
      </c>
      <c r="BF142" s="867">
        <f t="shared" ca="1" si="96"/>
        <v>-28657.271631721669</v>
      </c>
      <c r="BG142" s="867">
        <f t="shared" ca="1" si="97"/>
        <v>-573145.43263443338</v>
      </c>
      <c r="BI142" s="867">
        <f ca="1"/>
        <v>-573145.43263443338</v>
      </c>
      <c r="BJ142" s="867">
        <f ca="1"/>
        <v>-544488.16100271174</v>
      </c>
      <c r="BK142" s="867">
        <f ca="1"/>
        <v>-28657.271631721669</v>
      </c>
      <c r="BL142" s="867">
        <f t="shared" ca="1" si="98"/>
        <v>0</v>
      </c>
      <c r="BM142" s="867">
        <f t="shared" ca="1" si="99"/>
        <v>0</v>
      </c>
      <c r="BN142" s="867">
        <f t="shared" ca="1" si="100"/>
        <v>0</v>
      </c>
      <c r="BO142" s="867">
        <f t="shared" ca="1" si="101"/>
        <v>0</v>
      </c>
      <c r="BP142" s="867">
        <f t="shared" ca="1" si="102"/>
        <v>0</v>
      </c>
      <c r="BQ142" s="867">
        <f t="shared" ca="1" si="103"/>
        <v>0</v>
      </c>
      <c r="BR142" s="867">
        <f ca="1"/>
        <v>0</v>
      </c>
      <c r="BS142" s="867">
        <f ca="1"/>
        <v>0</v>
      </c>
      <c r="BT142" s="867">
        <f t="shared" ca="1" si="64"/>
        <v>-544488.16100271174</v>
      </c>
      <c r="BU142" s="867">
        <f t="shared" ca="1" si="104"/>
        <v>-28657.271631721669</v>
      </c>
      <c r="BV142" s="829">
        <f t="shared" ca="1" si="65"/>
        <v>2.9103830456733704E-11</v>
      </c>
      <c r="BX142" s="867">
        <f ca="1"/>
        <v>-573145.43263443338</v>
      </c>
      <c r="BY142" s="867">
        <f t="shared" ca="1" si="105"/>
        <v>-573145.43263443338</v>
      </c>
      <c r="BZ142" s="867">
        <f t="shared" ca="1" si="106"/>
        <v>0</v>
      </c>
      <c r="CA142" s="867">
        <f t="shared" ca="1" si="107"/>
        <v>0</v>
      </c>
      <c r="CB142" s="867">
        <f t="shared" ca="1" si="108"/>
        <v>0</v>
      </c>
      <c r="CC142" s="867">
        <f t="shared" ca="1" si="109"/>
        <v>0</v>
      </c>
      <c r="CD142" s="867">
        <f t="shared" ca="1" si="110"/>
        <v>-573145.43263443338</v>
      </c>
    </row>
    <row r="143" spans="1:82" ht="17" thickTop="1" thickBot="1">
      <c r="A143" s="773">
        <f t="shared" si="60"/>
        <v>1</v>
      </c>
      <c r="B143" s="779"/>
      <c r="C143" s="572"/>
      <c r="D143" s="660">
        <v>96</v>
      </c>
      <c r="E143" s="661">
        <v>48183</v>
      </c>
      <c r="F143" s="862">
        <v>8</v>
      </c>
      <c r="G143" s="863">
        <f ca="1"/>
        <v>33423026.360725433</v>
      </c>
      <c r="H143" s="961"/>
      <c r="I143" s="865">
        <f t="shared" ca="1" si="66"/>
        <v>6944738.9855412282</v>
      </c>
      <c r="J143" s="864" cm="1">
        <f t="array" aca="1" ref="J143" ca="1">IF($G143=0,0,-MIN(0,G143*c_equity.LPshare))</f>
        <v>0</v>
      </c>
      <c r="K143" s="865" cm="1">
        <f t="array" aca="1" ref="K143" ca="1">I143*c_rate.Pref.MO</f>
        <v>44682.659739086943</v>
      </c>
      <c r="L143" s="865">
        <f t="shared" ca="1" si="67"/>
        <v>6989421.6452803155</v>
      </c>
      <c r="M143" s="865">
        <f t="shared" ca="1" si="68"/>
        <v>0</v>
      </c>
      <c r="N143" s="865">
        <f t="shared" ca="1" si="69"/>
        <v>6989421.6452803155</v>
      </c>
      <c r="O143" s="864" cm="1">
        <f t="array" aca="1" ref="O143" ca="1">IF(N143=0,0,IF(G143&lt;0,N143/c_equity.LPshare*i_equity.GPshare,L143/c_equity.LPshare*i_equity.GPshare))</f>
        <v>367864.29712001665</v>
      </c>
      <c r="P143" s="865">
        <f t="shared" ca="1" si="70"/>
        <v>7357285.9424003325</v>
      </c>
      <c r="Q143" s="865">
        <f t="shared" ca="1" si="71"/>
        <v>26065740.399999999</v>
      </c>
      <c r="R143" s="161"/>
      <c r="S143" s="867">
        <f t="shared" ca="1" si="72"/>
        <v>7006591.4072964024</v>
      </c>
      <c r="T143" s="867" cm="1">
        <f t="array" aca="1" ref="T143" ca="1">IF($G143=0,0,-MIN(0,$G143*c_equity.LPshare))</f>
        <v>0</v>
      </c>
      <c r="U143" s="869" cm="1">
        <f t="array" aca="1" ref="U143" ca="1">IF($D143=0,0,S143*c_rate.Hurdle1.MO)</f>
        <v>55871.543809731964</v>
      </c>
      <c r="V143" s="867">
        <f t="shared" ca="1" si="73"/>
        <v>6989421.6452803155</v>
      </c>
      <c r="W143" s="867">
        <f t="shared" ca="1" si="74"/>
        <v>73041.305825819261</v>
      </c>
      <c r="X143" s="869">
        <f t="shared" ca="1" si="75"/>
        <v>0</v>
      </c>
      <c r="Y143" s="869">
        <f t="shared" ca="1" si="76"/>
        <v>7062462.9511061348</v>
      </c>
      <c r="Z143" s="869">
        <f t="shared" ca="1" si="77"/>
        <v>380251.41916065267</v>
      </c>
      <c r="AA143" s="869">
        <f t="shared" ca="1" si="78"/>
        <v>7442714.3702667877</v>
      </c>
      <c r="AB143" s="867">
        <f t="shared" ca="1" si="79"/>
        <v>25980311.990458645</v>
      </c>
      <c r="AC143" s="867"/>
      <c r="AD143" s="869">
        <f t="shared" ca="1" si="80"/>
        <v>7068081.1584901456</v>
      </c>
      <c r="AE143" s="867" cm="1">
        <f t="array" aca="1" ref="AE143" ca="1">IF($G143=0,0,-MIN(0,$G143*c_equity.LPshare))</f>
        <v>0</v>
      </c>
      <c r="AF143" s="869" cm="1">
        <f t="array" aca="1" ref="AF143" ca="1">IF($D143=0,0,AD143*(c_rate.Hurdle2.MO))</f>
        <v>67067.558557740849</v>
      </c>
      <c r="AG143" s="869">
        <f t="shared" ca="1" si="81"/>
        <v>7062462.9511061348</v>
      </c>
      <c r="AH143" s="869">
        <f t="shared" ca="1" si="82"/>
        <v>72685.76594175119</v>
      </c>
      <c r="AI143" s="869">
        <f t="shared" ca="1" si="83"/>
        <v>0</v>
      </c>
      <c r="AJ143" s="868">
        <f t="shared" ca="1" si="61"/>
        <v>7135148.717047886</v>
      </c>
      <c r="AK143" s="867">
        <f t="shared" ca="1" si="84"/>
        <v>7135148.717047886</v>
      </c>
      <c r="AL143" s="869">
        <f t="shared" ca="1" si="62"/>
        <v>403204.81893173198</v>
      </c>
      <c r="AM143" s="869">
        <f t="shared" ca="1" si="85"/>
        <v>7538353.5359796183</v>
      </c>
      <c r="AN143" s="867">
        <f t="shared" ca="1" si="58"/>
        <v>25884672.824745815</v>
      </c>
      <c r="AO143" s="161"/>
      <c r="AP143" s="869">
        <f t="shared" ca="1" si="86"/>
        <v>7129218.0435080361</v>
      </c>
      <c r="AQ143" s="867" cm="1">
        <f t="array" aca="1" ref="AQ143" ca="1">IF($G143=0,0,-MIN(0,$G143*c_equity.LPshare))</f>
        <v>0</v>
      </c>
      <c r="AR143" s="869" cm="1">
        <f t="array" aca="1" ref="AR143" ca="1">IF($D143=0,0,AP143*(c_rate.Hurdle3.MO))</f>
        <v>78270.629420179961</v>
      </c>
      <c r="AS143" s="869">
        <f t="shared" ca="1" si="87"/>
        <v>7135148.717047886</v>
      </c>
      <c r="AT143" s="869">
        <f t="shared" ca="1" si="88"/>
        <v>72339.955880329944</v>
      </c>
      <c r="AU143" s="869">
        <f t="shared" ca="1" si="89"/>
        <v>0</v>
      </c>
      <c r="AV143" s="870">
        <f t="shared" ca="1" si="90"/>
        <v>7207488.6729282159</v>
      </c>
      <c r="AW143" s="867">
        <f t="shared" ca="1" si="91"/>
        <v>7207488.6729282159</v>
      </c>
      <c r="AX143" s="869">
        <f t="shared" ca="1" si="63"/>
        <v>439646.7515932516</v>
      </c>
      <c r="AY143" s="869">
        <f t="shared" ca="1" si="92"/>
        <v>7647135.4245214676</v>
      </c>
      <c r="AZ143" s="867">
        <f t="shared" ca="1" si="93"/>
        <v>25775890.936203964</v>
      </c>
      <c r="BA143" s="161"/>
      <c r="BB143" s="867">
        <f t="shared" ca="1" si="94"/>
        <v>12887945.468101982</v>
      </c>
      <c r="BC143" s="867">
        <f t="shared" ca="1" si="59"/>
        <v>12887945.468101982</v>
      </c>
      <c r="BD143" s="658"/>
      <c r="BE143" s="867">
        <f t="shared" ca="1" si="95"/>
        <v>20095434.1410302</v>
      </c>
      <c r="BF143" s="867">
        <f t="shared" ca="1" si="96"/>
        <v>13327592.219695233</v>
      </c>
      <c r="BG143" s="867">
        <f t="shared" ca="1" si="97"/>
        <v>33423026.360725433</v>
      </c>
      <c r="BI143" s="867">
        <f ca="1"/>
        <v>33423026.360725433</v>
      </c>
      <c r="BJ143" s="867">
        <f ca="1"/>
        <v>6989421.6452803155</v>
      </c>
      <c r="BK143" s="867">
        <f ca="1"/>
        <v>367864.29712001665</v>
      </c>
      <c r="BL143" s="867">
        <f t="shared" ca="1" si="98"/>
        <v>73041.305825819261</v>
      </c>
      <c r="BM143" s="867">
        <f t="shared" ca="1" si="99"/>
        <v>12387.122040636023</v>
      </c>
      <c r="BN143" s="867">
        <f t="shared" ca="1" si="100"/>
        <v>72685.76594175119</v>
      </c>
      <c r="BO143" s="867">
        <f t="shared" ca="1" si="101"/>
        <v>22953.399771079305</v>
      </c>
      <c r="BP143" s="867">
        <f t="shared" ca="1" si="102"/>
        <v>72339.955880329944</v>
      </c>
      <c r="BQ143" s="867">
        <f t="shared" ca="1" si="103"/>
        <v>36441.932661519619</v>
      </c>
      <c r="BR143" s="867">
        <f ca="1"/>
        <v>12887945.468101982</v>
      </c>
      <c r="BS143" s="867">
        <f ca="1"/>
        <v>12887945.468101982</v>
      </c>
      <c r="BT143" s="867">
        <f t="shared" ca="1" si="64"/>
        <v>20095434.1410302</v>
      </c>
      <c r="BU143" s="867">
        <f t="shared" ca="1" si="104"/>
        <v>13327592.219695233</v>
      </c>
      <c r="BV143" s="829">
        <f t="shared" ca="1" si="65"/>
        <v>0</v>
      </c>
      <c r="BX143" s="867">
        <f ca="1"/>
        <v>33423026.360725433</v>
      </c>
      <c r="BY143" s="867">
        <f t="shared" ca="1" si="105"/>
        <v>7357285.9424003325</v>
      </c>
      <c r="BZ143" s="867">
        <f t="shared" ca="1" si="106"/>
        <v>85428.427866455284</v>
      </c>
      <c r="CA143" s="867">
        <f t="shared" ca="1" si="107"/>
        <v>95639.165712830494</v>
      </c>
      <c r="CB143" s="867">
        <f t="shared" ca="1" si="108"/>
        <v>108781.88854184956</v>
      </c>
      <c r="CC143" s="867">
        <f t="shared" ca="1" si="109"/>
        <v>25775890.936203964</v>
      </c>
      <c r="CD143" s="867">
        <f t="shared" ca="1" si="110"/>
        <v>33423026.360725433</v>
      </c>
    </row>
    <row r="144" spans="1:82" ht="17" hidden="1" thickTop="1" thickBot="1">
      <c r="A144" s="773">
        <f t="shared" si="60"/>
        <v>0</v>
      </c>
      <c r="B144" s="779"/>
      <c r="C144" s="572"/>
      <c r="D144" s="660"/>
      <c r="E144" s="661"/>
      <c r="F144" s="862"/>
      <c r="G144" s="863"/>
      <c r="H144" s="961"/>
      <c r="I144" s="865">
        <f t="shared" si="66"/>
        <v>0</v>
      </c>
      <c r="J144" s="864" cm="1">
        <f t="array" ref="J144">IF($G144=0,0,-MIN(0,G144*c_equity.LPshare))</f>
        <v>0</v>
      </c>
      <c r="K144" s="865" cm="1">
        <f t="array" ref="K144">I144*c_rate.Pref.MO</f>
        <v>0</v>
      </c>
      <c r="L144" s="865">
        <f t="shared" si="67"/>
        <v>0</v>
      </c>
      <c r="M144" s="865">
        <f t="shared" si="68"/>
        <v>0</v>
      </c>
      <c r="N144" s="865">
        <f t="shared" si="69"/>
        <v>0</v>
      </c>
      <c r="O144" s="864" cm="1">
        <f t="array" ref="O144">IF(N144=0,0,IF(G144&lt;0,N144/c_equity.LPshare*i_equity.GPshare,L144/c_equity.LPshare*i_equity.GPshare))</f>
        <v>0</v>
      </c>
      <c r="P144" s="865">
        <f t="shared" si="70"/>
        <v>0</v>
      </c>
      <c r="Q144" s="865">
        <f t="shared" si="71"/>
        <v>0</v>
      </c>
      <c r="R144" s="161"/>
      <c r="S144" s="867">
        <f t="shared" ca="1" si="72"/>
        <v>0</v>
      </c>
      <c r="T144" s="867" cm="1">
        <f t="array" ref="T144">IF($G144=0,0,-MIN(0,$G144*c_equity.LPshare))</f>
        <v>0</v>
      </c>
      <c r="U144" s="869" cm="1">
        <f t="array" ref="U144">IF($D144=0,0,S144*c_rate.Hurdle1.MO)</f>
        <v>0</v>
      </c>
      <c r="V144" s="867">
        <f t="shared" si="73"/>
        <v>0</v>
      </c>
      <c r="W144" s="867">
        <f t="shared" ca="1" si="74"/>
        <v>0</v>
      </c>
      <c r="X144" s="869">
        <f t="shared" ca="1" si="75"/>
        <v>0</v>
      </c>
      <c r="Y144" s="869">
        <f t="shared" ca="1" si="76"/>
        <v>0</v>
      </c>
      <c r="Z144" s="869">
        <f t="shared" ca="1" si="77"/>
        <v>0</v>
      </c>
      <c r="AA144" s="869">
        <f t="shared" ca="1" si="78"/>
        <v>0</v>
      </c>
      <c r="AB144" s="867">
        <f t="shared" ca="1" si="79"/>
        <v>0</v>
      </c>
      <c r="AC144" s="867"/>
      <c r="AD144" s="869">
        <f t="shared" ca="1" si="80"/>
        <v>0</v>
      </c>
      <c r="AE144" s="867" cm="1">
        <f t="array" ref="AE144">IF($G144=0,0,-MIN(0,$G144*c_equity.LPshare))</f>
        <v>0</v>
      </c>
      <c r="AF144" s="869" cm="1">
        <f t="array" ref="AF144">IF($D144=0,0,AD144*(c_rate.Hurdle2.MO))</f>
        <v>0</v>
      </c>
      <c r="AG144" s="869">
        <f t="shared" ca="1" si="81"/>
        <v>0</v>
      </c>
      <c r="AH144" s="869">
        <f t="shared" ca="1" si="82"/>
        <v>0</v>
      </c>
      <c r="AI144" s="869">
        <f t="shared" ca="1" si="83"/>
        <v>0</v>
      </c>
      <c r="AJ144" s="868">
        <f t="shared" ca="1" si="61"/>
        <v>0</v>
      </c>
      <c r="AK144" s="867">
        <f t="shared" ca="1" si="84"/>
        <v>0</v>
      </c>
      <c r="AL144" s="869">
        <f t="shared" ca="1" si="62"/>
        <v>0</v>
      </c>
      <c r="AM144" s="869">
        <f t="shared" ca="1" si="85"/>
        <v>0</v>
      </c>
      <c r="AN144" s="867">
        <f t="shared" ca="1" si="58"/>
        <v>0</v>
      </c>
      <c r="AO144" s="161"/>
      <c r="AP144" s="869">
        <f t="shared" ca="1" si="86"/>
        <v>0</v>
      </c>
      <c r="AQ144" s="867" cm="1">
        <f t="array" ref="AQ144">IF($G144=0,0,-MIN(0,$G144*c_equity.LPshare))</f>
        <v>0</v>
      </c>
      <c r="AR144" s="869" cm="1">
        <f t="array" ref="AR144">IF($D144=0,0,AP144*(c_rate.Hurdle3.MO))</f>
        <v>0</v>
      </c>
      <c r="AS144" s="869">
        <f t="shared" ca="1" si="87"/>
        <v>0</v>
      </c>
      <c r="AT144" s="869">
        <f t="shared" ca="1" si="88"/>
        <v>0</v>
      </c>
      <c r="AU144" s="869">
        <f t="shared" ca="1" si="89"/>
        <v>0</v>
      </c>
      <c r="AV144" s="870">
        <f t="shared" ca="1" si="90"/>
        <v>0</v>
      </c>
      <c r="AW144" s="867">
        <f t="shared" ca="1" si="91"/>
        <v>0</v>
      </c>
      <c r="AX144" s="869">
        <f t="shared" ca="1" si="63"/>
        <v>0</v>
      </c>
      <c r="AY144" s="869">
        <f t="shared" ca="1" si="92"/>
        <v>0</v>
      </c>
      <c r="AZ144" s="867">
        <f t="shared" ca="1" si="93"/>
        <v>0</v>
      </c>
      <c r="BA144" s="161"/>
      <c r="BB144" s="867">
        <f t="shared" ca="1" si="94"/>
        <v>0</v>
      </c>
      <c r="BC144" s="867">
        <f t="shared" ca="1" si="59"/>
        <v>0</v>
      </c>
      <c r="BD144" s="658"/>
      <c r="BE144" s="867">
        <f t="shared" ca="1" si="95"/>
        <v>0</v>
      </c>
      <c r="BF144" s="867">
        <f t="shared" ca="1" si="96"/>
        <v>0</v>
      </c>
      <c r="BG144" s="867">
        <f t="shared" ca="1" si="97"/>
        <v>0</v>
      </c>
      <c r="BI144" s="867">
        <f ca="1"/>
        <v>0</v>
      </c>
      <c r="BJ144" s="867">
        <f ca="1"/>
        <v>0</v>
      </c>
      <c r="BK144" s="867">
        <f ca="1"/>
        <v>0</v>
      </c>
      <c r="BL144" s="867">
        <f t="shared" ca="1" si="98"/>
        <v>0</v>
      </c>
      <c r="BM144" s="867">
        <f t="shared" ca="1" si="99"/>
        <v>0</v>
      </c>
      <c r="BN144" s="867">
        <f t="shared" ca="1" si="100"/>
        <v>0</v>
      </c>
      <c r="BO144" s="867">
        <f t="shared" ca="1" si="101"/>
        <v>0</v>
      </c>
      <c r="BP144" s="867">
        <f t="shared" ca="1" si="102"/>
        <v>0</v>
      </c>
      <c r="BQ144" s="867">
        <f t="shared" ca="1" si="103"/>
        <v>0</v>
      </c>
      <c r="BR144" s="867">
        <f ca="1"/>
        <v>0</v>
      </c>
      <c r="BS144" s="867">
        <f ca="1"/>
        <v>0</v>
      </c>
      <c r="BT144" s="867">
        <f t="shared" ca="1" si="64"/>
        <v>0</v>
      </c>
      <c r="BU144" s="867">
        <f t="shared" ca="1" si="104"/>
        <v>0</v>
      </c>
      <c r="BV144" s="829">
        <f t="shared" ca="1" si="65"/>
        <v>0</v>
      </c>
      <c r="BX144" s="867">
        <f ca="1"/>
        <v>0</v>
      </c>
      <c r="BY144" s="867">
        <f t="shared" ca="1" si="105"/>
        <v>0</v>
      </c>
      <c r="BZ144" s="867">
        <f t="shared" ca="1" si="106"/>
        <v>0</v>
      </c>
      <c r="CA144" s="867">
        <f t="shared" ca="1" si="107"/>
        <v>0</v>
      </c>
      <c r="CB144" s="867">
        <f t="shared" ca="1" si="108"/>
        <v>0</v>
      </c>
      <c r="CC144" s="867">
        <f t="shared" ca="1" si="109"/>
        <v>0</v>
      </c>
      <c r="CD144" s="867">
        <f t="shared" ca="1" si="110"/>
        <v>0</v>
      </c>
    </row>
    <row r="145" spans="1:82" ht="17" hidden="1" thickTop="1" thickBot="1">
      <c r="A145" s="773">
        <f t="shared" si="60"/>
        <v>0</v>
      </c>
      <c r="B145" s="779"/>
      <c r="C145" s="572"/>
      <c r="D145" s="660"/>
      <c r="E145" s="661"/>
      <c r="F145" s="862"/>
      <c r="G145" s="863"/>
      <c r="H145" s="961"/>
      <c r="I145" s="865">
        <f t="shared" si="66"/>
        <v>0</v>
      </c>
      <c r="J145" s="864" cm="1">
        <f t="array" ref="J145">IF($G145=0,0,-MIN(0,G145*c_equity.LPshare))</f>
        <v>0</v>
      </c>
      <c r="K145" s="865" cm="1">
        <f t="array" ref="K145">I145*c_rate.Pref.MO</f>
        <v>0</v>
      </c>
      <c r="L145" s="865">
        <f t="shared" si="67"/>
        <v>0</v>
      </c>
      <c r="M145" s="865">
        <f t="shared" si="68"/>
        <v>0</v>
      </c>
      <c r="N145" s="865">
        <f t="shared" si="69"/>
        <v>0</v>
      </c>
      <c r="O145" s="864" cm="1">
        <f t="array" ref="O145">IF(N145=0,0,IF(G145&lt;0,N145/c_equity.LPshare*i_equity.GPshare,L145/c_equity.LPshare*i_equity.GPshare))</f>
        <v>0</v>
      </c>
      <c r="P145" s="865">
        <f t="shared" si="70"/>
        <v>0</v>
      </c>
      <c r="Q145" s="865">
        <f t="shared" si="71"/>
        <v>0</v>
      </c>
      <c r="R145" s="161"/>
      <c r="S145" s="867">
        <f t="shared" ca="1" si="72"/>
        <v>0</v>
      </c>
      <c r="T145" s="867" cm="1">
        <f t="array" ref="T145">IF($G145=0,0,-MIN(0,$G145*c_equity.LPshare))</f>
        <v>0</v>
      </c>
      <c r="U145" s="869" cm="1">
        <f t="array" ref="U145">IF($D145=0,0,S145*c_rate.Hurdle1.MO)</f>
        <v>0</v>
      </c>
      <c r="V145" s="867">
        <f t="shared" si="73"/>
        <v>0</v>
      </c>
      <c r="W145" s="867">
        <f t="shared" ca="1" si="74"/>
        <v>0</v>
      </c>
      <c r="X145" s="869">
        <f t="shared" ca="1" si="75"/>
        <v>0</v>
      </c>
      <c r="Y145" s="869">
        <f t="shared" ca="1" si="76"/>
        <v>0</v>
      </c>
      <c r="Z145" s="869">
        <f t="shared" ca="1" si="77"/>
        <v>0</v>
      </c>
      <c r="AA145" s="869">
        <f t="shared" ca="1" si="78"/>
        <v>0</v>
      </c>
      <c r="AB145" s="867">
        <f t="shared" ca="1" si="79"/>
        <v>0</v>
      </c>
      <c r="AC145" s="867"/>
      <c r="AD145" s="869">
        <f t="shared" ca="1" si="80"/>
        <v>0</v>
      </c>
      <c r="AE145" s="867" cm="1">
        <f t="array" ref="AE145">IF($G145=0,0,-MIN(0,$G145*c_equity.LPshare))</f>
        <v>0</v>
      </c>
      <c r="AF145" s="869" cm="1">
        <f t="array" ref="AF145">IF($D145=0,0,AD145*(c_rate.Hurdle2.MO))</f>
        <v>0</v>
      </c>
      <c r="AG145" s="869">
        <f t="shared" ca="1" si="81"/>
        <v>0</v>
      </c>
      <c r="AH145" s="869">
        <f t="shared" ca="1" si="82"/>
        <v>0</v>
      </c>
      <c r="AI145" s="869">
        <f t="shared" ca="1" si="83"/>
        <v>0</v>
      </c>
      <c r="AJ145" s="868">
        <f t="shared" ca="1" si="61"/>
        <v>0</v>
      </c>
      <c r="AK145" s="867">
        <f t="shared" ca="1" si="84"/>
        <v>0</v>
      </c>
      <c r="AL145" s="869">
        <f t="shared" ref="AL145:AL176" ca="1" si="111">IF(AK145=0,0,Z145+(AH145/$J$18*c_Hurdle2.Share_GP))</f>
        <v>0</v>
      </c>
      <c r="AM145" s="869">
        <f t="shared" ca="1" si="85"/>
        <v>0</v>
      </c>
      <c r="AN145" s="867">
        <f t="shared" ca="1" si="58"/>
        <v>0</v>
      </c>
      <c r="AO145" s="161"/>
      <c r="AP145" s="869">
        <f t="shared" ca="1" si="86"/>
        <v>0</v>
      </c>
      <c r="AQ145" s="867" cm="1">
        <f t="array" ref="AQ145">IF($G145=0,0,-MIN(0,$G145*c_equity.LPshare))</f>
        <v>0</v>
      </c>
      <c r="AR145" s="869" cm="1">
        <f t="array" ref="AR145">IF($D145=0,0,AP145*(c_rate.Hurdle3.MO))</f>
        <v>0</v>
      </c>
      <c r="AS145" s="869">
        <f t="shared" ca="1" si="87"/>
        <v>0</v>
      </c>
      <c r="AT145" s="869">
        <f t="shared" ca="1" si="88"/>
        <v>0</v>
      </c>
      <c r="AU145" s="869">
        <f t="shared" ca="1" si="89"/>
        <v>0</v>
      </c>
      <c r="AV145" s="870">
        <f t="shared" ca="1" si="90"/>
        <v>0</v>
      </c>
      <c r="AW145" s="867">
        <f t="shared" ca="1" si="91"/>
        <v>0</v>
      </c>
      <c r="AX145" s="869">
        <f t="shared" ref="AX145:AX176" ca="1" si="112">IF(AW145=0,0,AL145+AT145/$J$19*c_Hurdle3.Share_GP)</f>
        <v>0</v>
      </c>
      <c r="AY145" s="869">
        <f t="shared" ca="1" si="92"/>
        <v>0</v>
      </c>
      <c r="AZ145" s="867">
        <f t="shared" ca="1" si="93"/>
        <v>0</v>
      </c>
      <c r="BA145" s="161"/>
      <c r="BB145" s="867">
        <f t="shared" ca="1" si="94"/>
        <v>0</v>
      </c>
      <c r="BC145" s="867">
        <f t="shared" ca="1" si="59"/>
        <v>0</v>
      </c>
      <c r="BD145" s="658"/>
      <c r="BE145" s="867">
        <f t="shared" ca="1" si="95"/>
        <v>0</v>
      </c>
      <c r="BF145" s="867">
        <f t="shared" ca="1" si="96"/>
        <v>0</v>
      </c>
      <c r="BG145" s="867">
        <f t="shared" ca="1" si="97"/>
        <v>0</v>
      </c>
      <c r="BI145" s="867">
        <f ca="1"/>
        <v>0</v>
      </c>
      <c r="BJ145" s="867">
        <f ca="1"/>
        <v>0</v>
      </c>
      <c r="BK145" s="867">
        <f ca="1"/>
        <v>0</v>
      </c>
      <c r="BL145" s="867">
        <f t="shared" ca="1" si="98"/>
        <v>0</v>
      </c>
      <c r="BM145" s="867">
        <f t="shared" ca="1" si="99"/>
        <v>0</v>
      </c>
      <c r="BN145" s="867">
        <f t="shared" ca="1" si="100"/>
        <v>0</v>
      </c>
      <c r="BO145" s="867">
        <f t="shared" ca="1" si="101"/>
        <v>0</v>
      </c>
      <c r="BP145" s="867">
        <f t="shared" ca="1" si="102"/>
        <v>0</v>
      </c>
      <c r="BQ145" s="867">
        <f t="shared" ca="1" si="103"/>
        <v>0</v>
      </c>
      <c r="BR145" s="867">
        <f ca="1"/>
        <v>0</v>
      </c>
      <c r="BS145" s="867">
        <f ca="1"/>
        <v>0</v>
      </c>
      <c r="BT145" s="867">
        <f t="shared" ca="1" si="64"/>
        <v>0</v>
      </c>
      <c r="BU145" s="867">
        <f t="shared" ca="1" si="104"/>
        <v>0</v>
      </c>
      <c r="BV145" s="829">
        <f t="shared" ca="1" si="65"/>
        <v>0</v>
      </c>
      <c r="BX145" s="867">
        <f ca="1"/>
        <v>0</v>
      </c>
      <c r="BY145" s="867">
        <f t="shared" ca="1" si="105"/>
        <v>0</v>
      </c>
      <c r="BZ145" s="867">
        <f t="shared" ca="1" si="106"/>
        <v>0</v>
      </c>
      <c r="CA145" s="867">
        <f t="shared" ca="1" si="107"/>
        <v>0</v>
      </c>
      <c r="CB145" s="867">
        <f t="shared" ca="1" si="108"/>
        <v>0</v>
      </c>
      <c r="CC145" s="867">
        <f t="shared" ca="1" si="109"/>
        <v>0</v>
      </c>
      <c r="CD145" s="867">
        <f t="shared" ca="1" si="110"/>
        <v>0</v>
      </c>
    </row>
    <row r="146" spans="1:82" ht="17" hidden="1" thickTop="1" thickBot="1">
      <c r="A146" s="773">
        <f t="shared" si="60"/>
        <v>0</v>
      </c>
      <c r="B146" s="779"/>
      <c r="C146" s="572"/>
      <c r="D146" s="660"/>
      <c r="E146" s="661"/>
      <c r="F146" s="862"/>
      <c r="G146" s="863"/>
      <c r="H146" s="961"/>
      <c r="I146" s="865">
        <f t="shared" si="66"/>
        <v>0</v>
      </c>
      <c r="J146" s="864" cm="1">
        <f t="array" ref="J146">IF($G146=0,0,-MIN(0,G146*c_equity.LPshare))</f>
        <v>0</v>
      </c>
      <c r="K146" s="865" cm="1">
        <f t="array" ref="K146">I146*c_rate.Pref.MO</f>
        <v>0</v>
      </c>
      <c r="L146" s="865">
        <f t="shared" si="67"/>
        <v>0</v>
      </c>
      <c r="M146" s="865">
        <f t="shared" si="68"/>
        <v>0</v>
      </c>
      <c r="N146" s="865">
        <f t="shared" si="69"/>
        <v>0</v>
      </c>
      <c r="O146" s="864" cm="1">
        <f t="array" ref="O146">IF(N146=0,0,IF(G146&lt;0,N146/c_equity.LPshare*i_equity.GPshare,L146/c_equity.LPshare*i_equity.GPshare))</f>
        <v>0</v>
      </c>
      <c r="P146" s="865">
        <f t="shared" si="70"/>
        <v>0</v>
      </c>
      <c r="Q146" s="865">
        <f t="shared" si="71"/>
        <v>0</v>
      </c>
      <c r="R146" s="161"/>
      <c r="S146" s="867">
        <f t="shared" ca="1" si="72"/>
        <v>0</v>
      </c>
      <c r="T146" s="867" cm="1">
        <f t="array" ref="T146">IF($G146=0,0,-MIN(0,$G146*c_equity.LPshare))</f>
        <v>0</v>
      </c>
      <c r="U146" s="869" cm="1">
        <f t="array" ref="U146">IF($D146=0,0,S146*c_rate.Hurdle1.MO)</f>
        <v>0</v>
      </c>
      <c r="V146" s="867">
        <f t="shared" si="73"/>
        <v>0</v>
      </c>
      <c r="W146" s="867">
        <f t="shared" ca="1" si="74"/>
        <v>0</v>
      </c>
      <c r="X146" s="869">
        <f t="shared" ca="1" si="75"/>
        <v>0</v>
      </c>
      <c r="Y146" s="869">
        <f t="shared" ca="1" si="76"/>
        <v>0</v>
      </c>
      <c r="Z146" s="869">
        <f t="shared" ca="1" si="77"/>
        <v>0</v>
      </c>
      <c r="AA146" s="869">
        <f t="shared" ca="1" si="78"/>
        <v>0</v>
      </c>
      <c r="AB146" s="867">
        <f t="shared" ca="1" si="79"/>
        <v>0</v>
      </c>
      <c r="AC146" s="867"/>
      <c r="AD146" s="869">
        <f t="shared" ca="1" si="80"/>
        <v>0</v>
      </c>
      <c r="AE146" s="867" cm="1">
        <f t="array" ref="AE146">IF($G146=0,0,-MIN(0,$G146*c_equity.LPshare))</f>
        <v>0</v>
      </c>
      <c r="AF146" s="869" cm="1">
        <f t="array" ref="AF146">IF($D146=0,0,AD146*(c_rate.Hurdle2.MO))</f>
        <v>0</v>
      </c>
      <c r="AG146" s="869">
        <f t="shared" ca="1" si="81"/>
        <v>0</v>
      </c>
      <c r="AH146" s="869">
        <f t="shared" ca="1" si="82"/>
        <v>0</v>
      </c>
      <c r="AI146" s="869">
        <f t="shared" ca="1" si="83"/>
        <v>0</v>
      </c>
      <c r="AJ146" s="868">
        <f t="shared" ca="1" si="61"/>
        <v>0</v>
      </c>
      <c r="AK146" s="867">
        <f t="shared" ca="1" si="84"/>
        <v>0</v>
      </c>
      <c r="AL146" s="869">
        <f t="shared" ca="1" si="111"/>
        <v>0</v>
      </c>
      <c r="AM146" s="869">
        <f t="shared" ca="1" si="85"/>
        <v>0</v>
      </c>
      <c r="AN146" s="867">
        <f t="shared" ca="1" si="58"/>
        <v>0</v>
      </c>
      <c r="AO146" s="161"/>
      <c r="AP146" s="869">
        <f t="shared" ca="1" si="86"/>
        <v>0</v>
      </c>
      <c r="AQ146" s="867" cm="1">
        <f t="array" ref="AQ146">IF($G146=0,0,-MIN(0,$G146*c_equity.LPshare))</f>
        <v>0</v>
      </c>
      <c r="AR146" s="869" cm="1">
        <f t="array" ref="AR146">IF($D146=0,0,AP146*(c_rate.Hurdle3.MO))</f>
        <v>0</v>
      </c>
      <c r="AS146" s="869">
        <f t="shared" ca="1" si="87"/>
        <v>0</v>
      </c>
      <c r="AT146" s="869">
        <f t="shared" ca="1" si="88"/>
        <v>0</v>
      </c>
      <c r="AU146" s="869">
        <f t="shared" ca="1" si="89"/>
        <v>0</v>
      </c>
      <c r="AV146" s="870">
        <f t="shared" ca="1" si="90"/>
        <v>0</v>
      </c>
      <c r="AW146" s="867">
        <f t="shared" ca="1" si="91"/>
        <v>0</v>
      </c>
      <c r="AX146" s="869">
        <f t="shared" ca="1" si="112"/>
        <v>0</v>
      </c>
      <c r="AY146" s="869">
        <f t="shared" ca="1" si="92"/>
        <v>0</v>
      </c>
      <c r="AZ146" s="867">
        <f t="shared" ca="1" si="93"/>
        <v>0</v>
      </c>
      <c r="BA146" s="161"/>
      <c r="BB146" s="867">
        <f t="shared" ca="1" si="94"/>
        <v>0</v>
      </c>
      <c r="BC146" s="867">
        <f t="shared" ca="1" si="59"/>
        <v>0</v>
      </c>
      <c r="BD146" s="658"/>
      <c r="BE146" s="867">
        <f t="shared" ca="1" si="95"/>
        <v>0</v>
      </c>
      <c r="BF146" s="867">
        <f t="shared" ca="1" si="96"/>
        <v>0</v>
      </c>
      <c r="BG146" s="867">
        <f t="shared" ca="1" si="97"/>
        <v>0</v>
      </c>
      <c r="BI146" s="867">
        <f ca="1"/>
        <v>0</v>
      </c>
      <c r="BJ146" s="867">
        <f ca="1"/>
        <v>0</v>
      </c>
      <c r="BK146" s="867">
        <f ca="1"/>
        <v>0</v>
      </c>
      <c r="BL146" s="867">
        <f t="shared" ca="1" si="98"/>
        <v>0</v>
      </c>
      <c r="BM146" s="867">
        <f t="shared" ca="1" si="99"/>
        <v>0</v>
      </c>
      <c r="BN146" s="867">
        <f t="shared" ca="1" si="100"/>
        <v>0</v>
      </c>
      <c r="BO146" s="867">
        <f t="shared" ca="1" si="101"/>
        <v>0</v>
      </c>
      <c r="BP146" s="867">
        <f t="shared" ca="1" si="102"/>
        <v>0</v>
      </c>
      <c r="BQ146" s="867">
        <f t="shared" ca="1" si="103"/>
        <v>0</v>
      </c>
      <c r="BR146" s="867">
        <f ca="1"/>
        <v>0</v>
      </c>
      <c r="BS146" s="867">
        <f ca="1"/>
        <v>0</v>
      </c>
      <c r="BT146" s="867">
        <f t="shared" ca="1" si="64"/>
        <v>0</v>
      </c>
      <c r="BU146" s="867">
        <f t="shared" ca="1" si="104"/>
        <v>0</v>
      </c>
      <c r="BV146" s="829">
        <f t="shared" ca="1" si="65"/>
        <v>0</v>
      </c>
      <c r="BX146" s="867">
        <f ca="1"/>
        <v>0</v>
      </c>
      <c r="BY146" s="867">
        <f t="shared" ca="1" si="105"/>
        <v>0</v>
      </c>
      <c r="BZ146" s="867">
        <f t="shared" ca="1" si="106"/>
        <v>0</v>
      </c>
      <c r="CA146" s="867">
        <f t="shared" ca="1" si="107"/>
        <v>0</v>
      </c>
      <c r="CB146" s="867">
        <f t="shared" ca="1" si="108"/>
        <v>0</v>
      </c>
      <c r="CC146" s="867">
        <f t="shared" ca="1" si="109"/>
        <v>0</v>
      </c>
      <c r="CD146" s="867">
        <f t="shared" ca="1" si="110"/>
        <v>0</v>
      </c>
    </row>
    <row r="147" spans="1:82" ht="17" hidden="1" thickTop="1" thickBot="1">
      <c r="A147" s="773">
        <f t="shared" si="60"/>
        <v>0</v>
      </c>
      <c r="B147" s="779"/>
      <c r="C147" s="572"/>
      <c r="D147" s="660"/>
      <c r="E147" s="661"/>
      <c r="F147" s="862"/>
      <c r="G147" s="863"/>
      <c r="H147" s="961"/>
      <c r="I147" s="865">
        <f t="shared" si="66"/>
        <v>0</v>
      </c>
      <c r="J147" s="864" cm="1">
        <f t="array" ref="J147">IF($G147=0,0,-MIN(0,G147*c_equity.LPshare))</f>
        <v>0</v>
      </c>
      <c r="K147" s="865" cm="1">
        <f t="array" ref="K147">I147*c_rate.Pref.MO</f>
        <v>0</v>
      </c>
      <c r="L147" s="865">
        <f t="shared" si="67"/>
        <v>0</v>
      </c>
      <c r="M147" s="865">
        <f t="shared" si="68"/>
        <v>0</v>
      </c>
      <c r="N147" s="865">
        <f t="shared" si="69"/>
        <v>0</v>
      </c>
      <c r="O147" s="864" cm="1">
        <f t="array" ref="O147">IF(N147=0,0,IF(G147&lt;0,N147/c_equity.LPshare*i_equity.GPshare,L147/c_equity.LPshare*i_equity.GPshare))</f>
        <v>0</v>
      </c>
      <c r="P147" s="865">
        <f t="shared" si="70"/>
        <v>0</v>
      </c>
      <c r="Q147" s="865">
        <f t="shared" si="71"/>
        <v>0</v>
      </c>
      <c r="R147" s="161"/>
      <c r="S147" s="867">
        <f t="shared" ca="1" si="72"/>
        <v>0</v>
      </c>
      <c r="T147" s="867" cm="1">
        <f t="array" ref="T147">IF($G147=0,0,-MIN(0,$G147*c_equity.LPshare))</f>
        <v>0</v>
      </c>
      <c r="U147" s="869" cm="1">
        <f t="array" ref="U147">IF($D147=0,0,S147*c_rate.Hurdle1.MO)</f>
        <v>0</v>
      </c>
      <c r="V147" s="867">
        <f t="shared" si="73"/>
        <v>0</v>
      </c>
      <c r="W147" s="867">
        <f t="shared" ca="1" si="74"/>
        <v>0</v>
      </c>
      <c r="X147" s="869">
        <f t="shared" ca="1" si="75"/>
        <v>0</v>
      </c>
      <c r="Y147" s="869">
        <f t="shared" ca="1" si="76"/>
        <v>0</v>
      </c>
      <c r="Z147" s="869">
        <f t="shared" ca="1" si="77"/>
        <v>0</v>
      </c>
      <c r="AA147" s="869">
        <f t="shared" ca="1" si="78"/>
        <v>0</v>
      </c>
      <c r="AB147" s="867">
        <f t="shared" ca="1" si="79"/>
        <v>0</v>
      </c>
      <c r="AC147" s="867"/>
      <c r="AD147" s="869">
        <f t="shared" ca="1" si="80"/>
        <v>0</v>
      </c>
      <c r="AE147" s="867" cm="1">
        <f t="array" ref="AE147">IF($G147=0,0,-MIN(0,$G147*c_equity.LPshare))</f>
        <v>0</v>
      </c>
      <c r="AF147" s="869" cm="1">
        <f t="array" ref="AF147">IF($D147=0,0,AD147*(c_rate.Hurdle2.MO))</f>
        <v>0</v>
      </c>
      <c r="AG147" s="869">
        <f t="shared" ca="1" si="81"/>
        <v>0</v>
      </c>
      <c r="AH147" s="869">
        <f t="shared" ca="1" si="82"/>
        <v>0</v>
      </c>
      <c r="AI147" s="869">
        <f t="shared" ca="1" si="83"/>
        <v>0</v>
      </c>
      <c r="AJ147" s="868">
        <f t="shared" ca="1" si="61"/>
        <v>0</v>
      </c>
      <c r="AK147" s="867">
        <f t="shared" ca="1" si="84"/>
        <v>0</v>
      </c>
      <c r="AL147" s="869">
        <f t="shared" ca="1" si="111"/>
        <v>0</v>
      </c>
      <c r="AM147" s="869">
        <f t="shared" ca="1" si="85"/>
        <v>0</v>
      </c>
      <c r="AN147" s="867">
        <f t="shared" ca="1" si="58"/>
        <v>0</v>
      </c>
      <c r="AO147" s="161"/>
      <c r="AP147" s="869">
        <f t="shared" ca="1" si="86"/>
        <v>0</v>
      </c>
      <c r="AQ147" s="867" cm="1">
        <f t="array" ref="AQ147">IF($G147=0,0,-MIN(0,$G147*c_equity.LPshare))</f>
        <v>0</v>
      </c>
      <c r="AR147" s="869" cm="1">
        <f t="array" ref="AR147">IF($D147=0,0,AP147*(c_rate.Hurdle3.MO))</f>
        <v>0</v>
      </c>
      <c r="AS147" s="869">
        <f t="shared" ca="1" si="87"/>
        <v>0</v>
      </c>
      <c r="AT147" s="869">
        <f t="shared" ca="1" si="88"/>
        <v>0</v>
      </c>
      <c r="AU147" s="869">
        <f t="shared" ca="1" si="89"/>
        <v>0</v>
      </c>
      <c r="AV147" s="870">
        <f t="shared" ca="1" si="90"/>
        <v>0</v>
      </c>
      <c r="AW147" s="867">
        <f t="shared" ca="1" si="91"/>
        <v>0</v>
      </c>
      <c r="AX147" s="869">
        <f t="shared" ca="1" si="112"/>
        <v>0</v>
      </c>
      <c r="AY147" s="869">
        <f t="shared" ca="1" si="92"/>
        <v>0</v>
      </c>
      <c r="AZ147" s="867">
        <f t="shared" ca="1" si="93"/>
        <v>0</v>
      </c>
      <c r="BA147" s="161"/>
      <c r="BB147" s="867">
        <f t="shared" ca="1" si="94"/>
        <v>0</v>
      </c>
      <c r="BC147" s="867">
        <f t="shared" ca="1" si="59"/>
        <v>0</v>
      </c>
      <c r="BD147" s="658"/>
      <c r="BE147" s="867">
        <f t="shared" ca="1" si="95"/>
        <v>0</v>
      </c>
      <c r="BF147" s="867">
        <f t="shared" ca="1" si="96"/>
        <v>0</v>
      </c>
      <c r="BG147" s="867">
        <f t="shared" ca="1" si="97"/>
        <v>0</v>
      </c>
      <c r="BI147" s="867">
        <f ca="1"/>
        <v>0</v>
      </c>
      <c r="BJ147" s="867">
        <f ca="1"/>
        <v>0</v>
      </c>
      <c r="BK147" s="867">
        <f ca="1"/>
        <v>0</v>
      </c>
      <c r="BL147" s="867">
        <f t="shared" ca="1" si="98"/>
        <v>0</v>
      </c>
      <c r="BM147" s="867">
        <f t="shared" ca="1" si="99"/>
        <v>0</v>
      </c>
      <c r="BN147" s="867">
        <f t="shared" ca="1" si="100"/>
        <v>0</v>
      </c>
      <c r="BO147" s="867">
        <f t="shared" ca="1" si="101"/>
        <v>0</v>
      </c>
      <c r="BP147" s="867">
        <f t="shared" ca="1" si="102"/>
        <v>0</v>
      </c>
      <c r="BQ147" s="867">
        <f t="shared" ca="1" si="103"/>
        <v>0</v>
      </c>
      <c r="BR147" s="867">
        <f ca="1"/>
        <v>0</v>
      </c>
      <c r="BS147" s="867">
        <f ca="1"/>
        <v>0</v>
      </c>
      <c r="BT147" s="867">
        <f t="shared" ca="1" si="64"/>
        <v>0</v>
      </c>
      <c r="BU147" s="867">
        <f t="shared" ca="1" si="104"/>
        <v>0</v>
      </c>
      <c r="BV147" s="829">
        <f t="shared" ca="1" si="65"/>
        <v>0</v>
      </c>
      <c r="BX147" s="867">
        <f ca="1"/>
        <v>0</v>
      </c>
      <c r="BY147" s="867">
        <f t="shared" ca="1" si="105"/>
        <v>0</v>
      </c>
      <c r="BZ147" s="867">
        <f t="shared" ca="1" si="106"/>
        <v>0</v>
      </c>
      <c r="CA147" s="867">
        <f t="shared" ca="1" si="107"/>
        <v>0</v>
      </c>
      <c r="CB147" s="867">
        <f t="shared" ca="1" si="108"/>
        <v>0</v>
      </c>
      <c r="CC147" s="867">
        <f t="shared" ca="1" si="109"/>
        <v>0</v>
      </c>
      <c r="CD147" s="867">
        <f t="shared" ca="1" si="110"/>
        <v>0</v>
      </c>
    </row>
    <row r="148" spans="1:82" ht="17" hidden="1" thickTop="1" thickBot="1">
      <c r="A148" s="773">
        <f t="shared" si="60"/>
        <v>0</v>
      </c>
      <c r="B148" s="779"/>
      <c r="C148" s="572"/>
      <c r="D148" s="660"/>
      <c r="E148" s="661"/>
      <c r="F148" s="862"/>
      <c r="G148" s="863"/>
      <c r="H148" s="961"/>
      <c r="I148" s="865">
        <f t="shared" si="66"/>
        <v>0</v>
      </c>
      <c r="J148" s="864" cm="1">
        <f t="array" ref="J148">IF($G148=0,0,-MIN(0,G148*c_equity.LPshare))</f>
        <v>0</v>
      </c>
      <c r="K148" s="865" cm="1">
        <f t="array" ref="K148">I148*c_rate.Pref.MO</f>
        <v>0</v>
      </c>
      <c r="L148" s="865">
        <f t="shared" si="67"/>
        <v>0</v>
      </c>
      <c r="M148" s="865">
        <f t="shared" si="68"/>
        <v>0</v>
      </c>
      <c r="N148" s="865">
        <f t="shared" si="69"/>
        <v>0</v>
      </c>
      <c r="O148" s="864" cm="1">
        <f t="array" ref="O148">IF(N148=0,0,IF(G148&lt;0,N148/c_equity.LPshare*i_equity.GPshare,L148/c_equity.LPshare*i_equity.GPshare))</f>
        <v>0</v>
      </c>
      <c r="P148" s="865">
        <f t="shared" si="70"/>
        <v>0</v>
      </c>
      <c r="Q148" s="865">
        <f t="shared" si="71"/>
        <v>0</v>
      </c>
      <c r="R148" s="161"/>
      <c r="S148" s="867">
        <f t="shared" ca="1" si="72"/>
        <v>0</v>
      </c>
      <c r="T148" s="867" cm="1">
        <f t="array" ref="T148">IF($G148=0,0,-MIN(0,$G148*c_equity.LPshare))</f>
        <v>0</v>
      </c>
      <c r="U148" s="869" cm="1">
        <f t="array" ref="U148">IF($D148=0,0,S148*c_rate.Hurdle1.MO)</f>
        <v>0</v>
      </c>
      <c r="V148" s="867">
        <f t="shared" si="73"/>
        <v>0</v>
      </c>
      <c r="W148" s="867">
        <f t="shared" ca="1" si="74"/>
        <v>0</v>
      </c>
      <c r="X148" s="869">
        <f t="shared" ca="1" si="75"/>
        <v>0</v>
      </c>
      <c r="Y148" s="869">
        <f t="shared" ca="1" si="76"/>
        <v>0</v>
      </c>
      <c r="Z148" s="869">
        <f t="shared" ca="1" si="77"/>
        <v>0</v>
      </c>
      <c r="AA148" s="869">
        <f t="shared" ca="1" si="78"/>
        <v>0</v>
      </c>
      <c r="AB148" s="867">
        <f t="shared" ca="1" si="79"/>
        <v>0</v>
      </c>
      <c r="AC148" s="867"/>
      <c r="AD148" s="869">
        <f t="shared" ca="1" si="80"/>
        <v>0</v>
      </c>
      <c r="AE148" s="867" cm="1">
        <f t="array" ref="AE148">IF($G148=0,0,-MIN(0,$G148*c_equity.LPshare))</f>
        <v>0</v>
      </c>
      <c r="AF148" s="869" cm="1">
        <f t="array" ref="AF148">IF($D148=0,0,AD148*(c_rate.Hurdle2.MO))</f>
        <v>0</v>
      </c>
      <c r="AG148" s="869">
        <f t="shared" ca="1" si="81"/>
        <v>0</v>
      </c>
      <c r="AH148" s="869">
        <f t="shared" ca="1" si="82"/>
        <v>0</v>
      </c>
      <c r="AI148" s="869">
        <f t="shared" ca="1" si="83"/>
        <v>0</v>
      </c>
      <c r="AJ148" s="868">
        <f t="shared" ca="1" si="61"/>
        <v>0</v>
      </c>
      <c r="AK148" s="867">
        <f t="shared" ca="1" si="84"/>
        <v>0</v>
      </c>
      <c r="AL148" s="869">
        <f t="shared" ca="1" si="111"/>
        <v>0</v>
      </c>
      <c r="AM148" s="869">
        <f t="shared" ca="1" si="85"/>
        <v>0</v>
      </c>
      <c r="AN148" s="867">
        <f t="shared" ca="1" si="58"/>
        <v>0</v>
      </c>
      <c r="AO148" s="161"/>
      <c r="AP148" s="869">
        <f t="shared" ca="1" si="86"/>
        <v>0</v>
      </c>
      <c r="AQ148" s="867" cm="1">
        <f t="array" ref="AQ148">IF($G148=0,0,-MIN(0,$G148*c_equity.LPshare))</f>
        <v>0</v>
      </c>
      <c r="AR148" s="869" cm="1">
        <f t="array" ref="AR148">IF($D148=0,0,AP148*(c_rate.Hurdle3.MO))</f>
        <v>0</v>
      </c>
      <c r="AS148" s="869">
        <f t="shared" ca="1" si="87"/>
        <v>0</v>
      </c>
      <c r="AT148" s="869">
        <f t="shared" ca="1" si="88"/>
        <v>0</v>
      </c>
      <c r="AU148" s="869">
        <f t="shared" ca="1" si="89"/>
        <v>0</v>
      </c>
      <c r="AV148" s="870">
        <f t="shared" ca="1" si="90"/>
        <v>0</v>
      </c>
      <c r="AW148" s="867">
        <f t="shared" ca="1" si="91"/>
        <v>0</v>
      </c>
      <c r="AX148" s="869">
        <f t="shared" ca="1" si="112"/>
        <v>0</v>
      </c>
      <c r="AY148" s="869">
        <f t="shared" ca="1" si="92"/>
        <v>0</v>
      </c>
      <c r="AZ148" s="867">
        <f t="shared" ca="1" si="93"/>
        <v>0</v>
      </c>
      <c r="BA148" s="161"/>
      <c r="BB148" s="867">
        <f t="shared" ca="1" si="94"/>
        <v>0</v>
      </c>
      <c r="BC148" s="867">
        <f t="shared" ca="1" si="59"/>
        <v>0</v>
      </c>
      <c r="BD148" s="658"/>
      <c r="BE148" s="867">
        <f t="shared" ca="1" si="95"/>
        <v>0</v>
      </c>
      <c r="BF148" s="867">
        <f t="shared" ca="1" si="96"/>
        <v>0</v>
      </c>
      <c r="BG148" s="867">
        <f t="shared" ca="1" si="97"/>
        <v>0</v>
      </c>
      <c r="BI148" s="867">
        <f ca="1"/>
        <v>0</v>
      </c>
      <c r="BJ148" s="867">
        <f ca="1"/>
        <v>0</v>
      </c>
      <c r="BK148" s="867">
        <f ca="1"/>
        <v>0</v>
      </c>
      <c r="BL148" s="867">
        <f t="shared" ca="1" si="98"/>
        <v>0</v>
      </c>
      <c r="BM148" s="867">
        <f t="shared" ca="1" si="99"/>
        <v>0</v>
      </c>
      <c r="BN148" s="867">
        <f t="shared" ca="1" si="100"/>
        <v>0</v>
      </c>
      <c r="BO148" s="867">
        <f t="shared" ca="1" si="101"/>
        <v>0</v>
      </c>
      <c r="BP148" s="867">
        <f t="shared" ca="1" si="102"/>
        <v>0</v>
      </c>
      <c r="BQ148" s="867">
        <f t="shared" ca="1" si="103"/>
        <v>0</v>
      </c>
      <c r="BR148" s="867">
        <f ca="1"/>
        <v>0</v>
      </c>
      <c r="BS148" s="867">
        <f ca="1"/>
        <v>0</v>
      </c>
      <c r="BT148" s="867">
        <f t="shared" ca="1" si="64"/>
        <v>0</v>
      </c>
      <c r="BU148" s="867">
        <f t="shared" ca="1" si="104"/>
        <v>0</v>
      </c>
      <c r="BV148" s="829">
        <f t="shared" ca="1" si="65"/>
        <v>0</v>
      </c>
      <c r="BX148" s="867">
        <f ca="1"/>
        <v>0</v>
      </c>
      <c r="BY148" s="867">
        <f t="shared" ca="1" si="105"/>
        <v>0</v>
      </c>
      <c r="BZ148" s="867">
        <f t="shared" ca="1" si="106"/>
        <v>0</v>
      </c>
      <c r="CA148" s="867">
        <f t="shared" ca="1" si="107"/>
        <v>0</v>
      </c>
      <c r="CB148" s="867">
        <f t="shared" ca="1" si="108"/>
        <v>0</v>
      </c>
      <c r="CC148" s="867">
        <f t="shared" ca="1" si="109"/>
        <v>0</v>
      </c>
      <c r="CD148" s="867">
        <f t="shared" ca="1" si="110"/>
        <v>0</v>
      </c>
    </row>
    <row r="149" spans="1:82" ht="17" hidden="1" thickTop="1" thickBot="1">
      <c r="A149" s="773">
        <f t="shared" si="60"/>
        <v>0</v>
      </c>
      <c r="B149" s="779"/>
      <c r="C149" s="572"/>
      <c r="D149" s="660"/>
      <c r="E149" s="661"/>
      <c r="F149" s="862"/>
      <c r="G149" s="863"/>
      <c r="H149" s="961"/>
      <c r="I149" s="865">
        <f t="shared" si="66"/>
        <v>0</v>
      </c>
      <c r="J149" s="864" cm="1">
        <f t="array" ref="J149">IF($G149=0,0,-MIN(0,G149*c_equity.LPshare))</f>
        <v>0</v>
      </c>
      <c r="K149" s="865" cm="1">
        <f t="array" ref="K149">I149*c_rate.Pref.MO</f>
        <v>0</v>
      </c>
      <c r="L149" s="865">
        <f t="shared" si="67"/>
        <v>0</v>
      </c>
      <c r="M149" s="865">
        <f t="shared" si="68"/>
        <v>0</v>
      </c>
      <c r="N149" s="865">
        <f t="shared" si="69"/>
        <v>0</v>
      </c>
      <c r="O149" s="864" cm="1">
        <f t="array" ref="O149">IF(N149=0,0,IF(G149&lt;0,N149/c_equity.LPshare*i_equity.GPshare,L149/c_equity.LPshare*i_equity.GPshare))</f>
        <v>0</v>
      </c>
      <c r="P149" s="865">
        <f t="shared" si="70"/>
        <v>0</v>
      </c>
      <c r="Q149" s="865">
        <f t="shared" si="71"/>
        <v>0</v>
      </c>
      <c r="R149" s="161"/>
      <c r="S149" s="867">
        <f t="shared" ca="1" si="72"/>
        <v>0</v>
      </c>
      <c r="T149" s="867" cm="1">
        <f t="array" ref="T149">IF($G149=0,0,-MIN(0,$G149*c_equity.LPshare))</f>
        <v>0</v>
      </c>
      <c r="U149" s="869" cm="1">
        <f t="array" ref="U149">IF($D149=0,0,S149*c_rate.Hurdle1.MO)</f>
        <v>0</v>
      </c>
      <c r="V149" s="867">
        <f t="shared" si="73"/>
        <v>0</v>
      </c>
      <c r="W149" s="867">
        <f t="shared" ca="1" si="74"/>
        <v>0</v>
      </c>
      <c r="X149" s="869">
        <f t="shared" ca="1" si="75"/>
        <v>0</v>
      </c>
      <c r="Y149" s="869">
        <f t="shared" ca="1" si="76"/>
        <v>0</v>
      </c>
      <c r="Z149" s="869">
        <f t="shared" ca="1" si="77"/>
        <v>0</v>
      </c>
      <c r="AA149" s="869">
        <f t="shared" ca="1" si="78"/>
        <v>0</v>
      </c>
      <c r="AB149" s="867">
        <f t="shared" ca="1" si="79"/>
        <v>0</v>
      </c>
      <c r="AC149" s="867"/>
      <c r="AD149" s="869">
        <f t="shared" ca="1" si="80"/>
        <v>0</v>
      </c>
      <c r="AE149" s="867" cm="1">
        <f t="array" ref="AE149">IF($G149=0,0,-MIN(0,$G149*c_equity.LPshare))</f>
        <v>0</v>
      </c>
      <c r="AF149" s="869" cm="1">
        <f t="array" ref="AF149">IF($D149=0,0,AD149*(c_rate.Hurdle2.MO))</f>
        <v>0</v>
      </c>
      <c r="AG149" s="869">
        <f t="shared" ca="1" si="81"/>
        <v>0</v>
      </c>
      <c r="AH149" s="869">
        <f t="shared" ca="1" si="82"/>
        <v>0</v>
      </c>
      <c r="AI149" s="869">
        <f t="shared" ca="1" si="83"/>
        <v>0</v>
      </c>
      <c r="AJ149" s="868">
        <f t="shared" ca="1" si="61"/>
        <v>0</v>
      </c>
      <c r="AK149" s="867">
        <f t="shared" ca="1" si="84"/>
        <v>0</v>
      </c>
      <c r="AL149" s="869">
        <f t="shared" ca="1" si="111"/>
        <v>0</v>
      </c>
      <c r="AM149" s="869">
        <f t="shared" ca="1" si="85"/>
        <v>0</v>
      </c>
      <c r="AN149" s="867">
        <f t="shared" ca="1" si="58"/>
        <v>0</v>
      </c>
      <c r="AO149" s="161"/>
      <c r="AP149" s="869">
        <f t="shared" ca="1" si="86"/>
        <v>0</v>
      </c>
      <c r="AQ149" s="867" cm="1">
        <f t="array" ref="AQ149">IF($G149=0,0,-MIN(0,$G149*c_equity.LPshare))</f>
        <v>0</v>
      </c>
      <c r="AR149" s="869" cm="1">
        <f t="array" ref="AR149">IF($D149=0,0,AP149*(c_rate.Hurdle3.MO))</f>
        <v>0</v>
      </c>
      <c r="AS149" s="869">
        <f t="shared" ca="1" si="87"/>
        <v>0</v>
      </c>
      <c r="AT149" s="869">
        <f t="shared" ca="1" si="88"/>
        <v>0</v>
      </c>
      <c r="AU149" s="869">
        <f t="shared" ca="1" si="89"/>
        <v>0</v>
      </c>
      <c r="AV149" s="870">
        <f t="shared" ca="1" si="90"/>
        <v>0</v>
      </c>
      <c r="AW149" s="867">
        <f t="shared" ca="1" si="91"/>
        <v>0</v>
      </c>
      <c r="AX149" s="869">
        <f t="shared" ca="1" si="112"/>
        <v>0</v>
      </c>
      <c r="AY149" s="869">
        <f t="shared" ca="1" si="92"/>
        <v>0</v>
      </c>
      <c r="AZ149" s="867">
        <f t="shared" ca="1" si="93"/>
        <v>0</v>
      </c>
      <c r="BA149" s="161"/>
      <c r="BB149" s="867">
        <f t="shared" ca="1" si="94"/>
        <v>0</v>
      </c>
      <c r="BC149" s="867">
        <f t="shared" ca="1" si="59"/>
        <v>0</v>
      </c>
      <c r="BD149" s="658"/>
      <c r="BE149" s="867">
        <f t="shared" ca="1" si="95"/>
        <v>0</v>
      </c>
      <c r="BF149" s="867">
        <f t="shared" ca="1" si="96"/>
        <v>0</v>
      </c>
      <c r="BG149" s="867">
        <f t="shared" ca="1" si="97"/>
        <v>0</v>
      </c>
      <c r="BI149" s="867">
        <f ca="1"/>
        <v>0</v>
      </c>
      <c r="BJ149" s="867">
        <f ca="1"/>
        <v>0</v>
      </c>
      <c r="BK149" s="867">
        <f ca="1"/>
        <v>0</v>
      </c>
      <c r="BL149" s="867">
        <f t="shared" ca="1" si="98"/>
        <v>0</v>
      </c>
      <c r="BM149" s="867">
        <f t="shared" ca="1" si="99"/>
        <v>0</v>
      </c>
      <c r="BN149" s="867">
        <f t="shared" ca="1" si="100"/>
        <v>0</v>
      </c>
      <c r="BO149" s="867">
        <f t="shared" ca="1" si="101"/>
        <v>0</v>
      </c>
      <c r="BP149" s="867">
        <f t="shared" ca="1" si="102"/>
        <v>0</v>
      </c>
      <c r="BQ149" s="867">
        <f t="shared" ca="1" si="103"/>
        <v>0</v>
      </c>
      <c r="BR149" s="867">
        <f ca="1"/>
        <v>0</v>
      </c>
      <c r="BS149" s="867">
        <f ca="1"/>
        <v>0</v>
      </c>
      <c r="BT149" s="867">
        <f t="shared" ca="1" si="64"/>
        <v>0</v>
      </c>
      <c r="BU149" s="867">
        <f t="shared" ca="1" si="104"/>
        <v>0</v>
      </c>
      <c r="BV149" s="829">
        <f t="shared" ca="1" si="65"/>
        <v>0</v>
      </c>
      <c r="BX149" s="867">
        <f ca="1"/>
        <v>0</v>
      </c>
      <c r="BY149" s="867">
        <f t="shared" ca="1" si="105"/>
        <v>0</v>
      </c>
      <c r="BZ149" s="867">
        <f t="shared" ca="1" si="106"/>
        <v>0</v>
      </c>
      <c r="CA149" s="867">
        <f t="shared" ca="1" si="107"/>
        <v>0</v>
      </c>
      <c r="CB149" s="867">
        <f t="shared" ca="1" si="108"/>
        <v>0</v>
      </c>
      <c r="CC149" s="867">
        <f t="shared" ca="1" si="109"/>
        <v>0</v>
      </c>
      <c r="CD149" s="867">
        <f t="shared" ca="1" si="110"/>
        <v>0</v>
      </c>
    </row>
    <row r="150" spans="1:82" ht="17" hidden="1" thickTop="1" thickBot="1">
      <c r="A150" s="773">
        <f t="shared" si="60"/>
        <v>0</v>
      </c>
      <c r="B150" s="779"/>
      <c r="C150" s="572"/>
      <c r="D150" s="660"/>
      <c r="E150" s="661"/>
      <c r="F150" s="862"/>
      <c r="G150" s="863"/>
      <c r="H150" s="961"/>
      <c r="I150" s="865">
        <f t="shared" si="66"/>
        <v>0</v>
      </c>
      <c r="J150" s="864" cm="1">
        <f t="array" ref="J150">IF($G150=0,0,-MIN(0,G150*c_equity.LPshare))</f>
        <v>0</v>
      </c>
      <c r="K150" s="865" cm="1">
        <f t="array" ref="K150">I150*c_rate.Pref.MO</f>
        <v>0</v>
      </c>
      <c r="L150" s="865">
        <f t="shared" si="67"/>
        <v>0</v>
      </c>
      <c r="M150" s="865">
        <f t="shared" si="68"/>
        <v>0</v>
      </c>
      <c r="N150" s="865">
        <f t="shared" si="69"/>
        <v>0</v>
      </c>
      <c r="O150" s="864" cm="1">
        <f t="array" ref="O150">IF(N150=0,0,IF(G150&lt;0,N150/c_equity.LPshare*i_equity.GPshare,L150/c_equity.LPshare*i_equity.GPshare))</f>
        <v>0</v>
      </c>
      <c r="P150" s="865">
        <f t="shared" si="70"/>
        <v>0</v>
      </c>
      <c r="Q150" s="865">
        <f t="shared" si="71"/>
        <v>0</v>
      </c>
      <c r="R150" s="161"/>
      <c r="S150" s="867">
        <f t="shared" ca="1" si="72"/>
        <v>0</v>
      </c>
      <c r="T150" s="867" cm="1">
        <f t="array" ref="T150">IF($G150=0,0,-MIN(0,$G150*c_equity.LPshare))</f>
        <v>0</v>
      </c>
      <c r="U150" s="869" cm="1">
        <f t="array" ref="U150">IF($D150=0,0,S150*c_rate.Hurdle1.MO)</f>
        <v>0</v>
      </c>
      <c r="V150" s="867">
        <f t="shared" si="73"/>
        <v>0</v>
      </c>
      <c r="W150" s="867">
        <f t="shared" ca="1" si="74"/>
        <v>0</v>
      </c>
      <c r="X150" s="869">
        <f t="shared" ca="1" si="75"/>
        <v>0</v>
      </c>
      <c r="Y150" s="869">
        <f t="shared" ca="1" si="76"/>
        <v>0</v>
      </c>
      <c r="Z150" s="869">
        <f t="shared" ca="1" si="77"/>
        <v>0</v>
      </c>
      <c r="AA150" s="869">
        <f t="shared" ca="1" si="78"/>
        <v>0</v>
      </c>
      <c r="AB150" s="867">
        <f t="shared" ca="1" si="79"/>
        <v>0</v>
      </c>
      <c r="AC150" s="867"/>
      <c r="AD150" s="869">
        <f t="shared" ca="1" si="80"/>
        <v>0</v>
      </c>
      <c r="AE150" s="867" cm="1">
        <f t="array" ref="AE150">IF($G150=0,0,-MIN(0,$G150*c_equity.LPshare))</f>
        <v>0</v>
      </c>
      <c r="AF150" s="869" cm="1">
        <f t="array" ref="AF150">IF($D150=0,0,AD150*(c_rate.Hurdle2.MO))</f>
        <v>0</v>
      </c>
      <c r="AG150" s="869">
        <f t="shared" ca="1" si="81"/>
        <v>0</v>
      </c>
      <c r="AH150" s="869">
        <f t="shared" ca="1" si="82"/>
        <v>0</v>
      </c>
      <c r="AI150" s="869">
        <f t="shared" ca="1" si="83"/>
        <v>0</v>
      </c>
      <c r="AJ150" s="868">
        <f t="shared" ca="1" si="61"/>
        <v>0</v>
      </c>
      <c r="AK150" s="867">
        <f t="shared" ca="1" si="84"/>
        <v>0</v>
      </c>
      <c r="AL150" s="869">
        <f t="shared" ca="1" si="111"/>
        <v>0</v>
      </c>
      <c r="AM150" s="869">
        <f t="shared" ca="1" si="85"/>
        <v>0</v>
      </c>
      <c r="AN150" s="867">
        <f t="shared" ca="1" si="58"/>
        <v>0</v>
      </c>
      <c r="AO150" s="161"/>
      <c r="AP150" s="869">
        <f t="shared" ca="1" si="86"/>
        <v>0</v>
      </c>
      <c r="AQ150" s="867" cm="1">
        <f t="array" ref="AQ150">IF($G150=0,0,-MIN(0,$G150*c_equity.LPshare))</f>
        <v>0</v>
      </c>
      <c r="AR150" s="869" cm="1">
        <f t="array" ref="AR150">IF($D150=0,0,AP150*(c_rate.Hurdle3.MO))</f>
        <v>0</v>
      </c>
      <c r="AS150" s="869">
        <f t="shared" ca="1" si="87"/>
        <v>0</v>
      </c>
      <c r="AT150" s="869">
        <f t="shared" ca="1" si="88"/>
        <v>0</v>
      </c>
      <c r="AU150" s="869">
        <f t="shared" ca="1" si="89"/>
        <v>0</v>
      </c>
      <c r="AV150" s="870">
        <f t="shared" ca="1" si="90"/>
        <v>0</v>
      </c>
      <c r="AW150" s="867">
        <f t="shared" ca="1" si="91"/>
        <v>0</v>
      </c>
      <c r="AX150" s="869">
        <f t="shared" ca="1" si="112"/>
        <v>0</v>
      </c>
      <c r="AY150" s="869">
        <f t="shared" ca="1" si="92"/>
        <v>0</v>
      </c>
      <c r="AZ150" s="867">
        <f t="shared" ca="1" si="93"/>
        <v>0</v>
      </c>
      <c r="BA150" s="161"/>
      <c r="BB150" s="867">
        <f t="shared" ca="1" si="94"/>
        <v>0</v>
      </c>
      <c r="BC150" s="867">
        <f t="shared" ca="1" si="59"/>
        <v>0</v>
      </c>
      <c r="BD150" s="658"/>
      <c r="BE150" s="867">
        <f t="shared" ca="1" si="95"/>
        <v>0</v>
      </c>
      <c r="BF150" s="867">
        <f t="shared" ca="1" si="96"/>
        <v>0</v>
      </c>
      <c r="BG150" s="867">
        <f t="shared" ca="1" si="97"/>
        <v>0</v>
      </c>
      <c r="BI150" s="867">
        <f ca="1"/>
        <v>0</v>
      </c>
      <c r="BJ150" s="867">
        <f ca="1"/>
        <v>0</v>
      </c>
      <c r="BK150" s="867">
        <f ca="1"/>
        <v>0</v>
      </c>
      <c r="BL150" s="867">
        <f t="shared" ca="1" si="98"/>
        <v>0</v>
      </c>
      <c r="BM150" s="867">
        <f t="shared" ca="1" si="99"/>
        <v>0</v>
      </c>
      <c r="BN150" s="867">
        <f t="shared" ca="1" si="100"/>
        <v>0</v>
      </c>
      <c r="BO150" s="867">
        <f t="shared" ca="1" si="101"/>
        <v>0</v>
      </c>
      <c r="BP150" s="867">
        <f t="shared" ca="1" si="102"/>
        <v>0</v>
      </c>
      <c r="BQ150" s="867">
        <f t="shared" ca="1" si="103"/>
        <v>0</v>
      </c>
      <c r="BR150" s="867">
        <f ca="1"/>
        <v>0</v>
      </c>
      <c r="BS150" s="867">
        <f ca="1"/>
        <v>0</v>
      </c>
      <c r="BT150" s="867">
        <f t="shared" ca="1" si="64"/>
        <v>0</v>
      </c>
      <c r="BU150" s="867">
        <f t="shared" ca="1" si="104"/>
        <v>0</v>
      </c>
      <c r="BV150" s="829">
        <f t="shared" ca="1" si="65"/>
        <v>0</v>
      </c>
      <c r="BX150" s="867">
        <f ca="1"/>
        <v>0</v>
      </c>
      <c r="BY150" s="867">
        <f t="shared" ca="1" si="105"/>
        <v>0</v>
      </c>
      <c r="BZ150" s="867">
        <f t="shared" ca="1" si="106"/>
        <v>0</v>
      </c>
      <c r="CA150" s="867">
        <f t="shared" ca="1" si="107"/>
        <v>0</v>
      </c>
      <c r="CB150" s="867">
        <f t="shared" ca="1" si="108"/>
        <v>0</v>
      </c>
      <c r="CC150" s="867">
        <f t="shared" ca="1" si="109"/>
        <v>0</v>
      </c>
      <c r="CD150" s="867">
        <f t="shared" ca="1" si="110"/>
        <v>0</v>
      </c>
    </row>
    <row r="151" spans="1:82" ht="17" hidden="1" thickTop="1" thickBot="1">
      <c r="A151" s="773">
        <f t="shared" si="60"/>
        <v>0</v>
      </c>
      <c r="B151" s="779"/>
      <c r="C151" s="572"/>
      <c r="D151" s="660"/>
      <c r="E151" s="661"/>
      <c r="F151" s="862"/>
      <c r="G151" s="863"/>
      <c r="H151" s="961"/>
      <c r="I151" s="865">
        <f t="shared" si="66"/>
        <v>0</v>
      </c>
      <c r="J151" s="864" cm="1">
        <f t="array" ref="J151">IF($G151=0,0,-MIN(0,G151*c_equity.LPshare))</f>
        <v>0</v>
      </c>
      <c r="K151" s="865" cm="1">
        <f t="array" ref="K151">I151*c_rate.Pref.MO</f>
        <v>0</v>
      </c>
      <c r="L151" s="865">
        <f t="shared" si="67"/>
        <v>0</v>
      </c>
      <c r="M151" s="865">
        <f t="shared" si="68"/>
        <v>0</v>
      </c>
      <c r="N151" s="865">
        <f t="shared" si="69"/>
        <v>0</v>
      </c>
      <c r="O151" s="864" cm="1">
        <f t="array" ref="O151">IF(N151=0,0,IF(G151&lt;0,N151/c_equity.LPshare*i_equity.GPshare,L151/c_equity.LPshare*i_equity.GPshare))</f>
        <v>0</v>
      </c>
      <c r="P151" s="865">
        <f t="shared" si="70"/>
        <v>0</v>
      </c>
      <c r="Q151" s="865">
        <f t="shared" si="71"/>
        <v>0</v>
      </c>
      <c r="R151" s="161"/>
      <c r="S151" s="867">
        <f t="shared" ca="1" si="72"/>
        <v>0</v>
      </c>
      <c r="T151" s="867" cm="1">
        <f t="array" ref="T151">IF($G151=0,0,-MIN(0,$G151*c_equity.LPshare))</f>
        <v>0</v>
      </c>
      <c r="U151" s="869" cm="1">
        <f t="array" ref="U151">IF($D151=0,0,S151*c_rate.Hurdle1.MO)</f>
        <v>0</v>
      </c>
      <c r="V151" s="867">
        <f t="shared" si="73"/>
        <v>0</v>
      </c>
      <c r="W151" s="867">
        <f t="shared" ca="1" si="74"/>
        <v>0</v>
      </c>
      <c r="X151" s="869">
        <f t="shared" ca="1" si="75"/>
        <v>0</v>
      </c>
      <c r="Y151" s="869">
        <f t="shared" ca="1" si="76"/>
        <v>0</v>
      </c>
      <c r="Z151" s="869">
        <f t="shared" ca="1" si="77"/>
        <v>0</v>
      </c>
      <c r="AA151" s="869">
        <f t="shared" ca="1" si="78"/>
        <v>0</v>
      </c>
      <c r="AB151" s="867">
        <f t="shared" ca="1" si="79"/>
        <v>0</v>
      </c>
      <c r="AC151" s="867"/>
      <c r="AD151" s="869">
        <f t="shared" ca="1" si="80"/>
        <v>0</v>
      </c>
      <c r="AE151" s="867" cm="1">
        <f t="array" ref="AE151">IF($G151=0,0,-MIN(0,$G151*c_equity.LPshare))</f>
        <v>0</v>
      </c>
      <c r="AF151" s="869" cm="1">
        <f t="array" ref="AF151">IF($D151=0,0,AD151*(c_rate.Hurdle2.MO))</f>
        <v>0</v>
      </c>
      <c r="AG151" s="869">
        <f t="shared" ca="1" si="81"/>
        <v>0</v>
      </c>
      <c r="AH151" s="869">
        <f t="shared" ca="1" si="82"/>
        <v>0</v>
      </c>
      <c r="AI151" s="869">
        <f t="shared" ca="1" si="83"/>
        <v>0</v>
      </c>
      <c r="AJ151" s="868">
        <f t="shared" ca="1" si="61"/>
        <v>0</v>
      </c>
      <c r="AK151" s="867">
        <f t="shared" ca="1" si="84"/>
        <v>0</v>
      </c>
      <c r="AL151" s="869">
        <f t="shared" ca="1" si="111"/>
        <v>0</v>
      </c>
      <c r="AM151" s="869">
        <f t="shared" ca="1" si="85"/>
        <v>0</v>
      </c>
      <c r="AN151" s="867">
        <f t="shared" ca="1" si="58"/>
        <v>0</v>
      </c>
      <c r="AO151" s="161"/>
      <c r="AP151" s="869">
        <f t="shared" ca="1" si="86"/>
        <v>0</v>
      </c>
      <c r="AQ151" s="867" cm="1">
        <f t="array" ref="AQ151">IF($G151=0,0,-MIN(0,$G151*c_equity.LPshare))</f>
        <v>0</v>
      </c>
      <c r="AR151" s="869" cm="1">
        <f t="array" ref="AR151">IF($D151=0,0,AP151*(c_rate.Hurdle3.MO))</f>
        <v>0</v>
      </c>
      <c r="AS151" s="869">
        <f t="shared" ca="1" si="87"/>
        <v>0</v>
      </c>
      <c r="AT151" s="869">
        <f t="shared" ca="1" si="88"/>
        <v>0</v>
      </c>
      <c r="AU151" s="869">
        <f t="shared" ca="1" si="89"/>
        <v>0</v>
      </c>
      <c r="AV151" s="870">
        <f t="shared" ca="1" si="90"/>
        <v>0</v>
      </c>
      <c r="AW151" s="867">
        <f t="shared" ca="1" si="91"/>
        <v>0</v>
      </c>
      <c r="AX151" s="869">
        <f t="shared" ca="1" si="112"/>
        <v>0</v>
      </c>
      <c r="AY151" s="869">
        <f t="shared" ca="1" si="92"/>
        <v>0</v>
      </c>
      <c r="AZ151" s="867">
        <f t="shared" ca="1" si="93"/>
        <v>0</v>
      </c>
      <c r="BA151" s="161"/>
      <c r="BB151" s="867">
        <f t="shared" ca="1" si="94"/>
        <v>0</v>
      </c>
      <c r="BC151" s="867">
        <f t="shared" ca="1" si="59"/>
        <v>0</v>
      </c>
      <c r="BD151" s="658"/>
      <c r="BE151" s="867">
        <f t="shared" ca="1" si="95"/>
        <v>0</v>
      </c>
      <c r="BF151" s="867">
        <f t="shared" ca="1" si="96"/>
        <v>0</v>
      </c>
      <c r="BG151" s="867">
        <f t="shared" ca="1" si="97"/>
        <v>0</v>
      </c>
      <c r="BI151" s="867">
        <f ca="1"/>
        <v>0</v>
      </c>
      <c r="BJ151" s="867">
        <f ca="1"/>
        <v>0</v>
      </c>
      <c r="BK151" s="867">
        <f ca="1"/>
        <v>0</v>
      </c>
      <c r="BL151" s="867">
        <f t="shared" ca="1" si="98"/>
        <v>0</v>
      </c>
      <c r="BM151" s="867">
        <f t="shared" ca="1" si="99"/>
        <v>0</v>
      </c>
      <c r="BN151" s="867">
        <f t="shared" ca="1" si="100"/>
        <v>0</v>
      </c>
      <c r="BO151" s="867">
        <f t="shared" ca="1" si="101"/>
        <v>0</v>
      </c>
      <c r="BP151" s="867">
        <f t="shared" ca="1" si="102"/>
        <v>0</v>
      </c>
      <c r="BQ151" s="867">
        <f t="shared" ca="1" si="103"/>
        <v>0</v>
      </c>
      <c r="BR151" s="867">
        <f ca="1"/>
        <v>0</v>
      </c>
      <c r="BS151" s="867">
        <f ca="1"/>
        <v>0</v>
      </c>
      <c r="BT151" s="867">
        <f t="shared" ca="1" si="64"/>
        <v>0</v>
      </c>
      <c r="BU151" s="867">
        <f t="shared" ca="1" si="104"/>
        <v>0</v>
      </c>
      <c r="BV151" s="829">
        <f t="shared" ca="1" si="65"/>
        <v>0</v>
      </c>
      <c r="BX151" s="867">
        <f ca="1"/>
        <v>0</v>
      </c>
      <c r="BY151" s="867">
        <f t="shared" ca="1" si="105"/>
        <v>0</v>
      </c>
      <c r="BZ151" s="867">
        <f t="shared" ca="1" si="106"/>
        <v>0</v>
      </c>
      <c r="CA151" s="867">
        <f t="shared" ca="1" si="107"/>
        <v>0</v>
      </c>
      <c r="CB151" s="867">
        <f t="shared" ca="1" si="108"/>
        <v>0</v>
      </c>
      <c r="CC151" s="867">
        <f t="shared" ca="1" si="109"/>
        <v>0</v>
      </c>
      <c r="CD151" s="867">
        <f t="shared" ca="1" si="110"/>
        <v>0</v>
      </c>
    </row>
    <row r="152" spans="1:82" ht="17" hidden="1" thickTop="1" thickBot="1">
      <c r="A152" s="773">
        <f t="shared" si="60"/>
        <v>0</v>
      </c>
      <c r="B152" s="779"/>
      <c r="C152" s="572"/>
      <c r="D152" s="660"/>
      <c r="E152" s="661"/>
      <c r="F152" s="862"/>
      <c r="G152" s="863"/>
      <c r="H152" s="961"/>
      <c r="I152" s="865">
        <f t="shared" si="66"/>
        <v>0</v>
      </c>
      <c r="J152" s="864" cm="1">
        <f t="array" ref="J152">IF($G152=0,0,-MIN(0,G152*c_equity.LPshare))</f>
        <v>0</v>
      </c>
      <c r="K152" s="865" cm="1">
        <f t="array" ref="K152">I152*c_rate.Pref.MO</f>
        <v>0</v>
      </c>
      <c r="L152" s="865">
        <f t="shared" si="67"/>
        <v>0</v>
      </c>
      <c r="M152" s="865">
        <f t="shared" si="68"/>
        <v>0</v>
      </c>
      <c r="N152" s="865">
        <f t="shared" si="69"/>
        <v>0</v>
      </c>
      <c r="O152" s="864" cm="1">
        <f t="array" ref="O152">IF(N152=0,0,IF(G152&lt;0,N152/c_equity.LPshare*i_equity.GPshare,L152/c_equity.LPshare*i_equity.GPshare))</f>
        <v>0</v>
      </c>
      <c r="P152" s="865">
        <f t="shared" si="70"/>
        <v>0</v>
      </c>
      <c r="Q152" s="865">
        <f t="shared" si="71"/>
        <v>0</v>
      </c>
      <c r="R152" s="161"/>
      <c r="S152" s="867">
        <f t="shared" ca="1" si="72"/>
        <v>0</v>
      </c>
      <c r="T152" s="867" cm="1">
        <f t="array" ref="T152">IF($G152=0,0,-MIN(0,$G152*c_equity.LPshare))</f>
        <v>0</v>
      </c>
      <c r="U152" s="869" cm="1">
        <f t="array" ref="U152">IF($D152=0,0,S152*c_rate.Hurdle1.MO)</f>
        <v>0</v>
      </c>
      <c r="V152" s="867">
        <f t="shared" si="73"/>
        <v>0</v>
      </c>
      <c r="W152" s="867">
        <f t="shared" ca="1" si="74"/>
        <v>0</v>
      </c>
      <c r="X152" s="869">
        <f t="shared" ca="1" si="75"/>
        <v>0</v>
      </c>
      <c r="Y152" s="869">
        <f t="shared" ca="1" si="76"/>
        <v>0</v>
      </c>
      <c r="Z152" s="869">
        <f t="shared" ca="1" si="77"/>
        <v>0</v>
      </c>
      <c r="AA152" s="869">
        <f t="shared" ca="1" si="78"/>
        <v>0</v>
      </c>
      <c r="AB152" s="867">
        <f t="shared" ca="1" si="79"/>
        <v>0</v>
      </c>
      <c r="AC152" s="867"/>
      <c r="AD152" s="869">
        <f t="shared" ca="1" si="80"/>
        <v>0</v>
      </c>
      <c r="AE152" s="867" cm="1">
        <f t="array" ref="AE152">IF($G152=0,0,-MIN(0,$G152*c_equity.LPshare))</f>
        <v>0</v>
      </c>
      <c r="AF152" s="869" cm="1">
        <f t="array" ref="AF152">IF($D152=0,0,AD152*(c_rate.Hurdle2.MO))</f>
        <v>0</v>
      </c>
      <c r="AG152" s="869">
        <f t="shared" ca="1" si="81"/>
        <v>0</v>
      </c>
      <c r="AH152" s="869">
        <f t="shared" ca="1" si="82"/>
        <v>0</v>
      </c>
      <c r="AI152" s="869">
        <f t="shared" ca="1" si="83"/>
        <v>0</v>
      </c>
      <c r="AJ152" s="868">
        <f t="shared" ca="1" si="61"/>
        <v>0</v>
      </c>
      <c r="AK152" s="867">
        <f t="shared" ca="1" si="84"/>
        <v>0</v>
      </c>
      <c r="AL152" s="869">
        <f t="shared" ca="1" si="111"/>
        <v>0</v>
      </c>
      <c r="AM152" s="869">
        <f t="shared" ca="1" si="85"/>
        <v>0</v>
      </c>
      <c r="AN152" s="867">
        <f t="shared" ca="1" si="58"/>
        <v>0</v>
      </c>
      <c r="AO152" s="161"/>
      <c r="AP152" s="869">
        <f t="shared" ca="1" si="86"/>
        <v>0</v>
      </c>
      <c r="AQ152" s="867" cm="1">
        <f t="array" ref="AQ152">IF($G152=0,0,-MIN(0,$G152*c_equity.LPshare))</f>
        <v>0</v>
      </c>
      <c r="AR152" s="869" cm="1">
        <f t="array" ref="AR152">IF($D152=0,0,AP152*(c_rate.Hurdle3.MO))</f>
        <v>0</v>
      </c>
      <c r="AS152" s="869">
        <f t="shared" ca="1" si="87"/>
        <v>0</v>
      </c>
      <c r="AT152" s="869">
        <f t="shared" ca="1" si="88"/>
        <v>0</v>
      </c>
      <c r="AU152" s="869">
        <f t="shared" ca="1" si="89"/>
        <v>0</v>
      </c>
      <c r="AV152" s="870">
        <f t="shared" ca="1" si="90"/>
        <v>0</v>
      </c>
      <c r="AW152" s="867">
        <f t="shared" ca="1" si="91"/>
        <v>0</v>
      </c>
      <c r="AX152" s="869">
        <f t="shared" ca="1" si="112"/>
        <v>0</v>
      </c>
      <c r="AY152" s="869">
        <f t="shared" ca="1" si="92"/>
        <v>0</v>
      </c>
      <c r="AZ152" s="867">
        <f t="shared" ca="1" si="93"/>
        <v>0</v>
      </c>
      <c r="BA152" s="161"/>
      <c r="BB152" s="867">
        <f t="shared" ca="1" si="94"/>
        <v>0</v>
      </c>
      <c r="BC152" s="867">
        <f t="shared" ca="1" si="59"/>
        <v>0</v>
      </c>
      <c r="BD152" s="658"/>
      <c r="BE152" s="867">
        <f t="shared" ca="1" si="95"/>
        <v>0</v>
      </c>
      <c r="BF152" s="867">
        <f t="shared" ca="1" si="96"/>
        <v>0</v>
      </c>
      <c r="BG152" s="867">
        <f t="shared" ca="1" si="97"/>
        <v>0</v>
      </c>
      <c r="BI152" s="867">
        <f ca="1"/>
        <v>0</v>
      </c>
      <c r="BJ152" s="867">
        <f ca="1"/>
        <v>0</v>
      </c>
      <c r="BK152" s="867">
        <f ca="1"/>
        <v>0</v>
      </c>
      <c r="BL152" s="867">
        <f t="shared" ca="1" si="98"/>
        <v>0</v>
      </c>
      <c r="BM152" s="867">
        <f t="shared" ca="1" si="99"/>
        <v>0</v>
      </c>
      <c r="BN152" s="867">
        <f t="shared" ca="1" si="100"/>
        <v>0</v>
      </c>
      <c r="BO152" s="867">
        <f t="shared" ca="1" si="101"/>
        <v>0</v>
      </c>
      <c r="BP152" s="867">
        <f t="shared" ca="1" si="102"/>
        <v>0</v>
      </c>
      <c r="BQ152" s="867">
        <f t="shared" ca="1" si="103"/>
        <v>0</v>
      </c>
      <c r="BR152" s="867">
        <f ca="1"/>
        <v>0</v>
      </c>
      <c r="BS152" s="867">
        <f ca="1"/>
        <v>0</v>
      </c>
      <c r="BT152" s="867">
        <f t="shared" ca="1" si="64"/>
        <v>0</v>
      </c>
      <c r="BU152" s="867">
        <f t="shared" ca="1" si="104"/>
        <v>0</v>
      </c>
      <c r="BV152" s="829">
        <f t="shared" ca="1" si="65"/>
        <v>0</v>
      </c>
      <c r="BX152" s="867">
        <f ca="1"/>
        <v>0</v>
      </c>
      <c r="BY152" s="867">
        <f t="shared" ca="1" si="105"/>
        <v>0</v>
      </c>
      <c r="BZ152" s="867">
        <f t="shared" ca="1" si="106"/>
        <v>0</v>
      </c>
      <c r="CA152" s="867">
        <f t="shared" ca="1" si="107"/>
        <v>0</v>
      </c>
      <c r="CB152" s="867">
        <f t="shared" ca="1" si="108"/>
        <v>0</v>
      </c>
      <c r="CC152" s="867">
        <f t="shared" ca="1" si="109"/>
        <v>0</v>
      </c>
      <c r="CD152" s="867">
        <f t="shared" ca="1" si="110"/>
        <v>0</v>
      </c>
    </row>
    <row r="153" spans="1:82" ht="17" hidden="1" thickTop="1" thickBot="1">
      <c r="A153" s="773">
        <f t="shared" si="60"/>
        <v>0</v>
      </c>
      <c r="B153" s="779"/>
      <c r="C153" s="572"/>
      <c r="D153" s="660"/>
      <c r="E153" s="661"/>
      <c r="F153" s="862"/>
      <c r="G153" s="863"/>
      <c r="H153" s="961"/>
      <c r="I153" s="865">
        <f t="shared" si="66"/>
        <v>0</v>
      </c>
      <c r="J153" s="864" cm="1">
        <f t="array" ref="J153">IF($G153=0,0,-MIN(0,G153*c_equity.LPshare))</f>
        <v>0</v>
      </c>
      <c r="K153" s="865" cm="1">
        <f t="array" ref="K153">I153*c_rate.Pref.MO</f>
        <v>0</v>
      </c>
      <c r="L153" s="865">
        <f t="shared" si="67"/>
        <v>0</v>
      </c>
      <c r="M153" s="865">
        <f t="shared" si="68"/>
        <v>0</v>
      </c>
      <c r="N153" s="865">
        <f t="shared" si="69"/>
        <v>0</v>
      </c>
      <c r="O153" s="864" cm="1">
        <f t="array" ref="O153">IF(N153=0,0,IF(G153&lt;0,N153/c_equity.LPshare*i_equity.GPshare,L153/c_equity.LPshare*i_equity.GPshare))</f>
        <v>0</v>
      </c>
      <c r="P153" s="865">
        <f t="shared" si="70"/>
        <v>0</v>
      </c>
      <c r="Q153" s="865">
        <f t="shared" si="71"/>
        <v>0</v>
      </c>
      <c r="R153" s="161"/>
      <c r="S153" s="867">
        <f t="shared" ca="1" si="72"/>
        <v>0</v>
      </c>
      <c r="T153" s="867" cm="1">
        <f t="array" ref="T153">IF($G153=0,0,-MIN(0,$G153*c_equity.LPshare))</f>
        <v>0</v>
      </c>
      <c r="U153" s="869" cm="1">
        <f t="array" ref="U153">IF($D153=0,0,S153*c_rate.Hurdle1.MO)</f>
        <v>0</v>
      </c>
      <c r="V153" s="867">
        <f t="shared" si="73"/>
        <v>0</v>
      </c>
      <c r="W153" s="867">
        <f t="shared" ca="1" si="74"/>
        <v>0</v>
      </c>
      <c r="X153" s="869">
        <f t="shared" ca="1" si="75"/>
        <v>0</v>
      </c>
      <c r="Y153" s="869">
        <f t="shared" ca="1" si="76"/>
        <v>0</v>
      </c>
      <c r="Z153" s="869">
        <f t="shared" ca="1" si="77"/>
        <v>0</v>
      </c>
      <c r="AA153" s="869">
        <f t="shared" ca="1" si="78"/>
        <v>0</v>
      </c>
      <c r="AB153" s="867">
        <f t="shared" ca="1" si="79"/>
        <v>0</v>
      </c>
      <c r="AC153" s="867"/>
      <c r="AD153" s="869">
        <f t="shared" ca="1" si="80"/>
        <v>0</v>
      </c>
      <c r="AE153" s="867" cm="1">
        <f t="array" ref="AE153">IF($G153=0,0,-MIN(0,$G153*c_equity.LPshare))</f>
        <v>0</v>
      </c>
      <c r="AF153" s="869" cm="1">
        <f t="array" ref="AF153">IF($D153=0,0,AD153*(c_rate.Hurdle2.MO))</f>
        <v>0</v>
      </c>
      <c r="AG153" s="869">
        <f t="shared" ca="1" si="81"/>
        <v>0</v>
      </c>
      <c r="AH153" s="869">
        <f t="shared" ca="1" si="82"/>
        <v>0</v>
      </c>
      <c r="AI153" s="869">
        <f t="shared" ca="1" si="83"/>
        <v>0</v>
      </c>
      <c r="AJ153" s="868">
        <f t="shared" ca="1" si="61"/>
        <v>0</v>
      </c>
      <c r="AK153" s="867">
        <f t="shared" ca="1" si="84"/>
        <v>0</v>
      </c>
      <c r="AL153" s="869">
        <f t="shared" ca="1" si="111"/>
        <v>0</v>
      </c>
      <c r="AM153" s="869">
        <f t="shared" ca="1" si="85"/>
        <v>0</v>
      </c>
      <c r="AN153" s="867">
        <f t="shared" ca="1" si="58"/>
        <v>0</v>
      </c>
      <c r="AO153" s="161"/>
      <c r="AP153" s="869">
        <f t="shared" ca="1" si="86"/>
        <v>0</v>
      </c>
      <c r="AQ153" s="867" cm="1">
        <f t="array" ref="AQ153">IF($G153=0,0,-MIN(0,$G153*c_equity.LPshare))</f>
        <v>0</v>
      </c>
      <c r="AR153" s="869" cm="1">
        <f t="array" ref="AR153">IF($D153=0,0,AP153*(c_rate.Hurdle3.MO))</f>
        <v>0</v>
      </c>
      <c r="AS153" s="869">
        <f t="shared" ca="1" si="87"/>
        <v>0</v>
      </c>
      <c r="AT153" s="869">
        <f t="shared" ca="1" si="88"/>
        <v>0</v>
      </c>
      <c r="AU153" s="869">
        <f t="shared" ca="1" si="89"/>
        <v>0</v>
      </c>
      <c r="AV153" s="870">
        <f t="shared" ca="1" si="90"/>
        <v>0</v>
      </c>
      <c r="AW153" s="867">
        <f t="shared" ca="1" si="91"/>
        <v>0</v>
      </c>
      <c r="AX153" s="869">
        <f t="shared" ca="1" si="112"/>
        <v>0</v>
      </c>
      <c r="AY153" s="869">
        <f t="shared" ca="1" si="92"/>
        <v>0</v>
      </c>
      <c r="AZ153" s="867">
        <f t="shared" ca="1" si="93"/>
        <v>0</v>
      </c>
      <c r="BA153" s="161"/>
      <c r="BB153" s="867">
        <f t="shared" ca="1" si="94"/>
        <v>0</v>
      </c>
      <c r="BC153" s="867">
        <f t="shared" ca="1" si="59"/>
        <v>0</v>
      </c>
      <c r="BD153" s="658"/>
      <c r="BE153" s="867">
        <f t="shared" ca="1" si="95"/>
        <v>0</v>
      </c>
      <c r="BF153" s="867">
        <f t="shared" ca="1" si="96"/>
        <v>0</v>
      </c>
      <c r="BG153" s="867">
        <f t="shared" ca="1" si="97"/>
        <v>0</v>
      </c>
      <c r="BI153" s="867">
        <f ca="1"/>
        <v>0</v>
      </c>
      <c r="BJ153" s="867">
        <f ca="1"/>
        <v>0</v>
      </c>
      <c r="BK153" s="867">
        <f ca="1"/>
        <v>0</v>
      </c>
      <c r="BL153" s="867">
        <f t="shared" ca="1" si="98"/>
        <v>0</v>
      </c>
      <c r="BM153" s="867">
        <f t="shared" ca="1" si="99"/>
        <v>0</v>
      </c>
      <c r="BN153" s="867">
        <f t="shared" ca="1" si="100"/>
        <v>0</v>
      </c>
      <c r="BO153" s="867">
        <f t="shared" ca="1" si="101"/>
        <v>0</v>
      </c>
      <c r="BP153" s="867">
        <f t="shared" ca="1" si="102"/>
        <v>0</v>
      </c>
      <c r="BQ153" s="867">
        <f t="shared" ca="1" si="103"/>
        <v>0</v>
      </c>
      <c r="BR153" s="867">
        <f ca="1"/>
        <v>0</v>
      </c>
      <c r="BS153" s="867">
        <f ca="1"/>
        <v>0</v>
      </c>
      <c r="BT153" s="867">
        <f t="shared" ca="1" si="64"/>
        <v>0</v>
      </c>
      <c r="BU153" s="867">
        <f t="shared" ca="1" si="104"/>
        <v>0</v>
      </c>
      <c r="BV153" s="829">
        <f t="shared" ca="1" si="65"/>
        <v>0</v>
      </c>
      <c r="BX153" s="867">
        <f ca="1"/>
        <v>0</v>
      </c>
      <c r="BY153" s="867">
        <f t="shared" ca="1" si="105"/>
        <v>0</v>
      </c>
      <c r="BZ153" s="867">
        <f t="shared" ca="1" si="106"/>
        <v>0</v>
      </c>
      <c r="CA153" s="867">
        <f t="shared" ca="1" si="107"/>
        <v>0</v>
      </c>
      <c r="CB153" s="867">
        <f t="shared" ca="1" si="108"/>
        <v>0</v>
      </c>
      <c r="CC153" s="867">
        <f t="shared" ca="1" si="109"/>
        <v>0</v>
      </c>
      <c r="CD153" s="867">
        <f t="shared" ca="1" si="110"/>
        <v>0</v>
      </c>
    </row>
    <row r="154" spans="1:82" ht="17" hidden="1" thickTop="1" thickBot="1">
      <c r="A154" s="773">
        <f t="shared" si="60"/>
        <v>0</v>
      </c>
      <c r="B154" s="779"/>
      <c r="C154" s="572"/>
      <c r="D154" s="660"/>
      <c r="E154" s="661"/>
      <c r="F154" s="862"/>
      <c r="G154" s="863"/>
      <c r="H154" s="961"/>
      <c r="I154" s="865">
        <f t="shared" si="66"/>
        <v>0</v>
      </c>
      <c r="J154" s="864" cm="1">
        <f t="array" ref="J154">IF($G154=0,0,-MIN(0,G154*c_equity.LPshare))</f>
        <v>0</v>
      </c>
      <c r="K154" s="865" cm="1">
        <f t="array" ref="K154">I154*c_rate.Pref.MO</f>
        <v>0</v>
      </c>
      <c r="L154" s="865">
        <f t="shared" si="67"/>
        <v>0</v>
      </c>
      <c r="M154" s="865">
        <f t="shared" si="68"/>
        <v>0</v>
      </c>
      <c r="N154" s="865">
        <f t="shared" si="69"/>
        <v>0</v>
      </c>
      <c r="O154" s="864" cm="1">
        <f t="array" ref="O154">IF(N154=0,0,IF(G154&lt;0,N154/c_equity.LPshare*i_equity.GPshare,L154/c_equity.LPshare*i_equity.GPshare))</f>
        <v>0</v>
      </c>
      <c r="P154" s="865">
        <f t="shared" si="70"/>
        <v>0</v>
      </c>
      <c r="Q154" s="865">
        <f t="shared" si="71"/>
        <v>0</v>
      </c>
      <c r="R154" s="161"/>
      <c r="S154" s="867">
        <f t="shared" ca="1" si="72"/>
        <v>0</v>
      </c>
      <c r="T154" s="867" cm="1">
        <f t="array" ref="T154">IF($G154=0,0,-MIN(0,$G154*c_equity.LPshare))</f>
        <v>0</v>
      </c>
      <c r="U154" s="869" cm="1">
        <f t="array" ref="U154">IF($D154=0,0,S154*c_rate.Hurdle1.MO)</f>
        <v>0</v>
      </c>
      <c r="V154" s="867">
        <f t="shared" si="73"/>
        <v>0</v>
      </c>
      <c r="W154" s="867">
        <f t="shared" ca="1" si="74"/>
        <v>0</v>
      </c>
      <c r="X154" s="869">
        <f t="shared" ca="1" si="75"/>
        <v>0</v>
      </c>
      <c r="Y154" s="869">
        <f t="shared" ca="1" si="76"/>
        <v>0</v>
      </c>
      <c r="Z154" s="869">
        <f t="shared" ca="1" si="77"/>
        <v>0</v>
      </c>
      <c r="AA154" s="869">
        <f t="shared" ca="1" si="78"/>
        <v>0</v>
      </c>
      <c r="AB154" s="867">
        <f t="shared" ca="1" si="79"/>
        <v>0</v>
      </c>
      <c r="AC154" s="867"/>
      <c r="AD154" s="869">
        <f t="shared" ca="1" si="80"/>
        <v>0</v>
      </c>
      <c r="AE154" s="867" cm="1">
        <f t="array" ref="AE154">IF($G154=0,0,-MIN(0,$G154*c_equity.LPshare))</f>
        <v>0</v>
      </c>
      <c r="AF154" s="869" cm="1">
        <f t="array" ref="AF154">IF($D154=0,0,AD154*(c_rate.Hurdle2.MO))</f>
        <v>0</v>
      </c>
      <c r="AG154" s="869">
        <f t="shared" ca="1" si="81"/>
        <v>0</v>
      </c>
      <c r="AH154" s="869">
        <f t="shared" ca="1" si="82"/>
        <v>0</v>
      </c>
      <c r="AI154" s="869">
        <f t="shared" ca="1" si="83"/>
        <v>0</v>
      </c>
      <c r="AJ154" s="868">
        <f t="shared" ca="1" si="61"/>
        <v>0</v>
      </c>
      <c r="AK154" s="867">
        <f t="shared" ca="1" si="84"/>
        <v>0</v>
      </c>
      <c r="AL154" s="869">
        <f t="shared" ca="1" si="111"/>
        <v>0</v>
      </c>
      <c r="AM154" s="869">
        <f t="shared" ca="1" si="85"/>
        <v>0</v>
      </c>
      <c r="AN154" s="867">
        <f t="shared" ca="1" si="58"/>
        <v>0</v>
      </c>
      <c r="AO154" s="161"/>
      <c r="AP154" s="869">
        <f t="shared" ca="1" si="86"/>
        <v>0</v>
      </c>
      <c r="AQ154" s="867" cm="1">
        <f t="array" ref="AQ154">IF($G154=0,0,-MIN(0,$G154*c_equity.LPshare))</f>
        <v>0</v>
      </c>
      <c r="AR154" s="869" cm="1">
        <f t="array" ref="AR154">IF($D154=0,0,AP154*(c_rate.Hurdle3.MO))</f>
        <v>0</v>
      </c>
      <c r="AS154" s="869">
        <f t="shared" ca="1" si="87"/>
        <v>0</v>
      </c>
      <c r="AT154" s="869">
        <f t="shared" ca="1" si="88"/>
        <v>0</v>
      </c>
      <c r="AU154" s="869">
        <f t="shared" ca="1" si="89"/>
        <v>0</v>
      </c>
      <c r="AV154" s="870">
        <f t="shared" ca="1" si="90"/>
        <v>0</v>
      </c>
      <c r="AW154" s="867">
        <f t="shared" ca="1" si="91"/>
        <v>0</v>
      </c>
      <c r="AX154" s="869">
        <f t="shared" ca="1" si="112"/>
        <v>0</v>
      </c>
      <c r="AY154" s="869">
        <f t="shared" ca="1" si="92"/>
        <v>0</v>
      </c>
      <c r="AZ154" s="867">
        <f t="shared" ca="1" si="93"/>
        <v>0</v>
      </c>
      <c r="BA154" s="161"/>
      <c r="BB154" s="867">
        <f t="shared" ca="1" si="94"/>
        <v>0</v>
      </c>
      <c r="BC154" s="867">
        <f t="shared" ca="1" si="59"/>
        <v>0</v>
      </c>
      <c r="BD154" s="658"/>
      <c r="BE154" s="867">
        <f t="shared" ca="1" si="95"/>
        <v>0</v>
      </c>
      <c r="BF154" s="867">
        <f t="shared" ca="1" si="96"/>
        <v>0</v>
      </c>
      <c r="BG154" s="867">
        <f t="shared" ca="1" si="97"/>
        <v>0</v>
      </c>
      <c r="BI154" s="867">
        <f ca="1"/>
        <v>0</v>
      </c>
      <c r="BJ154" s="867">
        <f ca="1"/>
        <v>0</v>
      </c>
      <c r="BK154" s="867">
        <f ca="1"/>
        <v>0</v>
      </c>
      <c r="BL154" s="867">
        <f t="shared" ca="1" si="98"/>
        <v>0</v>
      </c>
      <c r="BM154" s="867">
        <f t="shared" ca="1" si="99"/>
        <v>0</v>
      </c>
      <c r="BN154" s="867">
        <f t="shared" ca="1" si="100"/>
        <v>0</v>
      </c>
      <c r="BO154" s="867">
        <f t="shared" ca="1" si="101"/>
        <v>0</v>
      </c>
      <c r="BP154" s="867">
        <f t="shared" ca="1" si="102"/>
        <v>0</v>
      </c>
      <c r="BQ154" s="867">
        <f t="shared" ca="1" si="103"/>
        <v>0</v>
      </c>
      <c r="BR154" s="867">
        <f ca="1"/>
        <v>0</v>
      </c>
      <c r="BS154" s="867">
        <f ca="1"/>
        <v>0</v>
      </c>
      <c r="BT154" s="867">
        <f t="shared" ca="1" si="64"/>
        <v>0</v>
      </c>
      <c r="BU154" s="867">
        <f t="shared" ca="1" si="104"/>
        <v>0</v>
      </c>
      <c r="BV154" s="829">
        <f t="shared" ca="1" si="65"/>
        <v>0</v>
      </c>
      <c r="BX154" s="867">
        <f ca="1"/>
        <v>0</v>
      </c>
      <c r="BY154" s="867">
        <f t="shared" ca="1" si="105"/>
        <v>0</v>
      </c>
      <c r="BZ154" s="867">
        <f t="shared" ca="1" si="106"/>
        <v>0</v>
      </c>
      <c r="CA154" s="867">
        <f t="shared" ca="1" si="107"/>
        <v>0</v>
      </c>
      <c r="CB154" s="867">
        <f t="shared" ca="1" si="108"/>
        <v>0</v>
      </c>
      <c r="CC154" s="867">
        <f t="shared" ca="1" si="109"/>
        <v>0</v>
      </c>
      <c r="CD154" s="867">
        <f t="shared" ca="1" si="110"/>
        <v>0</v>
      </c>
    </row>
    <row r="155" spans="1:82" ht="17" hidden="1" thickTop="1" thickBot="1">
      <c r="A155" s="773">
        <f t="shared" si="60"/>
        <v>0</v>
      </c>
      <c r="B155" s="779"/>
      <c r="C155" s="572"/>
      <c r="D155" s="660"/>
      <c r="E155" s="661"/>
      <c r="F155" s="862"/>
      <c r="G155" s="863"/>
      <c r="H155" s="961"/>
      <c r="I155" s="865">
        <f t="shared" si="66"/>
        <v>0</v>
      </c>
      <c r="J155" s="864" cm="1">
        <f t="array" ref="J155">IF($G155=0,0,-MIN(0,G155*c_equity.LPshare))</f>
        <v>0</v>
      </c>
      <c r="K155" s="865" cm="1">
        <f t="array" ref="K155">I155*c_rate.Pref.MO</f>
        <v>0</v>
      </c>
      <c r="L155" s="865">
        <f t="shared" si="67"/>
        <v>0</v>
      </c>
      <c r="M155" s="865">
        <f t="shared" si="68"/>
        <v>0</v>
      </c>
      <c r="N155" s="865">
        <f t="shared" si="69"/>
        <v>0</v>
      </c>
      <c r="O155" s="864" cm="1">
        <f t="array" ref="O155">IF(N155=0,0,IF(G155&lt;0,N155/c_equity.LPshare*i_equity.GPshare,L155/c_equity.LPshare*i_equity.GPshare))</f>
        <v>0</v>
      </c>
      <c r="P155" s="865">
        <f t="shared" si="70"/>
        <v>0</v>
      </c>
      <c r="Q155" s="865">
        <f t="shared" si="71"/>
        <v>0</v>
      </c>
      <c r="R155" s="161"/>
      <c r="S155" s="867">
        <f t="shared" ca="1" si="72"/>
        <v>0</v>
      </c>
      <c r="T155" s="867" cm="1">
        <f t="array" ref="T155">IF($G155=0,0,-MIN(0,$G155*c_equity.LPshare))</f>
        <v>0</v>
      </c>
      <c r="U155" s="869" cm="1">
        <f t="array" ref="U155">IF($D155=0,0,S155*c_rate.Hurdle1.MO)</f>
        <v>0</v>
      </c>
      <c r="V155" s="867">
        <f t="shared" si="73"/>
        <v>0</v>
      </c>
      <c r="W155" s="867">
        <f t="shared" ca="1" si="74"/>
        <v>0</v>
      </c>
      <c r="X155" s="869">
        <f t="shared" ca="1" si="75"/>
        <v>0</v>
      </c>
      <c r="Y155" s="869">
        <f t="shared" ca="1" si="76"/>
        <v>0</v>
      </c>
      <c r="Z155" s="869">
        <f t="shared" ca="1" si="77"/>
        <v>0</v>
      </c>
      <c r="AA155" s="869">
        <f t="shared" ca="1" si="78"/>
        <v>0</v>
      </c>
      <c r="AB155" s="867">
        <f t="shared" ca="1" si="79"/>
        <v>0</v>
      </c>
      <c r="AC155" s="867"/>
      <c r="AD155" s="869">
        <f t="shared" ca="1" si="80"/>
        <v>0</v>
      </c>
      <c r="AE155" s="867" cm="1">
        <f t="array" ref="AE155">IF($G155=0,0,-MIN(0,$G155*c_equity.LPshare))</f>
        <v>0</v>
      </c>
      <c r="AF155" s="869" cm="1">
        <f t="array" ref="AF155">IF($D155=0,0,AD155*(c_rate.Hurdle2.MO))</f>
        <v>0</v>
      </c>
      <c r="AG155" s="869">
        <f t="shared" ca="1" si="81"/>
        <v>0</v>
      </c>
      <c r="AH155" s="869">
        <f t="shared" ca="1" si="82"/>
        <v>0</v>
      </c>
      <c r="AI155" s="869">
        <f t="shared" ca="1" si="83"/>
        <v>0</v>
      </c>
      <c r="AJ155" s="868">
        <f t="shared" ca="1" si="61"/>
        <v>0</v>
      </c>
      <c r="AK155" s="867">
        <f t="shared" ca="1" si="84"/>
        <v>0</v>
      </c>
      <c r="AL155" s="869">
        <f t="shared" ca="1" si="111"/>
        <v>0</v>
      </c>
      <c r="AM155" s="869">
        <f t="shared" ca="1" si="85"/>
        <v>0</v>
      </c>
      <c r="AN155" s="867">
        <f t="shared" ca="1" si="58"/>
        <v>0</v>
      </c>
      <c r="AO155" s="161"/>
      <c r="AP155" s="869">
        <f t="shared" ca="1" si="86"/>
        <v>0</v>
      </c>
      <c r="AQ155" s="867" cm="1">
        <f t="array" ref="AQ155">IF($G155=0,0,-MIN(0,$G155*c_equity.LPshare))</f>
        <v>0</v>
      </c>
      <c r="AR155" s="869" cm="1">
        <f t="array" ref="AR155">IF($D155=0,0,AP155*(c_rate.Hurdle3.MO))</f>
        <v>0</v>
      </c>
      <c r="AS155" s="869">
        <f t="shared" ca="1" si="87"/>
        <v>0</v>
      </c>
      <c r="AT155" s="869">
        <f t="shared" ca="1" si="88"/>
        <v>0</v>
      </c>
      <c r="AU155" s="869">
        <f t="shared" ca="1" si="89"/>
        <v>0</v>
      </c>
      <c r="AV155" s="870">
        <f t="shared" ca="1" si="90"/>
        <v>0</v>
      </c>
      <c r="AW155" s="867">
        <f t="shared" ca="1" si="91"/>
        <v>0</v>
      </c>
      <c r="AX155" s="869">
        <f t="shared" ca="1" si="112"/>
        <v>0</v>
      </c>
      <c r="AY155" s="869">
        <f t="shared" ca="1" si="92"/>
        <v>0</v>
      </c>
      <c r="AZ155" s="867">
        <f t="shared" ca="1" si="93"/>
        <v>0</v>
      </c>
      <c r="BA155" s="161"/>
      <c r="BB155" s="867">
        <f t="shared" ca="1" si="94"/>
        <v>0</v>
      </c>
      <c r="BC155" s="867">
        <f t="shared" ca="1" si="59"/>
        <v>0</v>
      </c>
      <c r="BD155" s="658"/>
      <c r="BE155" s="867">
        <f t="shared" ca="1" si="95"/>
        <v>0</v>
      </c>
      <c r="BF155" s="867">
        <f t="shared" ca="1" si="96"/>
        <v>0</v>
      </c>
      <c r="BG155" s="867">
        <f t="shared" ca="1" si="97"/>
        <v>0</v>
      </c>
      <c r="BI155" s="867">
        <f ca="1"/>
        <v>0</v>
      </c>
      <c r="BJ155" s="867">
        <f ca="1"/>
        <v>0</v>
      </c>
      <c r="BK155" s="867">
        <f ca="1"/>
        <v>0</v>
      </c>
      <c r="BL155" s="867">
        <f t="shared" ca="1" si="98"/>
        <v>0</v>
      </c>
      <c r="BM155" s="867">
        <f t="shared" ca="1" si="99"/>
        <v>0</v>
      </c>
      <c r="BN155" s="867">
        <f t="shared" ca="1" si="100"/>
        <v>0</v>
      </c>
      <c r="BO155" s="867">
        <f t="shared" ca="1" si="101"/>
        <v>0</v>
      </c>
      <c r="BP155" s="867">
        <f t="shared" ca="1" si="102"/>
        <v>0</v>
      </c>
      <c r="BQ155" s="867">
        <f t="shared" ca="1" si="103"/>
        <v>0</v>
      </c>
      <c r="BR155" s="867">
        <f ca="1"/>
        <v>0</v>
      </c>
      <c r="BS155" s="867">
        <f ca="1"/>
        <v>0</v>
      </c>
      <c r="BT155" s="867">
        <f t="shared" ca="1" si="64"/>
        <v>0</v>
      </c>
      <c r="BU155" s="867">
        <f t="shared" ca="1" si="104"/>
        <v>0</v>
      </c>
      <c r="BV155" s="829">
        <f t="shared" ca="1" si="65"/>
        <v>0</v>
      </c>
      <c r="BX155" s="867">
        <f ca="1"/>
        <v>0</v>
      </c>
      <c r="BY155" s="867">
        <f t="shared" ca="1" si="105"/>
        <v>0</v>
      </c>
      <c r="BZ155" s="867">
        <f t="shared" ca="1" si="106"/>
        <v>0</v>
      </c>
      <c r="CA155" s="867">
        <f t="shared" ca="1" si="107"/>
        <v>0</v>
      </c>
      <c r="CB155" s="867">
        <f t="shared" ca="1" si="108"/>
        <v>0</v>
      </c>
      <c r="CC155" s="867">
        <f t="shared" ca="1" si="109"/>
        <v>0</v>
      </c>
      <c r="CD155" s="867">
        <f t="shared" ca="1" si="110"/>
        <v>0</v>
      </c>
    </row>
    <row r="156" spans="1:82" ht="17" hidden="1" thickTop="1" thickBot="1">
      <c r="A156" s="773">
        <f t="shared" si="60"/>
        <v>0</v>
      </c>
      <c r="B156" s="779"/>
      <c r="C156" s="572"/>
      <c r="D156" s="660"/>
      <c r="E156" s="661"/>
      <c r="F156" s="862"/>
      <c r="G156" s="863"/>
      <c r="H156" s="961"/>
      <c r="I156" s="865">
        <f t="shared" si="66"/>
        <v>0</v>
      </c>
      <c r="J156" s="864" cm="1">
        <f t="array" ref="J156">IF($G156=0,0,-MIN(0,G156*c_equity.LPshare))</f>
        <v>0</v>
      </c>
      <c r="K156" s="865" cm="1">
        <f t="array" ref="K156">I156*c_rate.Pref.MO</f>
        <v>0</v>
      </c>
      <c r="L156" s="865">
        <f t="shared" si="67"/>
        <v>0</v>
      </c>
      <c r="M156" s="865">
        <f t="shared" si="68"/>
        <v>0</v>
      </c>
      <c r="N156" s="865">
        <f t="shared" si="69"/>
        <v>0</v>
      </c>
      <c r="O156" s="864" cm="1">
        <f t="array" ref="O156">IF(N156=0,0,IF(G156&lt;0,N156/c_equity.LPshare*i_equity.GPshare,L156/c_equity.LPshare*i_equity.GPshare))</f>
        <v>0</v>
      </c>
      <c r="P156" s="865">
        <f t="shared" si="70"/>
        <v>0</v>
      </c>
      <c r="Q156" s="865">
        <f t="shared" si="71"/>
        <v>0</v>
      </c>
      <c r="R156" s="161"/>
      <c r="S156" s="867">
        <f t="shared" ca="1" si="72"/>
        <v>0</v>
      </c>
      <c r="T156" s="867" cm="1">
        <f t="array" ref="T156">IF($G156=0,0,-MIN(0,$G156*c_equity.LPshare))</f>
        <v>0</v>
      </c>
      <c r="U156" s="869" cm="1">
        <f t="array" ref="U156">IF($D156=0,0,S156*c_rate.Hurdle1.MO)</f>
        <v>0</v>
      </c>
      <c r="V156" s="867">
        <f t="shared" si="73"/>
        <v>0</v>
      </c>
      <c r="W156" s="867">
        <f t="shared" ca="1" si="74"/>
        <v>0</v>
      </c>
      <c r="X156" s="869">
        <f t="shared" ca="1" si="75"/>
        <v>0</v>
      </c>
      <c r="Y156" s="869">
        <f t="shared" ca="1" si="76"/>
        <v>0</v>
      </c>
      <c r="Z156" s="869">
        <f t="shared" ca="1" si="77"/>
        <v>0</v>
      </c>
      <c r="AA156" s="869">
        <f t="shared" ca="1" si="78"/>
        <v>0</v>
      </c>
      <c r="AB156" s="867">
        <f t="shared" ca="1" si="79"/>
        <v>0</v>
      </c>
      <c r="AC156" s="867"/>
      <c r="AD156" s="869">
        <f t="shared" ca="1" si="80"/>
        <v>0</v>
      </c>
      <c r="AE156" s="867" cm="1">
        <f t="array" ref="AE156">IF($G156=0,0,-MIN(0,$G156*c_equity.LPshare))</f>
        <v>0</v>
      </c>
      <c r="AF156" s="869" cm="1">
        <f t="array" ref="AF156">IF($D156=0,0,AD156*(c_rate.Hurdle2.MO))</f>
        <v>0</v>
      </c>
      <c r="AG156" s="869">
        <f t="shared" ca="1" si="81"/>
        <v>0</v>
      </c>
      <c r="AH156" s="869">
        <f t="shared" ca="1" si="82"/>
        <v>0</v>
      </c>
      <c r="AI156" s="869">
        <f t="shared" ca="1" si="83"/>
        <v>0</v>
      </c>
      <c r="AJ156" s="868">
        <f t="shared" ca="1" si="61"/>
        <v>0</v>
      </c>
      <c r="AK156" s="867">
        <f t="shared" ca="1" si="84"/>
        <v>0</v>
      </c>
      <c r="AL156" s="869">
        <f t="shared" ca="1" si="111"/>
        <v>0</v>
      </c>
      <c r="AM156" s="869">
        <f t="shared" ca="1" si="85"/>
        <v>0</v>
      </c>
      <c r="AN156" s="867">
        <f t="shared" ca="1" si="58"/>
        <v>0</v>
      </c>
      <c r="AO156" s="161"/>
      <c r="AP156" s="869">
        <f t="shared" ca="1" si="86"/>
        <v>0</v>
      </c>
      <c r="AQ156" s="867" cm="1">
        <f t="array" ref="AQ156">IF($G156=0,0,-MIN(0,$G156*c_equity.LPshare))</f>
        <v>0</v>
      </c>
      <c r="AR156" s="869" cm="1">
        <f t="array" ref="AR156">IF($D156=0,0,AP156*(c_rate.Hurdle3.MO))</f>
        <v>0</v>
      </c>
      <c r="AS156" s="869">
        <f t="shared" ca="1" si="87"/>
        <v>0</v>
      </c>
      <c r="AT156" s="869">
        <f t="shared" ca="1" si="88"/>
        <v>0</v>
      </c>
      <c r="AU156" s="869">
        <f t="shared" ca="1" si="89"/>
        <v>0</v>
      </c>
      <c r="AV156" s="870">
        <f t="shared" ca="1" si="90"/>
        <v>0</v>
      </c>
      <c r="AW156" s="867">
        <f t="shared" ca="1" si="91"/>
        <v>0</v>
      </c>
      <c r="AX156" s="869">
        <f t="shared" ca="1" si="112"/>
        <v>0</v>
      </c>
      <c r="AY156" s="869">
        <f t="shared" ca="1" si="92"/>
        <v>0</v>
      </c>
      <c r="AZ156" s="867">
        <f t="shared" ca="1" si="93"/>
        <v>0</v>
      </c>
      <c r="BA156" s="161"/>
      <c r="BB156" s="867">
        <f t="shared" ca="1" si="94"/>
        <v>0</v>
      </c>
      <c r="BC156" s="867">
        <f t="shared" ca="1" si="59"/>
        <v>0</v>
      </c>
      <c r="BD156" s="658"/>
      <c r="BE156" s="867">
        <f t="shared" ca="1" si="95"/>
        <v>0</v>
      </c>
      <c r="BF156" s="867">
        <f t="shared" ca="1" si="96"/>
        <v>0</v>
      </c>
      <c r="BG156" s="867">
        <f t="shared" ca="1" si="97"/>
        <v>0</v>
      </c>
      <c r="BI156" s="867">
        <f ca="1"/>
        <v>0</v>
      </c>
      <c r="BJ156" s="867">
        <f ca="1"/>
        <v>0</v>
      </c>
      <c r="BK156" s="867">
        <f ca="1"/>
        <v>0</v>
      </c>
      <c r="BL156" s="867">
        <f t="shared" ca="1" si="98"/>
        <v>0</v>
      </c>
      <c r="BM156" s="867">
        <f t="shared" ca="1" si="99"/>
        <v>0</v>
      </c>
      <c r="BN156" s="867">
        <f t="shared" ca="1" si="100"/>
        <v>0</v>
      </c>
      <c r="BO156" s="867">
        <f t="shared" ca="1" si="101"/>
        <v>0</v>
      </c>
      <c r="BP156" s="867">
        <f t="shared" ca="1" si="102"/>
        <v>0</v>
      </c>
      <c r="BQ156" s="867">
        <f t="shared" ca="1" si="103"/>
        <v>0</v>
      </c>
      <c r="BR156" s="867">
        <f ca="1"/>
        <v>0</v>
      </c>
      <c r="BS156" s="867">
        <f ca="1"/>
        <v>0</v>
      </c>
      <c r="BT156" s="867">
        <f t="shared" ca="1" si="64"/>
        <v>0</v>
      </c>
      <c r="BU156" s="867">
        <f t="shared" ca="1" si="104"/>
        <v>0</v>
      </c>
      <c r="BV156" s="829">
        <f t="shared" ca="1" si="65"/>
        <v>0</v>
      </c>
      <c r="BX156" s="867">
        <f ca="1"/>
        <v>0</v>
      </c>
      <c r="BY156" s="867">
        <f t="shared" ca="1" si="105"/>
        <v>0</v>
      </c>
      <c r="BZ156" s="867">
        <f t="shared" ca="1" si="106"/>
        <v>0</v>
      </c>
      <c r="CA156" s="867">
        <f t="shared" ca="1" si="107"/>
        <v>0</v>
      </c>
      <c r="CB156" s="867">
        <f t="shared" ca="1" si="108"/>
        <v>0</v>
      </c>
      <c r="CC156" s="867">
        <f t="shared" ca="1" si="109"/>
        <v>0</v>
      </c>
      <c r="CD156" s="867">
        <f t="shared" ca="1" si="110"/>
        <v>0</v>
      </c>
    </row>
    <row r="157" spans="1:82" ht="17" hidden="1" thickTop="1" thickBot="1">
      <c r="A157" s="773">
        <f t="shared" si="60"/>
        <v>0</v>
      </c>
      <c r="B157" s="779"/>
      <c r="C157" s="572"/>
      <c r="D157" s="660"/>
      <c r="E157" s="661"/>
      <c r="F157" s="862"/>
      <c r="G157" s="863"/>
      <c r="H157" s="961"/>
      <c r="I157" s="865">
        <f t="shared" si="66"/>
        <v>0</v>
      </c>
      <c r="J157" s="864" cm="1">
        <f t="array" ref="J157">IF($G157=0,0,-MIN(0,G157*c_equity.LPshare))</f>
        <v>0</v>
      </c>
      <c r="K157" s="865" cm="1">
        <f t="array" ref="K157">I157*c_rate.Pref.MO</f>
        <v>0</v>
      </c>
      <c r="L157" s="865">
        <f t="shared" si="67"/>
        <v>0</v>
      </c>
      <c r="M157" s="865">
        <f t="shared" si="68"/>
        <v>0</v>
      </c>
      <c r="N157" s="865">
        <f t="shared" si="69"/>
        <v>0</v>
      </c>
      <c r="O157" s="864" cm="1">
        <f t="array" ref="O157">IF(N157=0,0,IF(G157&lt;0,N157/c_equity.LPshare*i_equity.GPshare,L157/c_equity.LPshare*i_equity.GPshare))</f>
        <v>0</v>
      </c>
      <c r="P157" s="865">
        <f t="shared" si="70"/>
        <v>0</v>
      </c>
      <c r="Q157" s="865">
        <f t="shared" si="71"/>
        <v>0</v>
      </c>
      <c r="R157" s="161"/>
      <c r="S157" s="867">
        <f t="shared" ca="1" si="72"/>
        <v>0</v>
      </c>
      <c r="T157" s="867" cm="1">
        <f t="array" ref="T157">IF($G157=0,0,-MIN(0,$G157*c_equity.LPshare))</f>
        <v>0</v>
      </c>
      <c r="U157" s="869" cm="1">
        <f t="array" ref="U157">IF($D157=0,0,S157*c_rate.Hurdle1.MO)</f>
        <v>0</v>
      </c>
      <c r="V157" s="867">
        <f t="shared" si="73"/>
        <v>0</v>
      </c>
      <c r="W157" s="867">
        <f t="shared" ca="1" si="74"/>
        <v>0</v>
      </c>
      <c r="X157" s="869">
        <f t="shared" ca="1" si="75"/>
        <v>0</v>
      </c>
      <c r="Y157" s="869">
        <f t="shared" ca="1" si="76"/>
        <v>0</v>
      </c>
      <c r="Z157" s="869">
        <f t="shared" ca="1" si="77"/>
        <v>0</v>
      </c>
      <c r="AA157" s="869">
        <f t="shared" ca="1" si="78"/>
        <v>0</v>
      </c>
      <c r="AB157" s="867">
        <f t="shared" ca="1" si="79"/>
        <v>0</v>
      </c>
      <c r="AC157" s="867"/>
      <c r="AD157" s="869">
        <f t="shared" ca="1" si="80"/>
        <v>0</v>
      </c>
      <c r="AE157" s="867" cm="1">
        <f t="array" ref="AE157">IF($G157=0,0,-MIN(0,$G157*c_equity.LPshare))</f>
        <v>0</v>
      </c>
      <c r="AF157" s="869" cm="1">
        <f t="array" ref="AF157">IF($D157=0,0,AD157*(c_rate.Hurdle2.MO))</f>
        <v>0</v>
      </c>
      <c r="AG157" s="869">
        <f t="shared" ca="1" si="81"/>
        <v>0</v>
      </c>
      <c r="AH157" s="869">
        <f t="shared" ca="1" si="82"/>
        <v>0</v>
      </c>
      <c r="AI157" s="869">
        <f t="shared" ca="1" si="83"/>
        <v>0</v>
      </c>
      <c r="AJ157" s="868">
        <f t="shared" ca="1" si="61"/>
        <v>0</v>
      </c>
      <c r="AK157" s="867">
        <f t="shared" ca="1" si="84"/>
        <v>0</v>
      </c>
      <c r="AL157" s="869">
        <f t="shared" ca="1" si="111"/>
        <v>0</v>
      </c>
      <c r="AM157" s="869">
        <f t="shared" ca="1" si="85"/>
        <v>0</v>
      </c>
      <c r="AN157" s="867">
        <f t="shared" ca="1" si="58"/>
        <v>0</v>
      </c>
      <c r="AO157" s="161"/>
      <c r="AP157" s="869">
        <f t="shared" ca="1" si="86"/>
        <v>0</v>
      </c>
      <c r="AQ157" s="867" cm="1">
        <f t="array" ref="AQ157">IF($G157=0,0,-MIN(0,$G157*c_equity.LPshare))</f>
        <v>0</v>
      </c>
      <c r="AR157" s="869" cm="1">
        <f t="array" ref="AR157">IF($D157=0,0,AP157*(c_rate.Hurdle3.MO))</f>
        <v>0</v>
      </c>
      <c r="AS157" s="869">
        <f t="shared" ca="1" si="87"/>
        <v>0</v>
      </c>
      <c r="AT157" s="869">
        <f t="shared" ca="1" si="88"/>
        <v>0</v>
      </c>
      <c r="AU157" s="869">
        <f t="shared" ca="1" si="89"/>
        <v>0</v>
      </c>
      <c r="AV157" s="870">
        <f t="shared" ca="1" si="90"/>
        <v>0</v>
      </c>
      <c r="AW157" s="867">
        <f t="shared" ca="1" si="91"/>
        <v>0</v>
      </c>
      <c r="AX157" s="869">
        <f t="shared" ca="1" si="112"/>
        <v>0</v>
      </c>
      <c r="AY157" s="869">
        <f t="shared" ca="1" si="92"/>
        <v>0</v>
      </c>
      <c r="AZ157" s="867">
        <f t="shared" ca="1" si="93"/>
        <v>0</v>
      </c>
      <c r="BA157" s="161"/>
      <c r="BB157" s="867">
        <f t="shared" ca="1" si="94"/>
        <v>0</v>
      </c>
      <c r="BC157" s="867">
        <f t="shared" ca="1" si="59"/>
        <v>0</v>
      </c>
      <c r="BD157" s="658"/>
      <c r="BE157" s="867">
        <f t="shared" ca="1" si="95"/>
        <v>0</v>
      </c>
      <c r="BF157" s="867">
        <f t="shared" ca="1" si="96"/>
        <v>0</v>
      </c>
      <c r="BG157" s="867">
        <f t="shared" ca="1" si="97"/>
        <v>0</v>
      </c>
      <c r="BI157" s="867">
        <f ca="1"/>
        <v>0</v>
      </c>
      <c r="BJ157" s="867">
        <f ca="1"/>
        <v>0</v>
      </c>
      <c r="BK157" s="867">
        <f ca="1"/>
        <v>0</v>
      </c>
      <c r="BL157" s="867">
        <f t="shared" ca="1" si="98"/>
        <v>0</v>
      </c>
      <c r="BM157" s="867">
        <f t="shared" ca="1" si="99"/>
        <v>0</v>
      </c>
      <c r="BN157" s="867">
        <f t="shared" ca="1" si="100"/>
        <v>0</v>
      </c>
      <c r="BO157" s="867">
        <f t="shared" ca="1" si="101"/>
        <v>0</v>
      </c>
      <c r="BP157" s="867">
        <f t="shared" ca="1" si="102"/>
        <v>0</v>
      </c>
      <c r="BQ157" s="867">
        <f t="shared" ca="1" si="103"/>
        <v>0</v>
      </c>
      <c r="BR157" s="867">
        <f ca="1"/>
        <v>0</v>
      </c>
      <c r="BS157" s="867">
        <f ca="1"/>
        <v>0</v>
      </c>
      <c r="BT157" s="867">
        <f t="shared" ca="1" si="64"/>
        <v>0</v>
      </c>
      <c r="BU157" s="867">
        <f t="shared" ca="1" si="104"/>
        <v>0</v>
      </c>
      <c r="BV157" s="829">
        <f t="shared" ca="1" si="65"/>
        <v>0</v>
      </c>
      <c r="BX157" s="867">
        <f ca="1"/>
        <v>0</v>
      </c>
      <c r="BY157" s="867">
        <f t="shared" ca="1" si="105"/>
        <v>0</v>
      </c>
      <c r="BZ157" s="867">
        <f t="shared" ca="1" si="106"/>
        <v>0</v>
      </c>
      <c r="CA157" s="867">
        <f t="shared" ca="1" si="107"/>
        <v>0</v>
      </c>
      <c r="CB157" s="867">
        <f t="shared" ca="1" si="108"/>
        <v>0</v>
      </c>
      <c r="CC157" s="867">
        <f t="shared" ca="1" si="109"/>
        <v>0</v>
      </c>
      <c r="CD157" s="867">
        <f t="shared" ca="1" si="110"/>
        <v>0</v>
      </c>
    </row>
    <row r="158" spans="1:82" ht="17" hidden="1" thickTop="1" thickBot="1">
      <c r="A158" s="773">
        <f t="shared" si="60"/>
        <v>0</v>
      </c>
      <c r="B158" s="779"/>
      <c r="C158" s="572"/>
      <c r="D158" s="660"/>
      <c r="E158" s="661"/>
      <c r="F158" s="862"/>
      <c r="G158" s="863"/>
      <c r="H158" s="961"/>
      <c r="I158" s="865">
        <f t="shared" si="66"/>
        <v>0</v>
      </c>
      <c r="J158" s="864" cm="1">
        <f t="array" ref="J158">IF($G158=0,0,-MIN(0,G158*c_equity.LPshare))</f>
        <v>0</v>
      </c>
      <c r="K158" s="865" cm="1">
        <f t="array" ref="K158">I158*c_rate.Pref.MO</f>
        <v>0</v>
      </c>
      <c r="L158" s="865">
        <f t="shared" si="67"/>
        <v>0</v>
      </c>
      <c r="M158" s="865">
        <f t="shared" si="68"/>
        <v>0</v>
      </c>
      <c r="N158" s="865">
        <f t="shared" si="69"/>
        <v>0</v>
      </c>
      <c r="O158" s="864" cm="1">
        <f t="array" ref="O158">IF(N158=0,0,IF(G158&lt;0,N158/c_equity.LPshare*i_equity.GPshare,L158/c_equity.LPshare*i_equity.GPshare))</f>
        <v>0</v>
      </c>
      <c r="P158" s="865">
        <f t="shared" si="70"/>
        <v>0</v>
      </c>
      <c r="Q158" s="865">
        <f t="shared" si="71"/>
        <v>0</v>
      </c>
      <c r="R158" s="161"/>
      <c r="S158" s="867">
        <f t="shared" ca="1" si="72"/>
        <v>0</v>
      </c>
      <c r="T158" s="867" cm="1">
        <f t="array" ref="T158">IF($G158=0,0,-MIN(0,$G158*c_equity.LPshare))</f>
        <v>0</v>
      </c>
      <c r="U158" s="869" cm="1">
        <f t="array" ref="U158">IF($D158=0,0,S158*c_rate.Hurdle1.MO)</f>
        <v>0</v>
      </c>
      <c r="V158" s="867">
        <f t="shared" si="73"/>
        <v>0</v>
      </c>
      <c r="W158" s="867">
        <f t="shared" ca="1" si="74"/>
        <v>0</v>
      </c>
      <c r="X158" s="869">
        <f t="shared" ca="1" si="75"/>
        <v>0</v>
      </c>
      <c r="Y158" s="869">
        <f t="shared" ca="1" si="76"/>
        <v>0</v>
      </c>
      <c r="Z158" s="869">
        <f t="shared" ca="1" si="77"/>
        <v>0</v>
      </c>
      <c r="AA158" s="869">
        <f t="shared" ca="1" si="78"/>
        <v>0</v>
      </c>
      <c r="AB158" s="867">
        <f t="shared" ca="1" si="79"/>
        <v>0</v>
      </c>
      <c r="AC158" s="867"/>
      <c r="AD158" s="869">
        <f t="shared" ca="1" si="80"/>
        <v>0</v>
      </c>
      <c r="AE158" s="867" cm="1">
        <f t="array" ref="AE158">IF($G158=0,0,-MIN(0,$G158*c_equity.LPshare))</f>
        <v>0</v>
      </c>
      <c r="AF158" s="869" cm="1">
        <f t="array" ref="AF158">IF($D158=0,0,AD158*(c_rate.Hurdle2.MO))</f>
        <v>0</v>
      </c>
      <c r="AG158" s="869">
        <f t="shared" ca="1" si="81"/>
        <v>0</v>
      </c>
      <c r="AH158" s="869">
        <f t="shared" ca="1" si="82"/>
        <v>0</v>
      </c>
      <c r="AI158" s="869">
        <f t="shared" ca="1" si="83"/>
        <v>0</v>
      </c>
      <c r="AJ158" s="868">
        <f t="shared" ca="1" si="61"/>
        <v>0</v>
      </c>
      <c r="AK158" s="867">
        <f t="shared" ca="1" si="84"/>
        <v>0</v>
      </c>
      <c r="AL158" s="869">
        <f t="shared" ca="1" si="111"/>
        <v>0</v>
      </c>
      <c r="AM158" s="869">
        <f t="shared" ca="1" si="85"/>
        <v>0</v>
      </c>
      <c r="AN158" s="867">
        <f t="shared" ca="1" si="58"/>
        <v>0</v>
      </c>
      <c r="AO158" s="161"/>
      <c r="AP158" s="869">
        <f t="shared" ca="1" si="86"/>
        <v>0</v>
      </c>
      <c r="AQ158" s="867" cm="1">
        <f t="array" ref="AQ158">IF($G158=0,0,-MIN(0,$G158*c_equity.LPshare))</f>
        <v>0</v>
      </c>
      <c r="AR158" s="869" cm="1">
        <f t="array" ref="AR158">IF($D158=0,0,AP158*(c_rate.Hurdle3.MO))</f>
        <v>0</v>
      </c>
      <c r="AS158" s="869">
        <f t="shared" ca="1" si="87"/>
        <v>0</v>
      </c>
      <c r="AT158" s="869">
        <f t="shared" ca="1" si="88"/>
        <v>0</v>
      </c>
      <c r="AU158" s="869">
        <f t="shared" ca="1" si="89"/>
        <v>0</v>
      </c>
      <c r="AV158" s="870">
        <f t="shared" ca="1" si="90"/>
        <v>0</v>
      </c>
      <c r="AW158" s="867">
        <f t="shared" ca="1" si="91"/>
        <v>0</v>
      </c>
      <c r="AX158" s="869">
        <f t="shared" ca="1" si="112"/>
        <v>0</v>
      </c>
      <c r="AY158" s="869">
        <f t="shared" ca="1" si="92"/>
        <v>0</v>
      </c>
      <c r="AZ158" s="867">
        <f t="shared" ca="1" si="93"/>
        <v>0</v>
      </c>
      <c r="BA158" s="161"/>
      <c r="BB158" s="867">
        <f t="shared" ca="1" si="94"/>
        <v>0</v>
      </c>
      <c r="BC158" s="867">
        <f t="shared" ca="1" si="59"/>
        <v>0</v>
      </c>
      <c r="BD158" s="658"/>
      <c r="BE158" s="867">
        <f t="shared" ca="1" si="95"/>
        <v>0</v>
      </c>
      <c r="BF158" s="867">
        <f t="shared" ca="1" si="96"/>
        <v>0</v>
      </c>
      <c r="BG158" s="867">
        <f t="shared" ca="1" si="97"/>
        <v>0</v>
      </c>
      <c r="BI158" s="867">
        <f ca="1"/>
        <v>0</v>
      </c>
      <c r="BJ158" s="867">
        <f ca="1"/>
        <v>0</v>
      </c>
      <c r="BK158" s="867">
        <f ca="1"/>
        <v>0</v>
      </c>
      <c r="BL158" s="867">
        <f t="shared" ca="1" si="98"/>
        <v>0</v>
      </c>
      <c r="BM158" s="867">
        <f t="shared" ca="1" si="99"/>
        <v>0</v>
      </c>
      <c r="BN158" s="867">
        <f t="shared" ca="1" si="100"/>
        <v>0</v>
      </c>
      <c r="BO158" s="867">
        <f t="shared" ca="1" si="101"/>
        <v>0</v>
      </c>
      <c r="BP158" s="867">
        <f t="shared" ca="1" si="102"/>
        <v>0</v>
      </c>
      <c r="BQ158" s="867">
        <f t="shared" ca="1" si="103"/>
        <v>0</v>
      </c>
      <c r="BR158" s="867">
        <f ca="1"/>
        <v>0</v>
      </c>
      <c r="BS158" s="867">
        <f ca="1"/>
        <v>0</v>
      </c>
      <c r="BT158" s="867">
        <f t="shared" ca="1" si="64"/>
        <v>0</v>
      </c>
      <c r="BU158" s="867">
        <f t="shared" ca="1" si="104"/>
        <v>0</v>
      </c>
      <c r="BV158" s="829">
        <f t="shared" ca="1" si="65"/>
        <v>0</v>
      </c>
      <c r="BX158" s="867">
        <f ca="1"/>
        <v>0</v>
      </c>
      <c r="BY158" s="867">
        <f t="shared" ca="1" si="105"/>
        <v>0</v>
      </c>
      <c r="BZ158" s="867">
        <f t="shared" ca="1" si="106"/>
        <v>0</v>
      </c>
      <c r="CA158" s="867">
        <f t="shared" ca="1" si="107"/>
        <v>0</v>
      </c>
      <c r="CB158" s="867">
        <f t="shared" ca="1" si="108"/>
        <v>0</v>
      </c>
      <c r="CC158" s="867">
        <f t="shared" ca="1" si="109"/>
        <v>0</v>
      </c>
      <c r="CD158" s="867">
        <f t="shared" ca="1" si="110"/>
        <v>0</v>
      </c>
    </row>
    <row r="159" spans="1:82" ht="17" hidden="1" thickTop="1" thickBot="1">
      <c r="A159" s="773">
        <f t="shared" si="60"/>
        <v>0</v>
      </c>
      <c r="B159" s="779"/>
      <c r="C159" s="572"/>
      <c r="D159" s="660"/>
      <c r="E159" s="661"/>
      <c r="F159" s="862"/>
      <c r="G159" s="863"/>
      <c r="H159" s="961"/>
      <c r="I159" s="865">
        <f t="shared" si="66"/>
        <v>0</v>
      </c>
      <c r="J159" s="864" cm="1">
        <f t="array" ref="J159">IF($G159=0,0,-MIN(0,G159*c_equity.LPshare))</f>
        <v>0</v>
      </c>
      <c r="K159" s="865" cm="1">
        <f t="array" ref="K159">I159*c_rate.Pref.MO</f>
        <v>0</v>
      </c>
      <c r="L159" s="865">
        <f t="shared" si="67"/>
        <v>0</v>
      </c>
      <c r="M159" s="865">
        <f t="shared" si="68"/>
        <v>0</v>
      </c>
      <c r="N159" s="865">
        <f t="shared" si="69"/>
        <v>0</v>
      </c>
      <c r="O159" s="864" cm="1">
        <f t="array" ref="O159">IF(N159=0,0,IF(G159&lt;0,N159/c_equity.LPshare*i_equity.GPshare,L159/c_equity.LPshare*i_equity.GPshare))</f>
        <v>0</v>
      </c>
      <c r="P159" s="865">
        <f t="shared" si="70"/>
        <v>0</v>
      </c>
      <c r="Q159" s="865">
        <f t="shared" si="71"/>
        <v>0</v>
      </c>
      <c r="R159" s="161"/>
      <c r="S159" s="867">
        <f t="shared" ca="1" si="72"/>
        <v>0</v>
      </c>
      <c r="T159" s="867" cm="1">
        <f t="array" ref="T159">IF($G159=0,0,-MIN(0,$G159*c_equity.LPshare))</f>
        <v>0</v>
      </c>
      <c r="U159" s="869" cm="1">
        <f t="array" ref="U159">IF($D159=0,0,S159*c_rate.Hurdle1.MO)</f>
        <v>0</v>
      </c>
      <c r="V159" s="867">
        <f t="shared" si="73"/>
        <v>0</v>
      </c>
      <c r="W159" s="867">
        <f t="shared" ca="1" si="74"/>
        <v>0</v>
      </c>
      <c r="X159" s="869">
        <f t="shared" ca="1" si="75"/>
        <v>0</v>
      </c>
      <c r="Y159" s="869">
        <f t="shared" ca="1" si="76"/>
        <v>0</v>
      </c>
      <c r="Z159" s="869">
        <f t="shared" ca="1" si="77"/>
        <v>0</v>
      </c>
      <c r="AA159" s="869">
        <f t="shared" ca="1" si="78"/>
        <v>0</v>
      </c>
      <c r="AB159" s="867">
        <f t="shared" ca="1" si="79"/>
        <v>0</v>
      </c>
      <c r="AC159" s="867"/>
      <c r="AD159" s="869">
        <f t="shared" ca="1" si="80"/>
        <v>0</v>
      </c>
      <c r="AE159" s="867" cm="1">
        <f t="array" ref="AE159">IF($G159=0,0,-MIN(0,$G159*c_equity.LPshare))</f>
        <v>0</v>
      </c>
      <c r="AF159" s="869" cm="1">
        <f t="array" ref="AF159">IF($D159=0,0,AD159*(c_rate.Hurdle2.MO))</f>
        <v>0</v>
      </c>
      <c r="AG159" s="869">
        <f t="shared" ca="1" si="81"/>
        <v>0</v>
      </c>
      <c r="AH159" s="869">
        <f t="shared" ca="1" si="82"/>
        <v>0</v>
      </c>
      <c r="AI159" s="869">
        <f t="shared" ca="1" si="83"/>
        <v>0</v>
      </c>
      <c r="AJ159" s="868">
        <f t="shared" ca="1" si="61"/>
        <v>0</v>
      </c>
      <c r="AK159" s="867">
        <f t="shared" ca="1" si="84"/>
        <v>0</v>
      </c>
      <c r="AL159" s="869">
        <f t="shared" ca="1" si="111"/>
        <v>0</v>
      </c>
      <c r="AM159" s="869">
        <f t="shared" ca="1" si="85"/>
        <v>0</v>
      </c>
      <c r="AN159" s="867">
        <f t="shared" ca="1" si="58"/>
        <v>0</v>
      </c>
      <c r="AO159" s="161"/>
      <c r="AP159" s="869">
        <f t="shared" ca="1" si="86"/>
        <v>0</v>
      </c>
      <c r="AQ159" s="867" cm="1">
        <f t="array" ref="AQ159">IF($G159=0,0,-MIN(0,$G159*c_equity.LPshare))</f>
        <v>0</v>
      </c>
      <c r="AR159" s="869" cm="1">
        <f t="array" ref="AR159">IF($D159=0,0,AP159*(c_rate.Hurdle3.MO))</f>
        <v>0</v>
      </c>
      <c r="AS159" s="869">
        <f t="shared" ca="1" si="87"/>
        <v>0</v>
      </c>
      <c r="AT159" s="869">
        <f t="shared" ca="1" si="88"/>
        <v>0</v>
      </c>
      <c r="AU159" s="869">
        <f t="shared" ca="1" si="89"/>
        <v>0</v>
      </c>
      <c r="AV159" s="870">
        <f t="shared" ca="1" si="90"/>
        <v>0</v>
      </c>
      <c r="AW159" s="867">
        <f t="shared" ca="1" si="91"/>
        <v>0</v>
      </c>
      <c r="AX159" s="869">
        <f t="shared" ca="1" si="112"/>
        <v>0</v>
      </c>
      <c r="AY159" s="869">
        <f t="shared" ca="1" si="92"/>
        <v>0</v>
      </c>
      <c r="AZ159" s="867">
        <f t="shared" ca="1" si="93"/>
        <v>0</v>
      </c>
      <c r="BA159" s="161"/>
      <c r="BB159" s="867">
        <f t="shared" ca="1" si="94"/>
        <v>0</v>
      </c>
      <c r="BC159" s="867">
        <f t="shared" ca="1" si="59"/>
        <v>0</v>
      </c>
      <c r="BD159" s="658"/>
      <c r="BE159" s="867">
        <f t="shared" ca="1" si="95"/>
        <v>0</v>
      </c>
      <c r="BF159" s="867">
        <f t="shared" ca="1" si="96"/>
        <v>0</v>
      </c>
      <c r="BG159" s="867">
        <f t="shared" ca="1" si="97"/>
        <v>0</v>
      </c>
      <c r="BI159" s="867">
        <f ca="1"/>
        <v>0</v>
      </c>
      <c r="BJ159" s="867">
        <f ca="1"/>
        <v>0</v>
      </c>
      <c r="BK159" s="867">
        <f ca="1"/>
        <v>0</v>
      </c>
      <c r="BL159" s="867">
        <f t="shared" ca="1" si="98"/>
        <v>0</v>
      </c>
      <c r="BM159" s="867">
        <f t="shared" ca="1" si="99"/>
        <v>0</v>
      </c>
      <c r="BN159" s="867">
        <f t="shared" ca="1" si="100"/>
        <v>0</v>
      </c>
      <c r="BO159" s="867">
        <f t="shared" ca="1" si="101"/>
        <v>0</v>
      </c>
      <c r="BP159" s="867">
        <f t="shared" ca="1" si="102"/>
        <v>0</v>
      </c>
      <c r="BQ159" s="867">
        <f t="shared" ca="1" si="103"/>
        <v>0</v>
      </c>
      <c r="BR159" s="867">
        <f ca="1"/>
        <v>0</v>
      </c>
      <c r="BS159" s="867">
        <f ca="1"/>
        <v>0</v>
      </c>
      <c r="BT159" s="867">
        <f t="shared" ca="1" si="64"/>
        <v>0</v>
      </c>
      <c r="BU159" s="867">
        <f t="shared" ca="1" si="104"/>
        <v>0</v>
      </c>
      <c r="BV159" s="829">
        <f t="shared" ca="1" si="65"/>
        <v>0</v>
      </c>
      <c r="BX159" s="867">
        <f ca="1"/>
        <v>0</v>
      </c>
      <c r="BY159" s="867">
        <f t="shared" ca="1" si="105"/>
        <v>0</v>
      </c>
      <c r="BZ159" s="867">
        <f t="shared" ca="1" si="106"/>
        <v>0</v>
      </c>
      <c r="CA159" s="867">
        <f t="shared" ca="1" si="107"/>
        <v>0</v>
      </c>
      <c r="CB159" s="867">
        <f t="shared" ca="1" si="108"/>
        <v>0</v>
      </c>
      <c r="CC159" s="867">
        <f t="shared" ca="1" si="109"/>
        <v>0</v>
      </c>
      <c r="CD159" s="867">
        <f t="shared" ca="1" si="110"/>
        <v>0</v>
      </c>
    </row>
    <row r="160" spans="1:82" ht="17" hidden="1" thickTop="1" thickBot="1">
      <c r="A160" s="773">
        <f t="shared" si="60"/>
        <v>0</v>
      </c>
      <c r="B160" s="779"/>
      <c r="C160" s="572"/>
      <c r="D160" s="660"/>
      <c r="E160" s="661"/>
      <c r="F160" s="862"/>
      <c r="G160" s="863"/>
      <c r="H160" s="961"/>
      <c r="I160" s="865">
        <f t="shared" si="66"/>
        <v>0</v>
      </c>
      <c r="J160" s="864" cm="1">
        <f t="array" ref="J160">IF($G160=0,0,-MIN(0,G160*c_equity.LPshare))</f>
        <v>0</v>
      </c>
      <c r="K160" s="865" cm="1">
        <f t="array" ref="K160">I160*c_rate.Pref.MO</f>
        <v>0</v>
      </c>
      <c r="L160" s="865">
        <f t="shared" si="67"/>
        <v>0</v>
      </c>
      <c r="M160" s="865">
        <f t="shared" si="68"/>
        <v>0</v>
      </c>
      <c r="N160" s="865">
        <f t="shared" si="69"/>
        <v>0</v>
      </c>
      <c r="O160" s="864" cm="1">
        <f t="array" ref="O160">IF(N160=0,0,IF(G160&lt;0,N160/c_equity.LPshare*i_equity.GPshare,L160/c_equity.LPshare*i_equity.GPshare))</f>
        <v>0</v>
      </c>
      <c r="P160" s="865">
        <f t="shared" si="70"/>
        <v>0</v>
      </c>
      <c r="Q160" s="865">
        <f t="shared" si="71"/>
        <v>0</v>
      </c>
      <c r="R160" s="161"/>
      <c r="S160" s="867">
        <f t="shared" ca="1" si="72"/>
        <v>0</v>
      </c>
      <c r="T160" s="867" cm="1">
        <f t="array" ref="T160">IF($G160=0,0,-MIN(0,$G160*c_equity.LPshare))</f>
        <v>0</v>
      </c>
      <c r="U160" s="869" cm="1">
        <f t="array" ref="U160">IF($D160=0,0,S160*c_rate.Hurdle1.MO)</f>
        <v>0</v>
      </c>
      <c r="V160" s="867">
        <f t="shared" si="73"/>
        <v>0</v>
      </c>
      <c r="W160" s="867">
        <f t="shared" ca="1" si="74"/>
        <v>0</v>
      </c>
      <c r="X160" s="869">
        <f t="shared" ca="1" si="75"/>
        <v>0</v>
      </c>
      <c r="Y160" s="869">
        <f t="shared" ca="1" si="76"/>
        <v>0</v>
      </c>
      <c r="Z160" s="869">
        <f t="shared" ca="1" si="77"/>
        <v>0</v>
      </c>
      <c r="AA160" s="869">
        <f t="shared" ca="1" si="78"/>
        <v>0</v>
      </c>
      <c r="AB160" s="867">
        <f t="shared" ca="1" si="79"/>
        <v>0</v>
      </c>
      <c r="AC160" s="867"/>
      <c r="AD160" s="869">
        <f t="shared" ca="1" si="80"/>
        <v>0</v>
      </c>
      <c r="AE160" s="867" cm="1">
        <f t="array" ref="AE160">IF($G160=0,0,-MIN(0,$G160*c_equity.LPshare))</f>
        <v>0</v>
      </c>
      <c r="AF160" s="869" cm="1">
        <f t="array" ref="AF160">IF($D160=0,0,AD160*(c_rate.Hurdle2.MO))</f>
        <v>0</v>
      </c>
      <c r="AG160" s="869">
        <f t="shared" ca="1" si="81"/>
        <v>0</v>
      </c>
      <c r="AH160" s="869">
        <f t="shared" ca="1" si="82"/>
        <v>0</v>
      </c>
      <c r="AI160" s="869">
        <f t="shared" ca="1" si="83"/>
        <v>0</v>
      </c>
      <c r="AJ160" s="868">
        <f t="shared" ca="1" si="61"/>
        <v>0</v>
      </c>
      <c r="AK160" s="867">
        <f t="shared" ca="1" si="84"/>
        <v>0</v>
      </c>
      <c r="AL160" s="869">
        <f t="shared" ca="1" si="111"/>
        <v>0</v>
      </c>
      <c r="AM160" s="869">
        <f t="shared" ca="1" si="85"/>
        <v>0</v>
      </c>
      <c r="AN160" s="867">
        <f t="shared" ca="1" si="58"/>
        <v>0</v>
      </c>
      <c r="AO160" s="161"/>
      <c r="AP160" s="869">
        <f t="shared" ca="1" si="86"/>
        <v>0</v>
      </c>
      <c r="AQ160" s="867" cm="1">
        <f t="array" ref="AQ160">IF($G160=0,0,-MIN(0,$G160*c_equity.LPshare))</f>
        <v>0</v>
      </c>
      <c r="AR160" s="869" cm="1">
        <f t="array" ref="AR160">IF($D160=0,0,AP160*(c_rate.Hurdle3.MO))</f>
        <v>0</v>
      </c>
      <c r="AS160" s="869">
        <f t="shared" ca="1" si="87"/>
        <v>0</v>
      </c>
      <c r="AT160" s="869">
        <f t="shared" ca="1" si="88"/>
        <v>0</v>
      </c>
      <c r="AU160" s="869">
        <f t="shared" ca="1" si="89"/>
        <v>0</v>
      </c>
      <c r="AV160" s="870">
        <f t="shared" ca="1" si="90"/>
        <v>0</v>
      </c>
      <c r="AW160" s="867">
        <f t="shared" ca="1" si="91"/>
        <v>0</v>
      </c>
      <c r="AX160" s="869">
        <f t="shared" ca="1" si="112"/>
        <v>0</v>
      </c>
      <c r="AY160" s="869">
        <f t="shared" ca="1" si="92"/>
        <v>0</v>
      </c>
      <c r="AZ160" s="867">
        <f t="shared" ca="1" si="93"/>
        <v>0</v>
      </c>
      <c r="BA160" s="161"/>
      <c r="BB160" s="867">
        <f t="shared" ca="1" si="94"/>
        <v>0</v>
      </c>
      <c r="BC160" s="867">
        <f t="shared" ca="1" si="59"/>
        <v>0</v>
      </c>
      <c r="BD160" s="658"/>
      <c r="BE160" s="867">
        <f t="shared" ca="1" si="95"/>
        <v>0</v>
      </c>
      <c r="BF160" s="867">
        <f t="shared" ca="1" si="96"/>
        <v>0</v>
      </c>
      <c r="BG160" s="867">
        <f t="shared" ca="1" si="97"/>
        <v>0</v>
      </c>
      <c r="BI160" s="867">
        <f ca="1"/>
        <v>0</v>
      </c>
      <c r="BJ160" s="867">
        <f ca="1"/>
        <v>0</v>
      </c>
      <c r="BK160" s="867">
        <f ca="1"/>
        <v>0</v>
      </c>
      <c r="BL160" s="867">
        <f t="shared" ca="1" si="98"/>
        <v>0</v>
      </c>
      <c r="BM160" s="867">
        <f t="shared" ca="1" si="99"/>
        <v>0</v>
      </c>
      <c r="BN160" s="867">
        <f t="shared" ca="1" si="100"/>
        <v>0</v>
      </c>
      <c r="BO160" s="867">
        <f t="shared" ca="1" si="101"/>
        <v>0</v>
      </c>
      <c r="BP160" s="867">
        <f t="shared" ca="1" si="102"/>
        <v>0</v>
      </c>
      <c r="BQ160" s="867">
        <f t="shared" ca="1" si="103"/>
        <v>0</v>
      </c>
      <c r="BR160" s="867">
        <f ca="1"/>
        <v>0</v>
      </c>
      <c r="BS160" s="867">
        <f ca="1"/>
        <v>0</v>
      </c>
      <c r="BT160" s="867">
        <f t="shared" ca="1" si="64"/>
        <v>0</v>
      </c>
      <c r="BU160" s="867">
        <f t="shared" ca="1" si="104"/>
        <v>0</v>
      </c>
      <c r="BV160" s="829">
        <f t="shared" ca="1" si="65"/>
        <v>0</v>
      </c>
      <c r="BX160" s="867">
        <f ca="1"/>
        <v>0</v>
      </c>
      <c r="BY160" s="867">
        <f t="shared" ca="1" si="105"/>
        <v>0</v>
      </c>
      <c r="BZ160" s="867">
        <f t="shared" ca="1" si="106"/>
        <v>0</v>
      </c>
      <c r="CA160" s="867">
        <f t="shared" ca="1" si="107"/>
        <v>0</v>
      </c>
      <c r="CB160" s="867">
        <f t="shared" ca="1" si="108"/>
        <v>0</v>
      </c>
      <c r="CC160" s="867">
        <f t="shared" ca="1" si="109"/>
        <v>0</v>
      </c>
      <c r="CD160" s="867">
        <f t="shared" ca="1" si="110"/>
        <v>0</v>
      </c>
    </row>
    <row r="161" spans="1:82" ht="17" hidden="1" thickTop="1" thickBot="1">
      <c r="A161" s="773">
        <f t="shared" si="60"/>
        <v>0</v>
      </c>
      <c r="B161" s="779"/>
      <c r="C161" s="572"/>
      <c r="D161" s="660"/>
      <c r="E161" s="661"/>
      <c r="F161" s="862"/>
      <c r="G161" s="863"/>
      <c r="H161" s="961"/>
      <c r="I161" s="865">
        <f t="shared" si="66"/>
        <v>0</v>
      </c>
      <c r="J161" s="864" cm="1">
        <f t="array" ref="J161">IF($G161=0,0,-MIN(0,G161*c_equity.LPshare))</f>
        <v>0</v>
      </c>
      <c r="K161" s="865" cm="1">
        <f t="array" ref="K161">I161*c_rate.Pref.MO</f>
        <v>0</v>
      </c>
      <c r="L161" s="865">
        <f t="shared" si="67"/>
        <v>0</v>
      </c>
      <c r="M161" s="865">
        <f t="shared" si="68"/>
        <v>0</v>
      </c>
      <c r="N161" s="865">
        <f t="shared" si="69"/>
        <v>0</v>
      </c>
      <c r="O161" s="864" cm="1">
        <f t="array" ref="O161">IF(N161=0,0,IF(G161&lt;0,N161/c_equity.LPshare*i_equity.GPshare,L161/c_equity.LPshare*i_equity.GPshare))</f>
        <v>0</v>
      </c>
      <c r="P161" s="865">
        <f t="shared" si="70"/>
        <v>0</v>
      </c>
      <c r="Q161" s="865">
        <f t="shared" si="71"/>
        <v>0</v>
      </c>
      <c r="R161" s="161"/>
      <c r="S161" s="867">
        <f t="shared" ca="1" si="72"/>
        <v>0</v>
      </c>
      <c r="T161" s="867" cm="1">
        <f t="array" ref="T161">IF($G161=0,0,-MIN(0,$G161*c_equity.LPshare))</f>
        <v>0</v>
      </c>
      <c r="U161" s="869" cm="1">
        <f t="array" ref="U161">IF($D161=0,0,S161*c_rate.Hurdle1.MO)</f>
        <v>0</v>
      </c>
      <c r="V161" s="867">
        <f t="shared" si="73"/>
        <v>0</v>
      </c>
      <c r="W161" s="867">
        <f t="shared" ca="1" si="74"/>
        <v>0</v>
      </c>
      <c r="X161" s="869">
        <f t="shared" ca="1" si="75"/>
        <v>0</v>
      </c>
      <c r="Y161" s="869">
        <f t="shared" ca="1" si="76"/>
        <v>0</v>
      </c>
      <c r="Z161" s="869">
        <f t="shared" ca="1" si="77"/>
        <v>0</v>
      </c>
      <c r="AA161" s="869">
        <f t="shared" ca="1" si="78"/>
        <v>0</v>
      </c>
      <c r="AB161" s="867">
        <f t="shared" ca="1" si="79"/>
        <v>0</v>
      </c>
      <c r="AC161" s="867"/>
      <c r="AD161" s="869">
        <f t="shared" ca="1" si="80"/>
        <v>0</v>
      </c>
      <c r="AE161" s="867" cm="1">
        <f t="array" ref="AE161">IF($G161=0,0,-MIN(0,$G161*c_equity.LPshare))</f>
        <v>0</v>
      </c>
      <c r="AF161" s="869" cm="1">
        <f t="array" ref="AF161">IF($D161=0,0,AD161*(c_rate.Hurdle2.MO))</f>
        <v>0</v>
      </c>
      <c r="AG161" s="869">
        <f t="shared" ca="1" si="81"/>
        <v>0</v>
      </c>
      <c r="AH161" s="869">
        <f t="shared" ca="1" si="82"/>
        <v>0</v>
      </c>
      <c r="AI161" s="869">
        <f t="shared" ca="1" si="83"/>
        <v>0</v>
      </c>
      <c r="AJ161" s="868">
        <f t="shared" ca="1" si="61"/>
        <v>0</v>
      </c>
      <c r="AK161" s="867">
        <f t="shared" ca="1" si="84"/>
        <v>0</v>
      </c>
      <c r="AL161" s="869">
        <f t="shared" ca="1" si="111"/>
        <v>0</v>
      </c>
      <c r="AM161" s="869">
        <f t="shared" ca="1" si="85"/>
        <v>0</v>
      </c>
      <c r="AN161" s="867">
        <f t="shared" ca="1" si="58"/>
        <v>0</v>
      </c>
      <c r="AO161" s="161"/>
      <c r="AP161" s="869">
        <f t="shared" ca="1" si="86"/>
        <v>0</v>
      </c>
      <c r="AQ161" s="867" cm="1">
        <f t="array" ref="AQ161">IF($G161=0,0,-MIN(0,$G161*c_equity.LPshare))</f>
        <v>0</v>
      </c>
      <c r="AR161" s="869" cm="1">
        <f t="array" ref="AR161">IF($D161=0,0,AP161*(c_rate.Hurdle3.MO))</f>
        <v>0</v>
      </c>
      <c r="AS161" s="869">
        <f t="shared" ca="1" si="87"/>
        <v>0</v>
      </c>
      <c r="AT161" s="869">
        <f t="shared" ca="1" si="88"/>
        <v>0</v>
      </c>
      <c r="AU161" s="869">
        <f t="shared" ca="1" si="89"/>
        <v>0</v>
      </c>
      <c r="AV161" s="870">
        <f t="shared" ca="1" si="90"/>
        <v>0</v>
      </c>
      <c r="AW161" s="867">
        <f t="shared" ca="1" si="91"/>
        <v>0</v>
      </c>
      <c r="AX161" s="869">
        <f t="shared" ca="1" si="112"/>
        <v>0</v>
      </c>
      <c r="AY161" s="869">
        <f t="shared" ca="1" si="92"/>
        <v>0</v>
      </c>
      <c r="AZ161" s="867">
        <f t="shared" ca="1" si="93"/>
        <v>0</v>
      </c>
      <c r="BA161" s="161"/>
      <c r="BB161" s="867">
        <f t="shared" ca="1" si="94"/>
        <v>0</v>
      </c>
      <c r="BC161" s="867">
        <f t="shared" ca="1" si="59"/>
        <v>0</v>
      </c>
      <c r="BD161" s="658"/>
      <c r="BE161" s="867">
        <f t="shared" ca="1" si="95"/>
        <v>0</v>
      </c>
      <c r="BF161" s="867">
        <f t="shared" ca="1" si="96"/>
        <v>0</v>
      </c>
      <c r="BG161" s="867">
        <f t="shared" ca="1" si="97"/>
        <v>0</v>
      </c>
      <c r="BI161" s="867">
        <f ca="1"/>
        <v>0</v>
      </c>
      <c r="BJ161" s="867">
        <f ca="1"/>
        <v>0</v>
      </c>
      <c r="BK161" s="867">
        <f ca="1"/>
        <v>0</v>
      </c>
      <c r="BL161" s="867">
        <f t="shared" ca="1" si="98"/>
        <v>0</v>
      </c>
      <c r="BM161" s="867">
        <f t="shared" ca="1" si="99"/>
        <v>0</v>
      </c>
      <c r="BN161" s="867">
        <f t="shared" ca="1" si="100"/>
        <v>0</v>
      </c>
      <c r="BO161" s="867">
        <f t="shared" ca="1" si="101"/>
        <v>0</v>
      </c>
      <c r="BP161" s="867">
        <f t="shared" ca="1" si="102"/>
        <v>0</v>
      </c>
      <c r="BQ161" s="867">
        <f t="shared" ca="1" si="103"/>
        <v>0</v>
      </c>
      <c r="BR161" s="867">
        <f ca="1"/>
        <v>0</v>
      </c>
      <c r="BS161" s="867">
        <f ca="1"/>
        <v>0</v>
      </c>
      <c r="BT161" s="867">
        <f t="shared" ca="1" si="64"/>
        <v>0</v>
      </c>
      <c r="BU161" s="867">
        <f t="shared" ca="1" si="104"/>
        <v>0</v>
      </c>
      <c r="BV161" s="829">
        <f t="shared" ca="1" si="65"/>
        <v>0</v>
      </c>
      <c r="BX161" s="867">
        <f ca="1"/>
        <v>0</v>
      </c>
      <c r="BY161" s="867">
        <f t="shared" ca="1" si="105"/>
        <v>0</v>
      </c>
      <c r="BZ161" s="867">
        <f t="shared" ca="1" si="106"/>
        <v>0</v>
      </c>
      <c r="CA161" s="867">
        <f t="shared" ca="1" si="107"/>
        <v>0</v>
      </c>
      <c r="CB161" s="867">
        <f t="shared" ca="1" si="108"/>
        <v>0</v>
      </c>
      <c r="CC161" s="867">
        <f t="shared" ca="1" si="109"/>
        <v>0</v>
      </c>
      <c r="CD161" s="867">
        <f t="shared" ca="1" si="110"/>
        <v>0</v>
      </c>
    </row>
    <row r="162" spans="1:82" ht="17" hidden="1" thickTop="1" thickBot="1">
      <c r="A162" s="773">
        <f t="shared" si="60"/>
        <v>0</v>
      </c>
      <c r="B162" s="779"/>
      <c r="C162" s="572"/>
      <c r="D162" s="660"/>
      <c r="E162" s="661"/>
      <c r="F162" s="862"/>
      <c r="G162" s="863"/>
      <c r="H162" s="961"/>
      <c r="I162" s="865">
        <f t="shared" si="66"/>
        <v>0</v>
      </c>
      <c r="J162" s="864" cm="1">
        <f t="array" ref="J162">IF($G162=0,0,-MIN(0,G162*c_equity.LPshare))</f>
        <v>0</v>
      </c>
      <c r="K162" s="865" cm="1">
        <f t="array" ref="K162">I162*c_rate.Pref.MO</f>
        <v>0</v>
      </c>
      <c r="L162" s="865">
        <f t="shared" si="67"/>
        <v>0</v>
      </c>
      <c r="M162" s="865">
        <f t="shared" si="68"/>
        <v>0</v>
      </c>
      <c r="N162" s="865">
        <f t="shared" si="69"/>
        <v>0</v>
      </c>
      <c r="O162" s="864" cm="1">
        <f t="array" ref="O162">IF(N162=0,0,IF(G162&lt;0,N162/c_equity.LPshare*i_equity.GPshare,L162/c_equity.LPshare*i_equity.GPshare))</f>
        <v>0</v>
      </c>
      <c r="P162" s="865">
        <f t="shared" si="70"/>
        <v>0</v>
      </c>
      <c r="Q162" s="865">
        <f t="shared" si="71"/>
        <v>0</v>
      </c>
      <c r="R162" s="161"/>
      <c r="S162" s="867">
        <f t="shared" ca="1" si="72"/>
        <v>0</v>
      </c>
      <c r="T162" s="867" cm="1">
        <f t="array" ref="T162">IF($G162=0,0,-MIN(0,$G162*c_equity.LPshare))</f>
        <v>0</v>
      </c>
      <c r="U162" s="869" cm="1">
        <f t="array" ref="U162">IF($D162=0,0,S162*c_rate.Hurdle1.MO)</f>
        <v>0</v>
      </c>
      <c r="V162" s="867">
        <f t="shared" si="73"/>
        <v>0</v>
      </c>
      <c r="W162" s="867">
        <f t="shared" ca="1" si="74"/>
        <v>0</v>
      </c>
      <c r="X162" s="869">
        <f t="shared" ca="1" si="75"/>
        <v>0</v>
      </c>
      <c r="Y162" s="869">
        <f t="shared" ca="1" si="76"/>
        <v>0</v>
      </c>
      <c r="Z162" s="869">
        <f t="shared" ca="1" si="77"/>
        <v>0</v>
      </c>
      <c r="AA162" s="869">
        <f t="shared" ca="1" si="78"/>
        <v>0</v>
      </c>
      <c r="AB162" s="867">
        <f t="shared" ca="1" si="79"/>
        <v>0</v>
      </c>
      <c r="AC162" s="867"/>
      <c r="AD162" s="869">
        <f t="shared" ca="1" si="80"/>
        <v>0</v>
      </c>
      <c r="AE162" s="867" cm="1">
        <f t="array" ref="AE162">IF($G162=0,0,-MIN(0,$G162*c_equity.LPshare))</f>
        <v>0</v>
      </c>
      <c r="AF162" s="869" cm="1">
        <f t="array" ref="AF162">IF($D162=0,0,AD162*(c_rate.Hurdle2.MO))</f>
        <v>0</v>
      </c>
      <c r="AG162" s="869">
        <f t="shared" ca="1" si="81"/>
        <v>0</v>
      </c>
      <c r="AH162" s="869">
        <f t="shared" ca="1" si="82"/>
        <v>0</v>
      </c>
      <c r="AI162" s="869">
        <f t="shared" ca="1" si="83"/>
        <v>0</v>
      </c>
      <c r="AJ162" s="868">
        <f t="shared" ca="1" si="61"/>
        <v>0</v>
      </c>
      <c r="AK162" s="867">
        <f t="shared" ca="1" si="84"/>
        <v>0</v>
      </c>
      <c r="AL162" s="869">
        <f t="shared" ca="1" si="111"/>
        <v>0</v>
      </c>
      <c r="AM162" s="869">
        <f t="shared" ca="1" si="85"/>
        <v>0</v>
      </c>
      <c r="AN162" s="867">
        <f t="shared" ca="1" si="58"/>
        <v>0</v>
      </c>
      <c r="AO162" s="161"/>
      <c r="AP162" s="869">
        <f t="shared" ca="1" si="86"/>
        <v>0</v>
      </c>
      <c r="AQ162" s="867" cm="1">
        <f t="array" ref="AQ162">IF($G162=0,0,-MIN(0,$G162*c_equity.LPshare))</f>
        <v>0</v>
      </c>
      <c r="AR162" s="869" cm="1">
        <f t="array" ref="AR162">IF($D162=0,0,AP162*(c_rate.Hurdle3.MO))</f>
        <v>0</v>
      </c>
      <c r="AS162" s="869">
        <f t="shared" ca="1" si="87"/>
        <v>0</v>
      </c>
      <c r="AT162" s="869">
        <f t="shared" ca="1" si="88"/>
        <v>0</v>
      </c>
      <c r="AU162" s="869">
        <f t="shared" ca="1" si="89"/>
        <v>0</v>
      </c>
      <c r="AV162" s="870">
        <f t="shared" ca="1" si="90"/>
        <v>0</v>
      </c>
      <c r="AW162" s="867">
        <f t="shared" ca="1" si="91"/>
        <v>0</v>
      </c>
      <c r="AX162" s="869">
        <f t="shared" ca="1" si="112"/>
        <v>0</v>
      </c>
      <c r="AY162" s="869">
        <f t="shared" ca="1" si="92"/>
        <v>0</v>
      </c>
      <c r="AZ162" s="867">
        <f t="shared" ca="1" si="93"/>
        <v>0</v>
      </c>
      <c r="BA162" s="161"/>
      <c r="BB162" s="867">
        <f t="shared" ca="1" si="94"/>
        <v>0</v>
      </c>
      <c r="BC162" s="867">
        <f t="shared" ca="1" si="59"/>
        <v>0</v>
      </c>
      <c r="BD162" s="658"/>
      <c r="BE162" s="867">
        <f t="shared" ca="1" si="95"/>
        <v>0</v>
      </c>
      <c r="BF162" s="867">
        <f t="shared" ca="1" si="96"/>
        <v>0</v>
      </c>
      <c r="BG162" s="867">
        <f t="shared" ca="1" si="97"/>
        <v>0</v>
      </c>
      <c r="BI162" s="867">
        <f ca="1"/>
        <v>0</v>
      </c>
      <c r="BJ162" s="867">
        <f ca="1"/>
        <v>0</v>
      </c>
      <c r="BK162" s="867">
        <f ca="1"/>
        <v>0</v>
      </c>
      <c r="BL162" s="867">
        <f t="shared" ca="1" si="98"/>
        <v>0</v>
      </c>
      <c r="BM162" s="867">
        <f t="shared" ca="1" si="99"/>
        <v>0</v>
      </c>
      <c r="BN162" s="867">
        <f t="shared" ca="1" si="100"/>
        <v>0</v>
      </c>
      <c r="BO162" s="867">
        <f t="shared" ca="1" si="101"/>
        <v>0</v>
      </c>
      <c r="BP162" s="867">
        <f t="shared" ca="1" si="102"/>
        <v>0</v>
      </c>
      <c r="BQ162" s="867">
        <f t="shared" ca="1" si="103"/>
        <v>0</v>
      </c>
      <c r="BR162" s="867">
        <f ca="1"/>
        <v>0</v>
      </c>
      <c r="BS162" s="867">
        <f ca="1"/>
        <v>0</v>
      </c>
      <c r="BT162" s="867">
        <f t="shared" ca="1" si="64"/>
        <v>0</v>
      </c>
      <c r="BU162" s="867">
        <f t="shared" ca="1" si="104"/>
        <v>0</v>
      </c>
      <c r="BV162" s="829">
        <f t="shared" ca="1" si="65"/>
        <v>0</v>
      </c>
      <c r="BX162" s="867">
        <f ca="1"/>
        <v>0</v>
      </c>
      <c r="BY162" s="867">
        <f t="shared" ca="1" si="105"/>
        <v>0</v>
      </c>
      <c r="BZ162" s="867">
        <f t="shared" ca="1" si="106"/>
        <v>0</v>
      </c>
      <c r="CA162" s="867">
        <f t="shared" ca="1" si="107"/>
        <v>0</v>
      </c>
      <c r="CB162" s="867">
        <f t="shared" ca="1" si="108"/>
        <v>0</v>
      </c>
      <c r="CC162" s="867">
        <f t="shared" ca="1" si="109"/>
        <v>0</v>
      </c>
      <c r="CD162" s="867">
        <f t="shared" ca="1" si="110"/>
        <v>0</v>
      </c>
    </row>
    <row r="163" spans="1:82" ht="17" hidden="1" thickTop="1" thickBot="1">
      <c r="A163" s="773">
        <f t="shared" si="60"/>
        <v>0</v>
      </c>
      <c r="B163" s="779"/>
      <c r="C163" s="572"/>
      <c r="D163" s="660"/>
      <c r="E163" s="661"/>
      <c r="F163" s="862"/>
      <c r="G163" s="863"/>
      <c r="H163" s="961"/>
      <c r="I163" s="865">
        <f t="shared" si="66"/>
        <v>0</v>
      </c>
      <c r="J163" s="864" cm="1">
        <f t="array" ref="J163">IF($G163=0,0,-MIN(0,G163*c_equity.LPshare))</f>
        <v>0</v>
      </c>
      <c r="K163" s="865" cm="1">
        <f t="array" ref="K163">I163*c_rate.Pref.MO</f>
        <v>0</v>
      </c>
      <c r="L163" s="865">
        <f t="shared" si="67"/>
        <v>0</v>
      </c>
      <c r="M163" s="865">
        <f t="shared" si="68"/>
        <v>0</v>
      </c>
      <c r="N163" s="865">
        <f t="shared" si="69"/>
        <v>0</v>
      </c>
      <c r="O163" s="864" cm="1">
        <f t="array" ref="O163">IF(N163=0,0,IF(G163&lt;0,N163/c_equity.LPshare*i_equity.GPshare,L163/c_equity.LPshare*i_equity.GPshare))</f>
        <v>0</v>
      </c>
      <c r="P163" s="865">
        <f t="shared" si="70"/>
        <v>0</v>
      </c>
      <c r="Q163" s="865">
        <f t="shared" si="71"/>
        <v>0</v>
      </c>
      <c r="R163" s="161"/>
      <c r="S163" s="867">
        <f t="shared" ca="1" si="72"/>
        <v>0</v>
      </c>
      <c r="T163" s="867" cm="1">
        <f t="array" ref="T163">IF($G163=0,0,-MIN(0,$G163*c_equity.LPshare))</f>
        <v>0</v>
      </c>
      <c r="U163" s="869" cm="1">
        <f t="array" ref="U163">IF($D163=0,0,S163*c_rate.Hurdle1.MO)</f>
        <v>0</v>
      </c>
      <c r="V163" s="867">
        <f t="shared" si="73"/>
        <v>0</v>
      </c>
      <c r="W163" s="867">
        <f t="shared" ca="1" si="74"/>
        <v>0</v>
      </c>
      <c r="X163" s="869">
        <f t="shared" ca="1" si="75"/>
        <v>0</v>
      </c>
      <c r="Y163" s="869">
        <f t="shared" ca="1" si="76"/>
        <v>0</v>
      </c>
      <c r="Z163" s="869">
        <f t="shared" ca="1" si="77"/>
        <v>0</v>
      </c>
      <c r="AA163" s="869">
        <f t="shared" ca="1" si="78"/>
        <v>0</v>
      </c>
      <c r="AB163" s="867">
        <f t="shared" ca="1" si="79"/>
        <v>0</v>
      </c>
      <c r="AC163" s="867"/>
      <c r="AD163" s="869">
        <f t="shared" ca="1" si="80"/>
        <v>0</v>
      </c>
      <c r="AE163" s="867" cm="1">
        <f t="array" ref="AE163">IF($G163=0,0,-MIN(0,$G163*c_equity.LPshare))</f>
        <v>0</v>
      </c>
      <c r="AF163" s="869" cm="1">
        <f t="array" ref="AF163">IF($D163=0,0,AD163*(c_rate.Hurdle2.MO))</f>
        <v>0</v>
      </c>
      <c r="AG163" s="869">
        <f t="shared" ca="1" si="81"/>
        <v>0</v>
      </c>
      <c r="AH163" s="869">
        <f t="shared" ca="1" si="82"/>
        <v>0</v>
      </c>
      <c r="AI163" s="869">
        <f t="shared" ca="1" si="83"/>
        <v>0</v>
      </c>
      <c r="AJ163" s="868">
        <f t="shared" ca="1" si="61"/>
        <v>0</v>
      </c>
      <c r="AK163" s="867">
        <f t="shared" ca="1" si="84"/>
        <v>0</v>
      </c>
      <c r="AL163" s="869">
        <f t="shared" ca="1" si="111"/>
        <v>0</v>
      </c>
      <c r="AM163" s="869">
        <f t="shared" ca="1" si="85"/>
        <v>0</v>
      </c>
      <c r="AN163" s="867">
        <f t="shared" ca="1" si="58"/>
        <v>0</v>
      </c>
      <c r="AO163" s="161"/>
      <c r="AP163" s="869">
        <f t="shared" ca="1" si="86"/>
        <v>0</v>
      </c>
      <c r="AQ163" s="867" cm="1">
        <f t="array" ref="AQ163">IF($G163=0,0,-MIN(0,$G163*c_equity.LPshare))</f>
        <v>0</v>
      </c>
      <c r="AR163" s="869" cm="1">
        <f t="array" ref="AR163">IF($D163=0,0,AP163*(c_rate.Hurdle3.MO))</f>
        <v>0</v>
      </c>
      <c r="AS163" s="869">
        <f t="shared" ca="1" si="87"/>
        <v>0</v>
      </c>
      <c r="AT163" s="869">
        <f t="shared" ca="1" si="88"/>
        <v>0</v>
      </c>
      <c r="AU163" s="869">
        <f t="shared" ca="1" si="89"/>
        <v>0</v>
      </c>
      <c r="AV163" s="870">
        <f t="shared" ca="1" si="90"/>
        <v>0</v>
      </c>
      <c r="AW163" s="867">
        <f t="shared" ca="1" si="91"/>
        <v>0</v>
      </c>
      <c r="AX163" s="869">
        <f t="shared" ca="1" si="112"/>
        <v>0</v>
      </c>
      <c r="AY163" s="869">
        <f t="shared" ca="1" si="92"/>
        <v>0</v>
      </c>
      <c r="AZ163" s="867">
        <f t="shared" ca="1" si="93"/>
        <v>0</v>
      </c>
      <c r="BA163" s="161"/>
      <c r="BB163" s="867">
        <f t="shared" ca="1" si="94"/>
        <v>0</v>
      </c>
      <c r="BC163" s="867">
        <f t="shared" ca="1" si="59"/>
        <v>0</v>
      </c>
      <c r="BD163" s="658"/>
      <c r="BE163" s="867">
        <f t="shared" ca="1" si="95"/>
        <v>0</v>
      </c>
      <c r="BF163" s="867">
        <f t="shared" ca="1" si="96"/>
        <v>0</v>
      </c>
      <c r="BG163" s="867">
        <f t="shared" ca="1" si="97"/>
        <v>0</v>
      </c>
      <c r="BI163" s="867">
        <f ca="1"/>
        <v>0</v>
      </c>
      <c r="BJ163" s="867">
        <f ca="1"/>
        <v>0</v>
      </c>
      <c r="BK163" s="867">
        <f ca="1"/>
        <v>0</v>
      </c>
      <c r="BL163" s="867">
        <f t="shared" ca="1" si="98"/>
        <v>0</v>
      </c>
      <c r="BM163" s="867">
        <f t="shared" ca="1" si="99"/>
        <v>0</v>
      </c>
      <c r="BN163" s="867">
        <f t="shared" ca="1" si="100"/>
        <v>0</v>
      </c>
      <c r="BO163" s="867">
        <f t="shared" ca="1" si="101"/>
        <v>0</v>
      </c>
      <c r="BP163" s="867">
        <f t="shared" ca="1" si="102"/>
        <v>0</v>
      </c>
      <c r="BQ163" s="867">
        <f t="shared" ca="1" si="103"/>
        <v>0</v>
      </c>
      <c r="BR163" s="867">
        <f ca="1"/>
        <v>0</v>
      </c>
      <c r="BS163" s="867">
        <f ca="1"/>
        <v>0</v>
      </c>
      <c r="BT163" s="867">
        <f t="shared" ca="1" si="64"/>
        <v>0</v>
      </c>
      <c r="BU163" s="867">
        <f t="shared" ca="1" si="104"/>
        <v>0</v>
      </c>
      <c r="BV163" s="829">
        <f t="shared" ca="1" si="65"/>
        <v>0</v>
      </c>
      <c r="BX163" s="867">
        <f ca="1"/>
        <v>0</v>
      </c>
      <c r="BY163" s="867">
        <f t="shared" ca="1" si="105"/>
        <v>0</v>
      </c>
      <c r="BZ163" s="867">
        <f t="shared" ca="1" si="106"/>
        <v>0</v>
      </c>
      <c r="CA163" s="867">
        <f t="shared" ca="1" si="107"/>
        <v>0</v>
      </c>
      <c r="CB163" s="867">
        <f t="shared" ca="1" si="108"/>
        <v>0</v>
      </c>
      <c r="CC163" s="867">
        <f t="shared" ca="1" si="109"/>
        <v>0</v>
      </c>
      <c r="CD163" s="867">
        <f t="shared" ca="1" si="110"/>
        <v>0</v>
      </c>
    </row>
    <row r="164" spans="1:82" ht="17" hidden="1" thickTop="1" thickBot="1">
      <c r="A164" s="773">
        <f t="shared" si="60"/>
        <v>0</v>
      </c>
      <c r="B164" s="779"/>
      <c r="C164" s="572"/>
      <c r="D164" s="660"/>
      <c r="E164" s="661"/>
      <c r="F164" s="862"/>
      <c r="G164" s="863"/>
      <c r="H164" s="961"/>
      <c r="I164" s="865">
        <f t="shared" si="66"/>
        <v>0</v>
      </c>
      <c r="J164" s="864" cm="1">
        <f t="array" ref="J164">IF($G164=0,0,-MIN(0,G164*c_equity.LPshare))</f>
        <v>0</v>
      </c>
      <c r="K164" s="865" cm="1">
        <f t="array" ref="K164">I164*c_rate.Pref.MO</f>
        <v>0</v>
      </c>
      <c r="L164" s="865">
        <f t="shared" si="67"/>
        <v>0</v>
      </c>
      <c r="M164" s="865">
        <f t="shared" si="68"/>
        <v>0</v>
      </c>
      <c r="N164" s="865">
        <f t="shared" si="69"/>
        <v>0</v>
      </c>
      <c r="O164" s="864" cm="1">
        <f t="array" ref="O164">IF(N164=0,0,IF(G164&lt;0,N164/c_equity.LPshare*i_equity.GPshare,L164/c_equity.LPshare*i_equity.GPshare))</f>
        <v>0</v>
      </c>
      <c r="P164" s="865">
        <f t="shared" si="70"/>
        <v>0</v>
      </c>
      <c r="Q164" s="865">
        <f t="shared" si="71"/>
        <v>0</v>
      </c>
      <c r="R164" s="161"/>
      <c r="S164" s="867">
        <f t="shared" ca="1" si="72"/>
        <v>0</v>
      </c>
      <c r="T164" s="867" cm="1">
        <f t="array" ref="T164">IF($G164=0,0,-MIN(0,$G164*c_equity.LPshare))</f>
        <v>0</v>
      </c>
      <c r="U164" s="869" cm="1">
        <f t="array" ref="U164">IF($D164=0,0,S164*c_rate.Hurdle1.MO)</f>
        <v>0</v>
      </c>
      <c r="V164" s="867">
        <f t="shared" si="73"/>
        <v>0</v>
      </c>
      <c r="W164" s="867">
        <f t="shared" ca="1" si="74"/>
        <v>0</v>
      </c>
      <c r="X164" s="869">
        <f t="shared" ca="1" si="75"/>
        <v>0</v>
      </c>
      <c r="Y164" s="869">
        <f t="shared" ca="1" si="76"/>
        <v>0</v>
      </c>
      <c r="Z164" s="869">
        <f t="shared" ca="1" si="77"/>
        <v>0</v>
      </c>
      <c r="AA164" s="869">
        <f t="shared" ca="1" si="78"/>
        <v>0</v>
      </c>
      <c r="AB164" s="867">
        <f t="shared" ca="1" si="79"/>
        <v>0</v>
      </c>
      <c r="AC164" s="867"/>
      <c r="AD164" s="869">
        <f t="shared" ca="1" si="80"/>
        <v>0</v>
      </c>
      <c r="AE164" s="867" cm="1">
        <f t="array" ref="AE164">IF($G164=0,0,-MIN(0,$G164*c_equity.LPshare))</f>
        <v>0</v>
      </c>
      <c r="AF164" s="869" cm="1">
        <f t="array" ref="AF164">IF($D164=0,0,AD164*(c_rate.Hurdle2.MO))</f>
        <v>0</v>
      </c>
      <c r="AG164" s="869">
        <f t="shared" ca="1" si="81"/>
        <v>0</v>
      </c>
      <c r="AH164" s="869">
        <f t="shared" ca="1" si="82"/>
        <v>0</v>
      </c>
      <c r="AI164" s="869">
        <f t="shared" ca="1" si="83"/>
        <v>0</v>
      </c>
      <c r="AJ164" s="868">
        <f t="shared" ca="1" si="61"/>
        <v>0</v>
      </c>
      <c r="AK164" s="867">
        <f t="shared" ca="1" si="84"/>
        <v>0</v>
      </c>
      <c r="AL164" s="869">
        <f t="shared" ca="1" si="111"/>
        <v>0</v>
      </c>
      <c r="AM164" s="869">
        <f t="shared" ca="1" si="85"/>
        <v>0</v>
      </c>
      <c r="AN164" s="867">
        <f t="shared" ca="1" si="58"/>
        <v>0</v>
      </c>
      <c r="AO164" s="161"/>
      <c r="AP164" s="869">
        <f t="shared" ca="1" si="86"/>
        <v>0</v>
      </c>
      <c r="AQ164" s="867" cm="1">
        <f t="array" ref="AQ164">IF($G164=0,0,-MIN(0,$G164*c_equity.LPshare))</f>
        <v>0</v>
      </c>
      <c r="AR164" s="869" cm="1">
        <f t="array" ref="AR164">IF($D164=0,0,AP164*(c_rate.Hurdle3.MO))</f>
        <v>0</v>
      </c>
      <c r="AS164" s="869">
        <f t="shared" ca="1" si="87"/>
        <v>0</v>
      </c>
      <c r="AT164" s="869">
        <f t="shared" ca="1" si="88"/>
        <v>0</v>
      </c>
      <c r="AU164" s="869">
        <f t="shared" ca="1" si="89"/>
        <v>0</v>
      </c>
      <c r="AV164" s="870">
        <f t="shared" ca="1" si="90"/>
        <v>0</v>
      </c>
      <c r="AW164" s="867">
        <f t="shared" ca="1" si="91"/>
        <v>0</v>
      </c>
      <c r="AX164" s="869">
        <f t="shared" ca="1" si="112"/>
        <v>0</v>
      </c>
      <c r="AY164" s="869">
        <f t="shared" ca="1" si="92"/>
        <v>0</v>
      </c>
      <c r="AZ164" s="867">
        <f t="shared" ca="1" si="93"/>
        <v>0</v>
      </c>
      <c r="BA164" s="161"/>
      <c r="BB164" s="867">
        <f t="shared" ca="1" si="94"/>
        <v>0</v>
      </c>
      <c r="BC164" s="867">
        <f t="shared" ca="1" si="59"/>
        <v>0</v>
      </c>
      <c r="BD164" s="658"/>
      <c r="BE164" s="867">
        <f t="shared" ca="1" si="95"/>
        <v>0</v>
      </c>
      <c r="BF164" s="867">
        <f t="shared" ca="1" si="96"/>
        <v>0</v>
      </c>
      <c r="BG164" s="867">
        <f t="shared" ca="1" si="97"/>
        <v>0</v>
      </c>
      <c r="BI164" s="867">
        <f ca="1"/>
        <v>0</v>
      </c>
      <c r="BJ164" s="867">
        <f ca="1"/>
        <v>0</v>
      </c>
      <c r="BK164" s="867">
        <f ca="1"/>
        <v>0</v>
      </c>
      <c r="BL164" s="867">
        <f t="shared" ca="1" si="98"/>
        <v>0</v>
      </c>
      <c r="BM164" s="867">
        <f t="shared" ca="1" si="99"/>
        <v>0</v>
      </c>
      <c r="BN164" s="867">
        <f t="shared" ca="1" si="100"/>
        <v>0</v>
      </c>
      <c r="BO164" s="867">
        <f t="shared" ca="1" si="101"/>
        <v>0</v>
      </c>
      <c r="BP164" s="867">
        <f t="shared" ca="1" si="102"/>
        <v>0</v>
      </c>
      <c r="BQ164" s="867">
        <f t="shared" ca="1" si="103"/>
        <v>0</v>
      </c>
      <c r="BR164" s="867">
        <f ca="1"/>
        <v>0</v>
      </c>
      <c r="BS164" s="867">
        <f ca="1"/>
        <v>0</v>
      </c>
      <c r="BT164" s="867">
        <f t="shared" ca="1" si="64"/>
        <v>0</v>
      </c>
      <c r="BU164" s="867">
        <f t="shared" ca="1" si="104"/>
        <v>0</v>
      </c>
      <c r="BV164" s="829">
        <f t="shared" ca="1" si="65"/>
        <v>0</v>
      </c>
      <c r="BX164" s="867">
        <f ca="1"/>
        <v>0</v>
      </c>
      <c r="BY164" s="867">
        <f t="shared" ca="1" si="105"/>
        <v>0</v>
      </c>
      <c r="BZ164" s="867">
        <f t="shared" ca="1" si="106"/>
        <v>0</v>
      </c>
      <c r="CA164" s="867">
        <f t="shared" ca="1" si="107"/>
        <v>0</v>
      </c>
      <c r="CB164" s="867">
        <f t="shared" ca="1" si="108"/>
        <v>0</v>
      </c>
      <c r="CC164" s="867">
        <f t="shared" ca="1" si="109"/>
        <v>0</v>
      </c>
      <c r="CD164" s="867">
        <f t="shared" ca="1" si="110"/>
        <v>0</v>
      </c>
    </row>
    <row r="165" spans="1:82" ht="17" hidden="1" thickTop="1" thickBot="1">
      <c r="A165" s="773">
        <f t="shared" si="60"/>
        <v>0</v>
      </c>
      <c r="B165" s="779"/>
      <c r="C165" s="572"/>
      <c r="D165" s="660"/>
      <c r="E165" s="661"/>
      <c r="F165" s="862"/>
      <c r="G165" s="863"/>
      <c r="H165" s="961"/>
      <c r="I165" s="865">
        <f t="shared" si="66"/>
        <v>0</v>
      </c>
      <c r="J165" s="864" cm="1">
        <f t="array" ref="J165">IF($G165=0,0,-MIN(0,G165*c_equity.LPshare))</f>
        <v>0</v>
      </c>
      <c r="K165" s="865" cm="1">
        <f t="array" ref="K165">I165*c_rate.Pref.MO</f>
        <v>0</v>
      </c>
      <c r="L165" s="865">
        <f t="shared" si="67"/>
        <v>0</v>
      </c>
      <c r="M165" s="865">
        <f t="shared" si="68"/>
        <v>0</v>
      </c>
      <c r="N165" s="865">
        <f t="shared" si="69"/>
        <v>0</v>
      </c>
      <c r="O165" s="864" cm="1">
        <f t="array" ref="O165">IF(N165=0,0,IF(G165&lt;0,N165/c_equity.LPshare*i_equity.GPshare,L165/c_equity.LPshare*i_equity.GPshare))</f>
        <v>0</v>
      </c>
      <c r="P165" s="865">
        <f t="shared" si="70"/>
        <v>0</v>
      </c>
      <c r="Q165" s="865">
        <f t="shared" si="71"/>
        <v>0</v>
      </c>
      <c r="R165" s="161"/>
      <c r="S165" s="867">
        <f t="shared" ca="1" si="72"/>
        <v>0</v>
      </c>
      <c r="T165" s="867" cm="1">
        <f t="array" ref="T165">IF($G165=0,0,-MIN(0,$G165*c_equity.LPshare))</f>
        <v>0</v>
      </c>
      <c r="U165" s="869" cm="1">
        <f t="array" ref="U165">IF($D165=0,0,S165*c_rate.Hurdle1.MO)</f>
        <v>0</v>
      </c>
      <c r="V165" s="867">
        <f t="shared" si="73"/>
        <v>0</v>
      </c>
      <c r="W165" s="867">
        <f t="shared" ca="1" si="74"/>
        <v>0</v>
      </c>
      <c r="X165" s="869">
        <f t="shared" ca="1" si="75"/>
        <v>0</v>
      </c>
      <c r="Y165" s="869">
        <f t="shared" ca="1" si="76"/>
        <v>0</v>
      </c>
      <c r="Z165" s="869">
        <f t="shared" ca="1" si="77"/>
        <v>0</v>
      </c>
      <c r="AA165" s="869">
        <f t="shared" ca="1" si="78"/>
        <v>0</v>
      </c>
      <c r="AB165" s="867">
        <f t="shared" ca="1" si="79"/>
        <v>0</v>
      </c>
      <c r="AC165" s="867"/>
      <c r="AD165" s="869">
        <f t="shared" ca="1" si="80"/>
        <v>0</v>
      </c>
      <c r="AE165" s="867" cm="1">
        <f t="array" ref="AE165">IF($G165=0,0,-MIN(0,$G165*c_equity.LPshare))</f>
        <v>0</v>
      </c>
      <c r="AF165" s="869" cm="1">
        <f t="array" ref="AF165">IF($D165=0,0,AD165*(c_rate.Hurdle2.MO))</f>
        <v>0</v>
      </c>
      <c r="AG165" s="869">
        <f t="shared" ca="1" si="81"/>
        <v>0</v>
      </c>
      <c r="AH165" s="869">
        <f t="shared" ca="1" si="82"/>
        <v>0</v>
      </c>
      <c r="AI165" s="869">
        <f t="shared" ca="1" si="83"/>
        <v>0</v>
      </c>
      <c r="AJ165" s="868">
        <f t="shared" ca="1" si="61"/>
        <v>0</v>
      </c>
      <c r="AK165" s="867">
        <f t="shared" ca="1" si="84"/>
        <v>0</v>
      </c>
      <c r="AL165" s="869">
        <f t="shared" ca="1" si="111"/>
        <v>0</v>
      </c>
      <c r="AM165" s="869">
        <f t="shared" ca="1" si="85"/>
        <v>0</v>
      </c>
      <c r="AN165" s="867">
        <f t="shared" ca="1" si="58"/>
        <v>0</v>
      </c>
      <c r="AO165" s="161"/>
      <c r="AP165" s="869">
        <f t="shared" ca="1" si="86"/>
        <v>0</v>
      </c>
      <c r="AQ165" s="867" cm="1">
        <f t="array" ref="AQ165">IF($G165=0,0,-MIN(0,$G165*c_equity.LPshare))</f>
        <v>0</v>
      </c>
      <c r="AR165" s="869" cm="1">
        <f t="array" ref="AR165">IF($D165=0,0,AP165*(c_rate.Hurdle3.MO))</f>
        <v>0</v>
      </c>
      <c r="AS165" s="869">
        <f t="shared" ca="1" si="87"/>
        <v>0</v>
      </c>
      <c r="AT165" s="869">
        <f t="shared" ca="1" si="88"/>
        <v>0</v>
      </c>
      <c r="AU165" s="869">
        <f t="shared" ca="1" si="89"/>
        <v>0</v>
      </c>
      <c r="AV165" s="870">
        <f t="shared" ca="1" si="90"/>
        <v>0</v>
      </c>
      <c r="AW165" s="867">
        <f t="shared" ca="1" si="91"/>
        <v>0</v>
      </c>
      <c r="AX165" s="869">
        <f t="shared" ca="1" si="112"/>
        <v>0</v>
      </c>
      <c r="AY165" s="869">
        <f t="shared" ca="1" si="92"/>
        <v>0</v>
      </c>
      <c r="AZ165" s="867">
        <f t="shared" ca="1" si="93"/>
        <v>0</v>
      </c>
      <c r="BA165" s="161"/>
      <c r="BB165" s="867">
        <f t="shared" ca="1" si="94"/>
        <v>0</v>
      </c>
      <c r="BC165" s="867">
        <f t="shared" ca="1" si="59"/>
        <v>0</v>
      </c>
      <c r="BD165" s="658"/>
      <c r="BE165" s="867">
        <f t="shared" ca="1" si="95"/>
        <v>0</v>
      </c>
      <c r="BF165" s="867">
        <f t="shared" ca="1" si="96"/>
        <v>0</v>
      </c>
      <c r="BG165" s="867">
        <f t="shared" ca="1" si="97"/>
        <v>0</v>
      </c>
      <c r="BI165" s="867">
        <f ca="1"/>
        <v>0</v>
      </c>
      <c r="BJ165" s="867">
        <f ca="1"/>
        <v>0</v>
      </c>
      <c r="BK165" s="867">
        <f ca="1"/>
        <v>0</v>
      </c>
      <c r="BL165" s="867">
        <f t="shared" ca="1" si="98"/>
        <v>0</v>
      </c>
      <c r="BM165" s="867">
        <f t="shared" ca="1" si="99"/>
        <v>0</v>
      </c>
      <c r="BN165" s="867">
        <f t="shared" ca="1" si="100"/>
        <v>0</v>
      </c>
      <c r="BO165" s="867">
        <f t="shared" ca="1" si="101"/>
        <v>0</v>
      </c>
      <c r="BP165" s="867">
        <f t="shared" ca="1" si="102"/>
        <v>0</v>
      </c>
      <c r="BQ165" s="867">
        <f t="shared" ca="1" si="103"/>
        <v>0</v>
      </c>
      <c r="BR165" s="867">
        <f ca="1"/>
        <v>0</v>
      </c>
      <c r="BS165" s="867">
        <f ca="1"/>
        <v>0</v>
      </c>
      <c r="BT165" s="867">
        <f t="shared" ca="1" si="64"/>
        <v>0</v>
      </c>
      <c r="BU165" s="867">
        <f t="shared" ca="1" si="104"/>
        <v>0</v>
      </c>
      <c r="BV165" s="829">
        <f t="shared" ca="1" si="65"/>
        <v>0</v>
      </c>
      <c r="BX165" s="867">
        <f ca="1"/>
        <v>0</v>
      </c>
      <c r="BY165" s="867">
        <f t="shared" ca="1" si="105"/>
        <v>0</v>
      </c>
      <c r="BZ165" s="867">
        <f t="shared" ca="1" si="106"/>
        <v>0</v>
      </c>
      <c r="CA165" s="867">
        <f t="shared" ca="1" si="107"/>
        <v>0</v>
      </c>
      <c r="CB165" s="867">
        <f t="shared" ca="1" si="108"/>
        <v>0</v>
      </c>
      <c r="CC165" s="867">
        <f t="shared" ca="1" si="109"/>
        <v>0</v>
      </c>
      <c r="CD165" s="867">
        <f t="shared" ca="1" si="110"/>
        <v>0</v>
      </c>
    </row>
    <row r="166" spans="1:82" ht="17" hidden="1" thickTop="1" thickBot="1">
      <c r="A166" s="773">
        <f t="shared" si="60"/>
        <v>0</v>
      </c>
      <c r="B166" s="779"/>
      <c r="C166" s="572"/>
      <c r="D166" s="660"/>
      <c r="E166" s="661"/>
      <c r="F166" s="862"/>
      <c r="G166" s="863"/>
      <c r="H166" s="961"/>
      <c r="I166" s="865">
        <f t="shared" si="66"/>
        <v>0</v>
      </c>
      <c r="J166" s="864" cm="1">
        <f t="array" ref="J166">IF($G166=0,0,-MIN(0,G166*c_equity.LPshare))</f>
        <v>0</v>
      </c>
      <c r="K166" s="865" cm="1">
        <f t="array" ref="K166">I166*c_rate.Pref.MO</f>
        <v>0</v>
      </c>
      <c r="L166" s="865">
        <f t="shared" si="67"/>
        <v>0</v>
      </c>
      <c r="M166" s="865">
        <f t="shared" si="68"/>
        <v>0</v>
      </c>
      <c r="N166" s="865">
        <f t="shared" si="69"/>
        <v>0</v>
      </c>
      <c r="O166" s="864" cm="1">
        <f t="array" ref="O166">IF(N166=0,0,IF(G166&lt;0,N166/c_equity.LPshare*i_equity.GPshare,L166/c_equity.LPshare*i_equity.GPshare))</f>
        <v>0</v>
      </c>
      <c r="P166" s="865">
        <f t="shared" si="70"/>
        <v>0</v>
      </c>
      <c r="Q166" s="865">
        <f t="shared" si="71"/>
        <v>0</v>
      </c>
      <c r="R166" s="161"/>
      <c r="S166" s="867">
        <f t="shared" ca="1" si="72"/>
        <v>0</v>
      </c>
      <c r="T166" s="867" cm="1">
        <f t="array" ref="T166">IF($G166=0,0,-MIN(0,$G166*c_equity.LPshare))</f>
        <v>0</v>
      </c>
      <c r="U166" s="869" cm="1">
        <f t="array" ref="U166">IF($D166=0,0,S166*c_rate.Hurdle1.MO)</f>
        <v>0</v>
      </c>
      <c r="V166" s="867">
        <f t="shared" si="73"/>
        <v>0</v>
      </c>
      <c r="W166" s="867">
        <f t="shared" ca="1" si="74"/>
        <v>0</v>
      </c>
      <c r="X166" s="869">
        <f t="shared" ca="1" si="75"/>
        <v>0</v>
      </c>
      <c r="Y166" s="869">
        <f t="shared" ca="1" si="76"/>
        <v>0</v>
      </c>
      <c r="Z166" s="869">
        <f t="shared" ca="1" si="77"/>
        <v>0</v>
      </c>
      <c r="AA166" s="869">
        <f t="shared" ca="1" si="78"/>
        <v>0</v>
      </c>
      <c r="AB166" s="867">
        <f t="shared" ca="1" si="79"/>
        <v>0</v>
      </c>
      <c r="AC166" s="867"/>
      <c r="AD166" s="869">
        <f t="shared" ca="1" si="80"/>
        <v>0</v>
      </c>
      <c r="AE166" s="867" cm="1">
        <f t="array" ref="AE166">IF($G166=0,0,-MIN(0,$G166*c_equity.LPshare))</f>
        <v>0</v>
      </c>
      <c r="AF166" s="869" cm="1">
        <f t="array" ref="AF166">IF($D166=0,0,AD166*(c_rate.Hurdle2.MO))</f>
        <v>0</v>
      </c>
      <c r="AG166" s="869">
        <f t="shared" ca="1" si="81"/>
        <v>0</v>
      </c>
      <c r="AH166" s="869">
        <f t="shared" ca="1" si="82"/>
        <v>0</v>
      </c>
      <c r="AI166" s="869">
        <f t="shared" ca="1" si="83"/>
        <v>0</v>
      </c>
      <c r="AJ166" s="868">
        <f t="shared" ca="1" si="61"/>
        <v>0</v>
      </c>
      <c r="AK166" s="867">
        <f t="shared" ca="1" si="84"/>
        <v>0</v>
      </c>
      <c r="AL166" s="869">
        <f t="shared" ca="1" si="111"/>
        <v>0</v>
      </c>
      <c r="AM166" s="869">
        <f t="shared" ca="1" si="85"/>
        <v>0</v>
      </c>
      <c r="AN166" s="867">
        <f t="shared" ca="1" si="58"/>
        <v>0</v>
      </c>
      <c r="AO166" s="161"/>
      <c r="AP166" s="869">
        <f t="shared" ca="1" si="86"/>
        <v>0</v>
      </c>
      <c r="AQ166" s="867" cm="1">
        <f t="array" ref="AQ166">IF($G166=0,0,-MIN(0,$G166*c_equity.LPshare))</f>
        <v>0</v>
      </c>
      <c r="AR166" s="869" cm="1">
        <f t="array" ref="AR166">IF($D166=0,0,AP166*(c_rate.Hurdle3.MO))</f>
        <v>0</v>
      </c>
      <c r="AS166" s="869">
        <f t="shared" ca="1" si="87"/>
        <v>0</v>
      </c>
      <c r="AT166" s="869">
        <f t="shared" ca="1" si="88"/>
        <v>0</v>
      </c>
      <c r="AU166" s="869">
        <f t="shared" ca="1" si="89"/>
        <v>0</v>
      </c>
      <c r="AV166" s="870">
        <f t="shared" ca="1" si="90"/>
        <v>0</v>
      </c>
      <c r="AW166" s="867">
        <f t="shared" ca="1" si="91"/>
        <v>0</v>
      </c>
      <c r="AX166" s="869">
        <f t="shared" ca="1" si="112"/>
        <v>0</v>
      </c>
      <c r="AY166" s="869">
        <f t="shared" ca="1" si="92"/>
        <v>0</v>
      </c>
      <c r="AZ166" s="867">
        <f t="shared" ca="1" si="93"/>
        <v>0</v>
      </c>
      <c r="BA166" s="161"/>
      <c r="BB166" s="867">
        <f t="shared" ca="1" si="94"/>
        <v>0</v>
      </c>
      <c r="BC166" s="867">
        <f t="shared" ca="1" si="59"/>
        <v>0</v>
      </c>
      <c r="BD166" s="658"/>
      <c r="BE166" s="867">
        <f t="shared" ca="1" si="95"/>
        <v>0</v>
      </c>
      <c r="BF166" s="867">
        <f t="shared" ca="1" si="96"/>
        <v>0</v>
      </c>
      <c r="BG166" s="867">
        <f t="shared" ca="1" si="97"/>
        <v>0</v>
      </c>
      <c r="BI166" s="867">
        <f ca="1"/>
        <v>0</v>
      </c>
      <c r="BJ166" s="867">
        <f ca="1"/>
        <v>0</v>
      </c>
      <c r="BK166" s="867">
        <f ca="1"/>
        <v>0</v>
      </c>
      <c r="BL166" s="867">
        <f t="shared" ca="1" si="98"/>
        <v>0</v>
      </c>
      <c r="BM166" s="867">
        <f t="shared" ca="1" si="99"/>
        <v>0</v>
      </c>
      <c r="BN166" s="867">
        <f t="shared" ca="1" si="100"/>
        <v>0</v>
      </c>
      <c r="BO166" s="867">
        <f t="shared" ca="1" si="101"/>
        <v>0</v>
      </c>
      <c r="BP166" s="867">
        <f t="shared" ca="1" si="102"/>
        <v>0</v>
      </c>
      <c r="BQ166" s="867">
        <f t="shared" ca="1" si="103"/>
        <v>0</v>
      </c>
      <c r="BR166" s="867">
        <f ca="1"/>
        <v>0</v>
      </c>
      <c r="BS166" s="867">
        <f ca="1"/>
        <v>0</v>
      </c>
      <c r="BT166" s="867">
        <f t="shared" ca="1" si="64"/>
        <v>0</v>
      </c>
      <c r="BU166" s="867">
        <f t="shared" ca="1" si="104"/>
        <v>0</v>
      </c>
      <c r="BV166" s="829">
        <f t="shared" ca="1" si="65"/>
        <v>0</v>
      </c>
      <c r="BX166" s="867">
        <f ca="1"/>
        <v>0</v>
      </c>
      <c r="BY166" s="867">
        <f t="shared" ca="1" si="105"/>
        <v>0</v>
      </c>
      <c r="BZ166" s="867">
        <f t="shared" ca="1" si="106"/>
        <v>0</v>
      </c>
      <c r="CA166" s="867">
        <f t="shared" ca="1" si="107"/>
        <v>0</v>
      </c>
      <c r="CB166" s="867">
        <f t="shared" ca="1" si="108"/>
        <v>0</v>
      </c>
      <c r="CC166" s="867">
        <f t="shared" ca="1" si="109"/>
        <v>0</v>
      </c>
      <c r="CD166" s="867">
        <f t="shared" ca="1" si="110"/>
        <v>0</v>
      </c>
    </row>
    <row r="167" spans="1:82" ht="17" hidden="1" thickTop="1" thickBot="1">
      <c r="A167" s="773">
        <f t="shared" si="60"/>
        <v>0</v>
      </c>
      <c r="B167" s="779"/>
      <c r="C167" s="572"/>
      <c r="D167" s="660"/>
      <c r="E167" s="661"/>
      <c r="F167" s="862"/>
      <c r="G167" s="863"/>
      <c r="H167" s="961"/>
      <c r="I167" s="865">
        <f t="shared" si="66"/>
        <v>0</v>
      </c>
      <c r="J167" s="864" cm="1">
        <f t="array" ref="J167">IF($G167=0,0,-MIN(0,G167*c_equity.LPshare))</f>
        <v>0</v>
      </c>
      <c r="K167" s="865" cm="1">
        <f t="array" ref="K167">I167*c_rate.Pref.MO</f>
        <v>0</v>
      </c>
      <c r="L167" s="865">
        <f t="shared" si="67"/>
        <v>0</v>
      </c>
      <c r="M167" s="865">
        <f t="shared" si="68"/>
        <v>0</v>
      </c>
      <c r="N167" s="865">
        <f t="shared" si="69"/>
        <v>0</v>
      </c>
      <c r="O167" s="864" cm="1">
        <f t="array" ref="O167">IF(N167=0,0,IF(G167&lt;0,N167/c_equity.LPshare*i_equity.GPshare,L167/c_equity.LPshare*i_equity.GPshare))</f>
        <v>0</v>
      </c>
      <c r="P167" s="865">
        <f t="shared" si="70"/>
        <v>0</v>
      </c>
      <c r="Q167" s="865">
        <f t="shared" si="71"/>
        <v>0</v>
      </c>
      <c r="R167" s="161"/>
      <c r="S167" s="867">
        <f t="shared" ca="1" si="72"/>
        <v>0</v>
      </c>
      <c r="T167" s="867" cm="1">
        <f t="array" ref="T167">IF($G167=0,0,-MIN(0,$G167*c_equity.LPshare))</f>
        <v>0</v>
      </c>
      <c r="U167" s="869" cm="1">
        <f t="array" ref="U167">IF($D167=0,0,S167*c_rate.Hurdle1.MO)</f>
        <v>0</v>
      </c>
      <c r="V167" s="867">
        <f t="shared" si="73"/>
        <v>0</v>
      </c>
      <c r="W167" s="867">
        <f t="shared" ca="1" si="74"/>
        <v>0</v>
      </c>
      <c r="X167" s="869">
        <f t="shared" ca="1" si="75"/>
        <v>0</v>
      </c>
      <c r="Y167" s="869">
        <f t="shared" ca="1" si="76"/>
        <v>0</v>
      </c>
      <c r="Z167" s="869">
        <f t="shared" ca="1" si="77"/>
        <v>0</v>
      </c>
      <c r="AA167" s="869">
        <f t="shared" ca="1" si="78"/>
        <v>0</v>
      </c>
      <c r="AB167" s="867">
        <f t="shared" ca="1" si="79"/>
        <v>0</v>
      </c>
      <c r="AC167" s="161"/>
      <c r="AD167" s="869">
        <f t="shared" ca="1" si="80"/>
        <v>0</v>
      </c>
      <c r="AE167" s="867" cm="1">
        <f t="array" ref="AE167">IF($G167=0,0,-MIN(0,$G167*c_equity.LPshare))</f>
        <v>0</v>
      </c>
      <c r="AF167" s="869" cm="1">
        <f t="array" ref="AF167">IF($D167=0,0,AD167*(c_rate.Hurdle2.MO))</f>
        <v>0</v>
      </c>
      <c r="AG167" s="869">
        <f t="shared" ca="1" si="81"/>
        <v>0</v>
      </c>
      <c r="AH167" s="869">
        <f t="shared" ca="1" si="82"/>
        <v>0</v>
      </c>
      <c r="AI167" s="869">
        <f t="shared" ca="1" si="83"/>
        <v>0</v>
      </c>
      <c r="AJ167" s="868">
        <f t="shared" ca="1" si="61"/>
        <v>0</v>
      </c>
      <c r="AK167" s="867">
        <f t="shared" ca="1" si="84"/>
        <v>0</v>
      </c>
      <c r="AL167" s="869">
        <f t="shared" ca="1" si="111"/>
        <v>0</v>
      </c>
      <c r="AM167" s="869">
        <f t="shared" ca="1" si="85"/>
        <v>0</v>
      </c>
      <c r="AN167" s="867">
        <f t="shared" ca="1" si="58"/>
        <v>0</v>
      </c>
      <c r="AO167" s="161"/>
      <c r="AP167" s="869">
        <f t="shared" ca="1" si="86"/>
        <v>0</v>
      </c>
      <c r="AQ167" s="867" cm="1">
        <f t="array" ref="AQ167">IF($G167=0,0,-MIN(0,$G167*c_equity.LPshare))</f>
        <v>0</v>
      </c>
      <c r="AR167" s="869" cm="1">
        <f t="array" ref="AR167">IF($D167=0,0,AP167*(c_rate.Hurdle3.MO))</f>
        <v>0</v>
      </c>
      <c r="AS167" s="869">
        <f t="shared" ca="1" si="87"/>
        <v>0</v>
      </c>
      <c r="AT167" s="869">
        <f t="shared" ca="1" si="88"/>
        <v>0</v>
      </c>
      <c r="AU167" s="869">
        <f t="shared" ca="1" si="89"/>
        <v>0</v>
      </c>
      <c r="AV167" s="870">
        <f t="shared" ca="1" si="90"/>
        <v>0</v>
      </c>
      <c r="AW167" s="867">
        <f t="shared" ca="1" si="91"/>
        <v>0</v>
      </c>
      <c r="AX167" s="869">
        <f t="shared" ca="1" si="112"/>
        <v>0</v>
      </c>
      <c r="AY167" s="869">
        <f t="shared" ca="1" si="92"/>
        <v>0</v>
      </c>
      <c r="AZ167" s="867">
        <f t="shared" ca="1" si="93"/>
        <v>0</v>
      </c>
      <c r="BA167" s="161"/>
      <c r="BB167" s="867">
        <f t="shared" ca="1" si="94"/>
        <v>0</v>
      </c>
      <c r="BC167" s="867">
        <f t="shared" ca="1" si="59"/>
        <v>0</v>
      </c>
      <c r="BD167" s="658"/>
      <c r="BE167" s="867">
        <f t="shared" ca="1" si="95"/>
        <v>0</v>
      </c>
      <c r="BF167" s="867">
        <f t="shared" ca="1" si="96"/>
        <v>0</v>
      </c>
      <c r="BG167" s="867">
        <f t="shared" ca="1" si="97"/>
        <v>0</v>
      </c>
      <c r="BI167" s="867">
        <f ca="1"/>
        <v>0</v>
      </c>
      <c r="BJ167" s="867">
        <f ca="1"/>
        <v>0</v>
      </c>
      <c r="BK167" s="867">
        <f ca="1"/>
        <v>0</v>
      </c>
      <c r="BL167" s="867">
        <f t="shared" ca="1" si="98"/>
        <v>0</v>
      </c>
      <c r="BM167" s="867">
        <f t="shared" ca="1" si="99"/>
        <v>0</v>
      </c>
      <c r="BN167" s="867">
        <f t="shared" ca="1" si="100"/>
        <v>0</v>
      </c>
      <c r="BO167" s="867">
        <f t="shared" ca="1" si="101"/>
        <v>0</v>
      </c>
      <c r="BP167" s="867">
        <f t="shared" ca="1" si="102"/>
        <v>0</v>
      </c>
      <c r="BQ167" s="867">
        <f t="shared" ca="1" si="103"/>
        <v>0</v>
      </c>
      <c r="BR167" s="867">
        <f ca="1"/>
        <v>0</v>
      </c>
      <c r="BS167" s="867">
        <f ca="1"/>
        <v>0</v>
      </c>
      <c r="BT167" s="867">
        <f t="shared" ca="1" si="64"/>
        <v>0</v>
      </c>
      <c r="BU167" s="867">
        <f t="shared" ca="1" si="104"/>
        <v>0</v>
      </c>
      <c r="BV167" s="829">
        <f t="shared" ca="1" si="65"/>
        <v>0</v>
      </c>
      <c r="BX167" s="867">
        <f ca="1"/>
        <v>0</v>
      </c>
      <c r="BY167" s="867">
        <f t="shared" ca="1" si="105"/>
        <v>0</v>
      </c>
      <c r="BZ167" s="867">
        <f t="shared" ca="1" si="106"/>
        <v>0</v>
      </c>
      <c r="CA167" s="867">
        <f t="shared" ca="1" si="107"/>
        <v>0</v>
      </c>
      <c r="CB167" s="867">
        <f t="shared" ca="1" si="108"/>
        <v>0</v>
      </c>
      <c r="CC167" s="867">
        <f t="shared" ca="1" si="109"/>
        <v>0</v>
      </c>
      <c r="CD167" s="867">
        <f t="shared" ca="1" si="110"/>
        <v>0</v>
      </c>
    </row>
    <row r="168" spans="1:82" ht="17" hidden="1" thickTop="1" thickBot="1">
      <c r="A168" s="773">
        <f t="shared" si="60"/>
        <v>0</v>
      </c>
      <c r="B168" s="779"/>
      <c r="C168" s="572"/>
      <c r="D168" s="660"/>
      <c r="E168" s="661"/>
      <c r="F168" s="862"/>
      <c r="G168" s="863"/>
      <c r="H168" s="961"/>
      <c r="I168" s="865">
        <f t="shared" si="66"/>
        <v>0</v>
      </c>
      <c r="J168" s="864" cm="1">
        <f t="array" ref="J168">IF($G168=0,0,-MIN(0,G168*c_equity.LPshare))</f>
        <v>0</v>
      </c>
      <c r="K168" s="865" cm="1">
        <f t="array" ref="K168">I168*c_rate.Pref.MO</f>
        <v>0</v>
      </c>
      <c r="L168" s="865">
        <f t="shared" si="67"/>
        <v>0</v>
      </c>
      <c r="M168" s="865">
        <f t="shared" si="68"/>
        <v>0</v>
      </c>
      <c r="N168" s="865">
        <f t="shared" si="69"/>
        <v>0</v>
      </c>
      <c r="O168" s="864" cm="1">
        <f t="array" ref="O168">IF(N168=0,0,IF(G168&lt;0,N168/c_equity.LPshare*i_equity.GPshare,L168/c_equity.LPshare*i_equity.GPshare))</f>
        <v>0</v>
      </c>
      <c r="P168" s="865">
        <f t="shared" si="70"/>
        <v>0</v>
      </c>
      <c r="Q168" s="865">
        <f t="shared" si="71"/>
        <v>0</v>
      </c>
      <c r="R168" s="161"/>
      <c r="S168" s="867">
        <f t="shared" ca="1" si="72"/>
        <v>0</v>
      </c>
      <c r="T168" s="867" cm="1">
        <f t="array" ref="T168">IF($G168=0,0,-MIN(0,$G168*c_equity.LPshare))</f>
        <v>0</v>
      </c>
      <c r="U168" s="869" cm="1">
        <f t="array" ref="U168">IF($D168=0,0,S168*c_rate.Hurdle1.MO)</f>
        <v>0</v>
      </c>
      <c r="V168" s="867">
        <f t="shared" si="73"/>
        <v>0</v>
      </c>
      <c r="W168" s="867">
        <f t="shared" ca="1" si="74"/>
        <v>0</v>
      </c>
      <c r="X168" s="869">
        <f t="shared" ca="1" si="75"/>
        <v>0</v>
      </c>
      <c r="Y168" s="869">
        <f t="shared" ca="1" si="76"/>
        <v>0</v>
      </c>
      <c r="Z168" s="869">
        <f t="shared" ca="1" si="77"/>
        <v>0</v>
      </c>
      <c r="AA168" s="869">
        <f t="shared" ca="1" si="78"/>
        <v>0</v>
      </c>
      <c r="AB168" s="867">
        <f t="shared" ca="1" si="79"/>
        <v>0</v>
      </c>
      <c r="AC168" s="161"/>
      <c r="AD168" s="869">
        <f t="shared" ca="1" si="80"/>
        <v>0</v>
      </c>
      <c r="AE168" s="867" cm="1">
        <f t="array" ref="AE168">IF($G168=0,0,-MIN(0,$G168*c_equity.LPshare))</f>
        <v>0</v>
      </c>
      <c r="AF168" s="869" cm="1">
        <f t="array" ref="AF168">IF($D168=0,0,AD168*(c_rate.Hurdle2.MO))</f>
        <v>0</v>
      </c>
      <c r="AG168" s="869">
        <f t="shared" ca="1" si="81"/>
        <v>0</v>
      </c>
      <c r="AH168" s="869">
        <f t="shared" ca="1" si="82"/>
        <v>0</v>
      </c>
      <c r="AI168" s="869">
        <f t="shared" ca="1" si="83"/>
        <v>0</v>
      </c>
      <c r="AJ168" s="868">
        <f t="shared" ca="1" si="61"/>
        <v>0</v>
      </c>
      <c r="AK168" s="867">
        <f t="shared" ca="1" si="84"/>
        <v>0</v>
      </c>
      <c r="AL168" s="869">
        <f t="shared" ca="1" si="111"/>
        <v>0</v>
      </c>
      <c r="AM168" s="869">
        <f t="shared" ca="1" si="85"/>
        <v>0</v>
      </c>
      <c r="AN168" s="867">
        <f t="shared" ca="1" si="58"/>
        <v>0</v>
      </c>
      <c r="AO168" s="161"/>
      <c r="AP168" s="869">
        <f t="shared" ca="1" si="86"/>
        <v>0</v>
      </c>
      <c r="AQ168" s="867" cm="1">
        <f t="array" ref="AQ168">IF($G168=0,0,-MIN(0,$G168*c_equity.LPshare))</f>
        <v>0</v>
      </c>
      <c r="AR168" s="869" cm="1">
        <f t="array" ref="AR168">IF($D168=0,0,AP168*(c_rate.Hurdle3.MO))</f>
        <v>0</v>
      </c>
      <c r="AS168" s="869">
        <f t="shared" ca="1" si="87"/>
        <v>0</v>
      </c>
      <c r="AT168" s="869">
        <f t="shared" ca="1" si="88"/>
        <v>0</v>
      </c>
      <c r="AU168" s="869">
        <f t="shared" ca="1" si="89"/>
        <v>0</v>
      </c>
      <c r="AV168" s="870">
        <f t="shared" ca="1" si="90"/>
        <v>0</v>
      </c>
      <c r="AW168" s="867">
        <f t="shared" ca="1" si="91"/>
        <v>0</v>
      </c>
      <c r="AX168" s="869">
        <f t="shared" ca="1" si="112"/>
        <v>0</v>
      </c>
      <c r="AY168" s="869">
        <f t="shared" ca="1" si="92"/>
        <v>0</v>
      </c>
      <c r="AZ168" s="867">
        <f t="shared" ca="1" si="93"/>
        <v>0</v>
      </c>
      <c r="BA168" s="161"/>
      <c r="BB168" s="867">
        <f t="shared" ca="1" si="94"/>
        <v>0</v>
      </c>
      <c r="BC168" s="867">
        <f t="shared" ca="1" si="59"/>
        <v>0</v>
      </c>
      <c r="BD168" s="658"/>
      <c r="BE168" s="867">
        <f t="shared" ca="1" si="95"/>
        <v>0</v>
      </c>
      <c r="BF168" s="867">
        <f t="shared" ca="1" si="96"/>
        <v>0</v>
      </c>
      <c r="BG168" s="867">
        <f t="shared" ca="1" si="97"/>
        <v>0</v>
      </c>
      <c r="BI168" s="867">
        <f ca="1"/>
        <v>0</v>
      </c>
      <c r="BJ168" s="867">
        <f ca="1"/>
        <v>0</v>
      </c>
      <c r="BK168" s="867">
        <f ca="1"/>
        <v>0</v>
      </c>
      <c r="BL168" s="867">
        <f t="shared" ca="1" si="98"/>
        <v>0</v>
      </c>
      <c r="BM168" s="867">
        <f t="shared" ca="1" si="99"/>
        <v>0</v>
      </c>
      <c r="BN168" s="867">
        <f t="shared" ca="1" si="100"/>
        <v>0</v>
      </c>
      <c r="BO168" s="867">
        <f t="shared" ca="1" si="101"/>
        <v>0</v>
      </c>
      <c r="BP168" s="867">
        <f t="shared" ca="1" si="102"/>
        <v>0</v>
      </c>
      <c r="BQ168" s="867">
        <f t="shared" ca="1" si="103"/>
        <v>0</v>
      </c>
      <c r="BR168" s="867">
        <f ca="1"/>
        <v>0</v>
      </c>
      <c r="BS168" s="867">
        <f ca="1"/>
        <v>0</v>
      </c>
      <c r="BT168" s="867">
        <f t="shared" ca="1" si="64"/>
        <v>0</v>
      </c>
      <c r="BU168" s="867">
        <f t="shared" ca="1" si="104"/>
        <v>0</v>
      </c>
      <c r="BV168" s="829">
        <f t="shared" ca="1" si="65"/>
        <v>0</v>
      </c>
      <c r="BX168" s="867">
        <f ca="1"/>
        <v>0</v>
      </c>
      <c r="BY168" s="867">
        <f t="shared" ca="1" si="105"/>
        <v>0</v>
      </c>
      <c r="BZ168" s="867">
        <f t="shared" ca="1" si="106"/>
        <v>0</v>
      </c>
      <c r="CA168" s="867">
        <f t="shared" ca="1" si="107"/>
        <v>0</v>
      </c>
      <c r="CB168" s="867">
        <f t="shared" ca="1" si="108"/>
        <v>0</v>
      </c>
      <c r="CC168" s="867">
        <f t="shared" ca="1" si="109"/>
        <v>0</v>
      </c>
      <c r="CD168" s="867">
        <f t="shared" ca="1" si="110"/>
        <v>0</v>
      </c>
    </row>
    <row r="169" spans="1:82" ht="17" hidden="1" thickTop="1" thickBot="1">
      <c r="A169" s="773">
        <f t="shared" si="60"/>
        <v>0</v>
      </c>
      <c r="B169" s="779"/>
      <c r="C169" s="572"/>
      <c r="D169" s="660"/>
      <c r="E169" s="661"/>
      <c r="F169" s="862"/>
      <c r="G169" s="863"/>
      <c r="H169" s="961"/>
      <c r="I169" s="865">
        <f t="shared" si="66"/>
        <v>0</v>
      </c>
      <c r="J169" s="864" cm="1">
        <f t="array" ref="J169">IF($G169=0,0,-MIN(0,G169*c_equity.LPshare))</f>
        <v>0</v>
      </c>
      <c r="K169" s="865" cm="1">
        <f t="array" ref="K169">I169*c_rate.Pref.MO</f>
        <v>0</v>
      </c>
      <c r="L169" s="865">
        <f t="shared" si="67"/>
        <v>0</v>
      </c>
      <c r="M169" s="865">
        <f t="shared" si="68"/>
        <v>0</v>
      </c>
      <c r="N169" s="865">
        <f t="shared" si="69"/>
        <v>0</v>
      </c>
      <c r="O169" s="864" cm="1">
        <f t="array" ref="O169">IF(N169=0,0,IF(G169&lt;0,N169/c_equity.LPshare*i_equity.GPshare,L169/c_equity.LPshare*i_equity.GPshare))</f>
        <v>0</v>
      </c>
      <c r="P169" s="865">
        <f t="shared" si="70"/>
        <v>0</v>
      </c>
      <c r="Q169" s="865">
        <f t="shared" si="71"/>
        <v>0</v>
      </c>
      <c r="R169" s="161"/>
      <c r="S169" s="867">
        <f t="shared" ca="1" si="72"/>
        <v>0</v>
      </c>
      <c r="T169" s="867" cm="1">
        <f t="array" ref="T169">IF($G169=0,0,-MIN(0,$G169*c_equity.LPshare))</f>
        <v>0</v>
      </c>
      <c r="U169" s="869" cm="1">
        <f t="array" ref="U169">IF($D169=0,0,S169*c_rate.Hurdle1.MO)</f>
        <v>0</v>
      </c>
      <c r="V169" s="867">
        <f t="shared" si="73"/>
        <v>0</v>
      </c>
      <c r="W169" s="867">
        <f t="shared" ca="1" si="74"/>
        <v>0</v>
      </c>
      <c r="X169" s="869">
        <f t="shared" ca="1" si="75"/>
        <v>0</v>
      </c>
      <c r="Y169" s="869">
        <f t="shared" ca="1" si="76"/>
        <v>0</v>
      </c>
      <c r="Z169" s="869">
        <f t="shared" ca="1" si="77"/>
        <v>0</v>
      </c>
      <c r="AA169" s="869">
        <f t="shared" ca="1" si="78"/>
        <v>0</v>
      </c>
      <c r="AB169" s="867">
        <f t="shared" ca="1" si="79"/>
        <v>0</v>
      </c>
      <c r="AC169" s="161"/>
      <c r="AD169" s="869">
        <f t="shared" ca="1" si="80"/>
        <v>0</v>
      </c>
      <c r="AE169" s="867" cm="1">
        <f t="array" ref="AE169">IF($G169=0,0,-MIN(0,$G169*c_equity.LPshare))</f>
        <v>0</v>
      </c>
      <c r="AF169" s="869" cm="1">
        <f t="array" ref="AF169">IF($D169=0,0,AD169*(c_rate.Hurdle2.MO))</f>
        <v>0</v>
      </c>
      <c r="AG169" s="869">
        <f t="shared" ca="1" si="81"/>
        <v>0</v>
      </c>
      <c r="AH169" s="869">
        <f t="shared" ca="1" si="82"/>
        <v>0</v>
      </c>
      <c r="AI169" s="869">
        <f t="shared" ca="1" si="83"/>
        <v>0</v>
      </c>
      <c r="AJ169" s="868">
        <f t="shared" ca="1" si="61"/>
        <v>0</v>
      </c>
      <c r="AK169" s="867">
        <f t="shared" ca="1" si="84"/>
        <v>0</v>
      </c>
      <c r="AL169" s="869">
        <f t="shared" ca="1" si="111"/>
        <v>0</v>
      </c>
      <c r="AM169" s="869">
        <f t="shared" ca="1" si="85"/>
        <v>0</v>
      </c>
      <c r="AN169" s="867">
        <f t="shared" ca="1" si="58"/>
        <v>0</v>
      </c>
      <c r="AO169" s="161"/>
      <c r="AP169" s="869">
        <f t="shared" ca="1" si="86"/>
        <v>0</v>
      </c>
      <c r="AQ169" s="867" cm="1">
        <f t="array" ref="AQ169">IF($G169=0,0,-MIN(0,$G169*c_equity.LPshare))</f>
        <v>0</v>
      </c>
      <c r="AR169" s="869" cm="1">
        <f t="array" ref="AR169">IF($D169=0,0,AP169*(c_rate.Hurdle3.MO))</f>
        <v>0</v>
      </c>
      <c r="AS169" s="869">
        <f t="shared" ca="1" si="87"/>
        <v>0</v>
      </c>
      <c r="AT169" s="869">
        <f t="shared" ca="1" si="88"/>
        <v>0</v>
      </c>
      <c r="AU169" s="869">
        <f t="shared" ca="1" si="89"/>
        <v>0</v>
      </c>
      <c r="AV169" s="870">
        <f t="shared" ca="1" si="90"/>
        <v>0</v>
      </c>
      <c r="AW169" s="867">
        <f t="shared" ca="1" si="91"/>
        <v>0</v>
      </c>
      <c r="AX169" s="869">
        <f t="shared" ca="1" si="112"/>
        <v>0</v>
      </c>
      <c r="AY169" s="869">
        <f t="shared" ca="1" si="92"/>
        <v>0</v>
      </c>
      <c r="AZ169" s="867">
        <f t="shared" ca="1" si="93"/>
        <v>0</v>
      </c>
      <c r="BA169" s="161"/>
      <c r="BB169" s="867">
        <f t="shared" ca="1" si="94"/>
        <v>0</v>
      </c>
      <c r="BC169" s="867">
        <f t="shared" ca="1" si="59"/>
        <v>0</v>
      </c>
      <c r="BD169" s="658"/>
      <c r="BE169" s="867">
        <f t="shared" ca="1" si="95"/>
        <v>0</v>
      </c>
      <c r="BF169" s="867">
        <f t="shared" ca="1" si="96"/>
        <v>0</v>
      </c>
      <c r="BG169" s="867">
        <f t="shared" ca="1" si="97"/>
        <v>0</v>
      </c>
      <c r="BI169" s="867">
        <f ca="1"/>
        <v>0</v>
      </c>
      <c r="BJ169" s="867">
        <f ca="1"/>
        <v>0</v>
      </c>
      <c r="BK169" s="867">
        <f ca="1"/>
        <v>0</v>
      </c>
      <c r="BL169" s="867">
        <f t="shared" ca="1" si="98"/>
        <v>0</v>
      </c>
      <c r="BM169" s="867">
        <f t="shared" ca="1" si="99"/>
        <v>0</v>
      </c>
      <c r="BN169" s="867">
        <f t="shared" ca="1" si="100"/>
        <v>0</v>
      </c>
      <c r="BO169" s="867">
        <f t="shared" ca="1" si="101"/>
        <v>0</v>
      </c>
      <c r="BP169" s="867">
        <f t="shared" ca="1" si="102"/>
        <v>0</v>
      </c>
      <c r="BQ169" s="867">
        <f t="shared" ca="1" si="103"/>
        <v>0</v>
      </c>
      <c r="BR169" s="867">
        <f ca="1"/>
        <v>0</v>
      </c>
      <c r="BS169" s="867">
        <f ca="1"/>
        <v>0</v>
      </c>
      <c r="BT169" s="867">
        <f t="shared" ca="1" si="64"/>
        <v>0</v>
      </c>
      <c r="BU169" s="867">
        <f t="shared" ca="1" si="104"/>
        <v>0</v>
      </c>
      <c r="BV169" s="829">
        <f t="shared" ca="1" si="65"/>
        <v>0</v>
      </c>
      <c r="BX169" s="867">
        <f ca="1"/>
        <v>0</v>
      </c>
      <c r="BY169" s="867">
        <f t="shared" ca="1" si="105"/>
        <v>0</v>
      </c>
      <c r="BZ169" s="867">
        <f t="shared" ca="1" si="106"/>
        <v>0</v>
      </c>
      <c r="CA169" s="867">
        <f t="shared" ca="1" si="107"/>
        <v>0</v>
      </c>
      <c r="CB169" s="867">
        <f t="shared" ca="1" si="108"/>
        <v>0</v>
      </c>
      <c r="CC169" s="867">
        <f t="shared" ca="1" si="109"/>
        <v>0</v>
      </c>
      <c r="CD169" s="867">
        <f t="shared" ca="1" si="110"/>
        <v>0</v>
      </c>
    </row>
    <row r="170" spans="1:82" ht="17" hidden="1" thickTop="1" thickBot="1">
      <c r="A170" s="773">
        <f t="shared" si="60"/>
        <v>0</v>
      </c>
      <c r="B170" s="779"/>
      <c r="C170" s="572"/>
      <c r="D170" s="660"/>
      <c r="E170" s="661"/>
      <c r="F170" s="862"/>
      <c r="G170" s="863"/>
      <c r="H170" s="961"/>
      <c r="I170" s="865">
        <f t="shared" si="66"/>
        <v>0</v>
      </c>
      <c r="J170" s="864" cm="1">
        <f t="array" ref="J170">IF($G170=0,0,-MIN(0,G170*c_equity.LPshare))</f>
        <v>0</v>
      </c>
      <c r="K170" s="865" cm="1">
        <f t="array" ref="K170">I170*c_rate.Pref.MO</f>
        <v>0</v>
      </c>
      <c r="L170" s="865">
        <f t="shared" si="67"/>
        <v>0</v>
      </c>
      <c r="M170" s="865">
        <f t="shared" si="68"/>
        <v>0</v>
      </c>
      <c r="N170" s="865">
        <f t="shared" si="69"/>
        <v>0</v>
      </c>
      <c r="O170" s="864" cm="1">
        <f t="array" ref="O170">IF(N170=0,0,IF(G170&lt;0,N170/c_equity.LPshare*i_equity.GPshare,L170/c_equity.LPshare*i_equity.GPshare))</f>
        <v>0</v>
      </c>
      <c r="P170" s="865">
        <f t="shared" si="70"/>
        <v>0</v>
      </c>
      <c r="Q170" s="865">
        <f t="shared" si="71"/>
        <v>0</v>
      </c>
      <c r="R170" s="161"/>
      <c r="S170" s="867">
        <f t="shared" ca="1" si="72"/>
        <v>0</v>
      </c>
      <c r="T170" s="867" cm="1">
        <f t="array" ref="T170">IF($G170=0,0,-MIN(0,$G170*c_equity.LPshare))</f>
        <v>0</v>
      </c>
      <c r="U170" s="869" cm="1">
        <f t="array" ref="U170">IF($D170=0,0,S170*c_rate.Hurdle1.MO)</f>
        <v>0</v>
      </c>
      <c r="V170" s="867">
        <f t="shared" si="73"/>
        <v>0</v>
      </c>
      <c r="W170" s="867">
        <f t="shared" ca="1" si="74"/>
        <v>0</v>
      </c>
      <c r="X170" s="869">
        <f t="shared" ca="1" si="75"/>
        <v>0</v>
      </c>
      <c r="Y170" s="869">
        <f t="shared" ca="1" si="76"/>
        <v>0</v>
      </c>
      <c r="Z170" s="869">
        <f t="shared" ca="1" si="77"/>
        <v>0</v>
      </c>
      <c r="AA170" s="869">
        <f t="shared" ca="1" si="78"/>
        <v>0</v>
      </c>
      <c r="AB170" s="867">
        <f t="shared" ca="1" si="79"/>
        <v>0</v>
      </c>
      <c r="AC170" s="161"/>
      <c r="AD170" s="869">
        <f t="shared" ca="1" si="80"/>
        <v>0</v>
      </c>
      <c r="AE170" s="867" cm="1">
        <f t="array" ref="AE170">IF($G170=0,0,-MIN(0,$G170*c_equity.LPshare))</f>
        <v>0</v>
      </c>
      <c r="AF170" s="869" cm="1">
        <f t="array" ref="AF170">IF($D170=0,0,AD170*(c_rate.Hurdle2.MO))</f>
        <v>0</v>
      </c>
      <c r="AG170" s="869">
        <f t="shared" ca="1" si="81"/>
        <v>0</v>
      </c>
      <c r="AH170" s="869">
        <f t="shared" ca="1" si="82"/>
        <v>0</v>
      </c>
      <c r="AI170" s="869">
        <f t="shared" ca="1" si="83"/>
        <v>0</v>
      </c>
      <c r="AJ170" s="868">
        <f t="shared" ca="1" si="61"/>
        <v>0</v>
      </c>
      <c r="AK170" s="867">
        <f t="shared" ca="1" si="84"/>
        <v>0</v>
      </c>
      <c r="AL170" s="869">
        <f t="shared" ca="1" si="111"/>
        <v>0</v>
      </c>
      <c r="AM170" s="869">
        <f t="shared" ca="1" si="85"/>
        <v>0</v>
      </c>
      <c r="AN170" s="867">
        <f t="shared" ca="1" si="58"/>
        <v>0</v>
      </c>
      <c r="AO170" s="161"/>
      <c r="AP170" s="869">
        <f t="shared" ca="1" si="86"/>
        <v>0</v>
      </c>
      <c r="AQ170" s="867" cm="1">
        <f t="array" ref="AQ170">IF($G170=0,0,-MIN(0,$G170*c_equity.LPshare))</f>
        <v>0</v>
      </c>
      <c r="AR170" s="869" cm="1">
        <f t="array" ref="AR170">IF($D170=0,0,AP170*(c_rate.Hurdle3.MO))</f>
        <v>0</v>
      </c>
      <c r="AS170" s="869">
        <f t="shared" ca="1" si="87"/>
        <v>0</v>
      </c>
      <c r="AT170" s="869">
        <f t="shared" ca="1" si="88"/>
        <v>0</v>
      </c>
      <c r="AU170" s="869">
        <f t="shared" ca="1" si="89"/>
        <v>0</v>
      </c>
      <c r="AV170" s="870">
        <f t="shared" ca="1" si="90"/>
        <v>0</v>
      </c>
      <c r="AW170" s="867">
        <f t="shared" ca="1" si="91"/>
        <v>0</v>
      </c>
      <c r="AX170" s="869">
        <f t="shared" ca="1" si="112"/>
        <v>0</v>
      </c>
      <c r="AY170" s="869">
        <f t="shared" ca="1" si="92"/>
        <v>0</v>
      </c>
      <c r="AZ170" s="867">
        <f t="shared" ca="1" si="93"/>
        <v>0</v>
      </c>
      <c r="BA170" s="161"/>
      <c r="BB170" s="867">
        <f t="shared" ca="1" si="94"/>
        <v>0</v>
      </c>
      <c r="BC170" s="867">
        <f t="shared" ca="1" si="59"/>
        <v>0</v>
      </c>
      <c r="BD170" s="658"/>
      <c r="BE170" s="867">
        <f t="shared" ca="1" si="95"/>
        <v>0</v>
      </c>
      <c r="BF170" s="867">
        <f t="shared" ca="1" si="96"/>
        <v>0</v>
      </c>
      <c r="BG170" s="867">
        <f t="shared" ca="1" si="97"/>
        <v>0</v>
      </c>
      <c r="BI170" s="867">
        <f ca="1"/>
        <v>0</v>
      </c>
      <c r="BJ170" s="867">
        <f ca="1"/>
        <v>0</v>
      </c>
      <c r="BK170" s="867">
        <f ca="1"/>
        <v>0</v>
      </c>
      <c r="BL170" s="867">
        <f t="shared" ca="1" si="98"/>
        <v>0</v>
      </c>
      <c r="BM170" s="867">
        <f t="shared" ca="1" si="99"/>
        <v>0</v>
      </c>
      <c r="BN170" s="867">
        <f t="shared" ca="1" si="100"/>
        <v>0</v>
      </c>
      <c r="BO170" s="867">
        <f t="shared" ca="1" si="101"/>
        <v>0</v>
      </c>
      <c r="BP170" s="867">
        <f t="shared" ca="1" si="102"/>
        <v>0</v>
      </c>
      <c r="BQ170" s="867">
        <f t="shared" ca="1" si="103"/>
        <v>0</v>
      </c>
      <c r="BR170" s="867">
        <f ca="1"/>
        <v>0</v>
      </c>
      <c r="BS170" s="867">
        <f ca="1"/>
        <v>0</v>
      </c>
      <c r="BT170" s="867">
        <f t="shared" ca="1" si="64"/>
        <v>0</v>
      </c>
      <c r="BU170" s="867">
        <f t="shared" ca="1" si="104"/>
        <v>0</v>
      </c>
      <c r="BV170" s="829">
        <f t="shared" ca="1" si="65"/>
        <v>0</v>
      </c>
      <c r="BX170" s="867">
        <f ca="1"/>
        <v>0</v>
      </c>
      <c r="BY170" s="867">
        <f t="shared" ca="1" si="105"/>
        <v>0</v>
      </c>
      <c r="BZ170" s="867">
        <f t="shared" ca="1" si="106"/>
        <v>0</v>
      </c>
      <c r="CA170" s="867">
        <f t="shared" ca="1" si="107"/>
        <v>0</v>
      </c>
      <c r="CB170" s="867">
        <f t="shared" ca="1" si="108"/>
        <v>0</v>
      </c>
      <c r="CC170" s="867">
        <f t="shared" ca="1" si="109"/>
        <v>0</v>
      </c>
      <c r="CD170" s="867">
        <f t="shared" ca="1" si="110"/>
        <v>0</v>
      </c>
    </row>
    <row r="171" spans="1:82" ht="17" hidden="1" thickTop="1" thickBot="1">
      <c r="A171" s="773">
        <f t="shared" si="60"/>
        <v>0</v>
      </c>
      <c r="B171" s="779"/>
      <c r="C171" s="572"/>
      <c r="D171" s="660"/>
      <c r="E171" s="661"/>
      <c r="F171" s="862"/>
      <c r="G171" s="863"/>
      <c r="H171" s="961"/>
      <c r="I171" s="865">
        <f t="shared" si="66"/>
        <v>0</v>
      </c>
      <c r="J171" s="864" cm="1">
        <f t="array" ref="J171">IF($G171=0,0,-MIN(0,G171*c_equity.LPshare))</f>
        <v>0</v>
      </c>
      <c r="K171" s="865" cm="1">
        <f t="array" ref="K171">I171*c_rate.Pref.MO</f>
        <v>0</v>
      </c>
      <c r="L171" s="865">
        <f t="shared" si="67"/>
        <v>0</v>
      </c>
      <c r="M171" s="865">
        <f t="shared" si="68"/>
        <v>0</v>
      </c>
      <c r="N171" s="865">
        <f t="shared" si="69"/>
        <v>0</v>
      </c>
      <c r="O171" s="864" cm="1">
        <f t="array" ref="O171">IF(N171=0,0,IF(G171&lt;0,N171/c_equity.LPshare*i_equity.GPshare,L171/c_equity.LPshare*i_equity.GPshare))</f>
        <v>0</v>
      </c>
      <c r="P171" s="865">
        <f t="shared" si="70"/>
        <v>0</v>
      </c>
      <c r="Q171" s="865">
        <f t="shared" si="71"/>
        <v>0</v>
      </c>
      <c r="R171" s="161"/>
      <c r="S171" s="867">
        <f t="shared" ca="1" si="72"/>
        <v>0</v>
      </c>
      <c r="T171" s="867" cm="1">
        <f t="array" ref="T171">IF($G171=0,0,-MIN(0,$G171*c_equity.LPshare))</f>
        <v>0</v>
      </c>
      <c r="U171" s="869" cm="1">
        <f t="array" ref="U171">IF($D171=0,0,S171*c_rate.Hurdle1.MO)</f>
        <v>0</v>
      </c>
      <c r="V171" s="867">
        <f t="shared" si="73"/>
        <v>0</v>
      </c>
      <c r="W171" s="867">
        <f t="shared" ca="1" si="74"/>
        <v>0</v>
      </c>
      <c r="X171" s="869">
        <f t="shared" ca="1" si="75"/>
        <v>0</v>
      </c>
      <c r="Y171" s="869">
        <f t="shared" ca="1" si="76"/>
        <v>0</v>
      </c>
      <c r="Z171" s="869">
        <f t="shared" ca="1" si="77"/>
        <v>0</v>
      </c>
      <c r="AA171" s="869">
        <f t="shared" ca="1" si="78"/>
        <v>0</v>
      </c>
      <c r="AB171" s="867">
        <f t="shared" ca="1" si="79"/>
        <v>0</v>
      </c>
      <c r="AC171" s="161"/>
      <c r="AD171" s="869">
        <f t="shared" ca="1" si="80"/>
        <v>0</v>
      </c>
      <c r="AE171" s="867" cm="1">
        <f t="array" ref="AE171">IF($G171=0,0,-MIN(0,$G171*c_equity.LPshare))</f>
        <v>0</v>
      </c>
      <c r="AF171" s="869" cm="1">
        <f t="array" ref="AF171">IF($D171=0,0,AD171*(c_rate.Hurdle2.MO))</f>
        <v>0</v>
      </c>
      <c r="AG171" s="869">
        <f t="shared" ca="1" si="81"/>
        <v>0</v>
      </c>
      <c r="AH171" s="869">
        <f t="shared" ca="1" si="82"/>
        <v>0</v>
      </c>
      <c r="AI171" s="869">
        <f t="shared" ca="1" si="83"/>
        <v>0</v>
      </c>
      <c r="AJ171" s="868">
        <f t="shared" ca="1" si="61"/>
        <v>0</v>
      </c>
      <c r="AK171" s="867">
        <f t="shared" ca="1" si="84"/>
        <v>0</v>
      </c>
      <c r="AL171" s="869">
        <f t="shared" ca="1" si="111"/>
        <v>0</v>
      </c>
      <c r="AM171" s="869">
        <f t="shared" ca="1" si="85"/>
        <v>0</v>
      </c>
      <c r="AN171" s="867">
        <f t="shared" ca="1" si="58"/>
        <v>0</v>
      </c>
      <c r="AO171" s="161"/>
      <c r="AP171" s="869">
        <f t="shared" ca="1" si="86"/>
        <v>0</v>
      </c>
      <c r="AQ171" s="867" cm="1">
        <f t="array" ref="AQ171">IF($G171=0,0,-MIN(0,$G171*c_equity.LPshare))</f>
        <v>0</v>
      </c>
      <c r="AR171" s="869" cm="1">
        <f t="array" ref="AR171">IF($D171=0,0,AP171*(c_rate.Hurdle3.MO))</f>
        <v>0</v>
      </c>
      <c r="AS171" s="869">
        <f t="shared" ca="1" si="87"/>
        <v>0</v>
      </c>
      <c r="AT171" s="869">
        <f t="shared" ca="1" si="88"/>
        <v>0</v>
      </c>
      <c r="AU171" s="869">
        <f t="shared" ca="1" si="89"/>
        <v>0</v>
      </c>
      <c r="AV171" s="870">
        <f t="shared" ca="1" si="90"/>
        <v>0</v>
      </c>
      <c r="AW171" s="867">
        <f t="shared" ca="1" si="91"/>
        <v>0</v>
      </c>
      <c r="AX171" s="869">
        <f t="shared" ca="1" si="112"/>
        <v>0</v>
      </c>
      <c r="AY171" s="869">
        <f t="shared" ca="1" si="92"/>
        <v>0</v>
      </c>
      <c r="AZ171" s="867">
        <f t="shared" ca="1" si="93"/>
        <v>0</v>
      </c>
      <c r="BA171" s="161"/>
      <c r="BB171" s="867">
        <f t="shared" ca="1" si="94"/>
        <v>0</v>
      </c>
      <c r="BC171" s="867">
        <f t="shared" ca="1" si="59"/>
        <v>0</v>
      </c>
      <c r="BD171" s="658"/>
      <c r="BE171" s="867">
        <f t="shared" ca="1" si="95"/>
        <v>0</v>
      </c>
      <c r="BF171" s="867">
        <f t="shared" ca="1" si="96"/>
        <v>0</v>
      </c>
      <c r="BG171" s="867">
        <f t="shared" ca="1" si="97"/>
        <v>0</v>
      </c>
      <c r="BI171" s="867">
        <f ca="1"/>
        <v>0</v>
      </c>
      <c r="BJ171" s="867">
        <f ca="1"/>
        <v>0</v>
      </c>
      <c r="BK171" s="867">
        <f ca="1"/>
        <v>0</v>
      </c>
      <c r="BL171" s="867">
        <f t="shared" ca="1" si="98"/>
        <v>0</v>
      </c>
      <c r="BM171" s="867">
        <f t="shared" ca="1" si="99"/>
        <v>0</v>
      </c>
      <c r="BN171" s="867">
        <f t="shared" ca="1" si="100"/>
        <v>0</v>
      </c>
      <c r="BO171" s="867">
        <f t="shared" ca="1" si="101"/>
        <v>0</v>
      </c>
      <c r="BP171" s="867">
        <f t="shared" ca="1" si="102"/>
        <v>0</v>
      </c>
      <c r="BQ171" s="867">
        <f t="shared" ca="1" si="103"/>
        <v>0</v>
      </c>
      <c r="BR171" s="867">
        <f ca="1"/>
        <v>0</v>
      </c>
      <c r="BS171" s="867">
        <f ca="1"/>
        <v>0</v>
      </c>
      <c r="BT171" s="867">
        <f t="shared" ca="1" si="64"/>
        <v>0</v>
      </c>
      <c r="BU171" s="867">
        <f t="shared" ca="1" si="104"/>
        <v>0</v>
      </c>
      <c r="BV171" s="829">
        <f t="shared" ca="1" si="65"/>
        <v>0</v>
      </c>
      <c r="BX171" s="867">
        <f ca="1"/>
        <v>0</v>
      </c>
      <c r="BY171" s="867">
        <f t="shared" ca="1" si="105"/>
        <v>0</v>
      </c>
      <c r="BZ171" s="867">
        <f t="shared" ca="1" si="106"/>
        <v>0</v>
      </c>
      <c r="CA171" s="867">
        <f t="shared" ca="1" si="107"/>
        <v>0</v>
      </c>
      <c r="CB171" s="867">
        <f t="shared" ca="1" si="108"/>
        <v>0</v>
      </c>
      <c r="CC171" s="867">
        <f t="shared" ca="1" si="109"/>
        <v>0</v>
      </c>
      <c r="CD171" s="867">
        <f t="shared" ca="1" si="110"/>
        <v>0</v>
      </c>
    </row>
    <row r="172" spans="1:82" ht="17" hidden="1" thickTop="1" thickBot="1">
      <c r="A172" s="773">
        <f t="shared" si="60"/>
        <v>0</v>
      </c>
      <c r="B172" s="779"/>
      <c r="C172" s="572"/>
      <c r="D172" s="660"/>
      <c r="E172" s="661"/>
      <c r="F172" s="862"/>
      <c r="G172" s="863"/>
      <c r="H172" s="961"/>
      <c r="I172" s="865">
        <f t="shared" si="66"/>
        <v>0</v>
      </c>
      <c r="J172" s="864" cm="1">
        <f t="array" ref="J172">IF($G172=0,0,-MIN(0,G172*c_equity.LPshare))</f>
        <v>0</v>
      </c>
      <c r="K172" s="865" cm="1">
        <f t="array" ref="K172">I172*c_rate.Pref.MO</f>
        <v>0</v>
      </c>
      <c r="L172" s="865">
        <f t="shared" si="67"/>
        <v>0</v>
      </c>
      <c r="M172" s="865">
        <f t="shared" si="68"/>
        <v>0</v>
      </c>
      <c r="N172" s="865">
        <f t="shared" si="69"/>
        <v>0</v>
      </c>
      <c r="O172" s="864" cm="1">
        <f t="array" ref="O172">IF(N172=0,0,IF(G172&lt;0,N172/c_equity.LPshare*i_equity.GPshare,L172/c_equity.LPshare*i_equity.GPshare))</f>
        <v>0</v>
      </c>
      <c r="P172" s="865">
        <f t="shared" si="70"/>
        <v>0</v>
      </c>
      <c r="Q172" s="865">
        <f t="shared" si="71"/>
        <v>0</v>
      </c>
      <c r="R172" s="161"/>
      <c r="S172" s="867">
        <f t="shared" ca="1" si="72"/>
        <v>0</v>
      </c>
      <c r="T172" s="867" cm="1">
        <f t="array" ref="T172">IF($G172=0,0,-MIN(0,$G172*c_equity.LPshare))</f>
        <v>0</v>
      </c>
      <c r="U172" s="869" cm="1">
        <f t="array" ref="U172">IF($D172=0,0,S172*c_rate.Hurdle1.MO)</f>
        <v>0</v>
      </c>
      <c r="V172" s="867">
        <f t="shared" si="73"/>
        <v>0</v>
      </c>
      <c r="W172" s="867">
        <f t="shared" ca="1" si="74"/>
        <v>0</v>
      </c>
      <c r="X172" s="869">
        <f t="shared" ca="1" si="75"/>
        <v>0</v>
      </c>
      <c r="Y172" s="869">
        <f t="shared" ca="1" si="76"/>
        <v>0</v>
      </c>
      <c r="Z172" s="869">
        <f t="shared" ca="1" si="77"/>
        <v>0</v>
      </c>
      <c r="AA172" s="869">
        <f t="shared" ca="1" si="78"/>
        <v>0</v>
      </c>
      <c r="AB172" s="867">
        <f t="shared" ca="1" si="79"/>
        <v>0</v>
      </c>
      <c r="AC172" s="161"/>
      <c r="AD172" s="869">
        <f t="shared" ca="1" si="80"/>
        <v>0</v>
      </c>
      <c r="AE172" s="867" cm="1">
        <f t="array" ref="AE172">IF($G172=0,0,-MIN(0,$G172*c_equity.LPshare))</f>
        <v>0</v>
      </c>
      <c r="AF172" s="869" cm="1">
        <f t="array" ref="AF172">IF($D172=0,0,AD172*(c_rate.Hurdle2.MO))</f>
        <v>0</v>
      </c>
      <c r="AG172" s="869">
        <f t="shared" ca="1" si="81"/>
        <v>0</v>
      </c>
      <c r="AH172" s="869">
        <f t="shared" ca="1" si="82"/>
        <v>0</v>
      </c>
      <c r="AI172" s="869">
        <f t="shared" ca="1" si="83"/>
        <v>0</v>
      </c>
      <c r="AJ172" s="868">
        <f t="shared" ca="1" si="61"/>
        <v>0</v>
      </c>
      <c r="AK172" s="867">
        <f t="shared" ca="1" si="84"/>
        <v>0</v>
      </c>
      <c r="AL172" s="869">
        <f t="shared" ca="1" si="111"/>
        <v>0</v>
      </c>
      <c r="AM172" s="869">
        <f t="shared" ca="1" si="85"/>
        <v>0</v>
      </c>
      <c r="AN172" s="867">
        <f t="shared" ca="1" si="58"/>
        <v>0</v>
      </c>
      <c r="AO172" s="161"/>
      <c r="AP172" s="869">
        <f t="shared" ca="1" si="86"/>
        <v>0</v>
      </c>
      <c r="AQ172" s="867" cm="1">
        <f t="array" ref="AQ172">IF($G172=0,0,-MIN(0,$G172*c_equity.LPshare))</f>
        <v>0</v>
      </c>
      <c r="AR172" s="869" cm="1">
        <f t="array" ref="AR172">IF($D172=0,0,AP172*(c_rate.Hurdle3.MO))</f>
        <v>0</v>
      </c>
      <c r="AS172" s="869">
        <f t="shared" ca="1" si="87"/>
        <v>0</v>
      </c>
      <c r="AT172" s="869">
        <f t="shared" ca="1" si="88"/>
        <v>0</v>
      </c>
      <c r="AU172" s="869">
        <f t="shared" ca="1" si="89"/>
        <v>0</v>
      </c>
      <c r="AV172" s="870">
        <f t="shared" ca="1" si="90"/>
        <v>0</v>
      </c>
      <c r="AW172" s="867">
        <f t="shared" ca="1" si="91"/>
        <v>0</v>
      </c>
      <c r="AX172" s="869">
        <f t="shared" ca="1" si="112"/>
        <v>0</v>
      </c>
      <c r="AY172" s="869">
        <f t="shared" ca="1" si="92"/>
        <v>0</v>
      </c>
      <c r="AZ172" s="867">
        <f t="shared" ca="1" si="93"/>
        <v>0</v>
      </c>
      <c r="BA172" s="161"/>
      <c r="BB172" s="867">
        <f t="shared" ca="1" si="94"/>
        <v>0</v>
      </c>
      <c r="BC172" s="867">
        <f t="shared" ca="1" si="59"/>
        <v>0</v>
      </c>
      <c r="BD172" s="658"/>
      <c r="BE172" s="867">
        <f t="shared" ca="1" si="95"/>
        <v>0</v>
      </c>
      <c r="BF172" s="867">
        <f t="shared" ca="1" si="96"/>
        <v>0</v>
      </c>
      <c r="BG172" s="867">
        <f t="shared" ca="1" si="97"/>
        <v>0</v>
      </c>
      <c r="BI172" s="867">
        <f ca="1"/>
        <v>0</v>
      </c>
      <c r="BJ172" s="867">
        <f ca="1"/>
        <v>0</v>
      </c>
      <c r="BK172" s="867">
        <f ca="1"/>
        <v>0</v>
      </c>
      <c r="BL172" s="867">
        <f t="shared" ca="1" si="98"/>
        <v>0</v>
      </c>
      <c r="BM172" s="867">
        <f t="shared" ca="1" si="99"/>
        <v>0</v>
      </c>
      <c r="BN172" s="867">
        <f t="shared" ca="1" si="100"/>
        <v>0</v>
      </c>
      <c r="BO172" s="867">
        <f t="shared" ca="1" si="101"/>
        <v>0</v>
      </c>
      <c r="BP172" s="867">
        <f t="shared" ca="1" si="102"/>
        <v>0</v>
      </c>
      <c r="BQ172" s="867">
        <f t="shared" ca="1" si="103"/>
        <v>0</v>
      </c>
      <c r="BR172" s="867">
        <f ca="1"/>
        <v>0</v>
      </c>
      <c r="BS172" s="867">
        <f ca="1"/>
        <v>0</v>
      </c>
      <c r="BT172" s="867">
        <f t="shared" ca="1" si="64"/>
        <v>0</v>
      </c>
      <c r="BU172" s="867">
        <f t="shared" ca="1" si="104"/>
        <v>0</v>
      </c>
      <c r="BV172" s="829">
        <f t="shared" ca="1" si="65"/>
        <v>0</v>
      </c>
      <c r="BX172" s="867">
        <f ca="1"/>
        <v>0</v>
      </c>
      <c r="BY172" s="867">
        <f t="shared" ca="1" si="105"/>
        <v>0</v>
      </c>
      <c r="BZ172" s="867">
        <f t="shared" ca="1" si="106"/>
        <v>0</v>
      </c>
      <c r="CA172" s="867">
        <f t="shared" ca="1" si="107"/>
        <v>0</v>
      </c>
      <c r="CB172" s="867">
        <f t="shared" ca="1" si="108"/>
        <v>0</v>
      </c>
      <c r="CC172" s="867">
        <f t="shared" ca="1" si="109"/>
        <v>0</v>
      </c>
      <c r="CD172" s="867">
        <f t="shared" ca="1" si="110"/>
        <v>0</v>
      </c>
    </row>
    <row r="173" spans="1:82" ht="17" hidden="1" thickTop="1" thickBot="1">
      <c r="A173" s="773">
        <f t="shared" si="60"/>
        <v>0</v>
      </c>
      <c r="B173" s="779"/>
      <c r="C173" s="572"/>
      <c r="D173" s="660"/>
      <c r="E173" s="661"/>
      <c r="F173" s="862"/>
      <c r="G173" s="863"/>
      <c r="H173" s="961"/>
      <c r="I173" s="865">
        <f t="shared" si="66"/>
        <v>0</v>
      </c>
      <c r="J173" s="864" cm="1">
        <f t="array" ref="J173">IF($G173=0,0,-MIN(0,G173*c_equity.LPshare))</f>
        <v>0</v>
      </c>
      <c r="K173" s="865" cm="1">
        <f t="array" ref="K173">I173*c_rate.Pref.MO</f>
        <v>0</v>
      </c>
      <c r="L173" s="865">
        <f t="shared" si="67"/>
        <v>0</v>
      </c>
      <c r="M173" s="865">
        <f t="shared" si="68"/>
        <v>0</v>
      </c>
      <c r="N173" s="865">
        <f t="shared" si="69"/>
        <v>0</v>
      </c>
      <c r="O173" s="864" cm="1">
        <f t="array" ref="O173">IF(N173=0,0,IF(G173&lt;0,N173/c_equity.LPshare*i_equity.GPshare,L173/c_equity.LPshare*i_equity.GPshare))</f>
        <v>0</v>
      </c>
      <c r="P173" s="865">
        <f t="shared" si="70"/>
        <v>0</v>
      </c>
      <c r="Q173" s="865">
        <f t="shared" si="71"/>
        <v>0</v>
      </c>
      <c r="R173" s="161"/>
      <c r="S173" s="867">
        <f t="shared" ca="1" si="72"/>
        <v>0</v>
      </c>
      <c r="T173" s="867" cm="1">
        <f t="array" ref="T173">IF($G173=0,0,-MIN(0,$G173*c_equity.LPshare))</f>
        <v>0</v>
      </c>
      <c r="U173" s="869" cm="1">
        <f t="array" ref="U173">IF($D173=0,0,S173*c_rate.Hurdle1.MO)</f>
        <v>0</v>
      </c>
      <c r="V173" s="867">
        <f t="shared" si="73"/>
        <v>0</v>
      </c>
      <c r="W173" s="867">
        <f t="shared" ca="1" si="74"/>
        <v>0</v>
      </c>
      <c r="X173" s="869">
        <f t="shared" ca="1" si="75"/>
        <v>0</v>
      </c>
      <c r="Y173" s="869">
        <f t="shared" ca="1" si="76"/>
        <v>0</v>
      </c>
      <c r="Z173" s="869">
        <f t="shared" ca="1" si="77"/>
        <v>0</v>
      </c>
      <c r="AA173" s="869">
        <f t="shared" ca="1" si="78"/>
        <v>0</v>
      </c>
      <c r="AB173" s="867">
        <f t="shared" ca="1" si="79"/>
        <v>0</v>
      </c>
      <c r="AC173" s="161"/>
      <c r="AD173" s="869">
        <f t="shared" ca="1" si="80"/>
        <v>0</v>
      </c>
      <c r="AE173" s="867" cm="1">
        <f t="array" ref="AE173">IF($G173=0,0,-MIN(0,$G173*c_equity.LPshare))</f>
        <v>0</v>
      </c>
      <c r="AF173" s="869" cm="1">
        <f t="array" ref="AF173">IF($D173=0,0,AD173*(c_rate.Hurdle2.MO))</f>
        <v>0</v>
      </c>
      <c r="AG173" s="869">
        <f t="shared" ca="1" si="81"/>
        <v>0</v>
      </c>
      <c r="AH173" s="869">
        <f t="shared" ca="1" si="82"/>
        <v>0</v>
      </c>
      <c r="AI173" s="869">
        <f t="shared" ca="1" si="83"/>
        <v>0</v>
      </c>
      <c r="AJ173" s="868">
        <f t="shared" ca="1" si="61"/>
        <v>0</v>
      </c>
      <c r="AK173" s="867">
        <f t="shared" ca="1" si="84"/>
        <v>0</v>
      </c>
      <c r="AL173" s="869">
        <f t="shared" ca="1" si="111"/>
        <v>0</v>
      </c>
      <c r="AM173" s="869">
        <f t="shared" ca="1" si="85"/>
        <v>0</v>
      </c>
      <c r="AN173" s="867">
        <f t="shared" ca="1" si="58"/>
        <v>0</v>
      </c>
      <c r="AO173" s="161"/>
      <c r="AP173" s="869">
        <f t="shared" ca="1" si="86"/>
        <v>0</v>
      </c>
      <c r="AQ173" s="867" cm="1">
        <f t="array" ref="AQ173">IF($G173=0,0,-MIN(0,$G173*c_equity.LPshare))</f>
        <v>0</v>
      </c>
      <c r="AR173" s="869" cm="1">
        <f t="array" ref="AR173">IF($D173=0,0,AP173*(c_rate.Hurdle3.MO))</f>
        <v>0</v>
      </c>
      <c r="AS173" s="869">
        <f t="shared" ca="1" si="87"/>
        <v>0</v>
      </c>
      <c r="AT173" s="869">
        <f t="shared" ca="1" si="88"/>
        <v>0</v>
      </c>
      <c r="AU173" s="869">
        <f t="shared" ca="1" si="89"/>
        <v>0</v>
      </c>
      <c r="AV173" s="870">
        <f t="shared" ca="1" si="90"/>
        <v>0</v>
      </c>
      <c r="AW173" s="867">
        <f t="shared" ca="1" si="91"/>
        <v>0</v>
      </c>
      <c r="AX173" s="869">
        <f t="shared" ca="1" si="112"/>
        <v>0</v>
      </c>
      <c r="AY173" s="869">
        <f t="shared" ca="1" si="92"/>
        <v>0</v>
      </c>
      <c r="AZ173" s="867">
        <f t="shared" ca="1" si="93"/>
        <v>0</v>
      </c>
      <c r="BA173" s="161"/>
      <c r="BB173" s="867">
        <f t="shared" ca="1" si="94"/>
        <v>0</v>
      </c>
      <c r="BC173" s="867">
        <f t="shared" ca="1" si="59"/>
        <v>0</v>
      </c>
      <c r="BD173" s="658"/>
      <c r="BE173" s="867">
        <f t="shared" ca="1" si="95"/>
        <v>0</v>
      </c>
      <c r="BF173" s="867">
        <f t="shared" ca="1" si="96"/>
        <v>0</v>
      </c>
      <c r="BG173" s="867">
        <f t="shared" ca="1" si="97"/>
        <v>0</v>
      </c>
      <c r="BI173" s="867">
        <f ca="1"/>
        <v>0</v>
      </c>
      <c r="BJ173" s="867">
        <f ca="1"/>
        <v>0</v>
      </c>
      <c r="BK173" s="867">
        <f ca="1"/>
        <v>0</v>
      </c>
      <c r="BL173" s="867">
        <f t="shared" ca="1" si="98"/>
        <v>0</v>
      </c>
      <c r="BM173" s="867">
        <f t="shared" ca="1" si="99"/>
        <v>0</v>
      </c>
      <c r="BN173" s="867">
        <f t="shared" ca="1" si="100"/>
        <v>0</v>
      </c>
      <c r="BO173" s="867">
        <f t="shared" ca="1" si="101"/>
        <v>0</v>
      </c>
      <c r="BP173" s="867">
        <f t="shared" ca="1" si="102"/>
        <v>0</v>
      </c>
      <c r="BQ173" s="867">
        <f t="shared" ca="1" si="103"/>
        <v>0</v>
      </c>
      <c r="BR173" s="867">
        <f ca="1"/>
        <v>0</v>
      </c>
      <c r="BS173" s="867">
        <f ca="1"/>
        <v>0</v>
      </c>
      <c r="BT173" s="867">
        <f t="shared" ca="1" si="64"/>
        <v>0</v>
      </c>
      <c r="BU173" s="867">
        <f t="shared" ca="1" si="104"/>
        <v>0</v>
      </c>
      <c r="BV173" s="829">
        <f t="shared" ca="1" si="65"/>
        <v>0</v>
      </c>
      <c r="BX173" s="867">
        <f ca="1"/>
        <v>0</v>
      </c>
      <c r="BY173" s="867">
        <f t="shared" ca="1" si="105"/>
        <v>0</v>
      </c>
      <c r="BZ173" s="867">
        <f t="shared" ca="1" si="106"/>
        <v>0</v>
      </c>
      <c r="CA173" s="867">
        <f t="shared" ca="1" si="107"/>
        <v>0</v>
      </c>
      <c r="CB173" s="867">
        <f t="shared" ca="1" si="108"/>
        <v>0</v>
      </c>
      <c r="CC173" s="867">
        <f t="shared" ca="1" si="109"/>
        <v>0</v>
      </c>
      <c r="CD173" s="867">
        <f t="shared" ca="1" si="110"/>
        <v>0</v>
      </c>
    </row>
    <row r="174" spans="1:82" ht="17" hidden="1" thickTop="1" thickBot="1">
      <c r="A174" s="773">
        <f t="shared" si="60"/>
        <v>0</v>
      </c>
      <c r="B174" s="779"/>
      <c r="C174" s="572"/>
      <c r="D174" s="660"/>
      <c r="E174" s="661"/>
      <c r="F174" s="862"/>
      <c r="G174" s="863"/>
      <c r="H174" s="961"/>
      <c r="I174" s="865">
        <f t="shared" si="66"/>
        <v>0</v>
      </c>
      <c r="J174" s="864" cm="1">
        <f t="array" ref="J174">IF($G174=0,0,-MIN(0,G174*c_equity.LPshare))</f>
        <v>0</v>
      </c>
      <c r="K174" s="865" cm="1">
        <f t="array" ref="K174">I174*c_rate.Pref.MO</f>
        <v>0</v>
      </c>
      <c r="L174" s="865">
        <f t="shared" si="67"/>
        <v>0</v>
      </c>
      <c r="M174" s="865">
        <f t="shared" si="68"/>
        <v>0</v>
      </c>
      <c r="N174" s="865">
        <f t="shared" si="69"/>
        <v>0</v>
      </c>
      <c r="O174" s="864" cm="1">
        <f t="array" ref="O174">IF(N174=0,0,IF(G174&lt;0,N174/c_equity.LPshare*i_equity.GPshare,L174/c_equity.LPshare*i_equity.GPshare))</f>
        <v>0</v>
      </c>
      <c r="P174" s="865">
        <f t="shared" si="70"/>
        <v>0</v>
      </c>
      <c r="Q174" s="865">
        <f t="shared" si="71"/>
        <v>0</v>
      </c>
      <c r="R174" s="161"/>
      <c r="S174" s="867">
        <f t="shared" ca="1" si="72"/>
        <v>0</v>
      </c>
      <c r="T174" s="867" cm="1">
        <f t="array" ref="T174">IF($G174=0,0,-MIN(0,$G174*c_equity.LPshare))</f>
        <v>0</v>
      </c>
      <c r="U174" s="869" cm="1">
        <f t="array" ref="U174">IF($D174=0,0,S174*c_rate.Hurdle1.MO)</f>
        <v>0</v>
      </c>
      <c r="V174" s="867">
        <f t="shared" si="73"/>
        <v>0</v>
      </c>
      <c r="W174" s="867">
        <f t="shared" ca="1" si="74"/>
        <v>0</v>
      </c>
      <c r="X174" s="869">
        <f t="shared" ca="1" si="75"/>
        <v>0</v>
      </c>
      <c r="Y174" s="869">
        <f t="shared" ca="1" si="76"/>
        <v>0</v>
      </c>
      <c r="Z174" s="869">
        <f t="shared" ca="1" si="77"/>
        <v>0</v>
      </c>
      <c r="AA174" s="869">
        <f t="shared" ca="1" si="78"/>
        <v>0</v>
      </c>
      <c r="AB174" s="867">
        <f t="shared" ca="1" si="79"/>
        <v>0</v>
      </c>
      <c r="AC174" s="161"/>
      <c r="AD174" s="869">
        <f t="shared" ca="1" si="80"/>
        <v>0</v>
      </c>
      <c r="AE174" s="867" cm="1">
        <f t="array" ref="AE174">IF($G174=0,0,-MIN(0,$G174*c_equity.LPshare))</f>
        <v>0</v>
      </c>
      <c r="AF174" s="869" cm="1">
        <f t="array" ref="AF174">IF($D174=0,0,AD174*(c_rate.Hurdle2.MO))</f>
        <v>0</v>
      </c>
      <c r="AG174" s="869">
        <f t="shared" ca="1" si="81"/>
        <v>0</v>
      </c>
      <c r="AH174" s="869">
        <f t="shared" ca="1" si="82"/>
        <v>0</v>
      </c>
      <c r="AI174" s="869">
        <f t="shared" ca="1" si="83"/>
        <v>0</v>
      </c>
      <c r="AJ174" s="868">
        <f t="shared" ca="1" si="61"/>
        <v>0</v>
      </c>
      <c r="AK174" s="867">
        <f t="shared" ca="1" si="84"/>
        <v>0</v>
      </c>
      <c r="AL174" s="869">
        <f t="shared" ca="1" si="111"/>
        <v>0</v>
      </c>
      <c r="AM174" s="869">
        <f t="shared" ca="1" si="85"/>
        <v>0</v>
      </c>
      <c r="AN174" s="867">
        <f t="shared" ca="1" si="58"/>
        <v>0</v>
      </c>
      <c r="AO174" s="161"/>
      <c r="AP174" s="869">
        <f t="shared" ca="1" si="86"/>
        <v>0</v>
      </c>
      <c r="AQ174" s="867" cm="1">
        <f t="array" ref="AQ174">IF($G174=0,0,-MIN(0,$G174*c_equity.LPshare))</f>
        <v>0</v>
      </c>
      <c r="AR174" s="869" cm="1">
        <f t="array" ref="AR174">IF($D174=0,0,AP174*(c_rate.Hurdle3.MO))</f>
        <v>0</v>
      </c>
      <c r="AS174" s="869">
        <f t="shared" ca="1" si="87"/>
        <v>0</v>
      </c>
      <c r="AT174" s="869">
        <f t="shared" ca="1" si="88"/>
        <v>0</v>
      </c>
      <c r="AU174" s="869">
        <f t="shared" ca="1" si="89"/>
        <v>0</v>
      </c>
      <c r="AV174" s="870">
        <f t="shared" ca="1" si="90"/>
        <v>0</v>
      </c>
      <c r="AW174" s="867">
        <f t="shared" ca="1" si="91"/>
        <v>0</v>
      </c>
      <c r="AX174" s="869">
        <f t="shared" ca="1" si="112"/>
        <v>0</v>
      </c>
      <c r="AY174" s="869">
        <f t="shared" ca="1" si="92"/>
        <v>0</v>
      </c>
      <c r="AZ174" s="867">
        <f t="shared" ca="1" si="93"/>
        <v>0</v>
      </c>
      <c r="BA174" s="161"/>
      <c r="BB174" s="867">
        <f t="shared" ca="1" si="94"/>
        <v>0</v>
      </c>
      <c r="BC174" s="867">
        <f t="shared" ca="1" si="59"/>
        <v>0</v>
      </c>
      <c r="BD174" s="658"/>
      <c r="BE174" s="867">
        <f t="shared" ca="1" si="95"/>
        <v>0</v>
      </c>
      <c r="BF174" s="867">
        <f t="shared" ca="1" si="96"/>
        <v>0</v>
      </c>
      <c r="BG174" s="867">
        <f t="shared" ca="1" si="97"/>
        <v>0</v>
      </c>
      <c r="BI174" s="867">
        <f ca="1"/>
        <v>0</v>
      </c>
      <c r="BJ174" s="867">
        <f ca="1"/>
        <v>0</v>
      </c>
      <c r="BK174" s="867">
        <f ca="1"/>
        <v>0</v>
      </c>
      <c r="BL174" s="867">
        <f t="shared" ca="1" si="98"/>
        <v>0</v>
      </c>
      <c r="BM174" s="867">
        <f t="shared" ca="1" si="99"/>
        <v>0</v>
      </c>
      <c r="BN174" s="867">
        <f t="shared" ca="1" si="100"/>
        <v>0</v>
      </c>
      <c r="BO174" s="867">
        <f t="shared" ca="1" si="101"/>
        <v>0</v>
      </c>
      <c r="BP174" s="867">
        <f t="shared" ca="1" si="102"/>
        <v>0</v>
      </c>
      <c r="BQ174" s="867">
        <f t="shared" ca="1" si="103"/>
        <v>0</v>
      </c>
      <c r="BR174" s="867">
        <f ca="1"/>
        <v>0</v>
      </c>
      <c r="BS174" s="867">
        <f ca="1"/>
        <v>0</v>
      </c>
      <c r="BT174" s="867">
        <f t="shared" ca="1" si="64"/>
        <v>0</v>
      </c>
      <c r="BU174" s="867">
        <f t="shared" ca="1" si="104"/>
        <v>0</v>
      </c>
      <c r="BV174" s="829">
        <f t="shared" ca="1" si="65"/>
        <v>0</v>
      </c>
      <c r="BX174" s="867">
        <f ca="1"/>
        <v>0</v>
      </c>
      <c r="BY174" s="867">
        <f t="shared" ca="1" si="105"/>
        <v>0</v>
      </c>
      <c r="BZ174" s="867">
        <f t="shared" ca="1" si="106"/>
        <v>0</v>
      </c>
      <c r="CA174" s="867">
        <f t="shared" ca="1" si="107"/>
        <v>0</v>
      </c>
      <c r="CB174" s="867">
        <f t="shared" ca="1" si="108"/>
        <v>0</v>
      </c>
      <c r="CC174" s="867">
        <f t="shared" ca="1" si="109"/>
        <v>0</v>
      </c>
      <c r="CD174" s="867">
        <f t="shared" ca="1" si="110"/>
        <v>0</v>
      </c>
    </row>
    <row r="175" spans="1:82" ht="17" hidden="1" thickTop="1" thickBot="1">
      <c r="A175" s="773">
        <f t="shared" si="60"/>
        <v>0</v>
      </c>
      <c r="B175" s="779"/>
      <c r="C175" s="572"/>
      <c r="D175" s="660"/>
      <c r="E175" s="661"/>
      <c r="F175" s="862"/>
      <c r="G175" s="863"/>
      <c r="H175" s="961"/>
      <c r="I175" s="865">
        <f t="shared" si="66"/>
        <v>0</v>
      </c>
      <c r="J175" s="864" cm="1">
        <f t="array" ref="J175">IF($G175=0,0,-MIN(0,G175*c_equity.LPshare))</f>
        <v>0</v>
      </c>
      <c r="K175" s="865" cm="1">
        <f t="array" ref="K175">I175*c_rate.Pref.MO</f>
        <v>0</v>
      </c>
      <c r="L175" s="865">
        <f t="shared" si="67"/>
        <v>0</v>
      </c>
      <c r="M175" s="865">
        <f t="shared" si="68"/>
        <v>0</v>
      </c>
      <c r="N175" s="865">
        <f t="shared" si="69"/>
        <v>0</v>
      </c>
      <c r="O175" s="864" cm="1">
        <f t="array" ref="O175">IF(N175=0,0,IF(G175&lt;0,N175/c_equity.LPshare*i_equity.GPshare,L175/c_equity.LPshare*i_equity.GPshare))</f>
        <v>0</v>
      </c>
      <c r="P175" s="865">
        <f t="shared" si="70"/>
        <v>0</v>
      </c>
      <c r="Q175" s="865">
        <f t="shared" si="71"/>
        <v>0</v>
      </c>
      <c r="R175" s="161"/>
      <c r="S175" s="867">
        <f t="shared" ca="1" si="72"/>
        <v>0</v>
      </c>
      <c r="T175" s="867" cm="1">
        <f t="array" ref="T175">IF($G175=0,0,-MIN(0,$G175*c_equity.LPshare))</f>
        <v>0</v>
      </c>
      <c r="U175" s="869" cm="1">
        <f t="array" ref="U175">IF($D175=0,0,S175*c_rate.Hurdle1.MO)</f>
        <v>0</v>
      </c>
      <c r="V175" s="867">
        <f t="shared" si="73"/>
        <v>0</v>
      </c>
      <c r="W175" s="867">
        <f t="shared" ca="1" si="74"/>
        <v>0</v>
      </c>
      <c r="X175" s="869">
        <f t="shared" ca="1" si="75"/>
        <v>0</v>
      </c>
      <c r="Y175" s="869">
        <f t="shared" ca="1" si="76"/>
        <v>0</v>
      </c>
      <c r="Z175" s="869">
        <f t="shared" ca="1" si="77"/>
        <v>0</v>
      </c>
      <c r="AA175" s="869">
        <f t="shared" ca="1" si="78"/>
        <v>0</v>
      </c>
      <c r="AB175" s="867">
        <f t="shared" ca="1" si="79"/>
        <v>0</v>
      </c>
      <c r="AC175" s="161"/>
      <c r="AD175" s="869">
        <f t="shared" ca="1" si="80"/>
        <v>0</v>
      </c>
      <c r="AE175" s="867" cm="1">
        <f t="array" ref="AE175">IF($G175=0,0,-MIN(0,$G175*c_equity.LPshare))</f>
        <v>0</v>
      </c>
      <c r="AF175" s="869" cm="1">
        <f t="array" ref="AF175">IF($D175=0,0,AD175*(c_rate.Hurdle2.MO))</f>
        <v>0</v>
      </c>
      <c r="AG175" s="869">
        <f t="shared" ca="1" si="81"/>
        <v>0</v>
      </c>
      <c r="AH175" s="869">
        <f t="shared" ca="1" si="82"/>
        <v>0</v>
      </c>
      <c r="AI175" s="869">
        <f t="shared" ca="1" si="83"/>
        <v>0</v>
      </c>
      <c r="AJ175" s="868">
        <f t="shared" ca="1" si="61"/>
        <v>0</v>
      </c>
      <c r="AK175" s="867">
        <f t="shared" ca="1" si="84"/>
        <v>0</v>
      </c>
      <c r="AL175" s="869">
        <f t="shared" ca="1" si="111"/>
        <v>0</v>
      </c>
      <c r="AM175" s="869">
        <f t="shared" ca="1" si="85"/>
        <v>0</v>
      </c>
      <c r="AN175" s="867">
        <f t="shared" ca="1" si="58"/>
        <v>0</v>
      </c>
      <c r="AO175" s="161"/>
      <c r="AP175" s="869">
        <f t="shared" ca="1" si="86"/>
        <v>0</v>
      </c>
      <c r="AQ175" s="867" cm="1">
        <f t="array" ref="AQ175">IF($G175=0,0,-MIN(0,$G175*c_equity.LPshare))</f>
        <v>0</v>
      </c>
      <c r="AR175" s="869" cm="1">
        <f t="array" ref="AR175">IF($D175=0,0,AP175*(c_rate.Hurdle3.MO))</f>
        <v>0</v>
      </c>
      <c r="AS175" s="869">
        <f t="shared" ca="1" si="87"/>
        <v>0</v>
      </c>
      <c r="AT175" s="869">
        <f t="shared" ca="1" si="88"/>
        <v>0</v>
      </c>
      <c r="AU175" s="869">
        <f t="shared" ca="1" si="89"/>
        <v>0</v>
      </c>
      <c r="AV175" s="870">
        <f t="shared" ca="1" si="90"/>
        <v>0</v>
      </c>
      <c r="AW175" s="867">
        <f t="shared" ca="1" si="91"/>
        <v>0</v>
      </c>
      <c r="AX175" s="869">
        <f t="shared" ca="1" si="112"/>
        <v>0</v>
      </c>
      <c r="AY175" s="869">
        <f t="shared" ca="1" si="92"/>
        <v>0</v>
      </c>
      <c r="AZ175" s="867">
        <f t="shared" ca="1" si="93"/>
        <v>0</v>
      </c>
      <c r="BA175" s="161"/>
      <c r="BB175" s="867">
        <f t="shared" ca="1" si="94"/>
        <v>0</v>
      </c>
      <c r="BC175" s="867">
        <f t="shared" ca="1" si="59"/>
        <v>0</v>
      </c>
      <c r="BD175" s="658"/>
      <c r="BE175" s="867">
        <f t="shared" ca="1" si="95"/>
        <v>0</v>
      </c>
      <c r="BF175" s="867">
        <f t="shared" ca="1" si="96"/>
        <v>0</v>
      </c>
      <c r="BG175" s="867">
        <f t="shared" ca="1" si="97"/>
        <v>0</v>
      </c>
      <c r="BI175" s="867">
        <f ca="1"/>
        <v>0</v>
      </c>
      <c r="BJ175" s="867">
        <f ca="1"/>
        <v>0</v>
      </c>
      <c r="BK175" s="867">
        <f ca="1"/>
        <v>0</v>
      </c>
      <c r="BL175" s="867">
        <f t="shared" ca="1" si="98"/>
        <v>0</v>
      </c>
      <c r="BM175" s="867">
        <f t="shared" ca="1" si="99"/>
        <v>0</v>
      </c>
      <c r="BN175" s="867">
        <f t="shared" ca="1" si="100"/>
        <v>0</v>
      </c>
      <c r="BO175" s="867">
        <f t="shared" ca="1" si="101"/>
        <v>0</v>
      </c>
      <c r="BP175" s="867">
        <f t="shared" ca="1" si="102"/>
        <v>0</v>
      </c>
      <c r="BQ175" s="867">
        <f t="shared" ca="1" si="103"/>
        <v>0</v>
      </c>
      <c r="BR175" s="867">
        <f ca="1"/>
        <v>0</v>
      </c>
      <c r="BS175" s="867">
        <f ca="1"/>
        <v>0</v>
      </c>
      <c r="BT175" s="867">
        <f t="shared" ca="1" si="64"/>
        <v>0</v>
      </c>
      <c r="BU175" s="867">
        <f t="shared" ca="1" si="104"/>
        <v>0</v>
      </c>
      <c r="BV175" s="829">
        <f t="shared" ca="1" si="65"/>
        <v>0</v>
      </c>
      <c r="BX175" s="867">
        <f ca="1"/>
        <v>0</v>
      </c>
      <c r="BY175" s="867">
        <f t="shared" ca="1" si="105"/>
        <v>0</v>
      </c>
      <c r="BZ175" s="867">
        <f t="shared" ca="1" si="106"/>
        <v>0</v>
      </c>
      <c r="CA175" s="867">
        <f t="shared" ca="1" si="107"/>
        <v>0</v>
      </c>
      <c r="CB175" s="867">
        <f t="shared" ca="1" si="108"/>
        <v>0</v>
      </c>
      <c r="CC175" s="867">
        <f t="shared" ca="1" si="109"/>
        <v>0</v>
      </c>
      <c r="CD175" s="867">
        <f t="shared" ca="1" si="110"/>
        <v>0</v>
      </c>
    </row>
    <row r="176" spans="1:82" ht="17" hidden="1" thickTop="1" thickBot="1">
      <c r="A176" s="773">
        <f t="shared" si="60"/>
        <v>0</v>
      </c>
      <c r="B176" s="779"/>
      <c r="C176" s="572"/>
      <c r="D176" s="660"/>
      <c r="E176" s="661"/>
      <c r="F176" s="862"/>
      <c r="G176" s="863"/>
      <c r="H176" s="961"/>
      <c r="I176" s="865">
        <f t="shared" si="66"/>
        <v>0</v>
      </c>
      <c r="J176" s="864" cm="1">
        <f t="array" ref="J176">IF($G176=0,0,-MIN(0,G176*c_equity.LPshare))</f>
        <v>0</v>
      </c>
      <c r="K176" s="865" cm="1">
        <f t="array" ref="K176">I176*c_rate.Pref.MO</f>
        <v>0</v>
      </c>
      <c r="L176" s="865">
        <f t="shared" si="67"/>
        <v>0</v>
      </c>
      <c r="M176" s="865">
        <f t="shared" si="68"/>
        <v>0</v>
      </c>
      <c r="N176" s="865">
        <f t="shared" si="69"/>
        <v>0</v>
      </c>
      <c r="O176" s="864" cm="1">
        <f t="array" ref="O176">IF(N176=0,0,IF(G176&lt;0,N176/c_equity.LPshare*i_equity.GPshare,L176/c_equity.LPshare*i_equity.GPshare))</f>
        <v>0</v>
      </c>
      <c r="P176" s="865">
        <f t="shared" si="70"/>
        <v>0</v>
      </c>
      <c r="Q176" s="865">
        <f t="shared" si="71"/>
        <v>0</v>
      </c>
      <c r="R176" s="161"/>
      <c r="S176" s="867">
        <f t="shared" ca="1" si="72"/>
        <v>0</v>
      </c>
      <c r="T176" s="867" cm="1">
        <f t="array" ref="T176">IF($G176=0,0,-MIN(0,$G176*c_equity.LPshare))</f>
        <v>0</v>
      </c>
      <c r="U176" s="869" cm="1">
        <f t="array" ref="U176">IF($D176=0,0,S176*c_rate.Hurdle1.MO)</f>
        <v>0</v>
      </c>
      <c r="V176" s="867">
        <f t="shared" si="73"/>
        <v>0</v>
      </c>
      <c r="W176" s="867">
        <f t="shared" ca="1" si="74"/>
        <v>0</v>
      </c>
      <c r="X176" s="869">
        <f t="shared" ca="1" si="75"/>
        <v>0</v>
      </c>
      <c r="Y176" s="869">
        <f t="shared" ca="1" si="76"/>
        <v>0</v>
      </c>
      <c r="Z176" s="869">
        <f t="shared" ca="1" si="77"/>
        <v>0</v>
      </c>
      <c r="AA176" s="869">
        <f t="shared" ca="1" si="78"/>
        <v>0</v>
      </c>
      <c r="AB176" s="867">
        <f t="shared" ca="1" si="79"/>
        <v>0</v>
      </c>
      <c r="AC176" s="161"/>
      <c r="AD176" s="869">
        <f t="shared" ca="1" si="80"/>
        <v>0</v>
      </c>
      <c r="AE176" s="867" cm="1">
        <f t="array" ref="AE176">IF($G176=0,0,-MIN(0,$G176*c_equity.LPshare))</f>
        <v>0</v>
      </c>
      <c r="AF176" s="869" cm="1">
        <f t="array" ref="AF176">IF($D176=0,0,AD176*(c_rate.Hurdle2.MO))</f>
        <v>0</v>
      </c>
      <c r="AG176" s="869">
        <f t="shared" ca="1" si="81"/>
        <v>0</v>
      </c>
      <c r="AH176" s="869">
        <f t="shared" ca="1" si="82"/>
        <v>0</v>
      </c>
      <c r="AI176" s="869">
        <f t="shared" ca="1" si="83"/>
        <v>0</v>
      </c>
      <c r="AJ176" s="868">
        <f t="shared" ca="1" si="61"/>
        <v>0</v>
      </c>
      <c r="AK176" s="867">
        <f t="shared" ca="1" si="84"/>
        <v>0</v>
      </c>
      <c r="AL176" s="869">
        <f t="shared" ca="1" si="111"/>
        <v>0</v>
      </c>
      <c r="AM176" s="869">
        <f t="shared" ca="1" si="85"/>
        <v>0</v>
      </c>
      <c r="AN176" s="867">
        <f t="shared" ref="AN176:AN184" ca="1" si="113">IF(AM176&lt;0,0,MAX($G176-AM176,0))</f>
        <v>0</v>
      </c>
      <c r="AO176" s="161"/>
      <c r="AP176" s="869">
        <f t="shared" ca="1" si="86"/>
        <v>0</v>
      </c>
      <c r="AQ176" s="867" cm="1">
        <f t="array" ref="AQ176">IF($G176=0,0,-MIN(0,$G176*c_equity.LPshare))</f>
        <v>0</v>
      </c>
      <c r="AR176" s="869" cm="1">
        <f t="array" ref="AR176">IF($D176=0,0,AP176*(c_rate.Hurdle3.MO))</f>
        <v>0</v>
      </c>
      <c r="AS176" s="869">
        <f t="shared" ca="1" si="87"/>
        <v>0</v>
      </c>
      <c r="AT176" s="869">
        <f t="shared" ca="1" si="88"/>
        <v>0</v>
      </c>
      <c r="AU176" s="869">
        <f t="shared" ca="1" si="89"/>
        <v>0</v>
      </c>
      <c r="AV176" s="870">
        <f t="shared" ca="1" si="90"/>
        <v>0</v>
      </c>
      <c r="AW176" s="867">
        <f t="shared" ca="1" si="91"/>
        <v>0</v>
      </c>
      <c r="AX176" s="869">
        <f t="shared" ca="1" si="112"/>
        <v>0</v>
      </c>
      <c r="AY176" s="869">
        <f t="shared" ca="1" si="92"/>
        <v>0</v>
      </c>
      <c r="AZ176" s="867">
        <f t="shared" ca="1" si="93"/>
        <v>0</v>
      </c>
      <c r="BA176" s="161"/>
      <c r="BB176" s="867">
        <f t="shared" ca="1" si="94"/>
        <v>0</v>
      </c>
      <c r="BC176" s="867">
        <f t="shared" ref="BC176:BC239" ca="1" si="114">$AZ176*i_residualGP</f>
        <v>0</v>
      </c>
      <c r="BD176" s="658"/>
      <c r="BE176" s="867">
        <f t="shared" ca="1" si="95"/>
        <v>0</v>
      </c>
      <c r="BF176" s="867">
        <f t="shared" ca="1" si="96"/>
        <v>0</v>
      </c>
      <c r="BG176" s="867">
        <f t="shared" ca="1" si="97"/>
        <v>0</v>
      </c>
      <c r="BI176" s="867">
        <f ca="1"/>
        <v>0</v>
      </c>
      <c r="BJ176" s="867">
        <f ca="1"/>
        <v>0</v>
      </c>
      <c r="BK176" s="867">
        <f ca="1"/>
        <v>0</v>
      </c>
      <c r="BL176" s="867">
        <f t="shared" ca="1" si="98"/>
        <v>0</v>
      </c>
      <c r="BM176" s="867">
        <f t="shared" ca="1" si="99"/>
        <v>0</v>
      </c>
      <c r="BN176" s="867">
        <f t="shared" ca="1" si="100"/>
        <v>0</v>
      </c>
      <c r="BO176" s="867">
        <f t="shared" ca="1" si="101"/>
        <v>0</v>
      </c>
      <c r="BP176" s="867">
        <f t="shared" ca="1" si="102"/>
        <v>0</v>
      </c>
      <c r="BQ176" s="867">
        <f t="shared" ca="1" si="103"/>
        <v>0</v>
      </c>
      <c r="BR176" s="867">
        <f ca="1"/>
        <v>0</v>
      </c>
      <c r="BS176" s="867">
        <f ca="1"/>
        <v>0</v>
      </c>
      <c r="BT176" s="867">
        <f t="shared" ca="1" si="64"/>
        <v>0</v>
      </c>
      <c r="BU176" s="867">
        <f t="shared" ca="1" si="104"/>
        <v>0</v>
      </c>
      <c r="BV176" s="829">
        <f t="shared" ca="1" si="65"/>
        <v>0</v>
      </c>
      <c r="BX176" s="867">
        <f ca="1"/>
        <v>0</v>
      </c>
      <c r="BY176" s="867">
        <f t="shared" ca="1" si="105"/>
        <v>0</v>
      </c>
      <c r="BZ176" s="867">
        <f t="shared" ca="1" si="106"/>
        <v>0</v>
      </c>
      <c r="CA176" s="867">
        <f t="shared" ca="1" si="107"/>
        <v>0</v>
      </c>
      <c r="CB176" s="867">
        <f t="shared" ca="1" si="108"/>
        <v>0</v>
      </c>
      <c r="CC176" s="867">
        <f t="shared" ca="1" si="109"/>
        <v>0</v>
      </c>
      <c r="CD176" s="867">
        <f t="shared" ca="1" si="110"/>
        <v>0</v>
      </c>
    </row>
    <row r="177" spans="1:82" ht="17" hidden="1" thickTop="1" thickBot="1">
      <c r="A177" s="773">
        <f t="shared" ref="A177:A240" si="115">IF(D177&gt;0,1,0)</f>
        <v>0</v>
      </c>
      <c r="B177" s="779"/>
      <c r="C177" s="572"/>
      <c r="D177" s="660"/>
      <c r="E177" s="661"/>
      <c r="F177" s="862"/>
      <c r="G177" s="863"/>
      <c r="H177" s="961"/>
      <c r="I177" s="865">
        <f t="shared" si="66"/>
        <v>0</v>
      </c>
      <c r="J177" s="864" cm="1">
        <f t="array" ref="J177">IF($G177=0,0,-MIN(0,G177*c_equity.LPshare))</f>
        <v>0</v>
      </c>
      <c r="K177" s="865" cm="1">
        <f t="array" ref="K177">I177*c_rate.Pref.MO</f>
        <v>0</v>
      </c>
      <c r="L177" s="865">
        <f t="shared" si="67"/>
        <v>0</v>
      </c>
      <c r="M177" s="865">
        <f t="shared" si="68"/>
        <v>0</v>
      </c>
      <c r="N177" s="865">
        <f t="shared" si="69"/>
        <v>0</v>
      </c>
      <c r="O177" s="864" cm="1">
        <f t="array" ref="O177">IF(N177=0,0,IF(G177&lt;0,N177/c_equity.LPshare*i_equity.GPshare,L177/c_equity.LPshare*i_equity.GPshare))</f>
        <v>0</v>
      </c>
      <c r="P177" s="865">
        <f t="shared" si="70"/>
        <v>0</v>
      </c>
      <c r="Q177" s="865">
        <f t="shared" si="71"/>
        <v>0</v>
      </c>
      <c r="R177" s="161"/>
      <c r="S177" s="867">
        <f t="shared" ca="1" si="72"/>
        <v>0</v>
      </c>
      <c r="T177" s="867" cm="1">
        <f t="array" ref="T177">IF($G177=0,0,-MIN(0,$G177*c_equity.LPshare))</f>
        <v>0</v>
      </c>
      <c r="U177" s="869" cm="1">
        <f t="array" ref="U177">IF($D177=0,0,S177*c_rate.Hurdle1.MO)</f>
        <v>0</v>
      </c>
      <c r="V177" s="867">
        <f t="shared" si="73"/>
        <v>0</v>
      </c>
      <c r="W177" s="867">
        <f t="shared" ca="1" si="74"/>
        <v>0</v>
      </c>
      <c r="X177" s="869">
        <f t="shared" ca="1" si="75"/>
        <v>0</v>
      </c>
      <c r="Y177" s="869">
        <f t="shared" ca="1" si="76"/>
        <v>0</v>
      </c>
      <c r="Z177" s="869">
        <f t="shared" ca="1" si="77"/>
        <v>0</v>
      </c>
      <c r="AA177" s="869">
        <f t="shared" ca="1" si="78"/>
        <v>0</v>
      </c>
      <c r="AB177" s="867">
        <f t="shared" ca="1" si="79"/>
        <v>0</v>
      </c>
      <c r="AC177" s="161"/>
      <c r="AD177" s="869">
        <f t="shared" ca="1" si="80"/>
        <v>0</v>
      </c>
      <c r="AE177" s="867" cm="1">
        <f t="array" ref="AE177">IF($G177=0,0,-MIN(0,$G177*c_equity.LPshare))</f>
        <v>0</v>
      </c>
      <c r="AF177" s="869" cm="1">
        <f t="array" ref="AF177">IF($D177=0,0,AD177*(c_rate.Hurdle2.MO))</f>
        <v>0</v>
      </c>
      <c r="AG177" s="869">
        <f t="shared" ca="1" si="81"/>
        <v>0</v>
      </c>
      <c r="AH177" s="869">
        <f t="shared" ca="1" si="82"/>
        <v>0</v>
      </c>
      <c r="AI177" s="869">
        <f t="shared" ca="1" si="83"/>
        <v>0</v>
      </c>
      <c r="AJ177" s="868">
        <f t="shared" ref="AJ177:AJ185" ca="1" si="116">-AE177+AG177+AH177</f>
        <v>0</v>
      </c>
      <c r="AK177" s="867">
        <f t="shared" ca="1" si="84"/>
        <v>0</v>
      </c>
      <c r="AL177" s="869">
        <f t="shared" ref="AL177:AL185" ca="1" si="117">IF(AK177=0,0,Z177+(AH177/$J$18*c_Hurdle2.Share_GP))</f>
        <v>0</v>
      </c>
      <c r="AM177" s="869">
        <f t="shared" ca="1" si="85"/>
        <v>0</v>
      </c>
      <c r="AN177" s="867">
        <f t="shared" ca="1" si="113"/>
        <v>0</v>
      </c>
      <c r="AO177" s="161"/>
      <c r="AP177" s="869">
        <f t="shared" ca="1" si="86"/>
        <v>0</v>
      </c>
      <c r="AQ177" s="867" cm="1">
        <f t="array" ref="AQ177">IF($G177=0,0,-MIN(0,$G177*c_equity.LPshare))</f>
        <v>0</v>
      </c>
      <c r="AR177" s="869" cm="1">
        <f t="array" ref="AR177">IF($D177=0,0,AP177*(c_rate.Hurdle3.MO))</f>
        <v>0</v>
      </c>
      <c r="AS177" s="869">
        <f t="shared" ca="1" si="87"/>
        <v>0</v>
      </c>
      <c r="AT177" s="869">
        <f t="shared" ca="1" si="88"/>
        <v>0</v>
      </c>
      <c r="AU177" s="869">
        <f t="shared" ca="1" si="89"/>
        <v>0</v>
      </c>
      <c r="AV177" s="870">
        <f t="shared" ca="1" si="90"/>
        <v>0</v>
      </c>
      <c r="AW177" s="867">
        <f t="shared" ca="1" si="91"/>
        <v>0</v>
      </c>
      <c r="AX177" s="869">
        <f t="shared" ref="AX177:AX185" ca="1" si="118">IF(AW177=0,0,AL177+AT177/$J$19*c_Hurdle3.Share_GP)</f>
        <v>0</v>
      </c>
      <c r="AY177" s="869">
        <f t="shared" ca="1" si="92"/>
        <v>0</v>
      </c>
      <c r="AZ177" s="867">
        <f t="shared" ca="1" si="93"/>
        <v>0</v>
      </c>
      <c r="BA177" s="161"/>
      <c r="BB177" s="867">
        <f t="shared" ca="1" si="94"/>
        <v>0</v>
      </c>
      <c r="BC177" s="867">
        <f t="shared" ca="1" si="114"/>
        <v>0</v>
      </c>
      <c r="BD177" s="658"/>
      <c r="BE177" s="867">
        <f t="shared" ca="1" si="95"/>
        <v>0</v>
      </c>
      <c r="BF177" s="867">
        <f t="shared" ca="1" si="96"/>
        <v>0</v>
      </c>
      <c r="BG177" s="867">
        <f t="shared" ca="1" si="97"/>
        <v>0</v>
      </c>
      <c r="BI177" s="867">
        <f ca="1"/>
        <v>0</v>
      </c>
      <c r="BJ177" s="867">
        <f ca="1"/>
        <v>0</v>
      </c>
      <c r="BK177" s="867">
        <f ca="1"/>
        <v>0</v>
      </c>
      <c r="BL177" s="867">
        <f t="shared" ca="1" si="98"/>
        <v>0</v>
      </c>
      <c r="BM177" s="867">
        <f t="shared" ca="1" si="99"/>
        <v>0</v>
      </c>
      <c r="BN177" s="867">
        <f t="shared" ca="1" si="100"/>
        <v>0</v>
      </c>
      <c r="BO177" s="867">
        <f t="shared" ca="1" si="101"/>
        <v>0</v>
      </c>
      <c r="BP177" s="867">
        <f t="shared" ca="1" si="102"/>
        <v>0</v>
      </c>
      <c r="BQ177" s="867">
        <f t="shared" ca="1" si="103"/>
        <v>0</v>
      </c>
      <c r="BR177" s="867">
        <f ca="1"/>
        <v>0</v>
      </c>
      <c r="BS177" s="867">
        <f ca="1"/>
        <v>0</v>
      </c>
      <c r="BT177" s="867">
        <f t="shared" ref="BT177:BT240" ca="1" si="119">BJ177+BL177+BN177+BP177+BR177</f>
        <v>0</v>
      </c>
      <c r="BU177" s="867">
        <f t="shared" ca="1" si="104"/>
        <v>0</v>
      </c>
      <c r="BV177" s="829">
        <f t="shared" ref="BV177:BV185" ca="1" si="120">BI177-BT177-BU177</f>
        <v>0</v>
      </c>
      <c r="BX177" s="867">
        <f ca="1"/>
        <v>0</v>
      </c>
      <c r="BY177" s="867">
        <f t="shared" ca="1" si="105"/>
        <v>0</v>
      </c>
      <c r="BZ177" s="867">
        <f t="shared" ca="1" si="106"/>
        <v>0</v>
      </c>
      <c r="CA177" s="867">
        <f t="shared" ca="1" si="107"/>
        <v>0</v>
      </c>
      <c r="CB177" s="867">
        <f t="shared" ca="1" si="108"/>
        <v>0</v>
      </c>
      <c r="CC177" s="867">
        <f t="shared" ca="1" si="109"/>
        <v>0</v>
      </c>
      <c r="CD177" s="867">
        <f t="shared" ca="1" si="110"/>
        <v>0</v>
      </c>
    </row>
    <row r="178" spans="1:82" ht="17" hidden="1" thickTop="1" thickBot="1">
      <c r="A178" s="773">
        <f t="shared" si="115"/>
        <v>0</v>
      </c>
      <c r="B178" s="779"/>
      <c r="C178" s="572"/>
      <c r="D178" s="660"/>
      <c r="E178" s="661"/>
      <c r="F178" s="862"/>
      <c r="G178" s="863"/>
      <c r="H178" s="961"/>
      <c r="I178" s="865">
        <f t="shared" ref="I178:I241" si="121">IF(D178=0,0,M177)</f>
        <v>0</v>
      </c>
      <c r="J178" s="864" cm="1">
        <f t="array" ref="J178">IF($G178=0,0,-MIN(0,G178*c_equity.LPshare))</f>
        <v>0</v>
      </c>
      <c r="K178" s="865" cm="1">
        <f t="array" ref="K178">I178*c_rate.Pref.MO</f>
        <v>0</v>
      </c>
      <c r="L178" s="865">
        <f t="shared" ref="L178:L241" si="122">IF($G178=0,0,MAX(MIN($G178*$I$46,I178+K178-J178),0))</f>
        <v>0</v>
      </c>
      <c r="M178" s="865">
        <f t="shared" ref="M178:M241" si="123">I178+K178+J178-L178</f>
        <v>0</v>
      </c>
      <c r="N178" s="865">
        <f t="shared" ref="N178:N241" si="124">L178-J178</f>
        <v>0</v>
      </c>
      <c r="O178" s="864" cm="1">
        <f t="array" ref="O178">IF(N178=0,0,IF(G178&lt;0,N178/c_equity.LPshare*i_equity.GPshare,L178/c_equity.LPshare*i_equity.GPshare))</f>
        <v>0</v>
      </c>
      <c r="P178" s="865">
        <f t="shared" ref="P178:P241" si="125">N178+O178</f>
        <v>0</v>
      </c>
      <c r="Q178" s="865">
        <f t="shared" ref="Q178:Q241" si="126">ROUND(IF(E178=0,0,MAX(G178-P178,0)),1)</f>
        <v>0</v>
      </c>
      <c r="R178" s="161"/>
      <c r="S178" s="867">
        <f t="shared" ref="S178:S241" ca="1" si="127">X177</f>
        <v>0</v>
      </c>
      <c r="T178" s="867" cm="1">
        <f t="array" ref="T178">IF($G178=0,0,-MIN(0,$G178*c_equity.LPshare))</f>
        <v>0</v>
      </c>
      <c r="U178" s="869" cm="1">
        <f t="array" ref="U178">IF($D178=0,0,S178*c_rate.Hurdle1.MO)</f>
        <v>0</v>
      </c>
      <c r="V178" s="867">
        <f t="shared" ref="V178:V241" si="128">L178</f>
        <v>0</v>
      </c>
      <c r="W178" s="867">
        <f t="shared" ref="W178:W241" ca="1" si="129">MIN(S178+U178-V178,Q178*S$46)</f>
        <v>0</v>
      </c>
      <c r="X178" s="869">
        <f t="shared" ref="X178:X241" ca="1" si="130">S178+T178+U178-V178-W178</f>
        <v>0</v>
      </c>
      <c r="Y178" s="869">
        <f t="shared" ref="Y178:Y241" ca="1" si="131">N178+W178</f>
        <v>0</v>
      </c>
      <c r="Z178" s="869">
        <f t="shared" ref="Z178:Z241" ca="1" si="132">IF(Y178=0,0,O178+(W178/$J$17*c_Hurdle1.Share_GP))</f>
        <v>0</v>
      </c>
      <c r="AA178" s="869">
        <f t="shared" ref="AA178:AA241" ca="1" si="133">Y178+Z178</f>
        <v>0</v>
      </c>
      <c r="AB178" s="867">
        <f t="shared" ref="AB178:AB241" ca="1" si="134">IF(AA178&lt;0,0,MAX($G178-AA178,0))</f>
        <v>0</v>
      </c>
      <c r="AC178" s="161"/>
      <c r="AD178" s="869">
        <f t="shared" ref="AD178:AD241" ca="1" si="135">AI177</f>
        <v>0</v>
      </c>
      <c r="AE178" s="867" cm="1">
        <f t="array" ref="AE178">IF($G178=0,0,-MIN(0,$G178*c_equity.LPshare))</f>
        <v>0</v>
      </c>
      <c r="AF178" s="869" cm="1">
        <f t="array" ref="AF178">IF($D178=0,0,AD178*(c_rate.Hurdle2.MO))</f>
        <v>0</v>
      </c>
      <c r="AG178" s="869">
        <f t="shared" ref="AG178:AG241" ca="1" si="136">V178+W178</f>
        <v>0</v>
      </c>
      <c r="AH178" s="869">
        <f t="shared" ref="AH178:AH241" ca="1" si="137">IF(AB178=0,0,MIN(AD178+AE178+AF178-AG178,AB178*AD$46))</f>
        <v>0</v>
      </c>
      <c r="AI178" s="869">
        <f t="shared" ref="AI178:AI241" ca="1" si="138">AD178+AF178+AE178-AG178-AH178</f>
        <v>0</v>
      </c>
      <c r="AJ178" s="868">
        <f t="shared" ca="1" si="116"/>
        <v>0</v>
      </c>
      <c r="AK178" s="867">
        <f t="shared" ref="AK178:AK241" ca="1" si="139">Y178+AH178</f>
        <v>0</v>
      </c>
      <c r="AL178" s="869">
        <f t="shared" ca="1" si="117"/>
        <v>0</v>
      </c>
      <c r="AM178" s="869">
        <f t="shared" ref="AM178:AM241" ca="1" si="140">AK178+AL178</f>
        <v>0</v>
      </c>
      <c r="AN178" s="867">
        <f t="shared" ca="1" si="113"/>
        <v>0</v>
      </c>
      <c r="AO178" s="161"/>
      <c r="AP178" s="869">
        <f t="shared" ref="AP178:AP241" ca="1" si="141">AU177</f>
        <v>0</v>
      </c>
      <c r="AQ178" s="867" cm="1">
        <f t="array" ref="AQ178">IF($G178=0,0,-MIN(0,$G178*c_equity.LPshare))</f>
        <v>0</v>
      </c>
      <c r="AR178" s="869" cm="1">
        <f t="array" ref="AR178">IF($D178=0,0,AP178*(c_rate.Hurdle3.MO))</f>
        <v>0</v>
      </c>
      <c r="AS178" s="869">
        <f t="shared" ref="AS178:AS241" ca="1" si="142">AG178+AH178</f>
        <v>0</v>
      </c>
      <c r="AT178" s="869">
        <f t="shared" ref="AT178:AT241" ca="1" si="143">IF(AP178=0,0,MIN(AP178+AQ178+AR178-AS178,AN178*AP$46))</f>
        <v>0</v>
      </c>
      <c r="AU178" s="869">
        <f t="shared" ref="AU178:AU241" ca="1" si="144">AP178+AR178+AQ178-AS178-AT178</f>
        <v>0</v>
      </c>
      <c r="AV178" s="870">
        <f t="shared" ref="AV178:AV241" ca="1" si="145">-AQ178+AS178+AT178</f>
        <v>0</v>
      </c>
      <c r="AW178" s="867">
        <f t="shared" ref="AW178:AW241" ca="1" si="146">AK178+AT178</f>
        <v>0</v>
      </c>
      <c r="AX178" s="869">
        <f t="shared" ca="1" si="118"/>
        <v>0</v>
      </c>
      <c r="AY178" s="869">
        <f t="shared" ref="AY178:AY241" ca="1" si="147">AW178+AX178</f>
        <v>0</v>
      </c>
      <c r="AZ178" s="867">
        <f t="shared" ref="AZ178:AZ185" ca="1" si="148">IF(AY178&lt;0,0,MAX($G178-AY178,0))</f>
        <v>0</v>
      </c>
      <c r="BA178" s="161"/>
      <c r="BB178" s="867">
        <f t="shared" ref="BB178:BB241" ca="1" si="149">$AZ178-BC178</f>
        <v>0</v>
      </c>
      <c r="BC178" s="867">
        <f t="shared" ca="1" si="114"/>
        <v>0</v>
      </c>
      <c r="BD178" s="658"/>
      <c r="BE178" s="867">
        <f t="shared" ref="BE178:BE241" ca="1" si="150">AW178+BB178</f>
        <v>0</v>
      </c>
      <c r="BF178" s="867">
        <f t="shared" ref="BF178:BF241" ca="1" si="151">AX178+BC178</f>
        <v>0</v>
      </c>
      <c r="BG178" s="867">
        <f t="shared" ref="BG178:BG241" ca="1" si="152">SUM(BE178:BF178)</f>
        <v>0</v>
      </c>
      <c r="BI178" s="867">
        <f ca="1"/>
        <v>0</v>
      </c>
      <c r="BJ178" s="867">
        <f ca="1"/>
        <v>0</v>
      </c>
      <c r="BK178" s="867">
        <f ca="1"/>
        <v>0</v>
      </c>
      <c r="BL178" s="867">
        <f t="shared" ref="BL178:BL241" ca="1" si="153">Y178-N178</f>
        <v>0</v>
      </c>
      <c r="BM178" s="867">
        <f t="shared" ref="BM178:BM241" ca="1" si="154">Z178-O178</f>
        <v>0</v>
      </c>
      <c r="BN178" s="867">
        <f t="shared" ref="BN178:BN241" ca="1" si="155">AK178-Y178</f>
        <v>0</v>
      </c>
      <c r="BO178" s="867">
        <f t="shared" ref="BO178:BO241" ca="1" si="156">AL178-Z178</f>
        <v>0</v>
      </c>
      <c r="BP178" s="867">
        <f t="shared" ref="BP178:BP241" ca="1" si="157">AW178-AK178</f>
        <v>0</v>
      </c>
      <c r="BQ178" s="867">
        <f t="shared" ref="BQ178:BQ241" ca="1" si="158">AX178-AL178</f>
        <v>0</v>
      </c>
      <c r="BR178" s="867">
        <f ca="1"/>
        <v>0</v>
      </c>
      <c r="BS178" s="867">
        <f ca="1"/>
        <v>0</v>
      </c>
      <c r="BT178" s="867">
        <f t="shared" ca="1" si="119"/>
        <v>0</v>
      </c>
      <c r="BU178" s="867">
        <f t="shared" ref="BU178:BU241" ca="1" si="159">BK178+BM178+BO178+BQ178+BS178</f>
        <v>0</v>
      </c>
      <c r="BV178" s="829">
        <f t="shared" ca="1" si="120"/>
        <v>0</v>
      </c>
      <c r="BX178" s="867">
        <f ca="1"/>
        <v>0</v>
      </c>
      <c r="BY178" s="867">
        <f t="shared" ref="BY178:BY241" ca="1" si="160">BJ178+BK178</f>
        <v>0</v>
      </c>
      <c r="BZ178" s="867">
        <f t="shared" ref="BZ178:BZ241" ca="1" si="161">BL178+BM178</f>
        <v>0</v>
      </c>
      <c r="CA178" s="867">
        <f t="shared" ref="CA178:CA241" ca="1" si="162">BN178+BO178</f>
        <v>0</v>
      </c>
      <c r="CB178" s="867">
        <f t="shared" ref="CB178:CB241" ca="1" si="163">BP178+BQ178</f>
        <v>0</v>
      </c>
      <c r="CC178" s="867">
        <f t="shared" ref="CC178:CC241" ca="1" si="164">BR178+BS178</f>
        <v>0</v>
      </c>
      <c r="CD178" s="867">
        <f t="shared" ref="CD178:CD241" ca="1" si="165">SUM(BY178:CC178)</f>
        <v>0</v>
      </c>
    </row>
    <row r="179" spans="1:82" ht="17" hidden="1" thickTop="1" thickBot="1">
      <c r="A179" s="773">
        <f t="shared" si="115"/>
        <v>0</v>
      </c>
      <c r="B179" s="779"/>
      <c r="C179" s="572"/>
      <c r="D179" s="660"/>
      <c r="E179" s="661"/>
      <c r="F179" s="862"/>
      <c r="G179" s="863"/>
      <c r="H179" s="961"/>
      <c r="I179" s="865">
        <f t="shared" si="121"/>
        <v>0</v>
      </c>
      <c r="J179" s="864" cm="1">
        <f t="array" ref="J179">IF($G179=0,0,-MIN(0,G179*c_equity.LPshare))</f>
        <v>0</v>
      </c>
      <c r="K179" s="865" cm="1">
        <f t="array" ref="K179">I179*c_rate.Pref.MO</f>
        <v>0</v>
      </c>
      <c r="L179" s="865">
        <f t="shared" si="122"/>
        <v>0</v>
      </c>
      <c r="M179" s="865">
        <f t="shared" si="123"/>
        <v>0</v>
      </c>
      <c r="N179" s="865">
        <f t="shared" si="124"/>
        <v>0</v>
      </c>
      <c r="O179" s="864" cm="1">
        <f t="array" ref="O179">IF(N179=0,0,IF(G179&lt;0,N179/c_equity.LPshare*i_equity.GPshare,L179/c_equity.LPshare*i_equity.GPshare))</f>
        <v>0</v>
      </c>
      <c r="P179" s="865">
        <f t="shared" si="125"/>
        <v>0</v>
      </c>
      <c r="Q179" s="865">
        <f t="shared" si="126"/>
        <v>0</v>
      </c>
      <c r="R179" s="161"/>
      <c r="S179" s="867">
        <f t="shared" ca="1" si="127"/>
        <v>0</v>
      </c>
      <c r="T179" s="867" cm="1">
        <f t="array" ref="T179">IF($G179=0,0,-MIN(0,$G179*c_equity.LPshare))</f>
        <v>0</v>
      </c>
      <c r="U179" s="869" cm="1">
        <f t="array" ref="U179">IF($D179=0,0,S179*c_rate.Hurdle1.MO)</f>
        <v>0</v>
      </c>
      <c r="V179" s="867">
        <f t="shared" si="128"/>
        <v>0</v>
      </c>
      <c r="W179" s="867">
        <f t="shared" ca="1" si="129"/>
        <v>0</v>
      </c>
      <c r="X179" s="869">
        <f t="shared" ca="1" si="130"/>
        <v>0</v>
      </c>
      <c r="Y179" s="869">
        <f t="shared" ca="1" si="131"/>
        <v>0</v>
      </c>
      <c r="Z179" s="869">
        <f t="shared" ca="1" si="132"/>
        <v>0</v>
      </c>
      <c r="AA179" s="869">
        <f t="shared" ca="1" si="133"/>
        <v>0</v>
      </c>
      <c r="AB179" s="867">
        <f t="shared" ca="1" si="134"/>
        <v>0</v>
      </c>
      <c r="AC179" s="1104"/>
      <c r="AD179" s="869">
        <f t="shared" ca="1" si="135"/>
        <v>0</v>
      </c>
      <c r="AE179" s="867" cm="1">
        <f t="array" ref="AE179">IF($G179=0,0,-MIN(0,$G179*c_equity.LPshare))</f>
        <v>0</v>
      </c>
      <c r="AF179" s="869" cm="1">
        <f t="array" ref="AF179">IF($D179=0,0,AD179*(c_rate.Hurdle2.MO))</f>
        <v>0</v>
      </c>
      <c r="AG179" s="869">
        <f t="shared" ca="1" si="136"/>
        <v>0</v>
      </c>
      <c r="AH179" s="869">
        <f t="shared" ca="1" si="137"/>
        <v>0</v>
      </c>
      <c r="AI179" s="869">
        <f t="shared" ca="1" si="138"/>
        <v>0</v>
      </c>
      <c r="AJ179" s="868">
        <f t="shared" ca="1" si="116"/>
        <v>0</v>
      </c>
      <c r="AK179" s="867">
        <f t="shared" ca="1" si="139"/>
        <v>0</v>
      </c>
      <c r="AL179" s="869">
        <f t="shared" ca="1" si="117"/>
        <v>0</v>
      </c>
      <c r="AM179" s="869">
        <f t="shared" ca="1" si="140"/>
        <v>0</v>
      </c>
      <c r="AN179" s="867">
        <f t="shared" ca="1" si="113"/>
        <v>0</v>
      </c>
      <c r="AO179" s="161"/>
      <c r="AP179" s="869">
        <f t="shared" ca="1" si="141"/>
        <v>0</v>
      </c>
      <c r="AQ179" s="867" cm="1">
        <f t="array" ref="AQ179">IF($G179=0,0,-MIN(0,$G179*c_equity.LPshare))</f>
        <v>0</v>
      </c>
      <c r="AR179" s="869" cm="1">
        <f t="array" ref="AR179">IF($D179=0,0,AP179*(c_rate.Hurdle3.MO))</f>
        <v>0</v>
      </c>
      <c r="AS179" s="869">
        <f t="shared" ca="1" si="142"/>
        <v>0</v>
      </c>
      <c r="AT179" s="869">
        <f t="shared" ca="1" si="143"/>
        <v>0</v>
      </c>
      <c r="AU179" s="869">
        <f t="shared" ca="1" si="144"/>
        <v>0</v>
      </c>
      <c r="AV179" s="870">
        <f t="shared" ca="1" si="145"/>
        <v>0</v>
      </c>
      <c r="AW179" s="867">
        <f t="shared" ca="1" si="146"/>
        <v>0</v>
      </c>
      <c r="AX179" s="869">
        <f t="shared" ca="1" si="118"/>
        <v>0</v>
      </c>
      <c r="AY179" s="869">
        <f t="shared" ca="1" si="147"/>
        <v>0</v>
      </c>
      <c r="AZ179" s="867">
        <f t="shared" ca="1" si="148"/>
        <v>0</v>
      </c>
      <c r="BA179" s="161"/>
      <c r="BB179" s="867">
        <f t="shared" ca="1" si="149"/>
        <v>0</v>
      </c>
      <c r="BC179" s="867">
        <f t="shared" ca="1" si="114"/>
        <v>0</v>
      </c>
      <c r="BD179" s="658"/>
      <c r="BE179" s="867">
        <f t="shared" ca="1" si="150"/>
        <v>0</v>
      </c>
      <c r="BF179" s="867">
        <f t="shared" ca="1" si="151"/>
        <v>0</v>
      </c>
      <c r="BG179" s="867">
        <f t="shared" ca="1" si="152"/>
        <v>0</v>
      </c>
      <c r="BI179" s="867">
        <f ca="1"/>
        <v>0</v>
      </c>
      <c r="BJ179" s="867">
        <f ca="1"/>
        <v>0</v>
      </c>
      <c r="BK179" s="867">
        <f ca="1"/>
        <v>0</v>
      </c>
      <c r="BL179" s="867">
        <f t="shared" ca="1" si="153"/>
        <v>0</v>
      </c>
      <c r="BM179" s="867">
        <f t="shared" ca="1" si="154"/>
        <v>0</v>
      </c>
      <c r="BN179" s="867">
        <f t="shared" ca="1" si="155"/>
        <v>0</v>
      </c>
      <c r="BO179" s="867">
        <f t="shared" ca="1" si="156"/>
        <v>0</v>
      </c>
      <c r="BP179" s="867">
        <f t="shared" ca="1" si="157"/>
        <v>0</v>
      </c>
      <c r="BQ179" s="867">
        <f t="shared" ca="1" si="158"/>
        <v>0</v>
      </c>
      <c r="BR179" s="867">
        <f ca="1"/>
        <v>0</v>
      </c>
      <c r="BS179" s="867">
        <f ca="1"/>
        <v>0</v>
      </c>
      <c r="BT179" s="867">
        <f t="shared" ca="1" si="119"/>
        <v>0</v>
      </c>
      <c r="BU179" s="867">
        <f t="shared" ca="1" si="159"/>
        <v>0</v>
      </c>
      <c r="BV179" s="829">
        <f t="shared" ca="1" si="120"/>
        <v>0</v>
      </c>
      <c r="BX179" s="867">
        <f ca="1"/>
        <v>0</v>
      </c>
      <c r="BY179" s="867">
        <f t="shared" ca="1" si="160"/>
        <v>0</v>
      </c>
      <c r="BZ179" s="867">
        <f t="shared" ca="1" si="161"/>
        <v>0</v>
      </c>
      <c r="CA179" s="867">
        <f t="shared" ca="1" si="162"/>
        <v>0</v>
      </c>
      <c r="CB179" s="867">
        <f t="shared" ca="1" si="163"/>
        <v>0</v>
      </c>
      <c r="CC179" s="867">
        <f t="shared" ca="1" si="164"/>
        <v>0</v>
      </c>
      <c r="CD179" s="867">
        <f t="shared" ca="1" si="165"/>
        <v>0</v>
      </c>
    </row>
    <row r="180" spans="1:82" ht="17" hidden="1" thickTop="1" thickBot="1">
      <c r="A180" s="773">
        <f t="shared" si="115"/>
        <v>0</v>
      </c>
      <c r="B180" s="779"/>
      <c r="C180" s="572"/>
      <c r="D180" s="660"/>
      <c r="E180" s="661"/>
      <c r="F180" s="862"/>
      <c r="G180" s="863"/>
      <c r="H180" s="961"/>
      <c r="I180" s="865">
        <f t="shared" si="121"/>
        <v>0</v>
      </c>
      <c r="J180" s="864" cm="1">
        <f t="array" ref="J180">IF($G180=0,0,-MIN(0,G180*c_equity.LPshare))</f>
        <v>0</v>
      </c>
      <c r="K180" s="865" cm="1">
        <f t="array" ref="K180">I180*c_rate.Pref.MO</f>
        <v>0</v>
      </c>
      <c r="L180" s="865">
        <f t="shared" si="122"/>
        <v>0</v>
      </c>
      <c r="M180" s="865">
        <f t="shared" si="123"/>
        <v>0</v>
      </c>
      <c r="N180" s="865">
        <f t="shared" si="124"/>
        <v>0</v>
      </c>
      <c r="O180" s="864" cm="1">
        <f t="array" ref="O180">IF(N180=0,0,IF(G180&lt;0,N180/c_equity.LPshare*i_equity.GPshare,L180/c_equity.LPshare*i_equity.GPshare))</f>
        <v>0</v>
      </c>
      <c r="P180" s="865">
        <f t="shared" si="125"/>
        <v>0</v>
      </c>
      <c r="Q180" s="865">
        <f t="shared" si="126"/>
        <v>0</v>
      </c>
      <c r="R180" s="161"/>
      <c r="S180" s="867">
        <f t="shared" ca="1" si="127"/>
        <v>0</v>
      </c>
      <c r="T180" s="867" cm="1">
        <f t="array" ref="T180">IF($G180=0,0,-MIN(0,$G180*c_equity.LPshare))</f>
        <v>0</v>
      </c>
      <c r="U180" s="869" cm="1">
        <f t="array" ref="U180">IF($D180=0,0,S180*c_rate.Hurdle1.MO)</f>
        <v>0</v>
      </c>
      <c r="V180" s="867">
        <f t="shared" si="128"/>
        <v>0</v>
      </c>
      <c r="W180" s="867">
        <f t="shared" ca="1" si="129"/>
        <v>0</v>
      </c>
      <c r="X180" s="869">
        <f t="shared" ca="1" si="130"/>
        <v>0</v>
      </c>
      <c r="Y180" s="869">
        <f t="shared" ca="1" si="131"/>
        <v>0</v>
      </c>
      <c r="Z180" s="869">
        <f t="shared" ca="1" si="132"/>
        <v>0</v>
      </c>
      <c r="AA180" s="869">
        <f t="shared" ca="1" si="133"/>
        <v>0</v>
      </c>
      <c r="AB180" s="867">
        <f t="shared" ca="1" si="134"/>
        <v>0</v>
      </c>
      <c r="AC180" s="161"/>
      <c r="AD180" s="869">
        <f t="shared" ca="1" si="135"/>
        <v>0</v>
      </c>
      <c r="AE180" s="867" cm="1">
        <f t="array" ref="AE180">IF($G180=0,0,-MIN(0,$G180*c_equity.LPshare))</f>
        <v>0</v>
      </c>
      <c r="AF180" s="869" cm="1">
        <f t="array" ref="AF180">IF($D180=0,0,AD180*(c_rate.Hurdle2.MO))</f>
        <v>0</v>
      </c>
      <c r="AG180" s="869">
        <f t="shared" ca="1" si="136"/>
        <v>0</v>
      </c>
      <c r="AH180" s="869">
        <f t="shared" ca="1" si="137"/>
        <v>0</v>
      </c>
      <c r="AI180" s="869">
        <f t="shared" ca="1" si="138"/>
        <v>0</v>
      </c>
      <c r="AJ180" s="868">
        <f t="shared" ca="1" si="116"/>
        <v>0</v>
      </c>
      <c r="AK180" s="867">
        <f t="shared" ca="1" si="139"/>
        <v>0</v>
      </c>
      <c r="AL180" s="869">
        <f t="shared" ca="1" si="117"/>
        <v>0</v>
      </c>
      <c r="AM180" s="869">
        <f t="shared" ca="1" si="140"/>
        <v>0</v>
      </c>
      <c r="AN180" s="867">
        <f t="shared" ca="1" si="113"/>
        <v>0</v>
      </c>
      <c r="AO180" s="161"/>
      <c r="AP180" s="869">
        <f t="shared" ca="1" si="141"/>
        <v>0</v>
      </c>
      <c r="AQ180" s="867" cm="1">
        <f t="array" ref="AQ180">IF($G180=0,0,-MIN(0,$G180*c_equity.LPshare))</f>
        <v>0</v>
      </c>
      <c r="AR180" s="869" cm="1">
        <f t="array" ref="AR180">IF($D180=0,0,AP180*(c_rate.Hurdle3.MO))</f>
        <v>0</v>
      </c>
      <c r="AS180" s="869">
        <f t="shared" ca="1" si="142"/>
        <v>0</v>
      </c>
      <c r="AT180" s="869">
        <f t="shared" ca="1" si="143"/>
        <v>0</v>
      </c>
      <c r="AU180" s="869">
        <f t="shared" ca="1" si="144"/>
        <v>0</v>
      </c>
      <c r="AV180" s="870">
        <f t="shared" ca="1" si="145"/>
        <v>0</v>
      </c>
      <c r="AW180" s="867">
        <f t="shared" ca="1" si="146"/>
        <v>0</v>
      </c>
      <c r="AX180" s="869">
        <f t="shared" ca="1" si="118"/>
        <v>0</v>
      </c>
      <c r="AY180" s="869">
        <f t="shared" ca="1" si="147"/>
        <v>0</v>
      </c>
      <c r="AZ180" s="867">
        <f t="shared" ca="1" si="148"/>
        <v>0</v>
      </c>
      <c r="BA180" s="161"/>
      <c r="BB180" s="867">
        <f t="shared" ca="1" si="149"/>
        <v>0</v>
      </c>
      <c r="BC180" s="867">
        <f t="shared" ca="1" si="114"/>
        <v>0</v>
      </c>
      <c r="BD180" s="658"/>
      <c r="BE180" s="867">
        <f t="shared" ca="1" si="150"/>
        <v>0</v>
      </c>
      <c r="BF180" s="867">
        <f t="shared" ca="1" si="151"/>
        <v>0</v>
      </c>
      <c r="BG180" s="867">
        <f t="shared" ca="1" si="152"/>
        <v>0</v>
      </c>
      <c r="BI180" s="867">
        <f ca="1"/>
        <v>0</v>
      </c>
      <c r="BJ180" s="867">
        <f ca="1"/>
        <v>0</v>
      </c>
      <c r="BK180" s="867">
        <f ca="1"/>
        <v>0</v>
      </c>
      <c r="BL180" s="867">
        <f t="shared" ca="1" si="153"/>
        <v>0</v>
      </c>
      <c r="BM180" s="867">
        <f t="shared" ca="1" si="154"/>
        <v>0</v>
      </c>
      <c r="BN180" s="867">
        <f t="shared" ca="1" si="155"/>
        <v>0</v>
      </c>
      <c r="BO180" s="867">
        <f t="shared" ca="1" si="156"/>
        <v>0</v>
      </c>
      <c r="BP180" s="867">
        <f t="shared" ca="1" si="157"/>
        <v>0</v>
      </c>
      <c r="BQ180" s="867">
        <f t="shared" ca="1" si="158"/>
        <v>0</v>
      </c>
      <c r="BR180" s="867">
        <f ca="1"/>
        <v>0</v>
      </c>
      <c r="BS180" s="867">
        <f ca="1"/>
        <v>0</v>
      </c>
      <c r="BT180" s="867">
        <f t="shared" ca="1" si="119"/>
        <v>0</v>
      </c>
      <c r="BU180" s="867">
        <f t="shared" ca="1" si="159"/>
        <v>0</v>
      </c>
      <c r="BV180" s="829">
        <f t="shared" ca="1" si="120"/>
        <v>0</v>
      </c>
      <c r="BX180" s="867">
        <f ca="1"/>
        <v>0</v>
      </c>
      <c r="BY180" s="867">
        <f t="shared" ca="1" si="160"/>
        <v>0</v>
      </c>
      <c r="BZ180" s="867">
        <f t="shared" ca="1" si="161"/>
        <v>0</v>
      </c>
      <c r="CA180" s="867">
        <f t="shared" ca="1" si="162"/>
        <v>0</v>
      </c>
      <c r="CB180" s="867">
        <f t="shared" ca="1" si="163"/>
        <v>0</v>
      </c>
      <c r="CC180" s="867">
        <f t="shared" ca="1" si="164"/>
        <v>0</v>
      </c>
      <c r="CD180" s="867">
        <f t="shared" ca="1" si="165"/>
        <v>0</v>
      </c>
    </row>
    <row r="181" spans="1:82" ht="17" hidden="1" thickTop="1" thickBot="1">
      <c r="A181" s="773">
        <f t="shared" si="115"/>
        <v>0</v>
      </c>
      <c r="B181" s="779"/>
      <c r="C181" s="572"/>
      <c r="D181" s="660"/>
      <c r="E181" s="661"/>
      <c r="F181" s="862"/>
      <c r="G181" s="863"/>
      <c r="H181" s="961"/>
      <c r="I181" s="865">
        <f t="shared" si="121"/>
        <v>0</v>
      </c>
      <c r="J181" s="864" cm="1">
        <f t="array" ref="J181">IF($G181=0,0,-MIN(0,G181*c_equity.LPshare))</f>
        <v>0</v>
      </c>
      <c r="K181" s="865" cm="1">
        <f t="array" ref="K181">I181*c_rate.Pref.MO</f>
        <v>0</v>
      </c>
      <c r="L181" s="865">
        <f t="shared" si="122"/>
        <v>0</v>
      </c>
      <c r="M181" s="865">
        <f t="shared" si="123"/>
        <v>0</v>
      </c>
      <c r="N181" s="865">
        <f t="shared" si="124"/>
        <v>0</v>
      </c>
      <c r="O181" s="864" cm="1">
        <f t="array" ref="O181">IF(N181=0,0,IF(G181&lt;0,N181/c_equity.LPshare*i_equity.GPshare,L181/c_equity.LPshare*i_equity.GPshare))</f>
        <v>0</v>
      </c>
      <c r="P181" s="865">
        <f t="shared" si="125"/>
        <v>0</v>
      </c>
      <c r="Q181" s="865">
        <f t="shared" si="126"/>
        <v>0</v>
      </c>
      <c r="R181" s="161"/>
      <c r="S181" s="867">
        <f t="shared" ca="1" si="127"/>
        <v>0</v>
      </c>
      <c r="T181" s="867" cm="1">
        <f t="array" ref="T181">IF($G181=0,0,-MIN(0,$G181*c_equity.LPshare))</f>
        <v>0</v>
      </c>
      <c r="U181" s="869" cm="1">
        <f t="array" ref="U181">IF($D181=0,0,S181*c_rate.Hurdle1.MO)</f>
        <v>0</v>
      </c>
      <c r="V181" s="867">
        <f t="shared" si="128"/>
        <v>0</v>
      </c>
      <c r="W181" s="867">
        <f t="shared" ca="1" si="129"/>
        <v>0</v>
      </c>
      <c r="X181" s="869">
        <f t="shared" ca="1" si="130"/>
        <v>0</v>
      </c>
      <c r="Y181" s="869">
        <f t="shared" ca="1" si="131"/>
        <v>0</v>
      </c>
      <c r="Z181" s="869">
        <f t="shared" ca="1" si="132"/>
        <v>0</v>
      </c>
      <c r="AA181" s="869">
        <f t="shared" ca="1" si="133"/>
        <v>0</v>
      </c>
      <c r="AB181" s="867">
        <f t="shared" ca="1" si="134"/>
        <v>0</v>
      </c>
      <c r="AC181" s="161"/>
      <c r="AD181" s="869">
        <f t="shared" ca="1" si="135"/>
        <v>0</v>
      </c>
      <c r="AE181" s="867" cm="1">
        <f t="array" ref="AE181">IF($G181=0,0,-MIN(0,$G181*c_equity.LPshare))</f>
        <v>0</v>
      </c>
      <c r="AF181" s="869" cm="1">
        <f t="array" ref="AF181">IF($D181=0,0,AD181*(c_rate.Hurdle2.MO))</f>
        <v>0</v>
      </c>
      <c r="AG181" s="869">
        <f t="shared" ca="1" si="136"/>
        <v>0</v>
      </c>
      <c r="AH181" s="869">
        <f t="shared" ca="1" si="137"/>
        <v>0</v>
      </c>
      <c r="AI181" s="869">
        <f t="shared" ca="1" si="138"/>
        <v>0</v>
      </c>
      <c r="AJ181" s="868">
        <f t="shared" ca="1" si="116"/>
        <v>0</v>
      </c>
      <c r="AK181" s="867">
        <f t="shared" ca="1" si="139"/>
        <v>0</v>
      </c>
      <c r="AL181" s="869">
        <f t="shared" ca="1" si="117"/>
        <v>0</v>
      </c>
      <c r="AM181" s="869">
        <f t="shared" ca="1" si="140"/>
        <v>0</v>
      </c>
      <c r="AN181" s="867">
        <f t="shared" ca="1" si="113"/>
        <v>0</v>
      </c>
      <c r="AO181" s="161"/>
      <c r="AP181" s="869">
        <f t="shared" ca="1" si="141"/>
        <v>0</v>
      </c>
      <c r="AQ181" s="867" cm="1">
        <f t="array" ref="AQ181">IF($G181=0,0,-MIN(0,$G181*c_equity.LPshare))</f>
        <v>0</v>
      </c>
      <c r="AR181" s="869" cm="1">
        <f t="array" ref="AR181">IF($D181=0,0,AP181*(c_rate.Hurdle3.MO))</f>
        <v>0</v>
      </c>
      <c r="AS181" s="869">
        <f t="shared" ca="1" si="142"/>
        <v>0</v>
      </c>
      <c r="AT181" s="869">
        <f t="shared" ca="1" si="143"/>
        <v>0</v>
      </c>
      <c r="AU181" s="869">
        <f t="shared" ca="1" si="144"/>
        <v>0</v>
      </c>
      <c r="AV181" s="870">
        <f t="shared" ca="1" si="145"/>
        <v>0</v>
      </c>
      <c r="AW181" s="867">
        <f t="shared" ca="1" si="146"/>
        <v>0</v>
      </c>
      <c r="AX181" s="869">
        <f t="shared" ca="1" si="118"/>
        <v>0</v>
      </c>
      <c r="AY181" s="869">
        <f t="shared" ca="1" si="147"/>
        <v>0</v>
      </c>
      <c r="AZ181" s="867">
        <f t="shared" ca="1" si="148"/>
        <v>0</v>
      </c>
      <c r="BA181" s="161"/>
      <c r="BB181" s="867">
        <f t="shared" ca="1" si="149"/>
        <v>0</v>
      </c>
      <c r="BC181" s="867">
        <f t="shared" ca="1" si="114"/>
        <v>0</v>
      </c>
      <c r="BD181" s="658"/>
      <c r="BE181" s="867">
        <f t="shared" ca="1" si="150"/>
        <v>0</v>
      </c>
      <c r="BF181" s="867">
        <f t="shared" ca="1" si="151"/>
        <v>0</v>
      </c>
      <c r="BG181" s="867">
        <f t="shared" ca="1" si="152"/>
        <v>0</v>
      </c>
      <c r="BI181" s="867">
        <f ca="1"/>
        <v>0</v>
      </c>
      <c r="BJ181" s="867">
        <f ca="1"/>
        <v>0</v>
      </c>
      <c r="BK181" s="867">
        <f ca="1"/>
        <v>0</v>
      </c>
      <c r="BL181" s="867">
        <f t="shared" ca="1" si="153"/>
        <v>0</v>
      </c>
      <c r="BM181" s="867">
        <f t="shared" ca="1" si="154"/>
        <v>0</v>
      </c>
      <c r="BN181" s="867">
        <f t="shared" ca="1" si="155"/>
        <v>0</v>
      </c>
      <c r="BO181" s="867">
        <f t="shared" ca="1" si="156"/>
        <v>0</v>
      </c>
      <c r="BP181" s="867">
        <f t="shared" ca="1" si="157"/>
        <v>0</v>
      </c>
      <c r="BQ181" s="867">
        <f t="shared" ca="1" si="158"/>
        <v>0</v>
      </c>
      <c r="BR181" s="867">
        <f ca="1"/>
        <v>0</v>
      </c>
      <c r="BS181" s="867">
        <f ca="1"/>
        <v>0</v>
      </c>
      <c r="BT181" s="867">
        <f t="shared" ca="1" si="119"/>
        <v>0</v>
      </c>
      <c r="BU181" s="867">
        <f t="shared" ca="1" si="159"/>
        <v>0</v>
      </c>
      <c r="BV181" s="829">
        <f t="shared" ca="1" si="120"/>
        <v>0</v>
      </c>
      <c r="BX181" s="867">
        <f ca="1"/>
        <v>0</v>
      </c>
      <c r="BY181" s="867">
        <f t="shared" ca="1" si="160"/>
        <v>0</v>
      </c>
      <c r="BZ181" s="867">
        <f t="shared" ca="1" si="161"/>
        <v>0</v>
      </c>
      <c r="CA181" s="867">
        <f t="shared" ca="1" si="162"/>
        <v>0</v>
      </c>
      <c r="CB181" s="867">
        <f t="shared" ca="1" si="163"/>
        <v>0</v>
      </c>
      <c r="CC181" s="867">
        <f t="shared" ca="1" si="164"/>
        <v>0</v>
      </c>
      <c r="CD181" s="867">
        <f t="shared" ca="1" si="165"/>
        <v>0</v>
      </c>
    </row>
    <row r="182" spans="1:82" ht="17" hidden="1" thickTop="1" thickBot="1">
      <c r="A182" s="773">
        <f t="shared" si="115"/>
        <v>0</v>
      </c>
      <c r="B182" s="779"/>
      <c r="C182" s="572"/>
      <c r="D182" s="660"/>
      <c r="E182" s="661"/>
      <c r="F182" s="862"/>
      <c r="G182" s="863"/>
      <c r="H182" s="961"/>
      <c r="I182" s="865">
        <f t="shared" si="121"/>
        <v>0</v>
      </c>
      <c r="J182" s="864" cm="1">
        <f t="array" ref="J182">IF($G182=0,0,-MIN(0,G182*c_equity.LPshare))</f>
        <v>0</v>
      </c>
      <c r="K182" s="865" cm="1">
        <f t="array" ref="K182">I182*c_rate.Pref.MO</f>
        <v>0</v>
      </c>
      <c r="L182" s="865">
        <f t="shared" si="122"/>
        <v>0</v>
      </c>
      <c r="M182" s="865">
        <f t="shared" si="123"/>
        <v>0</v>
      </c>
      <c r="N182" s="865">
        <f t="shared" si="124"/>
        <v>0</v>
      </c>
      <c r="O182" s="864" cm="1">
        <f t="array" ref="O182">IF(N182=0,0,IF(G182&lt;0,N182/c_equity.LPshare*i_equity.GPshare,L182/c_equity.LPshare*i_equity.GPshare))</f>
        <v>0</v>
      </c>
      <c r="P182" s="865">
        <f t="shared" si="125"/>
        <v>0</v>
      </c>
      <c r="Q182" s="865">
        <f t="shared" si="126"/>
        <v>0</v>
      </c>
      <c r="R182" s="161"/>
      <c r="S182" s="867">
        <f t="shared" ca="1" si="127"/>
        <v>0</v>
      </c>
      <c r="T182" s="867" cm="1">
        <f t="array" ref="T182">IF($G182=0,0,-MIN(0,$G182*c_equity.LPshare))</f>
        <v>0</v>
      </c>
      <c r="U182" s="869" cm="1">
        <f t="array" ref="U182">IF($D182=0,0,S182*c_rate.Hurdle1.MO)</f>
        <v>0</v>
      </c>
      <c r="V182" s="867">
        <f t="shared" si="128"/>
        <v>0</v>
      </c>
      <c r="W182" s="867">
        <f t="shared" ca="1" si="129"/>
        <v>0</v>
      </c>
      <c r="X182" s="869">
        <f t="shared" ca="1" si="130"/>
        <v>0</v>
      </c>
      <c r="Y182" s="869">
        <f t="shared" ca="1" si="131"/>
        <v>0</v>
      </c>
      <c r="Z182" s="869">
        <f t="shared" ca="1" si="132"/>
        <v>0</v>
      </c>
      <c r="AA182" s="869">
        <f t="shared" ca="1" si="133"/>
        <v>0</v>
      </c>
      <c r="AB182" s="867">
        <f t="shared" ca="1" si="134"/>
        <v>0</v>
      </c>
      <c r="AC182" s="161"/>
      <c r="AD182" s="869">
        <f t="shared" ca="1" si="135"/>
        <v>0</v>
      </c>
      <c r="AE182" s="867" cm="1">
        <f t="array" ref="AE182">IF($G182=0,0,-MIN(0,$G182*c_equity.LPshare))</f>
        <v>0</v>
      </c>
      <c r="AF182" s="869" cm="1">
        <f t="array" ref="AF182">IF($D182=0,0,AD182*(c_rate.Hurdle2.MO))</f>
        <v>0</v>
      </c>
      <c r="AG182" s="869">
        <f t="shared" ca="1" si="136"/>
        <v>0</v>
      </c>
      <c r="AH182" s="869">
        <f t="shared" ca="1" si="137"/>
        <v>0</v>
      </c>
      <c r="AI182" s="869">
        <f t="shared" ca="1" si="138"/>
        <v>0</v>
      </c>
      <c r="AJ182" s="868">
        <f t="shared" ca="1" si="116"/>
        <v>0</v>
      </c>
      <c r="AK182" s="867">
        <f t="shared" ca="1" si="139"/>
        <v>0</v>
      </c>
      <c r="AL182" s="869">
        <f t="shared" ca="1" si="117"/>
        <v>0</v>
      </c>
      <c r="AM182" s="869">
        <f t="shared" ca="1" si="140"/>
        <v>0</v>
      </c>
      <c r="AN182" s="867">
        <f t="shared" ca="1" si="113"/>
        <v>0</v>
      </c>
      <c r="AO182" s="161"/>
      <c r="AP182" s="869">
        <f t="shared" ca="1" si="141"/>
        <v>0</v>
      </c>
      <c r="AQ182" s="867" cm="1">
        <f t="array" ref="AQ182">IF($G182=0,0,-MIN(0,$G182*c_equity.LPshare))</f>
        <v>0</v>
      </c>
      <c r="AR182" s="869" cm="1">
        <f t="array" ref="AR182">IF($D182=0,0,AP182*(c_rate.Hurdle3.MO))</f>
        <v>0</v>
      </c>
      <c r="AS182" s="869">
        <f t="shared" ca="1" si="142"/>
        <v>0</v>
      </c>
      <c r="AT182" s="869">
        <f t="shared" ca="1" si="143"/>
        <v>0</v>
      </c>
      <c r="AU182" s="869">
        <f t="shared" ca="1" si="144"/>
        <v>0</v>
      </c>
      <c r="AV182" s="870">
        <f t="shared" ca="1" si="145"/>
        <v>0</v>
      </c>
      <c r="AW182" s="867">
        <f t="shared" ca="1" si="146"/>
        <v>0</v>
      </c>
      <c r="AX182" s="869">
        <f t="shared" ca="1" si="118"/>
        <v>0</v>
      </c>
      <c r="AY182" s="869">
        <f t="shared" ca="1" si="147"/>
        <v>0</v>
      </c>
      <c r="AZ182" s="867">
        <f t="shared" ca="1" si="148"/>
        <v>0</v>
      </c>
      <c r="BA182" s="161"/>
      <c r="BB182" s="867">
        <f t="shared" ca="1" si="149"/>
        <v>0</v>
      </c>
      <c r="BC182" s="867">
        <f t="shared" ca="1" si="114"/>
        <v>0</v>
      </c>
      <c r="BD182" s="658"/>
      <c r="BE182" s="867">
        <f t="shared" ca="1" si="150"/>
        <v>0</v>
      </c>
      <c r="BF182" s="867">
        <f t="shared" ca="1" si="151"/>
        <v>0</v>
      </c>
      <c r="BG182" s="867">
        <f t="shared" ca="1" si="152"/>
        <v>0</v>
      </c>
      <c r="BI182" s="867">
        <f ca="1"/>
        <v>0</v>
      </c>
      <c r="BJ182" s="867">
        <f ca="1"/>
        <v>0</v>
      </c>
      <c r="BK182" s="867">
        <f ca="1"/>
        <v>0</v>
      </c>
      <c r="BL182" s="867">
        <f t="shared" ca="1" si="153"/>
        <v>0</v>
      </c>
      <c r="BM182" s="867">
        <f t="shared" ca="1" si="154"/>
        <v>0</v>
      </c>
      <c r="BN182" s="867">
        <f t="shared" ca="1" si="155"/>
        <v>0</v>
      </c>
      <c r="BO182" s="867">
        <f t="shared" ca="1" si="156"/>
        <v>0</v>
      </c>
      <c r="BP182" s="867">
        <f t="shared" ca="1" si="157"/>
        <v>0</v>
      </c>
      <c r="BQ182" s="867">
        <f t="shared" ca="1" si="158"/>
        <v>0</v>
      </c>
      <c r="BR182" s="867">
        <f ca="1"/>
        <v>0</v>
      </c>
      <c r="BS182" s="867">
        <f ca="1"/>
        <v>0</v>
      </c>
      <c r="BT182" s="867">
        <f t="shared" ca="1" si="119"/>
        <v>0</v>
      </c>
      <c r="BU182" s="867">
        <f t="shared" ca="1" si="159"/>
        <v>0</v>
      </c>
      <c r="BV182" s="829">
        <f t="shared" ca="1" si="120"/>
        <v>0</v>
      </c>
      <c r="BX182" s="867">
        <f ca="1"/>
        <v>0</v>
      </c>
      <c r="BY182" s="867">
        <f t="shared" ca="1" si="160"/>
        <v>0</v>
      </c>
      <c r="BZ182" s="867">
        <f t="shared" ca="1" si="161"/>
        <v>0</v>
      </c>
      <c r="CA182" s="867">
        <f t="shared" ca="1" si="162"/>
        <v>0</v>
      </c>
      <c r="CB182" s="867">
        <f t="shared" ca="1" si="163"/>
        <v>0</v>
      </c>
      <c r="CC182" s="867">
        <f t="shared" ca="1" si="164"/>
        <v>0</v>
      </c>
      <c r="CD182" s="867">
        <f t="shared" ca="1" si="165"/>
        <v>0</v>
      </c>
    </row>
    <row r="183" spans="1:82" ht="17" hidden="1" thickTop="1" thickBot="1">
      <c r="A183" s="773">
        <f t="shared" si="115"/>
        <v>0</v>
      </c>
      <c r="B183" s="779"/>
      <c r="D183" s="660"/>
      <c r="E183" s="661"/>
      <c r="F183" s="862"/>
      <c r="G183" s="863"/>
      <c r="H183" s="961"/>
      <c r="I183" s="865">
        <f t="shared" si="121"/>
        <v>0</v>
      </c>
      <c r="J183" s="864" cm="1">
        <f t="array" ref="J183">IF($G183=0,0,-MIN(0,G183*c_equity.LPshare))</f>
        <v>0</v>
      </c>
      <c r="K183" s="865" cm="1">
        <f t="array" ref="K183">I183*c_rate.Pref.MO</f>
        <v>0</v>
      </c>
      <c r="L183" s="865">
        <f t="shared" si="122"/>
        <v>0</v>
      </c>
      <c r="M183" s="865">
        <f t="shared" si="123"/>
        <v>0</v>
      </c>
      <c r="N183" s="865">
        <f t="shared" si="124"/>
        <v>0</v>
      </c>
      <c r="O183" s="864" cm="1">
        <f t="array" ref="O183">IF(N183=0,0,IF(G183&lt;0,N183/c_equity.LPshare*i_equity.GPshare,L183/c_equity.LPshare*i_equity.GPshare))</f>
        <v>0</v>
      </c>
      <c r="P183" s="865">
        <f t="shared" si="125"/>
        <v>0</v>
      </c>
      <c r="Q183" s="865">
        <f t="shared" si="126"/>
        <v>0</v>
      </c>
      <c r="R183" s="161"/>
      <c r="S183" s="867">
        <f t="shared" ca="1" si="127"/>
        <v>0</v>
      </c>
      <c r="T183" s="867" cm="1">
        <f t="array" ref="T183">IF($G183=0,0,-MIN(0,$G183*c_equity.LPshare))</f>
        <v>0</v>
      </c>
      <c r="U183" s="869" cm="1">
        <f t="array" ref="U183">IF($D183=0,0,S183*c_rate.Hurdle1.MO)</f>
        <v>0</v>
      </c>
      <c r="V183" s="867">
        <f t="shared" si="128"/>
        <v>0</v>
      </c>
      <c r="W183" s="867">
        <f t="shared" ca="1" si="129"/>
        <v>0</v>
      </c>
      <c r="X183" s="869">
        <f t="shared" ca="1" si="130"/>
        <v>0</v>
      </c>
      <c r="Y183" s="869">
        <f t="shared" ca="1" si="131"/>
        <v>0</v>
      </c>
      <c r="Z183" s="869">
        <f t="shared" ca="1" si="132"/>
        <v>0</v>
      </c>
      <c r="AA183" s="869">
        <f t="shared" ca="1" si="133"/>
        <v>0</v>
      </c>
      <c r="AB183" s="867">
        <f t="shared" ca="1" si="134"/>
        <v>0</v>
      </c>
      <c r="AC183" s="161"/>
      <c r="AD183" s="869">
        <f t="shared" ca="1" si="135"/>
        <v>0</v>
      </c>
      <c r="AE183" s="867" cm="1">
        <f t="array" ref="AE183">IF($G183=0,0,-MIN(0,$G183*c_equity.LPshare))</f>
        <v>0</v>
      </c>
      <c r="AF183" s="869" cm="1">
        <f t="array" ref="AF183">IF($D183=0,0,AD183*(c_rate.Hurdle2.MO))</f>
        <v>0</v>
      </c>
      <c r="AG183" s="869">
        <f t="shared" ca="1" si="136"/>
        <v>0</v>
      </c>
      <c r="AH183" s="869">
        <f t="shared" ca="1" si="137"/>
        <v>0</v>
      </c>
      <c r="AI183" s="869">
        <f t="shared" ca="1" si="138"/>
        <v>0</v>
      </c>
      <c r="AJ183" s="868">
        <f t="shared" ca="1" si="116"/>
        <v>0</v>
      </c>
      <c r="AK183" s="867">
        <f t="shared" ca="1" si="139"/>
        <v>0</v>
      </c>
      <c r="AL183" s="869">
        <f t="shared" ca="1" si="117"/>
        <v>0</v>
      </c>
      <c r="AM183" s="869">
        <f t="shared" ca="1" si="140"/>
        <v>0</v>
      </c>
      <c r="AN183" s="867">
        <f t="shared" ca="1" si="113"/>
        <v>0</v>
      </c>
      <c r="AO183" s="161"/>
      <c r="AP183" s="869">
        <f t="shared" ca="1" si="141"/>
        <v>0</v>
      </c>
      <c r="AQ183" s="867" cm="1">
        <f t="array" ref="AQ183">IF($G183=0,0,-MIN(0,$G183*c_equity.LPshare))</f>
        <v>0</v>
      </c>
      <c r="AR183" s="869" cm="1">
        <f t="array" ref="AR183">IF($D183=0,0,AP183*(c_rate.Hurdle3.MO))</f>
        <v>0</v>
      </c>
      <c r="AS183" s="869">
        <f t="shared" ca="1" si="142"/>
        <v>0</v>
      </c>
      <c r="AT183" s="869">
        <f t="shared" ca="1" si="143"/>
        <v>0</v>
      </c>
      <c r="AU183" s="869">
        <f t="shared" ca="1" si="144"/>
        <v>0</v>
      </c>
      <c r="AV183" s="870">
        <f t="shared" ca="1" si="145"/>
        <v>0</v>
      </c>
      <c r="AW183" s="867">
        <f t="shared" ca="1" si="146"/>
        <v>0</v>
      </c>
      <c r="AX183" s="869">
        <f t="shared" ca="1" si="118"/>
        <v>0</v>
      </c>
      <c r="AY183" s="869">
        <f t="shared" ca="1" si="147"/>
        <v>0</v>
      </c>
      <c r="AZ183" s="867">
        <f t="shared" ca="1" si="148"/>
        <v>0</v>
      </c>
      <c r="BA183" s="161"/>
      <c r="BB183" s="867">
        <f t="shared" ca="1" si="149"/>
        <v>0</v>
      </c>
      <c r="BC183" s="867">
        <f t="shared" ca="1" si="114"/>
        <v>0</v>
      </c>
      <c r="BD183" s="658"/>
      <c r="BE183" s="867">
        <f t="shared" ca="1" si="150"/>
        <v>0</v>
      </c>
      <c r="BF183" s="867">
        <f t="shared" ca="1" si="151"/>
        <v>0</v>
      </c>
      <c r="BG183" s="867">
        <f t="shared" ca="1" si="152"/>
        <v>0</v>
      </c>
      <c r="BI183" s="867">
        <f ca="1"/>
        <v>0</v>
      </c>
      <c r="BJ183" s="867">
        <f ca="1"/>
        <v>0</v>
      </c>
      <c r="BK183" s="867">
        <f ca="1"/>
        <v>0</v>
      </c>
      <c r="BL183" s="867">
        <f t="shared" ca="1" si="153"/>
        <v>0</v>
      </c>
      <c r="BM183" s="867">
        <f t="shared" ca="1" si="154"/>
        <v>0</v>
      </c>
      <c r="BN183" s="867">
        <f t="shared" ca="1" si="155"/>
        <v>0</v>
      </c>
      <c r="BO183" s="867">
        <f t="shared" ca="1" si="156"/>
        <v>0</v>
      </c>
      <c r="BP183" s="867">
        <f t="shared" ca="1" si="157"/>
        <v>0</v>
      </c>
      <c r="BQ183" s="867">
        <f t="shared" ca="1" si="158"/>
        <v>0</v>
      </c>
      <c r="BR183" s="867">
        <f ca="1"/>
        <v>0</v>
      </c>
      <c r="BS183" s="867">
        <f ca="1"/>
        <v>0</v>
      </c>
      <c r="BT183" s="867">
        <f t="shared" ca="1" si="119"/>
        <v>0</v>
      </c>
      <c r="BU183" s="867">
        <f t="shared" ca="1" si="159"/>
        <v>0</v>
      </c>
      <c r="BV183" s="829">
        <f t="shared" ca="1" si="120"/>
        <v>0</v>
      </c>
      <c r="BX183" s="867">
        <f ca="1"/>
        <v>0</v>
      </c>
      <c r="BY183" s="867">
        <f t="shared" ca="1" si="160"/>
        <v>0</v>
      </c>
      <c r="BZ183" s="867">
        <f t="shared" ca="1" si="161"/>
        <v>0</v>
      </c>
      <c r="CA183" s="867">
        <f t="shared" ca="1" si="162"/>
        <v>0</v>
      </c>
      <c r="CB183" s="867">
        <f t="shared" ca="1" si="163"/>
        <v>0</v>
      </c>
      <c r="CC183" s="867">
        <f t="shared" ca="1" si="164"/>
        <v>0</v>
      </c>
      <c r="CD183" s="867">
        <f t="shared" ca="1" si="165"/>
        <v>0</v>
      </c>
    </row>
    <row r="184" spans="1:82" ht="17" hidden="1" thickTop="1" thickBot="1">
      <c r="A184" s="773">
        <f t="shared" si="115"/>
        <v>0</v>
      </c>
      <c r="B184" s="779"/>
      <c r="D184" s="660"/>
      <c r="E184" s="661"/>
      <c r="F184" s="862"/>
      <c r="G184" s="863"/>
      <c r="H184" s="961"/>
      <c r="I184" s="865">
        <f t="shared" si="121"/>
        <v>0</v>
      </c>
      <c r="J184" s="864" cm="1">
        <f t="array" ref="J184">IF($G184=0,0,-MIN(0,G184*c_equity.LPshare))</f>
        <v>0</v>
      </c>
      <c r="K184" s="865" cm="1">
        <f t="array" ref="K184">I184*c_rate.Pref.MO</f>
        <v>0</v>
      </c>
      <c r="L184" s="865">
        <f t="shared" si="122"/>
        <v>0</v>
      </c>
      <c r="M184" s="865">
        <f t="shared" si="123"/>
        <v>0</v>
      </c>
      <c r="N184" s="865">
        <f t="shared" si="124"/>
        <v>0</v>
      </c>
      <c r="O184" s="864" cm="1">
        <f t="array" ref="O184">IF(N184=0,0,IF(G184&lt;0,N184/c_equity.LPshare*i_equity.GPshare,L184/c_equity.LPshare*i_equity.GPshare))</f>
        <v>0</v>
      </c>
      <c r="P184" s="865">
        <f t="shared" si="125"/>
        <v>0</v>
      </c>
      <c r="Q184" s="865">
        <f t="shared" si="126"/>
        <v>0</v>
      </c>
      <c r="R184" s="161"/>
      <c r="S184" s="867">
        <f t="shared" ca="1" si="127"/>
        <v>0</v>
      </c>
      <c r="T184" s="867" cm="1">
        <f t="array" ref="T184">IF($G184=0,0,-MIN(0,$G184*c_equity.LPshare))</f>
        <v>0</v>
      </c>
      <c r="U184" s="869" cm="1">
        <f t="array" ref="U184">IF($D184=0,0,S184*c_rate.Hurdle1.MO)</f>
        <v>0</v>
      </c>
      <c r="V184" s="867">
        <f t="shared" si="128"/>
        <v>0</v>
      </c>
      <c r="W184" s="867">
        <f t="shared" ca="1" si="129"/>
        <v>0</v>
      </c>
      <c r="X184" s="869">
        <f t="shared" ca="1" si="130"/>
        <v>0</v>
      </c>
      <c r="Y184" s="869">
        <f t="shared" ca="1" si="131"/>
        <v>0</v>
      </c>
      <c r="Z184" s="869">
        <f t="shared" ca="1" si="132"/>
        <v>0</v>
      </c>
      <c r="AA184" s="869">
        <f t="shared" ca="1" si="133"/>
        <v>0</v>
      </c>
      <c r="AB184" s="867">
        <f t="shared" ca="1" si="134"/>
        <v>0</v>
      </c>
      <c r="AC184" s="161"/>
      <c r="AD184" s="869">
        <f t="shared" ca="1" si="135"/>
        <v>0</v>
      </c>
      <c r="AE184" s="867" cm="1">
        <f t="array" ref="AE184">IF($G184=0,0,-MIN(0,$G184*c_equity.LPshare))</f>
        <v>0</v>
      </c>
      <c r="AF184" s="869" cm="1">
        <f t="array" ref="AF184">IF($D184=0,0,AD184*(c_rate.Hurdle2.MO))</f>
        <v>0</v>
      </c>
      <c r="AG184" s="869">
        <f t="shared" ca="1" si="136"/>
        <v>0</v>
      </c>
      <c r="AH184" s="869">
        <f t="shared" ca="1" si="137"/>
        <v>0</v>
      </c>
      <c r="AI184" s="869">
        <f t="shared" ca="1" si="138"/>
        <v>0</v>
      </c>
      <c r="AJ184" s="868">
        <f t="shared" ca="1" si="116"/>
        <v>0</v>
      </c>
      <c r="AK184" s="867">
        <f t="shared" ca="1" si="139"/>
        <v>0</v>
      </c>
      <c r="AL184" s="869">
        <f t="shared" ca="1" si="117"/>
        <v>0</v>
      </c>
      <c r="AM184" s="869">
        <f t="shared" ca="1" si="140"/>
        <v>0</v>
      </c>
      <c r="AN184" s="867">
        <f t="shared" ca="1" si="113"/>
        <v>0</v>
      </c>
      <c r="AO184" s="161"/>
      <c r="AP184" s="869">
        <f t="shared" ca="1" si="141"/>
        <v>0</v>
      </c>
      <c r="AQ184" s="867" cm="1">
        <f t="array" ref="AQ184">IF($G184=0,0,-MIN(0,$G184*c_equity.LPshare))</f>
        <v>0</v>
      </c>
      <c r="AR184" s="869" cm="1">
        <f t="array" ref="AR184">IF($D184=0,0,AP184*(c_rate.Hurdle3.MO))</f>
        <v>0</v>
      </c>
      <c r="AS184" s="869">
        <f t="shared" ca="1" si="142"/>
        <v>0</v>
      </c>
      <c r="AT184" s="869">
        <f t="shared" ca="1" si="143"/>
        <v>0</v>
      </c>
      <c r="AU184" s="869">
        <f t="shared" ca="1" si="144"/>
        <v>0</v>
      </c>
      <c r="AV184" s="870">
        <f t="shared" ca="1" si="145"/>
        <v>0</v>
      </c>
      <c r="AW184" s="867">
        <f t="shared" ca="1" si="146"/>
        <v>0</v>
      </c>
      <c r="AX184" s="869">
        <f t="shared" ca="1" si="118"/>
        <v>0</v>
      </c>
      <c r="AY184" s="869">
        <f t="shared" ca="1" si="147"/>
        <v>0</v>
      </c>
      <c r="AZ184" s="867">
        <f t="shared" ca="1" si="148"/>
        <v>0</v>
      </c>
      <c r="BA184" s="161"/>
      <c r="BB184" s="867">
        <f t="shared" ca="1" si="149"/>
        <v>0</v>
      </c>
      <c r="BC184" s="867">
        <f t="shared" ca="1" si="114"/>
        <v>0</v>
      </c>
      <c r="BD184" s="658"/>
      <c r="BE184" s="867">
        <f t="shared" ca="1" si="150"/>
        <v>0</v>
      </c>
      <c r="BF184" s="867">
        <f t="shared" ca="1" si="151"/>
        <v>0</v>
      </c>
      <c r="BG184" s="867">
        <f t="shared" ca="1" si="152"/>
        <v>0</v>
      </c>
      <c r="BI184" s="867">
        <f ca="1"/>
        <v>0</v>
      </c>
      <c r="BJ184" s="867">
        <f ca="1"/>
        <v>0</v>
      </c>
      <c r="BK184" s="867">
        <f ca="1"/>
        <v>0</v>
      </c>
      <c r="BL184" s="867">
        <f t="shared" ca="1" si="153"/>
        <v>0</v>
      </c>
      <c r="BM184" s="867">
        <f t="shared" ca="1" si="154"/>
        <v>0</v>
      </c>
      <c r="BN184" s="867">
        <f t="shared" ca="1" si="155"/>
        <v>0</v>
      </c>
      <c r="BO184" s="867">
        <f t="shared" ca="1" si="156"/>
        <v>0</v>
      </c>
      <c r="BP184" s="867">
        <f t="shared" ca="1" si="157"/>
        <v>0</v>
      </c>
      <c r="BQ184" s="867">
        <f t="shared" ca="1" si="158"/>
        <v>0</v>
      </c>
      <c r="BR184" s="867">
        <f ca="1"/>
        <v>0</v>
      </c>
      <c r="BS184" s="867">
        <f ca="1"/>
        <v>0</v>
      </c>
      <c r="BT184" s="867">
        <f t="shared" ca="1" si="119"/>
        <v>0</v>
      </c>
      <c r="BU184" s="867">
        <f t="shared" ca="1" si="159"/>
        <v>0</v>
      </c>
      <c r="BV184" s="829">
        <f t="shared" ca="1" si="120"/>
        <v>0</v>
      </c>
      <c r="BX184" s="867">
        <f ca="1"/>
        <v>0</v>
      </c>
      <c r="BY184" s="867">
        <f t="shared" ca="1" si="160"/>
        <v>0</v>
      </c>
      <c r="BZ184" s="867">
        <f t="shared" ca="1" si="161"/>
        <v>0</v>
      </c>
      <c r="CA184" s="867">
        <f t="shared" ca="1" si="162"/>
        <v>0</v>
      </c>
      <c r="CB184" s="867">
        <f t="shared" ca="1" si="163"/>
        <v>0</v>
      </c>
      <c r="CC184" s="867">
        <f t="shared" ca="1" si="164"/>
        <v>0</v>
      </c>
      <c r="CD184" s="867">
        <f t="shared" ca="1" si="165"/>
        <v>0</v>
      </c>
    </row>
    <row r="185" spans="1:82" ht="17" hidden="1" thickTop="1" thickBot="1">
      <c r="A185" s="773">
        <f t="shared" si="115"/>
        <v>0</v>
      </c>
      <c r="B185" s="779"/>
      <c r="D185" s="660"/>
      <c r="E185" s="661"/>
      <c r="F185" s="862"/>
      <c r="G185" s="863"/>
      <c r="H185" s="961"/>
      <c r="I185" s="865">
        <f t="shared" si="121"/>
        <v>0</v>
      </c>
      <c r="J185" s="864" cm="1">
        <f t="array" ref="J185">IF($G185=0,0,-MIN(0,G185*c_equity.LPshare))</f>
        <v>0</v>
      </c>
      <c r="K185" s="865" cm="1">
        <f t="array" ref="K185">I185*c_rate.Pref.MO</f>
        <v>0</v>
      </c>
      <c r="L185" s="865">
        <f t="shared" si="122"/>
        <v>0</v>
      </c>
      <c r="M185" s="865">
        <f t="shared" si="123"/>
        <v>0</v>
      </c>
      <c r="N185" s="865">
        <f t="shared" si="124"/>
        <v>0</v>
      </c>
      <c r="O185" s="864" cm="1">
        <f t="array" ref="O185">IF(N185=0,0,IF(G185&lt;0,N185/c_equity.LPshare*i_equity.GPshare,L185/c_equity.LPshare*i_equity.GPshare))</f>
        <v>0</v>
      </c>
      <c r="P185" s="865">
        <f t="shared" si="125"/>
        <v>0</v>
      </c>
      <c r="Q185" s="865">
        <f t="shared" si="126"/>
        <v>0</v>
      </c>
      <c r="R185" s="161"/>
      <c r="S185" s="867">
        <f t="shared" ca="1" si="127"/>
        <v>0</v>
      </c>
      <c r="T185" s="867" cm="1">
        <f t="array" ref="T185">IF($G185=0,0,-MIN(0,$G185*c_equity.LPshare))</f>
        <v>0</v>
      </c>
      <c r="U185" s="869" cm="1">
        <f t="array" ref="U185">IF($D185=0,0,S185*c_rate.Hurdle1.MO)</f>
        <v>0</v>
      </c>
      <c r="V185" s="867">
        <f t="shared" si="128"/>
        <v>0</v>
      </c>
      <c r="W185" s="867">
        <f t="shared" ca="1" si="129"/>
        <v>0</v>
      </c>
      <c r="X185" s="869">
        <f t="shared" ca="1" si="130"/>
        <v>0</v>
      </c>
      <c r="Y185" s="869">
        <f t="shared" ca="1" si="131"/>
        <v>0</v>
      </c>
      <c r="Z185" s="869">
        <f t="shared" ca="1" si="132"/>
        <v>0</v>
      </c>
      <c r="AA185" s="869">
        <f t="shared" ca="1" si="133"/>
        <v>0</v>
      </c>
      <c r="AB185" s="867">
        <f t="shared" ca="1" si="134"/>
        <v>0</v>
      </c>
      <c r="AC185" s="161"/>
      <c r="AD185" s="869">
        <f t="shared" ca="1" si="135"/>
        <v>0</v>
      </c>
      <c r="AE185" s="867" cm="1">
        <f t="array" ref="AE185">IF($G185=0,0,-MIN(0,$G185*c_equity.LPshare))</f>
        <v>0</v>
      </c>
      <c r="AF185" s="869" cm="1">
        <f t="array" ref="AF185">IF($D185=0,0,AD185*(c_rate.Hurdle2.MO))</f>
        <v>0</v>
      </c>
      <c r="AG185" s="869">
        <f t="shared" ca="1" si="136"/>
        <v>0</v>
      </c>
      <c r="AH185" s="869">
        <f t="shared" ca="1" si="137"/>
        <v>0</v>
      </c>
      <c r="AI185" s="869">
        <f t="shared" ca="1" si="138"/>
        <v>0</v>
      </c>
      <c r="AJ185" s="868">
        <f t="shared" ca="1" si="116"/>
        <v>0</v>
      </c>
      <c r="AK185" s="867">
        <f t="shared" ca="1" si="139"/>
        <v>0</v>
      </c>
      <c r="AL185" s="869">
        <f t="shared" ca="1" si="117"/>
        <v>0</v>
      </c>
      <c r="AM185" s="869">
        <f t="shared" ca="1" si="140"/>
        <v>0</v>
      </c>
      <c r="AN185" s="867">
        <f ca="1">IF(AM185&lt;0,0,MAX($G185-AM185,0))</f>
        <v>0</v>
      </c>
      <c r="AO185" s="161"/>
      <c r="AP185" s="869">
        <f t="shared" ca="1" si="141"/>
        <v>0</v>
      </c>
      <c r="AQ185" s="867" cm="1">
        <f t="array" ref="AQ185">IF($G185=0,0,-MIN(0,$G185*c_equity.LPshare))</f>
        <v>0</v>
      </c>
      <c r="AR185" s="869" cm="1">
        <f t="array" ref="AR185">IF($D185=0,0,AP185*(c_rate.Hurdle3.MO))</f>
        <v>0</v>
      </c>
      <c r="AS185" s="869">
        <f t="shared" ca="1" si="142"/>
        <v>0</v>
      </c>
      <c r="AT185" s="869">
        <f t="shared" ca="1" si="143"/>
        <v>0</v>
      </c>
      <c r="AU185" s="869">
        <f t="shared" ca="1" si="144"/>
        <v>0</v>
      </c>
      <c r="AV185" s="870">
        <f t="shared" ca="1" si="145"/>
        <v>0</v>
      </c>
      <c r="AW185" s="867">
        <f t="shared" ca="1" si="146"/>
        <v>0</v>
      </c>
      <c r="AX185" s="869">
        <f t="shared" ca="1" si="118"/>
        <v>0</v>
      </c>
      <c r="AY185" s="869">
        <f t="shared" ca="1" si="147"/>
        <v>0</v>
      </c>
      <c r="AZ185" s="867">
        <f t="shared" ca="1" si="148"/>
        <v>0</v>
      </c>
      <c r="BA185" s="161"/>
      <c r="BB185" s="867">
        <f t="shared" ca="1" si="149"/>
        <v>0</v>
      </c>
      <c r="BC185" s="867">
        <f t="shared" ca="1" si="114"/>
        <v>0</v>
      </c>
      <c r="BD185" s="658"/>
      <c r="BE185" s="867">
        <f t="shared" ca="1" si="150"/>
        <v>0</v>
      </c>
      <c r="BF185" s="867">
        <f t="shared" ca="1" si="151"/>
        <v>0</v>
      </c>
      <c r="BG185" s="867">
        <f t="shared" ca="1" si="152"/>
        <v>0</v>
      </c>
      <c r="BI185" s="867">
        <f ca="1"/>
        <v>0</v>
      </c>
      <c r="BJ185" s="867">
        <f ca="1"/>
        <v>0</v>
      </c>
      <c r="BK185" s="867">
        <f ca="1"/>
        <v>0</v>
      </c>
      <c r="BL185" s="867">
        <f t="shared" ca="1" si="153"/>
        <v>0</v>
      </c>
      <c r="BM185" s="867">
        <f t="shared" ca="1" si="154"/>
        <v>0</v>
      </c>
      <c r="BN185" s="867">
        <f t="shared" ca="1" si="155"/>
        <v>0</v>
      </c>
      <c r="BO185" s="867">
        <f t="shared" ca="1" si="156"/>
        <v>0</v>
      </c>
      <c r="BP185" s="867">
        <f t="shared" ca="1" si="157"/>
        <v>0</v>
      </c>
      <c r="BQ185" s="867">
        <f t="shared" ca="1" si="158"/>
        <v>0</v>
      </c>
      <c r="BR185" s="867">
        <f ca="1"/>
        <v>0</v>
      </c>
      <c r="BS185" s="867">
        <f ca="1"/>
        <v>0</v>
      </c>
      <c r="BT185" s="867">
        <f t="shared" ca="1" si="119"/>
        <v>0</v>
      </c>
      <c r="BU185" s="867">
        <f t="shared" ca="1" si="159"/>
        <v>0</v>
      </c>
      <c r="BV185" s="829">
        <f t="shared" ca="1" si="120"/>
        <v>0</v>
      </c>
      <c r="BX185" s="867">
        <f ca="1"/>
        <v>0</v>
      </c>
      <c r="BY185" s="867">
        <f t="shared" ca="1" si="160"/>
        <v>0</v>
      </c>
      <c r="BZ185" s="867">
        <f t="shared" ca="1" si="161"/>
        <v>0</v>
      </c>
      <c r="CA185" s="867">
        <f t="shared" ca="1" si="162"/>
        <v>0</v>
      </c>
      <c r="CB185" s="867">
        <f t="shared" ca="1" si="163"/>
        <v>0</v>
      </c>
      <c r="CC185" s="867">
        <f t="shared" ca="1" si="164"/>
        <v>0</v>
      </c>
      <c r="CD185" s="867">
        <f t="shared" ca="1" si="165"/>
        <v>0</v>
      </c>
    </row>
    <row r="186" spans="1:82" ht="17" hidden="1" thickTop="1" thickBot="1">
      <c r="A186" s="773">
        <f t="shared" si="115"/>
        <v>0</v>
      </c>
      <c r="B186" s="779"/>
      <c r="D186" s="660"/>
      <c r="E186" s="661"/>
      <c r="F186" s="862"/>
      <c r="G186" s="863"/>
      <c r="H186" s="961"/>
      <c r="I186" s="865">
        <f t="shared" si="121"/>
        <v>0</v>
      </c>
      <c r="J186" s="864" cm="1">
        <f t="array" ref="J186">IF($G186=0,0,-MIN(0,G186*c_equity.LPshare))</f>
        <v>0</v>
      </c>
      <c r="K186" s="865" cm="1">
        <f t="array" ref="K186">I186*c_rate.Pref.MO</f>
        <v>0</v>
      </c>
      <c r="L186" s="865">
        <f t="shared" si="122"/>
        <v>0</v>
      </c>
      <c r="M186" s="865">
        <f t="shared" si="123"/>
        <v>0</v>
      </c>
      <c r="N186" s="865">
        <f t="shared" si="124"/>
        <v>0</v>
      </c>
      <c r="O186" s="864" cm="1">
        <f t="array" ref="O186">IF(N186=0,0,IF(G186&lt;0,N186/c_equity.LPshare*i_equity.GPshare,L186/c_equity.LPshare*i_equity.GPshare))</f>
        <v>0</v>
      </c>
      <c r="P186" s="865">
        <f t="shared" si="125"/>
        <v>0</v>
      </c>
      <c r="Q186" s="865">
        <f t="shared" si="126"/>
        <v>0</v>
      </c>
      <c r="R186" s="161"/>
      <c r="S186" s="867">
        <f t="shared" ca="1" si="127"/>
        <v>0</v>
      </c>
      <c r="T186" s="867" cm="1">
        <f t="array" ref="T186">IF($G186=0,0,-MIN(0,$G186*c_equity.LPshare))</f>
        <v>0</v>
      </c>
      <c r="U186" s="869" cm="1">
        <f t="array" ref="U186">IF($D186=0,0,S186*c_rate.Hurdle1.MO)</f>
        <v>0</v>
      </c>
      <c r="V186" s="867">
        <f t="shared" si="128"/>
        <v>0</v>
      </c>
      <c r="W186" s="867">
        <f t="shared" ca="1" si="129"/>
        <v>0</v>
      </c>
      <c r="X186" s="869">
        <f t="shared" ca="1" si="130"/>
        <v>0</v>
      </c>
      <c r="Y186" s="869">
        <f t="shared" ca="1" si="131"/>
        <v>0</v>
      </c>
      <c r="Z186" s="869">
        <f t="shared" ca="1" si="132"/>
        <v>0</v>
      </c>
      <c r="AA186" s="869">
        <f t="shared" ca="1" si="133"/>
        <v>0</v>
      </c>
      <c r="AB186" s="867">
        <f t="shared" ca="1" si="134"/>
        <v>0</v>
      </c>
      <c r="AC186" s="161"/>
      <c r="AD186" s="869">
        <f t="shared" ca="1" si="135"/>
        <v>0</v>
      </c>
      <c r="AE186" s="867" cm="1">
        <f t="array" ref="AE186">IF($G186=0,0,-MIN(0,$G186*c_equity.LPshare))</f>
        <v>0</v>
      </c>
      <c r="AF186" s="869" cm="1">
        <f t="array" ref="AF186">IF($D186=0,0,AD186*(c_rate.Hurdle2.MO))</f>
        <v>0</v>
      </c>
      <c r="AG186" s="869">
        <f t="shared" ca="1" si="136"/>
        <v>0</v>
      </c>
      <c r="AH186" s="869">
        <f t="shared" ca="1" si="137"/>
        <v>0</v>
      </c>
      <c r="AI186" s="869">
        <f t="shared" ca="1" si="138"/>
        <v>0</v>
      </c>
      <c r="AJ186" s="870">
        <f t="shared" ref="AJ186:AJ241" ca="1" si="166">-AE186+AG186+AH186</f>
        <v>0</v>
      </c>
      <c r="AK186" s="867">
        <f t="shared" ca="1" si="139"/>
        <v>0</v>
      </c>
      <c r="AL186" s="869">
        <f t="shared" ref="AL186:AL217" ca="1" si="167">IF(AD186=0,0,Z186+AH186/$J$18*c_Hurdle2.Share_GP)</f>
        <v>0</v>
      </c>
      <c r="AM186" s="869">
        <f t="shared" ca="1" si="140"/>
        <v>0</v>
      </c>
      <c r="AN186" s="867">
        <f t="shared" ref="AN186:AN241" ca="1" si="168">IF(AM186&lt;0,0,MAX($G186-AA186-AM186,0))</f>
        <v>0</v>
      </c>
      <c r="AO186" s="161"/>
      <c r="AP186" s="869">
        <f t="shared" ca="1" si="141"/>
        <v>0</v>
      </c>
      <c r="AQ186" s="867" cm="1">
        <f t="array" ref="AQ186">IF($G186=0,0,-MIN(0,$G186*c_equity.LPshare))</f>
        <v>0</v>
      </c>
      <c r="AR186" s="869" cm="1">
        <f t="array" ref="AR186">IF($D186=0,0,AP186*(c_rate.Hurdle3.MO))</f>
        <v>0</v>
      </c>
      <c r="AS186" s="869">
        <f t="shared" ca="1" si="142"/>
        <v>0</v>
      </c>
      <c r="AT186" s="869">
        <f t="shared" ca="1" si="143"/>
        <v>0</v>
      </c>
      <c r="AU186" s="869">
        <f t="shared" ca="1" si="144"/>
        <v>0</v>
      </c>
      <c r="AV186" s="870">
        <f t="shared" ca="1" si="145"/>
        <v>0</v>
      </c>
      <c r="AW186" s="867">
        <f t="shared" ca="1" si="146"/>
        <v>0</v>
      </c>
      <c r="AX186" s="869">
        <f t="shared" ref="AX186:AX217" ca="1" si="169">IF(AP186=0,0,AL186+AT186/$J$19*c_Hurdle3.Share_GP)</f>
        <v>0</v>
      </c>
      <c r="AY186" s="869">
        <f t="shared" ca="1" si="147"/>
        <v>0</v>
      </c>
      <c r="AZ186" s="867">
        <f t="shared" ref="AZ186:AZ241" ca="1" si="170">IF(AY186&lt;0,0,MAX($G186-AM186-AY186,0))</f>
        <v>0</v>
      </c>
      <c r="BA186" s="161"/>
      <c r="BB186" s="867">
        <f t="shared" ca="1" si="149"/>
        <v>0</v>
      </c>
      <c r="BC186" s="867">
        <f t="shared" ca="1" si="114"/>
        <v>0</v>
      </c>
      <c r="BD186" s="658"/>
      <c r="BE186" s="867">
        <f t="shared" ca="1" si="150"/>
        <v>0</v>
      </c>
      <c r="BF186" s="867">
        <f t="shared" ca="1" si="151"/>
        <v>0</v>
      </c>
      <c r="BG186" s="867">
        <f t="shared" ca="1" si="152"/>
        <v>0</v>
      </c>
      <c r="BI186" s="867">
        <f ca="1"/>
        <v>0</v>
      </c>
      <c r="BJ186" s="867">
        <f ca="1"/>
        <v>0</v>
      </c>
      <c r="BK186" s="867">
        <f ca="1"/>
        <v>0</v>
      </c>
      <c r="BL186" s="867">
        <f t="shared" ca="1" si="153"/>
        <v>0</v>
      </c>
      <c r="BM186" s="867">
        <f t="shared" ca="1" si="154"/>
        <v>0</v>
      </c>
      <c r="BN186" s="867">
        <f t="shared" ca="1" si="155"/>
        <v>0</v>
      </c>
      <c r="BO186" s="867">
        <f t="shared" ca="1" si="156"/>
        <v>0</v>
      </c>
      <c r="BP186" s="867">
        <f t="shared" ca="1" si="157"/>
        <v>0</v>
      </c>
      <c r="BQ186" s="867">
        <f t="shared" ca="1" si="158"/>
        <v>0</v>
      </c>
      <c r="BR186" s="867">
        <f ca="1"/>
        <v>0</v>
      </c>
      <c r="BS186" s="867">
        <f ca="1"/>
        <v>0</v>
      </c>
      <c r="BT186" s="867">
        <f t="shared" ca="1" si="119"/>
        <v>0</v>
      </c>
      <c r="BU186" s="867">
        <f t="shared" ca="1" si="159"/>
        <v>0</v>
      </c>
      <c r="BX186" s="867">
        <f ca="1"/>
        <v>0</v>
      </c>
      <c r="BY186" s="867">
        <f t="shared" ca="1" si="160"/>
        <v>0</v>
      </c>
      <c r="BZ186" s="867">
        <f t="shared" ca="1" si="161"/>
        <v>0</v>
      </c>
      <c r="CA186" s="867">
        <f t="shared" ca="1" si="162"/>
        <v>0</v>
      </c>
      <c r="CB186" s="867">
        <f t="shared" ca="1" si="163"/>
        <v>0</v>
      </c>
      <c r="CC186" s="867">
        <f t="shared" ca="1" si="164"/>
        <v>0</v>
      </c>
      <c r="CD186" s="867">
        <f t="shared" ca="1" si="165"/>
        <v>0</v>
      </c>
    </row>
    <row r="187" spans="1:82" ht="17" hidden="1" thickTop="1" thickBot="1">
      <c r="A187" s="773">
        <f t="shared" si="115"/>
        <v>0</v>
      </c>
      <c r="B187" s="779"/>
      <c r="D187" s="660"/>
      <c r="E187" s="661"/>
      <c r="F187" s="862"/>
      <c r="G187" s="863"/>
      <c r="H187" s="961"/>
      <c r="I187" s="865">
        <f t="shared" si="121"/>
        <v>0</v>
      </c>
      <c r="J187" s="864" cm="1">
        <f t="array" ref="J187">IF($G187=0,0,-MIN(0,G187*c_equity.LPshare))</f>
        <v>0</v>
      </c>
      <c r="K187" s="865" cm="1">
        <f t="array" ref="K187">I187*c_rate.Pref.MO</f>
        <v>0</v>
      </c>
      <c r="L187" s="865">
        <f t="shared" si="122"/>
        <v>0</v>
      </c>
      <c r="M187" s="865">
        <f t="shared" si="123"/>
        <v>0</v>
      </c>
      <c r="N187" s="865">
        <f t="shared" si="124"/>
        <v>0</v>
      </c>
      <c r="O187" s="864" cm="1">
        <f t="array" ref="O187">IF(N187=0,0,IF(G187&lt;0,N187/c_equity.LPshare*i_equity.GPshare,L187/c_equity.LPshare*i_equity.GPshare))</f>
        <v>0</v>
      </c>
      <c r="P187" s="865">
        <f t="shared" si="125"/>
        <v>0</v>
      </c>
      <c r="Q187" s="865">
        <f t="shared" si="126"/>
        <v>0</v>
      </c>
      <c r="R187" s="161"/>
      <c r="S187" s="867">
        <f t="shared" ca="1" si="127"/>
        <v>0</v>
      </c>
      <c r="T187" s="867" cm="1">
        <f t="array" ref="T187">IF($G187=0,0,-MIN(0,$G187*c_equity.LPshare))</f>
        <v>0</v>
      </c>
      <c r="U187" s="869" cm="1">
        <f t="array" ref="U187">IF($D187=0,0,S187*c_rate.Hurdle1.MO)</f>
        <v>0</v>
      </c>
      <c r="V187" s="867">
        <f t="shared" si="128"/>
        <v>0</v>
      </c>
      <c r="W187" s="867">
        <f t="shared" ca="1" si="129"/>
        <v>0</v>
      </c>
      <c r="X187" s="869">
        <f t="shared" ca="1" si="130"/>
        <v>0</v>
      </c>
      <c r="Y187" s="869">
        <f t="shared" ca="1" si="131"/>
        <v>0</v>
      </c>
      <c r="Z187" s="869">
        <f t="shared" ca="1" si="132"/>
        <v>0</v>
      </c>
      <c r="AA187" s="869">
        <f t="shared" ca="1" si="133"/>
        <v>0</v>
      </c>
      <c r="AB187" s="867">
        <f t="shared" ca="1" si="134"/>
        <v>0</v>
      </c>
      <c r="AC187" s="161"/>
      <c r="AD187" s="869">
        <f t="shared" ca="1" si="135"/>
        <v>0</v>
      </c>
      <c r="AE187" s="867" cm="1">
        <f t="array" ref="AE187">IF($G187=0,0,-MIN(0,$G187*c_equity.LPshare))</f>
        <v>0</v>
      </c>
      <c r="AF187" s="869" cm="1">
        <f t="array" ref="AF187">IF($D187=0,0,AD187*(c_rate.Hurdle2.MO))</f>
        <v>0</v>
      </c>
      <c r="AG187" s="869">
        <f t="shared" ca="1" si="136"/>
        <v>0</v>
      </c>
      <c r="AH187" s="869">
        <f t="shared" ca="1" si="137"/>
        <v>0</v>
      </c>
      <c r="AI187" s="869">
        <f t="shared" ca="1" si="138"/>
        <v>0</v>
      </c>
      <c r="AJ187" s="870">
        <f t="shared" ca="1" si="166"/>
        <v>0</v>
      </c>
      <c r="AK187" s="867">
        <f t="shared" ca="1" si="139"/>
        <v>0</v>
      </c>
      <c r="AL187" s="869">
        <f t="shared" ca="1" si="167"/>
        <v>0</v>
      </c>
      <c r="AM187" s="869">
        <f t="shared" ca="1" si="140"/>
        <v>0</v>
      </c>
      <c r="AN187" s="867">
        <f t="shared" ca="1" si="168"/>
        <v>0</v>
      </c>
      <c r="AO187" s="161"/>
      <c r="AP187" s="869">
        <f t="shared" ca="1" si="141"/>
        <v>0</v>
      </c>
      <c r="AQ187" s="867" cm="1">
        <f t="array" ref="AQ187">IF($G187=0,0,-MIN(0,$G187*c_equity.LPshare))</f>
        <v>0</v>
      </c>
      <c r="AR187" s="869" cm="1">
        <f t="array" ref="AR187">IF($D187=0,0,AP187*(c_rate.Hurdle3.MO))</f>
        <v>0</v>
      </c>
      <c r="AS187" s="869">
        <f t="shared" ca="1" si="142"/>
        <v>0</v>
      </c>
      <c r="AT187" s="869">
        <f t="shared" ca="1" si="143"/>
        <v>0</v>
      </c>
      <c r="AU187" s="869">
        <f t="shared" ca="1" si="144"/>
        <v>0</v>
      </c>
      <c r="AV187" s="870">
        <f t="shared" ca="1" si="145"/>
        <v>0</v>
      </c>
      <c r="AW187" s="867">
        <f t="shared" ca="1" si="146"/>
        <v>0</v>
      </c>
      <c r="AX187" s="869">
        <f t="shared" ca="1" si="169"/>
        <v>0</v>
      </c>
      <c r="AY187" s="869">
        <f t="shared" ca="1" si="147"/>
        <v>0</v>
      </c>
      <c r="AZ187" s="867">
        <f t="shared" ca="1" si="170"/>
        <v>0</v>
      </c>
      <c r="BA187" s="161"/>
      <c r="BB187" s="867">
        <f t="shared" ca="1" si="149"/>
        <v>0</v>
      </c>
      <c r="BC187" s="867">
        <f t="shared" ca="1" si="114"/>
        <v>0</v>
      </c>
      <c r="BD187" s="658"/>
      <c r="BE187" s="867">
        <f t="shared" ca="1" si="150"/>
        <v>0</v>
      </c>
      <c r="BF187" s="867">
        <f t="shared" ca="1" si="151"/>
        <v>0</v>
      </c>
      <c r="BG187" s="867">
        <f t="shared" ca="1" si="152"/>
        <v>0</v>
      </c>
      <c r="BI187" s="867">
        <f ca="1"/>
        <v>0</v>
      </c>
      <c r="BJ187" s="867">
        <f ca="1"/>
        <v>0</v>
      </c>
      <c r="BK187" s="867">
        <f ca="1"/>
        <v>0</v>
      </c>
      <c r="BL187" s="867">
        <f t="shared" ca="1" si="153"/>
        <v>0</v>
      </c>
      <c r="BM187" s="867">
        <f t="shared" ca="1" si="154"/>
        <v>0</v>
      </c>
      <c r="BN187" s="867">
        <f t="shared" ca="1" si="155"/>
        <v>0</v>
      </c>
      <c r="BO187" s="867">
        <f t="shared" ca="1" si="156"/>
        <v>0</v>
      </c>
      <c r="BP187" s="867">
        <f t="shared" ca="1" si="157"/>
        <v>0</v>
      </c>
      <c r="BQ187" s="867">
        <f t="shared" ca="1" si="158"/>
        <v>0</v>
      </c>
      <c r="BR187" s="867">
        <f ca="1"/>
        <v>0</v>
      </c>
      <c r="BS187" s="867">
        <f ca="1"/>
        <v>0</v>
      </c>
      <c r="BT187" s="867">
        <f t="shared" ca="1" si="119"/>
        <v>0</v>
      </c>
      <c r="BU187" s="867">
        <f t="shared" ca="1" si="159"/>
        <v>0</v>
      </c>
      <c r="BX187" s="867">
        <f ca="1"/>
        <v>0</v>
      </c>
      <c r="BY187" s="867">
        <f t="shared" ca="1" si="160"/>
        <v>0</v>
      </c>
      <c r="BZ187" s="867">
        <f t="shared" ca="1" si="161"/>
        <v>0</v>
      </c>
      <c r="CA187" s="867">
        <f t="shared" ca="1" si="162"/>
        <v>0</v>
      </c>
      <c r="CB187" s="867">
        <f t="shared" ca="1" si="163"/>
        <v>0</v>
      </c>
      <c r="CC187" s="867">
        <f t="shared" ca="1" si="164"/>
        <v>0</v>
      </c>
      <c r="CD187" s="867">
        <f t="shared" ca="1" si="165"/>
        <v>0</v>
      </c>
    </row>
    <row r="188" spans="1:82" ht="17" hidden="1" thickTop="1" thickBot="1">
      <c r="A188" s="773">
        <f t="shared" si="115"/>
        <v>0</v>
      </c>
      <c r="B188" s="779"/>
      <c r="D188" s="660"/>
      <c r="E188" s="661"/>
      <c r="F188" s="862"/>
      <c r="G188" s="863"/>
      <c r="H188" s="961"/>
      <c r="I188" s="865">
        <f t="shared" si="121"/>
        <v>0</v>
      </c>
      <c r="J188" s="864" cm="1">
        <f t="array" ref="J188">IF($G188=0,0,-MIN(0,G188*c_equity.LPshare))</f>
        <v>0</v>
      </c>
      <c r="K188" s="865" cm="1">
        <f t="array" ref="K188">I188*c_rate.Pref.MO</f>
        <v>0</v>
      </c>
      <c r="L188" s="865">
        <f t="shared" si="122"/>
        <v>0</v>
      </c>
      <c r="M188" s="865">
        <f t="shared" si="123"/>
        <v>0</v>
      </c>
      <c r="N188" s="865">
        <f t="shared" si="124"/>
        <v>0</v>
      </c>
      <c r="O188" s="864" cm="1">
        <f t="array" ref="O188">IF(N188=0,0,IF(G188&lt;0,N188/c_equity.LPshare*i_equity.GPshare,L188/c_equity.LPshare*i_equity.GPshare))</f>
        <v>0</v>
      </c>
      <c r="P188" s="865">
        <f t="shared" si="125"/>
        <v>0</v>
      </c>
      <c r="Q188" s="865">
        <f t="shared" si="126"/>
        <v>0</v>
      </c>
      <c r="R188" s="161"/>
      <c r="S188" s="867">
        <f t="shared" ca="1" si="127"/>
        <v>0</v>
      </c>
      <c r="T188" s="867" cm="1">
        <f t="array" ref="T188">IF($G188=0,0,-MIN(0,$G188*c_equity.LPshare))</f>
        <v>0</v>
      </c>
      <c r="U188" s="869" cm="1">
        <f t="array" ref="U188">IF($D188=0,0,S188*c_rate.Hurdle1.MO)</f>
        <v>0</v>
      </c>
      <c r="V188" s="867">
        <f t="shared" si="128"/>
        <v>0</v>
      </c>
      <c r="W188" s="867">
        <f t="shared" ca="1" si="129"/>
        <v>0</v>
      </c>
      <c r="X188" s="869">
        <f t="shared" ca="1" si="130"/>
        <v>0</v>
      </c>
      <c r="Y188" s="869">
        <f t="shared" ca="1" si="131"/>
        <v>0</v>
      </c>
      <c r="Z188" s="869">
        <f t="shared" ca="1" si="132"/>
        <v>0</v>
      </c>
      <c r="AA188" s="869">
        <f t="shared" ca="1" si="133"/>
        <v>0</v>
      </c>
      <c r="AB188" s="867">
        <f t="shared" ca="1" si="134"/>
        <v>0</v>
      </c>
      <c r="AC188" s="161"/>
      <c r="AD188" s="869">
        <f t="shared" ca="1" si="135"/>
        <v>0</v>
      </c>
      <c r="AE188" s="867" cm="1">
        <f t="array" ref="AE188">IF($G188=0,0,-MIN(0,$G188*c_equity.LPshare))</f>
        <v>0</v>
      </c>
      <c r="AF188" s="869" cm="1">
        <f t="array" ref="AF188">IF($D188=0,0,AD188*(c_rate.Hurdle2.MO))</f>
        <v>0</v>
      </c>
      <c r="AG188" s="869">
        <f t="shared" ca="1" si="136"/>
        <v>0</v>
      </c>
      <c r="AH188" s="869">
        <f t="shared" ca="1" si="137"/>
        <v>0</v>
      </c>
      <c r="AI188" s="869">
        <f t="shared" ca="1" si="138"/>
        <v>0</v>
      </c>
      <c r="AJ188" s="870">
        <f t="shared" ca="1" si="166"/>
        <v>0</v>
      </c>
      <c r="AK188" s="867">
        <f t="shared" ca="1" si="139"/>
        <v>0</v>
      </c>
      <c r="AL188" s="869">
        <f t="shared" ca="1" si="167"/>
        <v>0</v>
      </c>
      <c r="AM188" s="869">
        <f t="shared" ca="1" si="140"/>
        <v>0</v>
      </c>
      <c r="AN188" s="867">
        <f t="shared" ca="1" si="168"/>
        <v>0</v>
      </c>
      <c r="AO188" s="161"/>
      <c r="AP188" s="869">
        <f t="shared" ca="1" si="141"/>
        <v>0</v>
      </c>
      <c r="AQ188" s="867" cm="1">
        <f t="array" ref="AQ188">IF($G188=0,0,-MIN(0,$G188*c_equity.LPshare))</f>
        <v>0</v>
      </c>
      <c r="AR188" s="869" cm="1">
        <f t="array" ref="AR188">IF($D188=0,0,AP188*(c_rate.Hurdle3.MO))</f>
        <v>0</v>
      </c>
      <c r="AS188" s="869">
        <f t="shared" ca="1" si="142"/>
        <v>0</v>
      </c>
      <c r="AT188" s="869">
        <f t="shared" ca="1" si="143"/>
        <v>0</v>
      </c>
      <c r="AU188" s="869">
        <f t="shared" ca="1" si="144"/>
        <v>0</v>
      </c>
      <c r="AV188" s="870">
        <f t="shared" ca="1" si="145"/>
        <v>0</v>
      </c>
      <c r="AW188" s="867">
        <f t="shared" ca="1" si="146"/>
        <v>0</v>
      </c>
      <c r="AX188" s="869">
        <f t="shared" ca="1" si="169"/>
        <v>0</v>
      </c>
      <c r="AY188" s="869">
        <f t="shared" ca="1" si="147"/>
        <v>0</v>
      </c>
      <c r="AZ188" s="867">
        <f t="shared" ca="1" si="170"/>
        <v>0</v>
      </c>
      <c r="BA188" s="161"/>
      <c r="BB188" s="867">
        <f t="shared" ca="1" si="149"/>
        <v>0</v>
      </c>
      <c r="BC188" s="867">
        <f t="shared" ca="1" si="114"/>
        <v>0</v>
      </c>
      <c r="BD188" s="658"/>
      <c r="BE188" s="867">
        <f t="shared" ca="1" si="150"/>
        <v>0</v>
      </c>
      <c r="BF188" s="867">
        <f t="shared" ca="1" si="151"/>
        <v>0</v>
      </c>
      <c r="BG188" s="867">
        <f t="shared" ca="1" si="152"/>
        <v>0</v>
      </c>
      <c r="BI188" s="867">
        <f ca="1"/>
        <v>0</v>
      </c>
      <c r="BJ188" s="867">
        <f ca="1"/>
        <v>0</v>
      </c>
      <c r="BK188" s="867">
        <f ca="1"/>
        <v>0</v>
      </c>
      <c r="BL188" s="867">
        <f t="shared" ca="1" si="153"/>
        <v>0</v>
      </c>
      <c r="BM188" s="867">
        <f t="shared" ca="1" si="154"/>
        <v>0</v>
      </c>
      <c r="BN188" s="867">
        <f t="shared" ca="1" si="155"/>
        <v>0</v>
      </c>
      <c r="BO188" s="867">
        <f t="shared" ca="1" si="156"/>
        <v>0</v>
      </c>
      <c r="BP188" s="867">
        <f t="shared" ca="1" si="157"/>
        <v>0</v>
      </c>
      <c r="BQ188" s="867">
        <f t="shared" ca="1" si="158"/>
        <v>0</v>
      </c>
      <c r="BR188" s="867">
        <f ca="1"/>
        <v>0</v>
      </c>
      <c r="BS188" s="867">
        <f ca="1"/>
        <v>0</v>
      </c>
      <c r="BT188" s="867">
        <f t="shared" ca="1" si="119"/>
        <v>0</v>
      </c>
      <c r="BU188" s="867">
        <f t="shared" ca="1" si="159"/>
        <v>0</v>
      </c>
      <c r="BX188" s="867">
        <f ca="1"/>
        <v>0</v>
      </c>
      <c r="BY188" s="867">
        <f t="shared" ca="1" si="160"/>
        <v>0</v>
      </c>
      <c r="BZ188" s="867">
        <f t="shared" ca="1" si="161"/>
        <v>0</v>
      </c>
      <c r="CA188" s="867">
        <f t="shared" ca="1" si="162"/>
        <v>0</v>
      </c>
      <c r="CB188" s="867">
        <f t="shared" ca="1" si="163"/>
        <v>0</v>
      </c>
      <c r="CC188" s="867">
        <f t="shared" ca="1" si="164"/>
        <v>0</v>
      </c>
      <c r="CD188" s="867">
        <f t="shared" ca="1" si="165"/>
        <v>0</v>
      </c>
    </row>
    <row r="189" spans="1:82" ht="17" hidden="1" thickTop="1" thickBot="1">
      <c r="A189" s="773">
        <f t="shared" si="115"/>
        <v>0</v>
      </c>
      <c r="B189" s="779"/>
      <c r="D189" s="660"/>
      <c r="E189" s="661"/>
      <c r="F189" s="862"/>
      <c r="G189" s="863"/>
      <c r="H189" s="961"/>
      <c r="I189" s="865">
        <f t="shared" si="121"/>
        <v>0</v>
      </c>
      <c r="J189" s="864" cm="1">
        <f t="array" ref="J189">IF($G189=0,0,-MIN(0,G189*c_equity.LPshare))</f>
        <v>0</v>
      </c>
      <c r="K189" s="865" cm="1">
        <f t="array" ref="K189">I189*c_rate.Pref.MO</f>
        <v>0</v>
      </c>
      <c r="L189" s="865">
        <f t="shared" si="122"/>
        <v>0</v>
      </c>
      <c r="M189" s="865">
        <f t="shared" si="123"/>
        <v>0</v>
      </c>
      <c r="N189" s="865">
        <f t="shared" si="124"/>
        <v>0</v>
      </c>
      <c r="O189" s="864" cm="1">
        <f t="array" ref="O189">IF(N189=0,0,IF(G189&lt;0,N189/c_equity.LPshare*i_equity.GPshare,L189/c_equity.LPshare*i_equity.GPshare))</f>
        <v>0</v>
      </c>
      <c r="P189" s="865">
        <f t="shared" si="125"/>
        <v>0</v>
      </c>
      <c r="Q189" s="865">
        <f t="shared" si="126"/>
        <v>0</v>
      </c>
      <c r="R189" s="161"/>
      <c r="S189" s="867">
        <f t="shared" ca="1" si="127"/>
        <v>0</v>
      </c>
      <c r="T189" s="867" cm="1">
        <f t="array" ref="T189">IF($G189=0,0,-MIN(0,$G189*c_equity.LPshare))</f>
        <v>0</v>
      </c>
      <c r="U189" s="869" cm="1">
        <f t="array" ref="U189">IF($D189=0,0,S189*c_rate.Hurdle1.MO)</f>
        <v>0</v>
      </c>
      <c r="V189" s="867">
        <f t="shared" si="128"/>
        <v>0</v>
      </c>
      <c r="W189" s="867">
        <f t="shared" ca="1" si="129"/>
        <v>0</v>
      </c>
      <c r="X189" s="869">
        <f t="shared" ca="1" si="130"/>
        <v>0</v>
      </c>
      <c r="Y189" s="869">
        <f t="shared" ca="1" si="131"/>
        <v>0</v>
      </c>
      <c r="Z189" s="869">
        <f t="shared" ca="1" si="132"/>
        <v>0</v>
      </c>
      <c r="AA189" s="869">
        <f t="shared" ca="1" si="133"/>
        <v>0</v>
      </c>
      <c r="AB189" s="867">
        <f t="shared" ca="1" si="134"/>
        <v>0</v>
      </c>
      <c r="AC189" s="161"/>
      <c r="AD189" s="869">
        <f t="shared" ca="1" si="135"/>
        <v>0</v>
      </c>
      <c r="AE189" s="867" cm="1">
        <f t="array" ref="AE189">IF($G189=0,0,-MIN(0,$G189*c_equity.LPshare))</f>
        <v>0</v>
      </c>
      <c r="AF189" s="869" cm="1">
        <f t="array" ref="AF189">IF($D189=0,0,AD189*(c_rate.Hurdle2.MO))</f>
        <v>0</v>
      </c>
      <c r="AG189" s="869">
        <f t="shared" ca="1" si="136"/>
        <v>0</v>
      </c>
      <c r="AH189" s="869">
        <f t="shared" ca="1" si="137"/>
        <v>0</v>
      </c>
      <c r="AI189" s="869">
        <f t="shared" ca="1" si="138"/>
        <v>0</v>
      </c>
      <c r="AJ189" s="870">
        <f t="shared" ca="1" si="166"/>
        <v>0</v>
      </c>
      <c r="AK189" s="867">
        <f t="shared" ca="1" si="139"/>
        <v>0</v>
      </c>
      <c r="AL189" s="869">
        <f t="shared" ca="1" si="167"/>
        <v>0</v>
      </c>
      <c r="AM189" s="869">
        <f t="shared" ca="1" si="140"/>
        <v>0</v>
      </c>
      <c r="AN189" s="867">
        <f t="shared" ca="1" si="168"/>
        <v>0</v>
      </c>
      <c r="AO189" s="161"/>
      <c r="AP189" s="869">
        <f t="shared" ca="1" si="141"/>
        <v>0</v>
      </c>
      <c r="AQ189" s="867" cm="1">
        <f t="array" ref="AQ189">IF($G189=0,0,-MIN(0,$G189*c_equity.LPshare))</f>
        <v>0</v>
      </c>
      <c r="AR189" s="869" cm="1">
        <f t="array" ref="AR189">IF($D189=0,0,AP189*(c_rate.Hurdle3.MO))</f>
        <v>0</v>
      </c>
      <c r="AS189" s="869">
        <f t="shared" ca="1" si="142"/>
        <v>0</v>
      </c>
      <c r="AT189" s="869">
        <f t="shared" ca="1" si="143"/>
        <v>0</v>
      </c>
      <c r="AU189" s="869">
        <f t="shared" ca="1" si="144"/>
        <v>0</v>
      </c>
      <c r="AV189" s="870">
        <f t="shared" ca="1" si="145"/>
        <v>0</v>
      </c>
      <c r="AW189" s="867">
        <f t="shared" ca="1" si="146"/>
        <v>0</v>
      </c>
      <c r="AX189" s="869">
        <f t="shared" ca="1" si="169"/>
        <v>0</v>
      </c>
      <c r="AY189" s="869">
        <f t="shared" ca="1" si="147"/>
        <v>0</v>
      </c>
      <c r="AZ189" s="867">
        <f t="shared" ca="1" si="170"/>
        <v>0</v>
      </c>
      <c r="BA189" s="161"/>
      <c r="BB189" s="867">
        <f t="shared" ca="1" si="149"/>
        <v>0</v>
      </c>
      <c r="BC189" s="867">
        <f t="shared" ca="1" si="114"/>
        <v>0</v>
      </c>
      <c r="BD189" s="658"/>
      <c r="BE189" s="867">
        <f t="shared" ca="1" si="150"/>
        <v>0</v>
      </c>
      <c r="BF189" s="867">
        <f t="shared" ca="1" si="151"/>
        <v>0</v>
      </c>
      <c r="BG189" s="867">
        <f t="shared" ca="1" si="152"/>
        <v>0</v>
      </c>
      <c r="BI189" s="867">
        <f ca="1"/>
        <v>0</v>
      </c>
      <c r="BJ189" s="867">
        <f ca="1"/>
        <v>0</v>
      </c>
      <c r="BK189" s="867">
        <f ca="1"/>
        <v>0</v>
      </c>
      <c r="BL189" s="867">
        <f t="shared" ca="1" si="153"/>
        <v>0</v>
      </c>
      <c r="BM189" s="867">
        <f t="shared" ca="1" si="154"/>
        <v>0</v>
      </c>
      <c r="BN189" s="867">
        <f t="shared" ca="1" si="155"/>
        <v>0</v>
      </c>
      <c r="BO189" s="867">
        <f t="shared" ca="1" si="156"/>
        <v>0</v>
      </c>
      <c r="BP189" s="867">
        <f t="shared" ca="1" si="157"/>
        <v>0</v>
      </c>
      <c r="BQ189" s="867">
        <f t="shared" ca="1" si="158"/>
        <v>0</v>
      </c>
      <c r="BR189" s="867">
        <f ca="1"/>
        <v>0</v>
      </c>
      <c r="BS189" s="867">
        <f ca="1"/>
        <v>0</v>
      </c>
      <c r="BT189" s="867">
        <f t="shared" ca="1" si="119"/>
        <v>0</v>
      </c>
      <c r="BU189" s="867">
        <f t="shared" ca="1" si="159"/>
        <v>0</v>
      </c>
      <c r="BX189" s="867">
        <f ca="1"/>
        <v>0</v>
      </c>
      <c r="BY189" s="867">
        <f t="shared" ca="1" si="160"/>
        <v>0</v>
      </c>
      <c r="BZ189" s="867">
        <f t="shared" ca="1" si="161"/>
        <v>0</v>
      </c>
      <c r="CA189" s="867">
        <f t="shared" ca="1" si="162"/>
        <v>0</v>
      </c>
      <c r="CB189" s="867">
        <f t="shared" ca="1" si="163"/>
        <v>0</v>
      </c>
      <c r="CC189" s="867">
        <f t="shared" ca="1" si="164"/>
        <v>0</v>
      </c>
      <c r="CD189" s="867">
        <f t="shared" ca="1" si="165"/>
        <v>0</v>
      </c>
    </row>
    <row r="190" spans="1:82" ht="17" hidden="1" thickTop="1" thickBot="1">
      <c r="A190" s="773">
        <f t="shared" si="115"/>
        <v>0</v>
      </c>
      <c r="B190" s="779"/>
      <c r="D190" s="660"/>
      <c r="E190" s="661"/>
      <c r="F190" s="862"/>
      <c r="G190" s="863"/>
      <c r="H190" s="961"/>
      <c r="I190" s="865">
        <f t="shared" si="121"/>
        <v>0</v>
      </c>
      <c r="J190" s="864" cm="1">
        <f t="array" ref="J190">IF($G190=0,0,-MIN(0,G190*c_equity.LPshare))</f>
        <v>0</v>
      </c>
      <c r="K190" s="865" cm="1">
        <f t="array" ref="K190">I190*c_rate.Pref.MO</f>
        <v>0</v>
      </c>
      <c r="L190" s="865">
        <f t="shared" si="122"/>
        <v>0</v>
      </c>
      <c r="M190" s="865">
        <f t="shared" si="123"/>
        <v>0</v>
      </c>
      <c r="N190" s="865">
        <f t="shared" si="124"/>
        <v>0</v>
      </c>
      <c r="O190" s="864" cm="1">
        <f t="array" ref="O190">IF(N190=0,0,IF(G190&lt;0,N190/c_equity.LPshare*i_equity.GPshare,L190/c_equity.LPshare*i_equity.GPshare))</f>
        <v>0</v>
      </c>
      <c r="P190" s="865">
        <f t="shared" si="125"/>
        <v>0</v>
      </c>
      <c r="Q190" s="865">
        <f t="shared" si="126"/>
        <v>0</v>
      </c>
      <c r="R190" s="161"/>
      <c r="S190" s="867">
        <f t="shared" ca="1" si="127"/>
        <v>0</v>
      </c>
      <c r="T190" s="867" cm="1">
        <f t="array" ref="T190">IF($G190=0,0,-MIN(0,$G190*c_equity.LPshare))</f>
        <v>0</v>
      </c>
      <c r="U190" s="869" cm="1">
        <f t="array" ref="U190">IF($D190=0,0,S190*c_rate.Hurdle1.MO)</f>
        <v>0</v>
      </c>
      <c r="V190" s="867">
        <f t="shared" si="128"/>
        <v>0</v>
      </c>
      <c r="W190" s="867">
        <f t="shared" ca="1" si="129"/>
        <v>0</v>
      </c>
      <c r="X190" s="869">
        <f t="shared" ca="1" si="130"/>
        <v>0</v>
      </c>
      <c r="Y190" s="869">
        <f t="shared" ca="1" si="131"/>
        <v>0</v>
      </c>
      <c r="Z190" s="869">
        <f t="shared" ca="1" si="132"/>
        <v>0</v>
      </c>
      <c r="AA190" s="869">
        <f t="shared" ca="1" si="133"/>
        <v>0</v>
      </c>
      <c r="AB190" s="867">
        <f t="shared" ca="1" si="134"/>
        <v>0</v>
      </c>
      <c r="AC190" s="161"/>
      <c r="AD190" s="869">
        <f t="shared" ca="1" si="135"/>
        <v>0</v>
      </c>
      <c r="AE190" s="867" cm="1">
        <f t="array" ref="AE190">IF($G190=0,0,-MIN(0,$G190*c_equity.LPshare))</f>
        <v>0</v>
      </c>
      <c r="AF190" s="869" cm="1">
        <f t="array" ref="AF190">IF($D190=0,0,AD190*(c_rate.Hurdle2.MO))</f>
        <v>0</v>
      </c>
      <c r="AG190" s="869">
        <f t="shared" ca="1" si="136"/>
        <v>0</v>
      </c>
      <c r="AH190" s="869">
        <f t="shared" ca="1" si="137"/>
        <v>0</v>
      </c>
      <c r="AI190" s="869">
        <f t="shared" ca="1" si="138"/>
        <v>0</v>
      </c>
      <c r="AJ190" s="870">
        <f t="shared" ca="1" si="166"/>
        <v>0</v>
      </c>
      <c r="AK190" s="867">
        <f t="shared" ca="1" si="139"/>
        <v>0</v>
      </c>
      <c r="AL190" s="869">
        <f t="shared" ca="1" si="167"/>
        <v>0</v>
      </c>
      <c r="AM190" s="869">
        <f t="shared" ca="1" si="140"/>
        <v>0</v>
      </c>
      <c r="AN190" s="867">
        <f t="shared" ca="1" si="168"/>
        <v>0</v>
      </c>
      <c r="AO190" s="161"/>
      <c r="AP190" s="869">
        <f t="shared" ca="1" si="141"/>
        <v>0</v>
      </c>
      <c r="AQ190" s="867" cm="1">
        <f t="array" ref="AQ190">IF($G190=0,0,-MIN(0,$G190*c_equity.LPshare))</f>
        <v>0</v>
      </c>
      <c r="AR190" s="869" cm="1">
        <f t="array" ref="AR190">IF($D190=0,0,AP190*(c_rate.Hurdle3.MO))</f>
        <v>0</v>
      </c>
      <c r="AS190" s="869">
        <f t="shared" ca="1" si="142"/>
        <v>0</v>
      </c>
      <c r="AT190" s="869">
        <f t="shared" ca="1" si="143"/>
        <v>0</v>
      </c>
      <c r="AU190" s="869">
        <f t="shared" ca="1" si="144"/>
        <v>0</v>
      </c>
      <c r="AV190" s="870">
        <f t="shared" ca="1" si="145"/>
        <v>0</v>
      </c>
      <c r="AW190" s="867">
        <f t="shared" ca="1" si="146"/>
        <v>0</v>
      </c>
      <c r="AX190" s="869">
        <f t="shared" ca="1" si="169"/>
        <v>0</v>
      </c>
      <c r="AY190" s="869">
        <f t="shared" ca="1" si="147"/>
        <v>0</v>
      </c>
      <c r="AZ190" s="867">
        <f t="shared" ca="1" si="170"/>
        <v>0</v>
      </c>
      <c r="BA190" s="161"/>
      <c r="BB190" s="867">
        <f t="shared" ca="1" si="149"/>
        <v>0</v>
      </c>
      <c r="BC190" s="867">
        <f t="shared" ca="1" si="114"/>
        <v>0</v>
      </c>
      <c r="BD190" s="658"/>
      <c r="BE190" s="867">
        <f t="shared" ca="1" si="150"/>
        <v>0</v>
      </c>
      <c r="BF190" s="867">
        <f t="shared" ca="1" si="151"/>
        <v>0</v>
      </c>
      <c r="BG190" s="867">
        <f t="shared" ca="1" si="152"/>
        <v>0</v>
      </c>
      <c r="BI190" s="867">
        <f ca="1"/>
        <v>0</v>
      </c>
      <c r="BJ190" s="867">
        <f ca="1"/>
        <v>0</v>
      </c>
      <c r="BK190" s="867">
        <f ca="1"/>
        <v>0</v>
      </c>
      <c r="BL190" s="867">
        <f t="shared" ca="1" si="153"/>
        <v>0</v>
      </c>
      <c r="BM190" s="867">
        <f t="shared" ca="1" si="154"/>
        <v>0</v>
      </c>
      <c r="BN190" s="867">
        <f t="shared" ca="1" si="155"/>
        <v>0</v>
      </c>
      <c r="BO190" s="867">
        <f t="shared" ca="1" si="156"/>
        <v>0</v>
      </c>
      <c r="BP190" s="867">
        <f t="shared" ca="1" si="157"/>
        <v>0</v>
      </c>
      <c r="BQ190" s="867">
        <f t="shared" ca="1" si="158"/>
        <v>0</v>
      </c>
      <c r="BR190" s="867">
        <f ca="1"/>
        <v>0</v>
      </c>
      <c r="BS190" s="867">
        <f ca="1"/>
        <v>0</v>
      </c>
      <c r="BT190" s="867">
        <f t="shared" ca="1" si="119"/>
        <v>0</v>
      </c>
      <c r="BU190" s="867">
        <f t="shared" ca="1" si="159"/>
        <v>0</v>
      </c>
      <c r="BX190" s="867">
        <f ca="1"/>
        <v>0</v>
      </c>
      <c r="BY190" s="867">
        <f t="shared" ca="1" si="160"/>
        <v>0</v>
      </c>
      <c r="BZ190" s="867">
        <f t="shared" ca="1" si="161"/>
        <v>0</v>
      </c>
      <c r="CA190" s="867">
        <f t="shared" ca="1" si="162"/>
        <v>0</v>
      </c>
      <c r="CB190" s="867">
        <f t="shared" ca="1" si="163"/>
        <v>0</v>
      </c>
      <c r="CC190" s="867">
        <f t="shared" ca="1" si="164"/>
        <v>0</v>
      </c>
      <c r="CD190" s="867">
        <f t="shared" ca="1" si="165"/>
        <v>0</v>
      </c>
    </row>
    <row r="191" spans="1:82" ht="17" hidden="1" thickTop="1" thickBot="1">
      <c r="A191" s="773">
        <f t="shared" si="115"/>
        <v>0</v>
      </c>
      <c r="B191" s="779"/>
      <c r="D191" s="660"/>
      <c r="E191" s="661"/>
      <c r="F191" s="862"/>
      <c r="G191" s="863"/>
      <c r="H191" s="961"/>
      <c r="I191" s="865">
        <f t="shared" si="121"/>
        <v>0</v>
      </c>
      <c r="J191" s="864" cm="1">
        <f t="array" ref="J191">IF($G191=0,0,-MIN(0,G191*c_equity.LPshare))</f>
        <v>0</v>
      </c>
      <c r="K191" s="865" cm="1">
        <f t="array" ref="K191">I191*c_rate.Pref.MO</f>
        <v>0</v>
      </c>
      <c r="L191" s="865">
        <f t="shared" si="122"/>
        <v>0</v>
      </c>
      <c r="M191" s="865">
        <f t="shared" si="123"/>
        <v>0</v>
      </c>
      <c r="N191" s="865">
        <f t="shared" si="124"/>
        <v>0</v>
      </c>
      <c r="O191" s="864" cm="1">
        <f t="array" ref="O191">IF(N191=0,0,IF(G191&lt;0,N191/c_equity.LPshare*i_equity.GPshare,L191/c_equity.LPshare*i_equity.GPshare))</f>
        <v>0</v>
      </c>
      <c r="P191" s="865">
        <f t="shared" si="125"/>
        <v>0</v>
      </c>
      <c r="Q191" s="865">
        <f t="shared" si="126"/>
        <v>0</v>
      </c>
      <c r="R191" s="161"/>
      <c r="S191" s="867">
        <f t="shared" ca="1" si="127"/>
        <v>0</v>
      </c>
      <c r="T191" s="867" cm="1">
        <f t="array" ref="T191">IF($G191=0,0,-MIN(0,$G191*c_equity.LPshare))</f>
        <v>0</v>
      </c>
      <c r="U191" s="869" cm="1">
        <f t="array" ref="U191">IF($D191=0,0,S191*c_rate.Hurdle1.MO)</f>
        <v>0</v>
      </c>
      <c r="V191" s="867">
        <f t="shared" si="128"/>
        <v>0</v>
      </c>
      <c r="W191" s="867">
        <f t="shared" ca="1" si="129"/>
        <v>0</v>
      </c>
      <c r="X191" s="869">
        <f t="shared" ca="1" si="130"/>
        <v>0</v>
      </c>
      <c r="Y191" s="869">
        <f t="shared" ca="1" si="131"/>
        <v>0</v>
      </c>
      <c r="Z191" s="869">
        <f t="shared" ca="1" si="132"/>
        <v>0</v>
      </c>
      <c r="AA191" s="869">
        <f t="shared" ca="1" si="133"/>
        <v>0</v>
      </c>
      <c r="AB191" s="867">
        <f t="shared" ca="1" si="134"/>
        <v>0</v>
      </c>
      <c r="AC191" s="161"/>
      <c r="AD191" s="869">
        <f t="shared" ca="1" si="135"/>
        <v>0</v>
      </c>
      <c r="AE191" s="867" cm="1">
        <f t="array" ref="AE191">IF($G191=0,0,-MIN(0,$G191*c_equity.LPshare))</f>
        <v>0</v>
      </c>
      <c r="AF191" s="869" cm="1">
        <f t="array" ref="AF191">IF($D191=0,0,AD191*(c_rate.Hurdle2.MO))</f>
        <v>0</v>
      </c>
      <c r="AG191" s="869">
        <f t="shared" ca="1" si="136"/>
        <v>0</v>
      </c>
      <c r="AH191" s="869">
        <f t="shared" ca="1" si="137"/>
        <v>0</v>
      </c>
      <c r="AI191" s="869">
        <f t="shared" ca="1" si="138"/>
        <v>0</v>
      </c>
      <c r="AJ191" s="870">
        <f t="shared" ca="1" si="166"/>
        <v>0</v>
      </c>
      <c r="AK191" s="867">
        <f t="shared" ca="1" si="139"/>
        <v>0</v>
      </c>
      <c r="AL191" s="869">
        <f t="shared" ca="1" si="167"/>
        <v>0</v>
      </c>
      <c r="AM191" s="869">
        <f t="shared" ca="1" si="140"/>
        <v>0</v>
      </c>
      <c r="AN191" s="867">
        <f t="shared" ca="1" si="168"/>
        <v>0</v>
      </c>
      <c r="AO191" s="161"/>
      <c r="AP191" s="869">
        <f t="shared" ca="1" si="141"/>
        <v>0</v>
      </c>
      <c r="AQ191" s="867" cm="1">
        <f t="array" ref="AQ191">IF($G191=0,0,-MIN(0,$G191*c_equity.LPshare))</f>
        <v>0</v>
      </c>
      <c r="AR191" s="869" cm="1">
        <f t="array" ref="AR191">IF($D191=0,0,AP191*(c_rate.Hurdle3.MO))</f>
        <v>0</v>
      </c>
      <c r="AS191" s="869">
        <f t="shared" ca="1" si="142"/>
        <v>0</v>
      </c>
      <c r="AT191" s="869">
        <f t="shared" ca="1" si="143"/>
        <v>0</v>
      </c>
      <c r="AU191" s="869">
        <f t="shared" ca="1" si="144"/>
        <v>0</v>
      </c>
      <c r="AV191" s="870">
        <f t="shared" ca="1" si="145"/>
        <v>0</v>
      </c>
      <c r="AW191" s="867">
        <f t="shared" ca="1" si="146"/>
        <v>0</v>
      </c>
      <c r="AX191" s="869">
        <f t="shared" ca="1" si="169"/>
        <v>0</v>
      </c>
      <c r="AY191" s="869">
        <f t="shared" ca="1" si="147"/>
        <v>0</v>
      </c>
      <c r="AZ191" s="867">
        <f t="shared" ca="1" si="170"/>
        <v>0</v>
      </c>
      <c r="BA191" s="161"/>
      <c r="BB191" s="867">
        <f t="shared" ca="1" si="149"/>
        <v>0</v>
      </c>
      <c r="BC191" s="867">
        <f t="shared" ca="1" si="114"/>
        <v>0</v>
      </c>
      <c r="BD191" s="658"/>
      <c r="BE191" s="867">
        <f t="shared" ca="1" si="150"/>
        <v>0</v>
      </c>
      <c r="BF191" s="867">
        <f t="shared" ca="1" si="151"/>
        <v>0</v>
      </c>
      <c r="BG191" s="867">
        <f t="shared" ca="1" si="152"/>
        <v>0</v>
      </c>
      <c r="BI191" s="867">
        <f ca="1"/>
        <v>0</v>
      </c>
      <c r="BJ191" s="867">
        <f ca="1"/>
        <v>0</v>
      </c>
      <c r="BK191" s="867">
        <f ca="1"/>
        <v>0</v>
      </c>
      <c r="BL191" s="867">
        <f t="shared" ca="1" si="153"/>
        <v>0</v>
      </c>
      <c r="BM191" s="867">
        <f t="shared" ca="1" si="154"/>
        <v>0</v>
      </c>
      <c r="BN191" s="867">
        <f t="shared" ca="1" si="155"/>
        <v>0</v>
      </c>
      <c r="BO191" s="867">
        <f t="shared" ca="1" si="156"/>
        <v>0</v>
      </c>
      <c r="BP191" s="867">
        <f t="shared" ca="1" si="157"/>
        <v>0</v>
      </c>
      <c r="BQ191" s="867">
        <f t="shared" ca="1" si="158"/>
        <v>0</v>
      </c>
      <c r="BR191" s="867">
        <f ca="1"/>
        <v>0</v>
      </c>
      <c r="BS191" s="867">
        <f ca="1"/>
        <v>0</v>
      </c>
      <c r="BT191" s="867">
        <f t="shared" ca="1" si="119"/>
        <v>0</v>
      </c>
      <c r="BU191" s="867">
        <f t="shared" ca="1" si="159"/>
        <v>0</v>
      </c>
      <c r="BX191" s="867">
        <f ca="1"/>
        <v>0</v>
      </c>
      <c r="BY191" s="867">
        <f t="shared" ca="1" si="160"/>
        <v>0</v>
      </c>
      <c r="BZ191" s="867">
        <f t="shared" ca="1" si="161"/>
        <v>0</v>
      </c>
      <c r="CA191" s="867">
        <f t="shared" ca="1" si="162"/>
        <v>0</v>
      </c>
      <c r="CB191" s="867">
        <f t="shared" ca="1" si="163"/>
        <v>0</v>
      </c>
      <c r="CC191" s="867">
        <f t="shared" ca="1" si="164"/>
        <v>0</v>
      </c>
      <c r="CD191" s="867">
        <f t="shared" ca="1" si="165"/>
        <v>0</v>
      </c>
    </row>
    <row r="192" spans="1:82" ht="17" hidden="1" thickTop="1" thickBot="1">
      <c r="A192" s="773">
        <f t="shared" si="115"/>
        <v>0</v>
      </c>
      <c r="B192" s="779"/>
      <c r="D192" s="660"/>
      <c r="E192" s="661"/>
      <c r="F192" s="862"/>
      <c r="G192" s="863"/>
      <c r="H192" s="961"/>
      <c r="I192" s="865">
        <f t="shared" si="121"/>
        <v>0</v>
      </c>
      <c r="J192" s="864" cm="1">
        <f t="array" ref="J192">IF($G192=0,0,-MIN(0,G192*c_equity.LPshare))</f>
        <v>0</v>
      </c>
      <c r="K192" s="865" cm="1">
        <f t="array" ref="K192">I192*c_rate.Pref.MO</f>
        <v>0</v>
      </c>
      <c r="L192" s="865">
        <f t="shared" si="122"/>
        <v>0</v>
      </c>
      <c r="M192" s="865">
        <f t="shared" si="123"/>
        <v>0</v>
      </c>
      <c r="N192" s="865">
        <f t="shared" si="124"/>
        <v>0</v>
      </c>
      <c r="O192" s="864" cm="1">
        <f t="array" ref="O192">IF(N192=0,0,IF(G192&lt;0,N192/c_equity.LPshare*i_equity.GPshare,L192/c_equity.LPshare*i_equity.GPshare))</f>
        <v>0</v>
      </c>
      <c r="P192" s="865">
        <f t="shared" si="125"/>
        <v>0</v>
      </c>
      <c r="Q192" s="865">
        <f t="shared" si="126"/>
        <v>0</v>
      </c>
      <c r="R192" s="161"/>
      <c r="S192" s="867">
        <f t="shared" ca="1" si="127"/>
        <v>0</v>
      </c>
      <c r="T192" s="867" cm="1">
        <f t="array" ref="T192">IF($G192=0,0,-MIN(0,$G192*c_equity.LPshare))</f>
        <v>0</v>
      </c>
      <c r="U192" s="869" cm="1">
        <f t="array" ref="U192">IF($D192=0,0,S192*c_rate.Hurdle1.MO)</f>
        <v>0</v>
      </c>
      <c r="V192" s="867">
        <f t="shared" si="128"/>
        <v>0</v>
      </c>
      <c r="W192" s="867">
        <f t="shared" ca="1" si="129"/>
        <v>0</v>
      </c>
      <c r="X192" s="869">
        <f t="shared" ca="1" si="130"/>
        <v>0</v>
      </c>
      <c r="Y192" s="869">
        <f t="shared" ca="1" si="131"/>
        <v>0</v>
      </c>
      <c r="Z192" s="869">
        <f t="shared" ca="1" si="132"/>
        <v>0</v>
      </c>
      <c r="AA192" s="869">
        <f t="shared" ca="1" si="133"/>
        <v>0</v>
      </c>
      <c r="AB192" s="867">
        <f t="shared" ca="1" si="134"/>
        <v>0</v>
      </c>
      <c r="AC192" s="161"/>
      <c r="AD192" s="869">
        <f t="shared" ca="1" si="135"/>
        <v>0</v>
      </c>
      <c r="AE192" s="867" cm="1">
        <f t="array" ref="AE192">IF($G192=0,0,-MIN(0,$G192*c_equity.LPshare))</f>
        <v>0</v>
      </c>
      <c r="AF192" s="869" cm="1">
        <f t="array" ref="AF192">IF($D192=0,0,AD192*(c_rate.Hurdle2.MO))</f>
        <v>0</v>
      </c>
      <c r="AG192" s="869">
        <f t="shared" ca="1" si="136"/>
        <v>0</v>
      </c>
      <c r="AH192" s="869">
        <f t="shared" ca="1" si="137"/>
        <v>0</v>
      </c>
      <c r="AI192" s="869">
        <f t="shared" ca="1" si="138"/>
        <v>0</v>
      </c>
      <c r="AJ192" s="870">
        <f t="shared" ca="1" si="166"/>
        <v>0</v>
      </c>
      <c r="AK192" s="867">
        <f t="shared" ca="1" si="139"/>
        <v>0</v>
      </c>
      <c r="AL192" s="869">
        <f t="shared" ca="1" si="167"/>
        <v>0</v>
      </c>
      <c r="AM192" s="869">
        <f t="shared" ca="1" si="140"/>
        <v>0</v>
      </c>
      <c r="AN192" s="867">
        <f t="shared" ca="1" si="168"/>
        <v>0</v>
      </c>
      <c r="AO192" s="161"/>
      <c r="AP192" s="869">
        <f t="shared" ca="1" si="141"/>
        <v>0</v>
      </c>
      <c r="AQ192" s="867" cm="1">
        <f t="array" ref="AQ192">IF($G192=0,0,-MIN(0,$G192*c_equity.LPshare))</f>
        <v>0</v>
      </c>
      <c r="AR192" s="869" cm="1">
        <f t="array" ref="AR192">IF($D192=0,0,AP192*(c_rate.Hurdle3.MO))</f>
        <v>0</v>
      </c>
      <c r="AS192" s="869">
        <f t="shared" ca="1" si="142"/>
        <v>0</v>
      </c>
      <c r="AT192" s="869">
        <f t="shared" ca="1" si="143"/>
        <v>0</v>
      </c>
      <c r="AU192" s="869">
        <f t="shared" ca="1" si="144"/>
        <v>0</v>
      </c>
      <c r="AV192" s="870">
        <f t="shared" ca="1" si="145"/>
        <v>0</v>
      </c>
      <c r="AW192" s="867">
        <f t="shared" ca="1" si="146"/>
        <v>0</v>
      </c>
      <c r="AX192" s="869">
        <f t="shared" ca="1" si="169"/>
        <v>0</v>
      </c>
      <c r="AY192" s="869">
        <f t="shared" ca="1" si="147"/>
        <v>0</v>
      </c>
      <c r="AZ192" s="867">
        <f t="shared" ca="1" si="170"/>
        <v>0</v>
      </c>
      <c r="BA192" s="161"/>
      <c r="BB192" s="867">
        <f t="shared" ca="1" si="149"/>
        <v>0</v>
      </c>
      <c r="BC192" s="867">
        <f t="shared" ca="1" si="114"/>
        <v>0</v>
      </c>
      <c r="BD192" s="658"/>
      <c r="BE192" s="867">
        <f t="shared" ca="1" si="150"/>
        <v>0</v>
      </c>
      <c r="BF192" s="867">
        <f t="shared" ca="1" si="151"/>
        <v>0</v>
      </c>
      <c r="BG192" s="867">
        <f t="shared" ca="1" si="152"/>
        <v>0</v>
      </c>
      <c r="BI192" s="867">
        <f ca="1"/>
        <v>0</v>
      </c>
      <c r="BJ192" s="867">
        <f ca="1"/>
        <v>0</v>
      </c>
      <c r="BK192" s="867">
        <f ca="1"/>
        <v>0</v>
      </c>
      <c r="BL192" s="867">
        <f t="shared" ca="1" si="153"/>
        <v>0</v>
      </c>
      <c r="BM192" s="867">
        <f t="shared" ca="1" si="154"/>
        <v>0</v>
      </c>
      <c r="BN192" s="867">
        <f t="shared" ca="1" si="155"/>
        <v>0</v>
      </c>
      <c r="BO192" s="867">
        <f t="shared" ca="1" si="156"/>
        <v>0</v>
      </c>
      <c r="BP192" s="867">
        <f t="shared" ca="1" si="157"/>
        <v>0</v>
      </c>
      <c r="BQ192" s="867">
        <f t="shared" ca="1" si="158"/>
        <v>0</v>
      </c>
      <c r="BR192" s="867">
        <f ca="1"/>
        <v>0</v>
      </c>
      <c r="BS192" s="867">
        <f ca="1"/>
        <v>0</v>
      </c>
      <c r="BT192" s="867">
        <f t="shared" ca="1" si="119"/>
        <v>0</v>
      </c>
      <c r="BU192" s="867">
        <f t="shared" ca="1" si="159"/>
        <v>0</v>
      </c>
      <c r="BX192" s="867">
        <f ca="1"/>
        <v>0</v>
      </c>
      <c r="BY192" s="867">
        <f t="shared" ca="1" si="160"/>
        <v>0</v>
      </c>
      <c r="BZ192" s="867">
        <f t="shared" ca="1" si="161"/>
        <v>0</v>
      </c>
      <c r="CA192" s="867">
        <f t="shared" ca="1" si="162"/>
        <v>0</v>
      </c>
      <c r="CB192" s="867">
        <f t="shared" ca="1" si="163"/>
        <v>0</v>
      </c>
      <c r="CC192" s="867">
        <f t="shared" ca="1" si="164"/>
        <v>0</v>
      </c>
      <c r="CD192" s="867">
        <f t="shared" ca="1" si="165"/>
        <v>0</v>
      </c>
    </row>
    <row r="193" spans="1:82" ht="17" hidden="1" thickTop="1" thickBot="1">
      <c r="A193" s="773">
        <f t="shared" si="115"/>
        <v>0</v>
      </c>
      <c r="B193" s="779"/>
      <c r="D193" s="660"/>
      <c r="E193" s="661"/>
      <c r="F193" s="862"/>
      <c r="G193" s="863"/>
      <c r="H193" s="961"/>
      <c r="I193" s="865">
        <f t="shared" si="121"/>
        <v>0</v>
      </c>
      <c r="J193" s="864" cm="1">
        <f t="array" ref="J193">IF($G193=0,0,-MIN(0,G193*c_equity.LPshare))</f>
        <v>0</v>
      </c>
      <c r="K193" s="865" cm="1">
        <f t="array" ref="K193">I193*c_rate.Pref.MO</f>
        <v>0</v>
      </c>
      <c r="L193" s="865">
        <f t="shared" si="122"/>
        <v>0</v>
      </c>
      <c r="M193" s="865">
        <f t="shared" si="123"/>
        <v>0</v>
      </c>
      <c r="N193" s="865">
        <f t="shared" si="124"/>
        <v>0</v>
      </c>
      <c r="O193" s="864" cm="1">
        <f t="array" ref="O193">IF(N193=0,0,IF(G193&lt;0,N193/c_equity.LPshare*i_equity.GPshare,L193/c_equity.LPshare*i_equity.GPshare))</f>
        <v>0</v>
      </c>
      <c r="P193" s="865">
        <f t="shared" si="125"/>
        <v>0</v>
      </c>
      <c r="Q193" s="865">
        <f t="shared" si="126"/>
        <v>0</v>
      </c>
      <c r="R193" s="161"/>
      <c r="S193" s="867">
        <f t="shared" ca="1" si="127"/>
        <v>0</v>
      </c>
      <c r="T193" s="867" cm="1">
        <f t="array" ref="T193">IF($G193=0,0,-MIN(0,$G193*c_equity.LPshare))</f>
        <v>0</v>
      </c>
      <c r="U193" s="869" cm="1">
        <f t="array" ref="U193">IF($D193=0,0,S193*c_rate.Hurdle1.MO)</f>
        <v>0</v>
      </c>
      <c r="V193" s="867">
        <f t="shared" si="128"/>
        <v>0</v>
      </c>
      <c r="W193" s="867">
        <f t="shared" ca="1" si="129"/>
        <v>0</v>
      </c>
      <c r="X193" s="869">
        <f t="shared" ca="1" si="130"/>
        <v>0</v>
      </c>
      <c r="Y193" s="869">
        <f t="shared" ca="1" si="131"/>
        <v>0</v>
      </c>
      <c r="Z193" s="869">
        <f t="shared" ca="1" si="132"/>
        <v>0</v>
      </c>
      <c r="AA193" s="869">
        <f t="shared" ca="1" si="133"/>
        <v>0</v>
      </c>
      <c r="AB193" s="867">
        <f t="shared" ca="1" si="134"/>
        <v>0</v>
      </c>
      <c r="AC193" s="161"/>
      <c r="AD193" s="869">
        <f t="shared" ca="1" si="135"/>
        <v>0</v>
      </c>
      <c r="AE193" s="867" cm="1">
        <f t="array" ref="AE193">IF($G193=0,0,-MIN(0,$G193*c_equity.LPshare))</f>
        <v>0</v>
      </c>
      <c r="AF193" s="869" cm="1">
        <f t="array" ref="AF193">IF($D193=0,0,AD193*(c_rate.Hurdle2.MO))</f>
        <v>0</v>
      </c>
      <c r="AG193" s="869">
        <f t="shared" ca="1" si="136"/>
        <v>0</v>
      </c>
      <c r="AH193" s="869">
        <f t="shared" ca="1" si="137"/>
        <v>0</v>
      </c>
      <c r="AI193" s="869">
        <f t="shared" ca="1" si="138"/>
        <v>0</v>
      </c>
      <c r="AJ193" s="870">
        <f t="shared" ca="1" si="166"/>
        <v>0</v>
      </c>
      <c r="AK193" s="867">
        <f t="shared" ca="1" si="139"/>
        <v>0</v>
      </c>
      <c r="AL193" s="869">
        <f t="shared" ca="1" si="167"/>
        <v>0</v>
      </c>
      <c r="AM193" s="869">
        <f t="shared" ca="1" si="140"/>
        <v>0</v>
      </c>
      <c r="AN193" s="867">
        <f t="shared" ca="1" si="168"/>
        <v>0</v>
      </c>
      <c r="AO193" s="161"/>
      <c r="AP193" s="869">
        <f t="shared" ca="1" si="141"/>
        <v>0</v>
      </c>
      <c r="AQ193" s="867" cm="1">
        <f t="array" ref="AQ193">IF($G193=0,0,-MIN(0,$G193*c_equity.LPshare))</f>
        <v>0</v>
      </c>
      <c r="AR193" s="869" cm="1">
        <f t="array" ref="AR193">IF($D193=0,0,AP193*(c_rate.Hurdle3.MO))</f>
        <v>0</v>
      </c>
      <c r="AS193" s="869">
        <f t="shared" ca="1" si="142"/>
        <v>0</v>
      </c>
      <c r="AT193" s="869">
        <f t="shared" ca="1" si="143"/>
        <v>0</v>
      </c>
      <c r="AU193" s="869">
        <f t="shared" ca="1" si="144"/>
        <v>0</v>
      </c>
      <c r="AV193" s="870">
        <f t="shared" ca="1" si="145"/>
        <v>0</v>
      </c>
      <c r="AW193" s="867">
        <f t="shared" ca="1" si="146"/>
        <v>0</v>
      </c>
      <c r="AX193" s="869">
        <f t="shared" ca="1" si="169"/>
        <v>0</v>
      </c>
      <c r="AY193" s="869">
        <f t="shared" ca="1" si="147"/>
        <v>0</v>
      </c>
      <c r="AZ193" s="867">
        <f t="shared" ca="1" si="170"/>
        <v>0</v>
      </c>
      <c r="BA193" s="161"/>
      <c r="BB193" s="867">
        <f t="shared" ca="1" si="149"/>
        <v>0</v>
      </c>
      <c r="BC193" s="867">
        <f t="shared" ca="1" si="114"/>
        <v>0</v>
      </c>
      <c r="BD193" s="658"/>
      <c r="BE193" s="867">
        <f t="shared" ca="1" si="150"/>
        <v>0</v>
      </c>
      <c r="BF193" s="867">
        <f t="shared" ca="1" si="151"/>
        <v>0</v>
      </c>
      <c r="BG193" s="867">
        <f t="shared" ca="1" si="152"/>
        <v>0</v>
      </c>
      <c r="BI193" s="867">
        <f ca="1"/>
        <v>0</v>
      </c>
      <c r="BJ193" s="867">
        <f ca="1"/>
        <v>0</v>
      </c>
      <c r="BK193" s="867">
        <f ca="1"/>
        <v>0</v>
      </c>
      <c r="BL193" s="867">
        <f t="shared" ca="1" si="153"/>
        <v>0</v>
      </c>
      <c r="BM193" s="867">
        <f t="shared" ca="1" si="154"/>
        <v>0</v>
      </c>
      <c r="BN193" s="867">
        <f t="shared" ca="1" si="155"/>
        <v>0</v>
      </c>
      <c r="BO193" s="867">
        <f t="shared" ca="1" si="156"/>
        <v>0</v>
      </c>
      <c r="BP193" s="867">
        <f t="shared" ca="1" si="157"/>
        <v>0</v>
      </c>
      <c r="BQ193" s="867">
        <f t="shared" ca="1" si="158"/>
        <v>0</v>
      </c>
      <c r="BR193" s="867">
        <f ca="1"/>
        <v>0</v>
      </c>
      <c r="BS193" s="867">
        <f ca="1"/>
        <v>0</v>
      </c>
      <c r="BT193" s="867">
        <f t="shared" ca="1" si="119"/>
        <v>0</v>
      </c>
      <c r="BU193" s="867">
        <f t="shared" ca="1" si="159"/>
        <v>0</v>
      </c>
      <c r="BX193" s="867">
        <f ca="1"/>
        <v>0</v>
      </c>
      <c r="BY193" s="867">
        <f t="shared" ca="1" si="160"/>
        <v>0</v>
      </c>
      <c r="BZ193" s="867">
        <f t="shared" ca="1" si="161"/>
        <v>0</v>
      </c>
      <c r="CA193" s="867">
        <f t="shared" ca="1" si="162"/>
        <v>0</v>
      </c>
      <c r="CB193" s="867">
        <f t="shared" ca="1" si="163"/>
        <v>0</v>
      </c>
      <c r="CC193" s="867">
        <f t="shared" ca="1" si="164"/>
        <v>0</v>
      </c>
      <c r="CD193" s="867">
        <f t="shared" ca="1" si="165"/>
        <v>0</v>
      </c>
    </row>
    <row r="194" spans="1:82" ht="17" hidden="1" thickTop="1" thickBot="1">
      <c r="A194" s="773">
        <f t="shared" si="115"/>
        <v>0</v>
      </c>
      <c r="B194" s="779"/>
      <c r="D194" s="660"/>
      <c r="E194" s="661"/>
      <c r="F194" s="862"/>
      <c r="G194" s="863"/>
      <c r="H194" s="961"/>
      <c r="I194" s="865">
        <f t="shared" si="121"/>
        <v>0</v>
      </c>
      <c r="J194" s="864" cm="1">
        <f t="array" ref="J194">IF($G194=0,0,-MIN(0,G194*c_equity.LPshare))</f>
        <v>0</v>
      </c>
      <c r="K194" s="865" cm="1">
        <f t="array" ref="K194">I194*c_rate.Pref.MO</f>
        <v>0</v>
      </c>
      <c r="L194" s="865">
        <f t="shared" si="122"/>
        <v>0</v>
      </c>
      <c r="M194" s="865">
        <f t="shared" si="123"/>
        <v>0</v>
      </c>
      <c r="N194" s="865">
        <f t="shared" si="124"/>
        <v>0</v>
      </c>
      <c r="O194" s="864" cm="1">
        <f t="array" ref="O194">IF(N194=0,0,IF(G194&lt;0,N194/c_equity.LPshare*i_equity.GPshare,L194/c_equity.LPshare*i_equity.GPshare))</f>
        <v>0</v>
      </c>
      <c r="P194" s="865">
        <f t="shared" si="125"/>
        <v>0</v>
      </c>
      <c r="Q194" s="865">
        <f t="shared" si="126"/>
        <v>0</v>
      </c>
      <c r="R194" s="161"/>
      <c r="S194" s="867">
        <f t="shared" ca="1" si="127"/>
        <v>0</v>
      </c>
      <c r="T194" s="867" cm="1">
        <f t="array" ref="T194">IF($G194=0,0,-MIN(0,$G194*c_equity.LPshare))</f>
        <v>0</v>
      </c>
      <c r="U194" s="869" cm="1">
        <f t="array" ref="U194">IF($D194=0,0,S194*c_rate.Hurdle1.MO)</f>
        <v>0</v>
      </c>
      <c r="V194" s="867">
        <f t="shared" si="128"/>
        <v>0</v>
      </c>
      <c r="W194" s="867">
        <f t="shared" ca="1" si="129"/>
        <v>0</v>
      </c>
      <c r="X194" s="869">
        <f t="shared" ca="1" si="130"/>
        <v>0</v>
      </c>
      <c r="Y194" s="869">
        <f t="shared" ca="1" si="131"/>
        <v>0</v>
      </c>
      <c r="Z194" s="869">
        <f t="shared" ca="1" si="132"/>
        <v>0</v>
      </c>
      <c r="AA194" s="869">
        <f t="shared" ca="1" si="133"/>
        <v>0</v>
      </c>
      <c r="AB194" s="867">
        <f t="shared" ca="1" si="134"/>
        <v>0</v>
      </c>
      <c r="AC194" s="161"/>
      <c r="AD194" s="869">
        <f t="shared" ca="1" si="135"/>
        <v>0</v>
      </c>
      <c r="AE194" s="867" cm="1">
        <f t="array" ref="AE194">IF($G194=0,0,-MIN(0,$G194*c_equity.LPshare))</f>
        <v>0</v>
      </c>
      <c r="AF194" s="869" cm="1">
        <f t="array" ref="AF194">IF($D194=0,0,AD194*(c_rate.Hurdle2.MO))</f>
        <v>0</v>
      </c>
      <c r="AG194" s="869">
        <f t="shared" ca="1" si="136"/>
        <v>0</v>
      </c>
      <c r="AH194" s="869">
        <f t="shared" ca="1" si="137"/>
        <v>0</v>
      </c>
      <c r="AI194" s="869">
        <f t="shared" ca="1" si="138"/>
        <v>0</v>
      </c>
      <c r="AJ194" s="870">
        <f t="shared" ca="1" si="166"/>
        <v>0</v>
      </c>
      <c r="AK194" s="867">
        <f t="shared" ca="1" si="139"/>
        <v>0</v>
      </c>
      <c r="AL194" s="869">
        <f t="shared" ca="1" si="167"/>
        <v>0</v>
      </c>
      <c r="AM194" s="869">
        <f t="shared" ca="1" si="140"/>
        <v>0</v>
      </c>
      <c r="AN194" s="867">
        <f t="shared" ca="1" si="168"/>
        <v>0</v>
      </c>
      <c r="AO194" s="161"/>
      <c r="AP194" s="869">
        <f t="shared" ca="1" si="141"/>
        <v>0</v>
      </c>
      <c r="AQ194" s="867" cm="1">
        <f t="array" ref="AQ194">IF($G194=0,0,-MIN(0,$G194*c_equity.LPshare))</f>
        <v>0</v>
      </c>
      <c r="AR194" s="869" cm="1">
        <f t="array" ref="AR194">IF($D194=0,0,AP194*(c_rate.Hurdle3.MO))</f>
        <v>0</v>
      </c>
      <c r="AS194" s="869">
        <f t="shared" ca="1" si="142"/>
        <v>0</v>
      </c>
      <c r="AT194" s="869">
        <f t="shared" ca="1" si="143"/>
        <v>0</v>
      </c>
      <c r="AU194" s="869">
        <f t="shared" ca="1" si="144"/>
        <v>0</v>
      </c>
      <c r="AV194" s="870">
        <f t="shared" ca="1" si="145"/>
        <v>0</v>
      </c>
      <c r="AW194" s="867">
        <f t="shared" ca="1" si="146"/>
        <v>0</v>
      </c>
      <c r="AX194" s="869">
        <f t="shared" ca="1" si="169"/>
        <v>0</v>
      </c>
      <c r="AY194" s="869">
        <f t="shared" ca="1" si="147"/>
        <v>0</v>
      </c>
      <c r="AZ194" s="867">
        <f t="shared" ca="1" si="170"/>
        <v>0</v>
      </c>
      <c r="BA194" s="161"/>
      <c r="BB194" s="867">
        <f t="shared" ca="1" si="149"/>
        <v>0</v>
      </c>
      <c r="BC194" s="867">
        <f t="shared" ca="1" si="114"/>
        <v>0</v>
      </c>
      <c r="BD194" s="658"/>
      <c r="BE194" s="867">
        <f t="shared" ca="1" si="150"/>
        <v>0</v>
      </c>
      <c r="BF194" s="867">
        <f t="shared" ca="1" si="151"/>
        <v>0</v>
      </c>
      <c r="BG194" s="867">
        <f t="shared" ca="1" si="152"/>
        <v>0</v>
      </c>
      <c r="BI194" s="867">
        <f ca="1"/>
        <v>0</v>
      </c>
      <c r="BJ194" s="867">
        <f ca="1"/>
        <v>0</v>
      </c>
      <c r="BK194" s="867">
        <f ca="1"/>
        <v>0</v>
      </c>
      <c r="BL194" s="867">
        <f t="shared" ca="1" si="153"/>
        <v>0</v>
      </c>
      <c r="BM194" s="867">
        <f t="shared" ca="1" si="154"/>
        <v>0</v>
      </c>
      <c r="BN194" s="867">
        <f t="shared" ca="1" si="155"/>
        <v>0</v>
      </c>
      <c r="BO194" s="867">
        <f t="shared" ca="1" si="156"/>
        <v>0</v>
      </c>
      <c r="BP194" s="867">
        <f t="shared" ca="1" si="157"/>
        <v>0</v>
      </c>
      <c r="BQ194" s="867">
        <f t="shared" ca="1" si="158"/>
        <v>0</v>
      </c>
      <c r="BR194" s="867">
        <f ca="1"/>
        <v>0</v>
      </c>
      <c r="BS194" s="867">
        <f ca="1"/>
        <v>0</v>
      </c>
      <c r="BT194" s="867">
        <f t="shared" ca="1" si="119"/>
        <v>0</v>
      </c>
      <c r="BU194" s="867">
        <f t="shared" ca="1" si="159"/>
        <v>0</v>
      </c>
      <c r="BX194" s="867">
        <f ca="1"/>
        <v>0</v>
      </c>
      <c r="BY194" s="867">
        <f t="shared" ca="1" si="160"/>
        <v>0</v>
      </c>
      <c r="BZ194" s="867">
        <f t="shared" ca="1" si="161"/>
        <v>0</v>
      </c>
      <c r="CA194" s="867">
        <f t="shared" ca="1" si="162"/>
        <v>0</v>
      </c>
      <c r="CB194" s="867">
        <f t="shared" ca="1" si="163"/>
        <v>0</v>
      </c>
      <c r="CC194" s="867">
        <f t="shared" ca="1" si="164"/>
        <v>0</v>
      </c>
      <c r="CD194" s="867">
        <f t="shared" ca="1" si="165"/>
        <v>0</v>
      </c>
    </row>
    <row r="195" spans="1:82" ht="17" hidden="1" thickTop="1" thickBot="1">
      <c r="A195" s="773">
        <f t="shared" si="115"/>
        <v>0</v>
      </c>
      <c r="B195" s="779"/>
      <c r="D195" s="660"/>
      <c r="E195" s="661"/>
      <c r="F195" s="862"/>
      <c r="G195" s="863"/>
      <c r="H195" s="961"/>
      <c r="I195" s="865">
        <f t="shared" si="121"/>
        <v>0</v>
      </c>
      <c r="J195" s="864" cm="1">
        <f t="array" ref="J195">IF($G195=0,0,-MIN(0,G195*c_equity.LPshare))</f>
        <v>0</v>
      </c>
      <c r="K195" s="865" cm="1">
        <f t="array" ref="K195">I195*c_rate.Pref.MO</f>
        <v>0</v>
      </c>
      <c r="L195" s="865">
        <f t="shared" si="122"/>
        <v>0</v>
      </c>
      <c r="M195" s="865">
        <f t="shared" si="123"/>
        <v>0</v>
      </c>
      <c r="N195" s="865">
        <f t="shared" si="124"/>
        <v>0</v>
      </c>
      <c r="O195" s="864" cm="1">
        <f t="array" ref="O195">IF(N195=0,0,IF(G195&lt;0,N195/c_equity.LPshare*i_equity.GPshare,L195/c_equity.LPshare*i_equity.GPshare))</f>
        <v>0</v>
      </c>
      <c r="P195" s="865">
        <f t="shared" si="125"/>
        <v>0</v>
      </c>
      <c r="Q195" s="865">
        <f t="shared" si="126"/>
        <v>0</v>
      </c>
      <c r="R195" s="161"/>
      <c r="S195" s="867">
        <f t="shared" ca="1" si="127"/>
        <v>0</v>
      </c>
      <c r="T195" s="867" cm="1">
        <f t="array" ref="T195">IF($G195=0,0,-MIN(0,$G195*c_equity.LPshare))</f>
        <v>0</v>
      </c>
      <c r="U195" s="869" cm="1">
        <f t="array" ref="U195">IF($D195=0,0,S195*c_rate.Hurdle1.MO)</f>
        <v>0</v>
      </c>
      <c r="V195" s="867">
        <f t="shared" si="128"/>
        <v>0</v>
      </c>
      <c r="W195" s="867">
        <f t="shared" ca="1" si="129"/>
        <v>0</v>
      </c>
      <c r="X195" s="869">
        <f t="shared" ca="1" si="130"/>
        <v>0</v>
      </c>
      <c r="Y195" s="869">
        <f t="shared" ca="1" si="131"/>
        <v>0</v>
      </c>
      <c r="Z195" s="869">
        <f t="shared" ca="1" si="132"/>
        <v>0</v>
      </c>
      <c r="AA195" s="869">
        <f t="shared" ca="1" si="133"/>
        <v>0</v>
      </c>
      <c r="AB195" s="867">
        <f t="shared" ca="1" si="134"/>
        <v>0</v>
      </c>
      <c r="AC195" s="161"/>
      <c r="AD195" s="869">
        <f t="shared" ca="1" si="135"/>
        <v>0</v>
      </c>
      <c r="AE195" s="867" cm="1">
        <f t="array" ref="AE195">IF($G195=0,0,-MIN(0,$G195*c_equity.LPshare))</f>
        <v>0</v>
      </c>
      <c r="AF195" s="869" cm="1">
        <f t="array" ref="AF195">IF($D195=0,0,AD195*(c_rate.Hurdle2.MO))</f>
        <v>0</v>
      </c>
      <c r="AG195" s="869">
        <f t="shared" ca="1" si="136"/>
        <v>0</v>
      </c>
      <c r="AH195" s="869">
        <f t="shared" ca="1" si="137"/>
        <v>0</v>
      </c>
      <c r="AI195" s="869">
        <f t="shared" ca="1" si="138"/>
        <v>0</v>
      </c>
      <c r="AJ195" s="870">
        <f t="shared" ca="1" si="166"/>
        <v>0</v>
      </c>
      <c r="AK195" s="867">
        <f t="shared" ca="1" si="139"/>
        <v>0</v>
      </c>
      <c r="AL195" s="869">
        <f t="shared" ca="1" si="167"/>
        <v>0</v>
      </c>
      <c r="AM195" s="869">
        <f t="shared" ca="1" si="140"/>
        <v>0</v>
      </c>
      <c r="AN195" s="867">
        <f t="shared" ca="1" si="168"/>
        <v>0</v>
      </c>
      <c r="AO195" s="161"/>
      <c r="AP195" s="869">
        <f t="shared" ca="1" si="141"/>
        <v>0</v>
      </c>
      <c r="AQ195" s="867" cm="1">
        <f t="array" ref="AQ195">IF($G195=0,0,-MIN(0,$G195*c_equity.LPshare))</f>
        <v>0</v>
      </c>
      <c r="AR195" s="869" cm="1">
        <f t="array" ref="AR195">IF($D195=0,0,AP195*(c_rate.Hurdle3.MO))</f>
        <v>0</v>
      </c>
      <c r="AS195" s="869">
        <f t="shared" ca="1" si="142"/>
        <v>0</v>
      </c>
      <c r="AT195" s="869">
        <f t="shared" ca="1" si="143"/>
        <v>0</v>
      </c>
      <c r="AU195" s="869">
        <f t="shared" ca="1" si="144"/>
        <v>0</v>
      </c>
      <c r="AV195" s="870">
        <f t="shared" ca="1" si="145"/>
        <v>0</v>
      </c>
      <c r="AW195" s="867">
        <f t="shared" ca="1" si="146"/>
        <v>0</v>
      </c>
      <c r="AX195" s="869">
        <f t="shared" ca="1" si="169"/>
        <v>0</v>
      </c>
      <c r="AY195" s="869">
        <f t="shared" ca="1" si="147"/>
        <v>0</v>
      </c>
      <c r="AZ195" s="867">
        <f t="shared" ca="1" si="170"/>
        <v>0</v>
      </c>
      <c r="BA195" s="161"/>
      <c r="BB195" s="867">
        <f t="shared" ca="1" si="149"/>
        <v>0</v>
      </c>
      <c r="BC195" s="867">
        <f t="shared" ca="1" si="114"/>
        <v>0</v>
      </c>
      <c r="BD195" s="658"/>
      <c r="BE195" s="867">
        <f t="shared" ca="1" si="150"/>
        <v>0</v>
      </c>
      <c r="BF195" s="867">
        <f t="shared" ca="1" si="151"/>
        <v>0</v>
      </c>
      <c r="BG195" s="867">
        <f t="shared" ca="1" si="152"/>
        <v>0</v>
      </c>
      <c r="BI195" s="867">
        <f ca="1"/>
        <v>0</v>
      </c>
      <c r="BJ195" s="867">
        <f ca="1"/>
        <v>0</v>
      </c>
      <c r="BK195" s="867">
        <f ca="1"/>
        <v>0</v>
      </c>
      <c r="BL195" s="867">
        <f t="shared" ca="1" si="153"/>
        <v>0</v>
      </c>
      <c r="BM195" s="867">
        <f t="shared" ca="1" si="154"/>
        <v>0</v>
      </c>
      <c r="BN195" s="867">
        <f t="shared" ca="1" si="155"/>
        <v>0</v>
      </c>
      <c r="BO195" s="867">
        <f t="shared" ca="1" si="156"/>
        <v>0</v>
      </c>
      <c r="BP195" s="867">
        <f t="shared" ca="1" si="157"/>
        <v>0</v>
      </c>
      <c r="BQ195" s="867">
        <f t="shared" ca="1" si="158"/>
        <v>0</v>
      </c>
      <c r="BR195" s="867">
        <f ca="1"/>
        <v>0</v>
      </c>
      <c r="BS195" s="867">
        <f ca="1"/>
        <v>0</v>
      </c>
      <c r="BT195" s="867">
        <f t="shared" ca="1" si="119"/>
        <v>0</v>
      </c>
      <c r="BU195" s="867">
        <f t="shared" ca="1" si="159"/>
        <v>0</v>
      </c>
      <c r="BX195" s="867">
        <f ca="1"/>
        <v>0</v>
      </c>
      <c r="BY195" s="867">
        <f t="shared" ca="1" si="160"/>
        <v>0</v>
      </c>
      <c r="BZ195" s="867">
        <f t="shared" ca="1" si="161"/>
        <v>0</v>
      </c>
      <c r="CA195" s="867">
        <f t="shared" ca="1" si="162"/>
        <v>0</v>
      </c>
      <c r="CB195" s="867">
        <f t="shared" ca="1" si="163"/>
        <v>0</v>
      </c>
      <c r="CC195" s="867">
        <f t="shared" ca="1" si="164"/>
        <v>0</v>
      </c>
      <c r="CD195" s="867">
        <f t="shared" ca="1" si="165"/>
        <v>0</v>
      </c>
    </row>
    <row r="196" spans="1:82" ht="17" hidden="1" thickTop="1" thickBot="1">
      <c r="A196" s="773">
        <f t="shared" si="115"/>
        <v>0</v>
      </c>
      <c r="B196" s="779"/>
      <c r="D196" s="660"/>
      <c r="E196" s="661"/>
      <c r="F196" s="862"/>
      <c r="G196" s="863"/>
      <c r="H196" s="961"/>
      <c r="I196" s="865">
        <f t="shared" si="121"/>
        <v>0</v>
      </c>
      <c r="J196" s="864" cm="1">
        <f t="array" ref="J196">IF($G196=0,0,-MIN(0,G196*c_equity.LPshare))</f>
        <v>0</v>
      </c>
      <c r="K196" s="865" cm="1">
        <f t="array" ref="K196">I196*c_rate.Pref.MO</f>
        <v>0</v>
      </c>
      <c r="L196" s="865">
        <f t="shared" si="122"/>
        <v>0</v>
      </c>
      <c r="M196" s="865">
        <f t="shared" si="123"/>
        <v>0</v>
      </c>
      <c r="N196" s="865">
        <f t="shared" si="124"/>
        <v>0</v>
      </c>
      <c r="O196" s="864" cm="1">
        <f t="array" ref="O196">IF(N196=0,0,IF(G196&lt;0,N196/c_equity.LPshare*i_equity.GPshare,L196/c_equity.LPshare*i_equity.GPshare))</f>
        <v>0</v>
      </c>
      <c r="P196" s="865">
        <f t="shared" si="125"/>
        <v>0</v>
      </c>
      <c r="Q196" s="865">
        <f t="shared" si="126"/>
        <v>0</v>
      </c>
      <c r="R196" s="161"/>
      <c r="S196" s="867">
        <f t="shared" ca="1" si="127"/>
        <v>0</v>
      </c>
      <c r="T196" s="867" cm="1">
        <f t="array" ref="T196">IF($G196=0,0,-MIN(0,$G196*c_equity.LPshare))</f>
        <v>0</v>
      </c>
      <c r="U196" s="869" cm="1">
        <f t="array" ref="U196">IF($D196=0,0,S196*c_rate.Hurdle1.MO)</f>
        <v>0</v>
      </c>
      <c r="V196" s="867">
        <f t="shared" si="128"/>
        <v>0</v>
      </c>
      <c r="W196" s="867">
        <f t="shared" ca="1" si="129"/>
        <v>0</v>
      </c>
      <c r="X196" s="869">
        <f t="shared" ca="1" si="130"/>
        <v>0</v>
      </c>
      <c r="Y196" s="869">
        <f t="shared" ca="1" si="131"/>
        <v>0</v>
      </c>
      <c r="Z196" s="869">
        <f t="shared" ca="1" si="132"/>
        <v>0</v>
      </c>
      <c r="AA196" s="869">
        <f t="shared" ca="1" si="133"/>
        <v>0</v>
      </c>
      <c r="AB196" s="867">
        <f t="shared" ca="1" si="134"/>
        <v>0</v>
      </c>
      <c r="AC196" s="161"/>
      <c r="AD196" s="869">
        <f t="shared" ca="1" si="135"/>
        <v>0</v>
      </c>
      <c r="AE196" s="867" cm="1">
        <f t="array" ref="AE196">IF($G196=0,0,-MIN(0,$G196*c_equity.LPshare))</f>
        <v>0</v>
      </c>
      <c r="AF196" s="869" cm="1">
        <f t="array" ref="AF196">IF($D196=0,0,AD196*(c_rate.Hurdle2.MO))</f>
        <v>0</v>
      </c>
      <c r="AG196" s="869">
        <f t="shared" ca="1" si="136"/>
        <v>0</v>
      </c>
      <c r="AH196" s="869">
        <f t="shared" ca="1" si="137"/>
        <v>0</v>
      </c>
      <c r="AI196" s="869">
        <f t="shared" ca="1" si="138"/>
        <v>0</v>
      </c>
      <c r="AJ196" s="870">
        <f t="shared" ca="1" si="166"/>
        <v>0</v>
      </c>
      <c r="AK196" s="867">
        <f t="shared" ca="1" si="139"/>
        <v>0</v>
      </c>
      <c r="AL196" s="869">
        <f t="shared" ca="1" si="167"/>
        <v>0</v>
      </c>
      <c r="AM196" s="869">
        <f t="shared" ca="1" si="140"/>
        <v>0</v>
      </c>
      <c r="AN196" s="867">
        <f t="shared" ca="1" si="168"/>
        <v>0</v>
      </c>
      <c r="AO196" s="161"/>
      <c r="AP196" s="869">
        <f t="shared" ca="1" si="141"/>
        <v>0</v>
      </c>
      <c r="AQ196" s="867" cm="1">
        <f t="array" ref="AQ196">IF($G196=0,0,-MIN(0,$G196*c_equity.LPshare))</f>
        <v>0</v>
      </c>
      <c r="AR196" s="869" cm="1">
        <f t="array" ref="AR196">IF($D196=0,0,AP196*(c_rate.Hurdle3.MO))</f>
        <v>0</v>
      </c>
      <c r="AS196" s="869">
        <f t="shared" ca="1" si="142"/>
        <v>0</v>
      </c>
      <c r="AT196" s="869">
        <f t="shared" ca="1" si="143"/>
        <v>0</v>
      </c>
      <c r="AU196" s="869">
        <f t="shared" ca="1" si="144"/>
        <v>0</v>
      </c>
      <c r="AV196" s="870">
        <f t="shared" ca="1" si="145"/>
        <v>0</v>
      </c>
      <c r="AW196" s="867">
        <f t="shared" ca="1" si="146"/>
        <v>0</v>
      </c>
      <c r="AX196" s="869">
        <f t="shared" ca="1" si="169"/>
        <v>0</v>
      </c>
      <c r="AY196" s="869">
        <f t="shared" ca="1" si="147"/>
        <v>0</v>
      </c>
      <c r="AZ196" s="867">
        <f t="shared" ca="1" si="170"/>
        <v>0</v>
      </c>
      <c r="BA196" s="161"/>
      <c r="BB196" s="867">
        <f t="shared" ca="1" si="149"/>
        <v>0</v>
      </c>
      <c r="BC196" s="867">
        <f t="shared" ca="1" si="114"/>
        <v>0</v>
      </c>
      <c r="BD196" s="658"/>
      <c r="BE196" s="867">
        <f t="shared" ca="1" si="150"/>
        <v>0</v>
      </c>
      <c r="BF196" s="867">
        <f t="shared" ca="1" si="151"/>
        <v>0</v>
      </c>
      <c r="BG196" s="867">
        <f t="shared" ca="1" si="152"/>
        <v>0</v>
      </c>
      <c r="BI196" s="867">
        <f ca="1"/>
        <v>0</v>
      </c>
      <c r="BJ196" s="867">
        <f ca="1"/>
        <v>0</v>
      </c>
      <c r="BK196" s="867">
        <f ca="1"/>
        <v>0</v>
      </c>
      <c r="BL196" s="867">
        <f t="shared" ca="1" si="153"/>
        <v>0</v>
      </c>
      <c r="BM196" s="867">
        <f t="shared" ca="1" si="154"/>
        <v>0</v>
      </c>
      <c r="BN196" s="867">
        <f t="shared" ca="1" si="155"/>
        <v>0</v>
      </c>
      <c r="BO196" s="867">
        <f t="shared" ca="1" si="156"/>
        <v>0</v>
      </c>
      <c r="BP196" s="867">
        <f t="shared" ca="1" si="157"/>
        <v>0</v>
      </c>
      <c r="BQ196" s="867">
        <f t="shared" ca="1" si="158"/>
        <v>0</v>
      </c>
      <c r="BR196" s="867">
        <f ca="1"/>
        <v>0</v>
      </c>
      <c r="BS196" s="867">
        <f ca="1"/>
        <v>0</v>
      </c>
      <c r="BT196" s="867">
        <f t="shared" ca="1" si="119"/>
        <v>0</v>
      </c>
      <c r="BU196" s="867">
        <f t="shared" ca="1" si="159"/>
        <v>0</v>
      </c>
      <c r="BX196" s="867">
        <f ca="1"/>
        <v>0</v>
      </c>
      <c r="BY196" s="867">
        <f t="shared" ca="1" si="160"/>
        <v>0</v>
      </c>
      <c r="BZ196" s="867">
        <f t="shared" ca="1" si="161"/>
        <v>0</v>
      </c>
      <c r="CA196" s="867">
        <f t="shared" ca="1" si="162"/>
        <v>0</v>
      </c>
      <c r="CB196" s="867">
        <f t="shared" ca="1" si="163"/>
        <v>0</v>
      </c>
      <c r="CC196" s="867">
        <f t="shared" ca="1" si="164"/>
        <v>0</v>
      </c>
      <c r="CD196" s="867">
        <f t="shared" ca="1" si="165"/>
        <v>0</v>
      </c>
    </row>
    <row r="197" spans="1:82" ht="17" hidden="1" thickTop="1" thickBot="1">
      <c r="A197" s="773">
        <f t="shared" si="115"/>
        <v>0</v>
      </c>
      <c r="B197" s="779"/>
      <c r="D197" s="660"/>
      <c r="E197" s="661"/>
      <c r="F197" s="862"/>
      <c r="G197" s="863"/>
      <c r="H197" s="961"/>
      <c r="I197" s="865">
        <f t="shared" si="121"/>
        <v>0</v>
      </c>
      <c r="J197" s="864" cm="1">
        <f t="array" ref="J197">IF($G197=0,0,-MIN(0,G197*c_equity.LPshare))</f>
        <v>0</v>
      </c>
      <c r="K197" s="865" cm="1">
        <f t="array" ref="K197">I197*c_rate.Pref.MO</f>
        <v>0</v>
      </c>
      <c r="L197" s="865">
        <f t="shared" si="122"/>
        <v>0</v>
      </c>
      <c r="M197" s="865">
        <f t="shared" si="123"/>
        <v>0</v>
      </c>
      <c r="N197" s="865">
        <f t="shared" si="124"/>
        <v>0</v>
      </c>
      <c r="O197" s="864" cm="1">
        <f t="array" ref="O197">IF(N197=0,0,IF(G197&lt;0,N197/c_equity.LPshare*i_equity.GPshare,L197/c_equity.LPshare*i_equity.GPshare))</f>
        <v>0</v>
      </c>
      <c r="P197" s="865">
        <f t="shared" si="125"/>
        <v>0</v>
      </c>
      <c r="Q197" s="865">
        <f t="shared" si="126"/>
        <v>0</v>
      </c>
      <c r="R197" s="161"/>
      <c r="S197" s="867">
        <f t="shared" ca="1" si="127"/>
        <v>0</v>
      </c>
      <c r="T197" s="867" cm="1">
        <f t="array" ref="T197">IF($G197=0,0,-MIN(0,$G197*c_equity.LPshare))</f>
        <v>0</v>
      </c>
      <c r="U197" s="869" cm="1">
        <f t="array" ref="U197">IF($D197=0,0,S197*c_rate.Hurdle1.MO)</f>
        <v>0</v>
      </c>
      <c r="V197" s="867">
        <f t="shared" si="128"/>
        <v>0</v>
      </c>
      <c r="W197" s="867">
        <f t="shared" ca="1" si="129"/>
        <v>0</v>
      </c>
      <c r="X197" s="869">
        <f t="shared" ca="1" si="130"/>
        <v>0</v>
      </c>
      <c r="Y197" s="869">
        <f t="shared" ca="1" si="131"/>
        <v>0</v>
      </c>
      <c r="Z197" s="869">
        <f t="shared" ca="1" si="132"/>
        <v>0</v>
      </c>
      <c r="AA197" s="869">
        <f t="shared" ca="1" si="133"/>
        <v>0</v>
      </c>
      <c r="AB197" s="867">
        <f t="shared" ca="1" si="134"/>
        <v>0</v>
      </c>
      <c r="AC197" s="161"/>
      <c r="AD197" s="869">
        <f t="shared" ca="1" si="135"/>
        <v>0</v>
      </c>
      <c r="AE197" s="867" cm="1">
        <f t="array" ref="AE197">IF($G197=0,0,-MIN(0,$G197*c_equity.LPshare))</f>
        <v>0</v>
      </c>
      <c r="AF197" s="869" cm="1">
        <f t="array" ref="AF197">IF($D197=0,0,AD197*(c_rate.Hurdle2.MO))</f>
        <v>0</v>
      </c>
      <c r="AG197" s="869">
        <f t="shared" ca="1" si="136"/>
        <v>0</v>
      </c>
      <c r="AH197" s="869">
        <f t="shared" ca="1" si="137"/>
        <v>0</v>
      </c>
      <c r="AI197" s="869">
        <f t="shared" ca="1" si="138"/>
        <v>0</v>
      </c>
      <c r="AJ197" s="870">
        <f t="shared" ca="1" si="166"/>
        <v>0</v>
      </c>
      <c r="AK197" s="867">
        <f t="shared" ca="1" si="139"/>
        <v>0</v>
      </c>
      <c r="AL197" s="869">
        <f t="shared" ca="1" si="167"/>
        <v>0</v>
      </c>
      <c r="AM197" s="869">
        <f t="shared" ca="1" si="140"/>
        <v>0</v>
      </c>
      <c r="AN197" s="867">
        <f t="shared" ca="1" si="168"/>
        <v>0</v>
      </c>
      <c r="AO197" s="161"/>
      <c r="AP197" s="869">
        <f t="shared" ca="1" si="141"/>
        <v>0</v>
      </c>
      <c r="AQ197" s="867" cm="1">
        <f t="array" ref="AQ197">IF($G197=0,0,-MIN(0,$G197*c_equity.LPshare))</f>
        <v>0</v>
      </c>
      <c r="AR197" s="869" cm="1">
        <f t="array" ref="AR197">IF($D197=0,0,AP197*(c_rate.Hurdle3.MO))</f>
        <v>0</v>
      </c>
      <c r="AS197" s="869">
        <f t="shared" ca="1" si="142"/>
        <v>0</v>
      </c>
      <c r="AT197" s="869">
        <f t="shared" ca="1" si="143"/>
        <v>0</v>
      </c>
      <c r="AU197" s="869">
        <f t="shared" ca="1" si="144"/>
        <v>0</v>
      </c>
      <c r="AV197" s="870">
        <f t="shared" ca="1" si="145"/>
        <v>0</v>
      </c>
      <c r="AW197" s="867">
        <f t="shared" ca="1" si="146"/>
        <v>0</v>
      </c>
      <c r="AX197" s="869">
        <f t="shared" ca="1" si="169"/>
        <v>0</v>
      </c>
      <c r="AY197" s="869">
        <f t="shared" ca="1" si="147"/>
        <v>0</v>
      </c>
      <c r="AZ197" s="867">
        <f t="shared" ca="1" si="170"/>
        <v>0</v>
      </c>
      <c r="BA197" s="161"/>
      <c r="BB197" s="867">
        <f t="shared" ca="1" si="149"/>
        <v>0</v>
      </c>
      <c r="BC197" s="867">
        <f t="shared" ca="1" si="114"/>
        <v>0</v>
      </c>
      <c r="BD197" s="658"/>
      <c r="BE197" s="867">
        <f t="shared" ca="1" si="150"/>
        <v>0</v>
      </c>
      <c r="BF197" s="867">
        <f t="shared" ca="1" si="151"/>
        <v>0</v>
      </c>
      <c r="BG197" s="867">
        <f t="shared" ca="1" si="152"/>
        <v>0</v>
      </c>
      <c r="BI197" s="867">
        <f ca="1"/>
        <v>0</v>
      </c>
      <c r="BJ197" s="867">
        <f ca="1"/>
        <v>0</v>
      </c>
      <c r="BK197" s="867">
        <f ca="1"/>
        <v>0</v>
      </c>
      <c r="BL197" s="867">
        <f t="shared" ca="1" si="153"/>
        <v>0</v>
      </c>
      <c r="BM197" s="867">
        <f t="shared" ca="1" si="154"/>
        <v>0</v>
      </c>
      <c r="BN197" s="867">
        <f t="shared" ca="1" si="155"/>
        <v>0</v>
      </c>
      <c r="BO197" s="867">
        <f t="shared" ca="1" si="156"/>
        <v>0</v>
      </c>
      <c r="BP197" s="867">
        <f t="shared" ca="1" si="157"/>
        <v>0</v>
      </c>
      <c r="BQ197" s="867">
        <f t="shared" ca="1" si="158"/>
        <v>0</v>
      </c>
      <c r="BR197" s="867">
        <f ca="1"/>
        <v>0</v>
      </c>
      <c r="BS197" s="867">
        <f ca="1"/>
        <v>0</v>
      </c>
      <c r="BT197" s="867">
        <f t="shared" ca="1" si="119"/>
        <v>0</v>
      </c>
      <c r="BU197" s="867">
        <f t="shared" ca="1" si="159"/>
        <v>0</v>
      </c>
      <c r="BX197" s="867">
        <f ca="1"/>
        <v>0</v>
      </c>
      <c r="BY197" s="867">
        <f t="shared" ca="1" si="160"/>
        <v>0</v>
      </c>
      <c r="BZ197" s="867">
        <f t="shared" ca="1" si="161"/>
        <v>0</v>
      </c>
      <c r="CA197" s="867">
        <f t="shared" ca="1" si="162"/>
        <v>0</v>
      </c>
      <c r="CB197" s="867">
        <f t="shared" ca="1" si="163"/>
        <v>0</v>
      </c>
      <c r="CC197" s="867">
        <f t="shared" ca="1" si="164"/>
        <v>0</v>
      </c>
      <c r="CD197" s="867">
        <f t="shared" ca="1" si="165"/>
        <v>0</v>
      </c>
    </row>
    <row r="198" spans="1:82" ht="17" hidden="1" thickTop="1" thickBot="1">
      <c r="A198" s="773">
        <f t="shared" si="115"/>
        <v>0</v>
      </c>
      <c r="B198" s="779"/>
      <c r="D198" s="660"/>
      <c r="E198" s="661"/>
      <c r="F198" s="862"/>
      <c r="G198" s="863"/>
      <c r="H198" s="961"/>
      <c r="I198" s="865">
        <f t="shared" si="121"/>
        <v>0</v>
      </c>
      <c r="J198" s="864" cm="1">
        <f t="array" ref="J198">IF($G198=0,0,-MIN(0,G198*c_equity.LPshare))</f>
        <v>0</v>
      </c>
      <c r="K198" s="865" cm="1">
        <f t="array" ref="K198">I198*c_rate.Pref.MO</f>
        <v>0</v>
      </c>
      <c r="L198" s="865">
        <f t="shared" si="122"/>
        <v>0</v>
      </c>
      <c r="M198" s="865">
        <f t="shared" si="123"/>
        <v>0</v>
      </c>
      <c r="N198" s="865">
        <f t="shared" si="124"/>
        <v>0</v>
      </c>
      <c r="O198" s="864" cm="1">
        <f t="array" ref="O198">IF(N198=0,0,IF(G198&lt;0,N198/c_equity.LPshare*i_equity.GPshare,L198/c_equity.LPshare*i_equity.GPshare))</f>
        <v>0</v>
      </c>
      <c r="P198" s="865">
        <f t="shared" si="125"/>
        <v>0</v>
      </c>
      <c r="Q198" s="865">
        <f t="shared" si="126"/>
        <v>0</v>
      </c>
      <c r="R198" s="161"/>
      <c r="S198" s="867">
        <f t="shared" ca="1" si="127"/>
        <v>0</v>
      </c>
      <c r="T198" s="867" cm="1">
        <f t="array" ref="T198">IF($G198=0,0,-MIN(0,$G198*c_equity.LPshare))</f>
        <v>0</v>
      </c>
      <c r="U198" s="869" cm="1">
        <f t="array" ref="U198">IF($D198=0,0,S198*c_rate.Hurdle1.MO)</f>
        <v>0</v>
      </c>
      <c r="V198" s="867">
        <f t="shared" si="128"/>
        <v>0</v>
      </c>
      <c r="W198" s="867">
        <f t="shared" ca="1" si="129"/>
        <v>0</v>
      </c>
      <c r="X198" s="869">
        <f t="shared" ca="1" si="130"/>
        <v>0</v>
      </c>
      <c r="Y198" s="869">
        <f t="shared" ca="1" si="131"/>
        <v>0</v>
      </c>
      <c r="Z198" s="869">
        <f t="shared" ca="1" si="132"/>
        <v>0</v>
      </c>
      <c r="AA198" s="869">
        <f t="shared" ca="1" si="133"/>
        <v>0</v>
      </c>
      <c r="AB198" s="867">
        <f t="shared" ca="1" si="134"/>
        <v>0</v>
      </c>
      <c r="AC198" s="161"/>
      <c r="AD198" s="869">
        <f t="shared" ca="1" si="135"/>
        <v>0</v>
      </c>
      <c r="AE198" s="867" cm="1">
        <f t="array" ref="AE198">IF($G198=0,0,-MIN(0,$G198*c_equity.LPshare))</f>
        <v>0</v>
      </c>
      <c r="AF198" s="869" cm="1">
        <f t="array" ref="AF198">IF($D198=0,0,AD198*(c_rate.Hurdle2.MO))</f>
        <v>0</v>
      </c>
      <c r="AG198" s="869">
        <f t="shared" ca="1" si="136"/>
        <v>0</v>
      </c>
      <c r="AH198" s="869">
        <f t="shared" ca="1" si="137"/>
        <v>0</v>
      </c>
      <c r="AI198" s="869">
        <f t="shared" ca="1" si="138"/>
        <v>0</v>
      </c>
      <c r="AJ198" s="870">
        <f t="shared" ca="1" si="166"/>
        <v>0</v>
      </c>
      <c r="AK198" s="867">
        <f t="shared" ca="1" si="139"/>
        <v>0</v>
      </c>
      <c r="AL198" s="869">
        <f t="shared" ca="1" si="167"/>
        <v>0</v>
      </c>
      <c r="AM198" s="869">
        <f t="shared" ca="1" si="140"/>
        <v>0</v>
      </c>
      <c r="AN198" s="867">
        <f t="shared" ca="1" si="168"/>
        <v>0</v>
      </c>
      <c r="AO198" s="161"/>
      <c r="AP198" s="869">
        <f t="shared" ca="1" si="141"/>
        <v>0</v>
      </c>
      <c r="AQ198" s="867" cm="1">
        <f t="array" ref="AQ198">IF($G198=0,0,-MIN(0,$G198*c_equity.LPshare))</f>
        <v>0</v>
      </c>
      <c r="AR198" s="869" cm="1">
        <f t="array" ref="AR198">IF($D198=0,0,AP198*(c_rate.Hurdle3.MO))</f>
        <v>0</v>
      </c>
      <c r="AS198" s="869">
        <f t="shared" ca="1" si="142"/>
        <v>0</v>
      </c>
      <c r="AT198" s="869">
        <f t="shared" ca="1" si="143"/>
        <v>0</v>
      </c>
      <c r="AU198" s="869">
        <f t="shared" ca="1" si="144"/>
        <v>0</v>
      </c>
      <c r="AV198" s="870">
        <f t="shared" ca="1" si="145"/>
        <v>0</v>
      </c>
      <c r="AW198" s="867">
        <f t="shared" ca="1" si="146"/>
        <v>0</v>
      </c>
      <c r="AX198" s="869">
        <f t="shared" ca="1" si="169"/>
        <v>0</v>
      </c>
      <c r="AY198" s="869">
        <f t="shared" ca="1" si="147"/>
        <v>0</v>
      </c>
      <c r="AZ198" s="867">
        <f t="shared" ca="1" si="170"/>
        <v>0</v>
      </c>
      <c r="BA198" s="161"/>
      <c r="BB198" s="867">
        <f t="shared" ca="1" si="149"/>
        <v>0</v>
      </c>
      <c r="BC198" s="867">
        <f t="shared" ca="1" si="114"/>
        <v>0</v>
      </c>
      <c r="BD198" s="658"/>
      <c r="BE198" s="867">
        <f t="shared" ca="1" si="150"/>
        <v>0</v>
      </c>
      <c r="BF198" s="867">
        <f t="shared" ca="1" si="151"/>
        <v>0</v>
      </c>
      <c r="BG198" s="867">
        <f t="shared" ca="1" si="152"/>
        <v>0</v>
      </c>
      <c r="BI198" s="867">
        <f ca="1"/>
        <v>0</v>
      </c>
      <c r="BJ198" s="867">
        <f ca="1"/>
        <v>0</v>
      </c>
      <c r="BK198" s="867">
        <f ca="1"/>
        <v>0</v>
      </c>
      <c r="BL198" s="867">
        <f t="shared" ca="1" si="153"/>
        <v>0</v>
      </c>
      <c r="BM198" s="867">
        <f t="shared" ca="1" si="154"/>
        <v>0</v>
      </c>
      <c r="BN198" s="867">
        <f t="shared" ca="1" si="155"/>
        <v>0</v>
      </c>
      <c r="BO198" s="867">
        <f t="shared" ca="1" si="156"/>
        <v>0</v>
      </c>
      <c r="BP198" s="867">
        <f t="shared" ca="1" si="157"/>
        <v>0</v>
      </c>
      <c r="BQ198" s="867">
        <f t="shared" ca="1" si="158"/>
        <v>0</v>
      </c>
      <c r="BR198" s="867">
        <f ca="1"/>
        <v>0</v>
      </c>
      <c r="BS198" s="867">
        <f ca="1"/>
        <v>0</v>
      </c>
      <c r="BT198" s="867">
        <f t="shared" ca="1" si="119"/>
        <v>0</v>
      </c>
      <c r="BU198" s="867">
        <f t="shared" ca="1" si="159"/>
        <v>0</v>
      </c>
      <c r="BX198" s="867">
        <f ca="1"/>
        <v>0</v>
      </c>
      <c r="BY198" s="867">
        <f t="shared" ca="1" si="160"/>
        <v>0</v>
      </c>
      <c r="BZ198" s="867">
        <f t="shared" ca="1" si="161"/>
        <v>0</v>
      </c>
      <c r="CA198" s="867">
        <f t="shared" ca="1" si="162"/>
        <v>0</v>
      </c>
      <c r="CB198" s="867">
        <f t="shared" ca="1" si="163"/>
        <v>0</v>
      </c>
      <c r="CC198" s="867">
        <f t="shared" ca="1" si="164"/>
        <v>0</v>
      </c>
      <c r="CD198" s="867">
        <f t="shared" ca="1" si="165"/>
        <v>0</v>
      </c>
    </row>
    <row r="199" spans="1:82" ht="17" hidden="1" thickTop="1" thickBot="1">
      <c r="A199" s="773">
        <f t="shared" si="115"/>
        <v>0</v>
      </c>
      <c r="B199" s="779"/>
      <c r="D199" s="660"/>
      <c r="E199" s="661"/>
      <c r="F199" s="862"/>
      <c r="G199" s="863"/>
      <c r="H199" s="961"/>
      <c r="I199" s="865">
        <f t="shared" si="121"/>
        <v>0</v>
      </c>
      <c r="J199" s="864" cm="1">
        <f t="array" ref="J199">IF($G199=0,0,-MIN(0,G199*c_equity.LPshare))</f>
        <v>0</v>
      </c>
      <c r="K199" s="865" cm="1">
        <f t="array" ref="K199">I199*c_rate.Pref.MO</f>
        <v>0</v>
      </c>
      <c r="L199" s="865">
        <f t="shared" si="122"/>
        <v>0</v>
      </c>
      <c r="M199" s="865">
        <f t="shared" si="123"/>
        <v>0</v>
      </c>
      <c r="N199" s="865">
        <f t="shared" si="124"/>
        <v>0</v>
      </c>
      <c r="O199" s="864" cm="1">
        <f t="array" ref="O199">IF(N199=0,0,IF(G199&lt;0,N199/c_equity.LPshare*i_equity.GPshare,L199/c_equity.LPshare*i_equity.GPshare))</f>
        <v>0</v>
      </c>
      <c r="P199" s="865">
        <f t="shared" si="125"/>
        <v>0</v>
      </c>
      <c r="Q199" s="865">
        <f t="shared" si="126"/>
        <v>0</v>
      </c>
      <c r="R199" s="161"/>
      <c r="S199" s="867">
        <f t="shared" ca="1" si="127"/>
        <v>0</v>
      </c>
      <c r="T199" s="867" cm="1">
        <f t="array" ref="T199">IF($G199=0,0,-MIN(0,$G199*c_equity.LPshare))</f>
        <v>0</v>
      </c>
      <c r="U199" s="869" cm="1">
        <f t="array" ref="U199">IF($D199=0,0,S199*c_rate.Hurdle1.MO)</f>
        <v>0</v>
      </c>
      <c r="V199" s="867">
        <f t="shared" si="128"/>
        <v>0</v>
      </c>
      <c r="W199" s="867">
        <f t="shared" ca="1" si="129"/>
        <v>0</v>
      </c>
      <c r="X199" s="869">
        <f t="shared" ca="1" si="130"/>
        <v>0</v>
      </c>
      <c r="Y199" s="869">
        <f t="shared" ca="1" si="131"/>
        <v>0</v>
      </c>
      <c r="Z199" s="869">
        <f t="shared" ca="1" si="132"/>
        <v>0</v>
      </c>
      <c r="AA199" s="869">
        <f t="shared" ca="1" si="133"/>
        <v>0</v>
      </c>
      <c r="AB199" s="867">
        <f t="shared" ca="1" si="134"/>
        <v>0</v>
      </c>
      <c r="AC199" s="161"/>
      <c r="AD199" s="869">
        <f t="shared" ca="1" si="135"/>
        <v>0</v>
      </c>
      <c r="AE199" s="867" cm="1">
        <f t="array" ref="AE199">IF($G199=0,0,-MIN(0,$G199*c_equity.LPshare))</f>
        <v>0</v>
      </c>
      <c r="AF199" s="869" cm="1">
        <f t="array" ref="AF199">IF($D199=0,0,AD199*(c_rate.Hurdle2.MO))</f>
        <v>0</v>
      </c>
      <c r="AG199" s="869">
        <f t="shared" ca="1" si="136"/>
        <v>0</v>
      </c>
      <c r="AH199" s="869">
        <f t="shared" ca="1" si="137"/>
        <v>0</v>
      </c>
      <c r="AI199" s="869">
        <f t="shared" ca="1" si="138"/>
        <v>0</v>
      </c>
      <c r="AJ199" s="870">
        <f t="shared" ca="1" si="166"/>
        <v>0</v>
      </c>
      <c r="AK199" s="867">
        <f t="shared" ca="1" si="139"/>
        <v>0</v>
      </c>
      <c r="AL199" s="869">
        <f t="shared" ca="1" si="167"/>
        <v>0</v>
      </c>
      <c r="AM199" s="869">
        <f t="shared" ca="1" si="140"/>
        <v>0</v>
      </c>
      <c r="AN199" s="867">
        <f t="shared" ca="1" si="168"/>
        <v>0</v>
      </c>
      <c r="AO199" s="161"/>
      <c r="AP199" s="869">
        <f t="shared" ca="1" si="141"/>
        <v>0</v>
      </c>
      <c r="AQ199" s="867" cm="1">
        <f t="array" ref="AQ199">IF($G199=0,0,-MIN(0,$G199*c_equity.LPshare))</f>
        <v>0</v>
      </c>
      <c r="AR199" s="869" cm="1">
        <f t="array" ref="AR199">IF($D199=0,0,AP199*(c_rate.Hurdle3.MO))</f>
        <v>0</v>
      </c>
      <c r="AS199" s="869">
        <f t="shared" ca="1" si="142"/>
        <v>0</v>
      </c>
      <c r="AT199" s="869">
        <f t="shared" ca="1" si="143"/>
        <v>0</v>
      </c>
      <c r="AU199" s="869">
        <f t="shared" ca="1" si="144"/>
        <v>0</v>
      </c>
      <c r="AV199" s="870">
        <f t="shared" ca="1" si="145"/>
        <v>0</v>
      </c>
      <c r="AW199" s="867">
        <f t="shared" ca="1" si="146"/>
        <v>0</v>
      </c>
      <c r="AX199" s="869">
        <f t="shared" ca="1" si="169"/>
        <v>0</v>
      </c>
      <c r="AY199" s="869">
        <f t="shared" ca="1" si="147"/>
        <v>0</v>
      </c>
      <c r="AZ199" s="867">
        <f t="shared" ca="1" si="170"/>
        <v>0</v>
      </c>
      <c r="BA199" s="161"/>
      <c r="BB199" s="867">
        <f t="shared" ca="1" si="149"/>
        <v>0</v>
      </c>
      <c r="BC199" s="867">
        <f t="shared" ca="1" si="114"/>
        <v>0</v>
      </c>
      <c r="BD199" s="658"/>
      <c r="BE199" s="867">
        <f t="shared" ca="1" si="150"/>
        <v>0</v>
      </c>
      <c r="BF199" s="867">
        <f t="shared" ca="1" si="151"/>
        <v>0</v>
      </c>
      <c r="BG199" s="867">
        <f t="shared" ca="1" si="152"/>
        <v>0</v>
      </c>
      <c r="BI199" s="867">
        <f ca="1"/>
        <v>0</v>
      </c>
      <c r="BJ199" s="867">
        <f ca="1"/>
        <v>0</v>
      </c>
      <c r="BK199" s="867">
        <f ca="1"/>
        <v>0</v>
      </c>
      <c r="BL199" s="867">
        <f t="shared" ca="1" si="153"/>
        <v>0</v>
      </c>
      <c r="BM199" s="867">
        <f t="shared" ca="1" si="154"/>
        <v>0</v>
      </c>
      <c r="BN199" s="867">
        <f t="shared" ca="1" si="155"/>
        <v>0</v>
      </c>
      <c r="BO199" s="867">
        <f t="shared" ca="1" si="156"/>
        <v>0</v>
      </c>
      <c r="BP199" s="867">
        <f t="shared" ca="1" si="157"/>
        <v>0</v>
      </c>
      <c r="BQ199" s="867">
        <f t="shared" ca="1" si="158"/>
        <v>0</v>
      </c>
      <c r="BR199" s="867">
        <f ca="1"/>
        <v>0</v>
      </c>
      <c r="BS199" s="867">
        <f ca="1"/>
        <v>0</v>
      </c>
      <c r="BT199" s="867">
        <f t="shared" ca="1" si="119"/>
        <v>0</v>
      </c>
      <c r="BU199" s="867">
        <f t="shared" ca="1" si="159"/>
        <v>0</v>
      </c>
      <c r="BX199" s="867">
        <f ca="1"/>
        <v>0</v>
      </c>
      <c r="BY199" s="867">
        <f t="shared" ca="1" si="160"/>
        <v>0</v>
      </c>
      <c r="BZ199" s="867">
        <f t="shared" ca="1" si="161"/>
        <v>0</v>
      </c>
      <c r="CA199" s="867">
        <f t="shared" ca="1" si="162"/>
        <v>0</v>
      </c>
      <c r="CB199" s="867">
        <f t="shared" ca="1" si="163"/>
        <v>0</v>
      </c>
      <c r="CC199" s="867">
        <f t="shared" ca="1" si="164"/>
        <v>0</v>
      </c>
      <c r="CD199" s="867">
        <f t="shared" ca="1" si="165"/>
        <v>0</v>
      </c>
    </row>
    <row r="200" spans="1:82" ht="17" hidden="1" thickTop="1" thickBot="1">
      <c r="A200" s="773">
        <f t="shared" si="115"/>
        <v>0</v>
      </c>
      <c r="B200" s="779"/>
      <c r="D200" s="660"/>
      <c r="E200" s="661"/>
      <c r="F200" s="862"/>
      <c r="G200" s="863"/>
      <c r="H200" s="961"/>
      <c r="I200" s="865">
        <f t="shared" si="121"/>
        <v>0</v>
      </c>
      <c r="J200" s="864" cm="1">
        <f t="array" ref="J200">IF($G200=0,0,-MIN(0,G200*c_equity.LPshare))</f>
        <v>0</v>
      </c>
      <c r="K200" s="865" cm="1">
        <f t="array" ref="K200">I200*c_rate.Pref.MO</f>
        <v>0</v>
      </c>
      <c r="L200" s="865">
        <f t="shared" si="122"/>
        <v>0</v>
      </c>
      <c r="M200" s="865">
        <f t="shared" si="123"/>
        <v>0</v>
      </c>
      <c r="N200" s="865">
        <f t="shared" si="124"/>
        <v>0</v>
      </c>
      <c r="O200" s="864" cm="1">
        <f t="array" ref="O200">IF(N200=0,0,IF(G200&lt;0,N200/c_equity.LPshare*i_equity.GPshare,L200/c_equity.LPshare*i_equity.GPshare))</f>
        <v>0</v>
      </c>
      <c r="P200" s="865">
        <f t="shared" si="125"/>
        <v>0</v>
      </c>
      <c r="Q200" s="865">
        <f t="shared" si="126"/>
        <v>0</v>
      </c>
      <c r="R200" s="161"/>
      <c r="S200" s="867">
        <f t="shared" ca="1" si="127"/>
        <v>0</v>
      </c>
      <c r="T200" s="867" cm="1">
        <f t="array" ref="T200">IF($G200=0,0,-MIN(0,$G200*c_equity.LPshare))</f>
        <v>0</v>
      </c>
      <c r="U200" s="869" cm="1">
        <f t="array" ref="U200">IF($D200=0,0,S200*c_rate.Hurdle1.MO)</f>
        <v>0</v>
      </c>
      <c r="V200" s="867">
        <f t="shared" si="128"/>
        <v>0</v>
      </c>
      <c r="W200" s="867">
        <f t="shared" ca="1" si="129"/>
        <v>0</v>
      </c>
      <c r="X200" s="869">
        <f t="shared" ca="1" si="130"/>
        <v>0</v>
      </c>
      <c r="Y200" s="869">
        <f t="shared" ca="1" si="131"/>
        <v>0</v>
      </c>
      <c r="Z200" s="869">
        <f t="shared" ca="1" si="132"/>
        <v>0</v>
      </c>
      <c r="AA200" s="869">
        <f t="shared" ca="1" si="133"/>
        <v>0</v>
      </c>
      <c r="AB200" s="867">
        <f t="shared" ca="1" si="134"/>
        <v>0</v>
      </c>
      <c r="AC200" s="161"/>
      <c r="AD200" s="869">
        <f t="shared" ca="1" si="135"/>
        <v>0</v>
      </c>
      <c r="AE200" s="867" cm="1">
        <f t="array" ref="AE200">IF($G200=0,0,-MIN(0,$G200*c_equity.LPshare))</f>
        <v>0</v>
      </c>
      <c r="AF200" s="869" cm="1">
        <f t="array" ref="AF200">IF($D200=0,0,AD200*(c_rate.Hurdle2.MO))</f>
        <v>0</v>
      </c>
      <c r="AG200" s="869">
        <f t="shared" ca="1" si="136"/>
        <v>0</v>
      </c>
      <c r="AH200" s="869">
        <f t="shared" ca="1" si="137"/>
        <v>0</v>
      </c>
      <c r="AI200" s="869">
        <f t="shared" ca="1" si="138"/>
        <v>0</v>
      </c>
      <c r="AJ200" s="870">
        <f t="shared" ca="1" si="166"/>
        <v>0</v>
      </c>
      <c r="AK200" s="867">
        <f t="shared" ca="1" si="139"/>
        <v>0</v>
      </c>
      <c r="AL200" s="869">
        <f t="shared" ca="1" si="167"/>
        <v>0</v>
      </c>
      <c r="AM200" s="869">
        <f t="shared" ca="1" si="140"/>
        <v>0</v>
      </c>
      <c r="AN200" s="867">
        <f t="shared" ca="1" si="168"/>
        <v>0</v>
      </c>
      <c r="AO200" s="161"/>
      <c r="AP200" s="869">
        <f t="shared" ca="1" si="141"/>
        <v>0</v>
      </c>
      <c r="AQ200" s="867" cm="1">
        <f t="array" ref="AQ200">IF($G200=0,0,-MIN(0,$G200*c_equity.LPshare))</f>
        <v>0</v>
      </c>
      <c r="AR200" s="869" cm="1">
        <f t="array" ref="AR200">IF($D200=0,0,AP200*(c_rate.Hurdle3.MO))</f>
        <v>0</v>
      </c>
      <c r="AS200" s="869">
        <f t="shared" ca="1" si="142"/>
        <v>0</v>
      </c>
      <c r="AT200" s="869">
        <f t="shared" ca="1" si="143"/>
        <v>0</v>
      </c>
      <c r="AU200" s="869">
        <f t="shared" ca="1" si="144"/>
        <v>0</v>
      </c>
      <c r="AV200" s="870">
        <f t="shared" ca="1" si="145"/>
        <v>0</v>
      </c>
      <c r="AW200" s="867">
        <f t="shared" ca="1" si="146"/>
        <v>0</v>
      </c>
      <c r="AX200" s="869">
        <f t="shared" ca="1" si="169"/>
        <v>0</v>
      </c>
      <c r="AY200" s="869">
        <f t="shared" ca="1" si="147"/>
        <v>0</v>
      </c>
      <c r="AZ200" s="867">
        <f t="shared" ca="1" si="170"/>
        <v>0</v>
      </c>
      <c r="BA200" s="161"/>
      <c r="BB200" s="867">
        <f t="shared" ca="1" si="149"/>
        <v>0</v>
      </c>
      <c r="BC200" s="867">
        <f t="shared" ca="1" si="114"/>
        <v>0</v>
      </c>
      <c r="BD200" s="658"/>
      <c r="BE200" s="867">
        <f t="shared" ca="1" si="150"/>
        <v>0</v>
      </c>
      <c r="BF200" s="867">
        <f t="shared" ca="1" si="151"/>
        <v>0</v>
      </c>
      <c r="BG200" s="867">
        <f t="shared" ca="1" si="152"/>
        <v>0</v>
      </c>
      <c r="BI200" s="867">
        <f ca="1"/>
        <v>0</v>
      </c>
      <c r="BJ200" s="867">
        <f ca="1"/>
        <v>0</v>
      </c>
      <c r="BK200" s="867">
        <f ca="1"/>
        <v>0</v>
      </c>
      <c r="BL200" s="867">
        <f t="shared" ca="1" si="153"/>
        <v>0</v>
      </c>
      <c r="BM200" s="867">
        <f t="shared" ca="1" si="154"/>
        <v>0</v>
      </c>
      <c r="BN200" s="867">
        <f t="shared" ca="1" si="155"/>
        <v>0</v>
      </c>
      <c r="BO200" s="867">
        <f t="shared" ca="1" si="156"/>
        <v>0</v>
      </c>
      <c r="BP200" s="867">
        <f t="shared" ca="1" si="157"/>
        <v>0</v>
      </c>
      <c r="BQ200" s="867">
        <f t="shared" ca="1" si="158"/>
        <v>0</v>
      </c>
      <c r="BR200" s="867">
        <f ca="1"/>
        <v>0</v>
      </c>
      <c r="BS200" s="867">
        <f ca="1"/>
        <v>0</v>
      </c>
      <c r="BT200" s="867">
        <f t="shared" ca="1" si="119"/>
        <v>0</v>
      </c>
      <c r="BU200" s="867">
        <f t="shared" ca="1" si="159"/>
        <v>0</v>
      </c>
      <c r="BX200" s="867">
        <f ca="1"/>
        <v>0</v>
      </c>
      <c r="BY200" s="867">
        <f t="shared" ca="1" si="160"/>
        <v>0</v>
      </c>
      <c r="BZ200" s="867">
        <f t="shared" ca="1" si="161"/>
        <v>0</v>
      </c>
      <c r="CA200" s="867">
        <f t="shared" ca="1" si="162"/>
        <v>0</v>
      </c>
      <c r="CB200" s="867">
        <f t="shared" ca="1" si="163"/>
        <v>0</v>
      </c>
      <c r="CC200" s="867">
        <f t="shared" ca="1" si="164"/>
        <v>0</v>
      </c>
      <c r="CD200" s="867">
        <f t="shared" ca="1" si="165"/>
        <v>0</v>
      </c>
    </row>
    <row r="201" spans="1:82" ht="17" hidden="1" thickTop="1" thickBot="1">
      <c r="A201" s="773">
        <f t="shared" si="115"/>
        <v>0</v>
      </c>
      <c r="B201" s="779"/>
      <c r="D201" s="660"/>
      <c r="E201" s="661"/>
      <c r="F201" s="862"/>
      <c r="G201" s="863"/>
      <c r="H201" s="961"/>
      <c r="I201" s="865">
        <f t="shared" si="121"/>
        <v>0</v>
      </c>
      <c r="J201" s="864" cm="1">
        <f t="array" ref="J201">IF($G201=0,0,-MIN(0,G201*c_equity.LPshare))</f>
        <v>0</v>
      </c>
      <c r="K201" s="865" cm="1">
        <f t="array" ref="K201">I201*c_rate.Pref.MO</f>
        <v>0</v>
      </c>
      <c r="L201" s="865">
        <f t="shared" si="122"/>
        <v>0</v>
      </c>
      <c r="M201" s="865">
        <f t="shared" si="123"/>
        <v>0</v>
      </c>
      <c r="N201" s="865">
        <f t="shared" si="124"/>
        <v>0</v>
      </c>
      <c r="O201" s="864" cm="1">
        <f t="array" ref="O201">IF(N201=0,0,IF(G201&lt;0,N201/c_equity.LPshare*i_equity.GPshare,L201/c_equity.LPshare*i_equity.GPshare))</f>
        <v>0</v>
      </c>
      <c r="P201" s="865">
        <f t="shared" si="125"/>
        <v>0</v>
      </c>
      <c r="Q201" s="865">
        <f t="shared" si="126"/>
        <v>0</v>
      </c>
      <c r="R201" s="161"/>
      <c r="S201" s="867">
        <f t="shared" ca="1" si="127"/>
        <v>0</v>
      </c>
      <c r="T201" s="867" cm="1">
        <f t="array" ref="T201">IF($G201=0,0,-MIN(0,$G201*c_equity.LPshare))</f>
        <v>0</v>
      </c>
      <c r="U201" s="869" cm="1">
        <f t="array" ref="U201">IF($D201=0,0,S201*c_rate.Hurdle1.MO)</f>
        <v>0</v>
      </c>
      <c r="V201" s="867">
        <f t="shared" si="128"/>
        <v>0</v>
      </c>
      <c r="W201" s="867">
        <f t="shared" ca="1" si="129"/>
        <v>0</v>
      </c>
      <c r="X201" s="869">
        <f t="shared" ca="1" si="130"/>
        <v>0</v>
      </c>
      <c r="Y201" s="869">
        <f t="shared" ca="1" si="131"/>
        <v>0</v>
      </c>
      <c r="Z201" s="869">
        <f t="shared" ca="1" si="132"/>
        <v>0</v>
      </c>
      <c r="AA201" s="869">
        <f t="shared" ca="1" si="133"/>
        <v>0</v>
      </c>
      <c r="AB201" s="867">
        <f t="shared" ca="1" si="134"/>
        <v>0</v>
      </c>
      <c r="AC201" s="161"/>
      <c r="AD201" s="869">
        <f t="shared" ca="1" si="135"/>
        <v>0</v>
      </c>
      <c r="AE201" s="867" cm="1">
        <f t="array" ref="AE201">IF($G201=0,0,-MIN(0,$G201*c_equity.LPshare))</f>
        <v>0</v>
      </c>
      <c r="AF201" s="869" cm="1">
        <f t="array" ref="AF201">IF($D201=0,0,AD201*(c_rate.Hurdle2.MO))</f>
        <v>0</v>
      </c>
      <c r="AG201" s="869">
        <f t="shared" ca="1" si="136"/>
        <v>0</v>
      </c>
      <c r="AH201" s="869">
        <f t="shared" ca="1" si="137"/>
        <v>0</v>
      </c>
      <c r="AI201" s="869">
        <f t="shared" ca="1" si="138"/>
        <v>0</v>
      </c>
      <c r="AJ201" s="870">
        <f t="shared" ca="1" si="166"/>
        <v>0</v>
      </c>
      <c r="AK201" s="867">
        <f t="shared" ca="1" si="139"/>
        <v>0</v>
      </c>
      <c r="AL201" s="869">
        <f t="shared" ca="1" si="167"/>
        <v>0</v>
      </c>
      <c r="AM201" s="869">
        <f t="shared" ca="1" si="140"/>
        <v>0</v>
      </c>
      <c r="AN201" s="867">
        <f t="shared" ca="1" si="168"/>
        <v>0</v>
      </c>
      <c r="AO201" s="161"/>
      <c r="AP201" s="869">
        <f t="shared" ca="1" si="141"/>
        <v>0</v>
      </c>
      <c r="AQ201" s="867" cm="1">
        <f t="array" ref="AQ201">IF($G201=0,0,-MIN(0,$G201*c_equity.LPshare))</f>
        <v>0</v>
      </c>
      <c r="AR201" s="869" cm="1">
        <f t="array" ref="AR201">IF($D201=0,0,AP201*(c_rate.Hurdle3.MO))</f>
        <v>0</v>
      </c>
      <c r="AS201" s="869">
        <f t="shared" ca="1" si="142"/>
        <v>0</v>
      </c>
      <c r="AT201" s="869">
        <f t="shared" ca="1" si="143"/>
        <v>0</v>
      </c>
      <c r="AU201" s="869">
        <f t="shared" ca="1" si="144"/>
        <v>0</v>
      </c>
      <c r="AV201" s="870">
        <f t="shared" ca="1" si="145"/>
        <v>0</v>
      </c>
      <c r="AW201" s="867">
        <f t="shared" ca="1" si="146"/>
        <v>0</v>
      </c>
      <c r="AX201" s="869">
        <f t="shared" ca="1" si="169"/>
        <v>0</v>
      </c>
      <c r="AY201" s="869">
        <f t="shared" ca="1" si="147"/>
        <v>0</v>
      </c>
      <c r="AZ201" s="867">
        <f t="shared" ca="1" si="170"/>
        <v>0</v>
      </c>
      <c r="BA201" s="161"/>
      <c r="BB201" s="867">
        <f t="shared" ca="1" si="149"/>
        <v>0</v>
      </c>
      <c r="BC201" s="867">
        <f t="shared" ca="1" si="114"/>
        <v>0</v>
      </c>
      <c r="BD201" s="658"/>
      <c r="BE201" s="867">
        <f t="shared" ca="1" si="150"/>
        <v>0</v>
      </c>
      <c r="BF201" s="867">
        <f t="shared" ca="1" si="151"/>
        <v>0</v>
      </c>
      <c r="BG201" s="867">
        <f t="shared" ca="1" si="152"/>
        <v>0</v>
      </c>
      <c r="BI201" s="867">
        <f ca="1"/>
        <v>0</v>
      </c>
      <c r="BJ201" s="867">
        <f ca="1"/>
        <v>0</v>
      </c>
      <c r="BK201" s="867">
        <f ca="1"/>
        <v>0</v>
      </c>
      <c r="BL201" s="867">
        <f t="shared" ca="1" si="153"/>
        <v>0</v>
      </c>
      <c r="BM201" s="867">
        <f t="shared" ca="1" si="154"/>
        <v>0</v>
      </c>
      <c r="BN201" s="867">
        <f t="shared" ca="1" si="155"/>
        <v>0</v>
      </c>
      <c r="BO201" s="867">
        <f t="shared" ca="1" si="156"/>
        <v>0</v>
      </c>
      <c r="BP201" s="867">
        <f t="shared" ca="1" si="157"/>
        <v>0</v>
      </c>
      <c r="BQ201" s="867">
        <f t="shared" ca="1" si="158"/>
        <v>0</v>
      </c>
      <c r="BR201" s="867">
        <f ca="1"/>
        <v>0</v>
      </c>
      <c r="BS201" s="867">
        <f ca="1"/>
        <v>0</v>
      </c>
      <c r="BT201" s="867">
        <f t="shared" ca="1" si="119"/>
        <v>0</v>
      </c>
      <c r="BU201" s="867">
        <f t="shared" ca="1" si="159"/>
        <v>0</v>
      </c>
      <c r="BX201" s="867">
        <f ca="1"/>
        <v>0</v>
      </c>
      <c r="BY201" s="867">
        <f t="shared" ca="1" si="160"/>
        <v>0</v>
      </c>
      <c r="BZ201" s="867">
        <f t="shared" ca="1" si="161"/>
        <v>0</v>
      </c>
      <c r="CA201" s="867">
        <f t="shared" ca="1" si="162"/>
        <v>0</v>
      </c>
      <c r="CB201" s="867">
        <f t="shared" ca="1" si="163"/>
        <v>0</v>
      </c>
      <c r="CC201" s="867">
        <f t="shared" ca="1" si="164"/>
        <v>0</v>
      </c>
      <c r="CD201" s="867">
        <f t="shared" ca="1" si="165"/>
        <v>0</v>
      </c>
    </row>
    <row r="202" spans="1:82" ht="17" hidden="1" thickTop="1" thickBot="1">
      <c r="A202" s="773">
        <f t="shared" si="115"/>
        <v>0</v>
      </c>
      <c r="B202" s="779"/>
      <c r="D202" s="660"/>
      <c r="E202" s="661"/>
      <c r="F202" s="862"/>
      <c r="G202" s="863"/>
      <c r="H202" s="961"/>
      <c r="I202" s="865">
        <f t="shared" si="121"/>
        <v>0</v>
      </c>
      <c r="J202" s="864" cm="1">
        <f t="array" ref="J202">IF($G202=0,0,-MIN(0,G202*c_equity.LPshare))</f>
        <v>0</v>
      </c>
      <c r="K202" s="865" cm="1">
        <f t="array" ref="K202">I202*c_rate.Pref.MO</f>
        <v>0</v>
      </c>
      <c r="L202" s="865">
        <f t="shared" si="122"/>
        <v>0</v>
      </c>
      <c r="M202" s="865">
        <f t="shared" si="123"/>
        <v>0</v>
      </c>
      <c r="N202" s="865">
        <f t="shared" si="124"/>
        <v>0</v>
      </c>
      <c r="O202" s="864" cm="1">
        <f t="array" ref="O202">IF(N202=0,0,IF(G202&lt;0,N202/c_equity.LPshare*i_equity.GPshare,L202/c_equity.LPshare*i_equity.GPshare))</f>
        <v>0</v>
      </c>
      <c r="P202" s="865">
        <f t="shared" si="125"/>
        <v>0</v>
      </c>
      <c r="Q202" s="865">
        <f t="shared" si="126"/>
        <v>0</v>
      </c>
      <c r="R202" s="161"/>
      <c r="S202" s="867">
        <f t="shared" ca="1" si="127"/>
        <v>0</v>
      </c>
      <c r="T202" s="867" cm="1">
        <f t="array" ref="T202">IF($G202=0,0,-MIN(0,$G202*c_equity.LPshare))</f>
        <v>0</v>
      </c>
      <c r="U202" s="869" cm="1">
        <f t="array" ref="U202">IF($D202=0,0,S202*c_rate.Hurdle1.MO)</f>
        <v>0</v>
      </c>
      <c r="V202" s="867">
        <f t="shared" si="128"/>
        <v>0</v>
      </c>
      <c r="W202" s="867">
        <f t="shared" ca="1" si="129"/>
        <v>0</v>
      </c>
      <c r="X202" s="869">
        <f t="shared" ca="1" si="130"/>
        <v>0</v>
      </c>
      <c r="Y202" s="869">
        <f t="shared" ca="1" si="131"/>
        <v>0</v>
      </c>
      <c r="Z202" s="869">
        <f t="shared" ca="1" si="132"/>
        <v>0</v>
      </c>
      <c r="AA202" s="869">
        <f t="shared" ca="1" si="133"/>
        <v>0</v>
      </c>
      <c r="AB202" s="867">
        <f t="shared" ca="1" si="134"/>
        <v>0</v>
      </c>
      <c r="AC202" s="161"/>
      <c r="AD202" s="869">
        <f t="shared" ca="1" si="135"/>
        <v>0</v>
      </c>
      <c r="AE202" s="867" cm="1">
        <f t="array" ref="AE202">IF($G202=0,0,-MIN(0,$G202*c_equity.LPshare))</f>
        <v>0</v>
      </c>
      <c r="AF202" s="869" cm="1">
        <f t="array" ref="AF202">IF($D202=0,0,AD202*(c_rate.Hurdle2.MO))</f>
        <v>0</v>
      </c>
      <c r="AG202" s="869">
        <f t="shared" ca="1" si="136"/>
        <v>0</v>
      </c>
      <c r="AH202" s="869">
        <f t="shared" ca="1" si="137"/>
        <v>0</v>
      </c>
      <c r="AI202" s="869">
        <f t="shared" ca="1" si="138"/>
        <v>0</v>
      </c>
      <c r="AJ202" s="870">
        <f t="shared" ca="1" si="166"/>
        <v>0</v>
      </c>
      <c r="AK202" s="867">
        <f t="shared" ca="1" si="139"/>
        <v>0</v>
      </c>
      <c r="AL202" s="869">
        <f t="shared" ca="1" si="167"/>
        <v>0</v>
      </c>
      <c r="AM202" s="869">
        <f t="shared" ca="1" si="140"/>
        <v>0</v>
      </c>
      <c r="AN202" s="867">
        <f t="shared" ca="1" si="168"/>
        <v>0</v>
      </c>
      <c r="AO202" s="161"/>
      <c r="AP202" s="869">
        <f t="shared" ca="1" si="141"/>
        <v>0</v>
      </c>
      <c r="AQ202" s="867" cm="1">
        <f t="array" ref="AQ202">IF($G202=0,0,-MIN(0,$G202*c_equity.LPshare))</f>
        <v>0</v>
      </c>
      <c r="AR202" s="869" cm="1">
        <f t="array" ref="AR202">IF($D202=0,0,AP202*(c_rate.Hurdle3.MO))</f>
        <v>0</v>
      </c>
      <c r="AS202" s="869">
        <f t="shared" ca="1" si="142"/>
        <v>0</v>
      </c>
      <c r="AT202" s="869">
        <f t="shared" ca="1" si="143"/>
        <v>0</v>
      </c>
      <c r="AU202" s="869">
        <f t="shared" ca="1" si="144"/>
        <v>0</v>
      </c>
      <c r="AV202" s="870">
        <f t="shared" ca="1" si="145"/>
        <v>0</v>
      </c>
      <c r="AW202" s="867">
        <f t="shared" ca="1" si="146"/>
        <v>0</v>
      </c>
      <c r="AX202" s="869">
        <f t="shared" ca="1" si="169"/>
        <v>0</v>
      </c>
      <c r="AY202" s="869">
        <f t="shared" ca="1" si="147"/>
        <v>0</v>
      </c>
      <c r="AZ202" s="867">
        <f t="shared" ca="1" si="170"/>
        <v>0</v>
      </c>
      <c r="BA202" s="161"/>
      <c r="BB202" s="867">
        <f t="shared" ca="1" si="149"/>
        <v>0</v>
      </c>
      <c r="BC202" s="867">
        <f t="shared" ca="1" si="114"/>
        <v>0</v>
      </c>
      <c r="BD202" s="658"/>
      <c r="BE202" s="867">
        <f t="shared" ca="1" si="150"/>
        <v>0</v>
      </c>
      <c r="BF202" s="867">
        <f t="shared" ca="1" si="151"/>
        <v>0</v>
      </c>
      <c r="BG202" s="867">
        <f t="shared" ca="1" si="152"/>
        <v>0</v>
      </c>
      <c r="BI202" s="867">
        <f ca="1"/>
        <v>0</v>
      </c>
      <c r="BJ202" s="867">
        <f ca="1"/>
        <v>0</v>
      </c>
      <c r="BK202" s="867">
        <f ca="1"/>
        <v>0</v>
      </c>
      <c r="BL202" s="867">
        <f t="shared" ca="1" si="153"/>
        <v>0</v>
      </c>
      <c r="BM202" s="867">
        <f t="shared" ca="1" si="154"/>
        <v>0</v>
      </c>
      <c r="BN202" s="867">
        <f t="shared" ca="1" si="155"/>
        <v>0</v>
      </c>
      <c r="BO202" s="867">
        <f t="shared" ca="1" si="156"/>
        <v>0</v>
      </c>
      <c r="BP202" s="867">
        <f t="shared" ca="1" si="157"/>
        <v>0</v>
      </c>
      <c r="BQ202" s="867">
        <f t="shared" ca="1" si="158"/>
        <v>0</v>
      </c>
      <c r="BR202" s="867">
        <f ca="1"/>
        <v>0</v>
      </c>
      <c r="BS202" s="867">
        <f ca="1"/>
        <v>0</v>
      </c>
      <c r="BT202" s="867">
        <f t="shared" ca="1" si="119"/>
        <v>0</v>
      </c>
      <c r="BU202" s="867">
        <f t="shared" ca="1" si="159"/>
        <v>0</v>
      </c>
      <c r="BX202" s="867">
        <f ca="1"/>
        <v>0</v>
      </c>
      <c r="BY202" s="867">
        <f t="shared" ca="1" si="160"/>
        <v>0</v>
      </c>
      <c r="BZ202" s="867">
        <f t="shared" ca="1" si="161"/>
        <v>0</v>
      </c>
      <c r="CA202" s="867">
        <f t="shared" ca="1" si="162"/>
        <v>0</v>
      </c>
      <c r="CB202" s="867">
        <f t="shared" ca="1" si="163"/>
        <v>0</v>
      </c>
      <c r="CC202" s="867">
        <f t="shared" ca="1" si="164"/>
        <v>0</v>
      </c>
      <c r="CD202" s="867">
        <f t="shared" ca="1" si="165"/>
        <v>0</v>
      </c>
    </row>
    <row r="203" spans="1:82" ht="17" hidden="1" thickTop="1" thickBot="1">
      <c r="A203" s="773">
        <f t="shared" si="115"/>
        <v>0</v>
      </c>
      <c r="B203" s="779"/>
      <c r="D203" s="660"/>
      <c r="E203" s="661"/>
      <c r="F203" s="862"/>
      <c r="G203" s="863"/>
      <c r="H203" s="961"/>
      <c r="I203" s="865">
        <f t="shared" si="121"/>
        <v>0</v>
      </c>
      <c r="J203" s="864" cm="1">
        <f t="array" ref="J203">IF($G203=0,0,-MIN(0,G203*c_equity.LPshare))</f>
        <v>0</v>
      </c>
      <c r="K203" s="865" cm="1">
        <f t="array" ref="K203">I203*c_rate.Pref.MO</f>
        <v>0</v>
      </c>
      <c r="L203" s="865">
        <f t="shared" si="122"/>
        <v>0</v>
      </c>
      <c r="M203" s="865">
        <f t="shared" si="123"/>
        <v>0</v>
      </c>
      <c r="N203" s="865">
        <f t="shared" si="124"/>
        <v>0</v>
      </c>
      <c r="O203" s="864" cm="1">
        <f t="array" ref="O203">IF(N203=0,0,IF(G203&lt;0,N203/c_equity.LPshare*i_equity.GPshare,L203/c_equity.LPshare*i_equity.GPshare))</f>
        <v>0</v>
      </c>
      <c r="P203" s="865">
        <f t="shared" si="125"/>
        <v>0</v>
      </c>
      <c r="Q203" s="865">
        <f t="shared" si="126"/>
        <v>0</v>
      </c>
      <c r="R203" s="161"/>
      <c r="S203" s="867">
        <f t="shared" ca="1" si="127"/>
        <v>0</v>
      </c>
      <c r="T203" s="867" cm="1">
        <f t="array" ref="T203">IF($G203=0,0,-MIN(0,$G203*c_equity.LPshare))</f>
        <v>0</v>
      </c>
      <c r="U203" s="869" cm="1">
        <f t="array" ref="U203">IF($D203=0,0,S203*c_rate.Hurdle1.MO)</f>
        <v>0</v>
      </c>
      <c r="V203" s="867">
        <f t="shared" si="128"/>
        <v>0</v>
      </c>
      <c r="W203" s="867">
        <f t="shared" ca="1" si="129"/>
        <v>0</v>
      </c>
      <c r="X203" s="869">
        <f t="shared" ca="1" si="130"/>
        <v>0</v>
      </c>
      <c r="Y203" s="869">
        <f t="shared" ca="1" si="131"/>
        <v>0</v>
      </c>
      <c r="Z203" s="869">
        <f t="shared" ca="1" si="132"/>
        <v>0</v>
      </c>
      <c r="AA203" s="869">
        <f t="shared" ca="1" si="133"/>
        <v>0</v>
      </c>
      <c r="AB203" s="867">
        <f t="shared" ca="1" si="134"/>
        <v>0</v>
      </c>
      <c r="AC203" s="161"/>
      <c r="AD203" s="869">
        <f t="shared" ca="1" si="135"/>
        <v>0</v>
      </c>
      <c r="AE203" s="867" cm="1">
        <f t="array" ref="AE203">IF($G203=0,0,-MIN(0,$G203*c_equity.LPshare))</f>
        <v>0</v>
      </c>
      <c r="AF203" s="869" cm="1">
        <f t="array" ref="AF203">IF($D203=0,0,AD203*(c_rate.Hurdle2.MO))</f>
        <v>0</v>
      </c>
      <c r="AG203" s="869">
        <f t="shared" ca="1" si="136"/>
        <v>0</v>
      </c>
      <c r="AH203" s="869">
        <f t="shared" ca="1" si="137"/>
        <v>0</v>
      </c>
      <c r="AI203" s="869">
        <f t="shared" ca="1" si="138"/>
        <v>0</v>
      </c>
      <c r="AJ203" s="870">
        <f t="shared" ca="1" si="166"/>
        <v>0</v>
      </c>
      <c r="AK203" s="867">
        <f t="shared" ca="1" si="139"/>
        <v>0</v>
      </c>
      <c r="AL203" s="869">
        <f t="shared" ca="1" si="167"/>
        <v>0</v>
      </c>
      <c r="AM203" s="869">
        <f t="shared" ca="1" si="140"/>
        <v>0</v>
      </c>
      <c r="AN203" s="867">
        <f t="shared" ca="1" si="168"/>
        <v>0</v>
      </c>
      <c r="AO203" s="161"/>
      <c r="AP203" s="869">
        <f t="shared" ca="1" si="141"/>
        <v>0</v>
      </c>
      <c r="AQ203" s="867" cm="1">
        <f t="array" ref="AQ203">IF($G203=0,0,-MIN(0,$G203*c_equity.LPshare))</f>
        <v>0</v>
      </c>
      <c r="AR203" s="869" cm="1">
        <f t="array" ref="AR203">IF($D203=0,0,AP203*(c_rate.Hurdle3.MO))</f>
        <v>0</v>
      </c>
      <c r="AS203" s="869">
        <f t="shared" ca="1" si="142"/>
        <v>0</v>
      </c>
      <c r="AT203" s="869">
        <f t="shared" ca="1" si="143"/>
        <v>0</v>
      </c>
      <c r="AU203" s="869">
        <f t="shared" ca="1" si="144"/>
        <v>0</v>
      </c>
      <c r="AV203" s="870">
        <f t="shared" ca="1" si="145"/>
        <v>0</v>
      </c>
      <c r="AW203" s="867">
        <f t="shared" ca="1" si="146"/>
        <v>0</v>
      </c>
      <c r="AX203" s="869">
        <f t="shared" ca="1" si="169"/>
        <v>0</v>
      </c>
      <c r="AY203" s="869">
        <f t="shared" ca="1" si="147"/>
        <v>0</v>
      </c>
      <c r="AZ203" s="867">
        <f t="shared" ca="1" si="170"/>
        <v>0</v>
      </c>
      <c r="BA203" s="161"/>
      <c r="BB203" s="867">
        <f t="shared" ca="1" si="149"/>
        <v>0</v>
      </c>
      <c r="BC203" s="867">
        <f t="shared" ca="1" si="114"/>
        <v>0</v>
      </c>
      <c r="BD203" s="658"/>
      <c r="BE203" s="867">
        <f t="shared" ca="1" si="150"/>
        <v>0</v>
      </c>
      <c r="BF203" s="867">
        <f t="shared" ca="1" si="151"/>
        <v>0</v>
      </c>
      <c r="BG203" s="867">
        <f t="shared" ca="1" si="152"/>
        <v>0</v>
      </c>
      <c r="BI203" s="867">
        <f ca="1"/>
        <v>0</v>
      </c>
      <c r="BJ203" s="867">
        <f ca="1"/>
        <v>0</v>
      </c>
      <c r="BK203" s="867">
        <f ca="1"/>
        <v>0</v>
      </c>
      <c r="BL203" s="867">
        <f t="shared" ca="1" si="153"/>
        <v>0</v>
      </c>
      <c r="BM203" s="867">
        <f t="shared" ca="1" si="154"/>
        <v>0</v>
      </c>
      <c r="BN203" s="867">
        <f t="shared" ca="1" si="155"/>
        <v>0</v>
      </c>
      <c r="BO203" s="867">
        <f t="shared" ca="1" si="156"/>
        <v>0</v>
      </c>
      <c r="BP203" s="867">
        <f t="shared" ca="1" si="157"/>
        <v>0</v>
      </c>
      <c r="BQ203" s="867">
        <f t="shared" ca="1" si="158"/>
        <v>0</v>
      </c>
      <c r="BR203" s="867">
        <f ca="1"/>
        <v>0</v>
      </c>
      <c r="BS203" s="867">
        <f ca="1"/>
        <v>0</v>
      </c>
      <c r="BT203" s="867">
        <f t="shared" ca="1" si="119"/>
        <v>0</v>
      </c>
      <c r="BU203" s="867">
        <f t="shared" ca="1" si="159"/>
        <v>0</v>
      </c>
      <c r="BX203" s="867">
        <f ca="1"/>
        <v>0</v>
      </c>
      <c r="BY203" s="867">
        <f t="shared" ca="1" si="160"/>
        <v>0</v>
      </c>
      <c r="BZ203" s="867">
        <f t="shared" ca="1" si="161"/>
        <v>0</v>
      </c>
      <c r="CA203" s="867">
        <f t="shared" ca="1" si="162"/>
        <v>0</v>
      </c>
      <c r="CB203" s="867">
        <f t="shared" ca="1" si="163"/>
        <v>0</v>
      </c>
      <c r="CC203" s="867">
        <f t="shared" ca="1" si="164"/>
        <v>0</v>
      </c>
      <c r="CD203" s="867">
        <f t="shared" ca="1" si="165"/>
        <v>0</v>
      </c>
    </row>
    <row r="204" spans="1:82" ht="17" hidden="1" thickTop="1" thickBot="1">
      <c r="A204" s="773">
        <f t="shared" si="115"/>
        <v>0</v>
      </c>
      <c r="B204" s="779"/>
      <c r="D204" s="660"/>
      <c r="E204" s="661"/>
      <c r="F204" s="862"/>
      <c r="G204" s="863"/>
      <c r="H204" s="961"/>
      <c r="I204" s="865">
        <f t="shared" si="121"/>
        <v>0</v>
      </c>
      <c r="J204" s="864" cm="1">
        <f t="array" ref="J204">IF($G204=0,0,-MIN(0,G204*c_equity.LPshare))</f>
        <v>0</v>
      </c>
      <c r="K204" s="865" cm="1">
        <f t="array" ref="K204">I204*c_rate.Pref.MO</f>
        <v>0</v>
      </c>
      <c r="L204" s="865">
        <f t="shared" si="122"/>
        <v>0</v>
      </c>
      <c r="M204" s="865">
        <f t="shared" si="123"/>
        <v>0</v>
      </c>
      <c r="N204" s="865">
        <f t="shared" si="124"/>
        <v>0</v>
      </c>
      <c r="O204" s="864" cm="1">
        <f t="array" ref="O204">IF(N204=0,0,IF(G204&lt;0,N204/c_equity.LPshare*i_equity.GPshare,L204/c_equity.LPshare*i_equity.GPshare))</f>
        <v>0</v>
      </c>
      <c r="P204" s="865">
        <f t="shared" si="125"/>
        <v>0</v>
      </c>
      <c r="Q204" s="865">
        <f t="shared" si="126"/>
        <v>0</v>
      </c>
      <c r="R204" s="161"/>
      <c r="S204" s="867">
        <f t="shared" ca="1" si="127"/>
        <v>0</v>
      </c>
      <c r="T204" s="867" cm="1">
        <f t="array" ref="T204">IF($G204=0,0,-MIN(0,$G204*c_equity.LPshare))</f>
        <v>0</v>
      </c>
      <c r="U204" s="869" cm="1">
        <f t="array" ref="U204">IF($D204=0,0,S204*c_rate.Hurdle1.MO)</f>
        <v>0</v>
      </c>
      <c r="V204" s="867">
        <f t="shared" si="128"/>
        <v>0</v>
      </c>
      <c r="W204" s="867">
        <f t="shared" ca="1" si="129"/>
        <v>0</v>
      </c>
      <c r="X204" s="869">
        <f t="shared" ca="1" si="130"/>
        <v>0</v>
      </c>
      <c r="Y204" s="869">
        <f t="shared" ca="1" si="131"/>
        <v>0</v>
      </c>
      <c r="Z204" s="869">
        <f t="shared" ca="1" si="132"/>
        <v>0</v>
      </c>
      <c r="AA204" s="869">
        <f t="shared" ca="1" si="133"/>
        <v>0</v>
      </c>
      <c r="AB204" s="867">
        <f t="shared" ca="1" si="134"/>
        <v>0</v>
      </c>
      <c r="AC204" s="161"/>
      <c r="AD204" s="869">
        <f t="shared" ca="1" si="135"/>
        <v>0</v>
      </c>
      <c r="AE204" s="867" cm="1">
        <f t="array" ref="AE204">IF($G204=0,0,-MIN(0,$G204*c_equity.LPshare))</f>
        <v>0</v>
      </c>
      <c r="AF204" s="869" cm="1">
        <f t="array" ref="AF204">IF($D204=0,0,AD204*(c_rate.Hurdle2.MO))</f>
        <v>0</v>
      </c>
      <c r="AG204" s="869">
        <f t="shared" ca="1" si="136"/>
        <v>0</v>
      </c>
      <c r="AH204" s="869">
        <f t="shared" ca="1" si="137"/>
        <v>0</v>
      </c>
      <c r="AI204" s="869">
        <f t="shared" ca="1" si="138"/>
        <v>0</v>
      </c>
      <c r="AJ204" s="870">
        <f t="shared" ca="1" si="166"/>
        <v>0</v>
      </c>
      <c r="AK204" s="867">
        <f t="shared" ca="1" si="139"/>
        <v>0</v>
      </c>
      <c r="AL204" s="869">
        <f t="shared" ca="1" si="167"/>
        <v>0</v>
      </c>
      <c r="AM204" s="869">
        <f t="shared" ca="1" si="140"/>
        <v>0</v>
      </c>
      <c r="AN204" s="867">
        <f t="shared" ca="1" si="168"/>
        <v>0</v>
      </c>
      <c r="AO204" s="161"/>
      <c r="AP204" s="869">
        <f t="shared" ca="1" si="141"/>
        <v>0</v>
      </c>
      <c r="AQ204" s="867" cm="1">
        <f t="array" ref="AQ204">IF($G204=0,0,-MIN(0,$G204*c_equity.LPshare))</f>
        <v>0</v>
      </c>
      <c r="AR204" s="869" cm="1">
        <f t="array" ref="AR204">IF($D204=0,0,AP204*(c_rate.Hurdle3.MO))</f>
        <v>0</v>
      </c>
      <c r="AS204" s="869">
        <f t="shared" ca="1" si="142"/>
        <v>0</v>
      </c>
      <c r="AT204" s="869">
        <f t="shared" ca="1" si="143"/>
        <v>0</v>
      </c>
      <c r="AU204" s="869">
        <f t="shared" ca="1" si="144"/>
        <v>0</v>
      </c>
      <c r="AV204" s="870">
        <f t="shared" ca="1" si="145"/>
        <v>0</v>
      </c>
      <c r="AW204" s="867">
        <f t="shared" ca="1" si="146"/>
        <v>0</v>
      </c>
      <c r="AX204" s="869">
        <f t="shared" ca="1" si="169"/>
        <v>0</v>
      </c>
      <c r="AY204" s="869">
        <f t="shared" ca="1" si="147"/>
        <v>0</v>
      </c>
      <c r="AZ204" s="867">
        <f t="shared" ca="1" si="170"/>
        <v>0</v>
      </c>
      <c r="BA204" s="161"/>
      <c r="BB204" s="867">
        <f t="shared" ca="1" si="149"/>
        <v>0</v>
      </c>
      <c r="BC204" s="867">
        <f t="shared" ca="1" si="114"/>
        <v>0</v>
      </c>
      <c r="BD204" s="658"/>
      <c r="BE204" s="867">
        <f t="shared" ca="1" si="150"/>
        <v>0</v>
      </c>
      <c r="BF204" s="867">
        <f t="shared" ca="1" si="151"/>
        <v>0</v>
      </c>
      <c r="BG204" s="867">
        <f t="shared" ca="1" si="152"/>
        <v>0</v>
      </c>
      <c r="BI204" s="867">
        <f ca="1"/>
        <v>0</v>
      </c>
      <c r="BJ204" s="867">
        <f ca="1"/>
        <v>0</v>
      </c>
      <c r="BK204" s="867">
        <f ca="1"/>
        <v>0</v>
      </c>
      <c r="BL204" s="867">
        <f t="shared" ca="1" si="153"/>
        <v>0</v>
      </c>
      <c r="BM204" s="867">
        <f t="shared" ca="1" si="154"/>
        <v>0</v>
      </c>
      <c r="BN204" s="867">
        <f t="shared" ca="1" si="155"/>
        <v>0</v>
      </c>
      <c r="BO204" s="867">
        <f t="shared" ca="1" si="156"/>
        <v>0</v>
      </c>
      <c r="BP204" s="867">
        <f t="shared" ca="1" si="157"/>
        <v>0</v>
      </c>
      <c r="BQ204" s="867">
        <f t="shared" ca="1" si="158"/>
        <v>0</v>
      </c>
      <c r="BR204" s="867">
        <f ca="1"/>
        <v>0</v>
      </c>
      <c r="BS204" s="867">
        <f ca="1"/>
        <v>0</v>
      </c>
      <c r="BT204" s="867">
        <f t="shared" ca="1" si="119"/>
        <v>0</v>
      </c>
      <c r="BU204" s="867">
        <f t="shared" ca="1" si="159"/>
        <v>0</v>
      </c>
      <c r="BX204" s="867">
        <f ca="1"/>
        <v>0</v>
      </c>
      <c r="BY204" s="867">
        <f t="shared" ca="1" si="160"/>
        <v>0</v>
      </c>
      <c r="BZ204" s="867">
        <f t="shared" ca="1" si="161"/>
        <v>0</v>
      </c>
      <c r="CA204" s="867">
        <f t="shared" ca="1" si="162"/>
        <v>0</v>
      </c>
      <c r="CB204" s="867">
        <f t="shared" ca="1" si="163"/>
        <v>0</v>
      </c>
      <c r="CC204" s="867">
        <f t="shared" ca="1" si="164"/>
        <v>0</v>
      </c>
      <c r="CD204" s="867">
        <f t="shared" ca="1" si="165"/>
        <v>0</v>
      </c>
    </row>
    <row r="205" spans="1:82" ht="17" hidden="1" thickTop="1" thickBot="1">
      <c r="A205" s="773">
        <f t="shared" si="115"/>
        <v>0</v>
      </c>
      <c r="B205" s="779"/>
      <c r="D205" s="660"/>
      <c r="E205" s="661"/>
      <c r="F205" s="862"/>
      <c r="G205" s="863"/>
      <c r="H205" s="961"/>
      <c r="I205" s="865">
        <f t="shared" si="121"/>
        <v>0</v>
      </c>
      <c r="J205" s="864" cm="1">
        <f t="array" ref="J205">IF($G205=0,0,-MIN(0,G205*c_equity.LPshare))</f>
        <v>0</v>
      </c>
      <c r="K205" s="865" cm="1">
        <f t="array" ref="K205">I205*c_rate.Pref.MO</f>
        <v>0</v>
      </c>
      <c r="L205" s="865">
        <f t="shared" si="122"/>
        <v>0</v>
      </c>
      <c r="M205" s="865">
        <f t="shared" si="123"/>
        <v>0</v>
      </c>
      <c r="N205" s="865">
        <f t="shared" si="124"/>
        <v>0</v>
      </c>
      <c r="O205" s="864" cm="1">
        <f t="array" ref="O205">IF(N205=0,0,IF(G205&lt;0,N205/c_equity.LPshare*i_equity.GPshare,L205/c_equity.LPshare*i_equity.GPshare))</f>
        <v>0</v>
      </c>
      <c r="P205" s="865">
        <f t="shared" si="125"/>
        <v>0</v>
      </c>
      <c r="Q205" s="865">
        <f t="shared" si="126"/>
        <v>0</v>
      </c>
      <c r="R205" s="161"/>
      <c r="S205" s="867">
        <f t="shared" ca="1" si="127"/>
        <v>0</v>
      </c>
      <c r="T205" s="867" cm="1">
        <f t="array" ref="T205">IF($G205=0,0,-MIN(0,$G205*c_equity.LPshare))</f>
        <v>0</v>
      </c>
      <c r="U205" s="869" cm="1">
        <f t="array" ref="U205">IF($D205=0,0,S205*c_rate.Hurdle1.MO)</f>
        <v>0</v>
      </c>
      <c r="V205" s="867">
        <f t="shared" si="128"/>
        <v>0</v>
      </c>
      <c r="W205" s="867">
        <f t="shared" ca="1" si="129"/>
        <v>0</v>
      </c>
      <c r="X205" s="869">
        <f t="shared" ca="1" si="130"/>
        <v>0</v>
      </c>
      <c r="Y205" s="869">
        <f t="shared" ca="1" si="131"/>
        <v>0</v>
      </c>
      <c r="Z205" s="869">
        <f t="shared" ca="1" si="132"/>
        <v>0</v>
      </c>
      <c r="AA205" s="869">
        <f t="shared" ca="1" si="133"/>
        <v>0</v>
      </c>
      <c r="AB205" s="867">
        <f t="shared" ca="1" si="134"/>
        <v>0</v>
      </c>
      <c r="AC205" s="161"/>
      <c r="AD205" s="869">
        <f t="shared" ca="1" si="135"/>
        <v>0</v>
      </c>
      <c r="AE205" s="867" cm="1">
        <f t="array" ref="AE205">IF($G205=0,0,-MIN(0,$G205*c_equity.LPshare))</f>
        <v>0</v>
      </c>
      <c r="AF205" s="869" cm="1">
        <f t="array" ref="AF205">IF($D205=0,0,AD205*(c_rate.Hurdle2.MO))</f>
        <v>0</v>
      </c>
      <c r="AG205" s="869">
        <f t="shared" ca="1" si="136"/>
        <v>0</v>
      </c>
      <c r="AH205" s="869">
        <f t="shared" ca="1" si="137"/>
        <v>0</v>
      </c>
      <c r="AI205" s="869">
        <f t="shared" ca="1" si="138"/>
        <v>0</v>
      </c>
      <c r="AJ205" s="870">
        <f t="shared" ca="1" si="166"/>
        <v>0</v>
      </c>
      <c r="AK205" s="867">
        <f t="shared" ca="1" si="139"/>
        <v>0</v>
      </c>
      <c r="AL205" s="869">
        <f t="shared" ca="1" si="167"/>
        <v>0</v>
      </c>
      <c r="AM205" s="869">
        <f t="shared" ca="1" si="140"/>
        <v>0</v>
      </c>
      <c r="AN205" s="867">
        <f t="shared" ca="1" si="168"/>
        <v>0</v>
      </c>
      <c r="AO205" s="161"/>
      <c r="AP205" s="869">
        <f t="shared" ca="1" si="141"/>
        <v>0</v>
      </c>
      <c r="AQ205" s="867" cm="1">
        <f t="array" ref="AQ205">IF($G205=0,0,-MIN(0,$G205*c_equity.LPshare))</f>
        <v>0</v>
      </c>
      <c r="AR205" s="869" cm="1">
        <f t="array" ref="AR205">IF($D205=0,0,AP205*(c_rate.Hurdle3.MO))</f>
        <v>0</v>
      </c>
      <c r="AS205" s="869">
        <f t="shared" ca="1" si="142"/>
        <v>0</v>
      </c>
      <c r="AT205" s="869">
        <f t="shared" ca="1" si="143"/>
        <v>0</v>
      </c>
      <c r="AU205" s="869">
        <f t="shared" ca="1" si="144"/>
        <v>0</v>
      </c>
      <c r="AV205" s="870">
        <f t="shared" ca="1" si="145"/>
        <v>0</v>
      </c>
      <c r="AW205" s="867">
        <f t="shared" ca="1" si="146"/>
        <v>0</v>
      </c>
      <c r="AX205" s="869">
        <f t="shared" ca="1" si="169"/>
        <v>0</v>
      </c>
      <c r="AY205" s="869">
        <f t="shared" ca="1" si="147"/>
        <v>0</v>
      </c>
      <c r="AZ205" s="867">
        <f t="shared" ca="1" si="170"/>
        <v>0</v>
      </c>
      <c r="BA205" s="161"/>
      <c r="BB205" s="867">
        <f t="shared" ca="1" si="149"/>
        <v>0</v>
      </c>
      <c r="BC205" s="867">
        <f t="shared" ca="1" si="114"/>
        <v>0</v>
      </c>
      <c r="BD205" s="658"/>
      <c r="BE205" s="867">
        <f t="shared" ca="1" si="150"/>
        <v>0</v>
      </c>
      <c r="BF205" s="867">
        <f t="shared" ca="1" si="151"/>
        <v>0</v>
      </c>
      <c r="BG205" s="867">
        <f t="shared" ca="1" si="152"/>
        <v>0</v>
      </c>
      <c r="BI205" s="867">
        <f ca="1"/>
        <v>0</v>
      </c>
      <c r="BJ205" s="867">
        <f ca="1"/>
        <v>0</v>
      </c>
      <c r="BK205" s="867">
        <f ca="1"/>
        <v>0</v>
      </c>
      <c r="BL205" s="867">
        <f t="shared" ca="1" si="153"/>
        <v>0</v>
      </c>
      <c r="BM205" s="867">
        <f t="shared" ca="1" si="154"/>
        <v>0</v>
      </c>
      <c r="BN205" s="867">
        <f t="shared" ca="1" si="155"/>
        <v>0</v>
      </c>
      <c r="BO205" s="867">
        <f t="shared" ca="1" si="156"/>
        <v>0</v>
      </c>
      <c r="BP205" s="867">
        <f t="shared" ca="1" si="157"/>
        <v>0</v>
      </c>
      <c r="BQ205" s="867">
        <f t="shared" ca="1" si="158"/>
        <v>0</v>
      </c>
      <c r="BR205" s="867">
        <f ca="1"/>
        <v>0</v>
      </c>
      <c r="BS205" s="867">
        <f ca="1"/>
        <v>0</v>
      </c>
      <c r="BT205" s="867">
        <f t="shared" ca="1" si="119"/>
        <v>0</v>
      </c>
      <c r="BU205" s="867">
        <f t="shared" ca="1" si="159"/>
        <v>0</v>
      </c>
      <c r="BX205" s="867">
        <f ca="1"/>
        <v>0</v>
      </c>
      <c r="BY205" s="867">
        <f t="shared" ca="1" si="160"/>
        <v>0</v>
      </c>
      <c r="BZ205" s="867">
        <f t="shared" ca="1" si="161"/>
        <v>0</v>
      </c>
      <c r="CA205" s="867">
        <f t="shared" ca="1" si="162"/>
        <v>0</v>
      </c>
      <c r="CB205" s="867">
        <f t="shared" ca="1" si="163"/>
        <v>0</v>
      </c>
      <c r="CC205" s="867">
        <f t="shared" ca="1" si="164"/>
        <v>0</v>
      </c>
      <c r="CD205" s="867">
        <f t="shared" ca="1" si="165"/>
        <v>0</v>
      </c>
    </row>
    <row r="206" spans="1:82" ht="17" hidden="1" thickTop="1" thickBot="1">
      <c r="A206" s="773">
        <f t="shared" si="115"/>
        <v>0</v>
      </c>
      <c r="B206" s="779"/>
      <c r="D206" s="660"/>
      <c r="E206" s="661"/>
      <c r="F206" s="862"/>
      <c r="G206" s="863"/>
      <c r="H206" s="961"/>
      <c r="I206" s="865">
        <f t="shared" si="121"/>
        <v>0</v>
      </c>
      <c r="J206" s="864" cm="1">
        <f t="array" ref="J206">IF($G206=0,0,-MIN(0,G206*c_equity.LPshare))</f>
        <v>0</v>
      </c>
      <c r="K206" s="865" cm="1">
        <f t="array" ref="K206">I206*c_rate.Pref.MO</f>
        <v>0</v>
      </c>
      <c r="L206" s="865">
        <f t="shared" si="122"/>
        <v>0</v>
      </c>
      <c r="M206" s="865">
        <f t="shared" si="123"/>
        <v>0</v>
      </c>
      <c r="N206" s="865">
        <f t="shared" si="124"/>
        <v>0</v>
      </c>
      <c r="O206" s="864" cm="1">
        <f t="array" ref="O206">IF(N206=0,0,IF(G206&lt;0,N206/c_equity.LPshare*i_equity.GPshare,L206/c_equity.LPshare*i_equity.GPshare))</f>
        <v>0</v>
      </c>
      <c r="P206" s="865">
        <f t="shared" si="125"/>
        <v>0</v>
      </c>
      <c r="Q206" s="865">
        <f t="shared" si="126"/>
        <v>0</v>
      </c>
      <c r="R206" s="161"/>
      <c r="S206" s="867">
        <f t="shared" ca="1" si="127"/>
        <v>0</v>
      </c>
      <c r="T206" s="867" cm="1">
        <f t="array" ref="T206">IF($G206=0,0,-MIN(0,$G206*c_equity.LPshare))</f>
        <v>0</v>
      </c>
      <c r="U206" s="869" cm="1">
        <f t="array" ref="U206">IF($D206=0,0,S206*c_rate.Hurdle1.MO)</f>
        <v>0</v>
      </c>
      <c r="V206" s="867">
        <f t="shared" si="128"/>
        <v>0</v>
      </c>
      <c r="W206" s="867">
        <f t="shared" ca="1" si="129"/>
        <v>0</v>
      </c>
      <c r="X206" s="869">
        <f t="shared" ca="1" si="130"/>
        <v>0</v>
      </c>
      <c r="Y206" s="869">
        <f t="shared" ca="1" si="131"/>
        <v>0</v>
      </c>
      <c r="Z206" s="869">
        <f t="shared" ca="1" si="132"/>
        <v>0</v>
      </c>
      <c r="AA206" s="869">
        <f t="shared" ca="1" si="133"/>
        <v>0</v>
      </c>
      <c r="AB206" s="867">
        <f t="shared" ca="1" si="134"/>
        <v>0</v>
      </c>
      <c r="AC206" s="161"/>
      <c r="AD206" s="869">
        <f t="shared" ca="1" si="135"/>
        <v>0</v>
      </c>
      <c r="AE206" s="867" cm="1">
        <f t="array" ref="AE206">IF($G206=0,0,-MIN(0,$G206*c_equity.LPshare))</f>
        <v>0</v>
      </c>
      <c r="AF206" s="869" cm="1">
        <f t="array" ref="AF206">IF($D206=0,0,AD206*(c_rate.Hurdle2.MO))</f>
        <v>0</v>
      </c>
      <c r="AG206" s="869">
        <f t="shared" ca="1" si="136"/>
        <v>0</v>
      </c>
      <c r="AH206" s="869">
        <f t="shared" ca="1" si="137"/>
        <v>0</v>
      </c>
      <c r="AI206" s="869">
        <f t="shared" ca="1" si="138"/>
        <v>0</v>
      </c>
      <c r="AJ206" s="870">
        <f t="shared" ca="1" si="166"/>
        <v>0</v>
      </c>
      <c r="AK206" s="867">
        <f t="shared" ca="1" si="139"/>
        <v>0</v>
      </c>
      <c r="AL206" s="869">
        <f t="shared" ca="1" si="167"/>
        <v>0</v>
      </c>
      <c r="AM206" s="869">
        <f t="shared" ca="1" si="140"/>
        <v>0</v>
      </c>
      <c r="AN206" s="867">
        <f t="shared" ca="1" si="168"/>
        <v>0</v>
      </c>
      <c r="AO206" s="161"/>
      <c r="AP206" s="869">
        <f t="shared" ca="1" si="141"/>
        <v>0</v>
      </c>
      <c r="AQ206" s="867" cm="1">
        <f t="array" ref="AQ206">IF($G206=0,0,-MIN(0,$G206*c_equity.LPshare))</f>
        <v>0</v>
      </c>
      <c r="AR206" s="869" cm="1">
        <f t="array" ref="AR206">IF($D206=0,0,AP206*(c_rate.Hurdle3.MO))</f>
        <v>0</v>
      </c>
      <c r="AS206" s="869">
        <f t="shared" ca="1" si="142"/>
        <v>0</v>
      </c>
      <c r="AT206" s="869">
        <f t="shared" ca="1" si="143"/>
        <v>0</v>
      </c>
      <c r="AU206" s="869">
        <f t="shared" ca="1" si="144"/>
        <v>0</v>
      </c>
      <c r="AV206" s="870">
        <f t="shared" ca="1" si="145"/>
        <v>0</v>
      </c>
      <c r="AW206" s="867">
        <f t="shared" ca="1" si="146"/>
        <v>0</v>
      </c>
      <c r="AX206" s="869">
        <f t="shared" ca="1" si="169"/>
        <v>0</v>
      </c>
      <c r="AY206" s="869">
        <f t="shared" ca="1" si="147"/>
        <v>0</v>
      </c>
      <c r="AZ206" s="867">
        <f t="shared" ca="1" si="170"/>
        <v>0</v>
      </c>
      <c r="BA206" s="161"/>
      <c r="BB206" s="867">
        <f t="shared" ca="1" si="149"/>
        <v>0</v>
      </c>
      <c r="BC206" s="867">
        <f t="shared" ca="1" si="114"/>
        <v>0</v>
      </c>
      <c r="BD206" s="658"/>
      <c r="BE206" s="867">
        <f t="shared" ca="1" si="150"/>
        <v>0</v>
      </c>
      <c r="BF206" s="867">
        <f t="shared" ca="1" si="151"/>
        <v>0</v>
      </c>
      <c r="BG206" s="867">
        <f t="shared" ca="1" si="152"/>
        <v>0</v>
      </c>
      <c r="BI206" s="867">
        <f ca="1"/>
        <v>0</v>
      </c>
      <c r="BJ206" s="867">
        <f ca="1"/>
        <v>0</v>
      </c>
      <c r="BK206" s="867">
        <f ca="1"/>
        <v>0</v>
      </c>
      <c r="BL206" s="867">
        <f t="shared" ca="1" si="153"/>
        <v>0</v>
      </c>
      <c r="BM206" s="867">
        <f t="shared" ca="1" si="154"/>
        <v>0</v>
      </c>
      <c r="BN206" s="867">
        <f t="shared" ca="1" si="155"/>
        <v>0</v>
      </c>
      <c r="BO206" s="867">
        <f t="shared" ca="1" si="156"/>
        <v>0</v>
      </c>
      <c r="BP206" s="867">
        <f t="shared" ca="1" si="157"/>
        <v>0</v>
      </c>
      <c r="BQ206" s="867">
        <f t="shared" ca="1" si="158"/>
        <v>0</v>
      </c>
      <c r="BR206" s="867">
        <f ca="1"/>
        <v>0</v>
      </c>
      <c r="BS206" s="867">
        <f ca="1"/>
        <v>0</v>
      </c>
      <c r="BT206" s="867">
        <f t="shared" ca="1" si="119"/>
        <v>0</v>
      </c>
      <c r="BU206" s="867">
        <f t="shared" ca="1" si="159"/>
        <v>0</v>
      </c>
      <c r="BX206" s="867">
        <f ca="1"/>
        <v>0</v>
      </c>
      <c r="BY206" s="867">
        <f t="shared" ca="1" si="160"/>
        <v>0</v>
      </c>
      <c r="BZ206" s="867">
        <f t="shared" ca="1" si="161"/>
        <v>0</v>
      </c>
      <c r="CA206" s="867">
        <f t="shared" ca="1" si="162"/>
        <v>0</v>
      </c>
      <c r="CB206" s="867">
        <f t="shared" ca="1" si="163"/>
        <v>0</v>
      </c>
      <c r="CC206" s="867">
        <f t="shared" ca="1" si="164"/>
        <v>0</v>
      </c>
      <c r="CD206" s="867">
        <f t="shared" ca="1" si="165"/>
        <v>0</v>
      </c>
    </row>
    <row r="207" spans="1:82" ht="17" hidden="1" thickTop="1" thickBot="1">
      <c r="A207" s="773">
        <f t="shared" si="115"/>
        <v>0</v>
      </c>
      <c r="B207" s="779"/>
      <c r="D207" s="660"/>
      <c r="E207" s="661"/>
      <c r="F207" s="862"/>
      <c r="G207" s="863"/>
      <c r="H207" s="961"/>
      <c r="I207" s="865">
        <f t="shared" si="121"/>
        <v>0</v>
      </c>
      <c r="J207" s="864" cm="1">
        <f t="array" ref="J207">IF($G207=0,0,-MIN(0,G207*c_equity.LPshare))</f>
        <v>0</v>
      </c>
      <c r="K207" s="865" cm="1">
        <f t="array" ref="K207">I207*c_rate.Pref.MO</f>
        <v>0</v>
      </c>
      <c r="L207" s="865">
        <f t="shared" si="122"/>
        <v>0</v>
      </c>
      <c r="M207" s="865">
        <f t="shared" si="123"/>
        <v>0</v>
      </c>
      <c r="N207" s="865">
        <f t="shared" si="124"/>
        <v>0</v>
      </c>
      <c r="O207" s="864" cm="1">
        <f t="array" ref="O207">IF(N207=0,0,IF(G207&lt;0,N207/c_equity.LPshare*i_equity.GPshare,L207/c_equity.LPshare*i_equity.GPshare))</f>
        <v>0</v>
      </c>
      <c r="P207" s="865">
        <f t="shared" si="125"/>
        <v>0</v>
      </c>
      <c r="Q207" s="865">
        <f t="shared" si="126"/>
        <v>0</v>
      </c>
      <c r="R207" s="161"/>
      <c r="S207" s="867">
        <f t="shared" ca="1" si="127"/>
        <v>0</v>
      </c>
      <c r="T207" s="867" cm="1">
        <f t="array" ref="T207">IF($G207=0,0,-MIN(0,$G207*c_equity.LPshare))</f>
        <v>0</v>
      </c>
      <c r="U207" s="869" cm="1">
        <f t="array" ref="U207">IF($D207=0,0,S207*c_rate.Hurdle1.MO)</f>
        <v>0</v>
      </c>
      <c r="V207" s="867">
        <f t="shared" si="128"/>
        <v>0</v>
      </c>
      <c r="W207" s="867">
        <f t="shared" ca="1" si="129"/>
        <v>0</v>
      </c>
      <c r="X207" s="869">
        <f t="shared" ca="1" si="130"/>
        <v>0</v>
      </c>
      <c r="Y207" s="869">
        <f t="shared" ca="1" si="131"/>
        <v>0</v>
      </c>
      <c r="Z207" s="869">
        <f t="shared" ca="1" si="132"/>
        <v>0</v>
      </c>
      <c r="AA207" s="869">
        <f t="shared" ca="1" si="133"/>
        <v>0</v>
      </c>
      <c r="AB207" s="867">
        <f t="shared" ca="1" si="134"/>
        <v>0</v>
      </c>
      <c r="AC207" s="161"/>
      <c r="AD207" s="869">
        <f t="shared" ca="1" si="135"/>
        <v>0</v>
      </c>
      <c r="AE207" s="867" cm="1">
        <f t="array" ref="AE207">IF($G207=0,0,-MIN(0,$G207*c_equity.LPshare))</f>
        <v>0</v>
      </c>
      <c r="AF207" s="869" cm="1">
        <f t="array" ref="AF207">IF($D207=0,0,AD207*(c_rate.Hurdle2.MO))</f>
        <v>0</v>
      </c>
      <c r="AG207" s="869">
        <f t="shared" ca="1" si="136"/>
        <v>0</v>
      </c>
      <c r="AH207" s="869">
        <f t="shared" ca="1" si="137"/>
        <v>0</v>
      </c>
      <c r="AI207" s="869">
        <f t="shared" ca="1" si="138"/>
        <v>0</v>
      </c>
      <c r="AJ207" s="870">
        <f t="shared" ca="1" si="166"/>
        <v>0</v>
      </c>
      <c r="AK207" s="867">
        <f t="shared" ca="1" si="139"/>
        <v>0</v>
      </c>
      <c r="AL207" s="869">
        <f t="shared" ca="1" si="167"/>
        <v>0</v>
      </c>
      <c r="AM207" s="869">
        <f t="shared" ca="1" si="140"/>
        <v>0</v>
      </c>
      <c r="AN207" s="867">
        <f t="shared" ca="1" si="168"/>
        <v>0</v>
      </c>
      <c r="AO207" s="161"/>
      <c r="AP207" s="869">
        <f t="shared" ca="1" si="141"/>
        <v>0</v>
      </c>
      <c r="AQ207" s="867" cm="1">
        <f t="array" ref="AQ207">IF($G207=0,0,-MIN(0,$G207*c_equity.LPshare))</f>
        <v>0</v>
      </c>
      <c r="AR207" s="869" cm="1">
        <f t="array" ref="AR207">IF($D207=0,0,AP207*(c_rate.Hurdle3.MO))</f>
        <v>0</v>
      </c>
      <c r="AS207" s="869">
        <f t="shared" ca="1" si="142"/>
        <v>0</v>
      </c>
      <c r="AT207" s="869">
        <f t="shared" ca="1" si="143"/>
        <v>0</v>
      </c>
      <c r="AU207" s="869">
        <f t="shared" ca="1" si="144"/>
        <v>0</v>
      </c>
      <c r="AV207" s="870">
        <f t="shared" ca="1" si="145"/>
        <v>0</v>
      </c>
      <c r="AW207" s="867">
        <f t="shared" ca="1" si="146"/>
        <v>0</v>
      </c>
      <c r="AX207" s="869">
        <f t="shared" ca="1" si="169"/>
        <v>0</v>
      </c>
      <c r="AY207" s="869">
        <f t="shared" ca="1" si="147"/>
        <v>0</v>
      </c>
      <c r="AZ207" s="867">
        <f t="shared" ca="1" si="170"/>
        <v>0</v>
      </c>
      <c r="BA207" s="161"/>
      <c r="BB207" s="867">
        <f t="shared" ca="1" si="149"/>
        <v>0</v>
      </c>
      <c r="BC207" s="867">
        <f t="shared" ca="1" si="114"/>
        <v>0</v>
      </c>
      <c r="BD207" s="658"/>
      <c r="BE207" s="867">
        <f t="shared" ca="1" si="150"/>
        <v>0</v>
      </c>
      <c r="BF207" s="867">
        <f t="shared" ca="1" si="151"/>
        <v>0</v>
      </c>
      <c r="BG207" s="867">
        <f t="shared" ca="1" si="152"/>
        <v>0</v>
      </c>
      <c r="BI207" s="867">
        <f ca="1"/>
        <v>0</v>
      </c>
      <c r="BJ207" s="867">
        <f ca="1"/>
        <v>0</v>
      </c>
      <c r="BK207" s="867">
        <f ca="1"/>
        <v>0</v>
      </c>
      <c r="BL207" s="867">
        <f t="shared" ca="1" si="153"/>
        <v>0</v>
      </c>
      <c r="BM207" s="867">
        <f t="shared" ca="1" si="154"/>
        <v>0</v>
      </c>
      <c r="BN207" s="867">
        <f t="shared" ca="1" si="155"/>
        <v>0</v>
      </c>
      <c r="BO207" s="867">
        <f t="shared" ca="1" si="156"/>
        <v>0</v>
      </c>
      <c r="BP207" s="867">
        <f t="shared" ca="1" si="157"/>
        <v>0</v>
      </c>
      <c r="BQ207" s="867">
        <f t="shared" ca="1" si="158"/>
        <v>0</v>
      </c>
      <c r="BR207" s="867">
        <f ca="1"/>
        <v>0</v>
      </c>
      <c r="BS207" s="867">
        <f ca="1"/>
        <v>0</v>
      </c>
      <c r="BT207" s="867">
        <f t="shared" ca="1" si="119"/>
        <v>0</v>
      </c>
      <c r="BU207" s="867">
        <f t="shared" ca="1" si="159"/>
        <v>0</v>
      </c>
      <c r="BX207" s="867">
        <f ca="1"/>
        <v>0</v>
      </c>
      <c r="BY207" s="867">
        <f t="shared" ca="1" si="160"/>
        <v>0</v>
      </c>
      <c r="BZ207" s="867">
        <f t="shared" ca="1" si="161"/>
        <v>0</v>
      </c>
      <c r="CA207" s="867">
        <f t="shared" ca="1" si="162"/>
        <v>0</v>
      </c>
      <c r="CB207" s="867">
        <f t="shared" ca="1" si="163"/>
        <v>0</v>
      </c>
      <c r="CC207" s="867">
        <f t="shared" ca="1" si="164"/>
        <v>0</v>
      </c>
      <c r="CD207" s="867">
        <f t="shared" ca="1" si="165"/>
        <v>0</v>
      </c>
    </row>
    <row r="208" spans="1:82" ht="17" hidden="1" thickTop="1" thickBot="1">
      <c r="A208" s="773">
        <f t="shared" si="115"/>
        <v>0</v>
      </c>
      <c r="B208" s="779"/>
      <c r="D208" s="660"/>
      <c r="E208" s="661"/>
      <c r="F208" s="862"/>
      <c r="G208" s="863"/>
      <c r="H208" s="961"/>
      <c r="I208" s="865">
        <f t="shared" si="121"/>
        <v>0</v>
      </c>
      <c r="J208" s="864" cm="1">
        <f t="array" ref="J208">IF($G208=0,0,-MIN(0,G208*c_equity.LPshare))</f>
        <v>0</v>
      </c>
      <c r="K208" s="865" cm="1">
        <f t="array" ref="K208">I208*c_rate.Pref.MO</f>
        <v>0</v>
      </c>
      <c r="L208" s="865">
        <f t="shared" si="122"/>
        <v>0</v>
      </c>
      <c r="M208" s="865">
        <f t="shared" si="123"/>
        <v>0</v>
      </c>
      <c r="N208" s="865">
        <f t="shared" si="124"/>
        <v>0</v>
      </c>
      <c r="O208" s="864" cm="1">
        <f t="array" ref="O208">IF(N208=0,0,IF(G208&lt;0,N208/c_equity.LPshare*i_equity.GPshare,L208/c_equity.LPshare*i_equity.GPshare))</f>
        <v>0</v>
      </c>
      <c r="P208" s="865">
        <f t="shared" si="125"/>
        <v>0</v>
      </c>
      <c r="Q208" s="865">
        <f t="shared" si="126"/>
        <v>0</v>
      </c>
      <c r="R208" s="161"/>
      <c r="S208" s="867">
        <f t="shared" ca="1" si="127"/>
        <v>0</v>
      </c>
      <c r="T208" s="867" cm="1">
        <f t="array" ref="T208">IF($G208=0,0,-MIN(0,$G208*c_equity.LPshare))</f>
        <v>0</v>
      </c>
      <c r="U208" s="869" cm="1">
        <f t="array" ref="U208">IF($D208=0,0,S208*c_rate.Hurdle1.MO)</f>
        <v>0</v>
      </c>
      <c r="V208" s="867">
        <f t="shared" si="128"/>
        <v>0</v>
      </c>
      <c r="W208" s="867">
        <f t="shared" ca="1" si="129"/>
        <v>0</v>
      </c>
      <c r="X208" s="869">
        <f t="shared" ca="1" si="130"/>
        <v>0</v>
      </c>
      <c r="Y208" s="869">
        <f t="shared" ca="1" si="131"/>
        <v>0</v>
      </c>
      <c r="Z208" s="869">
        <f t="shared" ca="1" si="132"/>
        <v>0</v>
      </c>
      <c r="AA208" s="869">
        <f t="shared" ca="1" si="133"/>
        <v>0</v>
      </c>
      <c r="AB208" s="867">
        <f t="shared" ca="1" si="134"/>
        <v>0</v>
      </c>
      <c r="AC208" s="161"/>
      <c r="AD208" s="869">
        <f t="shared" ca="1" si="135"/>
        <v>0</v>
      </c>
      <c r="AE208" s="867" cm="1">
        <f t="array" ref="AE208">IF($G208=0,0,-MIN(0,$G208*c_equity.LPshare))</f>
        <v>0</v>
      </c>
      <c r="AF208" s="869" cm="1">
        <f t="array" ref="AF208">IF($D208=0,0,AD208*(c_rate.Hurdle2.MO))</f>
        <v>0</v>
      </c>
      <c r="AG208" s="869">
        <f t="shared" ca="1" si="136"/>
        <v>0</v>
      </c>
      <c r="AH208" s="869">
        <f t="shared" ca="1" si="137"/>
        <v>0</v>
      </c>
      <c r="AI208" s="869">
        <f t="shared" ca="1" si="138"/>
        <v>0</v>
      </c>
      <c r="AJ208" s="870">
        <f t="shared" ca="1" si="166"/>
        <v>0</v>
      </c>
      <c r="AK208" s="867">
        <f t="shared" ca="1" si="139"/>
        <v>0</v>
      </c>
      <c r="AL208" s="869">
        <f t="shared" ca="1" si="167"/>
        <v>0</v>
      </c>
      <c r="AM208" s="869">
        <f t="shared" ca="1" si="140"/>
        <v>0</v>
      </c>
      <c r="AN208" s="867">
        <f t="shared" ca="1" si="168"/>
        <v>0</v>
      </c>
      <c r="AO208" s="161"/>
      <c r="AP208" s="869">
        <f t="shared" ca="1" si="141"/>
        <v>0</v>
      </c>
      <c r="AQ208" s="867" cm="1">
        <f t="array" ref="AQ208">IF($G208=0,0,-MIN(0,$G208*c_equity.LPshare))</f>
        <v>0</v>
      </c>
      <c r="AR208" s="869" cm="1">
        <f t="array" ref="AR208">IF($D208=0,0,AP208*(c_rate.Hurdle3.MO))</f>
        <v>0</v>
      </c>
      <c r="AS208" s="869">
        <f t="shared" ca="1" si="142"/>
        <v>0</v>
      </c>
      <c r="AT208" s="869">
        <f t="shared" ca="1" si="143"/>
        <v>0</v>
      </c>
      <c r="AU208" s="869">
        <f t="shared" ca="1" si="144"/>
        <v>0</v>
      </c>
      <c r="AV208" s="870">
        <f t="shared" ca="1" si="145"/>
        <v>0</v>
      </c>
      <c r="AW208" s="867">
        <f t="shared" ca="1" si="146"/>
        <v>0</v>
      </c>
      <c r="AX208" s="869">
        <f t="shared" ca="1" si="169"/>
        <v>0</v>
      </c>
      <c r="AY208" s="869">
        <f t="shared" ca="1" si="147"/>
        <v>0</v>
      </c>
      <c r="AZ208" s="867">
        <f t="shared" ca="1" si="170"/>
        <v>0</v>
      </c>
      <c r="BA208" s="161"/>
      <c r="BB208" s="867">
        <f t="shared" ca="1" si="149"/>
        <v>0</v>
      </c>
      <c r="BC208" s="867">
        <f t="shared" ca="1" si="114"/>
        <v>0</v>
      </c>
      <c r="BD208" s="658"/>
      <c r="BE208" s="867">
        <f t="shared" ca="1" si="150"/>
        <v>0</v>
      </c>
      <c r="BF208" s="867">
        <f t="shared" ca="1" si="151"/>
        <v>0</v>
      </c>
      <c r="BG208" s="867">
        <f t="shared" ca="1" si="152"/>
        <v>0</v>
      </c>
      <c r="BI208" s="867">
        <f ca="1"/>
        <v>0</v>
      </c>
      <c r="BJ208" s="867">
        <f ca="1"/>
        <v>0</v>
      </c>
      <c r="BK208" s="867">
        <f ca="1"/>
        <v>0</v>
      </c>
      <c r="BL208" s="867">
        <f t="shared" ca="1" si="153"/>
        <v>0</v>
      </c>
      <c r="BM208" s="867">
        <f t="shared" ca="1" si="154"/>
        <v>0</v>
      </c>
      <c r="BN208" s="867">
        <f t="shared" ca="1" si="155"/>
        <v>0</v>
      </c>
      <c r="BO208" s="867">
        <f t="shared" ca="1" si="156"/>
        <v>0</v>
      </c>
      <c r="BP208" s="867">
        <f t="shared" ca="1" si="157"/>
        <v>0</v>
      </c>
      <c r="BQ208" s="867">
        <f t="shared" ca="1" si="158"/>
        <v>0</v>
      </c>
      <c r="BR208" s="867">
        <f ca="1"/>
        <v>0</v>
      </c>
      <c r="BS208" s="867">
        <f ca="1"/>
        <v>0</v>
      </c>
      <c r="BT208" s="867">
        <f t="shared" ca="1" si="119"/>
        <v>0</v>
      </c>
      <c r="BU208" s="867">
        <f t="shared" ca="1" si="159"/>
        <v>0</v>
      </c>
      <c r="BX208" s="867">
        <f ca="1"/>
        <v>0</v>
      </c>
      <c r="BY208" s="867">
        <f t="shared" ca="1" si="160"/>
        <v>0</v>
      </c>
      <c r="BZ208" s="867">
        <f t="shared" ca="1" si="161"/>
        <v>0</v>
      </c>
      <c r="CA208" s="867">
        <f t="shared" ca="1" si="162"/>
        <v>0</v>
      </c>
      <c r="CB208" s="867">
        <f t="shared" ca="1" si="163"/>
        <v>0</v>
      </c>
      <c r="CC208" s="867">
        <f t="shared" ca="1" si="164"/>
        <v>0</v>
      </c>
      <c r="CD208" s="867">
        <f t="shared" ca="1" si="165"/>
        <v>0</v>
      </c>
    </row>
    <row r="209" spans="1:82" ht="17" hidden="1" thickTop="1" thickBot="1">
      <c r="A209" s="773">
        <f t="shared" si="115"/>
        <v>0</v>
      </c>
      <c r="B209" s="779"/>
      <c r="D209" s="660"/>
      <c r="E209" s="661"/>
      <c r="F209" s="862"/>
      <c r="G209" s="863"/>
      <c r="H209" s="961"/>
      <c r="I209" s="865">
        <f t="shared" si="121"/>
        <v>0</v>
      </c>
      <c r="J209" s="864" cm="1">
        <f t="array" ref="J209">IF($G209=0,0,-MIN(0,G209*c_equity.LPshare))</f>
        <v>0</v>
      </c>
      <c r="K209" s="865" cm="1">
        <f t="array" ref="K209">I209*c_rate.Pref.MO</f>
        <v>0</v>
      </c>
      <c r="L209" s="865">
        <f t="shared" si="122"/>
        <v>0</v>
      </c>
      <c r="M209" s="865">
        <f t="shared" si="123"/>
        <v>0</v>
      </c>
      <c r="N209" s="865">
        <f t="shared" si="124"/>
        <v>0</v>
      </c>
      <c r="O209" s="864" cm="1">
        <f t="array" ref="O209">IF(N209=0,0,IF(G209&lt;0,N209/c_equity.LPshare*i_equity.GPshare,L209/c_equity.LPshare*i_equity.GPshare))</f>
        <v>0</v>
      </c>
      <c r="P209" s="865">
        <f t="shared" si="125"/>
        <v>0</v>
      </c>
      <c r="Q209" s="865">
        <f t="shared" si="126"/>
        <v>0</v>
      </c>
      <c r="R209" s="161"/>
      <c r="S209" s="867">
        <f t="shared" ca="1" si="127"/>
        <v>0</v>
      </c>
      <c r="T209" s="867" cm="1">
        <f t="array" ref="T209">IF($G209=0,0,-MIN(0,$G209*c_equity.LPshare))</f>
        <v>0</v>
      </c>
      <c r="U209" s="869" cm="1">
        <f t="array" ref="U209">IF($D209=0,0,S209*c_rate.Hurdle1.MO)</f>
        <v>0</v>
      </c>
      <c r="V209" s="867">
        <f t="shared" si="128"/>
        <v>0</v>
      </c>
      <c r="W209" s="867">
        <f t="shared" ca="1" si="129"/>
        <v>0</v>
      </c>
      <c r="X209" s="869">
        <f t="shared" ca="1" si="130"/>
        <v>0</v>
      </c>
      <c r="Y209" s="869">
        <f t="shared" ca="1" si="131"/>
        <v>0</v>
      </c>
      <c r="Z209" s="869">
        <f t="shared" ca="1" si="132"/>
        <v>0</v>
      </c>
      <c r="AA209" s="869">
        <f t="shared" ca="1" si="133"/>
        <v>0</v>
      </c>
      <c r="AB209" s="867">
        <f t="shared" ca="1" si="134"/>
        <v>0</v>
      </c>
      <c r="AC209" s="161"/>
      <c r="AD209" s="869">
        <f t="shared" ca="1" si="135"/>
        <v>0</v>
      </c>
      <c r="AE209" s="867" cm="1">
        <f t="array" ref="AE209">IF($G209=0,0,-MIN(0,$G209*c_equity.LPshare))</f>
        <v>0</v>
      </c>
      <c r="AF209" s="869" cm="1">
        <f t="array" ref="AF209">IF($D209=0,0,AD209*(c_rate.Hurdle2.MO))</f>
        <v>0</v>
      </c>
      <c r="AG209" s="869">
        <f t="shared" ca="1" si="136"/>
        <v>0</v>
      </c>
      <c r="AH209" s="869">
        <f t="shared" ca="1" si="137"/>
        <v>0</v>
      </c>
      <c r="AI209" s="869">
        <f t="shared" ca="1" si="138"/>
        <v>0</v>
      </c>
      <c r="AJ209" s="870">
        <f t="shared" ca="1" si="166"/>
        <v>0</v>
      </c>
      <c r="AK209" s="867">
        <f t="shared" ca="1" si="139"/>
        <v>0</v>
      </c>
      <c r="AL209" s="869">
        <f t="shared" ca="1" si="167"/>
        <v>0</v>
      </c>
      <c r="AM209" s="869">
        <f t="shared" ca="1" si="140"/>
        <v>0</v>
      </c>
      <c r="AN209" s="867">
        <f t="shared" ca="1" si="168"/>
        <v>0</v>
      </c>
      <c r="AO209" s="161"/>
      <c r="AP209" s="869">
        <f t="shared" ca="1" si="141"/>
        <v>0</v>
      </c>
      <c r="AQ209" s="867" cm="1">
        <f t="array" ref="AQ209">IF($G209=0,0,-MIN(0,$G209*c_equity.LPshare))</f>
        <v>0</v>
      </c>
      <c r="AR209" s="869" cm="1">
        <f t="array" ref="AR209">IF($D209=0,0,AP209*(c_rate.Hurdle3.MO))</f>
        <v>0</v>
      </c>
      <c r="AS209" s="869">
        <f t="shared" ca="1" si="142"/>
        <v>0</v>
      </c>
      <c r="AT209" s="869">
        <f t="shared" ca="1" si="143"/>
        <v>0</v>
      </c>
      <c r="AU209" s="869">
        <f t="shared" ca="1" si="144"/>
        <v>0</v>
      </c>
      <c r="AV209" s="870">
        <f t="shared" ca="1" si="145"/>
        <v>0</v>
      </c>
      <c r="AW209" s="867">
        <f t="shared" ca="1" si="146"/>
        <v>0</v>
      </c>
      <c r="AX209" s="869">
        <f t="shared" ca="1" si="169"/>
        <v>0</v>
      </c>
      <c r="AY209" s="869">
        <f t="shared" ca="1" si="147"/>
        <v>0</v>
      </c>
      <c r="AZ209" s="867">
        <f t="shared" ca="1" si="170"/>
        <v>0</v>
      </c>
      <c r="BA209" s="161"/>
      <c r="BB209" s="867">
        <f t="shared" ca="1" si="149"/>
        <v>0</v>
      </c>
      <c r="BC209" s="867">
        <f t="shared" ca="1" si="114"/>
        <v>0</v>
      </c>
      <c r="BD209" s="658"/>
      <c r="BE209" s="867">
        <f t="shared" ca="1" si="150"/>
        <v>0</v>
      </c>
      <c r="BF209" s="867">
        <f t="shared" ca="1" si="151"/>
        <v>0</v>
      </c>
      <c r="BG209" s="867">
        <f t="shared" ca="1" si="152"/>
        <v>0</v>
      </c>
      <c r="BI209" s="867">
        <f ca="1"/>
        <v>0</v>
      </c>
      <c r="BJ209" s="867">
        <f ca="1"/>
        <v>0</v>
      </c>
      <c r="BK209" s="867">
        <f ca="1"/>
        <v>0</v>
      </c>
      <c r="BL209" s="867">
        <f t="shared" ca="1" si="153"/>
        <v>0</v>
      </c>
      <c r="BM209" s="867">
        <f t="shared" ca="1" si="154"/>
        <v>0</v>
      </c>
      <c r="BN209" s="867">
        <f t="shared" ca="1" si="155"/>
        <v>0</v>
      </c>
      <c r="BO209" s="867">
        <f t="shared" ca="1" si="156"/>
        <v>0</v>
      </c>
      <c r="BP209" s="867">
        <f t="shared" ca="1" si="157"/>
        <v>0</v>
      </c>
      <c r="BQ209" s="867">
        <f t="shared" ca="1" si="158"/>
        <v>0</v>
      </c>
      <c r="BR209" s="867">
        <f ca="1"/>
        <v>0</v>
      </c>
      <c r="BS209" s="867">
        <f ca="1"/>
        <v>0</v>
      </c>
      <c r="BT209" s="867">
        <f t="shared" ca="1" si="119"/>
        <v>0</v>
      </c>
      <c r="BU209" s="867">
        <f t="shared" ca="1" si="159"/>
        <v>0</v>
      </c>
      <c r="BX209" s="867">
        <f ca="1"/>
        <v>0</v>
      </c>
      <c r="BY209" s="867">
        <f t="shared" ca="1" si="160"/>
        <v>0</v>
      </c>
      <c r="BZ209" s="867">
        <f t="shared" ca="1" si="161"/>
        <v>0</v>
      </c>
      <c r="CA209" s="867">
        <f t="shared" ca="1" si="162"/>
        <v>0</v>
      </c>
      <c r="CB209" s="867">
        <f t="shared" ca="1" si="163"/>
        <v>0</v>
      </c>
      <c r="CC209" s="867">
        <f t="shared" ca="1" si="164"/>
        <v>0</v>
      </c>
      <c r="CD209" s="867">
        <f t="shared" ca="1" si="165"/>
        <v>0</v>
      </c>
    </row>
    <row r="210" spans="1:82" ht="17" hidden="1" thickTop="1" thickBot="1">
      <c r="A210" s="773">
        <f t="shared" si="115"/>
        <v>0</v>
      </c>
      <c r="B210" s="779"/>
      <c r="D210" s="660"/>
      <c r="E210" s="661"/>
      <c r="F210" s="862"/>
      <c r="G210" s="863"/>
      <c r="H210" s="961"/>
      <c r="I210" s="865">
        <f t="shared" si="121"/>
        <v>0</v>
      </c>
      <c r="J210" s="864" cm="1">
        <f t="array" ref="J210">IF($G210=0,0,-MIN(0,G210*c_equity.LPshare))</f>
        <v>0</v>
      </c>
      <c r="K210" s="865" cm="1">
        <f t="array" ref="K210">I210*c_rate.Pref.MO</f>
        <v>0</v>
      </c>
      <c r="L210" s="865">
        <f t="shared" si="122"/>
        <v>0</v>
      </c>
      <c r="M210" s="865">
        <f t="shared" si="123"/>
        <v>0</v>
      </c>
      <c r="N210" s="865">
        <f t="shared" si="124"/>
        <v>0</v>
      </c>
      <c r="O210" s="864" cm="1">
        <f t="array" ref="O210">IF(N210=0,0,IF(G210&lt;0,N210/c_equity.LPshare*i_equity.GPshare,L210/c_equity.LPshare*i_equity.GPshare))</f>
        <v>0</v>
      </c>
      <c r="P210" s="865">
        <f t="shared" si="125"/>
        <v>0</v>
      </c>
      <c r="Q210" s="865">
        <f t="shared" si="126"/>
        <v>0</v>
      </c>
      <c r="R210" s="161"/>
      <c r="S210" s="867">
        <f t="shared" ca="1" si="127"/>
        <v>0</v>
      </c>
      <c r="T210" s="867" cm="1">
        <f t="array" ref="T210">IF($G210=0,0,-MIN(0,$G210*c_equity.LPshare))</f>
        <v>0</v>
      </c>
      <c r="U210" s="869" cm="1">
        <f t="array" ref="U210">IF($D210=0,0,S210*c_rate.Hurdle1.MO)</f>
        <v>0</v>
      </c>
      <c r="V210" s="867">
        <f t="shared" si="128"/>
        <v>0</v>
      </c>
      <c r="W210" s="867">
        <f t="shared" ca="1" si="129"/>
        <v>0</v>
      </c>
      <c r="X210" s="869">
        <f t="shared" ca="1" si="130"/>
        <v>0</v>
      </c>
      <c r="Y210" s="869">
        <f t="shared" ca="1" si="131"/>
        <v>0</v>
      </c>
      <c r="Z210" s="869">
        <f t="shared" ca="1" si="132"/>
        <v>0</v>
      </c>
      <c r="AA210" s="869">
        <f t="shared" ca="1" si="133"/>
        <v>0</v>
      </c>
      <c r="AB210" s="867">
        <f t="shared" ca="1" si="134"/>
        <v>0</v>
      </c>
      <c r="AC210" s="161"/>
      <c r="AD210" s="869">
        <f t="shared" ca="1" si="135"/>
        <v>0</v>
      </c>
      <c r="AE210" s="867" cm="1">
        <f t="array" ref="AE210">IF($G210=0,0,-MIN(0,$G210*c_equity.LPshare))</f>
        <v>0</v>
      </c>
      <c r="AF210" s="869" cm="1">
        <f t="array" ref="AF210">IF($D210=0,0,AD210*(c_rate.Hurdle2.MO))</f>
        <v>0</v>
      </c>
      <c r="AG210" s="869">
        <f t="shared" ca="1" si="136"/>
        <v>0</v>
      </c>
      <c r="AH210" s="869">
        <f t="shared" ca="1" si="137"/>
        <v>0</v>
      </c>
      <c r="AI210" s="869">
        <f t="shared" ca="1" si="138"/>
        <v>0</v>
      </c>
      <c r="AJ210" s="870">
        <f t="shared" ca="1" si="166"/>
        <v>0</v>
      </c>
      <c r="AK210" s="867">
        <f t="shared" ca="1" si="139"/>
        <v>0</v>
      </c>
      <c r="AL210" s="869">
        <f t="shared" ca="1" si="167"/>
        <v>0</v>
      </c>
      <c r="AM210" s="869">
        <f t="shared" ca="1" si="140"/>
        <v>0</v>
      </c>
      <c r="AN210" s="867">
        <f t="shared" ca="1" si="168"/>
        <v>0</v>
      </c>
      <c r="AO210" s="161"/>
      <c r="AP210" s="869">
        <f t="shared" ca="1" si="141"/>
        <v>0</v>
      </c>
      <c r="AQ210" s="867" cm="1">
        <f t="array" ref="AQ210">IF($G210=0,0,-MIN(0,$G210*c_equity.LPshare))</f>
        <v>0</v>
      </c>
      <c r="AR210" s="869" cm="1">
        <f t="array" ref="AR210">IF($D210=0,0,AP210*(c_rate.Hurdle3.MO))</f>
        <v>0</v>
      </c>
      <c r="AS210" s="869">
        <f t="shared" ca="1" si="142"/>
        <v>0</v>
      </c>
      <c r="AT210" s="869">
        <f t="shared" ca="1" si="143"/>
        <v>0</v>
      </c>
      <c r="AU210" s="869">
        <f t="shared" ca="1" si="144"/>
        <v>0</v>
      </c>
      <c r="AV210" s="870">
        <f t="shared" ca="1" si="145"/>
        <v>0</v>
      </c>
      <c r="AW210" s="867">
        <f t="shared" ca="1" si="146"/>
        <v>0</v>
      </c>
      <c r="AX210" s="869">
        <f t="shared" ca="1" si="169"/>
        <v>0</v>
      </c>
      <c r="AY210" s="869">
        <f t="shared" ca="1" si="147"/>
        <v>0</v>
      </c>
      <c r="AZ210" s="867">
        <f t="shared" ca="1" si="170"/>
        <v>0</v>
      </c>
      <c r="BA210" s="161"/>
      <c r="BB210" s="867">
        <f t="shared" ca="1" si="149"/>
        <v>0</v>
      </c>
      <c r="BC210" s="867">
        <f t="shared" ca="1" si="114"/>
        <v>0</v>
      </c>
      <c r="BD210" s="658"/>
      <c r="BE210" s="867">
        <f t="shared" ca="1" si="150"/>
        <v>0</v>
      </c>
      <c r="BF210" s="867">
        <f t="shared" ca="1" si="151"/>
        <v>0</v>
      </c>
      <c r="BG210" s="867">
        <f t="shared" ca="1" si="152"/>
        <v>0</v>
      </c>
      <c r="BI210" s="867">
        <f ca="1"/>
        <v>0</v>
      </c>
      <c r="BJ210" s="867">
        <f ca="1"/>
        <v>0</v>
      </c>
      <c r="BK210" s="867">
        <f ca="1"/>
        <v>0</v>
      </c>
      <c r="BL210" s="867">
        <f t="shared" ca="1" si="153"/>
        <v>0</v>
      </c>
      <c r="BM210" s="867">
        <f t="shared" ca="1" si="154"/>
        <v>0</v>
      </c>
      <c r="BN210" s="867">
        <f t="shared" ca="1" si="155"/>
        <v>0</v>
      </c>
      <c r="BO210" s="867">
        <f t="shared" ca="1" si="156"/>
        <v>0</v>
      </c>
      <c r="BP210" s="867">
        <f t="shared" ca="1" si="157"/>
        <v>0</v>
      </c>
      <c r="BQ210" s="867">
        <f t="shared" ca="1" si="158"/>
        <v>0</v>
      </c>
      <c r="BR210" s="867">
        <f ca="1"/>
        <v>0</v>
      </c>
      <c r="BS210" s="867">
        <f ca="1"/>
        <v>0</v>
      </c>
      <c r="BT210" s="867">
        <f t="shared" ca="1" si="119"/>
        <v>0</v>
      </c>
      <c r="BU210" s="867">
        <f t="shared" ca="1" si="159"/>
        <v>0</v>
      </c>
      <c r="BX210" s="867">
        <f ca="1"/>
        <v>0</v>
      </c>
      <c r="BY210" s="867">
        <f t="shared" ca="1" si="160"/>
        <v>0</v>
      </c>
      <c r="BZ210" s="867">
        <f t="shared" ca="1" si="161"/>
        <v>0</v>
      </c>
      <c r="CA210" s="867">
        <f t="shared" ca="1" si="162"/>
        <v>0</v>
      </c>
      <c r="CB210" s="867">
        <f t="shared" ca="1" si="163"/>
        <v>0</v>
      </c>
      <c r="CC210" s="867">
        <f t="shared" ca="1" si="164"/>
        <v>0</v>
      </c>
      <c r="CD210" s="867">
        <f t="shared" ca="1" si="165"/>
        <v>0</v>
      </c>
    </row>
    <row r="211" spans="1:82" ht="17" hidden="1" thickTop="1" thickBot="1">
      <c r="A211" s="773">
        <f t="shared" si="115"/>
        <v>0</v>
      </c>
      <c r="B211" s="779"/>
      <c r="D211" s="660"/>
      <c r="E211" s="661"/>
      <c r="F211" s="862"/>
      <c r="G211" s="863"/>
      <c r="H211" s="961"/>
      <c r="I211" s="865">
        <f t="shared" si="121"/>
        <v>0</v>
      </c>
      <c r="J211" s="864" cm="1">
        <f t="array" ref="J211">IF($G211=0,0,-MIN(0,G211*c_equity.LPshare))</f>
        <v>0</v>
      </c>
      <c r="K211" s="865" cm="1">
        <f t="array" ref="K211">I211*c_rate.Pref.MO</f>
        <v>0</v>
      </c>
      <c r="L211" s="865">
        <f t="shared" si="122"/>
        <v>0</v>
      </c>
      <c r="M211" s="865">
        <f t="shared" si="123"/>
        <v>0</v>
      </c>
      <c r="N211" s="865">
        <f t="shared" si="124"/>
        <v>0</v>
      </c>
      <c r="O211" s="864" cm="1">
        <f t="array" ref="O211">IF(N211=0,0,IF(G211&lt;0,N211/c_equity.LPshare*i_equity.GPshare,L211/c_equity.LPshare*i_equity.GPshare))</f>
        <v>0</v>
      </c>
      <c r="P211" s="865">
        <f t="shared" si="125"/>
        <v>0</v>
      </c>
      <c r="Q211" s="865">
        <f t="shared" si="126"/>
        <v>0</v>
      </c>
      <c r="R211" s="161"/>
      <c r="S211" s="867">
        <f t="shared" ca="1" si="127"/>
        <v>0</v>
      </c>
      <c r="T211" s="867" cm="1">
        <f t="array" ref="T211">IF($G211=0,0,-MIN(0,$G211*c_equity.LPshare))</f>
        <v>0</v>
      </c>
      <c r="U211" s="869" cm="1">
        <f t="array" ref="U211">IF($D211=0,0,S211*c_rate.Hurdle1.MO)</f>
        <v>0</v>
      </c>
      <c r="V211" s="867">
        <f t="shared" si="128"/>
        <v>0</v>
      </c>
      <c r="W211" s="867">
        <f t="shared" ca="1" si="129"/>
        <v>0</v>
      </c>
      <c r="X211" s="869">
        <f t="shared" ca="1" si="130"/>
        <v>0</v>
      </c>
      <c r="Y211" s="869">
        <f t="shared" ca="1" si="131"/>
        <v>0</v>
      </c>
      <c r="Z211" s="869">
        <f t="shared" ca="1" si="132"/>
        <v>0</v>
      </c>
      <c r="AA211" s="869">
        <f t="shared" ca="1" si="133"/>
        <v>0</v>
      </c>
      <c r="AB211" s="867">
        <f t="shared" ca="1" si="134"/>
        <v>0</v>
      </c>
      <c r="AC211" s="161"/>
      <c r="AD211" s="869">
        <f t="shared" ca="1" si="135"/>
        <v>0</v>
      </c>
      <c r="AE211" s="867" cm="1">
        <f t="array" ref="AE211">IF($G211=0,0,-MIN(0,$G211*c_equity.LPshare))</f>
        <v>0</v>
      </c>
      <c r="AF211" s="869" cm="1">
        <f t="array" ref="AF211">IF($D211=0,0,AD211*(c_rate.Hurdle2.MO))</f>
        <v>0</v>
      </c>
      <c r="AG211" s="869">
        <f t="shared" ca="1" si="136"/>
        <v>0</v>
      </c>
      <c r="AH211" s="869">
        <f t="shared" ca="1" si="137"/>
        <v>0</v>
      </c>
      <c r="AI211" s="869">
        <f t="shared" ca="1" si="138"/>
        <v>0</v>
      </c>
      <c r="AJ211" s="870">
        <f t="shared" ca="1" si="166"/>
        <v>0</v>
      </c>
      <c r="AK211" s="867">
        <f t="shared" ca="1" si="139"/>
        <v>0</v>
      </c>
      <c r="AL211" s="869">
        <f t="shared" ca="1" si="167"/>
        <v>0</v>
      </c>
      <c r="AM211" s="869">
        <f t="shared" ca="1" si="140"/>
        <v>0</v>
      </c>
      <c r="AN211" s="867">
        <f t="shared" ca="1" si="168"/>
        <v>0</v>
      </c>
      <c r="AO211" s="161"/>
      <c r="AP211" s="869">
        <f t="shared" ca="1" si="141"/>
        <v>0</v>
      </c>
      <c r="AQ211" s="867" cm="1">
        <f t="array" ref="AQ211">IF($G211=0,0,-MIN(0,$G211*c_equity.LPshare))</f>
        <v>0</v>
      </c>
      <c r="AR211" s="869" cm="1">
        <f t="array" ref="AR211">IF($D211=0,0,AP211*(c_rate.Hurdle3.MO))</f>
        <v>0</v>
      </c>
      <c r="AS211" s="869">
        <f t="shared" ca="1" si="142"/>
        <v>0</v>
      </c>
      <c r="AT211" s="869">
        <f t="shared" ca="1" si="143"/>
        <v>0</v>
      </c>
      <c r="AU211" s="869">
        <f t="shared" ca="1" si="144"/>
        <v>0</v>
      </c>
      <c r="AV211" s="870">
        <f t="shared" ca="1" si="145"/>
        <v>0</v>
      </c>
      <c r="AW211" s="867">
        <f t="shared" ca="1" si="146"/>
        <v>0</v>
      </c>
      <c r="AX211" s="869">
        <f t="shared" ca="1" si="169"/>
        <v>0</v>
      </c>
      <c r="AY211" s="869">
        <f t="shared" ca="1" si="147"/>
        <v>0</v>
      </c>
      <c r="AZ211" s="867">
        <f t="shared" ca="1" si="170"/>
        <v>0</v>
      </c>
      <c r="BA211" s="161"/>
      <c r="BB211" s="867">
        <f t="shared" ca="1" si="149"/>
        <v>0</v>
      </c>
      <c r="BC211" s="867">
        <f t="shared" ca="1" si="114"/>
        <v>0</v>
      </c>
      <c r="BD211" s="658"/>
      <c r="BE211" s="867">
        <f t="shared" ca="1" si="150"/>
        <v>0</v>
      </c>
      <c r="BF211" s="867">
        <f t="shared" ca="1" si="151"/>
        <v>0</v>
      </c>
      <c r="BG211" s="867">
        <f t="shared" ca="1" si="152"/>
        <v>0</v>
      </c>
      <c r="BI211" s="867">
        <f ca="1"/>
        <v>0</v>
      </c>
      <c r="BJ211" s="867">
        <f ca="1"/>
        <v>0</v>
      </c>
      <c r="BK211" s="867">
        <f ca="1"/>
        <v>0</v>
      </c>
      <c r="BL211" s="867">
        <f t="shared" ca="1" si="153"/>
        <v>0</v>
      </c>
      <c r="BM211" s="867">
        <f t="shared" ca="1" si="154"/>
        <v>0</v>
      </c>
      <c r="BN211" s="867">
        <f t="shared" ca="1" si="155"/>
        <v>0</v>
      </c>
      <c r="BO211" s="867">
        <f t="shared" ca="1" si="156"/>
        <v>0</v>
      </c>
      <c r="BP211" s="867">
        <f t="shared" ca="1" si="157"/>
        <v>0</v>
      </c>
      <c r="BQ211" s="867">
        <f t="shared" ca="1" si="158"/>
        <v>0</v>
      </c>
      <c r="BR211" s="867">
        <f ca="1"/>
        <v>0</v>
      </c>
      <c r="BS211" s="867">
        <f ca="1"/>
        <v>0</v>
      </c>
      <c r="BT211" s="867">
        <f t="shared" ca="1" si="119"/>
        <v>0</v>
      </c>
      <c r="BU211" s="867">
        <f t="shared" ca="1" si="159"/>
        <v>0</v>
      </c>
      <c r="BX211" s="867">
        <f ca="1"/>
        <v>0</v>
      </c>
      <c r="BY211" s="867">
        <f t="shared" ca="1" si="160"/>
        <v>0</v>
      </c>
      <c r="BZ211" s="867">
        <f t="shared" ca="1" si="161"/>
        <v>0</v>
      </c>
      <c r="CA211" s="867">
        <f t="shared" ca="1" si="162"/>
        <v>0</v>
      </c>
      <c r="CB211" s="867">
        <f t="shared" ca="1" si="163"/>
        <v>0</v>
      </c>
      <c r="CC211" s="867">
        <f t="shared" ca="1" si="164"/>
        <v>0</v>
      </c>
      <c r="CD211" s="867">
        <f t="shared" ca="1" si="165"/>
        <v>0</v>
      </c>
    </row>
    <row r="212" spans="1:82" ht="17" hidden="1" thickTop="1" thickBot="1">
      <c r="A212" s="773">
        <f t="shared" si="115"/>
        <v>0</v>
      </c>
      <c r="B212" s="779"/>
      <c r="D212" s="660"/>
      <c r="E212" s="661"/>
      <c r="F212" s="862"/>
      <c r="G212" s="863"/>
      <c r="H212" s="961"/>
      <c r="I212" s="865">
        <f t="shared" si="121"/>
        <v>0</v>
      </c>
      <c r="J212" s="864" cm="1">
        <f t="array" ref="J212">IF($G212=0,0,-MIN(0,G212*c_equity.LPshare))</f>
        <v>0</v>
      </c>
      <c r="K212" s="865" cm="1">
        <f t="array" ref="K212">I212*c_rate.Pref.MO</f>
        <v>0</v>
      </c>
      <c r="L212" s="865">
        <f t="shared" si="122"/>
        <v>0</v>
      </c>
      <c r="M212" s="865">
        <f t="shared" si="123"/>
        <v>0</v>
      </c>
      <c r="N212" s="865">
        <f t="shared" si="124"/>
        <v>0</v>
      </c>
      <c r="O212" s="864" cm="1">
        <f t="array" ref="O212">IF(N212=0,0,IF(G212&lt;0,N212/c_equity.LPshare*i_equity.GPshare,L212/c_equity.LPshare*i_equity.GPshare))</f>
        <v>0</v>
      </c>
      <c r="P212" s="865">
        <f t="shared" si="125"/>
        <v>0</v>
      </c>
      <c r="Q212" s="865">
        <f t="shared" si="126"/>
        <v>0</v>
      </c>
      <c r="R212" s="161"/>
      <c r="S212" s="867">
        <f t="shared" ca="1" si="127"/>
        <v>0</v>
      </c>
      <c r="T212" s="867" cm="1">
        <f t="array" ref="T212">IF($G212=0,0,-MIN(0,$G212*c_equity.LPshare))</f>
        <v>0</v>
      </c>
      <c r="U212" s="869" cm="1">
        <f t="array" ref="U212">IF($D212=0,0,S212*c_rate.Hurdle1.MO)</f>
        <v>0</v>
      </c>
      <c r="V212" s="867">
        <f t="shared" si="128"/>
        <v>0</v>
      </c>
      <c r="W212" s="867">
        <f t="shared" ca="1" si="129"/>
        <v>0</v>
      </c>
      <c r="X212" s="869">
        <f t="shared" ca="1" si="130"/>
        <v>0</v>
      </c>
      <c r="Y212" s="869">
        <f t="shared" ca="1" si="131"/>
        <v>0</v>
      </c>
      <c r="Z212" s="869">
        <f t="shared" ca="1" si="132"/>
        <v>0</v>
      </c>
      <c r="AA212" s="869">
        <f t="shared" ca="1" si="133"/>
        <v>0</v>
      </c>
      <c r="AB212" s="867">
        <f t="shared" ca="1" si="134"/>
        <v>0</v>
      </c>
      <c r="AC212" s="161"/>
      <c r="AD212" s="869">
        <f t="shared" ca="1" si="135"/>
        <v>0</v>
      </c>
      <c r="AE212" s="867" cm="1">
        <f t="array" ref="AE212">IF($G212=0,0,-MIN(0,$G212*c_equity.LPshare))</f>
        <v>0</v>
      </c>
      <c r="AF212" s="869" cm="1">
        <f t="array" ref="AF212">IF($D212=0,0,AD212*(c_rate.Hurdle2.MO))</f>
        <v>0</v>
      </c>
      <c r="AG212" s="869">
        <f t="shared" ca="1" si="136"/>
        <v>0</v>
      </c>
      <c r="AH212" s="869">
        <f t="shared" ca="1" si="137"/>
        <v>0</v>
      </c>
      <c r="AI212" s="869">
        <f t="shared" ca="1" si="138"/>
        <v>0</v>
      </c>
      <c r="AJ212" s="870">
        <f t="shared" ca="1" si="166"/>
        <v>0</v>
      </c>
      <c r="AK212" s="867">
        <f t="shared" ca="1" si="139"/>
        <v>0</v>
      </c>
      <c r="AL212" s="869">
        <f t="shared" ca="1" si="167"/>
        <v>0</v>
      </c>
      <c r="AM212" s="869">
        <f t="shared" ca="1" si="140"/>
        <v>0</v>
      </c>
      <c r="AN212" s="867">
        <f t="shared" ca="1" si="168"/>
        <v>0</v>
      </c>
      <c r="AO212" s="161"/>
      <c r="AP212" s="869">
        <f t="shared" ca="1" si="141"/>
        <v>0</v>
      </c>
      <c r="AQ212" s="867" cm="1">
        <f t="array" ref="AQ212">IF($G212=0,0,-MIN(0,$G212*c_equity.LPshare))</f>
        <v>0</v>
      </c>
      <c r="AR212" s="869" cm="1">
        <f t="array" ref="AR212">IF($D212=0,0,AP212*(c_rate.Hurdle3.MO))</f>
        <v>0</v>
      </c>
      <c r="AS212" s="869">
        <f t="shared" ca="1" si="142"/>
        <v>0</v>
      </c>
      <c r="AT212" s="869">
        <f t="shared" ca="1" si="143"/>
        <v>0</v>
      </c>
      <c r="AU212" s="869">
        <f t="shared" ca="1" si="144"/>
        <v>0</v>
      </c>
      <c r="AV212" s="870">
        <f t="shared" ca="1" si="145"/>
        <v>0</v>
      </c>
      <c r="AW212" s="867">
        <f t="shared" ca="1" si="146"/>
        <v>0</v>
      </c>
      <c r="AX212" s="869">
        <f t="shared" ca="1" si="169"/>
        <v>0</v>
      </c>
      <c r="AY212" s="869">
        <f t="shared" ca="1" si="147"/>
        <v>0</v>
      </c>
      <c r="AZ212" s="867">
        <f t="shared" ca="1" si="170"/>
        <v>0</v>
      </c>
      <c r="BA212" s="161"/>
      <c r="BB212" s="867">
        <f t="shared" ca="1" si="149"/>
        <v>0</v>
      </c>
      <c r="BC212" s="867">
        <f t="shared" ca="1" si="114"/>
        <v>0</v>
      </c>
      <c r="BD212" s="658"/>
      <c r="BE212" s="867">
        <f t="shared" ca="1" si="150"/>
        <v>0</v>
      </c>
      <c r="BF212" s="867">
        <f t="shared" ca="1" si="151"/>
        <v>0</v>
      </c>
      <c r="BG212" s="867">
        <f t="shared" ca="1" si="152"/>
        <v>0</v>
      </c>
      <c r="BI212" s="867">
        <f ca="1"/>
        <v>0</v>
      </c>
      <c r="BJ212" s="867">
        <f ca="1"/>
        <v>0</v>
      </c>
      <c r="BK212" s="867">
        <f ca="1"/>
        <v>0</v>
      </c>
      <c r="BL212" s="867">
        <f t="shared" ca="1" si="153"/>
        <v>0</v>
      </c>
      <c r="BM212" s="867">
        <f t="shared" ca="1" si="154"/>
        <v>0</v>
      </c>
      <c r="BN212" s="867">
        <f t="shared" ca="1" si="155"/>
        <v>0</v>
      </c>
      <c r="BO212" s="867">
        <f t="shared" ca="1" si="156"/>
        <v>0</v>
      </c>
      <c r="BP212" s="867">
        <f t="shared" ca="1" si="157"/>
        <v>0</v>
      </c>
      <c r="BQ212" s="867">
        <f t="shared" ca="1" si="158"/>
        <v>0</v>
      </c>
      <c r="BR212" s="867">
        <f ca="1"/>
        <v>0</v>
      </c>
      <c r="BS212" s="867">
        <f ca="1"/>
        <v>0</v>
      </c>
      <c r="BT212" s="867">
        <f t="shared" ca="1" si="119"/>
        <v>0</v>
      </c>
      <c r="BU212" s="867">
        <f t="shared" ca="1" si="159"/>
        <v>0</v>
      </c>
      <c r="BX212" s="867">
        <f ca="1"/>
        <v>0</v>
      </c>
      <c r="BY212" s="867">
        <f t="shared" ca="1" si="160"/>
        <v>0</v>
      </c>
      <c r="BZ212" s="867">
        <f t="shared" ca="1" si="161"/>
        <v>0</v>
      </c>
      <c r="CA212" s="867">
        <f t="shared" ca="1" si="162"/>
        <v>0</v>
      </c>
      <c r="CB212" s="867">
        <f t="shared" ca="1" si="163"/>
        <v>0</v>
      </c>
      <c r="CC212" s="867">
        <f t="shared" ca="1" si="164"/>
        <v>0</v>
      </c>
      <c r="CD212" s="867">
        <f t="shared" ca="1" si="165"/>
        <v>0</v>
      </c>
    </row>
    <row r="213" spans="1:82" ht="17" hidden="1" thickTop="1" thickBot="1">
      <c r="A213" s="773">
        <f t="shared" si="115"/>
        <v>0</v>
      </c>
      <c r="B213" s="779"/>
      <c r="D213" s="660"/>
      <c r="E213" s="661"/>
      <c r="F213" s="862"/>
      <c r="G213" s="863"/>
      <c r="H213" s="961"/>
      <c r="I213" s="865">
        <f t="shared" si="121"/>
        <v>0</v>
      </c>
      <c r="J213" s="864" cm="1">
        <f t="array" ref="J213">IF($G213=0,0,-MIN(0,G213*c_equity.LPshare))</f>
        <v>0</v>
      </c>
      <c r="K213" s="865" cm="1">
        <f t="array" ref="K213">I213*c_rate.Pref.MO</f>
        <v>0</v>
      </c>
      <c r="L213" s="865">
        <f t="shared" si="122"/>
        <v>0</v>
      </c>
      <c r="M213" s="865">
        <f t="shared" si="123"/>
        <v>0</v>
      </c>
      <c r="N213" s="865">
        <f t="shared" si="124"/>
        <v>0</v>
      </c>
      <c r="O213" s="864" cm="1">
        <f t="array" ref="O213">IF(N213=0,0,IF(G213&lt;0,N213/c_equity.LPshare*i_equity.GPshare,L213/c_equity.LPshare*i_equity.GPshare))</f>
        <v>0</v>
      </c>
      <c r="P213" s="865">
        <f t="shared" si="125"/>
        <v>0</v>
      </c>
      <c r="Q213" s="865">
        <f t="shared" si="126"/>
        <v>0</v>
      </c>
      <c r="R213" s="161"/>
      <c r="S213" s="867">
        <f t="shared" ca="1" si="127"/>
        <v>0</v>
      </c>
      <c r="T213" s="867" cm="1">
        <f t="array" ref="T213">IF($G213=0,0,-MIN(0,$G213*c_equity.LPshare))</f>
        <v>0</v>
      </c>
      <c r="U213" s="869" cm="1">
        <f t="array" ref="U213">IF($D213=0,0,S213*c_rate.Hurdle1.MO)</f>
        <v>0</v>
      </c>
      <c r="V213" s="867">
        <f t="shared" si="128"/>
        <v>0</v>
      </c>
      <c r="W213" s="867">
        <f t="shared" ca="1" si="129"/>
        <v>0</v>
      </c>
      <c r="X213" s="869">
        <f t="shared" ca="1" si="130"/>
        <v>0</v>
      </c>
      <c r="Y213" s="869">
        <f t="shared" ca="1" si="131"/>
        <v>0</v>
      </c>
      <c r="Z213" s="869">
        <f t="shared" ca="1" si="132"/>
        <v>0</v>
      </c>
      <c r="AA213" s="869">
        <f t="shared" ca="1" si="133"/>
        <v>0</v>
      </c>
      <c r="AB213" s="867">
        <f t="shared" ca="1" si="134"/>
        <v>0</v>
      </c>
      <c r="AC213" s="161"/>
      <c r="AD213" s="869">
        <f t="shared" ca="1" si="135"/>
        <v>0</v>
      </c>
      <c r="AE213" s="867" cm="1">
        <f t="array" ref="AE213">IF($G213=0,0,-MIN(0,$G213*c_equity.LPshare))</f>
        <v>0</v>
      </c>
      <c r="AF213" s="869" cm="1">
        <f t="array" ref="AF213">IF($D213=0,0,AD213*(c_rate.Hurdle2.MO))</f>
        <v>0</v>
      </c>
      <c r="AG213" s="869">
        <f t="shared" ca="1" si="136"/>
        <v>0</v>
      </c>
      <c r="AH213" s="869">
        <f t="shared" ca="1" si="137"/>
        <v>0</v>
      </c>
      <c r="AI213" s="869">
        <f t="shared" ca="1" si="138"/>
        <v>0</v>
      </c>
      <c r="AJ213" s="870">
        <f t="shared" ca="1" si="166"/>
        <v>0</v>
      </c>
      <c r="AK213" s="867">
        <f t="shared" ca="1" si="139"/>
        <v>0</v>
      </c>
      <c r="AL213" s="869">
        <f t="shared" ca="1" si="167"/>
        <v>0</v>
      </c>
      <c r="AM213" s="869">
        <f t="shared" ca="1" si="140"/>
        <v>0</v>
      </c>
      <c r="AN213" s="867">
        <f t="shared" ca="1" si="168"/>
        <v>0</v>
      </c>
      <c r="AO213" s="161"/>
      <c r="AP213" s="869">
        <f t="shared" ca="1" si="141"/>
        <v>0</v>
      </c>
      <c r="AQ213" s="867" cm="1">
        <f t="array" ref="AQ213">IF($G213=0,0,-MIN(0,$G213*c_equity.LPshare))</f>
        <v>0</v>
      </c>
      <c r="AR213" s="869" cm="1">
        <f t="array" ref="AR213">IF($D213=0,0,AP213*(c_rate.Hurdle3.MO))</f>
        <v>0</v>
      </c>
      <c r="AS213" s="869">
        <f t="shared" ca="1" si="142"/>
        <v>0</v>
      </c>
      <c r="AT213" s="869">
        <f t="shared" ca="1" si="143"/>
        <v>0</v>
      </c>
      <c r="AU213" s="869">
        <f t="shared" ca="1" si="144"/>
        <v>0</v>
      </c>
      <c r="AV213" s="870">
        <f t="shared" ca="1" si="145"/>
        <v>0</v>
      </c>
      <c r="AW213" s="867">
        <f t="shared" ca="1" si="146"/>
        <v>0</v>
      </c>
      <c r="AX213" s="869">
        <f t="shared" ca="1" si="169"/>
        <v>0</v>
      </c>
      <c r="AY213" s="869">
        <f t="shared" ca="1" si="147"/>
        <v>0</v>
      </c>
      <c r="AZ213" s="867">
        <f t="shared" ca="1" si="170"/>
        <v>0</v>
      </c>
      <c r="BA213" s="161"/>
      <c r="BB213" s="867">
        <f t="shared" ca="1" si="149"/>
        <v>0</v>
      </c>
      <c r="BC213" s="867">
        <f t="shared" ca="1" si="114"/>
        <v>0</v>
      </c>
      <c r="BD213" s="658"/>
      <c r="BE213" s="867">
        <f t="shared" ca="1" si="150"/>
        <v>0</v>
      </c>
      <c r="BF213" s="867">
        <f t="shared" ca="1" si="151"/>
        <v>0</v>
      </c>
      <c r="BG213" s="867">
        <f t="shared" ca="1" si="152"/>
        <v>0</v>
      </c>
      <c r="BI213" s="867">
        <f ca="1"/>
        <v>0</v>
      </c>
      <c r="BJ213" s="867">
        <f ca="1"/>
        <v>0</v>
      </c>
      <c r="BK213" s="867">
        <f ca="1"/>
        <v>0</v>
      </c>
      <c r="BL213" s="867">
        <f t="shared" ca="1" si="153"/>
        <v>0</v>
      </c>
      <c r="BM213" s="867">
        <f t="shared" ca="1" si="154"/>
        <v>0</v>
      </c>
      <c r="BN213" s="867">
        <f t="shared" ca="1" si="155"/>
        <v>0</v>
      </c>
      <c r="BO213" s="867">
        <f t="shared" ca="1" si="156"/>
        <v>0</v>
      </c>
      <c r="BP213" s="867">
        <f t="shared" ca="1" si="157"/>
        <v>0</v>
      </c>
      <c r="BQ213" s="867">
        <f t="shared" ca="1" si="158"/>
        <v>0</v>
      </c>
      <c r="BR213" s="867">
        <f ca="1"/>
        <v>0</v>
      </c>
      <c r="BS213" s="867">
        <f ca="1"/>
        <v>0</v>
      </c>
      <c r="BT213" s="867">
        <f t="shared" ca="1" si="119"/>
        <v>0</v>
      </c>
      <c r="BU213" s="867">
        <f t="shared" ca="1" si="159"/>
        <v>0</v>
      </c>
      <c r="BX213" s="867">
        <f ca="1"/>
        <v>0</v>
      </c>
      <c r="BY213" s="867">
        <f t="shared" ca="1" si="160"/>
        <v>0</v>
      </c>
      <c r="BZ213" s="867">
        <f t="shared" ca="1" si="161"/>
        <v>0</v>
      </c>
      <c r="CA213" s="867">
        <f t="shared" ca="1" si="162"/>
        <v>0</v>
      </c>
      <c r="CB213" s="867">
        <f t="shared" ca="1" si="163"/>
        <v>0</v>
      </c>
      <c r="CC213" s="867">
        <f t="shared" ca="1" si="164"/>
        <v>0</v>
      </c>
      <c r="CD213" s="867">
        <f t="shared" ca="1" si="165"/>
        <v>0</v>
      </c>
    </row>
    <row r="214" spans="1:82" ht="17" hidden="1" thickTop="1" thickBot="1">
      <c r="A214" s="773">
        <f t="shared" si="115"/>
        <v>0</v>
      </c>
      <c r="B214" s="779"/>
      <c r="D214" s="660"/>
      <c r="E214" s="661"/>
      <c r="F214" s="862"/>
      <c r="G214" s="863"/>
      <c r="H214" s="961"/>
      <c r="I214" s="865">
        <f t="shared" si="121"/>
        <v>0</v>
      </c>
      <c r="J214" s="864" cm="1">
        <f t="array" ref="J214">IF($G214=0,0,-MIN(0,G214*c_equity.LPshare))</f>
        <v>0</v>
      </c>
      <c r="K214" s="865" cm="1">
        <f t="array" ref="K214">I214*c_rate.Pref.MO</f>
        <v>0</v>
      </c>
      <c r="L214" s="865">
        <f t="shared" si="122"/>
        <v>0</v>
      </c>
      <c r="M214" s="865">
        <f t="shared" si="123"/>
        <v>0</v>
      </c>
      <c r="N214" s="865">
        <f t="shared" si="124"/>
        <v>0</v>
      </c>
      <c r="O214" s="864" cm="1">
        <f t="array" ref="O214">IF(N214=0,0,IF(G214&lt;0,N214/c_equity.LPshare*i_equity.GPshare,L214/c_equity.LPshare*i_equity.GPshare))</f>
        <v>0</v>
      </c>
      <c r="P214" s="865">
        <f t="shared" si="125"/>
        <v>0</v>
      </c>
      <c r="Q214" s="865">
        <f t="shared" si="126"/>
        <v>0</v>
      </c>
      <c r="R214" s="161"/>
      <c r="S214" s="867">
        <f t="shared" ca="1" si="127"/>
        <v>0</v>
      </c>
      <c r="T214" s="867" cm="1">
        <f t="array" ref="T214">IF($G214=0,0,-MIN(0,$G214*c_equity.LPshare))</f>
        <v>0</v>
      </c>
      <c r="U214" s="869" cm="1">
        <f t="array" ref="U214">IF($D214=0,0,S214*c_rate.Hurdle1.MO)</f>
        <v>0</v>
      </c>
      <c r="V214" s="867">
        <f t="shared" si="128"/>
        <v>0</v>
      </c>
      <c r="W214" s="867">
        <f t="shared" ca="1" si="129"/>
        <v>0</v>
      </c>
      <c r="X214" s="869">
        <f t="shared" ca="1" si="130"/>
        <v>0</v>
      </c>
      <c r="Y214" s="869">
        <f t="shared" ca="1" si="131"/>
        <v>0</v>
      </c>
      <c r="Z214" s="869">
        <f t="shared" ca="1" si="132"/>
        <v>0</v>
      </c>
      <c r="AA214" s="869">
        <f t="shared" ca="1" si="133"/>
        <v>0</v>
      </c>
      <c r="AB214" s="867">
        <f t="shared" ca="1" si="134"/>
        <v>0</v>
      </c>
      <c r="AC214" s="161"/>
      <c r="AD214" s="869">
        <f t="shared" ca="1" si="135"/>
        <v>0</v>
      </c>
      <c r="AE214" s="867" cm="1">
        <f t="array" ref="AE214">IF($G214=0,0,-MIN(0,$G214*c_equity.LPshare))</f>
        <v>0</v>
      </c>
      <c r="AF214" s="869" cm="1">
        <f t="array" ref="AF214">IF($D214=0,0,AD214*(c_rate.Hurdle2.MO))</f>
        <v>0</v>
      </c>
      <c r="AG214" s="869">
        <f t="shared" ca="1" si="136"/>
        <v>0</v>
      </c>
      <c r="AH214" s="869">
        <f t="shared" ca="1" si="137"/>
        <v>0</v>
      </c>
      <c r="AI214" s="869">
        <f t="shared" ca="1" si="138"/>
        <v>0</v>
      </c>
      <c r="AJ214" s="870">
        <f t="shared" ca="1" si="166"/>
        <v>0</v>
      </c>
      <c r="AK214" s="867">
        <f t="shared" ca="1" si="139"/>
        <v>0</v>
      </c>
      <c r="AL214" s="869">
        <f t="shared" ca="1" si="167"/>
        <v>0</v>
      </c>
      <c r="AM214" s="869">
        <f t="shared" ca="1" si="140"/>
        <v>0</v>
      </c>
      <c r="AN214" s="867">
        <f t="shared" ca="1" si="168"/>
        <v>0</v>
      </c>
      <c r="AO214" s="161"/>
      <c r="AP214" s="869">
        <f t="shared" ca="1" si="141"/>
        <v>0</v>
      </c>
      <c r="AQ214" s="867" cm="1">
        <f t="array" ref="AQ214">IF($G214=0,0,-MIN(0,$G214*c_equity.LPshare))</f>
        <v>0</v>
      </c>
      <c r="AR214" s="869" cm="1">
        <f t="array" ref="AR214">IF($D214=0,0,AP214*(c_rate.Hurdle3.MO))</f>
        <v>0</v>
      </c>
      <c r="AS214" s="869">
        <f t="shared" ca="1" si="142"/>
        <v>0</v>
      </c>
      <c r="AT214" s="869">
        <f t="shared" ca="1" si="143"/>
        <v>0</v>
      </c>
      <c r="AU214" s="869">
        <f t="shared" ca="1" si="144"/>
        <v>0</v>
      </c>
      <c r="AV214" s="870">
        <f t="shared" ca="1" si="145"/>
        <v>0</v>
      </c>
      <c r="AW214" s="867">
        <f t="shared" ca="1" si="146"/>
        <v>0</v>
      </c>
      <c r="AX214" s="869">
        <f t="shared" ca="1" si="169"/>
        <v>0</v>
      </c>
      <c r="AY214" s="869">
        <f t="shared" ca="1" si="147"/>
        <v>0</v>
      </c>
      <c r="AZ214" s="867">
        <f t="shared" ca="1" si="170"/>
        <v>0</v>
      </c>
      <c r="BA214" s="161"/>
      <c r="BB214" s="867">
        <f t="shared" ca="1" si="149"/>
        <v>0</v>
      </c>
      <c r="BC214" s="867">
        <f t="shared" ca="1" si="114"/>
        <v>0</v>
      </c>
      <c r="BD214" s="658"/>
      <c r="BE214" s="867">
        <f t="shared" ca="1" si="150"/>
        <v>0</v>
      </c>
      <c r="BF214" s="867">
        <f t="shared" ca="1" si="151"/>
        <v>0</v>
      </c>
      <c r="BG214" s="867">
        <f t="shared" ca="1" si="152"/>
        <v>0</v>
      </c>
      <c r="BI214" s="867">
        <f ca="1"/>
        <v>0</v>
      </c>
      <c r="BJ214" s="867">
        <f ca="1"/>
        <v>0</v>
      </c>
      <c r="BK214" s="867">
        <f ca="1"/>
        <v>0</v>
      </c>
      <c r="BL214" s="867">
        <f t="shared" ca="1" si="153"/>
        <v>0</v>
      </c>
      <c r="BM214" s="867">
        <f t="shared" ca="1" si="154"/>
        <v>0</v>
      </c>
      <c r="BN214" s="867">
        <f t="shared" ca="1" si="155"/>
        <v>0</v>
      </c>
      <c r="BO214" s="867">
        <f t="shared" ca="1" si="156"/>
        <v>0</v>
      </c>
      <c r="BP214" s="867">
        <f t="shared" ca="1" si="157"/>
        <v>0</v>
      </c>
      <c r="BQ214" s="867">
        <f t="shared" ca="1" si="158"/>
        <v>0</v>
      </c>
      <c r="BR214" s="867">
        <f ca="1"/>
        <v>0</v>
      </c>
      <c r="BS214" s="867">
        <f ca="1"/>
        <v>0</v>
      </c>
      <c r="BT214" s="867">
        <f t="shared" ca="1" si="119"/>
        <v>0</v>
      </c>
      <c r="BU214" s="867">
        <f t="shared" ca="1" si="159"/>
        <v>0</v>
      </c>
      <c r="BX214" s="867">
        <f ca="1"/>
        <v>0</v>
      </c>
      <c r="BY214" s="867">
        <f t="shared" ca="1" si="160"/>
        <v>0</v>
      </c>
      <c r="BZ214" s="867">
        <f t="shared" ca="1" si="161"/>
        <v>0</v>
      </c>
      <c r="CA214" s="867">
        <f t="shared" ca="1" si="162"/>
        <v>0</v>
      </c>
      <c r="CB214" s="867">
        <f t="shared" ca="1" si="163"/>
        <v>0</v>
      </c>
      <c r="CC214" s="867">
        <f t="shared" ca="1" si="164"/>
        <v>0</v>
      </c>
      <c r="CD214" s="867">
        <f t="shared" ca="1" si="165"/>
        <v>0</v>
      </c>
    </row>
    <row r="215" spans="1:82" ht="17" hidden="1" thickTop="1" thickBot="1">
      <c r="A215" s="773">
        <f t="shared" si="115"/>
        <v>0</v>
      </c>
      <c r="B215" s="779"/>
      <c r="D215" s="660"/>
      <c r="E215" s="661"/>
      <c r="F215" s="862"/>
      <c r="G215" s="863"/>
      <c r="H215" s="961"/>
      <c r="I215" s="865">
        <f t="shared" si="121"/>
        <v>0</v>
      </c>
      <c r="J215" s="864" cm="1">
        <f t="array" ref="J215">IF($G215=0,0,-MIN(0,G215*c_equity.LPshare))</f>
        <v>0</v>
      </c>
      <c r="K215" s="865" cm="1">
        <f t="array" ref="K215">I215*c_rate.Pref.MO</f>
        <v>0</v>
      </c>
      <c r="L215" s="865">
        <f t="shared" si="122"/>
        <v>0</v>
      </c>
      <c r="M215" s="865">
        <f t="shared" si="123"/>
        <v>0</v>
      </c>
      <c r="N215" s="865">
        <f t="shared" si="124"/>
        <v>0</v>
      </c>
      <c r="O215" s="864" cm="1">
        <f t="array" ref="O215">IF(N215=0,0,IF(G215&lt;0,N215/c_equity.LPshare*i_equity.GPshare,L215/c_equity.LPshare*i_equity.GPshare))</f>
        <v>0</v>
      </c>
      <c r="P215" s="865">
        <f t="shared" si="125"/>
        <v>0</v>
      </c>
      <c r="Q215" s="865">
        <f t="shared" si="126"/>
        <v>0</v>
      </c>
      <c r="R215" s="161"/>
      <c r="S215" s="867">
        <f t="shared" ca="1" si="127"/>
        <v>0</v>
      </c>
      <c r="T215" s="867" cm="1">
        <f t="array" ref="T215">IF($G215=0,0,-MIN(0,$G215*c_equity.LPshare))</f>
        <v>0</v>
      </c>
      <c r="U215" s="869" cm="1">
        <f t="array" ref="U215">IF($D215=0,0,S215*c_rate.Hurdle1.MO)</f>
        <v>0</v>
      </c>
      <c r="V215" s="867">
        <f t="shared" si="128"/>
        <v>0</v>
      </c>
      <c r="W215" s="867">
        <f t="shared" ca="1" si="129"/>
        <v>0</v>
      </c>
      <c r="X215" s="869">
        <f t="shared" ca="1" si="130"/>
        <v>0</v>
      </c>
      <c r="Y215" s="869">
        <f t="shared" ca="1" si="131"/>
        <v>0</v>
      </c>
      <c r="Z215" s="869">
        <f t="shared" ca="1" si="132"/>
        <v>0</v>
      </c>
      <c r="AA215" s="869">
        <f t="shared" ca="1" si="133"/>
        <v>0</v>
      </c>
      <c r="AB215" s="867">
        <f t="shared" ca="1" si="134"/>
        <v>0</v>
      </c>
      <c r="AC215" s="161"/>
      <c r="AD215" s="869">
        <f t="shared" ca="1" si="135"/>
        <v>0</v>
      </c>
      <c r="AE215" s="867" cm="1">
        <f t="array" ref="AE215">IF($G215=0,0,-MIN(0,$G215*c_equity.LPshare))</f>
        <v>0</v>
      </c>
      <c r="AF215" s="869" cm="1">
        <f t="array" ref="AF215">IF($D215=0,0,AD215*(c_rate.Hurdle2.MO))</f>
        <v>0</v>
      </c>
      <c r="AG215" s="869">
        <f t="shared" ca="1" si="136"/>
        <v>0</v>
      </c>
      <c r="AH215" s="869">
        <f t="shared" ca="1" si="137"/>
        <v>0</v>
      </c>
      <c r="AI215" s="869">
        <f t="shared" ca="1" si="138"/>
        <v>0</v>
      </c>
      <c r="AJ215" s="870">
        <f t="shared" ca="1" si="166"/>
        <v>0</v>
      </c>
      <c r="AK215" s="867">
        <f t="shared" ca="1" si="139"/>
        <v>0</v>
      </c>
      <c r="AL215" s="869">
        <f t="shared" ca="1" si="167"/>
        <v>0</v>
      </c>
      <c r="AM215" s="869">
        <f t="shared" ca="1" si="140"/>
        <v>0</v>
      </c>
      <c r="AN215" s="867">
        <f t="shared" ca="1" si="168"/>
        <v>0</v>
      </c>
      <c r="AO215" s="161"/>
      <c r="AP215" s="869">
        <f t="shared" ca="1" si="141"/>
        <v>0</v>
      </c>
      <c r="AQ215" s="867" cm="1">
        <f t="array" ref="AQ215">IF($G215=0,0,-MIN(0,$G215*c_equity.LPshare))</f>
        <v>0</v>
      </c>
      <c r="AR215" s="869" cm="1">
        <f t="array" ref="AR215">IF($D215=0,0,AP215*(c_rate.Hurdle3.MO))</f>
        <v>0</v>
      </c>
      <c r="AS215" s="869">
        <f t="shared" ca="1" si="142"/>
        <v>0</v>
      </c>
      <c r="AT215" s="869">
        <f t="shared" ca="1" si="143"/>
        <v>0</v>
      </c>
      <c r="AU215" s="869">
        <f t="shared" ca="1" si="144"/>
        <v>0</v>
      </c>
      <c r="AV215" s="870">
        <f t="shared" ca="1" si="145"/>
        <v>0</v>
      </c>
      <c r="AW215" s="867">
        <f t="shared" ca="1" si="146"/>
        <v>0</v>
      </c>
      <c r="AX215" s="869">
        <f t="shared" ca="1" si="169"/>
        <v>0</v>
      </c>
      <c r="AY215" s="869">
        <f t="shared" ca="1" si="147"/>
        <v>0</v>
      </c>
      <c r="AZ215" s="867">
        <f t="shared" ca="1" si="170"/>
        <v>0</v>
      </c>
      <c r="BA215" s="161"/>
      <c r="BB215" s="867">
        <f t="shared" ca="1" si="149"/>
        <v>0</v>
      </c>
      <c r="BC215" s="867">
        <f t="shared" ca="1" si="114"/>
        <v>0</v>
      </c>
      <c r="BD215" s="658"/>
      <c r="BE215" s="867">
        <f t="shared" ca="1" si="150"/>
        <v>0</v>
      </c>
      <c r="BF215" s="867">
        <f t="shared" ca="1" si="151"/>
        <v>0</v>
      </c>
      <c r="BG215" s="867">
        <f t="shared" ca="1" si="152"/>
        <v>0</v>
      </c>
      <c r="BI215" s="867">
        <f ca="1"/>
        <v>0</v>
      </c>
      <c r="BJ215" s="867">
        <f ca="1"/>
        <v>0</v>
      </c>
      <c r="BK215" s="867">
        <f ca="1"/>
        <v>0</v>
      </c>
      <c r="BL215" s="867">
        <f t="shared" ca="1" si="153"/>
        <v>0</v>
      </c>
      <c r="BM215" s="867">
        <f t="shared" ca="1" si="154"/>
        <v>0</v>
      </c>
      <c r="BN215" s="867">
        <f t="shared" ca="1" si="155"/>
        <v>0</v>
      </c>
      <c r="BO215" s="867">
        <f t="shared" ca="1" si="156"/>
        <v>0</v>
      </c>
      <c r="BP215" s="867">
        <f t="shared" ca="1" si="157"/>
        <v>0</v>
      </c>
      <c r="BQ215" s="867">
        <f t="shared" ca="1" si="158"/>
        <v>0</v>
      </c>
      <c r="BR215" s="867">
        <f ca="1"/>
        <v>0</v>
      </c>
      <c r="BS215" s="867">
        <f ca="1"/>
        <v>0</v>
      </c>
      <c r="BT215" s="867">
        <f t="shared" ca="1" si="119"/>
        <v>0</v>
      </c>
      <c r="BU215" s="867">
        <f t="shared" ca="1" si="159"/>
        <v>0</v>
      </c>
      <c r="BX215" s="867">
        <f ca="1"/>
        <v>0</v>
      </c>
      <c r="BY215" s="867">
        <f t="shared" ca="1" si="160"/>
        <v>0</v>
      </c>
      <c r="BZ215" s="867">
        <f t="shared" ca="1" si="161"/>
        <v>0</v>
      </c>
      <c r="CA215" s="867">
        <f t="shared" ca="1" si="162"/>
        <v>0</v>
      </c>
      <c r="CB215" s="867">
        <f t="shared" ca="1" si="163"/>
        <v>0</v>
      </c>
      <c r="CC215" s="867">
        <f t="shared" ca="1" si="164"/>
        <v>0</v>
      </c>
      <c r="CD215" s="867">
        <f t="shared" ca="1" si="165"/>
        <v>0</v>
      </c>
    </row>
    <row r="216" spans="1:82" ht="17" hidden="1" thickTop="1" thickBot="1">
      <c r="A216" s="773">
        <f t="shared" si="115"/>
        <v>0</v>
      </c>
      <c r="B216" s="779"/>
      <c r="D216" s="660"/>
      <c r="E216" s="661"/>
      <c r="F216" s="862"/>
      <c r="G216" s="863"/>
      <c r="H216" s="961"/>
      <c r="I216" s="865">
        <f t="shared" si="121"/>
        <v>0</v>
      </c>
      <c r="J216" s="864" cm="1">
        <f t="array" ref="J216">IF($G216=0,0,-MIN(0,G216*c_equity.LPshare))</f>
        <v>0</v>
      </c>
      <c r="K216" s="865" cm="1">
        <f t="array" ref="K216">I216*c_rate.Pref.MO</f>
        <v>0</v>
      </c>
      <c r="L216" s="865">
        <f t="shared" si="122"/>
        <v>0</v>
      </c>
      <c r="M216" s="865">
        <f t="shared" si="123"/>
        <v>0</v>
      </c>
      <c r="N216" s="865">
        <f t="shared" si="124"/>
        <v>0</v>
      </c>
      <c r="O216" s="864" cm="1">
        <f t="array" ref="O216">IF(N216=0,0,IF(G216&lt;0,N216/c_equity.LPshare*i_equity.GPshare,L216/c_equity.LPshare*i_equity.GPshare))</f>
        <v>0</v>
      </c>
      <c r="P216" s="865">
        <f t="shared" si="125"/>
        <v>0</v>
      </c>
      <c r="Q216" s="865">
        <f t="shared" si="126"/>
        <v>0</v>
      </c>
      <c r="R216" s="161"/>
      <c r="S216" s="867">
        <f t="shared" ca="1" si="127"/>
        <v>0</v>
      </c>
      <c r="T216" s="867" cm="1">
        <f t="array" ref="T216">IF($G216=0,0,-MIN(0,$G216*c_equity.LPshare))</f>
        <v>0</v>
      </c>
      <c r="U216" s="869" cm="1">
        <f t="array" ref="U216">IF($D216=0,0,S216*c_rate.Hurdle1.MO)</f>
        <v>0</v>
      </c>
      <c r="V216" s="867">
        <f t="shared" si="128"/>
        <v>0</v>
      </c>
      <c r="W216" s="867">
        <f t="shared" ca="1" si="129"/>
        <v>0</v>
      </c>
      <c r="X216" s="869">
        <f t="shared" ca="1" si="130"/>
        <v>0</v>
      </c>
      <c r="Y216" s="869">
        <f t="shared" ca="1" si="131"/>
        <v>0</v>
      </c>
      <c r="Z216" s="869">
        <f t="shared" ca="1" si="132"/>
        <v>0</v>
      </c>
      <c r="AA216" s="869">
        <f t="shared" ca="1" si="133"/>
        <v>0</v>
      </c>
      <c r="AB216" s="867">
        <f t="shared" ca="1" si="134"/>
        <v>0</v>
      </c>
      <c r="AC216" s="161"/>
      <c r="AD216" s="869">
        <f t="shared" ca="1" si="135"/>
        <v>0</v>
      </c>
      <c r="AE216" s="867" cm="1">
        <f t="array" ref="AE216">IF($G216=0,0,-MIN(0,$G216*c_equity.LPshare))</f>
        <v>0</v>
      </c>
      <c r="AF216" s="869" cm="1">
        <f t="array" ref="AF216">IF($D216=0,0,AD216*(c_rate.Hurdle2.MO))</f>
        <v>0</v>
      </c>
      <c r="AG216" s="869">
        <f t="shared" ca="1" si="136"/>
        <v>0</v>
      </c>
      <c r="AH216" s="869">
        <f t="shared" ca="1" si="137"/>
        <v>0</v>
      </c>
      <c r="AI216" s="869">
        <f t="shared" ca="1" si="138"/>
        <v>0</v>
      </c>
      <c r="AJ216" s="870">
        <f t="shared" ca="1" si="166"/>
        <v>0</v>
      </c>
      <c r="AK216" s="867">
        <f t="shared" ca="1" si="139"/>
        <v>0</v>
      </c>
      <c r="AL216" s="869">
        <f t="shared" ca="1" si="167"/>
        <v>0</v>
      </c>
      <c r="AM216" s="869">
        <f t="shared" ca="1" si="140"/>
        <v>0</v>
      </c>
      <c r="AN216" s="867">
        <f t="shared" ca="1" si="168"/>
        <v>0</v>
      </c>
      <c r="AO216" s="161"/>
      <c r="AP216" s="869">
        <f t="shared" ca="1" si="141"/>
        <v>0</v>
      </c>
      <c r="AQ216" s="867" cm="1">
        <f t="array" ref="AQ216">IF($G216=0,0,-MIN(0,$G216*c_equity.LPshare))</f>
        <v>0</v>
      </c>
      <c r="AR216" s="869" cm="1">
        <f t="array" ref="AR216">IF($D216=0,0,AP216*(c_rate.Hurdle3.MO))</f>
        <v>0</v>
      </c>
      <c r="AS216" s="869">
        <f t="shared" ca="1" si="142"/>
        <v>0</v>
      </c>
      <c r="AT216" s="869">
        <f t="shared" ca="1" si="143"/>
        <v>0</v>
      </c>
      <c r="AU216" s="869">
        <f t="shared" ca="1" si="144"/>
        <v>0</v>
      </c>
      <c r="AV216" s="870">
        <f t="shared" ca="1" si="145"/>
        <v>0</v>
      </c>
      <c r="AW216" s="867">
        <f t="shared" ca="1" si="146"/>
        <v>0</v>
      </c>
      <c r="AX216" s="869">
        <f t="shared" ca="1" si="169"/>
        <v>0</v>
      </c>
      <c r="AY216" s="869">
        <f t="shared" ca="1" si="147"/>
        <v>0</v>
      </c>
      <c r="AZ216" s="867">
        <f t="shared" ca="1" si="170"/>
        <v>0</v>
      </c>
      <c r="BA216" s="161"/>
      <c r="BB216" s="867">
        <f t="shared" ca="1" si="149"/>
        <v>0</v>
      </c>
      <c r="BC216" s="867">
        <f t="shared" ca="1" si="114"/>
        <v>0</v>
      </c>
      <c r="BD216" s="658"/>
      <c r="BE216" s="867">
        <f t="shared" ca="1" si="150"/>
        <v>0</v>
      </c>
      <c r="BF216" s="867">
        <f t="shared" ca="1" si="151"/>
        <v>0</v>
      </c>
      <c r="BG216" s="867">
        <f t="shared" ca="1" si="152"/>
        <v>0</v>
      </c>
      <c r="BI216" s="867">
        <f ca="1"/>
        <v>0</v>
      </c>
      <c r="BJ216" s="867">
        <f ca="1"/>
        <v>0</v>
      </c>
      <c r="BK216" s="867">
        <f ca="1"/>
        <v>0</v>
      </c>
      <c r="BL216" s="867">
        <f t="shared" ca="1" si="153"/>
        <v>0</v>
      </c>
      <c r="BM216" s="867">
        <f t="shared" ca="1" si="154"/>
        <v>0</v>
      </c>
      <c r="BN216" s="867">
        <f t="shared" ca="1" si="155"/>
        <v>0</v>
      </c>
      <c r="BO216" s="867">
        <f t="shared" ca="1" si="156"/>
        <v>0</v>
      </c>
      <c r="BP216" s="867">
        <f t="shared" ca="1" si="157"/>
        <v>0</v>
      </c>
      <c r="BQ216" s="867">
        <f t="shared" ca="1" si="158"/>
        <v>0</v>
      </c>
      <c r="BR216" s="867">
        <f ca="1"/>
        <v>0</v>
      </c>
      <c r="BS216" s="867">
        <f ca="1"/>
        <v>0</v>
      </c>
      <c r="BT216" s="867">
        <f t="shared" ca="1" si="119"/>
        <v>0</v>
      </c>
      <c r="BU216" s="867">
        <f t="shared" ca="1" si="159"/>
        <v>0</v>
      </c>
      <c r="BX216" s="867">
        <f ca="1"/>
        <v>0</v>
      </c>
      <c r="BY216" s="867">
        <f t="shared" ca="1" si="160"/>
        <v>0</v>
      </c>
      <c r="BZ216" s="867">
        <f t="shared" ca="1" si="161"/>
        <v>0</v>
      </c>
      <c r="CA216" s="867">
        <f t="shared" ca="1" si="162"/>
        <v>0</v>
      </c>
      <c r="CB216" s="867">
        <f t="shared" ca="1" si="163"/>
        <v>0</v>
      </c>
      <c r="CC216" s="867">
        <f t="shared" ca="1" si="164"/>
        <v>0</v>
      </c>
      <c r="CD216" s="867">
        <f t="shared" ca="1" si="165"/>
        <v>0</v>
      </c>
    </row>
    <row r="217" spans="1:82" ht="17" hidden="1" thickTop="1" thickBot="1">
      <c r="A217" s="773">
        <f t="shared" si="115"/>
        <v>0</v>
      </c>
      <c r="B217" s="779"/>
      <c r="D217" s="660"/>
      <c r="E217" s="661"/>
      <c r="F217" s="862"/>
      <c r="G217" s="863"/>
      <c r="H217" s="961"/>
      <c r="I217" s="865">
        <f t="shared" si="121"/>
        <v>0</v>
      </c>
      <c r="J217" s="864" cm="1">
        <f t="array" ref="J217">IF($G217=0,0,-MIN(0,G217*c_equity.LPshare))</f>
        <v>0</v>
      </c>
      <c r="K217" s="865" cm="1">
        <f t="array" ref="K217">I217*c_rate.Pref.MO</f>
        <v>0</v>
      </c>
      <c r="L217" s="865">
        <f t="shared" si="122"/>
        <v>0</v>
      </c>
      <c r="M217" s="865">
        <f t="shared" si="123"/>
        <v>0</v>
      </c>
      <c r="N217" s="865">
        <f t="shared" si="124"/>
        <v>0</v>
      </c>
      <c r="O217" s="864" cm="1">
        <f t="array" ref="O217">IF(N217=0,0,IF(G217&lt;0,N217/c_equity.LPshare*i_equity.GPshare,L217/c_equity.LPshare*i_equity.GPshare))</f>
        <v>0</v>
      </c>
      <c r="P217" s="865">
        <f t="shared" si="125"/>
        <v>0</v>
      </c>
      <c r="Q217" s="865">
        <f t="shared" si="126"/>
        <v>0</v>
      </c>
      <c r="R217" s="161"/>
      <c r="S217" s="867">
        <f t="shared" ca="1" si="127"/>
        <v>0</v>
      </c>
      <c r="T217" s="867" cm="1">
        <f t="array" ref="T217">IF($G217=0,0,-MIN(0,$G217*c_equity.LPshare))</f>
        <v>0</v>
      </c>
      <c r="U217" s="869" cm="1">
        <f t="array" ref="U217">IF($D217=0,0,S217*c_rate.Hurdle1.MO)</f>
        <v>0</v>
      </c>
      <c r="V217" s="867">
        <f t="shared" si="128"/>
        <v>0</v>
      </c>
      <c r="W217" s="867">
        <f t="shared" ca="1" si="129"/>
        <v>0</v>
      </c>
      <c r="X217" s="869">
        <f t="shared" ca="1" si="130"/>
        <v>0</v>
      </c>
      <c r="Y217" s="869">
        <f t="shared" ca="1" si="131"/>
        <v>0</v>
      </c>
      <c r="Z217" s="869">
        <f t="shared" ca="1" si="132"/>
        <v>0</v>
      </c>
      <c r="AA217" s="869">
        <f t="shared" ca="1" si="133"/>
        <v>0</v>
      </c>
      <c r="AB217" s="867">
        <f t="shared" ca="1" si="134"/>
        <v>0</v>
      </c>
      <c r="AC217" s="161"/>
      <c r="AD217" s="869">
        <f t="shared" ca="1" si="135"/>
        <v>0</v>
      </c>
      <c r="AE217" s="867" cm="1">
        <f t="array" ref="AE217">IF($G217=0,0,-MIN(0,$G217*c_equity.LPshare))</f>
        <v>0</v>
      </c>
      <c r="AF217" s="869" cm="1">
        <f t="array" ref="AF217">IF($D217=0,0,AD217*(c_rate.Hurdle2.MO))</f>
        <v>0</v>
      </c>
      <c r="AG217" s="869">
        <f t="shared" ca="1" si="136"/>
        <v>0</v>
      </c>
      <c r="AH217" s="869">
        <f t="shared" ca="1" si="137"/>
        <v>0</v>
      </c>
      <c r="AI217" s="869">
        <f t="shared" ca="1" si="138"/>
        <v>0</v>
      </c>
      <c r="AJ217" s="870">
        <f t="shared" ca="1" si="166"/>
        <v>0</v>
      </c>
      <c r="AK217" s="867">
        <f t="shared" ca="1" si="139"/>
        <v>0</v>
      </c>
      <c r="AL217" s="869">
        <f t="shared" ca="1" si="167"/>
        <v>0</v>
      </c>
      <c r="AM217" s="869">
        <f t="shared" ca="1" si="140"/>
        <v>0</v>
      </c>
      <c r="AN217" s="867">
        <f t="shared" ca="1" si="168"/>
        <v>0</v>
      </c>
      <c r="AO217" s="161"/>
      <c r="AP217" s="869">
        <f t="shared" ca="1" si="141"/>
        <v>0</v>
      </c>
      <c r="AQ217" s="867" cm="1">
        <f t="array" ref="AQ217">IF($G217=0,0,-MIN(0,$G217*c_equity.LPshare))</f>
        <v>0</v>
      </c>
      <c r="AR217" s="869" cm="1">
        <f t="array" ref="AR217">IF($D217=0,0,AP217*(c_rate.Hurdle3.MO))</f>
        <v>0</v>
      </c>
      <c r="AS217" s="869">
        <f t="shared" ca="1" si="142"/>
        <v>0</v>
      </c>
      <c r="AT217" s="869">
        <f t="shared" ca="1" si="143"/>
        <v>0</v>
      </c>
      <c r="AU217" s="869">
        <f t="shared" ca="1" si="144"/>
        <v>0</v>
      </c>
      <c r="AV217" s="870">
        <f t="shared" ca="1" si="145"/>
        <v>0</v>
      </c>
      <c r="AW217" s="867">
        <f t="shared" ca="1" si="146"/>
        <v>0</v>
      </c>
      <c r="AX217" s="869">
        <f t="shared" ca="1" si="169"/>
        <v>0</v>
      </c>
      <c r="AY217" s="869">
        <f t="shared" ca="1" si="147"/>
        <v>0</v>
      </c>
      <c r="AZ217" s="867">
        <f t="shared" ca="1" si="170"/>
        <v>0</v>
      </c>
      <c r="BA217" s="161"/>
      <c r="BB217" s="867">
        <f t="shared" ca="1" si="149"/>
        <v>0</v>
      </c>
      <c r="BC217" s="867">
        <f t="shared" ca="1" si="114"/>
        <v>0</v>
      </c>
      <c r="BD217" s="658"/>
      <c r="BE217" s="867">
        <f t="shared" ca="1" si="150"/>
        <v>0</v>
      </c>
      <c r="BF217" s="867">
        <f t="shared" ca="1" si="151"/>
        <v>0</v>
      </c>
      <c r="BG217" s="867">
        <f t="shared" ca="1" si="152"/>
        <v>0</v>
      </c>
      <c r="BI217" s="867">
        <f ca="1"/>
        <v>0</v>
      </c>
      <c r="BJ217" s="867">
        <f ca="1"/>
        <v>0</v>
      </c>
      <c r="BK217" s="867">
        <f ca="1"/>
        <v>0</v>
      </c>
      <c r="BL217" s="867">
        <f t="shared" ca="1" si="153"/>
        <v>0</v>
      </c>
      <c r="BM217" s="867">
        <f t="shared" ca="1" si="154"/>
        <v>0</v>
      </c>
      <c r="BN217" s="867">
        <f t="shared" ca="1" si="155"/>
        <v>0</v>
      </c>
      <c r="BO217" s="867">
        <f t="shared" ca="1" si="156"/>
        <v>0</v>
      </c>
      <c r="BP217" s="867">
        <f t="shared" ca="1" si="157"/>
        <v>0</v>
      </c>
      <c r="BQ217" s="867">
        <f t="shared" ca="1" si="158"/>
        <v>0</v>
      </c>
      <c r="BR217" s="867">
        <f ca="1"/>
        <v>0</v>
      </c>
      <c r="BS217" s="867">
        <f ca="1"/>
        <v>0</v>
      </c>
      <c r="BT217" s="867">
        <f t="shared" ca="1" si="119"/>
        <v>0</v>
      </c>
      <c r="BU217" s="867">
        <f t="shared" ca="1" si="159"/>
        <v>0</v>
      </c>
      <c r="BX217" s="867">
        <f ca="1"/>
        <v>0</v>
      </c>
      <c r="BY217" s="867">
        <f t="shared" ca="1" si="160"/>
        <v>0</v>
      </c>
      <c r="BZ217" s="867">
        <f t="shared" ca="1" si="161"/>
        <v>0</v>
      </c>
      <c r="CA217" s="867">
        <f t="shared" ca="1" si="162"/>
        <v>0</v>
      </c>
      <c r="CB217" s="867">
        <f t="shared" ca="1" si="163"/>
        <v>0</v>
      </c>
      <c r="CC217" s="867">
        <f t="shared" ca="1" si="164"/>
        <v>0</v>
      </c>
      <c r="CD217" s="867">
        <f t="shared" ca="1" si="165"/>
        <v>0</v>
      </c>
    </row>
    <row r="218" spans="1:82" ht="17" hidden="1" thickTop="1" thickBot="1">
      <c r="A218" s="773">
        <f t="shared" si="115"/>
        <v>0</v>
      </c>
      <c r="B218" s="779"/>
      <c r="D218" s="660"/>
      <c r="E218" s="661"/>
      <c r="F218" s="862"/>
      <c r="G218" s="863"/>
      <c r="H218" s="961"/>
      <c r="I218" s="865">
        <f t="shared" si="121"/>
        <v>0</v>
      </c>
      <c r="J218" s="864" cm="1">
        <f t="array" ref="J218">IF($G218=0,0,-MIN(0,G218*c_equity.LPshare))</f>
        <v>0</v>
      </c>
      <c r="K218" s="865" cm="1">
        <f t="array" ref="K218">I218*c_rate.Pref.MO</f>
        <v>0</v>
      </c>
      <c r="L218" s="865">
        <f t="shared" si="122"/>
        <v>0</v>
      </c>
      <c r="M218" s="865">
        <f t="shared" si="123"/>
        <v>0</v>
      </c>
      <c r="N218" s="865">
        <f t="shared" si="124"/>
        <v>0</v>
      </c>
      <c r="O218" s="864" cm="1">
        <f t="array" ref="O218">IF(N218=0,0,IF(G218&lt;0,N218/c_equity.LPshare*i_equity.GPshare,L218/c_equity.LPshare*i_equity.GPshare))</f>
        <v>0</v>
      </c>
      <c r="P218" s="865">
        <f t="shared" si="125"/>
        <v>0</v>
      </c>
      <c r="Q218" s="865">
        <f t="shared" si="126"/>
        <v>0</v>
      </c>
      <c r="R218" s="161"/>
      <c r="S218" s="867">
        <f t="shared" ca="1" si="127"/>
        <v>0</v>
      </c>
      <c r="T218" s="867" cm="1">
        <f t="array" ref="T218">IF($G218=0,0,-MIN(0,$G218*c_equity.LPshare))</f>
        <v>0</v>
      </c>
      <c r="U218" s="869" cm="1">
        <f t="array" ref="U218">IF($D218=0,0,S218*c_rate.Hurdle1.MO)</f>
        <v>0</v>
      </c>
      <c r="V218" s="867">
        <f t="shared" si="128"/>
        <v>0</v>
      </c>
      <c r="W218" s="867">
        <f t="shared" ca="1" si="129"/>
        <v>0</v>
      </c>
      <c r="X218" s="869">
        <f t="shared" ca="1" si="130"/>
        <v>0</v>
      </c>
      <c r="Y218" s="869">
        <f t="shared" ca="1" si="131"/>
        <v>0</v>
      </c>
      <c r="Z218" s="869">
        <f t="shared" ca="1" si="132"/>
        <v>0</v>
      </c>
      <c r="AA218" s="869">
        <f t="shared" ca="1" si="133"/>
        <v>0</v>
      </c>
      <c r="AB218" s="867">
        <f t="shared" ca="1" si="134"/>
        <v>0</v>
      </c>
      <c r="AC218" s="161"/>
      <c r="AD218" s="869">
        <f t="shared" ca="1" si="135"/>
        <v>0</v>
      </c>
      <c r="AE218" s="867" cm="1">
        <f t="array" ref="AE218">IF($G218=0,0,-MIN(0,$G218*c_equity.LPshare))</f>
        <v>0</v>
      </c>
      <c r="AF218" s="869" cm="1">
        <f t="array" ref="AF218">IF($D218=0,0,AD218*(c_rate.Hurdle2.MO))</f>
        <v>0</v>
      </c>
      <c r="AG218" s="869">
        <f t="shared" ca="1" si="136"/>
        <v>0</v>
      </c>
      <c r="AH218" s="869">
        <f t="shared" ca="1" si="137"/>
        <v>0</v>
      </c>
      <c r="AI218" s="869">
        <f t="shared" ca="1" si="138"/>
        <v>0</v>
      </c>
      <c r="AJ218" s="870">
        <f t="shared" ca="1" si="166"/>
        <v>0</v>
      </c>
      <c r="AK218" s="867">
        <f t="shared" ca="1" si="139"/>
        <v>0</v>
      </c>
      <c r="AL218" s="869">
        <f t="shared" ref="AL218:AL240" ca="1" si="171">IF(AD218=0,0,Z218+AH218/$J$18*c_Hurdle2.Share_GP)</f>
        <v>0</v>
      </c>
      <c r="AM218" s="869">
        <f t="shared" ca="1" si="140"/>
        <v>0</v>
      </c>
      <c r="AN218" s="867">
        <f t="shared" ca="1" si="168"/>
        <v>0</v>
      </c>
      <c r="AO218" s="161"/>
      <c r="AP218" s="869">
        <f t="shared" ca="1" si="141"/>
        <v>0</v>
      </c>
      <c r="AQ218" s="867" cm="1">
        <f t="array" ref="AQ218">IF($G218=0,0,-MIN(0,$G218*c_equity.LPshare))</f>
        <v>0</v>
      </c>
      <c r="AR218" s="869" cm="1">
        <f t="array" ref="AR218">IF($D218=0,0,AP218*(c_rate.Hurdle3.MO))</f>
        <v>0</v>
      </c>
      <c r="AS218" s="869">
        <f t="shared" ca="1" si="142"/>
        <v>0</v>
      </c>
      <c r="AT218" s="869">
        <f t="shared" ca="1" si="143"/>
        <v>0</v>
      </c>
      <c r="AU218" s="869">
        <f t="shared" ca="1" si="144"/>
        <v>0</v>
      </c>
      <c r="AV218" s="870">
        <f t="shared" ca="1" si="145"/>
        <v>0</v>
      </c>
      <c r="AW218" s="867">
        <f t="shared" ca="1" si="146"/>
        <v>0</v>
      </c>
      <c r="AX218" s="869">
        <f t="shared" ref="AX218:AX240" ca="1" si="172">IF(AP218=0,0,AL218+AT218/$J$19*c_Hurdle3.Share_GP)</f>
        <v>0</v>
      </c>
      <c r="AY218" s="869">
        <f t="shared" ca="1" si="147"/>
        <v>0</v>
      </c>
      <c r="AZ218" s="867">
        <f t="shared" ca="1" si="170"/>
        <v>0</v>
      </c>
      <c r="BA218" s="161"/>
      <c r="BB218" s="867">
        <f t="shared" ca="1" si="149"/>
        <v>0</v>
      </c>
      <c r="BC218" s="867">
        <f t="shared" ca="1" si="114"/>
        <v>0</v>
      </c>
      <c r="BD218" s="658"/>
      <c r="BE218" s="867">
        <f t="shared" ca="1" si="150"/>
        <v>0</v>
      </c>
      <c r="BF218" s="867">
        <f t="shared" ca="1" si="151"/>
        <v>0</v>
      </c>
      <c r="BG218" s="867">
        <f t="shared" ca="1" si="152"/>
        <v>0</v>
      </c>
      <c r="BI218" s="867">
        <f ca="1"/>
        <v>0</v>
      </c>
      <c r="BJ218" s="867">
        <f ca="1"/>
        <v>0</v>
      </c>
      <c r="BK218" s="867">
        <f ca="1"/>
        <v>0</v>
      </c>
      <c r="BL218" s="867">
        <f t="shared" ca="1" si="153"/>
        <v>0</v>
      </c>
      <c r="BM218" s="867">
        <f t="shared" ca="1" si="154"/>
        <v>0</v>
      </c>
      <c r="BN218" s="867">
        <f t="shared" ca="1" si="155"/>
        <v>0</v>
      </c>
      <c r="BO218" s="867">
        <f t="shared" ca="1" si="156"/>
        <v>0</v>
      </c>
      <c r="BP218" s="867">
        <f t="shared" ca="1" si="157"/>
        <v>0</v>
      </c>
      <c r="BQ218" s="867">
        <f t="shared" ca="1" si="158"/>
        <v>0</v>
      </c>
      <c r="BR218" s="867">
        <f ca="1"/>
        <v>0</v>
      </c>
      <c r="BS218" s="867">
        <f ca="1"/>
        <v>0</v>
      </c>
      <c r="BT218" s="867">
        <f t="shared" ca="1" si="119"/>
        <v>0</v>
      </c>
      <c r="BU218" s="867">
        <f t="shared" ca="1" si="159"/>
        <v>0</v>
      </c>
      <c r="BX218" s="867">
        <f ca="1"/>
        <v>0</v>
      </c>
      <c r="BY218" s="867">
        <f t="shared" ca="1" si="160"/>
        <v>0</v>
      </c>
      <c r="BZ218" s="867">
        <f t="shared" ca="1" si="161"/>
        <v>0</v>
      </c>
      <c r="CA218" s="867">
        <f t="shared" ca="1" si="162"/>
        <v>0</v>
      </c>
      <c r="CB218" s="867">
        <f t="shared" ca="1" si="163"/>
        <v>0</v>
      </c>
      <c r="CC218" s="867">
        <f t="shared" ca="1" si="164"/>
        <v>0</v>
      </c>
      <c r="CD218" s="867">
        <f t="shared" ca="1" si="165"/>
        <v>0</v>
      </c>
    </row>
    <row r="219" spans="1:82" ht="17" hidden="1" thickTop="1" thickBot="1">
      <c r="A219" s="773">
        <f t="shared" si="115"/>
        <v>0</v>
      </c>
      <c r="B219" s="779"/>
      <c r="D219" s="660"/>
      <c r="E219" s="661"/>
      <c r="F219" s="862"/>
      <c r="G219" s="863"/>
      <c r="H219" s="961"/>
      <c r="I219" s="865">
        <f t="shared" si="121"/>
        <v>0</v>
      </c>
      <c r="J219" s="864" cm="1">
        <f t="array" ref="J219">IF($G219=0,0,-MIN(0,G219*c_equity.LPshare))</f>
        <v>0</v>
      </c>
      <c r="K219" s="865" cm="1">
        <f t="array" ref="K219">I219*c_rate.Pref.MO</f>
        <v>0</v>
      </c>
      <c r="L219" s="865">
        <f t="shared" si="122"/>
        <v>0</v>
      </c>
      <c r="M219" s="865">
        <f t="shared" si="123"/>
        <v>0</v>
      </c>
      <c r="N219" s="865">
        <f t="shared" si="124"/>
        <v>0</v>
      </c>
      <c r="O219" s="864" cm="1">
        <f t="array" ref="O219">IF(N219=0,0,IF(G219&lt;0,N219/c_equity.LPshare*i_equity.GPshare,L219/c_equity.LPshare*i_equity.GPshare))</f>
        <v>0</v>
      </c>
      <c r="P219" s="865">
        <f t="shared" si="125"/>
        <v>0</v>
      </c>
      <c r="Q219" s="865">
        <f t="shared" si="126"/>
        <v>0</v>
      </c>
      <c r="R219" s="161"/>
      <c r="S219" s="867">
        <f t="shared" ca="1" si="127"/>
        <v>0</v>
      </c>
      <c r="T219" s="867" cm="1">
        <f t="array" ref="T219">IF($G219=0,0,-MIN(0,$G219*c_equity.LPshare))</f>
        <v>0</v>
      </c>
      <c r="U219" s="869" cm="1">
        <f t="array" ref="U219">IF($D219=0,0,S219*c_rate.Hurdle1.MO)</f>
        <v>0</v>
      </c>
      <c r="V219" s="867">
        <f t="shared" si="128"/>
        <v>0</v>
      </c>
      <c r="W219" s="867">
        <f t="shared" ca="1" si="129"/>
        <v>0</v>
      </c>
      <c r="X219" s="869">
        <f t="shared" ca="1" si="130"/>
        <v>0</v>
      </c>
      <c r="Y219" s="869">
        <f t="shared" ca="1" si="131"/>
        <v>0</v>
      </c>
      <c r="Z219" s="869">
        <f t="shared" ca="1" si="132"/>
        <v>0</v>
      </c>
      <c r="AA219" s="869">
        <f t="shared" ca="1" si="133"/>
        <v>0</v>
      </c>
      <c r="AB219" s="867">
        <f t="shared" ca="1" si="134"/>
        <v>0</v>
      </c>
      <c r="AC219" s="161"/>
      <c r="AD219" s="869">
        <f t="shared" ca="1" si="135"/>
        <v>0</v>
      </c>
      <c r="AE219" s="867" cm="1">
        <f t="array" ref="AE219">IF($G219=0,0,-MIN(0,$G219*c_equity.LPshare))</f>
        <v>0</v>
      </c>
      <c r="AF219" s="869" cm="1">
        <f t="array" ref="AF219">IF($D219=0,0,AD219*(c_rate.Hurdle2.MO))</f>
        <v>0</v>
      </c>
      <c r="AG219" s="869">
        <f t="shared" ca="1" si="136"/>
        <v>0</v>
      </c>
      <c r="AH219" s="869">
        <f t="shared" ca="1" si="137"/>
        <v>0</v>
      </c>
      <c r="AI219" s="869">
        <f t="shared" ca="1" si="138"/>
        <v>0</v>
      </c>
      <c r="AJ219" s="870">
        <f t="shared" ca="1" si="166"/>
        <v>0</v>
      </c>
      <c r="AK219" s="867">
        <f t="shared" ca="1" si="139"/>
        <v>0</v>
      </c>
      <c r="AL219" s="869">
        <f t="shared" ca="1" si="171"/>
        <v>0</v>
      </c>
      <c r="AM219" s="869">
        <f t="shared" ca="1" si="140"/>
        <v>0</v>
      </c>
      <c r="AN219" s="867">
        <f t="shared" ca="1" si="168"/>
        <v>0</v>
      </c>
      <c r="AO219" s="161"/>
      <c r="AP219" s="869">
        <f t="shared" ca="1" si="141"/>
        <v>0</v>
      </c>
      <c r="AQ219" s="867" cm="1">
        <f t="array" ref="AQ219">IF($G219=0,0,-MIN(0,$G219*c_equity.LPshare))</f>
        <v>0</v>
      </c>
      <c r="AR219" s="869" cm="1">
        <f t="array" ref="AR219">IF($D219=0,0,AP219*(c_rate.Hurdle3.MO))</f>
        <v>0</v>
      </c>
      <c r="AS219" s="869">
        <f t="shared" ca="1" si="142"/>
        <v>0</v>
      </c>
      <c r="AT219" s="869">
        <f t="shared" ca="1" si="143"/>
        <v>0</v>
      </c>
      <c r="AU219" s="869">
        <f t="shared" ca="1" si="144"/>
        <v>0</v>
      </c>
      <c r="AV219" s="870">
        <f t="shared" ca="1" si="145"/>
        <v>0</v>
      </c>
      <c r="AW219" s="867">
        <f t="shared" ca="1" si="146"/>
        <v>0</v>
      </c>
      <c r="AX219" s="869">
        <f t="shared" ca="1" si="172"/>
        <v>0</v>
      </c>
      <c r="AY219" s="869">
        <f t="shared" ca="1" si="147"/>
        <v>0</v>
      </c>
      <c r="AZ219" s="867">
        <f t="shared" ca="1" si="170"/>
        <v>0</v>
      </c>
      <c r="BA219" s="161"/>
      <c r="BB219" s="867">
        <f t="shared" ca="1" si="149"/>
        <v>0</v>
      </c>
      <c r="BC219" s="867">
        <f t="shared" ca="1" si="114"/>
        <v>0</v>
      </c>
      <c r="BD219" s="658"/>
      <c r="BE219" s="867">
        <f t="shared" ca="1" si="150"/>
        <v>0</v>
      </c>
      <c r="BF219" s="867">
        <f t="shared" ca="1" si="151"/>
        <v>0</v>
      </c>
      <c r="BG219" s="867">
        <f t="shared" ca="1" si="152"/>
        <v>0</v>
      </c>
      <c r="BI219" s="867">
        <f ca="1"/>
        <v>0</v>
      </c>
      <c r="BJ219" s="867">
        <f ca="1"/>
        <v>0</v>
      </c>
      <c r="BK219" s="867">
        <f ca="1"/>
        <v>0</v>
      </c>
      <c r="BL219" s="867">
        <f t="shared" ca="1" si="153"/>
        <v>0</v>
      </c>
      <c r="BM219" s="867">
        <f t="shared" ca="1" si="154"/>
        <v>0</v>
      </c>
      <c r="BN219" s="867">
        <f t="shared" ca="1" si="155"/>
        <v>0</v>
      </c>
      <c r="BO219" s="867">
        <f t="shared" ca="1" si="156"/>
        <v>0</v>
      </c>
      <c r="BP219" s="867">
        <f t="shared" ca="1" si="157"/>
        <v>0</v>
      </c>
      <c r="BQ219" s="867">
        <f t="shared" ca="1" si="158"/>
        <v>0</v>
      </c>
      <c r="BR219" s="867">
        <f ca="1"/>
        <v>0</v>
      </c>
      <c r="BS219" s="867">
        <f ca="1"/>
        <v>0</v>
      </c>
      <c r="BT219" s="867">
        <f t="shared" ca="1" si="119"/>
        <v>0</v>
      </c>
      <c r="BU219" s="867">
        <f t="shared" ca="1" si="159"/>
        <v>0</v>
      </c>
      <c r="BX219" s="867">
        <f ca="1"/>
        <v>0</v>
      </c>
      <c r="BY219" s="867">
        <f t="shared" ca="1" si="160"/>
        <v>0</v>
      </c>
      <c r="BZ219" s="867">
        <f t="shared" ca="1" si="161"/>
        <v>0</v>
      </c>
      <c r="CA219" s="867">
        <f t="shared" ca="1" si="162"/>
        <v>0</v>
      </c>
      <c r="CB219" s="867">
        <f t="shared" ca="1" si="163"/>
        <v>0</v>
      </c>
      <c r="CC219" s="867">
        <f t="shared" ca="1" si="164"/>
        <v>0</v>
      </c>
      <c r="CD219" s="867">
        <f t="shared" ca="1" si="165"/>
        <v>0</v>
      </c>
    </row>
    <row r="220" spans="1:82" ht="17" hidden="1" thickTop="1" thickBot="1">
      <c r="A220" s="773">
        <f t="shared" si="115"/>
        <v>0</v>
      </c>
      <c r="B220" s="779"/>
      <c r="D220" s="660"/>
      <c r="E220" s="661"/>
      <c r="F220" s="862"/>
      <c r="G220" s="863"/>
      <c r="H220" s="961"/>
      <c r="I220" s="865">
        <f t="shared" si="121"/>
        <v>0</v>
      </c>
      <c r="J220" s="864" cm="1">
        <f t="array" ref="J220">IF($G220=0,0,-MIN(0,G220*c_equity.LPshare))</f>
        <v>0</v>
      </c>
      <c r="K220" s="865" cm="1">
        <f t="array" ref="K220">I220*c_rate.Pref.MO</f>
        <v>0</v>
      </c>
      <c r="L220" s="865">
        <f t="shared" si="122"/>
        <v>0</v>
      </c>
      <c r="M220" s="865">
        <f t="shared" si="123"/>
        <v>0</v>
      </c>
      <c r="N220" s="865">
        <f t="shared" si="124"/>
        <v>0</v>
      </c>
      <c r="O220" s="864" cm="1">
        <f t="array" ref="O220">IF(N220=0,0,IF(G220&lt;0,N220/c_equity.LPshare*i_equity.GPshare,L220/c_equity.LPshare*i_equity.GPshare))</f>
        <v>0</v>
      </c>
      <c r="P220" s="865">
        <f t="shared" si="125"/>
        <v>0</v>
      </c>
      <c r="Q220" s="865">
        <f t="shared" si="126"/>
        <v>0</v>
      </c>
      <c r="R220" s="161"/>
      <c r="S220" s="867">
        <f t="shared" ca="1" si="127"/>
        <v>0</v>
      </c>
      <c r="T220" s="867" cm="1">
        <f t="array" ref="T220">IF($G220=0,0,-MIN(0,$G220*c_equity.LPshare))</f>
        <v>0</v>
      </c>
      <c r="U220" s="869" cm="1">
        <f t="array" ref="U220">IF($D220=0,0,S220*c_rate.Hurdle1.MO)</f>
        <v>0</v>
      </c>
      <c r="V220" s="867">
        <f t="shared" si="128"/>
        <v>0</v>
      </c>
      <c r="W220" s="867">
        <f t="shared" ca="1" si="129"/>
        <v>0</v>
      </c>
      <c r="X220" s="869">
        <f t="shared" ca="1" si="130"/>
        <v>0</v>
      </c>
      <c r="Y220" s="869">
        <f t="shared" ca="1" si="131"/>
        <v>0</v>
      </c>
      <c r="Z220" s="869">
        <f t="shared" ca="1" si="132"/>
        <v>0</v>
      </c>
      <c r="AA220" s="869">
        <f t="shared" ca="1" si="133"/>
        <v>0</v>
      </c>
      <c r="AB220" s="867">
        <f t="shared" ca="1" si="134"/>
        <v>0</v>
      </c>
      <c r="AC220" s="161"/>
      <c r="AD220" s="869">
        <f t="shared" ca="1" si="135"/>
        <v>0</v>
      </c>
      <c r="AE220" s="867" cm="1">
        <f t="array" ref="AE220">IF($G220=0,0,-MIN(0,$G220*c_equity.LPshare))</f>
        <v>0</v>
      </c>
      <c r="AF220" s="869" cm="1">
        <f t="array" ref="AF220">IF($D220=0,0,AD220*(c_rate.Hurdle2.MO))</f>
        <v>0</v>
      </c>
      <c r="AG220" s="869">
        <f t="shared" ca="1" si="136"/>
        <v>0</v>
      </c>
      <c r="AH220" s="869">
        <f t="shared" ca="1" si="137"/>
        <v>0</v>
      </c>
      <c r="AI220" s="869">
        <f t="shared" ca="1" si="138"/>
        <v>0</v>
      </c>
      <c r="AJ220" s="870">
        <f t="shared" ca="1" si="166"/>
        <v>0</v>
      </c>
      <c r="AK220" s="867">
        <f t="shared" ca="1" si="139"/>
        <v>0</v>
      </c>
      <c r="AL220" s="869">
        <f t="shared" ca="1" si="171"/>
        <v>0</v>
      </c>
      <c r="AM220" s="869">
        <f t="shared" ca="1" si="140"/>
        <v>0</v>
      </c>
      <c r="AN220" s="867">
        <f t="shared" ca="1" si="168"/>
        <v>0</v>
      </c>
      <c r="AO220" s="161"/>
      <c r="AP220" s="869">
        <f t="shared" ca="1" si="141"/>
        <v>0</v>
      </c>
      <c r="AQ220" s="867" cm="1">
        <f t="array" ref="AQ220">IF($G220=0,0,-MIN(0,$G220*c_equity.LPshare))</f>
        <v>0</v>
      </c>
      <c r="AR220" s="869" cm="1">
        <f t="array" ref="AR220">IF($D220=0,0,AP220*(c_rate.Hurdle3.MO))</f>
        <v>0</v>
      </c>
      <c r="AS220" s="869">
        <f t="shared" ca="1" si="142"/>
        <v>0</v>
      </c>
      <c r="AT220" s="869">
        <f t="shared" ca="1" si="143"/>
        <v>0</v>
      </c>
      <c r="AU220" s="869">
        <f t="shared" ca="1" si="144"/>
        <v>0</v>
      </c>
      <c r="AV220" s="870">
        <f t="shared" ca="1" si="145"/>
        <v>0</v>
      </c>
      <c r="AW220" s="867">
        <f t="shared" ca="1" si="146"/>
        <v>0</v>
      </c>
      <c r="AX220" s="869">
        <f t="shared" ca="1" si="172"/>
        <v>0</v>
      </c>
      <c r="AY220" s="869">
        <f t="shared" ca="1" si="147"/>
        <v>0</v>
      </c>
      <c r="AZ220" s="867">
        <f t="shared" ca="1" si="170"/>
        <v>0</v>
      </c>
      <c r="BA220" s="161"/>
      <c r="BB220" s="867">
        <f t="shared" ca="1" si="149"/>
        <v>0</v>
      </c>
      <c r="BC220" s="867">
        <f t="shared" ca="1" si="114"/>
        <v>0</v>
      </c>
      <c r="BD220" s="658"/>
      <c r="BE220" s="867">
        <f t="shared" ca="1" si="150"/>
        <v>0</v>
      </c>
      <c r="BF220" s="867">
        <f t="shared" ca="1" si="151"/>
        <v>0</v>
      </c>
      <c r="BG220" s="867">
        <f t="shared" ca="1" si="152"/>
        <v>0</v>
      </c>
      <c r="BI220" s="867">
        <f ca="1"/>
        <v>0</v>
      </c>
      <c r="BJ220" s="867">
        <f ca="1"/>
        <v>0</v>
      </c>
      <c r="BK220" s="867">
        <f ca="1"/>
        <v>0</v>
      </c>
      <c r="BL220" s="867">
        <f t="shared" ca="1" si="153"/>
        <v>0</v>
      </c>
      <c r="BM220" s="867">
        <f t="shared" ca="1" si="154"/>
        <v>0</v>
      </c>
      <c r="BN220" s="867">
        <f t="shared" ca="1" si="155"/>
        <v>0</v>
      </c>
      <c r="BO220" s="867">
        <f t="shared" ca="1" si="156"/>
        <v>0</v>
      </c>
      <c r="BP220" s="867">
        <f t="shared" ca="1" si="157"/>
        <v>0</v>
      </c>
      <c r="BQ220" s="867">
        <f t="shared" ca="1" si="158"/>
        <v>0</v>
      </c>
      <c r="BR220" s="867">
        <f ca="1"/>
        <v>0</v>
      </c>
      <c r="BS220" s="867">
        <f ca="1"/>
        <v>0</v>
      </c>
      <c r="BT220" s="867">
        <f t="shared" ca="1" si="119"/>
        <v>0</v>
      </c>
      <c r="BU220" s="867">
        <f t="shared" ca="1" si="159"/>
        <v>0</v>
      </c>
      <c r="BX220" s="867">
        <f ca="1"/>
        <v>0</v>
      </c>
      <c r="BY220" s="867">
        <f t="shared" ca="1" si="160"/>
        <v>0</v>
      </c>
      <c r="BZ220" s="867">
        <f t="shared" ca="1" si="161"/>
        <v>0</v>
      </c>
      <c r="CA220" s="867">
        <f t="shared" ca="1" si="162"/>
        <v>0</v>
      </c>
      <c r="CB220" s="867">
        <f t="shared" ca="1" si="163"/>
        <v>0</v>
      </c>
      <c r="CC220" s="867">
        <f t="shared" ca="1" si="164"/>
        <v>0</v>
      </c>
      <c r="CD220" s="867">
        <f t="shared" ca="1" si="165"/>
        <v>0</v>
      </c>
    </row>
    <row r="221" spans="1:82" ht="17" hidden="1" thickTop="1" thickBot="1">
      <c r="A221" s="773">
        <f t="shared" si="115"/>
        <v>0</v>
      </c>
      <c r="B221" s="779"/>
      <c r="D221" s="660"/>
      <c r="E221" s="661"/>
      <c r="F221" s="862"/>
      <c r="G221" s="863"/>
      <c r="H221" s="961"/>
      <c r="I221" s="865">
        <f t="shared" si="121"/>
        <v>0</v>
      </c>
      <c r="J221" s="864" cm="1">
        <f t="array" ref="J221">IF($G221=0,0,-MIN(0,G221*c_equity.LPshare))</f>
        <v>0</v>
      </c>
      <c r="K221" s="865" cm="1">
        <f t="array" ref="K221">I221*c_rate.Pref.MO</f>
        <v>0</v>
      </c>
      <c r="L221" s="865">
        <f t="shared" si="122"/>
        <v>0</v>
      </c>
      <c r="M221" s="865">
        <f t="shared" si="123"/>
        <v>0</v>
      </c>
      <c r="N221" s="865">
        <f t="shared" si="124"/>
        <v>0</v>
      </c>
      <c r="O221" s="864" cm="1">
        <f t="array" ref="O221">IF(N221=0,0,IF(G221&lt;0,N221/c_equity.LPshare*i_equity.GPshare,L221/c_equity.LPshare*i_equity.GPshare))</f>
        <v>0</v>
      </c>
      <c r="P221" s="865">
        <f t="shared" si="125"/>
        <v>0</v>
      </c>
      <c r="Q221" s="865">
        <f t="shared" si="126"/>
        <v>0</v>
      </c>
      <c r="R221" s="161"/>
      <c r="S221" s="867">
        <f t="shared" ca="1" si="127"/>
        <v>0</v>
      </c>
      <c r="T221" s="867" cm="1">
        <f t="array" ref="T221">IF($G221=0,0,-MIN(0,$G221*c_equity.LPshare))</f>
        <v>0</v>
      </c>
      <c r="U221" s="869" cm="1">
        <f t="array" ref="U221">IF($D221=0,0,S221*c_rate.Hurdle1.MO)</f>
        <v>0</v>
      </c>
      <c r="V221" s="867">
        <f t="shared" si="128"/>
        <v>0</v>
      </c>
      <c r="W221" s="867">
        <f t="shared" ca="1" si="129"/>
        <v>0</v>
      </c>
      <c r="X221" s="869">
        <f t="shared" ca="1" si="130"/>
        <v>0</v>
      </c>
      <c r="Y221" s="869">
        <f t="shared" ca="1" si="131"/>
        <v>0</v>
      </c>
      <c r="Z221" s="869">
        <f t="shared" ca="1" si="132"/>
        <v>0</v>
      </c>
      <c r="AA221" s="869">
        <f t="shared" ca="1" si="133"/>
        <v>0</v>
      </c>
      <c r="AB221" s="867">
        <f t="shared" ca="1" si="134"/>
        <v>0</v>
      </c>
      <c r="AC221" s="161"/>
      <c r="AD221" s="869">
        <f t="shared" ca="1" si="135"/>
        <v>0</v>
      </c>
      <c r="AE221" s="867" cm="1">
        <f t="array" ref="AE221">IF($G221=0,0,-MIN(0,$G221*c_equity.LPshare))</f>
        <v>0</v>
      </c>
      <c r="AF221" s="869" cm="1">
        <f t="array" ref="AF221">IF($D221=0,0,AD221*(c_rate.Hurdle2.MO))</f>
        <v>0</v>
      </c>
      <c r="AG221" s="869">
        <f t="shared" ca="1" si="136"/>
        <v>0</v>
      </c>
      <c r="AH221" s="869">
        <f t="shared" ca="1" si="137"/>
        <v>0</v>
      </c>
      <c r="AI221" s="869">
        <f t="shared" ca="1" si="138"/>
        <v>0</v>
      </c>
      <c r="AJ221" s="870">
        <f t="shared" ca="1" si="166"/>
        <v>0</v>
      </c>
      <c r="AK221" s="867">
        <f t="shared" ca="1" si="139"/>
        <v>0</v>
      </c>
      <c r="AL221" s="869">
        <f t="shared" ca="1" si="171"/>
        <v>0</v>
      </c>
      <c r="AM221" s="869">
        <f t="shared" ca="1" si="140"/>
        <v>0</v>
      </c>
      <c r="AN221" s="867">
        <f t="shared" ca="1" si="168"/>
        <v>0</v>
      </c>
      <c r="AO221" s="161"/>
      <c r="AP221" s="869">
        <f t="shared" ca="1" si="141"/>
        <v>0</v>
      </c>
      <c r="AQ221" s="867" cm="1">
        <f t="array" ref="AQ221">IF($G221=0,0,-MIN(0,$G221*c_equity.LPshare))</f>
        <v>0</v>
      </c>
      <c r="AR221" s="869" cm="1">
        <f t="array" ref="AR221">IF($D221=0,0,AP221*(c_rate.Hurdle3.MO))</f>
        <v>0</v>
      </c>
      <c r="AS221" s="869">
        <f t="shared" ca="1" si="142"/>
        <v>0</v>
      </c>
      <c r="AT221" s="869">
        <f t="shared" ca="1" si="143"/>
        <v>0</v>
      </c>
      <c r="AU221" s="869">
        <f t="shared" ca="1" si="144"/>
        <v>0</v>
      </c>
      <c r="AV221" s="870">
        <f t="shared" ca="1" si="145"/>
        <v>0</v>
      </c>
      <c r="AW221" s="867">
        <f t="shared" ca="1" si="146"/>
        <v>0</v>
      </c>
      <c r="AX221" s="869">
        <f t="shared" ca="1" si="172"/>
        <v>0</v>
      </c>
      <c r="AY221" s="869">
        <f t="shared" ca="1" si="147"/>
        <v>0</v>
      </c>
      <c r="AZ221" s="867">
        <f t="shared" ca="1" si="170"/>
        <v>0</v>
      </c>
      <c r="BA221" s="161"/>
      <c r="BB221" s="867">
        <f t="shared" ca="1" si="149"/>
        <v>0</v>
      </c>
      <c r="BC221" s="867">
        <f t="shared" ca="1" si="114"/>
        <v>0</v>
      </c>
      <c r="BD221" s="658"/>
      <c r="BE221" s="867">
        <f t="shared" ca="1" si="150"/>
        <v>0</v>
      </c>
      <c r="BF221" s="867">
        <f t="shared" ca="1" si="151"/>
        <v>0</v>
      </c>
      <c r="BG221" s="867">
        <f t="shared" ca="1" si="152"/>
        <v>0</v>
      </c>
      <c r="BI221" s="867">
        <f ca="1"/>
        <v>0</v>
      </c>
      <c r="BJ221" s="867">
        <f ca="1"/>
        <v>0</v>
      </c>
      <c r="BK221" s="867">
        <f ca="1"/>
        <v>0</v>
      </c>
      <c r="BL221" s="867">
        <f t="shared" ca="1" si="153"/>
        <v>0</v>
      </c>
      <c r="BM221" s="867">
        <f t="shared" ca="1" si="154"/>
        <v>0</v>
      </c>
      <c r="BN221" s="867">
        <f t="shared" ca="1" si="155"/>
        <v>0</v>
      </c>
      <c r="BO221" s="867">
        <f t="shared" ca="1" si="156"/>
        <v>0</v>
      </c>
      <c r="BP221" s="867">
        <f t="shared" ca="1" si="157"/>
        <v>0</v>
      </c>
      <c r="BQ221" s="867">
        <f t="shared" ca="1" si="158"/>
        <v>0</v>
      </c>
      <c r="BR221" s="867">
        <f ca="1"/>
        <v>0</v>
      </c>
      <c r="BS221" s="867">
        <f ca="1"/>
        <v>0</v>
      </c>
      <c r="BT221" s="867">
        <f t="shared" ca="1" si="119"/>
        <v>0</v>
      </c>
      <c r="BU221" s="867">
        <f t="shared" ca="1" si="159"/>
        <v>0</v>
      </c>
      <c r="BX221" s="867">
        <f ca="1"/>
        <v>0</v>
      </c>
      <c r="BY221" s="867">
        <f t="shared" ca="1" si="160"/>
        <v>0</v>
      </c>
      <c r="BZ221" s="867">
        <f t="shared" ca="1" si="161"/>
        <v>0</v>
      </c>
      <c r="CA221" s="867">
        <f t="shared" ca="1" si="162"/>
        <v>0</v>
      </c>
      <c r="CB221" s="867">
        <f t="shared" ca="1" si="163"/>
        <v>0</v>
      </c>
      <c r="CC221" s="867">
        <f t="shared" ca="1" si="164"/>
        <v>0</v>
      </c>
      <c r="CD221" s="867">
        <f t="shared" ca="1" si="165"/>
        <v>0</v>
      </c>
    </row>
    <row r="222" spans="1:82" ht="17" hidden="1" thickTop="1" thickBot="1">
      <c r="A222" s="773">
        <f t="shared" si="115"/>
        <v>0</v>
      </c>
      <c r="B222" s="779"/>
      <c r="D222" s="660"/>
      <c r="E222" s="661"/>
      <c r="F222" s="862"/>
      <c r="G222" s="863"/>
      <c r="H222" s="961"/>
      <c r="I222" s="865">
        <f t="shared" si="121"/>
        <v>0</v>
      </c>
      <c r="J222" s="864" cm="1">
        <f t="array" ref="J222">IF($G222=0,0,-MIN(0,G222*c_equity.LPshare))</f>
        <v>0</v>
      </c>
      <c r="K222" s="865" cm="1">
        <f t="array" ref="K222">I222*c_rate.Pref.MO</f>
        <v>0</v>
      </c>
      <c r="L222" s="865">
        <f t="shared" si="122"/>
        <v>0</v>
      </c>
      <c r="M222" s="865">
        <f t="shared" si="123"/>
        <v>0</v>
      </c>
      <c r="N222" s="865">
        <f t="shared" si="124"/>
        <v>0</v>
      </c>
      <c r="O222" s="864" cm="1">
        <f t="array" ref="O222">IF(N222=0,0,IF(G222&lt;0,N222/c_equity.LPshare*i_equity.GPshare,L222/c_equity.LPshare*i_equity.GPshare))</f>
        <v>0</v>
      </c>
      <c r="P222" s="865">
        <f t="shared" si="125"/>
        <v>0</v>
      </c>
      <c r="Q222" s="865">
        <f t="shared" si="126"/>
        <v>0</v>
      </c>
      <c r="R222" s="161"/>
      <c r="S222" s="867">
        <f t="shared" ca="1" si="127"/>
        <v>0</v>
      </c>
      <c r="T222" s="867" cm="1">
        <f t="array" ref="T222">IF($G222=0,0,-MIN(0,$G222*c_equity.LPshare))</f>
        <v>0</v>
      </c>
      <c r="U222" s="869" cm="1">
        <f t="array" ref="U222">IF($D222=0,0,S222*c_rate.Hurdle1.MO)</f>
        <v>0</v>
      </c>
      <c r="V222" s="867">
        <f t="shared" si="128"/>
        <v>0</v>
      </c>
      <c r="W222" s="867">
        <f t="shared" ca="1" si="129"/>
        <v>0</v>
      </c>
      <c r="X222" s="869">
        <f t="shared" ca="1" si="130"/>
        <v>0</v>
      </c>
      <c r="Y222" s="869">
        <f t="shared" ca="1" si="131"/>
        <v>0</v>
      </c>
      <c r="Z222" s="869">
        <f t="shared" ca="1" si="132"/>
        <v>0</v>
      </c>
      <c r="AA222" s="869">
        <f t="shared" ca="1" si="133"/>
        <v>0</v>
      </c>
      <c r="AB222" s="867">
        <f t="shared" ca="1" si="134"/>
        <v>0</v>
      </c>
      <c r="AC222" s="161"/>
      <c r="AD222" s="869">
        <f t="shared" ca="1" si="135"/>
        <v>0</v>
      </c>
      <c r="AE222" s="867" cm="1">
        <f t="array" ref="AE222">IF($G222=0,0,-MIN(0,$G222*c_equity.LPshare))</f>
        <v>0</v>
      </c>
      <c r="AF222" s="869" cm="1">
        <f t="array" ref="AF222">IF($D222=0,0,AD222*(c_rate.Hurdle2.MO))</f>
        <v>0</v>
      </c>
      <c r="AG222" s="869">
        <f t="shared" ca="1" si="136"/>
        <v>0</v>
      </c>
      <c r="AH222" s="869">
        <f t="shared" ca="1" si="137"/>
        <v>0</v>
      </c>
      <c r="AI222" s="869">
        <f t="shared" ca="1" si="138"/>
        <v>0</v>
      </c>
      <c r="AJ222" s="870">
        <f t="shared" ca="1" si="166"/>
        <v>0</v>
      </c>
      <c r="AK222" s="867">
        <f t="shared" ca="1" si="139"/>
        <v>0</v>
      </c>
      <c r="AL222" s="869">
        <f t="shared" ca="1" si="171"/>
        <v>0</v>
      </c>
      <c r="AM222" s="869">
        <f t="shared" ca="1" si="140"/>
        <v>0</v>
      </c>
      <c r="AN222" s="867">
        <f t="shared" ca="1" si="168"/>
        <v>0</v>
      </c>
      <c r="AO222" s="161"/>
      <c r="AP222" s="869">
        <f t="shared" ca="1" si="141"/>
        <v>0</v>
      </c>
      <c r="AQ222" s="867" cm="1">
        <f t="array" ref="AQ222">IF($G222=0,0,-MIN(0,$G222*c_equity.LPshare))</f>
        <v>0</v>
      </c>
      <c r="AR222" s="869" cm="1">
        <f t="array" ref="AR222">IF($D222=0,0,AP222*(c_rate.Hurdle3.MO))</f>
        <v>0</v>
      </c>
      <c r="AS222" s="869">
        <f t="shared" ca="1" si="142"/>
        <v>0</v>
      </c>
      <c r="AT222" s="869">
        <f t="shared" ca="1" si="143"/>
        <v>0</v>
      </c>
      <c r="AU222" s="869">
        <f t="shared" ca="1" si="144"/>
        <v>0</v>
      </c>
      <c r="AV222" s="870">
        <f t="shared" ca="1" si="145"/>
        <v>0</v>
      </c>
      <c r="AW222" s="867">
        <f t="shared" ca="1" si="146"/>
        <v>0</v>
      </c>
      <c r="AX222" s="869">
        <f t="shared" ca="1" si="172"/>
        <v>0</v>
      </c>
      <c r="AY222" s="869">
        <f t="shared" ca="1" si="147"/>
        <v>0</v>
      </c>
      <c r="AZ222" s="867">
        <f t="shared" ca="1" si="170"/>
        <v>0</v>
      </c>
      <c r="BA222" s="161"/>
      <c r="BB222" s="867">
        <f t="shared" ca="1" si="149"/>
        <v>0</v>
      </c>
      <c r="BC222" s="867">
        <f t="shared" ca="1" si="114"/>
        <v>0</v>
      </c>
      <c r="BD222" s="658"/>
      <c r="BE222" s="867">
        <f t="shared" ca="1" si="150"/>
        <v>0</v>
      </c>
      <c r="BF222" s="867">
        <f t="shared" ca="1" si="151"/>
        <v>0</v>
      </c>
      <c r="BG222" s="867">
        <f t="shared" ca="1" si="152"/>
        <v>0</v>
      </c>
      <c r="BI222" s="867">
        <f ca="1"/>
        <v>0</v>
      </c>
      <c r="BJ222" s="867">
        <f ca="1"/>
        <v>0</v>
      </c>
      <c r="BK222" s="867">
        <f ca="1"/>
        <v>0</v>
      </c>
      <c r="BL222" s="867">
        <f t="shared" ca="1" si="153"/>
        <v>0</v>
      </c>
      <c r="BM222" s="867">
        <f t="shared" ca="1" si="154"/>
        <v>0</v>
      </c>
      <c r="BN222" s="867">
        <f t="shared" ca="1" si="155"/>
        <v>0</v>
      </c>
      <c r="BO222" s="867">
        <f t="shared" ca="1" si="156"/>
        <v>0</v>
      </c>
      <c r="BP222" s="867">
        <f t="shared" ca="1" si="157"/>
        <v>0</v>
      </c>
      <c r="BQ222" s="867">
        <f t="shared" ca="1" si="158"/>
        <v>0</v>
      </c>
      <c r="BR222" s="867">
        <f ca="1"/>
        <v>0</v>
      </c>
      <c r="BS222" s="867">
        <f ca="1"/>
        <v>0</v>
      </c>
      <c r="BT222" s="867">
        <f t="shared" ca="1" si="119"/>
        <v>0</v>
      </c>
      <c r="BU222" s="867">
        <f t="shared" ca="1" si="159"/>
        <v>0</v>
      </c>
      <c r="BX222" s="867">
        <f ca="1"/>
        <v>0</v>
      </c>
      <c r="BY222" s="867">
        <f t="shared" ca="1" si="160"/>
        <v>0</v>
      </c>
      <c r="BZ222" s="867">
        <f t="shared" ca="1" si="161"/>
        <v>0</v>
      </c>
      <c r="CA222" s="867">
        <f t="shared" ca="1" si="162"/>
        <v>0</v>
      </c>
      <c r="CB222" s="867">
        <f t="shared" ca="1" si="163"/>
        <v>0</v>
      </c>
      <c r="CC222" s="867">
        <f t="shared" ca="1" si="164"/>
        <v>0</v>
      </c>
      <c r="CD222" s="867">
        <f t="shared" ca="1" si="165"/>
        <v>0</v>
      </c>
    </row>
    <row r="223" spans="1:82" ht="17" hidden="1" thickTop="1" thickBot="1">
      <c r="A223" s="773">
        <f t="shared" si="115"/>
        <v>0</v>
      </c>
      <c r="B223" s="779"/>
      <c r="D223" s="660"/>
      <c r="E223" s="661"/>
      <c r="F223" s="862"/>
      <c r="G223" s="863"/>
      <c r="H223" s="961"/>
      <c r="I223" s="865">
        <f t="shared" si="121"/>
        <v>0</v>
      </c>
      <c r="J223" s="864" cm="1">
        <f t="array" ref="J223">IF($G223=0,0,-MIN(0,G223*c_equity.LPshare))</f>
        <v>0</v>
      </c>
      <c r="K223" s="865" cm="1">
        <f t="array" ref="K223">I223*c_rate.Pref.MO</f>
        <v>0</v>
      </c>
      <c r="L223" s="865">
        <f t="shared" si="122"/>
        <v>0</v>
      </c>
      <c r="M223" s="865">
        <f t="shared" si="123"/>
        <v>0</v>
      </c>
      <c r="N223" s="865">
        <f t="shared" si="124"/>
        <v>0</v>
      </c>
      <c r="O223" s="864" cm="1">
        <f t="array" ref="O223">IF(N223=0,0,IF(G223&lt;0,N223/c_equity.LPshare*i_equity.GPshare,L223/c_equity.LPshare*i_equity.GPshare))</f>
        <v>0</v>
      </c>
      <c r="P223" s="865">
        <f t="shared" si="125"/>
        <v>0</v>
      </c>
      <c r="Q223" s="865">
        <f t="shared" si="126"/>
        <v>0</v>
      </c>
      <c r="R223" s="161"/>
      <c r="S223" s="867">
        <f t="shared" ca="1" si="127"/>
        <v>0</v>
      </c>
      <c r="T223" s="867" cm="1">
        <f t="array" ref="T223">IF($G223=0,0,-MIN(0,$G223*c_equity.LPshare))</f>
        <v>0</v>
      </c>
      <c r="U223" s="869" cm="1">
        <f t="array" ref="U223">IF($D223=0,0,S223*c_rate.Hurdle1.MO)</f>
        <v>0</v>
      </c>
      <c r="V223" s="867">
        <f t="shared" si="128"/>
        <v>0</v>
      </c>
      <c r="W223" s="867">
        <f t="shared" ca="1" si="129"/>
        <v>0</v>
      </c>
      <c r="X223" s="869">
        <f t="shared" ca="1" si="130"/>
        <v>0</v>
      </c>
      <c r="Y223" s="869">
        <f t="shared" ca="1" si="131"/>
        <v>0</v>
      </c>
      <c r="Z223" s="869">
        <f t="shared" ca="1" si="132"/>
        <v>0</v>
      </c>
      <c r="AA223" s="869">
        <f t="shared" ca="1" si="133"/>
        <v>0</v>
      </c>
      <c r="AB223" s="867">
        <f t="shared" ca="1" si="134"/>
        <v>0</v>
      </c>
      <c r="AC223" s="161"/>
      <c r="AD223" s="869">
        <f t="shared" ca="1" si="135"/>
        <v>0</v>
      </c>
      <c r="AE223" s="867" cm="1">
        <f t="array" ref="AE223">IF($G223=0,0,-MIN(0,$G223*c_equity.LPshare))</f>
        <v>0</v>
      </c>
      <c r="AF223" s="869" cm="1">
        <f t="array" ref="AF223">IF($D223=0,0,AD223*(c_rate.Hurdle2.MO))</f>
        <v>0</v>
      </c>
      <c r="AG223" s="869">
        <f t="shared" ca="1" si="136"/>
        <v>0</v>
      </c>
      <c r="AH223" s="869">
        <f t="shared" ca="1" si="137"/>
        <v>0</v>
      </c>
      <c r="AI223" s="869">
        <f t="shared" ca="1" si="138"/>
        <v>0</v>
      </c>
      <c r="AJ223" s="870">
        <f t="shared" ca="1" si="166"/>
        <v>0</v>
      </c>
      <c r="AK223" s="867">
        <f t="shared" ca="1" si="139"/>
        <v>0</v>
      </c>
      <c r="AL223" s="869">
        <f t="shared" ca="1" si="171"/>
        <v>0</v>
      </c>
      <c r="AM223" s="869">
        <f t="shared" ca="1" si="140"/>
        <v>0</v>
      </c>
      <c r="AN223" s="867">
        <f t="shared" ca="1" si="168"/>
        <v>0</v>
      </c>
      <c r="AO223" s="161"/>
      <c r="AP223" s="869">
        <f t="shared" ca="1" si="141"/>
        <v>0</v>
      </c>
      <c r="AQ223" s="867" cm="1">
        <f t="array" ref="AQ223">IF($G223=0,0,-MIN(0,$G223*c_equity.LPshare))</f>
        <v>0</v>
      </c>
      <c r="AR223" s="869" cm="1">
        <f t="array" ref="AR223">IF($D223=0,0,AP223*(c_rate.Hurdle3.MO))</f>
        <v>0</v>
      </c>
      <c r="AS223" s="869">
        <f t="shared" ca="1" si="142"/>
        <v>0</v>
      </c>
      <c r="AT223" s="869">
        <f t="shared" ca="1" si="143"/>
        <v>0</v>
      </c>
      <c r="AU223" s="869">
        <f t="shared" ca="1" si="144"/>
        <v>0</v>
      </c>
      <c r="AV223" s="870">
        <f t="shared" ca="1" si="145"/>
        <v>0</v>
      </c>
      <c r="AW223" s="867">
        <f t="shared" ca="1" si="146"/>
        <v>0</v>
      </c>
      <c r="AX223" s="869">
        <f t="shared" ca="1" si="172"/>
        <v>0</v>
      </c>
      <c r="AY223" s="869">
        <f t="shared" ca="1" si="147"/>
        <v>0</v>
      </c>
      <c r="AZ223" s="867">
        <f t="shared" ca="1" si="170"/>
        <v>0</v>
      </c>
      <c r="BA223" s="161"/>
      <c r="BB223" s="867">
        <f t="shared" ca="1" si="149"/>
        <v>0</v>
      </c>
      <c r="BC223" s="867">
        <f t="shared" ca="1" si="114"/>
        <v>0</v>
      </c>
      <c r="BD223" s="658"/>
      <c r="BE223" s="867">
        <f t="shared" ca="1" si="150"/>
        <v>0</v>
      </c>
      <c r="BF223" s="867">
        <f t="shared" ca="1" si="151"/>
        <v>0</v>
      </c>
      <c r="BG223" s="867">
        <f t="shared" ca="1" si="152"/>
        <v>0</v>
      </c>
      <c r="BI223" s="867">
        <f ca="1"/>
        <v>0</v>
      </c>
      <c r="BJ223" s="867">
        <f ca="1"/>
        <v>0</v>
      </c>
      <c r="BK223" s="867">
        <f ca="1"/>
        <v>0</v>
      </c>
      <c r="BL223" s="867">
        <f t="shared" ca="1" si="153"/>
        <v>0</v>
      </c>
      <c r="BM223" s="867">
        <f t="shared" ca="1" si="154"/>
        <v>0</v>
      </c>
      <c r="BN223" s="867">
        <f t="shared" ca="1" si="155"/>
        <v>0</v>
      </c>
      <c r="BO223" s="867">
        <f t="shared" ca="1" si="156"/>
        <v>0</v>
      </c>
      <c r="BP223" s="867">
        <f t="shared" ca="1" si="157"/>
        <v>0</v>
      </c>
      <c r="BQ223" s="867">
        <f t="shared" ca="1" si="158"/>
        <v>0</v>
      </c>
      <c r="BR223" s="867">
        <f ca="1"/>
        <v>0</v>
      </c>
      <c r="BS223" s="867">
        <f ca="1"/>
        <v>0</v>
      </c>
      <c r="BT223" s="867">
        <f t="shared" ca="1" si="119"/>
        <v>0</v>
      </c>
      <c r="BU223" s="867">
        <f t="shared" ca="1" si="159"/>
        <v>0</v>
      </c>
      <c r="BX223" s="867">
        <f ca="1"/>
        <v>0</v>
      </c>
      <c r="BY223" s="867">
        <f t="shared" ca="1" si="160"/>
        <v>0</v>
      </c>
      <c r="BZ223" s="867">
        <f t="shared" ca="1" si="161"/>
        <v>0</v>
      </c>
      <c r="CA223" s="867">
        <f t="shared" ca="1" si="162"/>
        <v>0</v>
      </c>
      <c r="CB223" s="867">
        <f t="shared" ca="1" si="163"/>
        <v>0</v>
      </c>
      <c r="CC223" s="867">
        <f t="shared" ca="1" si="164"/>
        <v>0</v>
      </c>
      <c r="CD223" s="867">
        <f t="shared" ca="1" si="165"/>
        <v>0</v>
      </c>
    </row>
    <row r="224" spans="1:82" ht="17" hidden="1" thickTop="1" thickBot="1">
      <c r="A224" s="773">
        <f t="shared" si="115"/>
        <v>0</v>
      </c>
      <c r="B224" s="779"/>
      <c r="D224" s="660"/>
      <c r="E224" s="661"/>
      <c r="F224" s="862"/>
      <c r="G224" s="863"/>
      <c r="H224" s="961"/>
      <c r="I224" s="865">
        <f t="shared" si="121"/>
        <v>0</v>
      </c>
      <c r="J224" s="864" cm="1">
        <f t="array" ref="J224">IF($G224=0,0,-MIN(0,G224*c_equity.LPshare))</f>
        <v>0</v>
      </c>
      <c r="K224" s="865" cm="1">
        <f t="array" ref="K224">I224*c_rate.Pref.MO</f>
        <v>0</v>
      </c>
      <c r="L224" s="865">
        <f t="shared" si="122"/>
        <v>0</v>
      </c>
      <c r="M224" s="865">
        <f t="shared" si="123"/>
        <v>0</v>
      </c>
      <c r="N224" s="865">
        <f t="shared" si="124"/>
        <v>0</v>
      </c>
      <c r="O224" s="864" cm="1">
        <f t="array" ref="O224">IF(N224=0,0,IF(G224&lt;0,N224/c_equity.LPshare*i_equity.GPshare,L224/c_equity.LPshare*i_equity.GPshare))</f>
        <v>0</v>
      </c>
      <c r="P224" s="865">
        <f t="shared" si="125"/>
        <v>0</v>
      </c>
      <c r="Q224" s="865">
        <f t="shared" si="126"/>
        <v>0</v>
      </c>
      <c r="R224" s="161"/>
      <c r="S224" s="867">
        <f t="shared" ca="1" si="127"/>
        <v>0</v>
      </c>
      <c r="T224" s="867" cm="1">
        <f t="array" ref="T224">IF($G224=0,0,-MIN(0,$G224*c_equity.LPshare))</f>
        <v>0</v>
      </c>
      <c r="U224" s="869" cm="1">
        <f t="array" ref="U224">IF($D224=0,0,S224*c_rate.Hurdle1.MO)</f>
        <v>0</v>
      </c>
      <c r="V224" s="867">
        <f t="shared" si="128"/>
        <v>0</v>
      </c>
      <c r="W224" s="867">
        <f t="shared" ca="1" si="129"/>
        <v>0</v>
      </c>
      <c r="X224" s="869">
        <f t="shared" ca="1" si="130"/>
        <v>0</v>
      </c>
      <c r="Y224" s="869">
        <f t="shared" ca="1" si="131"/>
        <v>0</v>
      </c>
      <c r="Z224" s="869">
        <f t="shared" ca="1" si="132"/>
        <v>0</v>
      </c>
      <c r="AA224" s="869">
        <f t="shared" ca="1" si="133"/>
        <v>0</v>
      </c>
      <c r="AB224" s="867">
        <f t="shared" ca="1" si="134"/>
        <v>0</v>
      </c>
      <c r="AC224" s="161"/>
      <c r="AD224" s="869">
        <f t="shared" ca="1" si="135"/>
        <v>0</v>
      </c>
      <c r="AE224" s="867" cm="1">
        <f t="array" ref="AE224">IF($G224=0,0,-MIN(0,$G224*c_equity.LPshare))</f>
        <v>0</v>
      </c>
      <c r="AF224" s="869" cm="1">
        <f t="array" ref="AF224">IF($D224=0,0,AD224*(c_rate.Hurdle2.MO))</f>
        <v>0</v>
      </c>
      <c r="AG224" s="869">
        <f t="shared" ca="1" si="136"/>
        <v>0</v>
      </c>
      <c r="AH224" s="869">
        <f t="shared" ca="1" si="137"/>
        <v>0</v>
      </c>
      <c r="AI224" s="869">
        <f t="shared" ca="1" si="138"/>
        <v>0</v>
      </c>
      <c r="AJ224" s="870">
        <f t="shared" ca="1" si="166"/>
        <v>0</v>
      </c>
      <c r="AK224" s="867">
        <f t="shared" ca="1" si="139"/>
        <v>0</v>
      </c>
      <c r="AL224" s="869">
        <f t="shared" ca="1" si="171"/>
        <v>0</v>
      </c>
      <c r="AM224" s="869">
        <f t="shared" ca="1" si="140"/>
        <v>0</v>
      </c>
      <c r="AN224" s="867">
        <f t="shared" ca="1" si="168"/>
        <v>0</v>
      </c>
      <c r="AO224" s="161"/>
      <c r="AP224" s="869">
        <f t="shared" ca="1" si="141"/>
        <v>0</v>
      </c>
      <c r="AQ224" s="867" cm="1">
        <f t="array" ref="AQ224">IF($G224=0,0,-MIN(0,$G224*c_equity.LPshare))</f>
        <v>0</v>
      </c>
      <c r="AR224" s="869" cm="1">
        <f t="array" ref="AR224">IF($D224=0,0,AP224*(c_rate.Hurdle3.MO))</f>
        <v>0</v>
      </c>
      <c r="AS224" s="869">
        <f t="shared" ca="1" si="142"/>
        <v>0</v>
      </c>
      <c r="AT224" s="869">
        <f t="shared" ca="1" si="143"/>
        <v>0</v>
      </c>
      <c r="AU224" s="869">
        <f t="shared" ca="1" si="144"/>
        <v>0</v>
      </c>
      <c r="AV224" s="870">
        <f t="shared" ca="1" si="145"/>
        <v>0</v>
      </c>
      <c r="AW224" s="867">
        <f t="shared" ca="1" si="146"/>
        <v>0</v>
      </c>
      <c r="AX224" s="869">
        <f t="shared" ca="1" si="172"/>
        <v>0</v>
      </c>
      <c r="AY224" s="869">
        <f t="shared" ca="1" si="147"/>
        <v>0</v>
      </c>
      <c r="AZ224" s="867">
        <f t="shared" ca="1" si="170"/>
        <v>0</v>
      </c>
      <c r="BA224" s="161"/>
      <c r="BB224" s="867">
        <f t="shared" ca="1" si="149"/>
        <v>0</v>
      </c>
      <c r="BC224" s="867">
        <f t="shared" ca="1" si="114"/>
        <v>0</v>
      </c>
      <c r="BD224" s="658"/>
      <c r="BE224" s="867">
        <f t="shared" ca="1" si="150"/>
        <v>0</v>
      </c>
      <c r="BF224" s="867">
        <f t="shared" ca="1" si="151"/>
        <v>0</v>
      </c>
      <c r="BG224" s="867">
        <f t="shared" ca="1" si="152"/>
        <v>0</v>
      </c>
      <c r="BI224" s="867">
        <f ca="1"/>
        <v>0</v>
      </c>
      <c r="BJ224" s="867">
        <f ca="1"/>
        <v>0</v>
      </c>
      <c r="BK224" s="867">
        <f ca="1"/>
        <v>0</v>
      </c>
      <c r="BL224" s="867">
        <f t="shared" ca="1" si="153"/>
        <v>0</v>
      </c>
      <c r="BM224" s="867">
        <f t="shared" ca="1" si="154"/>
        <v>0</v>
      </c>
      <c r="BN224" s="867">
        <f t="shared" ca="1" si="155"/>
        <v>0</v>
      </c>
      <c r="BO224" s="867">
        <f t="shared" ca="1" si="156"/>
        <v>0</v>
      </c>
      <c r="BP224" s="867">
        <f t="shared" ca="1" si="157"/>
        <v>0</v>
      </c>
      <c r="BQ224" s="867">
        <f t="shared" ca="1" si="158"/>
        <v>0</v>
      </c>
      <c r="BR224" s="867">
        <f ca="1"/>
        <v>0</v>
      </c>
      <c r="BS224" s="867">
        <f ca="1"/>
        <v>0</v>
      </c>
      <c r="BT224" s="867">
        <f t="shared" ca="1" si="119"/>
        <v>0</v>
      </c>
      <c r="BU224" s="867">
        <f t="shared" ca="1" si="159"/>
        <v>0</v>
      </c>
      <c r="BX224" s="867">
        <f ca="1"/>
        <v>0</v>
      </c>
      <c r="BY224" s="867">
        <f t="shared" ca="1" si="160"/>
        <v>0</v>
      </c>
      <c r="BZ224" s="867">
        <f t="shared" ca="1" si="161"/>
        <v>0</v>
      </c>
      <c r="CA224" s="867">
        <f t="shared" ca="1" si="162"/>
        <v>0</v>
      </c>
      <c r="CB224" s="867">
        <f t="shared" ca="1" si="163"/>
        <v>0</v>
      </c>
      <c r="CC224" s="867">
        <f t="shared" ca="1" si="164"/>
        <v>0</v>
      </c>
      <c r="CD224" s="867">
        <f t="shared" ca="1" si="165"/>
        <v>0</v>
      </c>
    </row>
    <row r="225" spans="1:82" ht="17" hidden="1" thickTop="1" thickBot="1">
      <c r="A225" s="773">
        <f t="shared" si="115"/>
        <v>0</v>
      </c>
      <c r="B225" s="779"/>
      <c r="D225" s="660"/>
      <c r="E225" s="661"/>
      <c r="F225" s="862"/>
      <c r="G225" s="863"/>
      <c r="H225" s="961"/>
      <c r="I225" s="865">
        <f t="shared" si="121"/>
        <v>0</v>
      </c>
      <c r="J225" s="864" cm="1">
        <f t="array" ref="J225">IF($G225=0,0,-MIN(0,G225*c_equity.LPshare))</f>
        <v>0</v>
      </c>
      <c r="K225" s="865" cm="1">
        <f t="array" ref="K225">I225*c_rate.Pref.MO</f>
        <v>0</v>
      </c>
      <c r="L225" s="865">
        <f t="shared" si="122"/>
        <v>0</v>
      </c>
      <c r="M225" s="865">
        <f t="shared" si="123"/>
        <v>0</v>
      </c>
      <c r="N225" s="865">
        <f t="shared" si="124"/>
        <v>0</v>
      </c>
      <c r="O225" s="864" cm="1">
        <f t="array" ref="O225">IF(N225=0,0,IF(G225&lt;0,N225/c_equity.LPshare*i_equity.GPshare,L225/c_equity.LPshare*i_equity.GPshare))</f>
        <v>0</v>
      </c>
      <c r="P225" s="865">
        <f t="shared" si="125"/>
        <v>0</v>
      </c>
      <c r="Q225" s="865">
        <f t="shared" si="126"/>
        <v>0</v>
      </c>
      <c r="R225" s="161"/>
      <c r="S225" s="867">
        <f t="shared" ca="1" si="127"/>
        <v>0</v>
      </c>
      <c r="T225" s="867" cm="1">
        <f t="array" ref="T225">IF($G225=0,0,-MIN(0,$G225*c_equity.LPshare))</f>
        <v>0</v>
      </c>
      <c r="U225" s="869" cm="1">
        <f t="array" ref="U225">IF($D225=0,0,S225*c_rate.Hurdle1.MO)</f>
        <v>0</v>
      </c>
      <c r="V225" s="867">
        <f t="shared" si="128"/>
        <v>0</v>
      </c>
      <c r="W225" s="867">
        <f t="shared" ca="1" si="129"/>
        <v>0</v>
      </c>
      <c r="X225" s="869">
        <f t="shared" ca="1" si="130"/>
        <v>0</v>
      </c>
      <c r="Y225" s="869">
        <f t="shared" ca="1" si="131"/>
        <v>0</v>
      </c>
      <c r="Z225" s="869">
        <f t="shared" ca="1" si="132"/>
        <v>0</v>
      </c>
      <c r="AA225" s="869">
        <f t="shared" ca="1" si="133"/>
        <v>0</v>
      </c>
      <c r="AB225" s="867">
        <f t="shared" ca="1" si="134"/>
        <v>0</v>
      </c>
      <c r="AC225" s="161"/>
      <c r="AD225" s="869">
        <f t="shared" ca="1" si="135"/>
        <v>0</v>
      </c>
      <c r="AE225" s="867" cm="1">
        <f t="array" ref="AE225">IF($G225=0,0,-MIN(0,$G225*c_equity.LPshare))</f>
        <v>0</v>
      </c>
      <c r="AF225" s="869" cm="1">
        <f t="array" ref="AF225">IF($D225=0,0,AD225*(c_rate.Hurdle2.MO))</f>
        <v>0</v>
      </c>
      <c r="AG225" s="869">
        <f t="shared" ca="1" si="136"/>
        <v>0</v>
      </c>
      <c r="AH225" s="869">
        <f t="shared" ca="1" si="137"/>
        <v>0</v>
      </c>
      <c r="AI225" s="869">
        <f t="shared" ca="1" si="138"/>
        <v>0</v>
      </c>
      <c r="AJ225" s="870">
        <f t="shared" ca="1" si="166"/>
        <v>0</v>
      </c>
      <c r="AK225" s="867">
        <f t="shared" ca="1" si="139"/>
        <v>0</v>
      </c>
      <c r="AL225" s="869">
        <f t="shared" ca="1" si="171"/>
        <v>0</v>
      </c>
      <c r="AM225" s="869">
        <f t="shared" ca="1" si="140"/>
        <v>0</v>
      </c>
      <c r="AN225" s="867">
        <f t="shared" ca="1" si="168"/>
        <v>0</v>
      </c>
      <c r="AO225" s="161"/>
      <c r="AP225" s="869">
        <f t="shared" ca="1" si="141"/>
        <v>0</v>
      </c>
      <c r="AQ225" s="867" cm="1">
        <f t="array" ref="AQ225">IF($G225=0,0,-MIN(0,$G225*c_equity.LPshare))</f>
        <v>0</v>
      </c>
      <c r="AR225" s="869" cm="1">
        <f t="array" ref="AR225">IF($D225=0,0,AP225*(c_rate.Hurdle3.MO))</f>
        <v>0</v>
      </c>
      <c r="AS225" s="869">
        <f t="shared" ca="1" si="142"/>
        <v>0</v>
      </c>
      <c r="AT225" s="869">
        <f t="shared" ca="1" si="143"/>
        <v>0</v>
      </c>
      <c r="AU225" s="869">
        <f t="shared" ca="1" si="144"/>
        <v>0</v>
      </c>
      <c r="AV225" s="870">
        <f t="shared" ca="1" si="145"/>
        <v>0</v>
      </c>
      <c r="AW225" s="867">
        <f t="shared" ca="1" si="146"/>
        <v>0</v>
      </c>
      <c r="AX225" s="869">
        <f t="shared" ca="1" si="172"/>
        <v>0</v>
      </c>
      <c r="AY225" s="869">
        <f t="shared" ca="1" si="147"/>
        <v>0</v>
      </c>
      <c r="AZ225" s="867">
        <f t="shared" ca="1" si="170"/>
        <v>0</v>
      </c>
      <c r="BA225" s="161"/>
      <c r="BB225" s="867">
        <f t="shared" ca="1" si="149"/>
        <v>0</v>
      </c>
      <c r="BC225" s="867">
        <f t="shared" ca="1" si="114"/>
        <v>0</v>
      </c>
      <c r="BD225" s="658"/>
      <c r="BE225" s="867">
        <f t="shared" ca="1" si="150"/>
        <v>0</v>
      </c>
      <c r="BF225" s="867">
        <f t="shared" ca="1" si="151"/>
        <v>0</v>
      </c>
      <c r="BG225" s="867">
        <f t="shared" ca="1" si="152"/>
        <v>0</v>
      </c>
      <c r="BI225" s="867">
        <f ca="1"/>
        <v>0</v>
      </c>
      <c r="BJ225" s="867">
        <f ca="1"/>
        <v>0</v>
      </c>
      <c r="BK225" s="867">
        <f ca="1"/>
        <v>0</v>
      </c>
      <c r="BL225" s="867">
        <f t="shared" ca="1" si="153"/>
        <v>0</v>
      </c>
      <c r="BM225" s="867">
        <f t="shared" ca="1" si="154"/>
        <v>0</v>
      </c>
      <c r="BN225" s="867">
        <f t="shared" ca="1" si="155"/>
        <v>0</v>
      </c>
      <c r="BO225" s="867">
        <f t="shared" ca="1" si="156"/>
        <v>0</v>
      </c>
      <c r="BP225" s="867">
        <f t="shared" ca="1" si="157"/>
        <v>0</v>
      </c>
      <c r="BQ225" s="867">
        <f t="shared" ca="1" si="158"/>
        <v>0</v>
      </c>
      <c r="BR225" s="867">
        <f ca="1"/>
        <v>0</v>
      </c>
      <c r="BS225" s="867">
        <f ca="1"/>
        <v>0</v>
      </c>
      <c r="BT225" s="867">
        <f t="shared" ca="1" si="119"/>
        <v>0</v>
      </c>
      <c r="BU225" s="867">
        <f t="shared" ca="1" si="159"/>
        <v>0</v>
      </c>
      <c r="BX225" s="867">
        <f ca="1"/>
        <v>0</v>
      </c>
      <c r="BY225" s="867">
        <f t="shared" ca="1" si="160"/>
        <v>0</v>
      </c>
      <c r="BZ225" s="867">
        <f t="shared" ca="1" si="161"/>
        <v>0</v>
      </c>
      <c r="CA225" s="867">
        <f t="shared" ca="1" si="162"/>
        <v>0</v>
      </c>
      <c r="CB225" s="867">
        <f t="shared" ca="1" si="163"/>
        <v>0</v>
      </c>
      <c r="CC225" s="867">
        <f t="shared" ca="1" si="164"/>
        <v>0</v>
      </c>
      <c r="CD225" s="867">
        <f t="shared" ca="1" si="165"/>
        <v>0</v>
      </c>
    </row>
    <row r="226" spans="1:82" ht="17" hidden="1" thickTop="1" thickBot="1">
      <c r="A226" s="773">
        <f t="shared" si="115"/>
        <v>0</v>
      </c>
      <c r="B226" s="779"/>
      <c r="D226" s="660"/>
      <c r="E226" s="661"/>
      <c r="F226" s="862"/>
      <c r="G226" s="863"/>
      <c r="H226" s="961"/>
      <c r="I226" s="865">
        <f t="shared" si="121"/>
        <v>0</v>
      </c>
      <c r="J226" s="864" cm="1">
        <f t="array" ref="J226">IF($G226=0,0,-MIN(0,G226*c_equity.LPshare))</f>
        <v>0</v>
      </c>
      <c r="K226" s="865" cm="1">
        <f t="array" ref="K226">I226*c_rate.Pref.MO</f>
        <v>0</v>
      </c>
      <c r="L226" s="865">
        <f t="shared" si="122"/>
        <v>0</v>
      </c>
      <c r="M226" s="865">
        <f t="shared" si="123"/>
        <v>0</v>
      </c>
      <c r="N226" s="865">
        <f t="shared" si="124"/>
        <v>0</v>
      </c>
      <c r="O226" s="864" cm="1">
        <f t="array" ref="O226">IF(N226=0,0,IF(G226&lt;0,N226/c_equity.LPshare*i_equity.GPshare,L226/c_equity.LPshare*i_equity.GPshare))</f>
        <v>0</v>
      </c>
      <c r="P226" s="865">
        <f t="shared" si="125"/>
        <v>0</v>
      </c>
      <c r="Q226" s="865">
        <f t="shared" si="126"/>
        <v>0</v>
      </c>
      <c r="R226" s="161"/>
      <c r="S226" s="867">
        <f t="shared" ca="1" si="127"/>
        <v>0</v>
      </c>
      <c r="T226" s="867" cm="1">
        <f t="array" ref="T226">IF($G226=0,0,-MIN(0,$G226*c_equity.LPshare))</f>
        <v>0</v>
      </c>
      <c r="U226" s="869" cm="1">
        <f t="array" ref="U226">IF($D226=0,0,S226*c_rate.Hurdle1.MO)</f>
        <v>0</v>
      </c>
      <c r="V226" s="867">
        <f t="shared" si="128"/>
        <v>0</v>
      </c>
      <c r="W226" s="867">
        <f t="shared" ca="1" si="129"/>
        <v>0</v>
      </c>
      <c r="X226" s="869">
        <f t="shared" ca="1" si="130"/>
        <v>0</v>
      </c>
      <c r="Y226" s="869">
        <f t="shared" ca="1" si="131"/>
        <v>0</v>
      </c>
      <c r="Z226" s="869">
        <f t="shared" ca="1" si="132"/>
        <v>0</v>
      </c>
      <c r="AA226" s="869">
        <f t="shared" ca="1" si="133"/>
        <v>0</v>
      </c>
      <c r="AB226" s="867">
        <f t="shared" ca="1" si="134"/>
        <v>0</v>
      </c>
      <c r="AC226" s="161"/>
      <c r="AD226" s="869">
        <f t="shared" ca="1" si="135"/>
        <v>0</v>
      </c>
      <c r="AE226" s="867" cm="1">
        <f t="array" ref="AE226">IF($G226=0,0,-MIN(0,$G226*c_equity.LPshare))</f>
        <v>0</v>
      </c>
      <c r="AF226" s="869" cm="1">
        <f t="array" ref="AF226">IF($D226=0,0,AD226*(c_rate.Hurdle2.MO))</f>
        <v>0</v>
      </c>
      <c r="AG226" s="869">
        <f t="shared" ca="1" si="136"/>
        <v>0</v>
      </c>
      <c r="AH226" s="869">
        <f t="shared" ca="1" si="137"/>
        <v>0</v>
      </c>
      <c r="AI226" s="869">
        <f t="shared" ca="1" si="138"/>
        <v>0</v>
      </c>
      <c r="AJ226" s="870">
        <f t="shared" ca="1" si="166"/>
        <v>0</v>
      </c>
      <c r="AK226" s="867">
        <f t="shared" ca="1" si="139"/>
        <v>0</v>
      </c>
      <c r="AL226" s="869">
        <f t="shared" ca="1" si="171"/>
        <v>0</v>
      </c>
      <c r="AM226" s="869">
        <f t="shared" ca="1" si="140"/>
        <v>0</v>
      </c>
      <c r="AN226" s="867">
        <f t="shared" ca="1" si="168"/>
        <v>0</v>
      </c>
      <c r="AO226" s="161"/>
      <c r="AP226" s="869">
        <f t="shared" ca="1" si="141"/>
        <v>0</v>
      </c>
      <c r="AQ226" s="867" cm="1">
        <f t="array" ref="AQ226">IF($G226=0,0,-MIN(0,$G226*c_equity.LPshare))</f>
        <v>0</v>
      </c>
      <c r="AR226" s="869" cm="1">
        <f t="array" ref="AR226">IF($D226=0,0,AP226*(c_rate.Hurdle3.MO))</f>
        <v>0</v>
      </c>
      <c r="AS226" s="869">
        <f t="shared" ca="1" si="142"/>
        <v>0</v>
      </c>
      <c r="AT226" s="869">
        <f t="shared" ca="1" si="143"/>
        <v>0</v>
      </c>
      <c r="AU226" s="869">
        <f t="shared" ca="1" si="144"/>
        <v>0</v>
      </c>
      <c r="AV226" s="870">
        <f t="shared" ca="1" si="145"/>
        <v>0</v>
      </c>
      <c r="AW226" s="867">
        <f t="shared" ca="1" si="146"/>
        <v>0</v>
      </c>
      <c r="AX226" s="869">
        <f t="shared" ca="1" si="172"/>
        <v>0</v>
      </c>
      <c r="AY226" s="869">
        <f t="shared" ca="1" si="147"/>
        <v>0</v>
      </c>
      <c r="AZ226" s="867">
        <f t="shared" ca="1" si="170"/>
        <v>0</v>
      </c>
      <c r="BA226" s="161"/>
      <c r="BB226" s="867">
        <f t="shared" ca="1" si="149"/>
        <v>0</v>
      </c>
      <c r="BC226" s="867">
        <f t="shared" ca="1" si="114"/>
        <v>0</v>
      </c>
      <c r="BD226" s="658"/>
      <c r="BE226" s="867">
        <f t="shared" ca="1" si="150"/>
        <v>0</v>
      </c>
      <c r="BF226" s="867">
        <f t="shared" ca="1" si="151"/>
        <v>0</v>
      </c>
      <c r="BG226" s="867">
        <f t="shared" ca="1" si="152"/>
        <v>0</v>
      </c>
      <c r="BI226" s="867">
        <f ca="1"/>
        <v>0</v>
      </c>
      <c r="BJ226" s="867">
        <f ca="1"/>
        <v>0</v>
      </c>
      <c r="BK226" s="867">
        <f ca="1"/>
        <v>0</v>
      </c>
      <c r="BL226" s="867">
        <f t="shared" ca="1" si="153"/>
        <v>0</v>
      </c>
      <c r="BM226" s="867">
        <f t="shared" ca="1" si="154"/>
        <v>0</v>
      </c>
      <c r="BN226" s="867">
        <f t="shared" ca="1" si="155"/>
        <v>0</v>
      </c>
      <c r="BO226" s="867">
        <f t="shared" ca="1" si="156"/>
        <v>0</v>
      </c>
      <c r="BP226" s="867">
        <f t="shared" ca="1" si="157"/>
        <v>0</v>
      </c>
      <c r="BQ226" s="867">
        <f t="shared" ca="1" si="158"/>
        <v>0</v>
      </c>
      <c r="BR226" s="867">
        <f ca="1"/>
        <v>0</v>
      </c>
      <c r="BS226" s="867">
        <f ca="1"/>
        <v>0</v>
      </c>
      <c r="BT226" s="867">
        <f t="shared" ca="1" si="119"/>
        <v>0</v>
      </c>
      <c r="BU226" s="867">
        <f t="shared" ca="1" si="159"/>
        <v>0</v>
      </c>
      <c r="BX226" s="867">
        <f ca="1"/>
        <v>0</v>
      </c>
      <c r="BY226" s="867">
        <f t="shared" ca="1" si="160"/>
        <v>0</v>
      </c>
      <c r="BZ226" s="867">
        <f t="shared" ca="1" si="161"/>
        <v>0</v>
      </c>
      <c r="CA226" s="867">
        <f t="shared" ca="1" si="162"/>
        <v>0</v>
      </c>
      <c r="CB226" s="867">
        <f t="shared" ca="1" si="163"/>
        <v>0</v>
      </c>
      <c r="CC226" s="867">
        <f t="shared" ca="1" si="164"/>
        <v>0</v>
      </c>
      <c r="CD226" s="867">
        <f t="shared" ca="1" si="165"/>
        <v>0</v>
      </c>
    </row>
    <row r="227" spans="1:82" ht="17" hidden="1" thickTop="1" thickBot="1">
      <c r="A227" s="773">
        <f t="shared" si="115"/>
        <v>0</v>
      </c>
      <c r="B227" s="779"/>
      <c r="D227" s="660"/>
      <c r="E227" s="661"/>
      <c r="F227" s="862"/>
      <c r="G227" s="863"/>
      <c r="H227" s="961"/>
      <c r="I227" s="865">
        <f t="shared" si="121"/>
        <v>0</v>
      </c>
      <c r="J227" s="864" cm="1">
        <f t="array" ref="J227">IF($G227=0,0,-MIN(0,G227*c_equity.LPshare))</f>
        <v>0</v>
      </c>
      <c r="K227" s="865" cm="1">
        <f t="array" ref="K227">I227*c_rate.Pref.MO</f>
        <v>0</v>
      </c>
      <c r="L227" s="865">
        <f t="shared" si="122"/>
        <v>0</v>
      </c>
      <c r="M227" s="865">
        <f t="shared" si="123"/>
        <v>0</v>
      </c>
      <c r="N227" s="865">
        <f t="shared" si="124"/>
        <v>0</v>
      </c>
      <c r="O227" s="864" cm="1">
        <f t="array" ref="O227">IF(N227=0,0,IF(G227&lt;0,N227/c_equity.LPshare*i_equity.GPshare,L227/c_equity.LPshare*i_equity.GPshare))</f>
        <v>0</v>
      </c>
      <c r="P227" s="865">
        <f t="shared" si="125"/>
        <v>0</v>
      </c>
      <c r="Q227" s="865">
        <f t="shared" si="126"/>
        <v>0</v>
      </c>
      <c r="R227" s="161"/>
      <c r="S227" s="867">
        <f t="shared" ca="1" si="127"/>
        <v>0</v>
      </c>
      <c r="T227" s="867" cm="1">
        <f t="array" ref="T227">IF($G227=0,0,-MIN(0,$G227*c_equity.LPshare))</f>
        <v>0</v>
      </c>
      <c r="U227" s="869" cm="1">
        <f t="array" ref="U227">IF($D227=0,0,S227*c_rate.Hurdle1.MO)</f>
        <v>0</v>
      </c>
      <c r="V227" s="867">
        <f t="shared" si="128"/>
        <v>0</v>
      </c>
      <c r="W227" s="867">
        <f t="shared" ca="1" si="129"/>
        <v>0</v>
      </c>
      <c r="X227" s="869">
        <f t="shared" ca="1" si="130"/>
        <v>0</v>
      </c>
      <c r="Y227" s="869">
        <f t="shared" ca="1" si="131"/>
        <v>0</v>
      </c>
      <c r="Z227" s="869">
        <f t="shared" ca="1" si="132"/>
        <v>0</v>
      </c>
      <c r="AA227" s="869">
        <f t="shared" ca="1" si="133"/>
        <v>0</v>
      </c>
      <c r="AB227" s="867">
        <f t="shared" ca="1" si="134"/>
        <v>0</v>
      </c>
      <c r="AC227" s="161"/>
      <c r="AD227" s="869">
        <f t="shared" ca="1" si="135"/>
        <v>0</v>
      </c>
      <c r="AE227" s="867" cm="1">
        <f t="array" ref="AE227">IF($G227=0,0,-MIN(0,$G227*c_equity.LPshare))</f>
        <v>0</v>
      </c>
      <c r="AF227" s="869" cm="1">
        <f t="array" ref="AF227">IF($D227=0,0,AD227*(c_rate.Hurdle2.MO))</f>
        <v>0</v>
      </c>
      <c r="AG227" s="869">
        <f t="shared" ca="1" si="136"/>
        <v>0</v>
      </c>
      <c r="AH227" s="869">
        <f t="shared" ca="1" si="137"/>
        <v>0</v>
      </c>
      <c r="AI227" s="869">
        <f t="shared" ca="1" si="138"/>
        <v>0</v>
      </c>
      <c r="AJ227" s="870">
        <f t="shared" ca="1" si="166"/>
        <v>0</v>
      </c>
      <c r="AK227" s="867">
        <f t="shared" ca="1" si="139"/>
        <v>0</v>
      </c>
      <c r="AL227" s="869">
        <f t="shared" ca="1" si="171"/>
        <v>0</v>
      </c>
      <c r="AM227" s="869">
        <f t="shared" ca="1" si="140"/>
        <v>0</v>
      </c>
      <c r="AN227" s="867">
        <f t="shared" ca="1" si="168"/>
        <v>0</v>
      </c>
      <c r="AO227" s="161"/>
      <c r="AP227" s="869">
        <f t="shared" ca="1" si="141"/>
        <v>0</v>
      </c>
      <c r="AQ227" s="867" cm="1">
        <f t="array" ref="AQ227">IF($G227=0,0,-MIN(0,$G227*c_equity.LPshare))</f>
        <v>0</v>
      </c>
      <c r="AR227" s="869" cm="1">
        <f t="array" ref="AR227">IF($D227=0,0,AP227*(c_rate.Hurdle3.MO))</f>
        <v>0</v>
      </c>
      <c r="AS227" s="869">
        <f t="shared" ca="1" si="142"/>
        <v>0</v>
      </c>
      <c r="AT227" s="869">
        <f t="shared" ca="1" si="143"/>
        <v>0</v>
      </c>
      <c r="AU227" s="869">
        <f t="shared" ca="1" si="144"/>
        <v>0</v>
      </c>
      <c r="AV227" s="870">
        <f t="shared" ca="1" si="145"/>
        <v>0</v>
      </c>
      <c r="AW227" s="867">
        <f t="shared" ca="1" si="146"/>
        <v>0</v>
      </c>
      <c r="AX227" s="869">
        <f t="shared" ca="1" si="172"/>
        <v>0</v>
      </c>
      <c r="AY227" s="869">
        <f t="shared" ca="1" si="147"/>
        <v>0</v>
      </c>
      <c r="AZ227" s="867">
        <f t="shared" ca="1" si="170"/>
        <v>0</v>
      </c>
      <c r="BA227" s="161"/>
      <c r="BB227" s="867">
        <f t="shared" ca="1" si="149"/>
        <v>0</v>
      </c>
      <c r="BC227" s="867">
        <f t="shared" ca="1" si="114"/>
        <v>0</v>
      </c>
      <c r="BD227" s="658"/>
      <c r="BE227" s="867">
        <f t="shared" ca="1" si="150"/>
        <v>0</v>
      </c>
      <c r="BF227" s="867">
        <f t="shared" ca="1" si="151"/>
        <v>0</v>
      </c>
      <c r="BG227" s="867">
        <f t="shared" ca="1" si="152"/>
        <v>0</v>
      </c>
      <c r="BI227" s="867">
        <f ca="1"/>
        <v>0</v>
      </c>
      <c r="BJ227" s="867">
        <f ca="1"/>
        <v>0</v>
      </c>
      <c r="BK227" s="867">
        <f ca="1"/>
        <v>0</v>
      </c>
      <c r="BL227" s="867">
        <f t="shared" ca="1" si="153"/>
        <v>0</v>
      </c>
      <c r="BM227" s="867">
        <f t="shared" ca="1" si="154"/>
        <v>0</v>
      </c>
      <c r="BN227" s="867">
        <f t="shared" ca="1" si="155"/>
        <v>0</v>
      </c>
      <c r="BO227" s="867">
        <f t="shared" ca="1" si="156"/>
        <v>0</v>
      </c>
      <c r="BP227" s="867">
        <f t="shared" ca="1" si="157"/>
        <v>0</v>
      </c>
      <c r="BQ227" s="867">
        <f t="shared" ca="1" si="158"/>
        <v>0</v>
      </c>
      <c r="BR227" s="867">
        <f ca="1"/>
        <v>0</v>
      </c>
      <c r="BS227" s="867">
        <f ca="1"/>
        <v>0</v>
      </c>
      <c r="BT227" s="867">
        <f t="shared" ca="1" si="119"/>
        <v>0</v>
      </c>
      <c r="BU227" s="867">
        <f t="shared" ca="1" si="159"/>
        <v>0</v>
      </c>
      <c r="BX227" s="867">
        <f ca="1"/>
        <v>0</v>
      </c>
      <c r="BY227" s="867">
        <f t="shared" ca="1" si="160"/>
        <v>0</v>
      </c>
      <c r="BZ227" s="867">
        <f t="shared" ca="1" si="161"/>
        <v>0</v>
      </c>
      <c r="CA227" s="867">
        <f t="shared" ca="1" si="162"/>
        <v>0</v>
      </c>
      <c r="CB227" s="867">
        <f t="shared" ca="1" si="163"/>
        <v>0</v>
      </c>
      <c r="CC227" s="867">
        <f t="shared" ca="1" si="164"/>
        <v>0</v>
      </c>
      <c r="CD227" s="867">
        <f t="shared" ca="1" si="165"/>
        <v>0</v>
      </c>
    </row>
    <row r="228" spans="1:82" ht="17" hidden="1" thickTop="1" thickBot="1">
      <c r="A228" s="773">
        <f t="shared" si="115"/>
        <v>0</v>
      </c>
      <c r="B228" s="779"/>
      <c r="D228" s="660"/>
      <c r="E228" s="661"/>
      <c r="F228" s="862"/>
      <c r="G228" s="863"/>
      <c r="H228" s="961"/>
      <c r="I228" s="865">
        <f t="shared" si="121"/>
        <v>0</v>
      </c>
      <c r="J228" s="864" cm="1">
        <f t="array" ref="J228">IF($G228=0,0,-MIN(0,G228*c_equity.LPshare))</f>
        <v>0</v>
      </c>
      <c r="K228" s="865" cm="1">
        <f t="array" ref="K228">I228*c_rate.Pref.MO</f>
        <v>0</v>
      </c>
      <c r="L228" s="865">
        <f t="shared" si="122"/>
        <v>0</v>
      </c>
      <c r="M228" s="865">
        <f t="shared" si="123"/>
        <v>0</v>
      </c>
      <c r="N228" s="865">
        <f t="shared" si="124"/>
        <v>0</v>
      </c>
      <c r="O228" s="864" cm="1">
        <f t="array" ref="O228">IF(N228=0,0,IF(G228&lt;0,N228/c_equity.LPshare*i_equity.GPshare,L228/c_equity.LPshare*i_equity.GPshare))</f>
        <v>0</v>
      </c>
      <c r="P228" s="865">
        <f t="shared" si="125"/>
        <v>0</v>
      </c>
      <c r="Q228" s="865">
        <f t="shared" si="126"/>
        <v>0</v>
      </c>
      <c r="R228" s="161"/>
      <c r="S228" s="867">
        <f t="shared" ca="1" si="127"/>
        <v>0</v>
      </c>
      <c r="T228" s="867" cm="1">
        <f t="array" ref="T228">IF($G228=0,0,-MIN(0,$G228*c_equity.LPshare))</f>
        <v>0</v>
      </c>
      <c r="U228" s="869" cm="1">
        <f t="array" ref="U228">IF($D228=0,0,S228*c_rate.Hurdle1.MO)</f>
        <v>0</v>
      </c>
      <c r="V228" s="867">
        <f t="shared" si="128"/>
        <v>0</v>
      </c>
      <c r="W228" s="867">
        <f t="shared" ca="1" si="129"/>
        <v>0</v>
      </c>
      <c r="X228" s="869">
        <f t="shared" ca="1" si="130"/>
        <v>0</v>
      </c>
      <c r="Y228" s="869">
        <f t="shared" ca="1" si="131"/>
        <v>0</v>
      </c>
      <c r="Z228" s="869">
        <f t="shared" ca="1" si="132"/>
        <v>0</v>
      </c>
      <c r="AA228" s="869">
        <f t="shared" ca="1" si="133"/>
        <v>0</v>
      </c>
      <c r="AB228" s="867">
        <f t="shared" ca="1" si="134"/>
        <v>0</v>
      </c>
      <c r="AC228" s="161"/>
      <c r="AD228" s="869">
        <f t="shared" ca="1" si="135"/>
        <v>0</v>
      </c>
      <c r="AE228" s="867" cm="1">
        <f t="array" ref="AE228">IF($G228=0,0,-MIN(0,$G228*c_equity.LPshare))</f>
        <v>0</v>
      </c>
      <c r="AF228" s="869" cm="1">
        <f t="array" ref="AF228">IF($D228=0,0,AD228*(c_rate.Hurdle2.MO))</f>
        <v>0</v>
      </c>
      <c r="AG228" s="869">
        <f t="shared" ca="1" si="136"/>
        <v>0</v>
      </c>
      <c r="AH228" s="869">
        <f t="shared" ca="1" si="137"/>
        <v>0</v>
      </c>
      <c r="AI228" s="869">
        <f t="shared" ca="1" si="138"/>
        <v>0</v>
      </c>
      <c r="AJ228" s="870">
        <f t="shared" ca="1" si="166"/>
        <v>0</v>
      </c>
      <c r="AK228" s="867">
        <f t="shared" ca="1" si="139"/>
        <v>0</v>
      </c>
      <c r="AL228" s="869">
        <f t="shared" ca="1" si="171"/>
        <v>0</v>
      </c>
      <c r="AM228" s="869">
        <f t="shared" ca="1" si="140"/>
        <v>0</v>
      </c>
      <c r="AN228" s="867">
        <f t="shared" ca="1" si="168"/>
        <v>0</v>
      </c>
      <c r="AO228" s="161"/>
      <c r="AP228" s="869">
        <f t="shared" ca="1" si="141"/>
        <v>0</v>
      </c>
      <c r="AQ228" s="867" cm="1">
        <f t="array" ref="AQ228">IF($G228=0,0,-MIN(0,$G228*c_equity.LPshare))</f>
        <v>0</v>
      </c>
      <c r="AR228" s="869" cm="1">
        <f t="array" ref="AR228">IF($D228=0,0,AP228*(c_rate.Hurdle3.MO))</f>
        <v>0</v>
      </c>
      <c r="AS228" s="869">
        <f t="shared" ca="1" si="142"/>
        <v>0</v>
      </c>
      <c r="AT228" s="869">
        <f t="shared" ca="1" si="143"/>
        <v>0</v>
      </c>
      <c r="AU228" s="869">
        <f t="shared" ca="1" si="144"/>
        <v>0</v>
      </c>
      <c r="AV228" s="870">
        <f t="shared" ca="1" si="145"/>
        <v>0</v>
      </c>
      <c r="AW228" s="867">
        <f t="shared" ca="1" si="146"/>
        <v>0</v>
      </c>
      <c r="AX228" s="869">
        <f t="shared" ca="1" si="172"/>
        <v>0</v>
      </c>
      <c r="AY228" s="869">
        <f t="shared" ca="1" si="147"/>
        <v>0</v>
      </c>
      <c r="AZ228" s="867">
        <f t="shared" ca="1" si="170"/>
        <v>0</v>
      </c>
      <c r="BA228" s="161"/>
      <c r="BB228" s="867">
        <f t="shared" ca="1" si="149"/>
        <v>0</v>
      </c>
      <c r="BC228" s="867">
        <f t="shared" ca="1" si="114"/>
        <v>0</v>
      </c>
      <c r="BD228" s="658"/>
      <c r="BE228" s="867">
        <f t="shared" ca="1" si="150"/>
        <v>0</v>
      </c>
      <c r="BF228" s="867">
        <f t="shared" ca="1" si="151"/>
        <v>0</v>
      </c>
      <c r="BG228" s="867">
        <f t="shared" ca="1" si="152"/>
        <v>0</v>
      </c>
      <c r="BI228" s="867">
        <f ca="1"/>
        <v>0</v>
      </c>
      <c r="BJ228" s="867">
        <f ca="1"/>
        <v>0</v>
      </c>
      <c r="BK228" s="867">
        <f ca="1"/>
        <v>0</v>
      </c>
      <c r="BL228" s="867">
        <f t="shared" ca="1" si="153"/>
        <v>0</v>
      </c>
      <c r="BM228" s="867">
        <f t="shared" ca="1" si="154"/>
        <v>0</v>
      </c>
      <c r="BN228" s="867">
        <f t="shared" ca="1" si="155"/>
        <v>0</v>
      </c>
      <c r="BO228" s="867">
        <f t="shared" ca="1" si="156"/>
        <v>0</v>
      </c>
      <c r="BP228" s="867">
        <f t="shared" ca="1" si="157"/>
        <v>0</v>
      </c>
      <c r="BQ228" s="867">
        <f t="shared" ca="1" si="158"/>
        <v>0</v>
      </c>
      <c r="BR228" s="867">
        <f ca="1"/>
        <v>0</v>
      </c>
      <c r="BS228" s="867">
        <f ca="1"/>
        <v>0</v>
      </c>
      <c r="BT228" s="867">
        <f t="shared" ca="1" si="119"/>
        <v>0</v>
      </c>
      <c r="BU228" s="867">
        <f t="shared" ca="1" si="159"/>
        <v>0</v>
      </c>
      <c r="BX228" s="867">
        <f ca="1"/>
        <v>0</v>
      </c>
      <c r="BY228" s="867">
        <f t="shared" ca="1" si="160"/>
        <v>0</v>
      </c>
      <c r="BZ228" s="867">
        <f t="shared" ca="1" si="161"/>
        <v>0</v>
      </c>
      <c r="CA228" s="867">
        <f t="shared" ca="1" si="162"/>
        <v>0</v>
      </c>
      <c r="CB228" s="867">
        <f t="shared" ca="1" si="163"/>
        <v>0</v>
      </c>
      <c r="CC228" s="867">
        <f t="shared" ca="1" si="164"/>
        <v>0</v>
      </c>
      <c r="CD228" s="867">
        <f t="shared" ca="1" si="165"/>
        <v>0</v>
      </c>
    </row>
    <row r="229" spans="1:82" ht="17" hidden="1" thickTop="1" thickBot="1">
      <c r="A229" s="773">
        <f t="shared" si="115"/>
        <v>0</v>
      </c>
      <c r="B229" s="779"/>
      <c r="D229" s="660"/>
      <c r="E229" s="661"/>
      <c r="F229" s="862"/>
      <c r="G229" s="863"/>
      <c r="H229" s="961"/>
      <c r="I229" s="865">
        <f t="shared" si="121"/>
        <v>0</v>
      </c>
      <c r="J229" s="864" cm="1">
        <f t="array" ref="J229">IF($G229=0,0,-MIN(0,G229*c_equity.LPshare))</f>
        <v>0</v>
      </c>
      <c r="K229" s="865" cm="1">
        <f t="array" ref="K229">I229*c_rate.Pref.MO</f>
        <v>0</v>
      </c>
      <c r="L229" s="865">
        <f t="shared" si="122"/>
        <v>0</v>
      </c>
      <c r="M229" s="865">
        <f t="shared" si="123"/>
        <v>0</v>
      </c>
      <c r="N229" s="865">
        <f t="shared" si="124"/>
        <v>0</v>
      </c>
      <c r="O229" s="864" cm="1">
        <f t="array" ref="O229">IF(N229=0,0,IF(G229&lt;0,N229/c_equity.LPshare*i_equity.GPshare,L229/c_equity.LPshare*i_equity.GPshare))</f>
        <v>0</v>
      </c>
      <c r="P229" s="865">
        <f t="shared" si="125"/>
        <v>0</v>
      </c>
      <c r="Q229" s="865">
        <f t="shared" si="126"/>
        <v>0</v>
      </c>
      <c r="R229" s="161"/>
      <c r="S229" s="867">
        <f t="shared" ca="1" si="127"/>
        <v>0</v>
      </c>
      <c r="T229" s="867" cm="1">
        <f t="array" ref="T229">IF($G229=0,0,-MIN(0,$G229*c_equity.LPshare))</f>
        <v>0</v>
      </c>
      <c r="U229" s="869" cm="1">
        <f t="array" ref="U229">IF($D229=0,0,S229*c_rate.Hurdle1.MO)</f>
        <v>0</v>
      </c>
      <c r="V229" s="867">
        <f t="shared" si="128"/>
        <v>0</v>
      </c>
      <c r="W229" s="867">
        <f t="shared" ca="1" si="129"/>
        <v>0</v>
      </c>
      <c r="X229" s="869">
        <f t="shared" ca="1" si="130"/>
        <v>0</v>
      </c>
      <c r="Y229" s="869">
        <f t="shared" ca="1" si="131"/>
        <v>0</v>
      </c>
      <c r="Z229" s="869">
        <f t="shared" ca="1" si="132"/>
        <v>0</v>
      </c>
      <c r="AA229" s="869">
        <f t="shared" ca="1" si="133"/>
        <v>0</v>
      </c>
      <c r="AB229" s="867">
        <f t="shared" ca="1" si="134"/>
        <v>0</v>
      </c>
      <c r="AC229" s="161"/>
      <c r="AD229" s="869">
        <f t="shared" ca="1" si="135"/>
        <v>0</v>
      </c>
      <c r="AE229" s="867" cm="1">
        <f t="array" ref="AE229">IF($G229=0,0,-MIN(0,$G229*c_equity.LPshare))</f>
        <v>0</v>
      </c>
      <c r="AF229" s="869" cm="1">
        <f t="array" ref="AF229">IF($D229=0,0,AD229*(c_rate.Hurdle2.MO))</f>
        <v>0</v>
      </c>
      <c r="AG229" s="869">
        <f t="shared" ca="1" si="136"/>
        <v>0</v>
      </c>
      <c r="AH229" s="869">
        <f t="shared" ca="1" si="137"/>
        <v>0</v>
      </c>
      <c r="AI229" s="869">
        <f t="shared" ca="1" si="138"/>
        <v>0</v>
      </c>
      <c r="AJ229" s="870">
        <f t="shared" ca="1" si="166"/>
        <v>0</v>
      </c>
      <c r="AK229" s="867">
        <f t="shared" ca="1" si="139"/>
        <v>0</v>
      </c>
      <c r="AL229" s="869">
        <f t="shared" ca="1" si="171"/>
        <v>0</v>
      </c>
      <c r="AM229" s="869">
        <f t="shared" ca="1" si="140"/>
        <v>0</v>
      </c>
      <c r="AN229" s="867">
        <f t="shared" ca="1" si="168"/>
        <v>0</v>
      </c>
      <c r="AO229" s="161"/>
      <c r="AP229" s="869">
        <f t="shared" ca="1" si="141"/>
        <v>0</v>
      </c>
      <c r="AQ229" s="867" cm="1">
        <f t="array" ref="AQ229">IF($G229=0,0,-MIN(0,$G229*c_equity.LPshare))</f>
        <v>0</v>
      </c>
      <c r="AR229" s="869" cm="1">
        <f t="array" ref="AR229">IF($D229=0,0,AP229*(c_rate.Hurdle3.MO))</f>
        <v>0</v>
      </c>
      <c r="AS229" s="869">
        <f t="shared" ca="1" si="142"/>
        <v>0</v>
      </c>
      <c r="AT229" s="869">
        <f t="shared" ca="1" si="143"/>
        <v>0</v>
      </c>
      <c r="AU229" s="869">
        <f t="shared" ca="1" si="144"/>
        <v>0</v>
      </c>
      <c r="AV229" s="870">
        <f t="shared" ca="1" si="145"/>
        <v>0</v>
      </c>
      <c r="AW229" s="867">
        <f t="shared" ca="1" si="146"/>
        <v>0</v>
      </c>
      <c r="AX229" s="869">
        <f t="shared" ca="1" si="172"/>
        <v>0</v>
      </c>
      <c r="AY229" s="869">
        <f t="shared" ca="1" si="147"/>
        <v>0</v>
      </c>
      <c r="AZ229" s="867">
        <f t="shared" ca="1" si="170"/>
        <v>0</v>
      </c>
      <c r="BA229" s="161"/>
      <c r="BB229" s="867">
        <f t="shared" ca="1" si="149"/>
        <v>0</v>
      </c>
      <c r="BC229" s="867">
        <f t="shared" ca="1" si="114"/>
        <v>0</v>
      </c>
      <c r="BD229" s="658"/>
      <c r="BE229" s="867">
        <f t="shared" ca="1" si="150"/>
        <v>0</v>
      </c>
      <c r="BF229" s="867">
        <f t="shared" ca="1" si="151"/>
        <v>0</v>
      </c>
      <c r="BG229" s="867">
        <f t="shared" ca="1" si="152"/>
        <v>0</v>
      </c>
      <c r="BI229" s="867">
        <f ca="1"/>
        <v>0</v>
      </c>
      <c r="BJ229" s="867">
        <f ca="1"/>
        <v>0</v>
      </c>
      <c r="BK229" s="867">
        <f ca="1"/>
        <v>0</v>
      </c>
      <c r="BL229" s="867">
        <f t="shared" ca="1" si="153"/>
        <v>0</v>
      </c>
      <c r="BM229" s="867">
        <f t="shared" ca="1" si="154"/>
        <v>0</v>
      </c>
      <c r="BN229" s="867">
        <f t="shared" ca="1" si="155"/>
        <v>0</v>
      </c>
      <c r="BO229" s="867">
        <f t="shared" ca="1" si="156"/>
        <v>0</v>
      </c>
      <c r="BP229" s="867">
        <f t="shared" ca="1" si="157"/>
        <v>0</v>
      </c>
      <c r="BQ229" s="867">
        <f t="shared" ca="1" si="158"/>
        <v>0</v>
      </c>
      <c r="BR229" s="867">
        <f ca="1"/>
        <v>0</v>
      </c>
      <c r="BS229" s="867">
        <f ca="1"/>
        <v>0</v>
      </c>
      <c r="BT229" s="867">
        <f t="shared" ca="1" si="119"/>
        <v>0</v>
      </c>
      <c r="BU229" s="867">
        <f t="shared" ca="1" si="159"/>
        <v>0</v>
      </c>
      <c r="BX229" s="867">
        <f ca="1"/>
        <v>0</v>
      </c>
      <c r="BY229" s="867">
        <f t="shared" ca="1" si="160"/>
        <v>0</v>
      </c>
      <c r="BZ229" s="867">
        <f t="shared" ca="1" si="161"/>
        <v>0</v>
      </c>
      <c r="CA229" s="867">
        <f t="shared" ca="1" si="162"/>
        <v>0</v>
      </c>
      <c r="CB229" s="867">
        <f t="shared" ca="1" si="163"/>
        <v>0</v>
      </c>
      <c r="CC229" s="867">
        <f t="shared" ca="1" si="164"/>
        <v>0</v>
      </c>
      <c r="CD229" s="867">
        <f t="shared" ca="1" si="165"/>
        <v>0</v>
      </c>
    </row>
    <row r="230" spans="1:82" ht="17" hidden="1" thickTop="1" thickBot="1">
      <c r="A230" s="773">
        <f t="shared" si="115"/>
        <v>0</v>
      </c>
      <c r="B230" s="779"/>
      <c r="D230" s="660"/>
      <c r="E230" s="661"/>
      <c r="F230" s="862"/>
      <c r="G230" s="863"/>
      <c r="H230" s="961"/>
      <c r="I230" s="865">
        <f t="shared" si="121"/>
        <v>0</v>
      </c>
      <c r="J230" s="864" cm="1">
        <f t="array" ref="J230">IF($G230=0,0,-MIN(0,G230*c_equity.LPshare))</f>
        <v>0</v>
      </c>
      <c r="K230" s="865" cm="1">
        <f t="array" ref="K230">I230*c_rate.Pref.MO</f>
        <v>0</v>
      </c>
      <c r="L230" s="865">
        <f t="shared" si="122"/>
        <v>0</v>
      </c>
      <c r="M230" s="865">
        <f t="shared" si="123"/>
        <v>0</v>
      </c>
      <c r="N230" s="865">
        <f t="shared" si="124"/>
        <v>0</v>
      </c>
      <c r="O230" s="864" cm="1">
        <f t="array" ref="O230">IF(N230=0,0,IF(G230&lt;0,N230/c_equity.LPshare*i_equity.GPshare,L230/c_equity.LPshare*i_equity.GPshare))</f>
        <v>0</v>
      </c>
      <c r="P230" s="865">
        <f t="shared" si="125"/>
        <v>0</v>
      </c>
      <c r="Q230" s="865">
        <f t="shared" si="126"/>
        <v>0</v>
      </c>
      <c r="R230" s="161"/>
      <c r="S230" s="867">
        <f t="shared" ca="1" si="127"/>
        <v>0</v>
      </c>
      <c r="T230" s="867" cm="1">
        <f t="array" ref="T230">IF($G230=0,0,-MIN(0,$G230*c_equity.LPshare))</f>
        <v>0</v>
      </c>
      <c r="U230" s="869" cm="1">
        <f t="array" ref="U230">IF($D230=0,0,S230*c_rate.Hurdle1.MO)</f>
        <v>0</v>
      </c>
      <c r="V230" s="867">
        <f t="shared" si="128"/>
        <v>0</v>
      </c>
      <c r="W230" s="867">
        <f t="shared" ca="1" si="129"/>
        <v>0</v>
      </c>
      <c r="X230" s="869">
        <f t="shared" ca="1" si="130"/>
        <v>0</v>
      </c>
      <c r="Y230" s="869">
        <f t="shared" ca="1" si="131"/>
        <v>0</v>
      </c>
      <c r="Z230" s="869">
        <f t="shared" ca="1" si="132"/>
        <v>0</v>
      </c>
      <c r="AA230" s="869">
        <f t="shared" ca="1" si="133"/>
        <v>0</v>
      </c>
      <c r="AB230" s="867">
        <f t="shared" ca="1" si="134"/>
        <v>0</v>
      </c>
      <c r="AC230" s="161"/>
      <c r="AD230" s="869">
        <f t="shared" ca="1" si="135"/>
        <v>0</v>
      </c>
      <c r="AE230" s="867" cm="1">
        <f t="array" ref="AE230">IF($G230=0,0,-MIN(0,$G230*c_equity.LPshare))</f>
        <v>0</v>
      </c>
      <c r="AF230" s="869" cm="1">
        <f t="array" ref="AF230">IF($D230=0,0,AD230*(c_rate.Hurdle2.MO))</f>
        <v>0</v>
      </c>
      <c r="AG230" s="869">
        <f t="shared" ca="1" si="136"/>
        <v>0</v>
      </c>
      <c r="AH230" s="869">
        <f t="shared" ca="1" si="137"/>
        <v>0</v>
      </c>
      <c r="AI230" s="869">
        <f t="shared" ca="1" si="138"/>
        <v>0</v>
      </c>
      <c r="AJ230" s="870">
        <f t="shared" ca="1" si="166"/>
        <v>0</v>
      </c>
      <c r="AK230" s="867">
        <f t="shared" ca="1" si="139"/>
        <v>0</v>
      </c>
      <c r="AL230" s="869">
        <f t="shared" ca="1" si="171"/>
        <v>0</v>
      </c>
      <c r="AM230" s="869">
        <f t="shared" ca="1" si="140"/>
        <v>0</v>
      </c>
      <c r="AN230" s="867">
        <f t="shared" ca="1" si="168"/>
        <v>0</v>
      </c>
      <c r="AO230" s="161"/>
      <c r="AP230" s="869">
        <f t="shared" ca="1" si="141"/>
        <v>0</v>
      </c>
      <c r="AQ230" s="867" cm="1">
        <f t="array" ref="AQ230">IF($G230=0,0,-MIN(0,$G230*c_equity.LPshare))</f>
        <v>0</v>
      </c>
      <c r="AR230" s="869" cm="1">
        <f t="array" ref="AR230">IF($D230=0,0,AP230*(c_rate.Hurdle3.MO))</f>
        <v>0</v>
      </c>
      <c r="AS230" s="869">
        <f t="shared" ca="1" si="142"/>
        <v>0</v>
      </c>
      <c r="AT230" s="869">
        <f t="shared" ca="1" si="143"/>
        <v>0</v>
      </c>
      <c r="AU230" s="869">
        <f t="shared" ca="1" si="144"/>
        <v>0</v>
      </c>
      <c r="AV230" s="870">
        <f t="shared" ca="1" si="145"/>
        <v>0</v>
      </c>
      <c r="AW230" s="867">
        <f t="shared" ca="1" si="146"/>
        <v>0</v>
      </c>
      <c r="AX230" s="869">
        <f t="shared" ca="1" si="172"/>
        <v>0</v>
      </c>
      <c r="AY230" s="869">
        <f t="shared" ca="1" si="147"/>
        <v>0</v>
      </c>
      <c r="AZ230" s="867">
        <f t="shared" ca="1" si="170"/>
        <v>0</v>
      </c>
      <c r="BA230" s="161"/>
      <c r="BB230" s="867">
        <f t="shared" ca="1" si="149"/>
        <v>0</v>
      </c>
      <c r="BC230" s="867">
        <f t="shared" ca="1" si="114"/>
        <v>0</v>
      </c>
      <c r="BD230" s="658"/>
      <c r="BE230" s="867">
        <f t="shared" ca="1" si="150"/>
        <v>0</v>
      </c>
      <c r="BF230" s="867">
        <f t="shared" ca="1" si="151"/>
        <v>0</v>
      </c>
      <c r="BG230" s="867">
        <f t="shared" ca="1" si="152"/>
        <v>0</v>
      </c>
      <c r="BI230" s="867">
        <f ca="1"/>
        <v>0</v>
      </c>
      <c r="BJ230" s="867">
        <f ca="1"/>
        <v>0</v>
      </c>
      <c r="BK230" s="867">
        <f ca="1"/>
        <v>0</v>
      </c>
      <c r="BL230" s="867">
        <f t="shared" ca="1" si="153"/>
        <v>0</v>
      </c>
      <c r="BM230" s="867">
        <f t="shared" ca="1" si="154"/>
        <v>0</v>
      </c>
      <c r="BN230" s="867">
        <f t="shared" ca="1" si="155"/>
        <v>0</v>
      </c>
      <c r="BO230" s="867">
        <f t="shared" ca="1" si="156"/>
        <v>0</v>
      </c>
      <c r="BP230" s="867">
        <f t="shared" ca="1" si="157"/>
        <v>0</v>
      </c>
      <c r="BQ230" s="867">
        <f t="shared" ca="1" si="158"/>
        <v>0</v>
      </c>
      <c r="BR230" s="867">
        <f ca="1"/>
        <v>0</v>
      </c>
      <c r="BS230" s="867">
        <f ca="1"/>
        <v>0</v>
      </c>
      <c r="BT230" s="867">
        <f t="shared" ca="1" si="119"/>
        <v>0</v>
      </c>
      <c r="BU230" s="867">
        <f t="shared" ca="1" si="159"/>
        <v>0</v>
      </c>
      <c r="BX230" s="867">
        <f ca="1"/>
        <v>0</v>
      </c>
      <c r="BY230" s="867">
        <f t="shared" ca="1" si="160"/>
        <v>0</v>
      </c>
      <c r="BZ230" s="867">
        <f t="shared" ca="1" si="161"/>
        <v>0</v>
      </c>
      <c r="CA230" s="867">
        <f t="shared" ca="1" si="162"/>
        <v>0</v>
      </c>
      <c r="CB230" s="867">
        <f t="shared" ca="1" si="163"/>
        <v>0</v>
      </c>
      <c r="CC230" s="867">
        <f t="shared" ca="1" si="164"/>
        <v>0</v>
      </c>
      <c r="CD230" s="867">
        <f t="shared" ca="1" si="165"/>
        <v>0</v>
      </c>
    </row>
    <row r="231" spans="1:82" ht="17" hidden="1" thickTop="1" thickBot="1">
      <c r="A231" s="773">
        <f t="shared" si="115"/>
        <v>0</v>
      </c>
      <c r="B231" s="779"/>
      <c r="D231" s="660"/>
      <c r="E231" s="661"/>
      <c r="F231" s="862"/>
      <c r="G231" s="863"/>
      <c r="H231" s="961"/>
      <c r="I231" s="865">
        <f t="shared" si="121"/>
        <v>0</v>
      </c>
      <c r="J231" s="864" cm="1">
        <f t="array" ref="J231">IF($G231=0,0,-MIN(0,G231*c_equity.LPshare))</f>
        <v>0</v>
      </c>
      <c r="K231" s="865" cm="1">
        <f t="array" ref="K231">I231*c_rate.Pref.MO</f>
        <v>0</v>
      </c>
      <c r="L231" s="865">
        <f t="shared" si="122"/>
        <v>0</v>
      </c>
      <c r="M231" s="865">
        <f t="shared" si="123"/>
        <v>0</v>
      </c>
      <c r="N231" s="865">
        <f t="shared" si="124"/>
        <v>0</v>
      </c>
      <c r="O231" s="864" cm="1">
        <f t="array" ref="O231">IF(N231=0,0,IF(G231&lt;0,N231/c_equity.LPshare*i_equity.GPshare,L231/c_equity.LPshare*i_equity.GPshare))</f>
        <v>0</v>
      </c>
      <c r="P231" s="865">
        <f t="shared" si="125"/>
        <v>0</v>
      </c>
      <c r="Q231" s="865">
        <f t="shared" si="126"/>
        <v>0</v>
      </c>
      <c r="R231" s="161"/>
      <c r="S231" s="867">
        <f t="shared" ca="1" si="127"/>
        <v>0</v>
      </c>
      <c r="T231" s="867" cm="1">
        <f t="array" ref="T231">IF($G231=0,0,-MIN(0,$G231*c_equity.LPshare))</f>
        <v>0</v>
      </c>
      <c r="U231" s="869" cm="1">
        <f t="array" ref="U231">IF($D231=0,0,S231*c_rate.Hurdle1.MO)</f>
        <v>0</v>
      </c>
      <c r="V231" s="867">
        <f t="shared" si="128"/>
        <v>0</v>
      </c>
      <c r="W231" s="867">
        <f t="shared" ca="1" si="129"/>
        <v>0</v>
      </c>
      <c r="X231" s="869">
        <f t="shared" ca="1" si="130"/>
        <v>0</v>
      </c>
      <c r="Y231" s="869">
        <f t="shared" ca="1" si="131"/>
        <v>0</v>
      </c>
      <c r="Z231" s="869">
        <f t="shared" ca="1" si="132"/>
        <v>0</v>
      </c>
      <c r="AA231" s="869">
        <f t="shared" ca="1" si="133"/>
        <v>0</v>
      </c>
      <c r="AB231" s="867">
        <f t="shared" ca="1" si="134"/>
        <v>0</v>
      </c>
      <c r="AC231" s="161"/>
      <c r="AD231" s="869">
        <f t="shared" ca="1" si="135"/>
        <v>0</v>
      </c>
      <c r="AE231" s="867" cm="1">
        <f t="array" ref="AE231">IF($G231=0,0,-MIN(0,$G231*c_equity.LPshare))</f>
        <v>0</v>
      </c>
      <c r="AF231" s="869" cm="1">
        <f t="array" ref="AF231">IF($D231=0,0,AD231*(c_rate.Hurdle2.MO))</f>
        <v>0</v>
      </c>
      <c r="AG231" s="869">
        <f t="shared" ca="1" si="136"/>
        <v>0</v>
      </c>
      <c r="AH231" s="869">
        <f t="shared" ca="1" si="137"/>
        <v>0</v>
      </c>
      <c r="AI231" s="869">
        <f t="shared" ca="1" si="138"/>
        <v>0</v>
      </c>
      <c r="AJ231" s="870">
        <f t="shared" ca="1" si="166"/>
        <v>0</v>
      </c>
      <c r="AK231" s="867">
        <f t="shared" ca="1" si="139"/>
        <v>0</v>
      </c>
      <c r="AL231" s="869">
        <f t="shared" ca="1" si="171"/>
        <v>0</v>
      </c>
      <c r="AM231" s="869">
        <f t="shared" ca="1" si="140"/>
        <v>0</v>
      </c>
      <c r="AN231" s="867">
        <f t="shared" ca="1" si="168"/>
        <v>0</v>
      </c>
      <c r="AO231" s="161"/>
      <c r="AP231" s="869">
        <f t="shared" ca="1" si="141"/>
        <v>0</v>
      </c>
      <c r="AQ231" s="867" cm="1">
        <f t="array" ref="AQ231">IF($G231=0,0,-MIN(0,$G231*c_equity.LPshare))</f>
        <v>0</v>
      </c>
      <c r="AR231" s="869" cm="1">
        <f t="array" ref="AR231">IF($D231=0,0,AP231*(c_rate.Hurdle3.MO))</f>
        <v>0</v>
      </c>
      <c r="AS231" s="869">
        <f t="shared" ca="1" si="142"/>
        <v>0</v>
      </c>
      <c r="AT231" s="869">
        <f t="shared" ca="1" si="143"/>
        <v>0</v>
      </c>
      <c r="AU231" s="869">
        <f t="shared" ca="1" si="144"/>
        <v>0</v>
      </c>
      <c r="AV231" s="870">
        <f t="shared" ca="1" si="145"/>
        <v>0</v>
      </c>
      <c r="AW231" s="867">
        <f t="shared" ca="1" si="146"/>
        <v>0</v>
      </c>
      <c r="AX231" s="869">
        <f t="shared" ca="1" si="172"/>
        <v>0</v>
      </c>
      <c r="AY231" s="869">
        <f t="shared" ca="1" si="147"/>
        <v>0</v>
      </c>
      <c r="AZ231" s="867">
        <f t="shared" ca="1" si="170"/>
        <v>0</v>
      </c>
      <c r="BA231" s="161"/>
      <c r="BB231" s="867">
        <f t="shared" ca="1" si="149"/>
        <v>0</v>
      </c>
      <c r="BC231" s="867">
        <f t="shared" ca="1" si="114"/>
        <v>0</v>
      </c>
      <c r="BD231" s="658"/>
      <c r="BE231" s="867">
        <f t="shared" ca="1" si="150"/>
        <v>0</v>
      </c>
      <c r="BF231" s="867">
        <f t="shared" ca="1" si="151"/>
        <v>0</v>
      </c>
      <c r="BG231" s="867">
        <f t="shared" ca="1" si="152"/>
        <v>0</v>
      </c>
      <c r="BI231" s="867">
        <f ca="1"/>
        <v>0</v>
      </c>
      <c r="BJ231" s="867">
        <f ca="1"/>
        <v>0</v>
      </c>
      <c r="BK231" s="867">
        <f ca="1"/>
        <v>0</v>
      </c>
      <c r="BL231" s="867">
        <f t="shared" ca="1" si="153"/>
        <v>0</v>
      </c>
      <c r="BM231" s="867">
        <f t="shared" ca="1" si="154"/>
        <v>0</v>
      </c>
      <c r="BN231" s="867">
        <f t="shared" ca="1" si="155"/>
        <v>0</v>
      </c>
      <c r="BO231" s="867">
        <f t="shared" ca="1" si="156"/>
        <v>0</v>
      </c>
      <c r="BP231" s="867">
        <f t="shared" ca="1" si="157"/>
        <v>0</v>
      </c>
      <c r="BQ231" s="867">
        <f t="shared" ca="1" si="158"/>
        <v>0</v>
      </c>
      <c r="BR231" s="867">
        <f ca="1"/>
        <v>0</v>
      </c>
      <c r="BS231" s="867">
        <f ca="1"/>
        <v>0</v>
      </c>
      <c r="BT231" s="867">
        <f t="shared" ca="1" si="119"/>
        <v>0</v>
      </c>
      <c r="BU231" s="867">
        <f t="shared" ca="1" si="159"/>
        <v>0</v>
      </c>
      <c r="BX231" s="867">
        <f ca="1"/>
        <v>0</v>
      </c>
      <c r="BY231" s="867">
        <f t="shared" ca="1" si="160"/>
        <v>0</v>
      </c>
      <c r="BZ231" s="867">
        <f t="shared" ca="1" si="161"/>
        <v>0</v>
      </c>
      <c r="CA231" s="867">
        <f t="shared" ca="1" si="162"/>
        <v>0</v>
      </c>
      <c r="CB231" s="867">
        <f t="shared" ca="1" si="163"/>
        <v>0</v>
      </c>
      <c r="CC231" s="867">
        <f t="shared" ca="1" si="164"/>
        <v>0</v>
      </c>
      <c r="CD231" s="867">
        <f t="shared" ca="1" si="165"/>
        <v>0</v>
      </c>
    </row>
    <row r="232" spans="1:82" ht="17" hidden="1" thickTop="1" thickBot="1">
      <c r="A232" s="773">
        <f t="shared" si="115"/>
        <v>0</v>
      </c>
      <c r="B232" s="779"/>
      <c r="D232" s="660"/>
      <c r="E232" s="661"/>
      <c r="F232" s="862"/>
      <c r="G232" s="863"/>
      <c r="H232" s="961"/>
      <c r="I232" s="865">
        <f t="shared" si="121"/>
        <v>0</v>
      </c>
      <c r="J232" s="864" cm="1">
        <f t="array" ref="J232">IF($G232=0,0,-MIN(0,G232*c_equity.LPshare))</f>
        <v>0</v>
      </c>
      <c r="K232" s="865" cm="1">
        <f t="array" ref="K232">I232*c_rate.Pref.MO</f>
        <v>0</v>
      </c>
      <c r="L232" s="865">
        <f t="shared" si="122"/>
        <v>0</v>
      </c>
      <c r="M232" s="865">
        <f t="shared" si="123"/>
        <v>0</v>
      </c>
      <c r="N232" s="865">
        <f t="shared" si="124"/>
        <v>0</v>
      </c>
      <c r="O232" s="864" cm="1">
        <f t="array" ref="O232">IF(N232=0,0,IF(G232&lt;0,N232/c_equity.LPshare*i_equity.GPshare,L232/c_equity.LPshare*i_equity.GPshare))</f>
        <v>0</v>
      </c>
      <c r="P232" s="865">
        <f t="shared" si="125"/>
        <v>0</v>
      </c>
      <c r="Q232" s="865">
        <f t="shared" si="126"/>
        <v>0</v>
      </c>
      <c r="R232" s="161"/>
      <c r="S232" s="867">
        <f t="shared" ca="1" si="127"/>
        <v>0</v>
      </c>
      <c r="T232" s="867" cm="1">
        <f t="array" ref="T232">IF($G232=0,0,-MIN(0,$G232*c_equity.LPshare))</f>
        <v>0</v>
      </c>
      <c r="U232" s="869" cm="1">
        <f t="array" ref="U232">IF($D232=0,0,S232*c_rate.Hurdle1.MO)</f>
        <v>0</v>
      </c>
      <c r="V232" s="867">
        <f t="shared" si="128"/>
        <v>0</v>
      </c>
      <c r="W232" s="867">
        <f t="shared" ca="1" si="129"/>
        <v>0</v>
      </c>
      <c r="X232" s="869">
        <f t="shared" ca="1" si="130"/>
        <v>0</v>
      </c>
      <c r="Y232" s="869">
        <f t="shared" ca="1" si="131"/>
        <v>0</v>
      </c>
      <c r="Z232" s="869">
        <f t="shared" ca="1" si="132"/>
        <v>0</v>
      </c>
      <c r="AA232" s="869">
        <f t="shared" ca="1" si="133"/>
        <v>0</v>
      </c>
      <c r="AB232" s="867">
        <f t="shared" ca="1" si="134"/>
        <v>0</v>
      </c>
      <c r="AC232" s="161"/>
      <c r="AD232" s="869">
        <f t="shared" ca="1" si="135"/>
        <v>0</v>
      </c>
      <c r="AE232" s="867" cm="1">
        <f t="array" ref="AE232">IF($G232=0,0,-MIN(0,$G232*c_equity.LPshare))</f>
        <v>0</v>
      </c>
      <c r="AF232" s="869" cm="1">
        <f t="array" ref="AF232">IF($D232=0,0,AD232*(c_rate.Hurdle2.MO))</f>
        <v>0</v>
      </c>
      <c r="AG232" s="869">
        <f t="shared" ca="1" si="136"/>
        <v>0</v>
      </c>
      <c r="AH232" s="869">
        <f t="shared" ca="1" si="137"/>
        <v>0</v>
      </c>
      <c r="AI232" s="869">
        <f t="shared" ca="1" si="138"/>
        <v>0</v>
      </c>
      <c r="AJ232" s="870">
        <f t="shared" ca="1" si="166"/>
        <v>0</v>
      </c>
      <c r="AK232" s="867">
        <f t="shared" ca="1" si="139"/>
        <v>0</v>
      </c>
      <c r="AL232" s="869">
        <f t="shared" ca="1" si="171"/>
        <v>0</v>
      </c>
      <c r="AM232" s="869">
        <f t="shared" ca="1" si="140"/>
        <v>0</v>
      </c>
      <c r="AN232" s="867">
        <f t="shared" ca="1" si="168"/>
        <v>0</v>
      </c>
      <c r="AO232" s="161"/>
      <c r="AP232" s="869">
        <f t="shared" ca="1" si="141"/>
        <v>0</v>
      </c>
      <c r="AQ232" s="867" cm="1">
        <f t="array" ref="AQ232">IF($G232=0,0,-MIN(0,$G232*c_equity.LPshare))</f>
        <v>0</v>
      </c>
      <c r="AR232" s="869" cm="1">
        <f t="array" ref="AR232">IF($D232=0,0,AP232*(c_rate.Hurdle3.MO))</f>
        <v>0</v>
      </c>
      <c r="AS232" s="869">
        <f t="shared" ca="1" si="142"/>
        <v>0</v>
      </c>
      <c r="AT232" s="869">
        <f t="shared" ca="1" si="143"/>
        <v>0</v>
      </c>
      <c r="AU232" s="869">
        <f t="shared" ca="1" si="144"/>
        <v>0</v>
      </c>
      <c r="AV232" s="870">
        <f t="shared" ca="1" si="145"/>
        <v>0</v>
      </c>
      <c r="AW232" s="867">
        <f t="shared" ca="1" si="146"/>
        <v>0</v>
      </c>
      <c r="AX232" s="869">
        <f t="shared" ca="1" si="172"/>
        <v>0</v>
      </c>
      <c r="AY232" s="869">
        <f t="shared" ca="1" si="147"/>
        <v>0</v>
      </c>
      <c r="AZ232" s="867">
        <f t="shared" ca="1" si="170"/>
        <v>0</v>
      </c>
      <c r="BA232" s="161"/>
      <c r="BB232" s="867">
        <f t="shared" ca="1" si="149"/>
        <v>0</v>
      </c>
      <c r="BC232" s="867">
        <f t="shared" ca="1" si="114"/>
        <v>0</v>
      </c>
      <c r="BD232" s="658"/>
      <c r="BE232" s="867">
        <f t="shared" ca="1" si="150"/>
        <v>0</v>
      </c>
      <c r="BF232" s="867">
        <f t="shared" ca="1" si="151"/>
        <v>0</v>
      </c>
      <c r="BG232" s="867">
        <f t="shared" ca="1" si="152"/>
        <v>0</v>
      </c>
      <c r="BI232" s="867">
        <f ca="1"/>
        <v>0</v>
      </c>
      <c r="BJ232" s="867">
        <f ca="1"/>
        <v>0</v>
      </c>
      <c r="BK232" s="867">
        <f ca="1"/>
        <v>0</v>
      </c>
      <c r="BL232" s="867">
        <f t="shared" ca="1" si="153"/>
        <v>0</v>
      </c>
      <c r="BM232" s="867">
        <f t="shared" ca="1" si="154"/>
        <v>0</v>
      </c>
      <c r="BN232" s="867">
        <f t="shared" ca="1" si="155"/>
        <v>0</v>
      </c>
      <c r="BO232" s="867">
        <f t="shared" ca="1" si="156"/>
        <v>0</v>
      </c>
      <c r="BP232" s="867">
        <f t="shared" ca="1" si="157"/>
        <v>0</v>
      </c>
      <c r="BQ232" s="867">
        <f t="shared" ca="1" si="158"/>
        <v>0</v>
      </c>
      <c r="BR232" s="867">
        <f ca="1"/>
        <v>0</v>
      </c>
      <c r="BS232" s="867">
        <f ca="1"/>
        <v>0</v>
      </c>
      <c r="BT232" s="867">
        <f t="shared" ca="1" si="119"/>
        <v>0</v>
      </c>
      <c r="BU232" s="867">
        <f t="shared" ca="1" si="159"/>
        <v>0</v>
      </c>
      <c r="BX232" s="867">
        <f ca="1"/>
        <v>0</v>
      </c>
      <c r="BY232" s="867">
        <f t="shared" ca="1" si="160"/>
        <v>0</v>
      </c>
      <c r="BZ232" s="867">
        <f t="shared" ca="1" si="161"/>
        <v>0</v>
      </c>
      <c r="CA232" s="867">
        <f t="shared" ca="1" si="162"/>
        <v>0</v>
      </c>
      <c r="CB232" s="867">
        <f t="shared" ca="1" si="163"/>
        <v>0</v>
      </c>
      <c r="CC232" s="867">
        <f t="shared" ca="1" si="164"/>
        <v>0</v>
      </c>
      <c r="CD232" s="867">
        <f t="shared" ca="1" si="165"/>
        <v>0</v>
      </c>
    </row>
    <row r="233" spans="1:82" ht="17" hidden="1" thickTop="1" thickBot="1">
      <c r="A233" s="773">
        <f t="shared" si="115"/>
        <v>0</v>
      </c>
      <c r="B233" s="779"/>
      <c r="D233" s="660"/>
      <c r="E233" s="661"/>
      <c r="F233" s="862"/>
      <c r="G233" s="863"/>
      <c r="H233" s="961"/>
      <c r="I233" s="865">
        <f t="shared" si="121"/>
        <v>0</v>
      </c>
      <c r="J233" s="864" cm="1">
        <f t="array" ref="J233">IF($G233=0,0,-MIN(0,G233*c_equity.LPshare))</f>
        <v>0</v>
      </c>
      <c r="K233" s="865" cm="1">
        <f t="array" ref="K233">I233*c_rate.Pref.MO</f>
        <v>0</v>
      </c>
      <c r="L233" s="865">
        <f t="shared" si="122"/>
        <v>0</v>
      </c>
      <c r="M233" s="865">
        <f t="shared" si="123"/>
        <v>0</v>
      </c>
      <c r="N233" s="865">
        <f t="shared" si="124"/>
        <v>0</v>
      </c>
      <c r="O233" s="864" cm="1">
        <f t="array" ref="O233">IF(N233=0,0,IF(G233&lt;0,N233/c_equity.LPshare*i_equity.GPshare,L233/c_equity.LPshare*i_equity.GPshare))</f>
        <v>0</v>
      </c>
      <c r="P233" s="865">
        <f t="shared" si="125"/>
        <v>0</v>
      </c>
      <c r="Q233" s="865">
        <f t="shared" si="126"/>
        <v>0</v>
      </c>
      <c r="R233" s="161"/>
      <c r="S233" s="867">
        <f t="shared" ca="1" si="127"/>
        <v>0</v>
      </c>
      <c r="T233" s="867" cm="1">
        <f t="array" ref="T233">IF($G233=0,0,-MIN(0,$G233*c_equity.LPshare))</f>
        <v>0</v>
      </c>
      <c r="U233" s="869" cm="1">
        <f t="array" ref="U233">IF($D233=0,0,S233*c_rate.Hurdle1.MO)</f>
        <v>0</v>
      </c>
      <c r="V233" s="867">
        <f t="shared" si="128"/>
        <v>0</v>
      </c>
      <c r="W233" s="867">
        <f t="shared" ca="1" si="129"/>
        <v>0</v>
      </c>
      <c r="X233" s="869">
        <f t="shared" ca="1" si="130"/>
        <v>0</v>
      </c>
      <c r="Y233" s="869">
        <f t="shared" ca="1" si="131"/>
        <v>0</v>
      </c>
      <c r="Z233" s="869">
        <f t="shared" ca="1" si="132"/>
        <v>0</v>
      </c>
      <c r="AA233" s="869">
        <f t="shared" ca="1" si="133"/>
        <v>0</v>
      </c>
      <c r="AB233" s="867">
        <f t="shared" ca="1" si="134"/>
        <v>0</v>
      </c>
      <c r="AC233" s="161"/>
      <c r="AD233" s="869">
        <f t="shared" ca="1" si="135"/>
        <v>0</v>
      </c>
      <c r="AE233" s="867" cm="1">
        <f t="array" ref="AE233">IF($G233=0,0,-MIN(0,$G233*c_equity.LPshare))</f>
        <v>0</v>
      </c>
      <c r="AF233" s="869" cm="1">
        <f t="array" ref="AF233">IF($D233=0,0,AD233*(c_rate.Hurdle2.MO))</f>
        <v>0</v>
      </c>
      <c r="AG233" s="869">
        <f t="shared" ca="1" si="136"/>
        <v>0</v>
      </c>
      <c r="AH233" s="869">
        <f t="shared" ca="1" si="137"/>
        <v>0</v>
      </c>
      <c r="AI233" s="869">
        <f t="shared" ca="1" si="138"/>
        <v>0</v>
      </c>
      <c r="AJ233" s="870">
        <f t="shared" ca="1" si="166"/>
        <v>0</v>
      </c>
      <c r="AK233" s="867">
        <f t="shared" ca="1" si="139"/>
        <v>0</v>
      </c>
      <c r="AL233" s="869">
        <f t="shared" ca="1" si="171"/>
        <v>0</v>
      </c>
      <c r="AM233" s="869">
        <f t="shared" ca="1" si="140"/>
        <v>0</v>
      </c>
      <c r="AN233" s="867">
        <f t="shared" ca="1" si="168"/>
        <v>0</v>
      </c>
      <c r="AO233" s="161"/>
      <c r="AP233" s="869">
        <f t="shared" ca="1" si="141"/>
        <v>0</v>
      </c>
      <c r="AQ233" s="867" cm="1">
        <f t="array" ref="AQ233">IF($G233=0,0,-MIN(0,$G233*c_equity.LPshare))</f>
        <v>0</v>
      </c>
      <c r="AR233" s="869" cm="1">
        <f t="array" ref="AR233">IF($D233=0,0,AP233*(c_rate.Hurdle3.MO))</f>
        <v>0</v>
      </c>
      <c r="AS233" s="869">
        <f t="shared" ca="1" si="142"/>
        <v>0</v>
      </c>
      <c r="AT233" s="869">
        <f t="shared" ca="1" si="143"/>
        <v>0</v>
      </c>
      <c r="AU233" s="869">
        <f t="shared" ca="1" si="144"/>
        <v>0</v>
      </c>
      <c r="AV233" s="870">
        <f t="shared" ca="1" si="145"/>
        <v>0</v>
      </c>
      <c r="AW233" s="867">
        <f t="shared" ca="1" si="146"/>
        <v>0</v>
      </c>
      <c r="AX233" s="869">
        <f t="shared" ca="1" si="172"/>
        <v>0</v>
      </c>
      <c r="AY233" s="869">
        <f t="shared" ca="1" si="147"/>
        <v>0</v>
      </c>
      <c r="AZ233" s="867">
        <f t="shared" ca="1" si="170"/>
        <v>0</v>
      </c>
      <c r="BA233" s="161"/>
      <c r="BB233" s="867">
        <f t="shared" ca="1" si="149"/>
        <v>0</v>
      </c>
      <c r="BC233" s="867">
        <f t="shared" ca="1" si="114"/>
        <v>0</v>
      </c>
      <c r="BD233" s="658"/>
      <c r="BE233" s="867">
        <f t="shared" ca="1" si="150"/>
        <v>0</v>
      </c>
      <c r="BF233" s="867">
        <f t="shared" ca="1" si="151"/>
        <v>0</v>
      </c>
      <c r="BG233" s="867">
        <f t="shared" ca="1" si="152"/>
        <v>0</v>
      </c>
      <c r="BI233" s="867">
        <f ca="1"/>
        <v>0</v>
      </c>
      <c r="BJ233" s="867">
        <f ca="1"/>
        <v>0</v>
      </c>
      <c r="BK233" s="867">
        <f ca="1"/>
        <v>0</v>
      </c>
      <c r="BL233" s="867">
        <f t="shared" ca="1" si="153"/>
        <v>0</v>
      </c>
      <c r="BM233" s="867">
        <f t="shared" ca="1" si="154"/>
        <v>0</v>
      </c>
      <c r="BN233" s="867">
        <f t="shared" ca="1" si="155"/>
        <v>0</v>
      </c>
      <c r="BO233" s="867">
        <f t="shared" ca="1" si="156"/>
        <v>0</v>
      </c>
      <c r="BP233" s="867">
        <f t="shared" ca="1" si="157"/>
        <v>0</v>
      </c>
      <c r="BQ233" s="867">
        <f t="shared" ca="1" si="158"/>
        <v>0</v>
      </c>
      <c r="BR233" s="867">
        <f ca="1"/>
        <v>0</v>
      </c>
      <c r="BS233" s="867">
        <f ca="1"/>
        <v>0</v>
      </c>
      <c r="BT233" s="867">
        <f t="shared" ca="1" si="119"/>
        <v>0</v>
      </c>
      <c r="BU233" s="867">
        <f t="shared" ca="1" si="159"/>
        <v>0</v>
      </c>
      <c r="BX233" s="867">
        <f ca="1"/>
        <v>0</v>
      </c>
      <c r="BY233" s="867">
        <f t="shared" ca="1" si="160"/>
        <v>0</v>
      </c>
      <c r="BZ233" s="867">
        <f t="shared" ca="1" si="161"/>
        <v>0</v>
      </c>
      <c r="CA233" s="867">
        <f t="shared" ca="1" si="162"/>
        <v>0</v>
      </c>
      <c r="CB233" s="867">
        <f t="shared" ca="1" si="163"/>
        <v>0</v>
      </c>
      <c r="CC233" s="867">
        <f t="shared" ca="1" si="164"/>
        <v>0</v>
      </c>
      <c r="CD233" s="867">
        <f t="shared" ca="1" si="165"/>
        <v>0</v>
      </c>
    </row>
    <row r="234" spans="1:82" ht="17" hidden="1" thickTop="1" thickBot="1">
      <c r="A234" s="773">
        <f t="shared" si="115"/>
        <v>0</v>
      </c>
      <c r="B234" s="779"/>
      <c r="D234" s="660"/>
      <c r="E234" s="661"/>
      <c r="F234" s="862"/>
      <c r="G234" s="863"/>
      <c r="H234" s="961"/>
      <c r="I234" s="865">
        <f t="shared" si="121"/>
        <v>0</v>
      </c>
      <c r="J234" s="864" cm="1">
        <f t="array" ref="J234">IF($G234=0,0,-MIN(0,G234*c_equity.LPshare))</f>
        <v>0</v>
      </c>
      <c r="K234" s="865" cm="1">
        <f t="array" ref="K234">I234*c_rate.Pref.MO</f>
        <v>0</v>
      </c>
      <c r="L234" s="865">
        <f t="shared" si="122"/>
        <v>0</v>
      </c>
      <c r="M234" s="865">
        <f t="shared" si="123"/>
        <v>0</v>
      </c>
      <c r="N234" s="865">
        <f t="shared" si="124"/>
        <v>0</v>
      </c>
      <c r="O234" s="864" cm="1">
        <f t="array" ref="O234">IF(N234=0,0,IF(G234&lt;0,N234/c_equity.LPshare*i_equity.GPshare,L234/c_equity.LPshare*i_equity.GPshare))</f>
        <v>0</v>
      </c>
      <c r="P234" s="865">
        <f t="shared" si="125"/>
        <v>0</v>
      </c>
      <c r="Q234" s="865">
        <f t="shared" si="126"/>
        <v>0</v>
      </c>
      <c r="R234" s="161"/>
      <c r="S234" s="867">
        <f t="shared" ca="1" si="127"/>
        <v>0</v>
      </c>
      <c r="T234" s="867" cm="1">
        <f t="array" ref="T234">IF($G234=0,0,-MIN(0,$G234*c_equity.LPshare))</f>
        <v>0</v>
      </c>
      <c r="U234" s="869" cm="1">
        <f t="array" ref="U234">IF($D234=0,0,S234*c_rate.Hurdle1.MO)</f>
        <v>0</v>
      </c>
      <c r="V234" s="867">
        <f t="shared" si="128"/>
        <v>0</v>
      </c>
      <c r="W234" s="867">
        <f t="shared" ca="1" si="129"/>
        <v>0</v>
      </c>
      <c r="X234" s="869">
        <f t="shared" ca="1" si="130"/>
        <v>0</v>
      </c>
      <c r="Y234" s="869">
        <f t="shared" ca="1" si="131"/>
        <v>0</v>
      </c>
      <c r="Z234" s="869">
        <f t="shared" ca="1" si="132"/>
        <v>0</v>
      </c>
      <c r="AA234" s="869">
        <f t="shared" ca="1" si="133"/>
        <v>0</v>
      </c>
      <c r="AB234" s="867">
        <f t="shared" ca="1" si="134"/>
        <v>0</v>
      </c>
      <c r="AC234" s="161"/>
      <c r="AD234" s="869">
        <f t="shared" ca="1" si="135"/>
        <v>0</v>
      </c>
      <c r="AE234" s="867" cm="1">
        <f t="array" ref="AE234">IF($G234=0,0,-MIN(0,$G234*c_equity.LPshare))</f>
        <v>0</v>
      </c>
      <c r="AF234" s="869" cm="1">
        <f t="array" ref="AF234">IF($D234=0,0,AD234*(c_rate.Hurdle2.MO))</f>
        <v>0</v>
      </c>
      <c r="AG234" s="869">
        <f t="shared" ca="1" si="136"/>
        <v>0</v>
      </c>
      <c r="AH234" s="869">
        <f t="shared" ca="1" si="137"/>
        <v>0</v>
      </c>
      <c r="AI234" s="869">
        <f t="shared" ca="1" si="138"/>
        <v>0</v>
      </c>
      <c r="AJ234" s="870">
        <f t="shared" ca="1" si="166"/>
        <v>0</v>
      </c>
      <c r="AK234" s="867">
        <f t="shared" ca="1" si="139"/>
        <v>0</v>
      </c>
      <c r="AL234" s="869">
        <f t="shared" ca="1" si="171"/>
        <v>0</v>
      </c>
      <c r="AM234" s="869">
        <f t="shared" ca="1" si="140"/>
        <v>0</v>
      </c>
      <c r="AN234" s="867">
        <f t="shared" ca="1" si="168"/>
        <v>0</v>
      </c>
      <c r="AO234" s="161"/>
      <c r="AP234" s="869">
        <f t="shared" ca="1" si="141"/>
        <v>0</v>
      </c>
      <c r="AQ234" s="867" cm="1">
        <f t="array" ref="AQ234">IF($G234=0,0,-MIN(0,$G234*c_equity.LPshare))</f>
        <v>0</v>
      </c>
      <c r="AR234" s="869" cm="1">
        <f t="array" ref="AR234">IF($D234=0,0,AP234*(c_rate.Hurdle3.MO))</f>
        <v>0</v>
      </c>
      <c r="AS234" s="869">
        <f t="shared" ca="1" si="142"/>
        <v>0</v>
      </c>
      <c r="AT234" s="869">
        <f t="shared" ca="1" si="143"/>
        <v>0</v>
      </c>
      <c r="AU234" s="869">
        <f t="shared" ca="1" si="144"/>
        <v>0</v>
      </c>
      <c r="AV234" s="870">
        <f t="shared" ca="1" si="145"/>
        <v>0</v>
      </c>
      <c r="AW234" s="867">
        <f t="shared" ca="1" si="146"/>
        <v>0</v>
      </c>
      <c r="AX234" s="869">
        <f t="shared" ca="1" si="172"/>
        <v>0</v>
      </c>
      <c r="AY234" s="869">
        <f t="shared" ca="1" si="147"/>
        <v>0</v>
      </c>
      <c r="AZ234" s="867">
        <f t="shared" ca="1" si="170"/>
        <v>0</v>
      </c>
      <c r="BA234" s="161"/>
      <c r="BB234" s="867">
        <f t="shared" ca="1" si="149"/>
        <v>0</v>
      </c>
      <c r="BC234" s="867">
        <f t="shared" ca="1" si="114"/>
        <v>0</v>
      </c>
      <c r="BD234" s="658"/>
      <c r="BE234" s="867">
        <f t="shared" ca="1" si="150"/>
        <v>0</v>
      </c>
      <c r="BF234" s="867">
        <f t="shared" ca="1" si="151"/>
        <v>0</v>
      </c>
      <c r="BG234" s="867">
        <f t="shared" ca="1" si="152"/>
        <v>0</v>
      </c>
      <c r="BI234" s="867">
        <f ca="1"/>
        <v>0</v>
      </c>
      <c r="BJ234" s="867">
        <f ca="1"/>
        <v>0</v>
      </c>
      <c r="BK234" s="867">
        <f ca="1"/>
        <v>0</v>
      </c>
      <c r="BL234" s="867">
        <f t="shared" ca="1" si="153"/>
        <v>0</v>
      </c>
      <c r="BM234" s="867">
        <f t="shared" ca="1" si="154"/>
        <v>0</v>
      </c>
      <c r="BN234" s="867">
        <f t="shared" ca="1" si="155"/>
        <v>0</v>
      </c>
      <c r="BO234" s="867">
        <f t="shared" ca="1" si="156"/>
        <v>0</v>
      </c>
      <c r="BP234" s="867">
        <f t="shared" ca="1" si="157"/>
        <v>0</v>
      </c>
      <c r="BQ234" s="867">
        <f t="shared" ca="1" si="158"/>
        <v>0</v>
      </c>
      <c r="BR234" s="867">
        <f ca="1"/>
        <v>0</v>
      </c>
      <c r="BS234" s="867">
        <f ca="1"/>
        <v>0</v>
      </c>
      <c r="BT234" s="867">
        <f t="shared" ca="1" si="119"/>
        <v>0</v>
      </c>
      <c r="BU234" s="867">
        <f t="shared" ca="1" si="159"/>
        <v>0</v>
      </c>
      <c r="BX234" s="867">
        <f ca="1"/>
        <v>0</v>
      </c>
      <c r="BY234" s="867">
        <f t="shared" ca="1" si="160"/>
        <v>0</v>
      </c>
      <c r="BZ234" s="867">
        <f t="shared" ca="1" si="161"/>
        <v>0</v>
      </c>
      <c r="CA234" s="867">
        <f t="shared" ca="1" si="162"/>
        <v>0</v>
      </c>
      <c r="CB234" s="867">
        <f t="shared" ca="1" si="163"/>
        <v>0</v>
      </c>
      <c r="CC234" s="867">
        <f t="shared" ca="1" si="164"/>
        <v>0</v>
      </c>
      <c r="CD234" s="867">
        <f t="shared" ca="1" si="165"/>
        <v>0</v>
      </c>
    </row>
    <row r="235" spans="1:82" ht="17" hidden="1" thickTop="1" thickBot="1">
      <c r="A235" s="773">
        <f t="shared" si="115"/>
        <v>0</v>
      </c>
      <c r="B235" s="779"/>
      <c r="D235" s="660"/>
      <c r="E235" s="661"/>
      <c r="F235" s="862"/>
      <c r="G235" s="863"/>
      <c r="H235" s="961"/>
      <c r="I235" s="865">
        <f t="shared" si="121"/>
        <v>0</v>
      </c>
      <c r="J235" s="864" cm="1">
        <f t="array" ref="J235">IF($G235=0,0,-MIN(0,G235*c_equity.LPshare))</f>
        <v>0</v>
      </c>
      <c r="K235" s="865" cm="1">
        <f t="array" ref="K235">I235*c_rate.Pref.MO</f>
        <v>0</v>
      </c>
      <c r="L235" s="865">
        <f t="shared" si="122"/>
        <v>0</v>
      </c>
      <c r="M235" s="865">
        <f t="shared" si="123"/>
        <v>0</v>
      </c>
      <c r="N235" s="865">
        <f t="shared" si="124"/>
        <v>0</v>
      </c>
      <c r="O235" s="864" cm="1">
        <f t="array" ref="O235">IF(N235=0,0,IF(G235&lt;0,N235/c_equity.LPshare*i_equity.GPshare,L235/c_equity.LPshare*i_equity.GPshare))</f>
        <v>0</v>
      </c>
      <c r="P235" s="865">
        <f t="shared" si="125"/>
        <v>0</v>
      </c>
      <c r="Q235" s="865">
        <f t="shared" si="126"/>
        <v>0</v>
      </c>
      <c r="R235" s="161"/>
      <c r="S235" s="867">
        <f t="shared" ca="1" si="127"/>
        <v>0</v>
      </c>
      <c r="T235" s="867" cm="1">
        <f t="array" ref="T235">IF($G235=0,0,-MIN(0,$G235*c_equity.LPshare))</f>
        <v>0</v>
      </c>
      <c r="U235" s="869" cm="1">
        <f t="array" ref="U235">IF($D235=0,0,S235*c_rate.Hurdle1.MO)</f>
        <v>0</v>
      </c>
      <c r="V235" s="867">
        <f t="shared" si="128"/>
        <v>0</v>
      </c>
      <c r="W235" s="867">
        <f t="shared" ca="1" si="129"/>
        <v>0</v>
      </c>
      <c r="X235" s="869">
        <f t="shared" ca="1" si="130"/>
        <v>0</v>
      </c>
      <c r="Y235" s="869">
        <f t="shared" ca="1" si="131"/>
        <v>0</v>
      </c>
      <c r="Z235" s="869">
        <f t="shared" ca="1" si="132"/>
        <v>0</v>
      </c>
      <c r="AA235" s="869">
        <f t="shared" ca="1" si="133"/>
        <v>0</v>
      </c>
      <c r="AB235" s="867">
        <f t="shared" ca="1" si="134"/>
        <v>0</v>
      </c>
      <c r="AC235" s="161"/>
      <c r="AD235" s="869">
        <f t="shared" ca="1" si="135"/>
        <v>0</v>
      </c>
      <c r="AE235" s="867" cm="1">
        <f t="array" ref="AE235">IF($G235=0,0,-MIN(0,$G235*c_equity.LPshare))</f>
        <v>0</v>
      </c>
      <c r="AF235" s="869" cm="1">
        <f t="array" ref="AF235">IF($D235=0,0,AD235*(c_rate.Hurdle2.MO))</f>
        <v>0</v>
      </c>
      <c r="AG235" s="869">
        <f t="shared" ca="1" si="136"/>
        <v>0</v>
      </c>
      <c r="AH235" s="869">
        <f t="shared" ca="1" si="137"/>
        <v>0</v>
      </c>
      <c r="AI235" s="869">
        <f t="shared" ca="1" si="138"/>
        <v>0</v>
      </c>
      <c r="AJ235" s="870">
        <f t="shared" ca="1" si="166"/>
        <v>0</v>
      </c>
      <c r="AK235" s="867">
        <f t="shared" ca="1" si="139"/>
        <v>0</v>
      </c>
      <c r="AL235" s="869">
        <f t="shared" ca="1" si="171"/>
        <v>0</v>
      </c>
      <c r="AM235" s="869">
        <f t="shared" ca="1" si="140"/>
        <v>0</v>
      </c>
      <c r="AN235" s="867">
        <f t="shared" ca="1" si="168"/>
        <v>0</v>
      </c>
      <c r="AO235" s="161"/>
      <c r="AP235" s="869">
        <f t="shared" ca="1" si="141"/>
        <v>0</v>
      </c>
      <c r="AQ235" s="867" cm="1">
        <f t="array" ref="AQ235">IF($G235=0,0,-MIN(0,$G235*c_equity.LPshare))</f>
        <v>0</v>
      </c>
      <c r="AR235" s="869" cm="1">
        <f t="array" ref="AR235">IF($D235=0,0,AP235*(c_rate.Hurdle3.MO))</f>
        <v>0</v>
      </c>
      <c r="AS235" s="869">
        <f t="shared" ca="1" si="142"/>
        <v>0</v>
      </c>
      <c r="AT235" s="869">
        <f t="shared" ca="1" si="143"/>
        <v>0</v>
      </c>
      <c r="AU235" s="869">
        <f t="shared" ca="1" si="144"/>
        <v>0</v>
      </c>
      <c r="AV235" s="870">
        <f t="shared" ca="1" si="145"/>
        <v>0</v>
      </c>
      <c r="AW235" s="867">
        <f t="shared" ca="1" si="146"/>
        <v>0</v>
      </c>
      <c r="AX235" s="869">
        <f t="shared" ca="1" si="172"/>
        <v>0</v>
      </c>
      <c r="AY235" s="869">
        <f t="shared" ca="1" si="147"/>
        <v>0</v>
      </c>
      <c r="AZ235" s="867">
        <f t="shared" ca="1" si="170"/>
        <v>0</v>
      </c>
      <c r="BA235" s="161"/>
      <c r="BB235" s="867">
        <f t="shared" ca="1" si="149"/>
        <v>0</v>
      </c>
      <c r="BC235" s="867">
        <f t="shared" ca="1" si="114"/>
        <v>0</v>
      </c>
      <c r="BD235" s="658"/>
      <c r="BE235" s="867">
        <f t="shared" ca="1" si="150"/>
        <v>0</v>
      </c>
      <c r="BF235" s="867">
        <f t="shared" ca="1" si="151"/>
        <v>0</v>
      </c>
      <c r="BG235" s="867">
        <f t="shared" ca="1" si="152"/>
        <v>0</v>
      </c>
      <c r="BI235" s="867">
        <f ca="1"/>
        <v>0</v>
      </c>
      <c r="BJ235" s="867">
        <f ca="1"/>
        <v>0</v>
      </c>
      <c r="BK235" s="867">
        <f ca="1"/>
        <v>0</v>
      </c>
      <c r="BL235" s="867">
        <f t="shared" ca="1" si="153"/>
        <v>0</v>
      </c>
      <c r="BM235" s="867">
        <f t="shared" ca="1" si="154"/>
        <v>0</v>
      </c>
      <c r="BN235" s="867">
        <f t="shared" ca="1" si="155"/>
        <v>0</v>
      </c>
      <c r="BO235" s="867">
        <f t="shared" ca="1" si="156"/>
        <v>0</v>
      </c>
      <c r="BP235" s="867">
        <f t="shared" ca="1" si="157"/>
        <v>0</v>
      </c>
      <c r="BQ235" s="867">
        <f t="shared" ca="1" si="158"/>
        <v>0</v>
      </c>
      <c r="BR235" s="867">
        <f ca="1"/>
        <v>0</v>
      </c>
      <c r="BS235" s="867">
        <f ca="1"/>
        <v>0</v>
      </c>
      <c r="BT235" s="867">
        <f t="shared" ca="1" si="119"/>
        <v>0</v>
      </c>
      <c r="BU235" s="867">
        <f t="shared" ca="1" si="159"/>
        <v>0</v>
      </c>
      <c r="BX235" s="867">
        <f ca="1"/>
        <v>0</v>
      </c>
      <c r="BY235" s="867">
        <f t="shared" ca="1" si="160"/>
        <v>0</v>
      </c>
      <c r="BZ235" s="867">
        <f t="shared" ca="1" si="161"/>
        <v>0</v>
      </c>
      <c r="CA235" s="867">
        <f t="shared" ca="1" si="162"/>
        <v>0</v>
      </c>
      <c r="CB235" s="867">
        <f t="shared" ca="1" si="163"/>
        <v>0</v>
      </c>
      <c r="CC235" s="867">
        <f t="shared" ca="1" si="164"/>
        <v>0</v>
      </c>
      <c r="CD235" s="867">
        <f t="shared" ca="1" si="165"/>
        <v>0</v>
      </c>
    </row>
    <row r="236" spans="1:82" ht="17" hidden="1" thickTop="1" thickBot="1">
      <c r="A236" s="773">
        <f t="shared" si="115"/>
        <v>0</v>
      </c>
      <c r="B236" s="779"/>
      <c r="D236" s="660"/>
      <c r="E236" s="661"/>
      <c r="F236" s="862"/>
      <c r="G236" s="863"/>
      <c r="H236" s="961"/>
      <c r="I236" s="865">
        <f t="shared" si="121"/>
        <v>0</v>
      </c>
      <c r="J236" s="864" cm="1">
        <f t="array" ref="J236">IF($G236=0,0,-MIN(0,G236*c_equity.LPshare))</f>
        <v>0</v>
      </c>
      <c r="K236" s="865" cm="1">
        <f t="array" ref="K236">I236*c_rate.Pref.MO</f>
        <v>0</v>
      </c>
      <c r="L236" s="865">
        <f t="shared" si="122"/>
        <v>0</v>
      </c>
      <c r="M236" s="865">
        <f t="shared" si="123"/>
        <v>0</v>
      </c>
      <c r="N236" s="865">
        <f t="shared" si="124"/>
        <v>0</v>
      </c>
      <c r="O236" s="864" cm="1">
        <f t="array" ref="O236">IF(N236=0,0,IF(G236&lt;0,N236/c_equity.LPshare*i_equity.GPshare,L236/c_equity.LPshare*i_equity.GPshare))</f>
        <v>0</v>
      </c>
      <c r="P236" s="865">
        <f t="shared" si="125"/>
        <v>0</v>
      </c>
      <c r="Q236" s="865">
        <f t="shared" si="126"/>
        <v>0</v>
      </c>
      <c r="R236" s="161"/>
      <c r="S236" s="867">
        <f t="shared" ca="1" si="127"/>
        <v>0</v>
      </c>
      <c r="T236" s="867" cm="1">
        <f t="array" ref="T236">IF($G236=0,0,-MIN(0,$G236*c_equity.LPshare))</f>
        <v>0</v>
      </c>
      <c r="U236" s="869" cm="1">
        <f t="array" ref="U236">IF($D236=0,0,S236*c_rate.Hurdle1.MO)</f>
        <v>0</v>
      </c>
      <c r="V236" s="867">
        <f t="shared" si="128"/>
        <v>0</v>
      </c>
      <c r="W236" s="867">
        <f t="shared" ca="1" si="129"/>
        <v>0</v>
      </c>
      <c r="X236" s="869">
        <f t="shared" ca="1" si="130"/>
        <v>0</v>
      </c>
      <c r="Y236" s="869">
        <f t="shared" ca="1" si="131"/>
        <v>0</v>
      </c>
      <c r="Z236" s="869">
        <f t="shared" ca="1" si="132"/>
        <v>0</v>
      </c>
      <c r="AA236" s="869">
        <f t="shared" ca="1" si="133"/>
        <v>0</v>
      </c>
      <c r="AB236" s="867">
        <f t="shared" ca="1" si="134"/>
        <v>0</v>
      </c>
      <c r="AC236" s="161"/>
      <c r="AD236" s="869">
        <f t="shared" ca="1" si="135"/>
        <v>0</v>
      </c>
      <c r="AE236" s="867" cm="1">
        <f t="array" ref="AE236">IF($G236=0,0,-MIN(0,$G236*c_equity.LPshare))</f>
        <v>0</v>
      </c>
      <c r="AF236" s="869" cm="1">
        <f t="array" ref="AF236">IF($D236=0,0,AD236*(c_rate.Hurdle2.MO))</f>
        <v>0</v>
      </c>
      <c r="AG236" s="869">
        <f t="shared" ca="1" si="136"/>
        <v>0</v>
      </c>
      <c r="AH236" s="869">
        <f t="shared" ca="1" si="137"/>
        <v>0</v>
      </c>
      <c r="AI236" s="869">
        <f t="shared" ca="1" si="138"/>
        <v>0</v>
      </c>
      <c r="AJ236" s="870">
        <f t="shared" ca="1" si="166"/>
        <v>0</v>
      </c>
      <c r="AK236" s="867">
        <f t="shared" ca="1" si="139"/>
        <v>0</v>
      </c>
      <c r="AL236" s="869">
        <f t="shared" ca="1" si="171"/>
        <v>0</v>
      </c>
      <c r="AM236" s="869">
        <f t="shared" ca="1" si="140"/>
        <v>0</v>
      </c>
      <c r="AN236" s="867">
        <f t="shared" ca="1" si="168"/>
        <v>0</v>
      </c>
      <c r="AO236" s="161"/>
      <c r="AP236" s="869">
        <f t="shared" ca="1" si="141"/>
        <v>0</v>
      </c>
      <c r="AQ236" s="867" cm="1">
        <f t="array" ref="AQ236">IF($G236=0,0,-MIN(0,$G236*c_equity.LPshare))</f>
        <v>0</v>
      </c>
      <c r="AR236" s="869" cm="1">
        <f t="array" ref="AR236">IF($D236=0,0,AP236*(c_rate.Hurdle3.MO))</f>
        <v>0</v>
      </c>
      <c r="AS236" s="869">
        <f t="shared" ca="1" si="142"/>
        <v>0</v>
      </c>
      <c r="AT236" s="869">
        <f t="shared" ca="1" si="143"/>
        <v>0</v>
      </c>
      <c r="AU236" s="869">
        <f t="shared" ca="1" si="144"/>
        <v>0</v>
      </c>
      <c r="AV236" s="870">
        <f t="shared" ca="1" si="145"/>
        <v>0</v>
      </c>
      <c r="AW236" s="867">
        <f t="shared" ca="1" si="146"/>
        <v>0</v>
      </c>
      <c r="AX236" s="869">
        <f t="shared" ca="1" si="172"/>
        <v>0</v>
      </c>
      <c r="AY236" s="869">
        <f t="shared" ca="1" si="147"/>
        <v>0</v>
      </c>
      <c r="AZ236" s="867">
        <f t="shared" ca="1" si="170"/>
        <v>0</v>
      </c>
      <c r="BA236" s="161"/>
      <c r="BB236" s="867">
        <f t="shared" ca="1" si="149"/>
        <v>0</v>
      </c>
      <c r="BC236" s="867">
        <f t="shared" ca="1" si="114"/>
        <v>0</v>
      </c>
      <c r="BD236" s="658"/>
      <c r="BE236" s="867">
        <f t="shared" ca="1" si="150"/>
        <v>0</v>
      </c>
      <c r="BF236" s="867">
        <f t="shared" ca="1" si="151"/>
        <v>0</v>
      </c>
      <c r="BG236" s="867">
        <f t="shared" ca="1" si="152"/>
        <v>0</v>
      </c>
      <c r="BI236" s="867">
        <f ca="1"/>
        <v>0</v>
      </c>
      <c r="BJ236" s="867">
        <f ca="1"/>
        <v>0</v>
      </c>
      <c r="BK236" s="867">
        <f ca="1"/>
        <v>0</v>
      </c>
      <c r="BL236" s="867">
        <f t="shared" ca="1" si="153"/>
        <v>0</v>
      </c>
      <c r="BM236" s="867">
        <f t="shared" ca="1" si="154"/>
        <v>0</v>
      </c>
      <c r="BN236" s="867">
        <f t="shared" ca="1" si="155"/>
        <v>0</v>
      </c>
      <c r="BO236" s="867">
        <f t="shared" ca="1" si="156"/>
        <v>0</v>
      </c>
      <c r="BP236" s="867">
        <f t="shared" ca="1" si="157"/>
        <v>0</v>
      </c>
      <c r="BQ236" s="867">
        <f t="shared" ca="1" si="158"/>
        <v>0</v>
      </c>
      <c r="BR236" s="867">
        <f ca="1"/>
        <v>0</v>
      </c>
      <c r="BS236" s="867">
        <f ca="1"/>
        <v>0</v>
      </c>
      <c r="BT236" s="867">
        <f t="shared" ca="1" si="119"/>
        <v>0</v>
      </c>
      <c r="BU236" s="867">
        <f t="shared" ca="1" si="159"/>
        <v>0</v>
      </c>
      <c r="BX236" s="867">
        <f ca="1"/>
        <v>0</v>
      </c>
      <c r="BY236" s="867">
        <f t="shared" ca="1" si="160"/>
        <v>0</v>
      </c>
      <c r="BZ236" s="867">
        <f t="shared" ca="1" si="161"/>
        <v>0</v>
      </c>
      <c r="CA236" s="867">
        <f t="shared" ca="1" si="162"/>
        <v>0</v>
      </c>
      <c r="CB236" s="867">
        <f t="shared" ca="1" si="163"/>
        <v>0</v>
      </c>
      <c r="CC236" s="867">
        <f t="shared" ca="1" si="164"/>
        <v>0</v>
      </c>
      <c r="CD236" s="867">
        <f t="shared" ca="1" si="165"/>
        <v>0</v>
      </c>
    </row>
    <row r="237" spans="1:82" ht="17" hidden="1" thickTop="1" thickBot="1">
      <c r="A237" s="773">
        <f t="shared" si="115"/>
        <v>0</v>
      </c>
      <c r="B237" s="779"/>
      <c r="D237" s="660"/>
      <c r="E237" s="661"/>
      <c r="F237" s="862"/>
      <c r="G237" s="863"/>
      <c r="H237" s="961"/>
      <c r="I237" s="865">
        <f t="shared" si="121"/>
        <v>0</v>
      </c>
      <c r="J237" s="864" cm="1">
        <f t="array" ref="J237">IF($G237=0,0,-MIN(0,G237*c_equity.LPshare))</f>
        <v>0</v>
      </c>
      <c r="K237" s="865" cm="1">
        <f t="array" ref="K237">I237*c_rate.Pref.MO</f>
        <v>0</v>
      </c>
      <c r="L237" s="865">
        <f t="shared" si="122"/>
        <v>0</v>
      </c>
      <c r="M237" s="865">
        <f t="shared" si="123"/>
        <v>0</v>
      </c>
      <c r="N237" s="865">
        <f t="shared" si="124"/>
        <v>0</v>
      </c>
      <c r="O237" s="864" cm="1">
        <f t="array" ref="O237">IF(N237=0,0,IF(G237&lt;0,N237/c_equity.LPshare*i_equity.GPshare,L237/c_equity.LPshare*i_equity.GPshare))</f>
        <v>0</v>
      </c>
      <c r="P237" s="865">
        <f t="shared" si="125"/>
        <v>0</v>
      </c>
      <c r="Q237" s="865">
        <f t="shared" si="126"/>
        <v>0</v>
      </c>
      <c r="R237" s="161"/>
      <c r="S237" s="867">
        <f t="shared" ca="1" si="127"/>
        <v>0</v>
      </c>
      <c r="T237" s="867" cm="1">
        <f t="array" ref="T237">IF($G237=0,0,-MIN(0,$G237*c_equity.LPshare))</f>
        <v>0</v>
      </c>
      <c r="U237" s="869" cm="1">
        <f t="array" ref="U237">IF($D237=0,0,S237*c_rate.Hurdle1.MO)</f>
        <v>0</v>
      </c>
      <c r="V237" s="867">
        <f t="shared" si="128"/>
        <v>0</v>
      </c>
      <c r="W237" s="867">
        <f t="shared" ca="1" si="129"/>
        <v>0</v>
      </c>
      <c r="X237" s="869">
        <f t="shared" ca="1" si="130"/>
        <v>0</v>
      </c>
      <c r="Y237" s="869">
        <f t="shared" ca="1" si="131"/>
        <v>0</v>
      </c>
      <c r="Z237" s="869">
        <f t="shared" ca="1" si="132"/>
        <v>0</v>
      </c>
      <c r="AA237" s="869">
        <f t="shared" ca="1" si="133"/>
        <v>0</v>
      </c>
      <c r="AB237" s="867">
        <f t="shared" ca="1" si="134"/>
        <v>0</v>
      </c>
      <c r="AC237" s="161"/>
      <c r="AD237" s="869">
        <f t="shared" ca="1" si="135"/>
        <v>0</v>
      </c>
      <c r="AE237" s="867" cm="1">
        <f t="array" ref="AE237">IF($G237=0,0,-MIN(0,$G237*c_equity.LPshare))</f>
        <v>0</v>
      </c>
      <c r="AF237" s="869" cm="1">
        <f t="array" ref="AF237">IF($D237=0,0,AD237*(c_rate.Hurdle2.MO))</f>
        <v>0</v>
      </c>
      <c r="AG237" s="869">
        <f t="shared" ca="1" si="136"/>
        <v>0</v>
      </c>
      <c r="AH237" s="869">
        <f t="shared" ca="1" si="137"/>
        <v>0</v>
      </c>
      <c r="AI237" s="869">
        <f t="shared" ca="1" si="138"/>
        <v>0</v>
      </c>
      <c r="AJ237" s="870">
        <f t="shared" ca="1" si="166"/>
        <v>0</v>
      </c>
      <c r="AK237" s="867">
        <f t="shared" ca="1" si="139"/>
        <v>0</v>
      </c>
      <c r="AL237" s="869">
        <f t="shared" ca="1" si="171"/>
        <v>0</v>
      </c>
      <c r="AM237" s="869">
        <f t="shared" ca="1" si="140"/>
        <v>0</v>
      </c>
      <c r="AN237" s="867">
        <f t="shared" ca="1" si="168"/>
        <v>0</v>
      </c>
      <c r="AO237" s="161"/>
      <c r="AP237" s="869">
        <f t="shared" ca="1" si="141"/>
        <v>0</v>
      </c>
      <c r="AQ237" s="867" cm="1">
        <f t="array" ref="AQ237">IF($G237=0,0,-MIN(0,$G237*c_equity.LPshare))</f>
        <v>0</v>
      </c>
      <c r="AR237" s="869" cm="1">
        <f t="array" ref="AR237">IF($D237=0,0,AP237*(c_rate.Hurdle3.MO))</f>
        <v>0</v>
      </c>
      <c r="AS237" s="869">
        <f t="shared" ca="1" si="142"/>
        <v>0</v>
      </c>
      <c r="AT237" s="869">
        <f t="shared" ca="1" si="143"/>
        <v>0</v>
      </c>
      <c r="AU237" s="869">
        <f t="shared" ca="1" si="144"/>
        <v>0</v>
      </c>
      <c r="AV237" s="870">
        <f t="shared" ca="1" si="145"/>
        <v>0</v>
      </c>
      <c r="AW237" s="867">
        <f t="shared" ca="1" si="146"/>
        <v>0</v>
      </c>
      <c r="AX237" s="869">
        <f t="shared" ca="1" si="172"/>
        <v>0</v>
      </c>
      <c r="AY237" s="869">
        <f t="shared" ca="1" si="147"/>
        <v>0</v>
      </c>
      <c r="AZ237" s="867">
        <f t="shared" ca="1" si="170"/>
        <v>0</v>
      </c>
      <c r="BA237" s="161"/>
      <c r="BB237" s="867">
        <f t="shared" ca="1" si="149"/>
        <v>0</v>
      </c>
      <c r="BC237" s="867">
        <f t="shared" ca="1" si="114"/>
        <v>0</v>
      </c>
      <c r="BD237" s="658"/>
      <c r="BE237" s="867">
        <f t="shared" ca="1" si="150"/>
        <v>0</v>
      </c>
      <c r="BF237" s="867">
        <f t="shared" ca="1" si="151"/>
        <v>0</v>
      </c>
      <c r="BG237" s="867">
        <f t="shared" ca="1" si="152"/>
        <v>0</v>
      </c>
      <c r="BI237" s="867">
        <f ca="1"/>
        <v>0</v>
      </c>
      <c r="BJ237" s="867">
        <f ca="1"/>
        <v>0</v>
      </c>
      <c r="BK237" s="867">
        <f ca="1"/>
        <v>0</v>
      </c>
      <c r="BL237" s="867">
        <f t="shared" ca="1" si="153"/>
        <v>0</v>
      </c>
      <c r="BM237" s="867">
        <f t="shared" ca="1" si="154"/>
        <v>0</v>
      </c>
      <c r="BN237" s="867">
        <f t="shared" ca="1" si="155"/>
        <v>0</v>
      </c>
      <c r="BO237" s="867">
        <f t="shared" ca="1" si="156"/>
        <v>0</v>
      </c>
      <c r="BP237" s="867">
        <f t="shared" ca="1" si="157"/>
        <v>0</v>
      </c>
      <c r="BQ237" s="867">
        <f t="shared" ca="1" si="158"/>
        <v>0</v>
      </c>
      <c r="BR237" s="867">
        <f ca="1"/>
        <v>0</v>
      </c>
      <c r="BS237" s="867">
        <f ca="1"/>
        <v>0</v>
      </c>
      <c r="BT237" s="867">
        <f t="shared" ca="1" si="119"/>
        <v>0</v>
      </c>
      <c r="BU237" s="867">
        <f t="shared" ca="1" si="159"/>
        <v>0</v>
      </c>
      <c r="BX237" s="867">
        <f ca="1"/>
        <v>0</v>
      </c>
      <c r="BY237" s="867">
        <f t="shared" ca="1" si="160"/>
        <v>0</v>
      </c>
      <c r="BZ237" s="867">
        <f t="shared" ca="1" si="161"/>
        <v>0</v>
      </c>
      <c r="CA237" s="867">
        <f t="shared" ca="1" si="162"/>
        <v>0</v>
      </c>
      <c r="CB237" s="867">
        <f t="shared" ca="1" si="163"/>
        <v>0</v>
      </c>
      <c r="CC237" s="867">
        <f t="shared" ca="1" si="164"/>
        <v>0</v>
      </c>
      <c r="CD237" s="867">
        <f t="shared" ca="1" si="165"/>
        <v>0</v>
      </c>
    </row>
    <row r="238" spans="1:82" ht="17" hidden="1" thickTop="1" thickBot="1">
      <c r="A238" s="773">
        <f t="shared" si="115"/>
        <v>0</v>
      </c>
      <c r="B238" s="779"/>
      <c r="D238" s="660"/>
      <c r="E238" s="661"/>
      <c r="F238" s="862"/>
      <c r="G238" s="863"/>
      <c r="H238" s="961"/>
      <c r="I238" s="865">
        <f t="shared" si="121"/>
        <v>0</v>
      </c>
      <c r="J238" s="864" cm="1">
        <f t="array" ref="J238">IF($G238=0,0,-MIN(0,G238*c_equity.LPshare))</f>
        <v>0</v>
      </c>
      <c r="K238" s="865" cm="1">
        <f t="array" ref="K238">I238*c_rate.Pref.MO</f>
        <v>0</v>
      </c>
      <c r="L238" s="865">
        <f t="shared" si="122"/>
        <v>0</v>
      </c>
      <c r="M238" s="865">
        <f t="shared" si="123"/>
        <v>0</v>
      </c>
      <c r="N238" s="865">
        <f t="shared" si="124"/>
        <v>0</v>
      </c>
      <c r="O238" s="864" cm="1">
        <f t="array" ref="O238">IF(N238=0,0,IF(G238&lt;0,N238/c_equity.LPshare*i_equity.GPshare,L238/c_equity.LPshare*i_equity.GPshare))</f>
        <v>0</v>
      </c>
      <c r="P238" s="865">
        <f t="shared" si="125"/>
        <v>0</v>
      </c>
      <c r="Q238" s="865">
        <f t="shared" si="126"/>
        <v>0</v>
      </c>
      <c r="R238" s="161"/>
      <c r="S238" s="867">
        <f t="shared" ca="1" si="127"/>
        <v>0</v>
      </c>
      <c r="T238" s="867" cm="1">
        <f t="array" ref="T238">IF($G238=0,0,-MIN(0,$G238*c_equity.LPshare))</f>
        <v>0</v>
      </c>
      <c r="U238" s="869" cm="1">
        <f t="array" ref="U238">IF($D238=0,0,S238*c_rate.Hurdle1.MO)</f>
        <v>0</v>
      </c>
      <c r="V238" s="867">
        <f t="shared" si="128"/>
        <v>0</v>
      </c>
      <c r="W238" s="867">
        <f t="shared" ca="1" si="129"/>
        <v>0</v>
      </c>
      <c r="X238" s="869">
        <f t="shared" ca="1" si="130"/>
        <v>0</v>
      </c>
      <c r="Y238" s="869">
        <f t="shared" ca="1" si="131"/>
        <v>0</v>
      </c>
      <c r="Z238" s="869">
        <f t="shared" ca="1" si="132"/>
        <v>0</v>
      </c>
      <c r="AA238" s="869">
        <f t="shared" ca="1" si="133"/>
        <v>0</v>
      </c>
      <c r="AB238" s="867">
        <f t="shared" ca="1" si="134"/>
        <v>0</v>
      </c>
      <c r="AC238" s="161"/>
      <c r="AD238" s="869">
        <f t="shared" ca="1" si="135"/>
        <v>0</v>
      </c>
      <c r="AE238" s="867" cm="1">
        <f t="array" ref="AE238">IF($G238=0,0,-MIN(0,$G238*c_equity.LPshare))</f>
        <v>0</v>
      </c>
      <c r="AF238" s="869" cm="1">
        <f t="array" ref="AF238">IF($D238=0,0,AD238*(c_rate.Hurdle2.MO))</f>
        <v>0</v>
      </c>
      <c r="AG238" s="869">
        <f t="shared" ca="1" si="136"/>
        <v>0</v>
      </c>
      <c r="AH238" s="869">
        <f t="shared" ca="1" si="137"/>
        <v>0</v>
      </c>
      <c r="AI238" s="869">
        <f t="shared" ca="1" si="138"/>
        <v>0</v>
      </c>
      <c r="AJ238" s="870">
        <f t="shared" ca="1" si="166"/>
        <v>0</v>
      </c>
      <c r="AK238" s="867">
        <f t="shared" ca="1" si="139"/>
        <v>0</v>
      </c>
      <c r="AL238" s="869">
        <f t="shared" ca="1" si="171"/>
        <v>0</v>
      </c>
      <c r="AM238" s="869">
        <f t="shared" ca="1" si="140"/>
        <v>0</v>
      </c>
      <c r="AN238" s="867">
        <f t="shared" ca="1" si="168"/>
        <v>0</v>
      </c>
      <c r="AO238" s="161"/>
      <c r="AP238" s="869">
        <f t="shared" ca="1" si="141"/>
        <v>0</v>
      </c>
      <c r="AQ238" s="867" cm="1">
        <f t="array" ref="AQ238">IF($G238=0,0,-MIN(0,$G238*c_equity.LPshare))</f>
        <v>0</v>
      </c>
      <c r="AR238" s="869" cm="1">
        <f t="array" ref="AR238">IF($D238=0,0,AP238*(c_rate.Hurdle3.MO))</f>
        <v>0</v>
      </c>
      <c r="AS238" s="869">
        <f t="shared" ca="1" si="142"/>
        <v>0</v>
      </c>
      <c r="AT238" s="869">
        <f t="shared" ca="1" si="143"/>
        <v>0</v>
      </c>
      <c r="AU238" s="869">
        <f t="shared" ca="1" si="144"/>
        <v>0</v>
      </c>
      <c r="AV238" s="870">
        <f t="shared" ca="1" si="145"/>
        <v>0</v>
      </c>
      <c r="AW238" s="867">
        <f t="shared" ca="1" si="146"/>
        <v>0</v>
      </c>
      <c r="AX238" s="869">
        <f t="shared" ca="1" si="172"/>
        <v>0</v>
      </c>
      <c r="AY238" s="869">
        <f t="shared" ca="1" si="147"/>
        <v>0</v>
      </c>
      <c r="AZ238" s="867">
        <f t="shared" ca="1" si="170"/>
        <v>0</v>
      </c>
      <c r="BA238" s="161"/>
      <c r="BB238" s="867">
        <f t="shared" ca="1" si="149"/>
        <v>0</v>
      </c>
      <c r="BC238" s="867">
        <f t="shared" ca="1" si="114"/>
        <v>0</v>
      </c>
      <c r="BD238" s="658"/>
      <c r="BE238" s="867">
        <f t="shared" ca="1" si="150"/>
        <v>0</v>
      </c>
      <c r="BF238" s="867">
        <f t="shared" ca="1" si="151"/>
        <v>0</v>
      </c>
      <c r="BG238" s="867">
        <f t="shared" ca="1" si="152"/>
        <v>0</v>
      </c>
      <c r="BI238" s="867">
        <f ca="1"/>
        <v>0</v>
      </c>
      <c r="BJ238" s="867">
        <f ca="1"/>
        <v>0</v>
      </c>
      <c r="BK238" s="867">
        <f ca="1"/>
        <v>0</v>
      </c>
      <c r="BL238" s="867">
        <f t="shared" ca="1" si="153"/>
        <v>0</v>
      </c>
      <c r="BM238" s="867">
        <f t="shared" ca="1" si="154"/>
        <v>0</v>
      </c>
      <c r="BN238" s="867">
        <f t="shared" ca="1" si="155"/>
        <v>0</v>
      </c>
      <c r="BO238" s="867">
        <f t="shared" ca="1" si="156"/>
        <v>0</v>
      </c>
      <c r="BP238" s="867">
        <f t="shared" ca="1" si="157"/>
        <v>0</v>
      </c>
      <c r="BQ238" s="867">
        <f t="shared" ca="1" si="158"/>
        <v>0</v>
      </c>
      <c r="BR238" s="867">
        <f ca="1"/>
        <v>0</v>
      </c>
      <c r="BS238" s="867">
        <f ca="1"/>
        <v>0</v>
      </c>
      <c r="BT238" s="867">
        <f t="shared" ca="1" si="119"/>
        <v>0</v>
      </c>
      <c r="BU238" s="867">
        <f t="shared" ca="1" si="159"/>
        <v>0</v>
      </c>
      <c r="BX238" s="867">
        <f ca="1"/>
        <v>0</v>
      </c>
      <c r="BY238" s="867">
        <f t="shared" ca="1" si="160"/>
        <v>0</v>
      </c>
      <c r="BZ238" s="867">
        <f t="shared" ca="1" si="161"/>
        <v>0</v>
      </c>
      <c r="CA238" s="867">
        <f t="shared" ca="1" si="162"/>
        <v>0</v>
      </c>
      <c r="CB238" s="867">
        <f t="shared" ca="1" si="163"/>
        <v>0</v>
      </c>
      <c r="CC238" s="867">
        <f t="shared" ca="1" si="164"/>
        <v>0</v>
      </c>
      <c r="CD238" s="867">
        <f t="shared" ca="1" si="165"/>
        <v>0</v>
      </c>
    </row>
    <row r="239" spans="1:82" ht="17" hidden="1" thickTop="1" thickBot="1">
      <c r="A239" s="773">
        <f t="shared" si="115"/>
        <v>0</v>
      </c>
      <c r="B239" s="779"/>
      <c r="D239" s="660"/>
      <c r="E239" s="661"/>
      <c r="F239" s="862"/>
      <c r="G239" s="863"/>
      <c r="H239" s="961"/>
      <c r="I239" s="865">
        <f t="shared" si="121"/>
        <v>0</v>
      </c>
      <c r="J239" s="864" cm="1">
        <f t="array" ref="J239">IF($G239=0,0,-MIN(0,G239*c_equity.LPshare))</f>
        <v>0</v>
      </c>
      <c r="K239" s="865" cm="1">
        <f t="array" ref="K239">I239*c_rate.Pref.MO</f>
        <v>0</v>
      </c>
      <c r="L239" s="865">
        <f t="shared" si="122"/>
        <v>0</v>
      </c>
      <c r="M239" s="865">
        <f t="shared" si="123"/>
        <v>0</v>
      </c>
      <c r="N239" s="865">
        <f t="shared" si="124"/>
        <v>0</v>
      </c>
      <c r="O239" s="864" cm="1">
        <f t="array" ref="O239">IF(N239=0,0,IF(G239&lt;0,N239/c_equity.LPshare*i_equity.GPshare,L239/c_equity.LPshare*i_equity.GPshare))</f>
        <v>0</v>
      </c>
      <c r="P239" s="865">
        <f t="shared" si="125"/>
        <v>0</v>
      </c>
      <c r="Q239" s="865">
        <f t="shared" si="126"/>
        <v>0</v>
      </c>
      <c r="R239" s="161"/>
      <c r="S239" s="867">
        <f t="shared" ca="1" si="127"/>
        <v>0</v>
      </c>
      <c r="T239" s="867" cm="1">
        <f t="array" ref="T239">IF($G239=0,0,-MIN(0,$G239*c_equity.LPshare))</f>
        <v>0</v>
      </c>
      <c r="U239" s="869" cm="1">
        <f t="array" ref="U239">IF($D239=0,0,S239*c_rate.Hurdle1.MO)</f>
        <v>0</v>
      </c>
      <c r="V239" s="867">
        <f t="shared" si="128"/>
        <v>0</v>
      </c>
      <c r="W239" s="867">
        <f t="shared" ca="1" si="129"/>
        <v>0</v>
      </c>
      <c r="X239" s="869">
        <f t="shared" ca="1" si="130"/>
        <v>0</v>
      </c>
      <c r="Y239" s="869">
        <f t="shared" ca="1" si="131"/>
        <v>0</v>
      </c>
      <c r="Z239" s="869">
        <f t="shared" ca="1" si="132"/>
        <v>0</v>
      </c>
      <c r="AA239" s="869">
        <f t="shared" ca="1" si="133"/>
        <v>0</v>
      </c>
      <c r="AB239" s="867">
        <f t="shared" ca="1" si="134"/>
        <v>0</v>
      </c>
      <c r="AC239" s="161"/>
      <c r="AD239" s="869">
        <f t="shared" ca="1" si="135"/>
        <v>0</v>
      </c>
      <c r="AE239" s="867" cm="1">
        <f t="array" ref="AE239">IF($G239=0,0,-MIN(0,$G239*c_equity.LPshare))</f>
        <v>0</v>
      </c>
      <c r="AF239" s="869" cm="1">
        <f t="array" ref="AF239">IF($D239=0,0,AD239*(c_rate.Hurdle2.MO))</f>
        <v>0</v>
      </c>
      <c r="AG239" s="869">
        <f t="shared" ca="1" si="136"/>
        <v>0</v>
      </c>
      <c r="AH239" s="869">
        <f t="shared" ca="1" si="137"/>
        <v>0</v>
      </c>
      <c r="AI239" s="869">
        <f t="shared" ca="1" si="138"/>
        <v>0</v>
      </c>
      <c r="AJ239" s="870">
        <f t="shared" ca="1" si="166"/>
        <v>0</v>
      </c>
      <c r="AK239" s="867">
        <f t="shared" ca="1" si="139"/>
        <v>0</v>
      </c>
      <c r="AL239" s="869">
        <f t="shared" ca="1" si="171"/>
        <v>0</v>
      </c>
      <c r="AM239" s="869">
        <f t="shared" ca="1" si="140"/>
        <v>0</v>
      </c>
      <c r="AN239" s="867">
        <f t="shared" ca="1" si="168"/>
        <v>0</v>
      </c>
      <c r="AO239" s="161"/>
      <c r="AP239" s="869">
        <f t="shared" ca="1" si="141"/>
        <v>0</v>
      </c>
      <c r="AQ239" s="867" cm="1">
        <f t="array" ref="AQ239">IF($G239=0,0,-MIN(0,$G239*c_equity.LPshare))</f>
        <v>0</v>
      </c>
      <c r="AR239" s="869" cm="1">
        <f t="array" ref="AR239">IF($D239=0,0,AP239*(c_rate.Hurdle3.MO))</f>
        <v>0</v>
      </c>
      <c r="AS239" s="869">
        <f t="shared" ca="1" si="142"/>
        <v>0</v>
      </c>
      <c r="AT239" s="869">
        <f t="shared" ca="1" si="143"/>
        <v>0</v>
      </c>
      <c r="AU239" s="869">
        <f t="shared" ca="1" si="144"/>
        <v>0</v>
      </c>
      <c r="AV239" s="870">
        <f t="shared" ca="1" si="145"/>
        <v>0</v>
      </c>
      <c r="AW239" s="867">
        <f t="shared" ca="1" si="146"/>
        <v>0</v>
      </c>
      <c r="AX239" s="869">
        <f t="shared" ca="1" si="172"/>
        <v>0</v>
      </c>
      <c r="AY239" s="869">
        <f t="shared" ca="1" si="147"/>
        <v>0</v>
      </c>
      <c r="AZ239" s="867">
        <f t="shared" ca="1" si="170"/>
        <v>0</v>
      </c>
      <c r="BA239" s="161"/>
      <c r="BB239" s="867">
        <f t="shared" ca="1" si="149"/>
        <v>0</v>
      </c>
      <c r="BC239" s="867">
        <f t="shared" ca="1" si="114"/>
        <v>0</v>
      </c>
      <c r="BD239" s="658"/>
      <c r="BE239" s="867">
        <f t="shared" ca="1" si="150"/>
        <v>0</v>
      </c>
      <c r="BF239" s="867">
        <f t="shared" ca="1" si="151"/>
        <v>0</v>
      </c>
      <c r="BG239" s="867">
        <f t="shared" ca="1" si="152"/>
        <v>0</v>
      </c>
      <c r="BI239" s="867">
        <f ca="1"/>
        <v>0</v>
      </c>
      <c r="BJ239" s="867">
        <f ca="1"/>
        <v>0</v>
      </c>
      <c r="BK239" s="867">
        <f ca="1"/>
        <v>0</v>
      </c>
      <c r="BL239" s="867">
        <f t="shared" ca="1" si="153"/>
        <v>0</v>
      </c>
      <c r="BM239" s="867">
        <f t="shared" ca="1" si="154"/>
        <v>0</v>
      </c>
      <c r="BN239" s="867">
        <f t="shared" ca="1" si="155"/>
        <v>0</v>
      </c>
      <c r="BO239" s="867">
        <f t="shared" ca="1" si="156"/>
        <v>0</v>
      </c>
      <c r="BP239" s="867">
        <f t="shared" ca="1" si="157"/>
        <v>0</v>
      </c>
      <c r="BQ239" s="867">
        <f t="shared" ca="1" si="158"/>
        <v>0</v>
      </c>
      <c r="BR239" s="867">
        <f ca="1"/>
        <v>0</v>
      </c>
      <c r="BS239" s="867">
        <f ca="1"/>
        <v>0</v>
      </c>
      <c r="BT239" s="867">
        <f t="shared" ca="1" si="119"/>
        <v>0</v>
      </c>
      <c r="BU239" s="867">
        <f t="shared" ca="1" si="159"/>
        <v>0</v>
      </c>
      <c r="BX239" s="867">
        <f ca="1"/>
        <v>0</v>
      </c>
      <c r="BY239" s="867">
        <f t="shared" ca="1" si="160"/>
        <v>0</v>
      </c>
      <c r="BZ239" s="867">
        <f t="shared" ca="1" si="161"/>
        <v>0</v>
      </c>
      <c r="CA239" s="867">
        <f t="shared" ca="1" si="162"/>
        <v>0</v>
      </c>
      <c r="CB239" s="867">
        <f t="shared" ca="1" si="163"/>
        <v>0</v>
      </c>
      <c r="CC239" s="867">
        <f t="shared" ca="1" si="164"/>
        <v>0</v>
      </c>
      <c r="CD239" s="867">
        <f t="shared" ca="1" si="165"/>
        <v>0</v>
      </c>
    </row>
    <row r="240" spans="1:82" ht="17" hidden="1" thickTop="1" thickBot="1">
      <c r="A240" s="773">
        <f t="shared" si="115"/>
        <v>0</v>
      </c>
      <c r="B240" s="779"/>
      <c r="D240" s="660"/>
      <c r="E240" s="661"/>
      <c r="F240" s="862"/>
      <c r="G240" s="863"/>
      <c r="H240" s="961"/>
      <c r="I240" s="865">
        <f t="shared" si="121"/>
        <v>0</v>
      </c>
      <c r="J240" s="864" cm="1">
        <f t="array" ref="J240">IF($G240=0,0,-MIN(0,G240*c_equity.LPshare))</f>
        <v>0</v>
      </c>
      <c r="K240" s="865" cm="1">
        <f t="array" ref="K240">I240*c_rate.Pref.MO</f>
        <v>0</v>
      </c>
      <c r="L240" s="865">
        <f t="shared" si="122"/>
        <v>0</v>
      </c>
      <c r="M240" s="865">
        <f t="shared" si="123"/>
        <v>0</v>
      </c>
      <c r="N240" s="865">
        <f t="shared" si="124"/>
        <v>0</v>
      </c>
      <c r="O240" s="864" cm="1">
        <f t="array" ref="O240">IF(N240=0,0,IF(G240&lt;0,N240/c_equity.LPshare*i_equity.GPshare,L240/c_equity.LPshare*i_equity.GPshare))</f>
        <v>0</v>
      </c>
      <c r="P240" s="865">
        <f t="shared" si="125"/>
        <v>0</v>
      </c>
      <c r="Q240" s="865">
        <f t="shared" si="126"/>
        <v>0</v>
      </c>
      <c r="R240" s="161"/>
      <c r="S240" s="867">
        <f t="shared" ca="1" si="127"/>
        <v>0</v>
      </c>
      <c r="T240" s="867" cm="1">
        <f t="array" ref="T240">IF($G240=0,0,-MIN(0,$G240*c_equity.LPshare))</f>
        <v>0</v>
      </c>
      <c r="U240" s="869" cm="1">
        <f t="array" ref="U240">IF($D240=0,0,S240*c_rate.Hurdle1.MO)</f>
        <v>0</v>
      </c>
      <c r="V240" s="867">
        <f t="shared" si="128"/>
        <v>0</v>
      </c>
      <c r="W240" s="867">
        <f t="shared" ca="1" si="129"/>
        <v>0</v>
      </c>
      <c r="X240" s="869">
        <f t="shared" ca="1" si="130"/>
        <v>0</v>
      </c>
      <c r="Y240" s="869">
        <f t="shared" ca="1" si="131"/>
        <v>0</v>
      </c>
      <c r="Z240" s="869">
        <f t="shared" ca="1" si="132"/>
        <v>0</v>
      </c>
      <c r="AA240" s="869">
        <f t="shared" ca="1" si="133"/>
        <v>0</v>
      </c>
      <c r="AB240" s="867">
        <f t="shared" ca="1" si="134"/>
        <v>0</v>
      </c>
      <c r="AC240" s="161"/>
      <c r="AD240" s="869">
        <f t="shared" ca="1" si="135"/>
        <v>0</v>
      </c>
      <c r="AE240" s="867" cm="1">
        <f t="array" ref="AE240">IF($G240=0,0,-MIN(0,$G240*c_equity.LPshare))</f>
        <v>0</v>
      </c>
      <c r="AF240" s="869" cm="1">
        <f t="array" ref="AF240">IF($D240=0,0,AD240*(c_rate.Hurdle2.MO))</f>
        <v>0</v>
      </c>
      <c r="AG240" s="869">
        <f t="shared" ca="1" si="136"/>
        <v>0</v>
      </c>
      <c r="AH240" s="869">
        <f t="shared" ca="1" si="137"/>
        <v>0</v>
      </c>
      <c r="AI240" s="869">
        <f t="shared" ca="1" si="138"/>
        <v>0</v>
      </c>
      <c r="AJ240" s="870">
        <f t="shared" ca="1" si="166"/>
        <v>0</v>
      </c>
      <c r="AK240" s="867">
        <f t="shared" ca="1" si="139"/>
        <v>0</v>
      </c>
      <c r="AL240" s="869">
        <f t="shared" ca="1" si="171"/>
        <v>0</v>
      </c>
      <c r="AM240" s="869">
        <f t="shared" ca="1" si="140"/>
        <v>0</v>
      </c>
      <c r="AN240" s="867">
        <f t="shared" ca="1" si="168"/>
        <v>0</v>
      </c>
      <c r="AO240" s="161"/>
      <c r="AP240" s="869">
        <f t="shared" ca="1" si="141"/>
        <v>0</v>
      </c>
      <c r="AQ240" s="867" cm="1">
        <f t="array" ref="AQ240">IF($G240=0,0,-MIN(0,$G240*c_equity.LPshare))</f>
        <v>0</v>
      </c>
      <c r="AR240" s="869" cm="1">
        <f t="array" ref="AR240">IF($D240=0,0,AP240*(c_rate.Hurdle3.MO))</f>
        <v>0</v>
      </c>
      <c r="AS240" s="869">
        <f t="shared" ca="1" si="142"/>
        <v>0</v>
      </c>
      <c r="AT240" s="869">
        <f t="shared" ca="1" si="143"/>
        <v>0</v>
      </c>
      <c r="AU240" s="869">
        <f t="shared" ca="1" si="144"/>
        <v>0</v>
      </c>
      <c r="AV240" s="870">
        <f t="shared" ca="1" si="145"/>
        <v>0</v>
      </c>
      <c r="AW240" s="867">
        <f t="shared" ca="1" si="146"/>
        <v>0</v>
      </c>
      <c r="AX240" s="869">
        <f t="shared" ca="1" si="172"/>
        <v>0</v>
      </c>
      <c r="AY240" s="869">
        <f t="shared" ca="1" si="147"/>
        <v>0</v>
      </c>
      <c r="AZ240" s="867">
        <f t="shared" ca="1" si="170"/>
        <v>0</v>
      </c>
      <c r="BA240" s="161"/>
      <c r="BB240" s="867">
        <f t="shared" ca="1" si="149"/>
        <v>0</v>
      </c>
      <c r="BC240" s="867">
        <f t="shared" ref="BC240:BC303" ca="1" si="173">$AZ240*i_residualGP</f>
        <v>0</v>
      </c>
      <c r="BD240" s="658"/>
      <c r="BE240" s="867">
        <f t="shared" ca="1" si="150"/>
        <v>0</v>
      </c>
      <c r="BF240" s="867">
        <f t="shared" ca="1" si="151"/>
        <v>0</v>
      </c>
      <c r="BG240" s="867">
        <f t="shared" ca="1" si="152"/>
        <v>0</v>
      </c>
      <c r="BI240" s="867">
        <f ca="1"/>
        <v>0</v>
      </c>
      <c r="BJ240" s="867">
        <f ca="1"/>
        <v>0</v>
      </c>
      <c r="BK240" s="867">
        <f ca="1"/>
        <v>0</v>
      </c>
      <c r="BL240" s="867">
        <f t="shared" ca="1" si="153"/>
        <v>0</v>
      </c>
      <c r="BM240" s="867">
        <f t="shared" ca="1" si="154"/>
        <v>0</v>
      </c>
      <c r="BN240" s="867">
        <f t="shared" ca="1" si="155"/>
        <v>0</v>
      </c>
      <c r="BO240" s="867">
        <f t="shared" ca="1" si="156"/>
        <v>0</v>
      </c>
      <c r="BP240" s="867">
        <f t="shared" ca="1" si="157"/>
        <v>0</v>
      </c>
      <c r="BQ240" s="867">
        <f t="shared" ca="1" si="158"/>
        <v>0</v>
      </c>
      <c r="BR240" s="867">
        <f ca="1"/>
        <v>0</v>
      </c>
      <c r="BS240" s="867">
        <f ca="1"/>
        <v>0</v>
      </c>
      <c r="BT240" s="867">
        <f t="shared" ca="1" si="119"/>
        <v>0</v>
      </c>
      <c r="BU240" s="867">
        <f t="shared" ca="1" si="159"/>
        <v>0</v>
      </c>
      <c r="BX240" s="867">
        <f ca="1"/>
        <v>0</v>
      </c>
      <c r="BY240" s="867">
        <f t="shared" ca="1" si="160"/>
        <v>0</v>
      </c>
      <c r="BZ240" s="867">
        <f t="shared" ca="1" si="161"/>
        <v>0</v>
      </c>
      <c r="CA240" s="867">
        <f t="shared" ca="1" si="162"/>
        <v>0</v>
      </c>
      <c r="CB240" s="867">
        <f t="shared" ca="1" si="163"/>
        <v>0</v>
      </c>
      <c r="CC240" s="867">
        <f t="shared" ca="1" si="164"/>
        <v>0</v>
      </c>
      <c r="CD240" s="867">
        <f t="shared" ca="1" si="165"/>
        <v>0</v>
      </c>
    </row>
    <row r="241" spans="1:82" ht="17" hidden="1" thickTop="1" thickBot="1">
      <c r="A241" s="773">
        <f t="shared" ref="A241:A304" si="174">IF(D241&gt;0,1,0)</f>
        <v>0</v>
      </c>
      <c r="B241" s="779"/>
      <c r="D241" s="660"/>
      <c r="E241" s="661"/>
      <c r="F241" s="862"/>
      <c r="G241" s="863"/>
      <c r="H241" s="961"/>
      <c r="I241" s="865">
        <f t="shared" si="121"/>
        <v>0</v>
      </c>
      <c r="J241" s="864" cm="1">
        <f t="array" ref="J241">IF($G241=0,0,-MIN(0,G241*c_equity.LPshare))</f>
        <v>0</v>
      </c>
      <c r="K241" s="865" cm="1">
        <f t="array" ref="K241">I241*c_rate.Pref.MO</f>
        <v>0</v>
      </c>
      <c r="L241" s="865">
        <f t="shared" si="122"/>
        <v>0</v>
      </c>
      <c r="M241" s="865">
        <f t="shared" si="123"/>
        <v>0</v>
      </c>
      <c r="N241" s="865">
        <f t="shared" si="124"/>
        <v>0</v>
      </c>
      <c r="O241" s="864" cm="1">
        <f t="array" ref="O241">IF(N241=0,0,IF(G241&lt;0,N241/c_equity.LPshare*i_equity.GPshare,L241/c_equity.LPshare*i_equity.GPshare))</f>
        <v>0</v>
      </c>
      <c r="P241" s="865">
        <f t="shared" si="125"/>
        <v>0</v>
      </c>
      <c r="Q241" s="865">
        <f t="shared" si="126"/>
        <v>0</v>
      </c>
      <c r="R241" s="161"/>
      <c r="S241" s="867">
        <f t="shared" ca="1" si="127"/>
        <v>0</v>
      </c>
      <c r="T241" s="867" cm="1">
        <f t="array" ref="T241">IF($G241=0,0,-MIN(0,$G241*c_equity.LPshare))</f>
        <v>0</v>
      </c>
      <c r="U241" s="869" cm="1">
        <f t="array" ref="U241">IF($D241=0,0,S241*c_rate.Hurdle1.MO)</f>
        <v>0</v>
      </c>
      <c r="V241" s="867">
        <f t="shared" si="128"/>
        <v>0</v>
      </c>
      <c r="W241" s="867">
        <f t="shared" ca="1" si="129"/>
        <v>0</v>
      </c>
      <c r="X241" s="869">
        <f t="shared" ca="1" si="130"/>
        <v>0</v>
      </c>
      <c r="Y241" s="869">
        <f t="shared" ca="1" si="131"/>
        <v>0</v>
      </c>
      <c r="Z241" s="869">
        <f t="shared" ca="1" si="132"/>
        <v>0</v>
      </c>
      <c r="AA241" s="869">
        <f t="shared" ca="1" si="133"/>
        <v>0</v>
      </c>
      <c r="AB241" s="867">
        <f t="shared" ca="1" si="134"/>
        <v>0</v>
      </c>
      <c r="AC241" s="161"/>
      <c r="AD241" s="869">
        <f t="shared" ca="1" si="135"/>
        <v>0</v>
      </c>
      <c r="AE241" s="867" cm="1">
        <f t="array" ref="AE241">IF($G241=0,0,-MIN(0,$G241*c_equity.LPshare))</f>
        <v>0</v>
      </c>
      <c r="AF241" s="869" cm="1">
        <f t="array" ref="AF241">IF($D241=0,0,AD241*(c_rate.Hurdle2.MO))</f>
        <v>0</v>
      </c>
      <c r="AG241" s="869">
        <f t="shared" ca="1" si="136"/>
        <v>0</v>
      </c>
      <c r="AH241" s="869">
        <f t="shared" ca="1" si="137"/>
        <v>0</v>
      </c>
      <c r="AI241" s="869">
        <f t="shared" ca="1" si="138"/>
        <v>0</v>
      </c>
      <c r="AJ241" s="870">
        <f t="shared" ca="1" si="166"/>
        <v>0</v>
      </c>
      <c r="AK241" s="867">
        <f t="shared" ca="1" si="139"/>
        <v>0</v>
      </c>
      <c r="AL241" s="869">
        <f t="shared" ref="AL241:AL304" ca="1" si="175">IF(AD241=0,0,Z241+AH241/$J$18*c_Hurdle2.Share_GP)</f>
        <v>0</v>
      </c>
      <c r="AM241" s="869">
        <f t="shared" ca="1" si="140"/>
        <v>0</v>
      </c>
      <c r="AN241" s="867">
        <f t="shared" ca="1" si="168"/>
        <v>0</v>
      </c>
      <c r="AO241" s="161"/>
      <c r="AP241" s="869">
        <f t="shared" ca="1" si="141"/>
        <v>0</v>
      </c>
      <c r="AQ241" s="867" cm="1">
        <f t="array" ref="AQ241">IF($G241=0,0,-MIN(0,$G241*c_equity.LPshare))</f>
        <v>0</v>
      </c>
      <c r="AR241" s="869" cm="1">
        <f t="array" ref="AR241">IF($D241=0,0,AP241*(c_rate.Hurdle3.MO))</f>
        <v>0</v>
      </c>
      <c r="AS241" s="869">
        <f t="shared" ca="1" si="142"/>
        <v>0</v>
      </c>
      <c r="AT241" s="869">
        <f t="shared" ca="1" si="143"/>
        <v>0</v>
      </c>
      <c r="AU241" s="869">
        <f t="shared" ca="1" si="144"/>
        <v>0</v>
      </c>
      <c r="AV241" s="870">
        <f t="shared" ca="1" si="145"/>
        <v>0</v>
      </c>
      <c r="AW241" s="867">
        <f t="shared" ca="1" si="146"/>
        <v>0</v>
      </c>
      <c r="AX241" s="869">
        <f t="shared" ref="AX241:AX304" ca="1" si="176">IF(AP241=0,0,AL241+AT241/$J$19*c_Hurdle3.Share_GP)</f>
        <v>0</v>
      </c>
      <c r="AY241" s="869">
        <f t="shared" ca="1" si="147"/>
        <v>0</v>
      </c>
      <c r="AZ241" s="867">
        <f t="shared" ca="1" si="170"/>
        <v>0</v>
      </c>
      <c r="BA241" s="161"/>
      <c r="BB241" s="867">
        <f t="shared" ca="1" si="149"/>
        <v>0</v>
      </c>
      <c r="BC241" s="867">
        <f t="shared" ca="1" si="173"/>
        <v>0</v>
      </c>
      <c r="BD241" s="658"/>
      <c r="BE241" s="867">
        <f t="shared" ca="1" si="150"/>
        <v>0</v>
      </c>
      <c r="BF241" s="867">
        <f t="shared" ca="1" si="151"/>
        <v>0</v>
      </c>
      <c r="BG241" s="867">
        <f t="shared" ca="1" si="152"/>
        <v>0</v>
      </c>
      <c r="BI241" s="867">
        <f ca="1"/>
        <v>0</v>
      </c>
      <c r="BJ241" s="867">
        <f ca="1"/>
        <v>0</v>
      </c>
      <c r="BK241" s="867">
        <f ca="1"/>
        <v>0</v>
      </c>
      <c r="BL241" s="867">
        <f t="shared" ca="1" si="153"/>
        <v>0</v>
      </c>
      <c r="BM241" s="867">
        <f t="shared" ca="1" si="154"/>
        <v>0</v>
      </c>
      <c r="BN241" s="867">
        <f t="shared" ca="1" si="155"/>
        <v>0</v>
      </c>
      <c r="BO241" s="867">
        <f t="shared" ca="1" si="156"/>
        <v>0</v>
      </c>
      <c r="BP241" s="867">
        <f t="shared" ca="1" si="157"/>
        <v>0</v>
      </c>
      <c r="BQ241" s="867">
        <f t="shared" ca="1" si="158"/>
        <v>0</v>
      </c>
      <c r="BR241" s="867">
        <f ca="1"/>
        <v>0</v>
      </c>
      <c r="BS241" s="867">
        <f ca="1"/>
        <v>0</v>
      </c>
      <c r="BT241" s="867">
        <f t="shared" ref="BT241:BT304" ca="1" si="177">BJ241+BL241+BN241+BP241+BR241</f>
        <v>0</v>
      </c>
      <c r="BU241" s="867">
        <f t="shared" ca="1" si="159"/>
        <v>0</v>
      </c>
      <c r="BX241" s="867">
        <f ca="1"/>
        <v>0</v>
      </c>
      <c r="BY241" s="867">
        <f t="shared" ca="1" si="160"/>
        <v>0</v>
      </c>
      <c r="BZ241" s="867">
        <f t="shared" ca="1" si="161"/>
        <v>0</v>
      </c>
      <c r="CA241" s="867">
        <f t="shared" ca="1" si="162"/>
        <v>0</v>
      </c>
      <c r="CB241" s="867">
        <f t="shared" ca="1" si="163"/>
        <v>0</v>
      </c>
      <c r="CC241" s="867">
        <f t="shared" ca="1" si="164"/>
        <v>0</v>
      </c>
      <c r="CD241" s="867">
        <f t="shared" ca="1" si="165"/>
        <v>0</v>
      </c>
    </row>
    <row r="242" spans="1:82" ht="17" hidden="1" thickTop="1" thickBot="1">
      <c r="A242" s="773">
        <f t="shared" si="174"/>
        <v>0</v>
      </c>
      <c r="B242" s="779"/>
      <c r="D242" s="660"/>
      <c r="E242" s="661"/>
      <c r="F242" s="862"/>
      <c r="G242" s="863"/>
      <c r="H242" s="961"/>
      <c r="I242" s="865">
        <f t="shared" ref="I242:I305" si="178">IF(D242=0,0,M241)</f>
        <v>0</v>
      </c>
      <c r="J242" s="864" cm="1">
        <f t="array" ref="J242">IF($G242=0,0,-MIN(0,G242*c_equity.LPshare))</f>
        <v>0</v>
      </c>
      <c r="K242" s="865" cm="1">
        <f t="array" ref="K242">I242*c_rate.Pref.MO</f>
        <v>0</v>
      </c>
      <c r="L242" s="865">
        <f t="shared" ref="L242:L305" si="179">IF($G242=0,0,MAX(MIN($G242*$I$46,I242+K242-J242),0))</f>
        <v>0</v>
      </c>
      <c r="M242" s="865">
        <f t="shared" ref="M242:M305" si="180">I242+K242+J242-L242</f>
        <v>0</v>
      </c>
      <c r="N242" s="865">
        <f t="shared" ref="N242:N305" si="181">L242-J242</f>
        <v>0</v>
      </c>
      <c r="O242" s="864" cm="1">
        <f t="array" ref="O242">IF(N242=0,0,IF(G242&lt;0,N242/c_equity.LPshare*i_equity.GPshare,L242/c_equity.LPshare*i_equity.GPshare))</f>
        <v>0</v>
      </c>
      <c r="P242" s="865">
        <f t="shared" ref="P242:P305" si="182">N242+O242</f>
        <v>0</v>
      </c>
      <c r="Q242" s="865">
        <f t="shared" ref="Q242:Q305" si="183">ROUND(IF(E242=0,0,MAX(G242-P242,0)),1)</f>
        <v>0</v>
      </c>
      <c r="R242" s="161"/>
      <c r="S242" s="867">
        <f t="shared" ref="S242:S305" ca="1" si="184">X241</f>
        <v>0</v>
      </c>
      <c r="T242" s="867" cm="1">
        <f t="array" ref="T242">IF($G242=0,0,-MIN(0,$G242*c_equity.LPshare))</f>
        <v>0</v>
      </c>
      <c r="U242" s="869" cm="1">
        <f t="array" ref="U242">IF($D242=0,0,S242*c_rate.Hurdle1.MO)</f>
        <v>0</v>
      </c>
      <c r="V242" s="867">
        <f t="shared" ref="V242:V305" si="185">L242</f>
        <v>0</v>
      </c>
      <c r="W242" s="867">
        <f t="shared" ref="W242:W305" ca="1" si="186">MIN(S242+U242-V242,Q242*S$46)</f>
        <v>0</v>
      </c>
      <c r="X242" s="869">
        <f t="shared" ref="X242:X305" ca="1" si="187">S242+T242+U242-V242-W242</f>
        <v>0</v>
      </c>
      <c r="Y242" s="869">
        <f t="shared" ref="Y242:Y305" ca="1" si="188">N242+W242</f>
        <v>0</v>
      </c>
      <c r="Z242" s="869">
        <f t="shared" ref="Z242:Z305" ca="1" si="189">IF(Y242=0,0,O242+(W242/$J$17*c_Hurdle1.Share_GP))</f>
        <v>0</v>
      </c>
      <c r="AA242" s="869">
        <f t="shared" ref="AA242:AA305" ca="1" si="190">Y242+Z242</f>
        <v>0</v>
      </c>
      <c r="AB242" s="867">
        <f t="shared" ref="AB242:AB305" ca="1" si="191">IF(AA242&lt;0,0,MAX($G242-AA242,0))</f>
        <v>0</v>
      </c>
      <c r="AC242" s="161"/>
      <c r="AD242" s="869">
        <f t="shared" ref="AD242:AD305" ca="1" si="192">AI241</f>
        <v>0</v>
      </c>
      <c r="AE242" s="867" cm="1">
        <f t="array" ref="AE242">IF($G242=0,0,-MIN(0,$G242*c_equity.LPshare))</f>
        <v>0</v>
      </c>
      <c r="AF242" s="869" cm="1">
        <f t="array" ref="AF242">IF($D242=0,0,AD242*(c_rate.Hurdle2.MO))</f>
        <v>0</v>
      </c>
      <c r="AG242" s="869">
        <f t="shared" ref="AG242:AG305" ca="1" si="193">V242+W242</f>
        <v>0</v>
      </c>
      <c r="AH242" s="869">
        <f t="shared" ref="AH242:AH305" ca="1" si="194">IF(AB242=0,0,MIN(AD242+AE242+AF242-AG242,AB242*AD$46))</f>
        <v>0</v>
      </c>
      <c r="AI242" s="869">
        <f t="shared" ref="AI242:AI305" ca="1" si="195">AD242+AF242+AE242-AG242-AH242</f>
        <v>0</v>
      </c>
      <c r="AJ242" s="870">
        <f t="shared" ref="AJ242:AJ305" ca="1" si="196">-AE242+AG242+AH242</f>
        <v>0</v>
      </c>
      <c r="AK242" s="867">
        <f t="shared" ref="AK242:AK305" ca="1" si="197">Y242+AH242</f>
        <v>0</v>
      </c>
      <c r="AL242" s="869">
        <f t="shared" ca="1" si="175"/>
        <v>0</v>
      </c>
      <c r="AM242" s="869">
        <f t="shared" ref="AM242:AM305" ca="1" si="198">AK242+AL242</f>
        <v>0</v>
      </c>
      <c r="AN242" s="867">
        <f t="shared" ref="AN242:AN305" ca="1" si="199">IF(AM242&lt;0,0,MAX($G242-AA242-AM242,0))</f>
        <v>0</v>
      </c>
      <c r="AO242" s="161"/>
      <c r="AP242" s="869">
        <f t="shared" ref="AP242:AP305" ca="1" si="200">AU241</f>
        <v>0</v>
      </c>
      <c r="AQ242" s="867" cm="1">
        <f t="array" ref="AQ242">IF($G242=0,0,-MIN(0,$G242*c_equity.LPshare))</f>
        <v>0</v>
      </c>
      <c r="AR242" s="869" cm="1">
        <f t="array" ref="AR242">IF($D242=0,0,AP242*(c_rate.Hurdle3.MO))</f>
        <v>0</v>
      </c>
      <c r="AS242" s="869">
        <f t="shared" ref="AS242:AS305" ca="1" si="201">AG242+AH242</f>
        <v>0</v>
      </c>
      <c r="AT242" s="869">
        <f t="shared" ref="AT242:AT305" ca="1" si="202">IF(AP242=0,0,MIN(AP242+AQ242+AR242-AS242,AN242*AP$46))</f>
        <v>0</v>
      </c>
      <c r="AU242" s="869">
        <f t="shared" ref="AU242:AU305" ca="1" si="203">AP242+AR242+AQ242-AS242-AT242</f>
        <v>0</v>
      </c>
      <c r="AV242" s="870">
        <f t="shared" ref="AV242:AV305" ca="1" si="204">-AQ242+AS242+AT242</f>
        <v>0</v>
      </c>
      <c r="AW242" s="867">
        <f t="shared" ref="AW242:AW305" ca="1" si="205">AK242+AT242</f>
        <v>0</v>
      </c>
      <c r="AX242" s="869">
        <f t="shared" ca="1" si="176"/>
        <v>0</v>
      </c>
      <c r="AY242" s="869">
        <f t="shared" ref="AY242:AY305" ca="1" si="206">AW242+AX242</f>
        <v>0</v>
      </c>
      <c r="AZ242" s="867">
        <f t="shared" ref="AZ242:AZ305" ca="1" si="207">IF(AY242&lt;0,0,MAX($G242-AM242-AY242,0))</f>
        <v>0</v>
      </c>
      <c r="BA242" s="161"/>
      <c r="BB242" s="867">
        <f t="shared" ref="BB242:BB305" ca="1" si="208">$AZ242-BC242</f>
        <v>0</v>
      </c>
      <c r="BC242" s="867">
        <f t="shared" ca="1" si="173"/>
        <v>0</v>
      </c>
      <c r="BD242" s="658"/>
      <c r="BE242" s="867">
        <f t="shared" ref="BE242:BE305" ca="1" si="209">AW242+BB242</f>
        <v>0</v>
      </c>
      <c r="BF242" s="867">
        <f t="shared" ref="BF242:BF305" ca="1" si="210">AX242+BC242</f>
        <v>0</v>
      </c>
      <c r="BG242" s="867">
        <f t="shared" ref="BG242:BG305" ca="1" si="211">SUM(BE242:BF242)</f>
        <v>0</v>
      </c>
      <c r="BI242" s="867">
        <f ca="1"/>
        <v>0</v>
      </c>
      <c r="BJ242" s="867">
        <f ca="1"/>
        <v>0</v>
      </c>
      <c r="BK242" s="867">
        <f ca="1"/>
        <v>0</v>
      </c>
      <c r="BL242" s="867">
        <f t="shared" ref="BL242:BL305" ca="1" si="212">Y242-N242</f>
        <v>0</v>
      </c>
      <c r="BM242" s="867">
        <f t="shared" ref="BM242:BM305" ca="1" si="213">Z242-O242</f>
        <v>0</v>
      </c>
      <c r="BN242" s="867">
        <f t="shared" ref="BN242:BN305" ca="1" si="214">AK242-Y242</f>
        <v>0</v>
      </c>
      <c r="BO242" s="867">
        <f t="shared" ref="BO242:BO305" ca="1" si="215">AL242-Z242</f>
        <v>0</v>
      </c>
      <c r="BP242" s="867">
        <f t="shared" ref="BP242:BP305" ca="1" si="216">AW242-AK242</f>
        <v>0</v>
      </c>
      <c r="BQ242" s="867">
        <f t="shared" ref="BQ242:BQ305" ca="1" si="217">AX242-AL242</f>
        <v>0</v>
      </c>
      <c r="BR242" s="867">
        <f ca="1"/>
        <v>0</v>
      </c>
      <c r="BS242" s="867">
        <f ca="1"/>
        <v>0</v>
      </c>
      <c r="BT242" s="867">
        <f t="shared" ca="1" si="177"/>
        <v>0</v>
      </c>
      <c r="BU242" s="867">
        <f t="shared" ref="BU242:BU305" ca="1" si="218">BK242+BM242+BO242+BQ242+BS242</f>
        <v>0</v>
      </c>
      <c r="BX242" s="867">
        <f ca="1"/>
        <v>0</v>
      </c>
      <c r="BY242" s="867">
        <f t="shared" ref="BY242:BY305" ca="1" si="219">BJ242+BK242</f>
        <v>0</v>
      </c>
      <c r="BZ242" s="867">
        <f t="shared" ref="BZ242:BZ305" ca="1" si="220">BL242+BM242</f>
        <v>0</v>
      </c>
      <c r="CA242" s="867">
        <f t="shared" ref="CA242:CA305" ca="1" si="221">BN242+BO242</f>
        <v>0</v>
      </c>
      <c r="CB242" s="867">
        <f t="shared" ref="CB242:CB305" ca="1" si="222">BP242+BQ242</f>
        <v>0</v>
      </c>
      <c r="CC242" s="867">
        <f t="shared" ref="CC242:CC305" ca="1" si="223">BR242+BS242</f>
        <v>0</v>
      </c>
      <c r="CD242" s="867">
        <f t="shared" ref="CD242:CD305" ca="1" si="224">SUM(BY242:CC242)</f>
        <v>0</v>
      </c>
    </row>
    <row r="243" spans="1:82" ht="17" hidden="1" thickTop="1" thickBot="1">
      <c r="A243" s="773">
        <f t="shared" si="174"/>
        <v>0</v>
      </c>
      <c r="B243" s="779"/>
      <c r="D243" s="660"/>
      <c r="E243" s="661"/>
      <c r="F243" s="862"/>
      <c r="G243" s="863"/>
      <c r="H243" s="961"/>
      <c r="I243" s="865">
        <f t="shared" si="178"/>
        <v>0</v>
      </c>
      <c r="J243" s="864" cm="1">
        <f t="array" ref="J243">IF($G243=0,0,-MIN(0,G243*c_equity.LPshare))</f>
        <v>0</v>
      </c>
      <c r="K243" s="865" cm="1">
        <f t="array" ref="K243">I243*c_rate.Pref.MO</f>
        <v>0</v>
      </c>
      <c r="L243" s="865">
        <f t="shared" si="179"/>
        <v>0</v>
      </c>
      <c r="M243" s="865">
        <f t="shared" si="180"/>
        <v>0</v>
      </c>
      <c r="N243" s="865">
        <f t="shared" si="181"/>
        <v>0</v>
      </c>
      <c r="O243" s="864" cm="1">
        <f t="array" ref="O243">IF(N243=0,0,IF(G243&lt;0,N243/c_equity.LPshare*i_equity.GPshare,L243/c_equity.LPshare*i_equity.GPshare))</f>
        <v>0</v>
      </c>
      <c r="P243" s="865">
        <f t="shared" si="182"/>
        <v>0</v>
      </c>
      <c r="Q243" s="865">
        <f t="shared" si="183"/>
        <v>0</v>
      </c>
      <c r="R243" s="161"/>
      <c r="S243" s="867">
        <f t="shared" ca="1" si="184"/>
        <v>0</v>
      </c>
      <c r="T243" s="867" cm="1">
        <f t="array" ref="T243">IF($G243=0,0,-MIN(0,$G243*c_equity.LPshare))</f>
        <v>0</v>
      </c>
      <c r="U243" s="869" cm="1">
        <f t="array" ref="U243">IF($D243=0,0,S243*c_rate.Hurdle1.MO)</f>
        <v>0</v>
      </c>
      <c r="V243" s="867">
        <f t="shared" si="185"/>
        <v>0</v>
      </c>
      <c r="W243" s="867">
        <f t="shared" ca="1" si="186"/>
        <v>0</v>
      </c>
      <c r="X243" s="869">
        <f t="shared" ca="1" si="187"/>
        <v>0</v>
      </c>
      <c r="Y243" s="869">
        <f t="shared" ca="1" si="188"/>
        <v>0</v>
      </c>
      <c r="Z243" s="869">
        <f t="shared" ca="1" si="189"/>
        <v>0</v>
      </c>
      <c r="AA243" s="869">
        <f t="shared" ca="1" si="190"/>
        <v>0</v>
      </c>
      <c r="AB243" s="867">
        <f t="shared" ca="1" si="191"/>
        <v>0</v>
      </c>
      <c r="AC243" s="161"/>
      <c r="AD243" s="869">
        <f t="shared" ca="1" si="192"/>
        <v>0</v>
      </c>
      <c r="AE243" s="867" cm="1">
        <f t="array" ref="AE243">IF($G243=0,0,-MIN(0,$G243*c_equity.LPshare))</f>
        <v>0</v>
      </c>
      <c r="AF243" s="869" cm="1">
        <f t="array" ref="AF243">IF($D243=0,0,AD243*(c_rate.Hurdle2.MO))</f>
        <v>0</v>
      </c>
      <c r="AG243" s="869">
        <f t="shared" ca="1" si="193"/>
        <v>0</v>
      </c>
      <c r="AH243" s="869">
        <f t="shared" ca="1" si="194"/>
        <v>0</v>
      </c>
      <c r="AI243" s="869">
        <f t="shared" ca="1" si="195"/>
        <v>0</v>
      </c>
      <c r="AJ243" s="870">
        <f t="shared" ca="1" si="196"/>
        <v>0</v>
      </c>
      <c r="AK243" s="867">
        <f t="shared" ca="1" si="197"/>
        <v>0</v>
      </c>
      <c r="AL243" s="869">
        <f t="shared" ca="1" si="175"/>
        <v>0</v>
      </c>
      <c r="AM243" s="869">
        <f t="shared" ca="1" si="198"/>
        <v>0</v>
      </c>
      <c r="AN243" s="867">
        <f t="shared" ca="1" si="199"/>
        <v>0</v>
      </c>
      <c r="AO243" s="161"/>
      <c r="AP243" s="869">
        <f t="shared" ca="1" si="200"/>
        <v>0</v>
      </c>
      <c r="AQ243" s="867" cm="1">
        <f t="array" ref="AQ243">IF($G243=0,0,-MIN(0,$G243*c_equity.LPshare))</f>
        <v>0</v>
      </c>
      <c r="AR243" s="869" cm="1">
        <f t="array" ref="AR243">IF($D243=0,0,AP243*(c_rate.Hurdle3.MO))</f>
        <v>0</v>
      </c>
      <c r="AS243" s="869">
        <f t="shared" ca="1" si="201"/>
        <v>0</v>
      </c>
      <c r="AT243" s="869">
        <f t="shared" ca="1" si="202"/>
        <v>0</v>
      </c>
      <c r="AU243" s="869">
        <f t="shared" ca="1" si="203"/>
        <v>0</v>
      </c>
      <c r="AV243" s="870">
        <f t="shared" ca="1" si="204"/>
        <v>0</v>
      </c>
      <c r="AW243" s="867">
        <f t="shared" ca="1" si="205"/>
        <v>0</v>
      </c>
      <c r="AX243" s="869">
        <f t="shared" ca="1" si="176"/>
        <v>0</v>
      </c>
      <c r="AY243" s="869">
        <f t="shared" ca="1" si="206"/>
        <v>0</v>
      </c>
      <c r="AZ243" s="867">
        <f t="shared" ca="1" si="207"/>
        <v>0</v>
      </c>
      <c r="BA243" s="161"/>
      <c r="BB243" s="867">
        <f t="shared" ca="1" si="208"/>
        <v>0</v>
      </c>
      <c r="BC243" s="867">
        <f t="shared" ca="1" si="173"/>
        <v>0</v>
      </c>
      <c r="BD243" s="658"/>
      <c r="BE243" s="867">
        <f t="shared" ca="1" si="209"/>
        <v>0</v>
      </c>
      <c r="BF243" s="867">
        <f t="shared" ca="1" si="210"/>
        <v>0</v>
      </c>
      <c r="BG243" s="867">
        <f t="shared" ca="1" si="211"/>
        <v>0</v>
      </c>
      <c r="BI243" s="867">
        <f ca="1"/>
        <v>0</v>
      </c>
      <c r="BJ243" s="867">
        <f ca="1"/>
        <v>0</v>
      </c>
      <c r="BK243" s="867">
        <f ca="1"/>
        <v>0</v>
      </c>
      <c r="BL243" s="867">
        <f t="shared" ca="1" si="212"/>
        <v>0</v>
      </c>
      <c r="BM243" s="867">
        <f t="shared" ca="1" si="213"/>
        <v>0</v>
      </c>
      <c r="BN243" s="867">
        <f t="shared" ca="1" si="214"/>
        <v>0</v>
      </c>
      <c r="BO243" s="867">
        <f t="shared" ca="1" si="215"/>
        <v>0</v>
      </c>
      <c r="BP243" s="867">
        <f t="shared" ca="1" si="216"/>
        <v>0</v>
      </c>
      <c r="BQ243" s="867">
        <f t="shared" ca="1" si="217"/>
        <v>0</v>
      </c>
      <c r="BR243" s="867">
        <f ca="1"/>
        <v>0</v>
      </c>
      <c r="BS243" s="867">
        <f ca="1"/>
        <v>0</v>
      </c>
      <c r="BT243" s="867">
        <f t="shared" ca="1" si="177"/>
        <v>0</v>
      </c>
      <c r="BU243" s="867">
        <f t="shared" ca="1" si="218"/>
        <v>0</v>
      </c>
      <c r="BX243" s="867">
        <f ca="1"/>
        <v>0</v>
      </c>
      <c r="BY243" s="867">
        <f t="shared" ca="1" si="219"/>
        <v>0</v>
      </c>
      <c r="BZ243" s="867">
        <f t="shared" ca="1" si="220"/>
        <v>0</v>
      </c>
      <c r="CA243" s="867">
        <f t="shared" ca="1" si="221"/>
        <v>0</v>
      </c>
      <c r="CB243" s="867">
        <f t="shared" ca="1" si="222"/>
        <v>0</v>
      </c>
      <c r="CC243" s="867">
        <f t="shared" ca="1" si="223"/>
        <v>0</v>
      </c>
      <c r="CD243" s="867">
        <f t="shared" ca="1" si="224"/>
        <v>0</v>
      </c>
    </row>
    <row r="244" spans="1:82" ht="17" hidden="1" thickTop="1" thickBot="1">
      <c r="A244" s="773">
        <f t="shared" si="174"/>
        <v>0</v>
      </c>
      <c r="B244" s="779"/>
      <c r="D244" s="660"/>
      <c r="E244" s="661"/>
      <c r="F244" s="862"/>
      <c r="G244" s="863"/>
      <c r="H244" s="961"/>
      <c r="I244" s="865">
        <f t="shared" si="178"/>
        <v>0</v>
      </c>
      <c r="J244" s="864" cm="1">
        <f t="array" ref="J244">IF($G244=0,0,-MIN(0,G244*c_equity.LPshare))</f>
        <v>0</v>
      </c>
      <c r="K244" s="865" cm="1">
        <f t="array" ref="K244">I244*c_rate.Pref.MO</f>
        <v>0</v>
      </c>
      <c r="L244" s="865">
        <f t="shared" si="179"/>
        <v>0</v>
      </c>
      <c r="M244" s="865">
        <f t="shared" si="180"/>
        <v>0</v>
      </c>
      <c r="N244" s="865">
        <f t="shared" si="181"/>
        <v>0</v>
      </c>
      <c r="O244" s="864" cm="1">
        <f t="array" ref="O244">IF(N244=0,0,IF(G244&lt;0,N244/c_equity.LPshare*i_equity.GPshare,L244/c_equity.LPshare*i_equity.GPshare))</f>
        <v>0</v>
      </c>
      <c r="P244" s="865">
        <f t="shared" si="182"/>
        <v>0</v>
      </c>
      <c r="Q244" s="865">
        <f t="shared" si="183"/>
        <v>0</v>
      </c>
      <c r="R244" s="161"/>
      <c r="S244" s="867">
        <f t="shared" ca="1" si="184"/>
        <v>0</v>
      </c>
      <c r="T244" s="867" cm="1">
        <f t="array" ref="T244">IF($G244=0,0,-MIN(0,$G244*c_equity.LPshare))</f>
        <v>0</v>
      </c>
      <c r="U244" s="869" cm="1">
        <f t="array" ref="U244">IF($D244=0,0,S244*c_rate.Hurdle1.MO)</f>
        <v>0</v>
      </c>
      <c r="V244" s="867">
        <f t="shared" si="185"/>
        <v>0</v>
      </c>
      <c r="W244" s="867">
        <f t="shared" ca="1" si="186"/>
        <v>0</v>
      </c>
      <c r="X244" s="869">
        <f t="shared" ca="1" si="187"/>
        <v>0</v>
      </c>
      <c r="Y244" s="869">
        <f t="shared" ca="1" si="188"/>
        <v>0</v>
      </c>
      <c r="Z244" s="869">
        <f t="shared" ca="1" si="189"/>
        <v>0</v>
      </c>
      <c r="AA244" s="869">
        <f t="shared" ca="1" si="190"/>
        <v>0</v>
      </c>
      <c r="AB244" s="867">
        <f t="shared" ca="1" si="191"/>
        <v>0</v>
      </c>
      <c r="AC244" s="161"/>
      <c r="AD244" s="869">
        <f t="shared" ca="1" si="192"/>
        <v>0</v>
      </c>
      <c r="AE244" s="867" cm="1">
        <f t="array" ref="AE244">IF($G244=0,0,-MIN(0,$G244*c_equity.LPshare))</f>
        <v>0</v>
      </c>
      <c r="AF244" s="869" cm="1">
        <f t="array" ref="AF244">IF($D244=0,0,AD244*(c_rate.Hurdle2.MO))</f>
        <v>0</v>
      </c>
      <c r="AG244" s="869">
        <f t="shared" ca="1" si="193"/>
        <v>0</v>
      </c>
      <c r="AH244" s="869">
        <f t="shared" ca="1" si="194"/>
        <v>0</v>
      </c>
      <c r="AI244" s="869">
        <f t="shared" ca="1" si="195"/>
        <v>0</v>
      </c>
      <c r="AJ244" s="870">
        <f t="shared" ca="1" si="196"/>
        <v>0</v>
      </c>
      <c r="AK244" s="867">
        <f t="shared" ca="1" si="197"/>
        <v>0</v>
      </c>
      <c r="AL244" s="869">
        <f t="shared" ca="1" si="175"/>
        <v>0</v>
      </c>
      <c r="AM244" s="869">
        <f t="shared" ca="1" si="198"/>
        <v>0</v>
      </c>
      <c r="AN244" s="867">
        <f t="shared" ca="1" si="199"/>
        <v>0</v>
      </c>
      <c r="AO244" s="161"/>
      <c r="AP244" s="869">
        <f t="shared" ca="1" si="200"/>
        <v>0</v>
      </c>
      <c r="AQ244" s="867" cm="1">
        <f t="array" ref="AQ244">IF($G244=0,0,-MIN(0,$G244*c_equity.LPshare))</f>
        <v>0</v>
      </c>
      <c r="AR244" s="869" cm="1">
        <f t="array" ref="AR244">IF($D244=0,0,AP244*(c_rate.Hurdle3.MO))</f>
        <v>0</v>
      </c>
      <c r="AS244" s="869">
        <f t="shared" ca="1" si="201"/>
        <v>0</v>
      </c>
      <c r="AT244" s="869">
        <f t="shared" ca="1" si="202"/>
        <v>0</v>
      </c>
      <c r="AU244" s="869">
        <f t="shared" ca="1" si="203"/>
        <v>0</v>
      </c>
      <c r="AV244" s="870">
        <f t="shared" ca="1" si="204"/>
        <v>0</v>
      </c>
      <c r="AW244" s="867">
        <f t="shared" ca="1" si="205"/>
        <v>0</v>
      </c>
      <c r="AX244" s="869">
        <f t="shared" ca="1" si="176"/>
        <v>0</v>
      </c>
      <c r="AY244" s="869">
        <f t="shared" ca="1" si="206"/>
        <v>0</v>
      </c>
      <c r="AZ244" s="867">
        <f t="shared" ca="1" si="207"/>
        <v>0</v>
      </c>
      <c r="BA244" s="161"/>
      <c r="BB244" s="867">
        <f t="shared" ca="1" si="208"/>
        <v>0</v>
      </c>
      <c r="BC244" s="867">
        <f t="shared" ca="1" si="173"/>
        <v>0</v>
      </c>
      <c r="BD244" s="658"/>
      <c r="BE244" s="867">
        <f t="shared" ca="1" si="209"/>
        <v>0</v>
      </c>
      <c r="BF244" s="867">
        <f t="shared" ca="1" si="210"/>
        <v>0</v>
      </c>
      <c r="BG244" s="867">
        <f t="shared" ca="1" si="211"/>
        <v>0</v>
      </c>
      <c r="BI244" s="867">
        <f ca="1"/>
        <v>0</v>
      </c>
      <c r="BJ244" s="867">
        <f ca="1"/>
        <v>0</v>
      </c>
      <c r="BK244" s="867">
        <f ca="1"/>
        <v>0</v>
      </c>
      <c r="BL244" s="867">
        <f t="shared" ca="1" si="212"/>
        <v>0</v>
      </c>
      <c r="BM244" s="867">
        <f t="shared" ca="1" si="213"/>
        <v>0</v>
      </c>
      <c r="BN244" s="867">
        <f t="shared" ca="1" si="214"/>
        <v>0</v>
      </c>
      <c r="BO244" s="867">
        <f t="shared" ca="1" si="215"/>
        <v>0</v>
      </c>
      <c r="BP244" s="867">
        <f t="shared" ca="1" si="216"/>
        <v>0</v>
      </c>
      <c r="BQ244" s="867">
        <f t="shared" ca="1" si="217"/>
        <v>0</v>
      </c>
      <c r="BR244" s="867">
        <f ca="1"/>
        <v>0</v>
      </c>
      <c r="BS244" s="867">
        <f ca="1"/>
        <v>0</v>
      </c>
      <c r="BT244" s="867">
        <f t="shared" ca="1" si="177"/>
        <v>0</v>
      </c>
      <c r="BU244" s="867">
        <f t="shared" ca="1" si="218"/>
        <v>0</v>
      </c>
      <c r="BX244" s="867">
        <f ca="1"/>
        <v>0</v>
      </c>
      <c r="BY244" s="867">
        <f t="shared" ca="1" si="219"/>
        <v>0</v>
      </c>
      <c r="BZ244" s="867">
        <f t="shared" ca="1" si="220"/>
        <v>0</v>
      </c>
      <c r="CA244" s="867">
        <f t="shared" ca="1" si="221"/>
        <v>0</v>
      </c>
      <c r="CB244" s="867">
        <f t="shared" ca="1" si="222"/>
        <v>0</v>
      </c>
      <c r="CC244" s="867">
        <f t="shared" ca="1" si="223"/>
        <v>0</v>
      </c>
      <c r="CD244" s="867">
        <f t="shared" ca="1" si="224"/>
        <v>0</v>
      </c>
    </row>
    <row r="245" spans="1:82" ht="17" hidden="1" thickTop="1" thickBot="1">
      <c r="A245" s="773">
        <f t="shared" si="174"/>
        <v>0</v>
      </c>
      <c r="B245" s="779"/>
      <c r="D245" s="660"/>
      <c r="E245" s="661"/>
      <c r="F245" s="862"/>
      <c r="G245" s="863"/>
      <c r="H245" s="961"/>
      <c r="I245" s="865">
        <f t="shared" si="178"/>
        <v>0</v>
      </c>
      <c r="J245" s="864" cm="1">
        <f t="array" ref="J245">IF($G245=0,0,-MIN(0,G245*c_equity.LPshare))</f>
        <v>0</v>
      </c>
      <c r="K245" s="865" cm="1">
        <f t="array" ref="K245">I245*c_rate.Pref.MO</f>
        <v>0</v>
      </c>
      <c r="L245" s="865">
        <f t="shared" si="179"/>
        <v>0</v>
      </c>
      <c r="M245" s="865">
        <f t="shared" si="180"/>
        <v>0</v>
      </c>
      <c r="N245" s="865">
        <f t="shared" si="181"/>
        <v>0</v>
      </c>
      <c r="O245" s="864" cm="1">
        <f t="array" ref="O245">IF(N245=0,0,IF(G245&lt;0,N245/c_equity.LPshare*i_equity.GPshare,L245/c_equity.LPshare*i_equity.GPshare))</f>
        <v>0</v>
      </c>
      <c r="P245" s="865">
        <f t="shared" si="182"/>
        <v>0</v>
      </c>
      <c r="Q245" s="865">
        <f t="shared" si="183"/>
        <v>0</v>
      </c>
      <c r="R245" s="161"/>
      <c r="S245" s="867">
        <f t="shared" ca="1" si="184"/>
        <v>0</v>
      </c>
      <c r="T245" s="867" cm="1">
        <f t="array" ref="T245">IF($G245=0,0,-MIN(0,$G245*c_equity.LPshare))</f>
        <v>0</v>
      </c>
      <c r="U245" s="869" cm="1">
        <f t="array" ref="U245">IF($D245=0,0,S245*c_rate.Hurdle1.MO)</f>
        <v>0</v>
      </c>
      <c r="V245" s="867">
        <f t="shared" si="185"/>
        <v>0</v>
      </c>
      <c r="W245" s="867">
        <f t="shared" ca="1" si="186"/>
        <v>0</v>
      </c>
      <c r="X245" s="869">
        <f t="shared" ca="1" si="187"/>
        <v>0</v>
      </c>
      <c r="Y245" s="869">
        <f t="shared" ca="1" si="188"/>
        <v>0</v>
      </c>
      <c r="Z245" s="869">
        <f t="shared" ca="1" si="189"/>
        <v>0</v>
      </c>
      <c r="AA245" s="869">
        <f t="shared" ca="1" si="190"/>
        <v>0</v>
      </c>
      <c r="AB245" s="867">
        <f t="shared" ca="1" si="191"/>
        <v>0</v>
      </c>
      <c r="AC245" s="161"/>
      <c r="AD245" s="869">
        <f t="shared" ca="1" si="192"/>
        <v>0</v>
      </c>
      <c r="AE245" s="867" cm="1">
        <f t="array" ref="AE245">IF($G245=0,0,-MIN(0,$G245*c_equity.LPshare))</f>
        <v>0</v>
      </c>
      <c r="AF245" s="869" cm="1">
        <f t="array" ref="AF245">IF($D245=0,0,AD245*(c_rate.Hurdle2.MO))</f>
        <v>0</v>
      </c>
      <c r="AG245" s="869">
        <f t="shared" ca="1" si="193"/>
        <v>0</v>
      </c>
      <c r="AH245" s="869">
        <f t="shared" ca="1" si="194"/>
        <v>0</v>
      </c>
      <c r="AI245" s="869">
        <f t="shared" ca="1" si="195"/>
        <v>0</v>
      </c>
      <c r="AJ245" s="870">
        <f t="shared" ca="1" si="196"/>
        <v>0</v>
      </c>
      <c r="AK245" s="867">
        <f t="shared" ca="1" si="197"/>
        <v>0</v>
      </c>
      <c r="AL245" s="869">
        <f t="shared" ca="1" si="175"/>
        <v>0</v>
      </c>
      <c r="AM245" s="869">
        <f t="shared" ca="1" si="198"/>
        <v>0</v>
      </c>
      <c r="AN245" s="867">
        <f t="shared" ca="1" si="199"/>
        <v>0</v>
      </c>
      <c r="AO245" s="161"/>
      <c r="AP245" s="869">
        <f t="shared" ca="1" si="200"/>
        <v>0</v>
      </c>
      <c r="AQ245" s="867" cm="1">
        <f t="array" ref="AQ245">IF($G245=0,0,-MIN(0,$G245*c_equity.LPshare))</f>
        <v>0</v>
      </c>
      <c r="AR245" s="869" cm="1">
        <f t="array" ref="AR245">IF($D245=0,0,AP245*(c_rate.Hurdle3.MO))</f>
        <v>0</v>
      </c>
      <c r="AS245" s="869">
        <f t="shared" ca="1" si="201"/>
        <v>0</v>
      </c>
      <c r="AT245" s="869">
        <f t="shared" ca="1" si="202"/>
        <v>0</v>
      </c>
      <c r="AU245" s="869">
        <f t="shared" ca="1" si="203"/>
        <v>0</v>
      </c>
      <c r="AV245" s="870">
        <f t="shared" ca="1" si="204"/>
        <v>0</v>
      </c>
      <c r="AW245" s="867">
        <f t="shared" ca="1" si="205"/>
        <v>0</v>
      </c>
      <c r="AX245" s="869">
        <f t="shared" ca="1" si="176"/>
        <v>0</v>
      </c>
      <c r="AY245" s="869">
        <f t="shared" ca="1" si="206"/>
        <v>0</v>
      </c>
      <c r="AZ245" s="867">
        <f t="shared" ca="1" si="207"/>
        <v>0</v>
      </c>
      <c r="BA245" s="161"/>
      <c r="BB245" s="867">
        <f t="shared" ca="1" si="208"/>
        <v>0</v>
      </c>
      <c r="BC245" s="867">
        <f t="shared" ca="1" si="173"/>
        <v>0</v>
      </c>
      <c r="BD245" s="658"/>
      <c r="BE245" s="867">
        <f t="shared" ca="1" si="209"/>
        <v>0</v>
      </c>
      <c r="BF245" s="867">
        <f t="shared" ca="1" si="210"/>
        <v>0</v>
      </c>
      <c r="BG245" s="867">
        <f t="shared" ca="1" si="211"/>
        <v>0</v>
      </c>
      <c r="BI245" s="867">
        <f ca="1"/>
        <v>0</v>
      </c>
      <c r="BJ245" s="867">
        <f ca="1"/>
        <v>0</v>
      </c>
      <c r="BK245" s="867">
        <f ca="1"/>
        <v>0</v>
      </c>
      <c r="BL245" s="867">
        <f t="shared" ca="1" si="212"/>
        <v>0</v>
      </c>
      <c r="BM245" s="867">
        <f t="shared" ca="1" si="213"/>
        <v>0</v>
      </c>
      <c r="BN245" s="867">
        <f t="shared" ca="1" si="214"/>
        <v>0</v>
      </c>
      <c r="BO245" s="867">
        <f t="shared" ca="1" si="215"/>
        <v>0</v>
      </c>
      <c r="BP245" s="867">
        <f t="shared" ca="1" si="216"/>
        <v>0</v>
      </c>
      <c r="BQ245" s="867">
        <f t="shared" ca="1" si="217"/>
        <v>0</v>
      </c>
      <c r="BR245" s="867">
        <f ca="1"/>
        <v>0</v>
      </c>
      <c r="BS245" s="867">
        <f ca="1"/>
        <v>0</v>
      </c>
      <c r="BT245" s="867">
        <f t="shared" ca="1" si="177"/>
        <v>0</v>
      </c>
      <c r="BU245" s="867">
        <f t="shared" ca="1" si="218"/>
        <v>0</v>
      </c>
      <c r="BX245" s="867">
        <f ca="1"/>
        <v>0</v>
      </c>
      <c r="BY245" s="867">
        <f t="shared" ca="1" si="219"/>
        <v>0</v>
      </c>
      <c r="BZ245" s="867">
        <f t="shared" ca="1" si="220"/>
        <v>0</v>
      </c>
      <c r="CA245" s="867">
        <f t="shared" ca="1" si="221"/>
        <v>0</v>
      </c>
      <c r="CB245" s="867">
        <f t="shared" ca="1" si="222"/>
        <v>0</v>
      </c>
      <c r="CC245" s="867">
        <f t="shared" ca="1" si="223"/>
        <v>0</v>
      </c>
      <c r="CD245" s="867">
        <f t="shared" ca="1" si="224"/>
        <v>0</v>
      </c>
    </row>
    <row r="246" spans="1:82" ht="17" hidden="1" thickTop="1" thickBot="1">
      <c r="A246" s="773">
        <f t="shared" si="174"/>
        <v>0</v>
      </c>
      <c r="B246" s="779"/>
      <c r="D246" s="660"/>
      <c r="E246" s="661"/>
      <c r="F246" s="862"/>
      <c r="G246" s="863"/>
      <c r="H246" s="961"/>
      <c r="I246" s="865">
        <f t="shared" si="178"/>
        <v>0</v>
      </c>
      <c r="J246" s="864" cm="1">
        <f t="array" ref="J246">IF($G246=0,0,-MIN(0,G246*c_equity.LPshare))</f>
        <v>0</v>
      </c>
      <c r="K246" s="865" cm="1">
        <f t="array" ref="K246">I246*c_rate.Pref.MO</f>
        <v>0</v>
      </c>
      <c r="L246" s="865">
        <f t="shared" si="179"/>
        <v>0</v>
      </c>
      <c r="M246" s="865">
        <f t="shared" si="180"/>
        <v>0</v>
      </c>
      <c r="N246" s="865">
        <f t="shared" si="181"/>
        <v>0</v>
      </c>
      <c r="O246" s="864" cm="1">
        <f t="array" ref="O246">IF(N246=0,0,IF(G246&lt;0,N246/c_equity.LPshare*i_equity.GPshare,L246/c_equity.LPshare*i_equity.GPshare))</f>
        <v>0</v>
      </c>
      <c r="P246" s="865">
        <f t="shared" si="182"/>
        <v>0</v>
      </c>
      <c r="Q246" s="865">
        <f t="shared" si="183"/>
        <v>0</v>
      </c>
      <c r="R246" s="161"/>
      <c r="S246" s="867">
        <f t="shared" ca="1" si="184"/>
        <v>0</v>
      </c>
      <c r="T246" s="867" cm="1">
        <f t="array" ref="T246">IF($G246=0,0,-MIN(0,$G246*c_equity.LPshare))</f>
        <v>0</v>
      </c>
      <c r="U246" s="869" cm="1">
        <f t="array" ref="U246">IF($D246=0,0,S246*c_rate.Hurdle1.MO)</f>
        <v>0</v>
      </c>
      <c r="V246" s="867">
        <f t="shared" si="185"/>
        <v>0</v>
      </c>
      <c r="W246" s="867">
        <f t="shared" ca="1" si="186"/>
        <v>0</v>
      </c>
      <c r="X246" s="869">
        <f t="shared" ca="1" si="187"/>
        <v>0</v>
      </c>
      <c r="Y246" s="869">
        <f t="shared" ca="1" si="188"/>
        <v>0</v>
      </c>
      <c r="Z246" s="869">
        <f t="shared" ca="1" si="189"/>
        <v>0</v>
      </c>
      <c r="AA246" s="869">
        <f t="shared" ca="1" si="190"/>
        <v>0</v>
      </c>
      <c r="AB246" s="867">
        <f t="shared" ca="1" si="191"/>
        <v>0</v>
      </c>
      <c r="AC246" s="161"/>
      <c r="AD246" s="869">
        <f t="shared" ca="1" si="192"/>
        <v>0</v>
      </c>
      <c r="AE246" s="867" cm="1">
        <f t="array" ref="AE246">IF($G246=0,0,-MIN(0,$G246*c_equity.LPshare))</f>
        <v>0</v>
      </c>
      <c r="AF246" s="869" cm="1">
        <f t="array" ref="AF246">IF($D246=0,0,AD246*(c_rate.Hurdle2.MO))</f>
        <v>0</v>
      </c>
      <c r="AG246" s="869">
        <f t="shared" ca="1" si="193"/>
        <v>0</v>
      </c>
      <c r="AH246" s="869">
        <f t="shared" ca="1" si="194"/>
        <v>0</v>
      </c>
      <c r="AI246" s="869">
        <f t="shared" ca="1" si="195"/>
        <v>0</v>
      </c>
      <c r="AJ246" s="870">
        <f t="shared" ca="1" si="196"/>
        <v>0</v>
      </c>
      <c r="AK246" s="867">
        <f t="shared" ca="1" si="197"/>
        <v>0</v>
      </c>
      <c r="AL246" s="869">
        <f t="shared" ca="1" si="175"/>
        <v>0</v>
      </c>
      <c r="AM246" s="869">
        <f t="shared" ca="1" si="198"/>
        <v>0</v>
      </c>
      <c r="AN246" s="867">
        <f t="shared" ca="1" si="199"/>
        <v>0</v>
      </c>
      <c r="AO246" s="161"/>
      <c r="AP246" s="869">
        <f t="shared" ca="1" si="200"/>
        <v>0</v>
      </c>
      <c r="AQ246" s="867" cm="1">
        <f t="array" ref="AQ246">IF($G246=0,0,-MIN(0,$G246*c_equity.LPshare))</f>
        <v>0</v>
      </c>
      <c r="AR246" s="869" cm="1">
        <f t="array" ref="AR246">IF($D246=0,0,AP246*(c_rate.Hurdle3.MO))</f>
        <v>0</v>
      </c>
      <c r="AS246" s="869">
        <f t="shared" ca="1" si="201"/>
        <v>0</v>
      </c>
      <c r="AT246" s="869">
        <f t="shared" ca="1" si="202"/>
        <v>0</v>
      </c>
      <c r="AU246" s="869">
        <f t="shared" ca="1" si="203"/>
        <v>0</v>
      </c>
      <c r="AV246" s="870">
        <f t="shared" ca="1" si="204"/>
        <v>0</v>
      </c>
      <c r="AW246" s="867">
        <f t="shared" ca="1" si="205"/>
        <v>0</v>
      </c>
      <c r="AX246" s="869">
        <f t="shared" ca="1" si="176"/>
        <v>0</v>
      </c>
      <c r="AY246" s="869">
        <f t="shared" ca="1" si="206"/>
        <v>0</v>
      </c>
      <c r="AZ246" s="867">
        <f t="shared" ca="1" si="207"/>
        <v>0</v>
      </c>
      <c r="BA246" s="161"/>
      <c r="BB246" s="867">
        <f t="shared" ca="1" si="208"/>
        <v>0</v>
      </c>
      <c r="BC246" s="867">
        <f t="shared" ca="1" si="173"/>
        <v>0</v>
      </c>
      <c r="BD246" s="658"/>
      <c r="BE246" s="867">
        <f t="shared" ca="1" si="209"/>
        <v>0</v>
      </c>
      <c r="BF246" s="867">
        <f t="shared" ca="1" si="210"/>
        <v>0</v>
      </c>
      <c r="BG246" s="867">
        <f t="shared" ca="1" si="211"/>
        <v>0</v>
      </c>
      <c r="BI246" s="867">
        <f ca="1"/>
        <v>0</v>
      </c>
      <c r="BJ246" s="867">
        <f ca="1"/>
        <v>0</v>
      </c>
      <c r="BK246" s="867">
        <f ca="1"/>
        <v>0</v>
      </c>
      <c r="BL246" s="867">
        <f t="shared" ca="1" si="212"/>
        <v>0</v>
      </c>
      <c r="BM246" s="867">
        <f t="shared" ca="1" si="213"/>
        <v>0</v>
      </c>
      <c r="BN246" s="867">
        <f t="shared" ca="1" si="214"/>
        <v>0</v>
      </c>
      <c r="BO246" s="867">
        <f t="shared" ca="1" si="215"/>
        <v>0</v>
      </c>
      <c r="BP246" s="867">
        <f t="shared" ca="1" si="216"/>
        <v>0</v>
      </c>
      <c r="BQ246" s="867">
        <f t="shared" ca="1" si="217"/>
        <v>0</v>
      </c>
      <c r="BR246" s="867">
        <f ca="1"/>
        <v>0</v>
      </c>
      <c r="BS246" s="867">
        <f ca="1"/>
        <v>0</v>
      </c>
      <c r="BT246" s="867">
        <f t="shared" ca="1" si="177"/>
        <v>0</v>
      </c>
      <c r="BU246" s="867">
        <f t="shared" ca="1" si="218"/>
        <v>0</v>
      </c>
      <c r="BX246" s="867">
        <f ca="1"/>
        <v>0</v>
      </c>
      <c r="BY246" s="867">
        <f t="shared" ca="1" si="219"/>
        <v>0</v>
      </c>
      <c r="BZ246" s="867">
        <f t="shared" ca="1" si="220"/>
        <v>0</v>
      </c>
      <c r="CA246" s="867">
        <f t="shared" ca="1" si="221"/>
        <v>0</v>
      </c>
      <c r="CB246" s="867">
        <f t="shared" ca="1" si="222"/>
        <v>0</v>
      </c>
      <c r="CC246" s="867">
        <f t="shared" ca="1" si="223"/>
        <v>0</v>
      </c>
      <c r="CD246" s="867">
        <f t="shared" ca="1" si="224"/>
        <v>0</v>
      </c>
    </row>
    <row r="247" spans="1:82" ht="17" hidden="1" thickTop="1" thickBot="1">
      <c r="A247" s="773">
        <f t="shared" si="174"/>
        <v>0</v>
      </c>
      <c r="B247" s="779"/>
      <c r="D247" s="660"/>
      <c r="E247" s="661"/>
      <c r="F247" s="862"/>
      <c r="G247" s="863"/>
      <c r="H247" s="961"/>
      <c r="I247" s="865">
        <f t="shared" si="178"/>
        <v>0</v>
      </c>
      <c r="J247" s="864" cm="1">
        <f t="array" ref="J247">IF($G247=0,0,-MIN(0,G247*c_equity.LPshare))</f>
        <v>0</v>
      </c>
      <c r="K247" s="865" cm="1">
        <f t="array" ref="K247">I247*c_rate.Pref.MO</f>
        <v>0</v>
      </c>
      <c r="L247" s="865">
        <f t="shared" si="179"/>
        <v>0</v>
      </c>
      <c r="M247" s="865">
        <f t="shared" si="180"/>
        <v>0</v>
      </c>
      <c r="N247" s="865">
        <f t="shared" si="181"/>
        <v>0</v>
      </c>
      <c r="O247" s="864" cm="1">
        <f t="array" ref="O247">IF(N247=0,0,IF(G247&lt;0,N247/c_equity.LPshare*i_equity.GPshare,L247/c_equity.LPshare*i_equity.GPshare))</f>
        <v>0</v>
      </c>
      <c r="P247" s="865">
        <f t="shared" si="182"/>
        <v>0</v>
      </c>
      <c r="Q247" s="865">
        <f t="shared" si="183"/>
        <v>0</v>
      </c>
      <c r="R247" s="161"/>
      <c r="S247" s="867">
        <f t="shared" ca="1" si="184"/>
        <v>0</v>
      </c>
      <c r="T247" s="867" cm="1">
        <f t="array" ref="T247">IF($G247=0,0,-MIN(0,$G247*c_equity.LPshare))</f>
        <v>0</v>
      </c>
      <c r="U247" s="869" cm="1">
        <f t="array" ref="U247">IF($D247=0,0,S247*c_rate.Hurdle1.MO)</f>
        <v>0</v>
      </c>
      <c r="V247" s="867">
        <f t="shared" si="185"/>
        <v>0</v>
      </c>
      <c r="W247" s="867">
        <f t="shared" ca="1" si="186"/>
        <v>0</v>
      </c>
      <c r="X247" s="869">
        <f t="shared" ca="1" si="187"/>
        <v>0</v>
      </c>
      <c r="Y247" s="869">
        <f t="shared" ca="1" si="188"/>
        <v>0</v>
      </c>
      <c r="Z247" s="869">
        <f t="shared" ca="1" si="189"/>
        <v>0</v>
      </c>
      <c r="AA247" s="869">
        <f t="shared" ca="1" si="190"/>
        <v>0</v>
      </c>
      <c r="AB247" s="867">
        <f t="shared" ca="1" si="191"/>
        <v>0</v>
      </c>
      <c r="AC247" s="161"/>
      <c r="AD247" s="869">
        <f t="shared" ca="1" si="192"/>
        <v>0</v>
      </c>
      <c r="AE247" s="867" cm="1">
        <f t="array" ref="AE247">IF($G247=0,0,-MIN(0,$G247*c_equity.LPshare))</f>
        <v>0</v>
      </c>
      <c r="AF247" s="869" cm="1">
        <f t="array" ref="AF247">IF($D247=0,0,AD247*(c_rate.Hurdle2.MO))</f>
        <v>0</v>
      </c>
      <c r="AG247" s="869">
        <f t="shared" ca="1" si="193"/>
        <v>0</v>
      </c>
      <c r="AH247" s="869">
        <f t="shared" ca="1" si="194"/>
        <v>0</v>
      </c>
      <c r="AI247" s="869">
        <f t="shared" ca="1" si="195"/>
        <v>0</v>
      </c>
      <c r="AJ247" s="870">
        <f t="shared" ca="1" si="196"/>
        <v>0</v>
      </c>
      <c r="AK247" s="867">
        <f t="shared" ca="1" si="197"/>
        <v>0</v>
      </c>
      <c r="AL247" s="869">
        <f t="shared" ca="1" si="175"/>
        <v>0</v>
      </c>
      <c r="AM247" s="869">
        <f t="shared" ca="1" si="198"/>
        <v>0</v>
      </c>
      <c r="AN247" s="867">
        <f t="shared" ca="1" si="199"/>
        <v>0</v>
      </c>
      <c r="AO247" s="161"/>
      <c r="AP247" s="869">
        <f t="shared" ca="1" si="200"/>
        <v>0</v>
      </c>
      <c r="AQ247" s="867" cm="1">
        <f t="array" ref="AQ247">IF($G247=0,0,-MIN(0,$G247*c_equity.LPshare))</f>
        <v>0</v>
      </c>
      <c r="AR247" s="869" cm="1">
        <f t="array" ref="AR247">IF($D247=0,0,AP247*(c_rate.Hurdle3.MO))</f>
        <v>0</v>
      </c>
      <c r="AS247" s="869">
        <f t="shared" ca="1" si="201"/>
        <v>0</v>
      </c>
      <c r="AT247" s="869">
        <f t="shared" ca="1" si="202"/>
        <v>0</v>
      </c>
      <c r="AU247" s="869">
        <f t="shared" ca="1" si="203"/>
        <v>0</v>
      </c>
      <c r="AV247" s="870">
        <f t="shared" ca="1" si="204"/>
        <v>0</v>
      </c>
      <c r="AW247" s="867">
        <f t="shared" ca="1" si="205"/>
        <v>0</v>
      </c>
      <c r="AX247" s="869">
        <f t="shared" ca="1" si="176"/>
        <v>0</v>
      </c>
      <c r="AY247" s="869">
        <f t="shared" ca="1" si="206"/>
        <v>0</v>
      </c>
      <c r="AZ247" s="867">
        <f t="shared" ca="1" si="207"/>
        <v>0</v>
      </c>
      <c r="BA247" s="161"/>
      <c r="BB247" s="867">
        <f t="shared" ca="1" si="208"/>
        <v>0</v>
      </c>
      <c r="BC247" s="867">
        <f t="shared" ca="1" si="173"/>
        <v>0</v>
      </c>
      <c r="BD247" s="658"/>
      <c r="BE247" s="867">
        <f t="shared" ca="1" si="209"/>
        <v>0</v>
      </c>
      <c r="BF247" s="867">
        <f t="shared" ca="1" si="210"/>
        <v>0</v>
      </c>
      <c r="BG247" s="867">
        <f t="shared" ca="1" si="211"/>
        <v>0</v>
      </c>
      <c r="BI247" s="867">
        <f ca="1"/>
        <v>0</v>
      </c>
      <c r="BJ247" s="867">
        <f ca="1"/>
        <v>0</v>
      </c>
      <c r="BK247" s="867">
        <f ca="1"/>
        <v>0</v>
      </c>
      <c r="BL247" s="867">
        <f t="shared" ca="1" si="212"/>
        <v>0</v>
      </c>
      <c r="BM247" s="867">
        <f t="shared" ca="1" si="213"/>
        <v>0</v>
      </c>
      <c r="BN247" s="867">
        <f t="shared" ca="1" si="214"/>
        <v>0</v>
      </c>
      <c r="BO247" s="867">
        <f t="shared" ca="1" si="215"/>
        <v>0</v>
      </c>
      <c r="BP247" s="867">
        <f t="shared" ca="1" si="216"/>
        <v>0</v>
      </c>
      <c r="BQ247" s="867">
        <f t="shared" ca="1" si="217"/>
        <v>0</v>
      </c>
      <c r="BR247" s="867">
        <f ca="1"/>
        <v>0</v>
      </c>
      <c r="BS247" s="867">
        <f ca="1"/>
        <v>0</v>
      </c>
      <c r="BT247" s="867">
        <f t="shared" ca="1" si="177"/>
        <v>0</v>
      </c>
      <c r="BU247" s="867">
        <f t="shared" ca="1" si="218"/>
        <v>0</v>
      </c>
      <c r="BX247" s="867">
        <f ca="1"/>
        <v>0</v>
      </c>
      <c r="BY247" s="867">
        <f t="shared" ca="1" si="219"/>
        <v>0</v>
      </c>
      <c r="BZ247" s="867">
        <f t="shared" ca="1" si="220"/>
        <v>0</v>
      </c>
      <c r="CA247" s="867">
        <f t="shared" ca="1" si="221"/>
        <v>0</v>
      </c>
      <c r="CB247" s="867">
        <f t="shared" ca="1" si="222"/>
        <v>0</v>
      </c>
      <c r="CC247" s="867">
        <f t="shared" ca="1" si="223"/>
        <v>0</v>
      </c>
      <c r="CD247" s="867">
        <f t="shared" ca="1" si="224"/>
        <v>0</v>
      </c>
    </row>
    <row r="248" spans="1:82" ht="17" hidden="1" thickTop="1" thickBot="1">
      <c r="A248" s="773">
        <f t="shared" si="174"/>
        <v>0</v>
      </c>
      <c r="B248" s="779"/>
      <c r="D248" s="660"/>
      <c r="E248" s="661"/>
      <c r="F248" s="862"/>
      <c r="G248" s="863"/>
      <c r="H248" s="961"/>
      <c r="I248" s="865">
        <f t="shared" si="178"/>
        <v>0</v>
      </c>
      <c r="J248" s="864" cm="1">
        <f t="array" ref="J248">IF($G248=0,0,-MIN(0,G248*c_equity.LPshare))</f>
        <v>0</v>
      </c>
      <c r="K248" s="865" cm="1">
        <f t="array" ref="K248">I248*c_rate.Pref.MO</f>
        <v>0</v>
      </c>
      <c r="L248" s="865">
        <f t="shared" si="179"/>
        <v>0</v>
      </c>
      <c r="M248" s="865">
        <f t="shared" si="180"/>
        <v>0</v>
      </c>
      <c r="N248" s="865">
        <f t="shared" si="181"/>
        <v>0</v>
      </c>
      <c r="O248" s="864" cm="1">
        <f t="array" ref="O248">IF(N248=0,0,IF(G248&lt;0,N248/c_equity.LPshare*i_equity.GPshare,L248/c_equity.LPshare*i_equity.GPshare))</f>
        <v>0</v>
      </c>
      <c r="P248" s="865">
        <f t="shared" si="182"/>
        <v>0</v>
      </c>
      <c r="Q248" s="865">
        <f t="shared" si="183"/>
        <v>0</v>
      </c>
      <c r="R248" s="161"/>
      <c r="S248" s="867">
        <f t="shared" ca="1" si="184"/>
        <v>0</v>
      </c>
      <c r="T248" s="867" cm="1">
        <f t="array" ref="T248">IF($G248=0,0,-MIN(0,$G248*c_equity.LPshare))</f>
        <v>0</v>
      </c>
      <c r="U248" s="869" cm="1">
        <f t="array" ref="U248">IF($D248=0,0,S248*c_rate.Hurdle1.MO)</f>
        <v>0</v>
      </c>
      <c r="V248" s="867">
        <f t="shared" si="185"/>
        <v>0</v>
      </c>
      <c r="W248" s="867">
        <f t="shared" ca="1" si="186"/>
        <v>0</v>
      </c>
      <c r="X248" s="869">
        <f t="shared" ca="1" si="187"/>
        <v>0</v>
      </c>
      <c r="Y248" s="869">
        <f t="shared" ca="1" si="188"/>
        <v>0</v>
      </c>
      <c r="Z248" s="869">
        <f t="shared" ca="1" si="189"/>
        <v>0</v>
      </c>
      <c r="AA248" s="869">
        <f t="shared" ca="1" si="190"/>
        <v>0</v>
      </c>
      <c r="AB248" s="867">
        <f t="shared" ca="1" si="191"/>
        <v>0</v>
      </c>
      <c r="AC248" s="161"/>
      <c r="AD248" s="869">
        <f t="shared" ca="1" si="192"/>
        <v>0</v>
      </c>
      <c r="AE248" s="867" cm="1">
        <f t="array" ref="AE248">IF($G248=0,0,-MIN(0,$G248*c_equity.LPshare))</f>
        <v>0</v>
      </c>
      <c r="AF248" s="869" cm="1">
        <f t="array" ref="AF248">IF($D248=0,0,AD248*(c_rate.Hurdle2.MO))</f>
        <v>0</v>
      </c>
      <c r="AG248" s="869">
        <f t="shared" ca="1" si="193"/>
        <v>0</v>
      </c>
      <c r="AH248" s="869">
        <f t="shared" ca="1" si="194"/>
        <v>0</v>
      </c>
      <c r="AI248" s="869">
        <f t="shared" ca="1" si="195"/>
        <v>0</v>
      </c>
      <c r="AJ248" s="870">
        <f t="shared" ca="1" si="196"/>
        <v>0</v>
      </c>
      <c r="AK248" s="867">
        <f t="shared" ca="1" si="197"/>
        <v>0</v>
      </c>
      <c r="AL248" s="869">
        <f t="shared" ca="1" si="175"/>
        <v>0</v>
      </c>
      <c r="AM248" s="869">
        <f t="shared" ca="1" si="198"/>
        <v>0</v>
      </c>
      <c r="AN248" s="867">
        <f t="shared" ca="1" si="199"/>
        <v>0</v>
      </c>
      <c r="AO248" s="161"/>
      <c r="AP248" s="869">
        <f t="shared" ca="1" si="200"/>
        <v>0</v>
      </c>
      <c r="AQ248" s="867" cm="1">
        <f t="array" ref="AQ248">IF($G248=0,0,-MIN(0,$G248*c_equity.LPshare))</f>
        <v>0</v>
      </c>
      <c r="AR248" s="869" cm="1">
        <f t="array" ref="AR248">IF($D248=0,0,AP248*(c_rate.Hurdle3.MO))</f>
        <v>0</v>
      </c>
      <c r="AS248" s="869">
        <f t="shared" ca="1" si="201"/>
        <v>0</v>
      </c>
      <c r="AT248" s="869">
        <f t="shared" ca="1" si="202"/>
        <v>0</v>
      </c>
      <c r="AU248" s="869">
        <f t="shared" ca="1" si="203"/>
        <v>0</v>
      </c>
      <c r="AV248" s="870">
        <f t="shared" ca="1" si="204"/>
        <v>0</v>
      </c>
      <c r="AW248" s="867">
        <f t="shared" ca="1" si="205"/>
        <v>0</v>
      </c>
      <c r="AX248" s="869">
        <f t="shared" ca="1" si="176"/>
        <v>0</v>
      </c>
      <c r="AY248" s="869">
        <f t="shared" ca="1" si="206"/>
        <v>0</v>
      </c>
      <c r="AZ248" s="867">
        <f t="shared" ca="1" si="207"/>
        <v>0</v>
      </c>
      <c r="BA248" s="161"/>
      <c r="BB248" s="867">
        <f t="shared" ca="1" si="208"/>
        <v>0</v>
      </c>
      <c r="BC248" s="867">
        <f t="shared" ca="1" si="173"/>
        <v>0</v>
      </c>
      <c r="BD248" s="658"/>
      <c r="BE248" s="867">
        <f t="shared" ca="1" si="209"/>
        <v>0</v>
      </c>
      <c r="BF248" s="867">
        <f t="shared" ca="1" si="210"/>
        <v>0</v>
      </c>
      <c r="BG248" s="867">
        <f t="shared" ca="1" si="211"/>
        <v>0</v>
      </c>
      <c r="BI248" s="867">
        <f ca="1"/>
        <v>0</v>
      </c>
      <c r="BJ248" s="867">
        <f ca="1"/>
        <v>0</v>
      </c>
      <c r="BK248" s="867">
        <f ca="1"/>
        <v>0</v>
      </c>
      <c r="BL248" s="867">
        <f t="shared" ca="1" si="212"/>
        <v>0</v>
      </c>
      <c r="BM248" s="867">
        <f t="shared" ca="1" si="213"/>
        <v>0</v>
      </c>
      <c r="BN248" s="867">
        <f t="shared" ca="1" si="214"/>
        <v>0</v>
      </c>
      <c r="BO248" s="867">
        <f t="shared" ca="1" si="215"/>
        <v>0</v>
      </c>
      <c r="BP248" s="867">
        <f t="shared" ca="1" si="216"/>
        <v>0</v>
      </c>
      <c r="BQ248" s="867">
        <f t="shared" ca="1" si="217"/>
        <v>0</v>
      </c>
      <c r="BR248" s="867">
        <f ca="1"/>
        <v>0</v>
      </c>
      <c r="BS248" s="867">
        <f ca="1"/>
        <v>0</v>
      </c>
      <c r="BT248" s="867">
        <f t="shared" ca="1" si="177"/>
        <v>0</v>
      </c>
      <c r="BU248" s="867">
        <f t="shared" ca="1" si="218"/>
        <v>0</v>
      </c>
      <c r="BX248" s="867">
        <f ca="1"/>
        <v>0</v>
      </c>
      <c r="BY248" s="867">
        <f t="shared" ca="1" si="219"/>
        <v>0</v>
      </c>
      <c r="BZ248" s="867">
        <f t="shared" ca="1" si="220"/>
        <v>0</v>
      </c>
      <c r="CA248" s="867">
        <f t="shared" ca="1" si="221"/>
        <v>0</v>
      </c>
      <c r="CB248" s="867">
        <f t="shared" ca="1" si="222"/>
        <v>0</v>
      </c>
      <c r="CC248" s="867">
        <f t="shared" ca="1" si="223"/>
        <v>0</v>
      </c>
      <c r="CD248" s="867">
        <f t="shared" ca="1" si="224"/>
        <v>0</v>
      </c>
    </row>
    <row r="249" spans="1:82" ht="17" hidden="1" thickTop="1" thickBot="1">
      <c r="A249" s="773">
        <f t="shared" si="174"/>
        <v>0</v>
      </c>
      <c r="B249" s="779"/>
      <c r="D249" s="660"/>
      <c r="E249" s="661"/>
      <c r="F249" s="862"/>
      <c r="G249" s="863"/>
      <c r="H249" s="961"/>
      <c r="I249" s="865">
        <f t="shared" si="178"/>
        <v>0</v>
      </c>
      <c r="J249" s="864" cm="1">
        <f t="array" ref="J249">IF($G249=0,0,-MIN(0,G249*c_equity.LPshare))</f>
        <v>0</v>
      </c>
      <c r="K249" s="865" cm="1">
        <f t="array" ref="K249">I249*c_rate.Pref.MO</f>
        <v>0</v>
      </c>
      <c r="L249" s="865">
        <f t="shared" si="179"/>
        <v>0</v>
      </c>
      <c r="M249" s="865">
        <f t="shared" si="180"/>
        <v>0</v>
      </c>
      <c r="N249" s="865">
        <f t="shared" si="181"/>
        <v>0</v>
      </c>
      <c r="O249" s="864" cm="1">
        <f t="array" ref="O249">IF(N249=0,0,IF(G249&lt;0,N249/c_equity.LPshare*i_equity.GPshare,L249/c_equity.LPshare*i_equity.GPshare))</f>
        <v>0</v>
      </c>
      <c r="P249" s="865">
        <f t="shared" si="182"/>
        <v>0</v>
      </c>
      <c r="Q249" s="865">
        <f t="shared" si="183"/>
        <v>0</v>
      </c>
      <c r="R249" s="161"/>
      <c r="S249" s="867">
        <f t="shared" ca="1" si="184"/>
        <v>0</v>
      </c>
      <c r="T249" s="867" cm="1">
        <f t="array" ref="T249">IF($G249=0,0,-MIN(0,$G249*c_equity.LPshare))</f>
        <v>0</v>
      </c>
      <c r="U249" s="869" cm="1">
        <f t="array" ref="U249">IF($D249=0,0,S249*c_rate.Hurdle1.MO)</f>
        <v>0</v>
      </c>
      <c r="V249" s="867">
        <f t="shared" si="185"/>
        <v>0</v>
      </c>
      <c r="W249" s="867">
        <f t="shared" ca="1" si="186"/>
        <v>0</v>
      </c>
      <c r="X249" s="869">
        <f t="shared" ca="1" si="187"/>
        <v>0</v>
      </c>
      <c r="Y249" s="869">
        <f t="shared" ca="1" si="188"/>
        <v>0</v>
      </c>
      <c r="Z249" s="869">
        <f t="shared" ca="1" si="189"/>
        <v>0</v>
      </c>
      <c r="AA249" s="869">
        <f t="shared" ca="1" si="190"/>
        <v>0</v>
      </c>
      <c r="AB249" s="867">
        <f t="shared" ca="1" si="191"/>
        <v>0</v>
      </c>
      <c r="AC249" s="161"/>
      <c r="AD249" s="869">
        <f t="shared" ca="1" si="192"/>
        <v>0</v>
      </c>
      <c r="AE249" s="867" cm="1">
        <f t="array" ref="AE249">IF($G249=0,0,-MIN(0,$G249*c_equity.LPshare))</f>
        <v>0</v>
      </c>
      <c r="AF249" s="869" cm="1">
        <f t="array" ref="AF249">IF($D249=0,0,AD249*(c_rate.Hurdle2.MO))</f>
        <v>0</v>
      </c>
      <c r="AG249" s="869">
        <f t="shared" ca="1" si="193"/>
        <v>0</v>
      </c>
      <c r="AH249" s="869">
        <f t="shared" ca="1" si="194"/>
        <v>0</v>
      </c>
      <c r="AI249" s="869">
        <f t="shared" ca="1" si="195"/>
        <v>0</v>
      </c>
      <c r="AJ249" s="870">
        <f t="shared" ca="1" si="196"/>
        <v>0</v>
      </c>
      <c r="AK249" s="867">
        <f t="shared" ca="1" si="197"/>
        <v>0</v>
      </c>
      <c r="AL249" s="869">
        <f t="shared" ca="1" si="175"/>
        <v>0</v>
      </c>
      <c r="AM249" s="869">
        <f t="shared" ca="1" si="198"/>
        <v>0</v>
      </c>
      <c r="AN249" s="867">
        <f t="shared" ca="1" si="199"/>
        <v>0</v>
      </c>
      <c r="AO249" s="161"/>
      <c r="AP249" s="869">
        <f t="shared" ca="1" si="200"/>
        <v>0</v>
      </c>
      <c r="AQ249" s="867" cm="1">
        <f t="array" ref="AQ249">IF($G249=0,0,-MIN(0,$G249*c_equity.LPshare))</f>
        <v>0</v>
      </c>
      <c r="AR249" s="869" cm="1">
        <f t="array" ref="AR249">IF($D249=0,0,AP249*(c_rate.Hurdle3.MO))</f>
        <v>0</v>
      </c>
      <c r="AS249" s="869">
        <f t="shared" ca="1" si="201"/>
        <v>0</v>
      </c>
      <c r="AT249" s="869">
        <f t="shared" ca="1" si="202"/>
        <v>0</v>
      </c>
      <c r="AU249" s="869">
        <f t="shared" ca="1" si="203"/>
        <v>0</v>
      </c>
      <c r="AV249" s="870">
        <f t="shared" ca="1" si="204"/>
        <v>0</v>
      </c>
      <c r="AW249" s="867">
        <f t="shared" ca="1" si="205"/>
        <v>0</v>
      </c>
      <c r="AX249" s="869">
        <f t="shared" ca="1" si="176"/>
        <v>0</v>
      </c>
      <c r="AY249" s="869">
        <f t="shared" ca="1" si="206"/>
        <v>0</v>
      </c>
      <c r="AZ249" s="867">
        <f t="shared" ca="1" si="207"/>
        <v>0</v>
      </c>
      <c r="BA249" s="161"/>
      <c r="BB249" s="867">
        <f t="shared" ca="1" si="208"/>
        <v>0</v>
      </c>
      <c r="BC249" s="867">
        <f t="shared" ca="1" si="173"/>
        <v>0</v>
      </c>
      <c r="BD249" s="658"/>
      <c r="BE249" s="867">
        <f t="shared" ca="1" si="209"/>
        <v>0</v>
      </c>
      <c r="BF249" s="867">
        <f t="shared" ca="1" si="210"/>
        <v>0</v>
      </c>
      <c r="BG249" s="867">
        <f t="shared" ca="1" si="211"/>
        <v>0</v>
      </c>
      <c r="BI249" s="867">
        <f ca="1"/>
        <v>0</v>
      </c>
      <c r="BJ249" s="867">
        <f ca="1"/>
        <v>0</v>
      </c>
      <c r="BK249" s="867">
        <f ca="1"/>
        <v>0</v>
      </c>
      <c r="BL249" s="867">
        <f t="shared" ca="1" si="212"/>
        <v>0</v>
      </c>
      <c r="BM249" s="867">
        <f t="shared" ca="1" si="213"/>
        <v>0</v>
      </c>
      <c r="BN249" s="867">
        <f t="shared" ca="1" si="214"/>
        <v>0</v>
      </c>
      <c r="BO249" s="867">
        <f t="shared" ca="1" si="215"/>
        <v>0</v>
      </c>
      <c r="BP249" s="867">
        <f t="shared" ca="1" si="216"/>
        <v>0</v>
      </c>
      <c r="BQ249" s="867">
        <f t="shared" ca="1" si="217"/>
        <v>0</v>
      </c>
      <c r="BR249" s="867">
        <f ca="1"/>
        <v>0</v>
      </c>
      <c r="BS249" s="867">
        <f ca="1"/>
        <v>0</v>
      </c>
      <c r="BT249" s="867">
        <f t="shared" ca="1" si="177"/>
        <v>0</v>
      </c>
      <c r="BU249" s="867">
        <f t="shared" ca="1" si="218"/>
        <v>0</v>
      </c>
      <c r="BX249" s="867">
        <f ca="1"/>
        <v>0</v>
      </c>
      <c r="BY249" s="867">
        <f t="shared" ca="1" si="219"/>
        <v>0</v>
      </c>
      <c r="BZ249" s="867">
        <f t="shared" ca="1" si="220"/>
        <v>0</v>
      </c>
      <c r="CA249" s="867">
        <f t="shared" ca="1" si="221"/>
        <v>0</v>
      </c>
      <c r="CB249" s="867">
        <f t="shared" ca="1" si="222"/>
        <v>0</v>
      </c>
      <c r="CC249" s="867">
        <f t="shared" ca="1" si="223"/>
        <v>0</v>
      </c>
      <c r="CD249" s="867">
        <f t="shared" ca="1" si="224"/>
        <v>0</v>
      </c>
    </row>
    <row r="250" spans="1:82" ht="17" hidden="1" thickTop="1" thickBot="1">
      <c r="A250" s="773">
        <f t="shared" si="174"/>
        <v>0</v>
      </c>
      <c r="B250" s="779"/>
      <c r="D250" s="660"/>
      <c r="E250" s="661"/>
      <c r="F250" s="862"/>
      <c r="G250" s="863"/>
      <c r="H250" s="961"/>
      <c r="I250" s="865">
        <f t="shared" si="178"/>
        <v>0</v>
      </c>
      <c r="J250" s="864" cm="1">
        <f t="array" ref="J250">IF($G250=0,0,-MIN(0,G250*c_equity.LPshare))</f>
        <v>0</v>
      </c>
      <c r="K250" s="865" cm="1">
        <f t="array" ref="K250">I250*c_rate.Pref.MO</f>
        <v>0</v>
      </c>
      <c r="L250" s="865">
        <f t="shared" si="179"/>
        <v>0</v>
      </c>
      <c r="M250" s="865">
        <f t="shared" si="180"/>
        <v>0</v>
      </c>
      <c r="N250" s="865">
        <f t="shared" si="181"/>
        <v>0</v>
      </c>
      <c r="O250" s="864" cm="1">
        <f t="array" ref="O250">IF(N250=0,0,IF(G250&lt;0,N250/c_equity.LPshare*i_equity.GPshare,L250/c_equity.LPshare*i_equity.GPshare))</f>
        <v>0</v>
      </c>
      <c r="P250" s="865">
        <f t="shared" si="182"/>
        <v>0</v>
      </c>
      <c r="Q250" s="865">
        <f t="shared" si="183"/>
        <v>0</v>
      </c>
      <c r="R250" s="161"/>
      <c r="S250" s="867">
        <f t="shared" ca="1" si="184"/>
        <v>0</v>
      </c>
      <c r="T250" s="867" cm="1">
        <f t="array" ref="T250">IF($G250=0,0,-MIN(0,$G250*c_equity.LPshare))</f>
        <v>0</v>
      </c>
      <c r="U250" s="869" cm="1">
        <f t="array" ref="U250">IF($D250=0,0,S250*c_rate.Hurdle1.MO)</f>
        <v>0</v>
      </c>
      <c r="V250" s="867">
        <f t="shared" si="185"/>
        <v>0</v>
      </c>
      <c r="W250" s="867">
        <f t="shared" ca="1" si="186"/>
        <v>0</v>
      </c>
      <c r="X250" s="869">
        <f t="shared" ca="1" si="187"/>
        <v>0</v>
      </c>
      <c r="Y250" s="869">
        <f t="shared" ca="1" si="188"/>
        <v>0</v>
      </c>
      <c r="Z250" s="869">
        <f t="shared" ca="1" si="189"/>
        <v>0</v>
      </c>
      <c r="AA250" s="869">
        <f t="shared" ca="1" si="190"/>
        <v>0</v>
      </c>
      <c r="AB250" s="867">
        <f t="shared" ca="1" si="191"/>
        <v>0</v>
      </c>
      <c r="AC250" s="161"/>
      <c r="AD250" s="869">
        <f t="shared" ca="1" si="192"/>
        <v>0</v>
      </c>
      <c r="AE250" s="867" cm="1">
        <f t="array" ref="AE250">IF($G250=0,0,-MIN(0,$G250*c_equity.LPshare))</f>
        <v>0</v>
      </c>
      <c r="AF250" s="869" cm="1">
        <f t="array" ref="AF250">IF($D250=0,0,AD250*(c_rate.Hurdle2.MO))</f>
        <v>0</v>
      </c>
      <c r="AG250" s="869">
        <f t="shared" ca="1" si="193"/>
        <v>0</v>
      </c>
      <c r="AH250" s="869">
        <f t="shared" ca="1" si="194"/>
        <v>0</v>
      </c>
      <c r="AI250" s="869">
        <f t="shared" ca="1" si="195"/>
        <v>0</v>
      </c>
      <c r="AJ250" s="870">
        <f t="shared" ca="1" si="196"/>
        <v>0</v>
      </c>
      <c r="AK250" s="867">
        <f t="shared" ca="1" si="197"/>
        <v>0</v>
      </c>
      <c r="AL250" s="869">
        <f t="shared" ca="1" si="175"/>
        <v>0</v>
      </c>
      <c r="AM250" s="869">
        <f t="shared" ca="1" si="198"/>
        <v>0</v>
      </c>
      <c r="AN250" s="867">
        <f t="shared" ca="1" si="199"/>
        <v>0</v>
      </c>
      <c r="AO250" s="161"/>
      <c r="AP250" s="869">
        <f t="shared" ca="1" si="200"/>
        <v>0</v>
      </c>
      <c r="AQ250" s="867" cm="1">
        <f t="array" ref="AQ250">IF($G250=0,0,-MIN(0,$G250*c_equity.LPshare))</f>
        <v>0</v>
      </c>
      <c r="AR250" s="869" cm="1">
        <f t="array" ref="AR250">IF($D250=0,0,AP250*(c_rate.Hurdle3.MO))</f>
        <v>0</v>
      </c>
      <c r="AS250" s="869">
        <f t="shared" ca="1" si="201"/>
        <v>0</v>
      </c>
      <c r="AT250" s="869">
        <f t="shared" ca="1" si="202"/>
        <v>0</v>
      </c>
      <c r="AU250" s="869">
        <f t="shared" ca="1" si="203"/>
        <v>0</v>
      </c>
      <c r="AV250" s="870">
        <f t="shared" ca="1" si="204"/>
        <v>0</v>
      </c>
      <c r="AW250" s="867">
        <f t="shared" ca="1" si="205"/>
        <v>0</v>
      </c>
      <c r="AX250" s="869">
        <f t="shared" ca="1" si="176"/>
        <v>0</v>
      </c>
      <c r="AY250" s="869">
        <f t="shared" ca="1" si="206"/>
        <v>0</v>
      </c>
      <c r="AZ250" s="867">
        <f t="shared" ca="1" si="207"/>
        <v>0</v>
      </c>
      <c r="BA250" s="161"/>
      <c r="BB250" s="867">
        <f t="shared" ca="1" si="208"/>
        <v>0</v>
      </c>
      <c r="BC250" s="867">
        <f t="shared" ca="1" si="173"/>
        <v>0</v>
      </c>
      <c r="BD250" s="658"/>
      <c r="BE250" s="867">
        <f t="shared" ca="1" si="209"/>
        <v>0</v>
      </c>
      <c r="BF250" s="867">
        <f t="shared" ca="1" si="210"/>
        <v>0</v>
      </c>
      <c r="BG250" s="867">
        <f t="shared" ca="1" si="211"/>
        <v>0</v>
      </c>
      <c r="BI250" s="867">
        <f ca="1"/>
        <v>0</v>
      </c>
      <c r="BJ250" s="867">
        <f ca="1"/>
        <v>0</v>
      </c>
      <c r="BK250" s="867">
        <f ca="1"/>
        <v>0</v>
      </c>
      <c r="BL250" s="867">
        <f t="shared" ca="1" si="212"/>
        <v>0</v>
      </c>
      <c r="BM250" s="867">
        <f t="shared" ca="1" si="213"/>
        <v>0</v>
      </c>
      <c r="BN250" s="867">
        <f t="shared" ca="1" si="214"/>
        <v>0</v>
      </c>
      <c r="BO250" s="867">
        <f t="shared" ca="1" si="215"/>
        <v>0</v>
      </c>
      <c r="BP250" s="867">
        <f t="shared" ca="1" si="216"/>
        <v>0</v>
      </c>
      <c r="BQ250" s="867">
        <f t="shared" ca="1" si="217"/>
        <v>0</v>
      </c>
      <c r="BR250" s="867">
        <f ca="1"/>
        <v>0</v>
      </c>
      <c r="BS250" s="867">
        <f ca="1"/>
        <v>0</v>
      </c>
      <c r="BT250" s="867">
        <f t="shared" ca="1" si="177"/>
        <v>0</v>
      </c>
      <c r="BU250" s="867">
        <f t="shared" ca="1" si="218"/>
        <v>0</v>
      </c>
      <c r="BX250" s="867">
        <f ca="1"/>
        <v>0</v>
      </c>
      <c r="BY250" s="867">
        <f t="shared" ca="1" si="219"/>
        <v>0</v>
      </c>
      <c r="BZ250" s="867">
        <f t="shared" ca="1" si="220"/>
        <v>0</v>
      </c>
      <c r="CA250" s="867">
        <f t="shared" ca="1" si="221"/>
        <v>0</v>
      </c>
      <c r="CB250" s="867">
        <f t="shared" ca="1" si="222"/>
        <v>0</v>
      </c>
      <c r="CC250" s="867">
        <f t="shared" ca="1" si="223"/>
        <v>0</v>
      </c>
      <c r="CD250" s="867">
        <f t="shared" ca="1" si="224"/>
        <v>0</v>
      </c>
    </row>
    <row r="251" spans="1:82" ht="17" hidden="1" thickTop="1" thickBot="1">
      <c r="A251" s="773">
        <f t="shared" si="174"/>
        <v>0</v>
      </c>
      <c r="B251" s="779"/>
      <c r="D251" s="660"/>
      <c r="E251" s="661"/>
      <c r="F251" s="862"/>
      <c r="G251" s="863"/>
      <c r="H251" s="961"/>
      <c r="I251" s="865">
        <f t="shared" si="178"/>
        <v>0</v>
      </c>
      <c r="J251" s="864" cm="1">
        <f t="array" ref="J251">IF($G251=0,0,-MIN(0,G251*c_equity.LPshare))</f>
        <v>0</v>
      </c>
      <c r="K251" s="865" cm="1">
        <f t="array" ref="K251">I251*c_rate.Pref.MO</f>
        <v>0</v>
      </c>
      <c r="L251" s="865">
        <f t="shared" si="179"/>
        <v>0</v>
      </c>
      <c r="M251" s="865">
        <f t="shared" si="180"/>
        <v>0</v>
      </c>
      <c r="N251" s="865">
        <f t="shared" si="181"/>
        <v>0</v>
      </c>
      <c r="O251" s="864" cm="1">
        <f t="array" ref="O251">IF(N251=0,0,IF(G251&lt;0,N251/c_equity.LPshare*i_equity.GPshare,L251/c_equity.LPshare*i_equity.GPshare))</f>
        <v>0</v>
      </c>
      <c r="P251" s="865">
        <f t="shared" si="182"/>
        <v>0</v>
      </c>
      <c r="Q251" s="865">
        <f t="shared" si="183"/>
        <v>0</v>
      </c>
      <c r="R251" s="161"/>
      <c r="S251" s="867">
        <f t="shared" ca="1" si="184"/>
        <v>0</v>
      </c>
      <c r="T251" s="867" cm="1">
        <f t="array" ref="T251">IF($G251=0,0,-MIN(0,$G251*c_equity.LPshare))</f>
        <v>0</v>
      </c>
      <c r="U251" s="869" cm="1">
        <f t="array" ref="U251">IF($D251=0,0,S251*c_rate.Hurdle1.MO)</f>
        <v>0</v>
      </c>
      <c r="V251" s="867">
        <f t="shared" si="185"/>
        <v>0</v>
      </c>
      <c r="W251" s="867">
        <f t="shared" ca="1" si="186"/>
        <v>0</v>
      </c>
      <c r="X251" s="869">
        <f t="shared" ca="1" si="187"/>
        <v>0</v>
      </c>
      <c r="Y251" s="869">
        <f t="shared" ca="1" si="188"/>
        <v>0</v>
      </c>
      <c r="Z251" s="869">
        <f t="shared" ca="1" si="189"/>
        <v>0</v>
      </c>
      <c r="AA251" s="869">
        <f t="shared" ca="1" si="190"/>
        <v>0</v>
      </c>
      <c r="AB251" s="867">
        <f t="shared" ca="1" si="191"/>
        <v>0</v>
      </c>
      <c r="AC251" s="161"/>
      <c r="AD251" s="869">
        <f t="shared" ca="1" si="192"/>
        <v>0</v>
      </c>
      <c r="AE251" s="867" cm="1">
        <f t="array" ref="AE251">IF($G251=0,0,-MIN(0,$G251*c_equity.LPshare))</f>
        <v>0</v>
      </c>
      <c r="AF251" s="869" cm="1">
        <f t="array" ref="AF251">IF($D251=0,0,AD251*(c_rate.Hurdle2.MO))</f>
        <v>0</v>
      </c>
      <c r="AG251" s="869">
        <f t="shared" ca="1" si="193"/>
        <v>0</v>
      </c>
      <c r="AH251" s="869">
        <f t="shared" ca="1" si="194"/>
        <v>0</v>
      </c>
      <c r="AI251" s="869">
        <f t="shared" ca="1" si="195"/>
        <v>0</v>
      </c>
      <c r="AJ251" s="870">
        <f t="shared" ca="1" si="196"/>
        <v>0</v>
      </c>
      <c r="AK251" s="867">
        <f t="shared" ca="1" si="197"/>
        <v>0</v>
      </c>
      <c r="AL251" s="869">
        <f t="shared" ca="1" si="175"/>
        <v>0</v>
      </c>
      <c r="AM251" s="869">
        <f t="shared" ca="1" si="198"/>
        <v>0</v>
      </c>
      <c r="AN251" s="867">
        <f t="shared" ca="1" si="199"/>
        <v>0</v>
      </c>
      <c r="AO251" s="161"/>
      <c r="AP251" s="869">
        <f t="shared" ca="1" si="200"/>
        <v>0</v>
      </c>
      <c r="AQ251" s="867" cm="1">
        <f t="array" ref="AQ251">IF($G251=0,0,-MIN(0,$G251*c_equity.LPshare))</f>
        <v>0</v>
      </c>
      <c r="AR251" s="869" cm="1">
        <f t="array" ref="AR251">IF($D251=0,0,AP251*(c_rate.Hurdle3.MO))</f>
        <v>0</v>
      </c>
      <c r="AS251" s="869">
        <f t="shared" ca="1" si="201"/>
        <v>0</v>
      </c>
      <c r="AT251" s="869">
        <f t="shared" ca="1" si="202"/>
        <v>0</v>
      </c>
      <c r="AU251" s="869">
        <f t="shared" ca="1" si="203"/>
        <v>0</v>
      </c>
      <c r="AV251" s="870">
        <f t="shared" ca="1" si="204"/>
        <v>0</v>
      </c>
      <c r="AW251" s="867">
        <f t="shared" ca="1" si="205"/>
        <v>0</v>
      </c>
      <c r="AX251" s="869">
        <f t="shared" ca="1" si="176"/>
        <v>0</v>
      </c>
      <c r="AY251" s="869">
        <f t="shared" ca="1" si="206"/>
        <v>0</v>
      </c>
      <c r="AZ251" s="867">
        <f t="shared" ca="1" si="207"/>
        <v>0</v>
      </c>
      <c r="BA251" s="161"/>
      <c r="BB251" s="867">
        <f t="shared" ca="1" si="208"/>
        <v>0</v>
      </c>
      <c r="BC251" s="867">
        <f t="shared" ca="1" si="173"/>
        <v>0</v>
      </c>
      <c r="BD251" s="658"/>
      <c r="BE251" s="867">
        <f t="shared" ca="1" si="209"/>
        <v>0</v>
      </c>
      <c r="BF251" s="867">
        <f t="shared" ca="1" si="210"/>
        <v>0</v>
      </c>
      <c r="BG251" s="867">
        <f t="shared" ca="1" si="211"/>
        <v>0</v>
      </c>
      <c r="BI251" s="867">
        <f ca="1"/>
        <v>0</v>
      </c>
      <c r="BJ251" s="867">
        <f ca="1"/>
        <v>0</v>
      </c>
      <c r="BK251" s="867">
        <f ca="1"/>
        <v>0</v>
      </c>
      <c r="BL251" s="867">
        <f t="shared" ca="1" si="212"/>
        <v>0</v>
      </c>
      <c r="BM251" s="867">
        <f t="shared" ca="1" si="213"/>
        <v>0</v>
      </c>
      <c r="BN251" s="867">
        <f t="shared" ca="1" si="214"/>
        <v>0</v>
      </c>
      <c r="BO251" s="867">
        <f t="shared" ca="1" si="215"/>
        <v>0</v>
      </c>
      <c r="BP251" s="867">
        <f t="shared" ca="1" si="216"/>
        <v>0</v>
      </c>
      <c r="BQ251" s="867">
        <f t="shared" ca="1" si="217"/>
        <v>0</v>
      </c>
      <c r="BR251" s="867">
        <f ca="1"/>
        <v>0</v>
      </c>
      <c r="BS251" s="867">
        <f ca="1"/>
        <v>0</v>
      </c>
      <c r="BT251" s="867">
        <f t="shared" ca="1" si="177"/>
        <v>0</v>
      </c>
      <c r="BU251" s="867">
        <f t="shared" ca="1" si="218"/>
        <v>0</v>
      </c>
      <c r="BX251" s="867">
        <f ca="1"/>
        <v>0</v>
      </c>
      <c r="BY251" s="867">
        <f t="shared" ca="1" si="219"/>
        <v>0</v>
      </c>
      <c r="BZ251" s="867">
        <f t="shared" ca="1" si="220"/>
        <v>0</v>
      </c>
      <c r="CA251" s="867">
        <f t="shared" ca="1" si="221"/>
        <v>0</v>
      </c>
      <c r="CB251" s="867">
        <f t="shared" ca="1" si="222"/>
        <v>0</v>
      </c>
      <c r="CC251" s="867">
        <f t="shared" ca="1" si="223"/>
        <v>0</v>
      </c>
      <c r="CD251" s="867">
        <f t="shared" ca="1" si="224"/>
        <v>0</v>
      </c>
    </row>
    <row r="252" spans="1:82" ht="17" hidden="1" thickTop="1" thickBot="1">
      <c r="A252" s="773">
        <f t="shared" si="174"/>
        <v>0</v>
      </c>
      <c r="B252" s="779"/>
      <c r="D252" s="660"/>
      <c r="E252" s="661"/>
      <c r="F252" s="862"/>
      <c r="G252" s="863"/>
      <c r="H252" s="961"/>
      <c r="I252" s="865">
        <f t="shared" si="178"/>
        <v>0</v>
      </c>
      <c r="J252" s="864" cm="1">
        <f t="array" ref="J252">IF($G252=0,0,-MIN(0,G252*c_equity.LPshare))</f>
        <v>0</v>
      </c>
      <c r="K252" s="865" cm="1">
        <f t="array" ref="K252">I252*c_rate.Pref.MO</f>
        <v>0</v>
      </c>
      <c r="L252" s="865">
        <f t="shared" si="179"/>
        <v>0</v>
      </c>
      <c r="M252" s="865">
        <f t="shared" si="180"/>
        <v>0</v>
      </c>
      <c r="N252" s="865">
        <f t="shared" si="181"/>
        <v>0</v>
      </c>
      <c r="O252" s="864" cm="1">
        <f t="array" ref="O252">IF(N252=0,0,IF(G252&lt;0,N252/c_equity.LPshare*i_equity.GPshare,L252/c_equity.LPshare*i_equity.GPshare))</f>
        <v>0</v>
      </c>
      <c r="P252" s="865">
        <f t="shared" si="182"/>
        <v>0</v>
      </c>
      <c r="Q252" s="865">
        <f t="shared" si="183"/>
        <v>0</v>
      </c>
      <c r="R252" s="161"/>
      <c r="S252" s="867">
        <f t="shared" ca="1" si="184"/>
        <v>0</v>
      </c>
      <c r="T252" s="867" cm="1">
        <f t="array" ref="T252">IF($G252=0,0,-MIN(0,$G252*c_equity.LPshare))</f>
        <v>0</v>
      </c>
      <c r="U252" s="869" cm="1">
        <f t="array" ref="U252">IF($D252=0,0,S252*c_rate.Hurdle1.MO)</f>
        <v>0</v>
      </c>
      <c r="V252" s="867">
        <f t="shared" si="185"/>
        <v>0</v>
      </c>
      <c r="W252" s="867">
        <f t="shared" ca="1" si="186"/>
        <v>0</v>
      </c>
      <c r="X252" s="869">
        <f t="shared" ca="1" si="187"/>
        <v>0</v>
      </c>
      <c r="Y252" s="869">
        <f t="shared" ca="1" si="188"/>
        <v>0</v>
      </c>
      <c r="Z252" s="869">
        <f t="shared" ca="1" si="189"/>
        <v>0</v>
      </c>
      <c r="AA252" s="869">
        <f t="shared" ca="1" si="190"/>
        <v>0</v>
      </c>
      <c r="AB252" s="867">
        <f t="shared" ca="1" si="191"/>
        <v>0</v>
      </c>
      <c r="AC252" s="161"/>
      <c r="AD252" s="869">
        <f t="shared" ca="1" si="192"/>
        <v>0</v>
      </c>
      <c r="AE252" s="867" cm="1">
        <f t="array" ref="AE252">IF($G252=0,0,-MIN(0,$G252*c_equity.LPshare))</f>
        <v>0</v>
      </c>
      <c r="AF252" s="869" cm="1">
        <f t="array" ref="AF252">IF($D252=0,0,AD252*(c_rate.Hurdle2.MO))</f>
        <v>0</v>
      </c>
      <c r="AG252" s="869">
        <f t="shared" ca="1" si="193"/>
        <v>0</v>
      </c>
      <c r="AH252" s="869">
        <f t="shared" ca="1" si="194"/>
        <v>0</v>
      </c>
      <c r="AI252" s="869">
        <f t="shared" ca="1" si="195"/>
        <v>0</v>
      </c>
      <c r="AJ252" s="870">
        <f t="shared" ca="1" si="196"/>
        <v>0</v>
      </c>
      <c r="AK252" s="867">
        <f t="shared" ca="1" si="197"/>
        <v>0</v>
      </c>
      <c r="AL252" s="869">
        <f t="shared" ca="1" si="175"/>
        <v>0</v>
      </c>
      <c r="AM252" s="869">
        <f t="shared" ca="1" si="198"/>
        <v>0</v>
      </c>
      <c r="AN252" s="867">
        <f t="shared" ca="1" si="199"/>
        <v>0</v>
      </c>
      <c r="AO252" s="161"/>
      <c r="AP252" s="869">
        <f t="shared" ca="1" si="200"/>
        <v>0</v>
      </c>
      <c r="AQ252" s="867" cm="1">
        <f t="array" ref="AQ252">IF($G252=0,0,-MIN(0,$G252*c_equity.LPshare))</f>
        <v>0</v>
      </c>
      <c r="AR252" s="869" cm="1">
        <f t="array" ref="AR252">IF($D252=0,0,AP252*(c_rate.Hurdle3.MO))</f>
        <v>0</v>
      </c>
      <c r="AS252" s="869">
        <f t="shared" ca="1" si="201"/>
        <v>0</v>
      </c>
      <c r="AT252" s="869">
        <f t="shared" ca="1" si="202"/>
        <v>0</v>
      </c>
      <c r="AU252" s="869">
        <f t="shared" ca="1" si="203"/>
        <v>0</v>
      </c>
      <c r="AV252" s="870">
        <f t="shared" ca="1" si="204"/>
        <v>0</v>
      </c>
      <c r="AW252" s="867">
        <f t="shared" ca="1" si="205"/>
        <v>0</v>
      </c>
      <c r="AX252" s="869">
        <f t="shared" ca="1" si="176"/>
        <v>0</v>
      </c>
      <c r="AY252" s="869">
        <f t="shared" ca="1" si="206"/>
        <v>0</v>
      </c>
      <c r="AZ252" s="867">
        <f t="shared" ca="1" si="207"/>
        <v>0</v>
      </c>
      <c r="BA252" s="161"/>
      <c r="BB252" s="867">
        <f t="shared" ca="1" si="208"/>
        <v>0</v>
      </c>
      <c r="BC252" s="867">
        <f t="shared" ca="1" si="173"/>
        <v>0</v>
      </c>
      <c r="BD252" s="658"/>
      <c r="BE252" s="867">
        <f t="shared" ca="1" si="209"/>
        <v>0</v>
      </c>
      <c r="BF252" s="867">
        <f t="shared" ca="1" si="210"/>
        <v>0</v>
      </c>
      <c r="BG252" s="867">
        <f t="shared" ca="1" si="211"/>
        <v>0</v>
      </c>
      <c r="BI252" s="867">
        <f ca="1"/>
        <v>0</v>
      </c>
      <c r="BJ252" s="867">
        <f ca="1"/>
        <v>0</v>
      </c>
      <c r="BK252" s="867">
        <f ca="1"/>
        <v>0</v>
      </c>
      <c r="BL252" s="867">
        <f t="shared" ca="1" si="212"/>
        <v>0</v>
      </c>
      <c r="BM252" s="867">
        <f t="shared" ca="1" si="213"/>
        <v>0</v>
      </c>
      <c r="BN252" s="867">
        <f t="shared" ca="1" si="214"/>
        <v>0</v>
      </c>
      <c r="BO252" s="867">
        <f t="shared" ca="1" si="215"/>
        <v>0</v>
      </c>
      <c r="BP252" s="867">
        <f t="shared" ca="1" si="216"/>
        <v>0</v>
      </c>
      <c r="BQ252" s="867">
        <f t="shared" ca="1" si="217"/>
        <v>0</v>
      </c>
      <c r="BR252" s="867">
        <f ca="1"/>
        <v>0</v>
      </c>
      <c r="BS252" s="867">
        <f ca="1"/>
        <v>0</v>
      </c>
      <c r="BT252" s="867">
        <f t="shared" ca="1" si="177"/>
        <v>0</v>
      </c>
      <c r="BU252" s="867">
        <f t="shared" ca="1" si="218"/>
        <v>0</v>
      </c>
      <c r="BX252" s="867">
        <f ca="1"/>
        <v>0</v>
      </c>
      <c r="BY252" s="867">
        <f t="shared" ca="1" si="219"/>
        <v>0</v>
      </c>
      <c r="BZ252" s="867">
        <f t="shared" ca="1" si="220"/>
        <v>0</v>
      </c>
      <c r="CA252" s="867">
        <f t="shared" ca="1" si="221"/>
        <v>0</v>
      </c>
      <c r="CB252" s="867">
        <f t="shared" ca="1" si="222"/>
        <v>0</v>
      </c>
      <c r="CC252" s="867">
        <f t="shared" ca="1" si="223"/>
        <v>0</v>
      </c>
      <c r="CD252" s="867">
        <f t="shared" ca="1" si="224"/>
        <v>0</v>
      </c>
    </row>
    <row r="253" spans="1:82" ht="17" hidden="1" thickTop="1" thickBot="1">
      <c r="A253" s="773">
        <f t="shared" si="174"/>
        <v>0</v>
      </c>
      <c r="B253" s="779"/>
      <c r="D253" s="660"/>
      <c r="E253" s="661"/>
      <c r="F253" s="862"/>
      <c r="G253" s="863"/>
      <c r="H253" s="961"/>
      <c r="I253" s="865">
        <f t="shared" si="178"/>
        <v>0</v>
      </c>
      <c r="J253" s="864" cm="1">
        <f t="array" ref="J253">IF($G253=0,0,-MIN(0,G253*c_equity.LPshare))</f>
        <v>0</v>
      </c>
      <c r="K253" s="865" cm="1">
        <f t="array" ref="K253">I253*c_rate.Pref.MO</f>
        <v>0</v>
      </c>
      <c r="L253" s="865">
        <f t="shared" si="179"/>
        <v>0</v>
      </c>
      <c r="M253" s="865">
        <f t="shared" si="180"/>
        <v>0</v>
      </c>
      <c r="N253" s="865">
        <f t="shared" si="181"/>
        <v>0</v>
      </c>
      <c r="O253" s="864" cm="1">
        <f t="array" ref="O253">IF(N253=0,0,IF(G253&lt;0,N253/c_equity.LPshare*i_equity.GPshare,L253/c_equity.LPshare*i_equity.GPshare))</f>
        <v>0</v>
      </c>
      <c r="P253" s="865">
        <f t="shared" si="182"/>
        <v>0</v>
      </c>
      <c r="Q253" s="865">
        <f t="shared" si="183"/>
        <v>0</v>
      </c>
      <c r="R253" s="161"/>
      <c r="S253" s="867">
        <f t="shared" ca="1" si="184"/>
        <v>0</v>
      </c>
      <c r="T253" s="867" cm="1">
        <f t="array" ref="T253">IF($G253=0,0,-MIN(0,$G253*c_equity.LPshare))</f>
        <v>0</v>
      </c>
      <c r="U253" s="869" cm="1">
        <f t="array" ref="U253">IF($D253=0,0,S253*c_rate.Hurdle1.MO)</f>
        <v>0</v>
      </c>
      <c r="V253" s="867">
        <f t="shared" si="185"/>
        <v>0</v>
      </c>
      <c r="W253" s="867">
        <f t="shared" ca="1" si="186"/>
        <v>0</v>
      </c>
      <c r="X253" s="869">
        <f t="shared" ca="1" si="187"/>
        <v>0</v>
      </c>
      <c r="Y253" s="869">
        <f t="shared" ca="1" si="188"/>
        <v>0</v>
      </c>
      <c r="Z253" s="869">
        <f t="shared" ca="1" si="189"/>
        <v>0</v>
      </c>
      <c r="AA253" s="869">
        <f t="shared" ca="1" si="190"/>
        <v>0</v>
      </c>
      <c r="AB253" s="867">
        <f t="shared" ca="1" si="191"/>
        <v>0</v>
      </c>
      <c r="AC253" s="161"/>
      <c r="AD253" s="869">
        <f t="shared" ca="1" si="192"/>
        <v>0</v>
      </c>
      <c r="AE253" s="867" cm="1">
        <f t="array" ref="AE253">IF($G253=0,0,-MIN(0,$G253*c_equity.LPshare))</f>
        <v>0</v>
      </c>
      <c r="AF253" s="869" cm="1">
        <f t="array" ref="AF253">IF($D253=0,0,AD253*(c_rate.Hurdle2.MO))</f>
        <v>0</v>
      </c>
      <c r="AG253" s="869">
        <f t="shared" ca="1" si="193"/>
        <v>0</v>
      </c>
      <c r="AH253" s="869">
        <f t="shared" ca="1" si="194"/>
        <v>0</v>
      </c>
      <c r="AI253" s="869">
        <f t="shared" ca="1" si="195"/>
        <v>0</v>
      </c>
      <c r="AJ253" s="870">
        <f t="shared" ca="1" si="196"/>
        <v>0</v>
      </c>
      <c r="AK253" s="867">
        <f t="shared" ca="1" si="197"/>
        <v>0</v>
      </c>
      <c r="AL253" s="869">
        <f t="shared" ca="1" si="175"/>
        <v>0</v>
      </c>
      <c r="AM253" s="869">
        <f t="shared" ca="1" si="198"/>
        <v>0</v>
      </c>
      <c r="AN253" s="867">
        <f t="shared" ca="1" si="199"/>
        <v>0</v>
      </c>
      <c r="AO253" s="161"/>
      <c r="AP253" s="869">
        <f t="shared" ca="1" si="200"/>
        <v>0</v>
      </c>
      <c r="AQ253" s="867" cm="1">
        <f t="array" ref="AQ253">IF($G253=0,0,-MIN(0,$G253*c_equity.LPshare))</f>
        <v>0</v>
      </c>
      <c r="AR253" s="869" cm="1">
        <f t="array" ref="AR253">IF($D253=0,0,AP253*(c_rate.Hurdle3.MO))</f>
        <v>0</v>
      </c>
      <c r="AS253" s="869">
        <f t="shared" ca="1" si="201"/>
        <v>0</v>
      </c>
      <c r="AT253" s="869">
        <f t="shared" ca="1" si="202"/>
        <v>0</v>
      </c>
      <c r="AU253" s="869">
        <f t="shared" ca="1" si="203"/>
        <v>0</v>
      </c>
      <c r="AV253" s="870">
        <f t="shared" ca="1" si="204"/>
        <v>0</v>
      </c>
      <c r="AW253" s="867">
        <f t="shared" ca="1" si="205"/>
        <v>0</v>
      </c>
      <c r="AX253" s="869">
        <f t="shared" ca="1" si="176"/>
        <v>0</v>
      </c>
      <c r="AY253" s="869">
        <f t="shared" ca="1" si="206"/>
        <v>0</v>
      </c>
      <c r="AZ253" s="867">
        <f t="shared" ca="1" si="207"/>
        <v>0</v>
      </c>
      <c r="BA253" s="161"/>
      <c r="BB253" s="867">
        <f t="shared" ca="1" si="208"/>
        <v>0</v>
      </c>
      <c r="BC253" s="867">
        <f t="shared" ca="1" si="173"/>
        <v>0</v>
      </c>
      <c r="BD253" s="658"/>
      <c r="BE253" s="867">
        <f t="shared" ca="1" si="209"/>
        <v>0</v>
      </c>
      <c r="BF253" s="867">
        <f t="shared" ca="1" si="210"/>
        <v>0</v>
      </c>
      <c r="BG253" s="867">
        <f t="shared" ca="1" si="211"/>
        <v>0</v>
      </c>
      <c r="BI253" s="867">
        <f ca="1"/>
        <v>0</v>
      </c>
      <c r="BJ253" s="867">
        <f ca="1"/>
        <v>0</v>
      </c>
      <c r="BK253" s="867">
        <f ca="1"/>
        <v>0</v>
      </c>
      <c r="BL253" s="867">
        <f t="shared" ca="1" si="212"/>
        <v>0</v>
      </c>
      <c r="BM253" s="867">
        <f t="shared" ca="1" si="213"/>
        <v>0</v>
      </c>
      <c r="BN253" s="867">
        <f t="shared" ca="1" si="214"/>
        <v>0</v>
      </c>
      <c r="BO253" s="867">
        <f t="shared" ca="1" si="215"/>
        <v>0</v>
      </c>
      <c r="BP253" s="867">
        <f t="shared" ca="1" si="216"/>
        <v>0</v>
      </c>
      <c r="BQ253" s="867">
        <f t="shared" ca="1" si="217"/>
        <v>0</v>
      </c>
      <c r="BR253" s="867">
        <f ca="1"/>
        <v>0</v>
      </c>
      <c r="BS253" s="867">
        <f ca="1"/>
        <v>0</v>
      </c>
      <c r="BT253" s="867">
        <f t="shared" ca="1" si="177"/>
        <v>0</v>
      </c>
      <c r="BU253" s="867">
        <f t="shared" ca="1" si="218"/>
        <v>0</v>
      </c>
      <c r="BX253" s="867">
        <f ca="1"/>
        <v>0</v>
      </c>
      <c r="BY253" s="867">
        <f t="shared" ca="1" si="219"/>
        <v>0</v>
      </c>
      <c r="BZ253" s="867">
        <f t="shared" ca="1" si="220"/>
        <v>0</v>
      </c>
      <c r="CA253" s="867">
        <f t="shared" ca="1" si="221"/>
        <v>0</v>
      </c>
      <c r="CB253" s="867">
        <f t="shared" ca="1" si="222"/>
        <v>0</v>
      </c>
      <c r="CC253" s="867">
        <f t="shared" ca="1" si="223"/>
        <v>0</v>
      </c>
      <c r="CD253" s="867">
        <f t="shared" ca="1" si="224"/>
        <v>0</v>
      </c>
    </row>
    <row r="254" spans="1:82" ht="17" hidden="1" thickTop="1" thickBot="1">
      <c r="A254" s="773">
        <f t="shared" si="174"/>
        <v>0</v>
      </c>
      <c r="B254" s="779"/>
      <c r="D254" s="660"/>
      <c r="E254" s="661"/>
      <c r="F254" s="862"/>
      <c r="G254" s="863"/>
      <c r="H254" s="961"/>
      <c r="I254" s="865">
        <f t="shared" si="178"/>
        <v>0</v>
      </c>
      <c r="J254" s="864" cm="1">
        <f t="array" ref="J254">IF($G254=0,0,-MIN(0,G254*c_equity.LPshare))</f>
        <v>0</v>
      </c>
      <c r="K254" s="865" cm="1">
        <f t="array" ref="K254">I254*c_rate.Pref.MO</f>
        <v>0</v>
      </c>
      <c r="L254" s="865">
        <f t="shared" si="179"/>
        <v>0</v>
      </c>
      <c r="M254" s="865">
        <f t="shared" si="180"/>
        <v>0</v>
      </c>
      <c r="N254" s="865">
        <f t="shared" si="181"/>
        <v>0</v>
      </c>
      <c r="O254" s="864" cm="1">
        <f t="array" ref="O254">IF(N254=0,0,IF(G254&lt;0,N254/c_equity.LPshare*i_equity.GPshare,L254/c_equity.LPshare*i_equity.GPshare))</f>
        <v>0</v>
      </c>
      <c r="P254" s="865">
        <f t="shared" si="182"/>
        <v>0</v>
      </c>
      <c r="Q254" s="865">
        <f t="shared" si="183"/>
        <v>0</v>
      </c>
      <c r="R254" s="161"/>
      <c r="S254" s="867">
        <f t="shared" ca="1" si="184"/>
        <v>0</v>
      </c>
      <c r="T254" s="867" cm="1">
        <f t="array" ref="T254">IF($G254=0,0,-MIN(0,$G254*c_equity.LPshare))</f>
        <v>0</v>
      </c>
      <c r="U254" s="869" cm="1">
        <f t="array" ref="U254">IF($D254=0,0,S254*c_rate.Hurdle1.MO)</f>
        <v>0</v>
      </c>
      <c r="V254" s="867">
        <f t="shared" si="185"/>
        <v>0</v>
      </c>
      <c r="W254" s="867">
        <f t="shared" ca="1" si="186"/>
        <v>0</v>
      </c>
      <c r="X254" s="869">
        <f t="shared" ca="1" si="187"/>
        <v>0</v>
      </c>
      <c r="Y254" s="869">
        <f t="shared" ca="1" si="188"/>
        <v>0</v>
      </c>
      <c r="Z254" s="869">
        <f t="shared" ca="1" si="189"/>
        <v>0</v>
      </c>
      <c r="AA254" s="869">
        <f t="shared" ca="1" si="190"/>
        <v>0</v>
      </c>
      <c r="AB254" s="867">
        <f t="shared" ca="1" si="191"/>
        <v>0</v>
      </c>
      <c r="AC254" s="161"/>
      <c r="AD254" s="869">
        <f t="shared" ca="1" si="192"/>
        <v>0</v>
      </c>
      <c r="AE254" s="867" cm="1">
        <f t="array" ref="AE254">IF($G254=0,0,-MIN(0,$G254*c_equity.LPshare))</f>
        <v>0</v>
      </c>
      <c r="AF254" s="869" cm="1">
        <f t="array" ref="AF254">IF($D254=0,0,AD254*(c_rate.Hurdle2.MO))</f>
        <v>0</v>
      </c>
      <c r="AG254" s="869">
        <f t="shared" ca="1" si="193"/>
        <v>0</v>
      </c>
      <c r="AH254" s="869">
        <f t="shared" ca="1" si="194"/>
        <v>0</v>
      </c>
      <c r="AI254" s="869">
        <f t="shared" ca="1" si="195"/>
        <v>0</v>
      </c>
      <c r="AJ254" s="870">
        <f t="shared" ca="1" si="196"/>
        <v>0</v>
      </c>
      <c r="AK254" s="867">
        <f t="shared" ca="1" si="197"/>
        <v>0</v>
      </c>
      <c r="AL254" s="869">
        <f t="shared" ca="1" si="175"/>
        <v>0</v>
      </c>
      <c r="AM254" s="869">
        <f t="shared" ca="1" si="198"/>
        <v>0</v>
      </c>
      <c r="AN254" s="867">
        <f t="shared" ca="1" si="199"/>
        <v>0</v>
      </c>
      <c r="AO254" s="161"/>
      <c r="AP254" s="869">
        <f t="shared" ca="1" si="200"/>
        <v>0</v>
      </c>
      <c r="AQ254" s="867" cm="1">
        <f t="array" ref="AQ254">IF($G254=0,0,-MIN(0,$G254*c_equity.LPshare))</f>
        <v>0</v>
      </c>
      <c r="AR254" s="869" cm="1">
        <f t="array" ref="AR254">IF($D254=0,0,AP254*(c_rate.Hurdle3.MO))</f>
        <v>0</v>
      </c>
      <c r="AS254" s="869">
        <f t="shared" ca="1" si="201"/>
        <v>0</v>
      </c>
      <c r="AT254" s="869">
        <f t="shared" ca="1" si="202"/>
        <v>0</v>
      </c>
      <c r="AU254" s="869">
        <f t="shared" ca="1" si="203"/>
        <v>0</v>
      </c>
      <c r="AV254" s="870">
        <f t="shared" ca="1" si="204"/>
        <v>0</v>
      </c>
      <c r="AW254" s="867">
        <f t="shared" ca="1" si="205"/>
        <v>0</v>
      </c>
      <c r="AX254" s="869">
        <f t="shared" ca="1" si="176"/>
        <v>0</v>
      </c>
      <c r="AY254" s="869">
        <f t="shared" ca="1" si="206"/>
        <v>0</v>
      </c>
      <c r="AZ254" s="867">
        <f t="shared" ca="1" si="207"/>
        <v>0</v>
      </c>
      <c r="BA254" s="161"/>
      <c r="BB254" s="867">
        <f t="shared" ca="1" si="208"/>
        <v>0</v>
      </c>
      <c r="BC254" s="867">
        <f t="shared" ca="1" si="173"/>
        <v>0</v>
      </c>
      <c r="BD254" s="658"/>
      <c r="BE254" s="867">
        <f t="shared" ca="1" si="209"/>
        <v>0</v>
      </c>
      <c r="BF254" s="867">
        <f t="shared" ca="1" si="210"/>
        <v>0</v>
      </c>
      <c r="BG254" s="867">
        <f t="shared" ca="1" si="211"/>
        <v>0</v>
      </c>
      <c r="BI254" s="867">
        <f ca="1"/>
        <v>0</v>
      </c>
      <c r="BJ254" s="867">
        <f ca="1"/>
        <v>0</v>
      </c>
      <c r="BK254" s="867">
        <f ca="1"/>
        <v>0</v>
      </c>
      <c r="BL254" s="867">
        <f t="shared" ca="1" si="212"/>
        <v>0</v>
      </c>
      <c r="BM254" s="867">
        <f t="shared" ca="1" si="213"/>
        <v>0</v>
      </c>
      <c r="BN254" s="867">
        <f t="shared" ca="1" si="214"/>
        <v>0</v>
      </c>
      <c r="BO254" s="867">
        <f t="shared" ca="1" si="215"/>
        <v>0</v>
      </c>
      <c r="BP254" s="867">
        <f t="shared" ca="1" si="216"/>
        <v>0</v>
      </c>
      <c r="BQ254" s="867">
        <f t="shared" ca="1" si="217"/>
        <v>0</v>
      </c>
      <c r="BR254" s="867">
        <f ca="1"/>
        <v>0</v>
      </c>
      <c r="BS254" s="867">
        <f ca="1"/>
        <v>0</v>
      </c>
      <c r="BT254" s="867">
        <f t="shared" ca="1" si="177"/>
        <v>0</v>
      </c>
      <c r="BU254" s="867">
        <f t="shared" ca="1" si="218"/>
        <v>0</v>
      </c>
      <c r="BX254" s="867">
        <f ca="1"/>
        <v>0</v>
      </c>
      <c r="BY254" s="867">
        <f t="shared" ca="1" si="219"/>
        <v>0</v>
      </c>
      <c r="BZ254" s="867">
        <f t="shared" ca="1" si="220"/>
        <v>0</v>
      </c>
      <c r="CA254" s="867">
        <f t="shared" ca="1" si="221"/>
        <v>0</v>
      </c>
      <c r="CB254" s="867">
        <f t="shared" ca="1" si="222"/>
        <v>0</v>
      </c>
      <c r="CC254" s="867">
        <f t="shared" ca="1" si="223"/>
        <v>0</v>
      </c>
      <c r="CD254" s="867">
        <f t="shared" ca="1" si="224"/>
        <v>0</v>
      </c>
    </row>
    <row r="255" spans="1:82" ht="17" hidden="1" thickTop="1" thickBot="1">
      <c r="A255" s="773">
        <f t="shared" si="174"/>
        <v>0</v>
      </c>
      <c r="B255" s="779"/>
      <c r="D255" s="660"/>
      <c r="E255" s="661"/>
      <c r="F255" s="862"/>
      <c r="G255" s="863"/>
      <c r="H255" s="961"/>
      <c r="I255" s="865">
        <f t="shared" si="178"/>
        <v>0</v>
      </c>
      <c r="J255" s="864" cm="1">
        <f t="array" ref="J255">IF($G255=0,0,-MIN(0,G255*c_equity.LPshare))</f>
        <v>0</v>
      </c>
      <c r="K255" s="865" cm="1">
        <f t="array" ref="K255">I255*c_rate.Pref.MO</f>
        <v>0</v>
      </c>
      <c r="L255" s="865">
        <f t="shared" si="179"/>
        <v>0</v>
      </c>
      <c r="M255" s="865">
        <f t="shared" si="180"/>
        <v>0</v>
      </c>
      <c r="N255" s="865">
        <f t="shared" si="181"/>
        <v>0</v>
      </c>
      <c r="O255" s="864" cm="1">
        <f t="array" ref="O255">IF(N255=0,0,IF(G255&lt;0,N255/c_equity.LPshare*i_equity.GPshare,L255/c_equity.LPshare*i_equity.GPshare))</f>
        <v>0</v>
      </c>
      <c r="P255" s="865">
        <f t="shared" si="182"/>
        <v>0</v>
      </c>
      <c r="Q255" s="865">
        <f t="shared" si="183"/>
        <v>0</v>
      </c>
      <c r="R255" s="161"/>
      <c r="S255" s="867">
        <f t="shared" ca="1" si="184"/>
        <v>0</v>
      </c>
      <c r="T255" s="867" cm="1">
        <f t="array" ref="T255">IF($G255=0,0,-MIN(0,$G255*c_equity.LPshare))</f>
        <v>0</v>
      </c>
      <c r="U255" s="869" cm="1">
        <f t="array" ref="U255">IF($D255=0,0,S255*c_rate.Hurdle1.MO)</f>
        <v>0</v>
      </c>
      <c r="V255" s="867">
        <f t="shared" si="185"/>
        <v>0</v>
      </c>
      <c r="W255" s="867">
        <f t="shared" ca="1" si="186"/>
        <v>0</v>
      </c>
      <c r="X255" s="869">
        <f t="shared" ca="1" si="187"/>
        <v>0</v>
      </c>
      <c r="Y255" s="869">
        <f t="shared" ca="1" si="188"/>
        <v>0</v>
      </c>
      <c r="Z255" s="869">
        <f t="shared" ca="1" si="189"/>
        <v>0</v>
      </c>
      <c r="AA255" s="869">
        <f t="shared" ca="1" si="190"/>
        <v>0</v>
      </c>
      <c r="AB255" s="867">
        <f t="shared" ca="1" si="191"/>
        <v>0</v>
      </c>
      <c r="AC255" s="161"/>
      <c r="AD255" s="869">
        <f t="shared" ca="1" si="192"/>
        <v>0</v>
      </c>
      <c r="AE255" s="867" cm="1">
        <f t="array" ref="AE255">IF($G255=0,0,-MIN(0,$G255*c_equity.LPshare))</f>
        <v>0</v>
      </c>
      <c r="AF255" s="869" cm="1">
        <f t="array" ref="AF255">IF($D255=0,0,AD255*(c_rate.Hurdle2.MO))</f>
        <v>0</v>
      </c>
      <c r="AG255" s="869">
        <f t="shared" ca="1" si="193"/>
        <v>0</v>
      </c>
      <c r="AH255" s="869">
        <f t="shared" ca="1" si="194"/>
        <v>0</v>
      </c>
      <c r="AI255" s="869">
        <f t="shared" ca="1" si="195"/>
        <v>0</v>
      </c>
      <c r="AJ255" s="870">
        <f t="shared" ca="1" si="196"/>
        <v>0</v>
      </c>
      <c r="AK255" s="867">
        <f t="shared" ca="1" si="197"/>
        <v>0</v>
      </c>
      <c r="AL255" s="869">
        <f t="shared" ca="1" si="175"/>
        <v>0</v>
      </c>
      <c r="AM255" s="869">
        <f t="shared" ca="1" si="198"/>
        <v>0</v>
      </c>
      <c r="AN255" s="867">
        <f t="shared" ca="1" si="199"/>
        <v>0</v>
      </c>
      <c r="AO255" s="161"/>
      <c r="AP255" s="869">
        <f t="shared" ca="1" si="200"/>
        <v>0</v>
      </c>
      <c r="AQ255" s="867" cm="1">
        <f t="array" ref="AQ255">IF($G255=0,0,-MIN(0,$G255*c_equity.LPshare))</f>
        <v>0</v>
      </c>
      <c r="AR255" s="869" cm="1">
        <f t="array" ref="AR255">IF($D255=0,0,AP255*(c_rate.Hurdle3.MO))</f>
        <v>0</v>
      </c>
      <c r="AS255" s="869">
        <f t="shared" ca="1" si="201"/>
        <v>0</v>
      </c>
      <c r="AT255" s="869">
        <f t="shared" ca="1" si="202"/>
        <v>0</v>
      </c>
      <c r="AU255" s="869">
        <f t="shared" ca="1" si="203"/>
        <v>0</v>
      </c>
      <c r="AV255" s="870">
        <f t="shared" ca="1" si="204"/>
        <v>0</v>
      </c>
      <c r="AW255" s="867">
        <f t="shared" ca="1" si="205"/>
        <v>0</v>
      </c>
      <c r="AX255" s="869">
        <f t="shared" ca="1" si="176"/>
        <v>0</v>
      </c>
      <c r="AY255" s="869">
        <f t="shared" ca="1" si="206"/>
        <v>0</v>
      </c>
      <c r="AZ255" s="867">
        <f t="shared" ca="1" si="207"/>
        <v>0</v>
      </c>
      <c r="BA255" s="161"/>
      <c r="BB255" s="867">
        <f t="shared" ca="1" si="208"/>
        <v>0</v>
      </c>
      <c r="BC255" s="867">
        <f t="shared" ca="1" si="173"/>
        <v>0</v>
      </c>
      <c r="BD255" s="658"/>
      <c r="BE255" s="867">
        <f t="shared" ca="1" si="209"/>
        <v>0</v>
      </c>
      <c r="BF255" s="867">
        <f t="shared" ca="1" si="210"/>
        <v>0</v>
      </c>
      <c r="BG255" s="867">
        <f t="shared" ca="1" si="211"/>
        <v>0</v>
      </c>
      <c r="BI255" s="867">
        <f ca="1"/>
        <v>0</v>
      </c>
      <c r="BJ255" s="867">
        <f ca="1"/>
        <v>0</v>
      </c>
      <c r="BK255" s="867">
        <f ca="1"/>
        <v>0</v>
      </c>
      <c r="BL255" s="867">
        <f t="shared" ca="1" si="212"/>
        <v>0</v>
      </c>
      <c r="BM255" s="867">
        <f t="shared" ca="1" si="213"/>
        <v>0</v>
      </c>
      <c r="BN255" s="867">
        <f t="shared" ca="1" si="214"/>
        <v>0</v>
      </c>
      <c r="BO255" s="867">
        <f t="shared" ca="1" si="215"/>
        <v>0</v>
      </c>
      <c r="BP255" s="867">
        <f t="shared" ca="1" si="216"/>
        <v>0</v>
      </c>
      <c r="BQ255" s="867">
        <f t="shared" ca="1" si="217"/>
        <v>0</v>
      </c>
      <c r="BR255" s="867">
        <f ca="1"/>
        <v>0</v>
      </c>
      <c r="BS255" s="867">
        <f ca="1"/>
        <v>0</v>
      </c>
      <c r="BT255" s="867">
        <f t="shared" ca="1" si="177"/>
        <v>0</v>
      </c>
      <c r="BU255" s="867">
        <f t="shared" ca="1" si="218"/>
        <v>0</v>
      </c>
      <c r="BX255" s="867">
        <f ca="1"/>
        <v>0</v>
      </c>
      <c r="BY255" s="867">
        <f t="shared" ca="1" si="219"/>
        <v>0</v>
      </c>
      <c r="BZ255" s="867">
        <f t="shared" ca="1" si="220"/>
        <v>0</v>
      </c>
      <c r="CA255" s="867">
        <f t="shared" ca="1" si="221"/>
        <v>0</v>
      </c>
      <c r="CB255" s="867">
        <f t="shared" ca="1" si="222"/>
        <v>0</v>
      </c>
      <c r="CC255" s="867">
        <f t="shared" ca="1" si="223"/>
        <v>0</v>
      </c>
      <c r="CD255" s="867">
        <f t="shared" ca="1" si="224"/>
        <v>0</v>
      </c>
    </row>
    <row r="256" spans="1:82" ht="17" hidden="1" thickTop="1" thickBot="1">
      <c r="A256" s="773">
        <f t="shared" si="174"/>
        <v>0</v>
      </c>
      <c r="B256" s="779"/>
      <c r="D256" s="660"/>
      <c r="E256" s="661"/>
      <c r="F256" s="862"/>
      <c r="G256" s="863"/>
      <c r="H256" s="961"/>
      <c r="I256" s="865">
        <f t="shared" si="178"/>
        <v>0</v>
      </c>
      <c r="J256" s="864" cm="1">
        <f t="array" ref="J256">IF($G256=0,0,-MIN(0,G256*c_equity.LPshare))</f>
        <v>0</v>
      </c>
      <c r="K256" s="865" cm="1">
        <f t="array" ref="K256">I256*c_rate.Pref.MO</f>
        <v>0</v>
      </c>
      <c r="L256" s="865">
        <f t="shared" si="179"/>
        <v>0</v>
      </c>
      <c r="M256" s="865">
        <f t="shared" si="180"/>
        <v>0</v>
      </c>
      <c r="N256" s="865">
        <f t="shared" si="181"/>
        <v>0</v>
      </c>
      <c r="O256" s="864" cm="1">
        <f t="array" ref="O256">IF(N256=0,0,IF(G256&lt;0,N256/c_equity.LPshare*i_equity.GPshare,L256/c_equity.LPshare*i_equity.GPshare))</f>
        <v>0</v>
      </c>
      <c r="P256" s="865">
        <f t="shared" si="182"/>
        <v>0</v>
      </c>
      <c r="Q256" s="865">
        <f t="shared" si="183"/>
        <v>0</v>
      </c>
      <c r="R256" s="161"/>
      <c r="S256" s="867">
        <f t="shared" ca="1" si="184"/>
        <v>0</v>
      </c>
      <c r="T256" s="867" cm="1">
        <f t="array" ref="T256">IF($G256=0,0,-MIN(0,$G256*c_equity.LPshare))</f>
        <v>0</v>
      </c>
      <c r="U256" s="869" cm="1">
        <f t="array" ref="U256">IF($D256=0,0,S256*c_rate.Hurdle1.MO)</f>
        <v>0</v>
      </c>
      <c r="V256" s="867">
        <f t="shared" si="185"/>
        <v>0</v>
      </c>
      <c r="W256" s="867">
        <f t="shared" ca="1" si="186"/>
        <v>0</v>
      </c>
      <c r="X256" s="869">
        <f t="shared" ca="1" si="187"/>
        <v>0</v>
      </c>
      <c r="Y256" s="869">
        <f t="shared" ca="1" si="188"/>
        <v>0</v>
      </c>
      <c r="Z256" s="869">
        <f t="shared" ca="1" si="189"/>
        <v>0</v>
      </c>
      <c r="AA256" s="869">
        <f t="shared" ca="1" si="190"/>
        <v>0</v>
      </c>
      <c r="AB256" s="867">
        <f t="shared" ca="1" si="191"/>
        <v>0</v>
      </c>
      <c r="AC256" s="161"/>
      <c r="AD256" s="869">
        <f t="shared" ca="1" si="192"/>
        <v>0</v>
      </c>
      <c r="AE256" s="867" cm="1">
        <f t="array" ref="AE256">IF($G256=0,0,-MIN(0,$G256*c_equity.LPshare))</f>
        <v>0</v>
      </c>
      <c r="AF256" s="869" cm="1">
        <f t="array" ref="AF256">IF($D256=0,0,AD256*(c_rate.Hurdle2.MO))</f>
        <v>0</v>
      </c>
      <c r="AG256" s="869">
        <f t="shared" ca="1" si="193"/>
        <v>0</v>
      </c>
      <c r="AH256" s="869">
        <f t="shared" ca="1" si="194"/>
        <v>0</v>
      </c>
      <c r="AI256" s="869">
        <f t="shared" ca="1" si="195"/>
        <v>0</v>
      </c>
      <c r="AJ256" s="870">
        <f t="shared" ca="1" si="196"/>
        <v>0</v>
      </c>
      <c r="AK256" s="867">
        <f t="shared" ca="1" si="197"/>
        <v>0</v>
      </c>
      <c r="AL256" s="869">
        <f t="shared" ca="1" si="175"/>
        <v>0</v>
      </c>
      <c r="AM256" s="869">
        <f t="shared" ca="1" si="198"/>
        <v>0</v>
      </c>
      <c r="AN256" s="867">
        <f t="shared" ca="1" si="199"/>
        <v>0</v>
      </c>
      <c r="AO256" s="161"/>
      <c r="AP256" s="869">
        <f t="shared" ca="1" si="200"/>
        <v>0</v>
      </c>
      <c r="AQ256" s="867" cm="1">
        <f t="array" ref="AQ256">IF($G256=0,0,-MIN(0,$G256*c_equity.LPshare))</f>
        <v>0</v>
      </c>
      <c r="AR256" s="869" cm="1">
        <f t="array" ref="AR256">IF($D256=0,0,AP256*(c_rate.Hurdle3.MO))</f>
        <v>0</v>
      </c>
      <c r="AS256" s="869">
        <f t="shared" ca="1" si="201"/>
        <v>0</v>
      </c>
      <c r="AT256" s="869">
        <f t="shared" ca="1" si="202"/>
        <v>0</v>
      </c>
      <c r="AU256" s="869">
        <f t="shared" ca="1" si="203"/>
        <v>0</v>
      </c>
      <c r="AV256" s="870">
        <f t="shared" ca="1" si="204"/>
        <v>0</v>
      </c>
      <c r="AW256" s="867">
        <f t="shared" ca="1" si="205"/>
        <v>0</v>
      </c>
      <c r="AX256" s="869">
        <f t="shared" ca="1" si="176"/>
        <v>0</v>
      </c>
      <c r="AY256" s="869">
        <f t="shared" ca="1" si="206"/>
        <v>0</v>
      </c>
      <c r="AZ256" s="867">
        <f t="shared" ca="1" si="207"/>
        <v>0</v>
      </c>
      <c r="BA256" s="161"/>
      <c r="BB256" s="867">
        <f t="shared" ca="1" si="208"/>
        <v>0</v>
      </c>
      <c r="BC256" s="867">
        <f t="shared" ca="1" si="173"/>
        <v>0</v>
      </c>
      <c r="BD256" s="658"/>
      <c r="BE256" s="867">
        <f t="shared" ca="1" si="209"/>
        <v>0</v>
      </c>
      <c r="BF256" s="867">
        <f t="shared" ca="1" si="210"/>
        <v>0</v>
      </c>
      <c r="BG256" s="867">
        <f t="shared" ca="1" si="211"/>
        <v>0</v>
      </c>
      <c r="BI256" s="867">
        <f ca="1"/>
        <v>0</v>
      </c>
      <c r="BJ256" s="867">
        <f ca="1"/>
        <v>0</v>
      </c>
      <c r="BK256" s="867">
        <f ca="1"/>
        <v>0</v>
      </c>
      <c r="BL256" s="867">
        <f t="shared" ca="1" si="212"/>
        <v>0</v>
      </c>
      <c r="BM256" s="867">
        <f t="shared" ca="1" si="213"/>
        <v>0</v>
      </c>
      <c r="BN256" s="867">
        <f t="shared" ca="1" si="214"/>
        <v>0</v>
      </c>
      <c r="BO256" s="867">
        <f t="shared" ca="1" si="215"/>
        <v>0</v>
      </c>
      <c r="BP256" s="867">
        <f t="shared" ca="1" si="216"/>
        <v>0</v>
      </c>
      <c r="BQ256" s="867">
        <f t="shared" ca="1" si="217"/>
        <v>0</v>
      </c>
      <c r="BR256" s="867">
        <f ca="1"/>
        <v>0</v>
      </c>
      <c r="BS256" s="867">
        <f ca="1"/>
        <v>0</v>
      </c>
      <c r="BT256" s="867">
        <f t="shared" ca="1" si="177"/>
        <v>0</v>
      </c>
      <c r="BU256" s="867">
        <f t="shared" ca="1" si="218"/>
        <v>0</v>
      </c>
      <c r="BX256" s="867">
        <f ca="1"/>
        <v>0</v>
      </c>
      <c r="BY256" s="867">
        <f t="shared" ca="1" si="219"/>
        <v>0</v>
      </c>
      <c r="BZ256" s="867">
        <f t="shared" ca="1" si="220"/>
        <v>0</v>
      </c>
      <c r="CA256" s="867">
        <f t="shared" ca="1" si="221"/>
        <v>0</v>
      </c>
      <c r="CB256" s="867">
        <f t="shared" ca="1" si="222"/>
        <v>0</v>
      </c>
      <c r="CC256" s="867">
        <f t="shared" ca="1" si="223"/>
        <v>0</v>
      </c>
      <c r="CD256" s="867">
        <f t="shared" ca="1" si="224"/>
        <v>0</v>
      </c>
    </row>
    <row r="257" spans="1:82" ht="17" hidden="1" thickTop="1" thickBot="1">
      <c r="A257" s="773">
        <f t="shared" si="174"/>
        <v>0</v>
      </c>
      <c r="B257" s="779"/>
      <c r="D257" s="660"/>
      <c r="E257" s="661"/>
      <c r="F257" s="862"/>
      <c r="G257" s="863"/>
      <c r="H257" s="961"/>
      <c r="I257" s="865">
        <f t="shared" si="178"/>
        <v>0</v>
      </c>
      <c r="J257" s="864" cm="1">
        <f t="array" ref="J257">IF($G257=0,0,-MIN(0,G257*c_equity.LPshare))</f>
        <v>0</v>
      </c>
      <c r="K257" s="865" cm="1">
        <f t="array" ref="K257">I257*c_rate.Pref.MO</f>
        <v>0</v>
      </c>
      <c r="L257" s="865">
        <f t="shared" si="179"/>
        <v>0</v>
      </c>
      <c r="M257" s="865">
        <f t="shared" si="180"/>
        <v>0</v>
      </c>
      <c r="N257" s="865">
        <f t="shared" si="181"/>
        <v>0</v>
      </c>
      <c r="O257" s="864" cm="1">
        <f t="array" ref="O257">IF(N257=0,0,IF(G257&lt;0,N257/c_equity.LPshare*i_equity.GPshare,L257/c_equity.LPshare*i_equity.GPshare))</f>
        <v>0</v>
      </c>
      <c r="P257" s="865">
        <f t="shared" si="182"/>
        <v>0</v>
      </c>
      <c r="Q257" s="865">
        <f t="shared" si="183"/>
        <v>0</v>
      </c>
      <c r="R257" s="161"/>
      <c r="S257" s="867">
        <f t="shared" ca="1" si="184"/>
        <v>0</v>
      </c>
      <c r="T257" s="867" cm="1">
        <f t="array" ref="T257">IF($G257=0,0,-MIN(0,$G257*c_equity.LPshare))</f>
        <v>0</v>
      </c>
      <c r="U257" s="869" cm="1">
        <f t="array" ref="U257">IF($D257=0,0,S257*c_rate.Hurdle1.MO)</f>
        <v>0</v>
      </c>
      <c r="V257" s="867">
        <f t="shared" si="185"/>
        <v>0</v>
      </c>
      <c r="W257" s="867">
        <f t="shared" ca="1" si="186"/>
        <v>0</v>
      </c>
      <c r="X257" s="869">
        <f t="shared" ca="1" si="187"/>
        <v>0</v>
      </c>
      <c r="Y257" s="869">
        <f t="shared" ca="1" si="188"/>
        <v>0</v>
      </c>
      <c r="Z257" s="869">
        <f t="shared" ca="1" si="189"/>
        <v>0</v>
      </c>
      <c r="AA257" s="869">
        <f t="shared" ca="1" si="190"/>
        <v>0</v>
      </c>
      <c r="AB257" s="867">
        <f t="shared" ca="1" si="191"/>
        <v>0</v>
      </c>
      <c r="AC257" s="161"/>
      <c r="AD257" s="869">
        <f t="shared" ca="1" si="192"/>
        <v>0</v>
      </c>
      <c r="AE257" s="867" cm="1">
        <f t="array" ref="AE257">IF($G257=0,0,-MIN(0,$G257*c_equity.LPshare))</f>
        <v>0</v>
      </c>
      <c r="AF257" s="869" cm="1">
        <f t="array" ref="AF257">IF($D257=0,0,AD257*(c_rate.Hurdle2.MO))</f>
        <v>0</v>
      </c>
      <c r="AG257" s="869">
        <f t="shared" ca="1" si="193"/>
        <v>0</v>
      </c>
      <c r="AH257" s="869">
        <f t="shared" ca="1" si="194"/>
        <v>0</v>
      </c>
      <c r="AI257" s="869">
        <f t="shared" ca="1" si="195"/>
        <v>0</v>
      </c>
      <c r="AJ257" s="870">
        <f t="shared" ca="1" si="196"/>
        <v>0</v>
      </c>
      <c r="AK257" s="867">
        <f t="shared" ca="1" si="197"/>
        <v>0</v>
      </c>
      <c r="AL257" s="869">
        <f t="shared" ca="1" si="175"/>
        <v>0</v>
      </c>
      <c r="AM257" s="869">
        <f t="shared" ca="1" si="198"/>
        <v>0</v>
      </c>
      <c r="AN257" s="867">
        <f t="shared" ca="1" si="199"/>
        <v>0</v>
      </c>
      <c r="AO257" s="161"/>
      <c r="AP257" s="869">
        <f t="shared" ca="1" si="200"/>
        <v>0</v>
      </c>
      <c r="AQ257" s="867" cm="1">
        <f t="array" ref="AQ257">IF($G257=0,0,-MIN(0,$G257*c_equity.LPshare))</f>
        <v>0</v>
      </c>
      <c r="AR257" s="869" cm="1">
        <f t="array" ref="AR257">IF($D257=0,0,AP257*(c_rate.Hurdle3.MO))</f>
        <v>0</v>
      </c>
      <c r="AS257" s="869">
        <f t="shared" ca="1" si="201"/>
        <v>0</v>
      </c>
      <c r="AT257" s="869">
        <f t="shared" ca="1" si="202"/>
        <v>0</v>
      </c>
      <c r="AU257" s="869">
        <f t="shared" ca="1" si="203"/>
        <v>0</v>
      </c>
      <c r="AV257" s="870">
        <f t="shared" ca="1" si="204"/>
        <v>0</v>
      </c>
      <c r="AW257" s="867">
        <f t="shared" ca="1" si="205"/>
        <v>0</v>
      </c>
      <c r="AX257" s="869">
        <f t="shared" ca="1" si="176"/>
        <v>0</v>
      </c>
      <c r="AY257" s="869">
        <f t="shared" ca="1" si="206"/>
        <v>0</v>
      </c>
      <c r="AZ257" s="867">
        <f t="shared" ca="1" si="207"/>
        <v>0</v>
      </c>
      <c r="BA257" s="161"/>
      <c r="BB257" s="867">
        <f t="shared" ca="1" si="208"/>
        <v>0</v>
      </c>
      <c r="BC257" s="867">
        <f t="shared" ca="1" si="173"/>
        <v>0</v>
      </c>
      <c r="BD257" s="658"/>
      <c r="BE257" s="867">
        <f t="shared" ca="1" si="209"/>
        <v>0</v>
      </c>
      <c r="BF257" s="867">
        <f t="shared" ca="1" si="210"/>
        <v>0</v>
      </c>
      <c r="BG257" s="867">
        <f t="shared" ca="1" si="211"/>
        <v>0</v>
      </c>
      <c r="BI257" s="867">
        <f ca="1"/>
        <v>0</v>
      </c>
      <c r="BJ257" s="867">
        <f ca="1"/>
        <v>0</v>
      </c>
      <c r="BK257" s="867">
        <f ca="1"/>
        <v>0</v>
      </c>
      <c r="BL257" s="867">
        <f t="shared" ca="1" si="212"/>
        <v>0</v>
      </c>
      <c r="BM257" s="867">
        <f t="shared" ca="1" si="213"/>
        <v>0</v>
      </c>
      <c r="BN257" s="867">
        <f t="shared" ca="1" si="214"/>
        <v>0</v>
      </c>
      <c r="BO257" s="867">
        <f t="shared" ca="1" si="215"/>
        <v>0</v>
      </c>
      <c r="BP257" s="867">
        <f t="shared" ca="1" si="216"/>
        <v>0</v>
      </c>
      <c r="BQ257" s="867">
        <f t="shared" ca="1" si="217"/>
        <v>0</v>
      </c>
      <c r="BR257" s="867">
        <f ca="1"/>
        <v>0</v>
      </c>
      <c r="BS257" s="867">
        <f ca="1"/>
        <v>0</v>
      </c>
      <c r="BT257" s="867">
        <f t="shared" ca="1" si="177"/>
        <v>0</v>
      </c>
      <c r="BU257" s="867">
        <f t="shared" ca="1" si="218"/>
        <v>0</v>
      </c>
      <c r="BX257" s="867">
        <f ca="1"/>
        <v>0</v>
      </c>
      <c r="BY257" s="867">
        <f t="shared" ca="1" si="219"/>
        <v>0</v>
      </c>
      <c r="BZ257" s="867">
        <f t="shared" ca="1" si="220"/>
        <v>0</v>
      </c>
      <c r="CA257" s="867">
        <f t="shared" ca="1" si="221"/>
        <v>0</v>
      </c>
      <c r="CB257" s="867">
        <f t="shared" ca="1" si="222"/>
        <v>0</v>
      </c>
      <c r="CC257" s="867">
        <f t="shared" ca="1" si="223"/>
        <v>0</v>
      </c>
      <c r="CD257" s="867">
        <f t="shared" ca="1" si="224"/>
        <v>0</v>
      </c>
    </row>
    <row r="258" spans="1:82" ht="17" hidden="1" thickTop="1" thickBot="1">
      <c r="A258" s="773">
        <f t="shared" si="174"/>
        <v>0</v>
      </c>
      <c r="B258" s="779"/>
      <c r="D258" s="660"/>
      <c r="E258" s="661"/>
      <c r="F258" s="862"/>
      <c r="G258" s="863"/>
      <c r="H258" s="961"/>
      <c r="I258" s="865">
        <f t="shared" si="178"/>
        <v>0</v>
      </c>
      <c r="J258" s="864" cm="1">
        <f t="array" ref="J258">IF($G258=0,0,-MIN(0,G258*c_equity.LPshare))</f>
        <v>0</v>
      </c>
      <c r="K258" s="865" cm="1">
        <f t="array" ref="K258">I258*c_rate.Pref.MO</f>
        <v>0</v>
      </c>
      <c r="L258" s="865">
        <f t="shared" si="179"/>
        <v>0</v>
      </c>
      <c r="M258" s="865">
        <f t="shared" si="180"/>
        <v>0</v>
      </c>
      <c r="N258" s="865">
        <f t="shared" si="181"/>
        <v>0</v>
      </c>
      <c r="O258" s="864" cm="1">
        <f t="array" ref="O258">IF(N258=0,0,IF(G258&lt;0,N258/c_equity.LPshare*i_equity.GPshare,L258/c_equity.LPshare*i_equity.GPshare))</f>
        <v>0</v>
      </c>
      <c r="P258" s="865">
        <f t="shared" si="182"/>
        <v>0</v>
      </c>
      <c r="Q258" s="865">
        <f t="shared" si="183"/>
        <v>0</v>
      </c>
      <c r="R258" s="161"/>
      <c r="S258" s="867">
        <f t="shared" ca="1" si="184"/>
        <v>0</v>
      </c>
      <c r="T258" s="867" cm="1">
        <f t="array" ref="T258">IF($G258=0,0,-MIN(0,$G258*c_equity.LPshare))</f>
        <v>0</v>
      </c>
      <c r="U258" s="869" cm="1">
        <f t="array" ref="U258">IF($D258=0,0,S258*c_rate.Hurdle1.MO)</f>
        <v>0</v>
      </c>
      <c r="V258" s="867">
        <f t="shared" si="185"/>
        <v>0</v>
      </c>
      <c r="W258" s="867">
        <f t="shared" ca="1" si="186"/>
        <v>0</v>
      </c>
      <c r="X258" s="869">
        <f t="shared" ca="1" si="187"/>
        <v>0</v>
      </c>
      <c r="Y258" s="869">
        <f t="shared" ca="1" si="188"/>
        <v>0</v>
      </c>
      <c r="Z258" s="869">
        <f t="shared" ca="1" si="189"/>
        <v>0</v>
      </c>
      <c r="AA258" s="869">
        <f t="shared" ca="1" si="190"/>
        <v>0</v>
      </c>
      <c r="AB258" s="867">
        <f t="shared" ca="1" si="191"/>
        <v>0</v>
      </c>
      <c r="AC258" s="161"/>
      <c r="AD258" s="869">
        <f t="shared" ca="1" si="192"/>
        <v>0</v>
      </c>
      <c r="AE258" s="867" cm="1">
        <f t="array" ref="AE258">IF($G258=0,0,-MIN(0,$G258*c_equity.LPshare))</f>
        <v>0</v>
      </c>
      <c r="AF258" s="869" cm="1">
        <f t="array" ref="AF258">IF($D258=0,0,AD258*(c_rate.Hurdle2.MO))</f>
        <v>0</v>
      </c>
      <c r="AG258" s="869">
        <f t="shared" ca="1" si="193"/>
        <v>0</v>
      </c>
      <c r="AH258" s="869">
        <f t="shared" ca="1" si="194"/>
        <v>0</v>
      </c>
      <c r="AI258" s="869">
        <f t="shared" ca="1" si="195"/>
        <v>0</v>
      </c>
      <c r="AJ258" s="870">
        <f t="shared" ca="1" si="196"/>
        <v>0</v>
      </c>
      <c r="AK258" s="867">
        <f t="shared" ca="1" si="197"/>
        <v>0</v>
      </c>
      <c r="AL258" s="869">
        <f t="shared" ca="1" si="175"/>
        <v>0</v>
      </c>
      <c r="AM258" s="869">
        <f t="shared" ca="1" si="198"/>
        <v>0</v>
      </c>
      <c r="AN258" s="867">
        <f t="shared" ca="1" si="199"/>
        <v>0</v>
      </c>
      <c r="AO258" s="161"/>
      <c r="AP258" s="869">
        <f t="shared" ca="1" si="200"/>
        <v>0</v>
      </c>
      <c r="AQ258" s="867" cm="1">
        <f t="array" ref="AQ258">IF($G258=0,0,-MIN(0,$G258*c_equity.LPshare))</f>
        <v>0</v>
      </c>
      <c r="AR258" s="869" cm="1">
        <f t="array" ref="AR258">IF($D258=0,0,AP258*(c_rate.Hurdle3.MO))</f>
        <v>0</v>
      </c>
      <c r="AS258" s="869">
        <f t="shared" ca="1" si="201"/>
        <v>0</v>
      </c>
      <c r="AT258" s="869">
        <f t="shared" ca="1" si="202"/>
        <v>0</v>
      </c>
      <c r="AU258" s="869">
        <f t="shared" ca="1" si="203"/>
        <v>0</v>
      </c>
      <c r="AV258" s="870">
        <f t="shared" ca="1" si="204"/>
        <v>0</v>
      </c>
      <c r="AW258" s="867">
        <f t="shared" ca="1" si="205"/>
        <v>0</v>
      </c>
      <c r="AX258" s="869">
        <f t="shared" ca="1" si="176"/>
        <v>0</v>
      </c>
      <c r="AY258" s="869">
        <f t="shared" ca="1" si="206"/>
        <v>0</v>
      </c>
      <c r="AZ258" s="867">
        <f t="shared" ca="1" si="207"/>
        <v>0</v>
      </c>
      <c r="BA258" s="161"/>
      <c r="BB258" s="867">
        <f t="shared" ca="1" si="208"/>
        <v>0</v>
      </c>
      <c r="BC258" s="867">
        <f t="shared" ca="1" si="173"/>
        <v>0</v>
      </c>
      <c r="BD258" s="658"/>
      <c r="BE258" s="867">
        <f t="shared" ca="1" si="209"/>
        <v>0</v>
      </c>
      <c r="BF258" s="867">
        <f t="shared" ca="1" si="210"/>
        <v>0</v>
      </c>
      <c r="BG258" s="867">
        <f t="shared" ca="1" si="211"/>
        <v>0</v>
      </c>
      <c r="BI258" s="867">
        <f ca="1"/>
        <v>0</v>
      </c>
      <c r="BJ258" s="867">
        <f ca="1"/>
        <v>0</v>
      </c>
      <c r="BK258" s="867">
        <f ca="1"/>
        <v>0</v>
      </c>
      <c r="BL258" s="867">
        <f t="shared" ca="1" si="212"/>
        <v>0</v>
      </c>
      <c r="BM258" s="867">
        <f t="shared" ca="1" si="213"/>
        <v>0</v>
      </c>
      <c r="BN258" s="867">
        <f t="shared" ca="1" si="214"/>
        <v>0</v>
      </c>
      <c r="BO258" s="867">
        <f t="shared" ca="1" si="215"/>
        <v>0</v>
      </c>
      <c r="BP258" s="867">
        <f t="shared" ca="1" si="216"/>
        <v>0</v>
      </c>
      <c r="BQ258" s="867">
        <f t="shared" ca="1" si="217"/>
        <v>0</v>
      </c>
      <c r="BR258" s="867">
        <f ca="1"/>
        <v>0</v>
      </c>
      <c r="BS258" s="867">
        <f ca="1"/>
        <v>0</v>
      </c>
      <c r="BT258" s="867">
        <f t="shared" ca="1" si="177"/>
        <v>0</v>
      </c>
      <c r="BU258" s="867">
        <f t="shared" ca="1" si="218"/>
        <v>0</v>
      </c>
      <c r="BX258" s="867">
        <f ca="1"/>
        <v>0</v>
      </c>
      <c r="BY258" s="867">
        <f t="shared" ca="1" si="219"/>
        <v>0</v>
      </c>
      <c r="BZ258" s="867">
        <f t="shared" ca="1" si="220"/>
        <v>0</v>
      </c>
      <c r="CA258" s="867">
        <f t="shared" ca="1" si="221"/>
        <v>0</v>
      </c>
      <c r="CB258" s="867">
        <f t="shared" ca="1" si="222"/>
        <v>0</v>
      </c>
      <c r="CC258" s="867">
        <f t="shared" ca="1" si="223"/>
        <v>0</v>
      </c>
      <c r="CD258" s="867">
        <f t="shared" ca="1" si="224"/>
        <v>0</v>
      </c>
    </row>
    <row r="259" spans="1:82" ht="17" hidden="1" thickTop="1" thickBot="1">
      <c r="A259" s="773">
        <f t="shared" si="174"/>
        <v>0</v>
      </c>
      <c r="B259" s="779"/>
      <c r="D259" s="660"/>
      <c r="E259" s="661"/>
      <c r="F259" s="862"/>
      <c r="G259" s="863"/>
      <c r="H259" s="961"/>
      <c r="I259" s="865">
        <f t="shared" si="178"/>
        <v>0</v>
      </c>
      <c r="J259" s="864" cm="1">
        <f t="array" ref="J259">IF($G259=0,0,-MIN(0,G259*c_equity.LPshare))</f>
        <v>0</v>
      </c>
      <c r="K259" s="865" cm="1">
        <f t="array" ref="K259">I259*c_rate.Pref.MO</f>
        <v>0</v>
      </c>
      <c r="L259" s="865">
        <f t="shared" si="179"/>
        <v>0</v>
      </c>
      <c r="M259" s="865">
        <f t="shared" si="180"/>
        <v>0</v>
      </c>
      <c r="N259" s="865">
        <f t="shared" si="181"/>
        <v>0</v>
      </c>
      <c r="O259" s="864" cm="1">
        <f t="array" ref="O259">IF(N259=0,0,IF(G259&lt;0,N259/c_equity.LPshare*i_equity.GPshare,L259/c_equity.LPshare*i_equity.GPshare))</f>
        <v>0</v>
      </c>
      <c r="P259" s="865">
        <f t="shared" si="182"/>
        <v>0</v>
      </c>
      <c r="Q259" s="865">
        <f t="shared" si="183"/>
        <v>0</v>
      </c>
      <c r="R259" s="161"/>
      <c r="S259" s="867">
        <f t="shared" ca="1" si="184"/>
        <v>0</v>
      </c>
      <c r="T259" s="867" cm="1">
        <f t="array" ref="T259">IF($G259=0,0,-MIN(0,$G259*c_equity.LPshare))</f>
        <v>0</v>
      </c>
      <c r="U259" s="869" cm="1">
        <f t="array" ref="U259">IF($D259=0,0,S259*c_rate.Hurdle1.MO)</f>
        <v>0</v>
      </c>
      <c r="V259" s="867">
        <f t="shared" si="185"/>
        <v>0</v>
      </c>
      <c r="W259" s="867">
        <f t="shared" ca="1" si="186"/>
        <v>0</v>
      </c>
      <c r="X259" s="869">
        <f t="shared" ca="1" si="187"/>
        <v>0</v>
      </c>
      <c r="Y259" s="869">
        <f t="shared" ca="1" si="188"/>
        <v>0</v>
      </c>
      <c r="Z259" s="869">
        <f t="shared" ca="1" si="189"/>
        <v>0</v>
      </c>
      <c r="AA259" s="869">
        <f t="shared" ca="1" si="190"/>
        <v>0</v>
      </c>
      <c r="AB259" s="867">
        <f t="shared" ca="1" si="191"/>
        <v>0</v>
      </c>
      <c r="AC259" s="161"/>
      <c r="AD259" s="869">
        <f t="shared" ca="1" si="192"/>
        <v>0</v>
      </c>
      <c r="AE259" s="867" cm="1">
        <f t="array" ref="AE259">IF($G259=0,0,-MIN(0,$G259*c_equity.LPshare))</f>
        <v>0</v>
      </c>
      <c r="AF259" s="869" cm="1">
        <f t="array" ref="AF259">IF($D259=0,0,AD259*(c_rate.Hurdle2.MO))</f>
        <v>0</v>
      </c>
      <c r="AG259" s="869">
        <f t="shared" ca="1" si="193"/>
        <v>0</v>
      </c>
      <c r="AH259" s="869">
        <f t="shared" ca="1" si="194"/>
        <v>0</v>
      </c>
      <c r="AI259" s="869">
        <f t="shared" ca="1" si="195"/>
        <v>0</v>
      </c>
      <c r="AJ259" s="870">
        <f t="shared" ca="1" si="196"/>
        <v>0</v>
      </c>
      <c r="AK259" s="867">
        <f t="shared" ca="1" si="197"/>
        <v>0</v>
      </c>
      <c r="AL259" s="869">
        <f t="shared" ca="1" si="175"/>
        <v>0</v>
      </c>
      <c r="AM259" s="869">
        <f t="shared" ca="1" si="198"/>
        <v>0</v>
      </c>
      <c r="AN259" s="867">
        <f t="shared" ca="1" si="199"/>
        <v>0</v>
      </c>
      <c r="AO259" s="161"/>
      <c r="AP259" s="869">
        <f t="shared" ca="1" si="200"/>
        <v>0</v>
      </c>
      <c r="AQ259" s="867" cm="1">
        <f t="array" ref="AQ259">IF($G259=0,0,-MIN(0,$G259*c_equity.LPshare))</f>
        <v>0</v>
      </c>
      <c r="AR259" s="869" cm="1">
        <f t="array" ref="AR259">IF($D259=0,0,AP259*(c_rate.Hurdle3.MO))</f>
        <v>0</v>
      </c>
      <c r="AS259" s="869">
        <f t="shared" ca="1" si="201"/>
        <v>0</v>
      </c>
      <c r="AT259" s="869">
        <f t="shared" ca="1" si="202"/>
        <v>0</v>
      </c>
      <c r="AU259" s="869">
        <f t="shared" ca="1" si="203"/>
        <v>0</v>
      </c>
      <c r="AV259" s="870">
        <f t="shared" ca="1" si="204"/>
        <v>0</v>
      </c>
      <c r="AW259" s="867">
        <f t="shared" ca="1" si="205"/>
        <v>0</v>
      </c>
      <c r="AX259" s="869">
        <f t="shared" ca="1" si="176"/>
        <v>0</v>
      </c>
      <c r="AY259" s="869">
        <f t="shared" ca="1" si="206"/>
        <v>0</v>
      </c>
      <c r="AZ259" s="867">
        <f t="shared" ca="1" si="207"/>
        <v>0</v>
      </c>
      <c r="BA259" s="161"/>
      <c r="BB259" s="867">
        <f t="shared" ca="1" si="208"/>
        <v>0</v>
      </c>
      <c r="BC259" s="867">
        <f t="shared" ca="1" si="173"/>
        <v>0</v>
      </c>
      <c r="BD259" s="658"/>
      <c r="BE259" s="867">
        <f t="shared" ca="1" si="209"/>
        <v>0</v>
      </c>
      <c r="BF259" s="867">
        <f t="shared" ca="1" si="210"/>
        <v>0</v>
      </c>
      <c r="BG259" s="867">
        <f t="shared" ca="1" si="211"/>
        <v>0</v>
      </c>
      <c r="BI259" s="867">
        <f ca="1"/>
        <v>0</v>
      </c>
      <c r="BJ259" s="867">
        <f ca="1"/>
        <v>0</v>
      </c>
      <c r="BK259" s="867">
        <f ca="1"/>
        <v>0</v>
      </c>
      <c r="BL259" s="867">
        <f t="shared" ca="1" si="212"/>
        <v>0</v>
      </c>
      <c r="BM259" s="867">
        <f t="shared" ca="1" si="213"/>
        <v>0</v>
      </c>
      <c r="BN259" s="867">
        <f t="shared" ca="1" si="214"/>
        <v>0</v>
      </c>
      <c r="BO259" s="867">
        <f t="shared" ca="1" si="215"/>
        <v>0</v>
      </c>
      <c r="BP259" s="867">
        <f t="shared" ca="1" si="216"/>
        <v>0</v>
      </c>
      <c r="BQ259" s="867">
        <f t="shared" ca="1" si="217"/>
        <v>0</v>
      </c>
      <c r="BR259" s="867">
        <f ca="1"/>
        <v>0</v>
      </c>
      <c r="BS259" s="867">
        <f ca="1"/>
        <v>0</v>
      </c>
      <c r="BT259" s="867">
        <f t="shared" ca="1" si="177"/>
        <v>0</v>
      </c>
      <c r="BU259" s="867">
        <f t="shared" ca="1" si="218"/>
        <v>0</v>
      </c>
      <c r="BX259" s="867">
        <f ca="1"/>
        <v>0</v>
      </c>
      <c r="BY259" s="867">
        <f t="shared" ca="1" si="219"/>
        <v>0</v>
      </c>
      <c r="BZ259" s="867">
        <f t="shared" ca="1" si="220"/>
        <v>0</v>
      </c>
      <c r="CA259" s="867">
        <f t="shared" ca="1" si="221"/>
        <v>0</v>
      </c>
      <c r="CB259" s="867">
        <f t="shared" ca="1" si="222"/>
        <v>0</v>
      </c>
      <c r="CC259" s="867">
        <f t="shared" ca="1" si="223"/>
        <v>0</v>
      </c>
      <c r="CD259" s="867">
        <f t="shared" ca="1" si="224"/>
        <v>0</v>
      </c>
    </row>
    <row r="260" spans="1:82" ht="17" hidden="1" thickTop="1" thickBot="1">
      <c r="A260" s="773">
        <f t="shared" si="174"/>
        <v>0</v>
      </c>
      <c r="B260" s="779"/>
      <c r="D260" s="660"/>
      <c r="E260" s="661"/>
      <c r="F260" s="862"/>
      <c r="G260" s="863"/>
      <c r="H260" s="961"/>
      <c r="I260" s="865">
        <f t="shared" si="178"/>
        <v>0</v>
      </c>
      <c r="J260" s="864" cm="1">
        <f t="array" ref="J260">IF($G260=0,0,-MIN(0,G260*c_equity.LPshare))</f>
        <v>0</v>
      </c>
      <c r="K260" s="865" cm="1">
        <f t="array" ref="K260">I260*c_rate.Pref.MO</f>
        <v>0</v>
      </c>
      <c r="L260" s="865">
        <f t="shared" si="179"/>
        <v>0</v>
      </c>
      <c r="M260" s="865">
        <f t="shared" si="180"/>
        <v>0</v>
      </c>
      <c r="N260" s="865">
        <f t="shared" si="181"/>
        <v>0</v>
      </c>
      <c r="O260" s="864" cm="1">
        <f t="array" ref="O260">IF(N260=0,0,IF(G260&lt;0,N260/c_equity.LPshare*i_equity.GPshare,L260/c_equity.LPshare*i_equity.GPshare))</f>
        <v>0</v>
      </c>
      <c r="P260" s="865">
        <f t="shared" si="182"/>
        <v>0</v>
      </c>
      <c r="Q260" s="865">
        <f t="shared" si="183"/>
        <v>0</v>
      </c>
      <c r="R260" s="161"/>
      <c r="S260" s="867">
        <f t="shared" ca="1" si="184"/>
        <v>0</v>
      </c>
      <c r="T260" s="867" cm="1">
        <f t="array" ref="T260">IF($G260=0,0,-MIN(0,$G260*c_equity.LPshare))</f>
        <v>0</v>
      </c>
      <c r="U260" s="869" cm="1">
        <f t="array" ref="U260">IF($D260=0,0,S260*c_rate.Hurdle1.MO)</f>
        <v>0</v>
      </c>
      <c r="V260" s="867">
        <f t="shared" si="185"/>
        <v>0</v>
      </c>
      <c r="W260" s="867">
        <f t="shared" ca="1" si="186"/>
        <v>0</v>
      </c>
      <c r="X260" s="869">
        <f t="shared" ca="1" si="187"/>
        <v>0</v>
      </c>
      <c r="Y260" s="869">
        <f t="shared" ca="1" si="188"/>
        <v>0</v>
      </c>
      <c r="Z260" s="869">
        <f t="shared" ca="1" si="189"/>
        <v>0</v>
      </c>
      <c r="AA260" s="869">
        <f t="shared" ca="1" si="190"/>
        <v>0</v>
      </c>
      <c r="AB260" s="867">
        <f t="shared" ca="1" si="191"/>
        <v>0</v>
      </c>
      <c r="AC260" s="161"/>
      <c r="AD260" s="869">
        <f t="shared" ca="1" si="192"/>
        <v>0</v>
      </c>
      <c r="AE260" s="867" cm="1">
        <f t="array" ref="AE260">IF($G260=0,0,-MIN(0,$G260*c_equity.LPshare))</f>
        <v>0</v>
      </c>
      <c r="AF260" s="869" cm="1">
        <f t="array" ref="AF260">IF($D260=0,0,AD260*(c_rate.Hurdle2.MO))</f>
        <v>0</v>
      </c>
      <c r="AG260" s="869">
        <f t="shared" ca="1" si="193"/>
        <v>0</v>
      </c>
      <c r="AH260" s="869">
        <f t="shared" ca="1" si="194"/>
        <v>0</v>
      </c>
      <c r="AI260" s="869">
        <f t="shared" ca="1" si="195"/>
        <v>0</v>
      </c>
      <c r="AJ260" s="870">
        <f t="shared" ca="1" si="196"/>
        <v>0</v>
      </c>
      <c r="AK260" s="867">
        <f t="shared" ca="1" si="197"/>
        <v>0</v>
      </c>
      <c r="AL260" s="869">
        <f t="shared" ca="1" si="175"/>
        <v>0</v>
      </c>
      <c r="AM260" s="869">
        <f t="shared" ca="1" si="198"/>
        <v>0</v>
      </c>
      <c r="AN260" s="867">
        <f t="shared" ca="1" si="199"/>
        <v>0</v>
      </c>
      <c r="AO260" s="161"/>
      <c r="AP260" s="869">
        <f t="shared" ca="1" si="200"/>
        <v>0</v>
      </c>
      <c r="AQ260" s="867" cm="1">
        <f t="array" ref="AQ260">IF($G260=0,0,-MIN(0,$G260*c_equity.LPshare))</f>
        <v>0</v>
      </c>
      <c r="AR260" s="869" cm="1">
        <f t="array" ref="AR260">IF($D260=0,0,AP260*(c_rate.Hurdle3.MO))</f>
        <v>0</v>
      </c>
      <c r="AS260" s="869">
        <f t="shared" ca="1" si="201"/>
        <v>0</v>
      </c>
      <c r="AT260" s="869">
        <f t="shared" ca="1" si="202"/>
        <v>0</v>
      </c>
      <c r="AU260" s="869">
        <f t="shared" ca="1" si="203"/>
        <v>0</v>
      </c>
      <c r="AV260" s="870">
        <f t="shared" ca="1" si="204"/>
        <v>0</v>
      </c>
      <c r="AW260" s="867">
        <f t="shared" ca="1" si="205"/>
        <v>0</v>
      </c>
      <c r="AX260" s="869">
        <f t="shared" ca="1" si="176"/>
        <v>0</v>
      </c>
      <c r="AY260" s="869">
        <f t="shared" ca="1" si="206"/>
        <v>0</v>
      </c>
      <c r="AZ260" s="867">
        <f t="shared" ca="1" si="207"/>
        <v>0</v>
      </c>
      <c r="BA260" s="161"/>
      <c r="BB260" s="867">
        <f t="shared" ca="1" si="208"/>
        <v>0</v>
      </c>
      <c r="BC260" s="867">
        <f t="shared" ca="1" si="173"/>
        <v>0</v>
      </c>
      <c r="BD260" s="658"/>
      <c r="BE260" s="867">
        <f t="shared" ca="1" si="209"/>
        <v>0</v>
      </c>
      <c r="BF260" s="867">
        <f t="shared" ca="1" si="210"/>
        <v>0</v>
      </c>
      <c r="BG260" s="867">
        <f t="shared" ca="1" si="211"/>
        <v>0</v>
      </c>
      <c r="BI260" s="867">
        <f ca="1"/>
        <v>0</v>
      </c>
      <c r="BJ260" s="867">
        <f ca="1"/>
        <v>0</v>
      </c>
      <c r="BK260" s="867">
        <f ca="1"/>
        <v>0</v>
      </c>
      <c r="BL260" s="867">
        <f t="shared" ca="1" si="212"/>
        <v>0</v>
      </c>
      <c r="BM260" s="867">
        <f t="shared" ca="1" si="213"/>
        <v>0</v>
      </c>
      <c r="BN260" s="867">
        <f t="shared" ca="1" si="214"/>
        <v>0</v>
      </c>
      <c r="BO260" s="867">
        <f t="shared" ca="1" si="215"/>
        <v>0</v>
      </c>
      <c r="BP260" s="867">
        <f t="shared" ca="1" si="216"/>
        <v>0</v>
      </c>
      <c r="BQ260" s="867">
        <f t="shared" ca="1" si="217"/>
        <v>0</v>
      </c>
      <c r="BR260" s="867">
        <f ca="1"/>
        <v>0</v>
      </c>
      <c r="BS260" s="867">
        <f ca="1"/>
        <v>0</v>
      </c>
      <c r="BT260" s="867">
        <f t="shared" ca="1" si="177"/>
        <v>0</v>
      </c>
      <c r="BU260" s="867">
        <f t="shared" ca="1" si="218"/>
        <v>0</v>
      </c>
      <c r="BX260" s="867">
        <f ca="1"/>
        <v>0</v>
      </c>
      <c r="BY260" s="867">
        <f t="shared" ca="1" si="219"/>
        <v>0</v>
      </c>
      <c r="BZ260" s="867">
        <f t="shared" ca="1" si="220"/>
        <v>0</v>
      </c>
      <c r="CA260" s="867">
        <f t="shared" ca="1" si="221"/>
        <v>0</v>
      </c>
      <c r="CB260" s="867">
        <f t="shared" ca="1" si="222"/>
        <v>0</v>
      </c>
      <c r="CC260" s="867">
        <f t="shared" ca="1" si="223"/>
        <v>0</v>
      </c>
      <c r="CD260" s="867">
        <f t="shared" ca="1" si="224"/>
        <v>0</v>
      </c>
    </row>
    <row r="261" spans="1:82" ht="17" hidden="1" thickTop="1" thickBot="1">
      <c r="A261" s="773">
        <f t="shared" si="174"/>
        <v>0</v>
      </c>
      <c r="B261" s="779"/>
      <c r="D261" s="660"/>
      <c r="E261" s="661"/>
      <c r="F261" s="862"/>
      <c r="G261" s="863"/>
      <c r="H261" s="961"/>
      <c r="I261" s="865">
        <f t="shared" si="178"/>
        <v>0</v>
      </c>
      <c r="J261" s="864" cm="1">
        <f t="array" ref="J261">IF($G261=0,0,-MIN(0,G261*c_equity.LPshare))</f>
        <v>0</v>
      </c>
      <c r="K261" s="865" cm="1">
        <f t="array" ref="K261">I261*c_rate.Pref.MO</f>
        <v>0</v>
      </c>
      <c r="L261" s="865">
        <f t="shared" si="179"/>
        <v>0</v>
      </c>
      <c r="M261" s="865">
        <f t="shared" si="180"/>
        <v>0</v>
      </c>
      <c r="N261" s="865">
        <f t="shared" si="181"/>
        <v>0</v>
      </c>
      <c r="O261" s="864" cm="1">
        <f t="array" ref="O261">IF(N261=0,0,IF(G261&lt;0,N261/c_equity.LPshare*i_equity.GPshare,L261/c_equity.LPshare*i_equity.GPshare))</f>
        <v>0</v>
      </c>
      <c r="P261" s="865">
        <f t="shared" si="182"/>
        <v>0</v>
      </c>
      <c r="Q261" s="865">
        <f t="shared" si="183"/>
        <v>0</v>
      </c>
      <c r="R261" s="161"/>
      <c r="S261" s="867">
        <f t="shared" ca="1" si="184"/>
        <v>0</v>
      </c>
      <c r="T261" s="867" cm="1">
        <f t="array" ref="T261">IF($G261=0,0,-MIN(0,$G261*c_equity.LPshare))</f>
        <v>0</v>
      </c>
      <c r="U261" s="869" cm="1">
        <f t="array" ref="U261">IF($D261=0,0,S261*c_rate.Hurdle1.MO)</f>
        <v>0</v>
      </c>
      <c r="V261" s="867">
        <f t="shared" si="185"/>
        <v>0</v>
      </c>
      <c r="W261" s="867">
        <f t="shared" ca="1" si="186"/>
        <v>0</v>
      </c>
      <c r="X261" s="869">
        <f t="shared" ca="1" si="187"/>
        <v>0</v>
      </c>
      <c r="Y261" s="869">
        <f t="shared" ca="1" si="188"/>
        <v>0</v>
      </c>
      <c r="Z261" s="869">
        <f t="shared" ca="1" si="189"/>
        <v>0</v>
      </c>
      <c r="AA261" s="869">
        <f t="shared" ca="1" si="190"/>
        <v>0</v>
      </c>
      <c r="AB261" s="867">
        <f t="shared" ca="1" si="191"/>
        <v>0</v>
      </c>
      <c r="AC261" s="161"/>
      <c r="AD261" s="869">
        <f t="shared" ca="1" si="192"/>
        <v>0</v>
      </c>
      <c r="AE261" s="867" cm="1">
        <f t="array" ref="AE261">IF($G261=0,0,-MIN(0,$G261*c_equity.LPshare))</f>
        <v>0</v>
      </c>
      <c r="AF261" s="869" cm="1">
        <f t="array" ref="AF261">IF($D261=0,0,AD261*(c_rate.Hurdle2.MO))</f>
        <v>0</v>
      </c>
      <c r="AG261" s="869">
        <f t="shared" ca="1" si="193"/>
        <v>0</v>
      </c>
      <c r="AH261" s="869">
        <f t="shared" ca="1" si="194"/>
        <v>0</v>
      </c>
      <c r="AI261" s="869">
        <f t="shared" ca="1" si="195"/>
        <v>0</v>
      </c>
      <c r="AJ261" s="870">
        <f t="shared" ca="1" si="196"/>
        <v>0</v>
      </c>
      <c r="AK261" s="867">
        <f t="shared" ca="1" si="197"/>
        <v>0</v>
      </c>
      <c r="AL261" s="869">
        <f t="shared" ca="1" si="175"/>
        <v>0</v>
      </c>
      <c r="AM261" s="869">
        <f t="shared" ca="1" si="198"/>
        <v>0</v>
      </c>
      <c r="AN261" s="867">
        <f t="shared" ca="1" si="199"/>
        <v>0</v>
      </c>
      <c r="AO261" s="161"/>
      <c r="AP261" s="869">
        <f t="shared" ca="1" si="200"/>
        <v>0</v>
      </c>
      <c r="AQ261" s="867" cm="1">
        <f t="array" ref="AQ261">IF($G261=0,0,-MIN(0,$G261*c_equity.LPshare))</f>
        <v>0</v>
      </c>
      <c r="AR261" s="869" cm="1">
        <f t="array" ref="AR261">IF($D261=0,0,AP261*(c_rate.Hurdle3.MO))</f>
        <v>0</v>
      </c>
      <c r="AS261" s="869">
        <f t="shared" ca="1" si="201"/>
        <v>0</v>
      </c>
      <c r="AT261" s="869">
        <f t="shared" ca="1" si="202"/>
        <v>0</v>
      </c>
      <c r="AU261" s="869">
        <f t="shared" ca="1" si="203"/>
        <v>0</v>
      </c>
      <c r="AV261" s="870">
        <f t="shared" ca="1" si="204"/>
        <v>0</v>
      </c>
      <c r="AW261" s="867">
        <f t="shared" ca="1" si="205"/>
        <v>0</v>
      </c>
      <c r="AX261" s="869">
        <f t="shared" ca="1" si="176"/>
        <v>0</v>
      </c>
      <c r="AY261" s="869">
        <f t="shared" ca="1" si="206"/>
        <v>0</v>
      </c>
      <c r="AZ261" s="867">
        <f t="shared" ca="1" si="207"/>
        <v>0</v>
      </c>
      <c r="BA261" s="161"/>
      <c r="BB261" s="867">
        <f t="shared" ca="1" si="208"/>
        <v>0</v>
      </c>
      <c r="BC261" s="867">
        <f t="shared" ca="1" si="173"/>
        <v>0</v>
      </c>
      <c r="BD261" s="658"/>
      <c r="BE261" s="867">
        <f t="shared" ca="1" si="209"/>
        <v>0</v>
      </c>
      <c r="BF261" s="867">
        <f t="shared" ca="1" si="210"/>
        <v>0</v>
      </c>
      <c r="BG261" s="867">
        <f t="shared" ca="1" si="211"/>
        <v>0</v>
      </c>
      <c r="BI261" s="867">
        <f ca="1"/>
        <v>0</v>
      </c>
      <c r="BJ261" s="867">
        <f ca="1"/>
        <v>0</v>
      </c>
      <c r="BK261" s="867">
        <f ca="1"/>
        <v>0</v>
      </c>
      <c r="BL261" s="867">
        <f t="shared" ca="1" si="212"/>
        <v>0</v>
      </c>
      <c r="BM261" s="867">
        <f t="shared" ca="1" si="213"/>
        <v>0</v>
      </c>
      <c r="BN261" s="867">
        <f t="shared" ca="1" si="214"/>
        <v>0</v>
      </c>
      <c r="BO261" s="867">
        <f t="shared" ca="1" si="215"/>
        <v>0</v>
      </c>
      <c r="BP261" s="867">
        <f t="shared" ca="1" si="216"/>
        <v>0</v>
      </c>
      <c r="BQ261" s="867">
        <f t="shared" ca="1" si="217"/>
        <v>0</v>
      </c>
      <c r="BR261" s="867">
        <f ca="1"/>
        <v>0</v>
      </c>
      <c r="BS261" s="867">
        <f ca="1"/>
        <v>0</v>
      </c>
      <c r="BT261" s="867">
        <f t="shared" ca="1" si="177"/>
        <v>0</v>
      </c>
      <c r="BU261" s="867">
        <f t="shared" ca="1" si="218"/>
        <v>0</v>
      </c>
      <c r="BX261" s="867">
        <f ca="1"/>
        <v>0</v>
      </c>
      <c r="BY261" s="867">
        <f t="shared" ca="1" si="219"/>
        <v>0</v>
      </c>
      <c r="BZ261" s="867">
        <f t="shared" ca="1" si="220"/>
        <v>0</v>
      </c>
      <c r="CA261" s="867">
        <f t="shared" ca="1" si="221"/>
        <v>0</v>
      </c>
      <c r="CB261" s="867">
        <f t="shared" ca="1" si="222"/>
        <v>0</v>
      </c>
      <c r="CC261" s="867">
        <f t="shared" ca="1" si="223"/>
        <v>0</v>
      </c>
      <c r="CD261" s="867">
        <f t="shared" ca="1" si="224"/>
        <v>0</v>
      </c>
    </row>
    <row r="262" spans="1:82" ht="17" hidden="1" thickTop="1" thickBot="1">
      <c r="A262" s="773">
        <f t="shared" si="174"/>
        <v>0</v>
      </c>
      <c r="B262" s="779"/>
      <c r="D262" s="660"/>
      <c r="E262" s="661"/>
      <c r="F262" s="862"/>
      <c r="G262" s="863"/>
      <c r="H262" s="961"/>
      <c r="I262" s="865">
        <f t="shared" si="178"/>
        <v>0</v>
      </c>
      <c r="J262" s="864" cm="1">
        <f t="array" ref="J262">IF($G262=0,0,-MIN(0,G262*c_equity.LPshare))</f>
        <v>0</v>
      </c>
      <c r="K262" s="865" cm="1">
        <f t="array" ref="K262">I262*c_rate.Pref.MO</f>
        <v>0</v>
      </c>
      <c r="L262" s="865">
        <f t="shared" si="179"/>
        <v>0</v>
      </c>
      <c r="M262" s="865">
        <f t="shared" si="180"/>
        <v>0</v>
      </c>
      <c r="N262" s="865">
        <f t="shared" si="181"/>
        <v>0</v>
      </c>
      <c r="O262" s="864" cm="1">
        <f t="array" ref="O262">IF(N262=0,0,IF(G262&lt;0,N262/c_equity.LPshare*i_equity.GPshare,L262/c_equity.LPshare*i_equity.GPshare))</f>
        <v>0</v>
      </c>
      <c r="P262" s="865">
        <f t="shared" si="182"/>
        <v>0</v>
      </c>
      <c r="Q262" s="865">
        <f t="shared" si="183"/>
        <v>0</v>
      </c>
      <c r="R262" s="161"/>
      <c r="S262" s="867">
        <f t="shared" ca="1" si="184"/>
        <v>0</v>
      </c>
      <c r="T262" s="867" cm="1">
        <f t="array" ref="T262">IF($G262=0,0,-MIN(0,$G262*c_equity.LPshare))</f>
        <v>0</v>
      </c>
      <c r="U262" s="869" cm="1">
        <f t="array" ref="U262">IF($D262=0,0,S262*c_rate.Hurdle1.MO)</f>
        <v>0</v>
      </c>
      <c r="V262" s="867">
        <f t="shared" si="185"/>
        <v>0</v>
      </c>
      <c r="W262" s="867">
        <f t="shared" ca="1" si="186"/>
        <v>0</v>
      </c>
      <c r="X262" s="869">
        <f t="shared" ca="1" si="187"/>
        <v>0</v>
      </c>
      <c r="Y262" s="869">
        <f t="shared" ca="1" si="188"/>
        <v>0</v>
      </c>
      <c r="Z262" s="869">
        <f t="shared" ca="1" si="189"/>
        <v>0</v>
      </c>
      <c r="AA262" s="869">
        <f t="shared" ca="1" si="190"/>
        <v>0</v>
      </c>
      <c r="AB262" s="867">
        <f t="shared" ca="1" si="191"/>
        <v>0</v>
      </c>
      <c r="AC262" s="161"/>
      <c r="AD262" s="869">
        <f t="shared" ca="1" si="192"/>
        <v>0</v>
      </c>
      <c r="AE262" s="867" cm="1">
        <f t="array" ref="AE262">IF($G262=0,0,-MIN(0,$G262*c_equity.LPshare))</f>
        <v>0</v>
      </c>
      <c r="AF262" s="869" cm="1">
        <f t="array" ref="AF262">IF($D262=0,0,AD262*(c_rate.Hurdle2.MO))</f>
        <v>0</v>
      </c>
      <c r="AG262" s="869">
        <f t="shared" ca="1" si="193"/>
        <v>0</v>
      </c>
      <c r="AH262" s="869">
        <f t="shared" ca="1" si="194"/>
        <v>0</v>
      </c>
      <c r="AI262" s="869">
        <f t="shared" ca="1" si="195"/>
        <v>0</v>
      </c>
      <c r="AJ262" s="870">
        <f t="shared" ca="1" si="196"/>
        <v>0</v>
      </c>
      <c r="AK262" s="867">
        <f t="shared" ca="1" si="197"/>
        <v>0</v>
      </c>
      <c r="AL262" s="869">
        <f t="shared" ca="1" si="175"/>
        <v>0</v>
      </c>
      <c r="AM262" s="869">
        <f t="shared" ca="1" si="198"/>
        <v>0</v>
      </c>
      <c r="AN262" s="867">
        <f t="shared" ca="1" si="199"/>
        <v>0</v>
      </c>
      <c r="AO262" s="161"/>
      <c r="AP262" s="869">
        <f t="shared" ca="1" si="200"/>
        <v>0</v>
      </c>
      <c r="AQ262" s="867" cm="1">
        <f t="array" ref="AQ262">IF($G262=0,0,-MIN(0,$G262*c_equity.LPshare))</f>
        <v>0</v>
      </c>
      <c r="AR262" s="869" cm="1">
        <f t="array" ref="AR262">IF($D262=0,0,AP262*(c_rate.Hurdle3.MO))</f>
        <v>0</v>
      </c>
      <c r="AS262" s="869">
        <f t="shared" ca="1" si="201"/>
        <v>0</v>
      </c>
      <c r="AT262" s="869">
        <f t="shared" ca="1" si="202"/>
        <v>0</v>
      </c>
      <c r="AU262" s="869">
        <f t="shared" ca="1" si="203"/>
        <v>0</v>
      </c>
      <c r="AV262" s="870">
        <f t="shared" ca="1" si="204"/>
        <v>0</v>
      </c>
      <c r="AW262" s="867">
        <f t="shared" ca="1" si="205"/>
        <v>0</v>
      </c>
      <c r="AX262" s="869">
        <f t="shared" ca="1" si="176"/>
        <v>0</v>
      </c>
      <c r="AY262" s="869">
        <f t="shared" ca="1" si="206"/>
        <v>0</v>
      </c>
      <c r="AZ262" s="867">
        <f t="shared" ca="1" si="207"/>
        <v>0</v>
      </c>
      <c r="BA262" s="161"/>
      <c r="BB262" s="867">
        <f t="shared" ca="1" si="208"/>
        <v>0</v>
      </c>
      <c r="BC262" s="867">
        <f t="shared" ca="1" si="173"/>
        <v>0</v>
      </c>
      <c r="BD262" s="658"/>
      <c r="BE262" s="867">
        <f t="shared" ca="1" si="209"/>
        <v>0</v>
      </c>
      <c r="BF262" s="867">
        <f t="shared" ca="1" si="210"/>
        <v>0</v>
      </c>
      <c r="BG262" s="867">
        <f t="shared" ca="1" si="211"/>
        <v>0</v>
      </c>
      <c r="BI262" s="867">
        <f ca="1"/>
        <v>0</v>
      </c>
      <c r="BJ262" s="867">
        <f ca="1"/>
        <v>0</v>
      </c>
      <c r="BK262" s="867">
        <f ca="1"/>
        <v>0</v>
      </c>
      <c r="BL262" s="867">
        <f t="shared" ca="1" si="212"/>
        <v>0</v>
      </c>
      <c r="BM262" s="867">
        <f t="shared" ca="1" si="213"/>
        <v>0</v>
      </c>
      <c r="BN262" s="867">
        <f t="shared" ca="1" si="214"/>
        <v>0</v>
      </c>
      <c r="BO262" s="867">
        <f t="shared" ca="1" si="215"/>
        <v>0</v>
      </c>
      <c r="BP262" s="867">
        <f t="shared" ca="1" si="216"/>
        <v>0</v>
      </c>
      <c r="BQ262" s="867">
        <f t="shared" ca="1" si="217"/>
        <v>0</v>
      </c>
      <c r="BR262" s="867">
        <f ca="1"/>
        <v>0</v>
      </c>
      <c r="BS262" s="867">
        <f ca="1"/>
        <v>0</v>
      </c>
      <c r="BT262" s="867">
        <f t="shared" ca="1" si="177"/>
        <v>0</v>
      </c>
      <c r="BU262" s="867">
        <f t="shared" ca="1" si="218"/>
        <v>0</v>
      </c>
      <c r="BX262" s="867">
        <f ca="1"/>
        <v>0</v>
      </c>
      <c r="BY262" s="867">
        <f t="shared" ca="1" si="219"/>
        <v>0</v>
      </c>
      <c r="BZ262" s="867">
        <f t="shared" ca="1" si="220"/>
        <v>0</v>
      </c>
      <c r="CA262" s="867">
        <f t="shared" ca="1" si="221"/>
        <v>0</v>
      </c>
      <c r="CB262" s="867">
        <f t="shared" ca="1" si="222"/>
        <v>0</v>
      </c>
      <c r="CC262" s="867">
        <f t="shared" ca="1" si="223"/>
        <v>0</v>
      </c>
      <c r="CD262" s="867">
        <f t="shared" ca="1" si="224"/>
        <v>0</v>
      </c>
    </row>
    <row r="263" spans="1:82" ht="17" hidden="1" thickTop="1" thickBot="1">
      <c r="A263" s="773">
        <f t="shared" si="174"/>
        <v>0</v>
      </c>
      <c r="B263" s="779"/>
      <c r="D263" s="660"/>
      <c r="E263" s="661"/>
      <c r="F263" s="862"/>
      <c r="G263" s="863"/>
      <c r="H263" s="961"/>
      <c r="I263" s="865">
        <f t="shared" si="178"/>
        <v>0</v>
      </c>
      <c r="J263" s="864" cm="1">
        <f t="array" ref="J263">IF($G263=0,0,-MIN(0,G263*c_equity.LPshare))</f>
        <v>0</v>
      </c>
      <c r="K263" s="865" cm="1">
        <f t="array" ref="K263">I263*c_rate.Pref.MO</f>
        <v>0</v>
      </c>
      <c r="L263" s="865">
        <f t="shared" si="179"/>
        <v>0</v>
      </c>
      <c r="M263" s="865">
        <f t="shared" si="180"/>
        <v>0</v>
      </c>
      <c r="N263" s="865">
        <f t="shared" si="181"/>
        <v>0</v>
      </c>
      <c r="O263" s="864" cm="1">
        <f t="array" ref="O263">IF(N263=0,0,IF(G263&lt;0,N263/c_equity.LPshare*i_equity.GPshare,L263/c_equity.LPshare*i_equity.GPshare))</f>
        <v>0</v>
      </c>
      <c r="P263" s="865">
        <f t="shared" si="182"/>
        <v>0</v>
      </c>
      <c r="Q263" s="865">
        <f t="shared" si="183"/>
        <v>0</v>
      </c>
      <c r="R263" s="161"/>
      <c r="S263" s="867">
        <f t="shared" ca="1" si="184"/>
        <v>0</v>
      </c>
      <c r="T263" s="867" cm="1">
        <f t="array" ref="T263">IF($G263=0,0,-MIN(0,$G263*c_equity.LPshare))</f>
        <v>0</v>
      </c>
      <c r="U263" s="869" cm="1">
        <f t="array" ref="U263">IF($D263=0,0,S263*c_rate.Hurdle1.MO)</f>
        <v>0</v>
      </c>
      <c r="V263" s="867">
        <f t="shared" si="185"/>
        <v>0</v>
      </c>
      <c r="W263" s="867">
        <f t="shared" ca="1" si="186"/>
        <v>0</v>
      </c>
      <c r="X263" s="869">
        <f t="shared" ca="1" si="187"/>
        <v>0</v>
      </c>
      <c r="Y263" s="869">
        <f t="shared" ca="1" si="188"/>
        <v>0</v>
      </c>
      <c r="Z263" s="869">
        <f t="shared" ca="1" si="189"/>
        <v>0</v>
      </c>
      <c r="AA263" s="869">
        <f t="shared" ca="1" si="190"/>
        <v>0</v>
      </c>
      <c r="AB263" s="867">
        <f t="shared" ca="1" si="191"/>
        <v>0</v>
      </c>
      <c r="AC263" s="161"/>
      <c r="AD263" s="869">
        <f t="shared" ca="1" si="192"/>
        <v>0</v>
      </c>
      <c r="AE263" s="867" cm="1">
        <f t="array" ref="AE263">IF($G263=0,0,-MIN(0,$G263*c_equity.LPshare))</f>
        <v>0</v>
      </c>
      <c r="AF263" s="869" cm="1">
        <f t="array" ref="AF263">IF($D263=0,0,AD263*(c_rate.Hurdle2.MO))</f>
        <v>0</v>
      </c>
      <c r="AG263" s="869">
        <f t="shared" ca="1" si="193"/>
        <v>0</v>
      </c>
      <c r="AH263" s="869">
        <f t="shared" ca="1" si="194"/>
        <v>0</v>
      </c>
      <c r="AI263" s="869">
        <f t="shared" ca="1" si="195"/>
        <v>0</v>
      </c>
      <c r="AJ263" s="870">
        <f t="shared" ca="1" si="196"/>
        <v>0</v>
      </c>
      <c r="AK263" s="867">
        <f t="shared" ca="1" si="197"/>
        <v>0</v>
      </c>
      <c r="AL263" s="869">
        <f t="shared" ca="1" si="175"/>
        <v>0</v>
      </c>
      <c r="AM263" s="869">
        <f t="shared" ca="1" si="198"/>
        <v>0</v>
      </c>
      <c r="AN263" s="867">
        <f t="shared" ca="1" si="199"/>
        <v>0</v>
      </c>
      <c r="AO263" s="161"/>
      <c r="AP263" s="869">
        <f t="shared" ca="1" si="200"/>
        <v>0</v>
      </c>
      <c r="AQ263" s="867" cm="1">
        <f t="array" ref="AQ263">IF($G263=0,0,-MIN(0,$G263*c_equity.LPshare))</f>
        <v>0</v>
      </c>
      <c r="AR263" s="869" cm="1">
        <f t="array" ref="AR263">IF($D263=0,0,AP263*(c_rate.Hurdle3.MO))</f>
        <v>0</v>
      </c>
      <c r="AS263" s="869">
        <f t="shared" ca="1" si="201"/>
        <v>0</v>
      </c>
      <c r="AT263" s="869">
        <f t="shared" ca="1" si="202"/>
        <v>0</v>
      </c>
      <c r="AU263" s="869">
        <f t="shared" ca="1" si="203"/>
        <v>0</v>
      </c>
      <c r="AV263" s="870">
        <f t="shared" ca="1" si="204"/>
        <v>0</v>
      </c>
      <c r="AW263" s="867">
        <f t="shared" ca="1" si="205"/>
        <v>0</v>
      </c>
      <c r="AX263" s="869">
        <f t="shared" ca="1" si="176"/>
        <v>0</v>
      </c>
      <c r="AY263" s="869">
        <f t="shared" ca="1" si="206"/>
        <v>0</v>
      </c>
      <c r="AZ263" s="867">
        <f t="shared" ca="1" si="207"/>
        <v>0</v>
      </c>
      <c r="BA263" s="161"/>
      <c r="BB263" s="867">
        <f t="shared" ca="1" si="208"/>
        <v>0</v>
      </c>
      <c r="BC263" s="867">
        <f t="shared" ca="1" si="173"/>
        <v>0</v>
      </c>
      <c r="BD263" s="658"/>
      <c r="BE263" s="867">
        <f t="shared" ca="1" si="209"/>
        <v>0</v>
      </c>
      <c r="BF263" s="867">
        <f t="shared" ca="1" si="210"/>
        <v>0</v>
      </c>
      <c r="BG263" s="867">
        <f t="shared" ca="1" si="211"/>
        <v>0</v>
      </c>
      <c r="BI263" s="867">
        <f ca="1"/>
        <v>0</v>
      </c>
      <c r="BJ263" s="867">
        <f ca="1"/>
        <v>0</v>
      </c>
      <c r="BK263" s="867">
        <f ca="1"/>
        <v>0</v>
      </c>
      <c r="BL263" s="867">
        <f t="shared" ca="1" si="212"/>
        <v>0</v>
      </c>
      <c r="BM263" s="867">
        <f t="shared" ca="1" si="213"/>
        <v>0</v>
      </c>
      <c r="BN263" s="867">
        <f t="shared" ca="1" si="214"/>
        <v>0</v>
      </c>
      <c r="BO263" s="867">
        <f t="shared" ca="1" si="215"/>
        <v>0</v>
      </c>
      <c r="BP263" s="867">
        <f t="shared" ca="1" si="216"/>
        <v>0</v>
      </c>
      <c r="BQ263" s="867">
        <f t="shared" ca="1" si="217"/>
        <v>0</v>
      </c>
      <c r="BR263" s="867">
        <f ca="1"/>
        <v>0</v>
      </c>
      <c r="BS263" s="867">
        <f ca="1"/>
        <v>0</v>
      </c>
      <c r="BT263" s="867">
        <f t="shared" ca="1" si="177"/>
        <v>0</v>
      </c>
      <c r="BU263" s="867">
        <f t="shared" ca="1" si="218"/>
        <v>0</v>
      </c>
      <c r="BX263" s="867">
        <f ca="1"/>
        <v>0</v>
      </c>
      <c r="BY263" s="867">
        <f t="shared" ca="1" si="219"/>
        <v>0</v>
      </c>
      <c r="BZ263" s="867">
        <f t="shared" ca="1" si="220"/>
        <v>0</v>
      </c>
      <c r="CA263" s="867">
        <f t="shared" ca="1" si="221"/>
        <v>0</v>
      </c>
      <c r="CB263" s="867">
        <f t="shared" ca="1" si="222"/>
        <v>0</v>
      </c>
      <c r="CC263" s="867">
        <f t="shared" ca="1" si="223"/>
        <v>0</v>
      </c>
      <c r="CD263" s="867">
        <f t="shared" ca="1" si="224"/>
        <v>0</v>
      </c>
    </row>
    <row r="264" spans="1:82" ht="17" hidden="1" thickTop="1" thickBot="1">
      <c r="A264" s="773">
        <f t="shared" si="174"/>
        <v>0</v>
      </c>
      <c r="B264" s="779"/>
      <c r="D264" s="660"/>
      <c r="E264" s="661"/>
      <c r="F264" s="862"/>
      <c r="G264" s="863"/>
      <c r="H264" s="961"/>
      <c r="I264" s="865">
        <f t="shared" si="178"/>
        <v>0</v>
      </c>
      <c r="J264" s="864" cm="1">
        <f t="array" ref="J264">IF($G264=0,0,-MIN(0,G264*c_equity.LPshare))</f>
        <v>0</v>
      </c>
      <c r="K264" s="865" cm="1">
        <f t="array" ref="K264">I264*c_rate.Pref.MO</f>
        <v>0</v>
      </c>
      <c r="L264" s="865">
        <f t="shared" si="179"/>
        <v>0</v>
      </c>
      <c r="M264" s="865">
        <f t="shared" si="180"/>
        <v>0</v>
      </c>
      <c r="N264" s="865">
        <f t="shared" si="181"/>
        <v>0</v>
      </c>
      <c r="O264" s="864" cm="1">
        <f t="array" ref="O264">IF(N264=0,0,IF(G264&lt;0,N264/c_equity.LPshare*i_equity.GPshare,L264/c_equity.LPshare*i_equity.GPshare))</f>
        <v>0</v>
      </c>
      <c r="P264" s="865">
        <f t="shared" si="182"/>
        <v>0</v>
      </c>
      <c r="Q264" s="865">
        <f t="shared" si="183"/>
        <v>0</v>
      </c>
      <c r="R264" s="161"/>
      <c r="S264" s="867">
        <f t="shared" ca="1" si="184"/>
        <v>0</v>
      </c>
      <c r="T264" s="867" cm="1">
        <f t="array" ref="T264">IF($G264=0,0,-MIN(0,$G264*c_equity.LPshare))</f>
        <v>0</v>
      </c>
      <c r="U264" s="869" cm="1">
        <f t="array" ref="U264">IF($D264=0,0,S264*c_rate.Hurdle1.MO)</f>
        <v>0</v>
      </c>
      <c r="V264" s="867">
        <f t="shared" si="185"/>
        <v>0</v>
      </c>
      <c r="W264" s="867">
        <f t="shared" ca="1" si="186"/>
        <v>0</v>
      </c>
      <c r="X264" s="869">
        <f t="shared" ca="1" si="187"/>
        <v>0</v>
      </c>
      <c r="Y264" s="869">
        <f t="shared" ca="1" si="188"/>
        <v>0</v>
      </c>
      <c r="Z264" s="869">
        <f t="shared" ca="1" si="189"/>
        <v>0</v>
      </c>
      <c r="AA264" s="869">
        <f t="shared" ca="1" si="190"/>
        <v>0</v>
      </c>
      <c r="AB264" s="867">
        <f t="shared" ca="1" si="191"/>
        <v>0</v>
      </c>
      <c r="AC264" s="161"/>
      <c r="AD264" s="869">
        <f t="shared" ca="1" si="192"/>
        <v>0</v>
      </c>
      <c r="AE264" s="867" cm="1">
        <f t="array" ref="AE264">IF($G264=0,0,-MIN(0,$G264*c_equity.LPshare))</f>
        <v>0</v>
      </c>
      <c r="AF264" s="869" cm="1">
        <f t="array" ref="AF264">IF($D264=0,0,AD264*(c_rate.Hurdle2.MO))</f>
        <v>0</v>
      </c>
      <c r="AG264" s="869">
        <f t="shared" ca="1" si="193"/>
        <v>0</v>
      </c>
      <c r="AH264" s="869">
        <f t="shared" ca="1" si="194"/>
        <v>0</v>
      </c>
      <c r="AI264" s="869">
        <f t="shared" ca="1" si="195"/>
        <v>0</v>
      </c>
      <c r="AJ264" s="870">
        <f t="shared" ca="1" si="196"/>
        <v>0</v>
      </c>
      <c r="AK264" s="867">
        <f t="shared" ca="1" si="197"/>
        <v>0</v>
      </c>
      <c r="AL264" s="869">
        <f t="shared" ca="1" si="175"/>
        <v>0</v>
      </c>
      <c r="AM264" s="869">
        <f t="shared" ca="1" si="198"/>
        <v>0</v>
      </c>
      <c r="AN264" s="867">
        <f t="shared" ca="1" si="199"/>
        <v>0</v>
      </c>
      <c r="AO264" s="161"/>
      <c r="AP264" s="869">
        <f t="shared" ca="1" si="200"/>
        <v>0</v>
      </c>
      <c r="AQ264" s="867" cm="1">
        <f t="array" ref="AQ264">IF($G264=0,0,-MIN(0,$G264*c_equity.LPshare))</f>
        <v>0</v>
      </c>
      <c r="AR264" s="869" cm="1">
        <f t="array" ref="AR264">IF($D264=0,0,AP264*(c_rate.Hurdle3.MO))</f>
        <v>0</v>
      </c>
      <c r="AS264" s="869">
        <f t="shared" ca="1" si="201"/>
        <v>0</v>
      </c>
      <c r="AT264" s="869">
        <f t="shared" ca="1" si="202"/>
        <v>0</v>
      </c>
      <c r="AU264" s="869">
        <f t="shared" ca="1" si="203"/>
        <v>0</v>
      </c>
      <c r="AV264" s="870">
        <f t="shared" ca="1" si="204"/>
        <v>0</v>
      </c>
      <c r="AW264" s="867">
        <f t="shared" ca="1" si="205"/>
        <v>0</v>
      </c>
      <c r="AX264" s="869">
        <f t="shared" ca="1" si="176"/>
        <v>0</v>
      </c>
      <c r="AY264" s="869">
        <f t="shared" ca="1" si="206"/>
        <v>0</v>
      </c>
      <c r="AZ264" s="867">
        <f t="shared" ca="1" si="207"/>
        <v>0</v>
      </c>
      <c r="BA264" s="161"/>
      <c r="BB264" s="867">
        <f t="shared" ca="1" si="208"/>
        <v>0</v>
      </c>
      <c r="BC264" s="867">
        <f t="shared" ca="1" si="173"/>
        <v>0</v>
      </c>
      <c r="BD264" s="658"/>
      <c r="BE264" s="867">
        <f t="shared" ca="1" si="209"/>
        <v>0</v>
      </c>
      <c r="BF264" s="867">
        <f t="shared" ca="1" si="210"/>
        <v>0</v>
      </c>
      <c r="BG264" s="867">
        <f t="shared" ca="1" si="211"/>
        <v>0</v>
      </c>
      <c r="BI264" s="867">
        <f ca="1"/>
        <v>0</v>
      </c>
      <c r="BJ264" s="867">
        <f ca="1"/>
        <v>0</v>
      </c>
      <c r="BK264" s="867">
        <f ca="1"/>
        <v>0</v>
      </c>
      <c r="BL264" s="867">
        <f t="shared" ca="1" si="212"/>
        <v>0</v>
      </c>
      <c r="BM264" s="867">
        <f t="shared" ca="1" si="213"/>
        <v>0</v>
      </c>
      <c r="BN264" s="867">
        <f t="shared" ca="1" si="214"/>
        <v>0</v>
      </c>
      <c r="BO264" s="867">
        <f t="shared" ca="1" si="215"/>
        <v>0</v>
      </c>
      <c r="BP264" s="867">
        <f t="shared" ca="1" si="216"/>
        <v>0</v>
      </c>
      <c r="BQ264" s="867">
        <f t="shared" ca="1" si="217"/>
        <v>0</v>
      </c>
      <c r="BR264" s="867">
        <f ca="1"/>
        <v>0</v>
      </c>
      <c r="BS264" s="867">
        <f ca="1"/>
        <v>0</v>
      </c>
      <c r="BT264" s="867">
        <f t="shared" ca="1" si="177"/>
        <v>0</v>
      </c>
      <c r="BU264" s="867">
        <f t="shared" ca="1" si="218"/>
        <v>0</v>
      </c>
      <c r="BX264" s="867">
        <f ca="1"/>
        <v>0</v>
      </c>
      <c r="BY264" s="867">
        <f t="shared" ca="1" si="219"/>
        <v>0</v>
      </c>
      <c r="BZ264" s="867">
        <f t="shared" ca="1" si="220"/>
        <v>0</v>
      </c>
      <c r="CA264" s="867">
        <f t="shared" ca="1" si="221"/>
        <v>0</v>
      </c>
      <c r="CB264" s="867">
        <f t="shared" ca="1" si="222"/>
        <v>0</v>
      </c>
      <c r="CC264" s="867">
        <f t="shared" ca="1" si="223"/>
        <v>0</v>
      </c>
      <c r="CD264" s="867">
        <f t="shared" ca="1" si="224"/>
        <v>0</v>
      </c>
    </row>
    <row r="265" spans="1:82" ht="17" hidden="1" thickTop="1" thickBot="1">
      <c r="A265" s="773">
        <f t="shared" si="174"/>
        <v>0</v>
      </c>
      <c r="B265" s="779"/>
      <c r="D265" s="660"/>
      <c r="E265" s="661"/>
      <c r="F265" s="862"/>
      <c r="G265" s="863"/>
      <c r="H265" s="961"/>
      <c r="I265" s="865">
        <f t="shared" si="178"/>
        <v>0</v>
      </c>
      <c r="J265" s="864" cm="1">
        <f t="array" ref="J265">IF($G265=0,0,-MIN(0,G265*c_equity.LPshare))</f>
        <v>0</v>
      </c>
      <c r="K265" s="865" cm="1">
        <f t="array" ref="K265">I265*c_rate.Pref.MO</f>
        <v>0</v>
      </c>
      <c r="L265" s="865">
        <f t="shared" si="179"/>
        <v>0</v>
      </c>
      <c r="M265" s="865">
        <f t="shared" si="180"/>
        <v>0</v>
      </c>
      <c r="N265" s="865">
        <f t="shared" si="181"/>
        <v>0</v>
      </c>
      <c r="O265" s="864" cm="1">
        <f t="array" ref="O265">IF(N265=0,0,IF(G265&lt;0,N265/c_equity.LPshare*i_equity.GPshare,L265/c_equity.LPshare*i_equity.GPshare))</f>
        <v>0</v>
      </c>
      <c r="P265" s="865">
        <f t="shared" si="182"/>
        <v>0</v>
      </c>
      <c r="Q265" s="865">
        <f t="shared" si="183"/>
        <v>0</v>
      </c>
      <c r="R265" s="161"/>
      <c r="S265" s="867">
        <f t="shared" ca="1" si="184"/>
        <v>0</v>
      </c>
      <c r="T265" s="867" cm="1">
        <f t="array" ref="T265">IF($G265=0,0,-MIN(0,$G265*c_equity.LPshare))</f>
        <v>0</v>
      </c>
      <c r="U265" s="869" cm="1">
        <f t="array" ref="U265">IF($D265=0,0,S265*c_rate.Hurdle1.MO)</f>
        <v>0</v>
      </c>
      <c r="V265" s="867">
        <f t="shared" si="185"/>
        <v>0</v>
      </c>
      <c r="W265" s="867">
        <f t="shared" ca="1" si="186"/>
        <v>0</v>
      </c>
      <c r="X265" s="869">
        <f t="shared" ca="1" si="187"/>
        <v>0</v>
      </c>
      <c r="Y265" s="869">
        <f t="shared" ca="1" si="188"/>
        <v>0</v>
      </c>
      <c r="Z265" s="869">
        <f t="shared" ca="1" si="189"/>
        <v>0</v>
      </c>
      <c r="AA265" s="869">
        <f t="shared" ca="1" si="190"/>
        <v>0</v>
      </c>
      <c r="AB265" s="867">
        <f t="shared" ca="1" si="191"/>
        <v>0</v>
      </c>
      <c r="AC265" s="161"/>
      <c r="AD265" s="869">
        <f t="shared" ca="1" si="192"/>
        <v>0</v>
      </c>
      <c r="AE265" s="867" cm="1">
        <f t="array" ref="AE265">IF($G265=0,0,-MIN(0,$G265*c_equity.LPshare))</f>
        <v>0</v>
      </c>
      <c r="AF265" s="869" cm="1">
        <f t="array" ref="AF265">IF($D265=0,0,AD265*(c_rate.Hurdle2.MO))</f>
        <v>0</v>
      </c>
      <c r="AG265" s="869">
        <f t="shared" ca="1" si="193"/>
        <v>0</v>
      </c>
      <c r="AH265" s="869">
        <f t="shared" ca="1" si="194"/>
        <v>0</v>
      </c>
      <c r="AI265" s="869">
        <f t="shared" ca="1" si="195"/>
        <v>0</v>
      </c>
      <c r="AJ265" s="870">
        <f t="shared" ca="1" si="196"/>
        <v>0</v>
      </c>
      <c r="AK265" s="867">
        <f t="shared" ca="1" si="197"/>
        <v>0</v>
      </c>
      <c r="AL265" s="869">
        <f t="shared" ca="1" si="175"/>
        <v>0</v>
      </c>
      <c r="AM265" s="869">
        <f t="shared" ca="1" si="198"/>
        <v>0</v>
      </c>
      <c r="AN265" s="867">
        <f t="shared" ca="1" si="199"/>
        <v>0</v>
      </c>
      <c r="AO265" s="161"/>
      <c r="AP265" s="869">
        <f t="shared" ca="1" si="200"/>
        <v>0</v>
      </c>
      <c r="AQ265" s="867" cm="1">
        <f t="array" ref="AQ265">IF($G265=0,0,-MIN(0,$G265*c_equity.LPshare))</f>
        <v>0</v>
      </c>
      <c r="AR265" s="869" cm="1">
        <f t="array" ref="AR265">IF($D265=0,0,AP265*(c_rate.Hurdle3.MO))</f>
        <v>0</v>
      </c>
      <c r="AS265" s="869">
        <f t="shared" ca="1" si="201"/>
        <v>0</v>
      </c>
      <c r="AT265" s="869">
        <f t="shared" ca="1" si="202"/>
        <v>0</v>
      </c>
      <c r="AU265" s="869">
        <f t="shared" ca="1" si="203"/>
        <v>0</v>
      </c>
      <c r="AV265" s="870">
        <f t="shared" ca="1" si="204"/>
        <v>0</v>
      </c>
      <c r="AW265" s="867">
        <f t="shared" ca="1" si="205"/>
        <v>0</v>
      </c>
      <c r="AX265" s="869">
        <f t="shared" ca="1" si="176"/>
        <v>0</v>
      </c>
      <c r="AY265" s="869">
        <f t="shared" ca="1" si="206"/>
        <v>0</v>
      </c>
      <c r="AZ265" s="867">
        <f t="shared" ca="1" si="207"/>
        <v>0</v>
      </c>
      <c r="BA265" s="161"/>
      <c r="BB265" s="867">
        <f t="shared" ca="1" si="208"/>
        <v>0</v>
      </c>
      <c r="BC265" s="867">
        <f t="shared" ca="1" si="173"/>
        <v>0</v>
      </c>
      <c r="BD265" s="658"/>
      <c r="BE265" s="867">
        <f t="shared" ca="1" si="209"/>
        <v>0</v>
      </c>
      <c r="BF265" s="867">
        <f t="shared" ca="1" si="210"/>
        <v>0</v>
      </c>
      <c r="BG265" s="867">
        <f t="shared" ca="1" si="211"/>
        <v>0</v>
      </c>
      <c r="BI265" s="867">
        <f ca="1"/>
        <v>0</v>
      </c>
      <c r="BJ265" s="867">
        <f ca="1"/>
        <v>0</v>
      </c>
      <c r="BK265" s="867">
        <f ca="1"/>
        <v>0</v>
      </c>
      <c r="BL265" s="867">
        <f t="shared" ca="1" si="212"/>
        <v>0</v>
      </c>
      <c r="BM265" s="867">
        <f t="shared" ca="1" si="213"/>
        <v>0</v>
      </c>
      <c r="BN265" s="867">
        <f t="shared" ca="1" si="214"/>
        <v>0</v>
      </c>
      <c r="BO265" s="867">
        <f t="shared" ca="1" si="215"/>
        <v>0</v>
      </c>
      <c r="BP265" s="867">
        <f t="shared" ca="1" si="216"/>
        <v>0</v>
      </c>
      <c r="BQ265" s="867">
        <f t="shared" ca="1" si="217"/>
        <v>0</v>
      </c>
      <c r="BR265" s="867">
        <f ca="1"/>
        <v>0</v>
      </c>
      <c r="BS265" s="867">
        <f ca="1"/>
        <v>0</v>
      </c>
      <c r="BT265" s="867">
        <f t="shared" ca="1" si="177"/>
        <v>0</v>
      </c>
      <c r="BU265" s="867">
        <f t="shared" ca="1" si="218"/>
        <v>0</v>
      </c>
      <c r="BX265" s="867">
        <f ca="1"/>
        <v>0</v>
      </c>
      <c r="BY265" s="867">
        <f t="shared" ca="1" si="219"/>
        <v>0</v>
      </c>
      <c r="BZ265" s="867">
        <f t="shared" ca="1" si="220"/>
        <v>0</v>
      </c>
      <c r="CA265" s="867">
        <f t="shared" ca="1" si="221"/>
        <v>0</v>
      </c>
      <c r="CB265" s="867">
        <f t="shared" ca="1" si="222"/>
        <v>0</v>
      </c>
      <c r="CC265" s="867">
        <f t="shared" ca="1" si="223"/>
        <v>0</v>
      </c>
      <c r="CD265" s="867">
        <f t="shared" ca="1" si="224"/>
        <v>0</v>
      </c>
    </row>
    <row r="266" spans="1:82" ht="17" hidden="1" thickTop="1" thickBot="1">
      <c r="A266" s="773">
        <f t="shared" si="174"/>
        <v>0</v>
      </c>
      <c r="B266" s="779"/>
      <c r="D266" s="660"/>
      <c r="E266" s="661"/>
      <c r="F266" s="862"/>
      <c r="G266" s="863"/>
      <c r="H266" s="961"/>
      <c r="I266" s="865">
        <f t="shared" si="178"/>
        <v>0</v>
      </c>
      <c r="J266" s="864" cm="1">
        <f t="array" ref="J266">IF($G266=0,0,-MIN(0,G266*c_equity.LPshare))</f>
        <v>0</v>
      </c>
      <c r="K266" s="865" cm="1">
        <f t="array" ref="K266">I266*c_rate.Pref.MO</f>
        <v>0</v>
      </c>
      <c r="L266" s="865">
        <f t="shared" si="179"/>
        <v>0</v>
      </c>
      <c r="M266" s="865">
        <f t="shared" si="180"/>
        <v>0</v>
      </c>
      <c r="N266" s="865">
        <f t="shared" si="181"/>
        <v>0</v>
      </c>
      <c r="O266" s="864" cm="1">
        <f t="array" ref="O266">IF(N266=0,0,IF(G266&lt;0,N266/c_equity.LPshare*i_equity.GPshare,L266/c_equity.LPshare*i_equity.GPshare))</f>
        <v>0</v>
      </c>
      <c r="P266" s="865">
        <f t="shared" si="182"/>
        <v>0</v>
      </c>
      <c r="Q266" s="865">
        <f t="shared" si="183"/>
        <v>0</v>
      </c>
      <c r="R266" s="161"/>
      <c r="S266" s="867">
        <f t="shared" ca="1" si="184"/>
        <v>0</v>
      </c>
      <c r="T266" s="867" cm="1">
        <f t="array" ref="T266">IF($G266=0,0,-MIN(0,$G266*c_equity.LPshare))</f>
        <v>0</v>
      </c>
      <c r="U266" s="869" cm="1">
        <f t="array" ref="U266">IF($D266=0,0,S266*c_rate.Hurdle1.MO)</f>
        <v>0</v>
      </c>
      <c r="V266" s="867">
        <f t="shared" si="185"/>
        <v>0</v>
      </c>
      <c r="W266" s="867">
        <f t="shared" ca="1" si="186"/>
        <v>0</v>
      </c>
      <c r="X266" s="869">
        <f t="shared" ca="1" si="187"/>
        <v>0</v>
      </c>
      <c r="Y266" s="869">
        <f t="shared" ca="1" si="188"/>
        <v>0</v>
      </c>
      <c r="Z266" s="869">
        <f t="shared" ca="1" si="189"/>
        <v>0</v>
      </c>
      <c r="AA266" s="869">
        <f t="shared" ca="1" si="190"/>
        <v>0</v>
      </c>
      <c r="AB266" s="867">
        <f t="shared" ca="1" si="191"/>
        <v>0</v>
      </c>
      <c r="AC266" s="161"/>
      <c r="AD266" s="869">
        <f t="shared" ca="1" si="192"/>
        <v>0</v>
      </c>
      <c r="AE266" s="867" cm="1">
        <f t="array" ref="AE266">IF($G266=0,0,-MIN(0,$G266*c_equity.LPshare))</f>
        <v>0</v>
      </c>
      <c r="AF266" s="869" cm="1">
        <f t="array" ref="AF266">IF($D266=0,0,AD266*(c_rate.Hurdle2.MO))</f>
        <v>0</v>
      </c>
      <c r="AG266" s="869">
        <f t="shared" ca="1" si="193"/>
        <v>0</v>
      </c>
      <c r="AH266" s="869">
        <f t="shared" ca="1" si="194"/>
        <v>0</v>
      </c>
      <c r="AI266" s="869">
        <f t="shared" ca="1" si="195"/>
        <v>0</v>
      </c>
      <c r="AJ266" s="870">
        <f t="shared" ca="1" si="196"/>
        <v>0</v>
      </c>
      <c r="AK266" s="867">
        <f t="shared" ca="1" si="197"/>
        <v>0</v>
      </c>
      <c r="AL266" s="869">
        <f t="shared" ca="1" si="175"/>
        <v>0</v>
      </c>
      <c r="AM266" s="869">
        <f t="shared" ca="1" si="198"/>
        <v>0</v>
      </c>
      <c r="AN266" s="867">
        <f t="shared" ca="1" si="199"/>
        <v>0</v>
      </c>
      <c r="AO266" s="161"/>
      <c r="AP266" s="869">
        <f t="shared" ca="1" si="200"/>
        <v>0</v>
      </c>
      <c r="AQ266" s="867" cm="1">
        <f t="array" ref="AQ266">IF($G266=0,0,-MIN(0,$G266*c_equity.LPshare))</f>
        <v>0</v>
      </c>
      <c r="AR266" s="869" cm="1">
        <f t="array" ref="AR266">IF($D266=0,0,AP266*(c_rate.Hurdle3.MO))</f>
        <v>0</v>
      </c>
      <c r="AS266" s="869">
        <f t="shared" ca="1" si="201"/>
        <v>0</v>
      </c>
      <c r="AT266" s="869">
        <f t="shared" ca="1" si="202"/>
        <v>0</v>
      </c>
      <c r="AU266" s="869">
        <f t="shared" ca="1" si="203"/>
        <v>0</v>
      </c>
      <c r="AV266" s="870">
        <f t="shared" ca="1" si="204"/>
        <v>0</v>
      </c>
      <c r="AW266" s="867">
        <f t="shared" ca="1" si="205"/>
        <v>0</v>
      </c>
      <c r="AX266" s="869">
        <f t="shared" ca="1" si="176"/>
        <v>0</v>
      </c>
      <c r="AY266" s="869">
        <f t="shared" ca="1" si="206"/>
        <v>0</v>
      </c>
      <c r="AZ266" s="867">
        <f t="shared" ca="1" si="207"/>
        <v>0</v>
      </c>
      <c r="BA266" s="161"/>
      <c r="BB266" s="867">
        <f t="shared" ca="1" si="208"/>
        <v>0</v>
      </c>
      <c r="BC266" s="867">
        <f t="shared" ca="1" si="173"/>
        <v>0</v>
      </c>
      <c r="BD266" s="658"/>
      <c r="BE266" s="867">
        <f t="shared" ca="1" si="209"/>
        <v>0</v>
      </c>
      <c r="BF266" s="867">
        <f t="shared" ca="1" si="210"/>
        <v>0</v>
      </c>
      <c r="BG266" s="867">
        <f t="shared" ca="1" si="211"/>
        <v>0</v>
      </c>
      <c r="BI266" s="867">
        <f ca="1"/>
        <v>0</v>
      </c>
      <c r="BJ266" s="867">
        <f ca="1"/>
        <v>0</v>
      </c>
      <c r="BK266" s="867">
        <f ca="1"/>
        <v>0</v>
      </c>
      <c r="BL266" s="867">
        <f t="shared" ca="1" si="212"/>
        <v>0</v>
      </c>
      <c r="BM266" s="867">
        <f t="shared" ca="1" si="213"/>
        <v>0</v>
      </c>
      <c r="BN266" s="867">
        <f t="shared" ca="1" si="214"/>
        <v>0</v>
      </c>
      <c r="BO266" s="867">
        <f t="shared" ca="1" si="215"/>
        <v>0</v>
      </c>
      <c r="BP266" s="867">
        <f t="shared" ca="1" si="216"/>
        <v>0</v>
      </c>
      <c r="BQ266" s="867">
        <f t="shared" ca="1" si="217"/>
        <v>0</v>
      </c>
      <c r="BR266" s="867">
        <f ca="1"/>
        <v>0</v>
      </c>
      <c r="BS266" s="867">
        <f ca="1"/>
        <v>0</v>
      </c>
      <c r="BT266" s="867">
        <f t="shared" ca="1" si="177"/>
        <v>0</v>
      </c>
      <c r="BU266" s="867">
        <f t="shared" ca="1" si="218"/>
        <v>0</v>
      </c>
      <c r="BX266" s="867">
        <f ca="1"/>
        <v>0</v>
      </c>
      <c r="BY266" s="867">
        <f t="shared" ca="1" si="219"/>
        <v>0</v>
      </c>
      <c r="BZ266" s="867">
        <f t="shared" ca="1" si="220"/>
        <v>0</v>
      </c>
      <c r="CA266" s="867">
        <f t="shared" ca="1" si="221"/>
        <v>0</v>
      </c>
      <c r="CB266" s="867">
        <f t="shared" ca="1" si="222"/>
        <v>0</v>
      </c>
      <c r="CC266" s="867">
        <f t="shared" ca="1" si="223"/>
        <v>0</v>
      </c>
      <c r="CD266" s="867">
        <f t="shared" ca="1" si="224"/>
        <v>0</v>
      </c>
    </row>
    <row r="267" spans="1:82" ht="17" hidden="1" thickTop="1" thickBot="1">
      <c r="A267" s="773">
        <f t="shared" si="174"/>
        <v>0</v>
      </c>
      <c r="B267" s="779"/>
      <c r="D267" s="660"/>
      <c r="E267" s="661"/>
      <c r="F267" s="862"/>
      <c r="G267" s="863"/>
      <c r="H267" s="961"/>
      <c r="I267" s="865">
        <f t="shared" si="178"/>
        <v>0</v>
      </c>
      <c r="J267" s="864" cm="1">
        <f t="array" ref="J267">IF($G267=0,0,-MIN(0,G267*c_equity.LPshare))</f>
        <v>0</v>
      </c>
      <c r="K267" s="865" cm="1">
        <f t="array" ref="K267">I267*c_rate.Pref.MO</f>
        <v>0</v>
      </c>
      <c r="L267" s="865">
        <f t="shared" si="179"/>
        <v>0</v>
      </c>
      <c r="M267" s="865">
        <f t="shared" si="180"/>
        <v>0</v>
      </c>
      <c r="N267" s="865">
        <f t="shared" si="181"/>
        <v>0</v>
      </c>
      <c r="O267" s="864" cm="1">
        <f t="array" ref="O267">IF(N267=0,0,IF(G267&lt;0,N267/c_equity.LPshare*i_equity.GPshare,L267/c_equity.LPshare*i_equity.GPshare))</f>
        <v>0</v>
      </c>
      <c r="P267" s="865">
        <f t="shared" si="182"/>
        <v>0</v>
      </c>
      <c r="Q267" s="865">
        <f t="shared" si="183"/>
        <v>0</v>
      </c>
      <c r="R267" s="161"/>
      <c r="S267" s="867">
        <f t="shared" ca="1" si="184"/>
        <v>0</v>
      </c>
      <c r="T267" s="867" cm="1">
        <f t="array" ref="T267">IF($G267=0,0,-MIN(0,$G267*c_equity.LPshare))</f>
        <v>0</v>
      </c>
      <c r="U267" s="869" cm="1">
        <f t="array" ref="U267">IF($D267=0,0,S267*c_rate.Hurdle1.MO)</f>
        <v>0</v>
      </c>
      <c r="V267" s="867">
        <f t="shared" si="185"/>
        <v>0</v>
      </c>
      <c r="W267" s="867">
        <f t="shared" ca="1" si="186"/>
        <v>0</v>
      </c>
      <c r="X267" s="869">
        <f t="shared" ca="1" si="187"/>
        <v>0</v>
      </c>
      <c r="Y267" s="869">
        <f t="shared" ca="1" si="188"/>
        <v>0</v>
      </c>
      <c r="Z267" s="869">
        <f t="shared" ca="1" si="189"/>
        <v>0</v>
      </c>
      <c r="AA267" s="869">
        <f t="shared" ca="1" si="190"/>
        <v>0</v>
      </c>
      <c r="AB267" s="867">
        <f t="shared" ca="1" si="191"/>
        <v>0</v>
      </c>
      <c r="AC267" s="161"/>
      <c r="AD267" s="869">
        <f t="shared" ca="1" si="192"/>
        <v>0</v>
      </c>
      <c r="AE267" s="867" cm="1">
        <f t="array" ref="AE267">IF($G267=0,0,-MIN(0,$G267*c_equity.LPshare))</f>
        <v>0</v>
      </c>
      <c r="AF267" s="869" cm="1">
        <f t="array" ref="AF267">IF($D267=0,0,AD267*(c_rate.Hurdle2.MO))</f>
        <v>0</v>
      </c>
      <c r="AG267" s="869">
        <f t="shared" ca="1" si="193"/>
        <v>0</v>
      </c>
      <c r="AH267" s="869">
        <f t="shared" ca="1" si="194"/>
        <v>0</v>
      </c>
      <c r="AI267" s="869">
        <f t="shared" ca="1" si="195"/>
        <v>0</v>
      </c>
      <c r="AJ267" s="870">
        <f t="shared" ca="1" si="196"/>
        <v>0</v>
      </c>
      <c r="AK267" s="867">
        <f t="shared" ca="1" si="197"/>
        <v>0</v>
      </c>
      <c r="AL267" s="869">
        <f t="shared" ca="1" si="175"/>
        <v>0</v>
      </c>
      <c r="AM267" s="869">
        <f t="shared" ca="1" si="198"/>
        <v>0</v>
      </c>
      <c r="AN267" s="867">
        <f t="shared" ca="1" si="199"/>
        <v>0</v>
      </c>
      <c r="AO267" s="161"/>
      <c r="AP267" s="869">
        <f t="shared" ca="1" si="200"/>
        <v>0</v>
      </c>
      <c r="AQ267" s="867" cm="1">
        <f t="array" ref="AQ267">IF($G267=0,0,-MIN(0,$G267*c_equity.LPshare))</f>
        <v>0</v>
      </c>
      <c r="AR267" s="869" cm="1">
        <f t="array" ref="AR267">IF($D267=0,0,AP267*(c_rate.Hurdle3.MO))</f>
        <v>0</v>
      </c>
      <c r="AS267" s="869">
        <f t="shared" ca="1" si="201"/>
        <v>0</v>
      </c>
      <c r="AT267" s="869">
        <f t="shared" ca="1" si="202"/>
        <v>0</v>
      </c>
      <c r="AU267" s="869">
        <f t="shared" ca="1" si="203"/>
        <v>0</v>
      </c>
      <c r="AV267" s="870">
        <f t="shared" ca="1" si="204"/>
        <v>0</v>
      </c>
      <c r="AW267" s="867">
        <f t="shared" ca="1" si="205"/>
        <v>0</v>
      </c>
      <c r="AX267" s="869">
        <f t="shared" ca="1" si="176"/>
        <v>0</v>
      </c>
      <c r="AY267" s="869">
        <f t="shared" ca="1" si="206"/>
        <v>0</v>
      </c>
      <c r="AZ267" s="867">
        <f t="shared" ca="1" si="207"/>
        <v>0</v>
      </c>
      <c r="BA267" s="161"/>
      <c r="BB267" s="867">
        <f t="shared" ca="1" si="208"/>
        <v>0</v>
      </c>
      <c r="BC267" s="867">
        <f t="shared" ca="1" si="173"/>
        <v>0</v>
      </c>
      <c r="BD267" s="658"/>
      <c r="BE267" s="867">
        <f t="shared" ca="1" si="209"/>
        <v>0</v>
      </c>
      <c r="BF267" s="867">
        <f t="shared" ca="1" si="210"/>
        <v>0</v>
      </c>
      <c r="BG267" s="867">
        <f t="shared" ca="1" si="211"/>
        <v>0</v>
      </c>
      <c r="BI267" s="867">
        <f ca="1"/>
        <v>0</v>
      </c>
      <c r="BJ267" s="867">
        <f ca="1"/>
        <v>0</v>
      </c>
      <c r="BK267" s="867">
        <f ca="1"/>
        <v>0</v>
      </c>
      <c r="BL267" s="867">
        <f t="shared" ca="1" si="212"/>
        <v>0</v>
      </c>
      <c r="BM267" s="867">
        <f t="shared" ca="1" si="213"/>
        <v>0</v>
      </c>
      <c r="BN267" s="867">
        <f t="shared" ca="1" si="214"/>
        <v>0</v>
      </c>
      <c r="BO267" s="867">
        <f t="shared" ca="1" si="215"/>
        <v>0</v>
      </c>
      <c r="BP267" s="867">
        <f t="shared" ca="1" si="216"/>
        <v>0</v>
      </c>
      <c r="BQ267" s="867">
        <f t="shared" ca="1" si="217"/>
        <v>0</v>
      </c>
      <c r="BR267" s="867">
        <f ca="1"/>
        <v>0</v>
      </c>
      <c r="BS267" s="867">
        <f ca="1"/>
        <v>0</v>
      </c>
      <c r="BT267" s="867">
        <f t="shared" ca="1" si="177"/>
        <v>0</v>
      </c>
      <c r="BU267" s="867">
        <f t="shared" ca="1" si="218"/>
        <v>0</v>
      </c>
      <c r="BX267" s="867">
        <f ca="1"/>
        <v>0</v>
      </c>
      <c r="BY267" s="867">
        <f t="shared" ca="1" si="219"/>
        <v>0</v>
      </c>
      <c r="BZ267" s="867">
        <f t="shared" ca="1" si="220"/>
        <v>0</v>
      </c>
      <c r="CA267" s="867">
        <f t="shared" ca="1" si="221"/>
        <v>0</v>
      </c>
      <c r="CB267" s="867">
        <f t="shared" ca="1" si="222"/>
        <v>0</v>
      </c>
      <c r="CC267" s="867">
        <f t="shared" ca="1" si="223"/>
        <v>0</v>
      </c>
      <c r="CD267" s="867">
        <f t="shared" ca="1" si="224"/>
        <v>0</v>
      </c>
    </row>
    <row r="268" spans="1:82" ht="17" hidden="1" thickTop="1" thickBot="1">
      <c r="A268" s="773">
        <f t="shared" si="174"/>
        <v>0</v>
      </c>
      <c r="B268" s="779"/>
      <c r="D268" s="660"/>
      <c r="E268" s="661"/>
      <c r="F268" s="862"/>
      <c r="G268" s="863"/>
      <c r="H268" s="961"/>
      <c r="I268" s="865">
        <f t="shared" si="178"/>
        <v>0</v>
      </c>
      <c r="J268" s="864" cm="1">
        <f t="array" ref="J268">IF($G268=0,0,-MIN(0,G268*c_equity.LPshare))</f>
        <v>0</v>
      </c>
      <c r="K268" s="865" cm="1">
        <f t="array" ref="K268">I268*c_rate.Pref.MO</f>
        <v>0</v>
      </c>
      <c r="L268" s="865">
        <f t="shared" si="179"/>
        <v>0</v>
      </c>
      <c r="M268" s="865">
        <f t="shared" si="180"/>
        <v>0</v>
      </c>
      <c r="N268" s="865">
        <f t="shared" si="181"/>
        <v>0</v>
      </c>
      <c r="O268" s="864" cm="1">
        <f t="array" ref="O268">IF(N268=0,0,IF(G268&lt;0,N268/c_equity.LPshare*i_equity.GPshare,L268/c_equity.LPshare*i_equity.GPshare))</f>
        <v>0</v>
      </c>
      <c r="P268" s="865">
        <f t="shared" si="182"/>
        <v>0</v>
      </c>
      <c r="Q268" s="865">
        <f t="shared" si="183"/>
        <v>0</v>
      </c>
      <c r="R268" s="161"/>
      <c r="S268" s="867">
        <f t="shared" ca="1" si="184"/>
        <v>0</v>
      </c>
      <c r="T268" s="867" cm="1">
        <f t="array" ref="T268">IF($G268=0,0,-MIN(0,$G268*c_equity.LPshare))</f>
        <v>0</v>
      </c>
      <c r="U268" s="869" cm="1">
        <f t="array" ref="U268">IF($D268=0,0,S268*c_rate.Hurdle1.MO)</f>
        <v>0</v>
      </c>
      <c r="V268" s="867">
        <f t="shared" si="185"/>
        <v>0</v>
      </c>
      <c r="W268" s="867">
        <f t="shared" ca="1" si="186"/>
        <v>0</v>
      </c>
      <c r="X268" s="869">
        <f t="shared" ca="1" si="187"/>
        <v>0</v>
      </c>
      <c r="Y268" s="869">
        <f t="shared" ca="1" si="188"/>
        <v>0</v>
      </c>
      <c r="Z268" s="869">
        <f t="shared" ca="1" si="189"/>
        <v>0</v>
      </c>
      <c r="AA268" s="869">
        <f t="shared" ca="1" si="190"/>
        <v>0</v>
      </c>
      <c r="AB268" s="867">
        <f t="shared" ca="1" si="191"/>
        <v>0</v>
      </c>
      <c r="AC268" s="161"/>
      <c r="AD268" s="869">
        <f t="shared" ca="1" si="192"/>
        <v>0</v>
      </c>
      <c r="AE268" s="867" cm="1">
        <f t="array" ref="AE268">IF($G268=0,0,-MIN(0,$G268*c_equity.LPshare))</f>
        <v>0</v>
      </c>
      <c r="AF268" s="869" cm="1">
        <f t="array" ref="AF268">IF($D268=0,0,AD268*(c_rate.Hurdle2.MO))</f>
        <v>0</v>
      </c>
      <c r="AG268" s="869">
        <f t="shared" ca="1" si="193"/>
        <v>0</v>
      </c>
      <c r="AH268" s="869">
        <f t="shared" ca="1" si="194"/>
        <v>0</v>
      </c>
      <c r="AI268" s="869">
        <f t="shared" ca="1" si="195"/>
        <v>0</v>
      </c>
      <c r="AJ268" s="870">
        <f t="shared" ca="1" si="196"/>
        <v>0</v>
      </c>
      <c r="AK268" s="867">
        <f t="shared" ca="1" si="197"/>
        <v>0</v>
      </c>
      <c r="AL268" s="869">
        <f t="shared" ca="1" si="175"/>
        <v>0</v>
      </c>
      <c r="AM268" s="869">
        <f t="shared" ca="1" si="198"/>
        <v>0</v>
      </c>
      <c r="AN268" s="867">
        <f t="shared" ca="1" si="199"/>
        <v>0</v>
      </c>
      <c r="AO268" s="161"/>
      <c r="AP268" s="869">
        <f t="shared" ca="1" si="200"/>
        <v>0</v>
      </c>
      <c r="AQ268" s="867" cm="1">
        <f t="array" ref="AQ268">IF($G268=0,0,-MIN(0,$G268*c_equity.LPshare))</f>
        <v>0</v>
      </c>
      <c r="AR268" s="869" cm="1">
        <f t="array" ref="AR268">IF($D268=0,0,AP268*(c_rate.Hurdle3.MO))</f>
        <v>0</v>
      </c>
      <c r="AS268" s="869">
        <f t="shared" ca="1" si="201"/>
        <v>0</v>
      </c>
      <c r="AT268" s="869">
        <f t="shared" ca="1" si="202"/>
        <v>0</v>
      </c>
      <c r="AU268" s="869">
        <f t="shared" ca="1" si="203"/>
        <v>0</v>
      </c>
      <c r="AV268" s="870">
        <f t="shared" ca="1" si="204"/>
        <v>0</v>
      </c>
      <c r="AW268" s="867">
        <f t="shared" ca="1" si="205"/>
        <v>0</v>
      </c>
      <c r="AX268" s="869">
        <f t="shared" ca="1" si="176"/>
        <v>0</v>
      </c>
      <c r="AY268" s="869">
        <f t="shared" ca="1" si="206"/>
        <v>0</v>
      </c>
      <c r="AZ268" s="867">
        <f t="shared" ca="1" si="207"/>
        <v>0</v>
      </c>
      <c r="BA268" s="161"/>
      <c r="BB268" s="867">
        <f t="shared" ca="1" si="208"/>
        <v>0</v>
      </c>
      <c r="BC268" s="867">
        <f t="shared" ca="1" si="173"/>
        <v>0</v>
      </c>
      <c r="BD268" s="658"/>
      <c r="BE268" s="867">
        <f t="shared" ca="1" si="209"/>
        <v>0</v>
      </c>
      <c r="BF268" s="867">
        <f t="shared" ca="1" si="210"/>
        <v>0</v>
      </c>
      <c r="BG268" s="867">
        <f t="shared" ca="1" si="211"/>
        <v>0</v>
      </c>
      <c r="BI268" s="867">
        <f ca="1"/>
        <v>0</v>
      </c>
      <c r="BJ268" s="867">
        <f ca="1"/>
        <v>0</v>
      </c>
      <c r="BK268" s="867">
        <f ca="1"/>
        <v>0</v>
      </c>
      <c r="BL268" s="867">
        <f t="shared" ca="1" si="212"/>
        <v>0</v>
      </c>
      <c r="BM268" s="867">
        <f t="shared" ca="1" si="213"/>
        <v>0</v>
      </c>
      <c r="BN268" s="867">
        <f t="shared" ca="1" si="214"/>
        <v>0</v>
      </c>
      <c r="BO268" s="867">
        <f t="shared" ca="1" si="215"/>
        <v>0</v>
      </c>
      <c r="BP268" s="867">
        <f t="shared" ca="1" si="216"/>
        <v>0</v>
      </c>
      <c r="BQ268" s="867">
        <f t="shared" ca="1" si="217"/>
        <v>0</v>
      </c>
      <c r="BR268" s="867">
        <f ca="1"/>
        <v>0</v>
      </c>
      <c r="BS268" s="867">
        <f ca="1"/>
        <v>0</v>
      </c>
      <c r="BT268" s="867">
        <f t="shared" ca="1" si="177"/>
        <v>0</v>
      </c>
      <c r="BU268" s="867">
        <f t="shared" ca="1" si="218"/>
        <v>0</v>
      </c>
      <c r="BX268" s="867">
        <f ca="1"/>
        <v>0</v>
      </c>
      <c r="BY268" s="867">
        <f t="shared" ca="1" si="219"/>
        <v>0</v>
      </c>
      <c r="BZ268" s="867">
        <f t="shared" ca="1" si="220"/>
        <v>0</v>
      </c>
      <c r="CA268" s="867">
        <f t="shared" ca="1" si="221"/>
        <v>0</v>
      </c>
      <c r="CB268" s="867">
        <f t="shared" ca="1" si="222"/>
        <v>0</v>
      </c>
      <c r="CC268" s="867">
        <f t="shared" ca="1" si="223"/>
        <v>0</v>
      </c>
      <c r="CD268" s="867">
        <f t="shared" ca="1" si="224"/>
        <v>0</v>
      </c>
    </row>
    <row r="269" spans="1:82" ht="17" hidden="1" thickTop="1" thickBot="1">
      <c r="A269" s="773">
        <f t="shared" si="174"/>
        <v>0</v>
      </c>
      <c r="B269" s="779"/>
      <c r="D269" s="660"/>
      <c r="E269" s="661"/>
      <c r="F269" s="862"/>
      <c r="G269" s="863"/>
      <c r="H269" s="961"/>
      <c r="I269" s="865">
        <f t="shared" si="178"/>
        <v>0</v>
      </c>
      <c r="J269" s="864" cm="1">
        <f t="array" ref="J269">IF($G269=0,0,-MIN(0,G269*c_equity.LPshare))</f>
        <v>0</v>
      </c>
      <c r="K269" s="865" cm="1">
        <f t="array" ref="K269">I269*c_rate.Pref.MO</f>
        <v>0</v>
      </c>
      <c r="L269" s="865">
        <f t="shared" si="179"/>
        <v>0</v>
      </c>
      <c r="M269" s="865">
        <f t="shared" si="180"/>
        <v>0</v>
      </c>
      <c r="N269" s="865">
        <f t="shared" si="181"/>
        <v>0</v>
      </c>
      <c r="O269" s="864" cm="1">
        <f t="array" ref="O269">IF(N269=0,0,IF(G269&lt;0,N269/c_equity.LPshare*i_equity.GPshare,L269/c_equity.LPshare*i_equity.GPshare))</f>
        <v>0</v>
      </c>
      <c r="P269" s="865">
        <f t="shared" si="182"/>
        <v>0</v>
      </c>
      <c r="Q269" s="865">
        <f t="shared" si="183"/>
        <v>0</v>
      </c>
      <c r="R269" s="161"/>
      <c r="S269" s="867">
        <f t="shared" ca="1" si="184"/>
        <v>0</v>
      </c>
      <c r="T269" s="867" cm="1">
        <f t="array" ref="T269">IF($G269=0,0,-MIN(0,$G269*c_equity.LPshare))</f>
        <v>0</v>
      </c>
      <c r="U269" s="869" cm="1">
        <f t="array" ref="U269">IF($D269=0,0,S269*c_rate.Hurdle1.MO)</f>
        <v>0</v>
      </c>
      <c r="V269" s="867">
        <f t="shared" si="185"/>
        <v>0</v>
      </c>
      <c r="W269" s="867">
        <f t="shared" ca="1" si="186"/>
        <v>0</v>
      </c>
      <c r="X269" s="869">
        <f t="shared" ca="1" si="187"/>
        <v>0</v>
      </c>
      <c r="Y269" s="869">
        <f t="shared" ca="1" si="188"/>
        <v>0</v>
      </c>
      <c r="Z269" s="869">
        <f t="shared" ca="1" si="189"/>
        <v>0</v>
      </c>
      <c r="AA269" s="869">
        <f t="shared" ca="1" si="190"/>
        <v>0</v>
      </c>
      <c r="AB269" s="867">
        <f t="shared" ca="1" si="191"/>
        <v>0</v>
      </c>
      <c r="AC269" s="161"/>
      <c r="AD269" s="869">
        <f t="shared" ca="1" si="192"/>
        <v>0</v>
      </c>
      <c r="AE269" s="867" cm="1">
        <f t="array" ref="AE269">IF($G269=0,0,-MIN(0,$G269*c_equity.LPshare))</f>
        <v>0</v>
      </c>
      <c r="AF269" s="869" cm="1">
        <f t="array" ref="AF269">IF($D269=0,0,AD269*(c_rate.Hurdle2.MO))</f>
        <v>0</v>
      </c>
      <c r="AG269" s="869">
        <f t="shared" ca="1" si="193"/>
        <v>0</v>
      </c>
      <c r="AH269" s="869">
        <f t="shared" ca="1" si="194"/>
        <v>0</v>
      </c>
      <c r="AI269" s="869">
        <f t="shared" ca="1" si="195"/>
        <v>0</v>
      </c>
      <c r="AJ269" s="870">
        <f t="shared" ca="1" si="196"/>
        <v>0</v>
      </c>
      <c r="AK269" s="867">
        <f t="shared" ca="1" si="197"/>
        <v>0</v>
      </c>
      <c r="AL269" s="869">
        <f t="shared" ca="1" si="175"/>
        <v>0</v>
      </c>
      <c r="AM269" s="869">
        <f t="shared" ca="1" si="198"/>
        <v>0</v>
      </c>
      <c r="AN269" s="867">
        <f t="shared" ca="1" si="199"/>
        <v>0</v>
      </c>
      <c r="AO269" s="161"/>
      <c r="AP269" s="869">
        <f t="shared" ca="1" si="200"/>
        <v>0</v>
      </c>
      <c r="AQ269" s="867" cm="1">
        <f t="array" ref="AQ269">IF($G269=0,0,-MIN(0,$G269*c_equity.LPshare))</f>
        <v>0</v>
      </c>
      <c r="AR269" s="869" cm="1">
        <f t="array" ref="AR269">IF($D269=0,0,AP269*(c_rate.Hurdle3.MO))</f>
        <v>0</v>
      </c>
      <c r="AS269" s="869">
        <f t="shared" ca="1" si="201"/>
        <v>0</v>
      </c>
      <c r="AT269" s="869">
        <f t="shared" ca="1" si="202"/>
        <v>0</v>
      </c>
      <c r="AU269" s="869">
        <f t="shared" ca="1" si="203"/>
        <v>0</v>
      </c>
      <c r="AV269" s="870">
        <f t="shared" ca="1" si="204"/>
        <v>0</v>
      </c>
      <c r="AW269" s="867">
        <f t="shared" ca="1" si="205"/>
        <v>0</v>
      </c>
      <c r="AX269" s="869">
        <f t="shared" ca="1" si="176"/>
        <v>0</v>
      </c>
      <c r="AY269" s="869">
        <f t="shared" ca="1" si="206"/>
        <v>0</v>
      </c>
      <c r="AZ269" s="867">
        <f t="shared" ca="1" si="207"/>
        <v>0</v>
      </c>
      <c r="BA269" s="161"/>
      <c r="BB269" s="867">
        <f t="shared" ca="1" si="208"/>
        <v>0</v>
      </c>
      <c r="BC269" s="867">
        <f t="shared" ca="1" si="173"/>
        <v>0</v>
      </c>
      <c r="BD269" s="658"/>
      <c r="BE269" s="867">
        <f t="shared" ca="1" si="209"/>
        <v>0</v>
      </c>
      <c r="BF269" s="867">
        <f t="shared" ca="1" si="210"/>
        <v>0</v>
      </c>
      <c r="BG269" s="867">
        <f t="shared" ca="1" si="211"/>
        <v>0</v>
      </c>
      <c r="BI269" s="867">
        <f ca="1"/>
        <v>0</v>
      </c>
      <c r="BJ269" s="867">
        <f ca="1"/>
        <v>0</v>
      </c>
      <c r="BK269" s="867">
        <f ca="1"/>
        <v>0</v>
      </c>
      <c r="BL269" s="867">
        <f t="shared" ca="1" si="212"/>
        <v>0</v>
      </c>
      <c r="BM269" s="867">
        <f t="shared" ca="1" si="213"/>
        <v>0</v>
      </c>
      <c r="BN269" s="867">
        <f t="shared" ca="1" si="214"/>
        <v>0</v>
      </c>
      <c r="BO269" s="867">
        <f t="shared" ca="1" si="215"/>
        <v>0</v>
      </c>
      <c r="BP269" s="867">
        <f t="shared" ca="1" si="216"/>
        <v>0</v>
      </c>
      <c r="BQ269" s="867">
        <f t="shared" ca="1" si="217"/>
        <v>0</v>
      </c>
      <c r="BR269" s="867">
        <f ca="1"/>
        <v>0</v>
      </c>
      <c r="BS269" s="867">
        <f ca="1"/>
        <v>0</v>
      </c>
      <c r="BT269" s="867">
        <f t="shared" ca="1" si="177"/>
        <v>0</v>
      </c>
      <c r="BU269" s="867">
        <f t="shared" ca="1" si="218"/>
        <v>0</v>
      </c>
      <c r="BX269" s="867">
        <f ca="1"/>
        <v>0</v>
      </c>
      <c r="BY269" s="867">
        <f t="shared" ca="1" si="219"/>
        <v>0</v>
      </c>
      <c r="BZ269" s="867">
        <f t="shared" ca="1" si="220"/>
        <v>0</v>
      </c>
      <c r="CA269" s="867">
        <f t="shared" ca="1" si="221"/>
        <v>0</v>
      </c>
      <c r="CB269" s="867">
        <f t="shared" ca="1" si="222"/>
        <v>0</v>
      </c>
      <c r="CC269" s="867">
        <f t="shared" ca="1" si="223"/>
        <v>0</v>
      </c>
      <c r="CD269" s="867">
        <f t="shared" ca="1" si="224"/>
        <v>0</v>
      </c>
    </row>
    <row r="270" spans="1:82" ht="17" hidden="1" thickTop="1" thickBot="1">
      <c r="A270" s="773">
        <f t="shared" si="174"/>
        <v>0</v>
      </c>
      <c r="B270" s="779"/>
      <c r="D270" s="660"/>
      <c r="E270" s="661"/>
      <c r="F270" s="862"/>
      <c r="G270" s="863"/>
      <c r="H270" s="961"/>
      <c r="I270" s="865">
        <f t="shared" si="178"/>
        <v>0</v>
      </c>
      <c r="J270" s="864" cm="1">
        <f t="array" ref="J270">IF($G270=0,0,-MIN(0,G270*c_equity.LPshare))</f>
        <v>0</v>
      </c>
      <c r="K270" s="865" cm="1">
        <f t="array" ref="K270">I270*c_rate.Pref.MO</f>
        <v>0</v>
      </c>
      <c r="L270" s="865">
        <f t="shared" si="179"/>
        <v>0</v>
      </c>
      <c r="M270" s="865">
        <f t="shared" si="180"/>
        <v>0</v>
      </c>
      <c r="N270" s="865">
        <f t="shared" si="181"/>
        <v>0</v>
      </c>
      <c r="O270" s="864" cm="1">
        <f t="array" ref="O270">IF(N270=0,0,IF(G270&lt;0,N270/c_equity.LPshare*i_equity.GPshare,L270/c_equity.LPshare*i_equity.GPshare))</f>
        <v>0</v>
      </c>
      <c r="P270" s="865">
        <f t="shared" si="182"/>
        <v>0</v>
      </c>
      <c r="Q270" s="865">
        <f t="shared" si="183"/>
        <v>0</v>
      </c>
      <c r="R270" s="161"/>
      <c r="S270" s="867">
        <f t="shared" ca="1" si="184"/>
        <v>0</v>
      </c>
      <c r="T270" s="867" cm="1">
        <f t="array" ref="T270">IF($G270=0,0,-MIN(0,$G270*c_equity.LPshare))</f>
        <v>0</v>
      </c>
      <c r="U270" s="869" cm="1">
        <f t="array" ref="U270">IF($D270=0,0,S270*c_rate.Hurdle1.MO)</f>
        <v>0</v>
      </c>
      <c r="V270" s="867">
        <f t="shared" si="185"/>
        <v>0</v>
      </c>
      <c r="W270" s="867">
        <f t="shared" ca="1" si="186"/>
        <v>0</v>
      </c>
      <c r="X270" s="869">
        <f t="shared" ca="1" si="187"/>
        <v>0</v>
      </c>
      <c r="Y270" s="869">
        <f t="shared" ca="1" si="188"/>
        <v>0</v>
      </c>
      <c r="Z270" s="869">
        <f t="shared" ca="1" si="189"/>
        <v>0</v>
      </c>
      <c r="AA270" s="869">
        <f t="shared" ca="1" si="190"/>
        <v>0</v>
      </c>
      <c r="AB270" s="867">
        <f t="shared" ca="1" si="191"/>
        <v>0</v>
      </c>
      <c r="AC270" s="161"/>
      <c r="AD270" s="869">
        <f t="shared" ca="1" si="192"/>
        <v>0</v>
      </c>
      <c r="AE270" s="867" cm="1">
        <f t="array" ref="AE270">IF($G270=0,0,-MIN(0,$G270*c_equity.LPshare))</f>
        <v>0</v>
      </c>
      <c r="AF270" s="869" cm="1">
        <f t="array" ref="AF270">IF($D270=0,0,AD270*(c_rate.Hurdle2.MO))</f>
        <v>0</v>
      </c>
      <c r="AG270" s="869">
        <f t="shared" ca="1" si="193"/>
        <v>0</v>
      </c>
      <c r="AH270" s="869">
        <f t="shared" ca="1" si="194"/>
        <v>0</v>
      </c>
      <c r="AI270" s="869">
        <f t="shared" ca="1" si="195"/>
        <v>0</v>
      </c>
      <c r="AJ270" s="870">
        <f t="shared" ca="1" si="196"/>
        <v>0</v>
      </c>
      <c r="AK270" s="867">
        <f t="shared" ca="1" si="197"/>
        <v>0</v>
      </c>
      <c r="AL270" s="869">
        <f t="shared" ca="1" si="175"/>
        <v>0</v>
      </c>
      <c r="AM270" s="869">
        <f t="shared" ca="1" si="198"/>
        <v>0</v>
      </c>
      <c r="AN270" s="867">
        <f t="shared" ca="1" si="199"/>
        <v>0</v>
      </c>
      <c r="AO270" s="161"/>
      <c r="AP270" s="869">
        <f t="shared" ca="1" si="200"/>
        <v>0</v>
      </c>
      <c r="AQ270" s="867" cm="1">
        <f t="array" ref="AQ270">IF($G270=0,0,-MIN(0,$G270*c_equity.LPshare))</f>
        <v>0</v>
      </c>
      <c r="AR270" s="869" cm="1">
        <f t="array" ref="AR270">IF($D270=0,0,AP270*(c_rate.Hurdle3.MO))</f>
        <v>0</v>
      </c>
      <c r="AS270" s="869">
        <f t="shared" ca="1" si="201"/>
        <v>0</v>
      </c>
      <c r="AT270" s="869">
        <f t="shared" ca="1" si="202"/>
        <v>0</v>
      </c>
      <c r="AU270" s="869">
        <f t="shared" ca="1" si="203"/>
        <v>0</v>
      </c>
      <c r="AV270" s="870">
        <f t="shared" ca="1" si="204"/>
        <v>0</v>
      </c>
      <c r="AW270" s="867">
        <f t="shared" ca="1" si="205"/>
        <v>0</v>
      </c>
      <c r="AX270" s="869">
        <f t="shared" ca="1" si="176"/>
        <v>0</v>
      </c>
      <c r="AY270" s="869">
        <f t="shared" ca="1" si="206"/>
        <v>0</v>
      </c>
      <c r="AZ270" s="867">
        <f t="shared" ca="1" si="207"/>
        <v>0</v>
      </c>
      <c r="BA270" s="161"/>
      <c r="BB270" s="867">
        <f t="shared" ca="1" si="208"/>
        <v>0</v>
      </c>
      <c r="BC270" s="867">
        <f t="shared" ca="1" si="173"/>
        <v>0</v>
      </c>
      <c r="BD270" s="658"/>
      <c r="BE270" s="867">
        <f t="shared" ca="1" si="209"/>
        <v>0</v>
      </c>
      <c r="BF270" s="867">
        <f t="shared" ca="1" si="210"/>
        <v>0</v>
      </c>
      <c r="BG270" s="867">
        <f t="shared" ca="1" si="211"/>
        <v>0</v>
      </c>
      <c r="BI270" s="867">
        <f ca="1"/>
        <v>0</v>
      </c>
      <c r="BJ270" s="867">
        <f ca="1"/>
        <v>0</v>
      </c>
      <c r="BK270" s="867">
        <f ca="1"/>
        <v>0</v>
      </c>
      <c r="BL270" s="867">
        <f t="shared" ca="1" si="212"/>
        <v>0</v>
      </c>
      <c r="BM270" s="867">
        <f t="shared" ca="1" si="213"/>
        <v>0</v>
      </c>
      <c r="BN270" s="867">
        <f t="shared" ca="1" si="214"/>
        <v>0</v>
      </c>
      <c r="BO270" s="867">
        <f t="shared" ca="1" si="215"/>
        <v>0</v>
      </c>
      <c r="BP270" s="867">
        <f t="shared" ca="1" si="216"/>
        <v>0</v>
      </c>
      <c r="BQ270" s="867">
        <f t="shared" ca="1" si="217"/>
        <v>0</v>
      </c>
      <c r="BR270" s="867">
        <f ca="1"/>
        <v>0</v>
      </c>
      <c r="BS270" s="867">
        <f ca="1"/>
        <v>0</v>
      </c>
      <c r="BT270" s="867">
        <f t="shared" ca="1" si="177"/>
        <v>0</v>
      </c>
      <c r="BU270" s="867">
        <f t="shared" ca="1" si="218"/>
        <v>0</v>
      </c>
      <c r="BX270" s="867">
        <f ca="1"/>
        <v>0</v>
      </c>
      <c r="BY270" s="867">
        <f t="shared" ca="1" si="219"/>
        <v>0</v>
      </c>
      <c r="BZ270" s="867">
        <f t="shared" ca="1" si="220"/>
        <v>0</v>
      </c>
      <c r="CA270" s="867">
        <f t="shared" ca="1" si="221"/>
        <v>0</v>
      </c>
      <c r="CB270" s="867">
        <f t="shared" ca="1" si="222"/>
        <v>0</v>
      </c>
      <c r="CC270" s="867">
        <f t="shared" ca="1" si="223"/>
        <v>0</v>
      </c>
      <c r="CD270" s="867">
        <f t="shared" ca="1" si="224"/>
        <v>0</v>
      </c>
    </row>
    <row r="271" spans="1:82" ht="17" hidden="1" thickTop="1" thickBot="1">
      <c r="A271" s="773">
        <f t="shared" si="174"/>
        <v>0</v>
      </c>
      <c r="B271" s="779"/>
      <c r="D271" s="660"/>
      <c r="E271" s="661"/>
      <c r="F271" s="862"/>
      <c r="G271" s="863"/>
      <c r="H271" s="961"/>
      <c r="I271" s="865">
        <f t="shared" si="178"/>
        <v>0</v>
      </c>
      <c r="J271" s="864" cm="1">
        <f t="array" ref="J271">IF($G271=0,0,-MIN(0,G271*c_equity.LPshare))</f>
        <v>0</v>
      </c>
      <c r="K271" s="865" cm="1">
        <f t="array" ref="K271">I271*c_rate.Pref.MO</f>
        <v>0</v>
      </c>
      <c r="L271" s="865">
        <f t="shared" si="179"/>
        <v>0</v>
      </c>
      <c r="M271" s="865">
        <f t="shared" si="180"/>
        <v>0</v>
      </c>
      <c r="N271" s="865">
        <f t="shared" si="181"/>
        <v>0</v>
      </c>
      <c r="O271" s="864" cm="1">
        <f t="array" ref="O271">IF(N271=0,0,IF(G271&lt;0,N271/c_equity.LPshare*i_equity.GPshare,L271/c_equity.LPshare*i_equity.GPshare))</f>
        <v>0</v>
      </c>
      <c r="P271" s="865">
        <f t="shared" si="182"/>
        <v>0</v>
      </c>
      <c r="Q271" s="865">
        <f t="shared" si="183"/>
        <v>0</v>
      </c>
      <c r="R271" s="161"/>
      <c r="S271" s="867">
        <f t="shared" ca="1" si="184"/>
        <v>0</v>
      </c>
      <c r="T271" s="867" cm="1">
        <f t="array" ref="T271">IF($G271=0,0,-MIN(0,$G271*c_equity.LPshare))</f>
        <v>0</v>
      </c>
      <c r="U271" s="869" cm="1">
        <f t="array" ref="U271">IF($D271=0,0,S271*c_rate.Hurdle1.MO)</f>
        <v>0</v>
      </c>
      <c r="V271" s="867">
        <f t="shared" si="185"/>
        <v>0</v>
      </c>
      <c r="W271" s="867">
        <f t="shared" ca="1" si="186"/>
        <v>0</v>
      </c>
      <c r="X271" s="869">
        <f t="shared" ca="1" si="187"/>
        <v>0</v>
      </c>
      <c r="Y271" s="869">
        <f t="shared" ca="1" si="188"/>
        <v>0</v>
      </c>
      <c r="Z271" s="869">
        <f t="shared" ca="1" si="189"/>
        <v>0</v>
      </c>
      <c r="AA271" s="869">
        <f t="shared" ca="1" si="190"/>
        <v>0</v>
      </c>
      <c r="AB271" s="867">
        <f t="shared" ca="1" si="191"/>
        <v>0</v>
      </c>
      <c r="AC271" s="161"/>
      <c r="AD271" s="869">
        <f t="shared" ca="1" si="192"/>
        <v>0</v>
      </c>
      <c r="AE271" s="867" cm="1">
        <f t="array" ref="AE271">IF($G271=0,0,-MIN(0,$G271*c_equity.LPshare))</f>
        <v>0</v>
      </c>
      <c r="AF271" s="869" cm="1">
        <f t="array" ref="AF271">IF($D271=0,0,AD271*(c_rate.Hurdle2.MO))</f>
        <v>0</v>
      </c>
      <c r="AG271" s="869">
        <f t="shared" ca="1" si="193"/>
        <v>0</v>
      </c>
      <c r="AH271" s="869">
        <f t="shared" ca="1" si="194"/>
        <v>0</v>
      </c>
      <c r="AI271" s="869">
        <f t="shared" ca="1" si="195"/>
        <v>0</v>
      </c>
      <c r="AJ271" s="870">
        <f t="shared" ca="1" si="196"/>
        <v>0</v>
      </c>
      <c r="AK271" s="867">
        <f t="shared" ca="1" si="197"/>
        <v>0</v>
      </c>
      <c r="AL271" s="869">
        <f t="shared" ca="1" si="175"/>
        <v>0</v>
      </c>
      <c r="AM271" s="869">
        <f t="shared" ca="1" si="198"/>
        <v>0</v>
      </c>
      <c r="AN271" s="867">
        <f t="shared" ca="1" si="199"/>
        <v>0</v>
      </c>
      <c r="AO271" s="161"/>
      <c r="AP271" s="869">
        <f t="shared" ca="1" si="200"/>
        <v>0</v>
      </c>
      <c r="AQ271" s="867" cm="1">
        <f t="array" ref="AQ271">IF($G271=0,0,-MIN(0,$G271*c_equity.LPshare))</f>
        <v>0</v>
      </c>
      <c r="AR271" s="869" cm="1">
        <f t="array" ref="AR271">IF($D271=0,0,AP271*(c_rate.Hurdle3.MO))</f>
        <v>0</v>
      </c>
      <c r="AS271" s="869">
        <f t="shared" ca="1" si="201"/>
        <v>0</v>
      </c>
      <c r="AT271" s="869">
        <f t="shared" ca="1" si="202"/>
        <v>0</v>
      </c>
      <c r="AU271" s="869">
        <f t="shared" ca="1" si="203"/>
        <v>0</v>
      </c>
      <c r="AV271" s="870">
        <f t="shared" ca="1" si="204"/>
        <v>0</v>
      </c>
      <c r="AW271" s="867">
        <f t="shared" ca="1" si="205"/>
        <v>0</v>
      </c>
      <c r="AX271" s="869">
        <f t="shared" ca="1" si="176"/>
        <v>0</v>
      </c>
      <c r="AY271" s="869">
        <f t="shared" ca="1" si="206"/>
        <v>0</v>
      </c>
      <c r="AZ271" s="867">
        <f t="shared" ca="1" si="207"/>
        <v>0</v>
      </c>
      <c r="BA271" s="161"/>
      <c r="BB271" s="867">
        <f t="shared" ca="1" si="208"/>
        <v>0</v>
      </c>
      <c r="BC271" s="867">
        <f t="shared" ca="1" si="173"/>
        <v>0</v>
      </c>
      <c r="BD271" s="658"/>
      <c r="BE271" s="867">
        <f t="shared" ca="1" si="209"/>
        <v>0</v>
      </c>
      <c r="BF271" s="867">
        <f t="shared" ca="1" si="210"/>
        <v>0</v>
      </c>
      <c r="BG271" s="867">
        <f t="shared" ca="1" si="211"/>
        <v>0</v>
      </c>
      <c r="BI271" s="867">
        <f ca="1"/>
        <v>0</v>
      </c>
      <c r="BJ271" s="867">
        <f ca="1"/>
        <v>0</v>
      </c>
      <c r="BK271" s="867">
        <f ca="1"/>
        <v>0</v>
      </c>
      <c r="BL271" s="867">
        <f t="shared" ca="1" si="212"/>
        <v>0</v>
      </c>
      <c r="BM271" s="867">
        <f t="shared" ca="1" si="213"/>
        <v>0</v>
      </c>
      <c r="BN271" s="867">
        <f t="shared" ca="1" si="214"/>
        <v>0</v>
      </c>
      <c r="BO271" s="867">
        <f t="shared" ca="1" si="215"/>
        <v>0</v>
      </c>
      <c r="BP271" s="867">
        <f t="shared" ca="1" si="216"/>
        <v>0</v>
      </c>
      <c r="BQ271" s="867">
        <f t="shared" ca="1" si="217"/>
        <v>0</v>
      </c>
      <c r="BR271" s="867">
        <f ca="1"/>
        <v>0</v>
      </c>
      <c r="BS271" s="867">
        <f ca="1"/>
        <v>0</v>
      </c>
      <c r="BT271" s="867">
        <f t="shared" ca="1" si="177"/>
        <v>0</v>
      </c>
      <c r="BU271" s="867">
        <f t="shared" ca="1" si="218"/>
        <v>0</v>
      </c>
      <c r="BX271" s="867">
        <f ca="1"/>
        <v>0</v>
      </c>
      <c r="BY271" s="867">
        <f t="shared" ca="1" si="219"/>
        <v>0</v>
      </c>
      <c r="BZ271" s="867">
        <f t="shared" ca="1" si="220"/>
        <v>0</v>
      </c>
      <c r="CA271" s="867">
        <f t="shared" ca="1" si="221"/>
        <v>0</v>
      </c>
      <c r="CB271" s="867">
        <f t="shared" ca="1" si="222"/>
        <v>0</v>
      </c>
      <c r="CC271" s="867">
        <f t="shared" ca="1" si="223"/>
        <v>0</v>
      </c>
      <c r="CD271" s="867">
        <f t="shared" ca="1" si="224"/>
        <v>0</v>
      </c>
    </row>
    <row r="272" spans="1:82" ht="17" hidden="1" thickTop="1" thickBot="1">
      <c r="A272" s="773">
        <f t="shared" si="174"/>
        <v>0</v>
      </c>
      <c r="B272" s="779"/>
      <c r="D272" s="660"/>
      <c r="E272" s="661"/>
      <c r="F272" s="862"/>
      <c r="G272" s="863"/>
      <c r="H272" s="961"/>
      <c r="I272" s="865">
        <f t="shared" si="178"/>
        <v>0</v>
      </c>
      <c r="J272" s="864" cm="1">
        <f t="array" ref="J272">IF($G272=0,0,-MIN(0,G272*c_equity.LPshare))</f>
        <v>0</v>
      </c>
      <c r="K272" s="865" cm="1">
        <f t="array" ref="K272">I272*c_rate.Pref.MO</f>
        <v>0</v>
      </c>
      <c r="L272" s="865">
        <f t="shared" si="179"/>
        <v>0</v>
      </c>
      <c r="M272" s="865">
        <f t="shared" si="180"/>
        <v>0</v>
      </c>
      <c r="N272" s="865">
        <f t="shared" si="181"/>
        <v>0</v>
      </c>
      <c r="O272" s="864" cm="1">
        <f t="array" ref="O272">IF(N272=0,0,IF(G272&lt;0,N272/c_equity.LPshare*i_equity.GPshare,L272/c_equity.LPshare*i_equity.GPshare))</f>
        <v>0</v>
      </c>
      <c r="P272" s="865">
        <f t="shared" si="182"/>
        <v>0</v>
      </c>
      <c r="Q272" s="865">
        <f t="shared" si="183"/>
        <v>0</v>
      </c>
      <c r="R272" s="161"/>
      <c r="S272" s="867">
        <f t="shared" ca="1" si="184"/>
        <v>0</v>
      </c>
      <c r="T272" s="867" cm="1">
        <f t="array" ref="T272">IF($G272=0,0,-MIN(0,$G272*c_equity.LPshare))</f>
        <v>0</v>
      </c>
      <c r="U272" s="869" cm="1">
        <f t="array" ref="U272">IF($D272=0,0,S272*c_rate.Hurdle1.MO)</f>
        <v>0</v>
      </c>
      <c r="V272" s="867">
        <f t="shared" si="185"/>
        <v>0</v>
      </c>
      <c r="W272" s="867">
        <f t="shared" ca="1" si="186"/>
        <v>0</v>
      </c>
      <c r="X272" s="869">
        <f t="shared" ca="1" si="187"/>
        <v>0</v>
      </c>
      <c r="Y272" s="869">
        <f t="shared" ca="1" si="188"/>
        <v>0</v>
      </c>
      <c r="Z272" s="869">
        <f t="shared" ca="1" si="189"/>
        <v>0</v>
      </c>
      <c r="AA272" s="869">
        <f t="shared" ca="1" si="190"/>
        <v>0</v>
      </c>
      <c r="AB272" s="867">
        <f t="shared" ca="1" si="191"/>
        <v>0</v>
      </c>
      <c r="AC272" s="161"/>
      <c r="AD272" s="869">
        <f t="shared" ca="1" si="192"/>
        <v>0</v>
      </c>
      <c r="AE272" s="867" cm="1">
        <f t="array" ref="AE272">IF($G272=0,0,-MIN(0,$G272*c_equity.LPshare))</f>
        <v>0</v>
      </c>
      <c r="AF272" s="869" cm="1">
        <f t="array" ref="AF272">IF($D272=0,0,AD272*(c_rate.Hurdle2.MO))</f>
        <v>0</v>
      </c>
      <c r="AG272" s="869">
        <f t="shared" ca="1" si="193"/>
        <v>0</v>
      </c>
      <c r="AH272" s="869">
        <f t="shared" ca="1" si="194"/>
        <v>0</v>
      </c>
      <c r="AI272" s="869">
        <f t="shared" ca="1" si="195"/>
        <v>0</v>
      </c>
      <c r="AJ272" s="870">
        <f t="shared" ca="1" si="196"/>
        <v>0</v>
      </c>
      <c r="AK272" s="867">
        <f t="shared" ca="1" si="197"/>
        <v>0</v>
      </c>
      <c r="AL272" s="869">
        <f t="shared" ca="1" si="175"/>
        <v>0</v>
      </c>
      <c r="AM272" s="869">
        <f t="shared" ca="1" si="198"/>
        <v>0</v>
      </c>
      <c r="AN272" s="867">
        <f t="shared" ca="1" si="199"/>
        <v>0</v>
      </c>
      <c r="AO272" s="161"/>
      <c r="AP272" s="869">
        <f t="shared" ca="1" si="200"/>
        <v>0</v>
      </c>
      <c r="AQ272" s="867" cm="1">
        <f t="array" ref="AQ272">IF($G272=0,0,-MIN(0,$G272*c_equity.LPshare))</f>
        <v>0</v>
      </c>
      <c r="AR272" s="869" cm="1">
        <f t="array" ref="AR272">IF($D272=0,0,AP272*(c_rate.Hurdle3.MO))</f>
        <v>0</v>
      </c>
      <c r="AS272" s="869">
        <f t="shared" ca="1" si="201"/>
        <v>0</v>
      </c>
      <c r="AT272" s="869">
        <f t="shared" ca="1" si="202"/>
        <v>0</v>
      </c>
      <c r="AU272" s="869">
        <f t="shared" ca="1" si="203"/>
        <v>0</v>
      </c>
      <c r="AV272" s="870">
        <f t="shared" ca="1" si="204"/>
        <v>0</v>
      </c>
      <c r="AW272" s="867">
        <f t="shared" ca="1" si="205"/>
        <v>0</v>
      </c>
      <c r="AX272" s="869">
        <f t="shared" ca="1" si="176"/>
        <v>0</v>
      </c>
      <c r="AY272" s="869">
        <f t="shared" ca="1" si="206"/>
        <v>0</v>
      </c>
      <c r="AZ272" s="867">
        <f t="shared" ca="1" si="207"/>
        <v>0</v>
      </c>
      <c r="BA272" s="161"/>
      <c r="BB272" s="867">
        <f t="shared" ca="1" si="208"/>
        <v>0</v>
      </c>
      <c r="BC272" s="867">
        <f t="shared" ca="1" si="173"/>
        <v>0</v>
      </c>
      <c r="BD272" s="658"/>
      <c r="BE272" s="867">
        <f t="shared" ca="1" si="209"/>
        <v>0</v>
      </c>
      <c r="BF272" s="867">
        <f t="shared" ca="1" si="210"/>
        <v>0</v>
      </c>
      <c r="BG272" s="867">
        <f t="shared" ca="1" si="211"/>
        <v>0</v>
      </c>
      <c r="BI272" s="867">
        <f ca="1"/>
        <v>0</v>
      </c>
      <c r="BJ272" s="867">
        <f ca="1"/>
        <v>0</v>
      </c>
      <c r="BK272" s="867">
        <f ca="1"/>
        <v>0</v>
      </c>
      <c r="BL272" s="867">
        <f t="shared" ca="1" si="212"/>
        <v>0</v>
      </c>
      <c r="BM272" s="867">
        <f t="shared" ca="1" si="213"/>
        <v>0</v>
      </c>
      <c r="BN272" s="867">
        <f t="shared" ca="1" si="214"/>
        <v>0</v>
      </c>
      <c r="BO272" s="867">
        <f t="shared" ca="1" si="215"/>
        <v>0</v>
      </c>
      <c r="BP272" s="867">
        <f t="shared" ca="1" si="216"/>
        <v>0</v>
      </c>
      <c r="BQ272" s="867">
        <f t="shared" ca="1" si="217"/>
        <v>0</v>
      </c>
      <c r="BR272" s="867">
        <f ca="1"/>
        <v>0</v>
      </c>
      <c r="BS272" s="867">
        <f ca="1"/>
        <v>0</v>
      </c>
      <c r="BT272" s="867">
        <f t="shared" ca="1" si="177"/>
        <v>0</v>
      </c>
      <c r="BU272" s="867">
        <f t="shared" ca="1" si="218"/>
        <v>0</v>
      </c>
      <c r="BX272" s="867">
        <f ca="1"/>
        <v>0</v>
      </c>
      <c r="BY272" s="867">
        <f t="shared" ca="1" si="219"/>
        <v>0</v>
      </c>
      <c r="BZ272" s="867">
        <f t="shared" ca="1" si="220"/>
        <v>0</v>
      </c>
      <c r="CA272" s="867">
        <f t="shared" ca="1" si="221"/>
        <v>0</v>
      </c>
      <c r="CB272" s="867">
        <f t="shared" ca="1" si="222"/>
        <v>0</v>
      </c>
      <c r="CC272" s="867">
        <f t="shared" ca="1" si="223"/>
        <v>0</v>
      </c>
      <c r="CD272" s="867">
        <f t="shared" ca="1" si="224"/>
        <v>0</v>
      </c>
    </row>
    <row r="273" spans="1:82" ht="17" hidden="1" thickTop="1" thickBot="1">
      <c r="A273" s="773">
        <f t="shared" si="174"/>
        <v>0</v>
      </c>
      <c r="B273" s="779"/>
      <c r="D273" s="660"/>
      <c r="E273" s="661"/>
      <c r="F273" s="862"/>
      <c r="G273" s="863"/>
      <c r="H273" s="961"/>
      <c r="I273" s="865">
        <f t="shared" si="178"/>
        <v>0</v>
      </c>
      <c r="J273" s="864" cm="1">
        <f t="array" ref="J273">IF($G273=0,0,-MIN(0,G273*c_equity.LPshare))</f>
        <v>0</v>
      </c>
      <c r="K273" s="865" cm="1">
        <f t="array" ref="K273">I273*c_rate.Pref.MO</f>
        <v>0</v>
      </c>
      <c r="L273" s="865">
        <f t="shared" si="179"/>
        <v>0</v>
      </c>
      <c r="M273" s="865">
        <f t="shared" si="180"/>
        <v>0</v>
      </c>
      <c r="N273" s="865">
        <f t="shared" si="181"/>
        <v>0</v>
      </c>
      <c r="O273" s="864" cm="1">
        <f t="array" ref="O273">IF(N273=0,0,IF(G273&lt;0,N273/c_equity.LPshare*i_equity.GPshare,L273/c_equity.LPshare*i_equity.GPshare))</f>
        <v>0</v>
      </c>
      <c r="P273" s="865">
        <f t="shared" si="182"/>
        <v>0</v>
      </c>
      <c r="Q273" s="865">
        <f t="shared" si="183"/>
        <v>0</v>
      </c>
      <c r="R273" s="161"/>
      <c r="S273" s="867">
        <f t="shared" ca="1" si="184"/>
        <v>0</v>
      </c>
      <c r="T273" s="867" cm="1">
        <f t="array" ref="T273">IF($G273=0,0,-MIN(0,$G273*c_equity.LPshare))</f>
        <v>0</v>
      </c>
      <c r="U273" s="869" cm="1">
        <f t="array" ref="U273">IF($D273=0,0,S273*c_rate.Hurdle1.MO)</f>
        <v>0</v>
      </c>
      <c r="V273" s="867">
        <f t="shared" si="185"/>
        <v>0</v>
      </c>
      <c r="W273" s="867">
        <f t="shared" ca="1" si="186"/>
        <v>0</v>
      </c>
      <c r="X273" s="869">
        <f t="shared" ca="1" si="187"/>
        <v>0</v>
      </c>
      <c r="Y273" s="869">
        <f t="shared" ca="1" si="188"/>
        <v>0</v>
      </c>
      <c r="Z273" s="869">
        <f t="shared" ca="1" si="189"/>
        <v>0</v>
      </c>
      <c r="AA273" s="869">
        <f t="shared" ca="1" si="190"/>
        <v>0</v>
      </c>
      <c r="AB273" s="867">
        <f t="shared" ca="1" si="191"/>
        <v>0</v>
      </c>
      <c r="AC273" s="161"/>
      <c r="AD273" s="869">
        <f t="shared" ca="1" si="192"/>
        <v>0</v>
      </c>
      <c r="AE273" s="867" cm="1">
        <f t="array" ref="AE273">IF($G273=0,0,-MIN(0,$G273*c_equity.LPshare))</f>
        <v>0</v>
      </c>
      <c r="AF273" s="869" cm="1">
        <f t="array" ref="AF273">IF($D273=0,0,AD273*(c_rate.Hurdle2.MO))</f>
        <v>0</v>
      </c>
      <c r="AG273" s="869">
        <f t="shared" ca="1" si="193"/>
        <v>0</v>
      </c>
      <c r="AH273" s="869">
        <f t="shared" ca="1" si="194"/>
        <v>0</v>
      </c>
      <c r="AI273" s="869">
        <f t="shared" ca="1" si="195"/>
        <v>0</v>
      </c>
      <c r="AJ273" s="870">
        <f t="shared" ca="1" si="196"/>
        <v>0</v>
      </c>
      <c r="AK273" s="867">
        <f t="shared" ca="1" si="197"/>
        <v>0</v>
      </c>
      <c r="AL273" s="869">
        <f t="shared" ca="1" si="175"/>
        <v>0</v>
      </c>
      <c r="AM273" s="869">
        <f t="shared" ca="1" si="198"/>
        <v>0</v>
      </c>
      <c r="AN273" s="867">
        <f t="shared" ca="1" si="199"/>
        <v>0</v>
      </c>
      <c r="AO273" s="161"/>
      <c r="AP273" s="869">
        <f t="shared" ca="1" si="200"/>
        <v>0</v>
      </c>
      <c r="AQ273" s="867" cm="1">
        <f t="array" ref="AQ273">IF($G273=0,0,-MIN(0,$G273*c_equity.LPshare))</f>
        <v>0</v>
      </c>
      <c r="AR273" s="869" cm="1">
        <f t="array" ref="AR273">IF($D273=0,0,AP273*(c_rate.Hurdle3.MO))</f>
        <v>0</v>
      </c>
      <c r="AS273" s="869">
        <f t="shared" ca="1" si="201"/>
        <v>0</v>
      </c>
      <c r="AT273" s="869">
        <f t="shared" ca="1" si="202"/>
        <v>0</v>
      </c>
      <c r="AU273" s="869">
        <f t="shared" ca="1" si="203"/>
        <v>0</v>
      </c>
      <c r="AV273" s="870">
        <f t="shared" ca="1" si="204"/>
        <v>0</v>
      </c>
      <c r="AW273" s="867">
        <f t="shared" ca="1" si="205"/>
        <v>0</v>
      </c>
      <c r="AX273" s="869">
        <f t="shared" ca="1" si="176"/>
        <v>0</v>
      </c>
      <c r="AY273" s="869">
        <f t="shared" ca="1" si="206"/>
        <v>0</v>
      </c>
      <c r="AZ273" s="867">
        <f t="shared" ca="1" si="207"/>
        <v>0</v>
      </c>
      <c r="BA273" s="161"/>
      <c r="BB273" s="867">
        <f t="shared" ca="1" si="208"/>
        <v>0</v>
      </c>
      <c r="BC273" s="867">
        <f t="shared" ca="1" si="173"/>
        <v>0</v>
      </c>
      <c r="BD273" s="658"/>
      <c r="BE273" s="867">
        <f t="shared" ca="1" si="209"/>
        <v>0</v>
      </c>
      <c r="BF273" s="867">
        <f t="shared" ca="1" si="210"/>
        <v>0</v>
      </c>
      <c r="BG273" s="867">
        <f t="shared" ca="1" si="211"/>
        <v>0</v>
      </c>
      <c r="BI273" s="867">
        <f ca="1"/>
        <v>0</v>
      </c>
      <c r="BJ273" s="867">
        <f ca="1"/>
        <v>0</v>
      </c>
      <c r="BK273" s="867">
        <f ca="1"/>
        <v>0</v>
      </c>
      <c r="BL273" s="867">
        <f t="shared" ca="1" si="212"/>
        <v>0</v>
      </c>
      <c r="BM273" s="867">
        <f t="shared" ca="1" si="213"/>
        <v>0</v>
      </c>
      <c r="BN273" s="867">
        <f t="shared" ca="1" si="214"/>
        <v>0</v>
      </c>
      <c r="BO273" s="867">
        <f t="shared" ca="1" si="215"/>
        <v>0</v>
      </c>
      <c r="BP273" s="867">
        <f t="shared" ca="1" si="216"/>
        <v>0</v>
      </c>
      <c r="BQ273" s="867">
        <f t="shared" ca="1" si="217"/>
        <v>0</v>
      </c>
      <c r="BR273" s="867">
        <f ca="1"/>
        <v>0</v>
      </c>
      <c r="BS273" s="867">
        <f ca="1"/>
        <v>0</v>
      </c>
      <c r="BT273" s="867">
        <f t="shared" ca="1" si="177"/>
        <v>0</v>
      </c>
      <c r="BU273" s="867">
        <f t="shared" ca="1" si="218"/>
        <v>0</v>
      </c>
      <c r="BX273" s="867">
        <f ca="1"/>
        <v>0</v>
      </c>
      <c r="BY273" s="867">
        <f t="shared" ca="1" si="219"/>
        <v>0</v>
      </c>
      <c r="BZ273" s="867">
        <f t="shared" ca="1" si="220"/>
        <v>0</v>
      </c>
      <c r="CA273" s="867">
        <f t="shared" ca="1" si="221"/>
        <v>0</v>
      </c>
      <c r="CB273" s="867">
        <f t="shared" ca="1" si="222"/>
        <v>0</v>
      </c>
      <c r="CC273" s="867">
        <f t="shared" ca="1" si="223"/>
        <v>0</v>
      </c>
      <c r="CD273" s="867">
        <f t="shared" ca="1" si="224"/>
        <v>0</v>
      </c>
    </row>
    <row r="274" spans="1:82" ht="17" hidden="1" thickTop="1" thickBot="1">
      <c r="A274" s="773">
        <f t="shared" si="174"/>
        <v>0</v>
      </c>
      <c r="B274" s="779"/>
      <c r="D274" s="660"/>
      <c r="E274" s="661"/>
      <c r="F274" s="862"/>
      <c r="G274" s="863"/>
      <c r="H274" s="961"/>
      <c r="I274" s="865">
        <f t="shared" si="178"/>
        <v>0</v>
      </c>
      <c r="J274" s="864" cm="1">
        <f t="array" ref="J274">IF($G274=0,0,-MIN(0,G274*c_equity.LPshare))</f>
        <v>0</v>
      </c>
      <c r="K274" s="865" cm="1">
        <f t="array" ref="K274">I274*c_rate.Pref.MO</f>
        <v>0</v>
      </c>
      <c r="L274" s="865">
        <f t="shared" si="179"/>
        <v>0</v>
      </c>
      <c r="M274" s="865">
        <f t="shared" si="180"/>
        <v>0</v>
      </c>
      <c r="N274" s="865">
        <f t="shared" si="181"/>
        <v>0</v>
      </c>
      <c r="O274" s="864" cm="1">
        <f t="array" ref="O274">IF(N274=0,0,IF(G274&lt;0,N274/c_equity.LPshare*i_equity.GPshare,L274/c_equity.LPshare*i_equity.GPshare))</f>
        <v>0</v>
      </c>
      <c r="P274" s="865">
        <f t="shared" si="182"/>
        <v>0</v>
      </c>
      <c r="Q274" s="865">
        <f t="shared" si="183"/>
        <v>0</v>
      </c>
      <c r="R274" s="161"/>
      <c r="S274" s="867">
        <f t="shared" ca="1" si="184"/>
        <v>0</v>
      </c>
      <c r="T274" s="867" cm="1">
        <f t="array" ref="T274">IF($G274=0,0,-MIN(0,$G274*c_equity.LPshare))</f>
        <v>0</v>
      </c>
      <c r="U274" s="869" cm="1">
        <f t="array" ref="U274">IF($D274=0,0,S274*c_rate.Hurdle1.MO)</f>
        <v>0</v>
      </c>
      <c r="V274" s="867">
        <f t="shared" si="185"/>
        <v>0</v>
      </c>
      <c r="W274" s="867">
        <f t="shared" ca="1" si="186"/>
        <v>0</v>
      </c>
      <c r="X274" s="869">
        <f t="shared" ca="1" si="187"/>
        <v>0</v>
      </c>
      <c r="Y274" s="869">
        <f t="shared" ca="1" si="188"/>
        <v>0</v>
      </c>
      <c r="Z274" s="869">
        <f t="shared" ca="1" si="189"/>
        <v>0</v>
      </c>
      <c r="AA274" s="869">
        <f t="shared" ca="1" si="190"/>
        <v>0</v>
      </c>
      <c r="AB274" s="867">
        <f t="shared" ca="1" si="191"/>
        <v>0</v>
      </c>
      <c r="AC274" s="161"/>
      <c r="AD274" s="869">
        <f t="shared" ca="1" si="192"/>
        <v>0</v>
      </c>
      <c r="AE274" s="867" cm="1">
        <f t="array" ref="AE274">IF($G274=0,0,-MIN(0,$G274*c_equity.LPshare))</f>
        <v>0</v>
      </c>
      <c r="AF274" s="869" cm="1">
        <f t="array" ref="AF274">IF($D274=0,0,AD274*(c_rate.Hurdle2.MO))</f>
        <v>0</v>
      </c>
      <c r="AG274" s="869">
        <f t="shared" ca="1" si="193"/>
        <v>0</v>
      </c>
      <c r="AH274" s="869">
        <f t="shared" ca="1" si="194"/>
        <v>0</v>
      </c>
      <c r="AI274" s="869">
        <f t="shared" ca="1" si="195"/>
        <v>0</v>
      </c>
      <c r="AJ274" s="870">
        <f t="shared" ca="1" si="196"/>
        <v>0</v>
      </c>
      <c r="AK274" s="867">
        <f t="shared" ca="1" si="197"/>
        <v>0</v>
      </c>
      <c r="AL274" s="869">
        <f t="shared" ca="1" si="175"/>
        <v>0</v>
      </c>
      <c r="AM274" s="869">
        <f t="shared" ca="1" si="198"/>
        <v>0</v>
      </c>
      <c r="AN274" s="867">
        <f t="shared" ca="1" si="199"/>
        <v>0</v>
      </c>
      <c r="AO274" s="161"/>
      <c r="AP274" s="869">
        <f t="shared" ca="1" si="200"/>
        <v>0</v>
      </c>
      <c r="AQ274" s="867" cm="1">
        <f t="array" ref="AQ274">IF($G274=0,0,-MIN(0,$G274*c_equity.LPshare))</f>
        <v>0</v>
      </c>
      <c r="AR274" s="869" cm="1">
        <f t="array" ref="AR274">IF($D274=0,0,AP274*(c_rate.Hurdle3.MO))</f>
        <v>0</v>
      </c>
      <c r="AS274" s="869">
        <f t="shared" ca="1" si="201"/>
        <v>0</v>
      </c>
      <c r="AT274" s="869">
        <f t="shared" ca="1" si="202"/>
        <v>0</v>
      </c>
      <c r="AU274" s="869">
        <f t="shared" ca="1" si="203"/>
        <v>0</v>
      </c>
      <c r="AV274" s="870">
        <f t="shared" ca="1" si="204"/>
        <v>0</v>
      </c>
      <c r="AW274" s="867">
        <f t="shared" ca="1" si="205"/>
        <v>0</v>
      </c>
      <c r="AX274" s="869">
        <f t="shared" ca="1" si="176"/>
        <v>0</v>
      </c>
      <c r="AY274" s="869">
        <f t="shared" ca="1" si="206"/>
        <v>0</v>
      </c>
      <c r="AZ274" s="867">
        <f t="shared" ca="1" si="207"/>
        <v>0</v>
      </c>
      <c r="BA274" s="161"/>
      <c r="BB274" s="867">
        <f t="shared" ca="1" si="208"/>
        <v>0</v>
      </c>
      <c r="BC274" s="867">
        <f t="shared" ca="1" si="173"/>
        <v>0</v>
      </c>
      <c r="BD274" s="658"/>
      <c r="BE274" s="867">
        <f t="shared" ca="1" si="209"/>
        <v>0</v>
      </c>
      <c r="BF274" s="867">
        <f t="shared" ca="1" si="210"/>
        <v>0</v>
      </c>
      <c r="BG274" s="867">
        <f t="shared" ca="1" si="211"/>
        <v>0</v>
      </c>
      <c r="BI274" s="867">
        <f ca="1"/>
        <v>0</v>
      </c>
      <c r="BJ274" s="867">
        <f ca="1"/>
        <v>0</v>
      </c>
      <c r="BK274" s="867">
        <f ca="1"/>
        <v>0</v>
      </c>
      <c r="BL274" s="867">
        <f t="shared" ca="1" si="212"/>
        <v>0</v>
      </c>
      <c r="BM274" s="867">
        <f t="shared" ca="1" si="213"/>
        <v>0</v>
      </c>
      <c r="BN274" s="867">
        <f t="shared" ca="1" si="214"/>
        <v>0</v>
      </c>
      <c r="BO274" s="867">
        <f t="shared" ca="1" si="215"/>
        <v>0</v>
      </c>
      <c r="BP274" s="867">
        <f t="shared" ca="1" si="216"/>
        <v>0</v>
      </c>
      <c r="BQ274" s="867">
        <f t="shared" ca="1" si="217"/>
        <v>0</v>
      </c>
      <c r="BR274" s="867">
        <f ca="1"/>
        <v>0</v>
      </c>
      <c r="BS274" s="867">
        <f ca="1"/>
        <v>0</v>
      </c>
      <c r="BT274" s="867">
        <f t="shared" ca="1" si="177"/>
        <v>0</v>
      </c>
      <c r="BU274" s="867">
        <f t="shared" ca="1" si="218"/>
        <v>0</v>
      </c>
      <c r="BX274" s="867">
        <f ca="1"/>
        <v>0</v>
      </c>
      <c r="BY274" s="867">
        <f t="shared" ca="1" si="219"/>
        <v>0</v>
      </c>
      <c r="BZ274" s="867">
        <f t="shared" ca="1" si="220"/>
        <v>0</v>
      </c>
      <c r="CA274" s="867">
        <f t="shared" ca="1" si="221"/>
        <v>0</v>
      </c>
      <c r="CB274" s="867">
        <f t="shared" ca="1" si="222"/>
        <v>0</v>
      </c>
      <c r="CC274" s="867">
        <f t="shared" ca="1" si="223"/>
        <v>0</v>
      </c>
      <c r="CD274" s="867">
        <f t="shared" ca="1" si="224"/>
        <v>0</v>
      </c>
    </row>
    <row r="275" spans="1:82" ht="17" hidden="1" thickTop="1" thickBot="1">
      <c r="A275" s="773">
        <f t="shared" si="174"/>
        <v>0</v>
      </c>
      <c r="B275" s="779"/>
      <c r="D275" s="660"/>
      <c r="E275" s="661"/>
      <c r="F275" s="862"/>
      <c r="G275" s="863"/>
      <c r="H275" s="961"/>
      <c r="I275" s="865">
        <f t="shared" si="178"/>
        <v>0</v>
      </c>
      <c r="J275" s="864" cm="1">
        <f t="array" ref="J275">IF($G275=0,0,-MIN(0,G275*c_equity.LPshare))</f>
        <v>0</v>
      </c>
      <c r="K275" s="865" cm="1">
        <f t="array" ref="K275">I275*c_rate.Pref.MO</f>
        <v>0</v>
      </c>
      <c r="L275" s="865">
        <f t="shared" si="179"/>
        <v>0</v>
      </c>
      <c r="M275" s="865">
        <f t="shared" si="180"/>
        <v>0</v>
      </c>
      <c r="N275" s="865">
        <f t="shared" si="181"/>
        <v>0</v>
      </c>
      <c r="O275" s="864" cm="1">
        <f t="array" ref="O275">IF(N275=0,0,IF(G275&lt;0,N275/c_equity.LPshare*i_equity.GPshare,L275/c_equity.LPshare*i_equity.GPshare))</f>
        <v>0</v>
      </c>
      <c r="P275" s="865">
        <f t="shared" si="182"/>
        <v>0</v>
      </c>
      <c r="Q275" s="865">
        <f t="shared" si="183"/>
        <v>0</v>
      </c>
      <c r="R275" s="161"/>
      <c r="S275" s="867">
        <f t="shared" ca="1" si="184"/>
        <v>0</v>
      </c>
      <c r="T275" s="867" cm="1">
        <f t="array" ref="T275">IF($G275=0,0,-MIN(0,$G275*c_equity.LPshare))</f>
        <v>0</v>
      </c>
      <c r="U275" s="869" cm="1">
        <f t="array" ref="U275">IF($D275=0,0,S275*c_rate.Hurdle1.MO)</f>
        <v>0</v>
      </c>
      <c r="V275" s="867">
        <f t="shared" si="185"/>
        <v>0</v>
      </c>
      <c r="W275" s="867">
        <f t="shared" ca="1" si="186"/>
        <v>0</v>
      </c>
      <c r="X275" s="869">
        <f t="shared" ca="1" si="187"/>
        <v>0</v>
      </c>
      <c r="Y275" s="869">
        <f t="shared" ca="1" si="188"/>
        <v>0</v>
      </c>
      <c r="Z275" s="869">
        <f t="shared" ca="1" si="189"/>
        <v>0</v>
      </c>
      <c r="AA275" s="869">
        <f t="shared" ca="1" si="190"/>
        <v>0</v>
      </c>
      <c r="AB275" s="867">
        <f t="shared" ca="1" si="191"/>
        <v>0</v>
      </c>
      <c r="AC275" s="161"/>
      <c r="AD275" s="869">
        <f t="shared" ca="1" si="192"/>
        <v>0</v>
      </c>
      <c r="AE275" s="867" cm="1">
        <f t="array" ref="AE275">IF($G275=0,0,-MIN(0,$G275*c_equity.LPshare))</f>
        <v>0</v>
      </c>
      <c r="AF275" s="869" cm="1">
        <f t="array" ref="AF275">IF($D275=0,0,AD275*(c_rate.Hurdle2.MO))</f>
        <v>0</v>
      </c>
      <c r="AG275" s="869">
        <f t="shared" ca="1" si="193"/>
        <v>0</v>
      </c>
      <c r="AH275" s="869">
        <f t="shared" ca="1" si="194"/>
        <v>0</v>
      </c>
      <c r="AI275" s="869">
        <f t="shared" ca="1" si="195"/>
        <v>0</v>
      </c>
      <c r="AJ275" s="870">
        <f t="shared" ca="1" si="196"/>
        <v>0</v>
      </c>
      <c r="AK275" s="867">
        <f t="shared" ca="1" si="197"/>
        <v>0</v>
      </c>
      <c r="AL275" s="869">
        <f t="shared" ca="1" si="175"/>
        <v>0</v>
      </c>
      <c r="AM275" s="869">
        <f t="shared" ca="1" si="198"/>
        <v>0</v>
      </c>
      <c r="AN275" s="867">
        <f t="shared" ca="1" si="199"/>
        <v>0</v>
      </c>
      <c r="AO275" s="161"/>
      <c r="AP275" s="869">
        <f t="shared" ca="1" si="200"/>
        <v>0</v>
      </c>
      <c r="AQ275" s="867" cm="1">
        <f t="array" ref="AQ275">IF($G275=0,0,-MIN(0,$G275*c_equity.LPshare))</f>
        <v>0</v>
      </c>
      <c r="AR275" s="869" cm="1">
        <f t="array" ref="AR275">IF($D275=0,0,AP275*(c_rate.Hurdle3.MO))</f>
        <v>0</v>
      </c>
      <c r="AS275" s="869">
        <f t="shared" ca="1" si="201"/>
        <v>0</v>
      </c>
      <c r="AT275" s="869">
        <f t="shared" ca="1" si="202"/>
        <v>0</v>
      </c>
      <c r="AU275" s="869">
        <f t="shared" ca="1" si="203"/>
        <v>0</v>
      </c>
      <c r="AV275" s="870">
        <f t="shared" ca="1" si="204"/>
        <v>0</v>
      </c>
      <c r="AW275" s="867">
        <f t="shared" ca="1" si="205"/>
        <v>0</v>
      </c>
      <c r="AX275" s="869">
        <f t="shared" ca="1" si="176"/>
        <v>0</v>
      </c>
      <c r="AY275" s="869">
        <f t="shared" ca="1" si="206"/>
        <v>0</v>
      </c>
      <c r="AZ275" s="867">
        <f t="shared" ca="1" si="207"/>
        <v>0</v>
      </c>
      <c r="BA275" s="161"/>
      <c r="BB275" s="867">
        <f t="shared" ca="1" si="208"/>
        <v>0</v>
      </c>
      <c r="BC275" s="867">
        <f t="shared" ca="1" si="173"/>
        <v>0</v>
      </c>
      <c r="BD275" s="658"/>
      <c r="BE275" s="867">
        <f t="shared" ca="1" si="209"/>
        <v>0</v>
      </c>
      <c r="BF275" s="867">
        <f t="shared" ca="1" si="210"/>
        <v>0</v>
      </c>
      <c r="BG275" s="867">
        <f t="shared" ca="1" si="211"/>
        <v>0</v>
      </c>
      <c r="BI275" s="867">
        <f ca="1"/>
        <v>0</v>
      </c>
      <c r="BJ275" s="867">
        <f ca="1"/>
        <v>0</v>
      </c>
      <c r="BK275" s="867">
        <f ca="1"/>
        <v>0</v>
      </c>
      <c r="BL275" s="867">
        <f t="shared" ca="1" si="212"/>
        <v>0</v>
      </c>
      <c r="BM275" s="867">
        <f t="shared" ca="1" si="213"/>
        <v>0</v>
      </c>
      <c r="BN275" s="867">
        <f t="shared" ca="1" si="214"/>
        <v>0</v>
      </c>
      <c r="BO275" s="867">
        <f t="shared" ca="1" si="215"/>
        <v>0</v>
      </c>
      <c r="BP275" s="867">
        <f t="shared" ca="1" si="216"/>
        <v>0</v>
      </c>
      <c r="BQ275" s="867">
        <f t="shared" ca="1" si="217"/>
        <v>0</v>
      </c>
      <c r="BR275" s="867">
        <f ca="1"/>
        <v>0</v>
      </c>
      <c r="BS275" s="867">
        <f ca="1"/>
        <v>0</v>
      </c>
      <c r="BT275" s="867">
        <f t="shared" ca="1" si="177"/>
        <v>0</v>
      </c>
      <c r="BU275" s="867">
        <f t="shared" ca="1" si="218"/>
        <v>0</v>
      </c>
      <c r="BX275" s="867">
        <f ca="1"/>
        <v>0</v>
      </c>
      <c r="BY275" s="867">
        <f t="shared" ca="1" si="219"/>
        <v>0</v>
      </c>
      <c r="BZ275" s="867">
        <f t="shared" ca="1" si="220"/>
        <v>0</v>
      </c>
      <c r="CA275" s="867">
        <f t="shared" ca="1" si="221"/>
        <v>0</v>
      </c>
      <c r="CB275" s="867">
        <f t="shared" ca="1" si="222"/>
        <v>0</v>
      </c>
      <c r="CC275" s="867">
        <f t="shared" ca="1" si="223"/>
        <v>0</v>
      </c>
      <c r="CD275" s="867">
        <f t="shared" ca="1" si="224"/>
        <v>0</v>
      </c>
    </row>
    <row r="276" spans="1:82" ht="17" hidden="1" thickTop="1" thickBot="1">
      <c r="A276" s="773">
        <f t="shared" si="174"/>
        <v>0</v>
      </c>
      <c r="B276" s="779"/>
      <c r="D276" s="660"/>
      <c r="E276" s="661"/>
      <c r="F276" s="862"/>
      <c r="G276" s="863"/>
      <c r="H276" s="961"/>
      <c r="I276" s="865">
        <f t="shared" si="178"/>
        <v>0</v>
      </c>
      <c r="J276" s="864" cm="1">
        <f t="array" ref="J276">IF($G276=0,0,-MIN(0,G276*c_equity.LPshare))</f>
        <v>0</v>
      </c>
      <c r="K276" s="865" cm="1">
        <f t="array" ref="K276">I276*c_rate.Pref.MO</f>
        <v>0</v>
      </c>
      <c r="L276" s="865">
        <f t="shared" si="179"/>
        <v>0</v>
      </c>
      <c r="M276" s="865">
        <f t="shared" si="180"/>
        <v>0</v>
      </c>
      <c r="N276" s="865">
        <f t="shared" si="181"/>
        <v>0</v>
      </c>
      <c r="O276" s="864" cm="1">
        <f t="array" ref="O276">IF(N276=0,0,IF(G276&lt;0,N276/c_equity.LPshare*i_equity.GPshare,L276/c_equity.LPshare*i_equity.GPshare))</f>
        <v>0</v>
      </c>
      <c r="P276" s="865">
        <f t="shared" si="182"/>
        <v>0</v>
      </c>
      <c r="Q276" s="865">
        <f t="shared" si="183"/>
        <v>0</v>
      </c>
      <c r="R276" s="161"/>
      <c r="S276" s="867">
        <f t="shared" ca="1" si="184"/>
        <v>0</v>
      </c>
      <c r="T276" s="867" cm="1">
        <f t="array" ref="T276">IF($G276=0,0,-MIN(0,$G276*c_equity.LPshare))</f>
        <v>0</v>
      </c>
      <c r="U276" s="869" cm="1">
        <f t="array" ref="U276">IF($D276=0,0,S276*c_rate.Hurdle1.MO)</f>
        <v>0</v>
      </c>
      <c r="V276" s="867">
        <f t="shared" si="185"/>
        <v>0</v>
      </c>
      <c r="W276" s="867">
        <f t="shared" ca="1" si="186"/>
        <v>0</v>
      </c>
      <c r="X276" s="869">
        <f t="shared" ca="1" si="187"/>
        <v>0</v>
      </c>
      <c r="Y276" s="869">
        <f t="shared" ca="1" si="188"/>
        <v>0</v>
      </c>
      <c r="Z276" s="869">
        <f t="shared" ca="1" si="189"/>
        <v>0</v>
      </c>
      <c r="AA276" s="869">
        <f t="shared" ca="1" si="190"/>
        <v>0</v>
      </c>
      <c r="AB276" s="867">
        <f t="shared" ca="1" si="191"/>
        <v>0</v>
      </c>
      <c r="AC276" s="161"/>
      <c r="AD276" s="869">
        <f t="shared" ca="1" si="192"/>
        <v>0</v>
      </c>
      <c r="AE276" s="867" cm="1">
        <f t="array" ref="AE276">IF($G276=0,0,-MIN(0,$G276*c_equity.LPshare))</f>
        <v>0</v>
      </c>
      <c r="AF276" s="869" cm="1">
        <f t="array" ref="AF276">IF($D276=0,0,AD276*(c_rate.Hurdle2.MO))</f>
        <v>0</v>
      </c>
      <c r="AG276" s="869">
        <f t="shared" ca="1" si="193"/>
        <v>0</v>
      </c>
      <c r="AH276" s="869">
        <f t="shared" ca="1" si="194"/>
        <v>0</v>
      </c>
      <c r="AI276" s="869">
        <f t="shared" ca="1" si="195"/>
        <v>0</v>
      </c>
      <c r="AJ276" s="870">
        <f t="shared" ca="1" si="196"/>
        <v>0</v>
      </c>
      <c r="AK276" s="867">
        <f t="shared" ca="1" si="197"/>
        <v>0</v>
      </c>
      <c r="AL276" s="869">
        <f t="shared" ca="1" si="175"/>
        <v>0</v>
      </c>
      <c r="AM276" s="869">
        <f t="shared" ca="1" si="198"/>
        <v>0</v>
      </c>
      <c r="AN276" s="867">
        <f t="shared" ca="1" si="199"/>
        <v>0</v>
      </c>
      <c r="AO276" s="161"/>
      <c r="AP276" s="869">
        <f t="shared" ca="1" si="200"/>
        <v>0</v>
      </c>
      <c r="AQ276" s="867" cm="1">
        <f t="array" ref="AQ276">IF($G276=0,0,-MIN(0,$G276*c_equity.LPshare))</f>
        <v>0</v>
      </c>
      <c r="AR276" s="869" cm="1">
        <f t="array" ref="AR276">IF($D276=0,0,AP276*(c_rate.Hurdle3.MO))</f>
        <v>0</v>
      </c>
      <c r="AS276" s="869">
        <f t="shared" ca="1" si="201"/>
        <v>0</v>
      </c>
      <c r="AT276" s="869">
        <f t="shared" ca="1" si="202"/>
        <v>0</v>
      </c>
      <c r="AU276" s="869">
        <f t="shared" ca="1" si="203"/>
        <v>0</v>
      </c>
      <c r="AV276" s="870">
        <f t="shared" ca="1" si="204"/>
        <v>0</v>
      </c>
      <c r="AW276" s="867">
        <f t="shared" ca="1" si="205"/>
        <v>0</v>
      </c>
      <c r="AX276" s="869">
        <f t="shared" ca="1" si="176"/>
        <v>0</v>
      </c>
      <c r="AY276" s="869">
        <f t="shared" ca="1" si="206"/>
        <v>0</v>
      </c>
      <c r="AZ276" s="867">
        <f t="shared" ca="1" si="207"/>
        <v>0</v>
      </c>
      <c r="BA276" s="161"/>
      <c r="BB276" s="867">
        <f t="shared" ca="1" si="208"/>
        <v>0</v>
      </c>
      <c r="BC276" s="867">
        <f t="shared" ca="1" si="173"/>
        <v>0</v>
      </c>
      <c r="BD276" s="658"/>
      <c r="BE276" s="867">
        <f t="shared" ca="1" si="209"/>
        <v>0</v>
      </c>
      <c r="BF276" s="867">
        <f t="shared" ca="1" si="210"/>
        <v>0</v>
      </c>
      <c r="BG276" s="867">
        <f t="shared" ca="1" si="211"/>
        <v>0</v>
      </c>
      <c r="BI276" s="867">
        <f ca="1"/>
        <v>0</v>
      </c>
      <c r="BJ276" s="867">
        <f ca="1"/>
        <v>0</v>
      </c>
      <c r="BK276" s="867">
        <f ca="1"/>
        <v>0</v>
      </c>
      <c r="BL276" s="867">
        <f t="shared" ca="1" si="212"/>
        <v>0</v>
      </c>
      <c r="BM276" s="867">
        <f t="shared" ca="1" si="213"/>
        <v>0</v>
      </c>
      <c r="BN276" s="867">
        <f t="shared" ca="1" si="214"/>
        <v>0</v>
      </c>
      <c r="BO276" s="867">
        <f t="shared" ca="1" si="215"/>
        <v>0</v>
      </c>
      <c r="BP276" s="867">
        <f t="shared" ca="1" si="216"/>
        <v>0</v>
      </c>
      <c r="BQ276" s="867">
        <f t="shared" ca="1" si="217"/>
        <v>0</v>
      </c>
      <c r="BR276" s="867">
        <f ca="1"/>
        <v>0</v>
      </c>
      <c r="BS276" s="867">
        <f ca="1"/>
        <v>0</v>
      </c>
      <c r="BT276" s="867">
        <f t="shared" ca="1" si="177"/>
        <v>0</v>
      </c>
      <c r="BU276" s="867">
        <f t="shared" ca="1" si="218"/>
        <v>0</v>
      </c>
      <c r="BX276" s="867">
        <f ca="1"/>
        <v>0</v>
      </c>
      <c r="BY276" s="867">
        <f t="shared" ca="1" si="219"/>
        <v>0</v>
      </c>
      <c r="BZ276" s="867">
        <f t="shared" ca="1" si="220"/>
        <v>0</v>
      </c>
      <c r="CA276" s="867">
        <f t="shared" ca="1" si="221"/>
        <v>0</v>
      </c>
      <c r="CB276" s="867">
        <f t="shared" ca="1" si="222"/>
        <v>0</v>
      </c>
      <c r="CC276" s="867">
        <f t="shared" ca="1" si="223"/>
        <v>0</v>
      </c>
      <c r="CD276" s="867">
        <f t="shared" ca="1" si="224"/>
        <v>0</v>
      </c>
    </row>
    <row r="277" spans="1:82" ht="17" hidden="1" thickTop="1" thickBot="1">
      <c r="A277" s="773">
        <f t="shared" si="174"/>
        <v>0</v>
      </c>
      <c r="B277" s="779"/>
      <c r="D277" s="660"/>
      <c r="E277" s="661"/>
      <c r="F277" s="862"/>
      <c r="G277" s="863"/>
      <c r="H277" s="961"/>
      <c r="I277" s="865">
        <f t="shared" si="178"/>
        <v>0</v>
      </c>
      <c r="J277" s="864" cm="1">
        <f t="array" ref="J277">IF($G277=0,0,-MIN(0,G277*c_equity.LPshare))</f>
        <v>0</v>
      </c>
      <c r="K277" s="865" cm="1">
        <f t="array" ref="K277">I277*c_rate.Pref.MO</f>
        <v>0</v>
      </c>
      <c r="L277" s="865">
        <f t="shared" si="179"/>
        <v>0</v>
      </c>
      <c r="M277" s="865">
        <f t="shared" si="180"/>
        <v>0</v>
      </c>
      <c r="N277" s="865">
        <f t="shared" si="181"/>
        <v>0</v>
      </c>
      <c r="O277" s="864" cm="1">
        <f t="array" ref="O277">IF(N277=0,0,IF(G277&lt;0,N277/c_equity.LPshare*i_equity.GPshare,L277/c_equity.LPshare*i_equity.GPshare))</f>
        <v>0</v>
      </c>
      <c r="P277" s="865">
        <f t="shared" si="182"/>
        <v>0</v>
      </c>
      <c r="Q277" s="865">
        <f t="shared" si="183"/>
        <v>0</v>
      </c>
      <c r="R277" s="161"/>
      <c r="S277" s="867">
        <f t="shared" ca="1" si="184"/>
        <v>0</v>
      </c>
      <c r="T277" s="867" cm="1">
        <f t="array" ref="T277">IF($G277=0,0,-MIN(0,$G277*c_equity.LPshare))</f>
        <v>0</v>
      </c>
      <c r="U277" s="869" cm="1">
        <f t="array" ref="U277">IF($D277=0,0,S277*c_rate.Hurdle1.MO)</f>
        <v>0</v>
      </c>
      <c r="V277" s="867">
        <f t="shared" si="185"/>
        <v>0</v>
      </c>
      <c r="W277" s="867">
        <f t="shared" ca="1" si="186"/>
        <v>0</v>
      </c>
      <c r="X277" s="869">
        <f t="shared" ca="1" si="187"/>
        <v>0</v>
      </c>
      <c r="Y277" s="869">
        <f t="shared" ca="1" si="188"/>
        <v>0</v>
      </c>
      <c r="Z277" s="869">
        <f t="shared" ca="1" si="189"/>
        <v>0</v>
      </c>
      <c r="AA277" s="869">
        <f t="shared" ca="1" si="190"/>
        <v>0</v>
      </c>
      <c r="AB277" s="867">
        <f t="shared" ca="1" si="191"/>
        <v>0</v>
      </c>
      <c r="AC277" s="161"/>
      <c r="AD277" s="869">
        <f t="shared" ca="1" si="192"/>
        <v>0</v>
      </c>
      <c r="AE277" s="867" cm="1">
        <f t="array" ref="AE277">IF($G277=0,0,-MIN(0,$G277*c_equity.LPshare))</f>
        <v>0</v>
      </c>
      <c r="AF277" s="869" cm="1">
        <f t="array" ref="AF277">IF($D277=0,0,AD277*(c_rate.Hurdle2.MO))</f>
        <v>0</v>
      </c>
      <c r="AG277" s="869">
        <f t="shared" ca="1" si="193"/>
        <v>0</v>
      </c>
      <c r="AH277" s="869">
        <f t="shared" ca="1" si="194"/>
        <v>0</v>
      </c>
      <c r="AI277" s="869">
        <f t="shared" ca="1" si="195"/>
        <v>0</v>
      </c>
      <c r="AJ277" s="870">
        <f t="shared" ca="1" si="196"/>
        <v>0</v>
      </c>
      <c r="AK277" s="867">
        <f t="shared" ca="1" si="197"/>
        <v>0</v>
      </c>
      <c r="AL277" s="869">
        <f t="shared" ca="1" si="175"/>
        <v>0</v>
      </c>
      <c r="AM277" s="869">
        <f t="shared" ca="1" si="198"/>
        <v>0</v>
      </c>
      <c r="AN277" s="867">
        <f t="shared" ca="1" si="199"/>
        <v>0</v>
      </c>
      <c r="AO277" s="161"/>
      <c r="AP277" s="869">
        <f t="shared" ca="1" si="200"/>
        <v>0</v>
      </c>
      <c r="AQ277" s="867" cm="1">
        <f t="array" ref="AQ277">IF($G277=0,0,-MIN(0,$G277*c_equity.LPshare))</f>
        <v>0</v>
      </c>
      <c r="AR277" s="869" cm="1">
        <f t="array" ref="AR277">IF($D277=0,0,AP277*(c_rate.Hurdle3.MO))</f>
        <v>0</v>
      </c>
      <c r="AS277" s="869">
        <f t="shared" ca="1" si="201"/>
        <v>0</v>
      </c>
      <c r="AT277" s="869">
        <f t="shared" ca="1" si="202"/>
        <v>0</v>
      </c>
      <c r="AU277" s="869">
        <f t="shared" ca="1" si="203"/>
        <v>0</v>
      </c>
      <c r="AV277" s="870">
        <f t="shared" ca="1" si="204"/>
        <v>0</v>
      </c>
      <c r="AW277" s="867">
        <f t="shared" ca="1" si="205"/>
        <v>0</v>
      </c>
      <c r="AX277" s="869">
        <f t="shared" ca="1" si="176"/>
        <v>0</v>
      </c>
      <c r="AY277" s="869">
        <f t="shared" ca="1" si="206"/>
        <v>0</v>
      </c>
      <c r="AZ277" s="867">
        <f t="shared" ca="1" si="207"/>
        <v>0</v>
      </c>
      <c r="BA277" s="161"/>
      <c r="BB277" s="867">
        <f t="shared" ca="1" si="208"/>
        <v>0</v>
      </c>
      <c r="BC277" s="867">
        <f t="shared" ca="1" si="173"/>
        <v>0</v>
      </c>
      <c r="BD277" s="658"/>
      <c r="BE277" s="867">
        <f t="shared" ca="1" si="209"/>
        <v>0</v>
      </c>
      <c r="BF277" s="867">
        <f t="shared" ca="1" si="210"/>
        <v>0</v>
      </c>
      <c r="BG277" s="867">
        <f t="shared" ca="1" si="211"/>
        <v>0</v>
      </c>
      <c r="BI277" s="867">
        <f ca="1"/>
        <v>0</v>
      </c>
      <c r="BJ277" s="867">
        <f ca="1"/>
        <v>0</v>
      </c>
      <c r="BK277" s="867">
        <f ca="1"/>
        <v>0</v>
      </c>
      <c r="BL277" s="867">
        <f t="shared" ca="1" si="212"/>
        <v>0</v>
      </c>
      <c r="BM277" s="867">
        <f t="shared" ca="1" si="213"/>
        <v>0</v>
      </c>
      <c r="BN277" s="867">
        <f t="shared" ca="1" si="214"/>
        <v>0</v>
      </c>
      <c r="BO277" s="867">
        <f t="shared" ca="1" si="215"/>
        <v>0</v>
      </c>
      <c r="BP277" s="867">
        <f t="shared" ca="1" si="216"/>
        <v>0</v>
      </c>
      <c r="BQ277" s="867">
        <f t="shared" ca="1" si="217"/>
        <v>0</v>
      </c>
      <c r="BR277" s="867">
        <f ca="1"/>
        <v>0</v>
      </c>
      <c r="BS277" s="867">
        <f ca="1"/>
        <v>0</v>
      </c>
      <c r="BT277" s="867">
        <f t="shared" ca="1" si="177"/>
        <v>0</v>
      </c>
      <c r="BU277" s="867">
        <f t="shared" ca="1" si="218"/>
        <v>0</v>
      </c>
      <c r="BX277" s="867">
        <f ca="1"/>
        <v>0</v>
      </c>
      <c r="BY277" s="867">
        <f t="shared" ca="1" si="219"/>
        <v>0</v>
      </c>
      <c r="BZ277" s="867">
        <f t="shared" ca="1" si="220"/>
        <v>0</v>
      </c>
      <c r="CA277" s="867">
        <f t="shared" ca="1" si="221"/>
        <v>0</v>
      </c>
      <c r="CB277" s="867">
        <f t="shared" ca="1" si="222"/>
        <v>0</v>
      </c>
      <c r="CC277" s="867">
        <f t="shared" ca="1" si="223"/>
        <v>0</v>
      </c>
      <c r="CD277" s="867">
        <f t="shared" ca="1" si="224"/>
        <v>0</v>
      </c>
    </row>
    <row r="278" spans="1:82" ht="17" hidden="1" thickTop="1" thickBot="1">
      <c r="A278" s="773">
        <f t="shared" si="174"/>
        <v>0</v>
      </c>
      <c r="B278" s="779"/>
      <c r="D278" s="660"/>
      <c r="E278" s="661"/>
      <c r="F278" s="862"/>
      <c r="G278" s="863"/>
      <c r="H278" s="961"/>
      <c r="I278" s="865">
        <f t="shared" si="178"/>
        <v>0</v>
      </c>
      <c r="J278" s="864" cm="1">
        <f t="array" ref="J278">IF($G278=0,0,-MIN(0,G278*c_equity.LPshare))</f>
        <v>0</v>
      </c>
      <c r="K278" s="865" cm="1">
        <f t="array" ref="K278">I278*c_rate.Pref.MO</f>
        <v>0</v>
      </c>
      <c r="L278" s="865">
        <f t="shared" si="179"/>
        <v>0</v>
      </c>
      <c r="M278" s="865">
        <f t="shared" si="180"/>
        <v>0</v>
      </c>
      <c r="N278" s="865">
        <f t="shared" si="181"/>
        <v>0</v>
      </c>
      <c r="O278" s="864" cm="1">
        <f t="array" ref="O278">IF(N278=0,0,IF(G278&lt;0,N278/c_equity.LPshare*i_equity.GPshare,L278/c_equity.LPshare*i_equity.GPshare))</f>
        <v>0</v>
      </c>
      <c r="P278" s="865">
        <f t="shared" si="182"/>
        <v>0</v>
      </c>
      <c r="Q278" s="865">
        <f t="shared" si="183"/>
        <v>0</v>
      </c>
      <c r="R278" s="161"/>
      <c r="S278" s="867">
        <f t="shared" ca="1" si="184"/>
        <v>0</v>
      </c>
      <c r="T278" s="867" cm="1">
        <f t="array" ref="T278">IF($G278=0,0,-MIN(0,$G278*c_equity.LPshare))</f>
        <v>0</v>
      </c>
      <c r="U278" s="869" cm="1">
        <f t="array" ref="U278">IF($D278=0,0,S278*c_rate.Hurdle1.MO)</f>
        <v>0</v>
      </c>
      <c r="V278" s="867">
        <f t="shared" si="185"/>
        <v>0</v>
      </c>
      <c r="W278" s="867">
        <f t="shared" ca="1" si="186"/>
        <v>0</v>
      </c>
      <c r="X278" s="869">
        <f t="shared" ca="1" si="187"/>
        <v>0</v>
      </c>
      <c r="Y278" s="869">
        <f t="shared" ca="1" si="188"/>
        <v>0</v>
      </c>
      <c r="Z278" s="869">
        <f t="shared" ca="1" si="189"/>
        <v>0</v>
      </c>
      <c r="AA278" s="869">
        <f t="shared" ca="1" si="190"/>
        <v>0</v>
      </c>
      <c r="AB278" s="867">
        <f t="shared" ca="1" si="191"/>
        <v>0</v>
      </c>
      <c r="AC278" s="161"/>
      <c r="AD278" s="869">
        <f t="shared" ca="1" si="192"/>
        <v>0</v>
      </c>
      <c r="AE278" s="867" cm="1">
        <f t="array" ref="AE278">IF($G278=0,0,-MIN(0,$G278*c_equity.LPshare))</f>
        <v>0</v>
      </c>
      <c r="AF278" s="869" cm="1">
        <f t="array" ref="AF278">IF($D278=0,0,AD278*(c_rate.Hurdle2.MO))</f>
        <v>0</v>
      </c>
      <c r="AG278" s="869">
        <f t="shared" ca="1" si="193"/>
        <v>0</v>
      </c>
      <c r="AH278" s="869">
        <f t="shared" ca="1" si="194"/>
        <v>0</v>
      </c>
      <c r="AI278" s="869">
        <f t="shared" ca="1" si="195"/>
        <v>0</v>
      </c>
      <c r="AJ278" s="870">
        <f t="shared" ca="1" si="196"/>
        <v>0</v>
      </c>
      <c r="AK278" s="867">
        <f t="shared" ca="1" si="197"/>
        <v>0</v>
      </c>
      <c r="AL278" s="869">
        <f t="shared" ca="1" si="175"/>
        <v>0</v>
      </c>
      <c r="AM278" s="869">
        <f t="shared" ca="1" si="198"/>
        <v>0</v>
      </c>
      <c r="AN278" s="867">
        <f t="shared" ca="1" si="199"/>
        <v>0</v>
      </c>
      <c r="AO278" s="161"/>
      <c r="AP278" s="869">
        <f t="shared" ca="1" si="200"/>
        <v>0</v>
      </c>
      <c r="AQ278" s="867" cm="1">
        <f t="array" ref="AQ278">IF($G278=0,0,-MIN(0,$G278*c_equity.LPshare))</f>
        <v>0</v>
      </c>
      <c r="AR278" s="869" cm="1">
        <f t="array" ref="AR278">IF($D278=0,0,AP278*(c_rate.Hurdle3.MO))</f>
        <v>0</v>
      </c>
      <c r="AS278" s="869">
        <f t="shared" ca="1" si="201"/>
        <v>0</v>
      </c>
      <c r="AT278" s="869">
        <f t="shared" ca="1" si="202"/>
        <v>0</v>
      </c>
      <c r="AU278" s="869">
        <f t="shared" ca="1" si="203"/>
        <v>0</v>
      </c>
      <c r="AV278" s="870">
        <f t="shared" ca="1" si="204"/>
        <v>0</v>
      </c>
      <c r="AW278" s="867">
        <f t="shared" ca="1" si="205"/>
        <v>0</v>
      </c>
      <c r="AX278" s="869">
        <f t="shared" ca="1" si="176"/>
        <v>0</v>
      </c>
      <c r="AY278" s="869">
        <f t="shared" ca="1" si="206"/>
        <v>0</v>
      </c>
      <c r="AZ278" s="867">
        <f t="shared" ca="1" si="207"/>
        <v>0</v>
      </c>
      <c r="BA278" s="161"/>
      <c r="BB278" s="867">
        <f t="shared" ca="1" si="208"/>
        <v>0</v>
      </c>
      <c r="BC278" s="867">
        <f t="shared" ca="1" si="173"/>
        <v>0</v>
      </c>
      <c r="BD278" s="658"/>
      <c r="BE278" s="867">
        <f t="shared" ca="1" si="209"/>
        <v>0</v>
      </c>
      <c r="BF278" s="867">
        <f t="shared" ca="1" si="210"/>
        <v>0</v>
      </c>
      <c r="BG278" s="867">
        <f t="shared" ca="1" si="211"/>
        <v>0</v>
      </c>
      <c r="BI278" s="867">
        <f ca="1"/>
        <v>0</v>
      </c>
      <c r="BJ278" s="867">
        <f ca="1"/>
        <v>0</v>
      </c>
      <c r="BK278" s="867">
        <f ca="1"/>
        <v>0</v>
      </c>
      <c r="BL278" s="867">
        <f t="shared" ca="1" si="212"/>
        <v>0</v>
      </c>
      <c r="BM278" s="867">
        <f t="shared" ca="1" si="213"/>
        <v>0</v>
      </c>
      <c r="BN278" s="867">
        <f t="shared" ca="1" si="214"/>
        <v>0</v>
      </c>
      <c r="BO278" s="867">
        <f t="shared" ca="1" si="215"/>
        <v>0</v>
      </c>
      <c r="BP278" s="867">
        <f t="shared" ca="1" si="216"/>
        <v>0</v>
      </c>
      <c r="BQ278" s="867">
        <f t="shared" ca="1" si="217"/>
        <v>0</v>
      </c>
      <c r="BR278" s="867">
        <f ca="1"/>
        <v>0</v>
      </c>
      <c r="BS278" s="867">
        <f ca="1"/>
        <v>0</v>
      </c>
      <c r="BT278" s="867">
        <f t="shared" ca="1" si="177"/>
        <v>0</v>
      </c>
      <c r="BU278" s="867">
        <f t="shared" ca="1" si="218"/>
        <v>0</v>
      </c>
      <c r="BX278" s="867">
        <f ca="1"/>
        <v>0</v>
      </c>
      <c r="BY278" s="867">
        <f t="shared" ca="1" si="219"/>
        <v>0</v>
      </c>
      <c r="BZ278" s="867">
        <f t="shared" ca="1" si="220"/>
        <v>0</v>
      </c>
      <c r="CA278" s="867">
        <f t="shared" ca="1" si="221"/>
        <v>0</v>
      </c>
      <c r="CB278" s="867">
        <f t="shared" ca="1" si="222"/>
        <v>0</v>
      </c>
      <c r="CC278" s="867">
        <f t="shared" ca="1" si="223"/>
        <v>0</v>
      </c>
      <c r="CD278" s="867">
        <f t="shared" ca="1" si="224"/>
        <v>0</v>
      </c>
    </row>
    <row r="279" spans="1:82" ht="17" hidden="1" thickTop="1" thickBot="1">
      <c r="A279" s="773">
        <f t="shared" si="174"/>
        <v>0</v>
      </c>
      <c r="B279" s="779"/>
      <c r="D279" s="660"/>
      <c r="E279" s="661"/>
      <c r="F279" s="862"/>
      <c r="G279" s="863"/>
      <c r="H279" s="961"/>
      <c r="I279" s="865">
        <f t="shared" si="178"/>
        <v>0</v>
      </c>
      <c r="J279" s="864" cm="1">
        <f t="array" ref="J279">IF($G279=0,0,-MIN(0,G279*c_equity.LPshare))</f>
        <v>0</v>
      </c>
      <c r="K279" s="865" cm="1">
        <f t="array" ref="K279">I279*c_rate.Pref.MO</f>
        <v>0</v>
      </c>
      <c r="L279" s="865">
        <f t="shared" si="179"/>
        <v>0</v>
      </c>
      <c r="M279" s="865">
        <f t="shared" si="180"/>
        <v>0</v>
      </c>
      <c r="N279" s="865">
        <f t="shared" si="181"/>
        <v>0</v>
      </c>
      <c r="O279" s="864" cm="1">
        <f t="array" ref="O279">IF(N279=0,0,IF(G279&lt;0,N279/c_equity.LPshare*i_equity.GPshare,L279/c_equity.LPshare*i_equity.GPshare))</f>
        <v>0</v>
      </c>
      <c r="P279" s="865">
        <f t="shared" si="182"/>
        <v>0</v>
      </c>
      <c r="Q279" s="865">
        <f t="shared" si="183"/>
        <v>0</v>
      </c>
      <c r="R279" s="161"/>
      <c r="S279" s="867">
        <f t="shared" ca="1" si="184"/>
        <v>0</v>
      </c>
      <c r="T279" s="867" cm="1">
        <f t="array" ref="T279">IF($G279=0,0,-MIN(0,$G279*c_equity.LPshare))</f>
        <v>0</v>
      </c>
      <c r="U279" s="869" cm="1">
        <f t="array" ref="U279">IF($D279=0,0,S279*c_rate.Hurdle1.MO)</f>
        <v>0</v>
      </c>
      <c r="V279" s="867">
        <f t="shared" si="185"/>
        <v>0</v>
      </c>
      <c r="W279" s="867">
        <f t="shared" ca="1" si="186"/>
        <v>0</v>
      </c>
      <c r="X279" s="869">
        <f t="shared" ca="1" si="187"/>
        <v>0</v>
      </c>
      <c r="Y279" s="869">
        <f t="shared" ca="1" si="188"/>
        <v>0</v>
      </c>
      <c r="Z279" s="869">
        <f t="shared" ca="1" si="189"/>
        <v>0</v>
      </c>
      <c r="AA279" s="869">
        <f t="shared" ca="1" si="190"/>
        <v>0</v>
      </c>
      <c r="AB279" s="867">
        <f t="shared" ca="1" si="191"/>
        <v>0</v>
      </c>
      <c r="AC279" s="161"/>
      <c r="AD279" s="869">
        <f t="shared" ca="1" si="192"/>
        <v>0</v>
      </c>
      <c r="AE279" s="867" cm="1">
        <f t="array" ref="AE279">IF($G279=0,0,-MIN(0,$G279*c_equity.LPshare))</f>
        <v>0</v>
      </c>
      <c r="AF279" s="869" cm="1">
        <f t="array" ref="AF279">IF($D279=0,0,AD279*(c_rate.Hurdle2.MO))</f>
        <v>0</v>
      </c>
      <c r="AG279" s="869">
        <f t="shared" ca="1" si="193"/>
        <v>0</v>
      </c>
      <c r="AH279" s="869">
        <f t="shared" ca="1" si="194"/>
        <v>0</v>
      </c>
      <c r="AI279" s="869">
        <f t="shared" ca="1" si="195"/>
        <v>0</v>
      </c>
      <c r="AJ279" s="870">
        <f t="shared" ca="1" si="196"/>
        <v>0</v>
      </c>
      <c r="AK279" s="867">
        <f t="shared" ca="1" si="197"/>
        <v>0</v>
      </c>
      <c r="AL279" s="869">
        <f t="shared" ca="1" si="175"/>
        <v>0</v>
      </c>
      <c r="AM279" s="869">
        <f t="shared" ca="1" si="198"/>
        <v>0</v>
      </c>
      <c r="AN279" s="867">
        <f t="shared" ca="1" si="199"/>
        <v>0</v>
      </c>
      <c r="AO279" s="161"/>
      <c r="AP279" s="869">
        <f t="shared" ca="1" si="200"/>
        <v>0</v>
      </c>
      <c r="AQ279" s="867" cm="1">
        <f t="array" ref="AQ279">IF($G279=0,0,-MIN(0,$G279*c_equity.LPshare))</f>
        <v>0</v>
      </c>
      <c r="AR279" s="869" cm="1">
        <f t="array" ref="AR279">IF($D279=0,0,AP279*(c_rate.Hurdle3.MO))</f>
        <v>0</v>
      </c>
      <c r="AS279" s="869">
        <f t="shared" ca="1" si="201"/>
        <v>0</v>
      </c>
      <c r="AT279" s="869">
        <f t="shared" ca="1" si="202"/>
        <v>0</v>
      </c>
      <c r="AU279" s="869">
        <f t="shared" ca="1" si="203"/>
        <v>0</v>
      </c>
      <c r="AV279" s="870">
        <f t="shared" ca="1" si="204"/>
        <v>0</v>
      </c>
      <c r="AW279" s="867">
        <f t="shared" ca="1" si="205"/>
        <v>0</v>
      </c>
      <c r="AX279" s="869">
        <f t="shared" ca="1" si="176"/>
        <v>0</v>
      </c>
      <c r="AY279" s="869">
        <f t="shared" ca="1" si="206"/>
        <v>0</v>
      </c>
      <c r="AZ279" s="867">
        <f t="shared" ca="1" si="207"/>
        <v>0</v>
      </c>
      <c r="BA279" s="161"/>
      <c r="BB279" s="867">
        <f t="shared" ca="1" si="208"/>
        <v>0</v>
      </c>
      <c r="BC279" s="867">
        <f t="shared" ca="1" si="173"/>
        <v>0</v>
      </c>
      <c r="BD279" s="658"/>
      <c r="BE279" s="867">
        <f t="shared" ca="1" si="209"/>
        <v>0</v>
      </c>
      <c r="BF279" s="867">
        <f t="shared" ca="1" si="210"/>
        <v>0</v>
      </c>
      <c r="BG279" s="867">
        <f t="shared" ca="1" si="211"/>
        <v>0</v>
      </c>
      <c r="BI279" s="867">
        <f ca="1"/>
        <v>0</v>
      </c>
      <c r="BJ279" s="867">
        <f ca="1"/>
        <v>0</v>
      </c>
      <c r="BK279" s="867">
        <f ca="1"/>
        <v>0</v>
      </c>
      <c r="BL279" s="867">
        <f t="shared" ca="1" si="212"/>
        <v>0</v>
      </c>
      <c r="BM279" s="867">
        <f t="shared" ca="1" si="213"/>
        <v>0</v>
      </c>
      <c r="BN279" s="867">
        <f t="shared" ca="1" si="214"/>
        <v>0</v>
      </c>
      <c r="BO279" s="867">
        <f t="shared" ca="1" si="215"/>
        <v>0</v>
      </c>
      <c r="BP279" s="867">
        <f t="shared" ca="1" si="216"/>
        <v>0</v>
      </c>
      <c r="BQ279" s="867">
        <f t="shared" ca="1" si="217"/>
        <v>0</v>
      </c>
      <c r="BR279" s="867">
        <f ca="1"/>
        <v>0</v>
      </c>
      <c r="BS279" s="867">
        <f ca="1"/>
        <v>0</v>
      </c>
      <c r="BT279" s="867">
        <f t="shared" ca="1" si="177"/>
        <v>0</v>
      </c>
      <c r="BU279" s="867">
        <f t="shared" ca="1" si="218"/>
        <v>0</v>
      </c>
      <c r="BX279" s="867">
        <f ca="1"/>
        <v>0</v>
      </c>
      <c r="BY279" s="867">
        <f t="shared" ca="1" si="219"/>
        <v>0</v>
      </c>
      <c r="BZ279" s="867">
        <f t="shared" ca="1" si="220"/>
        <v>0</v>
      </c>
      <c r="CA279" s="867">
        <f t="shared" ca="1" si="221"/>
        <v>0</v>
      </c>
      <c r="CB279" s="867">
        <f t="shared" ca="1" si="222"/>
        <v>0</v>
      </c>
      <c r="CC279" s="867">
        <f t="shared" ca="1" si="223"/>
        <v>0</v>
      </c>
      <c r="CD279" s="867">
        <f t="shared" ca="1" si="224"/>
        <v>0</v>
      </c>
    </row>
    <row r="280" spans="1:82" ht="17" hidden="1" thickTop="1" thickBot="1">
      <c r="A280" s="773">
        <f t="shared" si="174"/>
        <v>0</v>
      </c>
      <c r="B280" s="779"/>
      <c r="D280" s="660"/>
      <c r="E280" s="661"/>
      <c r="F280" s="862"/>
      <c r="G280" s="863"/>
      <c r="H280" s="961"/>
      <c r="I280" s="865">
        <f t="shared" si="178"/>
        <v>0</v>
      </c>
      <c r="J280" s="864" cm="1">
        <f t="array" ref="J280">IF($G280=0,0,-MIN(0,G280*c_equity.LPshare))</f>
        <v>0</v>
      </c>
      <c r="K280" s="865" cm="1">
        <f t="array" ref="K280">I280*c_rate.Pref.MO</f>
        <v>0</v>
      </c>
      <c r="L280" s="865">
        <f t="shared" si="179"/>
        <v>0</v>
      </c>
      <c r="M280" s="865">
        <f t="shared" si="180"/>
        <v>0</v>
      </c>
      <c r="N280" s="865">
        <f t="shared" si="181"/>
        <v>0</v>
      </c>
      <c r="O280" s="864" cm="1">
        <f t="array" ref="O280">IF(N280=0,0,IF(G280&lt;0,N280/c_equity.LPshare*i_equity.GPshare,L280/c_equity.LPshare*i_equity.GPshare))</f>
        <v>0</v>
      </c>
      <c r="P280" s="865">
        <f t="shared" si="182"/>
        <v>0</v>
      </c>
      <c r="Q280" s="865">
        <f t="shared" si="183"/>
        <v>0</v>
      </c>
      <c r="R280" s="161"/>
      <c r="S280" s="867">
        <f t="shared" ca="1" si="184"/>
        <v>0</v>
      </c>
      <c r="T280" s="867" cm="1">
        <f t="array" ref="T280">IF($G280=0,0,-MIN(0,$G280*c_equity.LPshare))</f>
        <v>0</v>
      </c>
      <c r="U280" s="869" cm="1">
        <f t="array" ref="U280">IF($D280=0,0,S280*c_rate.Hurdle1.MO)</f>
        <v>0</v>
      </c>
      <c r="V280" s="867">
        <f t="shared" si="185"/>
        <v>0</v>
      </c>
      <c r="W280" s="867">
        <f t="shared" ca="1" si="186"/>
        <v>0</v>
      </c>
      <c r="X280" s="869">
        <f t="shared" ca="1" si="187"/>
        <v>0</v>
      </c>
      <c r="Y280" s="869">
        <f t="shared" ca="1" si="188"/>
        <v>0</v>
      </c>
      <c r="Z280" s="869">
        <f t="shared" ca="1" si="189"/>
        <v>0</v>
      </c>
      <c r="AA280" s="869">
        <f t="shared" ca="1" si="190"/>
        <v>0</v>
      </c>
      <c r="AB280" s="867">
        <f t="shared" ca="1" si="191"/>
        <v>0</v>
      </c>
      <c r="AC280" s="161"/>
      <c r="AD280" s="869">
        <f t="shared" ca="1" si="192"/>
        <v>0</v>
      </c>
      <c r="AE280" s="867" cm="1">
        <f t="array" ref="AE280">IF($G280=0,0,-MIN(0,$G280*c_equity.LPshare))</f>
        <v>0</v>
      </c>
      <c r="AF280" s="869" cm="1">
        <f t="array" ref="AF280">IF($D280=0,0,AD280*(c_rate.Hurdle2.MO))</f>
        <v>0</v>
      </c>
      <c r="AG280" s="869">
        <f t="shared" ca="1" si="193"/>
        <v>0</v>
      </c>
      <c r="AH280" s="869">
        <f t="shared" ca="1" si="194"/>
        <v>0</v>
      </c>
      <c r="AI280" s="869">
        <f t="shared" ca="1" si="195"/>
        <v>0</v>
      </c>
      <c r="AJ280" s="870">
        <f t="shared" ca="1" si="196"/>
        <v>0</v>
      </c>
      <c r="AK280" s="867">
        <f t="shared" ca="1" si="197"/>
        <v>0</v>
      </c>
      <c r="AL280" s="869">
        <f t="shared" ca="1" si="175"/>
        <v>0</v>
      </c>
      <c r="AM280" s="869">
        <f t="shared" ca="1" si="198"/>
        <v>0</v>
      </c>
      <c r="AN280" s="867">
        <f t="shared" ca="1" si="199"/>
        <v>0</v>
      </c>
      <c r="AO280" s="161"/>
      <c r="AP280" s="869">
        <f t="shared" ca="1" si="200"/>
        <v>0</v>
      </c>
      <c r="AQ280" s="867" cm="1">
        <f t="array" ref="AQ280">IF($G280=0,0,-MIN(0,$G280*c_equity.LPshare))</f>
        <v>0</v>
      </c>
      <c r="AR280" s="869" cm="1">
        <f t="array" ref="AR280">IF($D280=0,0,AP280*(c_rate.Hurdle3.MO))</f>
        <v>0</v>
      </c>
      <c r="AS280" s="869">
        <f t="shared" ca="1" si="201"/>
        <v>0</v>
      </c>
      <c r="AT280" s="869">
        <f t="shared" ca="1" si="202"/>
        <v>0</v>
      </c>
      <c r="AU280" s="869">
        <f t="shared" ca="1" si="203"/>
        <v>0</v>
      </c>
      <c r="AV280" s="870">
        <f t="shared" ca="1" si="204"/>
        <v>0</v>
      </c>
      <c r="AW280" s="867">
        <f t="shared" ca="1" si="205"/>
        <v>0</v>
      </c>
      <c r="AX280" s="869">
        <f t="shared" ca="1" si="176"/>
        <v>0</v>
      </c>
      <c r="AY280" s="869">
        <f t="shared" ca="1" si="206"/>
        <v>0</v>
      </c>
      <c r="AZ280" s="867">
        <f t="shared" ca="1" si="207"/>
        <v>0</v>
      </c>
      <c r="BA280" s="161"/>
      <c r="BB280" s="867">
        <f t="shared" ca="1" si="208"/>
        <v>0</v>
      </c>
      <c r="BC280" s="867">
        <f t="shared" ca="1" si="173"/>
        <v>0</v>
      </c>
      <c r="BD280" s="658"/>
      <c r="BE280" s="867">
        <f t="shared" ca="1" si="209"/>
        <v>0</v>
      </c>
      <c r="BF280" s="867">
        <f t="shared" ca="1" si="210"/>
        <v>0</v>
      </c>
      <c r="BG280" s="867">
        <f t="shared" ca="1" si="211"/>
        <v>0</v>
      </c>
      <c r="BI280" s="867">
        <f ca="1"/>
        <v>0</v>
      </c>
      <c r="BJ280" s="867">
        <f ca="1"/>
        <v>0</v>
      </c>
      <c r="BK280" s="867">
        <f ca="1"/>
        <v>0</v>
      </c>
      <c r="BL280" s="867">
        <f t="shared" ca="1" si="212"/>
        <v>0</v>
      </c>
      <c r="BM280" s="867">
        <f t="shared" ca="1" si="213"/>
        <v>0</v>
      </c>
      <c r="BN280" s="867">
        <f t="shared" ca="1" si="214"/>
        <v>0</v>
      </c>
      <c r="BO280" s="867">
        <f t="shared" ca="1" si="215"/>
        <v>0</v>
      </c>
      <c r="BP280" s="867">
        <f t="shared" ca="1" si="216"/>
        <v>0</v>
      </c>
      <c r="BQ280" s="867">
        <f t="shared" ca="1" si="217"/>
        <v>0</v>
      </c>
      <c r="BR280" s="867">
        <f ca="1"/>
        <v>0</v>
      </c>
      <c r="BS280" s="867">
        <f ca="1"/>
        <v>0</v>
      </c>
      <c r="BT280" s="867">
        <f t="shared" ca="1" si="177"/>
        <v>0</v>
      </c>
      <c r="BU280" s="867">
        <f t="shared" ca="1" si="218"/>
        <v>0</v>
      </c>
      <c r="BX280" s="867">
        <f ca="1"/>
        <v>0</v>
      </c>
      <c r="BY280" s="867">
        <f t="shared" ca="1" si="219"/>
        <v>0</v>
      </c>
      <c r="BZ280" s="867">
        <f t="shared" ca="1" si="220"/>
        <v>0</v>
      </c>
      <c r="CA280" s="867">
        <f t="shared" ca="1" si="221"/>
        <v>0</v>
      </c>
      <c r="CB280" s="867">
        <f t="shared" ca="1" si="222"/>
        <v>0</v>
      </c>
      <c r="CC280" s="867">
        <f t="shared" ca="1" si="223"/>
        <v>0</v>
      </c>
      <c r="CD280" s="867">
        <f t="shared" ca="1" si="224"/>
        <v>0</v>
      </c>
    </row>
    <row r="281" spans="1:82" ht="17" hidden="1" thickTop="1" thickBot="1">
      <c r="A281" s="773">
        <f t="shared" si="174"/>
        <v>0</v>
      </c>
      <c r="B281" s="779"/>
      <c r="D281" s="660"/>
      <c r="E281" s="661"/>
      <c r="F281" s="862"/>
      <c r="G281" s="863"/>
      <c r="H281" s="961"/>
      <c r="I281" s="865">
        <f t="shared" si="178"/>
        <v>0</v>
      </c>
      <c r="J281" s="864" cm="1">
        <f t="array" ref="J281">IF($G281=0,0,-MIN(0,G281*c_equity.LPshare))</f>
        <v>0</v>
      </c>
      <c r="K281" s="865" cm="1">
        <f t="array" ref="K281">I281*c_rate.Pref.MO</f>
        <v>0</v>
      </c>
      <c r="L281" s="865">
        <f t="shared" si="179"/>
        <v>0</v>
      </c>
      <c r="M281" s="865">
        <f t="shared" si="180"/>
        <v>0</v>
      </c>
      <c r="N281" s="865">
        <f t="shared" si="181"/>
        <v>0</v>
      </c>
      <c r="O281" s="864" cm="1">
        <f t="array" ref="O281">IF(N281=0,0,IF(G281&lt;0,N281/c_equity.LPshare*i_equity.GPshare,L281/c_equity.LPshare*i_equity.GPshare))</f>
        <v>0</v>
      </c>
      <c r="P281" s="865">
        <f t="shared" si="182"/>
        <v>0</v>
      </c>
      <c r="Q281" s="865">
        <f t="shared" si="183"/>
        <v>0</v>
      </c>
      <c r="R281" s="161"/>
      <c r="S281" s="867">
        <f t="shared" ca="1" si="184"/>
        <v>0</v>
      </c>
      <c r="T281" s="867" cm="1">
        <f t="array" ref="T281">IF($G281=0,0,-MIN(0,$G281*c_equity.LPshare))</f>
        <v>0</v>
      </c>
      <c r="U281" s="869" cm="1">
        <f t="array" ref="U281">IF($D281=0,0,S281*c_rate.Hurdle1.MO)</f>
        <v>0</v>
      </c>
      <c r="V281" s="867">
        <f t="shared" si="185"/>
        <v>0</v>
      </c>
      <c r="W281" s="867">
        <f t="shared" ca="1" si="186"/>
        <v>0</v>
      </c>
      <c r="X281" s="869">
        <f t="shared" ca="1" si="187"/>
        <v>0</v>
      </c>
      <c r="Y281" s="869">
        <f t="shared" ca="1" si="188"/>
        <v>0</v>
      </c>
      <c r="Z281" s="869">
        <f t="shared" ca="1" si="189"/>
        <v>0</v>
      </c>
      <c r="AA281" s="869">
        <f t="shared" ca="1" si="190"/>
        <v>0</v>
      </c>
      <c r="AB281" s="867">
        <f t="shared" ca="1" si="191"/>
        <v>0</v>
      </c>
      <c r="AC281" s="161"/>
      <c r="AD281" s="869">
        <f t="shared" ca="1" si="192"/>
        <v>0</v>
      </c>
      <c r="AE281" s="867" cm="1">
        <f t="array" ref="AE281">IF($G281=0,0,-MIN(0,$G281*c_equity.LPshare))</f>
        <v>0</v>
      </c>
      <c r="AF281" s="869" cm="1">
        <f t="array" ref="AF281">IF($D281=0,0,AD281*(c_rate.Hurdle2.MO))</f>
        <v>0</v>
      </c>
      <c r="AG281" s="869">
        <f t="shared" ca="1" si="193"/>
        <v>0</v>
      </c>
      <c r="AH281" s="869">
        <f t="shared" ca="1" si="194"/>
        <v>0</v>
      </c>
      <c r="AI281" s="869">
        <f t="shared" ca="1" si="195"/>
        <v>0</v>
      </c>
      <c r="AJ281" s="870">
        <f t="shared" ca="1" si="196"/>
        <v>0</v>
      </c>
      <c r="AK281" s="867">
        <f t="shared" ca="1" si="197"/>
        <v>0</v>
      </c>
      <c r="AL281" s="869">
        <f t="shared" ca="1" si="175"/>
        <v>0</v>
      </c>
      <c r="AM281" s="869">
        <f t="shared" ca="1" si="198"/>
        <v>0</v>
      </c>
      <c r="AN281" s="867">
        <f t="shared" ca="1" si="199"/>
        <v>0</v>
      </c>
      <c r="AO281" s="161"/>
      <c r="AP281" s="869">
        <f t="shared" ca="1" si="200"/>
        <v>0</v>
      </c>
      <c r="AQ281" s="867" cm="1">
        <f t="array" ref="AQ281">IF($G281=0,0,-MIN(0,$G281*c_equity.LPshare))</f>
        <v>0</v>
      </c>
      <c r="AR281" s="869" cm="1">
        <f t="array" ref="AR281">IF($D281=0,0,AP281*(c_rate.Hurdle3.MO))</f>
        <v>0</v>
      </c>
      <c r="AS281" s="869">
        <f t="shared" ca="1" si="201"/>
        <v>0</v>
      </c>
      <c r="AT281" s="869">
        <f t="shared" ca="1" si="202"/>
        <v>0</v>
      </c>
      <c r="AU281" s="869">
        <f t="shared" ca="1" si="203"/>
        <v>0</v>
      </c>
      <c r="AV281" s="870">
        <f t="shared" ca="1" si="204"/>
        <v>0</v>
      </c>
      <c r="AW281" s="867">
        <f t="shared" ca="1" si="205"/>
        <v>0</v>
      </c>
      <c r="AX281" s="869">
        <f t="shared" ca="1" si="176"/>
        <v>0</v>
      </c>
      <c r="AY281" s="869">
        <f t="shared" ca="1" si="206"/>
        <v>0</v>
      </c>
      <c r="AZ281" s="867">
        <f t="shared" ca="1" si="207"/>
        <v>0</v>
      </c>
      <c r="BA281" s="161"/>
      <c r="BB281" s="867">
        <f t="shared" ca="1" si="208"/>
        <v>0</v>
      </c>
      <c r="BC281" s="867">
        <f t="shared" ca="1" si="173"/>
        <v>0</v>
      </c>
      <c r="BD281" s="658"/>
      <c r="BE281" s="867">
        <f t="shared" ca="1" si="209"/>
        <v>0</v>
      </c>
      <c r="BF281" s="867">
        <f t="shared" ca="1" si="210"/>
        <v>0</v>
      </c>
      <c r="BG281" s="867">
        <f t="shared" ca="1" si="211"/>
        <v>0</v>
      </c>
      <c r="BI281" s="867">
        <f ca="1"/>
        <v>0</v>
      </c>
      <c r="BJ281" s="867">
        <f ca="1"/>
        <v>0</v>
      </c>
      <c r="BK281" s="867">
        <f ca="1"/>
        <v>0</v>
      </c>
      <c r="BL281" s="867">
        <f t="shared" ca="1" si="212"/>
        <v>0</v>
      </c>
      <c r="BM281" s="867">
        <f t="shared" ca="1" si="213"/>
        <v>0</v>
      </c>
      <c r="BN281" s="867">
        <f t="shared" ca="1" si="214"/>
        <v>0</v>
      </c>
      <c r="BO281" s="867">
        <f t="shared" ca="1" si="215"/>
        <v>0</v>
      </c>
      <c r="BP281" s="867">
        <f t="shared" ca="1" si="216"/>
        <v>0</v>
      </c>
      <c r="BQ281" s="867">
        <f t="shared" ca="1" si="217"/>
        <v>0</v>
      </c>
      <c r="BR281" s="867">
        <f ca="1"/>
        <v>0</v>
      </c>
      <c r="BS281" s="867">
        <f ca="1"/>
        <v>0</v>
      </c>
      <c r="BT281" s="867">
        <f t="shared" ca="1" si="177"/>
        <v>0</v>
      </c>
      <c r="BU281" s="867">
        <f t="shared" ca="1" si="218"/>
        <v>0</v>
      </c>
      <c r="BX281" s="867">
        <f ca="1"/>
        <v>0</v>
      </c>
      <c r="BY281" s="867">
        <f t="shared" ca="1" si="219"/>
        <v>0</v>
      </c>
      <c r="BZ281" s="867">
        <f t="shared" ca="1" si="220"/>
        <v>0</v>
      </c>
      <c r="CA281" s="867">
        <f t="shared" ca="1" si="221"/>
        <v>0</v>
      </c>
      <c r="CB281" s="867">
        <f t="shared" ca="1" si="222"/>
        <v>0</v>
      </c>
      <c r="CC281" s="867">
        <f t="shared" ca="1" si="223"/>
        <v>0</v>
      </c>
      <c r="CD281" s="867">
        <f t="shared" ca="1" si="224"/>
        <v>0</v>
      </c>
    </row>
    <row r="282" spans="1:82" ht="17" hidden="1" thickTop="1" thickBot="1">
      <c r="A282" s="773">
        <f t="shared" si="174"/>
        <v>0</v>
      </c>
      <c r="B282" s="779"/>
      <c r="D282" s="660"/>
      <c r="E282" s="661"/>
      <c r="F282" s="862"/>
      <c r="G282" s="863"/>
      <c r="H282" s="961"/>
      <c r="I282" s="865">
        <f t="shared" si="178"/>
        <v>0</v>
      </c>
      <c r="J282" s="864" cm="1">
        <f t="array" ref="J282">IF($G282=0,0,-MIN(0,G282*c_equity.LPshare))</f>
        <v>0</v>
      </c>
      <c r="K282" s="865" cm="1">
        <f t="array" ref="K282">I282*c_rate.Pref.MO</f>
        <v>0</v>
      </c>
      <c r="L282" s="865">
        <f t="shared" si="179"/>
        <v>0</v>
      </c>
      <c r="M282" s="865">
        <f t="shared" si="180"/>
        <v>0</v>
      </c>
      <c r="N282" s="865">
        <f t="shared" si="181"/>
        <v>0</v>
      </c>
      <c r="O282" s="864" cm="1">
        <f t="array" ref="O282">IF(N282=0,0,IF(G282&lt;0,N282/c_equity.LPshare*i_equity.GPshare,L282/c_equity.LPshare*i_equity.GPshare))</f>
        <v>0</v>
      </c>
      <c r="P282" s="865">
        <f t="shared" si="182"/>
        <v>0</v>
      </c>
      <c r="Q282" s="865">
        <f t="shared" si="183"/>
        <v>0</v>
      </c>
      <c r="R282" s="161"/>
      <c r="S282" s="867">
        <f t="shared" ca="1" si="184"/>
        <v>0</v>
      </c>
      <c r="T282" s="867" cm="1">
        <f t="array" ref="T282">IF($G282=0,0,-MIN(0,$G282*c_equity.LPshare))</f>
        <v>0</v>
      </c>
      <c r="U282" s="869" cm="1">
        <f t="array" ref="U282">IF($D282=0,0,S282*c_rate.Hurdle1.MO)</f>
        <v>0</v>
      </c>
      <c r="V282" s="867">
        <f t="shared" si="185"/>
        <v>0</v>
      </c>
      <c r="W282" s="867">
        <f t="shared" ca="1" si="186"/>
        <v>0</v>
      </c>
      <c r="X282" s="869">
        <f t="shared" ca="1" si="187"/>
        <v>0</v>
      </c>
      <c r="Y282" s="869">
        <f t="shared" ca="1" si="188"/>
        <v>0</v>
      </c>
      <c r="Z282" s="869">
        <f t="shared" ca="1" si="189"/>
        <v>0</v>
      </c>
      <c r="AA282" s="869">
        <f t="shared" ca="1" si="190"/>
        <v>0</v>
      </c>
      <c r="AB282" s="867">
        <f t="shared" ca="1" si="191"/>
        <v>0</v>
      </c>
      <c r="AC282" s="161"/>
      <c r="AD282" s="869">
        <f t="shared" ca="1" si="192"/>
        <v>0</v>
      </c>
      <c r="AE282" s="867" cm="1">
        <f t="array" ref="AE282">IF($G282=0,0,-MIN(0,$G282*c_equity.LPshare))</f>
        <v>0</v>
      </c>
      <c r="AF282" s="869" cm="1">
        <f t="array" ref="AF282">IF($D282=0,0,AD282*(c_rate.Hurdle2.MO))</f>
        <v>0</v>
      </c>
      <c r="AG282" s="869">
        <f t="shared" ca="1" si="193"/>
        <v>0</v>
      </c>
      <c r="AH282" s="869">
        <f t="shared" ca="1" si="194"/>
        <v>0</v>
      </c>
      <c r="AI282" s="869">
        <f t="shared" ca="1" si="195"/>
        <v>0</v>
      </c>
      <c r="AJ282" s="870">
        <f t="shared" ca="1" si="196"/>
        <v>0</v>
      </c>
      <c r="AK282" s="867">
        <f t="shared" ca="1" si="197"/>
        <v>0</v>
      </c>
      <c r="AL282" s="869">
        <f t="shared" ca="1" si="175"/>
        <v>0</v>
      </c>
      <c r="AM282" s="869">
        <f t="shared" ca="1" si="198"/>
        <v>0</v>
      </c>
      <c r="AN282" s="867">
        <f t="shared" ca="1" si="199"/>
        <v>0</v>
      </c>
      <c r="AO282" s="161"/>
      <c r="AP282" s="869">
        <f t="shared" ca="1" si="200"/>
        <v>0</v>
      </c>
      <c r="AQ282" s="867" cm="1">
        <f t="array" ref="AQ282">IF($G282=0,0,-MIN(0,$G282*c_equity.LPshare))</f>
        <v>0</v>
      </c>
      <c r="AR282" s="869" cm="1">
        <f t="array" ref="AR282">IF($D282=0,0,AP282*(c_rate.Hurdle3.MO))</f>
        <v>0</v>
      </c>
      <c r="AS282" s="869">
        <f t="shared" ca="1" si="201"/>
        <v>0</v>
      </c>
      <c r="AT282" s="869">
        <f t="shared" ca="1" si="202"/>
        <v>0</v>
      </c>
      <c r="AU282" s="869">
        <f t="shared" ca="1" si="203"/>
        <v>0</v>
      </c>
      <c r="AV282" s="870">
        <f t="shared" ca="1" si="204"/>
        <v>0</v>
      </c>
      <c r="AW282" s="867">
        <f t="shared" ca="1" si="205"/>
        <v>0</v>
      </c>
      <c r="AX282" s="869">
        <f t="shared" ca="1" si="176"/>
        <v>0</v>
      </c>
      <c r="AY282" s="869">
        <f t="shared" ca="1" si="206"/>
        <v>0</v>
      </c>
      <c r="AZ282" s="867">
        <f t="shared" ca="1" si="207"/>
        <v>0</v>
      </c>
      <c r="BA282" s="161"/>
      <c r="BB282" s="867">
        <f t="shared" ca="1" si="208"/>
        <v>0</v>
      </c>
      <c r="BC282" s="867">
        <f t="shared" ca="1" si="173"/>
        <v>0</v>
      </c>
      <c r="BD282" s="658"/>
      <c r="BE282" s="867">
        <f t="shared" ca="1" si="209"/>
        <v>0</v>
      </c>
      <c r="BF282" s="867">
        <f t="shared" ca="1" si="210"/>
        <v>0</v>
      </c>
      <c r="BG282" s="867">
        <f t="shared" ca="1" si="211"/>
        <v>0</v>
      </c>
      <c r="BI282" s="867">
        <f ca="1"/>
        <v>0</v>
      </c>
      <c r="BJ282" s="867">
        <f ca="1"/>
        <v>0</v>
      </c>
      <c r="BK282" s="867">
        <f ca="1"/>
        <v>0</v>
      </c>
      <c r="BL282" s="867">
        <f t="shared" ca="1" si="212"/>
        <v>0</v>
      </c>
      <c r="BM282" s="867">
        <f t="shared" ca="1" si="213"/>
        <v>0</v>
      </c>
      <c r="BN282" s="867">
        <f t="shared" ca="1" si="214"/>
        <v>0</v>
      </c>
      <c r="BO282" s="867">
        <f t="shared" ca="1" si="215"/>
        <v>0</v>
      </c>
      <c r="BP282" s="867">
        <f t="shared" ca="1" si="216"/>
        <v>0</v>
      </c>
      <c r="BQ282" s="867">
        <f t="shared" ca="1" si="217"/>
        <v>0</v>
      </c>
      <c r="BR282" s="867">
        <f ca="1"/>
        <v>0</v>
      </c>
      <c r="BS282" s="867">
        <f ca="1"/>
        <v>0</v>
      </c>
      <c r="BT282" s="867">
        <f t="shared" ca="1" si="177"/>
        <v>0</v>
      </c>
      <c r="BU282" s="867">
        <f t="shared" ca="1" si="218"/>
        <v>0</v>
      </c>
      <c r="BX282" s="867">
        <f ca="1"/>
        <v>0</v>
      </c>
      <c r="BY282" s="867">
        <f t="shared" ca="1" si="219"/>
        <v>0</v>
      </c>
      <c r="BZ282" s="867">
        <f t="shared" ca="1" si="220"/>
        <v>0</v>
      </c>
      <c r="CA282" s="867">
        <f t="shared" ca="1" si="221"/>
        <v>0</v>
      </c>
      <c r="CB282" s="867">
        <f t="shared" ca="1" si="222"/>
        <v>0</v>
      </c>
      <c r="CC282" s="867">
        <f t="shared" ca="1" si="223"/>
        <v>0</v>
      </c>
      <c r="CD282" s="867">
        <f t="shared" ca="1" si="224"/>
        <v>0</v>
      </c>
    </row>
    <row r="283" spans="1:82" ht="17" hidden="1" thickTop="1" thickBot="1">
      <c r="A283" s="773">
        <f t="shared" si="174"/>
        <v>0</v>
      </c>
      <c r="B283" s="779"/>
      <c r="D283" s="660"/>
      <c r="E283" s="661"/>
      <c r="F283" s="862"/>
      <c r="G283" s="863"/>
      <c r="H283" s="961"/>
      <c r="I283" s="865">
        <f t="shared" si="178"/>
        <v>0</v>
      </c>
      <c r="J283" s="864" cm="1">
        <f t="array" ref="J283">IF($G283=0,0,-MIN(0,G283*c_equity.LPshare))</f>
        <v>0</v>
      </c>
      <c r="K283" s="865" cm="1">
        <f t="array" ref="K283">I283*c_rate.Pref.MO</f>
        <v>0</v>
      </c>
      <c r="L283" s="865">
        <f t="shared" si="179"/>
        <v>0</v>
      </c>
      <c r="M283" s="865">
        <f t="shared" si="180"/>
        <v>0</v>
      </c>
      <c r="N283" s="865">
        <f t="shared" si="181"/>
        <v>0</v>
      </c>
      <c r="O283" s="864" cm="1">
        <f t="array" ref="O283">IF(N283=0,0,IF(G283&lt;0,N283/c_equity.LPshare*i_equity.GPshare,L283/c_equity.LPshare*i_equity.GPshare))</f>
        <v>0</v>
      </c>
      <c r="P283" s="865">
        <f t="shared" si="182"/>
        <v>0</v>
      </c>
      <c r="Q283" s="865">
        <f t="shared" si="183"/>
        <v>0</v>
      </c>
      <c r="R283" s="161"/>
      <c r="S283" s="867">
        <f t="shared" ca="1" si="184"/>
        <v>0</v>
      </c>
      <c r="T283" s="867" cm="1">
        <f t="array" ref="T283">IF($G283=0,0,-MIN(0,$G283*c_equity.LPshare))</f>
        <v>0</v>
      </c>
      <c r="U283" s="869" cm="1">
        <f t="array" ref="U283">IF($D283=0,0,S283*c_rate.Hurdle1.MO)</f>
        <v>0</v>
      </c>
      <c r="V283" s="867">
        <f t="shared" si="185"/>
        <v>0</v>
      </c>
      <c r="W283" s="867">
        <f t="shared" ca="1" si="186"/>
        <v>0</v>
      </c>
      <c r="X283" s="869">
        <f t="shared" ca="1" si="187"/>
        <v>0</v>
      </c>
      <c r="Y283" s="869">
        <f t="shared" ca="1" si="188"/>
        <v>0</v>
      </c>
      <c r="Z283" s="869">
        <f t="shared" ca="1" si="189"/>
        <v>0</v>
      </c>
      <c r="AA283" s="869">
        <f t="shared" ca="1" si="190"/>
        <v>0</v>
      </c>
      <c r="AB283" s="867">
        <f t="shared" ca="1" si="191"/>
        <v>0</v>
      </c>
      <c r="AC283" s="161"/>
      <c r="AD283" s="869">
        <f t="shared" ca="1" si="192"/>
        <v>0</v>
      </c>
      <c r="AE283" s="867" cm="1">
        <f t="array" ref="AE283">IF($G283=0,0,-MIN(0,$G283*c_equity.LPshare))</f>
        <v>0</v>
      </c>
      <c r="AF283" s="869" cm="1">
        <f t="array" ref="AF283">IF($D283=0,0,AD283*(c_rate.Hurdle2.MO))</f>
        <v>0</v>
      </c>
      <c r="AG283" s="869">
        <f t="shared" ca="1" si="193"/>
        <v>0</v>
      </c>
      <c r="AH283" s="869">
        <f t="shared" ca="1" si="194"/>
        <v>0</v>
      </c>
      <c r="AI283" s="869">
        <f t="shared" ca="1" si="195"/>
        <v>0</v>
      </c>
      <c r="AJ283" s="870">
        <f t="shared" ca="1" si="196"/>
        <v>0</v>
      </c>
      <c r="AK283" s="867">
        <f t="shared" ca="1" si="197"/>
        <v>0</v>
      </c>
      <c r="AL283" s="869">
        <f t="shared" ca="1" si="175"/>
        <v>0</v>
      </c>
      <c r="AM283" s="869">
        <f t="shared" ca="1" si="198"/>
        <v>0</v>
      </c>
      <c r="AN283" s="867">
        <f t="shared" ca="1" si="199"/>
        <v>0</v>
      </c>
      <c r="AO283" s="161"/>
      <c r="AP283" s="869">
        <f t="shared" ca="1" si="200"/>
        <v>0</v>
      </c>
      <c r="AQ283" s="867" cm="1">
        <f t="array" ref="AQ283">IF($G283=0,0,-MIN(0,$G283*c_equity.LPshare))</f>
        <v>0</v>
      </c>
      <c r="AR283" s="869" cm="1">
        <f t="array" ref="AR283">IF($D283=0,0,AP283*(c_rate.Hurdle3.MO))</f>
        <v>0</v>
      </c>
      <c r="AS283" s="869">
        <f t="shared" ca="1" si="201"/>
        <v>0</v>
      </c>
      <c r="AT283" s="869">
        <f t="shared" ca="1" si="202"/>
        <v>0</v>
      </c>
      <c r="AU283" s="869">
        <f t="shared" ca="1" si="203"/>
        <v>0</v>
      </c>
      <c r="AV283" s="870">
        <f t="shared" ca="1" si="204"/>
        <v>0</v>
      </c>
      <c r="AW283" s="867">
        <f t="shared" ca="1" si="205"/>
        <v>0</v>
      </c>
      <c r="AX283" s="869">
        <f t="shared" ca="1" si="176"/>
        <v>0</v>
      </c>
      <c r="AY283" s="869">
        <f t="shared" ca="1" si="206"/>
        <v>0</v>
      </c>
      <c r="AZ283" s="867">
        <f t="shared" ca="1" si="207"/>
        <v>0</v>
      </c>
      <c r="BA283" s="161"/>
      <c r="BB283" s="867">
        <f t="shared" ca="1" si="208"/>
        <v>0</v>
      </c>
      <c r="BC283" s="867">
        <f t="shared" ca="1" si="173"/>
        <v>0</v>
      </c>
      <c r="BD283" s="658"/>
      <c r="BE283" s="867">
        <f t="shared" ca="1" si="209"/>
        <v>0</v>
      </c>
      <c r="BF283" s="867">
        <f t="shared" ca="1" si="210"/>
        <v>0</v>
      </c>
      <c r="BG283" s="867">
        <f t="shared" ca="1" si="211"/>
        <v>0</v>
      </c>
      <c r="BI283" s="867">
        <f ca="1"/>
        <v>0</v>
      </c>
      <c r="BJ283" s="867">
        <f ca="1"/>
        <v>0</v>
      </c>
      <c r="BK283" s="867">
        <f ca="1"/>
        <v>0</v>
      </c>
      <c r="BL283" s="867">
        <f t="shared" ca="1" si="212"/>
        <v>0</v>
      </c>
      <c r="BM283" s="867">
        <f t="shared" ca="1" si="213"/>
        <v>0</v>
      </c>
      <c r="BN283" s="867">
        <f t="shared" ca="1" si="214"/>
        <v>0</v>
      </c>
      <c r="BO283" s="867">
        <f t="shared" ca="1" si="215"/>
        <v>0</v>
      </c>
      <c r="BP283" s="867">
        <f t="shared" ca="1" si="216"/>
        <v>0</v>
      </c>
      <c r="BQ283" s="867">
        <f t="shared" ca="1" si="217"/>
        <v>0</v>
      </c>
      <c r="BR283" s="867">
        <f ca="1"/>
        <v>0</v>
      </c>
      <c r="BS283" s="867">
        <f ca="1"/>
        <v>0</v>
      </c>
      <c r="BT283" s="867">
        <f t="shared" ca="1" si="177"/>
        <v>0</v>
      </c>
      <c r="BU283" s="867">
        <f t="shared" ca="1" si="218"/>
        <v>0</v>
      </c>
      <c r="BX283" s="867">
        <f ca="1"/>
        <v>0</v>
      </c>
      <c r="BY283" s="867">
        <f t="shared" ca="1" si="219"/>
        <v>0</v>
      </c>
      <c r="BZ283" s="867">
        <f t="shared" ca="1" si="220"/>
        <v>0</v>
      </c>
      <c r="CA283" s="867">
        <f t="shared" ca="1" si="221"/>
        <v>0</v>
      </c>
      <c r="CB283" s="867">
        <f t="shared" ca="1" si="222"/>
        <v>0</v>
      </c>
      <c r="CC283" s="867">
        <f t="shared" ca="1" si="223"/>
        <v>0</v>
      </c>
      <c r="CD283" s="867">
        <f t="shared" ca="1" si="224"/>
        <v>0</v>
      </c>
    </row>
    <row r="284" spans="1:82" ht="17" hidden="1" thickTop="1" thickBot="1">
      <c r="A284" s="773">
        <f t="shared" si="174"/>
        <v>0</v>
      </c>
      <c r="B284" s="779"/>
      <c r="D284" s="660"/>
      <c r="E284" s="661"/>
      <c r="F284" s="862"/>
      <c r="G284" s="863"/>
      <c r="H284" s="961"/>
      <c r="I284" s="865">
        <f t="shared" si="178"/>
        <v>0</v>
      </c>
      <c r="J284" s="864" cm="1">
        <f t="array" ref="J284">IF($G284=0,0,-MIN(0,G284*c_equity.LPshare))</f>
        <v>0</v>
      </c>
      <c r="K284" s="865" cm="1">
        <f t="array" ref="K284">I284*c_rate.Pref.MO</f>
        <v>0</v>
      </c>
      <c r="L284" s="865">
        <f t="shared" si="179"/>
        <v>0</v>
      </c>
      <c r="M284" s="865">
        <f t="shared" si="180"/>
        <v>0</v>
      </c>
      <c r="N284" s="865">
        <f t="shared" si="181"/>
        <v>0</v>
      </c>
      <c r="O284" s="864" cm="1">
        <f t="array" ref="O284">IF(N284=0,0,IF(G284&lt;0,N284/c_equity.LPshare*i_equity.GPshare,L284/c_equity.LPshare*i_equity.GPshare))</f>
        <v>0</v>
      </c>
      <c r="P284" s="865">
        <f t="shared" si="182"/>
        <v>0</v>
      </c>
      <c r="Q284" s="865">
        <f t="shared" si="183"/>
        <v>0</v>
      </c>
      <c r="R284" s="161"/>
      <c r="S284" s="867">
        <f t="shared" ca="1" si="184"/>
        <v>0</v>
      </c>
      <c r="T284" s="867" cm="1">
        <f t="array" ref="T284">IF($G284=0,0,-MIN(0,$G284*c_equity.LPshare))</f>
        <v>0</v>
      </c>
      <c r="U284" s="869" cm="1">
        <f t="array" ref="U284">IF($D284=0,0,S284*c_rate.Hurdle1.MO)</f>
        <v>0</v>
      </c>
      <c r="V284" s="867">
        <f t="shared" si="185"/>
        <v>0</v>
      </c>
      <c r="W284" s="867">
        <f t="shared" ca="1" si="186"/>
        <v>0</v>
      </c>
      <c r="X284" s="869">
        <f t="shared" ca="1" si="187"/>
        <v>0</v>
      </c>
      <c r="Y284" s="869">
        <f t="shared" ca="1" si="188"/>
        <v>0</v>
      </c>
      <c r="Z284" s="869">
        <f t="shared" ca="1" si="189"/>
        <v>0</v>
      </c>
      <c r="AA284" s="869">
        <f t="shared" ca="1" si="190"/>
        <v>0</v>
      </c>
      <c r="AB284" s="867">
        <f t="shared" ca="1" si="191"/>
        <v>0</v>
      </c>
      <c r="AC284" s="161"/>
      <c r="AD284" s="869">
        <f t="shared" ca="1" si="192"/>
        <v>0</v>
      </c>
      <c r="AE284" s="867" cm="1">
        <f t="array" ref="AE284">IF($G284=0,0,-MIN(0,$G284*c_equity.LPshare))</f>
        <v>0</v>
      </c>
      <c r="AF284" s="869" cm="1">
        <f t="array" ref="AF284">IF($D284=0,0,AD284*(c_rate.Hurdle2.MO))</f>
        <v>0</v>
      </c>
      <c r="AG284" s="869">
        <f t="shared" ca="1" si="193"/>
        <v>0</v>
      </c>
      <c r="AH284" s="869">
        <f t="shared" ca="1" si="194"/>
        <v>0</v>
      </c>
      <c r="AI284" s="869">
        <f t="shared" ca="1" si="195"/>
        <v>0</v>
      </c>
      <c r="AJ284" s="870">
        <f t="shared" ca="1" si="196"/>
        <v>0</v>
      </c>
      <c r="AK284" s="867">
        <f t="shared" ca="1" si="197"/>
        <v>0</v>
      </c>
      <c r="AL284" s="869">
        <f t="shared" ca="1" si="175"/>
        <v>0</v>
      </c>
      <c r="AM284" s="869">
        <f t="shared" ca="1" si="198"/>
        <v>0</v>
      </c>
      <c r="AN284" s="867">
        <f t="shared" ca="1" si="199"/>
        <v>0</v>
      </c>
      <c r="AO284" s="161"/>
      <c r="AP284" s="869">
        <f t="shared" ca="1" si="200"/>
        <v>0</v>
      </c>
      <c r="AQ284" s="867" cm="1">
        <f t="array" ref="AQ284">IF($G284=0,0,-MIN(0,$G284*c_equity.LPshare))</f>
        <v>0</v>
      </c>
      <c r="AR284" s="869" cm="1">
        <f t="array" ref="AR284">IF($D284=0,0,AP284*(c_rate.Hurdle3.MO))</f>
        <v>0</v>
      </c>
      <c r="AS284" s="869">
        <f t="shared" ca="1" si="201"/>
        <v>0</v>
      </c>
      <c r="AT284" s="869">
        <f t="shared" ca="1" si="202"/>
        <v>0</v>
      </c>
      <c r="AU284" s="869">
        <f t="shared" ca="1" si="203"/>
        <v>0</v>
      </c>
      <c r="AV284" s="870">
        <f t="shared" ca="1" si="204"/>
        <v>0</v>
      </c>
      <c r="AW284" s="867">
        <f t="shared" ca="1" si="205"/>
        <v>0</v>
      </c>
      <c r="AX284" s="869">
        <f t="shared" ca="1" si="176"/>
        <v>0</v>
      </c>
      <c r="AY284" s="869">
        <f t="shared" ca="1" si="206"/>
        <v>0</v>
      </c>
      <c r="AZ284" s="867">
        <f t="shared" ca="1" si="207"/>
        <v>0</v>
      </c>
      <c r="BA284" s="161"/>
      <c r="BB284" s="867">
        <f t="shared" ca="1" si="208"/>
        <v>0</v>
      </c>
      <c r="BC284" s="867">
        <f t="shared" ca="1" si="173"/>
        <v>0</v>
      </c>
      <c r="BD284" s="658"/>
      <c r="BE284" s="867">
        <f t="shared" ca="1" si="209"/>
        <v>0</v>
      </c>
      <c r="BF284" s="867">
        <f t="shared" ca="1" si="210"/>
        <v>0</v>
      </c>
      <c r="BG284" s="867">
        <f t="shared" ca="1" si="211"/>
        <v>0</v>
      </c>
      <c r="BI284" s="867">
        <f ca="1"/>
        <v>0</v>
      </c>
      <c r="BJ284" s="867">
        <f ca="1"/>
        <v>0</v>
      </c>
      <c r="BK284" s="867">
        <f ca="1"/>
        <v>0</v>
      </c>
      <c r="BL284" s="867">
        <f t="shared" ca="1" si="212"/>
        <v>0</v>
      </c>
      <c r="BM284" s="867">
        <f t="shared" ca="1" si="213"/>
        <v>0</v>
      </c>
      <c r="BN284" s="867">
        <f t="shared" ca="1" si="214"/>
        <v>0</v>
      </c>
      <c r="BO284" s="867">
        <f t="shared" ca="1" si="215"/>
        <v>0</v>
      </c>
      <c r="BP284" s="867">
        <f t="shared" ca="1" si="216"/>
        <v>0</v>
      </c>
      <c r="BQ284" s="867">
        <f t="shared" ca="1" si="217"/>
        <v>0</v>
      </c>
      <c r="BR284" s="867">
        <f ca="1"/>
        <v>0</v>
      </c>
      <c r="BS284" s="867">
        <f ca="1"/>
        <v>0</v>
      </c>
      <c r="BT284" s="867">
        <f t="shared" ca="1" si="177"/>
        <v>0</v>
      </c>
      <c r="BU284" s="867">
        <f t="shared" ca="1" si="218"/>
        <v>0</v>
      </c>
      <c r="BX284" s="867">
        <f ca="1"/>
        <v>0</v>
      </c>
      <c r="BY284" s="867">
        <f t="shared" ca="1" si="219"/>
        <v>0</v>
      </c>
      <c r="BZ284" s="867">
        <f t="shared" ca="1" si="220"/>
        <v>0</v>
      </c>
      <c r="CA284" s="867">
        <f t="shared" ca="1" si="221"/>
        <v>0</v>
      </c>
      <c r="CB284" s="867">
        <f t="shared" ca="1" si="222"/>
        <v>0</v>
      </c>
      <c r="CC284" s="867">
        <f t="shared" ca="1" si="223"/>
        <v>0</v>
      </c>
      <c r="CD284" s="867">
        <f t="shared" ca="1" si="224"/>
        <v>0</v>
      </c>
    </row>
    <row r="285" spans="1:82" ht="17" hidden="1" thickTop="1" thickBot="1">
      <c r="A285" s="773">
        <f t="shared" si="174"/>
        <v>0</v>
      </c>
      <c r="B285" s="779"/>
      <c r="D285" s="660"/>
      <c r="E285" s="661"/>
      <c r="F285" s="862"/>
      <c r="G285" s="863"/>
      <c r="H285" s="961"/>
      <c r="I285" s="865">
        <f t="shared" si="178"/>
        <v>0</v>
      </c>
      <c r="J285" s="864" cm="1">
        <f t="array" ref="J285">IF($G285=0,0,-MIN(0,G285*c_equity.LPshare))</f>
        <v>0</v>
      </c>
      <c r="K285" s="865" cm="1">
        <f t="array" ref="K285">I285*c_rate.Pref.MO</f>
        <v>0</v>
      </c>
      <c r="L285" s="865">
        <f t="shared" si="179"/>
        <v>0</v>
      </c>
      <c r="M285" s="865">
        <f t="shared" si="180"/>
        <v>0</v>
      </c>
      <c r="N285" s="865">
        <f t="shared" si="181"/>
        <v>0</v>
      </c>
      <c r="O285" s="864" cm="1">
        <f t="array" ref="O285">IF(N285=0,0,IF(G285&lt;0,N285/c_equity.LPshare*i_equity.GPshare,L285/c_equity.LPshare*i_equity.GPshare))</f>
        <v>0</v>
      </c>
      <c r="P285" s="865">
        <f t="shared" si="182"/>
        <v>0</v>
      </c>
      <c r="Q285" s="865">
        <f t="shared" si="183"/>
        <v>0</v>
      </c>
      <c r="R285" s="161"/>
      <c r="S285" s="867">
        <f t="shared" ca="1" si="184"/>
        <v>0</v>
      </c>
      <c r="T285" s="867" cm="1">
        <f t="array" ref="T285">IF($G285=0,0,-MIN(0,$G285*c_equity.LPshare))</f>
        <v>0</v>
      </c>
      <c r="U285" s="869" cm="1">
        <f t="array" ref="U285">IF($D285=0,0,S285*c_rate.Hurdle1.MO)</f>
        <v>0</v>
      </c>
      <c r="V285" s="867">
        <f t="shared" si="185"/>
        <v>0</v>
      </c>
      <c r="W285" s="867">
        <f t="shared" ca="1" si="186"/>
        <v>0</v>
      </c>
      <c r="X285" s="869">
        <f t="shared" ca="1" si="187"/>
        <v>0</v>
      </c>
      <c r="Y285" s="869">
        <f t="shared" ca="1" si="188"/>
        <v>0</v>
      </c>
      <c r="Z285" s="869">
        <f t="shared" ca="1" si="189"/>
        <v>0</v>
      </c>
      <c r="AA285" s="869">
        <f t="shared" ca="1" si="190"/>
        <v>0</v>
      </c>
      <c r="AB285" s="867">
        <f t="shared" ca="1" si="191"/>
        <v>0</v>
      </c>
      <c r="AC285" s="161"/>
      <c r="AD285" s="869">
        <f t="shared" ca="1" si="192"/>
        <v>0</v>
      </c>
      <c r="AE285" s="867" cm="1">
        <f t="array" ref="AE285">IF($G285=0,0,-MIN(0,$G285*c_equity.LPshare))</f>
        <v>0</v>
      </c>
      <c r="AF285" s="869" cm="1">
        <f t="array" ref="AF285">IF($D285=0,0,AD285*(c_rate.Hurdle2.MO))</f>
        <v>0</v>
      </c>
      <c r="AG285" s="869">
        <f t="shared" ca="1" si="193"/>
        <v>0</v>
      </c>
      <c r="AH285" s="869">
        <f t="shared" ca="1" si="194"/>
        <v>0</v>
      </c>
      <c r="AI285" s="869">
        <f t="shared" ca="1" si="195"/>
        <v>0</v>
      </c>
      <c r="AJ285" s="870">
        <f t="shared" ca="1" si="196"/>
        <v>0</v>
      </c>
      <c r="AK285" s="867">
        <f t="shared" ca="1" si="197"/>
        <v>0</v>
      </c>
      <c r="AL285" s="869">
        <f t="shared" ca="1" si="175"/>
        <v>0</v>
      </c>
      <c r="AM285" s="869">
        <f t="shared" ca="1" si="198"/>
        <v>0</v>
      </c>
      <c r="AN285" s="867">
        <f t="shared" ca="1" si="199"/>
        <v>0</v>
      </c>
      <c r="AO285" s="161"/>
      <c r="AP285" s="869">
        <f t="shared" ca="1" si="200"/>
        <v>0</v>
      </c>
      <c r="AQ285" s="867" cm="1">
        <f t="array" ref="AQ285">IF($G285=0,0,-MIN(0,$G285*c_equity.LPshare))</f>
        <v>0</v>
      </c>
      <c r="AR285" s="869" cm="1">
        <f t="array" ref="AR285">IF($D285=0,0,AP285*(c_rate.Hurdle3.MO))</f>
        <v>0</v>
      </c>
      <c r="AS285" s="869">
        <f t="shared" ca="1" si="201"/>
        <v>0</v>
      </c>
      <c r="AT285" s="869">
        <f t="shared" ca="1" si="202"/>
        <v>0</v>
      </c>
      <c r="AU285" s="869">
        <f t="shared" ca="1" si="203"/>
        <v>0</v>
      </c>
      <c r="AV285" s="870">
        <f t="shared" ca="1" si="204"/>
        <v>0</v>
      </c>
      <c r="AW285" s="867">
        <f t="shared" ca="1" si="205"/>
        <v>0</v>
      </c>
      <c r="AX285" s="869">
        <f t="shared" ca="1" si="176"/>
        <v>0</v>
      </c>
      <c r="AY285" s="869">
        <f t="shared" ca="1" si="206"/>
        <v>0</v>
      </c>
      <c r="AZ285" s="867">
        <f t="shared" ca="1" si="207"/>
        <v>0</v>
      </c>
      <c r="BA285" s="161"/>
      <c r="BB285" s="867">
        <f t="shared" ca="1" si="208"/>
        <v>0</v>
      </c>
      <c r="BC285" s="867">
        <f t="shared" ca="1" si="173"/>
        <v>0</v>
      </c>
      <c r="BD285" s="658"/>
      <c r="BE285" s="867">
        <f t="shared" ca="1" si="209"/>
        <v>0</v>
      </c>
      <c r="BF285" s="867">
        <f t="shared" ca="1" si="210"/>
        <v>0</v>
      </c>
      <c r="BG285" s="867">
        <f t="shared" ca="1" si="211"/>
        <v>0</v>
      </c>
      <c r="BI285" s="867">
        <f ca="1"/>
        <v>0</v>
      </c>
      <c r="BJ285" s="867">
        <f ca="1"/>
        <v>0</v>
      </c>
      <c r="BK285" s="867">
        <f ca="1"/>
        <v>0</v>
      </c>
      <c r="BL285" s="867">
        <f t="shared" ca="1" si="212"/>
        <v>0</v>
      </c>
      <c r="BM285" s="867">
        <f t="shared" ca="1" si="213"/>
        <v>0</v>
      </c>
      <c r="BN285" s="867">
        <f t="shared" ca="1" si="214"/>
        <v>0</v>
      </c>
      <c r="BO285" s="867">
        <f t="shared" ca="1" si="215"/>
        <v>0</v>
      </c>
      <c r="BP285" s="867">
        <f t="shared" ca="1" si="216"/>
        <v>0</v>
      </c>
      <c r="BQ285" s="867">
        <f t="shared" ca="1" si="217"/>
        <v>0</v>
      </c>
      <c r="BR285" s="867">
        <f ca="1"/>
        <v>0</v>
      </c>
      <c r="BS285" s="867">
        <f ca="1"/>
        <v>0</v>
      </c>
      <c r="BT285" s="867">
        <f t="shared" ca="1" si="177"/>
        <v>0</v>
      </c>
      <c r="BU285" s="867">
        <f t="shared" ca="1" si="218"/>
        <v>0</v>
      </c>
      <c r="BX285" s="867">
        <f ca="1"/>
        <v>0</v>
      </c>
      <c r="BY285" s="867">
        <f t="shared" ca="1" si="219"/>
        <v>0</v>
      </c>
      <c r="BZ285" s="867">
        <f t="shared" ca="1" si="220"/>
        <v>0</v>
      </c>
      <c r="CA285" s="867">
        <f t="shared" ca="1" si="221"/>
        <v>0</v>
      </c>
      <c r="CB285" s="867">
        <f t="shared" ca="1" si="222"/>
        <v>0</v>
      </c>
      <c r="CC285" s="867">
        <f t="shared" ca="1" si="223"/>
        <v>0</v>
      </c>
      <c r="CD285" s="867">
        <f t="shared" ca="1" si="224"/>
        <v>0</v>
      </c>
    </row>
    <row r="286" spans="1:82" ht="17" hidden="1" thickTop="1" thickBot="1">
      <c r="A286" s="773">
        <f t="shared" si="174"/>
        <v>0</v>
      </c>
      <c r="B286" s="779"/>
      <c r="D286" s="660"/>
      <c r="E286" s="661"/>
      <c r="F286" s="862"/>
      <c r="G286" s="863"/>
      <c r="H286" s="961"/>
      <c r="I286" s="865">
        <f t="shared" si="178"/>
        <v>0</v>
      </c>
      <c r="J286" s="864" cm="1">
        <f t="array" ref="J286">IF($G286=0,0,-MIN(0,G286*c_equity.LPshare))</f>
        <v>0</v>
      </c>
      <c r="K286" s="865" cm="1">
        <f t="array" ref="K286">I286*c_rate.Pref.MO</f>
        <v>0</v>
      </c>
      <c r="L286" s="865">
        <f t="shared" si="179"/>
        <v>0</v>
      </c>
      <c r="M286" s="865">
        <f t="shared" si="180"/>
        <v>0</v>
      </c>
      <c r="N286" s="865">
        <f t="shared" si="181"/>
        <v>0</v>
      </c>
      <c r="O286" s="864" cm="1">
        <f t="array" ref="O286">IF(N286=0,0,IF(G286&lt;0,N286/c_equity.LPshare*i_equity.GPshare,L286/c_equity.LPshare*i_equity.GPshare))</f>
        <v>0</v>
      </c>
      <c r="P286" s="865">
        <f t="shared" si="182"/>
        <v>0</v>
      </c>
      <c r="Q286" s="865">
        <f t="shared" si="183"/>
        <v>0</v>
      </c>
      <c r="R286" s="161"/>
      <c r="S286" s="867">
        <f t="shared" ca="1" si="184"/>
        <v>0</v>
      </c>
      <c r="T286" s="867" cm="1">
        <f t="array" ref="T286">IF($G286=0,0,-MIN(0,$G286*c_equity.LPshare))</f>
        <v>0</v>
      </c>
      <c r="U286" s="869" cm="1">
        <f t="array" ref="U286">IF($D286=0,0,S286*c_rate.Hurdle1.MO)</f>
        <v>0</v>
      </c>
      <c r="V286" s="867">
        <f t="shared" si="185"/>
        <v>0</v>
      </c>
      <c r="W286" s="867">
        <f t="shared" ca="1" si="186"/>
        <v>0</v>
      </c>
      <c r="X286" s="869">
        <f t="shared" ca="1" si="187"/>
        <v>0</v>
      </c>
      <c r="Y286" s="869">
        <f t="shared" ca="1" si="188"/>
        <v>0</v>
      </c>
      <c r="Z286" s="869">
        <f t="shared" ca="1" si="189"/>
        <v>0</v>
      </c>
      <c r="AA286" s="869">
        <f t="shared" ca="1" si="190"/>
        <v>0</v>
      </c>
      <c r="AB286" s="867">
        <f t="shared" ca="1" si="191"/>
        <v>0</v>
      </c>
      <c r="AC286" s="161"/>
      <c r="AD286" s="869">
        <f t="shared" ca="1" si="192"/>
        <v>0</v>
      </c>
      <c r="AE286" s="867" cm="1">
        <f t="array" ref="AE286">IF($G286=0,0,-MIN(0,$G286*c_equity.LPshare))</f>
        <v>0</v>
      </c>
      <c r="AF286" s="869" cm="1">
        <f t="array" ref="AF286">IF($D286=0,0,AD286*(c_rate.Hurdle2.MO))</f>
        <v>0</v>
      </c>
      <c r="AG286" s="869">
        <f t="shared" ca="1" si="193"/>
        <v>0</v>
      </c>
      <c r="AH286" s="869">
        <f t="shared" ca="1" si="194"/>
        <v>0</v>
      </c>
      <c r="AI286" s="869">
        <f t="shared" ca="1" si="195"/>
        <v>0</v>
      </c>
      <c r="AJ286" s="870">
        <f t="shared" ca="1" si="196"/>
        <v>0</v>
      </c>
      <c r="AK286" s="867">
        <f t="shared" ca="1" si="197"/>
        <v>0</v>
      </c>
      <c r="AL286" s="869">
        <f t="shared" ca="1" si="175"/>
        <v>0</v>
      </c>
      <c r="AM286" s="869">
        <f t="shared" ca="1" si="198"/>
        <v>0</v>
      </c>
      <c r="AN286" s="867">
        <f t="shared" ca="1" si="199"/>
        <v>0</v>
      </c>
      <c r="AO286" s="161"/>
      <c r="AP286" s="869">
        <f t="shared" ca="1" si="200"/>
        <v>0</v>
      </c>
      <c r="AQ286" s="867" cm="1">
        <f t="array" ref="AQ286">IF($G286=0,0,-MIN(0,$G286*c_equity.LPshare))</f>
        <v>0</v>
      </c>
      <c r="AR286" s="869" cm="1">
        <f t="array" ref="AR286">IF($D286=0,0,AP286*(c_rate.Hurdle3.MO))</f>
        <v>0</v>
      </c>
      <c r="AS286" s="869">
        <f t="shared" ca="1" si="201"/>
        <v>0</v>
      </c>
      <c r="AT286" s="869">
        <f t="shared" ca="1" si="202"/>
        <v>0</v>
      </c>
      <c r="AU286" s="869">
        <f t="shared" ca="1" si="203"/>
        <v>0</v>
      </c>
      <c r="AV286" s="870">
        <f t="shared" ca="1" si="204"/>
        <v>0</v>
      </c>
      <c r="AW286" s="867">
        <f t="shared" ca="1" si="205"/>
        <v>0</v>
      </c>
      <c r="AX286" s="869">
        <f t="shared" ca="1" si="176"/>
        <v>0</v>
      </c>
      <c r="AY286" s="869">
        <f t="shared" ca="1" si="206"/>
        <v>0</v>
      </c>
      <c r="AZ286" s="867">
        <f t="shared" ca="1" si="207"/>
        <v>0</v>
      </c>
      <c r="BA286" s="161"/>
      <c r="BB286" s="867">
        <f t="shared" ca="1" si="208"/>
        <v>0</v>
      </c>
      <c r="BC286" s="867">
        <f t="shared" ca="1" si="173"/>
        <v>0</v>
      </c>
      <c r="BD286" s="658"/>
      <c r="BE286" s="867">
        <f t="shared" ca="1" si="209"/>
        <v>0</v>
      </c>
      <c r="BF286" s="867">
        <f t="shared" ca="1" si="210"/>
        <v>0</v>
      </c>
      <c r="BG286" s="867">
        <f t="shared" ca="1" si="211"/>
        <v>0</v>
      </c>
      <c r="BI286" s="867">
        <f ca="1"/>
        <v>0</v>
      </c>
      <c r="BJ286" s="867">
        <f ca="1"/>
        <v>0</v>
      </c>
      <c r="BK286" s="867">
        <f ca="1"/>
        <v>0</v>
      </c>
      <c r="BL286" s="867">
        <f t="shared" ca="1" si="212"/>
        <v>0</v>
      </c>
      <c r="BM286" s="867">
        <f t="shared" ca="1" si="213"/>
        <v>0</v>
      </c>
      <c r="BN286" s="867">
        <f t="shared" ca="1" si="214"/>
        <v>0</v>
      </c>
      <c r="BO286" s="867">
        <f t="shared" ca="1" si="215"/>
        <v>0</v>
      </c>
      <c r="BP286" s="867">
        <f t="shared" ca="1" si="216"/>
        <v>0</v>
      </c>
      <c r="BQ286" s="867">
        <f t="shared" ca="1" si="217"/>
        <v>0</v>
      </c>
      <c r="BR286" s="867">
        <f ca="1"/>
        <v>0</v>
      </c>
      <c r="BS286" s="867">
        <f ca="1"/>
        <v>0</v>
      </c>
      <c r="BT286" s="867">
        <f t="shared" ca="1" si="177"/>
        <v>0</v>
      </c>
      <c r="BU286" s="867">
        <f t="shared" ca="1" si="218"/>
        <v>0</v>
      </c>
      <c r="BX286" s="867">
        <f ca="1"/>
        <v>0</v>
      </c>
      <c r="BY286" s="867">
        <f t="shared" ca="1" si="219"/>
        <v>0</v>
      </c>
      <c r="BZ286" s="867">
        <f t="shared" ca="1" si="220"/>
        <v>0</v>
      </c>
      <c r="CA286" s="867">
        <f t="shared" ca="1" si="221"/>
        <v>0</v>
      </c>
      <c r="CB286" s="867">
        <f t="shared" ca="1" si="222"/>
        <v>0</v>
      </c>
      <c r="CC286" s="867">
        <f t="shared" ca="1" si="223"/>
        <v>0</v>
      </c>
      <c r="CD286" s="867">
        <f t="shared" ca="1" si="224"/>
        <v>0</v>
      </c>
    </row>
    <row r="287" spans="1:82" ht="17" hidden="1" thickTop="1" thickBot="1">
      <c r="A287" s="773">
        <f t="shared" si="174"/>
        <v>0</v>
      </c>
      <c r="B287" s="779"/>
      <c r="D287" s="660"/>
      <c r="E287" s="661"/>
      <c r="F287" s="862"/>
      <c r="G287" s="863"/>
      <c r="H287" s="961"/>
      <c r="I287" s="865">
        <f t="shared" si="178"/>
        <v>0</v>
      </c>
      <c r="J287" s="864" cm="1">
        <f t="array" ref="J287">IF($G287=0,0,-MIN(0,G287*c_equity.LPshare))</f>
        <v>0</v>
      </c>
      <c r="K287" s="865" cm="1">
        <f t="array" ref="K287">I287*c_rate.Pref.MO</f>
        <v>0</v>
      </c>
      <c r="L287" s="865">
        <f t="shared" si="179"/>
        <v>0</v>
      </c>
      <c r="M287" s="865">
        <f t="shared" si="180"/>
        <v>0</v>
      </c>
      <c r="N287" s="865">
        <f t="shared" si="181"/>
        <v>0</v>
      </c>
      <c r="O287" s="864" cm="1">
        <f t="array" ref="O287">IF(N287=0,0,IF(G287&lt;0,N287/c_equity.LPshare*i_equity.GPshare,L287/c_equity.LPshare*i_equity.GPshare))</f>
        <v>0</v>
      </c>
      <c r="P287" s="865">
        <f t="shared" si="182"/>
        <v>0</v>
      </c>
      <c r="Q287" s="865">
        <f t="shared" si="183"/>
        <v>0</v>
      </c>
      <c r="R287" s="161"/>
      <c r="S287" s="867">
        <f t="shared" ca="1" si="184"/>
        <v>0</v>
      </c>
      <c r="T287" s="867" cm="1">
        <f t="array" ref="T287">IF($G287=0,0,-MIN(0,$G287*c_equity.LPshare))</f>
        <v>0</v>
      </c>
      <c r="U287" s="869" cm="1">
        <f t="array" ref="U287">IF($D287=0,0,S287*c_rate.Hurdle1.MO)</f>
        <v>0</v>
      </c>
      <c r="V287" s="867">
        <f t="shared" si="185"/>
        <v>0</v>
      </c>
      <c r="W287" s="867">
        <f t="shared" ca="1" si="186"/>
        <v>0</v>
      </c>
      <c r="X287" s="869">
        <f t="shared" ca="1" si="187"/>
        <v>0</v>
      </c>
      <c r="Y287" s="869">
        <f t="shared" ca="1" si="188"/>
        <v>0</v>
      </c>
      <c r="Z287" s="869">
        <f t="shared" ca="1" si="189"/>
        <v>0</v>
      </c>
      <c r="AA287" s="869">
        <f t="shared" ca="1" si="190"/>
        <v>0</v>
      </c>
      <c r="AB287" s="867">
        <f t="shared" ca="1" si="191"/>
        <v>0</v>
      </c>
      <c r="AC287" s="161"/>
      <c r="AD287" s="869">
        <f t="shared" ca="1" si="192"/>
        <v>0</v>
      </c>
      <c r="AE287" s="867" cm="1">
        <f t="array" ref="AE287">IF($G287=0,0,-MIN(0,$G287*c_equity.LPshare))</f>
        <v>0</v>
      </c>
      <c r="AF287" s="869" cm="1">
        <f t="array" ref="AF287">IF($D287=0,0,AD287*(c_rate.Hurdle2.MO))</f>
        <v>0</v>
      </c>
      <c r="AG287" s="869">
        <f t="shared" ca="1" si="193"/>
        <v>0</v>
      </c>
      <c r="AH287" s="869">
        <f t="shared" ca="1" si="194"/>
        <v>0</v>
      </c>
      <c r="AI287" s="869">
        <f t="shared" ca="1" si="195"/>
        <v>0</v>
      </c>
      <c r="AJ287" s="870">
        <f t="shared" ca="1" si="196"/>
        <v>0</v>
      </c>
      <c r="AK287" s="867">
        <f t="shared" ca="1" si="197"/>
        <v>0</v>
      </c>
      <c r="AL287" s="869">
        <f t="shared" ca="1" si="175"/>
        <v>0</v>
      </c>
      <c r="AM287" s="869">
        <f t="shared" ca="1" si="198"/>
        <v>0</v>
      </c>
      <c r="AN287" s="867">
        <f t="shared" ca="1" si="199"/>
        <v>0</v>
      </c>
      <c r="AO287" s="161"/>
      <c r="AP287" s="869">
        <f t="shared" ca="1" si="200"/>
        <v>0</v>
      </c>
      <c r="AQ287" s="867" cm="1">
        <f t="array" ref="AQ287">IF($G287=0,0,-MIN(0,$G287*c_equity.LPshare))</f>
        <v>0</v>
      </c>
      <c r="AR287" s="869" cm="1">
        <f t="array" ref="AR287">IF($D287=0,0,AP287*(c_rate.Hurdle3.MO))</f>
        <v>0</v>
      </c>
      <c r="AS287" s="869">
        <f t="shared" ca="1" si="201"/>
        <v>0</v>
      </c>
      <c r="AT287" s="869">
        <f t="shared" ca="1" si="202"/>
        <v>0</v>
      </c>
      <c r="AU287" s="869">
        <f t="shared" ca="1" si="203"/>
        <v>0</v>
      </c>
      <c r="AV287" s="870">
        <f t="shared" ca="1" si="204"/>
        <v>0</v>
      </c>
      <c r="AW287" s="867">
        <f t="shared" ca="1" si="205"/>
        <v>0</v>
      </c>
      <c r="AX287" s="869">
        <f t="shared" ca="1" si="176"/>
        <v>0</v>
      </c>
      <c r="AY287" s="869">
        <f t="shared" ca="1" si="206"/>
        <v>0</v>
      </c>
      <c r="AZ287" s="867">
        <f t="shared" ca="1" si="207"/>
        <v>0</v>
      </c>
      <c r="BA287" s="161"/>
      <c r="BB287" s="867">
        <f t="shared" ca="1" si="208"/>
        <v>0</v>
      </c>
      <c r="BC287" s="867">
        <f t="shared" ca="1" si="173"/>
        <v>0</v>
      </c>
      <c r="BD287" s="658"/>
      <c r="BE287" s="867">
        <f t="shared" ca="1" si="209"/>
        <v>0</v>
      </c>
      <c r="BF287" s="867">
        <f t="shared" ca="1" si="210"/>
        <v>0</v>
      </c>
      <c r="BG287" s="867">
        <f t="shared" ca="1" si="211"/>
        <v>0</v>
      </c>
      <c r="BI287" s="867">
        <f ca="1"/>
        <v>0</v>
      </c>
      <c r="BJ287" s="867">
        <f ca="1"/>
        <v>0</v>
      </c>
      <c r="BK287" s="867">
        <f ca="1"/>
        <v>0</v>
      </c>
      <c r="BL287" s="867">
        <f t="shared" ca="1" si="212"/>
        <v>0</v>
      </c>
      <c r="BM287" s="867">
        <f t="shared" ca="1" si="213"/>
        <v>0</v>
      </c>
      <c r="BN287" s="867">
        <f t="shared" ca="1" si="214"/>
        <v>0</v>
      </c>
      <c r="BO287" s="867">
        <f t="shared" ca="1" si="215"/>
        <v>0</v>
      </c>
      <c r="BP287" s="867">
        <f t="shared" ca="1" si="216"/>
        <v>0</v>
      </c>
      <c r="BQ287" s="867">
        <f t="shared" ca="1" si="217"/>
        <v>0</v>
      </c>
      <c r="BR287" s="867">
        <f ca="1"/>
        <v>0</v>
      </c>
      <c r="BS287" s="867">
        <f ca="1"/>
        <v>0</v>
      </c>
      <c r="BT287" s="867">
        <f t="shared" ca="1" si="177"/>
        <v>0</v>
      </c>
      <c r="BU287" s="867">
        <f t="shared" ca="1" si="218"/>
        <v>0</v>
      </c>
      <c r="BX287" s="867">
        <f ca="1"/>
        <v>0</v>
      </c>
      <c r="BY287" s="867">
        <f t="shared" ca="1" si="219"/>
        <v>0</v>
      </c>
      <c r="BZ287" s="867">
        <f t="shared" ca="1" si="220"/>
        <v>0</v>
      </c>
      <c r="CA287" s="867">
        <f t="shared" ca="1" si="221"/>
        <v>0</v>
      </c>
      <c r="CB287" s="867">
        <f t="shared" ca="1" si="222"/>
        <v>0</v>
      </c>
      <c r="CC287" s="867">
        <f t="shared" ca="1" si="223"/>
        <v>0</v>
      </c>
      <c r="CD287" s="867">
        <f t="shared" ca="1" si="224"/>
        <v>0</v>
      </c>
    </row>
    <row r="288" spans="1:82" ht="17" hidden="1" thickTop="1" thickBot="1">
      <c r="A288" s="773">
        <f t="shared" si="174"/>
        <v>0</v>
      </c>
      <c r="B288" s="779"/>
      <c r="D288" s="660"/>
      <c r="E288" s="661"/>
      <c r="F288" s="862"/>
      <c r="G288" s="863"/>
      <c r="H288" s="961"/>
      <c r="I288" s="865">
        <f t="shared" si="178"/>
        <v>0</v>
      </c>
      <c r="J288" s="864" cm="1">
        <f t="array" ref="J288">IF($G288=0,0,-MIN(0,G288*c_equity.LPshare))</f>
        <v>0</v>
      </c>
      <c r="K288" s="865" cm="1">
        <f t="array" ref="K288">I288*c_rate.Pref.MO</f>
        <v>0</v>
      </c>
      <c r="L288" s="865">
        <f t="shared" si="179"/>
        <v>0</v>
      </c>
      <c r="M288" s="865">
        <f t="shared" si="180"/>
        <v>0</v>
      </c>
      <c r="N288" s="865">
        <f t="shared" si="181"/>
        <v>0</v>
      </c>
      <c r="O288" s="864" cm="1">
        <f t="array" ref="O288">IF(N288=0,0,IF(G288&lt;0,N288/c_equity.LPshare*i_equity.GPshare,L288/c_equity.LPshare*i_equity.GPshare))</f>
        <v>0</v>
      </c>
      <c r="P288" s="865">
        <f t="shared" si="182"/>
        <v>0</v>
      </c>
      <c r="Q288" s="865">
        <f t="shared" si="183"/>
        <v>0</v>
      </c>
      <c r="R288" s="161"/>
      <c r="S288" s="867">
        <f t="shared" ca="1" si="184"/>
        <v>0</v>
      </c>
      <c r="T288" s="867" cm="1">
        <f t="array" ref="T288">IF($G288=0,0,-MIN(0,$G288*c_equity.LPshare))</f>
        <v>0</v>
      </c>
      <c r="U288" s="869" cm="1">
        <f t="array" ref="U288">IF($D288=0,0,S288*c_rate.Hurdle1.MO)</f>
        <v>0</v>
      </c>
      <c r="V288" s="867">
        <f t="shared" si="185"/>
        <v>0</v>
      </c>
      <c r="W288" s="867">
        <f t="shared" ca="1" si="186"/>
        <v>0</v>
      </c>
      <c r="X288" s="869">
        <f t="shared" ca="1" si="187"/>
        <v>0</v>
      </c>
      <c r="Y288" s="869">
        <f t="shared" ca="1" si="188"/>
        <v>0</v>
      </c>
      <c r="Z288" s="869">
        <f t="shared" ca="1" si="189"/>
        <v>0</v>
      </c>
      <c r="AA288" s="869">
        <f t="shared" ca="1" si="190"/>
        <v>0</v>
      </c>
      <c r="AB288" s="867">
        <f t="shared" ca="1" si="191"/>
        <v>0</v>
      </c>
      <c r="AC288" s="161"/>
      <c r="AD288" s="869">
        <f t="shared" ca="1" si="192"/>
        <v>0</v>
      </c>
      <c r="AE288" s="867" cm="1">
        <f t="array" ref="AE288">IF($G288=0,0,-MIN(0,$G288*c_equity.LPshare))</f>
        <v>0</v>
      </c>
      <c r="AF288" s="869" cm="1">
        <f t="array" ref="AF288">IF($D288=0,0,AD288*(c_rate.Hurdle2.MO))</f>
        <v>0</v>
      </c>
      <c r="AG288" s="869">
        <f t="shared" ca="1" si="193"/>
        <v>0</v>
      </c>
      <c r="AH288" s="869">
        <f t="shared" ca="1" si="194"/>
        <v>0</v>
      </c>
      <c r="AI288" s="869">
        <f t="shared" ca="1" si="195"/>
        <v>0</v>
      </c>
      <c r="AJ288" s="870">
        <f t="shared" ca="1" si="196"/>
        <v>0</v>
      </c>
      <c r="AK288" s="867">
        <f t="shared" ca="1" si="197"/>
        <v>0</v>
      </c>
      <c r="AL288" s="869">
        <f t="shared" ca="1" si="175"/>
        <v>0</v>
      </c>
      <c r="AM288" s="869">
        <f t="shared" ca="1" si="198"/>
        <v>0</v>
      </c>
      <c r="AN288" s="867">
        <f t="shared" ca="1" si="199"/>
        <v>0</v>
      </c>
      <c r="AO288" s="161"/>
      <c r="AP288" s="869">
        <f t="shared" ca="1" si="200"/>
        <v>0</v>
      </c>
      <c r="AQ288" s="867" cm="1">
        <f t="array" ref="AQ288">IF($G288=0,0,-MIN(0,$G288*c_equity.LPshare))</f>
        <v>0</v>
      </c>
      <c r="AR288" s="869" cm="1">
        <f t="array" ref="AR288">IF($D288=0,0,AP288*(c_rate.Hurdle3.MO))</f>
        <v>0</v>
      </c>
      <c r="AS288" s="869">
        <f t="shared" ca="1" si="201"/>
        <v>0</v>
      </c>
      <c r="AT288" s="869">
        <f t="shared" ca="1" si="202"/>
        <v>0</v>
      </c>
      <c r="AU288" s="869">
        <f t="shared" ca="1" si="203"/>
        <v>0</v>
      </c>
      <c r="AV288" s="870">
        <f t="shared" ca="1" si="204"/>
        <v>0</v>
      </c>
      <c r="AW288" s="867">
        <f t="shared" ca="1" si="205"/>
        <v>0</v>
      </c>
      <c r="AX288" s="869">
        <f t="shared" ca="1" si="176"/>
        <v>0</v>
      </c>
      <c r="AY288" s="869">
        <f t="shared" ca="1" si="206"/>
        <v>0</v>
      </c>
      <c r="AZ288" s="867">
        <f t="shared" ca="1" si="207"/>
        <v>0</v>
      </c>
      <c r="BA288" s="161"/>
      <c r="BB288" s="867">
        <f t="shared" ca="1" si="208"/>
        <v>0</v>
      </c>
      <c r="BC288" s="867">
        <f t="shared" ca="1" si="173"/>
        <v>0</v>
      </c>
      <c r="BD288" s="658"/>
      <c r="BE288" s="867">
        <f t="shared" ca="1" si="209"/>
        <v>0</v>
      </c>
      <c r="BF288" s="867">
        <f t="shared" ca="1" si="210"/>
        <v>0</v>
      </c>
      <c r="BG288" s="867">
        <f t="shared" ca="1" si="211"/>
        <v>0</v>
      </c>
      <c r="BI288" s="867">
        <f ca="1"/>
        <v>0</v>
      </c>
      <c r="BJ288" s="867">
        <f ca="1"/>
        <v>0</v>
      </c>
      <c r="BK288" s="867">
        <f ca="1"/>
        <v>0</v>
      </c>
      <c r="BL288" s="867">
        <f t="shared" ca="1" si="212"/>
        <v>0</v>
      </c>
      <c r="BM288" s="867">
        <f t="shared" ca="1" si="213"/>
        <v>0</v>
      </c>
      <c r="BN288" s="867">
        <f t="shared" ca="1" si="214"/>
        <v>0</v>
      </c>
      <c r="BO288" s="867">
        <f t="shared" ca="1" si="215"/>
        <v>0</v>
      </c>
      <c r="BP288" s="867">
        <f t="shared" ca="1" si="216"/>
        <v>0</v>
      </c>
      <c r="BQ288" s="867">
        <f t="shared" ca="1" si="217"/>
        <v>0</v>
      </c>
      <c r="BR288" s="867">
        <f ca="1"/>
        <v>0</v>
      </c>
      <c r="BS288" s="867">
        <f ca="1"/>
        <v>0</v>
      </c>
      <c r="BT288" s="867">
        <f t="shared" ca="1" si="177"/>
        <v>0</v>
      </c>
      <c r="BU288" s="867">
        <f t="shared" ca="1" si="218"/>
        <v>0</v>
      </c>
      <c r="BX288" s="867">
        <f ca="1"/>
        <v>0</v>
      </c>
      <c r="BY288" s="867">
        <f t="shared" ca="1" si="219"/>
        <v>0</v>
      </c>
      <c r="BZ288" s="867">
        <f t="shared" ca="1" si="220"/>
        <v>0</v>
      </c>
      <c r="CA288" s="867">
        <f t="shared" ca="1" si="221"/>
        <v>0</v>
      </c>
      <c r="CB288" s="867">
        <f t="shared" ca="1" si="222"/>
        <v>0</v>
      </c>
      <c r="CC288" s="867">
        <f t="shared" ca="1" si="223"/>
        <v>0</v>
      </c>
      <c r="CD288" s="867">
        <f t="shared" ca="1" si="224"/>
        <v>0</v>
      </c>
    </row>
    <row r="289" spans="1:82" ht="17" hidden="1" thickTop="1" thickBot="1">
      <c r="A289" s="773">
        <f t="shared" si="174"/>
        <v>0</v>
      </c>
      <c r="B289" s="779"/>
      <c r="D289" s="660"/>
      <c r="E289" s="661"/>
      <c r="F289" s="862"/>
      <c r="G289" s="863"/>
      <c r="H289" s="961"/>
      <c r="I289" s="865">
        <f t="shared" si="178"/>
        <v>0</v>
      </c>
      <c r="J289" s="864" cm="1">
        <f t="array" ref="J289">IF($G289=0,0,-MIN(0,G289*c_equity.LPshare))</f>
        <v>0</v>
      </c>
      <c r="K289" s="865" cm="1">
        <f t="array" ref="K289">I289*c_rate.Pref.MO</f>
        <v>0</v>
      </c>
      <c r="L289" s="865">
        <f t="shared" si="179"/>
        <v>0</v>
      </c>
      <c r="M289" s="865">
        <f t="shared" si="180"/>
        <v>0</v>
      </c>
      <c r="N289" s="865">
        <f t="shared" si="181"/>
        <v>0</v>
      </c>
      <c r="O289" s="864" cm="1">
        <f t="array" ref="O289">IF(N289=0,0,IF(G289&lt;0,N289/c_equity.LPshare*i_equity.GPshare,L289/c_equity.LPshare*i_equity.GPshare))</f>
        <v>0</v>
      </c>
      <c r="P289" s="865">
        <f t="shared" si="182"/>
        <v>0</v>
      </c>
      <c r="Q289" s="865">
        <f t="shared" si="183"/>
        <v>0</v>
      </c>
      <c r="R289" s="161"/>
      <c r="S289" s="867">
        <f t="shared" ca="1" si="184"/>
        <v>0</v>
      </c>
      <c r="T289" s="867" cm="1">
        <f t="array" ref="T289">IF($G289=0,0,-MIN(0,$G289*c_equity.LPshare))</f>
        <v>0</v>
      </c>
      <c r="U289" s="869" cm="1">
        <f t="array" ref="U289">IF($D289=0,0,S289*c_rate.Hurdle1.MO)</f>
        <v>0</v>
      </c>
      <c r="V289" s="867">
        <f t="shared" si="185"/>
        <v>0</v>
      </c>
      <c r="W289" s="867">
        <f t="shared" ca="1" si="186"/>
        <v>0</v>
      </c>
      <c r="X289" s="869">
        <f t="shared" ca="1" si="187"/>
        <v>0</v>
      </c>
      <c r="Y289" s="869">
        <f t="shared" ca="1" si="188"/>
        <v>0</v>
      </c>
      <c r="Z289" s="869">
        <f t="shared" ca="1" si="189"/>
        <v>0</v>
      </c>
      <c r="AA289" s="869">
        <f t="shared" ca="1" si="190"/>
        <v>0</v>
      </c>
      <c r="AB289" s="867">
        <f t="shared" ca="1" si="191"/>
        <v>0</v>
      </c>
      <c r="AC289" s="161"/>
      <c r="AD289" s="869">
        <f t="shared" ca="1" si="192"/>
        <v>0</v>
      </c>
      <c r="AE289" s="867" cm="1">
        <f t="array" ref="AE289">IF($G289=0,0,-MIN(0,$G289*c_equity.LPshare))</f>
        <v>0</v>
      </c>
      <c r="AF289" s="869" cm="1">
        <f t="array" ref="AF289">IF($D289=0,0,AD289*(c_rate.Hurdle2.MO))</f>
        <v>0</v>
      </c>
      <c r="AG289" s="869">
        <f t="shared" ca="1" si="193"/>
        <v>0</v>
      </c>
      <c r="AH289" s="869">
        <f t="shared" ca="1" si="194"/>
        <v>0</v>
      </c>
      <c r="AI289" s="869">
        <f t="shared" ca="1" si="195"/>
        <v>0</v>
      </c>
      <c r="AJ289" s="870">
        <f t="shared" ca="1" si="196"/>
        <v>0</v>
      </c>
      <c r="AK289" s="867">
        <f t="shared" ca="1" si="197"/>
        <v>0</v>
      </c>
      <c r="AL289" s="869">
        <f t="shared" ca="1" si="175"/>
        <v>0</v>
      </c>
      <c r="AM289" s="869">
        <f t="shared" ca="1" si="198"/>
        <v>0</v>
      </c>
      <c r="AN289" s="867">
        <f t="shared" ca="1" si="199"/>
        <v>0</v>
      </c>
      <c r="AO289" s="161"/>
      <c r="AP289" s="869">
        <f t="shared" ca="1" si="200"/>
        <v>0</v>
      </c>
      <c r="AQ289" s="867" cm="1">
        <f t="array" ref="AQ289">IF($G289=0,0,-MIN(0,$G289*c_equity.LPshare))</f>
        <v>0</v>
      </c>
      <c r="AR289" s="869" cm="1">
        <f t="array" ref="AR289">IF($D289=0,0,AP289*(c_rate.Hurdle3.MO))</f>
        <v>0</v>
      </c>
      <c r="AS289" s="869">
        <f t="shared" ca="1" si="201"/>
        <v>0</v>
      </c>
      <c r="AT289" s="869">
        <f t="shared" ca="1" si="202"/>
        <v>0</v>
      </c>
      <c r="AU289" s="869">
        <f t="shared" ca="1" si="203"/>
        <v>0</v>
      </c>
      <c r="AV289" s="870">
        <f t="shared" ca="1" si="204"/>
        <v>0</v>
      </c>
      <c r="AW289" s="867">
        <f t="shared" ca="1" si="205"/>
        <v>0</v>
      </c>
      <c r="AX289" s="869">
        <f t="shared" ca="1" si="176"/>
        <v>0</v>
      </c>
      <c r="AY289" s="869">
        <f t="shared" ca="1" si="206"/>
        <v>0</v>
      </c>
      <c r="AZ289" s="867">
        <f t="shared" ca="1" si="207"/>
        <v>0</v>
      </c>
      <c r="BA289" s="161"/>
      <c r="BB289" s="867">
        <f t="shared" ca="1" si="208"/>
        <v>0</v>
      </c>
      <c r="BC289" s="867">
        <f t="shared" ca="1" si="173"/>
        <v>0</v>
      </c>
      <c r="BD289" s="658"/>
      <c r="BE289" s="867">
        <f t="shared" ca="1" si="209"/>
        <v>0</v>
      </c>
      <c r="BF289" s="867">
        <f t="shared" ca="1" si="210"/>
        <v>0</v>
      </c>
      <c r="BG289" s="867">
        <f t="shared" ca="1" si="211"/>
        <v>0</v>
      </c>
      <c r="BI289" s="867">
        <f ca="1"/>
        <v>0</v>
      </c>
      <c r="BJ289" s="867">
        <f ca="1"/>
        <v>0</v>
      </c>
      <c r="BK289" s="867">
        <f ca="1"/>
        <v>0</v>
      </c>
      <c r="BL289" s="867">
        <f t="shared" ca="1" si="212"/>
        <v>0</v>
      </c>
      <c r="BM289" s="867">
        <f t="shared" ca="1" si="213"/>
        <v>0</v>
      </c>
      <c r="BN289" s="867">
        <f t="shared" ca="1" si="214"/>
        <v>0</v>
      </c>
      <c r="BO289" s="867">
        <f t="shared" ca="1" si="215"/>
        <v>0</v>
      </c>
      <c r="BP289" s="867">
        <f t="shared" ca="1" si="216"/>
        <v>0</v>
      </c>
      <c r="BQ289" s="867">
        <f t="shared" ca="1" si="217"/>
        <v>0</v>
      </c>
      <c r="BR289" s="867">
        <f ca="1"/>
        <v>0</v>
      </c>
      <c r="BS289" s="867">
        <f ca="1"/>
        <v>0</v>
      </c>
      <c r="BT289" s="867">
        <f t="shared" ca="1" si="177"/>
        <v>0</v>
      </c>
      <c r="BU289" s="867">
        <f t="shared" ca="1" si="218"/>
        <v>0</v>
      </c>
      <c r="BX289" s="867">
        <f ca="1"/>
        <v>0</v>
      </c>
      <c r="BY289" s="867">
        <f t="shared" ca="1" si="219"/>
        <v>0</v>
      </c>
      <c r="BZ289" s="867">
        <f t="shared" ca="1" si="220"/>
        <v>0</v>
      </c>
      <c r="CA289" s="867">
        <f t="shared" ca="1" si="221"/>
        <v>0</v>
      </c>
      <c r="CB289" s="867">
        <f t="shared" ca="1" si="222"/>
        <v>0</v>
      </c>
      <c r="CC289" s="867">
        <f t="shared" ca="1" si="223"/>
        <v>0</v>
      </c>
      <c r="CD289" s="867">
        <f t="shared" ca="1" si="224"/>
        <v>0</v>
      </c>
    </row>
    <row r="290" spans="1:82" ht="17" hidden="1" thickTop="1" thickBot="1">
      <c r="A290" s="773">
        <f t="shared" si="174"/>
        <v>0</v>
      </c>
      <c r="B290" s="779"/>
      <c r="D290" s="660"/>
      <c r="E290" s="661"/>
      <c r="F290" s="862"/>
      <c r="G290" s="863"/>
      <c r="H290" s="961"/>
      <c r="I290" s="865">
        <f t="shared" si="178"/>
        <v>0</v>
      </c>
      <c r="J290" s="864" cm="1">
        <f t="array" ref="J290">IF($G290=0,0,-MIN(0,G290*c_equity.LPshare))</f>
        <v>0</v>
      </c>
      <c r="K290" s="865" cm="1">
        <f t="array" ref="K290">I290*c_rate.Pref.MO</f>
        <v>0</v>
      </c>
      <c r="L290" s="865">
        <f t="shared" si="179"/>
        <v>0</v>
      </c>
      <c r="M290" s="865">
        <f t="shared" si="180"/>
        <v>0</v>
      </c>
      <c r="N290" s="865">
        <f t="shared" si="181"/>
        <v>0</v>
      </c>
      <c r="O290" s="864" cm="1">
        <f t="array" ref="O290">IF(N290=0,0,IF(G290&lt;0,N290/c_equity.LPshare*i_equity.GPshare,L290/c_equity.LPshare*i_equity.GPshare))</f>
        <v>0</v>
      </c>
      <c r="P290" s="865">
        <f t="shared" si="182"/>
        <v>0</v>
      </c>
      <c r="Q290" s="865">
        <f t="shared" si="183"/>
        <v>0</v>
      </c>
      <c r="R290" s="161"/>
      <c r="S290" s="867">
        <f t="shared" ca="1" si="184"/>
        <v>0</v>
      </c>
      <c r="T290" s="867" cm="1">
        <f t="array" ref="T290">IF($G290=0,0,-MIN(0,$G290*c_equity.LPshare))</f>
        <v>0</v>
      </c>
      <c r="U290" s="869" cm="1">
        <f t="array" ref="U290">IF($D290=0,0,S290*c_rate.Hurdle1.MO)</f>
        <v>0</v>
      </c>
      <c r="V290" s="867">
        <f t="shared" si="185"/>
        <v>0</v>
      </c>
      <c r="W290" s="867">
        <f t="shared" ca="1" si="186"/>
        <v>0</v>
      </c>
      <c r="X290" s="869">
        <f t="shared" ca="1" si="187"/>
        <v>0</v>
      </c>
      <c r="Y290" s="869">
        <f t="shared" ca="1" si="188"/>
        <v>0</v>
      </c>
      <c r="Z290" s="869">
        <f t="shared" ca="1" si="189"/>
        <v>0</v>
      </c>
      <c r="AA290" s="869">
        <f t="shared" ca="1" si="190"/>
        <v>0</v>
      </c>
      <c r="AB290" s="867">
        <f t="shared" ca="1" si="191"/>
        <v>0</v>
      </c>
      <c r="AC290" s="161"/>
      <c r="AD290" s="869">
        <f t="shared" ca="1" si="192"/>
        <v>0</v>
      </c>
      <c r="AE290" s="867" cm="1">
        <f t="array" ref="AE290">IF($G290=0,0,-MIN(0,$G290*c_equity.LPshare))</f>
        <v>0</v>
      </c>
      <c r="AF290" s="869" cm="1">
        <f t="array" ref="AF290">IF($D290=0,0,AD290*(c_rate.Hurdle2.MO))</f>
        <v>0</v>
      </c>
      <c r="AG290" s="869">
        <f t="shared" ca="1" si="193"/>
        <v>0</v>
      </c>
      <c r="AH290" s="869">
        <f t="shared" ca="1" si="194"/>
        <v>0</v>
      </c>
      <c r="AI290" s="869">
        <f t="shared" ca="1" si="195"/>
        <v>0</v>
      </c>
      <c r="AJ290" s="870">
        <f t="shared" ca="1" si="196"/>
        <v>0</v>
      </c>
      <c r="AK290" s="867">
        <f t="shared" ca="1" si="197"/>
        <v>0</v>
      </c>
      <c r="AL290" s="869">
        <f t="shared" ca="1" si="175"/>
        <v>0</v>
      </c>
      <c r="AM290" s="869">
        <f t="shared" ca="1" si="198"/>
        <v>0</v>
      </c>
      <c r="AN290" s="867">
        <f t="shared" ca="1" si="199"/>
        <v>0</v>
      </c>
      <c r="AO290" s="161"/>
      <c r="AP290" s="869">
        <f t="shared" ca="1" si="200"/>
        <v>0</v>
      </c>
      <c r="AQ290" s="867" cm="1">
        <f t="array" ref="AQ290">IF($G290=0,0,-MIN(0,$G290*c_equity.LPshare))</f>
        <v>0</v>
      </c>
      <c r="AR290" s="869" cm="1">
        <f t="array" ref="AR290">IF($D290=0,0,AP290*(c_rate.Hurdle3.MO))</f>
        <v>0</v>
      </c>
      <c r="AS290" s="869">
        <f t="shared" ca="1" si="201"/>
        <v>0</v>
      </c>
      <c r="AT290" s="869">
        <f t="shared" ca="1" si="202"/>
        <v>0</v>
      </c>
      <c r="AU290" s="869">
        <f t="shared" ca="1" si="203"/>
        <v>0</v>
      </c>
      <c r="AV290" s="870">
        <f t="shared" ca="1" si="204"/>
        <v>0</v>
      </c>
      <c r="AW290" s="867">
        <f t="shared" ca="1" si="205"/>
        <v>0</v>
      </c>
      <c r="AX290" s="869">
        <f t="shared" ca="1" si="176"/>
        <v>0</v>
      </c>
      <c r="AY290" s="869">
        <f t="shared" ca="1" si="206"/>
        <v>0</v>
      </c>
      <c r="AZ290" s="867">
        <f t="shared" ca="1" si="207"/>
        <v>0</v>
      </c>
      <c r="BA290" s="161"/>
      <c r="BB290" s="867">
        <f t="shared" ca="1" si="208"/>
        <v>0</v>
      </c>
      <c r="BC290" s="867">
        <f t="shared" ca="1" si="173"/>
        <v>0</v>
      </c>
      <c r="BD290" s="658"/>
      <c r="BE290" s="867">
        <f t="shared" ca="1" si="209"/>
        <v>0</v>
      </c>
      <c r="BF290" s="867">
        <f t="shared" ca="1" si="210"/>
        <v>0</v>
      </c>
      <c r="BG290" s="867">
        <f t="shared" ca="1" si="211"/>
        <v>0</v>
      </c>
      <c r="BI290" s="867">
        <f ca="1"/>
        <v>0</v>
      </c>
      <c r="BJ290" s="867">
        <f ca="1"/>
        <v>0</v>
      </c>
      <c r="BK290" s="867">
        <f ca="1"/>
        <v>0</v>
      </c>
      <c r="BL290" s="867">
        <f t="shared" ca="1" si="212"/>
        <v>0</v>
      </c>
      <c r="BM290" s="867">
        <f t="shared" ca="1" si="213"/>
        <v>0</v>
      </c>
      <c r="BN290" s="867">
        <f t="shared" ca="1" si="214"/>
        <v>0</v>
      </c>
      <c r="BO290" s="867">
        <f t="shared" ca="1" si="215"/>
        <v>0</v>
      </c>
      <c r="BP290" s="867">
        <f t="shared" ca="1" si="216"/>
        <v>0</v>
      </c>
      <c r="BQ290" s="867">
        <f t="shared" ca="1" si="217"/>
        <v>0</v>
      </c>
      <c r="BR290" s="867">
        <f ca="1"/>
        <v>0</v>
      </c>
      <c r="BS290" s="867">
        <f ca="1"/>
        <v>0</v>
      </c>
      <c r="BT290" s="867">
        <f t="shared" ca="1" si="177"/>
        <v>0</v>
      </c>
      <c r="BU290" s="867">
        <f t="shared" ca="1" si="218"/>
        <v>0</v>
      </c>
      <c r="BX290" s="867">
        <f ca="1"/>
        <v>0</v>
      </c>
      <c r="BY290" s="867">
        <f t="shared" ca="1" si="219"/>
        <v>0</v>
      </c>
      <c r="BZ290" s="867">
        <f t="shared" ca="1" si="220"/>
        <v>0</v>
      </c>
      <c r="CA290" s="867">
        <f t="shared" ca="1" si="221"/>
        <v>0</v>
      </c>
      <c r="CB290" s="867">
        <f t="shared" ca="1" si="222"/>
        <v>0</v>
      </c>
      <c r="CC290" s="867">
        <f t="shared" ca="1" si="223"/>
        <v>0</v>
      </c>
      <c r="CD290" s="867">
        <f t="shared" ca="1" si="224"/>
        <v>0</v>
      </c>
    </row>
    <row r="291" spans="1:82" ht="17" hidden="1" thickTop="1" thickBot="1">
      <c r="A291" s="773">
        <f t="shared" si="174"/>
        <v>0</v>
      </c>
      <c r="B291" s="779"/>
      <c r="D291" s="660"/>
      <c r="E291" s="661"/>
      <c r="F291" s="862"/>
      <c r="G291" s="863"/>
      <c r="H291" s="961"/>
      <c r="I291" s="865">
        <f t="shared" si="178"/>
        <v>0</v>
      </c>
      <c r="J291" s="864" cm="1">
        <f t="array" ref="J291">IF($G291=0,0,-MIN(0,G291*c_equity.LPshare))</f>
        <v>0</v>
      </c>
      <c r="K291" s="865" cm="1">
        <f t="array" ref="K291">I291*c_rate.Pref.MO</f>
        <v>0</v>
      </c>
      <c r="L291" s="865">
        <f t="shared" si="179"/>
        <v>0</v>
      </c>
      <c r="M291" s="865">
        <f t="shared" si="180"/>
        <v>0</v>
      </c>
      <c r="N291" s="865">
        <f t="shared" si="181"/>
        <v>0</v>
      </c>
      <c r="O291" s="864" cm="1">
        <f t="array" ref="O291">IF(N291=0,0,IF(G291&lt;0,N291/c_equity.LPshare*i_equity.GPshare,L291/c_equity.LPshare*i_equity.GPshare))</f>
        <v>0</v>
      </c>
      <c r="P291" s="865">
        <f t="shared" si="182"/>
        <v>0</v>
      </c>
      <c r="Q291" s="865">
        <f t="shared" si="183"/>
        <v>0</v>
      </c>
      <c r="R291" s="161"/>
      <c r="S291" s="867">
        <f t="shared" ca="1" si="184"/>
        <v>0</v>
      </c>
      <c r="T291" s="867" cm="1">
        <f t="array" ref="T291">IF($G291=0,0,-MIN(0,$G291*c_equity.LPshare))</f>
        <v>0</v>
      </c>
      <c r="U291" s="869" cm="1">
        <f t="array" ref="U291">IF($D291=0,0,S291*c_rate.Hurdle1.MO)</f>
        <v>0</v>
      </c>
      <c r="V291" s="867">
        <f t="shared" si="185"/>
        <v>0</v>
      </c>
      <c r="W291" s="867">
        <f t="shared" ca="1" si="186"/>
        <v>0</v>
      </c>
      <c r="X291" s="869">
        <f t="shared" ca="1" si="187"/>
        <v>0</v>
      </c>
      <c r="Y291" s="869">
        <f t="shared" ca="1" si="188"/>
        <v>0</v>
      </c>
      <c r="Z291" s="869">
        <f t="shared" ca="1" si="189"/>
        <v>0</v>
      </c>
      <c r="AA291" s="869">
        <f t="shared" ca="1" si="190"/>
        <v>0</v>
      </c>
      <c r="AB291" s="867">
        <f t="shared" ca="1" si="191"/>
        <v>0</v>
      </c>
      <c r="AC291" s="161"/>
      <c r="AD291" s="869">
        <f t="shared" ca="1" si="192"/>
        <v>0</v>
      </c>
      <c r="AE291" s="867" cm="1">
        <f t="array" ref="AE291">IF($G291=0,0,-MIN(0,$G291*c_equity.LPshare))</f>
        <v>0</v>
      </c>
      <c r="AF291" s="869" cm="1">
        <f t="array" ref="AF291">IF($D291=0,0,AD291*(c_rate.Hurdle2.MO))</f>
        <v>0</v>
      </c>
      <c r="AG291" s="869">
        <f t="shared" ca="1" si="193"/>
        <v>0</v>
      </c>
      <c r="AH291" s="869">
        <f t="shared" ca="1" si="194"/>
        <v>0</v>
      </c>
      <c r="AI291" s="869">
        <f t="shared" ca="1" si="195"/>
        <v>0</v>
      </c>
      <c r="AJ291" s="870">
        <f t="shared" ca="1" si="196"/>
        <v>0</v>
      </c>
      <c r="AK291" s="867">
        <f t="shared" ca="1" si="197"/>
        <v>0</v>
      </c>
      <c r="AL291" s="869">
        <f t="shared" ca="1" si="175"/>
        <v>0</v>
      </c>
      <c r="AM291" s="869">
        <f t="shared" ca="1" si="198"/>
        <v>0</v>
      </c>
      <c r="AN291" s="867">
        <f t="shared" ca="1" si="199"/>
        <v>0</v>
      </c>
      <c r="AO291" s="161"/>
      <c r="AP291" s="869">
        <f t="shared" ca="1" si="200"/>
        <v>0</v>
      </c>
      <c r="AQ291" s="867" cm="1">
        <f t="array" ref="AQ291">IF($G291=0,0,-MIN(0,$G291*c_equity.LPshare))</f>
        <v>0</v>
      </c>
      <c r="AR291" s="869" cm="1">
        <f t="array" ref="AR291">IF($D291=0,0,AP291*(c_rate.Hurdle3.MO))</f>
        <v>0</v>
      </c>
      <c r="AS291" s="869">
        <f t="shared" ca="1" si="201"/>
        <v>0</v>
      </c>
      <c r="AT291" s="869">
        <f t="shared" ca="1" si="202"/>
        <v>0</v>
      </c>
      <c r="AU291" s="869">
        <f t="shared" ca="1" si="203"/>
        <v>0</v>
      </c>
      <c r="AV291" s="870">
        <f t="shared" ca="1" si="204"/>
        <v>0</v>
      </c>
      <c r="AW291" s="867">
        <f t="shared" ca="1" si="205"/>
        <v>0</v>
      </c>
      <c r="AX291" s="869">
        <f t="shared" ca="1" si="176"/>
        <v>0</v>
      </c>
      <c r="AY291" s="869">
        <f t="shared" ca="1" si="206"/>
        <v>0</v>
      </c>
      <c r="AZ291" s="867">
        <f t="shared" ca="1" si="207"/>
        <v>0</v>
      </c>
      <c r="BA291" s="161"/>
      <c r="BB291" s="867">
        <f t="shared" ca="1" si="208"/>
        <v>0</v>
      </c>
      <c r="BC291" s="867">
        <f t="shared" ca="1" si="173"/>
        <v>0</v>
      </c>
      <c r="BD291" s="658"/>
      <c r="BE291" s="867">
        <f t="shared" ca="1" si="209"/>
        <v>0</v>
      </c>
      <c r="BF291" s="867">
        <f t="shared" ca="1" si="210"/>
        <v>0</v>
      </c>
      <c r="BG291" s="867">
        <f t="shared" ca="1" si="211"/>
        <v>0</v>
      </c>
      <c r="BI291" s="867">
        <f ca="1"/>
        <v>0</v>
      </c>
      <c r="BJ291" s="867">
        <f ca="1"/>
        <v>0</v>
      </c>
      <c r="BK291" s="867">
        <f ca="1"/>
        <v>0</v>
      </c>
      <c r="BL291" s="867">
        <f t="shared" ca="1" si="212"/>
        <v>0</v>
      </c>
      <c r="BM291" s="867">
        <f t="shared" ca="1" si="213"/>
        <v>0</v>
      </c>
      <c r="BN291" s="867">
        <f t="shared" ca="1" si="214"/>
        <v>0</v>
      </c>
      <c r="BO291" s="867">
        <f t="shared" ca="1" si="215"/>
        <v>0</v>
      </c>
      <c r="BP291" s="867">
        <f t="shared" ca="1" si="216"/>
        <v>0</v>
      </c>
      <c r="BQ291" s="867">
        <f t="shared" ca="1" si="217"/>
        <v>0</v>
      </c>
      <c r="BR291" s="867">
        <f ca="1"/>
        <v>0</v>
      </c>
      <c r="BS291" s="867">
        <f ca="1"/>
        <v>0</v>
      </c>
      <c r="BT291" s="867">
        <f t="shared" ca="1" si="177"/>
        <v>0</v>
      </c>
      <c r="BU291" s="867">
        <f t="shared" ca="1" si="218"/>
        <v>0</v>
      </c>
      <c r="BX291" s="867">
        <f ca="1"/>
        <v>0</v>
      </c>
      <c r="BY291" s="867">
        <f t="shared" ca="1" si="219"/>
        <v>0</v>
      </c>
      <c r="BZ291" s="867">
        <f t="shared" ca="1" si="220"/>
        <v>0</v>
      </c>
      <c r="CA291" s="867">
        <f t="shared" ca="1" si="221"/>
        <v>0</v>
      </c>
      <c r="CB291" s="867">
        <f t="shared" ca="1" si="222"/>
        <v>0</v>
      </c>
      <c r="CC291" s="867">
        <f t="shared" ca="1" si="223"/>
        <v>0</v>
      </c>
      <c r="CD291" s="867">
        <f t="shared" ca="1" si="224"/>
        <v>0</v>
      </c>
    </row>
    <row r="292" spans="1:82" ht="17" hidden="1" thickTop="1" thickBot="1">
      <c r="A292" s="773">
        <f t="shared" si="174"/>
        <v>0</v>
      </c>
      <c r="B292" s="779"/>
      <c r="D292" s="660"/>
      <c r="E292" s="661"/>
      <c r="F292" s="862"/>
      <c r="G292" s="863"/>
      <c r="H292" s="961"/>
      <c r="I292" s="865">
        <f t="shared" si="178"/>
        <v>0</v>
      </c>
      <c r="J292" s="864" cm="1">
        <f t="array" ref="J292">IF($G292=0,0,-MIN(0,G292*c_equity.LPshare))</f>
        <v>0</v>
      </c>
      <c r="K292" s="865" cm="1">
        <f t="array" ref="K292">I292*c_rate.Pref.MO</f>
        <v>0</v>
      </c>
      <c r="L292" s="865">
        <f t="shared" si="179"/>
        <v>0</v>
      </c>
      <c r="M292" s="865">
        <f t="shared" si="180"/>
        <v>0</v>
      </c>
      <c r="N292" s="865">
        <f t="shared" si="181"/>
        <v>0</v>
      </c>
      <c r="O292" s="864" cm="1">
        <f t="array" ref="O292">IF(N292=0,0,IF(G292&lt;0,N292/c_equity.LPshare*i_equity.GPshare,L292/c_equity.LPshare*i_equity.GPshare))</f>
        <v>0</v>
      </c>
      <c r="P292" s="865">
        <f t="shared" si="182"/>
        <v>0</v>
      </c>
      <c r="Q292" s="865">
        <f t="shared" si="183"/>
        <v>0</v>
      </c>
      <c r="R292" s="161"/>
      <c r="S292" s="867">
        <f t="shared" ca="1" si="184"/>
        <v>0</v>
      </c>
      <c r="T292" s="867" cm="1">
        <f t="array" ref="T292">IF($G292=0,0,-MIN(0,$G292*c_equity.LPshare))</f>
        <v>0</v>
      </c>
      <c r="U292" s="869" cm="1">
        <f t="array" ref="U292">IF($D292=0,0,S292*c_rate.Hurdle1.MO)</f>
        <v>0</v>
      </c>
      <c r="V292" s="867">
        <f t="shared" si="185"/>
        <v>0</v>
      </c>
      <c r="W292" s="867">
        <f t="shared" ca="1" si="186"/>
        <v>0</v>
      </c>
      <c r="X292" s="869">
        <f t="shared" ca="1" si="187"/>
        <v>0</v>
      </c>
      <c r="Y292" s="869">
        <f t="shared" ca="1" si="188"/>
        <v>0</v>
      </c>
      <c r="Z292" s="869">
        <f t="shared" ca="1" si="189"/>
        <v>0</v>
      </c>
      <c r="AA292" s="869">
        <f t="shared" ca="1" si="190"/>
        <v>0</v>
      </c>
      <c r="AB292" s="867">
        <f t="shared" ca="1" si="191"/>
        <v>0</v>
      </c>
      <c r="AC292" s="161"/>
      <c r="AD292" s="869">
        <f t="shared" ca="1" si="192"/>
        <v>0</v>
      </c>
      <c r="AE292" s="867" cm="1">
        <f t="array" ref="AE292">IF($G292=0,0,-MIN(0,$G292*c_equity.LPshare))</f>
        <v>0</v>
      </c>
      <c r="AF292" s="869" cm="1">
        <f t="array" ref="AF292">IF($D292=0,0,AD292*(c_rate.Hurdle2.MO))</f>
        <v>0</v>
      </c>
      <c r="AG292" s="869">
        <f t="shared" ca="1" si="193"/>
        <v>0</v>
      </c>
      <c r="AH292" s="869">
        <f t="shared" ca="1" si="194"/>
        <v>0</v>
      </c>
      <c r="AI292" s="869">
        <f t="shared" ca="1" si="195"/>
        <v>0</v>
      </c>
      <c r="AJ292" s="870">
        <f t="shared" ca="1" si="196"/>
        <v>0</v>
      </c>
      <c r="AK292" s="867">
        <f t="shared" ca="1" si="197"/>
        <v>0</v>
      </c>
      <c r="AL292" s="869">
        <f t="shared" ca="1" si="175"/>
        <v>0</v>
      </c>
      <c r="AM292" s="869">
        <f t="shared" ca="1" si="198"/>
        <v>0</v>
      </c>
      <c r="AN292" s="867">
        <f t="shared" ca="1" si="199"/>
        <v>0</v>
      </c>
      <c r="AO292" s="161"/>
      <c r="AP292" s="869">
        <f t="shared" ca="1" si="200"/>
        <v>0</v>
      </c>
      <c r="AQ292" s="867" cm="1">
        <f t="array" ref="AQ292">IF($G292=0,0,-MIN(0,$G292*c_equity.LPshare))</f>
        <v>0</v>
      </c>
      <c r="AR292" s="869" cm="1">
        <f t="array" ref="AR292">IF($D292=0,0,AP292*(c_rate.Hurdle3.MO))</f>
        <v>0</v>
      </c>
      <c r="AS292" s="869">
        <f t="shared" ca="1" si="201"/>
        <v>0</v>
      </c>
      <c r="AT292" s="869">
        <f t="shared" ca="1" si="202"/>
        <v>0</v>
      </c>
      <c r="AU292" s="869">
        <f t="shared" ca="1" si="203"/>
        <v>0</v>
      </c>
      <c r="AV292" s="870">
        <f t="shared" ca="1" si="204"/>
        <v>0</v>
      </c>
      <c r="AW292" s="867">
        <f t="shared" ca="1" si="205"/>
        <v>0</v>
      </c>
      <c r="AX292" s="869">
        <f t="shared" ca="1" si="176"/>
        <v>0</v>
      </c>
      <c r="AY292" s="869">
        <f t="shared" ca="1" si="206"/>
        <v>0</v>
      </c>
      <c r="AZ292" s="867">
        <f t="shared" ca="1" si="207"/>
        <v>0</v>
      </c>
      <c r="BA292" s="161"/>
      <c r="BB292" s="867">
        <f t="shared" ca="1" si="208"/>
        <v>0</v>
      </c>
      <c r="BC292" s="867">
        <f t="shared" ca="1" si="173"/>
        <v>0</v>
      </c>
      <c r="BD292" s="658"/>
      <c r="BE292" s="867">
        <f t="shared" ca="1" si="209"/>
        <v>0</v>
      </c>
      <c r="BF292" s="867">
        <f t="shared" ca="1" si="210"/>
        <v>0</v>
      </c>
      <c r="BG292" s="867">
        <f t="shared" ca="1" si="211"/>
        <v>0</v>
      </c>
      <c r="BI292" s="867">
        <f ca="1"/>
        <v>0</v>
      </c>
      <c r="BJ292" s="867">
        <f ca="1"/>
        <v>0</v>
      </c>
      <c r="BK292" s="867">
        <f ca="1"/>
        <v>0</v>
      </c>
      <c r="BL292" s="867">
        <f t="shared" ca="1" si="212"/>
        <v>0</v>
      </c>
      <c r="BM292" s="867">
        <f t="shared" ca="1" si="213"/>
        <v>0</v>
      </c>
      <c r="BN292" s="867">
        <f t="shared" ca="1" si="214"/>
        <v>0</v>
      </c>
      <c r="BO292" s="867">
        <f t="shared" ca="1" si="215"/>
        <v>0</v>
      </c>
      <c r="BP292" s="867">
        <f t="shared" ca="1" si="216"/>
        <v>0</v>
      </c>
      <c r="BQ292" s="867">
        <f t="shared" ca="1" si="217"/>
        <v>0</v>
      </c>
      <c r="BR292" s="867">
        <f ca="1"/>
        <v>0</v>
      </c>
      <c r="BS292" s="867">
        <f ca="1"/>
        <v>0</v>
      </c>
      <c r="BT292" s="867">
        <f t="shared" ca="1" si="177"/>
        <v>0</v>
      </c>
      <c r="BU292" s="867">
        <f t="shared" ca="1" si="218"/>
        <v>0</v>
      </c>
      <c r="BX292" s="867">
        <f ca="1"/>
        <v>0</v>
      </c>
      <c r="BY292" s="867">
        <f t="shared" ca="1" si="219"/>
        <v>0</v>
      </c>
      <c r="BZ292" s="867">
        <f t="shared" ca="1" si="220"/>
        <v>0</v>
      </c>
      <c r="CA292" s="867">
        <f t="shared" ca="1" si="221"/>
        <v>0</v>
      </c>
      <c r="CB292" s="867">
        <f t="shared" ca="1" si="222"/>
        <v>0</v>
      </c>
      <c r="CC292" s="867">
        <f t="shared" ca="1" si="223"/>
        <v>0</v>
      </c>
      <c r="CD292" s="867">
        <f t="shared" ca="1" si="224"/>
        <v>0</v>
      </c>
    </row>
    <row r="293" spans="1:82" ht="17" hidden="1" thickTop="1" thickBot="1">
      <c r="A293" s="773">
        <f t="shared" si="174"/>
        <v>0</v>
      </c>
      <c r="B293" s="779"/>
      <c r="D293" s="660"/>
      <c r="E293" s="661"/>
      <c r="F293" s="862"/>
      <c r="G293" s="863"/>
      <c r="H293" s="961"/>
      <c r="I293" s="865">
        <f t="shared" si="178"/>
        <v>0</v>
      </c>
      <c r="J293" s="864" cm="1">
        <f t="array" ref="J293">IF($G293=0,0,-MIN(0,G293*c_equity.LPshare))</f>
        <v>0</v>
      </c>
      <c r="K293" s="865" cm="1">
        <f t="array" ref="K293">I293*c_rate.Pref.MO</f>
        <v>0</v>
      </c>
      <c r="L293" s="865">
        <f t="shared" si="179"/>
        <v>0</v>
      </c>
      <c r="M293" s="865">
        <f t="shared" si="180"/>
        <v>0</v>
      </c>
      <c r="N293" s="865">
        <f t="shared" si="181"/>
        <v>0</v>
      </c>
      <c r="O293" s="864" cm="1">
        <f t="array" ref="O293">IF(N293=0,0,IF(G293&lt;0,N293/c_equity.LPshare*i_equity.GPshare,L293/c_equity.LPshare*i_equity.GPshare))</f>
        <v>0</v>
      </c>
      <c r="P293" s="865">
        <f t="shared" si="182"/>
        <v>0</v>
      </c>
      <c r="Q293" s="865">
        <f t="shared" si="183"/>
        <v>0</v>
      </c>
      <c r="R293" s="161"/>
      <c r="S293" s="867">
        <f t="shared" ca="1" si="184"/>
        <v>0</v>
      </c>
      <c r="T293" s="867" cm="1">
        <f t="array" ref="T293">IF($G293=0,0,-MIN(0,$G293*c_equity.LPshare))</f>
        <v>0</v>
      </c>
      <c r="U293" s="869" cm="1">
        <f t="array" ref="U293">IF($D293=0,0,S293*c_rate.Hurdle1.MO)</f>
        <v>0</v>
      </c>
      <c r="V293" s="867">
        <f t="shared" si="185"/>
        <v>0</v>
      </c>
      <c r="W293" s="867">
        <f t="shared" ca="1" si="186"/>
        <v>0</v>
      </c>
      <c r="X293" s="869">
        <f t="shared" ca="1" si="187"/>
        <v>0</v>
      </c>
      <c r="Y293" s="869">
        <f t="shared" ca="1" si="188"/>
        <v>0</v>
      </c>
      <c r="Z293" s="869">
        <f t="shared" ca="1" si="189"/>
        <v>0</v>
      </c>
      <c r="AA293" s="869">
        <f t="shared" ca="1" si="190"/>
        <v>0</v>
      </c>
      <c r="AB293" s="867">
        <f t="shared" ca="1" si="191"/>
        <v>0</v>
      </c>
      <c r="AC293" s="161"/>
      <c r="AD293" s="869">
        <f t="shared" ca="1" si="192"/>
        <v>0</v>
      </c>
      <c r="AE293" s="867" cm="1">
        <f t="array" ref="AE293">IF($G293=0,0,-MIN(0,$G293*c_equity.LPshare))</f>
        <v>0</v>
      </c>
      <c r="AF293" s="869" cm="1">
        <f t="array" ref="AF293">IF($D293=0,0,AD293*(c_rate.Hurdle2.MO))</f>
        <v>0</v>
      </c>
      <c r="AG293" s="869">
        <f t="shared" ca="1" si="193"/>
        <v>0</v>
      </c>
      <c r="AH293" s="869">
        <f t="shared" ca="1" si="194"/>
        <v>0</v>
      </c>
      <c r="AI293" s="869">
        <f t="shared" ca="1" si="195"/>
        <v>0</v>
      </c>
      <c r="AJ293" s="870">
        <f t="shared" ca="1" si="196"/>
        <v>0</v>
      </c>
      <c r="AK293" s="867">
        <f t="shared" ca="1" si="197"/>
        <v>0</v>
      </c>
      <c r="AL293" s="869">
        <f t="shared" ca="1" si="175"/>
        <v>0</v>
      </c>
      <c r="AM293" s="869">
        <f t="shared" ca="1" si="198"/>
        <v>0</v>
      </c>
      <c r="AN293" s="867">
        <f t="shared" ca="1" si="199"/>
        <v>0</v>
      </c>
      <c r="AO293" s="161"/>
      <c r="AP293" s="869">
        <f t="shared" ca="1" si="200"/>
        <v>0</v>
      </c>
      <c r="AQ293" s="867" cm="1">
        <f t="array" ref="AQ293">IF($G293=0,0,-MIN(0,$G293*c_equity.LPshare))</f>
        <v>0</v>
      </c>
      <c r="AR293" s="869" cm="1">
        <f t="array" ref="AR293">IF($D293=0,0,AP293*(c_rate.Hurdle3.MO))</f>
        <v>0</v>
      </c>
      <c r="AS293" s="869">
        <f t="shared" ca="1" si="201"/>
        <v>0</v>
      </c>
      <c r="AT293" s="869">
        <f t="shared" ca="1" si="202"/>
        <v>0</v>
      </c>
      <c r="AU293" s="869">
        <f t="shared" ca="1" si="203"/>
        <v>0</v>
      </c>
      <c r="AV293" s="870">
        <f t="shared" ca="1" si="204"/>
        <v>0</v>
      </c>
      <c r="AW293" s="867">
        <f t="shared" ca="1" si="205"/>
        <v>0</v>
      </c>
      <c r="AX293" s="869">
        <f t="shared" ca="1" si="176"/>
        <v>0</v>
      </c>
      <c r="AY293" s="869">
        <f t="shared" ca="1" si="206"/>
        <v>0</v>
      </c>
      <c r="AZ293" s="867">
        <f t="shared" ca="1" si="207"/>
        <v>0</v>
      </c>
      <c r="BA293" s="161"/>
      <c r="BB293" s="867">
        <f t="shared" ca="1" si="208"/>
        <v>0</v>
      </c>
      <c r="BC293" s="867">
        <f t="shared" ca="1" si="173"/>
        <v>0</v>
      </c>
      <c r="BD293" s="658"/>
      <c r="BE293" s="867">
        <f t="shared" ca="1" si="209"/>
        <v>0</v>
      </c>
      <c r="BF293" s="867">
        <f t="shared" ca="1" si="210"/>
        <v>0</v>
      </c>
      <c r="BG293" s="867">
        <f t="shared" ca="1" si="211"/>
        <v>0</v>
      </c>
      <c r="BI293" s="867">
        <f ca="1"/>
        <v>0</v>
      </c>
      <c r="BJ293" s="867">
        <f ca="1"/>
        <v>0</v>
      </c>
      <c r="BK293" s="867">
        <f ca="1"/>
        <v>0</v>
      </c>
      <c r="BL293" s="867">
        <f t="shared" ca="1" si="212"/>
        <v>0</v>
      </c>
      <c r="BM293" s="867">
        <f t="shared" ca="1" si="213"/>
        <v>0</v>
      </c>
      <c r="BN293" s="867">
        <f t="shared" ca="1" si="214"/>
        <v>0</v>
      </c>
      <c r="BO293" s="867">
        <f t="shared" ca="1" si="215"/>
        <v>0</v>
      </c>
      <c r="BP293" s="867">
        <f t="shared" ca="1" si="216"/>
        <v>0</v>
      </c>
      <c r="BQ293" s="867">
        <f t="shared" ca="1" si="217"/>
        <v>0</v>
      </c>
      <c r="BR293" s="867">
        <f ca="1"/>
        <v>0</v>
      </c>
      <c r="BS293" s="867">
        <f ca="1"/>
        <v>0</v>
      </c>
      <c r="BT293" s="867">
        <f t="shared" ca="1" si="177"/>
        <v>0</v>
      </c>
      <c r="BU293" s="867">
        <f t="shared" ca="1" si="218"/>
        <v>0</v>
      </c>
      <c r="BX293" s="867">
        <f ca="1"/>
        <v>0</v>
      </c>
      <c r="BY293" s="867">
        <f t="shared" ca="1" si="219"/>
        <v>0</v>
      </c>
      <c r="BZ293" s="867">
        <f t="shared" ca="1" si="220"/>
        <v>0</v>
      </c>
      <c r="CA293" s="867">
        <f t="shared" ca="1" si="221"/>
        <v>0</v>
      </c>
      <c r="CB293" s="867">
        <f t="shared" ca="1" si="222"/>
        <v>0</v>
      </c>
      <c r="CC293" s="867">
        <f t="shared" ca="1" si="223"/>
        <v>0</v>
      </c>
      <c r="CD293" s="867">
        <f t="shared" ca="1" si="224"/>
        <v>0</v>
      </c>
    </row>
    <row r="294" spans="1:82" ht="17" hidden="1" thickTop="1" thickBot="1">
      <c r="A294" s="773">
        <f t="shared" si="174"/>
        <v>0</v>
      </c>
      <c r="B294" s="779"/>
      <c r="D294" s="660"/>
      <c r="E294" s="661"/>
      <c r="F294" s="862"/>
      <c r="G294" s="863"/>
      <c r="H294" s="961"/>
      <c r="I294" s="865">
        <f t="shared" si="178"/>
        <v>0</v>
      </c>
      <c r="J294" s="864" cm="1">
        <f t="array" ref="J294">IF($G294=0,0,-MIN(0,G294*c_equity.LPshare))</f>
        <v>0</v>
      </c>
      <c r="K294" s="865" cm="1">
        <f t="array" ref="K294">I294*c_rate.Pref.MO</f>
        <v>0</v>
      </c>
      <c r="L294" s="865">
        <f t="shared" si="179"/>
        <v>0</v>
      </c>
      <c r="M294" s="865">
        <f t="shared" si="180"/>
        <v>0</v>
      </c>
      <c r="N294" s="865">
        <f t="shared" si="181"/>
        <v>0</v>
      </c>
      <c r="O294" s="864" cm="1">
        <f t="array" ref="O294">IF(N294=0,0,IF(G294&lt;0,N294/c_equity.LPshare*i_equity.GPshare,L294/c_equity.LPshare*i_equity.GPshare))</f>
        <v>0</v>
      </c>
      <c r="P294" s="865">
        <f t="shared" si="182"/>
        <v>0</v>
      </c>
      <c r="Q294" s="865">
        <f t="shared" si="183"/>
        <v>0</v>
      </c>
      <c r="R294" s="161"/>
      <c r="S294" s="867">
        <f t="shared" ca="1" si="184"/>
        <v>0</v>
      </c>
      <c r="T294" s="867" cm="1">
        <f t="array" ref="T294">IF($G294=0,0,-MIN(0,$G294*c_equity.LPshare))</f>
        <v>0</v>
      </c>
      <c r="U294" s="869" cm="1">
        <f t="array" ref="U294">IF($D294=0,0,S294*c_rate.Hurdle1.MO)</f>
        <v>0</v>
      </c>
      <c r="V294" s="867">
        <f t="shared" si="185"/>
        <v>0</v>
      </c>
      <c r="W294" s="867">
        <f t="shared" ca="1" si="186"/>
        <v>0</v>
      </c>
      <c r="X294" s="869">
        <f t="shared" ca="1" si="187"/>
        <v>0</v>
      </c>
      <c r="Y294" s="869">
        <f t="shared" ca="1" si="188"/>
        <v>0</v>
      </c>
      <c r="Z294" s="869">
        <f t="shared" ca="1" si="189"/>
        <v>0</v>
      </c>
      <c r="AA294" s="869">
        <f t="shared" ca="1" si="190"/>
        <v>0</v>
      </c>
      <c r="AB294" s="867">
        <f t="shared" ca="1" si="191"/>
        <v>0</v>
      </c>
      <c r="AC294" s="161"/>
      <c r="AD294" s="869">
        <f t="shared" ca="1" si="192"/>
        <v>0</v>
      </c>
      <c r="AE294" s="867" cm="1">
        <f t="array" ref="AE294">IF($G294=0,0,-MIN(0,$G294*c_equity.LPshare))</f>
        <v>0</v>
      </c>
      <c r="AF294" s="869" cm="1">
        <f t="array" ref="AF294">IF($D294=0,0,AD294*(c_rate.Hurdle2.MO))</f>
        <v>0</v>
      </c>
      <c r="AG294" s="869">
        <f t="shared" ca="1" si="193"/>
        <v>0</v>
      </c>
      <c r="AH294" s="869">
        <f t="shared" ca="1" si="194"/>
        <v>0</v>
      </c>
      <c r="AI294" s="869">
        <f t="shared" ca="1" si="195"/>
        <v>0</v>
      </c>
      <c r="AJ294" s="870">
        <f t="shared" ca="1" si="196"/>
        <v>0</v>
      </c>
      <c r="AK294" s="867">
        <f t="shared" ca="1" si="197"/>
        <v>0</v>
      </c>
      <c r="AL294" s="869">
        <f t="shared" ca="1" si="175"/>
        <v>0</v>
      </c>
      <c r="AM294" s="869">
        <f t="shared" ca="1" si="198"/>
        <v>0</v>
      </c>
      <c r="AN294" s="867">
        <f t="shared" ca="1" si="199"/>
        <v>0</v>
      </c>
      <c r="AO294" s="161"/>
      <c r="AP294" s="869">
        <f t="shared" ca="1" si="200"/>
        <v>0</v>
      </c>
      <c r="AQ294" s="867" cm="1">
        <f t="array" ref="AQ294">IF($G294=0,0,-MIN(0,$G294*c_equity.LPshare))</f>
        <v>0</v>
      </c>
      <c r="AR294" s="869" cm="1">
        <f t="array" ref="AR294">IF($D294=0,0,AP294*(c_rate.Hurdle3.MO))</f>
        <v>0</v>
      </c>
      <c r="AS294" s="869">
        <f t="shared" ca="1" si="201"/>
        <v>0</v>
      </c>
      <c r="AT294" s="869">
        <f t="shared" ca="1" si="202"/>
        <v>0</v>
      </c>
      <c r="AU294" s="869">
        <f t="shared" ca="1" si="203"/>
        <v>0</v>
      </c>
      <c r="AV294" s="870">
        <f t="shared" ca="1" si="204"/>
        <v>0</v>
      </c>
      <c r="AW294" s="867">
        <f t="shared" ca="1" si="205"/>
        <v>0</v>
      </c>
      <c r="AX294" s="869">
        <f t="shared" ca="1" si="176"/>
        <v>0</v>
      </c>
      <c r="AY294" s="869">
        <f t="shared" ca="1" si="206"/>
        <v>0</v>
      </c>
      <c r="AZ294" s="867">
        <f t="shared" ca="1" si="207"/>
        <v>0</v>
      </c>
      <c r="BA294" s="161"/>
      <c r="BB294" s="867">
        <f t="shared" ca="1" si="208"/>
        <v>0</v>
      </c>
      <c r="BC294" s="867">
        <f t="shared" ca="1" si="173"/>
        <v>0</v>
      </c>
      <c r="BD294" s="658"/>
      <c r="BE294" s="867">
        <f t="shared" ca="1" si="209"/>
        <v>0</v>
      </c>
      <c r="BF294" s="867">
        <f t="shared" ca="1" si="210"/>
        <v>0</v>
      </c>
      <c r="BG294" s="867">
        <f t="shared" ca="1" si="211"/>
        <v>0</v>
      </c>
      <c r="BI294" s="867">
        <f ca="1"/>
        <v>0</v>
      </c>
      <c r="BJ294" s="867">
        <f ca="1"/>
        <v>0</v>
      </c>
      <c r="BK294" s="867">
        <f ca="1"/>
        <v>0</v>
      </c>
      <c r="BL294" s="867">
        <f t="shared" ca="1" si="212"/>
        <v>0</v>
      </c>
      <c r="BM294" s="867">
        <f t="shared" ca="1" si="213"/>
        <v>0</v>
      </c>
      <c r="BN294" s="867">
        <f t="shared" ca="1" si="214"/>
        <v>0</v>
      </c>
      <c r="BO294" s="867">
        <f t="shared" ca="1" si="215"/>
        <v>0</v>
      </c>
      <c r="BP294" s="867">
        <f t="shared" ca="1" si="216"/>
        <v>0</v>
      </c>
      <c r="BQ294" s="867">
        <f t="shared" ca="1" si="217"/>
        <v>0</v>
      </c>
      <c r="BR294" s="867">
        <f ca="1"/>
        <v>0</v>
      </c>
      <c r="BS294" s="867">
        <f ca="1"/>
        <v>0</v>
      </c>
      <c r="BT294" s="867">
        <f t="shared" ca="1" si="177"/>
        <v>0</v>
      </c>
      <c r="BU294" s="867">
        <f t="shared" ca="1" si="218"/>
        <v>0</v>
      </c>
      <c r="BX294" s="867">
        <f ca="1"/>
        <v>0</v>
      </c>
      <c r="BY294" s="867">
        <f t="shared" ca="1" si="219"/>
        <v>0</v>
      </c>
      <c r="BZ294" s="867">
        <f t="shared" ca="1" si="220"/>
        <v>0</v>
      </c>
      <c r="CA294" s="867">
        <f t="shared" ca="1" si="221"/>
        <v>0</v>
      </c>
      <c r="CB294" s="867">
        <f t="shared" ca="1" si="222"/>
        <v>0</v>
      </c>
      <c r="CC294" s="867">
        <f t="shared" ca="1" si="223"/>
        <v>0</v>
      </c>
      <c r="CD294" s="867">
        <f t="shared" ca="1" si="224"/>
        <v>0</v>
      </c>
    </row>
    <row r="295" spans="1:82" ht="17" hidden="1" thickTop="1" thickBot="1">
      <c r="A295" s="773">
        <f t="shared" si="174"/>
        <v>0</v>
      </c>
      <c r="B295" s="779"/>
      <c r="D295" s="660"/>
      <c r="E295" s="661"/>
      <c r="F295" s="862"/>
      <c r="G295" s="863"/>
      <c r="H295" s="961"/>
      <c r="I295" s="865">
        <f t="shared" si="178"/>
        <v>0</v>
      </c>
      <c r="J295" s="864" cm="1">
        <f t="array" ref="J295">IF($G295=0,0,-MIN(0,G295*c_equity.LPshare))</f>
        <v>0</v>
      </c>
      <c r="K295" s="865" cm="1">
        <f t="array" ref="K295">I295*c_rate.Pref.MO</f>
        <v>0</v>
      </c>
      <c r="L295" s="865">
        <f t="shared" si="179"/>
        <v>0</v>
      </c>
      <c r="M295" s="865">
        <f t="shared" si="180"/>
        <v>0</v>
      </c>
      <c r="N295" s="865">
        <f t="shared" si="181"/>
        <v>0</v>
      </c>
      <c r="O295" s="864" cm="1">
        <f t="array" ref="O295">IF(N295=0,0,IF(G295&lt;0,N295/c_equity.LPshare*i_equity.GPshare,L295/c_equity.LPshare*i_equity.GPshare))</f>
        <v>0</v>
      </c>
      <c r="P295" s="865">
        <f t="shared" si="182"/>
        <v>0</v>
      </c>
      <c r="Q295" s="865">
        <f t="shared" si="183"/>
        <v>0</v>
      </c>
      <c r="R295" s="161"/>
      <c r="S295" s="867">
        <f t="shared" ca="1" si="184"/>
        <v>0</v>
      </c>
      <c r="T295" s="867" cm="1">
        <f t="array" ref="T295">IF($G295=0,0,-MIN(0,$G295*c_equity.LPshare))</f>
        <v>0</v>
      </c>
      <c r="U295" s="869" cm="1">
        <f t="array" ref="U295">IF($D295=0,0,S295*c_rate.Hurdle1.MO)</f>
        <v>0</v>
      </c>
      <c r="V295" s="867">
        <f t="shared" si="185"/>
        <v>0</v>
      </c>
      <c r="W295" s="867">
        <f t="shared" ca="1" si="186"/>
        <v>0</v>
      </c>
      <c r="X295" s="869">
        <f t="shared" ca="1" si="187"/>
        <v>0</v>
      </c>
      <c r="Y295" s="869">
        <f t="shared" ca="1" si="188"/>
        <v>0</v>
      </c>
      <c r="Z295" s="869">
        <f t="shared" ca="1" si="189"/>
        <v>0</v>
      </c>
      <c r="AA295" s="869">
        <f t="shared" ca="1" si="190"/>
        <v>0</v>
      </c>
      <c r="AB295" s="867">
        <f t="shared" ca="1" si="191"/>
        <v>0</v>
      </c>
      <c r="AC295" s="161"/>
      <c r="AD295" s="869">
        <f t="shared" ca="1" si="192"/>
        <v>0</v>
      </c>
      <c r="AE295" s="867" cm="1">
        <f t="array" ref="AE295">IF($G295=0,0,-MIN(0,$G295*c_equity.LPshare))</f>
        <v>0</v>
      </c>
      <c r="AF295" s="869" cm="1">
        <f t="array" ref="AF295">IF($D295=0,0,AD295*(c_rate.Hurdle2.MO))</f>
        <v>0</v>
      </c>
      <c r="AG295" s="869">
        <f t="shared" ca="1" si="193"/>
        <v>0</v>
      </c>
      <c r="AH295" s="869">
        <f t="shared" ca="1" si="194"/>
        <v>0</v>
      </c>
      <c r="AI295" s="869">
        <f t="shared" ca="1" si="195"/>
        <v>0</v>
      </c>
      <c r="AJ295" s="870">
        <f t="shared" ca="1" si="196"/>
        <v>0</v>
      </c>
      <c r="AK295" s="867">
        <f t="shared" ca="1" si="197"/>
        <v>0</v>
      </c>
      <c r="AL295" s="869">
        <f t="shared" ca="1" si="175"/>
        <v>0</v>
      </c>
      <c r="AM295" s="869">
        <f t="shared" ca="1" si="198"/>
        <v>0</v>
      </c>
      <c r="AN295" s="867">
        <f t="shared" ca="1" si="199"/>
        <v>0</v>
      </c>
      <c r="AO295" s="161"/>
      <c r="AP295" s="869">
        <f t="shared" ca="1" si="200"/>
        <v>0</v>
      </c>
      <c r="AQ295" s="867" cm="1">
        <f t="array" ref="AQ295">IF($G295=0,0,-MIN(0,$G295*c_equity.LPshare))</f>
        <v>0</v>
      </c>
      <c r="AR295" s="869" cm="1">
        <f t="array" ref="AR295">IF($D295=0,0,AP295*(c_rate.Hurdle3.MO))</f>
        <v>0</v>
      </c>
      <c r="AS295" s="869">
        <f t="shared" ca="1" si="201"/>
        <v>0</v>
      </c>
      <c r="AT295" s="869">
        <f t="shared" ca="1" si="202"/>
        <v>0</v>
      </c>
      <c r="AU295" s="869">
        <f t="shared" ca="1" si="203"/>
        <v>0</v>
      </c>
      <c r="AV295" s="870">
        <f t="shared" ca="1" si="204"/>
        <v>0</v>
      </c>
      <c r="AW295" s="867">
        <f t="shared" ca="1" si="205"/>
        <v>0</v>
      </c>
      <c r="AX295" s="869">
        <f t="shared" ca="1" si="176"/>
        <v>0</v>
      </c>
      <c r="AY295" s="869">
        <f t="shared" ca="1" si="206"/>
        <v>0</v>
      </c>
      <c r="AZ295" s="867">
        <f t="shared" ca="1" si="207"/>
        <v>0</v>
      </c>
      <c r="BA295" s="161"/>
      <c r="BB295" s="867">
        <f t="shared" ca="1" si="208"/>
        <v>0</v>
      </c>
      <c r="BC295" s="867">
        <f t="shared" ca="1" si="173"/>
        <v>0</v>
      </c>
      <c r="BD295" s="658"/>
      <c r="BE295" s="867">
        <f t="shared" ca="1" si="209"/>
        <v>0</v>
      </c>
      <c r="BF295" s="867">
        <f t="shared" ca="1" si="210"/>
        <v>0</v>
      </c>
      <c r="BG295" s="867">
        <f t="shared" ca="1" si="211"/>
        <v>0</v>
      </c>
      <c r="BI295" s="867">
        <f ca="1"/>
        <v>0</v>
      </c>
      <c r="BJ295" s="867">
        <f ca="1"/>
        <v>0</v>
      </c>
      <c r="BK295" s="867">
        <f ca="1"/>
        <v>0</v>
      </c>
      <c r="BL295" s="867">
        <f t="shared" ca="1" si="212"/>
        <v>0</v>
      </c>
      <c r="BM295" s="867">
        <f t="shared" ca="1" si="213"/>
        <v>0</v>
      </c>
      <c r="BN295" s="867">
        <f t="shared" ca="1" si="214"/>
        <v>0</v>
      </c>
      <c r="BO295" s="867">
        <f t="shared" ca="1" si="215"/>
        <v>0</v>
      </c>
      <c r="BP295" s="867">
        <f t="shared" ca="1" si="216"/>
        <v>0</v>
      </c>
      <c r="BQ295" s="867">
        <f t="shared" ca="1" si="217"/>
        <v>0</v>
      </c>
      <c r="BR295" s="867">
        <f ca="1"/>
        <v>0</v>
      </c>
      <c r="BS295" s="867">
        <f ca="1"/>
        <v>0</v>
      </c>
      <c r="BT295" s="867">
        <f t="shared" ca="1" si="177"/>
        <v>0</v>
      </c>
      <c r="BU295" s="867">
        <f t="shared" ca="1" si="218"/>
        <v>0</v>
      </c>
      <c r="BX295" s="867">
        <f ca="1"/>
        <v>0</v>
      </c>
      <c r="BY295" s="867">
        <f t="shared" ca="1" si="219"/>
        <v>0</v>
      </c>
      <c r="BZ295" s="867">
        <f t="shared" ca="1" si="220"/>
        <v>0</v>
      </c>
      <c r="CA295" s="867">
        <f t="shared" ca="1" si="221"/>
        <v>0</v>
      </c>
      <c r="CB295" s="867">
        <f t="shared" ca="1" si="222"/>
        <v>0</v>
      </c>
      <c r="CC295" s="867">
        <f t="shared" ca="1" si="223"/>
        <v>0</v>
      </c>
      <c r="CD295" s="867">
        <f t="shared" ca="1" si="224"/>
        <v>0</v>
      </c>
    </row>
    <row r="296" spans="1:82" ht="17" hidden="1" thickTop="1" thickBot="1">
      <c r="A296" s="773">
        <f t="shared" si="174"/>
        <v>0</v>
      </c>
      <c r="B296" s="779"/>
      <c r="D296" s="660"/>
      <c r="E296" s="661"/>
      <c r="F296" s="862"/>
      <c r="G296" s="863"/>
      <c r="H296" s="961"/>
      <c r="I296" s="865">
        <f t="shared" si="178"/>
        <v>0</v>
      </c>
      <c r="J296" s="864" cm="1">
        <f t="array" ref="J296">IF($G296=0,0,-MIN(0,G296*c_equity.LPshare))</f>
        <v>0</v>
      </c>
      <c r="K296" s="865" cm="1">
        <f t="array" ref="K296">I296*c_rate.Pref.MO</f>
        <v>0</v>
      </c>
      <c r="L296" s="865">
        <f t="shared" si="179"/>
        <v>0</v>
      </c>
      <c r="M296" s="865">
        <f t="shared" si="180"/>
        <v>0</v>
      </c>
      <c r="N296" s="865">
        <f t="shared" si="181"/>
        <v>0</v>
      </c>
      <c r="O296" s="864" cm="1">
        <f t="array" ref="O296">IF(N296=0,0,IF(G296&lt;0,N296/c_equity.LPshare*i_equity.GPshare,L296/c_equity.LPshare*i_equity.GPshare))</f>
        <v>0</v>
      </c>
      <c r="P296" s="865">
        <f t="shared" si="182"/>
        <v>0</v>
      </c>
      <c r="Q296" s="865">
        <f t="shared" si="183"/>
        <v>0</v>
      </c>
      <c r="R296" s="161"/>
      <c r="S296" s="867">
        <f t="shared" ca="1" si="184"/>
        <v>0</v>
      </c>
      <c r="T296" s="867" cm="1">
        <f t="array" ref="T296">IF($G296=0,0,-MIN(0,$G296*c_equity.LPshare))</f>
        <v>0</v>
      </c>
      <c r="U296" s="869" cm="1">
        <f t="array" ref="U296">IF($D296=0,0,S296*c_rate.Hurdle1.MO)</f>
        <v>0</v>
      </c>
      <c r="V296" s="867">
        <f t="shared" si="185"/>
        <v>0</v>
      </c>
      <c r="W296" s="867">
        <f t="shared" ca="1" si="186"/>
        <v>0</v>
      </c>
      <c r="X296" s="869">
        <f t="shared" ca="1" si="187"/>
        <v>0</v>
      </c>
      <c r="Y296" s="869">
        <f t="shared" ca="1" si="188"/>
        <v>0</v>
      </c>
      <c r="Z296" s="869">
        <f t="shared" ca="1" si="189"/>
        <v>0</v>
      </c>
      <c r="AA296" s="869">
        <f t="shared" ca="1" si="190"/>
        <v>0</v>
      </c>
      <c r="AB296" s="867">
        <f t="shared" ca="1" si="191"/>
        <v>0</v>
      </c>
      <c r="AC296" s="161"/>
      <c r="AD296" s="869">
        <f t="shared" ca="1" si="192"/>
        <v>0</v>
      </c>
      <c r="AE296" s="867" cm="1">
        <f t="array" ref="AE296">IF($G296=0,0,-MIN(0,$G296*c_equity.LPshare))</f>
        <v>0</v>
      </c>
      <c r="AF296" s="869" cm="1">
        <f t="array" ref="AF296">IF($D296=0,0,AD296*(c_rate.Hurdle2.MO))</f>
        <v>0</v>
      </c>
      <c r="AG296" s="869">
        <f t="shared" ca="1" si="193"/>
        <v>0</v>
      </c>
      <c r="AH296" s="869">
        <f t="shared" ca="1" si="194"/>
        <v>0</v>
      </c>
      <c r="AI296" s="869">
        <f t="shared" ca="1" si="195"/>
        <v>0</v>
      </c>
      <c r="AJ296" s="870">
        <f t="shared" ca="1" si="196"/>
        <v>0</v>
      </c>
      <c r="AK296" s="867">
        <f t="shared" ca="1" si="197"/>
        <v>0</v>
      </c>
      <c r="AL296" s="869">
        <f t="shared" ca="1" si="175"/>
        <v>0</v>
      </c>
      <c r="AM296" s="869">
        <f t="shared" ca="1" si="198"/>
        <v>0</v>
      </c>
      <c r="AN296" s="867">
        <f t="shared" ca="1" si="199"/>
        <v>0</v>
      </c>
      <c r="AO296" s="161"/>
      <c r="AP296" s="869">
        <f t="shared" ca="1" si="200"/>
        <v>0</v>
      </c>
      <c r="AQ296" s="867" cm="1">
        <f t="array" ref="AQ296">IF($G296=0,0,-MIN(0,$G296*c_equity.LPshare))</f>
        <v>0</v>
      </c>
      <c r="AR296" s="869" cm="1">
        <f t="array" ref="AR296">IF($D296=0,0,AP296*(c_rate.Hurdle3.MO))</f>
        <v>0</v>
      </c>
      <c r="AS296" s="869">
        <f t="shared" ca="1" si="201"/>
        <v>0</v>
      </c>
      <c r="AT296" s="869">
        <f t="shared" ca="1" si="202"/>
        <v>0</v>
      </c>
      <c r="AU296" s="869">
        <f t="shared" ca="1" si="203"/>
        <v>0</v>
      </c>
      <c r="AV296" s="870">
        <f t="shared" ca="1" si="204"/>
        <v>0</v>
      </c>
      <c r="AW296" s="867">
        <f t="shared" ca="1" si="205"/>
        <v>0</v>
      </c>
      <c r="AX296" s="869">
        <f t="shared" ca="1" si="176"/>
        <v>0</v>
      </c>
      <c r="AY296" s="869">
        <f t="shared" ca="1" si="206"/>
        <v>0</v>
      </c>
      <c r="AZ296" s="867">
        <f t="shared" ca="1" si="207"/>
        <v>0</v>
      </c>
      <c r="BA296" s="161"/>
      <c r="BB296" s="867">
        <f t="shared" ca="1" si="208"/>
        <v>0</v>
      </c>
      <c r="BC296" s="867">
        <f t="shared" ca="1" si="173"/>
        <v>0</v>
      </c>
      <c r="BD296" s="658"/>
      <c r="BE296" s="867">
        <f t="shared" ca="1" si="209"/>
        <v>0</v>
      </c>
      <c r="BF296" s="867">
        <f t="shared" ca="1" si="210"/>
        <v>0</v>
      </c>
      <c r="BG296" s="867">
        <f t="shared" ca="1" si="211"/>
        <v>0</v>
      </c>
      <c r="BI296" s="867">
        <f ca="1"/>
        <v>0</v>
      </c>
      <c r="BJ296" s="867">
        <f ca="1"/>
        <v>0</v>
      </c>
      <c r="BK296" s="867">
        <f ca="1"/>
        <v>0</v>
      </c>
      <c r="BL296" s="867">
        <f t="shared" ca="1" si="212"/>
        <v>0</v>
      </c>
      <c r="BM296" s="867">
        <f t="shared" ca="1" si="213"/>
        <v>0</v>
      </c>
      <c r="BN296" s="867">
        <f t="shared" ca="1" si="214"/>
        <v>0</v>
      </c>
      <c r="BO296" s="867">
        <f t="shared" ca="1" si="215"/>
        <v>0</v>
      </c>
      <c r="BP296" s="867">
        <f t="shared" ca="1" si="216"/>
        <v>0</v>
      </c>
      <c r="BQ296" s="867">
        <f t="shared" ca="1" si="217"/>
        <v>0</v>
      </c>
      <c r="BR296" s="867">
        <f ca="1"/>
        <v>0</v>
      </c>
      <c r="BS296" s="867">
        <f ca="1"/>
        <v>0</v>
      </c>
      <c r="BT296" s="867">
        <f t="shared" ca="1" si="177"/>
        <v>0</v>
      </c>
      <c r="BU296" s="867">
        <f t="shared" ca="1" si="218"/>
        <v>0</v>
      </c>
      <c r="BX296" s="867">
        <f ca="1"/>
        <v>0</v>
      </c>
      <c r="BY296" s="867">
        <f t="shared" ca="1" si="219"/>
        <v>0</v>
      </c>
      <c r="BZ296" s="867">
        <f t="shared" ca="1" si="220"/>
        <v>0</v>
      </c>
      <c r="CA296" s="867">
        <f t="shared" ca="1" si="221"/>
        <v>0</v>
      </c>
      <c r="CB296" s="867">
        <f t="shared" ca="1" si="222"/>
        <v>0</v>
      </c>
      <c r="CC296" s="867">
        <f t="shared" ca="1" si="223"/>
        <v>0</v>
      </c>
      <c r="CD296" s="867">
        <f t="shared" ca="1" si="224"/>
        <v>0</v>
      </c>
    </row>
    <row r="297" spans="1:82" ht="17" hidden="1" thickTop="1" thickBot="1">
      <c r="A297" s="773">
        <f t="shared" si="174"/>
        <v>0</v>
      </c>
      <c r="B297" s="779"/>
      <c r="D297" s="660"/>
      <c r="E297" s="661"/>
      <c r="F297" s="862"/>
      <c r="G297" s="863"/>
      <c r="H297" s="961"/>
      <c r="I297" s="865">
        <f t="shared" si="178"/>
        <v>0</v>
      </c>
      <c r="J297" s="864" cm="1">
        <f t="array" ref="J297">IF($G297=0,0,-MIN(0,G297*c_equity.LPshare))</f>
        <v>0</v>
      </c>
      <c r="K297" s="865" cm="1">
        <f t="array" ref="K297">I297*c_rate.Pref.MO</f>
        <v>0</v>
      </c>
      <c r="L297" s="865">
        <f t="shared" si="179"/>
        <v>0</v>
      </c>
      <c r="M297" s="865">
        <f t="shared" si="180"/>
        <v>0</v>
      </c>
      <c r="N297" s="865">
        <f t="shared" si="181"/>
        <v>0</v>
      </c>
      <c r="O297" s="864" cm="1">
        <f t="array" ref="O297">IF(N297=0,0,IF(G297&lt;0,N297/c_equity.LPshare*i_equity.GPshare,L297/c_equity.LPshare*i_equity.GPshare))</f>
        <v>0</v>
      </c>
      <c r="P297" s="865">
        <f t="shared" si="182"/>
        <v>0</v>
      </c>
      <c r="Q297" s="865">
        <f t="shared" si="183"/>
        <v>0</v>
      </c>
      <c r="R297" s="161"/>
      <c r="S297" s="867">
        <f t="shared" ca="1" si="184"/>
        <v>0</v>
      </c>
      <c r="T297" s="867" cm="1">
        <f t="array" ref="T297">IF($G297=0,0,-MIN(0,$G297*c_equity.LPshare))</f>
        <v>0</v>
      </c>
      <c r="U297" s="869" cm="1">
        <f t="array" ref="U297">IF($D297=0,0,S297*c_rate.Hurdle1.MO)</f>
        <v>0</v>
      </c>
      <c r="V297" s="867">
        <f t="shared" si="185"/>
        <v>0</v>
      </c>
      <c r="W297" s="867">
        <f t="shared" ca="1" si="186"/>
        <v>0</v>
      </c>
      <c r="X297" s="869">
        <f t="shared" ca="1" si="187"/>
        <v>0</v>
      </c>
      <c r="Y297" s="869">
        <f t="shared" ca="1" si="188"/>
        <v>0</v>
      </c>
      <c r="Z297" s="869">
        <f t="shared" ca="1" si="189"/>
        <v>0</v>
      </c>
      <c r="AA297" s="869">
        <f t="shared" ca="1" si="190"/>
        <v>0</v>
      </c>
      <c r="AB297" s="867">
        <f t="shared" ca="1" si="191"/>
        <v>0</v>
      </c>
      <c r="AC297" s="161"/>
      <c r="AD297" s="869">
        <f t="shared" ca="1" si="192"/>
        <v>0</v>
      </c>
      <c r="AE297" s="867" cm="1">
        <f t="array" ref="AE297">IF($G297=0,0,-MIN(0,$G297*c_equity.LPshare))</f>
        <v>0</v>
      </c>
      <c r="AF297" s="869" cm="1">
        <f t="array" ref="AF297">IF($D297=0,0,AD297*(c_rate.Hurdle2.MO))</f>
        <v>0</v>
      </c>
      <c r="AG297" s="869">
        <f t="shared" ca="1" si="193"/>
        <v>0</v>
      </c>
      <c r="AH297" s="869">
        <f t="shared" ca="1" si="194"/>
        <v>0</v>
      </c>
      <c r="AI297" s="869">
        <f t="shared" ca="1" si="195"/>
        <v>0</v>
      </c>
      <c r="AJ297" s="870">
        <f t="shared" ca="1" si="196"/>
        <v>0</v>
      </c>
      <c r="AK297" s="867">
        <f t="shared" ca="1" si="197"/>
        <v>0</v>
      </c>
      <c r="AL297" s="869">
        <f t="shared" ca="1" si="175"/>
        <v>0</v>
      </c>
      <c r="AM297" s="869">
        <f t="shared" ca="1" si="198"/>
        <v>0</v>
      </c>
      <c r="AN297" s="867">
        <f t="shared" ca="1" si="199"/>
        <v>0</v>
      </c>
      <c r="AO297" s="161"/>
      <c r="AP297" s="869">
        <f t="shared" ca="1" si="200"/>
        <v>0</v>
      </c>
      <c r="AQ297" s="867" cm="1">
        <f t="array" ref="AQ297">IF($G297=0,0,-MIN(0,$G297*c_equity.LPshare))</f>
        <v>0</v>
      </c>
      <c r="AR297" s="869" cm="1">
        <f t="array" ref="AR297">IF($D297=0,0,AP297*(c_rate.Hurdle3.MO))</f>
        <v>0</v>
      </c>
      <c r="AS297" s="869">
        <f t="shared" ca="1" si="201"/>
        <v>0</v>
      </c>
      <c r="AT297" s="869">
        <f t="shared" ca="1" si="202"/>
        <v>0</v>
      </c>
      <c r="AU297" s="869">
        <f t="shared" ca="1" si="203"/>
        <v>0</v>
      </c>
      <c r="AV297" s="870">
        <f t="shared" ca="1" si="204"/>
        <v>0</v>
      </c>
      <c r="AW297" s="867">
        <f t="shared" ca="1" si="205"/>
        <v>0</v>
      </c>
      <c r="AX297" s="869">
        <f t="shared" ca="1" si="176"/>
        <v>0</v>
      </c>
      <c r="AY297" s="869">
        <f t="shared" ca="1" si="206"/>
        <v>0</v>
      </c>
      <c r="AZ297" s="867">
        <f t="shared" ca="1" si="207"/>
        <v>0</v>
      </c>
      <c r="BA297" s="161"/>
      <c r="BB297" s="867">
        <f t="shared" ca="1" si="208"/>
        <v>0</v>
      </c>
      <c r="BC297" s="867">
        <f t="shared" ca="1" si="173"/>
        <v>0</v>
      </c>
      <c r="BD297" s="658"/>
      <c r="BE297" s="867">
        <f t="shared" ca="1" si="209"/>
        <v>0</v>
      </c>
      <c r="BF297" s="867">
        <f t="shared" ca="1" si="210"/>
        <v>0</v>
      </c>
      <c r="BG297" s="867">
        <f t="shared" ca="1" si="211"/>
        <v>0</v>
      </c>
      <c r="BI297" s="867">
        <f ca="1"/>
        <v>0</v>
      </c>
      <c r="BJ297" s="867">
        <f ca="1"/>
        <v>0</v>
      </c>
      <c r="BK297" s="867">
        <f ca="1"/>
        <v>0</v>
      </c>
      <c r="BL297" s="867">
        <f t="shared" ca="1" si="212"/>
        <v>0</v>
      </c>
      <c r="BM297" s="867">
        <f t="shared" ca="1" si="213"/>
        <v>0</v>
      </c>
      <c r="BN297" s="867">
        <f t="shared" ca="1" si="214"/>
        <v>0</v>
      </c>
      <c r="BO297" s="867">
        <f t="shared" ca="1" si="215"/>
        <v>0</v>
      </c>
      <c r="BP297" s="867">
        <f t="shared" ca="1" si="216"/>
        <v>0</v>
      </c>
      <c r="BQ297" s="867">
        <f t="shared" ca="1" si="217"/>
        <v>0</v>
      </c>
      <c r="BR297" s="867">
        <f ca="1"/>
        <v>0</v>
      </c>
      <c r="BS297" s="867">
        <f ca="1"/>
        <v>0</v>
      </c>
      <c r="BT297" s="867">
        <f t="shared" ca="1" si="177"/>
        <v>0</v>
      </c>
      <c r="BU297" s="867">
        <f t="shared" ca="1" si="218"/>
        <v>0</v>
      </c>
      <c r="BX297" s="867">
        <f ca="1"/>
        <v>0</v>
      </c>
      <c r="BY297" s="867">
        <f t="shared" ca="1" si="219"/>
        <v>0</v>
      </c>
      <c r="BZ297" s="867">
        <f t="shared" ca="1" si="220"/>
        <v>0</v>
      </c>
      <c r="CA297" s="867">
        <f t="shared" ca="1" si="221"/>
        <v>0</v>
      </c>
      <c r="CB297" s="867">
        <f t="shared" ca="1" si="222"/>
        <v>0</v>
      </c>
      <c r="CC297" s="867">
        <f t="shared" ca="1" si="223"/>
        <v>0</v>
      </c>
      <c r="CD297" s="867">
        <f t="shared" ca="1" si="224"/>
        <v>0</v>
      </c>
    </row>
    <row r="298" spans="1:82" ht="17" hidden="1" thickTop="1" thickBot="1">
      <c r="A298" s="773">
        <f t="shared" si="174"/>
        <v>0</v>
      </c>
      <c r="B298" s="779"/>
      <c r="D298" s="660"/>
      <c r="E298" s="661"/>
      <c r="F298" s="862"/>
      <c r="G298" s="863"/>
      <c r="H298" s="961"/>
      <c r="I298" s="865">
        <f t="shared" si="178"/>
        <v>0</v>
      </c>
      <c r="J298" s="864" cm="1">
        <f t="array" ref="J298">IF($G298=0,0,-MIN(0,G298*c_equity.LPshare))</f>
        <v>0</v>
      </c>
      <c r="K298" s="865" cm="1">
        <f t="array" ref="K298">I298*c_rate.Pref.MO</f>
        <v>0</v>
      </c>
      <c r="L298" s="865">
        <f t="shared" si="179"/>
        <v>0</v>
      </c>
      <c r="M298" s="865">
        <f t="shared" si="180"/>
        <v>0</v>
      </c>
      <c r="N298" s="865">
        <f t="shared" si="181"/>
        <v>0</v>
      </c>
      <c r="O298" s="864" cm="1">
        <f t="array" ref="O298">IF(N298=0,0,IF(G298&lt;0,N298/c_equity.LPshare*i_equity.GPshare,L298/c_equity.LPshare*i_equity.GPshare))</f>
        <v>0</v>
      </c>
      <c r="P298" s="865">
        <f t="shared" si="182"/>
        <v>0</v>
      </c>
      <c r="Q298" s="865">
        <f t="shared" si="183"/>
        <v>0</v>
      </c>
      <c r="R298" s="161"/>
      <c r="S298" s="867">
        <f t="shared" ca="1" si="184"/>
        <v>0</v>
      </c>
      <c r="T298" s="867" cm="1">
        <f t="array" ref="T298">IF($G298=0,0,-MIN(0,$G298*c_equity.LPshare))</f>
        <v>0</v>
      </c>
      <c r="U298" s="869" cm="1">
        <f t="array" ref="U298">IF($D298=0,0,S298*c_rate.Hurdle1.MO)</f>
        <v>0</v>
      </c>
      <c r="V298" s="867">
        <f t="shared" si="185"/>
        <v>0</v>
      </c>
      <c r="W298" s="867">
        <f t="shared" ca="1" si="186"/>
        <v>0</v>
      </c>
      <c r="X298" s="869">
        <f t="shared" ca="1" si="187"/>
        <v>0</v>
      </c>
      <c r="Y298" s="869">
        <f t="shared" ca="1" si="188"/>
        <v>0</v>
      </c>
      <c r="Z298" s="869">
        <f t="shared" ca="1" si="189"/>
        <v>0</v>
      </c>
      <c r="AA298" s="869">
        <f t="shared" ca="1" si="190"/>
        <v>0</v>
      </c>
      <c r="AB298" s="867">
        <f t="shared" ca="1" si="191"/>
        <v>0</v>
      </c>
      <c r="AC298" s="161"/>
      <c r="AD298" s="869">
        <f t="shared" ca="1" si="192"/>
        <v>0</v>
      </c>
      <c r="AE298" s="867" cm="1">
        <f t="array" ref="AE298">IF($G298=0,0,-MIN(0,$G298*c_equity.LPshare))</f>
        <v>0</v>
      </c>
      <c r="AF298" s="869" cm="1">
        <f t="array" ref="AF298">IF($D298=0,0,AD298*(c_rate.Hurdle2.MO))</f>
        <v>0</v>
      </c>
      <c r="AG298" s="869">
        <f t="shared" ca="1" si="193"/>
        <v>0</v>
      </c>
      <c r="AH298" s="869">
        <f t="shared" ca="1" si="194"/>
        <v>0</v>
      </c>
      <c r="AI298" s="869">
        <f t="shared" ca="1" si="195"/>
        <v>0</v>
      </c>
      <c r="AJ298" s="870">
        <f t="shared" ca="1" si="196"/>
        <v>0</v>
      </c>
      <c r="AK298" s="867">
        <f t="shared" ca="1" si="197"/>
        <v>0</v>
      </c>
      <c r="AL298" s="869">
        <f t="shared" ca="1" si="175"/>
        <v>0</v>
      </c>
      <c r="AM298" s="869">
        <f t="shared" ca="1" si="198"/>
        <v>0</v>
      </c>
      <c r="AN298" s="867">
        <f t="shared" ca="1" si="199"/>
        <v>0</v>
      </c>
      <c r="AO298" s="161"/>
      <c r="AP298" s="869">
        <f t="shared" ca="1" si="200"/>
        <v>0</v>
      </c>
      <c r="AQ298" s="867" cm="1">
        <f t="array" ref="AQ298">IF($G298=0,0,-MIN(0,$G298*c_equity.LPshare))</f>
        <v>0</v>
      </c>
      <c r="AR298" s="869" cm="1">
        <f t="array" ref="AR298">IF($D298=0,0,AP298*(c_rate.Hurdle3.MO))</f>
        <v>0</v>
      </c>
      <c r="AS298" s="869">
        <f t="shared" ca="1" si="201"/>
        <v>0</v>
      </c>
      <c r="AT298" s="869">
        <f t="shared" ca="1" si="202"/>
        <v>0</v>
      </c>
      <c r="AU298" s="869">
        <f t="shared" ca="1" si="203"/>
        <v>0</v>
      </c>
      <c r="AV298" s="870">
        <f t="shared" ca="1" si="204"/>
        <v>0</v>
      </c>
      <c r="AW298" s="867">
        <f t="shared" ca="1" si="205"/>
        <v>0</v>
      </c>
      <c r="AX298" s="869">
        <f t="shared" ca="1" si="176"/>
        <v>0</v>
      </c>
      <c r="AY298" s="869">
        <f t="shared" ca="1" si="206"/>
        <v>0</v>
      </c>
      <c r="AZ298" s="867">
        <f t="shared" ca="1" si="207"/>
        <v>0</v>
      </c>
      <c r="BA298" s="161"/>
      <c r="BB298" s="867">
        <f t="shared" ca="1" si="208"/>
        <v>0</v>
      </c>
      <c r="BC298" s="867">
        <f t="shared" ca="1" si="173"/>
        <v>0</v>
      </c>
      <c r="BD298" s="658"/>
      <c r="BE298" s="867">
        <f t="shared" ca="1" si="209"/>
        <v>0</v>
      </c>
      <c r="BF298" s="867">
        <f t="shared" ca="1" si="210"/>
        <v>0</v>
      </c>
      <c r="BG298" s="867">
        <f t="shared" ca="1" si="211"/>
        <v>0</v>
      </c>
      <c r="BI298" s="867">
        <f ca="1"/>
        <v>0</v>
      </c>
      <c r="BJ298" s="867">
        <f ca="1"/>
        <v>0</v>
      </c>
      <c r="BK298" s="867">
        <f ca="1"/>
        <v>0</v>
      </c>
      <c r="BL298" s="867">
        <f t="shared" ca="1" si="212"/>
        <v>0</v>
      </c>
      <c r="BM298" s="867">
        <f t="shared" ca="1" si="213"/>
        <v>0</v>
      </c>
      <c r="BN298" s="867">
        <f t="shared" ca="1" si="214"/>
        <v>0</v>
      </c>
      <c r="BO298" s="867">
        <f t="shared" ca="1" si="215"/>
        <v>0</v>
      </c>
      <c r="BP298" s="867">
        <f t="shared" ca="1" si="216"/>
        <v>0</v>
      </c>
      <c r="BQ298" s="867">
        <f t="shared" ca="1" si="217"/>
        <v>0</v>
      </c>
      <c r="BR298" s="867">
        <f ca="1"/>
        <v>0</v>
      </c>
      <c r="BS298" s="867">
        <f ca="1"/>
        <v>0</v>
      </c>
      <c r="BT298" s="867">
        <f t="shared" ca="1" si="177"/>
        <v>0</v>
      </c>
      <c r="BU298" s="867">
        <f t="shared" ca="1" si="218"/>
        <v>0</v>
      </c>
      <c r="BX298" s="867">
        <f ca="1"/>
        <v>0</v>
      </c>
      <c r="BY298" s="867">
        <f t="shared" ca="1" si="219"/>
        <v>0</v>
      </c>
      <c r="BZ298" s="867">
        <f t="shared" ca="1" si="220"/>
        <v>0</v>
      </c>
      <c r="CA298" s="867">
        <f t="shared" ca="1" si="221"/>
        <v>0</v>
      </c>
      <c r="CB298" s="867">
        <f t="shared" ca="1" si="222"/>
        <v>0</v>
      </c>
      <c r="CC298" s="867">
        <f t="shared" ca="1" si="223"/>
        <v>0</v>
      </c>
      <c r="CD298" s="867">
        <f t="shared" ca="1" si="224"/>
        <v>0</v>
      </c>
    </row>
    <row r="299" spans="1:82" ht="17" hidden="1" thickTop="1" thickBot="1">
      <c r="A299" s="773">
        <f t="shared" si="174"/>
        <v>0</v>
      </c>
      <c r="B299" s="779"/>
      <c r="D299" s="660"/>
      <c r="E299" s="661"/>
      <c r="F299" s="862"/>
      <c r="G299" s="863"/>
      <c r="H299" s="961"/>
      <c r="I299" s="865">
        <f t="shared" si="178"/>
        <v>0</v>
      </c>
      <c r="J299" s="864" cm="1">
        <f t="array" ref="J299">IF($G299=0,0,-MIN(0,G299*c_equity.LPshare))</f>
        <v>0</v>
      </c>
      <c r="K299" s="865" cm="1">
        <f t="array" ref="K299">I299*c_rate.Pref.MO</f>
        <v>0</v>
      </c>
      <c r="L299" s="865">
        <f t="shared" si="179"/>
        <v>0</v>
      </c>
      <c r="M299" s="865">
        <f t="shared" si="180"/>
        <v>0</v>
      </c>
      <c r="N299" s="865">
        <f t="shared" si="181"/>
        <v>0</v>
      </c>
      <c r="O299" s="864" cm="1">
        <f t="array" ref="O299">IF(N299=0,0,IF(G299&lt;0,N299/c_equity.LPshare*i_equity.GPshare,L299/c_equity.LPshare*i_equity.GPshare))</f>
        <v>0</v>
      </c>
      <c r="P299" s="865">
        <f t="shared" si="182"/>
        <v>0</v>
      </c>
      <c r="Q299" s="865">
        <f t="shared" si="183"/>
        <v>0</v>
      </c>
      <c r="R299" s="161"/>
      <c r="S299" s="867">
        <f t="shared" ca="1" si="184"/>
        <v>0</v>
      </c>
      <c r="T299" s="867" cm="1">
        <f t="array" ref="T299">IF($G299=0,0,-MIN(0,$G299*c_equity.LPshare))</f>
        <v>0</v>
      </c>
      <c r="U299" s="869" cm="1">
        <f t="array" ref="U299">IF($D299=0,0,S299*c_rate.Hurdle1.MO)</f>
        <v>0</v>
      </c>
      <c r="V299" s="867">
        <f t="shared" si="185"/>
        <v>0</v>
      </c>
      <c r="W299" s="867">
        <f t="shared" ca="1" si="186"/>
        <v>0</v>
      </c>
      <c r="X299" s="869">
        <f t="shared" ca="1" si="187"/>
        <v>0</v>
      </c>
      <c r="Y299" s="869">
        <f t="shared" ca="1" si="188"/>
        <v>0</v>
      </c>
      <c r="Z299" s="869">
        <f t="shared" ca="1" si="189"/>
        <v>0</v>
      </c>
      <c r="AA299" s="869">
        <f t="shared" ca="1" si="190"/>
        <v>0</v>
      </c>
      <c r="AB299" s="867">
        <f t="shared" ca="1" si="191"/>
        <v>0</v>
      </c>
      <c r="AC299" s="161"/>
      <c r="AD299" s="869">
        <f t="shared" ca="1" si="192"/>
        <v>0</v>
      </c>
      <c r="AE299" s="867" cm="1">
        <f t="array" ref="AE299">IF($G299=0,0,-MIN(0,$G299*c_equity.LPshare))</f>
        <v>0</v>
      </c>
      <c r="AF299" s="869" cm="1">
        <f t="array" ref="AF299">IF($D299=0,0,AD299*(c_rate.Hurdle2.MO))</f>
        <v>0</v>
      </c>
      <c r="AG299" s="869">
        <f t="shared" ca="1" si="193"/>
        <v>0</v>
      </c>
      <c r="AH299" s="869">
        <f t="shared" ca="1" si="194"/>
        <v>0</v>
      </c>
      <c r="AI299" s="869">
        <f t="shared" ca="1" si="195"/>
        <v>0</v>
      </c>
      <c r="AJ299" s="870">
        <f t="shared" ca="1" si="196"/>
        <v>0</v>
      </c>
      <c r="AK299" s="867">
        <f t="shared" ca="1" si="197"/>
        <v>0</v>
      </c>
      <c r="AL299" s="869">
        <f t="shared" ca="1" si="175"/>
        <v>0</v>
      </c>
      <c r="AM299" s="869">
        <f t="shared" ca="1" si="198"/>
        <v>0</v>
      </c>
      <c r="AN299" s="867">
        <f t="shared" ca="1" si="199"/>
        <v>0</v>
      </c>
      <c r="AO299" s="161"/>
      <c r="AP299" s="869">
        <f t="shared" ca="1" si="200"/>
        <v>0</v>
      </c>
      <c r="AQ299" s="867" cm="1">
        <f t="array" ref="AQ299">IF($G299=0,0,-MIN(0,$G299*c_equity.LPshare))</f>
        <v>0</v>
      </c>
      <c r="AR299" s="869" cm="1">
        <f t="array" ref="AR299">IF($D299=0,0,AP299*(c_rate.Hurdle3.MO))</f>
        <v>0</v>
      </c>
      <c r="AS299" s="869">
        <f t="shared" ca="1" si="201"/>
        <v>0</v>
      </c>
      <c r="AT299" s="869">
        <f t="shared" ca="1" si="202"/>
        <v>0</v>
      </c>
      <c r="AU299" s="869">
        <f t="shared" ca="1" si="203"/>
        <v>0</v>
      </c>
      <c r="AV299" s="870">
        <f t="shared" ca="1" si="204"/>
        <v>0</v>
      </c>
      <c r="AW299" s="867">
        <f t="shared" ca="1" si="205"/>
        <v>0</v>
      </c>
      <c r="AX299" s="869">
        <f t="shared" ca="1" si="176"/>
        <v>0</v>
      </c>
      <c r="AY299" s="869">
        <f t="shared" ca="1" si="206"/>
        <v>0</v>
      </c>
      <c r="AZ299" s="867">
        <f t="shared" ca="1" si="207"/>
        <v>0</v>
      </c>
      <c r="BA299" s="161"/>
      <c r="BB299" s="867">
        <f t="shared" ca="1" si="208"/>
        <v>0</v>
      </c>
      <c r="BC299" s="867">
        <f t="shared" ca="1" si="173"/>
        <v>0</v>
      </c>
      <c r="BD299" s="658"/>
      <c r="BE299" s="867">
        <f t="shared" ca="1" si="209"/>
        <v>0</v>
      </c>
      <c r="BF299" s="867">
        <f t="shared" ca="1" si="210"/>
        <v>0</v>
      </c>
      <c r="BG299" s="867">
        <f t="shared" ca="1" si="211"/>
        <v>0</v>
      </c>
      <c r="BI299" s="867">
        <f ca="1"/>
        <v>0</v>
      </c>
      <c r="BJ299" s="867">
        <f ca="1"/>
        <v>0</v>
      </c>
      <c r="BK299" s="867">
        <f ca="1"/>
        <v>0</v>
      </c>
      <c r="BL299" s="867">
        <f t="shared" ca="1" si="212"/>
        <v>0</v>
      </c>
      <c r="BM299" s="867">
        <f t="shared" ca="1" si="213"/>
        <v>0</v>
      </c>
      <c r="BN299" s="867">
        <f t="shared" ca="1" si="214"/>
        <v>0</v>
      </c>
      <c r="BO299" s="867">
        <f t="shared" ca="1" si="215"/>
        <v>0</v>
      </c>
      <c r="BP299" s="867">
        <f t="shared" ca="1" si="216"/>
        <v>0</v>
      </c>
      <c r="BQ299" s="867">
        <f t="shared" ca="1" si="217"/>
        <v>0</v>
      </c>
      <c r="BR299" s="867">
        <f ca="1"/>
        <v>0</v>
      </c>
      <c r="BS299" s="867">
        <f ca="1"/>
        <v>0</v>
      </c>
      <c r="BT299" s="867">
        <f t="shared" ca="1" si="177"/>
        <v>0</v>
      </c>
      <c r="BU299" s="867">
        <f t="shared" ca="1" si="218"/>
        <v>0</v>
      </c>
      <c r="BX299" s="867">
        <f ca="1"/>
        <v>0</v>
      </c>
      <c r="BY299" s="867">
        <f t="shared" ca="1" si="219"/>
        <v>0</v>
      </c>
      <c r="BZ299" s="867">
        <f t="shared" ca="1" si="220"/>
        <v>0</v>
      </c>
      <c r="CA299" s="867">
        <f t="shared" ca="1" si="221"/>
        <v>0</v>
      </c>
      <c r="CB299" s="867">
        <f t="shared" ca="1" si="222"/>
        <v>0</v>
      </c>
      <c r="CC299" s="867">
        <f t="shared" ca="1" si="223"/>
        <v>0</v>
      </c>
      <c r="CD299" s="867">
        <f t="shared" ca="1" si="224"/>
        <v>0</v>
      </c>
    </row>
    <row r="300" spans="1:82" ht="17" hidden="1" thickTop="1" thickBot="1">
      <c r="A300" s="773">
        <f t="shared" si="174"/>
        <v>0</v>
      </c>
      <c r="B300" s="779"/>
      <c r="D300" s="660"/>
      <c r="E300" s="661"/>
      <c r="F300" s="862"/>
      <c r="G300" s="863"/>
      <c r="H300" s="961"/>
      <c r="I300" s="865">
        <f t="shared" si="178"/>
        <v>0</v>
      </c>
      <c r="J300" s="864" cm="1">
        <f t="array" ref="J300">IF($G300=0,0,-MIN(0,G300*c_equity.LPshare))</f>
        <v>0</v>
      </c>
      <c r="K300" s="865" cm="1">
        <f t="array" ref="K300">I300*c_rate.Pref.MO</f>
        <v>0</v>
      </c>
      <c r="L300" s="865">
        <f t="shared" si="179"/>
        <v>0</v>
      </c>
      <c r="M300" s="865">
        <f t="shared" si="180"/>
        <v>0</v>
      </c>
      <c r="N300" s="865">
        <f t="shared" si="181"/>
        <v>0</v>
      </c>
      <c r="O300" s="864" cm="1">
        <f t="array" ref="O300">IF(N300=0,0,IF(G300&lt;0,N300/c_equity.LPshare*i_equity.GPshare,L300/c_equity.LPshare*i_equity.GPshare))</f>
        <v>0</v>
      </c>
      <c r="P300" s="865">
        <f t="shared" si="182"/>
        <v>0</v>
      </c>
      <c r="Q300" s="865">
        <f t="shared" si="183"/>
        <v>0</v>
      </c>
      <c r="R300" s="161"/>
      <c r="S300" s="867">
        <f t="shared" ca="1" si="184"/>
        <v>0</v>
      </c>
      <c r="T300" s="867" cm="1">
        <f t="array" ref="T300">IF($G300=0,0,-MIN(0,$G300*c_equity.LPshare))</f>
        <v>0</v>
      </c>
      <c r="U300" s="869" cm="1">
        <f t="array" ref="U300">IF($D300=0,0,S300*c_rate.Hurdle1.MO)</f>
        <v>0</v>
      </c>
      <c r="V300" s="867">
        <f t="shared" si="185"/>
        <v>0</v>
      </c>
      <c r="W300" s="867">
        <f t="shared" ca="1" si="186"/>
        <v>0</v>
      </c>
      <c r="X300" s="869">
        <f t="shared" ca="1" si="187"/>
        <v>0</v>
      </c>
      <c r="Y300" s="869">
        <f t="shared" ca="1" si="188"/>
        <v>0</v>
      </c>
      <c r="Z300" s="869">
        <f t="shared" ca="1" si="189"/>
        <v>0</v>
      </c>
      <c r="AA300" s="869">
        <f t="shared" ca="1" si="190"/>
        <v>0</v>
      </c>
      <c r="AB300" s="867">
        <f t="shared" ca="1" si="191"/>
        <v>0</v>
      </c>
      <c r="AC300" s="161"/>
      <c r="AD300" s="869">
        <f t="shared" ca="1" si="192"/>
        <v>0</v>
      </c>
      <c r="AE300" s="867" cm="1">
        <f t="array" ref="AE300">IF($G300=0,0,-MIN(0,$G300*c_equity.LPshare))</f>
        <v>0</v>
      </c>
      <c r="AF300" s="869" cm="1">
        <f t="array" ref="AF300">IF($D300=0,0,AD300*(c_rate.Hurdle2.MO))</f>
        <v>0</v>
      </c>
      <c r="AG300" s="869">
        <f t="shared" ca="1" si="193"/>
        <v>0</v>
      </c>
      <c r="AH300" s="869">
        <f t="shared" ca="1" si="194"/>
        <v>0</v>
      </c>
      <c r="AI300" s="869">
        <f t="shared" ca="1" si="195"/>
        <v>0</v>
      </c>
      <c r="AJ300" s="870">
        <f t="shared" ca="1" si="196"/>
        <v>0</v>
      </c>
      <c r="AK300" s="867">
        <f t="shared" ca="1" si="197"/>
        <v>0</v>
      </c>
      <c r="AL300" s="869">
        <f t="shared" ca="1" si="175"/>
        <v>0</v>
      </c>
      <c r="AM300" s="869">
        <f t="shared" ca="1" si="198"/>
        <v>0</v>
      </c>
      <c r="AN300" s="867">
        <f t="shared" ca="1" si="199"/>
        <v>0</v>
      </c>
      <c r="AO300" s="161"/>
      <c r="AP300" s="869">
        <f t="shared" ca="1" si="200"/>
        <v>0</v>
      </c>
      <c r="AQ300" s="867" cm="1">
        <f t="array" ref="AQ300">IF($G300=0,0,-MIN(0,$G300*c_equity.LPshare))</f>
        <v>0</v>
      </c>
      <c r="AR300" s="869" cm="1">
        <f t="array" ref="AR300">IF($D300=0,0,AP300*(c_rate.Hurdle3.MO))</f>
        <v>0</v>
      </c>
      <c r="AS300" s="869">
        <f t="shared" ca="1" si="201"/>
        <v>0</v>
      </c>
      <c r="AT300" s="869">
        <f t="shared" ca="1" si="202"/>
        <v>0</v>
      </c>
      <c r="AU300" s="869">
        <f t="shared" ca="1" si="203"/>
        <v>0</v>
      </c>
      <c r="AV300" s="870">
        <f t="shared" ca="1" si="204"/>
        <v>0</v>
      </c>
      <c r="AW300" s="867">
        <f t="shared" ca="1" si="205"/>
        <v>0</v>
      </c>
      <c r="AX300" s="869">
        <f t="shared" ca="1" si="176"/>
        <v>0</v>
      </c>
      <c r="AY300" s="869">
        <f t="shared" ca="1" si="206"/>
        <v>0</v>
      </c>
      <c r="AZ300" s="867">
        <f t="shared" ca="1" si="207"/>
        <v>0</v>
      </c>
      <c r="BA300" s="161"/>
      <c r="BB300" s="867">
        <f t="shared" ca="1" si="208"/>
        <v>0</v>
      </c>
      <c r="BC300" s="867">
        <f t="shared" ca="1" si="173"/>
        <v>0</v>
      </c>
      <c r="BD300" s="658"/>
      <c r="BE300" s="867">
        <f t="shared" ca="1" si="209"/>
        <v>0</v>
      </c>
      <c r="BF300" s="867">
        <f t="shared" ca="1" si="210"/>
        <v>0</v>
      </c>
      <c r="BG300" s="867">
        <f t="shared" ca="1" si="211"/>
        <v>0</v>
      </c>
      <c r="BI300" s="867">
        <f ca="1"/>
        <v>0</v>
      </c>
      <c r="BJ300" s="867">
        <f ca="1"/>
        <v>0</v>
      </c>
      <c r="BK300" s="867">
        <f ca="1"/>
        <v>0</v>
      </c>
      <c r="BL300" s="867">
        <f t="shared" ca="1" si="212"/>
        <v>0</v>
      </c>
      <c r="BM300" s="867">
        <f t="shared" ca="1" si="213"/>
        <v>0</v>
      </c>
      <c r="BN300" s="867">
        <f t="shared" ca="1" si="214"/>
        <v>0</v>
      </c>
      <c r="BO300" s="867">
        <f t="shared" ca="1" si="215"/>
        <v>0</v>
      </c>
      <c r="BP300" s="867">
        <f t="shared" ca="1" si="216"/>
        <v>0</v>
      </c>
      <c r="BQ300" s="867">
        <f t="shared" ca="1" si="217"/>
        <v>0</v>
      </c>
      <c r="BR300" s="867">
        <f ca="1"/>
        <v>0</v>
      </c>
      <c r="BS300" s="867">
        <f ca="1"/>
        <v>0</v>
      </c>
      <c r="BT300" s="867">
        <f t="shared" ca="1" si="177"/>
        <v>0</v>
      </c>
      <c r="BU300" s="867">
        <f t="shared" ca="1" si="218"/>
        <v>0</v>
      </c>
      <c r="BX300" s="867">
        <f ca="1"/>
        <v>0</v>
      </c>
      <c r="BY300" s="867">
        <f t="shared" ca="1" si="219"/>
        <v>0</v>
      </c>
      <c r="BZ300" s="867">
        <f t="shared" ca="1" si="220"/>
        <v>0</v>
      </c>
      <c r="CA300" s="867">
        <f t="shared" ca="1" si="221"/>
        <v>0</v>
      </c>
      <c r="CB300" s="867">
        <f t="shared" ca="1" si="222"/>
        <v>0</v>
      </c>
      <c r="CC300" s="867">
        <f t="shared" ca="1" si="223"/>
        <v>0</v>
      </c>
      <c r="CD300" s="867">
        <f t="shared" ca="1" si="224"/>
        <v>0</v>
      </c>
    </row>
    <row r="301" spans="1:82" ht="17" hidden="1" thickTop="1" thickBot="1">
      <c r="A301" s="773">
        <f t="shared" si="174"/>
        <v>0</v>
      </c>
      <c r="B301" s="779"/>
      <c r="D301" s="660"/>
      <c r="E301" s="661"/>
      <c r="F301" s="862"/>
      <c r="G301" s="863"/>
      <c r="H301" s="961"/>
      <c r="I301" s="865">
        <f t="shared" si="178"/>
        <v>0</v>
      </c>
      <c r="J301" s="864" cm="1">
        <f t="array" ref="J301">IF($G301=0,0,-MIN(0,G301*c_equity.LPshare))</f>
        <v>0</v>
      </c>
      <c r="K301" s="865" cm="1">
        <f t="array" ref="K301">I301*c_rate.Pref.MO</f>
        <v>0</v>
      </c>
      <c r="L301" s="865">
        <f t="shared" si="179"/>
        <v>0</v>
      </c>
      <c r="M301" s="865">
        <f t="shared" si="180"/>
        <v>0</v>
      </c>
      <c r="N301" s="865">
        <f t="shared" si="181"/>
        <v>0</v>
      </c>
      <c r="O301" s="864" cm="1">
        <f t="array" ref="O301">IF(N301=0,0,IF(G301&lt;0,N301/c_equity.LPshare*i_equity.GPshare,L301/c_equity.LPshare*i_equity.GPshare))</f>
        <v>0</v>
      </c>
      <c r="P301" s="865">
        <f t="shared" si="182"/>
        <v>0</v>
      </c>
      <c r="Q301" s="865">
        <f t="shared" si="183"/>
        <v>0</v>
      </c>
      <c r="R301" s="161"/>
      <c r="S301" s="867">
        <f t="shared" ca="1" si="184"/>
        <v>0</v>
      </c>
      <c r="T301" s="867" cm="1">
        <f t="array" ref="T301">IF($G301=0,0,-MIN(0,$G301*c_equity.LPshare))</f>
        <v>0</v>
      </c>
      <c r="U301" s="869" cm="1">
        <f t="array" ref="U301">IF($D301=0,0,S301*c_rate.Hurdle1.MO)</f>
        <v>0</v>
      </c>
      <c r="V301" s="867">
        <f t="shared" si="185"/>
        <v>0</v>
      </c>
      <c r="W301" s="867">
        <f t="shared" ca="1" si="186"/>
        <v>0</v>
      </c>
      <c r="X301" s="869">
        <f t="shared" ca="1" si="187"/>
        <v>0</v>
      </c>
      <c r="Y301" s="869">
        <f t="shared" ca="1" si="188"/>
        <v>0</v>
      </c>
      <c r="Z301" s="869">
        <f t="shared" ca="1" si="189"/>
        <v>0</v>
      </c>
      <c r="AA301" s="869">
        <f t="shared" ca="1" si="190"/>
        <v>0</v>
      </c>
      <c r="AB301" s="867">
        <f t="shared" ca="1" si="191"/>
        <v>0</v>
      </c>
      <c r="AC301" s="161"/>
      <c r="AD301" s="869">
        <f t="shared" ca="1" si="192"/>
        <v>0</v>
      </c>
      <c r="AE301" s="867" cm="1">
        <f t="array" ref="AE301">IF($G301=0,0,-MIN(0,$G301*c_equity.LPshare))</f>
        <v>0</v>
      </c>
      <c r="AF301" s="869" cm="1">
        <f t="array" ref="AF301">IF($D301=0,0,AD301*(c_rate.Hurdle2.MO))</f>
        <v>0</v>
      </c>
      <c r="AG301" s="869">
        <f t="shared" ca="1" si="193"/>
        <v>0</v>
      </c>
      <c r="AH301" s="869">
        <f t="shared" ca="1" si="194"/>
        <v>0</v>
      </c>
      <c r="AI301" s="869">
        <f t="shared" ca="1" si="195"/>
        <v>0</v>
      </c>
      <c r="AJ301" s="870">
        <f t="shared" ca="1" si="196"/>
        <v>0</v>
      </c>
      <c r="AK301" s="867">
        <f t="shared" ca="1" si="197"/>
        <v>0</v>
      </c>
      <c r="AL301" s="869">
        <f t="shared" ca="1" si="175"/>
        <v>0</v>
      </c>
      <c r="AM301" s="869">
        <f t="shared" ca="1" si="198"/>
        <v>0</v>
      </c>
      <c r="AN301" s="867">
        <f t="shared" ca="1" si="199"/>
        <v>0</v>
      </c>
      <c r="AO301" s="161"/>
      <c r="AP301" s="869">
        <f t="shared" ca="1" si="200"/>
        <v>0</v>
      </c>
      <c r="AQ301" s="867" cm="1">
        <f t="array" ref="AQ301">IF($G301=0,0,-MIN(0,$G301*c_equity.LPshare))</f>
        <v>0</v>
      </c>
      <c r="AR301" s="869" cm="1">
        <f t="array" ref="AR301">IF($D301=0,0,AP301*(c_rate.Hurdle3.MO))</f>
        <v>0</v>
      </c>
      <c r="AS301" s="869">
        <f t="shared" ca="1" si="201"/>
        <v>0</v>
      </c>
      <c r="AT301" s="869">
        <f t="shared" ca="1" si="202"/>
        <v>0</v>
      </c>
      <c r="AU301" s="869">
        <f t="shared" ca="1" si="203"/>
        <v>0</v>
      </c>
      <c r="AV301" s="870">
        <f t="shared" ca="1" si="204"/>
        <v>0</v>
      </c>
      <c r="AW301" s="867">
        <f t="shared" ca="1" si="205"/>
        <v>0</v>
      </c>
      <c r="AX301" s="869">
        <f t="shared" ca="1" si="176"/>
        <v>0</v>
      </c>
      <c r="AY301" s="869">
        <f t="shared" ca="1" si="206"/>
        <v>0</v>
      </c>
      <c r="AZ301" s="867">
        <f t="shared" ca="1" si="207"/>
        <v>0</v>
      </c>
      <c r="BA301" s="161"/>
      <c r="BB301" s="867">
        <f t="shared" ca="1" si="208"/>
        <v>0</v>
      </c>
      <c r="BC301" s="867">
        <f t="shared" ca="1" si="173"/>
        <v>0</v>
      </c>
      <c r="BD301" s="658"/>
      <c r="BE301" s="867">
        <f t="shared" ca="1" si="209"/>
        <v>0</v>
      </c>
      <c r="BF301" s="867">
        <f t="shared" ca="1" si="210"/>
        <v>0</v>
      </c>
      <c r="BG301" s="867">
        <f t="shared" ca="1" si="211"/>
        <v>0</v>
      </c>
      <c r="BI301" s="867">
        <f ca="1"/>
        <v>0</v>
      </c>
      <c r="BJ301" s="867">
        <f ca="1"/>
        <v>0</v>
      </c>
      <c r="BK301" s="867">
        <f ca="1"/>
        <v>0</v>
      </c>
      <c r="BL301" s="867">
        <f t="shared" ca="1" si="212"/>
        <v>0</v>
      </c>
      <c r="BM301" s="867">
        <f t="shared" ca="1" si="213"/>
        <v>0</v>
      </c>
      <c r="BN301" s="867">
        <f t="shared" ca="1" si="214"/>
        <v>0</v>
      </c>
      <c r="BO301" s="867">
        <f t="shared" ca="1" si="215"/>
        <v>0</v>
      </c>
      <c r="BP301" s="867">
        <f t="shared" ca="1" si="216"/>
        <v>0</v>
      </c>
      <c r="BQ301" s="867">
        <f t="shared" ca="1" si="217"/>
        <v>0</v>
      </c>
      <c r="BR301" s="867">
        <f ca="1"/>
        <v>0</v>
      </c>
      <c r="BS301" s="867">
        <f ca="1"/>
        <v>0</v>
      </c>
      <c r="BT301" s="867">
        <f t="shared" ca="1" si="177"/>
        <v>0</v>
      </c>
      <c r="BU301" s="867">
        <f t="shared" ca="1" si="218"/>
        <v>0</v>
      </c>
      <c r="BX301" s="867">
        <f ca="1"/>
        <v>0</v>
      </c>
      <c r="BY301" s="867">
        <f t="shared" ca="1" si="219"/>
        <v>0</v>
      </c>
      <c r="BZ301" s="867">
        <f t="shared" ca="1" si="220"/>
        <v>0</v>
      </c>
      <c r="CA301" s="867">
        <f t="shared" ca="1" si="221"/>
        <v>0</v>
      </c>
      <c r="CB301" s="867">
        <f t="shared" ca="1" si="222"/>
        <v>0</v>
      </c>
      <c r="CC301" s="867">
        <f t="shared" ca="1" si="223"/>
        <v>0</v>
      </c>
      <c r="CD301" s="867">
        <f t="shared" ca="1" si="224"/>
        <v>0</v>
      </c>
    </row>
    <row r="302" spans="1:82" ht="17" hidden="1" thickTop="1" thickBot="1">
      <c r="A302" s="773">
        <f t="shared" si="174"/>
        <v>0</v>
      </c>
      <c r="B302" s="779"/>
      <c r="D302" s="660"/>
      <c r="E302" s="661"/>
      <c r="F302" s="862"/>
      <c r="G302" s="863"/>
      <c r="H302" s="961"/>
      <c r="I302" s="865">
        <f t="shared" si="178"/>
        <v>0</v>
      </c>
      <c r="J302" s="864" cm="1">
        <f t="array" ref="J302">IF($G302=0,0,-MIN(0,G302*c_equity.LPshare))</f>
        <v>0</v>
      </c>
      <c r="K302" s="865" cm="1">
        <f t="array" ref="K302">I302*c_rate.Pref.MO</f>
        <v>0</v>
      </c>
      <c r="L302" s="865">
        <f t="shared" si="179"/>
        <v>0</v>
      </c>
      <c r="M302" s="865">
        <f t="shared" si="180"/>
        <v>0</v>
      </c>
      <c r="N302" s="865">
        <f t="shared" si="181"/>
        <v>0</v>
      </c>
      <c r="O302" s="864" cm="1">
        <f t="array" ref="O302">IF(N302=0,0,IF(G302&lt;0,N302/c_equity.LPshare*i_equity.GPshare,L302/c_equity.LPshare*i_equity.GPshare))</f>
        <v>0</v>
      </c>
      <c r="P302" s="865">
        <f t="shared" si="182"/>
        <v>0</v>
      </c>
      <c r="Q302" s="865">
        <f t="shared" si="183"/>
        <v>0</v>
      </c>
      <c r="R302" s="161"/>
      <c r="S302" s="867">
        <f t="shared" ca="1" si="184"/>
        <v>0</v>
      </c>
      <c r="T302" s="867" cm="1">
        <f t="array" ref="T302">IF($G302=0,0,-MIN(0,$G302*c_equity.LPshare))</f>
        <v>0</v>
      </c>
      <c r="U302" s="869" cm="1">
        <f t="array" ref="U302">IF($D302=0,0,S302*c_rate.Hurdle1.MO)</f>
        <v>0</v>
      </c>
      <c r="V302" s="867">
        <f t="shared" si="185"/>
        <v>0</v>
      </c>
      <c r="W302" s="867">
        <f t="shared" ca="1" si="186"/>
        <v>0</v>
      </c>
      <c r="X302" s="869">
        <f t="shared" ca="1" si="187"/>
        <v>0</v>
      </c>
      <c r="Y302" s="869">
        <f t="shared" ca="1" si="188"/>
        <v>0</v>
      </c>
      <c r="Z302" s="869">
        <f t="shared" ca="1" si="189"/>
        <v>0</v>
      </c>
      <c r="AA302" s="869">
        <f t="shared" ca="1" si="190"/>
        <v>0</v>
      </c>
      <c r="AB302" s="867">
        <f t="shared" ca="1" si="191"/>
        <v>0</v>
      </c>
      <c r="AC302" s="161"/>
      <c r="AD302" s="869">
        <f t="shared" ca="1" si="192"/>
        <v>0</v>
      </c>
      <c r="AE302" s="867" cm="1">
        <f t="array" ref="AE302">IF($G302=0,0,-MIN(0,$G302*c_equity.LPshare))</f>
        <v>0</v>
      </c>
      <c r="AF302" s="869" cm="1">
        <f t="array" ref="AF302">IF($D302=0,0,AD302*(c_rate.Hurdle2.MO))</f>
        <v>0</v>
      </c>
      <c r="AG302" s="869">
        <f t="shared" ca="1" si="193"/>
        <v>0</v>
      </c>
      <c r="AH302" s="869">
        <f t="shared" ca="1" si="194"/>
        <v>0</v>
      </c>
      <c r="AI302" s="869">
        <f t="shared" ca="1" si="195"/>
        <v>0</v>
      </c>
      <c r="AJ302" s="870">
        <f t="shared" ca="1" si="196"/>
        <v>0</v>
      </c>
      <c r="AK302" s="867">
        <f t="shared" ca="1" si="197"/>
        <v>0</v>
      </c>
      <c r="AL302" s="869">
        <f t="shared" ca="1" si="175"/>
        <v>0</v>
      </c>
      <c r="AM302" s="869">
        <f t="shared" ca="1" si="198"/>
        <v>0</v>
      </c>
      <c r="AN302" s="867">
        <f t="shared" ca="1" si="199"/>
        <v>0</v>
      </c>
      <c r="AO302" s="161"/>
      <c r="AP302" s="869">
        <f t="shared" ca="1" si="200"/>
        <v>0</v>
      </c>
      <c r="AQ302" s="867" cm="1">
        <f t="array" ref="AQ302">IF($G302=0,0,-MIN(0,$G302*c_equity.LPshare))</f>
        <v>0</v>
      </c>
      <c r="AR302" s="869" cm="1">
        <f t="array" ref="AR302">IF($D302=0,0,AP302*(c_rate.Hurdle3.MO))</f>
        <v>0</v>
      </c>
      <c r="AS302" s="869">
        <f t="shared" ca="1" si="201"/>
        <v>0</v>
      </c>
      <c r="AT302" s="869">
        <f t="shared" ca="1" si="202"/>
        <v>0</v>
      </c>
      <c r="AU302" s="869">
        <f t="shared" ca="1" si="203"/>
        <v>0</v>
      </c>
      <c r="AV302" s="870">
        <f t="shared" ca="1" si="204"/>
        <v>0</v>
      </c>
      <c r="AW302" s="867">
        <f t="shared" ca="1" si="205"/>
        <v>0</v>
      </c>
      <c r="AX302" s="869">
        <f t="shared" ca="1" si="176"/>
        <v>0</v>
      </c>
      <c r="AY302" s="869">
        <f t="shared" ca="1" si="206"/>
        <v>0</v>
      </c>
      <c r="AZ302" s="867">
        <f t="shared" ca="1" si="207"/>
        <v>0</v>
      </c>
      <c r="BA302" s="161"/>
      <c r="BB302" s="867">
        <f t="shared" ca="1" si="208"/>
        <v>0</v>
      </c>
      <c r="BC302" s="867">
        <f t="shared" ca="1" si="173"/>
        <v>0</v>
      </c>
      <c r="BD302" s="658"/>
      <c r="BE302" s="867">
        <f t="shared" ca="1" si="209"/>
        <v>0</v>
      </c>
      <c r="BF302" s="867">
        <f t="shared" ca="1" si="210"/>
        <v>0</v>
      </c>
      <c r="BG302" s="867">
        <f t="shared" ca="1" si="211"/>
        <v>0</v>
      </c>
      <c r="BI302" s="867">
        <f ca="1"/>
        <v>0</v>
      </c>
      <c r="BJ302" s="867">
        <f ca="1"/>
        <v>0</v>
      </c>
      <c r="BK302" s="867">
        <f ca="1"/>
        <v>0</v>
      </c>
      <c r="BL302" s="867">
        <f t="shared" ca="1" si="212"/>
        <v>0</v>
      </c>
      <c r="BM302" s="867">
        <f t="shared" ca="1" si="213"/>
        <v>0</v>
      </c>
      <c r="BN302" s="867">
        <f t="shared" ca="1" si="214"/>
        <v>0</v>
      </c>
      <c r="BO302" s="867">
        <f t="shared" ca="1" si="215"/>
        <v>0</v>
      </c>
      <c r="BP302" s="867">
        <f t="shared" ca="1" si="216"/>
        <v>0</v>
      </c>
      <c r="BQ302" s="867">
        <f t="shared" ca="1" si="217"/>
        <v>0</v>
      </c>
      <c r="BR302" s="867">
        <f ca="1"/>
        <v>0</v>
      </c>
      <c r="BS302" s="867">
        <f ca="1"/>
        <v>0</v>
      </c>
      <c r="BT302" s="867">
        <f t="shared" ca="1" si="177"/>
        <v>0</v>
      </c>
      <c r="BU302" s="867">
        <f t="shared" ca="1" si="218"/>
        <v>0</v>
      </c>
      <c r="BX302" s="867">
        <f ca="1"/>
        <v>0</v>
      </c>
      <c r="BY302" s="867">
        <f t="shared" ca="1" si="219"/>
        <v>0</v>
      </c>
      <c r="BZ302" s="867">
        <f t="shared" ca="1" si="220"/>
        <v>0</v>
      </c>
      <c r="CA302" s="867">
        <f t="shared" ca="1" si="221"/>
        <v>0</v>
      </c>
      <c r="CB302" s="867">
        <f t="shared" ca="1" si="222"/>
        <v>0</v>
      </c>
      <c r="CC302" s="867">
        <f t="shared" ca="1" si="223"/>
        <v>0</v>
      </c>
      <c r="CD302" s="867">
        <f t="shared" ca="1" si="224"/>
        <v>0</v>
      </c>
    </row>
    <row r="303" spans="1:82" ht="17" hidden="1" thickTop="1" thickBot="1">
      <c r="A303" s="773">
        <f t="shared" si="174"/>
        <v>0</v>
      </c>
      <c r="B303" s="779"/>
      <c r="D303" s="660"/>
      <c r="E303" s="661"/>
      <c r="F303" s="862"/>
      <c r="G303" s="863"/>
      <c r="H303" s="961"/>
      <c r="I303" s="865">
        <f t="shared" si="178"/>
        <v>0</v>
      </c>
      <c r="J303" s="864" cm="1">
        <f t="array" ref="J303">IF($G303=0,0,-MIN(0,G303*c_equity.LPshare))</f>
        <v>0</v>
      </c>
      <c r="K303" s="865" cm="1">
        <f t="array" ref="K303">I303*c_rate.Pref.MO</f>
        <v>0</v>
      </c>
      <c r="L303" s="865">
        <f t="shared" si="179"/>
        <v>0</v>
      </c>
      <c r="M303" s="865">
        <f t="shared" si="180"/>
        <v>0</v>
      </c>
      <c r="N303" s="865">
        <f t="shared" si="181"/>
        <v>0</v>
      </c>
      <c r="O303" s="864" cm="1">
        <f t="array" ref="O303">IF(N303=0,0,IF(G303&lt;0,N303/c_equity.LPshare*i_equity.GPshare,L303/c_equity.LPshare*i_equity.GPshare))</f>
        <v>0</v>
      </c>
      <c r="P303" s="865">
        <f t="shared" si="182"/>
        <v>0</v>
      </c>
      <c r="Q303" s="865">
        <f t="shared" si="183"/>
        <v>0</v>
      </c>
      <c r="R303" s="161"/>
      <c r="S303" s="867">
        <f t="shared" ca="1" si="184"/>
        <v>0</v>
      </c>
      <c r="T303" s="867" cm="1">
        <f t="array" ref="T303">IF($G303=0,0,-MIN(0,$G303*c_equity.LPshare))</f>
        <v>0</v>
      </c>
      <c r="U303" s="869" cm="1">
        <f t="array" ref="U303">IF($D303=0,0,S303*c_rate.Hurdle1.MO)</f>
        <v>0</v>
      </c>
      <c r="V303" s="867">
        <f t="shared" si="185"/>
        <v>0</v>
      </c>
      <c r="W303" s="867">
        <f t="shared" ca="1" si="186"/>
        <v>0</v>
      </c>
      <c r="X303" s="869">
        <f t="shared" ca="1" si="187"/>
        <v>0</v>
      </c>
      <c r="Y303" s="869">
        <f t="shared" ca="1" si="188"/>
        <v>0</v>
      </c>
      <c r="Z303" s="869">
        <f t="shared" ca="1" si="189"/>
        <v>0</v>
      </c>
      <c r="AA303" s="869">
        <f t="shared" ca="1" si="190"/>
        <v>0</v>
      </c>
      <c r="AB303" s="867">
        <f t="shared" ca="1" si="191"/>
        <v>0</v>
      </c>
      <c r="AC303" s="161"/>
      <c r="AD303" s="869">
        <f t="shared" ca="1" si="192"/>
        <v>0</v>
      </c>
      <c r="AE303" s="867" cm="1">
        <f t="array" ref="AE303">IF($G303=0,0,-MIN(0,$G303*c_equity.LPshare))</f>
        <v>0</v>
      </c>
      <c r="AF303" s="869" cm="1">
        <f t="array" ref="AF303">IF($D303=0,0,AD303*(c_rate.Hurdle2.MO))</f>
        <v>0</v>
      </c>
      <c r="AG303" s="869">
        <f t="shared" ca="1" si="193"/>
        <v>0</v>
      </c>
      <c r="AH303" s="869">
        <f t="shared" ca="1" si="194"/>
        <v>0</v>
      </c>
      <c r="AI303" s="869">
        <f t="shared" ca="1" si="195"/>
        <v>0</v>
      </c>
      <c r="AJ303" s="870">
        <f t="shared" ca="1" si="196"/>
        <v>0</v>
      </c>
      <c r="AK303" s="867">
        <f t="shared" ca="1" si="197"/>
        <v>0</v>
      </c>
      <c r="AL303" s="869">
        <f t="shared" ca="1" si="175"/>
        <v>0</v>
      </c>
      <c r="AM303" s="869">
        <f t="shared" ca="1" si="198"/>
        <v>0</v>
      </c>
      <c r="AN303" s="867">
        <f t="shared" ca="1" si="199"/>
        <v>0</v>
      </c>
      <c r="AO303" s="161"/>
      <c r="AP303" s="869">
        <f t="shared" ca="1" si="200"/>
        <v>0</v>
      </c>
      <c r="AQ303" s="867" cm="1">
        <f t="array" ref="AQ303">IF($G303=0,0,-MIN(0,$G303*c_equity.LPshare))</f>
        <v>0</v>
      </c>
      <c r="AR303" s="869" cm="1">
        <f t="array" ref="AR303">IF($D303=0,0,AP303*(c_rate.Hurdle3.MO))</f>
        <v>0</v>
      </c>
      <c r="AS303" s="869">
        <f t="shared" ca="1" si="201"/>
        <v>0</v>
      </c>
      <c r="AT303" s="869">
        <f t="shared" ca="1" si="202"/>
        <v>0</v>
      </c>
      <c r="AU303" s="869">
        <f t="shared" ca="1" si="203"/>
        <v>0</v>
      </c>
      <c r="AV303" s="870">
        <f t="shared" ca="1" si="204"/>
        <v>0</v>
      </c>
      <c r="AW303" s="867">
        <f t="shared" ca="1" si="205"/>
        <v>0</v>
      </c>
      <c r="AX303" s="869">
        <f t="shared" ca="1" si="176"/>
        <v>0</v>
      </c>
      <c r="AY303" s="869">
        <f t="shared" ca="1" si="206"/>
        <v>0</v>
      </c>
      <c r="AZ303" s="867">
        <f t="shared" ca="1" si="207"/>
        <v>0</v>
      </c>
      <c r="BA303" s="161"/>
      <c r="BB303" s="867">
        <f t="shared" ca="1" si="208"/>
        <v>0</v>
      </c>
      <c r="BC303" s="867">
        <f t="shared" ca="1" si="173"/>
        <v>0</v>
      </c>
      <c r="BD303" s="658"/>
      <c r="BE303" s="867">
        <f t="shared" ca="1" si="209"/>
        <v>0</v>
      </c>
      <c r="BF303" s="867">
        <f t="shared" ca="1" si="210"/>
        <v>0</v>
      </c>
      <c r="BG303" s="867">
        <f t="shared" ca="1" si="211"/>
        <v>0</v>
      </c>
      <c r="BI303" s="867">
        <f ca="1"/>
        <v>0</v>
      </c>
      <c r="BJ303" s="867">
        <f ca="1"/>
        <v>0</v>
      </c>
      <c r="BK303" s="867">
        <f ca="1"/>
        <v>0</v>
      </c>
      <c r="BL303" s="867">
        <f t="shared" ca="1" si="212"/>
        <v>0</v>
      </c>
      <c r="BM303" s="867">
        <f t="shared" ca="1" si="213"/>
        <v>0</v>
      </c>
      <c r="BN303" s="867">
        <f t="shared" ca="1" si="214"/>
        <v>0</v>
      </c>
      <c r="BO303" s="867">
        <f t="shared" ca="1" si="215"/>
        <v>0</v>
      </c>
      <c r="BP303" s="867">
        <f t="shared" ca="1" si="216"/>
        <v>0</v>
      </c>
      <c r="BQ303" s="867">
        <f t="shared" ca="1" si="217"/>
        <v>0</v>
      </c>
      <c r="BR303" s="867">
        <f ca="1"/>
        <v>0</v>
      </c>
      <c r="BS303" s="867">
        <f ca="1"/>
        <v>0</v>
      </c>
      <c r="BT303" s="867">
        <f t="shared" ca="1" si="177"/>
        <v>0</v>
      </c>
      <c r="BU303" s="867">
        <f t="shared" ca="1" si="218"/>
        <v>0</v>
      </c>
      <c r="BX303" s="867">
        <f ca="1"/>
        <v>0</v>
      </c>
      <c r="BY303" s="867">
        <f t="shared" ca="1" si="219"/>
        <v>0</v>
      </c>
      <c r="BZ303" s="867">
        <f t="shared" ca="1" si="220"/>
        <v>0</v>
      </c>
      <c r="CA303" s="867">
        <f t="shared" ca="1" si="221"/>
        <v>0</v>
      </c>
      <c r="CB303" s="867">
        <f t="shared" ca="1" si="222"/>
        <v>0</v>
      </c>
      <c r="CC303" s="867">
        <f t="shared" ca="1" si="223"/>
        <v>0</v>
      </c>
      <c r="CD303" s="867">
        <f t="shared" ca="1" si="224"/>
        <v>0</v>
      </c>
    </row>
    <row r="304" spans="1:82" ht="17" hidden="1" thickTop="1" thickBot="1">
      <c r="A304" s="773">
        <f t="shared" si="174"/>
        <v>0</v>
      </c>
      <c r="B304" s="779"/>
      <c r="D304" s="660"/>
      <c r="E304" s="661"/>
      <c r="F304" s="862"/>
      <c r="G304" s="863"/>
      <c r="H304" s="961"/>
      <c r="I304" s="865">
        <f t="shared" si="178"/>
        <v>0</v>
      </c>
      <c r="J304" s="864" cm="1">
        <f t="array" ref="J304">IF($G304=0,0,-MIN(0,G304*c_equity.LPshare))</f>
        <v>0</v>
      </c>
      <c r="K304" s="865" cm="1">
        <f t="array" ref="K304">I304*c_rate.Pref.MO</f>
        <v>0</v>
      </c>
      <c r="L304" s="865">
        <f t="shared" si="179"/>
        <v>0</v>
      </c>
      <c r="M304" s="865">
        <f t="shared" si="180"/>
        <v>0</v>
      </c>
      <c r="N304" s="865">
        <f t="shared" si="181"/>
        <v>0</v>
      </c>
      <c r="O304" s="864" cm="1">
        <f t="array" ref="O304">IF(N304=0,0,IF(G304&lt;0,N304/c_equity.LPshare*i_equity.GPshare,L304/c_equity.LPshare*i_equity.GPshare))</f>
        <v>0</v>
      </c>
      <c r="P304" s="865">
        <f t="shared" si="182"/>
        <v>0</v>
      </c>
      <c r="Q304" s="865">
        <f t="shared" si="183"/>
        <v>0</v>
      </c>
      <c r="R304" s="161"/>
      <c r="S304" s="867">
        <f t="shared" ca="1" si="184"/>
        <v>0</v>
      </c>
      <c r="T304" s="867" cm="1">
        <f t="array" ref="T304">IF($G304=0,0,-MIN(0,$G304*c_equity.LPshare))</f>
        <v>0</v>
      </c>
      <c r="U304" s="869" cm="1">
        <f t="array" ref="U304">IF($D304=0,0,S304*c_rate.Hurdle1.MO)</f>
        <v>0</v>
      </c>
      <c r="V304" s="867">
        <f t="shared" si="185"/>
        <v>0</v>
      </c>
      <c r="W304" s="867">
        <f t="shared" ca="1" si="186"/>
        <v>0</v>
      </c>
      <c r="X304" s="869">
        <f t="shared" ca="1" si="187"/>
        <v>0</v>
      </c>
      <c r="Y304" s="869">
        <f t="shared" ca="1" si="188"/>
        <v>0</v>
      </c>
      <c r="Z304" s="869">
        <f t="shared" ca="1" si="189"/>
        <v>0</v>
      </c>
      <c r="AA304" s="869">
        <f t="shared" ca="1" si="190"/>
        <v>0</v>
      </c>
      <c r="AB304" s="867">
        <f t="shared" ca="1" si="191"/>
        <v>0</v>
      </c>
      <c r="AC304" s="161"/>
      <c r="AD304" s="869">
        <f t="shared" ca="1" si="192"/>
        <v>0</v>
      </c>
      <c r="AE304" s="867" cm="1">
        <f t="array" ref="AE304">IF($G304=0,0,-MIN(0,$G304*c_equity.LPshare))</f>
        <v>0</v>
      </c>
      <c r="AF304" s="869" cm="1">
        <f t="array" ref="AF304">IF($D304=0,0,AD304*(c_rate.Hurdle2.MO))</f>
        <v>0</v>
      </c>
      <c r="AG304" s="869">
        <f t="shared" ca="1" si="193"/>
        <v>0</v>
      </c>
      <c r="AH304" s="869">
        <f t="shared" ca="1" si="194"/>
        <v>0</v>
      </c>
      <c r="AI304" s="869">
        <f t="shared" ca="1" si="195"/>
        <v>0</v>
      </c>
      <c r="AJ304" s="870">
        <f t="shared" ca="1" si="196"/>
        <v>0</v>
      </c>
      <c r="AK304" s="867">
        <f t="shared" ca="1" si="197"/>
        <v>0</v>
      </c>
      <c r="AL304" s="869">
        <f t="shared" ca="1" si="175"/>
        <v>0</v>
      </c>
      <c r="AM304" s="869">
        <f t="shared" ca="1" si="198"/>
        <v>0</v>
      </c>
      <c r="AN304" s="867">
        <f t="shared" ca="1" si="199"/>
        <v>0</v>
      </c>
      <c r="AO304" s="161"/>
      <c r="AP304" s="869">
        <f t="shared" ca="1" si="200"/>
        <v>0</v>
      </c>
      <c r="AQ304" s="867" cm="1">
        <f t="array" ref="AQ304">IF($G304=0,0,-MIN(0,$G304*c_equity.LPshare))</f>
        <v>0</v>
      </c>
      <c r="AR304" s="869" cm="1">
        <f t="array" ref="AR304">IF($D304=0,0,AP304*(c_rate.Hurdle3.MO))</f>
        <v>0</v>
      </c>
      <c r="AS304" s="869">
        <f t="shared" ca="1" si="201"/>
        <v>0</v>
      </c>
      <c r="AT304" s="869">
        <f t="shared" ca="1" si="202"/>
        <v>0</v>
      </c>
      <c r="AU304" s="869">
        <f t="shared" ca="1" si="203"/>
        <v>0</v>
      </c>
      <c r="AV304" s="870">
        <f t="shared" ca="1" si="204"/>
        <v>0</v>
      </c>
      <c r="AW304" s="867">
        <f t="shared" ca="1" si="205"/>
        <v>0</v>
      </c>
      <c r="AX304" s="869">
        <f t="shared" ca="1" si="176"/>
        <v>0</v>
      </c>
      <c r="AY304" s="869">
        <f t="shared" ca="1" si="206"/>
        <v>0</v>
      </c>
      <c r="AZ304" s="867">
        <f t="shared" ca="1" si="207"/>
        <v>0</v>
      </c>
      <c r="BA304" s="161"/>
      <c r="BB304" s="867">
        <f t="shared" ca="1" si="208"/>
        <v>0</v>
      </c>
      <c r="BC304" s="867">
        <f t="shared" ref="BC304:BC367" ca="1" si="225">$AZ304*i_residualGP</f>
        <v>0</v>
      </c>
      <c r="BD304" s="658"/>
      <c r="BE304" s="867">
        <f t="shared" ca="1" si="209"/>
        <v>0</v>
      </c>
      <c r="BF304" s="867">
        <f t="shared" ca="1" si="210"/>
        <v>0</v>
      </c>
      <c r="BG304" s="867">
        <f t="shared" ca="1" si="211"/>
        <v>0</v>
      </c>
      <c r="BI304" s="867">
        <f ca="1"/>
        <v>0</v>
      </c>
      <c r="BJ304" s="867">
        <f ca="1"/>
        <v>0</v>
      </c>
      <c r="BK304" s="867">
        <f ca="1"/>
        <v>0</v>
      </c>
      <c r="BL304" s="867">
        <f t="shared" ca="1" si="212"/>
        <v>0</v>
      </c>
      <c r="BM304" s="867">
        <f t="shared" ca="1" si="213"/>
        <v>0</v>
      </c>
      <c r="BN304" s="867">
        <f t="shared" ca="1" si="214"/>
        <v>0</v>
      </c>
      <c r="BO304" s="867">
        <f t="shared" ca="1" si="215"/>
        <v>0</v>
      </c>
      <c r="BP304" s="867">
        <f t="shared" ca="1" si="216"/>
        <v>0</v>
      </c>
      <c r="BQ304" s="867">
        <f t="shared" ca="1" si="217"/>
        <v>0</v>
      </c>
      <c r="BR304" s="867">
        <f ca="1"/>
        <v>0</v>
      </c>
      <c r="BS304" s="867">
        <f ca="1"/>
        <v>0</v>
      </c>
      <c r="BT304" s="867">
        <f t="shared" ca="1" si="177"/>
        <v>0</v>
      </c>
      <c r="BU304" s="867">
        <f t="shared" ca="1" si="218"/>
        <v>0</v>
      </c>
      <c r="BX304" s="867">
        <f ca="1"/>
        <v>0</v>
      </c>
      <c r="BY304" s="867">
        <f t="shared" ca="1" si="219"/>
        <v>0</v>
      </c>
      <c r="BZ304" s="867">
        <f t="shared" ca="1" si="220"/>
        <v>0</v>
      </c>
      <c r="CA304" s="867">
        <f t="shared" ca="1" si="221"/>
        <v>0</v>
      </c>
      <c r="CB304" s="867">
        <f t="shared" ca="1" si="222"/>
        <v>0</v>
      </c>
      <c r="CC304" s="867">
        <f t="shared" ca="1" si="223"/>
        <v>0</v>
      </c>
      <c r="CD304" s="867">
        <f t="shared" ca="1" si="224"/>
        <v>0</v>
      </c>
    </row>
    <row r="305" spans="1:82" ht="17" hidden="1" thickTop="1" thickBot="1">
      <c r="A305" s="773">
        <f t="shared" ref="A305:A368" si="226">IF(D305&gt;0,1,0)</f>
        <v>0</v>
      </c>
      <c r="B305" s="779"/>
      <c r="D305" s="660"/>
      <c r="E305" s="661"/>
      <c r="F305" s="862"/>
      <c r="G305" s="863"/>
      <c r="H305" s="961"/>
      <c r="I305" s="865">
        <f t="shared" si="178"/>
        <v>0</v>
      </c>
      <c r="J305" s="864" cm="1">
        <f t="array" ref="J305">IF($G305=0,0,-MIN(0,G305*c_equity.LPshare))</f>
        <v>0</v>
      </c>
      <c r="K305" s="865" cm="1">
        <f t="array" ref="K305">I305*c_rate.Pref.MO</f>
        <v>0</v>
      </c>
      <c r="L305" s="865">
        <f t="shared" si="179"/>
        <v>0</v>
      </c>
      <c r="M305" s="865">
        <f t="shared" si="180"/>
        <v>0</v>
      </c>
      <c r="N305" s="865">
        <f t="shared" si="181"/>
        <v>0</v>
      </c>
      <c r="O305" s="864" cm="1">
        <f t="array" ref="O305">IF(N305=0,0,IF(G305&lt;0,N305/c_equity.LPshare*i_equity.GPshare,L305/c_equity.LPshare*i_equity.GPshare))</f>
        <v>0</v>
      </c>
      <c r="P305" s="865">
        <f t="shared" si="182"/>
        <v>0</v>
      </c>
      <c r="Q305" s="865">
        <f t="shared" si="183"/>
        <v>0</v>
      </c>
      <c r="R305" s="161"/>
      <c r="S305" s="867">
        <f t="shared" ca="1" si="184"/>
        <v>0</v>
      </c>
      <c r="T305" s="867" cm="1">
        <f t="array" ref="T305">IF($G305=0,0,-MIN(0,$G305*c_equity.LPshare))</f>
        <v>0</v>
      </c>
      <c r="U305" s="869" cm="1">
        <f t="array" ref="U305">IF($D305=0,0,S305*c_rate.Hurdle1.MO)</f>
        <v>0</v>
      </c>
      <c r="V305" s="867">
        <f t="shared" si="185"/>
        <v>0</v>
      </c>
      <c r="W305" s="867">
        <f t="shared" ca="1" si="186"/>
        <v>0</v>
      </c>
      <c r="X305" s="869">
        <f t="shared" ca="1" si="187"/>
        <v>0</v>
      </c>
      <c r="Y305" s="869">
        <f t="shared" ca="1" si="188"/>
        <v>0</v>
      </c>
      <c r="Z305" s="869">
        <f t="shared" ca="1" si="189"/>
        <v>0</v>
      </c>
      <c r="AA305" s="869">
        <f t="shared" ca="1" si="190"/>
        <v>0</v>
      </c>
      <c r="AB305" s="867">
        <f t="shared" ca="1" si="191"/>
        <v>0</v>
      </c>
      <c r="AC305" s="161"/>
      <c r="AD305" s="869">
        <f t="shared" ca="1" si="192"/>
        <v>0</v>
      </c>
      <c r="AE305" s="867" cm="1">
        <f t="array" ref="AE305">IF($G305=0,0,-MIN(0,$G305*c_equity.LPshare))</f>
        <v>0</v>
      </c>
      <c r="AF305" s="869" cm="1">
        <f t="array" ref="AF305">IF($D305=0,0,AD305*(c_rate.Hurdle2.MO))</f>
        <v>0</v>
      </c>
      <c r="AG305" s="869">
        <f t="shared" ca="1" si="193"/>
        <v>0</v>
      </c>
      <c r="AH305" s="869">
        <f t="shared" ca="1" si="194"/>
        <v>0</v>
      </c>
      <c r="AI305" s="869">
        <f t="shared" ca="1" si="195"/>
        <v>0</v>
      </c>
      <c r="AJ305" s="870">
        <f t="shared" ca="1" si="196"/>
        <v>0</v>
      </c>
      <c r="AK305" s="867">
        <f t="shared" ca="1" si="197"/>
        <v>0</v>
      </c>
      <c r="AL305" s="869">
        <f t="shared" ref="AL305:AL368" ca="1" si="227">IF(AD305=0,0,Z305+AH305/$J$18*c_Hurdle2.Share_GP)</f>
        <v>0</v>
      </c>
      <c r="AM305" s="869">
        <f t="shared" ca="1" si="198"/>
        <v>0</v>
      </c>
      <c r="AN305" s="867">
        <f t="shared" ca="1" si="199"/>
        <v>0</v>
      </c>
      <c r="AO305" s="161"/>
      <c r="AP305" s="869">
        <f t="shared" ca="1" si="200"/>
        <v>0</v>
      </c>
      <c r="AQ305" s="867" cm="1">
        <f t="array" ref="AQ305">IF($G305=0,0,-MIN(0,$G305*c_equity.LPshare))</f>
        <v>0</v>
      </c>
      <c r="AR305" s="869" cm="1">
        <f t="array" ref="AR305">IF($D305=0,0,AP305*(c_rate.Hurdle3.MO))</f>
        <v>0</v>
      </c>
      <c r="AS305" s="869">
        <f t="shared" ca="1" si="201"/>
        <v>0</v>
      </c>
      <c r="AT305" s="869">
        <f t="shared" ca="1" si="202"/>
        <v>0</v>
      </c>
      <c r="AU305" s="869">
        <f t="shared" ca="1" si="203"/>
        <v>0</v>
      </c>
      <c r="AV305" s="870">
        <f t="shared" ca="1" si="204"/>
        <v>0</v>
      </c>
      <c r="AW305" s="867">
        <f t="shared" ca="1" si="205"/>
        <v>0</v>
      </c>
      <c r="AX305" s="869">
        <f t="shared" ref="AX305:AX368" ca="1" si="228">IF(AP305=0,0,AL305+AT305/$J$19*c_Hurdle3.Share_GP)</f>
        <v>0</v>
      </c>
      <c r="AY305" s="869">
        <f t="shared" ca="1" si="206"/>
        <v>0</v>
      </c>
      <c r="AZ305" s="867">
        <f t="shared" ca="1" si="207"/>
        <v>0</v>
      </c>
      <c r="BA305" s="161"/>
      <c r="BB305" s="867">
        <f t="shared" ca="1" si="208"/>
        <v>0</v>
      </c>
      <c r="BC305" s="867">
        <f t="shared" ca="1" si="225"/>
        <v>0</v>
      </c>
      <c r="BD305" s="658"/>
      <c r="BE305" s="867">
        <f t="shared" ca="1" si="209"/>
        <v>0</v>
      </c>
      <c r="BF305" s="867">
        <f t="shared" ca="1" si="210"/>
        <v>0</v>
      </c>
      <c r="BG305" s="867">
        <f t="shared" ca="1" si="211"/>
        <v>0</v>
      </c>
      <c r="BI305" s="867">
        <f ca="1"/>
        <v>0</v>
      </c>
      <c r="BJ305" s="867">
        <f ca="1"/>
        <v>0</v>
      </c>
      <c r="BK305" s="867">
        <f ca="1"/>
        <v>0</v>
      </c>
      <c r="BL305" s="867">
        <f t="shared" ca="1" si="212"/>
        <v>0</v>
      </c>
      <c r="BM305" s="867">
        <f t="shared" ca="1" si="213"/>
        <v>0</v>
      </c>
      <c r="BN305" s="867">
        <f t="shared" ca="1" si="214"/>
        <v>0</v>
      </c>
      <c r="BO305" s="867">
        <f t="shared" ca="1" si="215"/>
        <v>0</v>
      </c>
      <c r="BP305" s="867">
        <f t="shared" ca="1" si="216"/>
        <v>0</v>
      </c>
      <c r="BQ305" s="867">
        <f t="shared" ca="1" si="217"/>
        <v>0</v>
      </c>
      <c r="BR305" s="867">
        <f ca="1"/>
        <v>0</v>
      </c>
      <c r="BS305" s="867">
        <f ca="1"/>
        <v>0</v>
      </c>
      <c r="BT305" s="867">
        <f t="shared" ref="BT305:BT368" ca="1" si="229">BJ305+BL305+BN305+BP305+BR305</f>
        <v>0</v>
      </c>
      <c r="BU305" s="867">
        <f t="shared" ca="1" si="218"/>
        <v>0</v>
      </c>
      <c r="BX305" s="867">
        <f ca="1"/>
        <v>0</v>
      </c>
      <c r="BY305" s="867">
        <f t="shared" ca="1" si="219"/>
        <v>0</v>
      </c>
      <c r="BZ305" s="867">
        <f t="shared" ca="1" si="220"/>
        <v>0</v>
      </c>
      <c r="CA305" s="867">
        <f t="shared" ca="1" si="221"/>
        <v>0</v>
      </c>
      <c r="CB305" s="867">
        <f t="shared" ca="1" si="222"/>
        <v>0</v>
      </c>
      <c r="CC305" s="867">
        <f t="shared" ca="1" si="223"/>
        <v>0</v>
      </c>
      <c r="CD305" s="867">
        <f t="shared" ca="1" si="224"/>
        <v>0</v>
      </c>
    </row>
    <row r="306" spans="1:82" ht="17" hidden="1" thickTop="1" thickBot="1">
      <c r="A306" s="773">
        <f t="shared" si="226"/>
        <v>0</v>
      </c>
      <c r="B306" s="779"/>
      <c r="D306" s="660"/>
      <c r="E306" s="661"/>
      <c r="F306" s="862"/>
      <c r="G306" s="863"/>
      <c r="H306" s="961"/>
      <c r="I306" s="865">
        <f t="shared" ref="I306:I369" si="230">IF(D306=0,0,M305)</f>
        <v>0</v>
      </c>
      <c r="J306" s="864" cm="1">
        <f t="array" ref="J306">IF($G306=0,0,-MIN(0,G306*c_equity.LPshare))</f>
        <v>0</v>
      </c>
      <c r="K306" s="865" cm="1">
        <f t="array" ref="K306">I306*c_rate.Pref.MO</f>
        <v>0</v>
      </c>
      <c r="L306" s="865">
        <f t="shared" ref="L306:L369" si="231">IF($G306=0,0,MAX(MIN($G306*$I$46,I306+K306-J306),0))</f>
        <v>0</v>
      </c>
      <c r="M306" s="865">
        <f t="shared" ref="M306:M369" si="232">I306+K306+J306-L306</f>
        <v>0</v>
      </c>
      <c r="N306" s="865">
        <f t="shared" ref="N306:N369" si="233">L306-J306</f>
        <v>0</v>
      </c>
      <c r="O306" s="864" cm="1">
        <f t="array" ref="O306">IF(N306=0,0,IF(G306&lt;0,N306/c_equity.LPshare*i_equity.GPshare,L306/c_equity.LPshare*i_equity.GPshare))</f>
        <v>0</v>
      </c>
      <c r="P306" s="865">
        <f t="shared" ref="P306:P369" si="234">N306+O306</f>
        <v>0</v>
      </c>
      <c r="Q306" s="865">
        <f t="shared" ref="Q306:Q369" si="235">ROUND(IF(E306=0,0,MAX(G306-P306,0)),1)</f>
        <v>0</v>
      </c>
      <c r="R306" s="161"/>
      <c r="S306" s="867">
        <f t="shared" ref="S306:S369" ca="1" si="236">X305</f>
        <v>0</v>
      </c>
      <c r="T306" s="867" cm="1">
        <f t="array" ref="T306">IF($G306=0,0,-MIN(0,$G306*c_equity.LPshare))</f>
        <v>0</v>
      </c>
      <c r="U306" s="869" cm="1">
        <f t="array" ref="U306">IF($D306=0,0,S306*c_rate.Hurdle1.MO)</f>
        <v>0</v>
      </c>
      <c r="V306" s="867">
        <f t="shared" ref="V306:V369" si="237">L306</f>
        <v>0</v>
      </c>
      <c r="W306" s="867">
        <f t="shared" ref="W306:W369" ca="1" si="238">MIN(S306+U306-V306,Q306*S$46)</f>
        <v>0</v>
      </c>
      <c r="X306" s="869">
        <f t="shared" ref="X306:X369" ca="1" si="239">S306+T306+U306-V306-W306</f>
        <v>0</v>
      </c>
      <c r="Y306" s="869">
        <f t="shared" ref="Y306:Y369" ca="1" si="240">N306+W306</f>
        <v>0</v>
      </c>
      <c r="Z306" s="869">
        <f t="shared" ref="Z306:Z369" ca="1" si="241">IF(Y306=0,0,O306+(W306/$J$17*c_Hurdle1.Share_GP))</f>
        <v>0</v>
      </c>
      <c r="AA306" s="869">
        <f t="shared" ref="AA306:AA369" ca="1" si="242">Y306+Z306</f>
        <v>0</v>
      </c>
      <c r="AB306" s="867">
        <f t="shared" ref="AB306:AB369" ca="1" si="243">IF(AA306&lt;0,0,MAX($G306-AA306,0))</f>
        <v>0</v>
      </c>
      <c r="AC306" s="161"/>
      <c r="AD306" s="869">
        <f t="shared" ref="AD306:AD369" ca="1" si="244">AI305</f>
        <v>0</v>
      </c>
      <c r="AE306" s="867" cm="1">
        <f t="array" ref="AE306">IF($G306=0,0,-MIN(0,$G306*c_equity.LPshare))</f>
        <v>0</v>
      </c>
      <c r="AF306" s="869" cm="1">
        <f t="array" ref="AF306">IF($D306=0,0,AD306*(c_rate.Hurdle2.MO))</f>
        <v>0</v>
      </c>
      <c r="AG306" s="869">
        <f t="shared" ref="AG306:AG369" ca="1" si="245">V306+W306</f>
        <v>0</v>
      </c>
      <c r="AH306" s="869">
        <f t="shared" ref="AH306:AH369" ca="1" si="246">IF(AB306=0,0,MIN(AD306+AE306+AF306-AG306,AB306*AD$46))</f>
        <v>0</v>
      </c>
      <c r="AI306" s="869">
        <f t="shared" ref="AI306:AI369" ca="1" si="247">AD306+AF306+AE306-AG306-AH306</f>
        <v>0</v>
      </c>
      <c r="AJ306" s="870">
        <f t="shared" ref="AJ306:AJ369" ca="1" si="248">-AE306+AG306+AH306</f>
        <v>0</v>
      </c>
      <c r="AK306" s="867">
        <f t="shared" ref="AK306:AK369" ca="1" si="249">Y306+AH306</f>
        <v>0</v>
      </c>
      <c r="AL306" s="869">
        <f t="shared" ca="1" si="227"/>
        <v>0</v>
      </c>
      <c r="AM306" s="869">
        <f t="shared" ref="AM306:AM369" ca="1" si="250">AK306+AL306</f>
        <v>0</v>
      </c>
      <c r="AN306" s="867">
        <f t="shared" ref="AN306:AN369" ca="1" si="251">IF(AM306&lt;0,0,MAX($G306-AA306-AM306,0))</f>
        <v>0</v>
      </c>
      <c r="AO306" s="161"/>
      <c r="AP306" s="869">
        <f t="shared" ref="AP306:AP369" ca="1" si="252">AU305</f>
        <v>0</v>
      </c>
      <c r="AQ306" s="867" cm="1">
        <f t="array" ref="AQ306">IF($G306=0,0,-MIN(0,$G306*c_equity.LPshare))</f>
        <v>0</v>
      </c>
      <c r="AR306" s="869" cm="1">
        <f t="array" ref="AR306">IF($D306=0,0,AP306*(c_rate.Hurdle3.MO))</f>
        <v>0</v>
      </c>
      <c r="AS306" s="869">
        <f t="shared" ref="AS306:AS369" ca="1" si="253">AG306+AH306</f>
        <v>0</v>
      </c>
      <c r="AT306" s="869">
        <f t="shared" ref="AT306:AT369" ca="1" si="254">IF(AP306=0,0,MIN(AP306+AQ306+AR306-AS306,AN306*AP$46))</f>
        <v>0</v>
      </c>
      <c r="AU306" s="869">
        <f t="shared" ref="AU306:AU369" ca="1" si="255">AP306+AR306+AQ306-AS306-AT306</f>
        <v>0</v>
      </c>
      <c r="AV306" s="870">
        <f t="shared" ref="AV306:AV369" ca="1" si="256">-AQ306+AS306+AT306</f>
        <v>0</v>
      </c>
      <c r="AW306" s="867">
        <f t="shared" ref="AW306:AW369" ca="1" si="257">AK306+AT306</f>
        <v>0</v>
      </c>
      <c r="AX306" s="869">
        <f t="shared" ca="1" si="228"/>
        <v>0</v>
      </c>
      <c r="AY306" s="869">
        <f t="shared" ref="AY306:AY369" ca="1" si="258">AW306+AX306</f>
        <v>0</v>
      </c>
      <c r="AZ306" s="867">
        <f t="shared" ref="AZ306:AZ369" ca="1" si="259">IF(AY306&lt;0,0,MAX($G306-AM306-AY306,0))</f>
        <v>0</v>
      </c>
      <c r="BA306" s="161"/>
      <c r="BB306" s="867">
        <f t="shared" ref="BB306:BB369" ca="1" si="260">$AZ306-BC306</f>
        <v>0</v>
      </c>
      <c r="BC306" s="867">
        <f t="shared" ca="1" si="225"/>
        <v>0</v>
      </c>
      <c r="BD306" s="658"/>
      <c r="BE306" s="867">
        <f t="shared" ref="BE306:BE369" ca="1" si="261">AW306+BB306</f>
        <v>0</v>
      </c>
      <c r="BF306" s="867">
        <f t="shared" ref="BF306:BF369" ca="1" si="262">AX306+BC306</f>
        <v>0</v>
      </c>
      <c r="BG306" s="867">
        <f t="shared" ref="BG306:BG369" ca="1" si="263">SUM(BE306:BF306)</f>
        <v>0</v>
      </c>
      <c r="BI306" s="867">
        <f ca="1"/>
        <v>0</v>
      </c>
      <c r="BJ306" s="867">
        <f ca="1"/>
        <v>0</v>
      </c>
      <c r="BK306" s="867">
        <f ca="1"/>
        <v>0</v>
      </c>
      <c r="BL306" s="867">
        <f t="shared" ref="BL306:BL369" ca="1" si="264">Y306-N306</f>
        <v>0</v>
      </c>
      <c r="BM306" s="867">
        <f t="shared" ref="BM306:BM369" ca="1" si="265">Z306-O306</f>
        <v>0</v>
      </c>
      <c r="BN306" s="867">
        <f t="shared" ref="BN306:BN369" ca="1" si="266">AK306-Y306</f>
        <v>0</v>
      </c>
      <c r="BO306" s="867">
        <f t="shared" ref="BO306:BO369" ca="1" si="267">AL306-Z306</f>
        <v>0</v>
      </c>
      <c r="BP306" s="867">
        <f t="shared" ref="BP306:BP369" ca="1" si="268">AW306-AK306</f>
        <v>0</v>
      </c>
      <c r="BQ306" s="867">
        <f t="shared" ref="BQ306:BQ369" ca="1" si="269">AX306-AL306</f>
        <v>0</v>
      </c>
      <c r="BR306" s="867">
        <f ca="1"/>
        <v>0</v>
      </c>
      <c r="BS306" s="867">
        <f ca="1"/>
        <v>0</v>
      </c>
      <c r="BT306" s="867">
        <f t="shared" ca="1" si="229"/>
        <v>0</v>
      </c>
      <c r="BU306" s="867">
        <f t="shared" ref="BU306:BU369" ca="1" si="270">BK306+BM306+BO306+BQ306+BS306</f>
        <v>0</v>
      </c>
      <c r="BX306" s="867">
        <f ca="1"/>
        <v>0</v>
      </c>
      <c r="BY306" s="867">
        <f t="shared" ref="BY306:BY369" ca="1" si="271">BJ306+BK306</f>
        <v>0</v>
      </c>
      <c r="BZ306" s="867">
        <f t="shared" ref="BZ306:BZ369" ca="1" si="272">BL306+BM306</f>
        <v>0</v>
      </c>
      <c r="CA306" s="867">
        <f t="shared" ref="CA306:CA369" ca="1" si="273">BN306+BO306</f>
        <v>0</v>
      </c>
      <c r="CB306" s="867">
        <f t="shared" ref="CB306:CB369" ca="1" si="274">BP306+BQ306</f>
        <v>0</v>
      </c>
      <c r="CC306" s="867">
        <f t="shared" ref="CC306:CC369" ca="1" si="275">BR306+BS306</f>
        <v>0</v>
      </c>
      <c r="CD306" s="867">
        <f t="shared" ref="CD306:CD369" ca="1" si="276">SUM(BY306:CC306)</f>
        <v>0</v>
      </c>
    </row>
    <row r="307" spans="1:82" ht="17" hidden="1" thickTop="1" thickBot="1">
      <c r="A307" s="773">
        <f t="shared" si="226"/>
        <v>0</v>
      </c>
      <c r="B307" s="779"/>
      <c r="D307" s="660"/>
      <c r="E307" s="661"/>
      <c r="F307" s="862"/>
      <c r="G307" s="863"/>
      <c r="H307" s="961"/>
      <c r="I307" s="865">
        <f t="shared" si="230"/>
        <v>0</v>
      </c>
      <c r="J307" s="864" cm="1">
        <f t="array" ref="J307">IF($G307=0,0,-MIN(0,G307*c_equity.LPshare))</f>
        <v>0</v>
      </c>
      <c r="K307" s="865" cm="1">
        <f t="array" ref="K307">I307*c_rate.Pref.MO</f>
        <v>0</v>
      </c>
      <c r="L307" s="865">
        <f t="shared" si="231"/>
        <v>0</v>
      </c>
      <c r="M307" s="865">
        <f t="shared" si="232"/>
        <v>0</v>
      </c>
      <c r="N307" s="865">
        <f t="shared" si="233"/>
        <v>0</v>
      </c>
      <c r="O307" s="864" cm="1">
        <f t="array" ref="O307">IF(N307=0,0,IF(G307&lt;0,N307/c_equity.LPshare*i_equity.GPshare,L307/c_equity.LPshare*i_equity.GPshare))</f>
        <v>0</v>
      </c>
      <c r="P307" s="865">
        <f t="shared" si="234"/>
        <v>0</v>
      </c>
      <c r="Q307" s="865">
        <f t="shared" si="235"/>
        <v>0</v>
      </c>
      <c r="R307" s="161"/>
      <c r="S307" s="867">
        <f t="shared" ca="1" si="236"/>
        <v>0</v>
      </c>
      <c r="T307" s="867" cm="1">
        <f t="array" ref="T307">IF($G307=0,0,-MIN(0,$G307*c_equity.LPshare))</f>
        <v>0</v>
      </c>
      <c r="U307" s="869" cm="1">
        <f t="array" ref="U307">IF($D307=0,0,S307*c_rate.Hurdle1.MO)</f>
        <v>0</v>
      </c>
      <c r="V307" s="867">
        <f t="shared" si="237"/>
        <v>0</v>
      </c>
      <c r="W307" s="867">
        <f t="shared" ca="1" si="238"/>
        <v>0</v>
      </c>
      <c r="X307" s="869">
        <f t="shared" ca="1" si="239"/>
        <v>0</v>
      </c>
      <c r="Y307" s="869">
        <f t="shared" ca="1" si="240"/>
        <v>0</v>
      </c>
      <c r="Z307" s="869">
        <f t="shared" ca="1" si="241"/>
        <v>0</v>
      </c>
      <c r="AA307" s="869">
        <f t="shared" ca="1" si="242"/>
        <v>0</v>
      </c>
      <c r="AB307" s="867">
        <f t="shared" ca="1" si="243"/>
        <v>0</v>
      </c>
      <c r="AC307" s="161"/>
      <c r="AD307" s="869">
        <f t="shared" ca="1" si="244"/>
        <v>0</v>
      </c>
      <c r="AE307" s="867" cm="1">
        <f t="array" ref="AE307">IF($G307=0,0,-MIN(0,$G307*c_equity.LPshare))</f>
        <v>0</v>
      </c>
      <c r="AF307" s="869" cm="1">
        <f t="array" ref="AF307">IF($D307=0,0,AD307*(c_rate.Hurdle2.MO))</f>
        <v>0</v>
      </c>
      <c r="AG307" s="869">
        <f t="shared" ca="1" si="245"/>
        <v>0</v>
      </c>
      <c r="AH307" s="869">
        <f t="shared" ca="1" si="246"/>
        <v>0</v>
      </c>
      <c r="AI307" s="869">
        <f t="shared" ca="1" si="247"/>
        <v>0</v>
      </c>
      <c r="AJ307" s="870">
        <f t="shared" ca="1" si="248"/>
        <v>0</v>
      </c>
      <c r="AK307" s="867">
        <f t="shared" ca="1" si="249"/>
        <v>0</v>
      </c>
      <c r="AL307" s="869">
        <f t="shared" ca="1" si="227"/>
        <v>0</v>
      </c>
      <c r="AM307" s="869">
        <f t="shared" ca="1" si="250"/>
        <v>0</v>
      </c>
      <c r="AN307" s="867">
        <f t="shared" ca="1" si="251"/>
        <v>0</v>
      </c>
      <c r="AO307" s="161"/>
      <c r="AP307" s="869">
        <f t="shared" ca="1" si="252"/>
        <v>0</v>
      </c>
      <c r="AQ307" s="867" cm="1">
        <f t="array" ref="AQ307">IF($G307=0,0,-MIN(0,$G307*c_equity.LPshare))</f>
        <v>0</v>
      </c>
      <c r="AR307" s="869" cm="1">
        <f t="array" ref="AR307">IF($D307=0,0,AP307*(c_rate.Hurdle3.MO))</f>
        <v>0</v>
      </c>
      <c r="AS307" s="869">
        <f t="shared" ca="1" si="253"/>
        <v>0</v>
      </c>
      <c r="AT307" s="869">
        <f t="shared" ca="1" si="254"/>
        <v>0</v>
      </c>
      <c r="AU307" s="869">
        <f t="shared" ca="1" si="255"/>
        <v>0</v>
      </c>
      <c r="AV307" s="870">
        <f t="shared" ca="1" si="256"/>
        <v>0</v>
      </c>
      <c r="AW307" s="867">
        <f t="shared" ca="1" si="257"/>
        <v>0</v>
      </c>
      <c r="AX307" s="869">
        <f t="shared" ca="1" si="228"/>
        <v>0</v>
      </c>
      <c r="AY307" s="869">
        <f t="shared" ca="1" si="258"/>
        <v>0</v>
      </c>
      <c r="AZ307" s="867">
        <f t="shared" ca="1" si="259"/>
        <v>0</v>
      </c>
      <c r="BA307" s="161"/>
      <c r="BB307" s="867">
        <f t="shared" ca="1" si="260"/>
        <v>0</v>
      </c>
      <c r="BC307" s="867">
        <f t="shared" ca="1" si="225"/>
        <v>0</v>
      </c>
      <c r="BD307" s="658"/>
      <c r="BE307" s="867">
        <f t="shared" ca="1" si="261"/>
        <v>0</v>
      </c>
      <c r="BF307" s="867">
        <f t="shared" ca="1" si="262"/>
        <v>0</v>
      </c>
      <c r="BG307" s="867">
        <f t="shared" ca="1" si="263"/>
        <v>0</v>
      </c>
      <c r="BI307" s="867">
        <f ca="1"/>
        <v>0</v>
      </c>
      <c r="BJ307" s="867">
        <f ca="1"/>
        <v>0</v>
      </c>
      <c r="BK307" s="867">
        <f ca="1"/>
        <v>0</v>
      </c>
      <c r="BL307" s="867">
        <f t="shared" ca="1" si="264"/>
        <v>0</v>
      </c>
      <c r="BM307" s="867">
        <f t="shared" ca="1" si="265"/>
        <v>0</v>
      </c>
      <c r="BN307" s="867">
        <f t="shared" ca="1" si="266"/>
        <v>0</v>
      </c>
      <c r="BO307" s="867">
        <f t="shared" ca="1" si="267"/>
        <v>0</v>
      </c>
      <c r="BP307" s="867">
        <f t="shared" ca="1" si="268"/>
        <v>0</v>
      </c>
      <c r="BQ307" s="867">
        <f t="shared" ca="1" si="269"/>
        <v>0</v>
      </c>
      <c r="BR307" s="867">
        <f ca="1"/>
        <v>0</v>
      </c>
      <c r="BS307" s="867">
        <f ca="1"/>
        <v>0</v>
      </c>
      <c r="BT307" s="867">
        <f t="shared" ca="1" si="229"/>
        <v>0</v>
      </c>
      <c r="BU307" s="867">
        <f t="shared" ca="1" si="270"/>
        <v>0</v>
      </c>
      <c r="BX307" s="867">
        <f ca="1"/>
        <v>0</v>
      </c>
      <c r="BY307" s="867">
        <f t="shared" ca="1" si="271"/>
        <v>0</v>
      </c>
      <c r="BZ307" s="867">
        <f t="shared" ca="1" si="272"/>
        <v>0</v>
      </c>
      <c r="CA307" s="867">
        <f t="shared" ca="1" si="273"/>
        <v>0</v>
      </c>
      <c r="CB307" s="867">
        <f t="shared" ca="1" si="274"/>
        <v>0</v>
      </c>
      <c r="CC307" s="867">
        <f t="shared" ca="1" si="275"/>
        <v>0</v>
      </c>
      <c r="CD307" s="867">
        <f t="shared" ca="1" si="276"/>
        <v>0</v>
      </c>
    </row>
    <row r="308" spans="1:82" ht="17" hidden="1" thickTop="1" thickBot="1">
      <c r="A308" s="773">
        <f t="shared" si="226"/>
        <v>0</v>
      </c>
      <c r="B308" s="779"/>
      <c r="D308" s="660"/>
      <c r="E308" s="661"/>
      <c r="F308" s="862"/>
      <c r="G308" s="863"/>
      <c r="H308" s="961"/>
      <c r="I308" s="865">
        <f t="shared" si="230"/>
        <v>0</v>
      </c>
      <c r="J308" s="864" cm="1">
        <f t="array" ref="J308">IF($G308=0,0,-MIN(0,G308*c_equity.LPshare))</f>
        <v>0</v>
      </c>
      <c r="K308" s="865" cm="1">
        <f t="array" ref="K308">I308*c_rate.Pref.MO</f>
        <v>0</v>
      </c>
      <c r="L308" s="865">
        <f t="shared" si="231"/>
        <v>0</v>
      </c>
      <c r="M308" s="865">
        <f t="shared" si="232"/>
        <v>0</v>
      </c>
      <c r="N308" s="865">
        <f t="shared" si="233"/>
        <v>0</v>
      </c>
      <c r="O308" s="864" cm="1">
        <f t="array" ref="O308">IF(N308=0,0,IF(G308&lt;0,N308/c_equity.LPshare*i_equity.GPshare,L308/c_equity.LPshare*i_equity.GPshare))</f>
        <v>0</v>
      </c>
      <c r="P308" s="865">
        <f t="shared" si="234"/>
        <v>0</v>
      </c>
      <c r="Q308" s="865">
        <f t="shared" si="235"/>
        <v>0</v>
      </c>
      <c r="R308" s="161"/>
      <c r="S308" s="867">
        <f t="shared" ca="1" si="236"/>
        <v>0</v>
      </c>
      <c r="T308" s="867" cm="1">
        <f t="array" ref="T308">IF($G308=0,0,-MIN(0,$G308*c_equity.LPshare))</f>
        <v>0</v>
      </c>
      <c r="U308" s="869" cm="1">
        <f t="array" ref="U308">IF($D308=0,0,S308*c_rate.Hurdle1.MO)</f>
        <v>0</v>
      </c>
      <c r="V308" s="867">
        <f t="shared" si="237"/>
        <v>0</v>
      </c>
      <c r="W308" s="867">
        <f t="shared" ca="1" si="238"/>
        <v>0</v>
      </c>
      <c r="X308" s="869">
        <f t="shared" ca="1" si="239"/>
        <v>0</v>
      </c>
      <c r="Y308" s="869">
        <f t="shared" ca="1" si="240"/>
        <v>0</v>
      </c>
      <c r="Z308" s="869">
        <f t="shared" ca="1" si="241"/>
        <v>0</v>
      </c>
      <c r="AA308" s="869">
        <f t="shared" ca="1" si="242"/>
        <v>0</v>
      </c>
      <c r="AB308" s="867">
        <f t="shared" ca="1" si="243"/>
        <v>0</v>
      </c>
      <c r="AC308" s="161"/>
      <c r="AD308" s="869">
        <f t="shared" ca="1" si="244"/>
        <v>0</v>
      </c>
      <c r="AE308" s="867" cm="1">
        <f t="array" ref="AE308">IF($G308=0,0,-MIN(0,$G308*c_equity.LPshare))</f>
        <v>0</v>
      </c>
      <c r="AF308" s="869" cm="1">
        <f t="array" ref="AF308">IF($D308=0,0,AD308*(c_rate.Hurdle2.MO))</f>
        <v>0</v>
      </c>
      <c r="AG308" s="869">
        <f t="shared" ca="1" si="245"/>
        <v>0</v>
      </c>
      <c r="AH308" s="869">
        <f t="shared" ca="1" si="246"/>
        <v>0</v>
      </c>
      <c r="AI308" s="869">
        <f t="shared" ca="1" si="247"/>
        <v>0</v>
      </c>
      <c r="AJ308" s="870">
        <f t="shared" ca="1" si="248"/>
        <v>0</v>
      </c>
      <c r="AK308" s="867">
        <f t="shared" ca="1" si="249"/>
        <v>0</v>
      </c>
      <c r="AL308" s="869">
        <f t="shared" ca="1" si="227"/>
        <v>0</v>
      </c>
      <c r="AM308" s="869">
        <f t="shared" ca="1" si="250"/>
        <v>0</v>
      </c>
      <c r="AN308" s="867">
        <f t="shared" ca="1" si="251"/>
        <v>0</v>
      </c>
      <c r="AO308" s="161"/>
      <c r="AP308" s="869">
        <f t="shared" ca="1" si="252"/>
        <v>0</v>
      </c>
      <c r="AQ308" s="867" cm="1">
        <f t="array" ref="AQ308">IF($G308=0,0,-MIN(0,$G308*c_equity.LPshare))</f>
        <v>0</v>
      </c>
      <c r="AR308" s="869" cm="1">
        <f t="array" ref="AR308">IF($D308=0,0,AP308*(c_rate.Hurdle3.MO))</f>
        <v>0</v>
      </c>
      <c r="AS308" s="869">
        <f t="shared" ca="1" si="253"/>
        <v>0</v>
      </c>
      <c r="AT308" s="869">
        <f t="shared" ca="1" si="254"/>
        <v>0</v>
      </c>
      <c r="AU308" s="869">
        <f t="shared" ca="1" si="255"/>
        <v>0</v>
      </c>
      <c r="AV308" s="870">
        <f t="shared" ca="1" si="256"/>
        <v>0</v>
      </c>
      <c r="AW308" s="867">
        <f t="shared" ca="1" si="257"/>
        <v>0</v>
      </c>
      <c r="AX308" s="869">
        <f t="shared" ca="1" si="228"/>
        <v>0</v>
      </c>
      <c r="AY308" s="869">
        <f t="shared" ca="1" si="258"/>
        <v>0</v>
      </c>
      <c r="AZ308" s="867">
        <f t="shared" ca="1" si="259"/>
        <v>0</v>
      </c>
      <c r="BA308" s="161"/>
      <c r="BB308" s="867">
        <f t="shared" ca="1" si="260"/>
        <v>0</v>
      </c>
      <c r="BC308" s="867">
        <f t="shared" ca="1" si="225"/>
        <v>0</v>
      </c>
      <c r="BD308" s="658"/>
      <c r="BE308" s="867">
        <f t="shared" ca="1" si="261"/>
        <v>0</v>
      </c>
      <c r="BF308" s="867">
        <f t="shared" ca="1" si="262"/>
        <v>0</v>
      </c>
      <c r="BG308" s="867">
        <f t="shared" ca="1" si="263"/>
        <v>0</v>
      </c>
      <c r="BI308" s="867">
        <f ca="1"/>
        <v>0</v>
      </c>
      <c r="BJ308" s="867">
        <f ca="1"/>
        <v>0</v>
      </c>
      <c r="BK308" s="867">
        <f ca="1"/>
        <v>0</v>
      </c>
      <c r="BL308" s="867">
        <f t="shared" ca="1" si="264"/>
        <v>0</v>
      </c>
      <c r="BM308" s="867">
        <f t="shared" ca="1" si="265"/>
        <v>0</v>
      </c>
      <c r="BN308" s="867">
        <f t="shared" ca="1" si="266"/>
        <v>0</v>
      </c>
      <c r="BO308" s="867">
        <f t="shared" ca="1" si="267"/>
        <v>0</v>
      </c>
      <c r="BP308" s="867">
        <f t="shared" ca="1" si="268"/>
        <v>0</v>
      </c>
      <c r="BQ308" s="867">
        <f t="shared" ca="1" si="269"/>
        <v>0</v>
      </c>
      <c r="BR308" s="867">
        <f ca="1"/>
        <v>0</v>
      </c>
      <c r="BS308" s="867">
        <f ca="1"/>
        <v>0</v>
      </c>
      <c r="BT308" s="867">
        <f t="shared" ca="1" si="229"/>
        <v>0</v>
      </c>
      <c r="BU308" s="867">
        <f t="shared" ca="1" si="270"/>
        <v>0</v>
      </c>
      <c r="BX308" s="867">
        <f ca="1"/>
        <v>0</v>
      </c>
      <c r="BY308" s="867">
        <f t="shared" ca="1" si="271"/>
        <v>0</v>
      </c>
      <c r="BZ308" s="867">
        <f t="shared" ca="1" si="272"/>
        <v>0</v>
      </c>
      <c r="CA308" s="867">
        <f t="shared" ca="1" si="273"/>
        <v>0</v>
      </c>
      <c r="CB308" s="867">
        <f t="shared" ca="1" si="274"/>
        <v>0</v>
      </c>
      <c r="CC308" s="867">
        <f t="shared" ca="1" si="275"/>
        <v>0</v>
      </c>
      <c r="CD308" s="867">
        <f t="shared" ca="1" si="276"/>
        <v>0</v>
      </c>
    </row>
    <row r="309" spans="1:82" ht="17" hidden="1" thickTop="1" thickBot="1">
      <c r="A309" s="773">
        <f t="shared" si="226"/>
        <v>0</v>
      </c>
      <c r="B309" s="779"/>
      <c r="D309" s="660"/>
      <c r="E309" s="661"/>
      <c r="F309" s="862"/>
      <c r="G309" s="863"/>
      <c r="H309" s="961"/>
      <c r="I309" s="865">
        <f t="shared" si="230"/>
        <v>0</v>
      </c>
      <c r="J309" s="864" cm="1">
        <f t="array" ref="J309">IF($G309=0,0,-MIN(0,G309*c_equity.LPshare))</f>
        <v>0</v>
      </c>
      <c r="K309" s="865" cm="1">
        <f t="array" ref="K309">I309*c_rate.Pref.MO</f>
        <v>0</v>
      </c>
      <c r="L309" s="865">
        <f t="shared" si="231"/>
        <v>0</v>
      </c>
      <c r="M309" s="865">
        <f t="shared" si="232"/>
        <v>0</v>
      </c>
      <c r="N309" s="865">
        <f t="shared" si="233"/>
        <v>0</v>
      </c>
      <c r="O309" s="864" cm="1">
        <f t="array" ref="O309">IF(N309=0,0,IF(G309&lt;0,N309/c_equity.LPshare*i_equity.GPshare,L309/c_equity.LPshare*i_equity.GPshare))</f>
        <v>0</v>
      </c>
      <c r="P309" s="865">
        <f t="shared" si="234"/>
        <v>0</v>
      </c>
      <c r="Q309" s="865">
        <f t="shared" si="235"/>
        <v>0</v>
      </c>
      <c r="R309" s="161"/>
      <c r="S309" s="867">
        <f t="shared" ca="1" si="236"/>
        <v>0</v>
      </c>
      <c r="T309" s="867" cm="1">
        <f t="array" ref="T309">IF($G309=0,0,-MIN(0,$G309*c_equity.LPshare))</f>
        <v>0</v>
      </c>
      <c r="U309" s="869" cm="1">
        <f t="array" ref="U309">IF($D309=0,0,S309*c_rate.Hurdle1.MO)</f>
        <v>0</v>
      </c>
      <c r="V309" s="867">
        <f t="shared" si="237"/>
        <v>0</v>
      </c>
      <c r="W309" s="867">
        <f t="shared" ca="1" si="238"/>
        <v>0</v>
      </c>
      <c r="X309" s="869">
        <f t="shared" ca="1" si="239"/>
        <v>0</v>
      </c>
      <c r="Y309" s="869">
        <f t="shared" ca="1" si="240"/>
        <v>0</v>
      </c>
      <c r="Z309" s="869">
        <f t="shared" ca="1" si="241"/>
        <v>0</v>
      </c>
      <c r="AA309" s="869">
        <f t="shared" ca="1" si="242"/>
        <v>0</v>
      </c>
      <c r="AB309" s="867">
        <f t="shared" ca="1" si="243"/>
        <v>0</v>
      </c>
      <c r="AC309" s="161"/>
      <c r="AD309" s="869">
        <f t="shared" ca="1" si="244"/>
        <v>0</v>
      </c>
      <c r="AE309" s="867" cm="1">
        <f t="array" ref="AE309">IF($G309=0,0,-MIN(0,$G309*c_equity.LPshare))</f>
        <v>0</v>
      </c>
      <c r="AF309" s="869" cm="1">
        <f t="array" ref="AF309">IF($D309=0,0,AD309*(c_rate.Hurdle2.MO))</f>
        <v>0</v>
      </c>
      <c r="AG309" s="869">
        <f t="shared" ca="1" si="245"/>
        <v>0</v>
      </c>
      <c r="AH309" s="869">
        <f t="shared" ca="1" si="246"/>
        <v>0</v>
      </c>
      <c r="AI309" s="869">
        <f t="shared" ca="1" si="247"/>
        <v>0</v>
      </c>
      <c r="AJ309" s="870">
        <f t="shared" ca="1" si="248"/>
        <v>0</v>
      </c>
      <c r="AK309" s="867">
        <f t="shared" ca="1" si="249"/>
        <v>0</v>
      </c>
      <c r="AL309" s="869">
        <f t="shared" ca="1" si="227"/>
        <v>0</v>
      </c>
      <c r="AM309" s="869">
        <f t="shared" ca="1" si="250"/>
        <v>0</v>
      </c>
      <c r="AN309" s="867">
        <f t="shared" ca="1" si="251"/>
        <v>0</v>
      </c>
      <c r="AO309" s="161"/>
      <c r="AP309" s="869">
        <f t="shared" ca="1" si="252"/>
        <v>0</v>
      </c>
      <c r="AQ309" s="867" cm="1">
        <f t="array" ref="AQ309">IF($G309=0,0,-MIN(0,$G309*c_equity.LPshare))</f>
        <v>0</v>
      </c>
      <c r="AR309" s="869" cm="1">
        <f t="array" ref="AR309">IF($D309=0,0,AP309*(c_rate.Hurdle3.MO))</f>
        <v>0</v>
      </c>
      <c r="AS309" s="869">
        <f t="shared" ca="1" si="253"/>
        <v>0</v>
      </c>
      <c r="AT309" s="869">
        <f t="shared" ca="1" si="254"/>
        <v>0</v>
      </c>
      <c r="AU309" s="869">
        <f t="shared" ca="1" si="255"/>
        <v>0</v>
      </c>
      <c r="AV309" s="870">
        <f t="shared" ca="1" si="256"/>
        <v>0</v>
      </c>
      <c r="AW309" s="867">
        <f t="shared" ca="1" si="257"/>
        <v>0</v>
      </c>
      <c r="AX309" s="869">
        <f t="shared" ca="1" si="228"/>
        <v>0</v>
      </c>
      <c r="AY309" s="869">
        <f t="shared" ca="1" si="258"/>
        <v>0</v>
      </c>
      <c r="AZ309" s="867">
        <f t="shared" ca="1" si="259"/>
        <v>0</v>
      </c>
      <c r="BA309" s="161"/>
      <c r="BB309" s="867">
        <f t="shared" ca="1" si="260"/>
        <v>0</v>
      </c>
      <c r="BC309" s="867">
        <f t="shared" ca="1" si="225"/>
        <v>0</v>
      </c>
      <c r="BD309" s="658"/>
      <c r="BE309" s="867">
        <f t="shared" ca="1" si="261"/>
        <v>0</v>
      </c>
      <c r="BF309" s="867">
        <f t="shared" ca="1" si="262"/>
        <v>0</v>
      </c>
      <c r="BG309" s="867">
        <f t="shared" ca="1" si="263"/>
        <v>0</v>
      </c>
      <c r="BI309" s="867">
        <f ca="1"/>
        <v>0</v>
      </c>
      <c r="BJ309" s="867">
        <f ca="1"/>
        <v>0</v>
      </c>
      <c r="BK309" s="867">
        <f ca="1"/>
        <v>0</v>
      </c>
      <c r="BL309" s="867">
        <f t="shared" ca="1" si="264"/>
        <v>0</v>
      </c>
      <c r="BM309" s="867">
        <f t="shared" ca="1" si="265"/>
        <v>0</v>
      </c>
      <c r="BN309" s="867">
        <f t="shared" ca="1" si="266"/>
        <v>0</v>
      </c>
      <c r="BO309" s="867">
        <f t="shared" ca="1" si="267"/>
        <v>0</v>
      </c>
      <c r="BP309" s="867">
        <f t="shared" ca="1" si="268"/>
        <v>0</v>
      </c>
      <c r="BQ309" s="867">
        <f t="shared" ca="1" si="269"/>
        <v>0</v>
      </c>
      <c r="BR309" s="867">
        <f ca="1"/>
        <v>0</v>
      </c>
      <c r="BS309" s="867">
        <f ca="1"/>
        <v>0</v>
      </c>
      <c r="BT309" s="867">
        <f t="shared" ca="1" si="229"/>
        <v>0</v>
      </c>
      <c r="BU309" s="867">
        <f t="shared" ca="1" si="270"/>
        <v>0</v>
      </c>
      <c r="BX309" s="867">
        <f ca="1"/>
        <v>0</v>
      </c>
      <c r="BY309" s="867">
        <f t="shared" ca="1" si="271"/>
        <v>0</v>
      </c>
      <c r="BZ309" s="867">
        <f t="shared" ca="1" si="272"/>
        <v>0</v>
      </c>
      <c r="CA309" s="867">
        <f t="shared" ca="1" si="273"/>
        <v>0</v>
      </c>
      <c r="CB309" s="867">
        <f t="shared" ca="1" si="274"/>
        <v>0</v>
      </c>
      <c r="CC309" s="867">
        <f t="shared" ca="1" si="275"/>
        <v>0</v>
      </c>
      <c r="CD309" s="867">
        <f t="shared" ca="1" si="276"/>
        <v>0</v>
      </c>
    </row>
    <row r="310" spans="1:82" ht="17" hidden="1" thickTop="1" thickBot="1">
      <c r="A310" s="773">
        <f t="shared" si="226"/>
        <v>0</v>
      </c>
      <c r="B310" s="779"/>
      <c r="D310" s="660"/>
      <c r="E310" s="661"/>
      <c r="F310" s="862"/>
      <c r="G310" s="863"/>
      <c r="H310" s="961"/>
      <c r="I310" s="865">
        <f t="shared" si="230"/>
        <v>0</v>
      </c>
      <c r="J310" s="864" cm="1">
        <f t="array" ref="J310">IF($G310=0,0,-MIN(0,G310*c_equity.LPshare))</f>
        <v>0</v>
      </c>
      <c r="K310" s="865" cm="1">
        <f t="array" ref="K310">I310*c_rate.Pref.MO</f>
        <v>0</v>
      </c>
      <c r="L310" s="865">
        <f t="shared" si="231"/>
        <v>0</v>
      </c>
      <c r="M310" s="865">
        <f t="shared" si="232"/>
        <v>0</v>
      </c>
      <c r="N310" s="865">
        <f t="shared" si="233"/>
        <v>0</v>
      </c>
      <c r="O310" s="864" cm="1">
        <f t="array" ref="O310">IF(N310=0,0,IF(G310&lt;0,N310/c_equity.LPshare*i_equity.GPshare,L310/c_equity.LPshare*i_equity.GPshare))</f>
        <v>0</v>
      </c>
      <c r="P310" s="865">
        <f t="shared" si="234"/>
        <v>0</v>
      </c>
      <c r="Q310" s="865">
        <f t="shared" si="235"/>
        <v>0</v>
      </c>
      <c r="R310" s="161"/>
      <c r="S310" s="867">
        <f t="shared" ca="1" si="236"/>
        <v>0</v>
      </c>
      <c r="T310" s="867" cm="1">
        <f t="array" ref="T310">IF($G310=0,0,-MIN(0,$G310*c_equity.LPshare))</f>
        <v>0</v>
      </c>
      <c r="U310" s="869" cm="1">
        <f t="array" ref="U310">IF($D310=0,0,S310*c_rate.Hurdle1.MO)</f>
        <v>0</v>
      </c>
      <c r="V310" s="867">
        <f t="shared" si="237"/>
        <v>0</v>
      </c>
      <c r="W310" s="867">
        <f t="shared" ca="1" si="238"/>
        <v>0</v>
      </c>
      <c r="X310" s="869">
        <f t="shared" ca="1" si="239"/>
        <v>0</v>
      </c>
      <c r="Y310" s="869">
        <f t="shared" ca="1" si="240"/>
        <v>0</v>
      </c>
      <c r="Z310" s="869">
        <f t="shared" ca="1" si="241"/>
        <v>0</v>
      </c>
      <c r="AA310" s="869">
        <f t="shared" ca="1" si="242"/>
        <v>0</v>
      </c>
      <c r="AB310" s="867">
        <f t="shared" ca="1" si="243"/>
        <v>0</v>
      </c>
      <c r="AC310" s="161"/>
      <c r="AD310" s="869">
        <f t="shared" ca="1" si="244"/>
        <v>0</v>
      </c>
      <c r="AE310" s="867" cm="1">
        <f t="array" ref="AE310">IF($G310=0,0,-MIN(0,$G310*c_equity.LPshare))</f>
        <v>0</v>
      </c>
      <c r="AF310" s="869" cm="1">
        <f t="array" ref="AF310">IF($D310=0,0,AD310*(c_rate.Hurdle2.MO))</f>
        <v>0</v>
      </c>
      <c r="AG310" s="869">
        <f t="shared" ca="1" si="245"/>
        <v>0</v>
      </c>
      <c r="AH310" s="869">
        <f t="shared" ca="1" si="246"/>
        <v>0</v>
      </c>
      <c r="AI310" s="869">
        <f t="shared" ca="1" si="247"/>
        <v>0</v>
      </c>
      <c r="AJ310" s="870">
        <f t="shared" ca="1" si="248"/>
        <v>0</v>
      </c>
      <c r="AK310" s="867">
        <f t="shared" ca="1" si="249"/>
        <v>0</v>
      </c>
      <c r="AL310" s="869">
        <f t="shared" ca="1" si="227"/>
        <v>0</v>
      </c>
      <c r="AM310" s="869">
        <f t="shared" ca="1" si="250"/>
        <v>0</v>
      </c>
      <c r="AN310" s="867">
        <f t="shared" ca="1" si="251"/>
        <v>0</v>
      </c>
      <c r="AO310" s="161"/>
      <c r="AP310" s="869">
        <f t="shared" ca="1" si="252"/>
        <v>0</v>
      </c>
      <c r="AQ310" s="867" cm="1">
        <f t="array" ref="AQ310">IF($G310=0,0,-MIN(0,$G310*c_equity.LPshare))</f>
        <v>0</v>
      </c>
      <c r="AR310" s="869" cm="1">
        <f t="array" ref="AR310">IF($D310=0,0,AP310*(c_rate.Hurdle3.MO))</f>
        <v>0</v>
      </c>
      <c r="AS310" s="869">
        <f t="shared" ca="1" si="253"/>
        <v>0</v>
      </c>
      <c r="AT310" s="869">
        <f t="shared" ca="1" si="254"/>
        <v>0</v>
      </c>
      <c r="AU310" s="869">
        <f t="shared" ca="1" si="255"/>
        <v>0</v>
      </c>
      <c r="AV310" s="870">
        <f t="shared" ca="1" si="256"/>
        <v>0</v>
      </c>
      <c r="AW310" s="867">
        <f t="shared" ca="1" si="257"/>
        <v>0</v>
      </c>
      <c r="AX310" s="869">
        <f t="shared" ca="1" si="228"/>
        <v>0</v>
      </c>
      <c r="AY310" s="869">
        <f t="shared" ca="1" si="258"/>
        <v>0</v>
      </c>
      <c r="AZ310" s="867">
        <f t="shared" ca="1" si="259"/>
        <v>0</v>
      </c>
      <c r="BA310" s="161"/>
      <c r="BB310" s="867">
        <f t="shared" ca="1" si="260"/>
        <v>0</v>
      </c>
      <c r="BC310" s="867">
        <f t="shared" ca="1" si="225"/>
        <v>0</v>
      </c>
      <c r="BD310" s="658"/>
      <c r="BE310" s="867">
        <f t="shared" ca="1" si="261"/>
        <v>0</v>
      </c>
      <c r="BF310" s="867">
        <f t="shared" ca="1" si="262"/>
        <v>0</v>
      </c>
      <c r="BG310" s="867">
        <f t="shared" ca="1" si="263"/>
        <v>0</v>
      </c>
      <c r="BI310" s="867">
        <f ca="1"/>
        <v>0</v>
      </c>
      <c r="BJ310" s="867">
        <f ca="1"/>
        <v>0</v>
      </c>
      <c r="BK310" s="867">
        <f ca="1"/>
        <v>0</v>
      </c>
      <c r="BL310" s="867">
        <f t="shared" ca="1" si="264"/>
        <v>0</v>
      </c>
      <c r="BM310" s="867">
        <f t="shared" ca="1" si="265"/>
        <v>0</v>
      </c>
      <c r="BN310" s="867">
        <f t="shared" ca="1" si="266"/>
        <v>0</v>
      </c>
      <c r="BO310" s="867">
        <f t="shared" ca="1" si="267"/>
        <v>0</v>
      </c>
      <c r="BP310" s="867">
        <f t="shared" ca="1" si="268"/>
        <v>0</v>
      </c>
      <c r="BQ310" s="867">
        <f t="shared" ca="1" si="269"/>
        <v>0</v>
      </c>
      <c r="BR310" s="867">
        <f ca="1"/>
        <v>0</v>
      </c>
      <c r="BS310" s="867">
        <f ca="1"/>
        <v>0</v>
      </c>
      <c r="BT310" s="867">
        <f t="shared" ca="1" si="229"/>
        <v>0</v>
      </c>
      <c r="BU310" s="867">
        <f t="shared" ca="1" si="270"/>
        <v>0</v>
      </c>
      <c r="BX310" s="867">
        <f ca="1"/>
        <v>0</v>
      </c>
      <c r="BY310" s="867">
        <f t="shared" ca="1" si="271"/>
        <v>0</v>
      </c>
      <c r="BZ310" s="867">
        <f t="shared" ca="1" si="272"/>
        <v>0</v>
      </c>
      <c r="CA310" s="867">
        <f t="shared" ca="1" si="273"/>
        <v>0</v>
      </c>
      <c r="CB310" s="867">
        <f t="shared" ca="1" si="274"/>
        <v>0</v>
      </c>
      <c r="CC310" s="867">
        <f t="shared" ca="1" si="275"/>
        <v>0</v>
      </c>
      <c r="CD310" s="867">
        <f t="shared" ca="1" si="276"/>
        <v>0</v>
      </c>
    </row>
    <row r="311" spans="1:82" ht="17" hidden="1" thickTop="1" thickBot="1">
      <c r="A311" s="773">
        <f t="shared" si="226"/>
        <v>0</v>
      </c>
      <c r="B311" s="779"/>
      <c r="D311" s="660"/>
      <c r="E311" s="661"/>
      <c r="F311" s="862"/>
      <c r="G311" s="863"/>
      <c r="H311" s="961"/>
      <c r="I311" s="865">
        <f t="shared" si="230"/>
        <v>0</v>
      </c>
      <c r="J311" s="864" cm="1">
        <f t="array" ref="J311">IF($G311=0,0,-MIN(0,G311*c_equity.LPshare))</f>
        <v>0</v>
      </c>
      <c r="K311" s="865" cm="1">
        <f t="array" ref="K311">I311*c_rate.Pref.MO</f>
        <v>0</v>
      </c>
      <c r="L311" s="865">
        <f t="shared" si="231"/>
        <v>0</v>
      </c>
      <c r="M311" s="865">
        <f t="shared" si="232"/>
        <v>0</v>
      </c>
      <c r="N311" s="865">
        <f t="shared" si="233"/>
        <v>0</v>
      </c>
      <c r="O311" s="864" cm="1">
        <f t="array" ref="O311">IF(N311=0,0,IF(G311&lt;0,N311/c_equity.LPshare*i_equity.GPshare,L311/c_equity.LPshare*i_equity.GPshare))</f>
        <v>0</v>
      </c>
      <c r="P311" s="865">
        <f t="shared" si="234"/>
        <v>0</v>
      </c>
      <c r="Q311" s="865">
        <f t="shared" si="235"/>
        <v>0</v>
      </c>
      <c r="R311" s="161"/>
      <c r="S311" s="867">
        <f t="shared" ca="1" si="236"/>
        <v>0</v>
      </c>
      <c r="T311" s="867" cm="1">
        <f t="array" ref="T311">IF($G311=0,0,-MIN(0,$G311*c_equity.LPshare))</f>
        <v>0</v>
      </c>
      <c r="U311" s="869" cm="1">
        <f t="array" ref="U311">IF($D311=0,0,S311*c_rate.Hurdle1.MO)</f>
        <v>0</v>
      </c>
      <c r="V311" s="867">
        <f t="shared" si="237"/>
        <v>0</v>
      </c>
      <c r="W311" s="867">
        <f t="shared" ca="1" si="238"/>
        <v>0</v>
      </c>
      <c r="X311" s="869">
        <f t="shared" ca="1" si="239"/>
        <v>0</v>
      </c>
      <c r="Y311" s="869">
        <f t="shared" ca="1" si="240"/>
        <v>0</v>
      </c>
      <c r="Z311" s="869">
        <f t="shared" ca="1" si="241"/>
        <v>0</v>
      </c>
      <c r="AA311" s="869">
        <f t="shared" ca="1" si="242"/>
        <v>0</v>
      </c>
      <c r="AB311" s="867">
        <f t="shared" ca="1" si="243"/>
        <v>0</v>
      </c>
      <c r="AC311" s="161"/>
      <c r="AD311" s="869">
        <f t="shared" ca="1" si="244"/>
        <v>0</v>
      </c>
      <c r="AE311" s="867" cm="1">
        <f t="array" ref="AE311">IF($G311=0,0,-MIN(0,$G311*c_equity.LPshare))</f>
        <v>0</v>
      </c>
      <c r="AF311" s="869" cm="1">
        <f t="array" ref="AF311">IF($D311=0,0,AD311*(c_rate.Hurdle2.MO))</f>
        <v>0</v>
      </c>
      <c r="AG311" s="869">
        <f t="shared" ca="1" si="245"/>
        <v>0</v>
      </c>
      <c r="AH311" s="869">
        <f t="shared" ca="1" si="246"/>
        <v>0</v>
      </c>
      <c r="AI311" s="869">
        <f t="shared" ca="1" si="247"/>
        <v>0</v>
      </c>
      <c r="AJ311" s="870">
        <f t="shared" ca="1" si="248"/>
        <v>0</v>
      </c>
      <c r="AK311" s="867">
        <f t="shared" ca="1" si="249"/>
        <v>0</v>
      </c>
      <c r="AL311" s="869">
        <f t="shared" ca="1" si="227"/>
        <v>0</v>
      </c>
      <c r="AM311" s="869">
        <f t="shared" ca="1" si="250"/>
        <v>0</v>
      </c>
      <c r="AN311" s="867">
        <f t="shared" ca="1" si="251"/>
        <v>0</v>
      </c>
      <c r="AO311" s="161"/>
      <c r="AP311" s="869">
        <f t="shared" ca="1" si="252"/>
        <v>0</v>
      </c>
      <c r="AQ311" s="867" cm="1">
        <f t="array" ref="AQ311">IF($G311=0,0,-MIN(0,$G311*c_equity.LPshare))</f>
        <v>0</v>
      </c>
      <c r="AR311" s="869" cm="1">
        <f t="array" ref="AR311">IF($D311=0,0,AP311*(c_rate.Hurdle3.MO))</f>
        <v>0</v>
      </c>
      <c r="AS311" s="869">
        <f t="shared" ca="1" si="253"/>
        <v>0</v>
      </c>
      <c r="AT311" s="869">
        <f t="shared" ca="1" si="254"/>
        <v>0</v>
      </c>
      <c r="AU311" s="869">
        <f t="shared" ca="1" si="255"/>
        <v>0</v>
      </c>
      <c r="AV311" s="870">
        <f t="shared" ca="1" si="256"/>
        <v>0</v>
      </c>
      <c r="AW311" s="867">
        <f t="shared" ca="1" si="257"/>
        <v>0</v>
      </c>
      <c r="AX311" s="869">
        <f t="shared" ca="1" si="228"/>
        <v>0</v>
      </c>
      <c r="AY311" s="869">
        <f t="shared" ca="1" si="258"/>
        <v>0</v>
      </c>
      <c r="AZ311" s="867">
        <f t="shared" ca="1" si="259"/>
        <v>0</v>
      </c>
      <c r="BA311" s="161"/>
      <c r="BB311" s="867">
        <f t="shared" ca="1" si="260"/>
        <v>0</v>
      </c>
      <c r="BC311" s="867">
        <f t="shared" ca="1" si="225"/>
        <v>0</v>
      </c>
      <c r="BD311" s="658"/>
      <c r="BE311" s="867">
        <f t="shared" ca="1" si="261"/>
        <v>0</v>
      </c>
      <c r="BF311" s="867">
        <f t="shared" ca="1" si="262"/>
        <v>0</v>
      </c>
      <c r="BG311" s="867">
        <f t="shared" ca="1" si="263"/>
        <v>0</v>
      </c>
      <c r="BI311" s="867">
        <f ca="1"/>
        <v>0</v>
      </c>
      <c r="BJ311" s="867">
        <f ca="1"/>
        <v>0</v>
      </c>
      <c r="BK311" s="867">
        <f ca="1"/>
        <v>0</v>
      </c>
      <c r="BL311" s="867">
        <f t="shared" ca="1" si="264"/>
        <v>0</v>
      </c>
      <c r="BM311" s="867">
        <f t="shared" ca="1" si="265"/>
        <v>0</v>
      </c>
      <c r="BN311" s="867">
        <f t="shared" ca="1" si="266"/>
        <v>0</v>
      </c>
      <c r="BO311" s="867">
        <f t="shared" ca="1" si="267"/>
        <v>0</v>
      </c>
      <c r="BP311" s="867">
        <f t="shared" ca="1" si="268"/>
        <v>0</v>
      </c>
      <c r="BQ311" s="867">
        <f t="shared" ca="1" si="269"/>
        <v>0</v>
      </c>
      <c r="BR311" s="867">
        <f ca="1"/>
        <v>0</v>
      </c>
      <c r="BS311" s="867">
        <f ca="1"/>
        <v>0</v>
      </c>
      <c r="BT311" s="867">
        <f t="shared" ca="1" si="229"/>
        <v>0</v>
      </c>
      <c r="BU311" s="867">
        <f t="shared" ca="1" si="270"/>
        <v>0</v>
      </c>
      <c r="BX311" s="867">
        <f ca="1"/>
        <v>0</v>
      </c>
      <c r="BY311" s="867">
        <f t="shared" ca="1" si="271"/>
        <v>0</v>
      </c>
      <c r="BZ311" s="867">
        <f t="shared" ca="1" si="272"/>
        <v>0</v>
      </c>
      <c r="CA311" s="867">
        <f t="shared" ca="1" si="273"/>
        <v>0</v>
      </c>
      <c r="CB311" s="867">
        <f t="shared" ca="1" si="274"/>
        <v>0</v>
      </c>
      <c r="CC311" s="867">
        <f t="shared" ca="1" si="275"/>
        <v>0</v>
      </c>
      <c r="CD311" s="867">
        <f t="shared" ca="1" si="276"/>
        <v>0</v>
      </c>
    </row>
    <row r="312" spans="1:82" ht="17" hidden="1" thickTop="1" thickBot="1">
      <c r="A312" s="773">
        <f t="shared" si="226"/>
        <v>0</v>
      </c>
      <c r="B312" s="779"/>
      <c r="D312" s="660"/>
      <c r="E312" s="661"/>
      <c r="F312" s="862"/>
      <c r="G312" s="863"/>
      <c r="H312" s="961"/>
      <c r="I312" s="865">
        <f t="shared" si="230"/>
        <v>0</v>
      </c>
      <c r="J312" s="864" cm="1">
        <f t="array" ref="J312">IF($G312=0,0,-MIN(0,G312*c_equity.LPshare))</f>
        <v>0</v>
      </c>
      <c r="K312" s="865" cm="1">
        <f t="array" ref="K312">I312*c_rate.Pref.MO</f>
        <v>0</v>
      </c>
      <c r="L312" s="865">
        <f t="shared" si="231"/>
        <v>0</v>
      </c>
      <c r="M312" s="865">
        <f t="shared" si="232"/>
        <v>0</v>
      </c>
      <c r="N312" s="865">
        <f t="shared" si="233"/>
        <v>0</v>
      </c>
      <c r="O312" s="864" cm="1">
        <f t="array" ref="O312">IF(N312=0,0,IF(G312&lt;0,N312/c_equity.LPshare*i_equity.GPshare,L312/c_equity.LPshare*i_equity.GPshare))</f>
        <v>0</v>
      </c>
      <c r="P312" s="865">
        <f t="shared" si="234"/>
        <v>0</v>
      </c>
      <c r="Q312" s="865">
        <f t="shared" si="235"/>
        <v>0</v>
      </c>
      <c r="R312" s="161"/>
      <c r="S312" s="867">
        <f t="shared" ca="1" si="236"/>
        <v>0</v>
      </c>
      <c r="T312" s="867" cm="1">
        <f t="array" ref="T312">IF($G312=0,0,-MIN(0,$G312*c_equity.LPshare))</f>
        <v>0</v>
      </c>
      <c r="U312" s="869" cm="1">
        <f t="array" ref="U312">IF($D312=0,0,S312*c_rate.Hurdle1.MO)</f>
        <v>0</v>
      </c>
      <c r="V312" s="867">
        <f t="shared" si="237"/>
        <v>0</v>
      </c>
      <c r="W312" s="867">
        <f t="shared" ca="1" si="238"/>
        <v>0</v>
      </c>
      <c r="X312" s="869">
        <f t="shared" ca="1" si="239"/>
        <v>0</v>
      </c>
      <c r="Y312" s="869">
        <f t="shared" ca="1" si="240"/>
        <v>0</v>
      </c>
      <c r="Z312" s="869">
        <f t="shared" ca="1" si="241"/>
        <v>0</v>
      </c>
      <c r="AA312" s="869">
        <f t="shared" ca="1" si="242"/>
        <v>0</v>
      </c>
      <c r="AB312" s="867">
        <f t="shared" ca="1" si="243"/>
        <v>0</v>
      </c>
      <c r="AC312" s="161"/>
      <c r="AD312" s="869">
        <f t="shared" ca="1" si="244"/>
        <v>0</v>
      </c>
      <c r="AE312" s="867" cm="1">
        <f t="array" ref="AE312">IF($G312=0,0,-MIN(0,$G312*c_equity.LPshare))</f>
        <v>0</v>
      </c>
      <c r="AF312" s="869" cm="1">
        <f t="array" ref="AF312">IF($D312=0,0,AD312*(c_rate.Hurdle2.MO))</f>
        <v>0</v>
      </c>
      <c r="AG312" s="869">
        <f t="shared" ca="1" si="245"/>
        <v>0</v>
      </c>
      <c r="AH312" s="869">
        <f t="shared" ca="1" si="246"/>
        <v>0</v>
      </c>
      <c r="AI312" s="869">
        <f t="shared" ca="1" si="247"/>
        <v>0</v>
      </c>
      <c r="AJ312" s="870">
        <f t="shared" ca="1" si="248"/>
        <v>0</v>
      </c>
      <c r="AK312" s="867">
        <f t="shared" ca="1" si="249"/>
        <v>0</v>
      </c>
      <c r="AL312" s="869">
        <f t="shared" ca="1" si="227"/>
        <v>0</v>
      </c>
      <c r="AM312" s="869">
        <f t="shared" ca="1" si="250"/>
        <v>0</v>
      </c>
      <c r="AN312" s="867">
        <f t="shared" ca="1" si="251"/>
        <v>0</v>
      </c>
      <c r="AO312" s="161"/>
      <c r="AP312" s="869">
        <f t="shared" ca="1" si="252"/>
        <v>0</v>
      </c>
      <c r="AQ312" s="867" cm="1">
        <f t="array" ref="AQ312">IF($G312=0,0,-MIN(0,$G312*c_equity.LPshare))</f>
        <v>0</v>
      </c>
      <c r="AR312" s="869" cm="1">
        <f t="array" ref="AR312">IF($D312=0,0,AP312*(c_rate.Hurdle3.MO))</f>
        <v>0</v>
      </c>
      <c r="AS312" s="869">
        <f t="shared" ca="1" si="253"/>
        <v>0</v>
      </c>
      <c r="AT312" s="869">
        <f t="shared" ca="1" si="254"/>
        <v>0</v>
      </c>
      <c r="AU312" s="869">
        <f t="shared" ca="1" si="255"/>
        <v>0</v>
      </c>
      <c r="AV312" s="870">
        <f t="shared" ca="1" si="256"/>
        <v>0</v>
      </c>
      <c r="AW312" s="867">
        <f t="shared" ca="1" si="257"/>
        <v>0</v>
      </c>
      <c r="AX312" s="869">
        <f t="shared" ca="1" si="228"/>
        <v>0</v>
      </c>
      <c r="AY312" s="869">
        <f t="shared" ca="1" si="258"/>
        <v>0</v>
      </c>
      <c r="AZ312" s="867">
        <f t="shared" ca="1" si="259"/>
        <v>0</v>
      </c>
      <c r="BA312" s="161"/>
      <c r="BB312" s="867">
        <f t="shared" ca="1" si="260"/>
        <v>0</v>
      </c>
      <c r="BC312" s="867">
        <f t="shared" ca="1" si="225"/>
        <v>0</v>
      </c>
      <c r="BD312" s="658"/>
      <c r="BE312" s="867">
        <f t="shared" ca="1" si="261"/>
        <v>0</v>
      </c>
      <c r="BF312" s="867">
        <f t="shared" ca="1" si="262"/>
        <v>0</v>
      </c>
      <c r="BG312" s="867">
        <f t="shared" ca="1" si="263"/>
        <v>0</v>
      </c>
      <c r="BI312" s="867">
        <f ca="1"/>
        <v>0</v>
      </c>
      <c r="BJ312" s="867">
        <f ca="1"/>
        <v>0</v>
      </c>
      <c r="BK312" s="867">
        <f ca="1"/>
        <v>0</v>
      </c>
      <c r="BL312" s="867">
        <f t="shared" ca="1" si="264"/>
        <v>0</v>
      </c>
      <c r="BM312" s="867">
        <f t="shared" ca="1" si="265"/>
        <v>0</v>
      </c>
      <c r="BN312" s="867">
        <f t="shared" ca="1" si="266"/>
        <v>0</v>
      </c>
      <c r="BO312" s="867">
        <f t="shared" ca="1" si="267"/>
        <v>0</v>
      </c>
      <c r="BP312" s="867">
        <f t="shared" ca="1" si="268"/>
        <v>0</v>
      </c>
      <c r="BQ312" s="867">
        <f t="shared" ca="1" si="269"/>
        <v>0</v>
      </c>
      <c r="BR312" s="867">
        <f ca="1"/>
        <v>0</v>
      </c>
      <c r="BS312" s="867">
        <f ca="1"/>
        <v>0</v>
      </c>
      <c r="BT312" s="867">
        <f t="shared" ca="1" si="229"/>
        <v>0</v>
      </c>
      <c r="BU312" s="867">
        <f t="shared" ca="1" si="270"/>
        <v>0</v>
      </c>
      <c r="BX312" s="867">
        <f ca="1"/>
        <v>0</v>
      </c>
      <c r="BY312" s="867">
        <f t="shared" ca="1" si="271"/>
        <v>0</v>
      </c>
      <c r="BZ312" s="867">
        <f t="shared" ca="1" si="272"/>
        <v>0</v>
      </c>
      <c r="CA312" s="867">
        <f t="shared" ca="1" si="273"/>
        <v>0</v>
      </c>
      <c r="CB312" s="867">
        <f t="shared" ca="1" si="274"/>
        <v>0</v>
      </c>
      <c r="CC312" s="867">
        <f t="shared" ca="1" si="275"/>
        <v>0</v>
      </c>
      <c r="CD312" s="867">
        <f t="shared" ca="1" si="276"/>
        <v>0</v>
      </c>
    </row>
    <row r="313" spans="1:82" ht="17" hidden="1" thickTop="1" thickBot="1">
      <c r="A313" s="773">
        <f t="shared" si="226"/>
        <v>0</v>
      </c>
      <c r="B313" s="779"/>
      <c r="D313" s="660"/>
      <c r="E313" s="661"/>
      <c r="F313" s="862"/>
      <c r="G313" s="863"/>
      <c r="H313" s="961"/>
      <c r="I313" s="865">
        <f t="shared" si="230"/>
        <v>0</v>
      </c>
      <c r="J313" s="864" cm="1">
        <f t="array" ref="J313">IF($G313=0,0,-MIN(0,G313*c_equity.LPshare))</f>
        <v>0</v>
      </c>
      <c r="K313" s="865" cm="1">
        <f t="array" ref="K313">I313*c_rate.Pref.MO</f>
        <v>0</v>
      </c>
      <c r="L313" s="865">
        <f t="shared" si="231"/>
        <v>0</v>
      </c>
      <c r="M313" s="865">
        <f t="shared" si="232"/>
        <v>0</v>
      </c>
      <c r="N313" s="865">
        <f t="shared" si="233"/>
        <v>0</v>
      </c>
      <c r="O313" s="864" cm="1">
        <f t="array" ref="O313">IF(N313=0,0,IF(G313&lt;0,N313/c_equity.LPshare*i_equity.GPshare,L313/c_equity.LPshare*i_equity.GPshare))</f>
        <v>0</v>
      </c>
      <c r="P313" s="865">
        <f t="shared" si="234"/>
        <v>0</v>
      </c>
      <c r="Q313" s="865">
        <f t="shared" si="235"/>
        <v>0</v>
      </c>
      <c r="R313" s="161"/>
      <c r="S313" s="867">
        <f t="shared" ca="1" si="236"/>
        <v>0</v>
      </c>
      <c r="T313" s="867" cm="1">
        <f t="array" ref="T313">IF($G313=0,0,-MIN(0,$G313*c_equity.LPshare))</f>
        <v>0</v>
      </c>
      <c r="U313" s="869" cm="1">
        <f t="array" ref="U313">IF($D313=0,0,S313*c_rate.Hurdle1.MO)</f>
        <v>0</v>
      </c>
      <c r="V313" s="867">
        <f t="shared" si="237"/>
        <v>0</v>
      </c>
      <c r="W313" s="867">
        <f t="shared" ca="1" si="238"/>
        <v>0</v>
      </c>
      <c r="X313" s="869">
        <f t="shared" ca="1" si="239"/>
        <v>0</v>
      </c>
      <c r="Y313" s="869">
        <f t="shared" ca="1" si="240"/>
        <v>0</v>
      </c>
      <c r="Z313" s="869">
        <f t="shared" ca="1" si="241"/>
        <v>0</v>
      </c>
      <c r="AA313" s="869">
        <f t="shared" ca="1" si="242"/>
        <v>0</v>
      </c>
      <c r="AB313" s="867">
        <f t="shared" ca="1" si="243"/>
        <v>0</v>
      </c>
      <c r="AC313" s="161"/>
      <c r="AD313" s="869">
        <f t="shared" ca="1" si="244"/>
        <v>0</v>
      </c>
      <c r="AE313" s="867" cm="1">
        <f t="array" ref="AE313">IF($G313=0,0,-MIN(0,$G313*c_equity.LPshare))</f>
        <v>0</v>
      </c>
      <c r="AF313" s="869" cm="1">
        <f t="array" ref="AF313">IF($D313=0,0,AD313*(c_rate.Hurdle2.MO))</f>
        <v>0</v>
      </c>
      <c r="AG313" s="869">
        <f t="shared" ca="1" si="245"/>
        <v>0</v>
      </c>
      <c r="AH313" s="869">
        <f t="shared" ca="1" si="246"/>
        <v>0</v>
      </c>
      <c r="AI313" s="869">
        <f t="shared" ca="1" si="247"/>
        <v>0</v>
      </c>
      <c r="AJ313" s="870">
        <f t="shared" ca="1" si="248"/>
        <v>0</v>
      </c>
      <c r="AK313" s="867">
        <f t="shared" ca="1" si="249"/>
        <v>0</v>
      </c>
      <c r="AL313" s="869">
        <f t="shared" ca="1" si="227"/>
        <v>0</v>
      </c>
      <c r="AM313" s="869">
        <f t="shared" ca="1" si="250"/>
        <v>0</v>
      </c>
      <c r="AN313" s="867">
        <f t="shared" ca="1" si="251"/>
        <v>0</v>
      </c>
      <c r="AO313" s="161"/>
      <c r="AP313" s="869">
        <f t="shared" ca="1" si="252"/>
        <v>0</v>
      </c>
      <c r="AQ313" s="867" cm="1">
        <f t="array" ref="AQ313">IF($G313=0,0,-MIN(0,$G313*c_equity.LPshare))</f>
        <v>0</v>
      </c>
      <c r="AR313" s="869" cm="1">
        <f t="array" ref="AR313">IF($D313=0,0,AP313*(c_rate.Hurdle3.MO))</f>
        <v>0</v>
      </c>
      <c r="AS313" s="869">
        <f t="shared" ca="1" si="253"/>
        <v>0</v>
      </c>
      <c r="AT313" s="869">
        <f t="shared" ca="1" si="254"/>
        <v>0</v>
      </c>
      <c r="AU313" s="869">
        <f t="shared" ca="1" si="255"/>
        <v>0</v>
      </c>
      <c r="AV313" s="870">
        <f t="shared" ca="1" si="256"/>
        <v>0</v>
      </c>
      <c r="AW313" s="867">
        <f t="shared" ca="1" si="257"/>
        <v>0</v>
      </c>
      <c r="AX313" s="869">
        <f t="shared" ca="1" si="228"/>
        <v>0</v>
      </c>
      <c r="AY313" s="869">
        <f t="shared" ca="1" si="258"/>
        <v>0</v>
      </c>
      <c r="AZ313" s="867">
        <f t="shared" ca="1" si="259"/>
        <v>0</v>
      </c>
      <c r="BA313" s="161"/>
      <c r="BB313" s="867">
        <f t="shared" ca="1" si="260"/>
        <v>0</v>
      </c>
      <c r="BC313" s="867">
        <f t="shared" ca="1" si="225"/>
        <v>0</v>
      </c>
      <c r="BD313" s="658"/>
      <c r="BE313" s="867">
        <f t="shared" ca="1" si="261"/>
        <v>0</v>
      </c>
      <c r="BF313" s="867">
        <f t="shared" ca="1" si="262"/>
        <v>0</v>
      </c>
      <c r="BG313" s="867">
        <f t="shared" ca="1" si="263"/>
        <v>0</v>
      </c>
      <c r="BI313" s="867">
        <f ca="1"/>
        <v>0</v>
      </c>
      <c r="BJ313" s="867">
        <f ca="1"/>
        <v>0</v>
      </c>
      <c r="BK313" s="867">
        <f ca="1"/>
        <v>0</v>
      </c>
      <c r="BL313" s="867">
        <f t="shared" ca="1" si="264"/>
        <v>0</v>
      </c>
      <c r="BM313" s="867">
        <f t="shared" ca="1" si="265"/>
        <v>0</v>
      </c>
      <c r="BN313" s="867">
        <f t="shared" ca="1" si="266"/>
        <v>0</v>
      </c>
      <c r="BO313" s="867">
        <f t="shared" ca="1" si="267"/>
        <v>0</v>
      </c>
      <c r="BP313" s="867">
        <f t="shared" ca="1" si="268"/>
        <v>0</v>
      </c>
      <c r="BQ313" s="867">
        <f t="shared" ca="1" si="269"/>
        <v>0</v>
      </c>
      <c r="BR313" s="867">
        <f ca="1"/>
        <v>0</v>
      </c>
      <c r="BS313" s="867">
        <f ca="1"/>
        <v>0</v>
      </c>
      <c r="BT313" s="867">
        <f t="shared" ca="1" si="229"/>
        <v>0</v>
      </c>
      <c r="BU313" s="867">
        <f t="shared" ca="1" si="270"/>
        <v>0</v>
      </c>
      <c r="BX313" s="867">
        <f ca="1"/>
        <v>0</v>
      </c>
      <c r="BY313" s="867">
        <f t="shared" ca="1" si="271"/>
        <v>0</v>
      </c>
      <c r="BZ313" s="867">
        <f t="shared" ca="1" si="272"/>
        <v>0</v>
      </c>
      <c r="CA313" s="867">
        <f t="shared" ca="1" si="273"/>
        <v>0</v>
      </c>
      <c r="CB313" s="867">
        <f t="shared" ca="1" si="274"/>
        <v>0</v>
      </c>
      <c r="CC313" s="867">
        <f t="shared" ca="1" si="275"/>
        <v>0</v>
      </c>
      <c r="CD313" s="867">
        <f t="shared" ca="1" si="276"/>
        <v>0</v>
      </c>
    </row>
    <row r="314" spans="1:82" ht="17" hidden="1" thickTop="1" thickBot="1">
      <c r="A314" s="773">
        <f t="shared" si="226"/>
        <v>0</v>
      </c>
      <c r="B314" s="779"/>
      <c r="D314" s="660"/>
      <c r="E314" s="661"/>
      <c r="F314" s="862"/>
      <c r="G314" s="863"/>
      <c r="H314" s="961"/>
      <c r="I314" s="865">
        <f t="shared" si="230"/>
        <v>0</v>
      </c>
      <c r="J314" s="864" cm="1">
        <f t="array" ref="J314">IF($G314=0,0,-MIN(0,G314*c_equity.LPshare))</f>
        <v>0</v>
      </c>
      <c r="K314" s="865" cm="1">
        <f t="array" ref="K314">I314*c_rate.Pref.MO</f>
        <v>0</v>
      </c>
      <c r="L314" s="865">
        <f t="shared" si="231"/>
        <v>0</v>
      </c>
      <c r="M314" s="865">
        <f t="shared" si="232"/>
        <v>0</v>
      </c>
      <c r="N314" s="865">
        <f t="shared" si="233"/>
        <v>0</v>
      </c>
      <c r="O314" s="864" cm="1">
        <f t="array" ref="O314">IF(N314=0,0,IF(G314&lt;0,N314/c_equity.LPshare*i_equity.GPshare,L314/c_equity.LPshare*i_equity.GPshare))</f>
        <v>0</v>
      </c>
      <c r="P314" s="865">
        <f t="shared" si="234"/>
        <v>0</v>
      </c>
      <c r="Q314" s="865">
        <f t="shared" si="235"/>
        <v>0</v>
      </c>
      <c r="R314" s="161"/>
      <c r="S314" s="867">
        <f t="shared" ca="1" si="236"/>
        <v>0</v>
      </c>
      <c r="T314" s="867" cm="1">
        <f t="array" ref="T314">IF($G314=0,0,-MIN(0,$G314*c_equity.LPshare))</f>
        <v>0</v>
      </c>
      <c r="U314" s="869" cm="1">
        <f t="array" ref="U314">IF($D314=0,0,S314*c_rate.Hurdle1.MO)</f>
        <v>0</v>
      </c>
      <c r="V314" s="867">
        <f t="shared" si="237"/>
        <v>0</v>
      </c>
      <c r="W314" s="867">
        <f t="shared" ca="1" si="238"/>
        <v>0</v>
      </c>
      <c r="X314" s="869">
        <f t="shared" ca="1" si="239"/>
        <v>0</v>
      </c>
      <c r="Y314" s="869">
        <f t="shared" ca="1" si="240"/>
        <v>0</v>
      </c>
      <c r="Z314" s="869">
        <f t="shared" ca="1" si="241"/>
        <v>0</v>
      </c>
      <c r="AA314" s="869">
        <f t="shared" ca="1" si="242"/>
        <v>0</v>
      </c>
      <c r="AB314" s="867">
        <f t="shared" ca="1" si="243"/>
        <v>0</v>
      </c>
      <c r="AC314" s="161"/>
      <c r="AD314" s="869">
        <f t="shared" ca="1" si="244"/>
        <v>0</v>
      </c>
      <c r="AE314" s="867" cm="1">
        <f t="array" ref="AE314">IF($G314=0,0,-MIN(0,$G314*c_equity.LPshare))</f>
        <v>0</v>
      </c>
      <c r="AF314" s="869" cm="1">
        <f t="array" ref="AF314">IF($D314=0,0,AD314*(c_rate.Hurdle2.MO))</f>
        <v>0</v>
      </c>
      <c r="AG314" s="869">
        <f t="shared" ca="1" si="245"/>
        <v>0</v>
      </c>
      <c r="AH314" s="869">
        <f t="shared" ca="1" si="246"/>
        <v>0</v>
      </c>
      <c r="AI314" s="869">
        <f t="shared" ca="1" si="247"/>
        <v>0</v>
      </c>
      <c r="AJ314" s="870">
        <f t="shared" ca="1" si="248"/>
        <v>0</v>
      </c>
      <c r="AK314" s="867">
        <f t="shared" ca="1" si="249"/>
        <v>0</v>
      </c>
      <c r="AL314" s="869">
        <f t="shared" ca="1" si="227"/>
        <v>0</v>
      </c>
      <c r="AM314" s="869">
        <f t="shared" ca="1" si="250"/>
        <v>0</v>
      </c>
      <c r="AN314" s="867">
        <f t="shared" ca="1" si="251"/>
        <v>0</v>
      </c>
      <c r="AO314" s="161"/>
      <c r="AP314" s="869">
        <f t="shared" ca="1" si="252"/>
        <v>0</v>
      </c>
      <c r="AQ314" s="867" cm="1">
        <f t="array" ref="AQ314">IF($G314=0,0,-MIN(0,$G314*c_equity.LPshare))</f>
        <v>0</v>
      </c>
      <c r="AR314" s="869" cm="1">
        <f t="array" ref="AR314">IF($D314=0,0,AP314*(c_rate.Hurdle3.MO))</f>
        <v>0</v>
      </c>
      <c r="AS314" s="869">
        <f t="shared" ca="1" si="253"/>
        <v>0</v>
      </c>
      <c r="AT314" s="869">
        <f t="shared" ca="1" si="254"/>
        <v>0</v>
      </c>
      <c r="AU314" s="869">
        <f t="shared" ca="1" si="255"/>
        <v>0</v>
      </c>
      <c r="AV314" s="870">
        <f t="shared" ca="1" si="256"/>
        <v>0</v>
      </c>
      <c r="AW314" s="867">
        <f t="shared" ca="1" si="257"/>
        <v>0</v>
      </c>
      <c r="AX314" s="869">
        <f t="shared" ca="1" si="228"/>
        <v>0</v>
      </c>
      <c r="AY314" s="869">
        <f t="shared" ca="1" si="258"/>
        <v>0</v>
      </c>
      <c r="AZ314" s="867">
        <f t="shared" ca="1" si="259"/>
        <v>0</v>
      </c>
      <c r="BA314" s="161"/>
      <c r="BB314" s="867">
        <f t="shared" ca="1" si="260"/>
        <v>0</v>
      </c>
      <c r="BC314" s="867">
        <f t="shared" ca="1" si="225"/>
        <v>0</v>
      </c>
      <c r="BD314" s="658"/>
      <c r="BE314" s="867">
        <f t="shared" ca="1" si="261"/>
        <v>0</v>
      </c>
      <c r="BF314" s="867">
        <f t="shared" ca="1" si="262"/>
        <v>0</v>
      </c>
      <c r="BG314" s="867">
        <f t="shared" ca="1" si="263"/>
        <v>0</v>
      </c>
      <c r="BI314" s="867">
        <f ca="1"/>
        <v>0</v>
      </c>
      <c r="BJ314" s="867">
        <f ca="1"/>
        <v>0</v>
      </c>
      <c r="BK314" s="867">
        <f ca="1"/>
        <v>0</v>
      </c>
      <c r="BL314" s="867">
        <f t="shared" ca="1" si="264"/>
        <v>0</v>
      </c>
      <c r="BM314" s="867">
        <f t="shared" ca="1" si="265"/>
        <v>0</v>
      </c>
      <c r="BN314" s="867">
        <f t="shared" ca="1" si="266"/>
        <v>0</v>
      </c>
      <c r="BO314" s="867">
        <f t="shared" ca="1" si="267"/>
        <v>0</v>
      </c>
      <c r="BP314" s="867">
        <f t="shared" ca="1" si="268"/>
        <v>0</v>
      </c>
      <c r="BQ314" s="867">
        <f t="shared" ca="1" si="269"/>
        <v>0</v>
      </c>
      <c r="BR314" s="867">
        <f ca="1"/>
        <v>0</v>
      </c>
      <c r="BS314" s="867">
        <f ca="1"/>
        <v>0</v>
      </c>
      <c r="BT314" s="867">
        <f t="shared" ca="1" si="229"/>
        <v>0</v>
      </c>
      <c r="BU314" s="867">
        <f t="shared" ca="1" si="270"/>
        <v>0</v>
      </c>
      <c r="BX314" s="867">
        <f ca="1"/>
        <v>0</v>
      </c>
      <c r="BY314" s="867">
        <f t="shared" ca="1" si="271"/>
        <v>0</v>
      </c>
      <c r="BZ314" s="867">
        <f t="shared" ca="1" si="272"/>
        <v>0</v>
      </c>
      <c r="CA314" s="867">
        <f t="shared" ca="1" si="273"/>
        <v>0</v>
      </c>
      <c r="CB314" s="867">
        <f t="shared" ca="1" si="274"/>
        <v>0</v>
      </c>
      <c r="CC314" s="867">
        <f t="shared" ca="1" si="275"/>
        <v>0</v>
      </c>
      <c r="CD314" s="867">
        <f t="shared" ca="1" si="276"/>
        <v>0</v>
      </c>
    </row>
    <row r="315" spans="1:82" ht="17" hidden="1" thickTop="1" thickBot="1">
      <c r="A315" s="773">
        <f t="shared" si="226"/>
        <v>0</v>
      </c>
      <c r="B315" s="779"/>
      <c r="D315" s="660"/>
      <c r="E315" s="661"/>
      <c r="F315" s="862"/>
      <c r="G315" s="863"/>
      <c r="H315" s="961"/>
      <c r="I315" s="865">
        <f t="shared" si="230"/>
        <v>0</v>
      </c>
      <c r="J315" s="864" cm="1">
        <f t="array" ref="J315">IF($G315=0,0,-MIN(0,G315*c_equity.LPshare))</f>
        <v>0</v>
      </c>
      <c r="K315" s="865" cm="1">
        <f t="array" ref="K315">I315*c_rate.Pref.MO</f>
        <v>0</v>
      </c>
      <c r="L315" s="865">
        <f t="shared" si="231"/>
        <v>0</v>
      </c>
      <c r="M315" s="865">
        <f t="shared" si="232"/>
        <v>0</v>
      </c>
      <c r="N315" s="865">
        <f t="shared" si="233"/>
        <v>0</v>
      </c>
      <c r="O315" s="864" cm="1">
        <f t="array" ref="O315">IF(N315=0,0,IF(G315&lt;0,N315/c_equity.LPshare*i_equity.GPshare,L315/c_equity.LPshare*i_equity.GPshare))</f>
        <v>0</v>
      </c>
      <c r="P315" s="865">
        <f t="shared" si="234"/>
        <v>0</v>
      </c>
      <c r="Q315" s="865">
        <f t="shared" si="235"/>
        <v>0</v>
      </c>
      <c r="R315" s="161"/>
      <c r="S315" s="867">
        <f t="shared" ca="1" si="236"/>
        <v>0</v>
      </c>
      <c r="T315" s="867" cm="1">
        <f t="array" ref="T315">IF($G315=0,0,-MIN(0,$G315*c_equity.LPshare))</f>
        <v>0</v>
      </c>
      <c r="U315" s="869" cm="1">
        <f t="array" ref="U315">IF($D315=0,0,S315*c_rate.Hurdle1.MO)</f>
        <v>0</v>
      </c>
      <c r="V315" s="867">
        <f t="shared" si="237"/>
        <v>0</v>
      </c>
      <c r="W315" s="867">
        <f t="shared" ca="1" si="238"/>
        <v>0</v>
      </c>
      <c r="X315" s="869">
        <f t="shared" ca="1" si="239"/>
        <v>0</v>
      </c>
      <c r="Y315" s="869">
        <f t="shared" ca="1" si="240"/>
        <v>0</v>
      </c>
      <c r="Z315" s="869">
        <f t="shared" ca="1" si="241"/>
        <v>0</v>
      </c>
      <c r="AA315" s="869">
        <f t="shared" ca="1" si="242"/>
        <v>0</v>
      </c>
      <c r="AB315" s="867">
        <f t="shared" ca="1" si="243"/>
        <v>0</v>
      </c>
      <c r="AC315" s="161"/>
      <c r="AD315" s="869">
        <f t="shared" ca="1" si="244"/>
        <v>0</v>
      </c>
      <c r="AE315" s="867" cm="1">
        <f t="array" ref="AE315">IF($G315=0,0,-MIN(0,$G315*c_equity.LPshare))</f>
        <v>0</v>
      </c>
      <c r="AF315" s="869" cm="1">
        <f t="array" ref="AF315">IF($D315=0,0,AD315*(c_rate.Hurdle2.MO))</f>
        <v>0</v>
      </c>
      <c r="AG315" s="869">
        <f t="shared" ca="1" si="245"/>
        <v>0</v>
      </c>
      <c r="AH315" s="869">
        <f t="shared" ca="1" si="246"/>
        <v>0</v>
      </c>
      <c r="AI315" s="869">
        <f t="shared" ca="1" si="247"/>
        <v>0</v>
      </c>
      <c r="AJ315" s="870">
        <f t="shared" ca="1" si="248"/>
        <v>0</v>
      </c>
      <c r="AK315" s="867">
        <f t="shared" ca="1" si="249"/>
        <v>0</v>
      </c>
      <c r="AL315" s="869">
        <f t="shared" ca="1" si="227"/>
        <v>0</v>
      </c>
      <c r="AM315" s="869">
        <f t="shared" ca="1" si="250"/>
        <v>0</v>
      </c>
      <c r="AN315" s="867">
        <f t="shared" ca="1" si="251"/>
        <v>0</v>
      </c>
      <c r="AO315" s="161"/>
      <c r="AP315" s="869">
        <f t="shared" ca="1" si="252"/>
        <v>0</v>
      </c>
      <c r="AQ315" s="867" cm="1">
        <f t="array" ref="AQ315">IF($G315=0,0,-MIN(0,$G315*c_equity.LPshare))</f>
        <v>0</v>
      </c>
      <c r="AR315" s="869" cm="1">
        <f t="array" ref="AR315">IF($D315=0,0,AP315*(c_rate.Hurdle3.MO))</f>
        <v>0</v>
      </c>
      <c r="AS315" s="869">
        <f t="shared" ca="1" si="253"/>
        <v>0</v>
      </c>
      <c r="AT315" s="869">
        <f t="shared" ca="1" si="254"/>
        <v>0</v>
      </c>
      <c r="AU315" s="869">
        <f t="shared" ca="1" si="255"/>
        <v>0</v>
      </c>
      <c r="AV315" s="870">
        <f t="shared" ca="1" si="256"/>
        <v>0</v>
      </c>
      <c r="AW315" s="867">
        <f t="shared" ca="1" si="257"/>
        <v>0</v>
      </c>
      <c r="AX315" s="869">
        <f t="shared" ca="1" si="228"/>
        <v>0</v>
      </c>
      <c r="AY315" s="869">
        <f t="shared" ca="1" si="258"/>
        <v>0</v>
      </c>
      <c r="AZ315" s="867">
        <f t="shared" ca="1" si="259"/>
        <v>0</v>
      </c>
      <c r="BA315" s="161"/>
      <c r="BB315" s="867">
        <f t="shared" ca="1" si="260"/>
        <v>0</v>
      </c>
      <c r="BC315" s="867">
        <f t="shared" ca="1" si="225"/>
        <v>0</v>
      </c>
      <c r="BD315" s="658"/>
      <c r="BE315" s="867">
        <f t="shared" ca="1" si="261"/>
        <v>0</v>
      </c>
      <c r="BF315" s="867">
        <f t="shared" ca="1" si="262"/>
        <v>0</v>
      </c>
      <c r="BG315" s="867">
        <f t="shared" ca="1" si="263"/>
        <v>0</v>
      </c>
      <c r="BI315" s="867">
        <f ca="1"/>
        <v>0</v>
      </c>
      <c r="BJ315" s="867">
        <f ca="1"/>
        <v>0</v>
      </c>
      <c r="BK315" s="867">
        <f ca="1"/>
        <v>0</v>
      </c>
      <c r="BL315" s="867">
        <f t="shared" ca="1" si="264"/>
        <v>0</v>
      </c>
      <c r="BM315" s="867">
        <f t="shared" ca="1" si="265"/>
        <v>0</v>
      </c>
      <c r="BN315" s="867">
        <f t="shared" ca="1" si="266"/>
        <v>0</v>
      </c>
      <c r="BO315" s="867">
        <f t="shared" ca="1" si="267"/>
        <v>0</v>
      </c>
      <c r="BP315" s="867">
        <f t="shared" ca="1" si="268"/>
        <v>0</v>
      </c>
      <c r="BQ315" s="867">
        <f t="shared" ca="1" si="269"/>
        <v>0</v>
      </c>
      <c r="BR315" s="867">
        <f ca="1"/>
        <v>0</v>
      </c>
      <c r="BS315" s="867">
        <f ca="1"/>
        <v>0</v>
      </c>
      <c r="BT315" s="867">
        <f t="shared" ca="1" si="229"/>
        <v>0</v>
      </c>
      <c r="BU315" s="867">
        <f t="shared" ca="1" si="270"/>
        <v>0</v>
      </c>
      <c r="BX315" s="867">
        <f ca="1"/>
        <v>0</v>
      </c>
      <c r="BY315" s="867">
        <f t="shared" ca="1" si="271"/>
        <v>0</v>
      </c>
      <c r="BZ315" s="867">
        <f t="shared" ca="1" si="272"/>
        <v>0</v>
      </c>
      <c r="CA315" s="867">
        <f t="shared" ca="1" si="273"/>
        <v>0</v>
      </c>
      <c r="CB315" s="867">
        <f t="shared" ca="1" si="274"/>
        <v>0</v>
      </c>
      <c r="CC315" s="867">
        <f t="shared" ca="1" si="275"/>
        <v>0</v>
      </c>
      <c r="CD315" s="867">
        <f t="shared" ca="1" si="276"/>
        <v>0</v>
      </c>
    </row>
    <row r="316" spans="1:82" ht="17" hidden="1" thickTop="1" thickBot="1">
      <c r="A316" s="773">
        <f t="shared" si="226"/>
        <v>0</v>
      </c>
      <c r="B316" s="779"/>
      <c r="D316" s="660"/>
      <c r="E316" s="661"/>
      <c r="F316" s="862"/>
      <c r="G316" s="863"/>
      <c r="H316" s="961"/>
      <c r="I316" s="865">
        <f t="shared" si="230"/>
        <v>0</v>
      </c>
      <c r="J316" s="864" cm="1">
        <f t="array" ref="J316">IF($G316=0,0,-MIN(0,G316*c_equity.LPshare))</f>
        <v>0</v>
      </c>
      <c r="K316" s="865" cm="1">
        <f t="array" ref="K316">I316*c_rate.Pref.MO</f>
        <v>0</v>
      </c>
      <c r="L316" s="865">
        <f t="shared" si="231"/>
        <v>0</v>
      </c>
      <c r="M316" s="865">
        <f t="shared" si="232"/>
        <v>0</v>
      </c>
      <c r="N316" s="865">
        <f t="shared" si="233"/>
        <v>0</v>
      </c>
      <c r="O316" s="864" cm="1">
        <f t="array" ref="O316">IF(N316=0,0,IF(G316&lt;0,N316/c_equity.LPshare*i_equity.GPshare,L316/c_equity.LPshare*i_equity.GPshare))</f>
        <v>0</v>
      </c>
      <c r="P316" s="865">
        <f t="shared" si="234"/>
        <v>0</v>
      </c>
      <c r="Q316" s="865">
        <f t="shared" si="235"/>
        <v>0</v>
      </c>
      <c r="R316" s="161"/>
      <c r="S316" s="867">
        <f t="shared" ca="1" si="236"/>
        <v>0</v>
      </c>
      <c r="T316" s="867" cm="1">
        <f t="array" ref="T316">IF($G316=0,0,-MIN(0,$G316*c_equity.LPshare))</f>
        <v>0</v>
      </c>
      <c r="U316" s="869" cm="1">
        <f t="array" ref="U316">IF($D316=0,0,S316*c_rate.Hurdle1.MO)</f>
        <v>0</v>
      </c>
      <c r="V316" s="867">
        <f t="shared" si="237"/>
        <v>0</v>
      </c>
      <c r="W316" s="867">
        <f t="shared" ca="1" si="238"/>
        <v>0</v>
      </c>
      <c r="X316" s="869">
        <f t="shared" ca="1" si="239"/>
        <v>0</v>
      </c>
      <c r="Y316" s="869">
        <f t="shared" ca="1" si="240"/>
        <v>0</v>
      </c>
      <c r="Z316" s="869">
        <f t="shared" ca="1" si="241"/>
        <v>0</v>
      </c>
      <c r="AA316" s="869">
        <f t="shared" ca="1" si="242"/>
        <v>0</v>
      </c>
      <c r="AB316" s="867">
        <f t="shared" ca="1" si="243"/>
        <v>0</v>
      </c>
      <c r="AC316" s="161"/>
      <c r="AD316" s="869">
        <f t="shared" ca="1" si="244"/>
        <v>0</v>
      </c>
      <c r="AE316" s="867" cm="1">
        <f t="array" ref="AE316">IF($G316=0,0,-MIN(0,$G316*c_equity.LPshare))</f>
        <v>0</v>
      </c>
      <c r="AF316" s="869" cm="1">
        <f t="array" ref="AF316">IF($D316=0,0,AD316*(c_rate.Hurdle2.MO))</f>
        <v>0</v>
      </c>
      <c r="AG316" s="869">
        <f t="shared" ca="1" si="245"/>
        <v>0</v>
      </c>
      <c r="AH316" s="869">
        <f t="shared" ca="1" si="246"/>
        <v>0</v>
      </c>
      <c r="AI316" s="869">
        <f t="shared" ca="1" si="247"/>
        <v>0</v>
      </c>
      <c r="AJ316" s="870">
        <f t="shared" ca="1" si="248"/>
        <v>0</v>
      </c>
      <c r="AK316" s="867">
        <f t="shared" ca="1" si="249"/>
        <v>0</v>
      </c>
      <c r="AL316" s="869">
        <f t="shared" ca="1" si="227"/>
        <v>0</v>
      </c>
      <c r="AM316" s="869">
        <f t="shared" ca="1" si="250"/>
        <v>0</v>
      </c>
      <c r="AN316" s="867">
        <f t="shared" ca="1" si="251"/>
        <v>0</v>
      </c>
      <c r="AO316" s="161"/>
      <c r="AP316" s="869">
        <f t="shared" ca="1" si="252"/>
        <v>0</v>
      </c>
      <c r="AQ316" s="867" cm="1">
        <f t="array" ref="AQ316">IF($G316=0,0,-MIN(0,$G316*c_equity.LPshare))</f>
        <v>0</v>
      </c>
      <c r="AR316" s="869" cm="1">
        <f t="array" ref="AR316">IF($D316=0,0,AP316*(c_rate.Hurdle3.MO))</f>
        <v>0</v>
      </c>
      <c r="AS316" s="869">
        <f t="shared" ca="1" si="253"/>
        <v>0</v>
      </c>
      <c r="AT316" s="869">
        <f t="shared" ca="1" si="254"/>
        <v>0</v>
      </c>
      <c r="AU316" s="869">
        <f t="shared" ca="1" si="255"/>
        <v>0</v>
      </c>
      <c r="AV316" s="870">
        <f t="shared" ca="1" si="256"/>
        <v>0</v>
      </c>
      <c r="AW316" s="867">
        <f t="shared" ca="1" si="257"/>
        <v>0</v>
      </c>
      <c r="AX316" s="869">
        <f t="shared" ca="1" si="228"/>
        <v>0</v>
      </c>
      <c r="AY316" s="869">
        <f t="shared" ca="1" si="258"/>
        <v>0</v>
      </c>
      <c r="AZ316" s="867">
        <f t="shared" ca="1" si="259"/>
        <v>0</v>
      </c>
      <c r="BA316" s="161"/>
      <c r="BB316" s="867">
        <f t="shared" ca="1" si="260"/>
        <v>0</v>
      </c>
      <c r="BC316" s="867">
        <f t="shared" ca="1" si="225"/>
        <v>0</v>
      </c>
      <c r="BD316" s="658"/>
      <c r="BE316" s="867">
        <f t="shared" ca="1" si="261"/>
        <v>0</v>
      </c>
      <c r="BF316" s="867">
        <f t="shared" ca="1" si="262"/>
        <v>0</v>
      </c>
      <c r="BG316" s="867">
        <f t="shared" ca="1" si="263"/>
        <v>0</v>
      </c>
      <c r="BI316" s="867">
        <f ca="1"/>
        <v>0</v>
      </c>
      <c r="BJ316" s="867">
        <f ca="1"/>
        <v>0</v>
      </c>
      <c r="BK316" s="867">
        <f ca="1"/>
        <v>0</v>
      </c>
      <c r="BL316" s="867">
        <f t="shared" ca="1" si="264"/>
        <v>0</v>
      </c>
      <c r="BM316" s="867">
        <f t="shared" ca="1" si="265"/>
        <v>0</v>
      </c>
      <c r="BN316" s="867">
        <f t="shared" ca="1" si="266"/>
        <v>0</v>
      </c>
      <c r="BO316" s="867">
        <f t="shared" ca="1" si="267"/>
        <v>0</v>
      </c>
      <c r="BP316" s="867">
        <f t="shared" ca="1" si="268"/>
        <v>0</v>
      </c>
      <c r="BQ316" s="867">
        <f t="shared" ca="1" si="269"/>
        <v>0</v>
      </c>
      <c r="BR316" s="867">
        <f ca="1"/>
        <v>0</v>
      </c>
      <c r="BS316" s="867">
        <f ca="1"/>
        <v>0</v>
      </c>
      <c r="BT316" s="867">
        <f t="shared" ca="1" si="229"/>
        <v>0</v>
      </c>
      <c r="BU316" s="867">
        <f t="shared" ca="1" si="270"/>
        <v>0</v>
      </c>
      <c r="BX316" s="867">
        <f ca="1"/>
        <v>0</v>
      </c>
      <c r="BY316" s="867">
        <f t="shared" ca="1" si="271"/>
        <v>0</v>
      </c>
      <c r="BZ316" s="867">
        <f t="shared" ca="1" si="272"/>
        <v>0</v>
      </c>
      <c r="CA316" s="867">
        <f t="shared" ca="1" si="273"/>
        <v>0</v>
      </c>
      <c r="CB316" s="867">
        <f t="shared" ca="1" si="274"/>
        <v>0</v>
      </c>
      <c r="CC316" s="867">
        <f t="shared" ca="1" si="275"/>
        <v>0</v>
      </c>
      <c r="CD316" s="867">
        <f t="shared" ca="1" si="276"/>
        <v>0</v>
      </c>
    </row>
    <row r="317" spans="1:82" ht="17" hidden="1" thickTop="1" thickBot="1">
      <c r="A317" s="773">
        <f t="shared" si="226"/>
        <v>0</v>
      </c>
      <c r="B317" s="779"/>
      <c r="D317" s="660"/>
      <c r="E317" s="661"/>
      <c r="F317" s="862"/>
      <c r="G317" s="863"/>
      <c r="H317" s="961"/>
      <c r="I317" s="865">
        <f t="shared" si="230"/>
        <v>0</v>
      </c>
      <c r="J317" s="864" cm="1">
        <f t="array" ref="J317">IF($G317=0,0,-MIN(0,G317*c_equity.LPshare))</f>
        <v>0</v>
      </c>
      <c r="K317" s="865" cm="1">
        <f t="array" ref="K317">I317*c_rate.Pref.MO</f>
        <v>0</v>
      </c>
      <c r="L317" s="865">
        <f t="shared" si="231"/>
        <v>0</v>
      </c>
      <c r="M317" s="865">
        <f t="shared" si="232"/>
        <v>0</v>
      </c>
      <c r="N317" s="865">
        <f t="shared" si="233"/>
        <v>0</v>
      </c>
      <c r="O317" s="864" cm="1">
        <f t="array" ref="O317">IF(N317=0,0,IF(G317&lt;0,N317/c_equity.LPshare*i_equity.GPshare,L317/c_equity.LPshare*i_equity.GPshare))</f>
        <v>0</v>
      </c>
      <c r="P317" s="865">
        <f t="shared" si="234"/>
        <v>0</v>
      </c>
      <c r="Q317" s="865">
        <f t="shared" si="235"/>
        <v>0</v>
      </c>
      <c r="R317" s="161"/>
      <c r="S317" s="867">
        <f t="shared" ca="1" si="236"/>
        <v>0</v>
      </c>
      <c r="T317" s="867" cm="1">
        <f t="array" ref="T317">IF($G317=0,0,-MIN(0,$G317*c_equity.LPshare))</f>
        <v>0</v>
      </c>
      <c r="U317" s="869" cm="1">
        <f t="array" ref="U317">IF($D317=0,0,S317*c_rate.Hurdle1.MO)</f>
        <v>0</v>
      </c>
      <c r="V317" s="867">
        <f t="shared" si="237"/>
        <v>0</v>
      </c>
      <c r="W317" s="867">
        <f t="shared" ca="1" si="238"/>
        <v>0</v>
      </c>
      <c r="X317" s="869">
        <f t="shared" ca="1" si="239"/>
        <v>0</v>
      </c>
      <c r="Y317" s="869">
        <f t="shared" ca="1" si="240"/>
        <v>0</v>
      </c>
      <c r="Z317" s="869">
        <f t="shared" ca="1" si="241"/>
        <v>0</v>
      </c>
      <c r="AA317" s="869">
        <f t="shared" ca="1" si="242"/>
        <v>0</v>
      </c>
      <c r="AB317" s="867">
        <f t="shared" ca="1" si="243"/>
        <v>0</v>
      </c>
      <c r="AC317" s="161"/>
      <c r="AD317" s="869">
        <f t="shared" ca="1" si="244"/>
        <v>0</v>
      </c>
      <c r="AE317" s="867" cm="1">
        <f t="array" ref="AE317">IF($G317=0,0,-MIN(0,$G317*c_equity.LPshare))</f>
        <v>0</v>
      </c>
      <c r="AF317" s="869" cm="1">
        <f t="array" ref="AF317">IF($D317=0,0,AD317*(c_rate.Hurdle2.MO))</f>
        <v>0</v>
      </c>
      <c r="AG317" s="869">
        <f t="shared" ca="1" si="245"/>
        <v>0</v>
      </c>
      <c r="AH317" s="869">
        <f t="shared" ca="1" si="246"/>
        <v>0</v>
      </c>
      <c r="AI317" s="869">
        <f t="shared" ca="1" si="247"/>
        <v>0</v>
      </c>
      <c r="AJ317" s="870">
        <f t="shared" ca="1" si="248"/>
        <v>0</v>
      </c>
      <c r="AK317" s="867">
        <f t="shared" ca="1" si="249"/>
        <v>0</v>
      </c>
      <c r="AL317" s="869">
        <f t="shared" ca="1" si="227"/>
        <v>0</v>
      </c>
      <c r="AM317" s="869">
        <f t="shared" ca="1" si="250"/>
        <v>0</v>
      </c>
      <c r="AN317" s="867">
        <f t="shared" ca="1" si="251"/>
        <v>0</v>
      </c>
      <c r="AO317" s="161"/>
      <c r="AP317" s="869">
        <f t="shared" ca="1" si="252"/>
        <v>0</v>
      </c>
      <c r="AQ317" s="867" cm="1">
        <f t="array" ref="AQ317">IF($G317=0,0,-MIN(0,$G317*c_equity.LPshare))</f>
        <v>0</v>
      </c>
      <c r="AR317" s="869" cm="1">
        <f t="array" ref="AR317">IF($D317=0,0,AP317*(c_rate.Hurdle3.MO))</f>
        <v>0</v>
      </c>
      <c r="AS317" s="869">
        <f t="shared" ca="1" si="253"/>
        <v>0</v>
      </c>
      <c r="AT317" s="869">
        <f t="shared" ca="1" si="254"/>
        <v>0</v>
      </c>
      <c r="AU317" s="869">
        <f t="shared" ca="1" si="255"/>
        <v>0</v>
      </c>
      <c r="AV317" s="870">
        <f t="shared" ca="1" si="256"/>
        <v>0</v>
      </c>
      <c r="AW317" s="867">
        <f t="shared" ca="1" si="257"/>
        <v>0</v>
      </c>
      <c r="AX317" s="869">
        <f t="shared" ca="1" si="228"/>
        <v>0</v>
      </c>
      <c r="AY317" s="869">
        <f t="shared" ca="1" si="258"/>
        <v>0</v>
      </c>
      <c r="AZ317" s="867">
        <f t="shared" ca="1" si="259"/>
        <v>0</v>
      </c>
      <c r="BA317" s="161"/>
      <c r="BB317" s="867">
        <f t="shared" ca="1" si="260"/>
        <v>0</v>
      </c>
      <c r="BC317" s="867">
        <f t="shared" ca="1" si="225"/>
        <v>0</v>
      </c>
      <c r="BD317" s="658"/>
      <c r="BE317" s="867">
        <f t="shared" ca="1" si="261"/>
        <v>0</v>
      </c>
      <c r="BF317" s="867">
        <f t="shared" ca="1" si="262"/>
        <v>0</v>
      </c>
      <c r="BG317" s="867">
        <f t="shared" ca="1" si="263"/>
        <v>0</v>
      </c>
      <c r="BI317" s="867">
        <f ca="1"/>
        <v>0</v>
      </c>
      <c r="BJ317" s="867">
        <f ca="1"/>
        <v>0</v>
      </c>
      <c r="BK317" s="867">
        <f ca="1"/>
        <v>0</v>
      </c>
      <c r="BL317" s="867">
        <f t="shared" ca="1" si="264"/>
        <v>0</v>
      </c>
      <c r="BM317" s="867">
        <f t="shared" ca="1" si="265"/>
        <v>0</v>
      </c>
      <c r="BN317" s="867">
        <f t="shared" ca="1" si="266"/>
        <v>0</v>
      </c>
      <c r="BO317" s="867">
        <f t="shared" ca="1" si="267"/>
        <v>0</v>
      </c>
      <c r="BP317" s="867">
        <f t="shared" ca="1" si="268"/>
        <v>0</v>
      </c>
      <c r="BQ317" s="867">
        <f t="shared" ca="1" si="269"/>
        <v>0</v>
      </c>
      <c r="BR317" s="867">
        <f ca="1"/>
        <v>0</v>
      </c>
      <c r="BS317" s="867">
        <f ca="1"/>
        <v>0</v>
      </c>
      <c r="BT317" s="867">
        <f t="shared" ca="1" si="229"/>
        <v>0</v>
      </c>
      <c r="BU317" s="867">
        <f t="shared" ca="1" si="270"/>
        <v>0</v>
      </c>
      <c r="BX317" s="867">
        <f ca="1"/>
        <v>0</v>
      </c>
      <c r="BY317" s="867">
        <f t="shared" ca="1" si="271"/>
        <v>0</v>
      </c>
      <c r="BZ317" s="867">
        <f t="shared" ca="1" si="272"/>
        <v>0</v>
      </c>
      <c r="CA317" s="867">
        <f t="shared" ca="1" si="273"/>
        <v>0</v>
      </c>
      <c r="CB317" s="867">
        <f t="shared" ca="1" si="274"/>
        <v>0</v>
      </c>
      <c r="CC317" s="867">
        <f t="shared" ca="1" si="275"/>
        <v>0</v>
      </c>
      <c r="CD317" s="867">
        <f t="shared" ca="1" si="276"/>
        <v>0</v>
      </c>
    </row>
    <row r="318" spans="1:82" ht="17" hidden="1" thickTop="1" thickBot="1">
      <c r="A318" s="773">
        <f t="shared" si="226"/>
        <v>0</v>
      </c>
      <c r="B318" s="779"/>
      <c r="D318" s="660"/>
      <c r="E318" s="661"/>
      <c r="F318" s="862"/>
      <c r="G318" s="863"/>
      <c r="H318" s="961"/>
      <c r="I318" s="865">
        <f t="shared" si="230"/>
        <v>0</v>
      </c>
      <c r="J318" s="864" cm="1">
        <f t="array" ref="J318">IF($G318=0,0,-MIN(0,G318*c_equity.LPshare))</f>
        <v>0</v>
      </c>
      <c r="K318" s="865" cm="1">
        <f t="array" ref="K318">I318*c_rate.Pref.MO</f>
        <v>0</v>
      </c>
      <c r="L318" s="865">
        <f t="shared" si="231"/>
        <v>0</v>
      </c>
      <c r="M318" s="865">
        <f t="shared" si="232"/>
        <v>0</v>
      </c>
      <c r="N318" s="865">
        <f t="shared" si="233"/>
        <v>0</v>
      </c>
      <c r="O318" s="864" cm="1">
        <f t="array" ref="O318">IF(N318=0,0,IF(G318&lt;0,N318/c_equity.LPshare*i_equity.GPshare,L318/c_equity.LPshare*i_equity.GPshare))</f>
        <v>0</v>
      </c>
      <c r="P318" s="865">
        <f t="shared" si="234"/>
        <v>0</v>
      </c>
      <c r="Q318" s="865">
        <f t="shared" si="235"/>
        <v>0</v>
      </c>
      <c r="R318" s="161"/>
      <c r="S318" s="867">
        <f t="shared" ca="1" si="236"/>
        <v>0</v>
      </c>
      <c r="T318" s="867" cm="1">
        <f t="array" ref="T318">IF($G318=0,0,-MIN(0,$G318*c_equity.LPshare))</f>
        <v>0</v>
      </c>
      <c r="U318" s="869" cm="1">
        <f t="array" ref="U318">IF($D318=0,0,S318*c_rate.Hurdle1.MO)</f>
        <v>0</v>
      </c>
      <c r="V318" s="867">
        <f t="shared" si="237"/>
        <v>0</v>
      </c>
      <c r="W318" s="867">
        <f t="shared" ca="1" si="238"/>
        <v>0</v>
      </c>
      <c r="X318" s="869">
        <f t="shared" ca="1" si="239"/>
        <v>0</v>
      </c>
      <c r="Y318" s="869">
        <f t="shared" ca="1" si="240"/>
        <v>0</v>
      </c>
      <c r="Z318" s="869">
        <f t="shared" ca="1" si="241"/>
        <v>0</v>
      </c>
      <c r="AA318" s="869">
        <f t="shared" ca="1" si="242"/>
        <v>0</v>
      </c>
      <c r="AB318" s="867">
        <f t="shared" ca="1" si="243"/>
        <v>0</v>
      </c>
      <c r="AC318" s="161"/>
      <c r="AD318" s="869">
        <f t="shared" ca="1" si="244"/>
        <v>0</v>
      </c>
      <c r="AE318" s="867" cm="1">
        <f t="array" ref="AE318">IF($G318=0,0,-MIN(0,$G318*c_equity.LPshare))</f>
        <v>0</v>
      </c>
      <c r="AF318" s="869" cm="1">
        <f t="array" ref="AF318">IF($D318=0,0,AD318*(c_rate.Hurdle2.MO))</f>
        <v>0</v>
      </c>
      <c r="AG318" s="869">
        <f t="shared" ca="1" si="245"/>
        <v>0</v>
      </c>
      <c r="AH318" s="869">
        <f t="shared" ca="1" si="246"/>
        <v>0</v>
      </c>
      <c r="AI318" s="869">
        <f t="shared" ca="1" si="247"/>
        <v>0</v>
      </c>
      <c r="AJ318" s="870">
        <f t="shared" ca="1" si="248"/>
        <v>0</v>
      </c>
      <c r="AK318" s="867">
        <f t="shared" ca="1" si="249"/>
        <v>0</v>
      </c>
      <c r="AL318" s="869">
        <f t="shared" ca="1" si="227"/>
        <v>0</v>
      </c>
      <c r="AM318" s="869">
        <f t="shared" ca="1" si="250"/>
        <v>0</v>
      </c>
      <c r="AN318" s="867">
        <f t="shared" ca="1" si="251"/>
        <v>0</v>
      </c>
      <c r="AO318" s="161"/>
      <c r="AP318" s="869">
        <f t="shared" ca="1" si="252"/>
        <v>0</v>
      </c>
      <c r="AQ318" s="867" cm="1">
        <f t="array" ref="AQ318">IF($G318=0,0,-MIN(0,$G318*c_equity.LPshare))</f>
        <v>0</v>
      </c>
      <c r="AR318" s="869" cm="1">
        <f t="array" ref="AR318">IF($D318=0,0,AP318*(c_rate.Hurdle3.MO))</f>
        <v>0</v>
      </c>
      <c r="AS318" s="869">
        <f t="shared" ca="1" si="253"/>
        <v>0</v>
      </c>
      <c r="AT318" s="869">
        <f t="shared" ca="1" si="254"/>
        <v>0</v>
      </c>
      <c r="AU318" s="869">
        <f t="shared" ca="1" si="255"/>
        <v>0</v>
      </c>
      <c r="AV318" s="870">
        <f t="shared" ca="1" si="256"/>
        <v>0</v>
      </c>
      <c r="AW318" s="867">
        <f t="shared" ca="1" si="257"/>
        <v>0</v>
      </c>
      <c r="AX318" s="869">
        <f t="shared" ca="1" si="228"/>
        <v>0</v>
      </c>
      <c r="AY318" s="869">
        <f t="shared" ca="1" si="258"/>
        <v>0</v>
      </c>
      <c r="AZ318" s="867">
        <f t="shared" ca="1" si="259"/>
        <v>0</v>
      </c>
      <c r="BA318" s="161"/>
      <c r="BB318" s="867">
        <f t="shared" ca="1" si="260"/>
        <v>0</v>
      </c>
      <c r="BC318" s="867">
        <f t="shared" ca="1" si="225"/>
        <v>0</v>
      </c>
      <c r="BD318" s="658"/>
      <c r="BE318" s="867">
        <f t="shared" ca="1" si="261"/>
        <v>0</v>
      </c>
      <c r="BF318" s="867">
        <f t="shared" ca="1" si="262"/>
        <v>0</v>
      </c>
      <c r="BG318" s="867">
        <f t="shared" ca="1" si="263"/>
        <v>0</v>
      </c>
      <c r="BI318" s="867">
        <f ca="1"/>
        <v>0</v>
      </c>
      <c r="BJ318" s="867">
        <f ca="1"/>
        <v>0</v>
      </c>
      <c r="BK318" s="867">
        <f ca="1"/>
        <v>0</v>
      </c>
      <c r="BL318" s="867">
        <f t="shared" ca="1" si="264"/>
        <v>0</v>
      </c>
      <c r="BM318" s="867">
        <f t="shared" ca="1" si="265"/>
        <v>0</v>
      </c>
      <c r="BN318" s="867">
        <f t="shared" ca="1" si="266"/>
        <v>0</v>
      </c>
      <c r="BO318" s="867">
        <f t="shared" ca="1" si="267"/>
        <v>0</v>
      </c>
      <c r="BP318" s="867">
        <f t="shared" ca="1" si="268"/>
        <v>0</v>
      </c>
      <c r="BQ318" s="867">
        <f t="shared" ca="1" si="269"/>
        <v>0</v>
      </c>
      <c r="BR318" s="867">
        <f ca="1"/>
        <v>0</v>
      </c>
      <c r="BS318" s="867">
        <f ca="1"/>
        <v>0</v>
      </c>
      <c r="BT318" s="867">
        <f t="shared" ca="1" si="229"/>
        <v>0</v>
      </c>
      <c r="BU318" s="867">
        <f t="shared" ca="1" si="270"/>
        <v>0</v>
      </c>
      <c r="BX318" s="867">
        <f ca="1"/>
        <v>0</v>
      </c>
      <c r="BY318" s="867">
        <f t="shared" ca="1" si="271"/>
        <v>0</v>
      </c>
      <c r="BZ318" s="867">
        <f t="shared" ca="1" si="272"/>
        <v>0</v>
      </c>
      <c r="CA318" s="867">
        <f t="shared" ca="1" si="273"/>
        <v>0</v>
      </c>
      <c r="CB318" s="867">
        <f t="shared" ca="1" si="274"/>
        <v>0</v>
      </c>
      <c r="CC318" s="867">
        <f t="shared" ca="1" si="275"/>
        <v>0</v>
      </c>
      <c r="CD318" s="867">
        <f t="shared" ca="1" si="276"/>
        <v>0</v>
      </c>
    </row>
    <row r="319" spans="1:82" ht="17" hidden="1" thickTop="1" thickBot="1">
      <c r="A319" s="773">
        <f t="shared" si="226"/>
        <v>0</v>
      </c>
      <c r="B319" s="779"/>
      <c r="D319" s="660"/>
      <c r="E319" s="661"/>
      <c r="F319" s="862"/>
      <c r="G319" s="863"/>
      <c r="H319" s="961"/>
      <c r="I319" s="865">
        <f t="shared" si="230"/>
        <v>0</v>
      </c>
      <c r="J319" s="864" cm="1">
        <f t="array" ref="J319">IF($G319=0,0,-MIN(0,G319*c_equity.LPshare))</f>
        <v>0</v>
      </c>
      <c r="K319" s="865" cm="1">
        <f t="array" ref="K319">I319*c_rate.Pref.MO</f>
        <v>0</v>
      </c>
      <c r="L319" s="865">
        <f t="shared" si="231"/>
        <v>0</v>
      </c>
      <c r="M319" s="865">
        <f t="shared" si="232"/>
        <v>0</v>
      </c>
      <c r="N319" s="865">
        <f t="shared" si="233"/>
        <v>0</v>
      </c>
      <c r="O319" s="864" cm="1">
        <f t="array" ref="O319">IF(N319=0,0,IF(G319&lt;0,N319/c_equity.LPshare*i_equity.GPshare,L319/c_equity.LPshare*i_equity.GPshare))</f>
        <v>0</v>
      </c>
      <c r="P319" s="865">
        <f t="shared" si="234"/>
        <v>0</v>
      </c>
      <c r="Q319" s="865">
        <f t="shared" si="235"/>
        <v>0</v>
      </c>
      <c r="R319" s="161"/>
      <c r="S319" s="867">
        <f t="shared" ca="1" si="236"/>
        <v>0</v>
      </c>
      <c r="T319" s="867" cm="1">
        <f t="array" ref="T319">IF($G319=0,0,-MIN(0,$G319*c_equity.LPshare))</f>
        <v>0</v>
      </c>
      <c r="U319" s="869" cm="1">
        <f t="array" ref="U319">IF($D319=0,0,S319*c_rate.Hurdle1.MO)</f>
        <v>0</v>
      </c>
      <c r="V319" s="867">
        <f t="shared" si="237"/>
        <v>0</v>
      </c>
      <c r="W319" s="867">
        <f t="shared" ca="1" si="238"/>
        <v>0</v>
      </c>
      <c r="X319" s="869">
        <f t="shared" ca="1" si="239"/>
        <v>0</v>
      </c>
      <c r="Y319" s="869">
        <f t="shared" ca="1" si="240"/>
        <v>0</v>
      </c>
      <c r="Z319" s="869">
        <f t="shared" ca="1" si="241"/>
        <v>0</v>
      </c>
      <c r="AA319" s="869">
        <f t="shared" ca="1" si="242"/>
        <v>0</v>
      </c>
      <c r="AB319" s="867">
        <f t="shared" ca="1" si="243"/>
        <v>0</v>
      </c>
      <c r="AC319" s="161"/>
      <c r="AD319" s="869">
        <f t="shared" ca="1" si="244"/>
        <v>0</v>
      </c>
      <c r="AE319" s="867" cm="1">
        <f t="array" ref="AE319">IF($G319=0,0,-MIN(0,$G319*c_equity.LPshare))</f>
        <v>0</v>
      </c>
      <c r="AF319" s="869" cm="1">
        <f t="array" ref="AF319">IF($D319=0,0,AD319*(c_rate.Hurdle2.MO))</f>
        <v>0</v>
      </c>
      <c r="AG319" s="869">
        <f t="shared" ca="1" si="245"/>
        <v>0</v>
      </c>
      <c r="AH319" s="869">
        <f t="shared" ca="1" si="246"/>
        <v>0</v>
      </c>
      <c r="AI319" s="869">
        <f t="shared" ca="1" si="247"/>
        <v>0</v>
      </c>
      <c r="AJ319" s="870">
        <f t="shared" ca="1" si="248"/>
        <v>0</v>
      </c>
      <c r="AK319" s="867">
        <f t="shared" ca="1" si="249"/>
        <v>0</v>
      </c>
      <c r="AL319" s="869">
        <f t="shared" ca="1" si="227"/>
        <v>0</v>
      </c>
      <c r="AM319" s="869">
        <f t="shared" ca="1" si="250"/>
        <v>0</v>
      </c>
      <c r="AN319" s="867">
        <f t="shared" ca="1" si="251"/>
        <v>0</v>
      </c>
      <c r="AO319" s="161"/>
      <c r="AP319" s="869">
        <f t="shared" ca="1" si="252"/>
        <v>0</v>
      </c>
      <c r="AQ319" s="867" cm="1">
        <f t="array" ref="AQ319">IF($G319=0,0,-MIN(0,$G319*c_equity.LPshare))</f>
        <v>0</v>
      </c>
      <c r="AR319" s="869" cm="1">
        <f t="array" ref="AR319">IF($D319=0,0,AP319*(c_rate.Hurdle3.MO))</f>
        <v>0</v>
      </c>
      <c r="AS319" s="869">
        <f t="shared" ca="1" si="253"/>
        <v>0</v>
      </c>
      <c r="AT319" s="869">
        <f t="shared" ca="1" si="254"/>
        <v>0</v>
      </c>
      <c r="AU319" s="869">
        <f t="shared" ca="1" si="255"/>
        <v>0</v>
      </c>
      <c r="AV319" s="870">
        <f t="shared" ca="1" si="256"/>
        <v>0</v>
      </c>
      <c r="AW319" s="867">
        <f t="shared" ca="1" si="257"/>
        <v>0</v>
      </c>
      <c r="AX319" s="869">
        <f t="shared" ca="1" si="228"/>
        <v>0</v>
      </c>
      <c r="AY319" s="869">
        <f t="shared" ca="1" si="258"/>
        <v>0</v>
      </c>
      <c r="AZ319" s="867">
        <f t="shared" ca="1" si="259"/>
        <v>0</v>
      </c>
      <c r="BA319" s="161"/>
      <c r="BB319" s="867">
        <f t="shared" ca="1" si="260"/>
        <v>0</v>
      </c>
      <c r="BC319" s="867">
        <f t="shared" ca="1" si="225"/>
        <v>0</v>
      </c>
      <c r="BD319" s="658"/>
      <c r="BE319" s="867">
        <f t="shared" ca="1" si="261"/>
        <v>0</v>
      </c>
      <c r="BF319" s="867">
        <f t="shared" ca="1" si="262"/>
        <v>0</v>
      </c>
      <c r="BG319" s="867">
        <f t="shared" ca="1" si="263"/>
        <v>0</v>
      </c>
      <c r="BI319" s="867">
        <f ca="1"/>
        <v>0</v>
      </c>
      <c r="BJ319" s="867">
        <f ca="1"/>
        <v>0</v>
      </c>
      <c r="BK319" s="867">
        <f ca="1"/>
        <v>0</v>
      </c>
      <c r="BL319" s="867">
        <f t="shared" ca="1" si="264"/>
        <v>0</v>
      </c>
      <c r="BM319" s="867">
        <f t="shared" ca="1" si="265"/>
        <v>0</v>
      </c>
      <c r="BN319" s="867">
        <f t="shared" ca="1" si="266"/>
        <v>0</v>
      </c>
      <c r="BO319" s="867">
        <f t="shared" ca="1" si="267"/>
        <v>0</v>
      </c>
      <c r="BP319" s="867">
        <f t="shared" ca="1" si="268"/>
        <v>0</v>
      </c>
      <c r="BQ319" s="867">
        <f t="shared" ca="1" si="269"/>
        <v>0</v>
      </c>
      <c r="BR319" s="867">
        <f ca="1"/>
        <v>0</v>
      </c>
      <c r="BS319" s="867">
        <f ca="1"/>
        <v>0</v>
      </c>
      <c r="BT319" s="867">
        <f t="shared" ca="1" si="229"/>
        <v>0</v>
      </c>
      <c r="BU319" s="867">
        <f t="shared" ca="1" si="270"/>
        <v>0</v>
      </c>
      <c r="BX319" s="867">
        <f ca="1"/>
        <v>0</v>
      </c>
      <c r="BY319" s="867">
        <f t="shared" ca="1" si="271"/>
        <v>0</v>
      </c>
      <c r="BZ319" s="867">
        <f t="shared" ca="1" si="272"/>
        <v>0</v>
      </c>
      <c r="CA319" s="867">
        <f t="shared" ca="1" si="273"/>
        <v>0</v>
      </c>
      <c r="CB319" s="867">
        <f t="shared" ca="1" si="274"/>
        <v>0</v>
      </c>
      <c r="CC319" s="867">
        <f t="shared" ca="1" si="275"/>
        <v>0</v>
      </c>
      <c r="CD319" s="867">
        <f t="shared" ca="1" si="276"/>
        <v>0</v>
      </c>
    </row>
    <row r="320" spans="1:82" ht="17" hidden="1" thickTop="1" thickBot="1">
      <c r="A320" s="773">
        <f t="shared" si="226"/>
        <v>0</v>
      </c>
      <c r="B320" s="779"/>
      <c r="D320" s="660"/>
      <c r="E320" s="661"/>
      <c r="F320" s="862"/>
      <c r="G320" s="863"/>
      <c r="H320" s="961"/>
      <c r="I320" s="865">
        <f t="shared" si="230"/>
        <v>0</v>
      </c>
      <c r="J320" s="864" cm="1">
        <f t="array" ref="J320">IF($G320=0,0,-MIN(0,G320*c_equity.LPshare))</f>
        <v>0</v>
      </c>
      <c r="K320" s="865" cm="1">
        <f t="array" ref="K320">I320*c_rate.Pref.MO</f>
        <v>0</v>
      </c>
      <c r="L320" s="865">
        <f t="shared" si="231"/>
        <v>0</v>
      </c>
      <c r="M320" s="865">
        <f t="shared" si="232"/>
        <v>0</v>
      </c>
      <c r="N320" s="865">
        <f t="shared" si="233"/>
        <v>0</v>
      </c>
      <c r="O320" s="864" cm="1">
        <f t="array" ref="O320">IF(N320=0,0,IF(G320&lt;0,N320/c_equity.LPshare*i_equity.GPshare,L320/c_equity.LPshare*i_equity.GPshare))</f>
        <v>0</v>
      </c>
      <c r="P320" s="865">
        <f t="shared" si="234"/>
        <v>0</v>
      </c>
      <c r="Q320" s="865">
        <f t="shared" si="235"/>
        <v>0</v>
      </c>
      <c r="R320" s="161"/>
      <c r="S320" s="867">
        <f t="shared" ca="1" si="236"/>
        <v>0</v>
      </c>
      <c r="T320" s="867" cm="1">
        <f t="array" ref="T320">IF($G320=0,0,-MIN(0,$G320*c_equity.LPshare))</f>
        <v>0</v>
      </c>
      <c r="U320" s="869" cm="1">
        <f t="array" ref="U320">IF($D320=0,0,S320*c_rate.Hurdle1.MO)</f>
        <v>0</v>
      </c>
      <c r="V320" s="867">
        <f t="shared" si="237"/>
        <v>0</v>
      </c>
      <c r="W320" s="867">
        <f t="shared" ca="1" si="238"/>
        <v>0</v>
      </c>
      <c r="X320" s="869">
        <f t="shared" ca="1" si="239"/>
        <v>0</v>
      </c>
      <c r="Y320" s="869">
        <f t="shared" ca="1" si="240"/>
        <v>0</v>
      </c>
      <c r="Z320" s="869">
        <f t="shared" ca="1" si="241"/>
        <v>0</v>
      </c>
      <c r="AA320" s="869">
        <f t="shared" ca="1" si="242"/>
        <v>0</v>
      </c>
      <c r="AB320" s="867">
        <f t="shared" ca="1" si="243"/>
        <v>0</v>
      </c>
      <c r="AC320" s="161"/>
      <c r="AD320" s="869">
        <f t="shared" ca="1" si="244"/>
        <v>0</v>
      </c>
      <c r="AE320" s="867" cm="1">
        <f t="array" ref="AE320">IF($G320=0,0,-MIN(0,$G320*c_equity.LPshare))</f>
        <v>0</v>
      </c>
      <c r="AF320" s="869" cm="1">
        <f t="array" ref="AF320">IF($D320=0,0,AD320*(c_rate.Hurdle2.MO))</f>
        <v>0</v>
      </c>
      <c r="AG320" s="869">
        <f t="shared" ca="1" si="245"/>
        <v>0</v>
      </c>
      <c r="AH320" s="869">
        <f t="shared" ca="1" si="246"/>
        <v>0</v>
      </c>
      <c r="AI320" s="869">
        <f t="shared" ca="1" si="247"/>
        <v>0</v>
      </c>
      <c r="AJ320" s="870">
        <f t="shared" ca="1" si="248"/>
        <v>0</v>
      </c>
      <c r="AK320" s="867">
        <f t="shared" ca="1" si="249"/>
        <v>0</v>
      </c>
      <c r="AL320" s="869">
        <f t="shared" ca="1" si="227"/>
        <v>0</v>
      </c>
      <c r="AM320" s="869">
        <f t="shared" ca="1" si="250"/>
        <v>0</v>
      </c>
      <c r="AN320" s="867">
        <f t="shared" ca="1" si="251"/>
        <v>0</v>
      </c>
      <c r="AO320" s="161"/>
      <c r="AP320" s="869">
        <f t="shared" ca="1" si="252"/>
        <v>0</v>
      </c>
      <c r="AQ320" s="867" cm="1">
        <f t="array" ref="AQ320">IF($G320=0,0,-MIN(0,$G320*c_equity.LPshare))</f>
        <v>0</v>
      </c>
      <c r="AR320" s="869" cm="1">
        <f t="array" ref="AR320">IF($D320=0,0,AP320*(c_rate.Hurdle3.MO))</f>
        <v>0</v>
      </c>
      <c r="AS320" s="869">
        <f t="shared" ca="1" si="253"/>
        <v>0</v>
      </c>
      <c r="AT320" s="869">
        <f t="shared" ca="1" si="254"/>
        <v>0</v>
      </c>
      <c r="AU320" s="869">
        <f t="shared" ca="1" si="255"/>
        <v>0</v>
      </c>
      <c r="AV320" s="870">
        <f t="shared" ca="1" si="256"/>
        <v>0</v>
      </c>
      <c r="AW320" s="867">
        <f t="shared" ca="1" si="257"/>
        <v>0</v>
      </c>
      <c r="AX320" s="869">
        <f t="shared" ca="1" si="228"/>
        <v>0</v>
      </c>
      <c r="AY320" s="869">
        <f t="shared" ca="1" si="258"/>
        <v>0</v>
      </c>
      <c r="AZ320" s="867">
        <f t="shared" ca="1" si="259"/>
        <v>0</v>
      </c>
      <c r="BA320" s="161"/>
      <c r="BB320" s="867">
        <f t="shared" ca="1" si="260"/>
        <v>0</v>
      </c>
      <c r="BC320" s="867">
        <f t="shared" ca="1" si="225"/>
        <v>0</v>
      </c>
      <c r="BD320" s="658"/>
      <c r="BE320" s="867">
        <f t="shared" ca="1" si="261"/>
        <v>0</v>
      </c>
      <c r="BF320" s="867">
        <f t="shared" ca="1" si="262"/>
        <v>0</v>
      </c>
      <c r="BG320" s="867">
        <f t="shared" ca="1" si="263"/>
        <v>0</v>
      </c>
      <c r="BI320" s="867">
        <f ca="1"/>
        <v>0</v>
      </c>
      <c r="BJ320" s="867">
        <f ca="1"/>
        <v>0</v>
      </c>
      <c r="BK320" s="867">
        <f ca="1"/>
        <v>0</v>
      </c>
      <c r="BL320" s="867">
        <f t="shared" ca="1" si="264"/>
        <v>0</v>
      </c>
      <c r="BM320" s="867">
        <f t="shared" ca="1" si="265"/>
        <v>0</v>
      </c>
      <c r="BN320" s="867">
        <f t="shared" ca="1" si="266"/>
        <v>0</v>
      </c>
      <c r="BO320" s="867">
        <f t="shared" ca="1" si="267"/>
        <v>0</v>
      </c>
      <c r="BP320" s="867">
        <f t="shared" ca="1" si="268"/>
        <v>0</v>
      </c>
      <c r="BQ320" s="867">
        <f t="shared" ca="1" si="269"/>
        <v>0</v>
      </c>
      <c r="BR320" s="867">
        <f ca="1"/>
        <v>0</v>
      </c>
      <c r="BS320" s="867">
        <f ca="1"/>
        <v>0</v>
      </c>
      <c r="BT320" s="867">
        <f t="shared" ca="1" si="229"/>
        <v>0</v>
      </c>
      <c r="BU320" s="867">
        <f t="shared" ca="1" si="270"/>
        <v>0</v>
      </c>
      <c r="BX320" s="867">
        <f ca="1"/>
        <v>0</v>
      </c>
      <c r="BY320" s="867">
        <f t="shared" ca="1" si="271"/>
        <v>0</v>
      </c>
      <c r="BZ320" s="867">
        <f t="shared" ca="1" si="272"/>
        <v>0</v>
      </c>
      <c r="CA320" s="867">
        <f t="shared" ca="1" si="273"/>
        <v>0</v>
      </c>
      <c r="CB320" s="867">
        <f t="shared" ca="1" si="274"/>
        <v>0</v>
      </c>
      <c r="CC320" s="867">
        <f t="shared" ca="1" si="275"/>
        <v>0</v>
      </c>
      <c r="CD320" s="867">
        <f t="shared" ca="1" si="276"/>
        <v>0</v>
      </c>
    </row>
    <row r="321" spans="1:82" ht="17" hidden="1" thickTop="1" thickBot="1">
      <c r="A321" s="773">
        <f t="shared" si="226"/>
        <v>0</v>
      </c>
      <c r="B321" s="779"/>
      <c r="D321" s="660"/>
      <c r="E321" s="661"/>
      <c r="F321" s="862"/>
      <c r="G321" s="863"/>
      <c r="H321" s="961"/>
      <c r="I321" s="865">
        <f t="shared" si="230"/>
        <v>0</v>
      </c>
      <c r="J321" s="864" cm="1">
        <f t="array" ref="J321">IF($G321=0,0,-MIN(0,G321*c_equity.LPshare))</f>
        <v>0</v>
      </c>
      <c r="K321" s="865" cm="1">
        <f t="array" ref="K321">I321*c_rate.Pref.MO</f>
        <v>0</v>
      </c>
      <c r="L321" s="865">
        <f t="shared" si="231"/>
        <v>0</v>
      </c>
      <c r="M321" s="865">
        <f t="shared" si="232"/>
        <v>0</v>
      </c>
      <c r="N321" s="865">
        <f t="shared" si="233"/>
        <v>0</v>
      </c>
      <c r="O321" s="864" cm="1">
        <f t="array" ref="O321">IF(N321=0,0,IF(G321&lt;0,N321/c_equity.LPshare*i_equity.GPshare,L321/c_equity.LPshare*i_equity.GPshare))</f>
        <v>0</v>
      </c>
      <c r="P321" s="865">
        <f t="shared" si="234"/>
        <v>0</v>
      </c>
      <c r="Q321" s="865">
        <f t="shared" si="235"/>
        <v>0</v>
      </c>
      <c r="R321" s="161"/>
      <c r="S321" s="867">
        <f t="shared" ca="1" si="236"/>
        <v>0</v>
      </c>
      <c r="T321" s="867" cm="1">
        <f t="array" ref="T321">IF($G321=0,0,-MIN(0,$G321*c_equity.LPshare))</f>
        <v>0</v>
      </c>
      <c r="U321" s="869" cm="1">
        <f t="array" ref="U321">IF($D321=0,0,S321*c_rate.Hurdle1.MO)</f>
        <v>0</v>
      </c>
      <c r="V321" s="867">
        <f t="shared" si="237"/>
        <v>0</v>
      </c>
      <c r="W321" s="867">
        <f t="shared" ca="1" si="238"/>
        <v>0</v>
      </c>
      <c r="X321" s="869">
        <f t="shared" ca="1" si="239"/>
        <v>0</v>
      </c>
      <c r="Y321" s="869">
        <f t="shared" ca="1" si="240"/>
        <v>0</v>
      </c>
      <c r="Z321" s="869">
        <f t="shared" ca="1" si="241"/>
        <v>0</v>
      </c>
      <c r="AA321" s="869">
        <f t="shared" ca="1" si="242"/>
        <v>0</v>
      </c>
      <c r="AB321" s="867">
        <f t="shared" ca="1" si="243"/>
        <v>0</v>
      </c>
      <c r="AC321" s="161"/>
      <c r="AD321" s="869">
        <f t="shared" ca="1" si="244"/>
        <v>0</v>
      </c>
      <c r="AE321" s="867" cm="1">
        <f t="array" ref="AE321">IF($G321=0,0,-MIN(0,$G321*c_equity.LPshare))</f>
        <v>0</v>
      </c>
      <c r="AF321" s="869" cm="1">
        <f t="array" ref="AF321">IF($D321=0,0,AD321*(c_rate.Hurdle2.MO))</f>
        <v>0</v>
      </c>
      <c r="AG321" s="869">
        <f t="shared" ca="1" si="245"/>
        <v>0</v>
      </c>
      <c r="AH321" s="869">
        <f t="shared" ca="1" si="246"/>
        <v>0</v>
      </c>
      <c r="AI321" s="869">
        <f t="shared" ca="1" si="247"/>
        <v>0</v>
      </c>
      <c r="AJ321" s="870">
        <f t="shared" ca="1" si="248"/>
        <v>0</v>
      </c>
      <c r="AK321" s="867">
        <f t="shared" ca="1" si="249"/>
        <v>0</v>
      </c>
      <c r="AL321" s="869">
        <f t="shared" ca="1" si="227"/>
        <v>0</v>
      </c>
      <c r="AM321" s="869">
        <f t="shared" ca="1" si="250"/>
        <v>0</v>
      </c>
      <c r="AN321" s="867">
        <f t="shared" ca="1" si="251"/>
        <v>0</v>
      </c>
      <c r="AO321" s="161"/>
      <c r="AP321" s="869">
        <f t="shared" ca="1" si="252"/>
        <v>0</v>
      </c>
      <c r="AQ321" s="867" cm="1">
        <f t="array" ref="AQ321">IF($G321=0,0,-MIN(0,$G321*c_equity.LPshare))</f>
        <v>0</v>
      </c>
      <c r="AR321" s="869" cm="1">
        <f t="array" ref="AR321">IF($D321=0,0,AP321*(c_rate.Hurdle3.MO))</f>
        <v>0</v>
      </c>
      <c r="AS321" s="869">
        <f t="shared" ca="1" si="253"/>
        <v>0</v>
      </c>
      <c r="AT321" s="869">
        <f t="shared" ca="1" si="254"/>
        <v>0</v>
      </c>
      <c r="AU321" s="869">
        <f t="shared" ca="1" si="255"/>
        <v>0</v>
      </c>
      <c r="AV321" s="870">
        <f t="shared" ca="1" si="256"/>
        <v>0</v>
      </c>
      <c r="AW321" s="867">
        <f t="shared" ca="1" si="257"/>
        <v>0</v>
      </c>
      <c r="AX321" s="869">
        <f t="shared" ca="1" si="228"/>
        <v>0</v>
      </c>
      <c r="AY321" s="869">
        <f t="shared" ca="1" si="258"/>
        <v>0</v>
      </c>
      <c r="AZ321" s="867">
        <f t="shared" ca="1" si="259"/>
        <v>0</v>
      </c>
      <c r="BA321" s="161"/>
      <c r="BB321" s="867">
        <f t="shared" ca="1" si="260"/>
        <v>0</v>
      </c>
      <c r="BC321" s="867">
        <f t="shared" ca="1" si="225"/>
        <v>0</v>
      </c>
      <c r="BD321" s="658"/>
      <c r="BE321" s="867">
        <f t="shared" ca="1" si="261"/>
        <v>0</v>
      </c>
      <c r="BF321" s="867">
        <f t="shared" ca="1" si="262"/>
        <v>0</v>
      </c>
      <c r="BG321" s="867">
        <f t="shared" ca="1" si="263"/>
        <v>0</v>
      </c>
      <c r="BI321" s="867">
        <f ca="1"/>
        <v>0</v>
      </c>
      <c r="BJ321" s="867">
        <f ca="1"/>
        <v>0</v>
      </c>
      <c r="BK321" s="867">
        <f ca="1"/>
        <v>0</v>
      </c>
      <c r="BL321" s="867">
        <f t="shared" ca="1" si="264"/>
        <v>0</v>
      </c>
      <c r="BM321" s="867">
        <f t="shared" ca="1" si="265"/>
        <v>0</v>
      </c>
      <c r="BN321" s="867">
        <f t="shared" ca="1" si="266"/>
        <v>0</v>
      </c>
      <c r="BO321" s="867">
        <f t="shared" ca="1" si="267"/>
        <v>0</v>
      </c>
      <c r="BP321" s="867">
        <f t="shared" ca="1" si="268"/>
        <v>0</v>
      </c>
      <c r="BQ321" s="867">
        <f t="shared" ca="1" si="269"/>
        <v>0</v>
      </c>
      <c r="BR321" s="867">
        <f ca="1"/>
        <v>0</v>
      </c>
      <c r="BS321" s="867">
        <f ca="1"/>
        <v>0</v>
      </c>
      <c r="BT321" s="867">
        <f t="shared" ca="1" si="229"/>
        <v>0</v>
      </c>
      <c r="BU321" s="867">
        <f t="shared" ca="1" si="270"/>
        <v>0</v>
      </c>
      <c r="BX321" s="867">
        <f ca="1"/>
        <v>0</v>
      </c>
      <c r="BY321" s="867">
        <f t="shared" ca="1" si="271"/>
        <v>0</v>
      </c>
      <c r="BZ321" s="867">
        <f t="shared" ca="1" si="272"/>
        <v>0</v>
      </c>
      <c r="CA321" s="867">
        <f t="shared" ca="1" si="273"/>
        <v>0</v>
      </c>
      <c r="CB321" s="867">
        <f t="shared" ca="1" si="274"/>
        <v>0</v>
      </c>
      <c r="CC321" s="867">
        <f t="shared" ca="1" si="275"/>
        <v>0</v>
      </c>
      <c r="CD321" s="867">
        <f t="shared" ca="1" si="276"/>
        <v>0</v>
      </c>
    </row>
    <row r="322" spans="1:82" ht="17" hidden="1" thickTop="1" thickBot="1">
      <c r="A322" s="773">
        <f t="shared" si="226"/>
        <v>0</v>
      </c>
      <c r="B322" s="779"/>
      <c r="D322" s="660"/>
      <c r="E322" s="661"/>
      <c r="F322" s="862"/>
      <c r="G322" s="863"/>
      <c r="H322" s="961"/>
      <c r="I322" s="865">
        <f t="shared" si="230"/>
        <v>0</v>
      </c>
      <c r="J322" s="864" cm="1">
        <f t="array" ref="J322">IF($G322=0,0,-MIN(0,G322*c_equity.LPshare))</f>
        <v>0</v>
      </c>
      <c r="K322" s="865" cm="1">
        <f t="array" ref="K322">I322*c_rate.Pref.MO</f>
        <v>0</v>
      </c>
      <c r="L322" s="865">
        <f t="shared" si="231"/>
        <v>0</v>
      </c>
      <c r="M322" s="865">
        <f t="shared" si="232"/>
        <v>0</v>
      </c>
      <c r="N322" s="865">
        <f t="shared" si="233"/>
        <v>0</v>
      </c>
      <c r="O322" s="864" cm="1">
        <f t="array" ref="O322">IF(N322=0,0,IF(G322&lt;0,N322/c_equity.LPshare*i_equity.GPshare,L322/c_equity.LPshare*i_equity.GPshare))</f>
        <v>0</v>
      </c>
      <c r="P322" s="865">
        <f t="shared" si="234"/>
        <v>0</v>
      </c>
      <c r="Q322" s="865">
        <f t="shared" si="235"/>
        <v>0</v>
      </c>
      <c r="R322" s="161"/>
      <c r="S322" s="867">
        <f t="shared" ca="1" si="236"/>
        <v>0</v>
      </c>
      <c r="T322" s="867" cm="1">
        <f t="array" ref="T322">IF($G322=0,0,-MIN(0,$G322*c_equity.LPshare))</f>
        <v>0</v>
      </c>
      <c r="U322" s="869" cm="1">
        <f t="array" ref="U322">IF($D322=0,0,S322*c_rate.Hurdle1.MO)</f>
        <v>0</v>
      </c>
      <c r="V322" s="867">
        <f t="shared" si="237"/>
        <v>0</v>
      </c>
      <c r="W322" s="867">
        <f t="shared" ca="1" si="238"/>
        <v>0</v>
      </c>
      <c r="X322" s="869">
        <f t="shared" ca="1" si="239"/>
        <v>0</v>
      </c>
      <c r="Y322" s="869">
        <f t="shared" ca="1" si="240"/>
        <v>0</v>
      </c>
      <c r="Z322" s="869">
        <f t="shared" ca="1" si="241"/>
        <v>0</v>
      </c>
      <c r="AA322" s="869">
        <f t="shared" ca="1" si="242"/>
        <v>0</v>
      </c>
      <c r="AB322" s="867">
        <f t="shared" ca="1" si="243"/>
        <v>0</v>
      </c>
      <c r="AC322" s="161"/>
      <c r="AD322" s="869">
        <f t="shared" ca="1" si="244"/>
        <v>0</v>
      </c>
      <c r="AE322" s="867" cm="1">
        <f t="array" ref="AE322">IF($G322=0,0,-MIN(0,$G322*c_equity.LPshare))</f>
        <v>0</v>
      </c>
      <c r="AF322" s="869" cm="1">
        <f t="array" ref="AF322">IF($D322=0,0,AD322*(c_rate.Hurdle2.MO))</f>
        <v>0</v>
      </c>
      <c r="AG322" s="869">
        <f t="shared" ca="1" si="245"/>
        <v>0</v>
      </c>
      <c r="AH322" s="869">
        <f t="shared" ca="1" si="246"/>
        <v>0</v>
      </c>
      <c r="AI322" s="869">
        <f t="shared" ca="1" si="247"/>
        <v>0</v>
      </c>
      <c r="AJ322" s="870">
        <f t="shared" ca="1" si="248"/>
        <v>0</v>
      </c>
      <c r="AK322" s="867">
        <f t="shared" ca="1" si="249"/>
        <v>0</v>
      </c>
      <c r="AL322" s="869">
        <f t="shared" ca="1" si="227"/>
        <v>0</v>
      </c>
      <c r="AM322" s="869">
        <f t="shared" ca="1" si="250"/>
        <v>0</v>
      </c>
      <c r="AN322" s="867">
        <f t="shared" ca="1" si="251"/>
        <v>0</v>
      </c>
      <c r="AO322" s="161"/>
      <c r="AP322" s="869">
        <f t="shared" ca="1" si="252"/>
        <v>0</v>
      </c>
      <c r="AQ322" s="867" cm="1">
        <f t="array" ref="AQ322">IF($G322=0,0,-MIN(0,$G322*c_equity.LPshare))</f>
        <v>0</v>
      </c>
      <c r="AR322" s="869" cm="1">
        <f t="array" ref="AR322">IF($D322=0,0,AP322*(c_rate.Hurdle3.MO))</f>
        <v>0</v>
      </c>
      <c r="AS322" s="869">
        <f t="shared" ca="1" si="253"/>
        <v>0</v>
      </c>
      <c r="AT322" s="869">
        <f t="shared" ca="1" si="254"/>
        <v>0</v>
      </c>
      <c r="AU322" s="869">
        <f t="shared" ca="1" si="255"/>
        <v>0</v>
      </c>
      <c r="AV322" s="870">
        <f t="shared" ca="1" si="256"/>
        <v>0</v>
      </c>
      <c r="AW322" s="867">
        <f t="shared" ca="1" si="257"/>
        <v>0</v>
      </c>
      <c r="AX322" s="869">
        <f t="shared" ca="1" si="228"/>
        <v>0</v>
      </c>
      <c r="AY322" s="869">
        <f t="shared" ca="1" si="258"/>
        <v>0</v>
      </c>
      <c r="AZ322" s="867">
        <f t="shared" ca="1" si="259"/>
        <v>0</v>
      </c>
      <c r="BA322" s="161"/>
      <c r="BB322" s="867">
        <f t="shared" ca="1" si="260"/>
        <v>0</v>
      </c>
      <c r="BC322" s="867">
        <f t="shared" ca="1" si="225"/>
        <v>0</v>
      </c>
      <c r="BD322" s="658"/>
      <c r="BE322" s="867">
        <f t="shared" ca="1" si="261"/>
        <v>0</v>
      </c>
      <c r="BF322" s="867">
        <f t="shared" ca="1" si="262"/>
        <v>0</v>
      </c>
      <c r="BG322" s="867">
        <f t="shared" ca="1" si="263"/>
        <v>0</v>
      </c>
      <c r="BI322" s="867">
        <f ca="1"/>
        <v>0</v>
      </c>
      <c r="BJ322" s="867">
        <f ca="1"/>
        <v>0</v>
      </c>
      <c r="BK322" s="867">
        <f ca="1"/>
        <v>0</v>
      </c>
      <c r="BL322" s="867">
        <f t="shared" ca="1" si="264"/>
        <v>0</v>
      </c>
      <c r="BM322" s="867">
        <f t="shared" ca="1" si="265"/>
        <v>0</v>
      </c>
      <c r="BN322" s="867">
        <f t="shared" ca="1" si="266"/>
        <v>0</v>
      </c>
      <c r="BO322" s="867">
        <f t="shared" ca="1" si="267"/>
        <v>0</v>
      </c>
      <c r="BP322" s="867">
        <f t="shared" ca="1" si="268"/>
        <v>0</v>
      </c>
      <c r="BQ322" s="867">
        <f t="shared" ca="1" si="269"/>
        <v>0</v>
      </c>
      <c r="BR322" s="867">
        <f ca="1"/>
        <v>0</v>
      </c>
      <c r="BS322" s="867">
        <f ca="1"/>
        <v>0</v>
      </c>
      <c r="BT322" s="867">
        <f t="shared" ca="1" si="229"/>
        <v>0</v>
      </c>
      <c r="BU322" s="867">
        <f t="shared" ca="1" si="270"/>
        <v>0</v>
      </c>
      <c r="BX322" s="867">
        <f ca="1"/>
        <v>0</v>
      </c>
      <c r="BY322" s="867">
        <f t="shared" ca="1" si="271"/>
        <v>0</v>
      </c>
      <c r="BZ322" s="867">
        <f t="shared" ca="1" si="272"/>
        <v>0</v>
      </c>
      <c r="CA322" s="867">
        <f t="shared" ca="1" si="273"/>
        <v>0</v>
      </c>
      <c r="CB322" s="867">
        <f t="shared" ca="1" si="274"/>
        <v>0</v>
      </c>
      <c r="CC322" s="867">
        <f t="shared" ca="1" si="275"/>
        <v>0</v>
      </c>
      <c r="CD322" s="867">
        <f t="shared" ca="1" si="276"/>
        <v>0</v>
      </c>
    </row>
    <row r="323" spans="1:82" ht="17" hidden="1" thickTop="1" thickBot="1">
      <c r="A323" s="773">
        <f t="shared" si="226"/>
        <v>0</v>
      </c>
      <c r="B323" s="779"/>
      <c r="D323" s="660"/>
      <c r="E323" s="661"/>
      <c r="F323" s="862"/>
      <c r="G323" s="863"/>
      <c r="H323" s="961"/>
      <c r="I323" s="865">
        <f t="shared" si="230"/>
        <v>0</v>
      </c>
      <c r="J323" s="864" cm="1">
        <f t="array" ref="J323">IF($G323=0,0,-MIN(0,G323*c_equity.LPshare))</f>
        <v>0</v>
      </c>
      <c r="K323" s="865" cm="1">
        <f t="array" ref="K323">I323*c_rate.Pref.MO</f>
        <v>0</v>
      </c>
      <c r="L323" s="865">
        <f t="shared" si="231"/>
        <v>0</v>
      </c>
      <c r="M323" s="865">
        <f t="shared" si="232"/>
        <v>0</v>
      </c>
      <c r="N323" s="865">
        <f t="shared" si="233"/>
        <v>0</v>
      </c>
      <c r="O323" s="864" cm="1">
        <f t="array" ref="O323">IF(N323=0,0,IF(G323&lt;0,N323/c_equity.LPshare*i_equity.GPshare,L323/c_equity.LPshare*i_equity.GPshare))</f>
        <v>0</v>
      </c>
      <c r="P323" s="865">
        <f t="shared" si="234"/>
        <v>0</v>
      </c>
      <c r="Q323" s="865">
        <f t="shared" si="235"/>
        <v>0</v>
      </c>
      <c r="R323" s="161"/>
      <c r="S323" s="867">
        <f t="shared" ca="1" si="236"/>
        <v>0</v>
      </c>
      <c r="T323" s="867" cm="1">
        <f t="array" ref="T323">IF($G323=0,0,-MIN(0,$G323*c_equity.LPshare))</f>
        <v>0</v>
      </c>
      <c r="U323" s="869" cm="1">
        <f t="array" ref="U323">IF($D323=0,0,S323*c_rate.Hurdle1.MO)</f>
        <v>0</v>
      </c>
      <c r="V323" s="867">
        <f t="shared" si="237"/>
        <v>0</v>
      </c>
      <c r="W323" s="867">
        <f t="shared" ca="1" si="238"/>
        <v>0</v>
      </c>
      <c r="X323" s="869">
        <f t="shared" ca="1" si="239"/>
        <v>0</v>
      </c>
      <c r="Y323" s="869">
        <f t="shared" ca="1" si="240"/>
        <v>0</v>
      </c>
      <c r="Z323" s="869">
        <f t="shared" ca="1" si="241"/>
        <v>0</v>
      </c>
      <c r="AA323" s="869">
        <f t="shared" ca="1" si="242"/>
        <v>0</v>
      </c>
      <c r="AB323" s="867">
        <f t="shared" ca="1" si="243"/>
        <v>0</v>
      </c>
      <c r="AC323" s="161"/>
      <c r="AD323" s="869">
        <f t="shared" ca="1" si="244"/>
        <v>0</v>
      </c>
      <c r="AE323" s="867" cm="1">
        <f t="array" ref="AE323">IF($G323=0,0,-MIN(0,$G323*c_equity.LPshare))</f>
        <v>0</v>
      </c>
      <c r="AF323" s="869" cm="1">
        <f t="array" ref="AF323">IF($D323=0,0,AD323*(c_rate.Hurdle2.MO))</f>
        <v>0</v>
      </c>
      <c r="AG323" s="869">
        <f t="shared" ca="1" si="245"/>
        <v>0</v>
      </c>
      <c r="AH323" s="869">
        <f t="shared" ca="1" si="246"/>
        <v>0</v>
      </c>
      <c r="AI323" s="869">
        <f t="shared" ca="1" si="247"/>
        <v>0</v>
      </c>
      <c r="AJ323" s="870">
        <f t="shared" ca="1" si="248"/>
        <v>0</v>
      </c>
      <c r="AK323" s="867">
        <f t="shared" ca="1" si="249"/>
        <v>0</v>
      </c>
      <c r="AL323" s="869">
        <f t="shared" ca="1" si="227"/>
        <v>0</v>
      </c>
      <c r="AM323" s="869">
        <f t="shared" ca="1" si="250"/>
        <v>0</v>
      </c>
      <c r="AN323" s="867">
        <f t="shared" ca="1" si="251"/>
        <v>0</v>
      </c>
      <c r="AO323" s="161"/>
      <c r="AP323" s="869">
        <f t="shared" ca="1" si="252"/>
        <v>0</v>
      </c>
      <c r="AQ323" s="867" cm="1">
        <f t="array" ref="AQ323">IF($G323=0,0,-MIN(0,$G323*c_equity.LPshare))</f>
        <v>0</v>
      </c>
      <c r="AR323" s="869" cm="1">
        <f t="array" ref="AR323">IF($D323=0,0,AP323*(c_rate.Hurdle3.MO))</f>
        <v>0</v>
      </c>
      <c r="AS323" s="869">
        <f t="shared" ca="1" si="253"/>
        <v>0</v>
      </c>
      <c r="AT323" s="869">
        <f t="shared" ca="1" si="254"/>
        <v>0</v>
      </c>
      <c r="AU323" s="869">
        <f t="shared" ca="1" si="255"/>
        <v>0</v>
      </c>
      <c r="AV323" s="870">
        <f t="shared" ca="1" si="256"/>
        <v>0</v>
      </c>
      <c r="AW323" s="867">
        <f t="shared" ca="1" si="257"/>
        <v>0</v>
      </c>
      <c r="AX323" s="869">
        <f t="shared" ca="1" si="228"/>
        <v>0</v>
      </c>
      <c r="AY323" s="869">
        <f t="shared" ca="1" si="258"/>
        <v>0</v>
      </c>
      <c r="AZ323" s="867">
        <f t="shared" ca="1" si="259"/>
        <v>0</v>
      </c>
      <c r="BA323" s="161"/>
      <c r="BB323" s="867">
        <f t="shared" ca="1" si="260"/>
        <v>0</v>
      </c>
      <c r="BC323" s="867">
        <f t="shared" ca="1" si="225"/>
        <v>0</v>
      </c>
      <c r="BD323" s="658"/>
      <c r="BE323" s="867">
        <f t="shared" ca="1" si="261"/>
        <v>0</v>
      </c>
      <c r="BF323" s="867">
        <f t="shared" ca="1" si="262"/>
        <v>0</v>
      </c>
      <c r="BG323" s="867">
        <f t="shared" ca="1" si="263"/>
        <v>0</v>
      </c>
      <c r="BI323" s="867">
        <f ca="1"/>
        <v>0</v>
      </c>
      <c r="BJ323" s="867">
        <f ca="1"/>
        <v>0</v>
      </c>
      <c r="BK323" s="867">
        <f ca="1"/>
        <v>0</v>
      </c>
      <c r="BL323" s="867">
        <f t="shared" ca="1" si="264"/>
        <v>0</v>
      </c>
      <c r="BM323" s="867">
        <f t="shared" ca="1" si="265"/>
        <v>0</v>
      </c>
      <c r="BN323" s="867">
        <f t="shared" ca="1" si="266"/>
        <v>0</v>
      </c>
      <c r="BO323" s="867">
        <f t="shared" ca="1" si="267"/>
        <v>0</v>
      </c>
      <c r="BP323" s="867">
        <f t="shared" ca="1" si="268"/>
        <v>0</v>
      </c>
      <c r="BQ323" s="867">
        <f t="shared" ca="1" si="269"/>
        <v>0</v>
      </c>
      <c r="BR323" s="867">
        <f ca="1"/>
        <v>0</v>
      </c>
      <c r="BS323" s="867">
        <f ca="1"/>
        <v>0</v>
      </c>
      <c r="BT323" s="867">
        <f t="shared" ca="1" si="229"/>
        <v>0</v>
      </c>
      <c r="BU323" s="867">
        <f t="shared" ca="1" si="270"/>
        <v>0</v>
      </c>
      <c r="BX323" s="867">
        <f ca="1"/>
        <v>0</v>
      </c>
      <c r="BY323" s="867">
        <f t="shared" ca="1" si="271"/>
        <v>0</v>
      </c>
      <c r="BZ323" s="867">
        <f t="shared" ca="1" si="272"/>
        <v>0</v>
      </c>
      <c r="CA323" s="867">
        <f t="shared" ca="1" si="273"/>
        <v>0</v>
      </c>
      <c r="CB323" s="867">
        <f t="shared" ca="1" si="274"/>
        <v>0</v>
      </c>
      <c r="CC323" s="867">
        <f t="shared" ca="1" si="275"/>
        <v>0</v>
      </c>
      <c r="CD323" s="867">
        <f t="shared" ca="1" si="276"/>
        <v>0</v>
      </c>
    </row>
    <row r="324" spans="1:82" ht="17" hidden="1" thickTop="1" thickBot="1">
      <c r="A324" s="773">
        <f t="shared" si="226"/>
        <v>0</v>
      </c>
      <c r="B324" s="779"/>
      <c r="D324" s="660"/>
      <c r="E324" s="661"/>
      <c r="F324" s="862"/>
      <c r="G324" s="863"/>
      <c r="H324" s="961"/>
      <c r="I324" s="865">
        <f t="shared" si="230"/>
        <v>0</v>
      </c>
      <c r="J324" s="864" cm="1">
        <f t="array" ref="J324">IF($G324=0,0,-MIN(0,G324*c_equity.LPshare))</f>
        <v>0</v>
      </c>
      <c r="K324" s="865" cm="1">
        <f t="array" ref="K324">I324*c_rate.Pref.MO</f>
        <v>0</v>
      </c>
      <c r="L324" s="865">
        <f t="shared" si="231"/>
        <v>0</v>
      </c>
      <c r="M324" s="865">
        <f t="shared" si="232"/>
        <v>0</v>
      </c>
      <c r="N324" s="865">
        <f t="shared" si="233"/>
        <v>0</v>
      </c>
      <c r="O324" s="864" cm="1">
        <f t="array" ref="O324">IF(N324=0,0,IF(G324&lt;0,N324/c_equity.LPshare*i_equity.GPshare,L324/c_equity.LPshare*i_equity.GPshare))</f>
        <v>0</v>
      </c>
      <c r="P324" s="865">
        <f t="shared" si="234"/>
        <v>0</v>
      </c>
      <c r="Q324" s="865">
        <f t="shared" si="235"/>
        <v>0</v>
      </c>
      <c r="R324" s="161"/>
      <c r="S324" s="867">
        <f t="shared" ca="1" si="236"/>
        <v>0</v>
      </c>
      <c r="T324" s="867" cm="1">
        <f t="array" ref="T324">IF($G324=0,0,-MIN(0,$G324*c_equity.LPshare))</f>
        <v>0</v>
      </c>
      <c r="U324" s="869" cm="1">
        <f t="array" ref="U324">IF($D324=0,0,S324*c_rate.Hurdle1.MO)</f>
        <v>0</v>
      </c>
      <c r="V324" s="867">
        <f t="shared" si="237"/>
        <v>0</v>
      </c>
      <c r="W324" s="867">
        <f t="shared" ca="1" si="238"/>
        <v>0</v>
      </c>
      <c r="X324" s="869">
        <f t="shared" ca="1" si="239"/>
        <v>0</v>
      </c>
      <c r="Y324" s="869">
        <f t="shared" ca="1" si="240"/>
        <v>0</v>
      </c>
      <c r="Z324" s="869">
        <f t="shared" ca="1" si="241"/>
        <v>0</v>
      </c>
      <c r="AA324" s="869">
        <f t="shared" ca="1" si="242"/>
        <v>0</v>
      </c>
      <c r="AB324" s="867">
        <f t="shared" ca="1" si="243"/>
        <v>0</v>
      </c>
      <c r="AC324" s="161"/>
      <c r="AD324" s="869">
        <f t="shared" ca="1" si="244"/>
        <v>0</v>
      </c>
      <c r="AE324" s="867" cm="1">
        <f t="array" ref="AE324">IF($G324=0,0,-MIN(0,$G324*c_equity.LPshare))</f>
        <v>0</v>
      </c>
      <c r="AF324" s="869" cm="1">
        <f t="array" ref="AF324">IF($D324=0,0,AD324*(c_rate.Hurdle2.MO))</f>
        <v>0</v>
      </c>
      <c r="AG324" s="869">
        <f t="shared" ca="1" si="245"/>
        <v>0</v>
      </c>
      <c r="AH324" s="869">
        <f t="shared" ca="1" si="246"/>
        <v>0</v>
      </c>
      <c r="AI324" s="869">
        <f t="shared" ca="1" si="247"/>
        <v>0</v>
      </c>
      <c r="AJ324" s="870">
        <f t="shared" ca="1" si="248"/>
        <v>0</v>
      </c>
      <c r="AK324" s="867">
        <f t="shared" ca="1" si="249"/>
        <v>0</v>
      </c>
      <c r="AL324" s="869">
        <f t="shared" ca="1" si="227"/>
        <v>0</v>
      </c>
      <c r="AM324" s="869">
        <f t="shared" ca="1" si="250"/>
        <v>0</v>
      </c>
      <c r="AN324" s="867">
        <f t="shared" ca="1" si="251"/>
        <v>0</v>
      </c>
      <c r="AO324" s="161"/>
      <c r="AP324" s="869">
        <f t="shared" ca="1" si="252"/>
        <v>0</v>
      </c>
      <c r="AQ324" s="867" cm="1">
        <f t="array" ref="AQ324">IF($G324=0,0,-MIN(0,$G324*c_equity.LPshare))</f>
        <v>0</v>
      </c>
      <c r="AR324" s="869" cm="1">
        <f t="array" ref="AR324">IF($D324=0,0,AP324*(c_rate.Hurdle3.MO))</f>
        <v>0</v>
      </c>
      <c r="AS324" s="869">
        <f t="shared" ca="1" si="253"/>
        <v>0</v>
      </c>
      <c r="AT324" s="869">
        <f t="shared" ca="1" si="254"/>
        <v>0</v>
      </c>
      <c r="AU324" s="869">
        <f t="shared" ca="1" si="255"/>
        <v>0</v>
      </c>
      <c r="AV324" s="870">
        <f t="shared" ca="1" si="256"/>
        <v>0</v>
      </c>
      <c r="AW324" s="867">
        <f t="shared" ca="1" si="257"/>
        <v>0</v>
      </c>
      <c r="AX324" s="869">
        <f t="shared" ca="1" si="228"/>
        <v>0</v>
      </c>
      <c r="AY324" s="869">
        <f t="shared" ca="1" si="258"/>
        <v>0</v>
      </c>
      <c r="AZ324" s="867">
        <f t="shared" ca="1" si="259"/>
        <v>0</v>
      </c>
      <c r="BA324" s="161"/>
      <c r="BB324" s="867">
        <f t="shared" ca="1" si="260"/>
        <v>0</v>
      </c>
      <c r="BC324" s="867">
        <f t="shared" ca="1" si="225"/>
        <v>0</v>
      </c>
      <c r="BD324" s="658"/>
      <c r="BE324" s="867">
        <f t="shared" ca="1" si="261"/>
        <v>0</v>
      </c>
      <c r="BF324" s="867">
        <f t="shared" ca="1" si="262"/>
        <v>0</v>
      </c>
      <c r="BG324" s="867">
        <f t="shared" ca="1" si="263"/>
        <v>0</v>
      </c>
      <c r="BI324" s="867">
        <f ca="1"/>
        <v>0</v>
      </c>
      <c r="BJ324" s="867">
        <f ca="1"/>
        <v>0</v>
      </c>
      <c r="BK324" s="867">
        <f ca="1"/>
        <v>0</v>
      </c>
      <c r="BL324" s="867">
        <f t="shared" ca="1" si="264"/>
        <v>0</v>
      </c>
      <c r="BM324" s="867">
        <f t="shared" ca="1" si="265"/>
        <v>0</v>
      </c>
      <c r="BN324" s="867">
        <f t="shared" ca="1" si="266"/>
        <v>0</v>
      </c>
      <c r="BO324" s="867">
        <f t="shared" ca="1" si="267"/>
        <v>0</v>
      </c>
      <c r="BP324" s="867">
        <f t="shared" ca="1" si="268"/>
        <v>0</v>
      </c>
      <c r="BQ324" s="867">
        <f t="shared" ca="1" si="269"/>
        <v>0</v>
      </c>
      <c r="BR324" s="867">
        <f ca="1"/>
        <v>0</v>
      </c>
      <c r="BS324" s="867">
        <f ca="1"/>
        <v>0</v>
      </c>
      <c r="BT324" s="867">
        <f t="shared" ca="1" si="229"/>
        <v>0</v>
      </c>
      <c r="BU324" s="867">
        <f t="shared" ca="1" si="270"/>
        <v>0</v>
      </c>
      <c r="BX324" s="867">
        <f ca="1"/>
        <v>0</v>
      </c>
      <c r="BY324" s="867">
        <f t="shared" ca="1" si="271"/>
        <v>0</v>
      </c>
      <c r="BZ324" s="867">
        <f t="shared" ca="1" si="272"/>
        <v>0</v>
      </c>
      <c r="CA324" s="867">
        <f t="shared" ca="1" si="273"/>
        <v>0</v>
      </c>
      <c r="CB324" s="867">
        <f t="shared" ca="1" si="274"/>
        <v>0</v>
      </c>
      <c r="CC324" s="867">
        <f t="shared" ca="1" si="275"/>
        <v>0</v>
      </c>
      <c r="CD324" s="867">
        <f t="shared" ca="1" si="276"/>
        <v>0</v>
      </c>
    </row>
    <row r="325" spans="1:82" ht="17" hidden="1" thickTop="1" thickBot="1">
      <c r="A325" s="773">
        <f t="shared" si="226"/>
        <v>0</v>
      </c>
      <c r="B325" s="779"/>
      <c r="D325" s="660"/>
      <c r="E325" s="661"/>
      <c r="F325" s="862"/>
      <c r="G325" s="863"/>
      <c r="H325" s="961"/>
      <c r="I325" s="865">
        <f t="shared" si="230"/>
        <v>0</v>
      </c>
      <c r="J325" s="864" cm="1">
        <f t="array" ref="J325">IF($G325=0,0,-MIN(0,G325*c_equity.LPshare))</f>
        <v>0</v>
      </c>
      <c r="K325" s="865" cm="1">
        <f t="array" ref="K325">I325*c_rate.Pref.MO</f>
        <v>0</v>
      </c>
      <c r="L325" s="865">
        <f t="shared" si="231"/>
        <v>0</v>
      </c>
      <c r="M325" s="865">
        <f t="shared" si="232"/>
        <v>0</v>
      </c>
      <c r="N325" s="865">
        <f t="shared" si="233"/>
        <v>0</v>
      </c>
      <c r="O325" s="864" cm="1">
        <f t="array" ref="O325">IF(N325=0,0,IF(G325&lt;0,N325/c_equity.LPshare*i_equity.GPshare,L325/c_equity.LPshare*i_equity.GPshare))</f>
        <v>0</v>
      </c>
      <c r="P325" s="865">
        <f t="shared" si="234"/>
        <v>0</v>
      </c>
      <c r="Q325" s="865">
        <f t="shared" si="235"/>
        <v>0</v>
      </c>
      <c r="R325" s="161"/>
      <c r="S325" s="867">
        <f t="shared" ca="1" si="236"/>
        <v>0</v>
      </c>
      <c r="T325" s="867" cm="1">
        <f t="array" ref="T325">IF($G325=0,0,-MIN(0,$G325*c_equity.LPshare))</f>
        <v>0</v>
      </c>
      <c r="U325" s="869" cm="1">
        <f t="array" ref="U325">IF($D325=0,0,S325*c_rate.Hurdle1.MO)</f>
        <v>0</v>
      </c>
      <c r="V325" s="867">
        <f t="shared" si="237"/>
        <v>0</v>
      </c>
      <c r="W325" s="867">
        <f t="shared" ca="1" si="238"/>
        <v>0</v>
      </c>
      <c r="X325" s="869">
        <f t="shared" ca="1" si="239"/>
        <v>0</v>
      </c>
      <c r="Y325" s="869">
        <f t="shared" ca="1" si="240"/>
        <v>0</v>
      </c>
      <c r="Z325" s="869">
        <f t="shared" ca="1" si="241"/>
        <v>0</v>
      </c>
      <c r="AA325" s="869">
        <f t="shared" ca="1" si="242"/>
        <v>0</v>
      </c>
      <c r="AB325" s="867">
        <f t="shared" ca="1" si="243"/>
        <v>0</v>
      </c>
      <c r="AC325" s="161"/>
      <c r="AD325" s="869">
        <f t="shared" ca="1" si="244"/>
        <v>0</v>
      </c>
      <c r="AE325" s="867" cm="1">
        <f t="array" ref="AE325">IF($G325=0,0,-MIN(0,$G325*c_equity.LPshare))</f>
        <v>0</v>
      </c>
      <c r="AF325" s="869" cm="1">
        <f t="array" ref="AF325">IF($D325=0,0,AD325*(c_rate.Hurdle2.MO))</f>
        <v>0</v>
      </c>
      <c r="AG325" s="869">
        <f t="shared" ca="1" si="245"/>
        <v>0</v>
      </c>
      <c r="AH325" s="869">
        <f t="shared" ca="1" si="246"/>
        <v>0</v>
      </c>
      <c r="AI325" s="869">
        <f t="shared" ca="1" si="247"/>
        <v>0</v>
      </c>
      <c r="AJ325" s="870">
        <f t="shared" ca="1" si="248"/>
        <v>0</v>
      </c>
      <c r="AK325" s="867">
        <f t="shared" ca="1" si="249"/>
        <v>0</v>
      </c>
      <c r="AL325" s="869">
        <f t="shared" ca="1" si="227"/>
        <v>0</v>
      </c>
      <c r="AM325" s="869">
        <f t="shared" ca="1" si="250"/>
        <v>0</v>
      </c>
      <c r="AN325" s="867">
        <f t="shared" ca="1" si="251"/>
        <v>0</v>
      </c>
      <c r="AO325" s="161"/>
      <c r="AP325" s="869">
        <f t="shared" ca="1" si="252"/>
        <v>0</v>
      </c>
      <c r="AQ325" s="867" cm="1">
        <f t="array" ref="AQ325">IF($G325=0,0,-MIN(0,$G325*c_equity.LPshare))</f>
        <v>0</v>
      </c>
      <c r="AR325" s="869" cm="1">
        <f t="array" ref="AR325">IF($D325=0,0,AP325*(c_rate.Hurdle3.MO))</f>
        <v>0</v>
      </c>
      <c r="AS325" s="869">
        <f t="shared" ca="1" si="253"/>
        <v>0</v>
      </c>
      <c r="AT325" s="869">
        <f t="shared" ca="1" si="254"/>
        <v>0</v>
      </c>
      <c r="AU325" s="869">
        <f t="shared" ca="1" si="255"/>
        <v>0</v>
      </c>
      <c r="AV325" s="870">
        <f t="shared" ca="1" si="256"/>
        <v>0</v>
      </c>
      <c r="AW325" s="867">
        <f t="shared" ca="1" si="257"/>
        <v>0</v>
      </c>
      <c r="AX325" s="869">
        <f t="shared" ca="1" si="228"/>
        <v>0</v>
      </c>
      <c r="AY325" s="869">
        <f t="shared" ca="1" si="258"/>
        <v>0</v>
      </c>
      <c r="AZ325" s="867">
        <f t="shared" ca="1" si="259"/>
        <v>0</v>
      </c>
      <c r="BA325" s="161"/>
      <c r="BB325" s="867">
        <f t="shared" ca="1" si="260"/>
        <v>0</v>
      </c>
      <c r="BC325" s="867">
        <f t="shared" ca="1" si="225"/>
        <v>0</v>
      </c>
      <c r="BD325" s="658"/>
      <c r="BE325" s="867">
        <f t="shared" ca="1" si="261"/>
        <v>0</v>
      </c>
      <c r="BF325" s="867">
        <f t="shared" ca="1" si="262"/>
        <v>0</v>
      </c>
      <c r="BG325" s="867">
        <f t="shared" ca="1" si="263"/>
        <v>0</v>
      </c>
      <c r="BI325" s="867">
        <f ca="1"/>
        <v>0</v>
      </c>
      <c r="BJ325" s="867">
        <f ca="1"/>
        <v>0</v>
      </c>
      <c r="BK325" s="867">
        <f ca="1"/>
        <v>0</v>
      </c>
      <c r="BL325" s="867">
        <f t="shared" ca="1" si="264"/>
        <v>0</v>
      </c>
      <c r="BM325" s="867">
        <f t="shared" ca="1" si="265"/>
        <v>0</v>
      </c>
      <c r="BN325" s="867">
        <f t="shared" ca="1" si="266"/>
        <v>0</v>
      </c>
      <c r="BO325" s="867">
        <f t="shared" ca="1" si="267"/>
        <v>0</v>
      </c>
      <c r="BP325" s="867">
        <f t="shared" ca="1" si="268"/>
        <v>0</v>
      </c>
      <c r="BQ325" s="867">
        <f t="shared" ca="1" si="269"/>
        <v>0</v>
      </c>
      <c r="BR325" s="867">
        <f ca="1"/>
        <v>0</v>
      </c>
      <c r="BS325" s="867">
        <f ca="1"/>
        <v>0</v>
      </c>
      <c r="BT325" s="867">
        <f t="shared" ca="1" si="229"/>
        <v>0</v>
      </c>
      <c r="BU325" s="867">
        <f t="shared" ca="1" si="270"/>
        <v>0</v>
      </c>
      <c r="BX325" s="867">
        <f ca="1"/>
        <v>0</v>
      </c>
      <c r="BY325" s="867">
        <f t="shared" ca="1" si="271"/>
        <v>0</v>
      </c>
      <c r="BZ325" s="867">
        <f t="shared" ca="1" si="272"/>
        <v>0</v>
      </c>
      <c r="CA325" s="867">
        <f t="shared" ca="1" si="273"/>
        <v>0</v>
      </c>
      <c r="CB325" s="867">
        <f t="shared" ca="1" si="274"/>
        <v>0</v>
      </c>
      <c r="CC325" s="867">
        <f t="shared" ca="1" si="275"/>
        <v>0</v>
      </c>
      <c r="CD325" s="867">
        <f t="shared" ca="1" si="276"/>
        <v>0</v>
      </c>
    </row>
    <row r="326" spans="1:82" ht="17" hidden="1" thickTop="1" thickBot="1">
      <c r="A326" s="773">
        <f t="shared" si="226"/>
        <v>0</v>
      </c>
      <c r="B326" s="779"/>
      <c r="D326" s="660"/>
      <c r="E326" s="661"/>
      <c r="F326" s="862"/>
      <c r="G326" s="863"/>
      <c r="H326" s="961"/>
      <c r="I326" s="865">
        <f t="shared" si="230"/>
        <v>0</v>
      </c>
      <c r="J326" s="864" cm="1">
        <f t="array" ref="J326">IF($G326=0,0,-MIN(0,G326*c_equity.LPshare))</f>
        <v>0</v>
      </c>
      <c r="K326" s="865" cm="1">
        <f t="array" ref="K326">I326*c_rate.Pref.MO</f>
        <v>0</v>
      </c>
      <c r="L326" s="865">
        <f t="shared" si="231"/>
        <v>0</v>
      </c>
      <c r="M326" s="865">
        <f t="shared" si="232"/>
        <v>0</v>
      </c>
      <c r="N326" s="865">
        <f t="shared" si="233"/>
        <v>0</v>
      </c>
      <c r="O326" s="864" cm="1">
        <f t="array" ref="O326">IF(N326=0,0,IF(G326&lt;0,N326/c_equity.LPshare*i_equity.GPshare,L326/c_equity.LPshare*i_equity.GPshare))</f>
        <v>0</v>
      </c>
      <c r="P326" s="865">
        <f t="shared" si="234"/>
        <v>0</v>
      </c>
      <c r="Q326" s="865">
        <f t="shared" si="235"/>
        <v>0</v>
      </c>
      <c r="R326" s="161"/>
      <c r="S326" s="867">
        <f t="shared" ca="1" si="236"/>
        <v>0</v>
      </c>
      <c r="T326" s="867" cm="1">
        <f t="array" ref="T326">IF($G326=0,0,-MIN(0,$G326*c_equity.LPshare))</f>
        <v>0</v>
      </c>
      <c r="U326" s="869" cm="1">
        <f t="array" ref="U326">IF($D326=0,0,S326*c_rate.Hurdle1.MO)</f>
        <v>0</v>
      </c>
      <c r="V326" s="867">
        <f t="shared" si="237"/>
        <v>0</v>
      </c>
      <c r="W326" s="867">
        <f t="shared" ca="1" si="238"/>
        <v>0</v>
      </c>
      <c r="X326" s="869">
        <f t="shared" ca="1" si="239"/>
        <v>0</v>
      </c>
      <c r="Y326" s="869">
        <f t="shared" ca="1" si="240"/>
        <v>0</v>
      </c>
      <c r="Z326" s="869">
        <f t="shared" ca="1" si="241"/>
        <v>0</v>
      </c>
      <c r="AA326" s="869">
        <f t="shared" ca="1" si="242"/>
        <v>0</v>
      </c>
      <c r="AB326" s="867">
        <f t="shared" ca="1" si="243"/>
        <v>0</v>
      </c>
      <c r="AC326" s="161"/>
      <c r="AD326" s="869">
        <f t="shared" ca="1" si="244"/>
        <v>0</v>
      </c>
      <c r="AE326" s="867" cm="1">
        <f t="array" ref="AE326">IF($G326=0,0,-MIN(0,$G326*c_equity.LPshare))</f>
        <v>0</v>
      </c>
      <c r="AF326" s="869" cm="1">
        <f t="array" ref="AF326">IF($D326=0,0,AD326*(c_rate.Hurdle2.MO))</f>
        <v>0</v>
      </c>
      <c r="AG326" s="869">
        <f t="shared" ca="1" si="245"/>
        <v>0</v>
      </c>
      <c r="AH326" s="869">
        <f t="shared" ca="1" si="246"/>
        <v>0</v>
      </c>
      <c r="AI326" s="869">
        <f t="shared" ca="1" si="247"/>
        <v>0</v>
      </c>
      <c r="AJ326" s="870">
        <f t="shared" ca="1" si="248"/>
        <v>0</v>
      </c>
      <c r="AK326" s="867">
        <f t="shared" ca="1" si="249"/>
        <v>0</v>
      </c>
      <c r="AL326" s="869">
        <f t="shared" ca="1" si="227"/>
        <v>0</v>
      </c>
      <c r="AM326" s="869">
        <f t="shared" ca="1" si="250"/>
        <v>0</v>
      </c>
      <c r="AN326" s="867">
        <f t="shared" ca="1" si="251"/>
        <v>0</v>
      </c>
      <c r="AO326" s="161"/>
      <c r="AP326" s="869">
        <f t="shared" ca="1" si="252"/>
        <v>0</v>
      </c>
      <c r="AQ326" s="867" cm="1">
        <f t="array" ref="AQ326">IF($G326=0,0,-MIN(0,$G326*c_equity.LPshare))</f>
        <v>0</v>
      </c>
      <c r="AR326" s="869" cm="1">
        <f t="array" ref="AR326">IF($D326=0,0,AP326*(c_rate.Hurdle3.MO))</f>
        <v>0</v>
      </c>
      <c r="AS326" s="869">
        <f t="shared" ca="1" si="253"/>
        <v>0</v>
      </c>
      <c r="AT326" s="869">
        <f t="shared" ca="1" si="254"/>
        <v>0</v>
      </c>
      <c r="AU326" s="869">
        <f t="shared" ca="1" si="255"/>
        <v>0</v>
      </c>
      <c r="AV326" s="870">
        <f t="shared" ca="1" si="256"/>
        <v>0</v>
      </c>
      <c r="AW326" s="867">
        <f t="shared" ca="1" si="257"/>
        <v>0</v>
      </c>
      <c r="AX326" s="869">
        <f t="shared" ca="1" si="228"/>
        <v>0</v>
      </c>
      <c r="AY326" s="869">
        <f t="shared" ca="1" si="258"/>
        <v>0</v>
      </c>
      <c r="AZ326" s="867">
        <f t="shared" ca="1" si="259"/>
        <v>0</v>
      </c>
      <c r="BA326" s="161"/>
      <c r="BB326" s="867">
        <f t="shared" ca="1" si="260"/>
        <v>0</v>
      </c>
      <c r="BC326" s="867">
        <f t="shared" ca="1" si="225"/>
        <v>0</v>
      </c>
      <c r="BD326" s="658"/>
      <c r="BE326" s="867">
        <f t="shared" ca="1" si="261"/>
        <v>0</v>
      </c>
      <c r="BF326" s="867">
        <f t="shared" ca="1" si="262"/>
        <v>0</v>
      </c>
      <c r="BG326" s="867">
        <f t="shared" ca="1" si="263"/>
        <v>0</v>
      </c>
      <c r="BI326" s="867">
        <f ca="1"/>
        <v>0</v>
      </c>
      <c r="BJ326" s="867">
        <f ca="1"/>
        <v>0</v>
      </c>
      <c r="BK326" s="867">
        <f ca="1"/>
        <v>0</v>
      </c>
      <c r="BL326" s="867">
        <f t="shared" ca="1" si="264"/>
        <v>0</v>
      </c>
      <c r="BM326" s="867">
        <f t="shared" ca="1" si="265"/>
        <v>0</v>
      </c>
      <c r="BN326" s="867">
        <f t="shared" ca="1" si="266"/>
        <v>0</v>
      </c>
      <c r="BO326" s="867">
        <f t="shared" ca="1" si="267"/>
        <v>0</v>
      </c>
      <c r="BP326" s="867">
        <f t="shared" ca="1" si="268"/>
        <v>0</v>
      </c>
      <c r="BQ326" s="867">
        <f t="shared" ca="1" si="269"/>
        <v>0</v>
      </c>
      <c r="BR326" s="867">
        <f ca="1"/>
        <v>0</v>
      </c>
      <c r="BS326" s="867">
        <f ca="1"/>
        <v>0</v>
      </c>
      <c r="BT326" s="867">
        <f t="shared" ca="1" si="229"/>
        <v>0</v>
      </c>
      <c r="BU326" s="867">
        <f t="shared" ca="1" si="270"/>
        <v>0</v>
      </c>
      <c r="BX326" s="867">
        <f ca="1"/>
        <v>0</v>
      </c>
      <c r="BY326" s="867">
        <f t="shared" ca="1" si="271"/>
        <v>0</v>
      </c>
      <c r="BZ326" s="867">
        <f t="shared" ca="1" si="272"/>
        <v>0</v>
      </c>
      <c r="CA326" s="867">
        <f t="shared" ca="1" si="273"/>
        <v>0</v>
      </c>
      <c r="CB326" s="867">
        <f t="shared" ca="1" si="274"/>
        <v>0</v>
      </c>
      <c r="CC326" s="867">
        <f t="shared" ca="1" si="275"/>
        <v>0</v>
      </c>
      <c r="CD326" s="867">
        <f t="shared" ca="1" si="276"/>
        <v>0</v>
      </c>
    </row>
    <row r="327" spans="1:82" ht="17" hidden="1" thickTop="1" thickBot="1">
      <c r="A327" s="773">
        <f t="shared" si="226"/>
        <v>0</v>
      </c>
      <c r="B327" s="779"/>
      <c r="D327" s="660"/>
      <c r="E327" s="661"/>
      <c r="F327" s="862"/>
      <c r="G327" s="863"/>
      <c r="H327" s="961"/>
      <c r="I327" s="865">
        <f t="shared" si="230"/>
        <v>0</v>
      </c>
      <c r="J327" s="864" cm="1">
        <f t="array" ref="J327">IF($G327=0,0,-MIN(0,G327*c_equity.LPshare))</f>
        <v>0</v>
      </c>
      <c r="K327" s="865" cm="1">
        <f t="array" ref="K327">I327*c_rate.Pref.MO</f>
        <v>0</v>
      </c>
      <c r="L327" s="865">
        <f t="shared" si="231"/>
        <v>0</v>
      </c>
      <c r="M327" s="865">
        <f t="shared" si="232"/>
        <v>0</v>
      </c>
      <c r="N327" s="865">
        <f t="shared" si="233"/>
        <v>0</v>
      </c>
      <c r="O327" s="864" cm="1">
        <f t="array" ref="O327">IF(N327=0,0,IF(G327&lt;0,N327/c_equity.LPshare*i_equity.GPshare,L327/c_equity.LPshare*i_equity.GPshare))</f>
        <v>0</v>
      </c>
      <c r="P327" s="865">
        <f t="shared" si="234"/>
        <v>0</v>
      </c>
      <c r="Q327" s="865">
        <f t="shared" si="235"/>
        <v>0</v>
      </c>
      <c r="R327" s="161"/>
      <c r="S327" s="867">
        <f t="shared" ca="1" si="236"/>
        <v>0</v>
      </c>
      <c r="T327" s="867" cm="1">
        <f t="array" ref="T327">IF($G327=0,0,-MIN(0,$G327*c_equity.LPshare))</f>
        <v>0</v>
      </c>
      <c r="U327" s="869" cm="1">
        <f t="array" ref="U327">IF($D327=0,0,S327*c_rate.Hurdle1.MO)</f>
        <v>0</v>
      </c>
      <c r="V327" s="867">
        <f t="shared" si="237"/>
        <v>0</v>
      </c>
      <c r="W327" s="867">
        <f t="shared" ca="1" si="238"/>
        <v>0</v>
      </c>
      <c r="X327" s="869">
        <f t="shared" ca="1" si="239"/>
        <v>0</v>
      </c>
      <c r="Y327" s="869">
        <f t="shared" ca="1" si="240"/>
        <v>0</v>
      </c>
      <c r="Z327" s="869">
        <f t="shared" ca="1" si="241"/>
        <v>0</v>
      </c>
      <c r="AA327" s="869">
        <f t="shared" ca="1" si="242"/>
        <v>0</v>
      </c>
      <c r="AB327" s="867">
        <f t="shared" ca="1" si="243"/>
        <v>0</v>
      </c>
      <c r="AC327" s="161"/>
      <c r="AD327" s="869">
        <f t="shared" ca="1" si="244"/>
        <v>0</v>
      </c>
      <c r="AE327" s="867" cm="1">
        <f t="array" ref="AE327">IF($G327=0,0,-MIN(0,$G327*c_equity.LPshare))</f>
        <v>0</v>
      </c>
      <c r="AF327" s="869" cm="1">
        <f t="array" ref="AF327">IF($D327=0,0,AD327*(c_rate.Hurdle2.MO))</f>
        <v>0</v>
      </c>
      <c r="AG327" s="869">
        <f t="shared" ca="1" si="245"/>
        <v>0</v>
      </c>
      <c r="AH327" s="869">
        <f t="shared" ca="1" si="246"/>
        <v>0</v>
      </c>
      <c r="AI327" s="869">
        <f t="shared" ca="1" si="247"/>
        <v>0</v>
      </c>
      <c r="AJ327" s="870">
        <f t="shared" ca="1" si="248"/>
        <v>0</v>
      </c>
      <c r="AK327" s="867">
        <f t="shared" ca="1" si="249"/>
        <v>0</v>
      </c>
      <c r="AL327" s="869">
        <f t="shared" ca="1" si="227"/>
        <v>0</v>
      </c>
      <c r="AM327" s="869">
        <f t="shared" ca="1" si="250"/>
        <v>0</v>
      </c>
      <c r="AN327" s="867">
        <f t="shared" ca="1" si="251"/>
        <v>0</v>
      </c>
      <c r="AO327" s="161"/>
      <c r="AP327" s="869">
        <f t="shared" ca="1" si="252"/>
        <v>0</v>
      </c>
      <c r="AQ327" s="867" cm="1">
        <f t="array" ref="AQ327">IF($G327=0,0,-MIN(0,$G327*c_equity.LPshare))</f>
        <v>0</v>
      </c>
      <c r="AR327" s="869" cm="1">
        <f t="array" ref="AR327">IF($D327=0,0,AP327*(c_rate.Hurdle3.MO))</f>
        <v>0</v>
      </c>
      <c r="AS327" s="869">
        <f t="shared" ca="1" si="253"/>
        <v>0</v>
      </c>
      <c r="AT327" s="869">
        <f t="shared" ca="1" si="254"/>
        <v>0</v>
      </c>
      <c r="AU327" s="869">
        <f t="shared" ca="1" si="255"/>
        <v>0</v>
      </c>
      <c r="AV327" s="870">
        <f t="shared" ca="1" si="256"/>
        <v>0</v>
      </c>
      <c r="AW327" s="867">
        <f t="shared" ca="1" si="257"/>
        <v>0</v>
      </c>
      <c r="AX327" s="869">
        <f t="shared" ca="1" si="228"/>
        <v>0</v>
      </c>
      <c r="AY327" s="869">
        <f t="shared" ca="1" si="258"/>
        <v>0</v>
      </c>
      <c r="AZ327" s="867">
        <f t="shared" ca="1" si="259"/>
        <v>0</v>
      </c>
      <c r="BA327" s="161"/>
      <c r="BB327" s="867">
        <f t="shared" ca="1" si="260"/>
        <v>0</v>
      </c>
      <c r="BC327" s="867">
        <f t="shared" ca="1" si="225"/>
        <v>0</v>
      </c>
      <c r="BD327" s="658"/>
      <c r="BE327" s="867">
        <f t="shared" ca="1" si="261"/>
        <v>0</v>
      </c>
      <c r="BF327" s="867">
        <f t="shared" ca="1" si="262"/>
        <v>0</v>
      </c>
      <c r="BG327" s="867">
        <f t="shared" ca="1" si="263"/>
        <v>0</v>
      </c>
      <c r="BI327" s="867">
        <f ca="1"/>
        <v>0</v>
      </c>
      <c r="BJ327" s="867">
        <f ca="1"/>
        <v>0</v>
      </c>
      <c r="BK327" s="867">
        <f ca="1"/>
        <v>0</v>
      </c>
      <c r="BL327" s="867">
        <f t="shared" ca="1" si="264"/>
        <v>0</v>
      </c>
      <c r="BM327" s="867">
        <f t="shared" ca="1" si="265"/>
        <v>0</v>
      </c>
      <c r="BN327" s="867">
        <f t="shared" ca="1" si="266"/>
        <v>0</v>
      </c>
      <c r="BO327" s="867">
        <f t="shared" ca="1" si="267"/>
        <v>0</v>
      </c>
      <c r="BP327" s="867">
        <f t="shared" ca="1" si="268"/>
        <v>0</v>
      </c>
      <c r="BQ327" s="867">
        <f t="shared" ca="1" si="269"/>
        <v>0</v>
      </c>
      <c r="BR327" s="867">
        <f ca="1"/>
        <v>0</v>
      </c>
      <c r="BS327" s="867">
        <f ca="1"/>
        <v>0</v>
      </c>
      <c r="BT327" s="867">
        <f t="shared" ca="1" si="229"/>
        <v>0</v>
      </c>
      <c r="BU327" s="867">
        <f t="shared" ca="1" si="270"/>
        <v>0</v>
      </c>
      <c r="BX327" s="867">
        <f ca="1"/>
        <v>0</v>
      </c>
      <c r="BY327" s="867">
        <f t="shared" ca="1" si="271"/>
        <v>0</v>
      </c>
      <c r="BZ327" s="867">
        <f t="shared" ca="1" si="272"/>
        <v>0</v>
      </c>
      <c r="CA327" s="867">
        <f t="shared" ca="1" si="273"/>
        <v>0</v>
      </c>
      <c r="CB327" s="867">
        <f t="shared" ca="1" si="274"/>
        <v>0</v>
      </c>
      <c r="CC327" s="867">
        <f t="shared" ca="1" si="275"/>
        <v>0</v>
      </c>
      <c r="CD327" s="867">
        <f t="shared" ca="1" si="276"/>
        <v>0</v>
      </c>
    </row>
    <row r="328" spans="1:82" ht="17" hidden="1" thickTop="1" thickBot="1">
      <c r="A328" s="773">
        <f t="shared" si="226"/>
        <v>0</v>
      </c>
      <c r="B328" s="779"/>
      <c r="D328" s="660"/>
      <c r="E328" s="661"/>
      <c r="F328" s="862"/>
      <c r="G328" s="863"/>
      <c r="H328" s="961"/>
      <c r="I328" s="865">
        <f t="shared" si="230"/>
        <v>0</v>
      </c>
      <c r="J328" s="864" cm="1">
        <f t="array" ref="J328">IF($G328=0,0,-MIN(0,G328*c_equity.LPshare))</f>
        <v>0</v>
      </c>
      <c r="K328" s="865" cm="1">
        <f t="array" ref="K328">I328*c_rate.Pref.MO</f>
        <v>0</v>
      </c>
      <c r="L328" s="865">
        <f t="shared" si="231"/>
        <v>0</v>
      </c>
      <c r="M328" s="865">
        <f t="shared" si="232"/>
        <v>0</v>
      </c>
      <c r="N328" s="865">
        <f t="shared" si="233"/>
        <v>0</v>
      </c>
      <c r="O328" s="864" cm="1">
        <f t="array" ref="O328">IF(N328=0,0,IF(G328&lt;0,N328/c_equity.LPshare*i_equity.GPshare,L328/c_equity.LPshare*i_equity.GPshare))</f>
        <v>0</v>
      </c>
      <c r="P328" s="865">
        <f t="shared" si="234"/>
        <v>0</v>
      </c>
      <c r="Q328" s="865">
        <f t="shared" si="235"/>
        <v>0</v>
      </c>
      <c r="R328" s="161"/>
      <c r="S328" s="867">
        <f t="shared" ca="1" si="236"/>
        <v>0</v>
      </c>
      <c r="T328" s="867" cm="1">
        <f t="array" ref="T328">IF($G328=0,0,-MIN(0,$G328*c_equity.LPshare))</f>
        <v>0</v>
      </c>
      <c r="U328" s="869" cm="1">
        <f t="array" ref="U328">IF($D328=0,0,S328*c_rate.Hurdle1.MO)</f>
        <v>0</v>
      </c>
      <c r="V328" s="867">
        <f t="shared" si="237"/>
        <v>0</v>
      </c>
      <c r="W328" s="867">
        <f t="shared" ca="1" si="238"/>
        <v>0</v>
      </c>
      <c r="X328" s="869">
        <f t="shared" ca="1" si="239"/>
        <v>0</v>
      </c>
      <c r="Y328" s="869">
        <f t="shared" ca="1" si="240"/>
        <v>0</v>
      </c>
      <c r="Z328" s="869">
        <f t="shared" ca="1" si="241"/>
        <v>0</v>
      </c>
      <c r="AA328" s="869">
        <f t="shared" ca="1" si="242"/>
        <v>0</v>
      </c>
      <c r="AB328" s="867">
        <f t="shared" ca="1" si="243"/>
        <v>0</v>
      </c>
      <c r="AC328" s="161"/>
      <c r="AD328" s="869">
        <f t="shared" ca="1" si="244"/>
        <v>0</v>
      </c>
      <c r="AE328" s="867" cm="1">
        <f t="array" ref="AE328">IF($G328=0,0,-MIN(0,$G328*c_equity.LPshare))</f>
        <v>0</v>
      </c>
      <c r="AF328" s="869" cm="1">
        <f t="array" ref="AF328">IF($D328=0,0,AD328*(c_rate.Hurdle2.MO))</f>
        <v>0</v>
      </c>
      <c r="AG328" s="869">
        <f t="shared" ca="1" si="245"/>
        <v>0</v>
      </c>
      <c r="AH328" s="869">
        <f t="shared" ca="1" si="246"/>
        <v>0</v>
      </c>
      <c r="AI328" s="869">
        <f t="shared" ca="1" si="247"/>
        <v>0</v>
      </c>
      <c r="AJ328" s="870">
        <f t="shared" ca="1" si="248"/>
        <v>0</v>
      </c>
      <c r="AK328" s="867">
        <f t="shared" ca="1" si="249"/>
        <v>0</v>
      </c>
      <c r="AL328" s="869">
        <f t="shared" ca="1" si="227"/>
        <v>0</v>
      </c>
      <c r="AM328" s="869">
        <f t="shared" ca="1" si="250"/>
        <v>0</v>
      </c>
      <c r="AN328" s="867">
        <f t="shared" ca="1" si="251"/>
        <v>0</v>
      </c>
      <c r="AO328" s="161"/>
      <c r="AP328" s="869">
        <f t="shared" ca="1" si="252"/>
        <v>0</v>
      </c>
      <c r="AQ328" s="867" cm="1">
        <f t="array" ref="AQ328">IF($G328=0,0,-MIN(0,$G328*c_equity.LPshare))</f>
        <v>0</v>
      </c>
      <c r="AR328" s="869" cm="1">
        <f t="array" ref="AR328">IF($D328=0,0,AP328*(c_rate.Hurdle3.MO))</f>
        <v>0</v>
      </c>
      <c r="AS328" s="869">
        <f t="shared" ca="1" si="253"/>
        <v>0</v>
      </c>
      <c r="AT328" s="869">
        <f t="shared" ca="1" si="254"/>
        <v>0</v>
      </c>
      <c r="AU328" s="869">
        <f t="shared" ca="1" si="255"/>
        <v>0</v>
      </c>
      <c r="AV328" s="870">
        <f t="shared" ca="1" si="256"/>
        <v>0</v>
      </c>
      <c r="AW328" s="867">
        <f t="shared" ca="1" si="257"/>
        <v>0</v>
      </c>
      <c r="AX328" s="869">
        <f t="shared" ca="1" si="228"/>
        <v>0</v>
      </c>
      <c r="AY328" s="869">
        <f t="shared" ca="1" si="258"/>
        <v>0</v>
      </c>
      <c r="AZ328" s="867">
        <f t="shared" ca="1" si="259"/>
        <v>0</v>
      </c>
      <c r="BA328" s="161"/>
      <c r="BB328" s="867">
        <f t="shared" ca="1" si="260"/>
        <v>0</v>
      </c>
      <c r="BC328" s="867">
        <f t="shared" ca="1" si="225"/>
        <v>0</v>
      </c>
      <c r="BD328" s="658"/>
      <c r="BE328" s="867">
        <f t="shared" ca="1" si="261"/>
        <v>0</v>
      </c>
      <c r="BF328" s="867">
        <f t="shared" ca="1" si="262"/>
        <v>0</v>
      </c>
      <c r="BG328" s="867">
        <f t="shared" ca="1" si="263"/>
        <v>0</v>
      </c>
      <c r="BI328" s="867">
        <f ca="1"/>
        <v>0</v>
      </c>
      <c r="BJ328" s="867">
        <f ca="1"/>
        <v>0</v>
      </c>
      <c r="BK328" s="867">
        <f ca="1"/>
        <v>0</v>
      </c>
      <c r="BL328" s="867">
        <f t="shared" ca="1" si="264"/>
        <v>0</v>
      </c>
      <c r="BM328" s="867">
        <f t="shared" ca="1" si="265"/>
        <v>0</v>
      </c>
      <c r="BN328" s="867">
        <f t="shared" ca="1" si="266"/>
        <v>0</v>
      </c>
      <c r="BO328" s="867">
        <f t="shared" ca="1" si="267"/>
        <v>0</v>
      </c>
      <c r="BP328" s="867">
        <f t="shared" ca="1" si="268"/>
        <v>0</v>
      </c>
      <c r="BQ328" s="867">
        <f t="shared" ca="1" si="269"/>
        <v>0</v>
      </c>
      <c r="BR328" s="867">
        <f ca="1"/>
        <v>0</v>
      </c>
      <c r="BS328" s="867">
        <f ca="1"/>
        <v>0</v>
      </c>
      <c r="BT328" s="867">
        <f t="shared" ca="1" si="229"/>
        <v>0</v>
      </c>
      <c r="BU328" s="867">
        <f t="shared" ca="1" si="270"/>
        <v>0</v>
      </c>
      <c r="BX328" s="867">
        <f ca="1"/>
        <v>0</v>
      </c>
      <c r="BY328" s="867">
        <f t="shared" ca="1" si="271"/>
        <v>0</v>
      </c>
      <c r="BZ328" s="867">
        <f t="shared" ca="1" si="272"/>
        <v>0</v>
      </c>
      <c r="CA328" s="867">
        <f t="shared" ca="1" si="273"/>
        <v>0</v>
      </c>
      <c r="CB328" s="867">
        <f t="shared" ca="1" si="274"/>
        <v>0</v>
      </c>
      <c r="CC328" s="867">
        <f t="shared" ca="1" si="275"/>
        <v>0</v>
      </c>
      <c r="CD328" s="867">
        <f t="shared" ca="1" si="276"/>
        <v>0</v>
      </c>
    </row>
    <row r="329" spans="1:82" ht="17" hidden="1" thickTop="1" thickBot="1">
      <c r="A329" s="773">
        <f t="shared" si="226"/>
        <v>0</v>
      </c>
      <c r="B329" s="779"/>
      <c r="D329" s="660"/>
      <c r="E329" s="661"/>
      <c r="F329" s="862"/>
      <c r="G329" s="863"/>
      <c r="H329" s="961"/>
      <c r="I329" s="865">
        <f t="shared" si="230"/>
        <v>0</v>
      </c>
      <c r="J329" s="864" cm="1">
        <f t="array" ref="J329">IF($G329=0,0,-MIN(0,G329*c_equity.LPshare))</f>
        <v>0</v>
      </c>
      <c r="K329" s="865" cm="1">
        <f t="array" ref="K329">I329*c_rate.Pref.MO</f>
        <v>0</v>
      </c>
      <c r="L329" s="865">
        <f t="shared" si="231"/>
        <v>0</v>
      </c>
      <c r="M329" s="865">
        <f t="shared" si="232"/>
        <v>0</v>
      </c>
      <c r="N329" s="865">
        <f t="shared" si="233"/>
        <v>0</v>
      </c>
      <c r="O329" s="864" cm="1">
        <f t="array" ref="O329">IF(N329=0,0,IF(G329&lt;0,N329/c_equity.LPshare*i_equity.GPshare,L329/c_equity.LPshare*i_equity.GPshare))</f>
        <v>0</v>
      </c>
      <c r="P329" s="865">
        <f t="shared" si="234"/>
        <v>0</v>
      </c>
      <c r="Q329" s="865">
        <f t="shared" si="235"/>
        <v>0</v>
      </c>
      <c r="R329" s="161"/>
      <c r="S329" s="867">
        <f t="shared" ca="1" si="236"/>
        <v>0</v>
      </c>
      <c r="T329" s="867" cm="1">
        <f t="array" ref="T329">IF($G329=0,0,-MIN(0,$G329*c_equity.LPshare))</f>
        <v>0</v>
      </c>
      <c r="U329" s="869" cm="1">
        <f t="array" ref="U329">IF($D329=0,0,S329*c_rate.Hurdle1.MO)</f>
        <v>0</v>
      </c>
      <c r="V329" s="867">
        <f t="shared" si="237"/>
        <v>0</v>
      </c>
      <c r="W329" s="867">
        <f t="shared" ca="1" si="238"/>
        <v>0</v>
      </c>
      <c r="X329" s="869">
        <f t="shared" ca="1" si="239"/>
        <v>0</v>
      </c>
      <c r="Y329" s="869">
        <f t="shared" ca="1" si="240"/>
        <v>0</v>
      </c>
      <c r="Z329" s="869">
        <f t="shared" ca="1" si="241"/>
        <v>0</v>
      </c>
      <c r="AA329" s="869">
        <f t="shared" ca="1" si="242"/>
        <v>0</v>
      </c>
      <c r="AB329" s="867">
        <f t="shared" ca="1" si="243"/>
        <v>0</v>
      </c>
      <c r="AC329" s="161"/>
      <c r="AD329" s="869">
        <f t="shared" ca="1" si="244"/>
        <v>0</v>
      </c>
      <c r="AE329" s="867" cm="1">
        <f t="array" ref="AE329">IF($G329=0,0,-MIN(0,$G329*c_equity.LPshare))</f>
        <v>0</v>
      </c>
      <c r="AF329" s="869" cm="1">
        <f t="array" ref="AF329">IF($D329=0,0,AD329*(c_rate.Hurdle2.MO))</f>
        <v>0</v>
      </c>
      <c r="AG329" s="869">
        <f t="shared" ca="1" si="245"/>
        <v>0</v>
      </c>
      <c r="AH329" s="869">
        <f t="shared" ca="1" si="246"/>
        <v>0</v>
      </c>
      <c r="AI329" s="869">
        <f t="shared" ca="1" si="247"/>
        <v>0</v>
      </c>
      <c r="AJ329" s="870">
        <f t="shared" ca="1" si="248"/>
        <v>0</v>
      </c>
      <c r="AK329" s="867">
        <f t="shared" ca="1" si="249"/>
        <v>0</v>
      </c>
      <c r="AL329" s="869">
        <f t="shared" ca="1" si="227"/>
        <v>0</v>
      </c>
      <c r="AM329" s="869">
        <f t="shared" ca="1" si="250"/>
        <v>0</v>
      </c>
      <c r="AN329" s="867">
        <f t="shared" ca="1" si="251"/>
        <v>0</v>
      </c>
      <c r="AO329" s="161"/>
      <c r="AP329" s="869">
        <f t="shared" ca="1" si="252"/>
        <v>0</v>
      </c>
      <c r="AQ329" s="867" cm="1">
        <f t="array" ref="AQ329">IF($G329=0,0,-MIN(0,$G329*c_equity.LPshare))</f>
        <v>0</v>
      </c>
      <c r="AR329" s="869" cm="1">
        <f t="array" ref="AR329">IF($D329=0,0,AP329*(c_rate.Hurdle3.MO))</f>
        <v>0</v>
      </c>
      <c r="AS329" s="869">
        <f t="shared" ca="1" si="253"/>
        <v>0</v>
      </c>
      <c r="AT329" s="869">
        <f t="shared" ca="1" si="254"/>
        <v>0</v>
      </c>
      <c r="AU329" s="869">
        <f t="shared" ca="1" si="255"/>
        <v>0</v>
      </c>
      <c r="AV329" s="870">
        <f t="shared" ca="1" si="256"/>
        <v>0</v>
      </c>
      <c r="AW329" s="867">
        <f t="shared" ca="1" si="257"/>
        <v>0</v>
      </c>
      <c r="AX329" s="869">
        <f t="shared" ca="1" si="228"/>
        <v>0</v>
      </c>
      <c r="AY329" s="869">
        <f t="shared" ca="1" si="258"/>
        <v>0</v>
      </c>
      <c r="AZ329" s="867">
        <f t="shared" ca="1" si="259"/>
        <v>0</v>
      </c>
      <c r="BA329" s="161"/>
      <c r="BB329" s="867">
        <f t="shared" ca="1" si="260"/>
        <v>0</v>
      </c>
      <c r="BC329" s="867">
        <f t="shared" ca="1" si="225"/>
        <v>0</v>
      </c>
      <c r="BD329" s="658"/>
      <c r="BE329" s="867">
        <f t="shared" ca="1" si="261"/>
        <v>0</v>
      </c>
      <c r="BF329" s="867">
        <f t="shared" ca="1" si="262"/>
        <v>0</v>
      </c>
      <c r="BG329" s="867">
        <f t="shared" ca="1" si="263"/>
        <v>0</v>
      </c>
      <c r="BI329" s="867">
        <f ca="1"/>
        <v>0</v>
      </c>
      <c r="BJ329" s="867">
        <f ca="1"/>
        <v>0</v>
      </c>
      <c r="BK329" s="867">
        <f ca="1"/>
        <v>0</v>
      </c>
      <c r="BL329" s="867">
        <f t="shared" ca="1" si="264"/>
        <v>0</v>
      </c>
      <c r="BM329" s="867">
        <f t="shared" ca="1" si="265"/>
        <v>0</v>
      </c>
      <c r="BN329" s="867">
        <f t="shared" ca="1" si="266"/>
        <v>0</v>
      </c>
      <c r="BO329" s="867">
        <f t="shared" ca="1" si="267"/>
        <v>0</v>
      </c>
      <c r="BP329" s="867">
        <f t="shared" ca="1" si="268"/>
        <v>0</v>
      </c>
      <c r="BQ329" s="867">
        <f t="shared" ca="1" si="269"/>
        <v>0</v>
      </c>
      <c r="BR329" s="867">
        <f ca="1"/>
        <v>0</v>
      </c>
      <c r="BS329" s="867">
        <f ca="1"/>
        <v>0</v>
      </c>
      <c r="BT329" s="867">
        <f t="shared" ca="1" si="229"/>
        <v>0</v>
      </c>
      <c r="BU329" s="867">
        <f t="shared" ca="1" si="270"/>
        <v>0</v>
      </c>
      <c r="BX329" s="867">
        <f ca="1"/>
        <v>0</v>
      </c>
      <c r="BY329" s="867">
        <f t="shared" ca="1" si="271"/>
        <v>0</v>
      </c>
      <c r="BZ329" s="867">
        <f t="shared" ca="1" si="272"/>
        <v>0</v>
      </c>
      <c r="CA329" s="867">
        <f t="shared" ca="1" si="273"/>
        <v>0</v>
      </c>
      <c r="CB329" s="867">
        <f t="shared" ca="1" si="274"/>
        <v>0</v>
      </c>
      <c r="CC329" s="867">
        <f t="shared" ca="1" si="275"/>
        <v>0</v>
      </c>
      <c r="CD329" s="867">
        <f t="shared" ca="1" si="276"/>
        <v>0</v>
      </c>
    </row>
    <row r="330" spans="1:82" ht="17" hidden="1" thickTop="1" thickBot="1">
      <c r="A330" s="773">
        <f t="shared" si="226"/>
        <v>0</v>
      </c>
      <c r="B330" s="779"/>
      <c r="D330" s="660"/>
      <c r="E330" s="661"/>
      <c r="F330" s="862"/>
      <c r="G330" s="863"/>
      <c r="H330" s="961"/>
      <c r="I330" s="865">
        <f t="shared" si="230"/>
        <v>0</v>
      </c>
      <c r="J330" s="864" cm="1">
        <f t="array" ref="J330">IF($G330=0,0,-MIN(0,G330*c_equity.LPshare))</f>
        <v>0</v>
      </c>
      <c r="K330" s="865" cm="1">
        <f t="array" ref="K330">I330*c_rate.Pref.MO</f>
        <v>0</v>
      </c>
      <c r="L330" s="865">
        <f t="shared" si="231"/>
        <v>0</v>
      </c>
      <c r="M330" s="865">
        <f t="shared" si="232"/>
        <v>0</v>
      </c>
      <c r="N330" s="865">
        <f t="shared" si="233"/>
        <v>0</v>
      </c>
      <c r="O330" s="864" cm="1">
        <f t="array" ref="O330">IF(N330=0,0,IF(G330&lt;0,N330/c_equity.LPshare*i_equity.GPshare,L330/c_equity.LPshare*i_equity.GPshare))</f>
        <v>0</v>
      </c>
      <c r="P330" s="865">
        <f t="shared" si="234"/>
        <v>0</v>
      </c>
      <c r="Q330" s="865">
        <f t="shared" si="235"/>
        <v>0</v>
      </c>
      <c r="R330" s="161"/>
      <c r="S330" s="867">
        <f t="shared" ca="1" si="236"/>
        <v>0</v>
      </c>
      <c r="T330" s="867" cm="1">
        <f t="array" ref="T330">IF($G330=0,0,-MIN(0,$G330*c_equity.LPshare))</f>
        <v>0</v>
      </c>
      <c r="U330" s="869" cm="1">
        <f t="array" ref="U330">IF($D330=0,0,S330*c_rate.Hurdle1.MO)</f>
        <v>0</v>
      </c>
      <c r="V330" s="867">
        <f t="shared" si="237"/>
        <v>0</v>
      </c>
      <c r="W330" s="867">
        <f t="shared" ca="1" si="238"/>
        <v>0</v>
      </c>
      <c r="X330" s="869">
        <f t="shared" ca="1" si="239"/>
        <v>0</v>
      </c>
      <c r="Y330" s="869">
        <f t="shared" ca="1" si="240"/>
        <v>0</v>
      </c>
      <c r="Z330" s="869">
        <f t="shared" ca="1" si="241"/>
        <v>0</v>
      </c>
      <c r="AA330" s="869">
        <f t="shared" ca="1" si="242"/>
        <v>0</v>
      </c>
      <c r="AB330" s="867">
        <f t="shared" ca="1" si="243"/>
        <v>0</v>
      </c>
      <c r="AC330" s="161"/>
      <c r="AD330" s="869">
        <f t="shared" ca="1" si="244"/>
        <v>0</v>
      </c>
      <c r="AE330" s="867" cm="1">
        <f t="array" ref="AE330">IF($G330=0,0,-MIN(0,$G330*c_equity.LPshare))</f>
        <v>0</v>
      </c>
      <c r="AF330" s="869" cm="1">
        <f t="array" ref="AF330">IF($D330=0,0,AD330*(c_rate.Hurdle2.MO))</f>
        <v>0</v>
      </c>
      <c r="AG330" s="869">
        <f t="shared" ca="1" si="245"/>
        <v>0</v>
      </c>
      <c r="AH330" s="869">
        <f t="shared" ca="1" si="246"/>
        <v>0</v>
      </c>
      <c r="AI330" s="869">
        <f t="shared" ca="1" si="247"/>
        <v>0</v>
      </c>
      <c r="AJ330" s="870">
        <f t="shared" ca="1" si="248"/>
        <v>0</v>
      </c>
      <c r="AK330" s="867">
        <f t="shared" ca="1" si="249"/>
        <v>0</v>
      </c>
      <c r="AL330" s="869">
        <f t="shared" ca="1" si="227"/>
        <v>0</v>
      </c>
      <c r="AM330" s="869">
        <f t="shared" ca="1" si="250"/>
        <v>0</v>
      </c>
      <c r="AN330" s="867">
        <f t="shared" ca="1" si="251"/>
        <v>0</v>
      </c>
      <c r="AO330" s="161"/>
      <c r="AP330" s="869">
        <f t="shared" ca="1" si="252"/>
        <v>0</v>
      </c>
      <c r="AQ330" s="867" cm="1">
        <f t="array" ref="AQ330">IF($G330=0,0,-MIN(0,$G330*c_equity.LPshare))</f>
        <v>0</v>
      </c>
      <c r="AR330" s="869" cm="1">
        <f t="array" ref="AR330">IF($D330=0,0,AP330*(c_rate.Hurdle3.MO))</f>
        <v>0</v>
      </c>
      <c r="AS330" s="869">
        <f t="shared" ca="1" si="253"/>
        <v>0</v>
      </c>
      <c r="AT330" s="869">
        <f t="shared" ca="1" si="254"/>
        <v>0</v>
      </c>
      <c r="AU330" s="869">
        <f t="shared" ca="1" si="255"/>
        <v>0</v>
      </c>
      <c r="AV330" s="870">
        <f t="shared" ca="1" si="256"/>
        <v>0</v>
      </c>
      <c r="AW330" s="867">
        <f t="shared" ca="1" si="257"/>
        <v>0</v>
      </c>
      <c r="AX330" s="869">
        <f t="shared" ca="1" si="228"/>
        <v>0</v>
      </c>
      <c r="AY330" s="869">
        <f t="shared" ca="1" si="258"/>
        <v>0</v>
      </c>
      <c r="AZ330" s="867">
        <f t="shared" ca="1" si="259"/>
        <v>0</v>
      </c>
      <c r="BA330" s="161"/>
      <c r="BB330" s="867">
        <f t="shared" ca="1" si="260"/>
        <v>0</v>
      </c>
      <c r="BC330" s="867">
        <f t="shared" ca="1" si="225"/>
        <v>0</v>
      </c>
      <c r="BD330" s="658"/>
      <c r="BE330" s="867">
        <f t="shared" ca="1" si="261"/>
        <v>0</v>
      </c>
      <c r="BF330" s="867">
        <f t="shared" ca="1" si="262"/>
        <v>0</v>
      </c>
      <c r="BG330" s="867">
        <f t="shared" ca="1" si="263"/>
        <v>0</v>
      </c>
      <c r="BI330" s="867">
        <f ca="1"/>
        <v>0</v>
      </c>
      <c r="BJ330" s="867">
        <f ca="1"/>
        <v>0</v>
      </c>
      <c r="BK330" s="867">
        <f ca="1"/>
        <v>0</v>
      </c>
      <c r="BL330" s="867">
        <f t="shared" ca="1" si="264"/>
        <v>0</v>
      </c>
      <c r="BM330" s="867">
        <f t="shared" ca="1" si="265"/>
        <v>0</v>
      </c>
      <c r="BN330" s="867">
        <f t="shared" ca="1" si="266"/>
        <v>0</v>
      </c>
      <c r="BO330" s="867">
        <f t="shared" ca="1" si="267"/>
        <v>0</v>
      </c>
      <c r="BP330" s="867">
        <f t="shared" ca="1" si="268"/>
        <v>0</v>
      </c>
      <c r="BQ330" s="867">
        <f t="shared" ca="1" si="269"/>
        <v>0</v>
      </c>
      <c r="BR330" s="867">
        <f ca="1"/>
        <v>0</v>
      </c>
      <c r="BS330" s="867">
        <f ca="1"/>
        <v>0</v>
      </c>
      <c r="BT330" s="867">
        <f t="shared" ca="1" si="229"/>
        <v>0</v>
      </c>
      <c r="BU330" s="867">
        <f t="shared" ca="1" si="270"/>
        <v>0</v>
      </c>
      <c r="BX330" s="867">
        <f ca="1"/>
        <v>0</v>
      </c>
      <c r="BY330" s="867">
        <f t="shared" ca="1" si="271"/>
        <v>0</v>
      </c>
      <c r="BZ330" s="867">
        <f t="shared" ca="1" si="272"/>
        <v>0</v>
      </c>
      <c r="CA330" s="867">
        <f t="shared" ca="1" si="273"/>
        <v>0</v>
      </c>
      <c r="CB330" s="867">
        <f t="shared" ca="1" si="274"/>
        <v>0</v>
      </c>
      <c r="CC330" s="867">
        <f t="shared" ca="1" si="275"/>
        <v>0</v>
      </c>
      <c r="CD330" s="867">
        <f t="shared" ca="1" si="276"/>
        <v>0</v>
      </c>
    </row>
    <row r="331" spans="1:82" ht="17" hidden="1" thickTop="1" thickBot="1">
      <c r="A331" s="773">
        <f t="shared" si="226"/>
        <v>0</v>
      </c>
      <c r="B331" s="779"/>
      <c r="D331" s="660"/>
      <c r="E331" s="661"/>
      <c r="F331" s="862"/>
      <c r="G331" s="863"/>
      <c r="H331" s="961"/>
      <c r="I331" s="865">
        <f t="shared" si="230"/>
        <v>0</v>
      </c>
      <c r="J331" s="864" cm="1">
        <f t="array" ref="J331">IF($G331=0,0,-MIN(0,G331*c_equity.LPshare))</f>
        <v>0</v>
      </c>
      <c r="K331" s="865" cm="1">
        <f t="array" ref="K331">I331*c_rate.Pref.MO</f>
        <v>0</v>
      </c>
      <c r="L331" s="865">
        <f t="shared" si="231"/>
        <v>0</v>
      </c>
      <c r="M331" s="865">
        <f t="shared" si="232"/>
        <v>0</v>
      </c>
      <c r="N331" s="865">
        <f t="shared" si="233"/>
        <v>0</v>
      </c>
      <c r="O331" s="864" cm="1">
        <f t="array" ref="O331">IF(N331=0,0,IF(G331&lt;0,N331/c_equity.LPshare*i_equity.GPshare,L331/c_equity.LPshare*i_equity.GPshare))</f>
        <v>0</v>
      </c>
      <c r="P331" s="865">
        <f t="shared" si="234"/>
        <v>0</v>
      </c>
      <c r="Q331" s="865">
        <f t="shared" si="235"/>
        <v>0</v>
      </c>
      <c r="R331" s="161"/>
      <c r="S331" s="867">
        <f t="shared" ca="1" si="236"/>
        <v>0</v>
      </c>
      <c r="T331" s="867" cm="1">
        <f t="array" ref="T331">IF($G331=0,0,-MIN(0,$G331*c_equity.LPshare))</f>
        <v>0</v>
      </c>
      <c r="U331" s="869" cm="1">
        <f t="array" ref="U331">IF($D331=0,0,S331*c_rate.Hurdle1.MO)</f>
        <v>0</v>
      </c>
      <c r="V331" s="867">
        <f t="shared" si="237"/>
        <v>0</v>
      </c>
      <c r="W331" s="867">
        <f t="shared" ca="1" si="238"/>
        <v>0</v>
      </c>
      <c r="X331" s="869">
        <f t="shared" ca="1" si="239"/>
        <v>0</v>
      </c>
      <c r="Y331" s="869">
        <f t="shared" ca="1" si="240"/>
        <v>0</v>
      </c>
      <c r="Z331" s="869">
        <f t="shared" ca="1" si="241"/>
        <v>0</v>
      </c>
      <c r="AA331" s="869">
        <f t="shared" ca="1" si="242"/>
        <v>0</v>
      </c>
      <c r="AB331" s="867">
        <f t="shared" ca="1" si="243"/>
        <v>0</v>
      </c>
      <c r="AC331" s="161"/>
      <c r="AD331" s="869">
        <f t="shared" ca="1" si="244"/>
        <v>0</v>
      </c>
      <c r="AE331" s="867" cm="1">
        <f t="array" ref="AE331">IF($G331=0,0,-MIN(0,$G331*c_equity.LPshare))</f>
        <v>0</v>
      </c>
      <c r="AF331" s="869" cm="1">
        <f t="array" ref="AF331">IF($D331=0,0,AD331*(c_rate.Hurdle2.MO))</f>
        <v>0</v>
      </c>
      <c r="AG331" s="869">
        <f t="shared" ca="1" si="245"/>
        <v>0</v>
      </c>
      <c r="AH331" s="869">
        <f t="shared" ca="1" si="246"/>
        <v>0</v>
      </c>
      <c r="AI331" s="869">
        <f t="shared" ca="1" si="247"/>
        <v>0</v>
      </c>
      <c r="AJ331" s="870">
        <f t="shared" ca="1" si="248"/>
        <v>0</v>
      </c>
      <c r="AK331" s="867">
        <f t="shared" ca="1" si="249"/>
        <v>0</v>
      </c>
      <c r="AL331" s="869">
        <f t="shared" ca="1" si="227"/>
        <v>0</v>
      </c>
      <c r="AM331" s="869">
        <f t="shared" ca="1" si="250"/>
        <v>0</v>
      </c>
      <c r="AN331" s="867">
        <f t="shared" ca="1" si="251"/>
        <v>0</v>
      </c>
      <c r="AO331" s="161"/>
      <c r="AP331" s="869">
        <f t="shared" ca="1" si="252"/>
        <v>0</v>
      </c>
      <c r="AQ331" s="867" cm="1">
        <f t="array" ref="AQ331">IF($G331=0,0,-MIN(0,$G331*c_equity.LPshare))</f>
        <v>0</v>
      </c>
      <c r="AR331" s="869" cm="1">
        <f t="array" ref="AR331">IF($D331=0,0,AP331*(c_rate.Hurdle3.MO))</f>
        <v>0</v>
      </c>
      <c r="AS331" s="869">
        <f t="shared" ca="1" si="253"/>
        <v>0</v>
      </c>
      <c r="AT331" s="869">
        <f t="shared" ca="1" si="254"/>
        <v>0</v>
      </c>
      <c r="AU331" s="869">
        <f t="shared" ca="1" si="255"/>
        <v>0</v>
      </c>
      <c r="AV331" s="870">
        <f t="shared" ca="1" si="256"/>
        <v>0</v>
      </c>
      <c r="AW331" s="867">
        <f t="shared" ca="1" si="257"/>
        <v>0</v>
      </c>
      <c r="AX331" s="869">
        <f t="shared" ca="1" si="228"/>
        <v>0</v>
      </c>
      <c r="AY331" s="869">
        <f t="shared" ca="1" si="258"/>
        <v>0</v>
      </c>
      <c r="AZ331" s="867">
        <f t="shared" ca="1" si="259"/>
        <v>0</v>
      </c>
      <c r="BA331" s="161"/>
      <c r="BB331" s="867">
        <f t="shared" ca="1" si="260"/>
        <v>0</v>
      </c>
      <c r="BC331" s="867">
        <f t="shared" ca="1" si="225"/>
        <v>0</v>
      </c>
      <c r="BD331" s="658"/>
      <c r="BE331" s="867">
        <f t="shared" ca="1" si="261"/>
        <v>0</v>
      </c>
      <c r="BF331" s="867">
        <f t="shared" ca="1" si="262"/>
        <v>0</v>
      </c>
      <c r="BG331" s="867">
        <f t="shared" ca="1" si="263"/>
        <v>0</v>
      </c>
      <c r="BI331" s="867">
        <f ca="1"/>
        <v>0</v>
      </c>
      <c r="BJ331" s="867">
        <f ca="1"/>
        <v>0</v>
      </c>
      <c r="BK331" s="867">
        <f ca="1"/>
        <v>0</v>
      </c>
      <c r="BL331" s="867">
        <f t="shared" ca="1" si="264"/>
        <v>0</v>
      </c>
      <c r="BM331" s="867">
        <f t="shared" ca="1" si="265"/>
        <v>0</v>
      </c>
      <c r="BN331" s="867">
        <f t="shared" ca="1" si="266"/>
        <v>0</v>
      </c>
      <c r="BO331" s="867">
        <f t="shared" ca="1" si="267"/>
        <v>0</v>
      </c>
      <c r="BP331" s="867">
        <f t="shared" ca="1" si="268"/>
        <v>0</v>
      </c>
      <c r="BQ331" s="867">
        <f t="shared" ca="1" si="269"/>
        <v>0</v>
      </c>
      <c r="BR331" s="867">
        <f ca="1"/>
        <v>0</v>
      </c>
      <c r="BS331" s="867">
        <f ca="1"/>
        <v>0</v>
      </c>
      <c r="BT331" s="867">
        <f t="shared" ca="1" si="229"/>
        <v>0</v>
      </c>
      <c r="BU331" s="867">
        <f t="shared" ca="1" si="270"/>
        <v>0</v>
      </c>
      <c r="BX331" s="867">
        <f ca="1"/>
        <v>0</v>
      </c>
      <c r="BY331" s="867">
        <f t="shared" ca="1" si="271"/>
        <v>0</v>
      </c>
      <c r="BZ331" s="867">
        <f t="shared" ca="1" si="272"/>
        <v>0</v>
      </c>
      <c r="CA331" s="867">
        <f t="shared" ca="1" si="273"/>
        <v>0</v>
      </c>
      <c r="CB331" s="867">
        <f t="shared" ca="1" si="274"/>
        <v>0</v>
      </c>
      <c r="CC331" s="867">
        <f t="shared" ca="1" si="275"/>
        <v>0</v>
      </c>
      <c r="CD331" s="867">
        <f t="shared" ca="1" si="276"/>
        <v>0</v>
      </c>
    </row>
    <row r="332" spans="1:82" ht="17" hidden="1" thickTop="1" thickBot="1">
      <c r="A332" s="773">
        <f t="shared" si="226"/>
        <v>0</v>
      </c>
      <c r="B332" s="779"/>
      <c r="D332" s="660"/>
      <c r="E332" s="661"/>
      <c r="F332" s="862"/>
      <c r="G332" s="863"/>
      <c r="H332" s="961"/>
      <c r="I332" s="865">
        <f t="shared" si="230"/>
        <v>0</v>
      </c>
      <c r="J332" s="864" cm="1">
        <f t="array" ref="J332">IF($G332=0,0,-MIN(0,G332*c_equity.LPshare))</f>
        <v>0</v>
      </c>
      <c r="K332" s="865" cm="1">
        <f t="array" ref="K332">I332*c_rate.Pref.MO</f>
        <v>0</v>
      </c>
      <c r="L332" s="865">
        <f t="shared" si="231"/>
        <v>0</v>
      </c>
      <c r="M332" s="865">
        <f t="shared" si="232"/>
        <v>0</v>
      </c>
      <c r="N332" s="865">
        <f t="shared" si="233"/>
        <v>0</v>
      </c>
      <c r="O332" s="864" cm="1">
        <f t="array" ref="O332">IF(N332=0,0,IF(G332&lt;0,N332/c_equity.LPshare*i_equity.GPshare,L332/c_equity.LPshare*i_equity.GPshare))</f>
        <v>0</v>
      </c>
      <c r="P332" s="865">
        <f t="shared" si="234"/>
        <v>0</v>
      </c>
      <c r="Q332" s="865">
        <f t="shared" si="235"/>
        <v>0</v>
      </c>
      <c r="R332" s="161"/>
      <c r="S332" s="867">
        <f t="shared" ca="1" si="236"/>
        <v>0</v>
      </c>
      <c r="T332" s="867" cm="1">
        <f t="array" ref="T332">IF($G332=0,0,-MIN(0,$G332*c_equity.LPshare))</f>
        <v>0</v>
      </c>
      <c r="U332" s="869" cm="1">
        <f t="array" ref="U332">IF($D332=0,0,S332*c_rate.Hurdle1.MO)</f>
        <v>0</v>
      </c>
      <c r="V332" s="867">
        <f t="shared" si="237"/>
        <v>0</v>
      </c>
      <c r="W332" s="867">
        <f t="shared" ca="1" si="238"/>
        <v>0</v>
      </c>
      <c r="X332" s="869">
        <f t="shared" ca="1" si="239"/>
        <v>0</v>
      </c>
      <c r="Y332" s="869">
        <f t="shared" ca="1" si="240"/>
        <v>0</v>
      </c>
      <c r="Z332" s="869">
        <f t="shared" ca="1" si="241"/>
        <v>0</v>
      </c>
      <c r="AA332" s="869">
        <f t="shared" ca="1" si="242"/>
        <v>0</v>
      </c>
      <c r="AB332" s="867">
        <f t="shared" ca="1" si="243"/>
        <v>0</v>
      </c>
      <c r="AC332" s="161"/>
      <c r="AD332" s="869">
        <f t="shared" ca="1" si="244"/>
        <v>0</v>
      </c>
      <c r="AE332" s="867" cm="1">
        <f t="array" ref="AE332">IF($G332=0,0,-MIN(0,$G332*c_equity.LPshare))</f>
        <v>0</v>
      </c>
      <c r="AF332" s="869" cm="1">
        <f t="array" ref="AF332">IF($D332=0,0,AD332*(c_rate.Hurdle2.MO))</f>
        <v>0</v>
      </c>
      <c r="AG332" s="869">
        <f t="shared" ca="1" si="245"/>
        <v>0</v>
      </c>
      <c r="AH332" s="869">
        <f t="shared" ca="1" si="246"/>
        <v>0</v>
      </c>
      <c r="AI332" s="869">
        <f t="shared" ca="1" si="247"/>
        <v>0</v>
      </c>
      <c r="AJ332" s="870">
        <f t="shared" ca="1" si="248"/>
        <v>0</v>
      </c>
      <c r="AK332" s="867">
        <f t="shared" ca="1" si="249"/>
        <v>0</v>
      </c>
      <c r="AL332" s="869">
        <f t="shared" ca="1" si="227"/>
        <v>0</v>
      </c>
      <c r="AM332" s="869">
        <f t="shared" ca="1" si="250"/>
        <v>0</v>
      </c>
      <c r="AN332" s="867">
        <f t="shared" ca="1" si="251"/>
        <v>0</v>
      </c>
      <c r="AO332" s="161"/>
      <c r="AP332" s="869">
        <f t="shared" ca="1" si="252"/>
        <v>0</v>
      </c>
      <c r="AQ332" s="867" cm="1">
        <f t="array" ref="AQ332">IF($G332=0,0,-MIN(0,$G332*c_equity.LPshare))</f>
        <v>0</v>
      </c>
      <c r="AR332" s="869" cm="1">
        <f t="array" ref="AR332">IF($D332=0,0,AP332*(c_rate.Hurdle3.MO))</f>
        <v>0</v>
      </c>
      <c r="AS332" s="869">
        <f t="shared" ca="1" si="253"/>
        <v>0</v>
      </c>
      <c r="AT332" s="869">
        <f t="shared" ca="1" si="254"/>
        <v>0</v>
      </c>
      <c r="AU332" s="869">
        <f t="shared" ca="1" si="255"/>
        <v>0</v>
      </c>
      <c r="AV332" s="870">
        <f t="shared" ca="1" si="256"/>
        <v>0</v>
      </c>
      <c r="AW332" s="867">
        <f t="shared" ca="1" si="257"/>
        <v>0</v>
      </c>
      <c r="AX332" s="869">
        <f t="shared" ca="1" si="228"/>
        <v>0</v>
      </c>
      <c r="AY332" s="869">
        <f t="shared" ca="1" si="258"/>
        <v>0</v>
      </c>
      <c r="AZ332" s="867">
        <f t="shared" ca="1" si="259"/>
        <v>0</v>
      </c>
      <c r="BA332" s="161"/>
      <c r="BB332" s="867">
        <f t="shared" ca="1" si="260"/>
        <v>0</v>
      </c>
      <c r="BC332" s="867">
        <f t="shared" ca="1" si="225"/>
        <v>0</v>
      </c>
      <c r="BD332" s="658"/>
      <c r="BE332" s="867">
        <f t="shared" ca="1" si="261"/>
        <v>0</v>
      </c>
      <c r="BF332" s="867">
        <f t="shared" ca="1" si="262"/>
        <v>0</v>
      </c>
      <c r="BG332" s="867">
        <f t="shared" ca="1" si="263"/>
        <v>0</v>
      </c>
      <c r="BI332" s="867">
        <f ca="1"/>
        <v>0</v>
      </c>
      <c r="BJ332" s="867">
        <f ca="1"/>
        <v>0</v>
      </c>
      <c r="BK332" s="867">
        <f ca="1"/>
        <v>0</v>
      </c>
      <c r="BL332" s="867">
        <f t="shared" ca="1" si="264"/>
        <v>0</v>
      </c>
      <c r="BM332" s="867">
        <f t="shared" ca="1" si="265"/>
        <v>0</v>
      </c>
      <c r="BN332" s="867">
        <f t="shared" ca="1" si="266"/>
        <v>0</v>
      </c>
      <c r="BO332" s="867">
        <f t="shared" ca="1" si="267"/>
        <v>0</v>
      </c>
      <c r="BP332" s="867">
        <f t="shared" ca="1" si="268"/>
        <v>0</v>
      </c>
      <c r="BQ332" s="867">
        <f t="shared" ca="1" si="269"/>
        <v>0</v>
      </c>
      <c r="BR332" s="867">
        <f ca="1"/>
        <v>0</v>
      </c>
      <c r="BS332" s="867">
        <f ca="1"/>
        <v>0</v>
      </c>
      <c r="BT332" s="867">
        <f t="shared" ca="1" si="229"/>
        <v>0</v>
      </c>
      <c r="BU332" s="867">
        <f t="shared" ca="1" si="270"/>
        <v>0</v>
      </c>
      <c r="BX332" s="867">
        <f ca="1"/>
        <v>0</v>
      </c>
      <c r="BY332" s="867">
        <f t="shared" ca="1" si="271"/>
        <v>0</v>
      </c>
      <c r="BZ332" s="867">
        <f t="shared" ca="1" si="272"/>
        <v>0</v>
      </c>
      <c r="CA332" s="867">
        <f t="shared" ca="1" si="273"/>
        <v>0</v>
      </c>
      <c r="CB332" s="867">
        <f t="shared" ca="1" si="274"/>
        <v>0</v>
      </c>
      <c r="CC332" s="867">
        <f t="shared" ca="1" si="275"/>
        <v>0</v>
      </c>
      <c r="CD332" s="867">
        <f t="shared" ca="1" si="276"/>
        <v>0</v>
      </c>
    </row>
    <row r="333" spans="1:82" ht="17" hidden="1" thickTop="1" thickBot="1">
      <c r="A333" s="773">
        <f t="shared" si="226"/>
        <v>0</v>
      </c>
      <c r="B333" s="779"/>
      <c r="D333" s="660"/>
      <c r="E333" s="661"/>
      <c r="F333" s="862"/>
      <c r="G333" s="863"/>
      <c r="H333" s="961"/>
      <c r="I333" s="865">
        <f t="shared" si="230"/>
        <v>0</v>
      </c>
      <c r="J333" s="864" cm="1">
        <f t="array" ref="J333">IF($G333=0,0,-MIN(0,G333*c_equity.LPshare))</f>
        <v>0</v>
      </c>
      <c r="K333" s="865" cm="1">
        <f t="array" ref="K333">I333*c_rate.Pref.MO</f>
        <v>0</v>
      </c>
      <c r="L333" s="865">
        <f t="shared" si="231"/>
        <v>0</v>
      </c>
      <c r="M333" s="865">
        <f t="shared" si="232"/>
        <v>0</v>
      </c>
      <c r="N333" s="865">
        <f t="shared" si="233"/>
        <v>0</v>
      </c>
      <c r="O333" s="864" cm="1">
        <f t="array" ref="O333">IF(N333=0,0,IF(G333&lt;0,N333/c_equity.LPshare*i_equity.GPshare,L333/c_equity.LPshare*i_equity.GPshare))</f>
        <v>0</v>
      </c>
      <c r="P333" s="865">
        <f t="shared" si="234"/>
        <v>0</v>
      </c>
      <c r="Q333" s="865">
        <f t="shared" si="235"/>
        <v>0</v>
      </c>
      <c r="R333" s="161"/>
      <c r="S333" s="867">
        <f t="shared" ca="1" si="236"/>
        <v>0</v>
      </c>
      <c r="T333" s="867" cm="1">
        <f t="array" ref="T333">IF($G333=0,0,-MIN(0,$G333*c_equity.LPshare))</f>
        <v>0</v>
      </c>
      <c r="U333" s="869" cm="1">
        <f t="array" ref="U333">IF($D333=0,0,S333*c_rate.Hurdle1.MO)</f>
        <v>0</v>
      </c>
      <c r="V333" s="867">
        <f t="shared" si="237"/>
        <v>0</v>
      </c>
      <c r="W333" s="867">
        <f t="shared" ca="1" si="238"/>
        <v>0</v>
      </c>
      <c r="X333" s="869">
        <f t="shared" ca="1" si="239"/>
        <v>0</v>
      </c>
      <c r="Y333" s="869">
        <f t="shared" ca="1" si="240"/>
        <v>0</v>
      </c>
      <c r="Z333" s="869">
        <f t="shared" ca="1" si="241"/>
        <v>0</v>
      </c>
      <c r="AA333" s="869">
        <f t="shared" ca="1" si="242"/>
        <v>0</v>
      </c>
      <c r="AB333" s="867">
        <f t="shared" ca="1" si="243"/>
        <v>0</v>
      </c>
      <c r="AC333" s="161"/>
      <c r="AD333" s="869">
        <f t="shared" ca="1" si="244"/>
        <v>0</v>
      </c>
      <c r="AE333" s="867" cm="1">
        <f t="array" ref="AE333">IF($G333=0,0,-MIN(0,$G333*c_equity.LPshare))</f>
        <v>0</v>
      </c>
      <c r="AF333" s="869" cm="1">
        <f t="array" ref="AF333">IF($D333=0,0,AD333*(c_rate.Hurdle2.MO))</f>
        <v>0</v>
      </c>
      <c r="AG333" s="869">
        <f t="shared" ca="1" si="245"/>
        <v>0</v>
      </c>
      <c r="AH333" s="869">
        <f t="shared" ca="1" si="246"/>
        <v>0</v>
      </c>
      <c r="AI333" s="869">
        <f t="shared" ca="1" si="247"/>
        <v>0</v>
      </c>
      <c r="AJ333" s="870">
        <f t="shared" ca="1" si="248"/>
        <v>0</v>
      </c>
      <c r="AK333" s="867">
        <f t="shared" ca="1" si="249"/>
        <v>0</v>
      </c>
      <c r="AL333" s="869">
        <f t="shared" ca="1" si="227"/>
        <v>0</v>
      </c>
      <c r="AM333" s="869">
        <f t="shared" ca="1" si="250"/>
        <v>0</v>
      </c>
      <c r="AN333" s="867">
        <f t="shared" ca="1" si="251"/>
        <v>0</v>
      </c>
      <c r="AO333" s="161"/>
      <c r="AP333" s="869">
        <f t="shared" ca="1" si="252"/>
        <v>0</v>
      </c>
      <c r="AQ333" s="867" cm="1">
        <f t="array" ref="AQ333">IF($G333=0,0,-MIN(0,$G333*c_equity.LPshare))</f>
        <v>0</v>
      </c>
      <c r="AR333" s="869" cm="1">
        <f t="array" ref="AR333">IF($D333=0,0,AP333*(c_rate.Hurdle3.MO))</f>
        <v>0</v>
      </c>
      <c r="AS333" s="869">
        <f t="shared" ca="1" si="253"/>
        <v>0</v>
      </c>
      <c r="AT333" s="869">
        <f t="shared" ca="1" si="254"/>
        <v>0</v>
      </c>
      <c r="AU333" s="869">
        <f t="shared" ca="1" si="255"/>
        <v>0</v>
      </c>
      <c r="AV333" s="870">
        <f t="shared" ca="1" si="256"/>
        <v>0</v>
      </c>
      <c r="AW333" s="867">
        <f t="shared" ca="1" si="257"/>
        <v>0</v>
      </c>
      <c r="AX333" s="869">
        <f t="shared" ca="1" si="228"/>
        <v>0</v>
      </c>
      <c r="AY333" s="869">
        <f t="shared" ca="1" si="258"/>
        <v>0</v>
      </c>
      <c r="AZ333" s="867">
        <f t="shared" ca="1" si="259"/>
        <v>0</v>
      </c>
      <c r="BA333" s="161"/>
      <c r="BB333" s="867">
        <f t="shared" ca="1" si="260"/>
        <v>0</v>
      </c>
      <c r="BC333" s="867">
        <f t="shared" ca="1" si="225"/>
        <v>0</v>
      </c>
      <c r="BD333" s="658"/>
      <c r="BE333" s="867">
        <f t="shared" ca="1" si="261"/>
        <v>0</v>
      </c>
      <c r="BF333" s="867">
        <f t="shared" ca="1" si="262"/>
        <v>0</v>
      </c>
      <c r="BG333" s="867">
        <f t="shared" ca="1" si="263"/>
        <v>0</v>
      </c>
      <c r="BI333" s="867">
        <f ca="1"/>
        <v>0</v>
      </c>
      <c r="BJ333" s="867">
        <f ca="1"/>
        <v>0</v>
      </c>
      <c r="BK333" s="867">
        <f ca="1"/>
        <v>0</v>
      </c>
      <c r="BL333" s="867">
        <f t="shared" ca="1" si="264"/>
        <v>0</v>
      </c>
      <c r="BM333" s="867">
        <f t="shared" ca="1" si="265"/>
        <v>0</v>
      </c>
      <c r="BN333" s="867">
        <f t="shared" ca="1" si="266"/>
        <v>0</v>
      </c>
      <c r="BO333" s="867">
        <f t="shared" ca="1" si="267"/>
        <v>0</v>
      </c>
      <c r="BP333" s="867">
        <f t="shared" ca="1" si="268"/>
        <v>0</v>
      </c>
      <c r="BQ333" s="867">
        <f t="shared" ca="1" si="269"/>
        <v>0</v>
      </c>
      <c r="BR333" s="867">
        <f ca="1"/>
        <v>0</v>
      </c>
      <c r="BS333" s="867">
        <f ca="1"/>
        <v>0</v>
      </c>
      <c r="BT333" s="867">
        <f t="shared" ca="1" si="229"/>
        <v>0</v>
      </c>
      <c r="BU333" s="867">
        <f t="shared" ca="1" si="270"/>
        <v>0</v>
      </c>
      <c r="BX333" s="867">
        <f ca="1"/>
        <v>0</v>
      </c>
      <c r="BY333" s="867">
        <f t="shared" ca="1" si="271"/>
        <v>0</v>
      </c>
      <c r="BZ333" s="867">
        <f t="shared" ca="1" si="272"/>
        <v>0</v>
      </c>
      <c r="CA333" s="867">
        <f t="shared" ca="1" si="273"/>
        <v>0</v>
      </c>
      <c r="CB333" s="867">
        <f t="shared" ca="1" si="274"/>
        <v>0</v>
      </c>
      <c r="CC333" s="867">
        <f t="shared" ca="1" si="275"/>
        <v>0</v>
      </c>
      <c r="CD333" s="867">
        <f t="shared" ca="1" si="276"/>
        <v>0</v>
      </c>
    </row>
    <row r="334" spans="1:82" ht="17" hidden="1" thickTop="1" thickBot="1">
      <c r="A334" s="773">
        <f t="shared" si="226"/>
        <v>0</v>
      </c>
      <c r="B334" s="779"/>
      <c r="D334" s="660"/>
      <c r="E334" s="661"/>
      <c r="F334" s="862"/>
      <c r="G334" s="863"/>
      <c r="H334" s="961"/>
      <c r="I334" s="865">
        <f t="shared" si="230"/>
        <v>0</v>
      </c>
      <c r="J334" s="864" cm="1">
        <f t="array" ref="J334">IF($G334=0,0,-MIN(0,G334*c_equity.LPshare))</f>
        <v>0</v>
      </c>
      <c r="K334" s="865" cm="1">
        <f t="array" ref="K334">I334*c_rate.Pref.MO</f>
        <v>0</v>
      </c>
      <c r="L334" s="865">
        <f t="shared" si="231"/>
        <v>0</v>
      </c>
      <c r="M334" s="865">
        <f t="shared" si="232"/>
        <v>0</v>
      </c>
      <c r="N334" s="865">
        <f t="shared" si="233"/>
        <v>0</v>
      </c>
      <c r="O334" s="864" cm="1">
        <f t="array" ref="O334">IF(N334=0,0,IF(G334&lt;0,N334/c_equity.LPshare*i_equity.GPshare,L334/c_equity.LPshare*i_equity.GPshare))</f>
        <v>0</v>
      </c>
      <c r="P334" s="865">
        <f t="shared" si="234"/>
        <v>0</v>
      </c>
      <c r="Q334" s="865">
        <f t="shared" si="235"/>
        <v>0</v>
      </c>
      <c r="R334" s="161"/>
      <c r="S334" s="867">
        <f t="shared" ca="1" si="236"/>
        <v>0</v>
      </c>
      <c r="T334" s="867" cm="1">
        <f t="array" ref="T334">IF($G334=0,0,-MIN(0,$G334*c_equity.LPshare))</f>
        <v>0</v>
      </c>
      <c r="U334" s="869" cm="1">
        <f t="array" ref="U334">IF($D334=0,0,S334*c_rate.Hurdle1.MO)</f>
        <v>0</v>
      </c>
      <c r="V334" s="867">
        <f t="shared" si="237"/>
        <v>0</v>
      </c>
      <c r="W334" s="867">
        <f t="shared" ca="1" si="238"/>
        <v>0</v>
      </c>
      <c r="X334" s="869">
        <f t="shared" ca="1" si="239"/>
        <v>0</v>
      </c>
      <c r="Y334" s="869">
        <f t="shared" ca="1" si="240"/>
        <v>0</v>
      </c>
      <c r="Z334" s="869">
        <f t="shared" ca="1" si="241"/>
        <v>0</v>
      </c>
      <c r="AA334" s="869">
        <f t="shared" ca="1" si="242"/>
        <v>0</v>
      </c>
      <c r="AB334" s="867">
        <f t="shared" ca="1" si="243"/>
        <v>0</v>
      </c>
      <c r="AC334" s="161"/>
      <c r="AD334" s="869">
        <f t="shared" ca="1" si="244"/>
        <v>0</v>
      </c>
      <c r="AE334" s="867" cm="1">
        <f t="array" ref="AE334">IF($G334=0,0,-MIN(0,$G334*c_equity.LPshare))</f>
        <v>0</v>
      </c>
      <c r="AF334" s="869" cm="1">
        <f t="array" ref="AF334">IF($D334=0,0,AD334*(c_rate.Hurdle2.MO))</f>
        <v>0</v>
      </c>
      <c r="AG334" s="869">
        <f t="shared" ca="1" si="245"/>
        <v>0</v>
      </c>
      <c r="AH334" s="869">
        <f t="shared" ca="1" si="246"/>
        <v>0</v>
      </c>
      <c r="AI334" s="869">
        <f t="shared" ca="1" si="247"/>
        <v>0</v>
      </c>
      <c r="AJ334" s="870">
        <f t="shared" ca="1" si="248"/>
        <v>0</v>
      </c>
      <c r="AK334" s="867">
        <f t="shared" ca="1" si="249"/>
        <v>0</v>
      </c>
      <c r="AL334" s="869">
        <f t="shared" ca="1" si="227"/>
        <v>0</v>
      </c>
      <c r="AM334" s="869">
        <f t="shared" ca="1" si="250"/>
        <v>0</v>
      </c>
      <c r="AN334" s="867">
        <f t="shared" ca="1" si="251"/>
        <v>0</v>
      </c>
      <c r="AO334" s="161"/>
      <c r="AP334" s="869">
        <f t="shared" ca="1" si="252"/>
        <v>0</v>
      </c>
      <c r="AQ334" s="867" cm="1">
        <f t="array" ref="AQ334">IF($G334=0,0,-MIN(0,$G334*c_equity.LPshare))</f>
        <v>0</v>
      </c>
      <c r="AR334" s="869" cm="1">
        <f t="array" ref="AR334">IF($D334=0,0,AP334*(c_rate.Hurdle3.MO))</f>
        <v>0</v>
      </c>
      <c r="AS334" s="869">
        <f t="shared" ca="1" si="253"/>
        <v>0</v>
      </c>
      <c r="AT334" s="869">
        <f t="shared" ca="1" si="254"/>
        <v>0</v>
      </c>
      <c r="AU334" s="869">
        <f t="shared" ca="1" si="255"/>
        <v>0</v>
      </c>
      <c r="AV334" s="870">
        <f t="shared" ca="1" si="256"/>
        <v>0</v>
      </c>
      <c r="AW334" s="867">
        <f t="shared" ca="1" si="257"/>
        <v>0</v>
      </c>
      <c r="AX334" s="869">
        <f t="shared" ca="1" si="228"/>
        <v>0</v>
      </c>
      <c r="AY334" s="869">
        <f t="shared" ca="1" si="258"/>
        <v>0</v>
      </c>
      <c r="AZ334" s="867">
        <f t="shared" ca="1" si="259"/>
        <v>0</v>
      </c>
      <c r="BA334" s="161"/>
      <c r="BB334" s="867">
        <f t="shared" ca="1" si="260"/>
        <v>0</v>
      </c>
      <c r="BC334" s="867">
        <f t="shared" ca="1" si="225"/>
        <v>0</v>
      </c>
      <c r="BD334" s="658"/>
      <c r="BE334" s="867">
        <f t="shared" ca="1" si="261"/>
        <v>0</v>
      </c>
      <c r="BF334" s="867">
        <f t="shared" ca="1" si="262"/>
        <v>0</v>
      </c>
      <c r="BG334" s="867">
        <f t="shared" ca="1" si="263"/>
        <v>0</v>
      </c>
      <c r="BI334" s="867">
        <f ca="1"/>
        <v>0</v>
      </c>
      <c r="BJ334" s="867">
        <f ca="1"/>
        <v>0</v>
      </c>
      <c r="BK334" s="867">
        <f ca="1"/>
        <v>0</v>
      </c>
      <c r="BL334" s="867">
        <f t="shared" ca="1" si="264"/>
        <v>0</v>
      </c>
      <c r="BM334" s="867">
        <f t="shared" ca="1" si="265"/>
        <v>0</v>
      </c>
      <c r="BN334" s="867">
        <f t="shared" ca="1" si="266"/>
        <v>0</v>
      </c>
      <c r="BO334" s="867">
        <f t="shared" ca="1" si="267"/>
        <v>0</v>
      </c>
      <c r="BP334" s="867">
        <f t="shared" ca="1" si="268"/>
        <v>0</v>
      </c>
      <c r="BQ334" s="867">
        <f t="shared" ca="1" si="269"/>
        <v>0</v>
      </c>
      <c r="BR334" s="867">
        <f ca="1"/>
        <v>0</v>
      </c>
      <c r="BS334" s="867">
        <f ca="1"/>
        <v>0</v>
      </c>
      <c r="BT334" s="867">
        <f t="shared" ca="1" si="229"/>
        <v>0</v>
      </c>
      <c r="BU334" s="867">
        <f t="shared" ca="1" si="270"/>
        <v>0</v>
      </c>
      <c r="BX334" s="867">
        <f ca="1"/>
        <v>0</v>
      </c>
      <c r="BY334" s="867">
        <f t="shared" ca="1" si="271"/>
        <v>0</v>
      </c>
      <c r="BZ334" s="867">
        <f t="shared" ca="1" si="272"/>
        <v>0</v>
      </c>
      <c r="CA334" s="867">
        <f t="shared" ca="1" si="273"/>
        <v>0</v>
      </c>
      <c r="CB334" s="867">
        <f t="shared" ca="1" si="274"/>
        <v>0</v>
      </c>
      <c r="CC334" s="867">
        <f t="shared" ca="1" si="275"/>
        <v>0</v>
      </c>
      <c r="CD334" s="867">
        <f t="shared" ca="1" si="276"/>
        <v>0</v>
      </c>
    </row>
    <row r="335" spans="1:82" ht="17" hidden="1" thickTop="1" thickBot="1">
      <c r="A335" s="773">
        <f t="shared" si="226"/>
        <v>0</v>
      </c>
      <c r="B335" s="779"/>
      <c r="D335" s="660"/>
      <c r="E335" s="661"/>
      <c r="F335" s="862"/>
      <c r="G335" s="863"/>
      <c r="H335" s="961"/>
      <c r="I335" s="865">
        <f t="shared" si="230"/>
        <v>0</v>
      </c>
      <c r="J335" s="864" cm="1">
        <f t="array" ref="J335">IF($G335=0,0,-MIN(0,G335*c_equity.LPshare))</f>
        <v>0</v>
      </c>
      <c r="K335" s="865" cm="1">
        <f t="array" ref="K335">I335*c_rate.Pref.MO</f>
        <v>0</v>
      </c>
      <c r="L335" s="865">
        <f t="shared" si="231"/>
        <v>0</v>
      </c>
      <c r="M335" s="865">
        <f t="shared" si="232"/>
        <v>0</v>
      </c>
      <c r="N335" s="865">
        <f t="shared" si="233"/>
        <v>0</v>
      </c>
      <c r="O335" s="864" cm="1">
        <f t="array" ref="O335">IF(N335=0,0,IF(G335&lt;0,N335/c_equity.LPshare*i_equity.GPshare,L335/c_equity.LPshare*i_equity.GPshare))</f>
        <v>0</v>
      </c>
      <c r="P335" s="865">
        <f t="shared" si="234"/>
        <v>0</v>
      </c>
      <c r="Q335" s="865">
        <f t="shared" si="235"/>
        <v>0</v>
      </c>
      <c r="R335" s="161"/>
      <c r="S335" s="867">
        <f t="shared" ca="1" si="236"/>
        <v>0</v>
      </c>
      <c r="T335" s="867" cm="1">
        <f t="array" ref="T335">IF($G335=0,0,-MIN(0,$G335*c_equity.LPshare))</f>
        <v>0</v>
      </c>
      <c r="U335" s="869" cm="1">
        <f t="array" ref="U335">IF($D335=0,0,S335*c_rate.Hurdle1.MO)</f>
        <v>0</v>
      </c>
      <c r="V335" s="867">
        <f t="shared" si="237"/>
        <v>0</v>
      </c>
      <c r="W335" s="867">
        <f t="shared" ca="1" si="238"/>
        <v>0</v>
      </c>
      <c r="X335" s="869">
        <f t="shared" ca="1" si="239"/>
        <v>0</v>
      </c>
      <c r="Y335" s="869">
        <f t="shared" ca="1" si="240"/>
        <v>0</v>
      </c>
      <c r="Z335" s="869">
        <f t="shared" ca="1" si="241"/>
        <v>0</v>
      </c>
      <c r="AA335" s="869">
        <f t="shared" ca="1" si="242"/>
        <v>0</v>
      </c>
      <c r="AB335" s="867">
        <f t="shared" ca="1" si="243"/>
        <v>0</v>
      </c>
      <c r="AC335" s="161"/>
      <c r="AD335" s="869">
        <f t="shared" ca="1" si="244"/>
        <v>0</v>
      </c>
      <c r="AE335" s="867" cm="1">
        <f t="array" ref="AE335">IF($G335=0,0,-MIN(0,$G335*c_equity.LPshare))</f>
        <v>0</v>
      </c>
      <c r="AF335" s="869" cm="1">
        <f t="array" ref="AF335">IF($D335=0,0,AD335*(c_rate.Hurdle2.MO))</f>
        <v>0</v>
      </c>
      <c r="AG335" s="869">
        <f t="shared" ca="1" si="245"/>
        <v>0</v>
      </c>
      <c r="AH335" s="869">
        <f t="shared" ca="1" si="246"/>
        <v>0</v>
      </c>
      <c r="AI335" s="869">
        <f t="shared" ca="1" si="247"/>
        <v>0</v>
      </c>
      <c r="AJ335" s="870">
        <f t="shared" ca="1" si="248"/>
        <v>0</v>
      </c>
      <c r="AK335" s="867">
        <f t="shared" ca="1" si="249"/>
        <v>0</v>
      </c>
      <c r="AL335" s="869">
        <f t="shared" ca="1" si="227"/>
        <v>0</v>
      </c>
      <c r="AM335" s="869">
        <f t="shared" ca="1" si="250"/>
        <v>0</v>
      </c>
      <c r="AN335" s="867">
        <f t="shared" ca="1" si="251"/>
        <v>0</v>
      </c>
      <c r="AO335" s="161"/>
      <c r="AP335" s="869">
        <f t="shared" ca="1" si="252"/>
        <v>0</v>
      </c>
      <c r="AQ335" s="867" cm="1">
        <f t="array" ref="AQ335">IF($G335=0,0,-MIN(0,$G335*c_equity.LPshare))</f>
        <v>0</v>
      </c>
      <c r="AR335" s="869" cm="1">
        <f t="array" ref="AR335">IF($D335=0,0,AP335*(c_rate.Hurdle3.MO))</f>
        <v>0</v>
      </c>
      <c r="AS335" s="869">
        <f t="shared" ca="1" si="253"/>
        <v>0</v>
      </c>
      <c r="AT335" s="869">
        <f t="shared" ca="1" si="254"/>
        <v>0</v>
      </c>
      <c r="AU335" s="869">
        <f t="shared" ca="1" si="255"/>
        <v>0</v>
      </c>
      <c r="AV335" s="870">
        <f t="shared" ca="1" si="256"/>
        <v>0</v>
      </c>
      <c r="AW335" s="867">
        <f t="shared" ca="1" si="257"/>
        <v>0</v>
      </c>
      <c r="AX335" s="869">
        <f t="shared" ca="1" si="228"/>
        <v>0</v>
      </c>
      <c r="AY335" s="869">
        <f t="shared" ca="1" si="258"/>
        <v>0</v>
      </c>
      <c r="AZ335" s="867">
        <f t="shared" ca="1" si="259"/>
        <v>0</v>
      </c>
      <c r="BA335" s="161"/>
      <c r="BB335" s="867">
        <f t="shared" ca="1" si="260"/>
        <v>0</v>
      </c>
      <c r="BC335" s="867">
        <f t="shared" ca="1" si="225"/>
        <v>0</v>
      </c>
      <c r="BD335" s="658"/>
      <c r="BE335" s="867">
        <f t="shared" ca="1" si="261"/>
        <v>0</v>
      </c>
      <c r="BF335" s="867">
        <f t="shared" ca="1" si="262"/>
        <v>0</v>
      </c>
      <c r="BG335" s="867">
        <f t="shared" ca="1" si="263"/>
        <v>0</v>
      </c>
      <c r="BI335" s="867">
        <f ca="1"/>
        <v>0</v>
      </c>
      <c r="BJ335" s="867">
        <f ca="1"/>
        <v>0</v>
      </c>
      <c r="BK335" s="867">
        <f ca="1"/>
        <v>0</v>
      </c>
      <c r="BL335" s="867">
        <f t="shared" ca="1" si="264"/>
        <v>0</v>
      </c>
      <c r="BM335" s="867">
        <f t="shared" ca="1" si="265"/>
        <v>0</v>
      </c>
      <c r="BN335" s="867">
        <f t="shared" ca="1" si="266"/>
        <v>0</v>
      </c>
      <c r="BO335" s="867">
        <f t="shared" ca="1" si="267"/>
        <v>0</v>
      </c>
      <c r="BP335" s="867">
        <f t="shared" ca="1" si="268"/>
        <v>0</v>
      </c>
      <c r="BQ335" s="867">
        <f t="shared" ca="1" si="269"/>
        <v>0</v>
      </c>
      <c r="BR335" s="867">
        <f ca="1"/>
        <v>0</v>
      </c>
      <c r="BS335" s="867">
        <f ca="1"/>
        <v>0</v>
      </c>
      <c r="BT335" s="867">
        <f t="shared" ca="1" si="229"/>
        <v>0</v>
      </c>
      <c r="BU335" s="867">
        <f t="shared" ca="1" si="270"/>
        <v>0</v>
      </c>
      <c r="BX335" s="867">
        <f ca="1"/>
        <v>0</v>
      </c>
      <c r="BY335" s="867">
        <f t="shared" ca="1" si="271"/>
        <v>0</v>
      </c>
      <c r="BZ335" s="867">
        <f t="shared" ca="1" si="272"/>
        <v>0</v>
      </c>
      <c r="CA335" s="867">
        <f t="shared" ca="1" si="273"/>
        <v>0</v>
      </c>
      <c r="CB335" s="867">
        <f t="shared" ca="1" si="274"/>
        <v>0</v>
      </c>
      <c r="CC335" s="867">
        <f t="shared" ca="1" si="275"/>
        <v>0</v>
      </c>
      <c r="CD335" s="867">
        <f t="shared" ca="1" si="276"/>
        <v>0</v>
      </c>
    </row>
    <row r="336" spans="1:82" ht="17" hidden="1" thickTop="1" thickBot="1">
      <c r="A336" s="773">
        <f t="shared" si="226"/>
        <v>0</v>
      </c>
      <c r="B336" s="779"/>
      <c r="D336" s="660"/>
      <c r="E336" s="661"/>
      <c r="F336" s="862"/>
      <c r="G336" s="863"/>
      <c r="H336" s="961"/>
      <c r="I336" s="865">
        <f t="shared" si="230"/>
        <v>0</v>
      </c>
      <c r="J336" s="864" cm="1">
        <f t="array" ref="J336">IF($G336=0,0,-MIN(0,G336*c_equity.LPshare))</f>
        <v>0</v>
      </c>
      <c r="K336" s="865" cm="1">
        <f t="array" ref="K336">I336*c_rate.Pref.MO</f>
        <v>0</v>
      </c>
      <c r="L336" s="865">
        <f t="shared" si="231"/>
        <v>0</v>
      </c>
      <c r="M336" s="865">
        <f t="shared" si="232"/>
        <v>0</v>
      </c>
      <c r="N336" s="865">
        <f t="shared" si="233"/>
        <v>0</v>
      </c>
      <c r="O336" s="864" cm="1">
        <f t="array" ref="O336">IF(N336=0,0,IF(G336&lt;0,N336/c_equity.LPshare*i_equity.GPshare,L336/c_equity.LPshare*i_equity.GPshare))</f>
        <v>0</v>
      </c>
      <c r="P336" s="865">
        <f t="shared" si="234"/>
        <v>0</v>
      </c>
      <c r="Q336" s="865">
        <f t="shared" si="235"/>
        <v>0</v>
      </c>
      <c r="R336" s="161"/>
      <c r="S336" s="867">
        <f t="shared" ca="1" si="236"/>
        <v>0</v>
      </c>
      <c r="T336" s="867" cm="1">
        <f t="array" ref="T336">IF($G336=0,0,-MIN(0,$G336*c_equity.LPshare))</f>
        <v>0</v>
      </c>
      <c r="U336" s="869" cm="1">
        <f t="array" ref="U336">IF($D336=0,0,S336*c_rate.Hurdle1.MO)</f>
        <v>0</v>
      </c>
      <c r="V336" s="867">
        <f t="shared" si="237"/>
        <v>0</v>
      </c>
      <c r="W336" s="867">
        <f t="shared" ca="1" si="238"/>
        <v>0</v>
      </c>
      <c r="X336" s="869">
        <f t="shared" ca="1" si="239"/>
        <v>0</v>
      </c>
      <c r="Y336" s="869">
        <f t="shared" ca="1" si="240"/>
        <v>0</v>
      </c>
      <c r="Z336" s="869">
        <f t="shared" ca="1" si="241"/>
        <v>0</v>
      </c>
      <c r="AA336" s="869">
        <f t="shared" ca="1" si="242"/>
        <v>0</v>
      </c>
      <c r="AB336" s="867">
        <f t="shared" ca="1" si="243"/>
        <v>0</v>
      </c>
      <c r="AC336" s="161"/>
      <c r="AD336" s="869">
        <f t="shared" ca="1" si="244"/>
        <v>0</v>
      </c>
      <c r="AE336" s="867" cm="1">
        <f t="array" ref="AE336">IF($G336=0,0,-MIN(0,$G336*c_equity.LPshare))</f>
        <v>0</v>
      </c>
      <c r="AF336" s="869" cm="1">
        <f t="array" ref="AF336">IF($D336=0,0,AD336*(c_rate.Hurdle2.MO))</f>
        <v>0</v>
      </c>
      <c r="AG336" s="869">
        <f t="shared" ca="1" si="245"/>
        <v>0</v>
      </c>
      <c r="AH336" s="869">
        <f t="shared" ca="1" si="246"/>
        <v>0</v>
      </c>
      <c r="AI336" s="869">
        <f t="shared" ca="1" si="247"/>
        <v>0</v>
      </c>
      <c r="AJ336" s="870">
        <f t="shared" ca="1" si="248"/>
        <v>0</v>
      </c>
      <c r="AK336" s="867">
        <f t="shared" ca="1" si="249"/>
        <v>0</v>
      </c>
      <c r="AL336" s="869">
        <f t="shared" ca="1" si="227"/>
        <v>0</v>
      </c>
      <c r="AM336" s="869">
        <f t="shared" ca="1" si="250"/>
        <v>0</v>
      </c>
      <c r="AN336" s="867">
        <f t="shared" ca="1" si="251"/>
        <v>0</v>
      </c>
      <c r="AO336" s="161"/>
      <c r="AP336" s="869">
        <f t="shared" ca="1" si="252"/>
        <v>0</v>
      </c>
      <c r="AQ336" s="867" cm="1">
        <f t="array" ref="AQ336">IF($G336=0,0,-MIN(0,$G336*c_equity.LPshare))</f>
        <v>0</v>
      </c>
      <c r="AR336" s="869" cm="1">
        <f t="array" ref="AR336">IF($D336=0,0,AP336*(c_rate.Hurdle3.MO))</f>
        <v>0</v>
      </c>
      <c r="AS336" s="869">
        <f t="shared" ca="1" si="253"/>
        <v>0</v>
      </c>
      <c r="AT336" s="869">
        <f t="shared" ca="1" si="254"/>
        <v>0</v>
      </c>
      <c r="AU336" s="869">
        <f t="shared" ca="1" si="255"/>
        <v>0</v>
      </c>
      <c r="AV336" s="870">
        <f t="shared" ca="1" si="256"/>
        <v>0</v>
      </c>
      <c r="AW336" s="867">
        <f t="shared" ca="1" si="257"/>
        <v>0</v>
      </c>
      <c r="AX336" s="869">
        <f t="shared" ca="1" si="228"/>
        <v>0</v>
      </c>
      <c r="AY336" s="869">
        <f t="shared" ca="1" si="258"/>
        <v>0</v>
      </c>
      <c r="AZ336" s="867">
        <f t="shared" ca="1" si="259"/>
        <v>0</v>
      </c>
      <c r="BA336" s="161"/>
      <c r="BB336" s="867">
        <f t="shared" ca="1" si="260"/>
        <v>0</v>
      </c>
      <c r="BC336" s="867">
        <f t="shared" ca="1" si="225"/>
        <v>0</v>
      </c>
      <c r="BD336" s="658"/>
      <c r="BE336" s="867">
        <f t="shared" ca="1" si="261"/>
        <v>0</v>
      </c>
      <c r="BF336" s="867">
        <f t="shared" ca="1" si="262"/>
        <v>0</v>
      </c>
      <c r="BG336" s="867">
        <f t="shared" ca="1" si="263"/>
        <v>0</v>
      </c>
      <c r="BI336" s="867">
        <f ca="1"/>
        <v>0</v>
      </c>
      <c r="BJ336" s="867">
        <f ca="1"/>
        <v>0</v>
      </c>
      <c r="BK336" s="867">
        <f ca="1"/>
        <v>0</v>
      </c>
      <c r="BL336" s="867">
        <f t="shared" ca="1" si="264"/>
        <v>0</v>
      </c>
      <c r="BM336" s="867">
        <f t="shared" ca="1" si="265"/>
        <v>0</v>
      </c>
      <c r="BN336" s="867">
        <f t="shared" ca="1" si="266"/>
        <v>0</v>
      </c>
      <c r="BO336" s="867">
        <f t="shared" ca="1" si="267"/>
        <v>0</v>
      </c>
      <c r="BP336" s="867">
        <f t="shared" ca="1" si="268"/>
        <v>0</v>
      </c>
      <c r="BQ336" s="867">
        <f t="shared" ca="1" si="269"/>
        <v>0</v>
      </c>
      <c r="BR336" s="867">
        <f ca="1"/>
        <v>0</v>
      </c>
      <c r="BS336" s="867">
        <f ca="1"/>
        <v>0</v>
      </c>
      <c r="BT336" s="867">
        <f t="shared" ca="1" si="229"/>
        <v>0</v>
      </c>
      <c r="BU336" s="867">
        <f t="shared" ca="1" si="270"/>
        <v>0</v>
      </c>
      <c r="BX336" s="867">
        <f ca="1"/>
        <v>0</v>
      </c>
      <c r="BY336" s="867">
        <f t="shared" ca="1" si="271"/>
        <v>0</v>
      </c>
      <c r="BZ336" s="867">
        <f t="shared" ca="1" si="272"/>
        <v>0</v>
      </c>
      <c r="CA336" s="867">
        <f t="shared" ca="1" si="273"/>
        <v>0</v>
      </c>
      <c r="CB336" s="867">
        <f t="shared" ca="1" si="274"/>
        <v>0</v>
      </c>
      <c r="CC336" s="867">
        <f t="shared" ca="1" si="275"/>
        <v>0</v>
      </c>
      <c r="CD336" s="867">
        <f t="shared" ca="1" si="276"/>
        <v>0</v>
      </c>
    </row>
    <row r="337" spans="1:82" ht="17" hidden="1" thickTop="1" thickBot="1">
      <c r="A337" s="773">
        <f t="shared" si="226"/>
        <v>0</v>
      </c>
      <c r="B337" s="779"/>
      <c r="D337" s="660"/>
      <c r="E337" s="661"/>
      <c r="F337" s="862"/>
      <c r="G337" s="863"/>
      <c r="H337" s="961"/>
      <c r="I337" s="865">
        <f t="shared" si="230"/>
        <v>0</v>
      </c>
      <c r="J337" s="864" cm="1">
        <f t="array" ref="J337">IF($G337=0,0,-MIN(0,G337*c_equity.LPshare))</f>
        <v>0</v>
      </c>
      <c r="K337" s="865" cm="1">
        <f t="array" ref="K337">I337*c_rate.Pref.MO</f>
        <v>0</v>
      </c>
      <c r="L337" s="865">
        <f t="shared" si="231"/>
        <v>0</v>
      </c>
      <c r="M337" s="865">
        <f t="shared" si="232"/>
        <v>0</v>
      </c>
      <c r="N337" s="865">
        <f t="shared" si="233"/>
        <v>0</v>
      </c>
      <c r="O337" s="864" cm="1">
        <f t="array" ref="O337">IF(N337=0,0,IF(G337&lt;0,N337/c_equity.LPshare*i_equity.GPshare,L337/c_equity.LPshare*i_equity.GPshare))</f>
        <v>0</v>
      </c>
      <c r="P337" s="865">
        <f t="shared" si="234"/>
        <v>0</v>
      </c>
      <c r="Q337" s="865">
        <f t="shared" si="235"/>
        <v>0</v>
      </c>
      <c r="R337" s="161"/>
      <c r="S337" s="867">
        <f t="shared" ca="1" si="236"/>
        <v>0</v>
      </c>
      <c r="T337" s="867" cm="1">
        <f t="array" ref="T337">IF($G337=0,0,-MIN(0,$G337*c_equity.LPshare))</f>
        <v>0</v>
      </c>
      <c r="U337" s="869" cm="1">
        <f t="array" ref="U337">IF($D337=0,0,S337*c_rate.Hurdle1.MO)</f>
        <v>0</v>
      </c>
      <c r="V337" s="867">
        <f t="shared" si="237"/>
        <v>0</v>
      </c>
      <c r="W337" s="867">
        <f t="shared" ca="1" si="238"/>
        <v>0</v>
      </c>
      <c r="X337" s="869">
        <f t="shared" ca="1" si="239"/>
        <v>0</v>
      </c>
      <c r="Y337" s="869">
        <f t="shared" ca="1" si="240"/>
        <v>0</v>
      </c>
      <c r="Z337" s="869">
        <f t="shared" ca="1" si="241"/>
        <v>0</v>
      </c>
      <c r="AA337" s="869">
        <f t="shared" ca="1" si="242"/>
        <v>0</v>
      </c>
      <c r="AB337" s="867">
        <f t="shared" ca="1" si="243"/>
        <v>0</v>
      </c>
      <c r="AC337" s="161"/>
      <c r="AD337" s="869">
        <f t="shared" ca="1" si="244"/>
        <v>0</v>
      </c>
      <c r="AE337" s="867" cm="1">
        <f t="array" ref="AE337">IF($G337=0,0,-MIN(0,$G337*c_equity.LPshare))</f>
        <v>0</v>
      </c>
      <c r="AF337" s="869" cm="1">
        <f t="array" ref="AF337">IF($D337=0,0,AD337*(c_rate.Hurdle2.MO))</f>
        <v>0</v>
      </c>
      <c r="AG337" s="869">
        <f t="shared" ca="1" si="245"/>
        <v>0</v>
      </c>
      <c r="AH337" s="869">
        <f t="shared" ca="1" si="246"/>
        <v>0</v>
      </c>
      <c r="AI337" s="869">
        <f t="shared" ca="1" si="247"/>
        <v>0</v>
      </c>
      <c r="AJ337" s="870">
        <f t="shared" ca="1" si="248"/>
        <v>0</v>
      </c>
      <c r="AK337" s="867">
        <f t="shared" ca="1" si="249"/>
        <v>0</v>
      </c>
      <c r="AL337" s="869">
        <f t="shared" ca="1" si="227"/>
        <v>0</v>
      </c>
      <c r="AM337" s="869">
        <f t="shared" ca="1" si="250"/>
        <v>0</v>
      </c>
      <c r="AN337" s="867">
        <f t="shared" ca="1" si="251"/>
        <v>0</v>
      </c>
      <c r="AO337" s="161"/>
      <c r="AP337" s="869">
        <f t="shared" ca="1" si="252"/>
        <v>0</v>
      </c>
      <c r="AQ337" s="867" cm="1">
        <f t="array" ref="AQ337">IF($G337=0,0,-MIN(0,$G337*c_equity.LPshare))</f>
        <v>0</v>
      </c>
      <c r="AR337" s="869" cm="1">
        <f t="array" ref="AR337">IF($D337=0,0,AP337*(c_rate.Hurdle3.MO))</f>
        <v>0</v>
      </c>
      <c r="AS337" s="869">
        <f t="shared" ca="1" si="253"/>
        <v>0</v>
      </c>
      <c r="AT337" s="869">
        <f t="shared" ca="1" si="254"/>
        <v>0</v>
      </c>
      <c r="AU337" s="869">
        <f t="shared" ca="1" si="255"/>
        <v>0</v>
      </c>
      <c r="AV337" s="870">
        <f t="shared" ca="1" si="256"/>
        <v>0</v>
      </c>
      <c r="AW337" s="867">
        <f t="shared" ca="1" si="257"/>
        <v>0</v>
      </c>
      <c r="AX337" s="869">
        <f t="shared" ca="1" si="228"/>
        <v>0</v>
      </c>
      <c r="AY337" s="869">
        <f t="shared" ca="1" si="258"/>
        <v>0</v>
      </c>
      <c r="AZ337" s="867">
        <f t="shared" ca="1" si="259"/>
        <v>0</v>
      </c>
      <c r="BA337" s="161"/>
      <c r="BB337" s="867">
        <f t="shared" ca="1" si="260"/>
        <v>0</v>
      </c>
      <c r="BC337" s="867">
        <f t="shared" ca="1" si="225"/>
        <v>0</v>
      </c>
      <c r="BD337" s="658"/>
      <c r="BE337" s="867">
        <f t="shared" ca="1" si="261"/>
        <v>0</v>
      </c>
      <c r="BF337" s="867">
        <f t="shared" ca="1" si="262"/>
        <v>0</v>
      </c>
      <c r="BG337" s="867">
        <f t="shared" ca="1" si="263"/>
        <v>0</v>
      </c>
      <c r="BI337" s="867">
        <f ca="1"/>
        <v>0</v>
      </c>
      <c r="BJ337" s="867">
        <f ca="1"/>
        <v>0</v>
      </c>
      <c r="BK337" s="867">
        <f ca="1"/>
        <v>0</v>
      </c>
      <c r="BL337" s="867">
        <f t="shared" ca="1" si="264"/>
        <v>0</v>
      </c>
      <c r="BM337" s="867">
        <f t="shared" ca="1" si="265"/>
        <v>0</v>
      </c>
      <c r="BN337" s="867">
        <f t="shared" ca="1" si="266"/>
        <v>0</v>
      </c>
      <c r="BO337" s="867">
        <f t="shared" ca="1" si="267"/>
        <v>0</v>
      </c>
      <c r="BP337" s="867">
        <f t="shared" ca="1" si="268"/>
        <v>0</v>
      </c>
      <c r="BQ337" s="867">
        <f t="shared" ca="1" si="269"/>
        <v>0</v>
      </c>
      <c r="BR337" s="867">
        <f ca="1"/>
        <v>0</v>
      </c>
      <c r="BS337" s="867">
        <f ca="1"/>
        <v>0</v>
      </c>
      <c r="BT337" s="867">
        <f t="shared" ca="1" si="229"/>
        <v>0</v>
      </c>
      <c r="BU337" s="867">
        <f t="shared" ca="1" si="270"/>
        <v>0</v>
      </c>
      <c r="BX337" s="867">
        <f ca="1"/>
        <v>0</v>
      </c>
      <c r="BY337" s="867">
        <f t="shared" ca="1" si="271"/>
        <v>0</v>
      </c>
      <c r="BZ337" s="867">
        <f t="shared" ca="1" si="272"/>
        <v>0</v>
      </c>
      <c r="CA337" s="867">
        <f t="shared" ca="1" si="273"/>
        <v>0</v>
      </c>
      <c r="CB337" s="867">
        <f t="shared" ca="1" si="274"/>
        <v>0</v>
      </c>
      <c r="CC337" s="867">
        <f t="shared" ca="1" si="275"/>
        <v>0</v>
      </c>
      <c r="CD337" s="867">
        <f t="shared" ca="1" si="276"/>
        <v>0</v>
      </c>
    </row>
    <row r="338" spans="1:82" ht="17" hidden="1" thickTop="1" thickBot="1">
      <c r="A338" s="773">
        <f t="shared" si="226"/>
        <v>0</v>
      </c>
      <c r="B338" s="779"/>
      <c r="D338" s="660"/>
      <c r="E338" s="661"/>
      <c r="F338" s="862"/>
      <c r="G338" s="863"/>
      <c r="H338" s="961"/>
      <c r="I338" s="865">
        <f t="shared" si="230"/>
        <v>0</v>
      </c>
      <c r="J338" s="864" cm="1">
        <f t="array" ref="J338">IF($G338=0,0,-MIN(0,G338*c_equity.LPshare))</f>
        <v>0</v>
      </c>
      <c r="K338" s="865" cm="1">
        <f t="array" ref="K338">I338*c_rate.Pref.MO</f>
        <v>0</v>
      </c>
      <c r="L338" s="865">
        <f t="shared" si="231"/>
        <v>0</v>
      </c>
      <c r="M338" s="865">
        <f t="shared" si="232"/>
        <v>0</v>
      </c>
      <c r="N338" s="865">
        <f t="shared" si="233"/>
        <v>0</v>
      </c>
      <c r="O338" s="864" cm="1">
        <f t="array" ref="O338">IF(N338=0,0,IF(G338&lt;0,N338/c_equity.LPshare*i_equity.GPshare,L338/c_equity.LPshare*i_equity.GPshare))</f>
        <v>0</v>
      </c>
      <c r="P338" s="865">
        <f t="shared" si="234"/>
        <v>0</v>
      </c>
      <c r="Q338" s="865">
        <f t="shared" si="235"/>
        <v>0</v>
      </c>
      <c r="R338" s="161"/>
      <c r="S338" s="867">
        <f t="shared" ca="1" si="236"/>
        <v>0</v>
      </c>
      <c r="T338" s="867" cm="1">
        <f t="array" ref="T338">IF($G338=0,0,-MIN(0,$G338*c_equity.LPshare))</f>
        <v>0</v>
      </c>
      <c r="U338" s="869" cm="1">
        <f t="array" ref="U338">IF($D338=0,0,S338*c_rate.Hurdle1.MO)</f>
        <v>0</v>
      </c>
      <c r="V338" s="867">
        <f t="shared" si="237"/>
        <v>0</v>
      </c>
      <c r="W338" s="867">
        <f t="shared" ca="1" si="238"/>
        <v>0</v>
      </c>
      <c r="X338" s="869">
        <f t="shared" ca="1" si="239"/>
        <v>0</v>
      </c>
      <c r="Y338" s="869">
        <f t="shared" ca="1" si="240"/>
        <v>0</v>
      </c>
      <c r="Z338" s="869">
        <f t="shared" ca="1" si="241"/>
        <v>0</v>
      </c>
      <c r="AA338" s="869">
        <f t="shared" ca="1" si="242"/>
        <v>0</v>
      </c>
      <c r="AB338" s="867">
        <f t="shared" ca="1" si="243"/>
        <v>0</v>
      </c>
      <c r="AC338" s="161"/>
      <c r="AD338" s="869">
        <f t="shared" ca="1" si="244"/>
        <v>0</v>
      </c>
      <c r="AE338" s="867" cm="1">
        <f t="array" ref="AE338">IF($G338=0,0,-MIN(0,$G338*c_equity.LPshare))</f>
        <v>0</v>
      </c>
      <c r="AF338" s="869" cm="1">
        <f t="array" ref="AF338">IF($D338=0,0,AD338*(c_rate.Hurdle2.MO))</f>
        <v>0</v>
      </c>
      <c r="AG338" s="869">
        <f t="shared" ca="1" si="245"/>
        <v>0</v>
      </c>
      <c r="AH338" s="869">
        <f t="shared" ca="1" si="246"/>
        <v>0</v>
      </c>
      <c r="AI338" s="869">
        <f t="shared" ca="1" si="247"/>
        <v>0</v>
      </c>
      <c r="AJ338" s="870">
        <f t="shared" ca="1" si="248"/>
        <v>0</v>
      </c>
      <c r="AK338" s="867">
        <f t="shared" ca="1" si="249"/>
        <v>0</v>
      </c>
      <c r="AL338" s="869">
        <f t="shared" ca="1" si="227"/>
        <v>0</v>
      </c>
      <c r="AM338" s="869">
        <f t="shared" ca="1" si="250"/>
        <v>0</v>
      </c>
      <c r="AN338" s="867">
        <f t="shared" ca="1" si="251"/>
        <v>0</v>
      </c>
      <c r="AO338" s="161"/>
      <c r="AP338" s="869">
        <f t="shared" ca="1" si="252"/>
        <v>0</v>
      </c>
      <c r="AQ338" s="867" cm="1">
        <f t="array" ref="AQ338">IF($G338=0,0,-MIN(0,$G338*c_equity.LPshare))</f>
        <v>0</v>
      </c>
      <c r="AR338" s="869" cm="1">
        <f t="array" ref="AR338">IF($D338=0,0,AP338*(c_rate.Hurdle3.MO))</f>
        <v>0</v>
      </c>
      <c r="AS338" s="869">
        <f t="shared" ca="1" si="253"/>
        <v>0</v>
      </c>
      <c r="AT338" s="869">
        <f t="shared" ca="1" si="254"/>
        <v>0</v>
      </c>
      <c r="AU338" s="869">
        <f t="shared" ca="1" si="255"/>
        <v>0</v>
      </c>
      <c r="AV338" s="870">
        <f t="shared" ca="1" si="256"/>
        <v>0</v>
      </c>
      <c r="AW338" s="867">
        <f t="shared" ca="1" si="257"/>
        <v>0</v>
      </c>
      <c r="AX338" s="869">
        <f t="shared" ca="1" si="228"/>
        <v>0</v>
      </c>
      <c r="AY338" s="869">
        <f t="shared" ca="1" si="258"/>
        <v>0</v>
      </c>
      <c r="AZ338" s="867">
        <f t="shared" ca="1" si="259"/>
        <v>0</v>
      </c>
      <c r="BA338" s="161"/>
      <c r="BB338" s="867">
        <f t="shared" ca="1" si="260"/>
        <v>0</v>
      </c>
      <c r="BC338" s="867">
        <f t="shared" ca="1" si="225"/>
        <v>0</v>
      </c>
      <c r="BD338" s="658"/>
      <c r="BE338" s="867">
        <f t="shared" ca="1" si="261"/>
        <v>0</v>
      </c>
      <c r="BF338" s="867">
        <f t="shared" ca="1" si="262"/>
        <v>0</v>
      </c>
      <c r="BG338" s="867">
        <f t="shared" ca="1" si="263"/>
        <v>0</v>
      </c>
      <c r="BI338" s="867">
        <f ca="1"/>
        <v>0</v>
      </c>
      <c r="BJ338" s="867">
        <f ca="1"/>
        <v>0</v>
      </c>
      <c r="BK338" s="867">
        <f ca="1"/>
        <v>0</v>
      </c>
      <c r="BL338" s="867">
        <f t="shared" ca="1" si="264"/>
        <v>0</v>
      </c>
      <c r="BM338" s="867">
        <f t="shared" ca="1" si="265"/>
        <v>0</v>
      </c>
      <c r="BN338" s="867">
        <f t="shared" ca="1" si="266"/>
        <v>0</v>
      </c>
      <c r="BO338" s="867">
        <f t="shared" ca="1" si="267"/>
        <v>0</v>
      </c>
      <c r="BP338" s="867">
        <f t="shared" ca="1" si="268"/>
        <v>0</v>
      </c>
      <c r="BQ338" s="867">
        <f t="shared" ca="1" si="269"/>
        <v>0</v>
      </c>
      <c r="BR338" s="867">
        <f ca="1"/>
        <v>0</v>
      </c>
      <c r="BS338" s="867">
        <f ca="1"/>
        <v>0</v>
      </c>
      <c r="BT338" s="867">
        <f t="shared" ca="1" si="229"/>
        <v>0</v>
      </c>
      <c r="BU338" s="867">
        <f t="shared" ca="1" si="270"/>
        <v>0</v>
      </c>
      <c r="BX338" s="867">
        <f ca="1"/>
        <v>0</v>
      </c>
      <c r="BY338" s="867">
        <f t="shared" ca="1" si="271"/>
        <v>0</v>
      </c>
      <c r="BZ338" s="867">
        <f t="shared" ca="1" si="272"/>
        <v>0</v>
      </c>
      <c r="CA338" s="867">
        <f t="shared" ca="1" si="273"/>
        <v>0</v>
      </c>
      <c r="CB338" s="867">
        <f t="shared" ca="1" si="274"/>
        <v>0</v>
      </c>
      <c r="CC338" s="867">
        <f t="shared" ca="1" si="275"/>
        <v>0</v>
      </c>
      <c r="CD338" s="867">
        <f t="shared" ca="1" si="276"/>
        <v>0</v>
      </c>
    </row>
    <row r="339" spans="1:82" ht="17" hidden="1" thickTop="1" thickBot="1">
      <c r="A339" s="773">
        <f t="shared" si="226"/>
        <v>0</v>
      </c>
      <c r="B339" s="779"/>
      <c r="D339" s="660"/>
      <c r="E339" s="661"/>
      <c r="F339" s="862"/>
      <c r="G339" s="863"/>
      <c r="H339" s="961"/>
      <c r="I339" s="865">
        <f t="shared" si="230"/>
        <v>0</v>
      </c>
      <c r="J339" s="864" cm="1">
        <f t="array" ref="J339">IF($G339=0,0,-MIN(0,G339*c_equity.LPshare))</f>
        <v>0</v>
      </c>
      <c r="K339" s="865" cm="1">
        <f t="array" ref="K339">I339*c_rate.Pref.MO</f>
        <v>0</v>
      </c>
      <c r="L339" s="865">
        <f t="shared" si="231"/>
        <v>0</v>
      </c>
      <c r="M339" s="865">
        <f t="shared" si="232"/>
        <v>0</v>
      </c>
      <c r="N339" s="865">
        <f t="shared" si="233"/>
        <v>0</v>
      </c>
      <c r="O339" s="864" cm="1">
        <f t="array" ref="O339">IF(N339=0,0,IF(G339&lt;0,N339/c_equity.LPshare*i_equity.GPshare,L339/c_equity.LPshare*i_equity.GPshare))</f>
        <v>0</v>
      </c>
      <c r="P339" s="865">
        <f t="shared" si="234"/>
        <v>0</v>
      </c>
      <c r="Q339" s="865">
        <f t="shared" si="235"/>
        <v>0</v>
      </c>
      <c r="R339" s="161"/>
      <c r="S339" s="867">
        <f t="shared" ca="1" si="236"/>
        <v>0</v>
      </c>
      <c r="T339" s="867" cm="1">
        <f t="array" ref="T339">IF($G339=0,0,-MIN(0,$G339*c_equity.LPshare))</f>
        <v>0</v>
      </c>
      <c r="U339" s="869" cm="1">
        <f t="array" ref="U339">IF($D339=0,0,S339*c_rate.Hurdle1.MO)</f>
        <v>0</v>
      </c>
      <c r="V339" s="867">
        <f t="shared" si="237"/>
        <v>0</v>
      </c>
      <c r="W339" s="867">
        <f t="shared" ca="1" si="238"/>
        <v>0</v>
      </c>
      <c r="X339" s="869">
        <f t="shared" ca="1" si="239"/>
        <v>0</v>
      </c>
      <c r="Y339" s="869">
        <f t="shared" ca="1" si="240"/>
        <v>0</v>
      </c>
      <c r="Z339" s="869">
        <f t="shared" ca="1" si="241"/>
        <v>0</v>
      </c>
      <c r="AA339" s="869">
        <f t="shared" ca="1" si="242"/>
        <v>0</v>
      </c>
      <c r="AB339" s="867">
        <f t="shared" ca="1" si="243"/>
        <v>0</v>
      </c>
      <c r="AC339" s="161"/>
      <c r="AD339" s="869">
        <f t="shared" ca="1" si="244"/>
        <v>0</v>
      </c>
      <c r="AE339" s="867" cm="1">
        <f t="array" ref="AE339">IF($G339=0,0,-MIN(0,$G339*c_equity.LPshare))</f>
        <v>0</v>
      </c>
      <c r="AF339" s="869" cm="1">
        <f t="array" ref="AF339">IF($D339=0,0,AD339*(c_rate.Hurdle2.MO))</f>
        <v>0</v>
      </c>
      <c r="AG339" s="869">
        <f t="shared" ca="1" si="245"/>
        <v>0</v>
      </c>
      <c r="AH339" s="869">
        <f t="shared" ca="1" si="246"/>
        <v>0</v>
      </c>
      <c r="AI339" s="869">
        <f t="shared" ca="1" si="247"/>
        <v>0</v>
      </c>
      <c r="AJ339" s="870">
        <f t="shared" ca="1" si="248"/>
        <v>0</v>
      </c>
      <c r="AK339" s="867">
        <f t="shared" ca="1" si="249"/>
        <v>0</v>
      </c>
      <c r="AL339" s="869">
        <f t="shared" ca="1" si="227"/>
        <v>0</v>
      </c>
      <c r="AM339" s="869">
        <f t="shared" ca="1" si="250"/>
        <v>0</v>
      </c>
      <c r="AN339" s="867">
        <f t="shared" ca="1" si="251"/>
        <v>0</v>
      </c>
      <c r="AO339" s="161"/>
      <c r="AP339" s="869">
        <f t="shared" ca="1" si="252"/>
        <v>0</v>
      </c>
      <c r="AQ339" s="867" cm="1">
        <f t="array" ref="AQ339">IF($G339=0,0,-MIN(0,$G339*c_equity.LPshare))</f>
        <v>0</v>
      </c>
      <c r="AR339" s="869" cm="1">
        <f t="array" ref="AR339">IF($D339=0,0,AP339*(c_rate.Hurdle3.MO))</f>
        <v>0</v>
      </c>
      <c r="AS339" s="869">
        <f t="shared" ca="1" si="253"/>
        <v>0</v>
      </c>
      <c r="AT339" s="869">
        <f t="shared" ca="1" si="254"/>
        <v>0</v>
      </c>
      <c r="AU339" s="869">
        <f t="shared" ca="1" si="255"/>
        <v>0</v>
      </c>
      <c r="AV339" s="870">
        <f t="shared" ca="1" si="256"/>
        <v>0</v>
      </c>
      <c r="AW339" s="867">
        <f t="shared" ca="1" si="257"/>
        <v>0</v>
      </c>
      <c r="AX339" s="869">
        <f t="shared" ca="1" si="228"/>
        <v>0</v>
      </c>
      <c r="AY339" s="869">
        <f t="shared" ca="1" si="258"/>
        <v>0</v>
      </c>
      <c r="AZ339" s="867">
        <f t="shared" ca="1" si="259"/>
        <v>0</v>
      </c>
      <c r="BA339" s="161"/>
      <c r="BB339" s="867">
        <f t="shared" ca="1" si="260"/>
        <v>0</v>
      </c>
      <c r="BC339" s="867">
        <f t="shared" ca="1" si="225"/>
        <v>0</v>
      </c>
      <c r="BD339" s="658"/>
      <c r="BE339" s="867">
        <f t="shared" ca="1" si="261"/>
        <v>0</v>
      </c>
      <c r="BF339" s="867">
        <f t="shared" ca="1" si="262"/>
        <v>0</v>
      </c>
      <c r="BG339" s="867">
        <f t="shared" ca="1" si="263"/>
        <v>0</v>
      </c>
      <c r="BI339" s="867">
        <f ca="1"/>
        <v>0</v>
      </c>
      <c r="BJ339" s="867">
        <f ca="1"/>
        <v>0</v>
      </c>
      <c r="BK339" s="867">
        <f ca="1"/>
        <v>0</v>
      </c>
      <c r="BL339" s="867">
        <f t="shared" ca="1" si="264"/>
        <v>0</v>
      </c>
      <c r="BM339" s="867">
        <f t="shared" ca="1" si="265"/>
        <v>0</v>
      </c>
      <c r="BN339" s="867">
        <f t="shared" ca="1" si="266"/>
        <v>0</v>
      </c>
      <c r="BO339" s="867">
        <f t="shared" ca="1" si="267"/>
        <v>0</v>
      </c>
      <c r="BP339" s="867">
        <f t="shared" ca="1" si="268"/>
        <v>0</v>
      </c>
      <c r="BQ339" s="867">
        <f t="shared" ca="1" si="269"/>
        <v>0</v>
      </c>
      <c r="BR339" s="867">
        <f ca="1"/>
        <v>0</v>
      </c>
      <c r="BS339" s="867">
        <f ca="1"/>
        <v>0</v>
      </c>
      <c r="BT339" s="867">
        <f t="shared" ca="1" si="229"/>
        <v>0</v>
      </c>
      <c r="BU339" s="867">
        <f t="shared" ca="1" si="270"/>
        <v>0</v>
      </c>
      <c r="BX339" s="867">
        <f ca="1"/>
        <v>0</v>
      </c>
      <c r="BY339" s="867">
        <f t="shared" ca="1" si="271"/>
        <v>0</v>
      </c>
      <c r="BZ339" s="867">
        <f t="shared" ca="1" si="272"/>
        <v>0</v>
      </c>
      <c r="CA339" s="867">
        <f t="shared" ca="1" si="273"/>
        <v>0</v>
      </c>
      <c r="CB339" s="867">
        <f t="shared" ca="1" si="274"/>
        <v>0</v>
      </c>
      <c r="CC339" s="867">
        <f t="shared" ca="1" si="275"/>
        <v>0</v>
      </c>
      <c r="CD339" s="867">
        <f t="shared" ca="1" si="276"/>
        <v>0</v>
      </c>
    </row>
    <row r="340" spans="1:82" ht="17" hidden="1" thickTop="1" thickBot="1">
      <c r="A340" s="773">
        <f t="shared" si="226"/>
        <v>0</v>
      </c>
      <c r="B340" s="779"/>
      <c r="D340" s="660"/>
      <c r="E340" s="661"/>
      <c r="F340" s="862"/>
      <c r="G340" s="863"/>
      <c r="H340" s="961"/>
      <c r="I340" s="865">
        <f t="shared" si="230"/>
        <v>0</v>
      </c>
      <c r="J340" s="864" cm="1">
        <f t="array" ref="J340">IF($G340=0,0,-MIN(0,G340*c_equity.LPshare))</f>
        <v>0</v>
      </c>
      <c r="K340" s="865" cm="1">
        <f t="array" ref="K340">I340*c_rate.Pref.MO</f>
        <v>0</v>
      </c>
      <c r="L340" s="865">
        <f t="shared" si="231"/>
        <v>0</v>
      </c>
      <c r="M340" s="865">
        <f t="shared" si="232"/>
        <v>0</v>
      </c>
      <c r="N340" s="865">
        <f t="shared" si="233"/>
        <v>0</v>
      </c>
      <c r="O340" s="864" cm="1">
        <f t="array" ref="O340">IF(N340=0,0,IF(G340&lt;0,N340/c_equity.LPshare*i_equity.GPshare,L340/c_equity.LPshare*i_equity.GPshare))</f>
        <v>0</v>
      </c>
      <c r="P340" s="865">
        <f t="shared" si="234"/>
        <v>0</v>
      </c>
      <c r="Q340" s="865">
        <f t="shared" si="235"/>
        <v>0</v>
      </c>
      <c r="R340" s="161"/>
      <c r="S340" s="867">
        <f t="shared" ca="1" si="236"/>
        <v>0</v>
      </c>
      <c r="T340" s="867" cm="1">
        <f t="array" ref="T340">IF($G340=0,0,-MIN(0,$G340*c_equity.LPshare))</f>
        <v>0</v>
      </c>
      <c r="U340" s="869" cm="1">
        <f t="array" ref="U340">IF($D340=0,0,S340*c_rate.Hurdle1.MO)</f>
        <v>0</v>
      </c>
      <c r="V340" s="867">
        <f t="shared" si="237"/>
        <v>0</v>
      </c>
      <c r="W340" s="867">
        <f t="shared" ca="1" si="238"/>
        <v>0</v>
      </c>
      <c r="X340" s="869">
        <f t="shared" ca="1" si="239"/>
        <v>0</v>
      </c>
      <c r="Y340" s="869">
        <f t="shared" ca="1" si="240"/>
        <v>0</v>
      </c>
      <c r="Z340" s="869">
        <f t="shared" ca="1" si="241"/>
        <v>0</v>
      </c>
      <c r="AA340" s="869">
        <f t="shared" ca="1" si="242"/>
        <v>0</v>
      </c>
      <c r="AB340" s="867">
        <f t="shared" ca="1" si="243"/>
        <v>0</v>
      </c>
      <c r="AC340" s="161"/>
      <c r="AD340" s="869">
        <f t="shared" ca="1" si="244"/>
        <v>0</v>
      </c>
      <c r="AE340" s="867" cm="1">
        <f t="array" ref="AE340">IF($G340=0,0,-MIN(0,$G340*c_equity.LPshare))</f>
        <v>0</v>
      </c>
      <c r="AF340" s="869" cm="1">
        <f t="array" ref="AF340">IF($D340=0,0,AD340*(c_rate.Hurdle2.MO))</f>
        <v>0</v>
      </c>
      <c r="AG340" s="869">
        <f t="shared" ca="1" si="245"/>
        <v>0</v>
      </c>
      <c r="AH340" s="869">
        <f t="shared" ca="1" si="246"/>
        <v>0</v>
      </c>
      <c r="AI340" s="869">
        <f t="shared" ca="1" si="247"/>
        <v>0</v>
      </c>
      <c r="AJ340" s="870">
        <f t="shared" ca="1" si="248"/>
        <v>0</v>
      </c>
      <c r="AK340" s="867">
        <f t="shared" ca="1" si="249"/>
        <v>0</v>
      </c>
      <c r="AL340" s="869">
        <f t="shared" ca="1" si="227"/>
        <v>0</v>
      </c>
      <c r="AM340" s="869">
        <f t="shared" ca="1" si="250"/>
        <v>0</v>
      </c>
      <c r="AN340" s="867">
        <f t="shared" ca="1" si="251"/>
        <v>0</v>
      </c>
      <c r="AO340" s="161"/>
      <c r="AP340" s="869">
        <f t="shared" ca="1" si="252"/>
        <v>0</v>
      </c>
      <c r="AQ340" s="867" cm="1">
        <f t="array" ref="AQ340">IF($G340=0,0,-MIN(0,$G340*c_equity.LPshare))</f>
        <v>0</v>
      </c>
      <c r="AR340" s="869" cm="1">
        <f t="array" ref="AR340">IF($D340=0,0,AP340*(c_rate.Hurdle3.MO))</f>
        <v>0</v>
      </c>
      <c r="AS340" s="869">
        <f t="shared" ca="1" si="253"/>
        <v>0</v>
      </c>
      <c r="AT340" s="869">
        <f t="shared" ca="1" si="254"/>
        <v>0</v>
      </c>
      <c r="AU340" s="869">
        <f t="shared" ca="1" si="255"/>
        <v>0</v>
      </c>
      <c r="AV340" s="870">
        <f t="shared" ca="1" si="256"/>
        <v>0</v>
      </c>
      <c r="AW340" s="867">
        <f t="shared" ca="1" si="257"/>
        <v>0</v>
      </c>
      <c r="AX340" s="869">
        <f t="shared" ca="1" si="228"/>
        <v>0</v>
      </c>
      <c r="AY340" s="869">
        <f t="shared" ca="1" si="258"/>
        <v>0</v>
      </c>
      <c r="AZ340" s="867">
        <f t="shared" ca="1" si="259"/>
        <v>0</v>
      </c>
      <c r="BA340" s="161"/>
      <c r="BB340" s="867">
        <f t="shared" ca="1" si="260"/>
        <v>0</v>
      </c>
      <c r="BC340" s="867">
        <f t="shared" ca="1" si="225"/>
        <v>0</v>
      </c>
      <c r="BD340" s="658"/>
      <c r="BE340" s="867">
        <f t="shared" ca="1" si="261"/>
        <v>0</v>
      </c>
      <c r="BF340" s="867">
        <f t="shared" ca="1" si="262"/>
        <v>0</v>
      </c>
      <c r="BG340" s="867">
        <f t="shared" ca="1" si="263"/>
        <v>0</v>
      </c>
      <c r="BI340" s="867">
        <f ca="1"/>
        <v>0</v>
      </c>
      <c r="BJ340" s="867">
        <f ca="1"/>
        <v>0</v>
      </c>
      <c r="BK340" s="867">
        <f ca="1"/>
        <v>0</v>
      </c>
      <c r="BL340" s="867">
        <f t="shared" ca="1" si="264"/>
        <v>0</v>
      </c>
      <c r="BM340" s="867">
        <f t="shared" ca="1" si="265"/>
        <v>0</v>
      </c>
      <c r="BN340" s="867">
        <f t="shared" ca="1" si="266"/>
        <v>0</v>
      </c>
      <c r="BO340" s="867">
        <f t="shared" ca="1" si="267"/>
        <v>0</v>
      </c>
      <c r="BP340" s="867">
        <f t="shared" ca="1" si="268"/>
        <v>0</v>
      </c>
      <c r="BQ340" s="867">
        <f t="shared" ca="1" si="269"/>
        <v>0</v>
      </c>
      <c r="BR340" s="867">
        <f ca="1"/>
        <v>0</v>
      </c>
      <c r="BS340" s="867">
        <f ca="1"/>
        <v>0</v>
      </c>
      <c r="BT340" s="867">
        <f t="shared" ca="1" si="229"/>
        <v>0</v>
      </c>
      <c r="BU340" s="867">
        <f t="shared" ca="1" si="270"/>
        <v>0</v>
      </c>
      <c r="BX340" s="867">
        <f ca="1"/>
        <v>0</v>
      </c>
      <c r="BY340" s="867">
        <f t="shared" ca="1" si="271"/>
        <v>0</v>
      </c>
      <c r="BZ340" s="867">
        <f t="shared" ca="1" si="272"/>
        <v>0</v>
      </c>
      <c r="CA340" s="867">
        <f t="shared" ca="1" si="273"/>
        <v>0</v>
      </c>
      <c r="CB340" s="867">
        <f t="shared" ca="1" si="274"/>
        <v>0</v>
      </c>
      <c r="CC340" s="867">
        <f t="shared" ca="1" si="275"/>
        <v>0</v>
      </c>
      <c r="CD340" s="867">
        <f t="shared" ca="1" si="276"/>
        <v>0</v>
      </c>
    </row>
    <row r="341" spans="1:82" ht="17" hidden="1" thickTop="1" thickBot="1">
      <c r="A341" s="773">
        <f t="shared" si="226"/>
        <v>0</v>
      </c>
      <c r="B341" s="779"/>
      <c r="D341" s="660"/>
      <c r="E341" s="661"/>
      <c r="F341" s="862"/>
      <c r="G341" s="863"/>
      <c r="H341" s="961"/>
      <c r="I341" s="865">
        <f t="shared" si="230"/>
        <v>0</v>
      </c>
      <c r="J341" s="864" cm="1">
        <f t="array" ref="J341">IF($G341=0,0,-MIN(0,G341*c_equity.LPshare))</f>
        <v>0</v>
      </c>
      <c r="K341" s="865" cm="1">
        <f t="array" ref="K341">I341*c_rate.Pref.MO</f>
        <v>0</v>
      </c>
      <c r="L341" s="865">
        <f t="shared" si="231"/>
        <v>0</v>
      </c>
      <c r="M341" s="865">
        <f t="shared" si="232"/>
        <v>0</v>
      </c>
      <c r="N341" s="865">
        <f t="shared" si="233"/>
        <v>0</v>
      </c>
      <c r="O341" s="864" cm="1">
        <f t="array" ref="O341">IF(N341=0,0,IF(G341&lt;0,N341/c_equity.LPshare*i_equity.GPshare,L341/c_equity.LPshare*i_equity.GPshare))</f>
        <v>0</v>
      </c>
      <c r="P341" s="865">
        <f t="shared" si="234"/>
        <v>0</v>
      </c>
      <c r="Q341" s="865">
        <f t="shared" si="235"/>
        <v>0</v>
      </c>
      <c r="R341" s="161"/>
      <c r="S341" s="867">
        <f t="shared" ca="1" si="236"/>
        <v>0</v>
      </c>
      <c r="T341" s="867" cm="1">
        <f t="array" ref="T341">IF($G341=0,0,-MIN(0,$G341*c_equity.LPshare))</f>
        <v>0</v>
      </c>
      <c r="U341" s="869" cm="1">
        <f t="array" ref="U341">IF($D341=0,0,S341*c_rate.Hurdle1.MO)</f>
        <v>0</v>
      </c>
      <c r="V341" s="867">
        <f t="shared" si="237"/>
        <v>0</v>
      </c>
      <c r="W341" s="867">
        <f t="shared" ca="1" si="238"/>
        <v>0</v>
      </c>
      <c r="X341" s="869">
        <f t="shared" ca="1" si="239"/>
        <v>0</v>
      </c>
      <c r="Y341" s="869">
        <f t="shared" ca="1" si="240"/>
        <v>0</v>
      </c>
      <c r="Z341" s="869">
        <f t="shared" ca="1" si="241"/>
        <v>0</v>
      </c>
      <c r="AA341" s="869">
        <f t="shared" ca="1" si="242"/>
        <v>0</v>
      </c>
      <c r="AB341" s="867">
        <f t="shared" ca="1" si="243"/>
        <v>0</v>
      </c>
      <c r="AC341" s="161"/>
      <c r="AD341" s="869">
        <f t="shared" ca="1" si="244"/>
        <v>0</v>
      </c>
      <c r="AE341" s="867" cm="1">
        <f t="array" ref="AE341">IF($G341=0,0,-MIN(0,$G341*c_equity.LPshare))</f>
        <v>0</v>
      </c>
      <c r="AF341" s="869" cm="1">
        <f t="array" ref="AF341">IF($D341=0,0,AD341*(c_rate.Hurdle2.MO))</f>
        <v>0</v>
      </c>
      <c r="AG341" s="869">
        <f t="shared" ca="1" si="245"/>
        <v>0</v>
      </c>
      <c r="AH341" s="869">
        <f t="shared" ca="1" si="246"/>
        <v>0</v>
      </c>
      <c r="AI341" s="869">
        <f t="shared" ca="1" si="247"/>
        <v>0</v>
      </c>
      <c r="AJ341" s="870">
        <f t="shared" ca="1" si="248"/>
        <v>0</v>
      </c>
      <c r="AK341" s="867">
        <f t="shared" ca="1" si="249"/>
        <v>0</v>
      </c>
      <c r="AL341" s="869">
        <f t="shared" ca="1" si="227"/>
        <v>0</v>
      </c>
      <c r="AM341" s="869">
        <f t="shared" ca="1" si="250"/>
        <v>0</v>
      </c>
      <c r="AN341" s="867">
        <f t="shared" ca="1" si="251"/>
        <v>0</v>
      </c>
      <c r="AO341" s="161"/>
      <c r="AP341" s="869">
        <f t="shared" ca="1" si="252"/>
        <v>0</v>
      </c>
      <c r="AQ341" s="867" cm="1">
        <f t="array" ref="AQ341">IF($G341=0,0,-MIN(0,$G341*c_equity.LPshare))</f>
        <v>0</v>
      </c>
      <c r="AR341" s="869" cm="1">
        <f t="array" ref="AR341">IF($D341=0,0,AP341*(c_rate.Hurdle3.MO))</f>
        <v>0</v>
      </c>
      <c r="AS341" s="869">
        <f t="shared" ca="1" si="253"/>
        <v>0</v>
      </c>
      <c r="AT341" s="869">
        <f t="shared" ca="1" si="254"/>
        <v>0</v>
      </c>
      <c r="AU341" s="869">
        <f t="shared" ca="1" si="255"/>
        <v>0</v>
      </c>
      <c r="AV341" s="870">
        <f t="shared" ca="1" si="256"/>
        <v>0</v>
      </c>
      <c r="AW341" s="867">
        <f t="shared" ca="1" si="257"/>
        <v>0</v>
      </c>
      <c r="AX341" s="869">
        <f t="shared" ca="1" si="228"/>
        <v>0</v>
      </c>
      <c r="AY341" s="869">
        <f t="shared" ca="1" si="258"/>
        <v>0</v>
      </c>
      <c r="AZ341" s="867">
        <f t="shared" ca="1" si="259"/>
        <v>0</v>
      </c>
      <c r="BA341" s="161"/>
      <c r="BB341" s="867">
        <f t="shared" ca="1" si="260"/>
        <v>0</v>
      </c>
      <c r="BC341" s="867">
        <f t="shared" ca="1" si="225"/>
        <v>0</v>
      </c>
      <c r="BD341" s="658"/>
      <c r="BE341" s="867">
        <f t="shared" ca="1" si="261"/>
        <v>0</v>
      </c>
      <c r="BF341" s="867">
        <f t="shared" ca="1" si="262"/>
        <v>0</v>
      </c>
      <c r="BG341" s="867">
        <f t="shared" ca="1" si="263"/>
        <v>0</v>
      </c>
      <c r="BI341" s="867">
        <f ca="1"/>
        <v>0</v>
      </c>
      <c r="BJ341" s="867">
        <f ca="1"/>
        <v>0</v>
      </c>
      <c r="BK341" s="867">
        <f ca="1"/>
        <v>0</v>
      </c>
      <c r="BL341" s="867">
        <f t="shared" ca="1" si="264"/>
        <v>0</v>
      </c>
      <c r="BM341" s="867">
        <f t="shared" ca="1" si="265"/>
        <v>0</v>
      </c>
      <c r="BN341" s="867">
        <f t="shared" ca="1" si="266"/>
        <v>0</v>
      </c>
      <c r="BO341" s="867">
        <f t="shared" ca="1" si="267"/>
        <v>0</v>
      </c>
      <c r="BP341" s="867">
        <f t="shared" ca="1" si="268"/>
        <v>0</v>
      </c>
      <c r="BQ341" s="867">
        <f t="shared" ca="1" si="269"/>
        <v>0</v>
      </c>
      <c r="BR341" s="867">
        <f ca="1"/>
        <v>0</v>
      </c>
      <c r="BS341" s="867">
        <f ca="1"/>
        <v>0</v>
      </c>
      <c r="BT341" s="867">
        <f t="shared" ca="1" si="229"/>
        <v>0</v>
      </c>
      <c r="BU341" s="867">
        <f t="shared" ca="1" si="270"/>
        <v>0</v>
      </c>
      <c r="BX341" s="867">
        <f ca="1"/>
        <v>0</v>
      </c>
      <c r="BY341" s="867">
        <f t="shared" ca="1" si="271"/>
        <v>0</v>
      </c>
      <c r="BZ341" s="867">
        <f t="shared" ca="1" si="272"/>
        <v>0</v>
      </c>
      <c r="CA341" s="867">
        <f t="shared" ca="1" si="273"/>
        <v>0</v>
      </c>
      <c r="CB341" s="867">
        <f t="shared" ca="1" si="274"/>
        <v>0</v>
      </c>
      <c r="CC341" s="867">
        <f t="shared" ca="1" si="275"/>
        <v>0</v>
      </c>
      <c r="CD341" s="867">
        <f t="shared" ca="1" si="276"/>
        <v>0</v>
      </c>
    </row>
    <row r="342" spans="1:82" ht="17" hidden="1" thickTop="1" thickBot="1">
      <c r="A342" s="773">
        <f t="shared" si="226"/>
        <v>0</v>
      </c>
      <c r="B342" s="779"/>
      <c r="D342" s="660"/>
      <c r="E342" s="661"/>
      <c r="F342" s="862"/>
      <c r="G342" s="863"/>
      <c r="H342" s="961"/>
      <c r="I342" s="865">
        <f t="shared" si="230"/>
        <v>0</v>
      </c>
      <c r="J342" s="864" cm="1">
        <f t="array" ref="J342">IF($G342=0,0,-MIN(0,G342*c_equity.LPshare))</f>
        <v>0</v>
      </c>
      <c r="K342" s="865" cm="1">
        <f t="array" ref="K342">I342*c_rate.Pref.MO</f>
        <v>0</v>
      </c>
      <c r="L342" s="865">
        <f t="shared" si="231"/>
        <v>0</v>
      </c>
      <c r="M342" s="865">
        <f t="shared" si="232"/>
        <v>0</v>
      </c>
      <c r="N342" s="865">
        <f t="shared" si="233"/>
        <v>0</v>
      </c>
      <c r="O342" s="864" cm="1">
        <f t="array" ref="O342">IF(N342=0,0,IF(G342&lt;0,N342/c_equity.LPshare*i_equity.GPshare,L342/c_equity.LPshare*i_equity.GPshare))</f>
        <v>0</v>
      </c>
      <c r="P342" s="865">
        <f t="shared" si="234"/>
        <v>0</v>
      </c>
      <c r="Q342" s="865">
        <f t="shared" si="235"/>
        <v>0</v>
      </c>
      <c r="R342" s="161"/>
      <c r="S342" s="867">
        <f t="shared" ca="1" si="236"/>
        <v>0</v>
      </c>
      <c r="T342" s="867" cm="1">
        <f t="array" ref="T342">IF($G342=0,0,-MIN(0,$G342*c_equity.LPshare))</f>
        <v>0</v>
      </c>
      <c r="U342" s="869" cm="1">
        <f t="array" ref="U342">IF($D342=0,0,S342*c_rate.Hurdle1.MO)</f>
        <v>0</v>
      </c>
      <c r="V342" s="867">
        <f t="shared" si="237"/>
        <v>0</v>
      </c>
      <c r="W342" s="867">
        <f t="shared" ca="1" si="238"/>
        <v>0</v>
      </c>
      <c r="X342" s="869">
        <f t="shared" ca="1" si="239"/>
        <v>0</v>
      </c>
      <c r="Y342" s="869">
        <f t="shared" ca="1" si="240"/>
        <v>0</v>
      </c>
      <c r="Z342" s="869">
        <f t="shared" ca="1" si="241"/>
        <v>0</v>
      </c>
      <c r="AA342" s="869">
        <f t="shared" ca="1" si="242"/>
        <v>0</v>
      </c>
      <c r="AB342" s="867">
        <f t="shared" ca="1" si="243"/>
        <v>0</v>
      </c>
      <c r="AC342" s="161"/>
      <c r="AD342" s="869">
        <f t="shared" ca="1" si="244"/>
        <v>0</v>
      </c>
      <c r="AE342" s="867" cm="1">
        <f t="array" ref="AE342">IF($G342=0,0,-MIN(0,$G342*c_equity.LPshare))</f>
        <v>0</v>
      </c>
      <c r="AF342" s="869" cm="1">
        <f t="array" ref="AF342">IF($D342=0,0,AD342*(c_rate.Hurdle2.MO))</f>
        <v>0</v>
      </c>
      <c r="AG342" s="869">
        <f t="shared" ca="1" si="245"/>
        <v>0</v>
      </c>
      <c r="AH342" s="869">
        <f t="shared" ca="1" si="246"/>
        <v>0</v>
      </c>
      <c r="AI342" s="869">
        <f t="shared" ca="1" si="247"/>
        <v>0</v>
      </c>
      <c r="AJ342" s="870">
        <f t="shared" ca="1" si="248"/>
        <v>0</v>
      </c>
      <c r="AK342" s="867">
        <f t="shared" ca="1" si="249"/>
        <v>0</v>
      </c>
      <c r="AL342" s="869">
        <f t="shared" ca="1" si="227"/>
        <v>0</v>
      </c>
      <c r="AM342" s="869">
        <f t="shared" ca="1" si="250"/>
        <v>0</v>
      </c>
      <c r="AN342" s="867">
        <f t="shared" ca="1" si="251"/>
        <v>0</v>
      </c>
      <c r="AO342" s="161"/>
      <c r="AP342" s="869">
        <f t="shared" ca="1" si="252"/>
        <v>0</v>
      </c>
      <c r="AQ342" s="867" cm="1">
        <f t="array" ref="AQ342">IF($G342=0,0,-MIN(0,$G342*c_equity.LPshare))</f>
        <v>0</v>
      </c>
      <c r="AR342" s="869" cm="1">
        <f t="array" ref="AR342">IF($D342=0,0,AP342*(c_rate.Hurdle3.MO))</f>
        <v>0</v>
      </c>
      <c r="AS342" s="869">
        <f t="shared" ca="1" si="253"/>
        <v>0</v>
      </c>
      <c r="AT342" s="869">
        <f t="shared" ca="1" si="254"/>
        <v>0</v>
      </c>
      <c r="AU342" s="869">
        <f t="shared" ca="1" si="255"/>
        <v>0</v>
      </c>
      <c r="AV342" s="870">
        <f t="shared" ca="1" si="256"/>
        <v>0</v>
      </c>
      <c r="AW342" s="867">
        <f t="shared" ca="1" si="257"/>
        <v>0</v>
      </c>
      <c r="AX342" s="869">
        <f t="shared" ca="1" si="228"/>
        <v>0</v>
      </c>
      <c r="AY342" s="869">
        <f t="shared" ca="1" si="258"/>
        <v>0</v>
      </c>
      <c r="AZ342" s="867">
        <f t="shared" ca="1" si="259"/>
        <v>0</v>
      </c>
      <c r="BA342" s="161"/>
      <c r="BB342" s="867">
        <f t="shared" ca="1" si="260"/>
        <v>0</v>
      </c>
      <c r="BC342" s="867">
        <f t="shared" ca="1" si="225"/>
        <v>0</v>
      </c>
      <c r="BD342" s="658"/>
      <c r="BE342" s="867">
        <f t="shared" ca="1" si="261"/>
        <v>0</v>
      </c>
      <c r="BF342" s="867">
        <f t="shared" ca="1" si="262"/>
        <v>0</v>
      </c>
      <c r="BG342" s="867">
        <f t="shared" ca="1" si="263"/>
        <v>0</v>
      </c>
      <c r="BI342" s="867">
        <f ca="1"/>
        <v>0</v>
      </c>
      <c r="BJ342" s="867">
        <f ca="1"/>
        <v>0</v>
      </c>
      <c r="BK342" s="867">
        <f ca="1"/>
        <v>0</v>
      </c>
      <c r="BL342" s="867">
        <f t="shared" ca="1" si="264"/>
        <v>0</v>
      </c>
      <c r="BM342" s="867">
        <f t="shared" ca="1" si="265"/>
        <v>0</v>
      </c>
      <c r="BN342" s="867">
        <f t="shared" ca="1" si="266"/>
        <v>0</v>
      </c>
      <c r="BO342" s="867">
        <f t="shared" ca="1" si="267"/>
        <v>0</v>
      </c>
      <c r="BP342" s="867">
        <f t="shared" ca="1" si="268"/>
        <v>0</v>
      </c>
      <c r="BQ342" s="867">
        <f t="shared" ca="1" si="269"/>
        <v>0</v>
      </c>
      <c r="BR342" s="867">
        <f ca="1"/>
        <v>0</v>
      </c>
      <c r="BS342" s="867">
        <f ca="1"/>
        <v>0</v>
      </c>
      <c r="BT342" s="867">
        <f t="shared" ca="1" si="229"/>
        <v>0</v>
      </c>
      <c r="BU342" s="867">
        <f t="shared" ca="1" si="270"/>
        <v>0</v>
      </c>
      <c r="BX342" s="867">
        <f ca="1"/>
        <v>0</v>
      </c>
      <c r="BY342" s="867">
        <f t="shared" ca="1" si="271"/>
        <v>0</v>
      </c>
      <c r="BZ342" s="867">
        <f t="shared" ca="1" si="272"/>
        <v>0</v>
      </c>
      <c r="CA342" s="867">
        <f t="shared" ca="1" si="273"/>
        <v>0</v>
      </c>
      <c r="CB342" s="867">
        <f t="shared" ca="1" si="274"/>
        <v>0</v>
      </c>
      <c r="CC342" s="867">
        <f t="shared" ca="1" si="275"/>
        <v>0</v>
      </c>
      <c r="CD342" s="867">
        <f t="shared" ca="1" si="276"/>
        <v>0</v>
      </c>
    </row>
    <row r="343" spans="1:82" ht="17" hidden="1" thickTop="1" thickBot="1">
      <c r="A343" s="773">
        <f t="shared" si="226"/>
        <v>0</v>
      </c>
      <c r="B343" s="779"/>
      <c r="D343" s="660"/>
      <c r="E343" s="661"/>
      <c r="F343" s="862"/>
      <c r="G343" s="863"/>
      <c r="H343" s="961"/>
      <c r="I343" s="865">
        <f t="shared" si="230"/>
        <v>0</v>
      </c>
      <c r="J343" s="864" cm="1">
        <f t="array" ref="J343">IF($G343=0,0,-MIN(0,G343*c_equity.LPshare))</f>
        <v>0</v>
      </c>
      <c r="K343" s="865" cm="1">
        <f t="array" ref="K343">I343*c_rate.Pref.MO</f>
        <v>0</v>
      </c>
      <c r="L343" s="865">
        <f t="shared" si="231"/>
        <v>0</v>
      </c>
      <c r="M343" s="865">
        <f t="shared" si="232"/>
        <v>0</v>
      </c>
      <c r="N343" s="865">
        <f t="shared" si="233"/>
        <v>0</v>
      </c>
      <c r="O343" s="864" cm="1">
        <f t="array" ref="O343">IF(N343=0,0,IF(G343&lt;0,N343/c_equity.LPshare*i_equity.GPshare,L343/c_equity.LPshare*i_equity.GPshare))</f>
        <v>0</v>
      </c>
      <c r="P343" s="865">
        <f t="shared" si="234"/>
        <v>0</v>
      </c>
      <c r="Q343" s="865">
        <f t="shared" si="235"/>
        <v>0</v>
      </c>
      <c r="R343" s="161"/>
      <c r="S343" s="867">
        <f t="shared" ca="1" si="236"/>
        <v>0</v>
      </c>
      <c r="T343" s="867" cm="1">
        <f t="array" ref="T343">IF($G343=0,0,-MIN(0,$G343*c_equity.LPshare))</f>
        <v>0</v>
      </c>
      <c r="U343" s="869" cm="1">
        <f t="array" ref="U343">IF($D343=0,0,S343*c_rate.Hurdle1.MO)</f>
        <v>0</v>
      </c>
      <c r="V343" s="867">
        <f t="shared" si="237"/>
        <v>0</v>
      </c>
      <c r="W343" s="867">
        <f t="shared" ca="1" si="238"/>
        <v>0</v>
      </c>
      <c r="X343" s="869">
        <f t="shared" ca="1" si="239"/>
        <v>0</v>
      </c>
      <c r="Y343" s="869">
        <f t="shared" ca="1" si="240"/>
        <v>0</v>
      </c>
      <c r="Z343" s="869">
        <f t="shared" ca="1" si="241"/>
        <v>0</v>
      </c>
      <c r="AA343" s="869">
        <f t="shared" ca="1" si="242"/>
        <v>0</v>
      </c>
      <c r="AB343" s="867">
        <f t="shared" ca="1" si="243"/>
        <v>0</v>
      </c>
      <c r="AC343" s="161"/>
      <c r="AD343" s="869">
        <f t="shared" ca="1" si="244"/>
        <v>0</v>
      </c>
      <c r="AE343" s="867" cm="1">
        <f t="array" ref="AE343">IF($G343=0,0,-MIN(0,$G343*c_equity.LPshare))</f>
        <v>0</v>
      </c>
      <c r="AF343" s="869" cm="1">
        <f t="array" ref="AF343">IF($D343=0,0,AD343*(c_rate.Hurdle2.MO))</f>
        <v>0</v>
      </c>
      <c r="AG343" s="869">
        <f t="shared" ca="1" si="245"/>
        <v>0</v>
      </c>
      <c r="AH343" s="869">
        <f t="shared" ca="1" si="246"/>
        <v>0</v>
      </c>
      <c r="AI343" s="869">
        <f t="shared" ca="1" si="247"/>
        <v>0</v>
      </c>
      <c r="AJ343" s="870">
        <f t="shared" ca="1" si="248"/>
        <v>0</v>
      </c>
      <c r="AK343" s="867">
        <f t="shared" ca="1" si="249"/>
        <v>0</v>
      </c>
      <c r="AL343" s="869">
        <f t="shared" ca="1" si="227"/>
        <v>0</v>
      </c>
      <c r="AM343" s="869">
        <f t="shared" ca="1" si="250"/>
        <v>0</v>
      </c>
      <c r="AN343" s="867">
        <f t="shared" ca="1" si="251"/>
        <v>0</v>
      </c>
      <c r="AO343" s="161"/>
      <c r="AP343" s="869">
        <f t="shared" ca="1" si="252"/>
        <v>0</v>
      </c>
      <c r="AQ343" s="867" cm="1">
        <f t="array" ref="AQ343">IF($G343=0,0,-MIN(0,$G343*c_equity.LPshare))</f>
        <v>0</v>
      </c>
      <c r="AR343" s="869" cm="1">
        <f t="array" ref="AR343">IF($D343=0,0,AP343*(c_rate.Hurdle3.MO))</f>
        <v>0</v>
      </c>
      <c r="AS343" s="869">
        <f t="shared" ca="1" si="253"/>
        <v>0</v>
      </c>
      <c r="AT343" s="869">
        <f t="shared" ca="1" si="254"/>
        <v>0</v>
      </c>
      <c r="AU343" s="869">
        <f t="shared" ca="1" si="255"/>
        <v>0</v>
      </c>
      <c r="AV343" s="870">
        <f t="shared" ca="1" si="256"/>
        <v>0</v>
      </c>
      <c r="AW343" s="867">
        <f t="shared" ca="1" si="257"/>
        <v>0</v>
      </c>
      <c r="AX343" s="869">
        <f t="shared" ca="1" si="228"/>
        <v>0</v>
      </c>
      <c r="AY343" s="869">
        <f t="shared" ca="1" si="258"/>
        <v>0</v>
      </c>
      <c r="AZ343" s="867">
        <f t="shared" ca="1" si="259"/>
        <v>0</v>
      </c>
      <c r="BA343" s="161"/>
      <c r="BB343" s="867">
        <f t="shared" ca="1" si="260"/>
        <v>0</v>
      </c>
      <c r="BC343" s="867">
        <f t="shared" ca="1" si="225"/>
        <v>0</v>
      </c>
      <c r="BD343" s="658"/>
      <c r="BE343" s="867">
        <f t="shared" ca="1" si="261"/>
        <v>0</v>
      </c>
      <c r="BF343" s="867">
        <f t="shared" ca="1" si="262"/>
        <v>0</v>
      </c>
      <c r="BG343" s="867">
        <f t="shared" ca="1" si="263"/>
        <v>0</v>
      </c>
      <c r="BI343" s="867">
        <f ca="1"/>
        <v>0</v>
      </c>
      <c r="BJ343" s="867">
        <f ca="1"/>
        <v>0</v>
      </c>
      <c r="BK343" s="867">
        <f ca="1"/>
        <v>0</v>
      </c>
      <c r="BL343" s="867">
        <f t="shared" ca="1" si="264"/>
        <v>0</v>
      </c>
      <c r="BM343" s="867">
        <f t="shared" ca="1" si="265"/>
        <v>0</v>
      </c>
      <c r="BN343" s="867">
        <f t="shared" ca="1" si="266"/>
        <v>0</v>
      </c>
      <c r="BO343" s="867">
        <f t="shared" ca="1" si="267"/>
        <v>0</v>
      </c>
      <c r="BP343" s="867">
        <f t="shared" ca="1" si="268"/>
        <v>0</v>
      </c>
      <c r="BQ343" s="867">
        <f t="shared" ca="1" si="269"/>
        <v>0</v>
      </c>
      <c r="BR343" s="867">
        <f ca="1"/>
        <v>0</v>
      </c>
      <c r="BS343" s="867">
        <f ca="1"/>
        <v>0</v>
      </c>
      <c r="BT343" s="867">
        <f t="shared" ca="1" si="229"/>
        <v>0</v>
      </c>
      <c r="BU343" s="867">
        <f t="shared" ca="1" si="270"/>
        <v>0</v>
      </c>
      <c r="BX343" s="867">
        <f ca="1"/>
        <v>0</v>
      </c>
      <c r="BY343" s="867">
        <f t="shared" ca="1" si="271"/>
        <v>0</v>
      </c>
      <c r="BZ343" s="867">
        <f t="shared" ca="1" si="272"/>
        <v>0</v>
      </c>
      <c r="CA343" s="867">
        <f t="shared" ca="1" si="273"/>
        <v>0</v>
      </c>
      <c r="CB343" s="867">
        <f t="shared" ca="1" si="274"/>
        <v>0</v>
      </c>
      <c r="CC343" s="867">
        <f t="shared" ca="1" si="275"/>
        <v>0</v>
      </c>
      <c r="CD343" s="867">
        <f t="shared" ca="1" si="276"/>
        <v>0</v>
      </c>
    </row>
    <row r="344" spans="1:82" ht="17" hidden="1" thickTop="1" thickBot="1">
      <c r="A344" s="773">
        <f t="shared" si="226"/>
        <v>0</v>
      </c>
      <c r="B344" s="779"/>
      <c r="D344" s="660"/>
      <c r="E344" s="661"/>
      <c r="F344" s="862"/>
      <c r="G344" s="863"/>
      <c r="H344" s="961"/>
      <c r="I344" s="865">
        <f t="shared" si="230"/>
        <v>0</v>
      </c>
      <c r="J344" s="864" cm="1">
        <f t="array" ref="J344">IF($G344=0,0,-MIN(0,G344*c_equity.LPshare))</f>
        <v>0</v>
      </c>
      <c r="K344" s="865" cm="1">
        <f t="array" ref="K344">I344*c_rate.Pref.MO</f>
        <v>0</v>
      </c>
      <c r="L344" s="865">
        <f t="shared" si="231"/>
        <v>0</v>
      </c>
      <c r="M344" s="865">
        <f t="shared" si="232"/>
        <v>0</v>
      </c>
      <c r="N344" s="865">
        <f t="shared" si="233"/>
        <v>0</v>
      </c>
      <c r="O344" s="864" cm="1">
        <f t="array" ref="O344">IF(N344=0,0,IF(G344&lt;0,N344/c_equity.LPshare*i_equity.GPshare,L344/c_equity.LPshare*i_equity.GPshare))</f>
        <v>0</v>
      </c>
      <c r="P344" s="865">
        <f t="shared" si="234"/>
        <v>0</v>
      </c>
      <c r="Q344" s="865">
        <f t="shared" si="235"/>
        <v>0</v>
      </c>
      <c r="R344" s="161"/>
      <c r="S344" s="867">
        <f t="shared" ca="1" si="236"/>
        <v>0</v>
      </c>
      <c r="T344" s="867" cm="1">
        <f t="array" ref="T344">IF($G344=0,0,-MIN(0,$G344*c_equity.LPshare))</f>
        <v>0</v>
      </c>
      <c r="U344" s="869" cm="1">
        <f t="array" ref="U344">IF($D344=0,0,S344*c_rate.Hurdle1.MO)</f>
        <v>0</v>
      </c>
      <c r="V344" s="867">
        <f t="shared" si="237"/>
        <v>0</v>
      </c>
      <c r="W344" s="867">
        <f t="shared" ca="1" si="238"/>
        <v>0</v>
      </c>
      <c r="X344" s="869">
        <f t="shared" ca="1" si="239"/>
        <v>0</v>
      </c>
      <c r="Y344" s="869">
        <f t="shared" ca="1" si="240"/>
        <v>0</v>
      </c>
      <c r="Z344" s="869">
        <f t="shared" ca="1" si="241"/>
        <v>0</v>
      </c>
      <c r="AA344" s="869">
        <f t="shared" ca="1" si="242"/>
        <v>0</v>
      </c>
      <c r="AB344" s="867">
        <f t="shared" ca="1" si="243"/>
        <v>0</v>
      </c>
      <c r="AC344" s="161"/>
      <c r="AD344" s="869">
        <f t="shared" ca="1" si="244"/>
        <v>0</v>
      </c>
      <c r="AE344" s="867" cm="1">
        <f t="array" ref="AE344">IF($G344=0,0,-MIN(0,$G344*c_equity.LPshare))</f>
        <v>0</v>
      </c>
      <c r="AF344" s="869" cm="1">
        <f t="array" ref="AF344">IF($D344=0,0,AD344*(c_rate.Hurdle2.MO))</f>
        <v>0</v>
      </c>
      <c r="AG344" s="869">
        <f t="shared" ca="1" si="245"/>
        <v>0</v>
      </c>
      <c r="AH344" s="869">
        <f t="shared" ca="1" si="246"/>
        <v>0</v>
      </c>
      <c r="AI344" s="869">
        <f t="shared" ca="1" si="247"/>
        <v>0</v>
      </c>
      <c r="AJ344" s="870">
        <f t="shared" ca="1" si="248"/>
        <v>0</v>
      </c>
      <c r="AK344" s="867">
        <f t="shared" ca="1" si="249"/>
        <v>0</v>
      </c>
      <c r="AL344" s="869">
        <f t="shared" ca="1" si="227"/>
        <v>0</v>
      </c>
      <c r="AM344" s="869">
        <f t="shared" ca="1" si="250"/>
        <v>0</v>
      </c>
      <c r="AN344" s="867">
        <f t="shared" ca="1" si="251"/>
        <v>0</v>
      </c>
      <c r="AO344" s="161"/>
      <c r="AP344" s="869">
        <f t="shared" ca="1" si="252"/>
        <v>0</v>
      </c>
      <c r="AQ344" s="867" cm="1">
        <f t="array" ref="AQ344">IF($G344=0,0,-MIN(0,$G344*c_equity.LPshare))</f>
        <v>0</v>
      </c>
      <c r="AR344" s="869" cm="1">
        <f t="array" ref="AR344">IF($D344=0,0,AP344*(c_rate.Hurdle3.MO))</f>
        <v>0</v>
      </c>
      <c r="AS344" s="869">
        <f t="shared" ca="1" si="253"/>
        <v>0</v>
      </c>
      <c r="AT344" s="869">
        <f t="shared" ca="1" si="254"/>
        <v>0</v>
      </c>
      <c r="AU344" s="869">
        <f t="shared" ca="1" si="255"/>
        <v>0</v>
      </c>
      <c r="AV344" s="870">
        <f t="shared" ca="1" si="256"/>
        <v>0</v>
      </c>
      <c r="AW344" s="867">
        <f t="shared" ca="1" si="257"/>
        <v>0</v>
      </c>
      <c r="AX344" s="869">
        <f t="shared" ca="1" si="228"/>
        <v>0</v>
      </c>
      <c r="AY344" s="869">
        <f t="shared" ca="1" si="258"/>
        <v>0</v>
      </c>
      <c r="AZ344" s="867">
        <f t="shared" ca="1" si="259"/>
        <v>0</v>
      </c>
      <c r="BA344" s="161"/>
      <c r="BB344" s="867">
        <f t="shared" ca="1" si="260"/>
        <v>0</v>
      </c>
      <c r="BC344" s="867">
        <f t="shared" ca="1" si="225"/>
        <v>0</v>
      </c>
      <c r="BD344" s="658"/>
      <c r="BE344" s="867">
        <f t="shared" ca="1" si="261"/>
        <v>0</v>
      </c>
      <c r="BF344" s="867">
        <f t="shared" ca="1" si="262"/>
        <v>0</v>
      </c>
      <c r="BG344" s="867">
        <f t="shared" ca="1" si="263"/>
        <v>0</v>
      </c>
      <c r="BI344" s="867">
        <f ca="1"/>
        <v>0</v>
      </c>
      <c r="BJ344" s="867">
        <f ca="1"/>
        <v>0</v>
      </c>
      <c r="BK344" s="867">
        <f ca="1"/>
        <v>0</v>
      </c>
      <c r="BL344" s="867">
        <f t="shared" ca="1" si="264"/>
        <v>0</v>
      </c>
      <c r="BM344" s="867">
        <f t="shared" ca="1" si="265"/>
        <v>0</v>
      </c>
      <c r="BN344" s="867">
        <f t="shared" ca="1" si="266"/>
        <v>0</v>
      </c>
      <c r="BO344" s="867">
        <f t="shared" ca="1" si="267"/>
        <v>0</v>
      </c>
      <c r="BP344" s="867">
        <f t="shared" ca="1" si="268"/>
        <v>0</v>
      </c>
      <c r="BQ344" s="867">
        <f t="shared" ca="1" si="269"/>
        <v>0</v>
      </c>
      <c r="BR344" s="867">
        <f ca="1"/>
        <v>0</v>
      </c>
      <c r="BS344" s="867">
        <f ca="1"/>
        <v>0</v>
      </c>
      <c r="BT344" s="867">
        <f t="shared" ca="1" si="229"/>
        <v>0</v>
      </c>
      <c r="BU344" s="867">
        <f t="shared" ca="1" si="270"/>
        <v>0</v>
      </c>
      <c r="BX344" s="867">
        <f ca="1"/>
        <v>0</v>
      </c>
      <c r="BY344" s="867">
        <f t="shared" ca="1" si="271"/>
        <v>0</v>
      </c>
      <c r="BZ344" s="867">
        <f t="shared" ca="1" si="272"/>
        <v>0</v>
      </c>
      <c r="CA344" s="867">
        <f t="shared" ca="1" si="273"/>
        <v>0</v>
      </c>
      <c r="CB344" s="867">
        <f t="shared" ca="1" si="274"/>
        <v>0</v>
      </c>
      <c r="CC344" s="867">
        <f t="shared" ca="1" si="275"/>
        <v>0</v>
      </c>
      <c r="CD344" s="867">
        <f t="shared" ca="1" si="276"/>
        <v>0</v>
      </c>
    </row>
    <row r="345" spans="1:82" ht="17" hidden="1" thickTop="1" thickBot="1">
      <c r="A345" s="773">
        <f t="shared" si="226"/>
        <v>0</v>
      </c>
      <c r="B345" s="779"/>
      <c r="D345" s="660"/>
      <c r="E345" s="661"/>
      <c r="F345" s="862"/>
      <c r="G345" s="863"/>
      <c r="H345" s="961"/>
      <c r="I345" s="865">
        <f t="shared" si="230"/>
        <v>0</v>
      </c>
      <c r="J345" s="864" cm="1">
        <f t="array" ref="J345">IF($G345=0,0,-MIN(0,G345*c_equity.LPshare))</f>
        <v>0</v>
      </c>
      <c r="K345" s="865" cm="1">
        <f t="array" ref="K345">I345*c_rate.Pref.MO</f>
        <v>0</v>
      </c>
      <c r="L345" s="865">
        <f t="shared" si="231"/>
        <v>0</v>
      </c>
      <c r="M345" s="865">
        <f t="shared" si="232"/>
        <v>0</v>
      </c>
      <c r="N345" s="865">
        <f t="shared" si="233"/>
        <v>0</v>
      </c>
      <c r="O345" s="864" cm="1">
        <f t="array" ref="O345">IF(N345=0,0,IF(G345&lt;0,N345/c_equity.LPshare*i_equity.GPshare,L345/c_equity.LPshare*i_equity.GPshare))</f>
        <v>0</v>
      </c>
      <c r="P345" s="865">
        <f t="shared" si="234"/>
        <v>0</v>
      </c>
      <c r="Q345" s="865">
        <f t="shared" si="235"/>
        <v>0</v>
      </c>
      <c r="R345" s="161"/>
      <c r="S345" s="867">
        <f t="shared" ca="1" si="236"/>
        <v>0</v>
      </c>
      <c r="T345" s="867" cm="1">
        <f t="array" ref="T345">IF($G345=0,0,-MIN(0,$G345*c_equity.LPshare))</f>
        <v>0</v>
      </c>
      <c r="U345" s="869" cm="1">
        <f t="array" ref="U345">IF($D345=0,0,S345*c_rate.Hurdle1.MO)</f>
        <v>0</v>
      </c>
      <c r="V345" s="867">
        <f t="shared" si="237"/>
        <v>0</v>
      </c>
      <c r="W345" s="867">
        <f t="shared" ca="1" si="238"/>
        <v>0</v>
      </c>
      <c r="X345" s="869">
        <f t="shared" ca="1" si="239"/>
        <v>0</v>
      </c>
      <c r="Y345" s="869">
        <f t="shared" ca="1" si="240"/>
        <v>0</v>
      </c>
      <c r="Z345" s="869">
        <f t="shared" ca="1" si="241"/>
        <v>0</v>
      </c>
      <c r="AA345" s="869">
        <f t="shared" ca="1" si="242"/>
        <v>0</v>
      </c>
      <c r="AB345" s="867">
        <f t="shared" ca="1" si="243"/>
        <v>0</v>
      </c>
      <c r="AC345" s="161"/>
      <c r="AD345" s="869">
        <f t="shared" ca="1" si="244"/>
        <v>0</v>
      </c>
      <c r="AE345" s="867" cm="1">
        <f t="array" ref="AE345">IF($G345=0,0,-MIN(0,$G345*c_equity.LPshare))</f>
        <v>0</v>
      </c>
      <c r="AF345" s="869" cm="1">
        <f t="array" ref="AF345">IF($D345=0,0,AD345*(c_rate.Hurdle2.MO))</f>
        <v>0</v>
      </c>
      <c r="AG345" s="869">
        <f t="shared" ca="1" si="245"/>
        <v>0</v>
      </c>
      <c r="AH345" s="869">
        <f t="shared" ca="1" si="246"/>
        <v>0</v>
      </c>
      <c r="AI345" s="869">
        <f t="shared" ca="1" si="247"/>
        <v>0</v>
      </c>
      <c r="AJ345" s="870">
        <f t="shared" ca="1" si="248"/>
        <v>0</v>
      </c>
      <c r="AK345" s="867">
        <f t="shared" ca="1" si="249"/>
        <v>0</v>
      </c>
      <c r="AL345" s="869">
        <f t="shared" ca="1" si="227"/>
        <v>0</v>
      </c>
      <c r="AM345" s="869">
        <f t="shared" ca="1" si="250"/>
        <v>0</v>
      </c>
      <c r="AN345" s="867">
        <f t="shared" ca="1" si="251"/>
        <v>0</v>
      </c>
      <c r="AO345" s="161"/>
      <c r="AP345" s="869">
        <f t="shared" ca="1" si="252"/>
        <v>0</v>
      </c>
      <c r="AQ345" s="867" cm="1">
        <f t="array" ref="AQ345">IF($G345=0,0,-MIN(0,$G345*c_equity.LPshare))</f>
        <v>0</v>
      </c>
      <c r="AR345" s="869" cm="1">
        <f t="array" ref="AR345">IF($D345=0,0,AP345*(c_rate.Hurdle3.MO))</f>
        <v>0</v>
      </c>
      <c r="AS345" s="869">
        <f t="shared" ca="1" si="253"/>
        <v>0</v>
      </c>
      <c r="AT345" s="869">
        <f t="shared" ca="1" si="254"/>
        <v>0</v>
      </c>
      <c r="AU345" s="869">
        <f t="shared" ca="1" si="255"/>
        <v>0</v>
      </c>
      <c r="AV345" s="870">
        <f t="shared" ca="1" si="256"/>
        <v>0</v>
      </c>
      <c r="AW345" s="867">
        <f t="shared" ca="1" si="257"/>
        <v>0</v>
      </c>
      <c r="AX345" s="869">
        <f t="shared" ca="1" si="228"/>
        <v>0</v>
      </c>
      <c r="AY345" s="869">
        <f t="shared" ca="1" si="258"/>
        <v>0</v>
      </c>
      <c r="AZ345" s="867">
        <f t="shared" ca="1" si="259"/>
        <v>0</v>
      </c>
      <c r="BA345" s="161"/>
      <c r="BB345" s="867">
        <f t="shared" ca="1" si="260"/>
        <v>0</v>
      </c>
      <c r="BC345" s="867">
        <f t="shared" ca="1" si="225"/>
        <v>0</v>
      </c>
      <c r="BD345" s="658"/>
      <c r="BE345" s="867">
        <f t="shared" ca="1" si="261"/>
        <v>0</v>
      </c>
      <c r="BF345" s="867">
        <f t="shared" ca="1" si="262"/>
        <v>0</v>
      </c>
      <c r="BG345" s="867">
        <f t="shared" ca="1" si="263"/>
        <v>0</v>
      </c>
      <c r="BI345" s="867">
        <f ca="1"/>
        <v>0</v>
      </c>
      <c r="BJ345" s="867">
        <f ca="1"/>
        <v>0</v>
      </c>
      <c r="BK345" s="867">
        <f ca="1"/>
        <v>0</v>
      </c>
      <c r="BL345" s="867">
        <f t="shared" ca="1" si="264"/>
        <v>0</v>
      </c>
      <c r="BM345" s="867">
        <f t="shared" ca="1" si="265"/>
        <v>0</v>
      </c>
      <c r="BN345" s="867">
        <f t="shared" ca="1" si="266"/>
        <v>0</v>
      </c>
      <c r="BO345" s="867">
        <f t="shared" ca="1" si="267"/>
        <v>0</v>
      </c>
      <c r="BP345" s="867">
        <f t="shared" ca="1" si="268"/>
        <v>0</v>
      </c>
      <c r="BQ345" s="867">
        <f t="shared" ca="1" si="269"/>
        <v>0</v>
      </c>
      <c r="BR345" s="867">
        <f ca="1"/>
        <v>0</v>
      </c>
      <c r="BS345" s="867">
        <f ca="1"/>
        <v>0</v>
      </c>
      <c r="BT345" s="867">
        <f t="shared" ca="1" si="229"/>
        <v>0</v>
      </c>
      <c r="BU345" s="867">
        <f t="shared" ca="1" si="270"/>
        <v>0</v>
      </c>
      <c r="BX345" s="867">
        <f ca="1"/>
        <v>0</v>
      </c>
      <c r="BY345" s="867">
        <f t="shared" ca="1" si="271"/>
        <v>0</v>
      </c>
      <c r="BZ345" s="867">
        <f t="shared" ca="1" si="272"/>
        <v>0</v>
      </c>
      <c r="CA345" s="867">
        <f t="shared" ca="1" si="273"/>
        <v>0</v>
      </c>
      <c r="CB345" s="867">
        <f t="shared" ca="1" si="274"/>
        <v>0</v>
      </c>
      <c r="CC345" s="867">
        <f t="shared" ca="1" si="275"/>
        <v>0</v>
      </c>
      <c r="CD345" s="867">
        <f t="shared" ca="1" si="276"/>
        <v>0</v>
      </c>
    </row>
    <row r="346" spans="1:82" ht="17" hidden="1" thickTop="1" thickBot="1">
      <c r="A346" s="773">
        <f t="shared" si="226"/>
        <v>0</v>
      </c>
      <c r="B346" s="779"/>
      <c r="D346" s="660"/>
      <c r="E346" s="661"/>
      <c r="F346" s="862"/>
      <c r="G346" s="863"/>
      <c r="H346" s="961"/>
      <c r="I346" s="865">
        <f t="shared" si="230"/>
        <v>0</v>
      </c>
      <c r="J346" s="864" cm="1">
        <f t="array" ref="J346">IF($G346=0,0,-MIN(0,G346*c_equity.LPshare))</f>
        <v>0</v>
      </c>
      <c r="K346" s="865" cm="1">
        <f t="array" ref="K346">I346*c_rate.Pref.MO</f>
        <v>0</v>
      </c>
      <c r="L346" s="865">
        <f t="shared" si="231"/>
        <v>0</v>
      </c>
      <c r="M346" s="865">
        <f t="shared" si="232"/>
        <v>0</v>
      </c>
      <c r="N346" s="865">
        <f t="shared" si="233"/>
        <v>0</v>
      </c>
      <c r="O346" s="864" cm="1">
        <f t="array" ref="O346">IF(N346=0,0,IF(G346&lt;0,N346/c_equity.LPshare*i_equity.GPshare,L346/c_equity.LPshare*i_equity.GPshare))</f>
        <v>0</v>
      </c>
      <c r="P346" s="865">
        <f t="shared" si="234"/>
        <v>0</v>
      </c>
      <c r="Q346" s="865">
        <f t="shared" si="235"/>
        <v>0</v>
      </c>
      <c r="R346" s="161"/>
      <c r="S346" s="867">
        <f t="shared" ca="1" si="236"/>
        <v>0</v>
      </c>
      <c r="T346" s="867" cm="1">
        <f t="array" ref="T346">IF($G346=0,0,-MIN(0,$G346*c_equity.LPshare))</f>
        <v>0</v>
      </c>
      <c r="U346" s="869" cm="1">
        <f t="array" ref="U346">IF($D346=0,0,S346*c_rate.Hurdle1.MO)</f>
        <v>0</v>
      </c>
      <c r="V346" s="867">
        <f t="shared" si="237"/>
        <v>0</v>
      </c>
      <c r="W346" s="867">
        <f t="shared" ca="1" si="238"/>
        <v>0</v>
      </c>
      <c r="X346" s="869">
        <f t="shared" ca="1" si="239"/>
        <v>0</v>
      </c>
      <c r="Y346" s="869">
        <f t="shared" ca="1" si="240"/>
        <v>0</v>
      </c>
      <c r="Z346" s="869">
        <f t="shared" ca="1" si="241"/>
        <v>0</v>
      </c>
      <c r="AA346" s="869">
        <f t="shared" ca="1" si="242"/>
        <v>0</v>
      </c>
      <c r="AB346" s="867">
        <f t="shared" ca="1" si="243"/>
        <v>0</v>
      </c>
      <c r="AC346" s="161"/>
      <c r="AD346" s="869">
        <f t="shared" ca="1" si="244"/>
        <v>0</v>
      </c>
      <c r="AE346" s="867" cm="1">
        <f t="array" ref="AE346">IF($G346=0,0,-MIN(0,$G346*c_equity.LPshare))</f>
        <v>0</v>
      </c>
      <c r="AF346" s="869" cm="1">
        <f t="array" ref="AF346">IF($D346=0,0,AD346*(c_rate.Hurdle2.MO))</f>
        <v>0</v>
      </c>
      <c r="AG346" s="869">
        <f t="shared" ca="1" si="245"/>
        <v>0</v>
      </c>
      <c r="AH346" s="869">
        <f t="shared" ca="1" si="246"/>
        <v>0</v>
      </c>
      <c r="AI346" s="869">
        <f t="shared" ca="1" si="247"/>
        <v>0</v>
      </c>
      <c r="AJ346" s="870">
        <f t="shared" ca="1" si="248"/>
        <v>0</v>
      </c>
      <c r="AK346" s="867">
        <f t="shared" ca="1" si="249"/>
        <v>0</v>
      </c>
      <c r="AL346" s="869">
        <f t="shared" ca="1" si="227"/>
        <v>0</v>
      </c>
      <c r="AM346" s="869">
        <f t="shared" ca="1" si="250"/>
        <v>0</v>
      </c>
      <c r="AN346" s="867">
        <f t="shared" ca="1" si="251"/>
        <v>0</v>
      </c>
      <c r="AO346" s="161"/>
      <c r="AP346" s="869">
        <f t="shared" ca="1" si="252"/>
        <v>0</v>
      </c>
      <c r="AQ346" s="867" cm="1">
        <f t="array" ref="AQ346">IF($G346=0,0,-MIN(0,$G346*c_equity.LPshare))</f>
        <v>0</v>
      </c>
      <c r="AR346" s="869" cm="1">
        <f t="array" ref="AR346">IF($D346=0,0,AP346*(c_rate.Hurdle3.MO))</f>
        <v>0</v>
      </c>
      <c r="AS346" s="869">
        <f t="shared" ca="1" si="253"/>
        <v>0</v>
      </c>
      <c r="AT346" s="869">
        <f t="shared" ca="1" si="254"/>
        <v>0</v>
      </c>
      <c r="AU346" s="869">
        <f t="shared" ca="1" si="255"/>
        <v>0</v>
      </c>
      <c r="AV346" s="870">
        <f t="shared" ca="1" si="256"/>
        <v>0</v>
      </c>
      <c r="AW346" s="867">
        <f t="shared" ca="1" si="257"/>
        <v>0</v>
      </c>
      <c r="AX346" s="869">
        <f t="shared" ca="1" si="228"/>
        <v>0</v>
      </c>
      <c r="AY346" s="869">
        <f t="shared" ca="1" si="258"/>
        <v>0</v>
      </c>
      <c r="AZ346" s="867">
        <f t="shared" ca="1" si="259"/>
        <v>0</v>
      </c>
      <c r="BA346" s="161"/>
      <c r="BB346" s="867">
        <f t="shared" ca="1" si="260"/>
        <v>0</v>
      </c>
      <c r="BC346" s="867">
        <f t="shared" ca="1" si="225"/>
        <v>0</v>
      </c>
      <c r="BD346" s="658"/>
      <c r="BE346" s="867">
        <f t="shared" ca="1" si="261"/>
        <v>0</v>
      </c>
      <c r="BF346" s="867">
        <f t="shared" ca="1" si="262"/>
        <v>0</v>
      </c>
      <c r="BG346" s="867">
        <f t="shared" ca="1" si="263"/>
        <v>0</v>
      </c>
      <c r="BI346" s="867">
        <f ca="1"/>
        <v>0</v>
      </c>
      <c r="BJ346" s="867">
        <f ca="1"/>
        <v>0</v>
      </c>
      <c r="BK346" s="867">
        <f ca="1"/>
        <v>0</v>
      </c>
      <c r="BL346" s="867">
        <f t="shared" ca="1" si="264"/>
        <v>0</v>
      </c>
      <c r="BM346" s="867">
        <f t="shared" ca="1" si="265"/>
        <v>0</v>
      </c>
      <c r="BN346" s="867">
        <f t="shared" ca="1" si="266"/>
        <v>0</v>
      </c>
      <c r="BO346" s="867">
        <f t="shared" ca="1" si="267"/>
        <v>0</v>
      </c>
      <c r="BP346" s="867">
        <f t="shared" ca="1" si="268"/>
        <v>0</v>
      </c>
      <c r="BQ346" s="867">
        <f t="shared" ca="1" si="269"/>
        <v>0</v>
      </c>
      <c r="BR346" s="867">
        <f ca="1"/>
        <v>0</v>
      </c>
      <c r="BS346" s="867">
        <f ca="1"/>
        <v>0</v>
      </c>
      <c r="BT346" s="867">
        <f t="shared" ca="1" si="229"/>
        <v>0</v>
      </c>
      <c r="BU346" s="867">
        <f t="shared" ca="1" si="270"/>
        <v>0</v>
      </c>
      <c r="BX346" s="867">
        <f ca="1"/>
        <v>0</v>
      </c>
      <c r="BY346" s="867">
        <f t="shared" ca="1" si="271"/>
        <v>0</v>
      </c>
      <c r="BZ346" s="867">
        <f t="shared" ca="1" si="272"/>
        <v>0</v>
      </c>
      <c r="CA346" s="867">
        <f t="shared" ca="1" si="273"/>
        <v>0</v>
      </c>
      <c r="CB346" s="867">
        <f t="shared" ca="1" si="274"/>
        <v>0</v>
      </c>
      <c r="CC346" s="867">
        <f t="shared" ca="1" si="275"/>
        <v>0</v>
      </c>
      <c r="CD346" s="867">
        <f t="shared" ca="1" si="276"/>
        <v>0</v>
      </c>
    </row>
    <row r="347" spans="1:82" ht="17" hidden="1" thickTop="1" thickBot="1">
      <c r="A347" s="773">
        <f t="shared" si="226"/>
        <v>0</v>
      </c>
      <c r="B347" s="779"/>
      <c r="D347" s="660"/>
      <c r="E347" s="661"/>
      <c r="F347" s="862"/>
      <c r="G347" s="863"/>
      <c r="H347" s="961"/>
      <c r="I347" s="865">
        <f t="shared" si="230"/>
        <v>0</v>
      </c>
      <c r="J347" s="864" cm="1">
        <f t="array" ref="J347">IF($G347=0,0,-MIN(0,G347*c_equity.LPshare))</f>
        <v>0</v>
      </c>
      <c r="K347" s="865" cm="1">
        <f t="array" ref="K347">I347*c_rate.Pref.MO</f>
        <v>0</v>
      </c>
      <c r="L347" s="865">
        <f t="shared" si="231"/>
        <v>0</v>
      </c>
      <c r="M347" s="865">
        <f t="shared" si="232"/>
        <v>0</v>
      </c>
      <c r="N347" s="865">
        <f t="shared" si="233"/>
        <v>0</v>
      </c>
      <c r="O347" s="864" cm="1">
        <f t="array" ref="O347">IF(N347=0,0,IF(G347&lt;0,N347/c_equity.LPshare*i_equity.GPshare,L347/c_equity.LPshare*i_equity.GPshare))</f>
        <v>0</v>
      </c>
      <c r="P347" s="865">
        <f t="shared" si="234"/>
        <v>0</v>
      </c>
      <c r="Q347" s="865">
        <f t="shared" si="235"/>
        <v>0</v>
      </c>
      <c r="R347" s="161"/>
      <c r="S347" s="867">
        <f t="shared" ca="1" si="236"/>
        <v>0</v>
      </c>
      <c r="T347" s="867" cm="1">
        <f t="array" ref="T347">IF($G347=0,0,-MIN(0,$G347*c_equity.LPshare))</f>
        <v>0</v>
      </c>
      <c r="U347" s="869" cm="1">
        <f t="array" ref="U347">IF($D347=0,0,S347*c_rate.Hurdle1.MO)</f>
        <v>0</v>
      </c>
      <c r="V347" s="867">
        <f t="shared" si="237"/>
        <v>0</v>
      </c>
      <c r="W347" s="867">
        <f t="shared" ca="1" si="238"/>
        <v>0</v>
      </c>
      <c r="X347" s="869">
        <f t="shared" ca="1" si="239"/>
        <v>0</v>
      </c>
      <c r="Y347" s="869">
        <f t="shared" ca="1" si="240"/>
        <v>0</v>
      </c>
      <c r="Z347" s="869">
        <f t="shared" ca="1" si="241"/>
        <v>0</v>
      </c>
      <c r="AA347" s="869">
        <f t="shared" ca="1" si="242"/>
        <v>0</v>
      </c>
      <c r="AB347" s="867">
        <f t="shared" ca="1" si="243"/>
        <v>0</v>
      </c>
      <c r="AC347" s="161"/>
      <c r="AD347" s="869">
        <f t="shared" ca="1" si="244"/>
        <v>0</v>
      </c>
      <c r="AE347" s="867" cm="1">
        <f t="array" ref="AE347">IF($G347=0,0,-MIN(0,$G347*c_equity.LPshare))</f>
        <v>0</v>
      </c>
      <c r="AF347" s="869" cm="1">
        <f t="array" ref="AF347">IF($D347=0,0,AD347*(c_rate.Hurdle2.MO))</f>
        <v>0</v>
      </c>
      <c r="AG347" s="869">
        <f t="shared" ca="1" si="245"/>
        <v>0</v>
      </c>
      <c r="AH347" s="869">
        <f t="shared" ca="1" si="246"/>
        <v>0</v>
      </c>
      <c r="AI347" s="869">
        <f t="shared" ca="1" si="247"/>
        <v>0</v>
      </c>
      <c r="AJ347" s="870">
        <f t="shared" ca="1" si="248"/>
        <v>0</v>
      </c>
      <c r="AK347" s="867">
        <f t="shared" ca="1" si="249"/>
        <v>0</v>
      </c>
      <c r="AL347" s="869">
        <f t="shared" ca="1" si="227"/>
        <v>0</v>
      </c>
      <c r="AM347" s="869">
        <f t="shared" ca="1" si="250"/>
        <v>0</v>
      </c>
      <c r="AN347" s="867">
        <f t="shared" ca="1" si="251"/>
        <v>0</v>
      </c>
      <c r="AO347" s="161"/>
      <c r="AP347" s="869">
        <f t="shared" ca="1" si="252"/>
        <v>0</v>
      </c>
      <c r="AQ347" s="867" cm="1">
        <f t="array" ref="AQ347">IF($G347=0,0,-MIN(0,$G347*c_equity.LPshare))</f>
        <v>0</v>
      </c>
      <c r="AR347" s="869" cm="1">
        <f t="array" ref="AR347">IF($D347=0,0,AP347*(c_rate.Hurdle3.MO))</f>
        <v>0</v>
      </c>
      <c r="AS347" s="869">
        <f t="shared" ca="1" si="253"/>
        <v>0</v>
      </c>
      <c r="AT347" s="869">
        <f t="shared" ca="1" si="254"/>
        <v>0</v>
      </c>
      <c r="AU347" s="869">
        <f t="shared" ca="1" si="255"/>
        <v>0</v>
      </c>
      <c r="AV347" s="870">
        <f t="shared" ca="1" si="256"/>
        <v>0</v>
      </c>
      <c r="AW347" s="867">
        <f t="shared" ca="1" si="257"/>
        <v>0</v>
      </c>
      <c r="AX347" s="869">
        <f t="shared" ca="1" si="228"/>
        <v>0</v>
      </c>
      <c r="AY347" s="869">
        <f t="shared" ca="1" si="258"/>
        <v>0</v>
      </c>
      <c r="AZ347" s="867">
        <f t="shared" ca="1" si="259"/>
        <v>0</v>
      </c>
      <c r="BA347" s="161"/>
      <c r="BB347" s="867">
        <f t="shared" ca="1" si="260"/>
        <v>0</v>
      </c>
      <c r="BC347" s="867">
        <f t="shared" ca="1" si="225"/>
        <v>0</v>
      </c>
      <c r="BD347" s="658"/>
      <c r="BE347" s="867">
        <f t="shared" ca="1" si="261"/>
        <v>0</v>
      </c>
      <c r="BF347" s="867">
        <f t="shared" ca="1" si="262"/>
        <v>0</v>
      </c>
      <c r="BG347" s="867">
        <f t="shared" ca="1" si="263"/>
        <v>0</v>
      </c>
      <c r="BI347" s="867">
        <f ca="1"/>
        <v>0</v>
      </c>
      <c r="BJ347" s="867">
        <f ca="1"/>
        <v>0</v>
      </c>
      <c r="BK347" s="867">
        <f ca="1"/>
        <v>0</v>
      </c>
      <c r="BL347" s="867">
        <f t="shared" ca="1" si="264"/>
        <v>0</v>
      </c>
      <c r="BM347" s="867">
        <f t="shared" ca="1" si="265"/>
        <v>0</v>
      </c>
      <c r="BN347" s="867">
        <f t="shared" ca="1" si="266"/>
        <v>0</v>
      </c>
      <c r="BO347" s="867">
        <f t="shared" ca="1" si="267"/>
        <v>0</v>
      </c>
      <c r="BP347" s="867">
        <f t="shared" ca="1" si="268"/>
        <v>0</v>
      </c>
      <c r="BQ347" s="867">
        <f t="shared" ca="1" si="269"/>
        <v>0</v>
      </c>
      <c r="BR347" s="867">
        <f ca="1"/>
        <v>0</v>
      </c>
      <c r="BS347" s="867">
        <f ca="1"/>
        <v>0</v>
      </c>
      <c r="BT347" s="867">
        <f t="shared" ca="1" si="229"/>
        <v>0</v>
      </c>
      <c r="BU347" s="867">
        <f t="shared" ca="1" si="270"/>
        <v>0</v>
      </c>
      <c r="BX347" s="867">
        <f ca="1"/>
        <v>0</v>
      </c>
      <c r="BY347" s="867">
        <f t="shared" ca="1" si="271"/>
        <v>0</v>
      </c>
      <c r="BZ347" s="867">
        <f t="shared" ca="1" si="272"/>
        <v>0</v>
      </c>
      <c r="CA347" s="867">
        <f t="shared" ca="1" si="273"/>
        <v>0</v>
      </c>
      <c r="CB347" s="867">
        <f t="shared" ca="1" si="274"/>
        <v>0</v>
      </c>
      <c r="CC347" s="867">
        <f t="shared" ca="1" si="275"/>
        <v>0</v>
      </c>
      <c r="CD347" s="867">
        <f t="shared" ca="1" si="276"/>
        <v>0</v>
      </c>
    </row>
    <row r="348" spans="1:82" ht="17" hidden="1" thickTop="1" thickBot="1">
      <c r="A348" s="773">
        <f t="shared" si="226"/>
        <v>0</v>
      </c>
      <c r="B348" s="779"/>
      <c r="D348" s="660"/>
      <c r="E348" s="661"/>
      <c r="F348" s="862"/>
      <c r="G348" s="863"/>
      <c r="H348" s="961"/>
      <c r="I348" s="865">
        <f t="shared" si="230"/>
        <v>0</v>
      </c>
      <c r="J348" s="864" cm="1">
        <f t="array" ref="J348">IF($G348=0,0,-MIN(0,G348*c_equity.LPshare))</f>
        <v>0</v>
      </c>
      <c r="K348" s="865" cm="1">
        <f t="array" ref="K348">I348*c_rate.Pref.MO</f>
        <v>0</v>
      </c>
      <c r="L348" s="865">
        <f t="shared" si="231"/>
        <v>0</v>
      </c>
      <c r="M348" s="865">
        <f t="shared" si="232"/>
        <v>0</v>
      </c>
      <c r="N348" s="865">
        <f t="shared" si="233"/>
        <v>0</v>
      </c>
      <c r="O348" s="864" cm="1">
        <f t="array" ref="O348">IF(N348=0,0,IF(G348&lt;0,N348/c_equity.LPshare*i_equity.GPshare,L348/c_equity.LPshare*i_equity.GPshare))</f>
        <v>0</v>
      </c>
      <c r="P348" s="865">
        <f t="shared" si="234"/>
        <v>0</v>
      </c>
      <c r="Q348" s="865">
        <f t="shared" si="235"/>
        <v>0</v>
      </c>
      <c r="R348" s="161"/>
      <c r="S348" s="867">
        <f t="shared" ca="1" si="236"/>
        <v>0</v>
      </c>
      <c r="T348" s="867" cm="1">
        <f t="array" ref="T348">IF($G348=0,0,-MIN(0,$G348*c_equity.LPshare))</f>
        <v>0</v>
      </c>
      <c r="U348" s="869" cm="1">
        <f t="array" ref="U348">IF($D348=0,0,S348*c_rate.Hurdle1.MO)</f>
        <v>0</v>
      </c>
      <c r="V348" s="867">
        <f t="shared" si="237"/>
        <v>0</v>
      </c>
      <c r="W348" s="867">
        <f t="shared" ca="1" si="238"/>
        <v>0</v>
      </c>
      <c r="X348" s="869">
        <f t="shared" ca="1" si="239"/>
        <v>0</v>
      </c>
      <c r="Y348" s="869">
        <f t="shared" ca="1" si="240"/>
        <v>0</v>
      </c>
      <c r="Z348" s="869">
        <f t="shared" ca="1" si="241"/>
        <v>0</v>
      </c>
      <c r="AA348" s="869">
        <f t="shared" ca="1" si="242"/>
        <v>0</v>
      </c>
      <c r="AB348" s="867">
        <f t="shared" ca="1" si="243"/>
        <v>0</v>
      </c>
      <c r="AC348" s="161"/>
      <c r="AD348" s="869">
        <f t="shared" ca="1" si="244"/>
        <v>0</v>
      </c>
      <c r="AE348" s="867" cm="1">
        <f t="array" ref="AE348">IF($G348=0,0,-MIN(0,$G348*c_equity.LPshare))</f>
        <v>0</v>
      </c>
      <c r="AF348" s="869" cm="1">
        <f t="array" ref="AF348">IF($D348=0,0,AD348*(c_rate.Hurdle2.MO))</f>
        <v>0</v>
      </c>
      <c r="AG348" s="869">
        <f t="shared" ca="1" si="245"/>
        <v>0</v>
      </c>
      <c r="AH348" s="869">
        <f t="shared" ca="1" si="246"/>
        <v>0</v>
      </c>
      <c r="AI348" s="869">
        <f t="shared" ca="1" si="247"/>
        <v>0</v>
      </c>
      <c r="AJ348" s="870">
        <f t="shared" ca="1" si="248"/>
        <v>0</v>
      </c>
      <c r="AK348" s="867">
        <f t="shared" ca="1" si="249"/>
        <v>0</v>
      </c>
      <c r="AL348" s="869">
        <f t="shared" ca="1" si="227"/>
        <v>0</v>
      </c>
      <c r="AM348" s="869">
        <f t="shared" ca="1" si="250"/>
        <v>0</v>
      </c>
      <c r="AN348" s="867">
        <f t="shared" ca="1" si="251"/>
        <v>0</v>
      </c>
      <c r="AO348" s="161"/>
      <c r="AP348" s="869">
        <f t="shared" ca="1" si="252"/>
        <v>0</v>
      </c>
      <c r="AQ348" s="867" cm="1">
        <f t="array" ref="AQ348">IF($G348=0,0,-MIN(0,$G348*c_equity.LPshare))</f>
        <v>0</v>
      </c>
      <c r="AR348" s="869" cm="1">
        <f t="array" ref="AR348">IF($D348=0,0,AP348*(c_rate.Hurdle3.MO))</f>
        <v>0</v>
      </c>
      <c r="AS348" s="869">
        <f t="shared" ca="1" si="253"/>
        <v>0</v>
      </c>
      <c r="AT348" s="869">
        <f t="shared" ca="1" si="254"/>
        <v>0</v>
      </c>
      <c r="AU348" s="869">
        <f t="shared" ca="1" si="255"/>
        <v>0</v>
      </c>
      <c r="AV348" s="870">
        <f t="shared" ca="1" si="256"/>
        <v>0</v>
      </c>
      <c r="AW348" s="867">
        <f t="shared" ca="1" si="257"/>
        <v>0</v>
      </c>
      <c r="AX348" s="869">
        <f t="shared" ca="1" si="228"/>
        <v>0</v>
      </c>
      <c r="AY348" s="869">
        <f t="shared" ca="1" si="258"/>
        <v>0</v>
      </c>
      <c r="AZ348" s="867">
        <f t="shared" ca="1" si="259"/>
        <v>0</v>
      </c>
      <c r="BA348" s="161"/>
      <c r="BB348" s="867">
        <f t="shared" ca="1" si="260"/>
        <v>0</v>
      </c>
      <c r="BC348" s="867">
        <f t="shared" ca="1" si="225"/>
        <v>0</v>
      </c>
      <c r="BD348" s="658"/>
      <c r="BE348" s="867">
        <f t="shared" ca="1" si="261"/>
        <v>0</v>
      </c>
      <c r="BF348" s="867">
        <f t="shared" ca="1" si="262"/>
        <v>0</v>
      </c>
      <c r="BG348" s="867">
        <f t="shared" ca="1" si="263"/>
        <v>0</v>
      </c>
      <c r="BI348" s="867">
        <f ca="1"/>
        <v>0</v>
      </c>
      <c r="BJ348" s="867">
        <f ca="1"/>
        <v>0</v>
      </c>
      <c r="BK348" s="867">
        <f ca="1"/>
        <v>0</v>
      </c>
      <c r="BL348" s="867">
        <f t="shared" ca="1" si="264"/>
        <v>0</v>
      </c>
      <c r="BM348" s="867">
        <f t="shared" ca="1" si="265"/>
        <v>0</v>
      </c>
      <c r="BN348" s="867">
        <f t="shared" ca="1" si="266"/>
        <v>0</v>
      </c>
      <c r="BO348" s="867">
        <f t="shared" ca="1" si="267"/>
        <v>0</v>
      </c>
      <c r="BP348" s="867">
        <f t="shared" ca="1" si="268"/>
        <v>0</v>
      </c>
      <c r="BQ348" s="867">
        <f t="shared" ca="1" si="269"/>
        <v>0</v>
      </c>
      <c r="BR348" s="867">
        <f ca="1"/>
        <v>0</v>
      </c>
      <c r="BS348" s="867">
        <f ca="1"/>
        <v>0</v>
      </c>
      <c r="BT348" s="867">
        <f t="shared" ca="1" si="229"/>
        <v>0</v>
      </c>
      <c r="BU348" s="867">
        <f t="shared" ca="1" si="270"/>
        <v>0</v>
      </c>
      <c r="BX348" s="867">
        <f ca="1"/>
        <v>0</v>
      </c>
      <c r="BY348" s="867">
        <f t="shared" ca="1" si="271"/>
        <v>0</v>
      </c>
      <c r="BZ348" s="867">
        <f t="shared" ca="1" si="272"/>
        <v>0</v>
      </c>
      <c r="CA348" s="867">
        <f t="shared" ca="1" si="273"/>
        <v>0</v>
      </c>
      <c r="CB348" s="867">
        <f t="shared" ca="1" si="274"/>
        <v>0</v>
      </c>
      <c r="CC348" s="867">
        <f t="shared" ca="1" si="275"/>
        <v>0</v>
      </c>
      <c r="CD348" s="867">
        <f t="shared" ca="1" si="276"/>
        <v>0</v>
      </c>
    </row>
    <row r="349" spans="1:82" ht="17" hidden="1" thickTop="1" thickBot="1">
      <c r="A349" s="773">
        <f t="shared" si="226"/>
        <v>0</v>
      </c>
      <c r="B349" s="779"/>
      <c r="D349" s="660"/>
      <c r="E349" s="661"/>
      <c r="F349" s="862"/>
      <c r="G349" s="863"/>
      <c r="H349" s="961"/>
      <c r="I349" s="865">
        <f t="shared" si="230"/>
        <v>0</v>
      </c>
      <c r="J349" s="864" cm="1">
        <f t="array" ref="J349">IF($G349=0,0,-MIN(0,G349*c_equity.LPshare))</f>
        <v>0</v>
      </c>
      <c r="K349" s="865" cm="1">
        <f t="array" ref="K349">I349*c_rate.Pref.MO</f>
        <v>0</v>
      </c>
      <c r="L349" s="865">
        <f t="shared" si="231"/>
        <v>0</v>
      </c>
      <c r="M349" s="865">
        <f t="shared" si="232"/>
        <v>0</v>
      </c>
      <c r="N349" s="865">
        <f t="shared" si="233"/>
        <v>0</v>
      </c>
      <c r="O349" s="864" cm="1">
        <f t="array" ref="O349">IF(N349=0,0,IF(G349&lt;0,N349/c_equity.LPshare*i_equity.GPshare,L349/c_equity.LPshare*i_equity.GPshare))</f>
        <v>0</v>
      </c>
      <c r="P349" s="865">
        <f t="shared" si="234"/>
        <v>0</v>
      </c>
      <c r="Q349" s="865">
        <f t="shared" si="235"/>
        <v>0</v>
      </c>
      <c r="R349" s="161"/>
      <c r="S349" s="867">
        <f t="shared" ca="1" si="236"/>
        <v>0</v>
      </c>
      <c r="T349" s="867" cm="1">
        <f t="array" ref="T349">IF($G349=0,0,-MIN(0,$G349*c_equity.LPshare))</f>
        <v>0</v>
      </c>
      <c r="U349" s="869" cm="1">
        <f t="array" ref="U349">IF($D349=0,0,S349*c_rate.Hurdle1.MO)</f>
        <v>0</v>
      </c>
      <c r="V349" s="867">
        <f t="shared" si="237"/>
        <v>0</v>
      </c>
      <c r="W349" s="867">
        <f t="shared" ca="1" si="238"/>
        <v>0</v>
      </c>
      <c r="X349" s="869">
        <f t="shared" ca="1" si="239"/>
        <v>0</v>
      </c>
      <c r="Y349" s="869">
        <f t="shared" ca="1" si="240"/>
        <v>0</v>
      </c>
      <c r="Z349" s="869">
        <f t="shared" ca="1" si="241"/>
        <v>0</v>
      </c>
      <c r="AA349" s="869">
        <f t="shared" ca="1" si="242"/>
        <v>0</v>
      </c>
      <c r="AB349" s="867">
        <f t="shared" ca="1" si="243"/>
        <v>0</v>
      </c>
      <c r="AC349" s="161"/>
      <c r="AD349" s="869">
        <f t="shared" ca="1" si="244"/>
        <v>0</v>
      </c>
      <c r="AE349" s="867" cm="1">
        <f t="array" ref="AE349">IF($G349=0,0,-MIN(0,$G349*c_equity.LPshare))</f>
        <v>0</v>
      </c>
      <c r="AF349" s="869" cm="1">
        <f t="array" ref="AF349">IF($D349=0,0,AD349*(c_rate.Hurdle2.MO))</f>
        <v>0</v>
      </c>
      <c r="AG349" s="869">
        <f t="shared" ca="1" si="245"/>
        <v>0</v>
      </c>
      <c r="AH349" s="869">
        <f t="shared" ca="1" si="246"/>
        <v>0</v>
      </c>
      <c r="AI349" s="869">
        <f t="shared" ca="1" si="247"/>
        <v>0</v>
      </c>
      <c r="AJ349" s="870">
        <f t="shared" ca="1" si="248"/>
        <v>0</v>
      </c>
      <c r="AK349" s="867">
        <f t="shared" ca="1" si="249"/>
        <v>0</v>
      </c>
      <c r="AL349" s="869">
        <f t="shared" ca="1" si="227"/>
        <v>0</v>
      </c>
      <c r="AM349" s="869">
        <f t="shared" ca="1" si="250"/>
        <v>0</v>
      </c>
      <c r="AN349" s="867">
        <f t="shared" ca="1" si="251"/>
        <v>0</v>
      </c>
      <c r="AO349" s="161"/>
      <c r="AP349" s="869">
        <f t="shared" ca="1" si="252"/>
        <v>0</v>
      </c>
      <c r="AQ349" s="867" cm="1">
        <f t="array" ref="AQ349">IF($G349=0,0,-MIN(0,$G349*c_equity.LPshare))</f>
        <v>0</v>
      </c>
      <c r="AR349" s="869" cm="1">
        <f t="array" ref="AR349">IF($D349=0,0,AP349*(c_rate.Hurdle3.MO))</f>
        <v>0</v>
      </c>
      <c r="AS349" s="869">
        <f t="shared" ca="1" si="253"/>
        <v>0</v>
      </c>
      <c r="AT349" s="869">
        <f t="shared" ca="1" si="254"/>
        <v>0</v>
      </c>
      <c r="AU349" s="869">
        <f t="shared" ca="1" si="255"/>
        <v>0</v>
      </c>
      <c r="AV349" s="870">
        <f t="shared" ca="1" si="256"/>
        <v>0</v>
      </c>
      <c r="AW349" s="867">
        <f t="shared" ca="1" si="257"/>
        <v>0</v>
      </c>
      <c r="AX349" s="869">
        <f t="shared" ca="1" si="228"/>
        <v>0</v>
      </c>
      <c r="AY349" s="869">
        <f t="shared" ca="1" si="258"/>
        <v>0</v>
      </c>
      <c r="AZ349" s="867">
        <f t="shared" ca="1" si="259"/>
        <v>0</v>
      </c>
      <c r="BA349" s="161"/>
      <c r="BB349" s="867">
        <f t="shared" ca="1" si="260"/>
        <v>0</v>
      </c>
      <c r="BC349" s="867">
        <f t="shared" ca="1" si="225"/>
        <v>0</v>
      </c>
      <c r="BD349" s="658"/>
      <c r="BE349" s="867">
        <f t="shared" ca="1" si="261"/>
        <v>0</v>
      </c>
      <c r="BF349" s="867">
        <f t="shared" ca="1" si="262"/>
        <v>0</v>
      </c>
      <c r="BG349" s="867">
        <f t="shared" ca="1" si="263"/>
        <v>0</v>
      </c>
      <c r="BI349" s="867">
        <f ca="1"/>
        <v>0</v>
      </c>
      <c r="BJ349" s="867">
        <f ca="1"/>
        <v>0</v>
      </c>
      <c r="BK349" s="867">
        <f ca="1"/>
        <v>0</v>
      </c>
      <c r="BL349" s="867">
        <f t="shared" ca="1" si="264"/>
        <v>0</v>
      </c>
      <c r="BM349" s="867">
        <f t="shared" ca="1" si="265"/>
        <v>0</v>
      </c>
      <c r="BN349" s="867">
        <f t="shared" ca="1" si="266"/>
        <v>0</v>
      </c>
      <c r="BO349" s="867">
        <f t="shared" ca="1" si="267"/>
        <v>0</v>
      </c>
      <c r="BP349" s="867">
        <f t="shared" ca="1" si="268"/>
        <v>0</v>
      </c>
      <c r="BQ349" s="867">
        <f t="shared" ca="1" si="269"/>
        <v>0</v>
      </c>
      <c r="BR349" s="867">
        <f ca="1"/>
        <v>0</v>
      </c>
      <c r="BS349" s="867">
        <f ca="1"/>
        <v>0</v>
      </c>
      <c r="BT349" s="867">
        <f t="shared" ca="1" si="229"/>
        <v>0</v>
      </c>
      <c r="BU349" s="867">
        <f t="shared" ca="1" si="270"/>
        <v>0</v>
      </c>
      <c r="BX349" s="867">
        <f ca="1"/>
        <v>0</v>
      </c>
      <c r="BY349" s="867">
        <f t="shared" ca="1" si="271"/>
        <v>0</v>
      </c>
      <c r="BZ349" s="867">
        <f t="shared" ca="1" si="272"/>
        <v>0</v>
      </c>
      <c r="CA349" s="867">
        <f t="shared" ca="1" si="273"/>
        <v>0</v>
      </c>
      <c r="CB349" s="867">
        <f t="shared" ca="1" si="274"/>
        <v>0</v>
      </c>
      <c r="CC349" s="867">
        <f t="shared" ca="1" si="275"/>
        <v>0</v>
      </c>
      <c r="CD349" s="867">
        <f t="shared" ca="1" si="276"/>
        <v>0</v>
      </c>
    </row>
    <row r="350" spans="1:82" ht="17" hidden="1" thickTop="1" thickBot="1">
      <c r="A350" s="773">
        <f t="shared" si="226"/>
        <v>0</v>
      </c>
      <c r="B350" s="779"/>
      <c r="D350" s="660"/>
      <c r="E350" s="661"/>
      <c r="F350" s="862"/>
      <c r="G350" s="863"/>
      <c r="H350" s="961"/>
      <c r="I350" s="865">
        <f t="shared" si="230"/>
        <v>0</v>
      </c>
      <c r="J350" s="864" cm="1">
        <f t="array" ref="J350">IF($G350=0,0,-MIN(0,G350*c_equity.LPshare))</f>
        <v>0</v>
      </c>
      <c r="K350" s="865" cm="1">
        <f t="array" ref="K350">I350*c_rate.Pref.MO</f>
        <v>0</v>
      </c>
      <c r="L350" s="865">
        <f t="shared" si="231"/>
        <v>0</v>
      </c>
      <c r="M350" s="865">
        <f t="shared" si="232"/>
        <v>0</v>
      </c>
      <c r="N350" s="865">
        <f t="shared" si="233"/>
        <v>0</v>
      </c>
      <c r="O350" s="864" cm="1">
        <f t="array" ref="O350">IF(N350=0,0,IF(G350&lt;0,N350/c_equity.LPshare*i_equity.GPshare,L350/c_equity.LPshare*i_equity.GPshare))</f>
        <v>0</v>
      </c>
      <c r="P350" s="865">
        <f t="shared" si="234"/>
        <v>0</v>
      </c>
      <c r="Q350" s="865">
        <f t="shared" si="235"/>
        <v>0</v>
      </c>
      <c r="R350" s="161"/>
      <c r="S350" s="867">
        <f t="shared" ca="1" si="236"/>
        <v>0</v>
      </c>
      <c r="T350" s="867" cm="1">
        <f t="array" ref="T350">IF($G350=0,0,-MIN(0,$G350*c_equity.LPshare))</f>
        <v>0</v>
      </c>
      <c r="U350" s="869" cm="1">
        <f t="array" ref="U350">IF($D350=0,0,S350*c_rate.Hurdle1.MO)</f>
        <v>0</v>
      </c>
      <c r="V350" s="867">
        <f t="shared" si="237"/>
        <v>0</v>
      </c>
      <c r="W350" s="867">
        <f t="shared" ca="1" si="238"/>
        <v>0</v>
      </c>
      <c r="X350" s="869">
        <f t="shared" ca="1" si="239"/>
        <v>0</v>
      </c>
      <c r="Y350" s="869">
        <f t="shared" ca="1" si="240"/>
        <v>0</v>
      </c>
      <c r="Z350" s="869">
        <f t="shared" ca="1" si="241"/>
        <v>0</v>
      </c>
      <c r="AA350" s="869">
        <f t="shared" ca="1" si="242"/>
        <v>0</v>
      </c>
      <c r="AB350" s="867">
        <f t="shared" ca="1" si="243"/>
        <v>0</v>
      </c>
      <c r="AC350" s="161"/>
      <c r="AD350" s="869">
        <f t="shared" ca="1" si="244"/>
        <v>0</v>
      </c>
      <c r="AE350" s="867" cm="1">
        <f t="array" ref="AE350">IF($G350=0,0,-MIN(0,$G350*c_equity.LPshare))</f>
        <v>0</v>
      </c>
      <c r="AF350" s="869" cm="1">
        <f t="array" ref="AF350">IF($D350=0,0,AD350*(c_rate.Hurdle2.MO))</f>
        <v>0</v>
      </c>
      <c r="AG350" s="869">
        <f t="shared" ca="1" si="245"/>
        <v>0</v>
      </c>
      <c r="AH350" s="869">
        <f t="shared" ca="1" si="246"/>
        <v>0</v>
      </c>
      <c r="AI350" s="869">
        <f t="shared" ca="1" si="247"/>
        <v>0</v>
      </c>
      <c r="AJ350" s="870">
        <f t="shared" ca="1" si="248"/>
        <v>0</v>
      </c>
      <c r="AK350" s="867">
        <f t="shared" ca="1" si="249"/>
        <v>0</v>
      </c>
      <c r="AL350" s="869">
        <f t="shared" ca="1" si="227"/>
        <v>0</v>
      </c>
      <c r="AM350" s="869">
        <f t="shared" ca="1" si="250"/>
        <v>0</v>
      </c>
      <c r="AN350" s="867">
        <f t="shared" ca="1" si="251"/>
        <v>0</v>
      </c>
      <c r="AO350" s="161"/>
      <c r="AP350" s="869">
        <f t="shared" ca="1" si="252"/>
        <v>0</v>
      </c>
      <c r="AQ350" s="867" cm="1">
        <f t="array" ref="AQ350">IF($G350=0,0,-MIN(0,$G350*c_equity.LPshare))</f>
        <v>0</v>
      </c>
      <c r="AR350" s="869" cm="1">
        <f t="array" ref="AR350">IF($D350=0,0,AP350*(c_rate.Hurdle3.MO))</f>
        <v>0</v>
      </c>
      <c r="AS350" s="869">
        <f t="shared" ca="1" si="253"/>
        <v>0</v>
      </c>
      <c r="AT350" s="869">
        <f t="shared" ca="1" si="254"/>
        <v>0</v>
      </c>
      <c r="AU350" s="869">
        <f t="shared" ca="1" si="255"/>
        <v>0</v>
      </c>
      <c r="AV350" s="870">
        <f t="shared" ca="1" si="256"/>
        <v>0</v>
      </c>
      <c r="AW350" s="867">
        <f t="shared" ca="1" si="257"/>
        <v>0</v>
      </c>
      <c r="AX350" s="869">
        <f t="shared" ca="1" si="228"/>
        <v>0</v>
      </c>
      <c r="AY350" s="869">
        <f t="shared" ca="1" si="258"/>
        <v>0</v>
      </c>
      <c r="AZ350" s="867">
        <f t="shared" ca="1" si="259"/>
        <v>0</v>
      </c>
      <c r="BA350" s="161"/>
      <c r="BB350" s="867">
        <f t="shared" ca="1" si="260"/>
        <v>0</v>
      </c>
      <c r="BC350" s="867">
        <f t="shared" ca="1" si="225"/>
        <v>0</v>
      </c>
      <c r="BD350" s="658"/>
      <c r="BE350" s="867">
        <f t="shared" ca="1" si="261"/>
        <v>0</v>
      </c>
      <c r="BF350" s="867">
        <f t="shared" ca="1" si="262"/>
        <v>0</v>
      </c>
      <c r="BG350" s="867">
        <f t="shared" ca="1" si="263"/>
        <v>0</v>
      </c>
      <c r="BI350" s="867">
        <f ca="1"/>
        <v>0</v>
      </c>
      <c r="BJ350" s="867">
        <f ca="1"/>
        <v>0</v>
      </c>
      <c r="BK350" s="867">
        <f ca="1"/>
        <v>0</v>
      </c>
      <c r="BL350" s="867">
        <f t="shared" ca="1" si="264"/>
        <v>0</v>
      </c>
      <c r="BM350" s="867">
        <f t="shared" ca="1" si="265"/>
        <v>0</v>
      </c>
      <c r="BN350" s="867">
        <f t="shared" ca="1" si="266"/>
        <v>0</v>
      </c>
      <c r="BO350" s="867">
        <f t="shared" ca="1" si="267"/>
        <v>0</v>
      </c>
      <c r="BP350" s="867">
        <f t="shared" ca="1" si="268"/>
        <v>0</v>
      </c>
      <c r="BQ350" s="867">
        <f t="shared" ca="1" si="269"/>
        <v>0</v>
      </c>
      <c r="BR350" s="867">
        <f ca="1"/>
        <v>0</v>
      </c>
      <c r="BS350" s="867">
        <f ca="1"/>
        <v>0</v>
      </c>
      <c r="BT350" s="867">
        <f t="shared" ca="1" si="229"/>
        <v>0</v>
      </c>
      <c r="BU350" s="867">
        <f t="shared" ca="1" si="270"/>
        <v>0</v>
      </c>
      <c r="BX350" s="867">
        <f ca="1"/>
        <v>0</v>
      </c>
      <c r="BY350" s="867">
        <f t="shared" ca="1" si="271"/>
        <v>0</v>
      </c>
      <c r="BZ350" s="867">
        <f t="shared" ca="1" si="272"/>
        <v>0</v>
      </c>
      <c r="CA350" s="867">
        <f t="shared" ca="1" si="273"/>
        <v>0</v>
      </c>
      <c r="CB350" s="867">
        <f t="shared" ca="1" si="274"/>
        <v>0</v>
      </c>
      <c r="CC350" s="867">
        <f t="shared" ca="1" si="275"/>
        <v>0</v>
      </c>
      <c r="CD350" s="867">
        <f t="shared" ca="1" si="276"/>
        <v>0</v>
      </c>
    </row>
    <row r="351" spans="1:82" ht="17" hidden="1" thickTop="1" thickBot="1">
      <c r="A351" s="773">
        <f t="shared" si="226"/>
        <v>0</v>
      </c>
      <c r="B351" s="779"/>
      <c r="D351" s="660"/>
      <c r="E351" s="661"/>
      <c r="F351" s="862"/>
      <c r="G351" s="863"/>
      <c r="H351" s="961"/>
      <c r="I351" s="865">
        <f t="shared" si="230"/>
        <v>0</v>
      </c>
      <c r="J351" s="864" cm="1">
        <f t="array" ref="J351">IF($G351=0,0,-MIN(0,G351*c_equity.LPshare))</f>
        <v>0</v>
      </c>
      <c r="K351" s="865" cm="1">
        <f t="array" ref="K351">I351*c_rate.Pref.MO</f>
        <v>0</v>
      </c>
      <c r="L351" s="865">
        <f t="shared" si="231"/>
        <v>0</v>
      </c>
      <c r="M351" s="865">
        <f t="shared" si="232"/>
        <v>0</v>
      </c>
      <c r="N351" s="865">
        <f t="shared" si="233"/>
        <v>0</v>
      </c>
      <c r="O351" s="864" cm="1">
        <f t="array" ref="O351">IF(N351=0,0,IF(G351&lt;0,N351/c_equity.LPshare*i_equity.GPshare,L351/c_equity.LPshare*i_equity.GPshare))</f>
        <v>0</v>
      </c>
      <c r="P351" s="865">
        <f t="shared" si="234"/>
        <v>0</v>
      </c>
      <c r="Q351" s="865">
        <f t="shared" si="235"/>
        <v>0</v>
      </c>
      <c r="R351" s="161"/>
      <c r="S351" s="867">
        <f t="shared" ca="1" si="236"/>
        <v>0</v>
      </c>
      <c r="T351" s="867" cm="1">
        <f t="array" ref="T351">IF($G351=0,0,-MIN(0,$G351*c_equity.LPshare))</f>
        <v>0</v>
      </c>
      <c r="U351" s="869" cm="1">
        <f t="array" ref="U351">IF($D351=0,0,S351*c_rate.Hurdle1.MO)</f>
        <v>0</v>
      </c>
      <c r="V351" s="867">
        <f t="shared" si="237"/>
        <v>0</v>
      </c>
      <c r="W351" s="867">
        <f t="shared" ca="1" si="238"/>
        <v>0</v>
      </c>
      <c r="X351" s="869">
        <f t="shared" ca="1" si="239"/>
        <v>0</v>
      </c>
      <c r="Y351" s="869">
        <f t="shared" ca="1" si="240"/>
        <v>0</v>
      </c>
      <c r="Z351" s="869">
        <f t="shared" ca="1" si="241"/>
        <v>0</v>
      </c>
      <c r="AA351" s="869">
        <f t="shared" ca="1" si="242"/>
        <v>0</v>
      </c>
      <c r="AB351" s="867">
        <f t="shared" ca="1" si="243"/>
        <v>0</v>
      </c>
      <c r="AC351" s="161"/>
      <c r="AD351" s="869">
        <f t="shared" ca="1" si="244"/>
        <v>0</v>
      </c>
      <c r="AE351" s="867" cm="1">
        <f t="array" ref="AE351">IF($G351=0,0,-MIN(0,$G351*c_equity.LPshare))</f>
        <v>0</v>
      </c>
      <c r="AF351" s="869" cm="1">
        <f t="array" ref="AF351">IF($D351=0,0,AD351*(c_rate.Hurdle2.MO))</f>
        <v>0</v>
      </c>
      <c r="AG351" s="869">
        <f t="shared" ca="1" si="245"/>
        <v>0</v>
      </c>
      <c r="AH351" s="869">
        <f t="shared" ca="1" si="246"/>
        <v>0</v>
      </c>
      <c r="AI351" s="869">
        <f t="shared" ca="1" si="247"/>
        <v>0</v>
      </c>
      <c r="AJ351" s="870">
        <f t="shared" ca="1" si="248"/>
        <v>0</v>
      </c>
      <c r="AK351" s="867">
        <f t="shared" ca="1" si="249"/>
        <v>0</v>
      </c>
      <c r="AL351" s="869">
        <f t="shared" ca="1" si="227"/>
        <v>0</v>
      </c>
      <c r="AM351" s="869">
        <f t="shared" ca="1" si="250"/>
        <v>0</v>
      </c>
      <c r="AN351" s="867">
        <f t="shared" ca="1" si="251"/>
        <v>0</v>
      </c>
      <c r="AO351" s="161"/>
      <c r="AP351" s="869">
        <f t="shared" ca="1" si="252"/>
        <v>0</v>
      </c>
      <c r="AQ351" s="867" cm="1">
        <f t="array" ref="AQ351">IF($G351=0,0,-MIN(0,$G351*c_equity.LPshare))</f>
        <v>0</v>
      </c>
      <c r="AR351" s="869" cm="1">
        <f t="array" ref="AR351">IF($D351=0,0,AP351*(c_rate.Hurdle3.MO))</f>
        <v>0</v>
      </c>
      <c r="AS351" s="869">
        <f t="shared" ca="1" si="253"/>
        <v>0</v>
      </c>
      <c r="AT351" s="869">
        <f t="shared" ca="1" si="254"/>
        <v>0</v>
      </c>
      <c r="AU351" s="869">
        <f t="shared" ca="1" si="255"/>
        <v>0</v>
      </c>
      <c r="AV351" s="870">
        <f t="shared" ca="1" si="256"/>
        <v>0</v>
      </c>
      <c r="AW351" s="867">
        <f t="shared" ca="1" si="257"/>
        <v>0</v>
      </c>
      <c r="AX351" s="869">
        <f t="shared" ca="1" si="228"/>
        <v>0</v>
      </c>
      <c r="AY351" s="869">
        <f t="shared" ca="1" si="258"/>
        <v>0</v>
      </c>
      <c r="AZ351" s="867">
        <f t="shared" ca="1" si="259"/>
        <v>0</v>
      </c>
      <c r="BA351" s="161"/>
      <c r="BB351" s="867">
        <f t="shared" ca="1" si="260"/>
        <v>0</v>
      </c>
      <c r="BC351" s="867">
        <f t="shared" ca="1" si="225"/>
        <v>0</v>
      </c>
      <c r="BD351" s="658"/>
      <c r="BE351" s="867">
        <f t="shared" ca="1" si="261"/>
        <v>0</v>
      </c>
      <c r="BF351" s="867">
        <f t="shared" ca="1" si="262"/>
        <v>0</v>
      </c>
      <c r="BG351" s="867">
        <f t="shared" ca="1" si="263"/>
        <v>0</v>
      </c>
      <c r="BI351" s="867">
        <f ca="1"/>
        <v>0</v>
      </c>
      <c r="BJ351" s="867">
        <f ca="1"/>
        <v>0</v>
      </c>
      <c r="BK351" s="867">
        <f ca="1"/>
        <v>0</v>
      </c>
      <c r="BL351" s="867">
        <f t="shared" ca="1" si="264"/>
        <v>0</v>
      </c>
      <c r="BM351" s="867">
        <f t="shared" ca="1" si="265"/>
        <v>0</v>
      </c>
      <c r="BN351" s="867">
        <f t="shared" ca="1" si="266"/>
        <v>0</v>
      </c>
      <c r="BO351" s="867">
        <f t="shared" ca="1" si="267"/>
        <v>0</v>
      </c>
      <c r="BP351" s="867">
        <f t="shared" ca="1" si="268"/>
        <v>0</v>
      </c>
      <c r="BQ351" s="867">
        <f t="shared" ca="1" si="269"/>
        <v>0</v>
      </c>
      <c r="BR351" s="867">
        <f ca="1"/>
        <v>0</v>
      </c>
      <c r="BS351" s="867">
        <f ca="1"/>
        <v>0</v>
      </c>
      <c r="BT351" s="867">
        <f t="shared" ca="1" si="229"/>
        <v>0</v>
      </c>
      <c r="BU351" s="867">
        <f t="shared" ca="1" si="270"/>
        <v>0</v>
      </c>
      <c r="BX351" s="867">
        <f ca="1"/>
        <v>0</v>
      </c>
      <c r="BY351" s="867">
        <f t="shared" ca="1" si="271"/>
        <v>0</v>
      </c>
      <c r="BZ351" s="867">
        <f t="shared" ca="1" si="272"/>
        <v>0</v>
      </c>
      <c r="CA351" s="867">
        <f t="shared" ca="1" si="273"/>
        <v>0</v>
      </c>
      <c r="CB351" s="867">
        <f t="shared" ca="1" si="274"/>
        <v>0</v>
      </c>
      <c r="CC351" s="867">
        <f t="shared" ca="1" si="275"/>
        <v>0</v>
      </c>
      <c r="CD351" s="867">
        <f t="shared" ca="1" si="276"/>
        <v>0</v>
      </c>
    </row>
    <row r="352" spans="1:82" ht="17" hidden="1" thickTop="1" thickBot="1">
      <c r="A352" s="773">
        <f t="shared" si="226"/>
        <v>0</v>
      </c>
      <c r="B352" s="779"/>
      <c r="D352" s="660"/>
      <c r="E352" s="661"/>
      <c r="F352" s="862"/>
      <c r="G352" s="863"/>
      <c r="H352" s="961"/>
      <c r="I352" s="865">
        <f t="shared" si="230"/>
        <v>0</v>
      </c>
      <c r="J352" s="864" cm="1">
        <f t="array" ref="J352">IF($G352=0,0,-MIN(0,G352*c_equity.LPshare))</f>
        <v>0</v>
      </c>
      <c r="K352" s="865" cm="1">
        <f t="array" ref="K352">I352*c_rate.Pref.MO</f>
        <v>0</v>
      </c>
      <c r="L352" s="865">
        <f t="shared" si="231"/>
        <v>0</v>
      </c>
      <c r="M352" s="865">
        <f t="shared" si="232"/>
        <v>0</v>
      </c>
      <c r="N352" s="865">
        <f t="shared" si="233"/>
        <v>0</v>
      </c>
      <c r="O352" s="864" cm="1">
        <f t="array" ref="O352">IF(N352=0,0,IF(G352&lt;0,N352/c_equity.LPshare*i_equity.GPshare,L352/c_equity.LPshare*i_equity.GPshare))</f>
        <v>0</v>
      </c>
      <c r="P352" s="865">
        <f t="shared" si="234"/>
        <v>0</v>
      </c>
      <c r="Q352" s="865">
        <f t="shared" si="235"/>
        <v>0</v>
      </c>
      <c r="R352" s="161"/>
      <c r="S352" s="867">
        <f t="shared" ca="1" si="236"/>
        <v>0</v>
      </c>
      <c r="T352" s="867" cm="1">
        <f t="array" ref="T352">IF($G352=0,0,-MIN(0,$G352*c_equity.LPshare))</f>
        <v>0</v>
      </c>
      <c r="U352" s="869" cm="1">
        <f t="array" ref="U352">IF($D352=0,0,S352*c_rate.Hurdle1.MO)</f>
        <v>0</v>
      </c>
      <c r="V352" s="867">
        <f t="shared" si="237"/>
        <v>0</v>
      </c>
      <c r="W352" s="867">
        <f t="shared" ca="1" si="238"/>
        <v>0</v>
      </c>
      <c r="X352" s="869">
        <f t="shared" ca="1" si="239"/>
        <v>0</v>
      </c>
      <c r="Y352" s="869">
        <f t="shared" ca="1" si="240"/>
        <v>0</v>
      </c>
      <c r="Z352" s="869">
        <f t="shared" ca="1" si="241"/>
        <v>0</v>
      </c>
      <c r="AA352" s="869">
        <f t="shared" ca="1" si="242"/>
        <v>0</v>
      </c>
      <c r="AB352" s="867">
        <f t="shared" ca="1" si="243"/>
        <v>0</v>
      </c>
      <c r="AC352" s="161"/>
      <c r="AD352" s="869">
        <f t="shared" ca="1" si="244"/>
        <v>0</v>
      </c>
      <c r="AE352" s="867" cm="1">
        <f t="array" ref="AE352">IF($G352=0,0,-MIN(0,$G352*c_equity.LPshare))</f>
        <v>0</v>
      </c>
      <c r="AF352" s="869" cm="1">
        <f t="array" ref="AF352">IF($D352=0,0,AD352*(c_rate.Hurdle2.MO))</f>
        <v>0</v>
      </c>
      <c r="AG352" s="869">
        <f t="shared" ca="1" si="245"/>
        <v>0</v>
      </c>
      <c r="AH352" s="869">
        <f t="shared" ca="1" si="246"/>
        <v>0</v>
      </c>
      <c r="AI352" s="869">
        <f t="shared" ca="1" si="247"/>
        <v>0</v>
      </c>
      <c r="AJ352" s="870">
        <f t="shared" ca="1" si="248"/>
        <v>0</v>
      </c>
      <c r="AK352" s="867">
        <f t="shared" ca="1" si="249"/>
        <v>0</v>
      </c>
      <c r="AL352" s="869">
        <f t="shared" ca="1" si="227"/>
        <v>0</v>
      </c>
      <c r="AM352" s="869">
        <f t="shared" ca="1" si="250"/>
        <v>0</v>
      </c>
      <c r="AN352" s="867">
        <f t="shared" ca="1" si="251"/>
        <v>0</v>
      </c>
      <c r="AO352" s="161"/>
      <c r="AP352" s="869">
        <f t="shared" ca="1" si="252"/>
        <v>0</v>
      </c>
      <c r="AQ352" s="867" cm="1">
        <f t="array" ref="AQ352">IF($G352=0,0,-MIN(0,$G352*c_equity.LPshare))</f>
        <v>0</v>
      </c>
      <c r="AR352" s="869" cm="1">
        <f t="array" ref="AR352">IF($D352=0,0,AP352*(c_rate.Hurdle3.MO))</f>
        <v>0</v>
      </c>
      <c r="AS352" s="869">
        <f t="shared" ca="1" si="253"/>
        <v>0</v>
      </c>
      <c r="AT352" s="869">
        <f t="shared" ca="1" si="254"/>
        <v>0</v>
      </c>
      <c r="AU352" s="869">
        <f t="shared" ca="1" si="255"/>
        <v>0</v>
      </c>
      <c r="AV352" s="870">
        <f t="shared" ca="1" si="256"/>
        <v>0</v>
      </c>
      <c r="AW352" s="867">
        <f t="shared" ca="1" si="257"/>
        <v>0</v>
      </c>
      <c r="AX352" s="869">
        <f t="shared" ca="1" si="228"/>
        <v>0</v>
      </c>
      <c r="AY352" s="869">
        <f t="shared" ca="1" si="258"/>
        <v>0</v>
      </c>
      <c r="AZ352" s="867">
        <f t="shared" ca="1" si="259"/>
        <v>0</v>
      </c>
      <c r="BA352" s="161"/>
      <c r="BB352" s="867">
        <f t="shared" ca="1" si="260"/>
        <v>0</v>
      </c>
      <c r="BC352" s="867">
        <f t="shared" ca="1" si="225"/>
        <v>0</v>
      </c>
      <c r="BD352" s="658"/>
      <c r="BE352" s="867">
        <f t="shared" ca="1" si="261"/>
        <v>0</v>
      </c>
      <c r="BF352" s="867">
        <f t="shared" ca="1" si="262"/>
        <v>0</v>
      </c>
      <c r="BG352" s="867">
        <f t="shared" ca="1" si="263"/>
        <v>0</v>
      </c>
      <c r="BI352" s="867">
        <f ca="1"/>
        <v>0</v>
      </c>
      <c r="BJ352" s="867">
        <f ca="1"/>
        <v>0</v>
      </c>
      <c r="BK352" s="867">
        <f ca="1"/>
        <v>0</v>
      </c>
      <c r="BL352" s="867">
        <f t="shared" ca="1" si="264"/>
        <v>0</v>
      </c>
      <c r="BM352" s="867">
        <f t="shared" ca="1" si="265"/>
        <v>0</v>
      </c>
      <c r="BN352" s="867">
        <f t="shared" ca="1" si="266"/>
        <v>0</v>
      </c>
      <c r="BO352" s="867">
        <f t="shared" ca="1" si="267"/>
        <v>0</v>
      </c>
      <c r="BP352" s="867">
        <f t="shared" ca="1" si="268"/>
        <v>0</v>
      </c>
      <c r="BQ352" s="867">
        <f t="shared" ca="1" si="269"/>
        <v>0</v>
      </c>
      <c r="BR352" s="867">
        <f ca="1"/>
        <v>0</v>
      </c>
      <c r="BS352" s="867">
        <f ca="1"/>
        <v>0</v>
      </c>
      <c r="BT352" s="867">
        <f t="shared" ca="1" si="229"/>
        <v>0</v>
      </c>
      <c r="BU352" s="867">
        <f t="shared" ca="1" si="270"/>
        <v>0</v>
      </c>
      <c r="BX352" s="867">
        <f ca="1"/>
        <v>0</v>
      </c>
      <c r="BY352" s="867">
        <f t="shared" ca="1" si="271"/>
        <v>0</v>
      </c>
      <c r="BZ352" s="867">
        <f t="shared" ca="1" si="272"/>
        <v>0</v>
      </c>
      <c r="CA352" s="867">
        <f t="shared" ca="1" si="273"/>
        <v>0</v>
      </c>
      <c r="CB352" s="867">
        <f t="shared" ca="1" si="274"/>
        <v>0</v>
      </c>
      <c r="CC352" s="867">
        <f t="shared" ca="1" si="275"/>
        <v>0</v>
      </c>
      <c r="CD352" s="867">
        <f t="shared" ca="1" si="276"/>
        <v>0</v>
      </c>
    </row>
    <row r="353" spans="1:82" ht="17" hidden="1" thickTop="1" thickBot="1">
      <c r="A353" s="773">
        <f t="shared" si="226"/>
        <v>0</v>
      </c>
      <c r="B353" s="779"/>
      <c r="D353" s="660"/>
      <c r="E353" s="661"/>
      <c r="F353" s="862"/>
      <c r="G353" s="863"/>
      <c r="H353" s="961"/>
      <c r="I353" s="865">
        <f t="shared" si="230"/>
        <v>0</v>
      </c>
      <c r="J353" s="864" cm="1">
        <f t="array" ref="J353">IF($G353=0,0,-MIN(0,G353*c_equity.LPshare))</f>
        <v>0</v>
      </c>
      <c r="K353" s="865" cm="1">
        <f t="array" ref="K353">I353*c_rate.Pref.MO</f>
        <v>0</v>
      </c>
      <c r="L353" s="865">
        <f t="shared" si="231"/>
        <v>0</v>
      </c>
      <c r="M353" s="865">
        <f t="shared" si="232"/>
        <v>0</v>
      </c>
      <c r="N353" s="865">
        <f t="shared" si="233"/>
        <v>0</v>
      </c>
      <c r="O353" s="864" cm="1">
        <f t="array" ref="O353">IF(N353=0,0,IF(G353&lt;0,N353/c_equity.LPshare*i_equity.GPshare,L353/c_equity.LPshare*i_equity.GPshare))</f>
        <v>0</v>
      </c>
      <c r="P353" s="865">
        <f t="shared" si="234"/>
        <v>0</v>
      </c>
      <c r="Q353" s="865">
        <f t="shared" si="235"/>
        <v>0</v>
      </c>
      <c r="R353" s="161"/>
      <c r="S353" s="867">
        <f t="shared" ca="1" si="236"/>
        <v>0</v>
      </c>
      <c r="T353" s="867" cm="1">
        <f t="array" ref="T353">IF($G353=0,0,-MIN(0,$G353*c_equity.LPshare))</f>
        <v>0</v>
      </c>
      <c r="U353" s="869" cm="1">
        <f t="array" ref="U353">IF($D353=0,0,S353*c_rate.Hurdle1.MO)</f>
        <v>0</v>
      </c>
      <c r="V353" s="867">
        <f t="shared" si="237"/>
        <v>0</v>
      </c>
      <c r="W353" s="867">
        <f t="shared" ca="1" si="238"/>
        <v>0</v>
      </c>
      <c r="X353" s="869">
        <f t="shared" ca="1" si="239"/>
        <v>0</v>
      </c>
      <c r="Y353" s="869">
        <f t="shared" ca="1" si="240"/>
        <v>0</v>
      </c>
      <c r="Z353" s="869">
        <f t="shared" ca="1" si="241"/>
        <v>0</v>
      </c>
      <c r="AA353" s="869">
        <f t="shared" ca="1" si="242"/>
        <v>0</v>
      </c>
      <c r="AB353" s="867">
        <f t="shared" ca="1" si="243"/>
        <v>0</v>
      </c>
      <c r="AC353" s="161"/>
      <c r="AD353" s="869">
        <f t="shared" ca="1" si="244"/>
        <v>0</v>
      </c>
      <c r="AE353" s="867" cm="1">
        <f t="array" ref="AE353">IF($G353=0,0,-MIN(0,$G353*c_equity.LPshare))</f>
        <v>0</v>
      </c>
      <c r="AF353" s="869" cm="1">
        <f t="array" ref="AF353">IF($D353=0,0,AD353*(c_rate.Hurdle2.MO))</f>
        <v>0</v>
      </c>
      <c r="AG353" s="869">
        <f t="shared" ca="1" si="245"/>
        <v>0</v>
      </c>
      <c r="AH353" s="869">
        <f t="shared" ca="1" si="246"/>
        <v>0</v>
      </c>
      <c r="AI353" s="869">
        <f t="shared" ca="1" si="247"/>
        <v>0</v>
      </c>
      <c r="AJ353" s="870">
        <f t="shared" ca="1" si="248"/>
        <v>0</v>
      </c>
      <c r="AK353" s="867">
        <f t="shared" ca="1" si="249"/>
        <v>0</v>
      </c>
      <c r="AL353" s="869">
        <f t="shared" ca="1" si="227"/>
        <v>0</v>
      </c>
      <c r="AM353" s="869">
        <f t="shared" ca="1" si="250"/>
        <v>0</v>
      </c>
      <c r="AN353" s="867">
        <f t="shared" ca="1" si="251"/>
        <v>0</v>
      </c>
      <c r="AO353" s="161"/>
      <c r="AP353" s="869">
        <f t="shared" ca="1" si="252"/>
        <v>0</v>
      </c>
      <c r="AQ353" s="867" cm="1">
        <f t="array" ref="AQ353">IF($G353=0,0,-MIN(0,$G353*c_equity.LPshare))</f>
        <v>0</v>
      </c>
      <c r="AR353" s="869" cm="1">
        <f t="array" ref="AR353">IF($D353=0,0,AP353*(c_rate.Hurdle3.MO))</f>
        <v>0</v>
      </c>
      <c r="AS353" s="869">
        <f t="shared" ca="1" si="253"/>
        <v>0</v>
      </c>
      <c r="AT353" s="869">
        <f t="shared" ca="1" si="254"/>
        <v>0</v>
      </c>
      <c r="AU353" s="869">
        <f t="shared" ca="1" si="255"/>
        <v>0</v>
      </c>
      <c r="AV353" s="870">
        <f t="shared" ca="1" si="256"/>
        <v>0</v>
      </c>
      <c r="AW353" s="867">
        <f t="shared" ca="1" si="257"/>
        <v>0</v>
      </c>
      <c r="AX353" s="869">
        <f t="shared" ca="1" si="228"/>
        <v>0</v>
      </c>
      <c r="AY353" s="869">
        <f t="shared" ca="1" si="258"/>
        <v>0</v>
      </c>
      <c r="AZ353" s="867">
        <f t="shared" ca="1" si="259"/>
        <v>0</v>
      </c>
      <c r="BA353" s="161"/>
      <c r="BB353" s="867">
        <f t="shared" ca="1" si="260"/>
        <v>0</v>
      </c>
      <c r="BC353" s="867">
        <f t="shared" ca="1" si="225"/>
        <v>0</v>
      </c>
      <c r="BD353" s="658"/>
      <c r="BE353" s="867">
        <f t="shared" ca="1" si="261"/>
        <v>0</v>
      </c>
      <c r="BF353" s="867">
        <f t="shared" ca="1" si="262"/>
        <v>0</v>
      </c>
      <c r="BG353" s="867">
        <f t="shared" ca="1" si="263"/>
        <v>0</v>
      </c>
      <c r="BI353" s="867">
        <f ca="1"/>
        <v>0</v>
      </c>
      <c r="BJ353" s="867">
        <f ca="1"/>
        <v>0</v>
      </c>
      <c r="BK353" s="867">
        <f ca="1"/>
        <v>0</v>
      </c>
      <c r="BL353" s="867">
        <f t="shared" ca="1" si="264"/>
        <v>0</v>
      </c>
      <c r="BM353" s="867">
        <f t="shared" ca="1" si="265"/>
        <v>0</v>
      </c>
      <c r="BN353" s="867">
        <f t="shared" ca="1" si="266"/>
        <v>0</v>
      </c>
      <c r="BO353" s="867">
        <f t="shared" ca="1" si="267"/>
        <v>0</v>
      </c>
      <c r="BP353" s="867">
        <f t="shared" ca="1" si="268"/>
        <v>0</v>
      </c>
      <c r="BQ353" s="867">
        <f t="shared" ca="1" si="269"/>
        <v>0</v>
      </c>
      <c r="BR353" s="867">
        <f ca="1"/>
        <v>0</v>
      </c>
      <c r="BS353" s="867">
        <f ca="1"/>
        <v>0</v>
      </c>
      <c r="BT353" s="867">
        <f t="shared" ca="1" si="229"/>
        <v>0</v>
      </c>
      <c r="BU353" s="867">
        <f t="shared" ca="1" si="270"/>
        <v>0</v>
      </c>
      <c r="BX353" s="867">
        <f ca="1"/>
        <v>0</v>
      </c>
      <c r="BY353" s="867">
        <f t="shared" ca="1" si="271"/>
        <v>0</v>
      </c>
      <c r="BZ353" s="867">
        <f t="shared" ca="1" si="272"/>
        <v>0</v>
      </c>
      <c r="CA353" s="867">
        <f t="shared" ca="1" si="273"/>
        <v>0</v>
      </c>
      <c r="CB353" s="867">
        <f t="shared" ca="1" si="274"/>
        <v>0</v>
      </c>
      <c r="CC353" s="867">
        <f t="shared" ca="1" si="275"/>
        <v>0</v>
      </c>
      <c r="CD353" s="867">
        <f t="shared" ca="1" si="276"/>
        <v>0</v>
      </c>
    </row>
    <row r="354" spans="1:82" ht="17" hidden="1" thickTop="1" thickBot="1">
      <c r="A354" s="773">
        <f t="shared" si="226"/>
        <v>0</v>
      </c>
      <c r="B354" s="779"/>
      <c r="D354" s="660"/>
      <c r="E354" s="661"/>
      <c r="F354" s="862"/>
      <c r="G354" s="863"/>
      <c r="H354" s="961"/>
      <c r="I354" s="865">
        <f t="shared" si="230"/>
        <v>0</v>
      </c>
      <c r="J354" s="864" cm="1">
        <f t="array" ref="J354">IF($G354=0,0,-MIN(0,G354*c_equity.LPshare))</f>
        <v>0</v>
      </c>
      <c r="K354" s="865" cm="1">
        <f t="array" ref="K354">I354*c_rate.Pref.MO</f>
        <v>0</v>
      </c>
      <c r="L354" s="865">
        <f t="shared" si="231"/>
        <v>0</v>
      </c>
      <c r="M354" s="865">
        <f t="shared" si="232"/>
        <v>0</v>
      </c>
      <c r="N354" s="865">
        <f t="shared" si="233"/>
        <v>0</v>
      </c>
      <c r="O354" s="864" cm="1">
        <f t="array" ref="O354">IF(N354=0,0,IF(G354&lt;0,N354/c_equity.LPshare*i_equity.GPshare,L354/c_equity.LPshare*i_equity.GPshare))</f>
        <v>0</v>
      </c>
      <c r="P354" s="865">
        <f t="shared" si="234"/>
        <v>0</v>
      </c>
      <c r="Q354" s="865">
        <f t="shared" si="235"/>
        <v>0</v>
      </c>
      <c r="R354" s="161"/>
      <c r="S354" s="867">
        <f t="shared" ca="1" si="236"/>
        <v>0</v>
      </c>
      <c r="T354" s="867" cm="1">
        <f t="array" ref="T354">IF($G354=0,0,-MIN(0,$G354*c_equity.LPshare))</f>
        <v>0</v>
      </c>
      <c r="U354" s="869" cm="1">
        <f t="array" ref="U354">IF($D354=0,0,S354*c_rate.Hurdle1.MO)</f>
        <v>0</v>
      </c>
      <c r="V354" s="867">
        <f t="shared" si="237"/>
        <v>0</v>
      </c>
      <c r="W354" s="867">
        <f t="shared" ca="1" si="238"/>
        <v>0</v>
      </c>
      <c r="X354" s="869">
        <f t="shared" ca="1" si="239"/>
        <v>0</v>
      </c>
      <c r="Y354" s="869">
        <f t="shared" ca="1" si="240"/>
        <v>0</v>
      </c>
      <c r="Z354" s="869">
        <f t="shared" ca="1" si="241"/>
        <v>0</v>
      </c>
      <c r="AA354" s="869">
        <f t="shared" ca="1" si="242"/>
        <v>0</v>
      </c>
      <c r="AB354" s="867">
        <f t="shared" ca="1" si="243"/>
        <v>0</v>
      </c>
      <c r="AC354" s="161"/>
      <c r="AD354" s="869">
        <f t="shared" ca="1" si="244"/>
        <v>0</v>
      </c>
      <c r="AE354" s="867" cm="1">
        <f t="array" ref="AE354">IF($G354=0,0,-MIN(0,$G354*c_equity.LPshare))</f>
        <v>0</v>
      </c>
      <c r="AF354" s="869" cm="1">
        <f t="array" ref="AF354">IF($D354=0,0,AD354*(c_rate.Hurdle2.MO))</f>
        <v>0</v>
      </c>
      <c r="AG354" s="869">
        <f t="shared" ca="1" si="245"/>
        <v>0</v>
      </c>
      <c r="AH354" s="869">
        <f t="shared" ca="1" si="246"/>
        <v>0</v>
      </c>
      <c r="AI354" s="869">
        <f t="shared" ca="1" si="247"/>
        <v>0</v>
      </c>
      <c r="AJ354" s="870">
        <f t="shared" ca="1" si="248"/>
        <v>0</v>
      </c>
      <c r="AK354" s="867">
        <f t="shared" ca="1" si="249"/>
        <v>0</v>
      </c>
      <c r="AL354" s="869">
        <f t="shared" ca="1" si="227"/>
        <v>0</v>
      </c>
      <c r="AM354" s="869">
        <f t="shared" ca="1" si="250"/>
        <v>0</v>
      </c>
      <c r="AN354" s="867">
        <f t="shared" ca="1" si="251"/>
        <v>0</v>
      </c>
      <c r="AO354" s="161"/>
      <c r="AP354" s="869">
        <f t="shared" ca="1" si="252"/>
        <v>0</v>
      </c>
      <c r="AQ354" s="867" cm="1">
        <f t="array" ref="AQ354">IF($G354=0,0,-MIN(0,$G354*c_equity.LPshare))</f>
        <v>0</v>
      </c>
      <c r="AR354" s="869" cm="1">
        <f t="array" ref="AR354">IF($D354=0,0,AP354*(c_rate.Hurdle3.MO))</f>
        <v>0</v>
      </c>
      <c r="AS354" s="869">
        <f t="shared" ca="1" si="253"/>
        <v>0</v>
      </c>
      <c r="AT354" s="869">
        <f t="shared" ca="1" si="254"/>
        <v>0</v>
      </c>
      <c r="AU354" s="869">
        <f t="shared" ca="1" si="255"/>
        <v>0</v>
      </c>
      <c r="AV354" s="870">
        <f t="shared" ca="1" si="256"/>
        <v>0</v>
      </c>
      <c r="AW354" s="867">
        <f t="shared" ca="1" si="257"/>
        <v>0</v>
      </c>
      <c r="AX354" s="869">
        <f t="shared" ca="1" si="228"/>
        <v>0</v>
      </c>
      <c r="AY354" s="869">
        <f t="shared" ca="1" si="258"/>
        <v>0</v>
      </c>
      <c r="AZ354" s="867">
        <f t="shared" ca="1" si="259"/>
        <v>0</v>
      </c>
      <c r="BA354" s="161"/>
      <c r="BB354" s="867">
        <f t="shared" ca="1" si="260"/>
        <v>0</v>
      </c>
      <c r="BC354" s="867">
        <f t="shared" ca="1" si="225"/>
        <v>0</v>
      </c>
      <c r="BD354" s="658"/>
      <c r="BE354" s="867">
        <f t="shared" ca="1" si="261"/>
        <v>0</v>
      </c>
      <c r="BF354" s="867">
        <f t="shared" ca="1" si="262"/>
        <v>0</v>
      </c>
      <c r="BG354" s="867">
        <f t="shared" ca="1" si="263"/>
        <v>0</v>
      </c>
      <c r="BI354" s="867">
        <f ca="1"/>
        <v>0</v>
      </c>
      <c r="BJ354" s="867">
        <f ca="1"/>
        <v>0</v>
      </c>
      <c r="BK354" s="867">
        <f ca="1"/>
        <v>0</v>
      </c>
      <c r="BL354" s="867">
        <f t="shared" ca="1" si="264"/>
        <v>0</v>
      </c>
      <c r="BM354" s="867">
        <f t="shared" ca="1" si="265"/>
        <v>0</v>
      </c>
      <c r="BN354" s="867">
        <f t="shared" ca="1" si="266"/>
        <v>0</v>
      </c>
      <c r="BO354" s="867">
        <f t="shared" ca="1" si="267"/>
        <v>0</v>
      </c>
      <c r="BP354" s="867">
        <f t="shared" ca="1" si="268"/>
        <v>0</v>
      </c>
      <c r="BQ354" s="867">
        <f t="shared" ca="1" si="269"/>
        <v>0</v>
      </c>
      <c r="BR354" s="867">
        <f ca="1"/>
        <v>0</v>
      </c>
      <c r="BS354" s="867">
        <f ca="1"/>
        <v>0</v>
      </c>
      <c r="BT354" s="867">
        <f t="shared" ca="1" si="229"/>
        <v>0</v>
      </c>
      <c r="BU354" s="867">
        <f t="shared" ca="1" si="270"/>
        <v>0</v>
      </c>
      <c r="BX354" s="867">
        <f ca="1"/>
        <v>0</v>
      </c>
      <c r="BY354" s="867">
        <f t="shared" ca="1" si="271"/>
        <v>0</v>
      </c>
      <c r="BZ354" s="867">
        <f t="shared" ca="1" si="272"/>
        <v>0</v>
      </c>
      <c r="CA354" s="867">
        <f t="shared" ca="1" si="273"/>
        <v>0</v>
      </c>
      <c r="CB354" s="867">
        <f t="shared" ca="1" si="274"/>
        <v>0</v>
      </c>
      <c r="CC354" s="867">
        <f t="shared" ca="1" si="275"/>
        <v>0</v>
      </c>
      <c r="CD354" s="867">
        <f t="shared" ca="1" si="276"/>
        <v>0</v>
      </c>
    </row>
    <row r="355" spans="1:82" ht="17" hidden="1" thickTop="1" thickBot="1">
      <c r="A355" s="773">
        <f t="shared" si="226"/>
        <v>0</v>
      </c>
      <c r="B355" s="779"/>
      <c r="D355" s="660"/>
      <c r="E355" s="661"/>
      <c r="F355" s="862"/>
      <c r="G355" s="863"/>
      <c r="H355" s="961"/>
      <c r="I355" s="865">
        <f t="shared" si="230"/>
        <v>0</v>
      </c>
      <c r="J355" s="864" cm="1">
        <f t="array" ref="J355">IF($G355=0,0,-MIN(0,G355*c_equity.LPshare))</f>
        <v>0</v>
      </c>
      <c r="K355" s="865" cm="1">
        <f t="array" ref="K355">I355*c_rate.Pref.MO</f>
        <v>0</v>
      </c>
      <c r="L355" s="865">
        <f t="shared" si="231"/>
        <v>0</v>
      </c>
      <c r="M355" s="865">
        <f t="shared" si="232"/>
        <v>0</v>
      </c>
      <c r="N355" s="865">
        <f t="shared" si="233"/>
        <v>0</v>
      </c>
      <c r="O355" s="864" cm="1">
        <f t="array" ref="O355">IF(N355=0,0,IF(G355&lt;0,N355/c_equity.LPshare*i_equity.GPshare,L355/c_equity.LPshare*i_equity.GPshare))</f>
        <v>0</v>
      </c>
      <c r="P355" s="865">
        <f t="shared" si="234"/>
        <v>0</v>
      </c>
      <c r="Q355" s="865">
        <f t="shared" si="235"/>
        <v>0</v>
      </c>
      <c r="R355" s="161"/>
      <c r="S355" s="867">
        <f t="shared" ca="1" si="236"/>
        <v>0</v>
      </c>
      <c r="T355" s="867" cm="1">
        <f t="array" ref="T355">IF($G355=0,0,-MIN(0,$G355*c_equity.LPshare))</f>
        <v>0</v>
      </c>
      <c r="U355" s="869" cm="1">
        <f t="array" ref="U355">IF($D355=0,0,S355*c_rate.Hurdle1.MO)</f>
        <v>0</v>
      </c>
      <c r="V355" s="867">
        <f t="shared" si="237"/>
        <v>0</v>
      </c>
      <c r="W355" s="867">
        <f t="shared" ca="1" si="238"/>
        <v>0</v>
      </c>
      <c r="X355" s="869">
        <f t="shared" ca="1" si="239"/>
        <v>0</v>
      </c>
      <c r="Y355" s="869">
        <f t="shared" ca="1" si="240"/>
        <v>0</v>
      </c>
      <c r="Z355" s="869">
        <f t="shared" ca="1" si="241"/>
        <v>0</v>
      </c>
      <c r="AA355" s="869">
        <f t="shared" ca="1" si="242"/>
        <v>0</v>
      </c>
      <c r="AB355" s="867">
        <f t="shared" ca="1" si="243"/>
        <v>0</v>
      </c>
      <c r="AC355" s="161"/>
      <c r="AD355" s="869">
        <f t="shared" ca="1" si="244"/>
        <v>0</v>
      </c>
      <c r="AE355" s="867" cm="1">
        <f t="array" ref="AE355">IF($G355=0,0,-MIN(0,$G355*c_equity.LPshare))</f>
        <v>0</v>
      </c>
      <c r="AF355" s="869" cm="1">
        <f t="array" ref="AF355">IF($D355=0,0,AD355*(c_rate.Hurdle2.MO))</f>
        <v>0</v>
      </c>
      <c r="AG355" s="869">
        <f t="shared" ca="1" si="245"/>
        <v>0</v>
      </c>
      <c r="AH355" s="869">
        <f t="shared" ca="1" si="246"/>
        <v>0</v>
      </c>
      <c r="AI355" s="869">
        <f t="shared" ca="1" si="247"/>
        <v>0</v>
      </c>
      <c r="AJ355" s="870">
        <f t="shared" ca="1" si="248"/>
        <v>0</v>
      </c>
      <c r="AK355" s="867">
        <f t="shared" ca="1" si="249"/>
        <v>0</v>
      </c>
      <c r="AL355" s="869">
        <f t="shared" ca="1" si="227"/>
        <v>0</v>
      </c>
      <c r="AM355" s="869">
        <f t="shared" ca="1" si="250"/>
        <v>0</v>
      </c>
      <c r="AN355" s="867">
        <f t="shared" ca="1" si="251"/>
        <v>0</v>
      </c>
      <c r="AO355" s="161"/>
      <c r="AP355" s="869">
        <f t="shared" ca="1" si="252"/>
        <v>0</v>
      </c>
      <c r="AQ355" s="867" cm="1">
        <f t="array" ref="AQ355">IF($G355=0,0,-MIN(0,$G355*c_equity.LPshare))</f>
        <v>0</v>
      </c>
      <c r="AR355" s="869" cm="1">
        <f t="array" ref="AR355">IF($D355=0,0,AP355*(c_rate.Hurdle3.MO))</f>
        <v>0</v>
      </c>
      <c r="AS355" s="869">
        <f t="shared" ca="1" si="253"/>
        <v>0</v>
      </c>
      <c r="AT355" s="869">
        <f t="shared" ca="1" si="254"/>
        <v>0</v>
      </c>
      <c r="AU355" s="869">
        <f t="shared" ca="1" si="255"/>
        <v>0</v>
      </c>
      <c r="AV355" s="870">
        <f t="shared" ca="1" si="256"/>
        <v>0</v>
      </c>
      <c r="AW355" s="867">
        <f t="shared" ca="1" si="257"/>
        <v>0</v>
      </c>
      <c r="AX355" s="869">
        <f t="shared" ca="1" si="228"/>
        <v>0</v>
      </c>
      <c r="AY355" s="869">
        <f t="shared" ca="1" si="258"/>
        <v>0</v>
      </c>
      <c r="AZ355" s="867">
        <f t="shared" ca="1" si="259"/>
        <v>0</v>
      </c>
      <c r="BA355" s="161"/>
      <c r="BB355" s="867">
        <f t="shared" ca="1" si="260"/>
        <v>0</v>
      </c>
      <c r="BC355" s="867">
        <f t="shared" ca="1" si="225"/>
        <v>0</v>
      </c>
      <c r="BD355" s="658"/>
      <c r="BE355" s="867">
        <f t="shared" ca="1" si="261"/>
        <v>0</v>
      </c>
      <c r="BF355" s="867">
        <f t="shared" ca="1" si="262"/>
        <v>0</v>
      </c>
      <c r="BG355" s="867">
        <f t="shared" ca="1" si="263"/>
        <v>0</v>
      </c>
      <c r="BI355" s="867">
        <f ca="1"/>
        <v>0</v>
      </c>
      <c r="BJ355" s="867">
        <f ca="1"/>
        <v>0</v>
      </c>
      <c r="BK355" s="867">
        <f ca="1"/>
        <v>0</v>
      </c>
      <c r="BL355" s="867">
        <f t="shared" ca="1" si="264"/>
        <v>0</v>
      </c>
      <c r="BM355" s="867">
        <f t="shared" ca="1" si="265"/>
        <v>0</v>
      </c>
      <c r="BN355" s="867">
        <f t="shared" ca="1" si="266"/>
        <v>0</v>
      </c>
      <c r="BO355" s="867">
        <f t="shared" ca="1" si="267"/>
        <v>0</v>
      </c>
      <c r="BP355" s="867">
        <f t="shared" ca="1" si="268"/>
        <v>0</v>
      </c>
      <c r="BQ355" s="867">
        <f t="shared" ca="1" si="269"/>
        <v>0</v>
      </c>
      <c r="BR355" s="867">
        <f ca="1"/>
        <v>0</v>
      </c>
      <c r="BS355" s="867">
        <f ca="1"/>
        <v>0</v>
      </c>
      <c r="BT355" s="867">
        <f t="shared" ca="1" si="229"/>
        <v>0</v>
      </c>
      <c r="BU355" s="867">
        <f t="shared" ca="1" si="270"/>
        <v>0</v>
      </c>
      <c r="BX355" s="867">
        <f ca="1"/>
        <v>0</v>
      </c>
      <c r="BY355" s="867">
        <f t="shared" ca="1" si="271"/>
        <v>0</v>
      </c>
      <c r="BZ355" s="867">
        <f t="shared" ca="1" si="272"/>
        <v>0</v>
      </c>
      <c r="CA355" s="867">
        <f t="shared" ca="1" si="273"/>
        <v>0</v>
      </c>
      <c r="CB355" s="867">
        <f t="shared" ca="1" si="274"/>
        <v>0</v>
      </c>
      <c r="CC355" s="867">
        <f t="shared" ca="1" si="275"/>
        <v>0</v>
      </c>
      <c r="CD355" s="867">
        <f t="shared" ca="1" si="276"/>
        <v>0</v>
      </c>
    </row>
    <row r="356" spans="1:82" ht="17" hidden="1" thickTop="1" thickBot="1">
      <c r="A356" s="773">
        <f t="shared" si="226"/>
        <v>0</v>
      </c>
      <c r="B356" s="779"/>
      <c r="D356" s="660"/>
      <c r="E356" s="661"/>
      <c r="F356" s="862"/>
      <c r="G356" s="863"/>
      <c r="H356" s="961"/>
      <c r="I356" s="865">
        <f t="shared" si="230"/>
        <v>0</v>
      </c>
      <c r="J356" s="864" cm="1">
        <f t="array" ref="J356">IF($G356=0,0,-MIN(0,G356*c_equity.LPshare))</f>
        <v>0</v>
      </c>
      <c r="K356" s="865" cm="1">
        <f t="array" ref="K356">I356*c_rate.Pref.MO</f>
        <v>0</v>
      </c>
      <c r="L356" s="865">
        <f t="shared" si="231"/>
        <v>0</v>
      </c>
      <c r="M356" s="865">
        <f t="shared" si="232"/>
        <v>0</v>
      </c>
      <c r="N356" s="865">
        <f t="shared" si="233"/>
        <v>0</v>
      </c>
      <c r="O356" s="864" cm="1">
        <f t="array" ref="O356">IF(N356=0,0,IF(G356&lt;0,N356/c_equity.LPshare*i_equity.GPshare,L356/c_equity.LPshare*i_equity.GPshare))</f>
        <v>0</v>
      </c>
      <c r="P356" s="865">
        <f t="shared" si="234"/>
        <v>0</v>
      </c>
      <c r="Q356" s="865">
        <f t="shared" si="235"/>
        <v>0</v>
      </c>
      <c r="R356" s="161"/>
      <c r="S356" s="867">
        <f t="shared" ca="1" si="236"/>
        <v>0</v>
      </c>
      <c r="T356" s="867" cm="1">
        <f t="array" ref="T356">IF($G356=0,0,-MIN(0,$G356*c_equity.LPshare))</f>
        <v>0</v>
      </c>
      <c r="U356" s="869" cm="1">
        <f t="array" ref="U356">IF($D356=0,0,S356*c_rate.Hurdle1.MO)</f>
        <v>0</v>
      </c>
      <c r="V356" s="867">
        <f t="shared" si="237"/>
        <v>0</v>
      </c>
      <c r="W356" s="867">
        <f t="shared" ca="1" si="238"/>
        <v>0</v>
      </c>
      <c r="X356" s="869">
        <f t="shared" ca="1" si="239"/>
        <v>0</v>
      </c>
      <c r="Y356" s="869">
        <f t="shared" ca="1" si="240"/>
        <v>0</v>
      </c>
      <c r="Z356" s="869">
        <f t="shared" ca="1" si="241"/>
        <v>0</v>
      </c>
      <c r="AA356" s="869">
        <f t="shared" ca="1" si="242"/>
        <v>0</v>
      </c>
      <c r="AB356" s="867">
        <f t="shared" ca="1" si="243"/>
        <v>0</v>
      </c>
      <c r="AC356" s="161"/>
      <c r="AD356" s="869">
        <f t="shared" ca="1" si="244"/>
        <v>0</v>
      </c>
      <c r="AE356" s="867" cm="1">
        <f t="array" ref="AE356">IF($G356=0,0,-MIN(0,$G356*c_equity.LPshare))</f>
        <v>0</v>
      </c>
      <c r="AF356" s="869" cm="1">
        <f t="array" ref="AF356">IF($D356=0,0,AD356*(c_rate.Hurdle2.MO))</f>
        <v>0</v>
      </c>
      <c r="AG356" s="869">
        <f t="shared" ca="1" si="245"/>
        <v>0</v>
      </c>
      <c r="AH356" s="869">
        <f t="shared" ca="1" si="246"/>
        <v>0</v>
      </c>
      <c r="AI356" s="869">
        <f t="shared" ca="1" si="247"/>
        <v>0</v>
      </c>
      <c r="AJ356" s="870">
        <f t="shared" ca="1" si="248"/>
        <v>0</v>
      </c>
      <c r="AK356" s="867">
        <f t="shared" ca="1" si="249"/>
        <v>0</v>
      </c>
      <c r="AL356" s="869">
        <f t="shared" ca="1" si="227"/>
        <v>0</v>
      </c>
      <c r="AM356" s="869">
        <f t="shared" ca="1" si="250"/>
        <v>0</v>
      </c>
      <c r="AN356" s="867">
        <f t="shared" ca="1" si="251"/>
        <v>0</v>
      </c>
      <c r="AO356" s="161"/>
      <c r="AP356" s="869">
        <f t="shared" ca="1" si="252"/>
        <v>0</v>
      </c>
      <c r="AQ356" s="867" cm="1">
        <f t="array" ref="AQ356">IF($G356=0,0,-MIN(0,$G356*c_equity.LPshare))</f>
        <v>0</v>
      </c>
      <c r="AR356" s="869" cm="1">
        <f t="array" ref="AR356">IF($D356=0,0,AP356*(c_rate.Hurdle3.MO))</f>
        <v>0</v>
      </c>
      <c r="AS356" s="869">
        <f t="shared" ca="1" si="253"/>
        <v>0</v>
      </c>
      <c r="AT356" s="869">
        <f t="shared" ca="1" si="254"/>
        <v>0</v>
      </c>
      <c r="AU356" s="869">
        <f t="shared" ca="1" si="255"/>
        <v>0</v>
      </c>
      <c r="AV356" s="870">
        <f t="shared" ca="1" si="256"/>
        <v>0</v>
      </c>
      <c r="AW356" s="867">
        <f t="shared" ca="1" si="257"/>
        <v>0</v>
      </c>
      <c r="AX356" s="869">
        <f t="shared" ca="1" si="228"/>
        <v>0</v>
      </c>
      <c r="AY356" s="869">
        <f t="shared" ca="1" si="258"/>
        <v>0</v>
      </c>
      <c r="AZ356" s="867">
        <f t="shared" ca="1" si="259"/>
        <v>0</v>
      </c>
      <c r="BA356" s="161"/>
      <c r="BB356" s="867">
        <f t="shared" ca="1" si="260"/>
        <v>0</v>
      </c>
      <c r="BC356" s="867">
        <f t="shared" ca="1" si="225"/>
        <v>0</v>
      </c>
      <c r="BD356" s="658"/>
      <c r="BE356" s="867">
        <f t="shared" ca="1" si="261"/>
        <v>0</v>
      </c>
      <c r="BF356" s="867">
        <f t="shared" ca="1" si="262"/>
        <v>0</v>
      </c>
      <c r="BG356" s="867">
        <f t="shared" ca="1" si="263"/>
        <v>0</v>
      </c>
      <c r="BI356" s="867">
        <f ca="1"/>
        <v>0</v>
      </c>
      <c r="BJ356" s="867">
        <f ca="1"/>
        <v>0</v>
      </c>
      <c r="BK356" s="867">
        <f ca="1"/>
        <v>0</v>
      </c>
      <c r="BL356" s="867">
        <f t="shared" ca="1" si="264"/>
        <v>0</v>
      </c>
      <c r="BM356" s="867">
        <f t="shared" ca="1" si="265"/>
        <v>0</v>
      </c>
      <c r="BN356" s="867">
        <f t="shared" ca="1" si="266"/>
        <v>0</v>
      </c>
      <c r="BO356" s="867">
        <f t="shared" ca="1" si="267"/>
        <v>0</v>
      </c>
      <c r="BP356" s="867">
        <f t="shared" ca="1" si="268"/>
        <v>0</v>
      </c>
      <c r="BQ356" s="867">
        <f t="shared" ca="1" si="269"/>
        <v>0</v>
      </c>
      <c r="BR356" s="867">
        <f ca="1"/>
        <v>0</v>
      </c>
      <c r="BS356" s="867">
        <f ca="1"/>
        <v>0</v>
      </c>
      <c r="BT356" s="867">
        <f t="shared" ca="1" si="229"/>
        <v>0</v>
      </c>
      <c r="BU356" s="867">
        <f t="shared" ca="1" si="270"/>
        <v>0</v>
      </c>
      <c r="BX356" s="867">
        <f ca="1"/>
        <v>0</v>
      </c>
      <c r="BY356" s="867">
        <f t="shared" ca="1" si="271"/>
        <v>0</v>
      </c>
      <c r="BZ356" s="867">
        <f t="shared" ca="1" si="272"/>
        <v>0</v>
      </c>
      <c r="CA356" s="867">
        <f t="shared" ca="1" si="273"/>
        <v>0</v>
      </c>
      <c r="CB356" s="867">
        <f t="shared" ca="1" si="274"/>
        <v>0</v>
      </c>
      <c r="CC356" s="867">
        <f t="shared" ca="1" si="275"/>
        <v>0</v>
      </c>
      <c r="CD356" s="867">
        <f t="shared" ca="1" si="276"/>
        <v>0</v>
      </c>
    </row>
    <row r="357" spans="1:82" ht="17" hidden="1" thickTop="1" thickBot="1">
      <c r="A357" s="773">
        <f t="shared" si="226"/>
        <v>0</v>
      </c>
      <c r="B357" s="779"/>
      <c r="D357" s="660"/>
      <c r="E357" s="661"/>
      <c r="F357" s="862"/>
      <c r="G357" s="863"/>
      <c r="H357" s="961"/>
      <c r="I357" s="865">
        <f t="shared" si="230"/>
        <v>0</v>
      </c>
      <c r="J357" s="864" cm="1">
        <f t="array" ref="J357">IF($G357=0,0,-MIN(0,G357*c_equity.LPshare))</f>
        <v>0</v>
      </c>
      <c r="K357" s="865" cm="1">
        <f t="array" ref="K357">I357*c_rate.Pref.MO</f>
        <v>0</v>
      </c>
      <c r="L357" s="865">
        <f t="shared" si="231"/>
        <v>0</v>
      </c>
      <c r="M357" s="865">
        <f t="shared" si="232"/>
        <v>0</v>
      </c>
      <c r="N357" s="865">
        <f t="shared" si="233"/>
        <v>0</v>
      </c>
      <c r="O357" s="864" cm="1">
        <f t="array" ref="O357">IF(N357=0,0,IF(G357&lt;0,N357/c_equity.LPshare*i_equity.GPshare,L357/c_equity.LPshare*i_equity.GPshare))</f>
        <v>0</v>
      </c>
      <c r="P357" s="865">
        <f t="shared" si="234"/>
        <v>0</v>
      </c>
      <c r="Q357" s="865">
        <f t="shared" si="235"/>
        <v>0</v>
      </c>
      <c r="R357" s="161"/>
      <c r="S357" s="867">
        <f t="shared" ca="1" si="236"/>
        <v>0</v>
      </c>
      <c r="T357" s="867" cm="1">
        <f t="array" ref="T357">IF($G357=0,0,-MIN(0,$G357*c_equity.LPshare))</f>
        <v>0</v>
      </c>
      <c r="U357" s="869" cm="1">
        <f t="array" ref="U357">IF($D357=0,0,S357*c_rate.Hurdle1.MO)</f>
        <v>0</v>
      </c>
      <c r="V357" s="867">
        <f t="shared" si="237"/>
        <v>0</v>
      </c>
      <c r="W357" s="867">
        <f t="shared" ca="1" si="238"/>
        <v>0</v>
      </c>
      <c r="X357" s="869">
        <f t="shared" ca="1" si="239"/>
        <v>0</v>
      </c>
      <c r="Y357" s="869">
        <f t="shared" ca="1" si="240"/>
        <v>0</v>
      </c>
      <c r="Z357" s="869">
        <f t="shared" ca="1" si="241"/>
        <v>0</v>
      </c>
      <c r="AA357" s="869">
        <f t="shared" ca="1" si="242"/>
        <v>0</v>
      </c>
      <c r="AB357" s="867">
        <f t="shared" ca="1" si="243"/>
        <v>0</v>
      </c>
      <c r="AC357" s="161"/>
      <c r="AD357" s="869">
        <f t="shared" ca="1" si="244"/>
        <v>0</v>
      </c>
      <c r="AE357" s="867" cm="1">
        <f t="array" ref="AE357">IF($G357=0,0,-MIN(0,$G357*c_equity.LPshare))</f>
        <v>0</v>
      </c>
      <c r="AF357" s="869" cm="1">
        <f t="array" ref="AF357">IF($D357=0,0,AD357*(c_rate.Hurdle2.MO))</f>
        <v>0</v>
      </c>
      <c r="AG357" s="869">
        <f t="shared" ca="1" si="245"/>
        <v>0</v>
      </c>
      <c r="AH357" s="869">
        <f t="shared" ca="1" si="246"/>
        <v>0</v>
      </c>
      <c r="AI357" s="869">
        <f t="shared" ca="1" si="247"/>
        <v>0</v>
      </c>
      <c r="AJ357" s="870">
        <f t="shared" ca="1" si="248"/>
        <v>0</v>
      </c>
      <c r="AK357" s="867">
        <f t="shared" ca="1" si="249"/>
        <v>0</v>
      </c>
      <c r="AL357" s="869">
        <f t="shared" ca="1" si="227"/>
        <v>0</v>
      </c>
      <c r="AM357" s="869">
        <f t="shared" ca="1" si="250"/>
        <v>0</v>
      </c>
      <c r="AN357" s="867">
        <f t="shared" ca="1" si="251"/>
        <v>0</v>
      </c>
      <c r="AO357" s="161"/>
      <c r="AP357" s="869">
        <f t="shared" ca="1" si="252"/>
        <v>0</v>
      </c>
      <c r="AQ357" s="867" cm="1">
        <f t="array" ref="AQ357">IF($G357=0,0,-MIN(0,$G357*c_equity.LPshare))</f>
        <v>0</v>
      </c>
      <c r="AR357" s="869" cm="1">
        <f t="array" ref="AR357">IF($D357=0,0,AP357*(c_rate.Hurdle3.MO))</f>
        <v>0</v>
      </c>
      <c r="AS357" s="869">
        <f t="shared" ca="1" si="253"/>
        <v>0</v>
      </c>
      <c r="AT357" s="869">
        <f t="shared" ca="1" si="254"/>
        <v>0</v>
      </c>
      <c r="AU357" s="869">
        <f t="shared" ca="1" si="255"/>
        <v>0</v>
      </c>
      <c r="AV357" s="870">
        <f t="shared" ca="1" si="256"/>
        <v>0</v>
      </c>
      <c r="AW357" s="867">
        <f t="shared" ca="1" si="257"/>
        <v>0</v>
      </c>
      <c r="AX357" s="869">
        <f t="shared" ca="1" si="228"/>
        <v>0</v>
      </c>
      <c r="AY357" s="869">
        <f t="shared" ca="1" si="258"/>
        <v>0</v>
      </c>
      <c r="AZ357" s="867">
        <f t="shared" ca="1" si="259"/>
        <v>0</v>
      </c>
      <c r="BA357" s="161"/>
      <c r="BB357" s="867">
        <f t="shared" ca="1" si="260"/>
        <v>0</v>
      </c>
      <c r="BC357" s="867">
        <f t="shared" ca="1" si="225"/>
        <v>0</v>
      </c>
      <c r="BD357" s="658"/>
      <c r="BE357" s="867">
        <f t="shared" ca="1" si="261"/>
        <v>0</v>
      </c>
      <c r="BF357" s="867">
        <f t="shared" ca="1" si="262"/>
        <v>0</v>
      </c>
      <c r="BG357" s="867">
        <f t="shared" ca="1" si="263"/>
        <v>0</v>
      </c>
      <c r="BI357" s="867">
        <f ca="1"/>
        <v>0</v>
      </c>
      <c r="BJ357" s="867">
        <f ca="1"/>
        <v>0</v>
      </c>
      <c r="BK357" s="867">
        <f ca="1"/>
        <v>0</v>
      </c>
      <c r="BL357" s="867">
        <f t="shared" ca="1" si="264"/>
        <v>0</v>
      </c>
      <c r="BM357" s="867">
        <f t="shared" ca="1" si="265"/>
        <v>0</v>
      </c>
      <c r="BN357" s="867">
        <f t="shared" ca="1" si="266"/>
        <v>0</v>
      </c>
      <c r="BO357" s="867">
        <f t="shared" ca="1" si="267"/>
        <v>0</v>
      </c>
      <c r="BP357" s="867">
        <f t="shared" ca="1" si="268"/>
        <v>0</v>
      </c>
      <c r="BQ357" s="867">
        <f t="shared" ca="1" si="269"/>
        <v>0</v>
      </c>
      <c r="BR357" s="867">
        <f ca="1"/>
        <v>0</v>
      </c>
      <c r="BS357" s="867">
        <f ca="1"/>
        <v>0</v>
      </c>
      <c r="BT357" s="867">
        <f t="shared" ca="1" si="229"/>
        <v>0</v>
      </c>
      <c r="BU357" s="867">
        <f t="shared" ca="1" si="270"/>
        <v>0</v>
      </c>
      <c r="BX357" s="867">
        <f ca="1"/>
        <v>0</v>
      </c>
      <c r="BY357" s="867">
        <f t="shared" ca="1" si="271"/>
        <v>0</v>
      </c>
      <c r="BZ357" s="867">
        <f t="shared" ca="1" si="272"/>
        <v>0</v>
      </c>
      <c r="CA357" s="867">
        <f t="shared" ca="1" si="273"/>
        <v>0</v>
      </c>
      <c r="CB357" s="867">
        <f t="shared" ca="1" si="274"/>
        <v>0</v>
      </c>
      <c r="CC357" s="867">
        <f t="shared" ca="1" si="275"/>
        <v>0</v>
      </c>
      <c r="CD357" s="867">
        <f t="shared" ca="1" si="276"/>
        <v>0</v>
      </c>
    </row>
    <row r="358" spans="1:82" ht="17" hidden="1" thickTop="1" thickBot="1">
      <c r="A358" s="773">
        <f t="shared" si="226"/>
        <v>0</v>
      </c>
      <c r="B358" s="779"/>
      <c r="D358" s="660"/>
      <c r="E358" s="661"/>
      <c r="F358" s="862"/>
      <c r="G358" s="863"/>
      <c r="H358" s="961"/>
      <c r="I358" s="865">
        <f t="shared" si="230"/>
        <v>0</v>
      </c>
      <c r="J358" s="864" cm="1">
        <f t="array" ref="J358">IF($G358=0,0,-MIN(0,G358*c_equity.LPshare))</f>
        <v>0</v>
      </c>
      <c r="K358" s="865" cm="1">
        <f t="array" ref="K358">I358*c_rate.Pref.MO</f>
        <v>0</v>
      </c>
      <c r="L358" s="865">
        <f t="shared" si="231"/>
        <v>0</v>
      </c>
      <c r="M358" s="865">
        <f t="shared" si="232"/>
        <v>0</v>
      </c>
      <c r="N358" s="865">
        <f t="shared" si="233"/>
        <v>0</v>
      </c>
      <c r="O358" s="864" cm="1">
        <f t="array" ref="O358">IF(N358=0,0,IF(G358&lt;0,N358/c_equity.LPshare*i_equity.GPshare,L358/c_equity.LPshare*i_equity.GPshare))</f>
        <v>0</v>
      </c>
      <c r="P358" s="865">
        <f t="shared" si="234"/>
        <v>0</v>
      </c>
      <c r="Q358" s="865">
        <f t="shared" si="235"/>
        <v>0</v>
      </c>
      <c r="R358" s="161"/>
      <c r="S358" s="867">
        <f t="shared" ca="1" si="236"/>
        <v>0</v>
      </c>
      <c r="T358" s="867" cm="1">
        <f t="array" ref="T358">IF($G358=0,0,-MIN(0,$G358*c_equity.LPshare))</f>
        <v>0</v>
      </c>
      <c r="U358" s="869" cm="1">
        <f t="array" ref="U358">IF($D358=0,0,S358*c_rate.Hurdle1.MO)</f>
        <v>0</v>
      </c>
      <c r="V358" s="867">
        <f t="shared" si="237"/>
        <v>0</v>
      </c>
      <c r="W358" s="867">
        <f t="shared" ca="1" si="238"/>
        <v>0</v>
      </c>
      <c r="X358" s="869">
        <f t="shared" ca="1" si="239"/>
        <v>0</v>
      </c>
      <c r="Y358" s="869">
        <f t="shared" ca="1" si="240"/>
        <v>0</v>
      </c>
      <c r="Z358" s="869">
        <f t="shared" ca="1" si="241"/>
        <v>0</v>
      </c>
      <c r="AA358" s="869">
        <f t="shared" ca="1" si="242"/>
        <v>0</v>
      </c>
      <c r="AB358" s="867">
        <f t="shared" ca="1" si="243"/>
        <v>0</v>
      </c>
      <c r="AC358" s="161"/>
      <c r="AD358" s="869">
        <f t="shared" ca="1" si="244"/>
        <v>0</v>
      </c>
      <c r="AE358" s="867" cm="1">
        <f t="array" ref="AE358">IF($G358=0,0,-MIN(0,$G358*c_equity.LPshare))</f>
        <v>0</v>
      </c>
      <c r="AF358" s="869" cm="1">
        <f t="array" ref="AF358">IF($D358=0,0,AD358*(c_rate.Hurdle2.MO))</f>
        <v>0</v>
      </c>
      <c r="AG358" s="869">
        <f t="shared" ca="1" si="245"/>
        <v>0</v>
      </c>
      <c r="AH358" s="869">
        <f t="shared" ca="1" si="246"/>
        <v>0</v>
      </c>
      <c r="AI358" s="869">
        <f t="shared" ca="1" si="247"/>
        <v>0</v>
      </c>
      <c r="AJ358" s="870">
        <f t="shared" ca="1" si="248"/>
        <v>0</v>
      </c>
      <c r="AK358" s="867">
        <f t="shared" ca="1" si="249"/>
        <v>0</v>
      </c>
      <c r="AL358" s="869">
        <f t="shared" ca="1" si="227"/>
        <v>0</v>
      </c>
      <c r="AM358" s="869">
        <f t="shared" ca="1" si="250"/>
        <v>0</v>
      </c>
      <c r="AN358" s="867">
        <f t="shared" ca="1" si="251"/>
        <v>0</v>
      </c>
      <c r="AO358" s="161"/>
      <c r="AP358" s="869">
        <f t="shared" ca="1" si="252"/>
        <v>0</v>
      </c>
      <c r="AQ358" s="867" cm="1">
        <f t="array" ref="AQ358">IF($G358=0,0,-MIN(0,$G358*c_equity.LPshare))</f>
        <v>0</v>
      </c>
      <c r="AR358" s="869" cm="1">
        <f t="array" ref="AR358">IF($D358=0,0,AP358*(c_rate.Hurdle3.MO))</f>
        <v>0</v>
      </c>
      <c r="AS358" s="869">
        <f t="shared" ca="1" si="253"/>
        <v>0</v>
      </c>
      <c r="AT358" s="869">
        <f t="shared" ca="1" si="254"/>
        <v>0</v>
      </c>
      <c r="AU358" s="869">
        <f t="shared" ca="1" si="255"/>
        <v>0</v>
      </c>
      <c r="AV358" s="870">
        <f t="shared" ca="1" si="256"/>
        <v>0</v>
      </c>
      <c r="AW358" s="867">
        <f t="shared" ca="1" si="257"/>
        <v>0</v>
      </c>
      <c r="AX358" s="869">
        <f t="shared" ca="1" si="228"/>
        <v>0</v>
      </c>
      <c r="AY358" s="869">
        <f t="shared" ca="1" si="258"/>
        <v>0</v>
      </c>
      <c r="AZ358" s="867">
        <f t="shared" ca="1" si="259"/>
        <v>0</v>
      </c>
      <c r="BA358" s="161"/>
      <c r="BB358" s="867">
        <f t="shared" ca="1" si="260"/>
        <v>0</v>
      </c>
      <c r="BC358" s="867">
        <f t="shared" ca="1" si="225"/>
        <v>0</v>
      </c>
      <c r="BD358" s="658"/>
      <c r="BE358" s="867">
        <f t="shared" ca="1" si="261"/>
        <v>0</v>
      </c>
      <c r="BF358" s="867">
        <f t="shared" ca="1" si="262"/>
        <v>0</v>
      </c>
      <c r="BG358" s="867">
        <f t="shared" ca="1" si="263"/>
        <v>0</v>
      </c>
      <c r="BI358" s="867">
        <f ca="1"/>
        <v>0</v>
      </c>
      <c r="BJ358" s="867">
        <f ca="1"/>
        <v>0</v>
      </c>
      <c r="BK358" s="867">
        <f ca="1"/>
        <v>0</v>
      </c>
      <c r="BL358" s="867">
        <f t="shared" ca="1" si="264"/>
        <v>0</v>
      </c>
      <c r="BM358" s="867">
        <f t="shared" ca="1" si="265"/>
        <v>0</v>
      </c>
      <c r="BN358" s="867">
        <f t="shared" ca="1" si="266"/>
        <v>0</v>
      </c>
      <c r="BO358" s="867">
        <f t="shared" ca="1" si="267"/>
        <v>0</v>
      </c>
      <c r="BP358" s="867">
        <f t="shared" ca="1" si="268"/>
        <v>0</v>
      </c>
      <c r="BQ358" s="867">
        <f t="shared" ca="1" si="269"/>
        <v>0</v>
      </c>
      <c r="BR358" s="867">
        <f ca="1"/>
        <v>0</v>
      </c>
      <c r="BS358" s="867">
        <f ca="1"/>
        <v>0</v>
      </c>
      <c r="BT358" s="867">
        <f t="shared" ca="1" si="229"/>
        <v>0</v>
      </c>
      <c r="BU358" s="867">
        <f t="shared" ca="1" si="270"/>
        <v>0</v>
      </c>
      <c r="BX358" s="867">
        <f ca="1"/>
        <v>0</v>
      </c>
      <c r="BY358" s="867">
        <f t="shared" ca="1" si="271"/>
        <v>0</v>
      </c>
      <c r="BZ358" s="867">
        <f t="shared" ca="1" si="272"/>
        <v>0</v>
      </c>
      <c r="CA358" s="867">
        <f t="shared" ca="1" si="273"/>
        <v>0</v>
      </c>
      <c r="CB358" s="867">
        <f t="shared" ca="1" si="274"/>
        <v>0</v>
      </c>
      <c r="CC358" s="867">
        <f t="shared" ca="1" si="275"/>
        <v>0</v>
      </c>
      <c r="CD358" s="867">
        <f t="shared" ca="1" si="276"/>
        <v>0</v>
      </c>
    </row>
    <row r="359" spans="1:82" ht="17" hidden="1" thickTop="1" thickBot="1">
      <c r="A359" s="773">
        <f t="shared" si="226"/>
        <v>0</v>
      </c>
      <c r="B359" s="779"/>
      <c r="D359" s="660"/>
      <c r="E359" s="661"/>
      <c r="F359" s="862"/>
      <c r="G359" s="863"/>
      <c r="H359" s="961"/>
      <c r="I359" s="865">
        <f t="shared" si="230"/>
        <v>0</v>
      </c>
      <c r="J359" s="864" cm="1">
        <f t="array" ref="J359">IF($G359=0,0,-MIN(0,G359*c_equity.LPshare))</f>
        <v>0</v>
      </c>
      <c r="K359" s="865" cm="1">
        <f t="array" ref="K359">I359*c_rate.Pref.MO</f>
        <v>0</v>
      </c>
      <c r="L359" s="865">
        <f t="shared" si="231"/>
        <v>0</v>
      </c>
      <c r="M359" s="865">
        <f t="shared" si="232"/>
        <v>0</v>
      </c>
      <c r="N359" s="865">
        <f t="shared" si="233"/>
        <v>0</v>
      </c>
      <c r="O359" s="864" cm="1">
        <f t="array" ref="O359">IF(N359=0,0,IF(G359&lt;0,N359/c_equity.LPshare*i_equity.GPshare,L359/c_equity.LPshare*i_equity.GPshare))</f>
        <v>0</v>
      </c>
      <c r="P359" s="865">
        <f t="shared" si="234"/>
        <v>0</v>
      </c>
      <c r="Q359" s="865">
        <f t="shared" si="235"/>
        <v>0</v>
      </c>
      <c r="R359" s="161"/>
      <c r="S359" s="867">
        <f t="shared" ca="1" si="236"/>
        <v>0</v>
      </c>
      <c r="T359" s="867" cm="1">
        <f t="array" ref="T359">IF($G359=0,0,-MIN(0,$G359*c_equity.LPshare))</f>
        <v>0</v>
      </c>
      <c r="U359" s="869" cm="1">
        <f t="array" ref="U359">IF($D359=0,0,S359*c_rate.Hurdle1.MO)</f>
        <v>0</v>
      </c>
      <c r="V359" s="867">
        <f t="shared" si="237"/>
        <v>0</v>
      </c>
      <c r="W359" s="867">
        <f t="shared" ca="1" si="238"/>
        <v>0</v>
      </c>
      <c r="X359" s="869">
        <f t="shared" ca="1" si="239"/>
        <v>0</v>
      </c>
      <c r="Y359" s="869">
        <f t="shared" ca="1" si="240"/>
        <v>0</v>
      </c>
      <c r="Z359" s="869">
        <f t="shared" ca="1" si="241"/>
        <v>0</v>
      </c>
      <c r="AA359" s="869">
        <f t="shared" ca="1" si="242"/>
        <v>0</v>
      </c>
      <c r="AB359" s="867">
        <f t="shared" ca="1" si="243"/>
        <v>0</v>
      </c>
      <c r="AC359" s="161"/>
      <c r="AD359" s="869">
        <f t="shared" ca="1" si="244"/>
        <v>0</v>
      </c>
      <c r="AE359" s="867" cm="1">
        <f t="array" ref="AE359">IF($G359=0,0,-MIN(0,$G359*c_equity.LPshare))</f>
        <v>0</v>
      </c>
      <c r="AF359" s="869" cm="1">
        <f t="array" ref="AF359">IF($D359=0,0,AD359*(c_rate.Hurdle2.MO))</f>
        <v>0</v>
      </c>
      <c r="AG359" s="869">
        <f t="shared" ca="1" si="245"/>
        <v>0</v>
      </c>
      <c r="AH359" s="869">
        <f t="shared" ca="1" si="246"/>
        <v>0</v>
      </c>
      <c r="AI359" s="869">
        <f t="shared" ca="1" si="247"/>
        <v>0</v>
      </c>
      <c r="AJ359" s="870">
        <f t="shared" ca="1" si="248"/>
        <v>0</v>
      </c>
      <c r="AK359" s="867">
        <f t="shared" ca="1" si="249"/>
        <v>0</v>
      </c>
      <c r="AL359" s="869">
        <f t="shared" ca="1" si="227"/>
        <v>0</v>
      </c>
      <c r="AM359" s="869">
        <f t="shared" ca="1" si="250"/>
        <v>0</v>
      </c>
      <c r="AN359" s="867">
        <f t="shared" ca="1" si="251"/>
        <v>0</v>
      </c>
      <c r="AO359" s="161"/>
      <c r="AP359" s="869">
        <f t="shared" ca="1" si="252"/>
        <v>0</v>
      </c>
      <c r="AQ359" s="867" cm="1">
        <f t="array" ref="AQ359">IF($G359=0,0,-MIN(0,$G359*c_equity.LPshare))</f>
        <v>0</v>
      </c>
      <c r="AR359" s="869" cm="1">
        <f t="array" ref="AR359">IF($D359=0,0,AP359*(c_rate.Hurdle3.MO))</f>
        <v>0</v>
      </c>
      <c r="AS359" s="869">
        <f t="shared" ca="1" si="253"/>
        <v>0</v>
      </c>
      <c r="AT359" s="869">
        <f t="shared" ca="1" si="254"/>
        <v>0</v>
      </c>
      <c r="AU359" s="869">
        <f t="shared" ca="1" si="255"/>
        <v>0</v>
      </c>
      <c r="AV359" s="870">
        <f t="shared" ca="1" si="256"/>
        <v>0</v>
      </c>
      <c r="AW359" s="867">
        <f t="shared" ca="1" si="257"/>
        <v>0</v>
      </c>
      <c r="AX359" s="869">
        <f t="shared" ca="1" si="228"/>
        <v>0</v>
      </c>
      <c r="AY359" s="869">
        <f t="shared" ca="1" si="258"/>
        <v>0</v>
      </c>
      <c r="AZ359" s="867">
        <f t="shared" ca="1" si="259"/>
        <v>0</v>
      </c>
      <c r="BA359" s="161"/>
      <c r="BB359" s="867">
        <f t="shared" ca="1" si="260"/>
        <v>0</v>
      </c>
      <c r="BC359" s="867">
        <f t="shared" ca="1" si="225"/>
        <v>0</v>
      </c>
      <c r="BD359" s="658"/>
      <c r="BE359" s="867">
        <f t="shared" ca="1" si="261"/>
        <v>0</v>
      </c>
      <c r="BF359" s="867">
        <f t="shared" ca="1" si="262"/>
        <v>0</v>
      </c>
      <c r="BG359" s="867">
        <f t="shared" ca="1" si="263"/>
        <v>0</v>
      </c>
      <c r="BI359" s="867">
        <f ca="1"/>
        <v>0</v>
      </c>
      <c r="BJ359" s="867">
        <f ca="1"/>
        <v>0</v>
      </c>
      <c r="BK359" s="867">
        <f ca="1"/>
        <v>0</v>
      </c>
      <c r="BL359" s="867">
        <f t="shared" ca="1" si="264"/>
        <v>0</v>
      </c>
      <c r="BM359" s="867">
        <f t="shared" ca="1" si="265"/>
        <v>0</v>
      </c>
      <c r="BN359" s="867">
        <f t="shared" ca="1" si="266"/>
        <v>0</v>
      </c>
      <c r="BO359" s="867">
        <f t="shared" ca="1" si="267"/>
        <v>0</v>
      </c>
      <c r="BP359" s="867">
        <f t="shared" ca="1" si="268"/>
        <v>0</v>
      </c>
      <c r="BQ359" s="867">
        <f t="shared" ca="1" si="269"/>
        <v>0</v>
      </c>
      <c r="BR359" s="867">
        <f ca="1"/>
        <v>0</v>
      </c>
      <c r="BS359" s="867">
        <f ca="1"/>
        <v>0</v>
      </c>
      <c r="BT359" s="867">
        <f t="shared" ca="1" si="229"/>
        <v>0</v>
      </c>
      <c r="BU359" s="867">
        <f t="shared" ca="1" si="270"/>
        <v>0</v>
      </c>
      <c r="BX359" s="867">
        <f ca="1"/>
        <v>0</v>
      </c>
      <c r="BY359" s="867">
        <f t="shared" ca="1" si="271"/>
        <v>0</v>
      </c>
      <c r="BZ359" s="867">
        <f t="shared" ca="1" si="272"/>
        <v>0</v>
      </c>
      <c r="CA359" s="867">
        <f t="shared" ca="1" si="273"/>
        <v>0</v>
      </c>
      <c r="CB359" s="867">
        <f t="shared" ca="1" si="274"/>
        <v>0</v>
      </c>
      <c r="CC359" s="867">
        <f t="shared" ca="1" si="275"/>
        <v>0</v>
      </c>
      <c r="CD359" s="867">
        <f t="shared" ca="1" si="276"/>
        <v>0</v>
      </c>
    </row>
    <row r="360" spans="1:82" ht="17" hidden="1" thickTop="1" thickBot="1">
      <c r="A360" s="773">
        <f t="shared" si="226"/>
        <v>0</v>
      </c>
      <c r="B360" s="779"/>
      <c r="D360" s="660"/>
      <c r="E360" s="661"/>
      <c r="F360" s="862"/>
      <c r="G360" s="863"/>
      <c r="H360" s="961"/>
      <c r="I360" s="865">
        <f t="shared" si="230"/>
        <v>0</v>
      </c>
      <c r="J360" s="864" cm="1">
        <f t="array" ref="J360">IF($G360=0,0,-MIN(0,G360*c_equity.LPshare))</f>
        <v>0</v>
      </c>
      <c r="K360" s="865" cm="1">
        <f t="array" ref="K360">I360*c_rate.Pref.MO</f>
        <v>0</v>
      </c>
      <c r="L360" s="865">
        <f t="shared" si="231"/>
        <v>0</v>
      </c>
      <c r="M360" s="865">
        <f t="shared" si="232"/>
        <v>0</v>
      </c>
      <c r="N360" s="865">
        <f t="shared" si="233"/>
        <v>0</v>
      </c>
      <c r="O360" s="864" cm="1">
        <f t="array" ref="O360">IF(N360=0,0,IF(G360&lt;0,N360/c_equity.LPshare*i_equity.GPshare,L360/c_equity.LPshare*i_equity.GPshare))</f>
        <v>0</v>
      </c>
      <c r="P360" s="865">
        <f t="shared" si="234"/>
        <v>0</v>
      </c>
      <c r="Q360" s="865">
        <f t="shared" si="235"/>
        <v>0</v>
      </c>
      <c r="R360" s="161"/>
      <c r="S360" s="867">
        <f t="shared" ca="1" si="236"/>
        <v>0</v>
      </c>
      <c r="T360" s="867" cm="1">
        <f t="array" ref="T360">IF($G360=0,0,-MIN(0,$G360*c_equity.LPshare))</f>
        <v>0</v>
      </c>
      <c r="U360" s="869" cm="1">
        <f t="array" ref="U360">IF($D360=0,0,S360*c_rate.Hurdle1.MO)</f>
        <v>0</v>
      </c>
      <c r="V360" s="867">
        <f t="shared" si="237"/>
        <v>0</v>
      </c>
      <c r="W360" s="867">
        <f t="shared" ca="1" si="238"/>
        <v>0</v>
      </c>
      <c r="X360" s="869">
        <f t="shared" ca="1" si="239"/>
        <v>0</v>
      </c>
      <c r="Y360" s="869">
        <f t="shared" ca="1" si="240"/>
        <v>0</v>
      </c>
      <c r="Z360" s="869">
        <f t="shared" ca="1" si="241"/>
        <v>0</v>
      </c>
      <c r="AA360" s="869">
        <f t="shared" ca="1" si="242"/>
        <v>0</v>
      </c>
      <c r="AB360" s="867">
        <f t="shared" ca="1" si="243"/>
        <v>0</v>
      </c>
      <c r="AC360" s="161"/>
      <c r="AD360" s="869">
        <f t="shared" ca="1" si="244"/>
        <v>0</v>
      </c>
      <c r="AE360" s="867" cm="1">
        <f t="array" ref="AE360">IF($G360=0,0,-MIN(0,$G360*c_equity.LPshare))</f>
        <v>0</v>
      </c>
      <c r="AF360" s="869" cm="1">
        <f t="array" ref="AF360">IF($D360=0,0,AD360*(c_rate.Hurdle2.MO))</f>
        <v>0</v>
      </c>
      <c r="AG360" s="869">
        <f t="shared" ca="1" si="245"/>
        <v>0</v>
      </c>
      <c r="AH360" s="869">
        <f t="shared" ca="1" si="246"/>
        <v>0</v>
      </c>
      <c r="AI360" s="869">
        <f t="shared" ca="1" si="247"/>
        <v>0</v>
      </c>
      <c r="AJ360" s="870">
        <f t="shared" ca="1" si="248"/>
        <v>0</v>
      </c>
      <c r="AK360" s="867">
        <f t="shared" ca="1" si="249"/>
        <v>0</v>
      </c>
      <c r="AL360" s="869">
        <f t="shared" ca="1" si="227"/>
        <v>0</v>
      </c>
      <c r="AM360" s="869">
        <f t="shared" ca="1" si="250"/>
        <v>0</v>
      </c>
      <c r="AN360" s="867">
        <f t="shared" ca="1" si="251"/>
        <v>0</v>
      </c>
      <c r="AO360" s="161"/>
      <c r="AP360" s="869">
        <f t="shared" ca="1" si="252"/>
        <v>0</v>
      </c>
      <c r="AQ360" s="867" cm="1">
        <f t="array" ref="AQ360">IF($G360=0,0,-MIN(0,$G360*c_equity.LPshare))</f>
        <v>0</v>
      </c>
      <c r="AR360" s="869" cm="1">
        <f t="array" ref="AR360">IF($D360=0,0,AP360*(c_rate.Hurdle3.MO))</f>
        <v>0</v>
      </c>
      <c r="AS360" s="869">
        <f t="shared" ca="1" si="253"/>
        <v>0</v>
      </c>
      <c r="AT360" s="869">
        <f t="shared" ca="1" si="254"/>
        <v>0</v>
      </c>
      <c r="AU360" s="869">
        <f t="shared" ca="1" si="255"/>
        <v>0</v>
      </c>
      <c r="AV360" s="870">
        <f t="shared" ca="1" si="256"/>
        <v>0</v>
      </c>
      <c r="AW360" s="867">
        <f t="shared" ca="1" si="257"/>
        <v>0</v>
      </c>
      <c r="AX360" s="869">
        <f t="shared" ca="1" si="228"/>
        <v>0</v>
      </c>
      <c r="AY360" s="869">
        <f t="shared" ca="1" si="258"/>
        <v>0</v>
      </c>
      <c r="AZ360" s="867">
        <f t="shared" ca="1" si="259"/>
        <v>0</v>
      </c>
      <c r="BA360" s="161"/>
      <c r="BB360" s="867">
        <f t="shared" ca="1" si="260"/>
        <v>0</v>
      </c>
      <c r="BC360" s="867">
        <f t="shared" ca="1" si="225"/>
        <v>0</v>
      </c>
      <c r="BD360" s="658"/>
      <c r="BE360" s="867">
        <f t="shared" ca="1" si="261"/>
        <v>0</v>
      </c>
      <c r="BF360" s="867">
        <f t="shared" ca="1" si="262"/>
        <v>0</v>
      </c>
      <c r="BG360" s="867">
        <f t="shared" ca="1" si="263"/>
        <v>0</v>
      </c>
      <c r="BI360" s="867">
        <f ca="1"/>
        <v>0</v>
      </c>
      <c r="BJ360" s="867">
        <f ca="1"/>
        <v>0</v>
      </c>
      <c r="BK360" s="867">
        <f ca="1"/>
        <v>0</v>
      </c>
      <c r="BL360" s="867">
        <f t="shared" ca="1" si="264"/>
        <v>0</v>
      </c>
      <c r="BM360" s="867">
        <f t="shared" ca="1" si="265"/>
        <v>0</v>
      </c>
      <c r="BN360" s="867">
        <f t="shared" ca="1" si="266"/>
        <v>0</v>
      </c>
      <c r="BO360" s="867">
        <f t="shared" ca="1" si="267"/>
        <v>0</v>
      </c>
      <c r="BP360" s="867">
        <f t="shared" ca="1" si="268"/>
        <v>0</v>
      </c>
      <c r="BQ360" s="867">
        <f t="shared" ca="1" si="269"/>
        <v>0</v>
      </c>
      <c r="BR360" s="867">
        <f ca="1"/>
        <v>0</v>
      </c>
      <c r="BS360" s="867">
        <f ca="1"/>
        <v>0</v>
      </c>
      <c r="BT360" s="867">
        <f t="shared" ca="1" si="229"/>
        <v>0</v>
      </c>
      <c r="BU360" s="867">
        <f t="shared" ca="1" si="270"/>
        <v>0</v>
      </c>
      <c r="BX360" s="867">
        <f ca="1"/>
        <v>0</v>
      </c>
      <c r="BY360" s="867">
        <f t="shared" ca="1" si="271"/>
        <v>0</v>
      </c>
      <c r="BZ360" s="867">
        <f t="shared" ca="1" si="272"/>
        <v>0</v>
      </c>
      <c r="CA360" s="867">
        <f t="shared" ca="1" si="273"/>
        <v>0</v>
      </c>
      <c r="CB360" s="867">
        <f t="shared" ca="1" si="274"/>
        <v>0</v>
      </c>
      <c r="CC360" s="867">
        <f t="shared" ca="1" si="275"/>
        <v>0</v>
      </c>
      <c r="CD360" s="867">
        <f t="shared" ca="1" si="276"/>
        <v>0</v>
      </c>
    </row>
    <row r="361" spans="1:82" ht="17" hidden="1" thickTop="1" thickBot="1">
      <c r="A361" s="773">
        <f t="shared" si="226"/>
        <v>0</v>
      </c>
      <c r="B361" s="779"/>
      <c r="D361" s="660"/>
      <c r="E361" s="661"/>
      <c r="F361" s="862"/>
      <c r="G361" s="863"/>
      <c r="H361" s="961"/>
      <c r="I361" s="865">
        <f t="shared" si="230"/>
        <v>0</v>
      </c>
      <c r="J361" s="864" cm="1">
        <f t="array" ref="J361">IF($G361=0,0,-MIN(0,G361*c_equity.LPshare))</f>
        <v>0</v>
      </c>
      <c r="K361" s="865" cm="1">
        <f t="array" ref="K361">I361*c_rate.Pref.MO</f>
        <v>0</v>
      </c>
      <c r="L361" s="865">
        <f t="shared" si="231"/>
        <v>0</v>
      </c>
      <c r="M361" s="865">
        <f t="shared" si="232"/>
        <v>0</v>
      </c>
      <c r="N361" s="865">
        <f t="shared" si="233"/>
        <v>0</v>
      </c>
      <c r="O361" s="864" cm="1">
        <f t="array" ref="O361">IF(N361=0,0,IF(G361&lt;0,N361/c_equity.LPshare*i_equity.GPshare,L361/c_equity.LPshare*i_equity.GPshare))</f>
        <v>0</v>
      </c>
      <c r="P361" s="865">
        <f t="shared" si="234"/>
        <v>0</v>
      </c>
      <c r="Q361" s="865">
        <f t="shared" si="235"/>
        <v>0</v>
      </c>
      <c r="R361" s="161"/>
      <c r="S361" s="867">
        <f t="shared" ca="1" si="236"/>
        <v>0</v>
      </c>
      <c r="T361" s="867" cm="1">
        <f t="array" ref="T361">IF($G361=0,0,-MIN(0,$G361*c_equity.LPshare))</f>
        <v>0</v>
      </c>
      <c r="U361" s="869" cm="1">
        <f t="array" ref="U361">IF($D361=0,0,S361*c_rate.Hurdle1.MO)</f>
        <v>0</v>
      </c>
      <c r="V361" s="867">
        <f t="shared" si="237"/>
        <v>0</v>
      </c>
      <c r="W361" s="867">
        <f t="shared" ca="1" si="238"/>
        <v>0</v>
      </c>
      <c r="X361" s="869">
        <f t="shared" ca="1" si="239"/>
        <v>0</v>
      </c>
      <c r="Y361" s="869">
        <f t="shared" ca="1" si="240"/>
        <v>0</v>
      </c>
      <c r="Z361" s="869">
        <f t="shared" ca="1" si="241"/>
        <v>0</v>
      </c>
      <c r="AA361" s="869">
        <f t="shared" ca="1" si="242"/>
        <v>0</v>
      </c>
      <c r="AB361" s="867">
        <f t="shared" ca="1" si="243"/>
        <v>0</v>
      </c>
      <c r="AC361" s="161"/>
      <c r="AD361" s="869">
        <f t="shared" ca="1" si="244"/>
        <v>0</v>
      </c>
      <c r="AE361" s="867" cm="1">
        <f t="array" ref="AE361">IF($G361=0,0,-MIN(0,$G361*c_equity.LPshare))</f>
        <v>0</v>
      </c>
      <c r="AF361" s="869" cm="1">
        <f t="array" ref="AF361">IF($D361=0,0,AD361*(c_rate.Hurdle2.MO))</f>
        <v>0</v>
      </c>
      <c r="AG361" s="869">
        <f t="shared" ca="1" si="245"/>
        <v>0</v>
      </c>
      <c r="AH361" s="869">
        <f t="shared" ca="1" si="246"/>
        <v>0</v>
      </c>
      <c r="AI361" s="869">
        <f t="shared" ca="1" si="247"/>
        <v>0</v>
      </c>
      <c r="AJ361" s="870">
        <f t="shared" ca="1" si="248"/>
        <v>0</v>
      </c>
      <c r="AK361" s="867">
        <f t="shared" ca="1" si="249"/>
        <v>0</v>
      </c>
      <c r="AL361" s="869">
        <f t="shared" ca="1" si="227"/>
        <v>0</v>
      </c>
      <c r="AM361" s="869">
        <f t="shared" ca="1" si="250"/>
        <v>0</v>
      </c>
      <c r="AN361" s="867">
        <f t="shared" ca="1" si="251"/>
        <v>0</v>
      </c>
      <c r="AO361" s="161"/>
      <c r="AP361" s="869">
        <f t="shared" ca="1" si="252"/>
        <v>0</v>
      </c>
      <c r="AQ361" s="867" cm="1">
        <f t="array" ref="AQ361">IF($G361=0,0,-MIN(0,$G361*c_equity.LPshare))</f>
        <v>0</v>
      </c>
      <c r="AR361" s="869" cm="1">
        <f t="array" ref="AR361">IF($D361=0,0,AP361*(c_rate.Hurdle3.MO))</f>
        <v>0</v>
      </c>
      <c r="AS361" s="869">
        <f t="shared" ca="1" si="253"/>
        <v>0</v>
      </c>
      <c r="AT361" s="869">
        <f t="shared" ca="1" si="254"/>
        <v>0</v>
      </c>
      <c r="AU361" s="869">
        <f t="shared" ca="1" si="255"/>
        <v>0</v>
      </c>
      <c r="AV361" s="870">
        <f t="shared" ca="1" si="256"/>
        <v>0</v>
      </c>
      <c r="AW361" s="867">
        <f t="shared" ca="1" si="257"/>
        <v>0</v>
      </c>
      <c r="AX361" s="869">
        <f t="shared" ca="1" si="228"/>
        <v>0</v>
      </c>
      <c r="AY361" s="869">
        <f t="shared" ca="1" si="258"/>
        <v>0</v>
      </c>
      <c r="AZ361" s="867">
        <f t="shared" ca="1" si="259"/>
        <v>0</v>
      </c>
      <c r="BA361" s="161"/>
      <c r="BB361" s="867">
        <f t="shared" ca="1" si="260"/>
        <v>0</v>
      </c>
      <c r="BC361" s="867">
        <f t="shared" ca="1" si="225"/>
        <v>0</v>
      </c>
      <c r="BD361" s="658"/>
      <c r="BE361" s="867">
        <f t="shared" ca="1" si="261"/>
        <v>0</v>
      </c>
      <c r="BF361" s="867">
        <f t="shared" ca="1" si="262"/>
        <v>0</v>
      </c>
      <c r="BG361" s="867">
        <f t="shared" ca="1" si="263"/>
        <v>0</v>
      </c>
      <c r="BI361" s="867">
        <f ca="1"/>
        <v>0</v>
      </c>
      <c r="BJ361" s="867">
        <f ca="1"/>
        <v>0</v>
      </c>
      <c r="BK361" s="867">
        <f ca="1"/>
        <v>0</v>
      </c>
      <c r="BL361" s="867">
        <f t="shared" ca="1" si="264"/>
        <v>0</v>
      </c>
      <c r="BM361" s="867">
        <f t="shared" ca="1" si="265"/>
        <v>0</v>
      </c>
      <c r="BN361" s="867">
        <f t="shared" ca="1" si="266"/>
        <v>0</v>
      </c>
      <c r="BO361" s="867">
        <f t="shared" ca="1" si="267"/>
        <v>0</v>
      </c>
      <c r="BP361" s="867">
        <f t="shared" ca="1" si="268"/>
        <v>0</v>
      </c>
      <c r="BQ361" s="867">
        <f t="shared" ca="1" si="269"/>
        <v>0</v>
      </c>
      <c r="BR361" s="867">
        <f ca="1"/>
        <v>0</v>
      </c>
      <c r="BS361" s="867">
        <f ca="1"/>
        <v>0</v>
      </c>
      <c r="BT361" s="867">
        <f t="shared" ca="1" si="229"/>
        <v>0</v>
      </c>
      <c r="BU361" s="867">
        <f t="shared" ca="1" si="270"/>
        <v>0</v>
      </c>
      <c r="BX361" s="867">
        <f ca="1"/>
        <v>0</v>
      </c>
      <c r="BY361" s="867">
        <f t="shared" ca="1" si="271"/>
        <v>0</v>
      </c>
      <c r="BZ361" s="867">
        <f t="shared" ca="1" si="272"/>
        <v>0</v>
      </c>
      <c r="CA361" s="867">
        <f t="shared" ca="1" si="273"/>
        <v>0</v>
      </c>
      <c r="CB361" s="867">
        <f t="shared" ca="1" si="274"/>
        <v>0</v>
      </c>
      <c r="CC361" s="867">
        <f t="shared" ca="1" si="275"/>
        <v>0</v>
      </c>
      <c r="CD361" s="867">
        <f t="shared" ca="1" si="276"/>
        <v>0</v>
      </c>
    </row>
    <row r="362" spans="1:82" ht="17" hidden="1" thickTop="1" thickBot="1">
      <c r="A362" s="773">
        <f t="shared" si="226"/>
        <v>0</v>
      </c>
      <c r="B362" s="779"/>
      <c r="D362" s="660"/>
      <c r="E362" s="661"/>
      <c r="F362" s="862"/>
      <c r="G362" s="863"/>
      <c r="H362" s="961"/>
      <c r="I362" s="865">
        <f t="shared" si="230"/>
        <v>0</v>
      </c>
      <c r="J362" s="864" cm="1">
        <f t="array" ref="J362">IF($G362=0,0,-MIN(0,G362*c_equity.LPshare))</f>
        <v>0</v>
      </c>
      <c r="K362" s="865" cm="1">
        <f t="array" ref="K362">I362*c_rate.Pref.MO</f>
        <v>0</v>
      </c>
      <c r="L362" s="865">
        <f t="shared" si="231"/>
        <v>0</v>
      </c>
      <c r="M362" s="865">
        <f t="shared" si="232"/>
        <v>0</v>
      </c>
      <c r="N362" s="865">
        <f t="shared" si="233"/>
        <v>0</v>
      </c>
      <c r="O362" s="864" cm="1">
        <f t="array" ref="O362">IF(N362=0,0,IF(G362&lt;0,N362/c_equity.LPshare*i_equity.GPshare,L362/c_equity.LPshare*i_equity.GPshare))</f>
        <v>0</v>
      </c>
      <c r="P362" s="865">
        <f t="shared" si="234"/>
        <v>0</v>
      </c>
      <c r="Q362" s="865">
        <f t="shared" si="235"/>
        <v>0</v>
      </c>
      <c r="R362" s="161"/>
      <c r="S362" s="867">
        <f t="shared" ca="1" si="236"/>
        <v>0</v>
      </c>
      <c r="T362" s="867" cm="1">
        <f t="array" ref="T362">IF($G362=0,0,-MIN(0,$G362*c_equity.LPshare))</f>
        <v>0</v>
      </c>
      <c r="U362" s="869" cm="1">
        <f t="array" ref="U362">IF($D362=0,0,S362*c_rate.Hurdle1.MO)</f>
        <v>0</v>
      </c>
      <c r="V362" s="867">
        <f t="shared" si="237"/>
        <v>0</v>
      </c>
      <c r="W362" s="867">
        <f t="shared" ca="1" si="238"/>
        <v>0</v>
      </c>
      <c r="X362" s="869">
        <f t="shared" ca="1" si="239"/>
        <v>0</v>
      </c>
      <c r="Y362" s="869">
        <f t="shared" ca="1" si="240"/>
        <v>0</v>
      </c>
      <c r="Z362" s="869">
        <f t="shared" ca="1" si="241"/>
        <v>0</v>
      </c>
      <c r="AA362" s="869">
        <f t="shared" ca="1" si="242"/>
        <v>0</v>
      </c>
      <c r="AB362" s="867">
        <f t="shared" ca="1" si="243"/>
        <v>0</v>
      </c>
      <c r="AC362" s="161"/>
      <c r="AD362" s="869">
        <f t="shared" ca="1" si="244"/>
        <v>0</v>
      </c>
      <c r="AE362" s="867" cm="1">
        <f t="array" ref="AE362">IF($G362=0,0,-MIN(0,$G362*c_equity.LPshare))</f>
        <v>0</v>
      </c>
      <c r="AF362" s="869" cm="1">
        <f t="array" ref="AF362">IF($D362=0,0,AD362*(c_rate.Hurdle2.MO))</f>
        <v>0</v>
      </c>
      <c r="AG362" s="869">
        <f t="shared" ca="1" si="245"/>
        <v>0</v>
      </c>
      <c r="AH362" s="869">
        <f t="shared" ca="1" si="246"/>
        <v>0</v>
      </c>
      <c r="AI362" s="869">
        <f t="shared" ca="1" si="247"/>
        <v>0</v>
      </c>
      <c r="AJ362" s="870">
        <f t="shared" ca="1" si="248"/>
        <v>0</v>
      </c>
      <c r="AK362" s="867">
        <f t="shared" ca="1" si="249"/>
        <v>0</v>
      </c>
      <c r="AL362" s="869">
        <f t="shared" ca="1" si="227"/>
        <v>0</v>
      </c>
      <c r="AM362" s="869">
        <f t="shared" ca="1" si="250"/>
        <v>0</v>
      </c>
      <c r="AN362" s="867">
        <f t="shared" ca="1" si="251"/>
        <v>0</v>
      </c>
      <c r="AO362" s="161"/>
      <c r="AP362" s="869">
        <f t="shared" ca="1" si="252"/>
        <v>0</v>
      </c>
      <c r="AQ362" s="867" cm="1">
        <f t="array" ref="AQ362">IF($G362=0,0,-MIN(0,$G362*c_equity.LPshare))</f>
        <v>0</v>
      </c>
      <c r="AR362" s="869" cm="1">
        <f t="array" ref="AR362">IF($D362=0,0,AP362*(c_rate.Hurdle3.MO))</f>
        <v>0</v>
      </c>
      <c r="AS362" s="869">
        <f t="shared" ca="1" si="253"/>
        <v>0</v>
      </c>
      <c r="AT362" s="869">
        <f t="shared" ca="1" si="254"/>
        <v>0</v>
      </c>
      <c r="AU362" s="869">
        <f t="shared" ca="1" si="255"/>
        <v>0</v>
      </c>
      <c r="AV362" s="870">
        <f t="shared" ca="1" si="256"/>
        <v>0</v>
      </c>
      <c r="AW362" s="867">
        <f t="shared" ca="1" si="257"/>
        <v>0</v>
      </c>
      <c r="AX362" s="869">
        <f t="shared" ca="1" si="228"/>
        <v>0</v>
      </c>
      <c r="AY362" s="869">
        <f t="shared" ca="1" si="258"/>
        <v>0</v>
      </c>
      <c r="AZ362" s="867">
        <f t="shared" ca="1" si="259"/>
        <v>0</v>
      </c>
      <c r="BA362" s="161"/>
      <c r="BB362" s="867">
        <f t="shared" ca="1" si="260"/>
        <v>0</v>
      </c>
      <c r="BC362" s="867">
        <f t="shared" ca="1" si="225"/>
        <v>0</v>
      </c>
      <c r="BD362" s="658"/>
      <c r="BE362" s="867">
        <f t="shared" ca="1" si="261"/>
        <v>0</v>
      </c>
      <c r="BF362" s="867">
        <f t="shared" ca="1" si="262"/>
        <v>0</v>
      </c>
      <c r="BG362" s="867">
        <f t="shared" ca="1" si="263"/>
        <v>0</v>
      </c>
      <c r="BI362" s="867">
        <f ca="1"/>
        <v>0</v>
      </c>
      <c r="BJ362" s="867">
        <f ca="1"/>
        <v>0</v>
      </c>
      <c r="BK362" s="867">
        <f ca="1"/>
        <v>0</v>
      </c>
      <c r="BL362" s="867">
        <f t="shared" ca="1" si="264"/>
        <v>0</v>
      </c>
      <c r="BM362" s="867">
        <f t="shared" ca="1" si="265"/>
        <v>0</v>
      </c>
      <c r="BN362" s="867">
        <f t="shared" ca="1" si="266"/>
        <v>0</v>
      </c>
      <c r="BO362" s="867">
        <f t="shared" ca="1" si="267"/>
        <v>0</v>
      </c>
      <c r="BP362" s="867">
        <f t="shared" ca="1" si="268"/>
        <v>0</v>
      </c>
      <c r="BQ362" s="867">
        <f t="shared" ca="1" si="269"/>
        <v>0</v>
      </c>
      <c r="BR362" s="867">
        <f ca="1"/>
        <v>0</v>
      </c>
      <c r="BS362" s="867">
        <f ca="1"/>
        <v>0</v>
      </c>
      <c r="BT362" s="867">
        <f t="shared" ca="1" si="229"/>
        <v>0</v>
      </c>
      <c r="BU362" s="867">
        <f t="shared" ca="1" si="270"/>
        <v>0</v>
      </c>
      <c r="BX362" s="867">
        <f ca="1"/>
        <v>0</v>
      </c>
      <c r="BY362" s="867">
        <f t="shared" ca="1" si="271"/>
        <v>0</v>
      </c>
      <c r="BZ362" s="867">
        <f t="shared" ca="1" si="272"/>
        <v>0</v>
      </c>
      <c r="CA362" s="867">
        <f t="shared" ca="1" si="273"/>
        <v>0</v>
      </c>
      <c r="CB362" s="867">
        <f t="shared" ca="1" si="274"/>
        <v>0</v>
      </c>
      <c r="CC362" s="867">
        <f t="shared" ca="1" si="275"/>
        <v>0</v>
      </c>
      <c r="CD362" s="867">
        <f t="shared" ca="1" si="276"/>
        <v>0</v>
      </c>
    </row>
    <row r="363" spans="1:82" ht="17" hidden="1" thickTop="1" thickBot="1">
      <c r="A363" s="773">
        <f t="shared" si="226"/>
        <v>0</v>
      </c>
      <c r="B363" s="779"/>
      <c r="D363" s="660"/>
      <c r="E363" s="661"/>
      <c r="F363" s="862"/>
      <c r="G363" s="863"/>
      <c r="H363" s="961"/>
      <c r="I363" s="865">
        <f t="shared" si="230"/>
        <v>0</v>
      </c>
      <c r="J363" s="864" cm="1">
        <f t="array" ref="J363">IF($G363=0,0,-MIN(0,G363*c_equity.LPshare))</f>
        <v>0</v>
      </c>
      <c r="K363" s="865" cm="1">
        <f t="array" ref="K363">I363*c_rate.Pref.MO</f>
        <v>0</v>
      </c>
      <c r="L363" s="865">
        <f t="shared" si="231"/>
        <v>0</v>
      </c>
      <c r="M363" s="865">
        <f t="shared" si="232"/>
        <v>0</v>
      </c>
      <c r="N363" s="865">
        <f t="shared" si="233"/>
        <v>0</v>
      </c>
      <c r="O363" s="864" cm="1">
        <f t="array" ref="O363">IF(N363=0,0,IF(G363&lt;0,N363/c_equity.LPshare*i_equity.GPshare,L363/c_equity.LPshare*i_equity.GPshare))</f>
        <v>0</v>
      </c>
      <c r="P363" s="865">
        <f t="shared" si="234"/>
        <v>0</v>
      </c>
      <c r="Q363" s="865">
        <f t="shared" si="235"/>
        <v>0</v>
      </c>
      <c r="R363" s="161"/>
      <c r="S363" s="867">
        <f t="shared" ca="1" si="236"/>
        <v>0</v>
      </c>
      <c r="T363" s="867" cm="1">
        <f t="array" ref="T363">IF($G363=0,0,-MIN(0,$G363*c_equity.LPshare))</f>
        <v>0</v>
      </c>
      <c r="U363" s="869" cm="1">
        <f t="array" ref="U363">IF($D363=0,0,S363*c_rate.Hurdle1.MO)</f>
        <v>0</v>
      </c>
      <c r="V363" s="867">
        <f t="shared" si="237"/>
        <v>0</v>
      </c>
      <c r="W363" s="867">
        <f t="shared" ca="1" si="238"/>
        <v>0</v>
      </c>
      <c r="X363" s="869">
        <f t="shared" ca="1" si="239"/>
        <v>0</v>
      </c>
      <c r="Y363" s="869">
        <f t="shared" ca="1" si="240"/>
        <v>0</v>
      </c>
      <c r="Z363" s="869">
        <f t="shared" ca="1" si="241"/>
        <v>0</v>
      </c>
      <c r="AA363" s="869">
        <f t="shared" ca="1" si="242"/>
        <v>0</v>
      </c>
      <c r="AB363" s="867">
        <f t="shared" ca="1" si="243"/>
        <v>0</v>
      </c>
      <c r="AC363" s="161"/>
      <c r="AD363" s="869">
        <f t="shared" ca="1" si="244"/>
        <v>0</v>
      </c>
      <c r="AE363" s="867" cm="1">
        <f t="array" ref="AE363">IF($G363=0,0,-MIN(0,$G363*c_equity.LPshare))</f>
        <v>0</v>
      </c>
      <c r="AF363" s="869" cm="1">
        <f t="array" ref="AF363">IF($D363=0,0,AD363*(c_rate.Hurdle2.MO))</f>
        <v>0</v>
      </c>
      <c r="AG363" s="869">
        <f t="shared" ca="1" si="245"/>
        <v>0</v>
      </c>
      <c r="AH363" s="869">
        <f t="shared" ca="1" si="246"/>
        <v>0</v>
      </c>
      <c r="AI363" s="869">
        <f t="shared" ca="1" si="247"/>
        <v>0</v>
      </c>
      <c r="AJ363" s="870">
        <f t="shared" ca="1" si="248"/>
        <v>0</v>
      </c>
      <c r="AK363" s="867">
        <f t="shared" ca="1" si="249"/>
        <v>0</v>
      </c>
      <c r="AL363" s="869">
        <f t="shared" ca="1" si="227"/>
        <v>0</v>
      </c>
      <c r="AM363" s="869">
        <f t="shared" ca="1" si="250"/>
        <v>0</v>
      </c>
      <c r="AN363" s="867">
        <f t="shared" ca="1" si="251"/>
        <v>0</v>
      </c>
      <c r="AO363" s="161"/>
      <c r="AP363" s="869">
        <f t="shared" ca="1" si="252"/>
        <v>0</v>
      </c>
      <c r="AQ363" s="867" cm="1">
        <f t="array" ref="AQ363">IF($G363=0,0,-MIN(0,$G363*c_equity.LPshare))</f>
        <v>0</v>
      </c>
      <c r="AR363" s="869" cm="1">
        <f t="array" ref="AR363">IF($D363=0,0,AP363*(c_rate.Hurdle3.MO))</f>
        <v>0</v>
      </c>
      <c r="AS363" s="869">
        <f t="shared" ca="1" si="253"/>
        <v>0</v>
      </c>
      <c r="AT363" s="869">
        <f t="shared" ca="1" si="254"/>
        <v>0</v>
      </c>
      <c r="AU363" s="869">
        <f t="shared" ca="1" si="255"/>
        <v>0</v>
      </c>
      <c r="AV363" s="870">
        <f t="shared" ca="1" si="256"/>
        <v>0</v>
      </c>
      <c r="AW363" s="867">
        <f t="shared" ca="1" si="257"/>
        <v>0</v>
      </c>
      <c r="AX363" s="869">
        <f t="shared" ca="1" si="228"/>
        <v>0</v>
      </c>
      <c r="AY363" s="869">
        <f t="shared" ca="1" si="258"/>
        <v>0</v>
      </c>
      <c r="AZ363" s="867">
        <f t="shared" ca="1" si="259"/>
        <v>0</v>
      </c>
      <c r="BA363" s="161"/>
      <c r="BB363" s="867">
        <f t="shared" ca="1" si="260"/>
        <v>0</v>
      </c>
      <c r="BC363" s="867">
        <f t="shared" ca="1" si="225"/>
        <v>0</v>
      </c>
      <c r="BD363" s="658"/>
      <c r="BE363" s="867">
        <f t="shared" ca="1" si="261"/>
        <v>0</v>
      </c>
      <c r="BF363" s="867">
        <f t="shared" ca="1" si="262"/>
        <v>0</v>
      </c>
      <c r="BG363" s="867">
        <f t="shared" ca="1" si="263"/>
        <v>0</v>
      </c>
      <c r="BI363" s="867">
        <f ca="1"/>
        <v>0</v>
      </c>
      <c r="BJ363" s="867">
        <f ca="1"/>
        <v>0</v>
      </c>
      <c r="BK363" s="867">
        <f ca="1"/>
        <v>0</v>
      </c>
      <c r="BL363" s="867">
        <f t="shared" ca="1" si="264"/>
        <v>0</v>
      </c>
      <c r="BM363" s="867">
        <f t="shared" ca="1" si="265"/>
        <v>0</v>
      </c>
      <c r="BN363" s="867">
        <f t="shared" ca="1" si="266"/>
        <v>0</v>
      </c>
      <c r="BO363" s="867">
        <f t="shared" ca="1" si="267"/>
        <v>0</v>
      </c>
      <c r="BP363" s="867">
        <f t="shared" ca="1" si="268"/>
        <v>0</v>
      </c>
      <c r="BQ363" s="867">
        <f t="shared" ca="1" si="269"/>
        <v>0</v>
      </c>
      <c r="BR363" s="867">
        <f ca="1"/>
        <v>0</v>
      </c>
      <c r="BS363" s="867">
        <f ca="1"/>
        <v>0</v>
      </c>
      <c r="BT363" s="867">
        <f t="shared" ca="1" si="229"/>
        <v>0</v>
      </c>
      <c r="BU363" s="867">
        <f t="shared" ca="1" si="270"/>
        <v>0</v>
      </c>
      <c r="BX363" s="867">
        <f ca="1"/>
        <v>0</v>
      </c>
      <c r="BY363" s="867">
        <f t="shared" ca="1" si="271"/>
        <v>0</v>
      </c>
      <c r="BZ363" s="867">
        <f t="shared" ca="1" si="272"/>
        <v>0</v>
      </c>
      <c r="CA363" s="867">
        <f t="shared" ca="1" si="273"/>
        <v>0</v>
      </c>
      <c r="CB363" s="867">
        <f t="shared" ca="1" si="274"/>
        <v>0</v>
      </c>
      <c r="CC363" s="867">
        <f t="shared" ca="1" si="275"/>
        <v>0</v>
      </c>
      <c r="CD363" s="867">
        <f t="shared" ca="1" si="276"/>
        <v>0</v>
      </c>
    </row>
    <row r="364" spans="1:82" ht="17" hidden="1" thickTop="1" thickBot="1">
      <c r="A364" s="773">
        <f t="shared" si="226"/>
        <v>0</v>
      </c>
      <c r="B364" s="779"/>
      <c r="D364" s="660"/>
      <c r="E364" s="661"/>
      <c r="F364" s="862"/>
      <c r="G364" s="863"/>
      <c r="H364" s="961"/>
      <c r="I364" s="865">
        <f t="shared" si="230"/>
        <v>0</v>
      </c>
      <c r="J364" s="864" cm="1">
        <f t="array" ref="J364">IF($G364=0,0,-MIN(0,G364*c_equity.LPshare))</f>
        <v>0</v>
      </c>
      <c r="K364" s="865" cm="1">
        <f t="array" ref="K364">I364*c_rate.Pref.MO</f>
        <v>0</v>
      </c>
      <c r="L364" s="865">
        <f t="shared" si="231"/>
        <v>0</v>
      </c>
      <c r="M364" s="865">
        <f t="shared" si="232"/>
        <v>0</v>
      </c>
      <c r="N364" s="865">
        <f t="shared" si="233"/>
        <v>0</v>
      </c>
      <c r="O364" s="864" cm="1">
        <f t="array" ref="O364">IF(N364=0,0,IF(G364&lt;0,N364/c_equity.LPshare*i_equity.GPshare,L364/c_equity.LPshare*i_equity.GPshare))</f>
        <v>0</v>
      </c>
      <c r="P364" s="865">
        <f t="shared" si="234"/>
        <v>0</v>
      </c>
      <c r="Q364" s="865">
        <f t="shared" si="235"/>
        <v>0</v>
      </c>
      <c r="R364" s="161"/>
      <c r="S364" s="867">
        <f t="shared" ca="1" si="236"/>
        <v>0</v>
      </c>
      <c r="T364" s="867" cm="1">
        <f t="array" ref="T364">IF($G364=0,0,-MIN(0,$G364*c_equity.LPshare))</f>
        <v>0</v>
      </c>
      <c r="U364" s="869" cm="1">
        <f t="array" ref="U364">IF($D364=0,0,S364*c_rate.Hurdle1.MO)</f>
        <v>0</v>
      </c>
      <c r="V364" s="867">
        <f t="shared" si="237"/>
        <v>0</v>
      </c>
      <c r="W364" s="867">
        <f t="shared" ca="1" si="238"/>
        <v>0</v>
      </c>
      <c r="X364" s="869">
        <f t="shared" ca="1" si="239"/>
        <v>0</v>
      </c>
      <c r="Y364" s="869">
        <f t="shared" ca="1" si="240"/>
        <v>0</v>
      </c>
      <c r="Z364" s="869">
        <f t="shared" ca="1" si="241"/>
        <v>0</v>
      </c>
      <c r="AA364" s="869">
        <f t="shared" ca="1" si="242"/>
        <v>0</v>
      </c>
      <c r="AB364" s="867">
        <f t="shared" ca="1" si="243"/>
        <v>0</v>
      </c>
      <c r="AC364" s="161"/>
      <c r="AD364" s="869">
        <f t="shared" ca="1" si="244"/>
        <v>0</v>
      </c>
      <c r="AE364" s="867" cm="1">
        <f t="array" ref="AE364">IF($G364=0,0,-MIN(0,$G364*c_equity.LPshare))</f>
        <v>0</v>
      </c>
      <c r="AF364" s="869" cm="1">
        <f t="array" ref="AF364">IF($D364=0,0,AD364*(c_rate.Hurdle2.MO))</f>
        <v>0</v>
      </c>
      <c r="AG364" s="869">
        <f t="shared" ca="1" si="245"/>
        <v>0</v>
      </c>
      <c r="AH364" s="869">
        <f t="shared" ca="1" si="246"/>
        <v>0</v>
      </c>
      <c r="AI364" s="869">
        <f t="shared" ca="1" si="247"/>
        <v>0</v>
      </c>
      <c r="AJ364" s="870">
        <f t="shared" ca="1" si="248"/>
        <v>0</v>
      </c>
      <c r="AK364" s="867">
        <f t="shared" ca="1" si="249"/>
        <v>0</v>
      </c>
      <c r="AL364" s="869">
        <f t="shared" ca="1" si="227"/>
        <v>0</v>
      </c>
      <c r="AM364" s="869">
        <f t="shared" ca="1" si="250"/>
        <v>0</v>
      </c>
      <c r="AN364" s="867">
        <f t="shared" ca="1" si="251"/>
        <v>0</v>
      </c>
      <c r="AO364" s="161"/>
      <c r="AP364" s="869">
        <f t="shared" ca="1" si="252"/>
        <v>0</v>
      </c>
      <c r="AQ364" s="867" cm="1">
        <f t="array" ref="AQ364">IF($G364=0,0,-MIN(0,$G364*c_equity.LPshare))</f>
        <v>0</v>
      </c>
      <c r="AR364" s="869" cm="1">
        <f t="array" ref="AR364">IF($D364=0,0,AP364*(c_rate.Hurdle3.MO))</f>
        <v>0</v>
      </c>
      <c r="AS364" s="869">
        <f t="shared" ca="1" si="253"/>
        <v>0</v>
      </c>
      <c r="AT364" s="869">
        <f t="shared" ca="1" si="254"/>
        <v>0</v>
      </c>
      <c r="AU364" s="869">
        <f t="shared" ca="1" si="255"/>
        <v>0</v>
      </c>
      <c r="AV364" s="870">
        <f t="shared" ca="1" si="256"/>
        <v>0</v>
      </c>
      <c r="AW364" s="867">
        <f t="shared" ca="1" si="257"/>
        <v>0</v>
      </c>
      <c r="AX364" s="869">
        <f t="shared" ca="1" si="228"/>
        <v>0</v>
      </c>
      <c r="AY364" s="869">
        <f t="shared" ca="1" si="258"/>
        <v>0</v>
      </c>
      <c r="AZ364" s="867">
        <f t="shared" ca="1" si="259"/>
        <v>0</v>
      </c>
      <c r="BA364" s="161"/>
      <c r="BB364" s="867">
        <f t="shared" ca="1" si="260"/>
        <v>0</v>
      </c>
      <c r="BC364" s="867">
        <f t="shared" ca="1" si="225"/>
        <v>0</v>
      </c>
      <c r="BD364" s="658"/>
      <c r="BE364" s="867">
        <f t="shared" ca="1" si="261"/>
        <v>0</v>
      </c>
      <c r="BF364" s="867">
        <f t="shared" ca="1" si="262"/>
        <v>0</v>
      </c>
      <c r="BG364" s="867">
        <f t="shared" ca="1" si="263"/>
        <v>0</v>
      </c>
      <c r="BI364" s="867">
        <f ca="1"/>
        <v>0</v>
      </c>
      <c r="BJ364" s="867">
        <f ca="1"/>
        <v>0</v>
      </c>
      <c r="BK364" s="867">
        <f ca="1"/>
        <v>0</v>
      </c>
      <c r="BL364" s="867">
        <f t="shared" ca="1" si="264"/>
        <v>0</v>
      </c>
      <c r="BM364" s="867">
        <f t="shared" ca="1" si="265"/>
        <v>0</v>
      </c>
      <c r="BN364" s="867">
        <f t="shared" ca="1" si="266"/>
        <v>0</v>
      </c>
      <c r="BO364" s="867">
        <f t="shared" ca="1" si="267"/>
        <v>0</v>
      </c>
      <c r="BP364" s="867">
        <f t="shared" ca="1" si="268"/>
        <v>0</v>
      </c>
      <c r="BQ364" s="867">
        <f t="shared" ca="1" si="269"/>
        <v>0</v>
      </c>
      <c r="BR364" s="867">
        <f ca="1"/>
        <v>0</v>
      </c>
      <c r="BS364" s="867">
        <f ca="1"/>
        <v>0</v>
      </c>
      <c r="BT364" s="867">
        <f t="shared" ca="1" si="229"/>
        <v>0</v>
      </c>
      <c r="BU364" s="867">
        <f t="shared" ca="1" si="270"/>
        <v>0</v>
      </c>
      <c r="BX364" s="867">
        <f ca="1"/>
        <v>0</v>
      </c>
      <c r="BY364" s="867">
        <f t="shared" ca="1" si="271"/>
        <v>0</v>
      </c>
      <c r="BZ364" s="867">
        <f t="shared" ca="1" si="272"/>
        <v>0</v>
      </c>
      <c r="CA364" s="867">
        <f t="shared" ca="1" si="273"/>
        <v>0</v>
      </c>
      <c r="CB364" s="867">
        <f t="shared" ca="1" si="274"/>
        <v>0</v>
      </c>
      <c r="CC364" s="867">
        <f t="shared" ca="1" si="275"/>
        <v>0</v>
      </c>
      <c r="CD364" s="867">
        <f t="shared" ca="1" si="276"/>
        <v>0</v>
      </c>
    </row>
    <row r="365" spans="1:82" ht="17" hidden="1" thickTop="1" thickBot="1">
      <c r="A365" s="773">
        <f t="shared" si="226"/>
        <v>0</v>
      </c>
      <c r="B365" s="779"/>
      <c r="D365" s="660"/>
      <c r="E365" s="661"/>
      <c r="F365" s="862"/>
      <c r="G365" s="863"/>
      <c r="H365" s="961"/>
      <c r="I365" s="865">
        <f t="shared" si="230"/>
        <v>0</v>
      </c>
      <c r="J365" s="864" cm="1">
        <f t="array" ref="J365">IF($G365=0,0,-MIN(0,G365*c_equity.LPshare))</f>
        <v>0</v>
      </c>
      <c r="K365" s="865" cm="1">
        <f t="array" ref="K365">I365*c_rate.Pref.MO</f>
        <v>0</v>
      </c>
      <c r="L365" s="865">
        <f t="shared" si="231"/>
        <v>0</v>
      </c>
      <c r="M365" s="865">
        <f t="shared" si="232"/>
        <v>0</v>
      </c>
      <c r="N365" s="865">
        <f t="shared" si="233"/>
        <v>0</v>
      </c>
      <c r="O365" s="864" cm="1">
        <f t="array" ref="O365">IF(N365=0,0,IF(G365&lt;0,N365/c_equity.LPshare*i_equity.GPshare,L365/c_equity.LPshare*i_equity.GPshare))</f>
        <v>0</v>
      </c>
      <c r="P365" s="865">
        <f t="shared" si="234"/>
        <v>0</v>
      </c>
      <c r="Q365" s="865">
        <f t="shared" si="235"/>
        <v>0</v>
      </c>
      <c r="R365" s="161"/>
      <c r="S365" s="867">
        <f t="shared" ca="1" si="236"/>
        <v>0</v>
      </c>
      <c r="T365" s="867" cm="1">
        <f t="array" ref="T365">IF($G365=0,0,-MIN(0,$G365*c_equity.LPshare))</f>
        <v>0</v>
      </c>
      <c r="U365" s="869" cm="1">
        <f t="array" ref="U365">IF($D365=0,0,S365*c_rate.Hurdle1.MO)</f>
        <v>0</v>
      </c>
      <c r="V365" s="867">
        <f t="shared" si="237"/>
        <v>0</v>
      </c>
      <c r="W365" s="867">
        <f t="shared" ca="1" si="238"/>
        <v>0</v>
      </c>
      <c r="X365" s="869">
        <f t="shared" ca="1" si="239"/>
        <v>0</v>
      </c>
      <c r="Y365" s="869">
        <f t="shared" ca="1" si="240"/>
        <v>0</v>
      </c>
      <c r="Z365" s="869">
        <f t="shared" ca="1" si="241"/>
        <v>0</v>
      </c>
      <c r="AA365" s="869">
        <f t="shared" ca="1" si="242"/>
        <v>0</v>
      </c>
      <c r="AB365" s="867">
        <f t="shared" ca="1" si="243"/>
        <v>0</v>
      </c>
      <c r="AC365" s="161"/>
      <c r="AD365" s="869">
        <f t="shared" ca="1" si="244"/>
        <v>0</v>
      </c>
      <c r="AE365" s="867" cm="1">
        <f t="array" ref="AE365">IF($G365=0,0,-MIN(0,$G365*c_equity.LPshare))</f>
        <v>0</v>
      </c>
      <c r="AF365" s="869" cm="1">
        <f t="array" ref="AF365">IF($D365=0,0,AD365*(c_rate.Hurdle2.MO))</f>
        <v>0</v>
      </c>
      <c r="AG365" s="869">
        <f t="shared" ca="1" si="245"/>
        <v>0</v>
      </c>
      <c r="AH365" s="869">
        <f t="shared" ca="1" si="246"/>
        <v>0</v>
      </c>
      <c r="AI365" s="869">
        <f t="shared" ca="1" si="247"/>
        <v>0</v>
      </c>
      <c r="AJ365" s="870">
        <f t="shared" ca="1" si="248"/>
        <v>0</v>
      </c>
      <c r="AK365" s="867">
        <f t="shared" ca="1" si="249"/>
        <v>0</v>
      </c>
      <c r="AL365" s="869">
        <f t="shared" ca="1" si="227"/>
        <v>0</v>
      </c>
      <c r="AM365" s="869">
        <f t="shared" ca="1" si="250"/>
        <v>0</v>
      </c>
      <c r="AN365" s="867">
        <f t="shared" ca="1" si="251"/>
        <v>0</v>
      </c>
      <c r="AO365" s="161"/>
      <c r="AP365" s="869">
        <f t="shared" ca="1" si="252"/>
        <v>0</v>
      </c>
      <c r="AQ365" s="867" cm="1">
        <f t="array" ref="AQ365">IF($G365=0,0,-MIN(0,$G365*c_equity.LPshare))</f>
        <v>0</v>
      </c>
      <c r="AR365" s="869" cm="1">
        <f t="array" ref="AR365">IF($D365=0,0,AP365*(c_rate.Hurdle3.MO))</f>
        <v>0</v>
      </c>
      <c r="AS365" s="869">
        <f t="shared" ca="1" si="253"/>
        <v>0</v>
      </c>
      <c r="AT365" s="869">
        <f t="shared" ca="1" si="254"/>
        <v>0</v>
      </c>
      <c r="AU365" s="869">
        <f t="shared" ca="1" si="255"/>
        <v>0</v>
      </c>
      <c r="AV365" s="870">
        <f t="shared" ca="1" si="256"/>
        <v>0</v>
      </c>
      <c r="AW365" s="867">
        <f t="shared" ca="1" si="257"/>
        <v>0</v>
      </c>
      <c r="AX365" s="869">
        <f t="shared" ca="1" si="228"/>
        <v>0</v>
      </c>
      <c r="AY365" s="869">
        <f t="shared" ca="1" si="258"/>
        <v>0</v>
      </c>
      <c r="AZ365" s="867">
        <f t="shared" ca="1" si="259"/>
        <v>0</v>
      </c>
      <c r="BA365" s="161"/>
      <c r="BB365" s="867">
        <f t="shared" ca="1" si="260"/>
        <v>0</v>
      </c>
      <c r="BC365" s="867">
        <f t="shared" ca="1" si="225"/>
        <v>0</v>
      </c>
      <c r="BD365" s="658"/>
      <c r="BE365" s="867">
        <f t="shared" ca="1" si="261"/>
        <v>0</v>
      </c>
      <c r="BF365" s="867">
        <f t="shared" ca="1" si="262"/>
        <v>0</v>
      </c>
      <c r="BG365" s="867">
        <f t="shared" ca="1" si="263"/>
        <v>0</v>
      </c>
      <c r="BI365" s="867">
        <f ca="1"/>
        <v>0</v>
      </c>
      <c r="BJ365" s="867">
        <f ca="1"/>
        <v>0</v>
      </c>
      <c r="BK365" s="867">
        <f ca="1"/>
        <v>0</v>
      </c>
      <c r="BL365" s="867">
        <f t="shared" ca="1" si="264"/>
        <v>0</v>
      </c>
      <c r="BM365" s="867">
        <f t="shared" ca="1" si="265"/>
        <v>0</v>
      </c>
      <c r="BN365" s="867">
        <f t="shared" ca="1" si="266"/>
        <v>0</v>
      </c>
      <c r="BO365" s="867">
        <f t="shared" ca="1" si="267"/>
        <v>0</v>
      </c>
      <c r="BP365" s="867">
        <f t="shared" ca="1" si="268"/>
        <v>0</v>
      </c>
      <c r="BQ365" s="867">
        <f t="shared" ca="1" si="269"/>
        <v>0</v>
      </c>
      <c r="BR365" s="867">
        <f ca="1"/>
        <v>0</v>
      </c>
      <c r="BS365" s="867">
        <f ca="1"/>
        <v>0</v>
      </c>
      <c r="BT365" s="867">
        <f t="shared" ca="1" si="229"/>
        <v>0</v>
      </c>
      <c r="BU365" s="867">
        <f t="shared" ca="1" si="270"/>
        <v>0</v>
      </c>
      <c r="BX365" s="867">
        <f ca="1"/>
        <v>0</v>
      </c>
      <c r="BY365" s="867">
        <f t="shared" ca="1" si="271"/>
        <v>0</v>
      </c>
      <c r="BZ365" s="867">
        <f t="shared" ca="1" si="272"/>
        <v>0</v>
      </c>
      <c r="CA365" s="867">
        <f t="shared" ca="1" si="273"/>
        <v>0</v>
      </c>
      <c r="CB365" s="867">
        <f t="shared" ca="1" si="274"/>
        <v>0</v>
      </c>
      <c r="CC365" s="867">
        <f t="shared" ca="1" si="275"/>
        <v>0</v>
      </c>
      <c r="CD365" s="867">
        <f t="shared" ca="1" si="276"/>
        <v>0</v>
      </c>
    </row>
    <row r="366" spans="1:82" ht="17" hidden="1" thickTop="1" thickBot="1">
      <c r="A366" s="773">
        <f t="shared" si="226"/>
        <v>0</v>
      </c>
      <c r="B366" s="779"/>
      <c r="D366" s="660"/>
      <c r="E366" s="661"/>
      <c r="F366" s="862"/>
      <c r="G366" s="863"/>
      <c r="H366" s="961"/>
      <c r="I366" s="865">
        <f t="shared" si="230"/>
        <v>0</v>
      </c>
      <c r="J366" s="864" cm="1">
        <f t="array" ref="J366">IF($G366=0,0,-MIN(0,G366*c_equity.LPshare))</f>
        <v>0</v>
      </c>
      <c r="K366" s="865" cm="1">
        <f t="array" ref="K366">I366*c_rate.Pref.MO</f>
        <v>0</v>
      </c>
      <c r="L366" s="865">
        <f t="shared" si="231"/>
        <v>0</v>
      </c>
      <c r="M366" s="865">
        <f t="shared" si="232"/>
        <v>0</v>
      </c>
      <c r="N366" s="865">
        <f t="shared" si="233"/>
        <v>0</v>
      </c>
      <c r="O366" s="864" cm="1">
        <f t="array" ref="O366">IF(N366=0,0,IF(G366&lt;0,N366/c_equity.LPshare*i_equity.GPshare,L366/c_equity.LPshare*i_equity.GPshare))</f>
        <v>0</v>
      </c>
      <c r="P366" s="865">
        <f t="shared" si="234"/>
        <v>0</v>
      </c>
      <c r="Q366" s="865">
        <f t="shared" si="235"/>
        <v>0</v>
      </c>
      <c r="R366" s="161"/>
      <c r="S366" s="867">
        <f t="shared" ca="1" si="236"/>
        <v>0</v>
      </c>
      <c r="T366" s="867" cm="1">
        <f t="array" ref="T366">IF($G366=0,0,-MIN(0,$G366*c_equity.LPshare))</f>
        <v>0</v>
      </c>
      <c r="U366" s="869" cm="1">
        <f t="array" ref="U366">IF($D366=0,0,S366*c_rate.Hurdle1.MO)</f>
        <v>0</v>
      </c>
      <c r="V366" s="867">
        <f t="shared" si="237"/>
        <v>0</v>
      </c>
      <c r="W366" s="867">
        <f t="shared" ca="1" si="238"/>
        <v>0</v>
      </c>
      <c r="X366" s="869">
        <f t="shared" ca="1" si="239"/>
        <v>0</v>
      </c>
      <c r="Y366" s="869">
        <f t="shared" ca="1" si="240"/>
        <v>0</v>
      </c>
      <c r="Z366" s="869">
        <f t="shared" ca="1" si="241"/>
        <v>0</v>
      </c>
      <c r="AA366" s="869">
        <f t="shared" ca="1" si="242"/>
        <v>0</v>
      </c>
      <c r="AB366" s="867">
        <f t="shared" ca="1" si="243"/>
        <v>0</v>
      </c>
      <c r="AC366" s="161"/>
      <c r="AD366" s="869">
        <f t="shared" ca="1" si="244"/>
        <v>0</v>
      </c>
      <c r="AE366" s="867" cm="1">
        <f t="array" ref="AE366">IF($G366=0,0,-MIN(0,$G366*c_equity.LPshare))</f>
        <v>0</v>
      </c>
      <c r="AF366" s="869" cm="1">
        <f t="array" ref="AF366">IF($D366=0,0,AD366*(c_rate.Hurdle2.MO))</f>
        <v>0</v>
      </c>
      <c r="AG366" s="869">
        <f t="shared" ca="1" si="245"/>
        <v>0</v>
      </c>
      <c r="AH366" s="869">
        <f t="shared" ca="1" si="246"/>
        <v>0</v>
      </c>
      <c r="AI366" s="869">
        <f t="shared" ca="1" si="247"/>
        <v>0</v>
      </c>
      <c r="AJ366" s="870">
        <f t="shared" ca="1" si="248"/>
        <v>0</v>
      </c>
      <c r="AK366" s="867">
        <f t="shared" ca="1" si="249"/>
        <v>0</v>
      </c>
      <c r="AL366" s="869">
        <f t="shared" ca="1" si="227"/>
        <v>0</v>
      </c>
      <c r="AM366" s="869">
        <f t="shared" ca="1" si="250"/>
        <v>0</v>
      </c>
      <c r="AN366" s="867">
        <f t="shared" ca="1" si="251"/>
        <v>0</v>
      </c>
      <c r="AO366" s="161"/>
      <c r="AP366" s="869">
        <f t="shared" ca="1" si="252"/>
        <v>0</v>
      </c>
      <c r="AQ366" s="867" cm="1">
        <f t="array" ref="AQ366">IF($G366=0,0,-MIN(0,$G366*c_equity.LPshare))</f>
        <v>0</v>
      </c>
      <c r="AR366" s="869" cm="1">
        <f t="array" ref="AR366">IF($D366=0,0,AP366*(c_rate.Hurdle3.MO))</f>
        <v>0</v>
      </c>
      <c r="AS366" s="869">
        <f t="shared" ca="1" si="253"/>
        <v>0</v>
      </c>
      <c r="AT366" s="869">
        <f t="shared" ca="1" si="254"/>
        <v>0</v>
      </c>
      <c r="AU366" s="869">
        <f t="shared" ca="1" si="255"/>
        <v>0</v>
      </c>
      <c r="AV366" s="870">
        <f t="shared" ca="1" si="256"/>
        <v>0</v>
      </c>
      <c r="AW366" s="867">
        <f t="shared" ca="1" si="257"/>
        <v>0</v>
      </c>
      <c r="AX366" s="869">
        <f t="shared" ca="1" si="228"/>
        <v>0</v>
      </c>
      <c r="AY366" s="869">
        <f t="shared" ca="1" si="258"/>
        <v>0</v>
      </c>
      <c r="AZ366" s="867">
        <f t="shared" ca="1" si="259"/>
        <v>0</v>
      </c>
      <c r="BA366" s="161"/>
      <c r="BB366" s="867">
        <f t="shared" ca="1" si="260"/>
        <v>0</v>
      </c>
      <c r="BC366" s="867">
        <f t="shared" ca="1" si="225"/>
        <v>0</v>
      </c>
      <c r="BD366" s="658"/>
      <c r="BE366" s="867">
        <f t="shared" ca="1" si="261"/>
        <v>0</v>
      </c>
      <c r="BF366" s="867">
        <f t="shared" ca="1" si="262"/>
        <v>0</v>
      </c>
      <c r="BG366" s="867">
        <f t="shared" ca="1" si="263"/>
        <v>0</v>
      </c>
      <c r="BI366" s="867">
        <f ca="1"/>
        <v>0</v>
      </c>
      <c r="BJ366" s="867">
        <f ca="1"/>
        <v>0</v>
      </c>
      <c r="BK366" s="867">
        <f ca="1"/>
        <v>0</v>
      </c>
      <c r="BL366" s="867">
        <f t="shared" ca="1" si="264"/>
        <v>0</v>
      </c>
      <c r="BM366" s="867">
        <f t="shared" ca="1" si="265"/>
        <v>0</v>
      </c>
      <c r="BN366" s="867">
        <f t="shared" ca="1" si="266"/>
        <v>0</v>
      </c>
      <c r="BO366" s="867">
        <f t="shared" ca="1" si="267"/>
        <v>0</v>
      </c>
      <c r="BP366" s="867">
        <f t="shared" ca="1" si="268"/>
        <v>0</v>
      </c>
      <c r="BQ366" s="867">
        <f t="shared" ca="1" si="269"/>
        <v>0</v>
      </c>
      <c r="BR366" s="867">
        <f ca="1"/>
        <v>0</v>
      </c>
      <c r="BS366" s="867">
        <f ca="1"/>
        <v>0</v>
      </c>
      <c r="BT366" s="867">
        <f t="shared" ca="1" si="229"/>
        <v>0</v>
      </c>
      <c r="BU366" s="867">
        <f t="shared" ca="1" si="270"/>
        <v>0</v>
      </c>
      <c r="BX366" s="867">
        <f ca="1"/>
        <v>0</v>
      </c>
      <c r="BY366" s="867">
        <f t="shared" ca="1" si="271"/>
        <v>0</v>
      </c>
      <c r="BZ366" s="867">
        <f t="shared" ca="1" si="272"/>
        <v>0</v>
      </c>
      <c r="CA366" s="867">
        <f t="shared" ca="1" si="273"/>
        <v>0</v>
      </c>
      <c r="CB366" s="867">
        <f t="shared" ca="1" si="274"/>
        <v>0</v>
      </c>
      <c r="CC366" s="867">
        <f t="shared" ca="1" si="275"/>
        <v>0</v>
      </c>
      <c r="CD366" s="867">
        <f t="shared" ca="1" si="276"/>
        <v>0</v>
      </c>
    </row>
    <row r="367" spans="1:82" ht="17" hidden="1" thickTop="1" thickBot="1">
      <c r="A367" s="773">
        <f t="shared" si="226"/>
        <v>0</v>
      </c>
      <c r="B367" s="779"/>
      <c r="D367" s="660"/>
      <c r="E367" s="661"/>
      <c r="F367" s="862"/>
      <c r="G367" s="863"/>
      <c r="H367" s="961"/>
      <c r="I367" s="865">
        <f t="shared" si="230"/>
        <v>0</v>
      </c>
      <c r="J367" s="864" cm="1">
        <f t="array" ref="J367">IF($G367=0,0,-MIN(0,G367*c_equity.LPshare))</f>
        <v>0</v>
      </c>
      <c r="K367" s="865" cm="1">
        <f t="array" ref="K367">I367*c_rate.Pref.MO</f>
        <v>0</v>
      </c>
      <c r="L367" s="865">
        <f t="shared" si="231"/>
        <v>0</v>
      </c>
      <c r="M367" s="865">
        <f t="shared" si="232"/>
        <v>0</v>
      </c>
      <c r="N367" s="865">
        <f t="shared" si="233"/>
        <v>0</v>
      </c>
      <c r="O367" s="864" cm="1">
        <f t="array" ref="O367">IF(N367=0,0,IF(G367&lt;0,N367/c_equity.LPshare*i_equity.GPshare,L367/c_equity.LPshare*i_equity.GPshare))</f>
        <v>0</v>
      </c>
      <c r="P367" s="865">
        <f t="shared" si="234"/>
        <v>0</v>
      </c>
      <c r="Q367" s="865">
        <f t="shared" si="235"/>
        <v>0</v>
      </c>
      <c r="R367" s="161"/>
      <c r="S367" s="867">
        <f t="shared" ca="1" si="236"/>
        <v>0</v>
      </c>
      <c r="T367" s="867" cm="1">
        <f t="array" ref="T367">IF($G367=0,0,-MIN(0,$G367*c_equity.LPshare))</f>
        <v>0</v>
      </c>
      <c r="U367" s="869" cm="1">
        <f t="array" ref="U367">IF($D367=0,0,S367*c_rate.Hurdle1.MO)</f>
        <v>0</v>
      </c>
      <c r="V367" s="867">
        <f t="shared" si="237"/>
        <v>0</v>
      </c>
      <c r="W367" s="867">
        <f t="shared" ca="1" si="238"/>
        <v>0</v>
      </c>
      <c r="X367" s="869">
        <f t="shared" ca="1" si="239"/>
        <v>0</v>
      </c>
      <c r="Y367" s="869">
        <f t="shared" ca="1" si="240"/>
        <v>0</v>
      </c>
      <c r="Z367" s="869">
        <f t="shared" ca="1" si="241"/>
        <v>0</v>
      </c>
      <c r="AA367" s="869">
        <f t="shared" ca="1" si="242"/>
        <v>0</v>
      </c>
      <c r="AB367" s="867">
        <f t="shared" ca="1" si="243"/>
        <v>0</v>
      </c>
      <c r="AC367" s="161"/>
      <c r="AD367" s="869">
        <f t="shared" ca="1" si="244"/>
        <v>0</v>
      </c>
      <c r="AE367" s="867" cm="1">
        <f t="array" ref="AE367">IF($G367=0,0,-MIN(0,$G367*c_equity.LPshare))</f>
        <v>0</v>
      </c>
      <c r="AF367" s="869" cm="1">
        <f t="array" ref="AF367">IF($D367=0,0,AD367*(c_rate.Hurdle2.MO))</f>
        <v>0</v>
      </c>
      <c r="AG367" s="869">
        <f t="shared" ca="1" si="245"/>
        <v>0</v>
      </c>
      <c r="AH367" s="869">
        <f t="shared" ca="1" si="246"/>
        <v>0</v>
      </c>
      <c r="AI367" s="869">
        <f t="shared" ca="1" si="247"/>
        <v>0</v>
      </c>
      <c r="AJ367" s="870">
        <f t="shared" ca="1" si="248"/>
        <v>0</v>
      </c>
      <c r="AK367" s="867">
        <f t="shared" ca="1" si="249"/>
        <v>0</v>
      </c>
      <c r="AL367" s="869">
        <f t="shared" ca="1" si="227"/>
        <v>0</v>
      </c>
      <c r="AM367" s="869">
        <f t="shared" ca="1" si="250"/>
        <v>0</v>
      </c>
      <c r="AN367" s="867">
        <f t="shared" ca="1" si="251"/>
        <v>0</v>
      </c>
      <c r="AO367" s="161"/>
      <c r="AP367" s="869">
        <f t="shared" ca="1" si="252"/>
        <v>0</v>
      </c>
      <c r="AQ367" s="867" cm="1">
        <f t="array" ref="AQ367">IF($G367=0,0,-MIN(0,$G367*c_equity.LPshare))</f>
        <v>0</v>
      </c>
      <c r="AR367" s="869" cm="1">
        <f t="array" ref="AR367">IF($D367=0,0,AP367*(c_rate.Hurdle3.MO))</f>
        <v>0</v>
      </c>
      <c r="AS367" s="869">
        <f t="shared" ca="1" si="253"/>
        <v>0</v>
      </c>
      <c r="AT367" s="869">
        <f t="shared" ca="1" si="254"/>
        <v>0</v>
      </c>
      <c r="AU367" s="869">
        <f t="shared" ca="1" si="255"/>
        <v>0</v>
      </c>
      <c r="AV367" s="870">
        <f t="shared" ca="1" si="256"/>
        <v>0</v>
      </c>
      <c r="AW367" s="867">
        <f t="shared" ca="1" si="257"/>
        <v>0</v>
      </c>
      <c r="AX367" s="869">
        <f t="shared" ca="1" si="228"/>
        <v>0</v>
      </c>
      <c r="AY367" s="869">
        <f t="shared" ca="1" si="258"/>
        <v>0</v>
      </c>
      <c r="AZ367" s="867">
        <f t="shared" ca="1" si="259"/>
        <v>0</v>
      </c>
      <c r="BA367" s="161"/>
      <c r="BB367" s="867">
        <f t="shared" ca="1" si="260"/>
        <v>0</v>
      </c>
      <c r="BC367" s="867">
        <f t="shared" ca="1" si="225"/>
        <v>0</v>
      </c>
      <c r="BD367" s="658"/>
      <c r="BE367" s="867">
        <f t="shared" ca="1" si="261"/>
        <v>0</v>
      </c>
      <c r="BF367" s="867">
        <f t="shared" ca="1" si="262"/>
        <v>0</v>
      </c>
      <c r="BG367" s="867">
        <f t="shared" ca="1" si="263"/>
        <v>0</v>
      </c>
      <c r="BI367" s="867">
        <f ca="1"/>
        <v>0</v>
      </c>
      <c r="BJ367" s="867">
        <f ca="1"/>
        <v>0</v>
      </c>
      <c r="BK367" s="867">
        <f ca="1"/>
        <v>0</v>
      </c>
      <c r="BL367" s="867">
        <f t="shared" ca="1" si="264"/>
        <v>0</v>
      </c>
      <c r="BM367" s="867">
        <f t="shared" ca="1" si="265"/>
        <v>0</v>
      </c>
      <c r="BN367" s="867">
        <f t="shared" ca="1" si="266"/>
        <v>0</v>
      </c>
      <c r="BO367" s="867">
        <f t="shared" ca="1" si="267"/>
        <v>0</v>
      </c>
      <c r="BP367" s="867">
        <f t="shared" ca="1" si="268"/>
        <v>0</v>
      </c>
      <c r="BQ367" s="867">
        <f t="shared" ca="1" si="269"/>
        <v>0</v>
      </c>
      <c r="BR367" s="867">
        <f ca="1"/>
        <v>0</v>
      </c>
      <c r="BS367" s="867">
        <f ca="1"/>
        <v>0</v>
      </c>
      <c r="BT367" s="867">
        <f t="shared" ca="1" si="229"/>
        <v>0</v>
      </c>
      <c r="BU367" s="867">
        <f t="shared" ca="1" si="270"/>
        <v>0</v>
      </c>
      <c r="BX367" s="867">
        <f ca="1"/>
        <v>0</v>
      </c>
      <c r="BY367" s="867">
        <f t="shared" ca="1" si="271"/>
        <v>0</v>
      </c>
      <c r="BZ367" s="867">
        <f t="shared" ca="1" si="272"/>
        <v>0</v>
      </c>
      <c r="CA367" s="867">
        <f t="shared" ca="1" si="273"/>
        <v>0</v>
      </c>
      <c r="CB367" s="867">
        <f t="shared" ca="1" si="274"/>
        <v>0</v>
      </c>
      <c r="CC367" s="867">
        <f t="shared" ca="1" si="275"/>
        <v>0</v>
      </c>
      <c r="CD367" s="867">
        <f t="shared" ca="1" si="276"/>
        <v>0</v>
      </c>
    </row>
    <row r="368" spans="1:82" ht="17" hidden="1" thickTop="1" thickBot="1">
      <c r="A368" s="773">
        <f t="shared" si="226"/>
        <v>0</v>
      </c>
      <c r="B368" s="779"/>
      <c r="D368" s="660"/>
      <c r="E368" s="661"/>
      <c r="F368" s="862"/>
      <c r="G368" s="863"/>
      <c r="H368" s="961"/>
      <c r="I368" s="865">
        <f t="shared" si="230"/>
        <v>0</v>
      </c>
      <c r="J368" s="864" cm="1">
        <f t="array" ref="J368">IF($G368=0,0,-MIN(0,G368*c_equity.LPshare))</f>
        <v>0</v>
      </c>
      <c r="K368" s="865" cm="1">
        <f t="array" ref="K368">I368*c_rate.Pref.MO</f>
        <v>0</v>
      </c>
      <c r="L368" s="865">
        <f t="shared" si="231"/>
        <v>0</v>
      </c>
      <c r="M368" s="865">
        <f t="shared" si="232"/>
        <v>0</v>
      </c>
      <c r="N368" s="865">
        <f t="shared" si="233"/>
        <v>0</v>
      </c>
      <c r="O368" s="864" cm="1">
        <f t="array" ref="O368">IF(N368=0,0,IF(G368&lt;0,N368/c_equity.LPshare*i_equity.GPshare,L368/c_equity.LPshare*i_equity.GPshare))</f>
        <v>0</v>
      </c>
      <c r="P368" s="865">
        <f t="shared" si="234"/>
        <v>0</v>
      </c>
      <c r="Q368" s="865">
        <f t="shared" si="235"/>
        <v>0</v>
      </c>
      <c r="R368" s="161"/>
      <c r="S368" s="867">
        <f t="shared" ca="1" si="236"/>
        <v>0</v>
      </c>
      <c r="T368" s="867" cm="1">
        <f t="array" ref="T368">IF($G368=0,0,-MIN(0,$G368*c_equity.LPshare))</f>
        <v>0</v>
      </c>
      <c r="U368" s="869" cm="1">
        <f t="array" ref="U368">IF($D368=0,0,S368*c_rate.Hurdle1.MO)</f>
        <v>0</v>
      </c>
      <c r="V368" s="867">
        <f t="shared" si="237"/>
        <v>0</v>
      </c>
      <c r="W368" s="867">
        <f t="shared" ca="1" si="238"/>
        <v>0</v>
      </c>
      <c r="X368" s="869">
        <f t="shared" ca="1" si="239"/>
        <v>0</v>
      </c>
      <c r="Y368" s="869">
        <f t="shared" ca="1" si="240"/>
        <v>0</v>
      </c>
      <c r="Z368" s="869">
        <f t="shared" ca="1" si="241"/>
        <v>0</v>
      </c>
      <c r="AA368" s="869">
        <f t="shared" ca="1" si="242"/>
        <v>0</v>
      </c>
      <c r="AB368" s="867">
        <f t="shared" ca="1" si="243"/>
        <v>0</v>
      </c>
      <c r="AC368" s="161"/>
      <c r="AD368" s="869">
        <f t="shared" ca="1" si="244"/>
        <v>0</v>
      </c>
      <c r="AE368" s="867" cm="1">
        <f t="array" ref="AE368">IF($G368=0,0,-MIN(0,$G368*c_equity.LPshare))</f>
        <v>0</v>
      </c>
      <c r="AF368" s="869" cm="1">
        <f t="array" ref="AF368">IF($D368=0,0,AD368*(c_rate.Hurdle2.MO))</f>
        <v>0</v>
      </c>
      <c r="AG368" s="869">
        <f t="shared" ca="1" si="245"/>
        <v>0</v>
      </c>
      <c r="AH368" s="869">
        <f t="shared" ca="1" si="246"/>
        <v>0</v>
      </c>
      <c r="AI368" s="869">
        <f t="shared" ca="1" si="247"/>
        <v>0</v>
      </c>
      <c r="AJ368" s="870">
        <f t="shared" ca="1" si="248"/>
        <v>0</v>
      </c>
      <c r="AK368" s="867">
        <f t="shared" ca="1" si="249"/>
        <v>0</v>
      </c>
      <c r="AL368" s="869">
        <f t="shared" ca="1" si="227"/>
        <v>0</v>
      </c>
      <c r="AM368" s="869">
        <f t="shared" ca="1" si="250"/>
        <v>0</v>
      </c>
      <c r="AN368" s="867">
        <f t="shared" ca="1" si="251"/>
        <v>0</v>
      </c>
      <c r="AO368" s="161"/>
      <c r="AP368" s="869">
        <f t="shared" ca="1" si="252"/>
        <v>0</v>
      </c>
      <c r="AQ368" s="867" cm="1">
        <f t="array" ref="AQ368">IF($G368=0,0,-MIN(0,$G368*c_equity.LPshare))</f>
        <v>0</v>
      </c>
      <c r="AR368" s="869" cm="1">
        <f t="array" ref="AR368">IF($D368=0,0,AP368*(c_rate.Hurdle3.MO))</f>
        <v>0</v>
      </c>
      <c r="AS368" s="869">
        <f t="shared" ca="1" si="253"/>
        <v>0</v>
      </c>
      <c r="AT368" s="869">
        <f t="shared" ca="1" si="254"/>
        <v>0</v>
      </c>
      <c r="AU368" s="869">
        <f t="shared" ca="1" si="255"/>
        <v>0</v>
      </c>
      <c r="AV368" s="870">
        <f t="shared" ca="1" si="256"/>
        <v>0</v>
      </c>
      <c r="AW368" s="867">
        <f t="shared" ca="1" si="257"/>
        <v>0</v>
      </c>
      <c r="AX368" s="869">
        <f t="shared" ca="1" si="228"/>
        <v>0</v>
      </c>
      <c r="AY368" s="869">
        <f t="shared" ca="1" si="258"/>
        <v>0</v>
      </c>
      <c r="AZ368" s="867">
        <f t="shared" ca="1" si="259"/>
        <v>0</v>
      </c>
      <c r="BA368" s="161"/>
      <c r="BB368" s="867">
        <f t="shared" ca="1" si="260"/>
        <v>0</v>
      </c>
      <c r="BC368" s="867">
        <f t="shared" ref="BC368:BC407" ca="1" si="277">$AZ368*i_residualGP</f>
        <v>0</v>
      </c>
      <c r="BD368" s="658"/>
      <c r="BE368" s="867">
        <f t="shared" ca="1" si="261"/>
        <v>0</v>
      </c>
      <c r="BF368" s="867">
        <f t="shared" ca="1" si="262"/>
        <v>0</v>
      </c>
      <c r="BG368" s="867">
        <f t="shared" ca="1" si="263"/>
        <v>0</v>
      </c>
      <c r="BI368" s="867">
        <f ca="1"/>
        <v>0</v>
      </c>
      <c r="BJ368" s="867">
        <f ca="1"/>
        <v>0</v>
      </c>
      <c r="BK368" s="867">
        <f ca="1"/>
        <v>0</v>
      </c>
      <c r="BL368" s="867">
        <f t="shared" ca="1" si="264"/>
        <v>0</v>
      </c>
      <c r="BM368" s="867">
        <f t="shared" ca="1" si="265"/>
        <v>0</v>
      </c>
      <c r="BN368" s="867">
        <f t="shared" ca="1" si="266"/>
        <v>0</v>
      </c>
      <c r="BO368" s="867">
        <f t="shared" ca="1" si="267"/>
        <v>0</v>
      </c>
      <c r="BP368" s="867">
        <f t="shared" ca="1" si="268"/>
        <v>0</v>
      </c>
      <c r="BQ368" s="867">
        <f t="shared" ca="1" si="269"/>
        <v>0</v>
      </c>
      <c r="BR368" s="867">
        <f ca="1"/>
        <v>0</v>
      </c>
      <c r="BS368" s="867">
        <f ca="1"/>
        <v>0</v>
      </c>
      <c r="BT368" s="867">
        <f t="shared" ca="1" si="229"/>
        <v>0</v>
      </c>
      <c r="BU368" s="867">
        <f t="shared" ca="1" si="270"/>
        <v>0</v>
      </c>
      <c r="BX368" s="867">
        <f ca="1"/>
        <v>0</v>
      </c>
      <c r="BY368" s="867">
        <f t="shared" ca="1" si="271"/>
        <v>0</v>
      </c>
      <c r="BZ368" s="867">
        <f t="shared" ca="1" si="272"/>
        <v>0</v>
      </c>
      <c r="CA368" s="867">
        <f t="shared" ca="1" si="273"/>
        <v>0</v>
      </c>
      <c r="CB368" s="867">
        <f t="shared" ca="1" si="274"/>
        <v>0</v>
      </c>
      <c r="CC368" s="867">
        <f t="shared" ca="1" si="275"/>
        <v>0</v>
      </c>
      <c r="CD368" s="867">
        <f t="shared" ca="1" si="276"/>
        <v>0</v>
      </c>
    </row>
    <row r="369" spans="1:82" ht="17" hidden="1" thickTop="1" thickBot="1">
      <c r="A369" s="773">
        <f t="shared" ref="A369:A431" si="278">IF(D369&gt;0,1,0)</f>
        <v>0</v>
      </c>
      <c r="B369" s="779"/>
      <c r="D369" s="660"/>
      <c r="E369" s="661"/>
      <c r="F369" s="862"/>
      <c r="G369" s="863"/>
      <c r="H369" s="961"/>
      <c r="I369" s="865">
        <f t="shared" si="230"/>
        <v>0</v>
      </c>
      <c r="J369" s="864" cm="1">
        <f t="array" ref="J369">IF($G369=0,0,-MIN(0,G369*c_equity.LPshare))</f>
        <v>0</v>
      </c>
      <c r="K369" s="865" cm="1">
        <f t="array" ref="K369">I369*c_rate.Pref.MO</f>
        <v>0</v>
      </c>
      <c r="L369" s="865">
        <f t="shared" si="231"/>
        <v>0</v>
      </c>
      <c r="M369" s="865">
        <f t="shared" si="232"/>
        <v>0</v>
      </c>
      <c r="N369" s="865">
        <f t="shared" si="233"/>
        <v>0</v>
      </c>
      <c r="O369" s="864" cm="1">
        <f t="array" ref="O369">IF(N369=0,0,IF(G369&lt;0,N369/c_equity.LPshare*i_equity.GPshare,L369/c_equity.LPshare*i_equity.GPshare))</f>
        <v>0</v>
      </c>
      <c r="P369" s="865">
        <f t="shared" si="234"/>
        <v>0</v>
      </c>
      <c r="Q369" s="865">
        <f t="shared" si="235"/>
        <v>0</v>
      </c>
      <c r="R369" s="161"/>
      <c r="S369" s="867">
        <f t="shared" ca="1" si="236"/>
        <v>0</v>
      </c>
      <c r="T369" s="867" cm="1">
        <f t="array" ref="T369">IF($G369=0,0,-MIN(0,$G369*c_equity.LPshare))</f>
        <v>0</v>
      </c>
      <c r="U369" s="869" cm="1">
        <f t="array" ref="U369">IF($D369=0,0,S369*c_rate.Hurdle1.MO)</f>
        <v>0</v>
      </c>
      <c r="V369" s="867">
        <f t="shared" si="237"/>
        <v>0</v>
      </c>
      <c r="W369" s="867">
        <f t="shared" ca="1" si="238"/>
        <v>0</v>
      </c>
      <c r="X369" s="869">
        <f t="shared" ca="1" si="239"/>
        <v>0</v>
      </c>
      <c r="Y369" s="869">
        <f t="shared" ca="1" si="240"/>
        <v>0</v>
      </c>
      <c r="Z369" s="869">
        <f t="shared" ca="1" si="241"/>
        <v>0</v>
      </c>
      <c r="AA369" s="869">
        <f t="shared" ca="1" si="242"/>
        <v>0</v>
      </c>
      <c r="AB369" s="867">
        <f t="shared" ca="1" si="243"/>
        <v>0</v>
      </c>
      <c r="AC369" s="161"/>
      <c r="AD369" s="869">
        <f t="shared" ca="1" si="244"/>
        <v>0</v>
      </c>
      <c r="AE369" s="867" cm="1">
        <f t="array" ref="AE369">IF($G369=0,0,-MIN(0,$G369*c_equity.LPshare))</f>
        <v>0</v>
      </c>
      <c r="AF369" s="869" cm="1">
        <f t="array" ref="AF369">IF($D369=0,0,AD369*(c_rate.Hurdle2.MO))</f>
        <v>0</v>
      </c>
      <c r="AG369" s="869">
        <f t="shared" ca="1" si="245"/>
        <v>0</v>
      </c>
      <c r="AH369" s="869">
        <f t="shared" ca="1" si="246"/>
        <v>0</v>
      </c>
      <c r="AI369" s="869">
        <f t="shared" ca="1" si="247"/>
        <v>0</v>
      </c>
      <c r="AJ369" s="870">
        <f t="shared" ca="1" si="248"/>
        <v>0</v>
      </c>
      <c r="AK369" s="867">
        <f t="shared" ca="1" si="249"/>
        <v>0</v>
      </c>
      <c r="AL369" s="869">
        <f t="shared" ref="AL369:AL407" ca="1" si="279">IF(AD369=0,0,Z369+AH369/$J$18*c_Hurdle2.Share_GP)</f>
        <v>0</v>
      </c>
      <c r="AM369" s="869">
        <f t="shared" ca="1" si="250"/>
        <v>0</v>
      </c>
      <c r="AN369" s="867">
        <f t="shared" ca="1" si="251"/>
        <v>0</v>
      </c>
      <c r="AO369" s="161"/>
      <c r="AP369" s="869">
        <f t="shared" ca="1" si="252"/>
        <v>0</v>
      </c>
      <c r="AQ369" s="867" cm="1">
        <f t="array" ref="AQ369">IF($G369=0,0,-MIN(0,$G369*c_equity.LPshare))</f>
        <v>0</v>
      </c>
      <c r="AR369" s="869" cm="1">
        <f t="array" ref="AR369">IF($D369=0,0,AP369*(c_rate.Hurdle3.MO))</f>
        <v>0</v>
      </c>
      <c r="AS369" s="869">
        <f t="shared" ca="1" si="253"/>
        <v>0</v>
      </c>
      <c r="AT369" s="869">
        <f t="shared" ca="1" si="254"/>
        <v>0</v>
      </c>
      <c r="AU369" s="869">
        <f t="shared" ca="1" si="255"/>
        <v>0</v>
      </c>
      <c r="AV369" s="870">
        <f t="shared" ca="1" si="256"/>
        <v>0</v>
      </c>
      <c r="AW369" s="867">
        <f t="shared" ca="1" si="257"/>
        <v>0</v>
      </c>
      <c r="AX369" s="869">
        <f t="shared" ref="AX369:AX407" ca="1" si="280">IF(AP369=0,0,AL369+AT369/$J$19*c_Hurdle3.Share_GP)</f>
        <v>0</v>
      </c>
      <c r="AY369" s="869">
        <f t="shared" ca="1" si="258"/>
        <v>0</v>
      </c>
      <c r="AZ369" s="867">
        <f t="shared" ca="1" si="259"/>
        <v>0</v>
      </c>
      <c r="BA369" s="161"/>
      <c r="BB369" s="867">
        <f t="shared" ca="1" si="260"/>
        <v>0</v>
      </c>
      <c r="BC369" s="867">
        <f t="shared" ca="1" si="277"/>
        <v>0</v>
      </c>
      <c r="BD369" s="658"/>
      <c r="BE369" s="867">
        <f t="shared" ca="1" si="261"/>
        <v>0</v>
      </c>
      <c r="BF369" s="867">
        <f t="shared" ca="1" si="262"/>
        <v>0</v>
      </c>
      <c r="BG369" s="867">
        <f t="shared" ca="1" si="263"/>
        <v>0</v>
      </c>
      <c r="BI369" s="867">
        <f ca="1"/>
        <v>0</v>
      </c>
      <c r="BJ369" s="867">
        <f ca="1"/>
        <v>0</v>
      </c>
      <c r="BK369" s="867">
        <f ca="1"/>
        <v>0</v>
      </c>
      <c r="BL369" s="867">
        <f t="shared" ca="1" si="264"/>
        <v>0</v>
      </c>
      <c r="BM369" s="867">
        <f t="shared" ca="1" si="265"/>
        <v>0</v>
      </c>
      <c r="BN369" s="867">
        <f t="shared" ca="1" si="266"/>
        <v>0</v>
      </c>
      <c r="BO369" s="867">
        <f t="shared" ca="1" si="267"/>
        <v>0</v>
      </c>
      <c r="BP369" s="867">
        <f t="shared" ca="1" si="268"/>
        <v>0</v>
      </c>
      <c r="BQ369" s="867">
        <f t="shared" ca="1" si="269"/>
        <v>0</v>
      </c>
      <c r="BR369" s="867">
        <f ca="1"/>
        <v>0</v>
      </c>
      <c r="BS369" s="867">
        <f ca="1"/>
        <v>0</v>
      </c>
      <c r="BT369" s="867">
        <f t="shared" ref="BT369:BT407" ca="1" si="281">BJ369+BL369+BN369+BP369+BR369</f>
        <v>0</v>
      </c>
      <c r="BU369" s="867">
        <f t="shared" ca="1" si="270"/>
        <v>0</v>
      </c>
      <c r="BX369" s="867">
        <f ca="1"/>
        <v>0</v>
      </c>
      <c r="BY369" s="867">
        <f t="shared" ca="1" si="271"/>
        <v>0</v>
      </c>
      <c r="BZ369" s="867">
        <f t="shared" ca="1" si="272"/>
        <v>0</v>
      </c>
      <c r="CA369" s="867">
        <f t="shared" ca="1" si="273"/>
        <v>0</v>
      </c>
      <c r="CB369" s="867">
        <f t="shared" ca="1" si="274"/>
        <v>0</v>
      </c>
      <c r="CC369" s="867">
        <f t="shared" ca="1" si="275"/>
        <v>0</v>
      </c>
      <c r="CD369" s="867">
        <f t="shared" ca="1" si="276"/>
        <v>0</v>
      </c>
    </row>
    <row r="370" spans="1:82" ht="17" hidden="1" thickTop="1" thickBot="1">
      <c r="A370" s="773">
        <f t="shared" si="278"/>
        <v>0</v>
      </c>
      <c r="B370" s="779"/>
      <c r="D370" s="660"/>
      <c r="E370" s="661"/>
      <c r="F370" s="862"/>
      <c r="G370" s="863"/>
      <c r="H370" s="961"/>
      <c r="I370" s="865">
        <f t="shared" ref="I370:I407" si="282">IF(D370=0,0,M369)</f>
        <v>0</v>
      </c>
      <c r="J370" s="864" cm="1">
        <f t="array" ref="J370">IF($G370=0,0,-MIN(0,G370*c_equity.LPshare))</f>
        <v>0</v>
      </c>
      <c r="K370" s="865" cm="1">
        <f t="array" ref="K370">I370*c_rate.Pref.MO</f>
        <v>0</v>
      </c>
      <c r="L370" s="865">
        <f t="shared" ref="L370:L407" si="283">IF($G370=0,0,MAX(MIN($G370*$I$46,I370+K370-J370),0))</f>
        <v>0</v>
      </c>
      <c r="M370" s="865">
        <f t="shared" ref="M370:M407" si="284">I370+K370+J370-L370</f>
        <v>0</v>
      </c>
      <c r="N370" s="865">
        <f t="shared" ref="N370:N407" si="285">L370-J370</f>
        <v>0</v>
      </c>
      <c r="O370" s="864" cm="1">
        <f t="array" ref="O370">IF(N370=0,0,IF(G370&lt;0,N370/c_equity.LPshare*i_equity.GPshare,L370/c_equity.LPshare*i_equity.GPshare))</f>
        <v>0</v>
      </c>
      <c r="P370" s="865">
        <f t="shared" ref="P370:P407" si="286">N370+O370</f>
        <v>0</v>
      </c>
      <c r="Q370" s="865">
        <f t="shared" ref="Q370:Q407" si="287">ROUND(IF(E370=0,0,MAX(G370-P370,0)),1)</f>
        <v>0</v>
      </c>
      <c r="R370" s="161"/>
      <c r="S370" s="867">
        <f t="shared" ref="S370:S407" ca="1" si="288">X369</f>
        <v>0</v>
      </c>
      <c r="T370" s="867" cm="1">
        <f t="array" ref="T370">IF($G370=0,0,-MIN(0,$G370*c_equity.LPshare))</f>
        <v>0</v>
      </c>
      <c r="U370" s="869" cm="1">
        <f t="array" ref="U370">IF($D370=0,0,S370*c_rate.Hurdle1.MO)</f>
        <v>0</v>
      </c>
      <c r="V370" s="867">
        <f t="shared" ref="V370:V407" si="289">L370</f>
        <v>0</v>
      </c>
      <c r="W370" s="867">
        <f t="shared" ref="W370:W407" ca="1" si="290">MIN(S370+U370-V370,Q370*S$46)</f>
        <v>0</v>
      </c>
      <c r="X370" s="869">
        <f t="shared" ref="X370:X407" ca="1" si="291">S370+T370+U370-V370-W370</f>
        <v>0</v>
      </c>
      <c r="Y370" s="869">
        <f t="shared" ref="Y370:Y407" ca="1" si="292">N370+W370</f>
        <v>0</v>
      </c>
      <c r="Z370" s="869">
        <f t="shared" ref="Z370:Z407" ca="1" si="293">IF(Y370=0,0,O370+(W370/$J$17*c_Hurdle1.Share_GP))</f>
        <v>0</v>
      </c>
      <c r="AA370" s="869">
        <f t="shared" ref="AA370:AA407" ca="1" si="294">Y370+Z370</f>
        <v>0</v>
      </c>
      <c r="AB370" s="867">
        <f t="shared" ref="AB370:AB407" ca="1" si="295">IF(AA370&lt;0,0,MAX($G370-AA370,0))</f>
        <v>0</v>
      </c>
      <c r="AC370" s="161"/>
      <c r="AD370" s="869">
        <f t="shared" ref="AD370:AD407" ca="1" si="296">AI369</f>
        <v>0</v>
      </c>
      <c r="AE370" s="867" cm="1">
        <f t="array" ref="AE370">IF($G370=0,0,-MIN(0,$G370*c_equity.LPshare))</f>
        <v>0</v>
      </c>
      <c r="AF370" s="869" cm="1">
        <f t="array" ref="AF370">IF($D370=0,0,AD370*(c_rate.Hurdle2.MO))</f>
        <v>0</v>
      </c>
      <c r="AG370" s="869">
        <f t="shared" ref="AG370:AG407" ca="1" si="297">V370+W370</f>
        <v>0</v>
      </c>
      <c r="AH370" s="869">
        <f t="shared" ref="AH370:AH407" ca="1" si="298">IF(AB370=0,0,MIN(AD370+AE370+AF370-AG370,AB370*AD$46))</f>
        <v>0</v>
      </c>
      <c r="AI370" s="869">
        <f t="shared" ref="AI370:AI407" ca="1" si="299">AD370+AF370+AE370-AG370-AH370</f>
        <v>0</v>
      </c>
      <c r="AJ370" s="870">
        <f t="shared" ref="AJ370:AJ407" ca="1" si="300">-AE370+AG370+AH370</f>
        <v>0</v>
      </c>
      <c r="AK370" s="867">
        <f t="shared" ref="AK370:AK407" ca="1" si="301">Y370+AH370</f>
        <v>0</v>
      </c>
      <c r="AL370" s="869">
        <f t="shared" ca="1" si="279"/>
        <v>0</v>
      </c>
      <c r="AM370" s="869">
        <f t="shared" ref="AM370:AM407" ca="1" si="302">AK370+AL370</f>
        <v>0</v>
      </c>
      <c r="AN370" s="867">
        <f t="shared" ref="AN370:AN407" ca="1" si="303">IF(AM370&lt;0,0,MAX($G370-AA370-AM370,0))</f>
        <v>0</v>
      </c>
      <c r="AO370" s="161"/>
      <c r="AP370" s="869">
        <f t="shared" ref="AP370:AP407" ca="1" si="304">AU369</f>
        <v>0</v>
      </c>
      <c r="AQ370" s="867" cm="1">
        <f t="array" ref="AQ370">IF($G370=0,0,-MIN(0,$G370*c_equity.LPshare))</f>
        <v>0</v>
      </c>
      <c r="AR370" s="869" cm="1">
        <f t="array" ref="AR370">IF($D370=0,0,AP370*(c_rate.Hurdle3.MO))</f>
        <v>0</v>
      </c>
      <c r="AS370" s="869">
        <f t="shared" ref="AS370:AS407" ca="1" si="305">AG370+AH370</f>
        <v>0</v>
      </c>
      <c r="AT370" s="869">
        <f t="shared" ref="AT370:AT407" ca="1" si="306">IF(AP370=0,0,MIN(AP370+AQ370+AR370-AS370,AN370*AP$46))</f>
        <v>0</v>
      </c>
      <c r="AU370" s="869">
        <f t="shared" ref="AU370:AU407" ca="1" si="307">AP370+AR370+AQ370-AS370-AT370</f>
        <v>0</v>
      </c>
      <c r="AV370" s="870">
        <f t="shared" ref="AV370:AV407" ca="1" si="308">-AQ370+AS370+AT370</f>
        <v>0</v>
      </c>
      <c r="AW370" s="867">
        <f t="shared" ref="AW370:AW407" ca="1" si="309">AK370+AT370</f>
        <v>0</v>
      </c>
      <c r="AX370" s="869">
        <f t="shared" ca="1" si="280"/>
        <v>0</v>
      </c>
      <c r="AY370" s="869">
        <f t="shared" ref="AY370:AY407" ca="1" si="310">AW370+AX370</f>
        <v>0</v>
      </c>
      <c r="AZ370" s="867">
        <f t="shared" ref="AZ370:AZ407" ca="1" si="311">IF(AY370&lt;0,0,MAX($G370-AM370-AY370,0))</f>
        <v>0</v>
      </c>
      <c r="BA370" s="161"/>
      <c r="BB370" s="867">
        <f t="shared" ref="BB370:BB407" ca="1" si="312">$AZ370-BC370</f>
        <v>0</v>
      </c>
      <c r="BC370" s="867">
        <f t="shared" ca="1" si="277"/>
        <v>0</v>
      </c>
      <c r="BD370" s="658"/>
      <c r="BE370" s="867">
        <f t="shared" ref="BE370:BE407" ca="1" si="313">AW370+BB370</f>
        <v>0</v>
      </c>
      <c r="BF370" s="867">
        <f t="shared" ref="BF370:BF407" ca="1" si="314">AX370+BC370</f>
        <v>0</v>
      </c>
      <c r="BG370" s="867">
        <f t="shared" ref="BG370:BG407" ca="1" si="315">SUM(BE370:BF370)</f>
        <v>0</v>
      </c>
      <c r="BI370" s="867">
        <f ca="1"/>
        <v>0</v>
      </c>
      <c r="BJ370" s="867">
        <f ca="1"/>
        <v>0</v>
      </c>
      <c r="BK370" s="867">
        <f ca="1"/>
        <v>0</v>
      </c>
      <c r="BL370" s="867">
        <f t="shared" ref="BL370:BL407" ca="1" si="316">Y370-N370</f>
        <v>0</v>
      </c>
      <c r="BM370" s="867">
        <f t="shared" ref="BM370:BM407" ca="1" si="317">Z370-O370</f>
        <v>0</v>
      </c>
      <c r="BN370" s="867">
        <f t="shared" ref="BN370:BN407" ca="1" si="318">AK370-Y370</f>
        <v>0</v>
      </c>
      <c r="BO370" s="867">
        <f t="shared" ref="BO370:BO407" ca="1" si="319">AL370-Z370</f>
        <v>0</v>
      </c>
      <c r="BP370" s="867">
        <f t="shared" ref="BP370:BP407" ca="1" si="320">AW370-AK370</f>
        <v>0</v>
      </c>
      <c r="BQ370" s="867">
        <f t="shared" ref="BQ370:BQ407" ca="1" si="321">AX370-AL370</f>
        <v>0</v>
      </c>
      <c r="BR370" s="867">
        <f ca="1"/>
        <v>0</v>
      </c>
      <c r="BS370" s="867">
        <f ca="1"/>
        <v>0</v>
      </c>
      <c r="BT370" s="867">
        <f t="shared" ca="1" si="281"/>
        <v>0</v>
      </c>
      <c r="BU370" s="867">
        <f t="shared" ref="BU370:BU407" ca="1" si="322">BK370+BM370+BO370+BQ370+BS370</f>
        <v>0</v>
      </c>
      <c r="BX370" s="867">
        <f ca="1"/>
        <v>0</v>
      </c>
      <c r="BY370" s="867">
        <f t="shared" ref="BY370:BY407" ca="1" si="323">BJ370+BK370</f>
        <v>0</v>
      </c>
      <c r="BZ370" s="867">
        <f t="shared" ref="BZ370:BZ407" ca="1" si="324">BL370+BM370</f>
        <v>0</v>
      </c>
      <c r="CA370" s="867">
        <f t="shared" ref="CA370:CA407" ca="1" si="325">BN370+BO370</f>
        <v>0</v>
      </c>
      <c r="CB370" s="867">
        <f t="shared" ref="CB370:CB407" ca="1" si="326">BP370+BQ370</f>
        <v>0</v>
      </c>
      <c r="CC370" s="867">
        <f t="shared" ref="CC370:CC407" ca="1" si="327">BR370+BS370</f>
        <v>0</v>
      </c>
      <c r="CD370" s="867">
        <f t="shared" ref="CD370:CD407" ca="1" si="328">SUM(BY370:CC370)</f>
        <v>0</v>
      </c>
    </row>
    <row r="371" spans="1:82" ht="17" hidden="1" thickTop="1" thickBot="1">
      <c r="A371" s="773">
        <f t="shared" si="278"/>
        <v>0</v>
      </c>
      <c r="B371" s="779"/>
      <c r="D371" s="660"/>
      <c r="E371" s="661"/>
      <c r="F371" s="862"/>
      <c r="G371" s="863"/>
      <c r="H371" s="961"/>
      <c r="I371" s="865">
        <f t="shared" si="282"/>
        <v>0</v>
      </c>
      <c r="J371" s="864" cm="1">
        <f t="array" ref="J371">IF($G371=0,0,-MIN(0,G371*c_equity.LPshare))</f>
        <v>0</v>
      </c>
      <c r="K371" s="865" cm="1">
        <f t="array" ref="K371">I371*c_rate.Pref.MO</f>
        <v>0</v>
      </c>
      <c r="L371" s="865">
        <f t="shared" si="283"/>
        <v>0</v>
      </c>
      <c r="M371" s="865">
        <f t="shared" si="284"/>
        <v>0</v>
      </c>
      <c r="N371" s="865">
        <f t="shared" si="285"/>
        <v>0</v>
      </c>
      <c r="O371" s="864" cm="1">
        <f t="array" ref="O371">IF(N371=0,0,IF(G371&lt;0,N371/c_equity.LPshare*i_equity.GPshare,L371/c_equity.LPshare*i_equity.GPshare))</f>
        <v>0</v>
      </c>
      <c r="P371" s="865">
        <f t="shared" si="286"/>
        <v>0</v>
      </c>
      <c r="Q371" s="865">
        <f t="shared" si="287"/>
        <v>0</v>
      </c>
      <c r="R371" s="161"/>
      <c r="S371" s="867">
        <f t="shared" ca="1" si="288"/>
        <v>0</v>
      </c>
      <c r="T371" s="867" cm="1">
        <f t="array" ref="T371">IF($G371=0,0,-MIN(0,$G371*c_equity.LPshare))</f>
        <v>0</v>
      </c>
      <c r="U371" s="869" cm="1">
        <f t="array" ref="U371">IF($D371=0,0,S371*c_rate.Hurdle1.MO)</f>
        <v>0</v>
      </c>
      <c r="V371" s="867">
        <f t="shared" si="289"/>
        <v>0</v>
      </c>
      <c r="W371" s="867">
        <f t="shared" ca="1" si="290"/>
        <v>0</v>
      </c>
      <c r="X371" s="869">
        <f t="shared" ca="1" si="291"/>
        <v>0</v>
      </c>
      <c r="Y371" s="869">
        <f t="shared" ca="1" si="292"/>
        <v>0</v>
      </c>
      <c r="Z371" s="869">
        <f t="shared" ca="1" si="293"/>
        <v>0</v>
      </c>
      <c r="AA371" s="869">
        <f t="shared" ca="1" si="294"/>
        <v>0</v>
      </c>
      <c r="AB371" s="867">
        <f t="shared" ca="1" si="295"/>
        <v>0</v>
      </c>
      <c r="AC371" s="161"/>
      <c r="AD371" s="869">
        <f t="shared" ca="1" si="296"/>
        <v>0</v>
      </c>
      <c r="AE371" s="867" cm="1">
        <f t="array" ref="AE371">IF($G371=0,0,-MIN(0,$G371*c_equity.LPshare))</f>
        <v>0</v>
      </c>
      <c r="AF371" s="869" cm="1">
        <f t="array" ref="AF371">IF($D371=0,0,AD371*(c_rate.Hurdle2.MO))</f>
        <v>0</v>
      </c>
      <c r="AG371" s="869">
        <f t="shared" ca="1" si="297"/>
        <v>0</v>
      </c>
      <c r="AH371" s="869">
        <f t="shared" ca="1" si="298"/>
        <v>0</v>
      </c>
      <c r="AI371" s="869">
        <f t="shared" ca="1" si="299"/>
        <v>0</v>
      </c>
      <c r="AJ371" s="870">
        <f t="shared" ca="1" si="300"/>
        <v>0</v>
      </c>
      <c r="AK371" s="867">
        <f t="shared" ca="1" si="301"/>
        <v>0</v>
      </c>
      <c r="AL371" s="869">
        <f t="shared" ca="1" si="279"/>
        <v>0</v>
      </c>
      <c r="AM371" s="869">
        <f t="shared" ca="1" si="302"/>
        <v>0</v>
      </c>
      <c r="AN371" s="867">
        <f t="shared" ca="1" si="303"/>
        <v>0</v>
      </c>
      <c r="AO371" s="161"/>
      <c r="AP371" s="869">
        <f t="shared" ca="1" si="304"/>
        <v>0</v>
      </c>
      <c r="AQ371" s="867" cm="1">
        <f t="array" ref="AQ371">IF($G371=0,0,-MIN(0,$G371*c_equity.LPshare))</f>
        <v>0</v>
      </c>
      <c r="AR371" s="869" cm="1">
        <f t="array" ref="AR371">IF($D371=0,0,AP371*(c_rate.Hurdle3.MO))</f>
        <v>0</v>
      </c>
      <c r="AS371" s="869">
        <f t="shared" ca="1" si="305"/>
        <v>0</v>
      </c>
      <c r="AT371" s="869">
        <f t="shared" ca="1" si="306"/>
        <v>0</v>
      </c>
      <c r="AU371" s="869">
        <f t="shared" ca="1" si="307"/>
        <v>0</v>
      </c>
      <c r="AV371" s="870">
        <f t="shared" ca="1" si="308"/>
        <v>0</v>
      </c>
      <c r="AW371" s="867">
        <f t="shared" ca="1" si="309"/>
        <v>0</v>
      </c>
      <c r="AX371" s="869">
        <f t="shared" ca="1" si="280"/>
        <v>0</v>
      </c>
      <c r="AY371" s="869">
        <f t="shared" ca="1" si="310"/>
        <v>0</v>
      </c>
      <c r="AZ371" s="867">
        <f t="shared" ca="1" si="311"/>
        <v>0</v>
      </c>
      <c r="BA371" s="161"/>
      <c r="BB371" s="867">
        <f t="shared" ca="1" si="312"/>
        <v>0</v>
      </c>
      <c r="BC371" s="867">
        <f t="shared" ca="1" si="277"/>
        <v>0</v>
      </c>
      <c r="BD371" s="658"/>
      <c r="BE371" s="867">
        <f t="shared" ca="1" si="313"/>
        <v>0</v>
      </c>
      <c r="BF371" s="867">
        <f t="shared" ca="1" si="314"/>
        <v>0</v>
      </c>
      <c r="BG371" s="867">
        <f t="shared" ca="1" si="315"/>
        <v>0</v>
      </c>
      <c r="BI371" s="867">
        <f ca="1"/>
        <v>0</v>
      </c>
      <c r="BJ371" s="867">
        <f ca="1"/>
        <v>0</v>
      </c>
      <c r="BK371" s="867">
        <f ca="1"/>
        <v>0</v>
      </c>
      <c r="BL371" s="867">
        <f t="shared" ca="1" si="316"/>
        <v>0</v>
      </c>
      <c r="BM371" s="867">
        <f t="shared" ca="1" si="317"/>
        <v>0</v>
      </c>
      <c r="BN371" s="867">
        <f t="shared" ca="1" si="318"/>
        <v>0</v>
      </c>
      <c r="BO371" s="867">
        <f t="shared" ca="1" si="319"/>
        <v>0</v>
      </c>
      <c r="BP371" s="867">
        <f t="shared" ca="1" si="320"/>
        <v>0</v>
      </c>
      <c r="BQ371" s="867">
        <f t="shared" ca="1" si="321"/>
        <v>0</v>
      </c>
      <c r="BR371" s="867">
        <f ca="1"/>
        <v>0</v>
      </c>
      <c r="BS371" s="867">
        <f ca="1"/>
        <v>0</v>
      </c>
      <c r="BT371" s="867">
        <f t="shared" ca="1" si="281"/>
        <v>0</v>
      </c>
      <c r="BU371" s="867">
        <f t="shared" ca="1" si="322"/>
        <v>0</v>
      </c>
      <c r="BX371" s="867">
        <f ca="1"/>
        <v>0</v>
      </c>
      <c r="BY371" s="867">
        <f t="shared" ca="1" si="323"/>
        <v>0</v>
      </c>
      <c r="BZ371" s="867">
        <f t="shared" ca="1" si="324"/>
        <v>0</v>
      </c>
      <c r="CA371" s="867">
        <f t="shared" ca="1" si="325"/>
        <v>0</v>
      </c>
      <c r="CB371" s="867">
        <f t="shared" ca="1" si="326"/>
        <v>0</v>
      </c>
      <c r="CC371" s="867">
        <f t="shared" ca="1" si="327"/>
        <v>0</v>
      </c>
      <c r="CD371" s="867">
        <f t="shared" ca="1" si="328"/>
        <v>0</v>
      </c>
    </row>
    <row r="372" spans="1:82" ht="16" hidden="1" thickTop="1" thickBot="1">
      <c r="A372" s="773">
        <f t="shared" si="278"/>
        <v>0</v>
      </c>
      <c r="D372" s="660"/>
      <c r="E372" s="661"/>
      <c r="F372" s="862"/>
      <c r="G372" s="863"/>
      <c r="H372" s="961"/>
      <c r="I372" s="865">
        <f t="shared" si="282"/>
        <v>0</v>
      </c>
      <c r="J372" s="864" cm="1">
        <f t="array" ref="J372">IF($G372=0,0,-MIN(0,G372*c_equity.LPshare))</f>
        <v>0</v>
      </c>
      <c r="K372" s="865" cm="1">
        <f t="array" ref="K372">I372*c_rate.Pref.MO</f>
        <v>0</v>
      </c>
      <c r="L372" s="865">
        <f t="shared" si="283"/>
        <v>0</v>
      </c>
      <c r="M372" s="865">
        <f t="shared" si="284"/>
        <v>0</v>
      </c>
      <c r="N372" s="865">
        <f t="shared" si="285"/>
        <v>0</v>
      </c>
      <c r="O372" s="864" cm="1">
        <f t="array" ref="O372">IF(N372=0,0,IF(G372&lt;0,N372/c_equity.LPshare*i_equity.GPshare,L372/c_equity.LPshare*i_equity.GPshare))</f>
        <v>0</v>
      </c>
      <c r="P372" s="865">
        <f t="shared" si="286"/>
        <v>0</v>
      </c>
      <c r="Q372" s="865">
        <f t="shared" si="287"/>
        <v>0</v>
      </c>
      <c r="R372" s="161"/>
      <c r="S372" s="867">
        <f t="shared" ca="1" si="288"/>
        <v>0</v>
      </c>
      <c r="T372" s="867" cm="1">
        <f t="array" ref="T372">IF($G372=0,0,-MIN(0,$G372*c_equity.LPshare))</f>
        <v>0</v>
      </c>
      <c r="U372" s="869" cm="1">
        <f t="array" ref="U372">IF($D372=0,0,S372*c_rate.Hurdle1.MO)</f>
        <v>0</v>
      </c>
      <c r="V372" s="867">
        <f t="shared" si="289"/>
        <v>0</v>
      </c>
      <c r="W372" s="867">
        <f t="shared" ca="1" si="290"/>
        <v>0</v>
      </c>
      <c r="X372" s="869">
        <f t="shared" ca="1" si="291"/>
        <v>0</v>
      </c>
      <c r="Y372" s="869">
        <f t="shared" ca="1" si="292"/>
        <v>0</v>
      </c>
      <c r="Z372" s="869">
        <f t="shared" ca="1" si="293"/>
        <v>0</v>
      </c>
      <c r="AA372" s="869">
        <f t="shared" ca="1" si="294"/>
        <v>0</v>
      </c>
      <c r="AB372" s="867">
        <f t="shared" ca="1" si="295"/>
        <v>0</v>
      </c>
      <c r="AC372" s="161"/>
      <c r="AD372" s="869">
        <f t="shared" ca="1" si="296"/>
        <v>0</v>
      </c>
      <c r="AE372" s="867" cm="1">
        <f t="array" ref="AE372">IF($G372=0,0,-MIN(0,$G372*c_equity.LPshare))</f>
        <v>0</v>
      </c>
      <c r="AF372" s="869" cm="1">
        <f t="array" ref="AF372">IF($D372=0,0,AD372*(c_rate.Hurdle2.MO))</f>
        <v>0</v>
      </c>
      <c r="AG372" s="869">
        <f t="shared" ca="1" si="297"/>
        <v>0</v>
      </c>
      <c r="AH372" s="869">
        <f t="shared" ca="1" si="298"/>
        <v>0</v>
      </c>
      <c r="AI372" s="869">
        <f t="shared" ca="1" si="299"/>
        <v>0</v>
      </c>
      <c r="AJ372" s="870">
        <f t="shared" ca="1" si="300"/>
        <v>0</v>
      </c>
      <c r="AK372" s="867">
        <f t="shared" ca="1" si="301"/>
        <v>0</v>
      </c>
      <c r="AL372" s="869">
        <f t="shared" ca="1" si="279"/>
        <v>0</v>
      </c>
      <c r="AM372" s="869">
        <f t="shared" ca="1" si="302"/>
        <v>0</v>
      </c>
      <c r="AN372" s="867">
        <f t="shared" ca="1" si="303"/>
        <v>0</v>
      </c>
      <c r="AO372" s="161"/>
      <c r="AP372" s="869">
        <f t="shared" ca="1" si="304"/>
        <v>0</v>
      </c>
      <c r="AQ372" s="867" cm="1">
        <f t="array" ref="AQ372">IF($G372=0,0,-MIN(0,$G372*c_equity.LPshare))</f>
        <v>0</v>
      </c>
      <c r="AR372" s="869" cm="1">
        <f t="array" ref="AR372">IF($D372=0,0,AP372*(c_rate.Hurdle3.MO))</f>
        <v>0</v>
      </c>
      <c r="AS372" s="869">
        <f t="shared" ca="1" si="305"/>
        <v>0</v>
      </c>
      <c r="AT372" s="869">
        <f t="shared" ca="1" si="306"/>
        <v>0</v>
      </c>
      <c r="AU372" s="869">
        <f t="shared" ca="1" si="307"/>
        <v>0</v>
      </c>
      <c r="AV372" s="870">
        <f t="shared" ca="1" si="308"/>
        <v>0</v>
      </c>
      <c r="AW372" s="867">
        <f t="shared" ca="1" si="309"/>
        <v>0</v>
      </c>
      <c r="AX372" s="869">
        <f t="shared" ca="1" si="280"/>
        <v>0</v>
      </c>
      <c r="AY372" s="869">
        <f t="shared" ca="1" si="310"/>
        <v>0</v>
      </c>
      <c r="AZ372" s="867">
        <f t="shared" ca="1" si="311"/>
        <v>0</v>
      </c>
      <c r="BA372" s="161"/>
      <c r="BB372" s="867">
        <f t="shared" ca="1" si="312"/>
        <v>0</v>
      </c>
      <c r="BC372" s="867">
        <f t="shared" ca="1" si="277"/>
        <v>0</v>
      </c>
      <c r="BD372" s="658"/>
      <c r="BE372" s="867">
        <f t="shared" ca="1" si="313"/>
        <v>0</v>
      </c>
      <c r="BF372" s="867">
        <f t="shared" ca="1" si="314"/>
        <v>0</v>
      </c>
      <c r="BG372" s="867">
        <f t="shared" ca="1" si="315"/>
        <v>0</v>
      </c>
      <c r="BI372" s="867">
        <f ca="1"/>
        <v>0</v>
      </c>
      <c r="BJ372" s="867">
        <f ca="1"/>
        <v>0</v>
      </c>
      <c r="BK372" s="867">
        <f ca="1"/>
        <v>0</v>
      </c>
      <c r="BL372" s="867">
        <f t="shared" ca="1" si="316"/>
        <v>0</v>
      </c>
      <c r="BM372" s="867">
        <f t="shared" ca="1" si="317"/>
        <v>0</v>
      </c>
      <c r="BN372" s="867">
        <f t="shared" ca="1" si="318"/>
        <v>0</v>
      </c>
      <c r="BO372" s="867">
        <f t="shared" ca="1" si="319"/>
        <v>0</v>
      </c>
      <c r="BP372" s="867">
        <f t="shared" ca="1" si="320"/>
        <v>0</v>
      </c>
      <c r="BQ372" s="867">
        <f t="shared" ca="1" si="321"/>
        <v>0</v>
      </c>
      <c r="BR372" s="867">
        <f ca="1"/>
        <v>0</v>
      </c>
      <c r="BS372" s="867">
        <f ca="1"/>
        <v>0</v>
      </c>
      <c r="BT372" s="867">
        <f t="shared" ca="1" si="281"/>
        <v>0</v>
      </c>
      <c r="BU372" s="867">
        <f t="shared" ca="1" si="322"/>
        <v>0</v>
      </c>
      <c r="BX372" s="867">
        <f ca="1"/>
        <v>0</v>
      </c>
      <c r="BY372" s="867">
        <f t="shared" ca="1" si="323"/>
        <v>0</v>
      </c>
      <c r="BZ372" s="867">
        <f t="shared" ca="1" si="324"/>
        <v>0</v>
      </c>
      <c r="CA372" s="867">
        <f t="shared" ca="1" si="325"/>
        <v>0</v>
      </c>
      <c r="CB372" s="867">
        <f t="shared" ca="1" si="326"/>
        <v>0</v>
      </c>
      <c r="CC372" s="867">
        <f t="shared" ca="1" si="327"/>
        <v>0</v>
      </c>
      <c r="CD372" s="867">
        <f t="shared" ca="1" si="328"/>
        <v>0</v>
      </c>
    </row>
    <row r="373" spans="1:82" ht="16" hidden="1" thickTop="1" thickBot="1">
      <c r="A373" s="773">
        <f t="shared" si="278"/>
        <v>0</v>
      </c>
      <c r="D373" s="660"/>
      <c r="E373" s="661"/>
      <c r="F373" s="862"/>
      <c r="G373" s="863"/>
      <c r="H373" s="961"/>
      <c r="I373" s="865">
        <f t="shared" si="282"/>
        <v>0</v>
      </c>
      <c r="J373" s="864" cm="1">
        <f t="array" ref="J373">IF($G373=0,0,-MIN(0,G373*c_equity.LPshare))</f>
        <v>0</v>
      </c>
      <c r="K373" s="865" cm="1">
        <f t="array" ref="K373">I373*c_rate.Pref.MO</f>
        <v>0</v>
      </c>
      <c r="L373" s="865">
        <f t="shared" si="283"/>
        <v>0</v>
      </c>
      <c r="M373" s="865">
        <f t="shared" si="284"/>
        <v>0</v>
      </c>
      <c r="N373" s="865">
        <f t="shared" si="285"/>
        <v>0</v>
      </c>
      <c r="O373" s="864" cm="1">
        <f t="array" ref="O373">IF(N373=0,0,IF(G373&lt;0,N373/c_equity.LPshare*i_equity.GPshare,L373/c_equity.LPshare*i_equity.GPshare))</f>
        <v>0</v>
      </c>
      <c r="P373" s="865">
        <f t="shared" si="286"/>
        <v>0</v>
      </c>
      <c r="Q373" s="865">
        <f t="shared" si="287"/>
        <v>0</v>
      </c>
      <c r="R373" s="161"/>
      <c r="S373" s="867">
        <f t="shared" ca="1" si="288"/>
        <v>0</v>
      </c>
      <c r="T373" s="867" cm="1">
        <f t="array" ref="T373">IF($G373=0,0,-MIN(0,$G373*c_equity.LPshare))</f>
        <v>0</v>
      </c>
      <c r="U373" s="869" cm="1">
        <f t="array" ref="U373">IF($D373=0,0,S373*c_rate.Hurdle1.MO)</f>
        <v>0</v>
      </c>
      <c r="V373" s="867">
        <f t="shared" si="289"/>
        <v>0</v>
      </c>
      <c r="W373" s="867">
        <f t="shared" ca="1" si="290"/>
        <v>0</v>
      </c>
      <c r="X373" s="869">
        <f t="shared" ca="1" si="291"/>
        <v>0</v>
      </c>
      <c r="Y373" s="869">
        <f t="shared" ca="1" si="292"/>
        <v>0</v>
      </c>
      <c r="Z373" s="869">
        <f t="shared" ca="1" si="293"/>
        <v>0</v>
      </c>
      <c r="AA373" s="869">
        <f t="shared" ca="1" si="294"/>
        <v>0</v>
      </c>
      <c r="AB373" s="867">
        <f t="shared" ca="1" si="295"/>
        <v>0</v>
      </c>
      <c r="AC373" s="161"/>
      <c r="AD373" s="869">
        <f t="shared" ca="1" si="296"/>
        <v>0</v>
      </c>
      <c r="AE373" s="867" cm="1">
        <f t="array" ref="AE373">IF($G373=0,0,-MIN(0,$G373*c_equity.LPshare))</f>
        <v>0</v>
      </c>
      <c r="AF373" s="869" cm="1">
        <f t="array" ref="AF373">IF($D373=0,0,AD373*(c_rate.Hurdle2.MO))</f>
        <v>0</v>
      </c>
      <c r="AG373" s="869">
        <f t="shared" ca="1" si="297"/>
        <v>0</v>
      </c>
      <c r="AH373" s="869">
        <f t="shared" ca="1" si="298"/>
        <v>0</v>
      </c>
      <c r="AI373" s="869">
        <f t="shared" ca="1" si="299"/>
        <v>0</v>
      </c>
      <c r="AJ373" s="870">
        <f t="shared" ca="1" si="300"/>
        <v>0</v>
      </c>
      <c r="AK373" s="867">
        <f t="shared" ca="1" si="301"/>
        <v>0</v>
      </c>
      <c r="AL373" s="869">
        <f t="shared" ca="1" si="279"/>
        <v>0</v>
      </c>
      <c r="AM373" s="869">
        <f t="shared" ca="1" si="302"/>
        <v>0</v>
      </c>
      <c r="AN373" s="867">
        <f t="shared" ca="1" si="303"/>
        <v>0</v>
      </c>
      <c r="AO373" s="161"/>
      <c r="AP373" s="869">
        <f t="shared" ca="1" si="304"/>
        <v>0</v>
      </c>
      <c r="AQ373" s="867" cm="1">
        <f t="array" ref="AQ373">IF($G373=0,0,-MIN(0,$G373*c_equity.LPshare))</f>
        <v>0</v>
      </c>
      <c r="AR373" s="869" cm="1">
        <f t="array" ref="AR373">IF($D373=0,0,AP373*(c_rate.Hurdle3.MO))</f>
        <v>0</v>
      </c>
      <c r="AS373" s="869">
        <f t="shared" ca="1" si="305"/>
        <v>0</v>
      </c>
      <c r="AT373" s="869">
        <f t="shared" ca="1" si="306"/>
        <v>0</v>
      </c>
      <c r="AU373" s="869">
        <f t="shared" ca="1" si="307"/>
        <v>0</v>
      </c>
      <c r="AV373" s="870">
        <f t="shared" ca="1" si="308"/>
        <v>0</v>
      </c>
      <c r="AW373" s="867">
        <f t="shared" ca="1" si="309"/>
        <v>0</v>
      </c>
      <c r="AX373" s="869">
        <f t="shared" ca="1" si="280"/>
        <v>0</v>
      </c>
      <c r="AY373" s="869">
        <f t="shared" ca="1" si="310"/>
        <v>0</v>
      </c>
      <c r="AZ373" s="867">
        <f t="shared" ca="1" si="311"/>
        <v>0</v>
      </c>
      <c r="BA373" s="161"/>
      <c r="BB373" s="867">
        <f t="shared" ca="1" si="312"/>
        <v>0</v>
      </c>
      <c r="BC373" s="867">
        <f t="shared" ca="1" si="277"/>
        <v>0</v>
      </c>
      <c r="BD373" s="658"/>
      <c r="BE373" s="867">
        <f t="shared" ca="1" si="313"/>
        <v>0</v>
      </c>
      <c r="BF373" s="867">
        <f t="shared" ca="1" si="314"/>
        <v>0</v>
      </c>
      <c r="BG373" s="867">
        <f t="shared" ca="1" si="315"/>
        <v>0</v>
      </c>
      <c r="BI373" s="867">
        <f ca="1"/>
        <v>0</v>
      </c>
      <c r="BJ373" s="867">
        <f ca="1"/>
        <v>0</v>
      </c>
      <c r="BK373" s="867">
        <f ca="1"/>
        <v>0</v>
      </c>
      <c r="BL373" s="867">
        <f t="shared" ca="1" si="316"/>
        <v>0</v>
      </c>
      <c r="BM373" s="867">
        <f t="shared" ca="1" si="317"/>
        <v>0</v>
      </c>
      <c r="BN373" s="867">
        <f t="shared" ca="1" si="318"/>
        <v>0</v>
      </c>
      <c r="BO373" s="867">
        <f t="shared" ca="1" si="319"/>
        <v>0</v>
      </c>
      <c r="BP373" s="867">
        <f t="shared" ca="1" si="320"/>
        <v>0</v>
      </c>
      <c r="BQ373" s="867">
        <f t="shared" ca="1" si="321"/>
        <v>0</v>
      </c>
      <c r="BR373" s="867">
        <f ca="1"/>
        <v>0</v>
      </c>
      <c r="BS373" s="867">
        <f ca="1"/>
        <v>0</v>
      </c>
      <c r="BT373" s="867">
        <f t="shared" ca="1" si="281"/>
        <v>0</v>
      </c>
      <c r="BU373" s="867">
        <f t="shared" ca="1" si="322"/>
        <v>0</v>
      </c>
      <c r="BX373" s="867">
        <f ca="1"/>
        <v>0</v>
      </c>
      <c r="BY373" s="867">
        <f t="shared" ca="1" si="323"/>
        <v>0</v>
      </c>
      <c r="BZ373" s="867">
        <f t="shared" ca="1" si="324"/>
        <v>0</v>
      </c>
      <c r="CA373" s="867">
        <f t="shared" ca="1" si="325"/>
        <v>0</v>
      </c>
      <c r="CB373" s="867">
        <f t="shared" ca="1" si="326"/>
        <v>0</v>
      </c>
      <c r="CC373" s="867">
        <f t="shared" ca="1" si="327"/>
        <v>0</v>
      </c>
      <c r="CD373" s="867">
        <f t="shared" ca="1" si="328"/>
        <v>0</v>
      </c>
    </row>
    <row r="374" spans="1:82" ht="17" hidden="1" thickTop="1" thickBot="1">
      <c r="A374" s="773">
        <f t="shared" si="278"/>
        <v>0</v>
      </c>
      <c r="B374" s="779"/>
      <c r="D374" s="660"/>
      <c r="E374" s="661"/>
      <c r="F374" s="862"/>
      <c r="G374" s="863"/>
      <c r="H374" s="961"/>
      <c r="I374" s="865">
        <f t="shared" si="282"/>
        <v>0</v>
      </c>
      <c r="J374" s="864" cm="1">
        <f t="array" ref="J374">IF($G374=0,0,-MIN(0,G374*c_equity.LPshare))</f>
        <v>0</v>
      </c>
      <c r="K374" s="865" cm="1">
        <f t="array" ref="K374">I374*c_rate.Pref.MO</f>
        <v>0</v>
      </c>
      <c r="L374" s="865">
        <f t="shared" si="283"/>
        <v>0</v>
      </c>
      <c r="M374" s="865">
        <f t="shared" si="284"/>
        <v>0</v>
      </c>
      <c r="N374" s="865">
        <f t="shared" si="285"/>
        <v>0</v>
      </c>
      <c r="O374" s="864" cm="1">
        <f t="array" ref="O374">IF(N374=0,0,IF(G374&lt;0,N374/c_equity.LPshare*i_equity.GPshare,L374/c_equity.LPshare*i_equity.GPshare))</f>
        <v>0</v>
      </c>
      <c r="P374" s="865">
        <f t="shared" si="286"/>
        <v>0</v>
      </c>
      <c r="Q374" s="865">
        <f t="shared" si="287"/>
        <v>0</v>
      </c>
      <c r="R374" s="161"/>
      <c r="S374" s="867">
        <f t="shared" ca="1" si="288"/>
        <v>0</v>
      </c>
      <c r="T374" s="867" cm="1">
        <f t="array" ref="T374">IF($G374=0,0,-MIN(0,$G374*c_equity.LPshare))</f>
        <v>0</v>
      </c>
      <c r="U374" s="869" cm="1">
        <f t="array" ref="U374">IF($D374=0,0,S374*c_rate.Hurdle1.MO)</f>
        <v>0</v>
      </c>
      <c r="V374" s="867">
        <f t="shared" si="289"/>
        <v>0</v>
      </c>
      <c r="W374" s="867">
        <f t="shared" ca="1" si="290"/>
        <v>0</v>
      </c>
      <c r="X374" s="869">
        <f t="shared" ca="1" si="291"/>
        <v>0</v>
      </c>
      <c r="Y374" s="869">
        <f t="shared" ca="1" si="292"/>
        <v>0</v>
      </c>
      <c r="Z374" s="869">
        <f t="shared" ca="1" si="293"/>
        <v>0</v>
      </c>
      <c r="AA374" s="869">
        <f t="shared" ca="1" si="294"/>
        <v>0</v>
      </c>
      <c r="AB374" s="867">
        <f t="shared" ca="1" si="295"/>
        <v>0</v>
      </c>
      <c r="AC374" s="161"/>
      <c r="AD374" s="869">
        <f t="shared" ca="1" si="296"/>
        <v>0</v>
      </c>
      <c r="AE374" s="867" cm="1">
        <f t="array" ref="AE374">IF($G374=0,0,-MIN(0,$G374*c_equity.LPshare))</f>
        <v>0</v>
      </c>
      <c r="AF374" s="869" cm="1">
        <f t="array" ref="AF374">IF($D374=0,0,AD374*(c_rate.Hurdle2.MO))</f>
        <v>0</v>
      </c>
      <c r="AG374" s="869">
        <f t="shared" ca="1" si="297"/>
        <v>0</v>
      </c>
      <c r="AH374" s="869">
        <f t="shared" ca="1" si="298"/>
        <v>0</v>
      </c>
      <c r="AI374" s="869">
        <f t="shared" ca="1" si="299"/>
        <v>0</v>
      </c>
      <c r="AJ374" s="870">
        <f t="shared" ca="1" si="300"/>
        <v>0</v>
      </c>
      <c r="AK374" s="867">
        <f t="shared" ca="1" si="301"/>
        <v>0</v>
      </c>
      <c r="AL374" s="869">
        <f t="shared" ca="1" si="279"/>
        <v>0</v>
      </c>
      <c r="AM374" s="869">
        <f t="shared" ca="1" si="302"/>
        <v>0</v>
      </c>
      <c r="AN374" s="867">
        <f t="shared" ca="1" si="303"/>
        <v>0</v>
      </c>
      <c r="AO374" s="161"/>
      <c r="AP374" s="869">
        <f t="shared" ca="1" si="304"/>
        <v>0</v>
      </c>
      <c r="AQ374" s="867" cm="1">
        <f t="array" ref="AQ374">IF($G374=0,0,-MIN(0,$G374*c_equity.LPshare))</f>
        <v>0</v>
      </c>
      <c r="AR374" s="869" cm="1">
        <f t="array" ref="AR374">IF($D374=0,0,AP374*(c_rate.Hurdle3.MO))</f>
        <v>0</v>
      </c>
      <c r="AS374" s="869">
        <f t="shared" ca="1" si="305"/>
        <v>0</v>
      </c>
      <c r="AT374" s="869">
        <f t="shared" ca="1" si="306"/>
        <v>0</v>
      </c>
      <c r="AU374" s="869">
        <f t="shared" ca="1" si="307"/>
        <v>0</v>
      </c>
      <c r="AV374" s="870">
        <f t="shared" ca="1" si="308"/>
        <v>0</v>
      </c>
      <c r="AW374" s="867">
        <f t="shared" ca="1" si="309"/>
        <v>0</v>
      </c>
      <c r="AX374" s="869">
        <f t="shared" ca="1" si="280"/>
        <v>0</v>
      </c>
      <c r="AY374" s="869">
        <f t="shared" ca="1" si="310"/>
        <v>0</v>
      </c>
      <c r="AZ374" s="867">
        <f t="shared" ca="1" si="311"/>
        <v>0</v>
      </c>
      <c r="BA374" s="161"/>
      <c r="BB374" s="867">
        <f t="shared" ca="1" si="312"/>
        <v>0</v>
      </c>
      <c r="BC374" s="867">
        <f t="shared" ca="1" si="277"/>
        <v>0</v>
      </c>
      <c r="BD374" s="658"/>
      <c r="BE374" s="867">
        <f t="shared" ca="1" si="313"/>
        <v>0</v>
      </c>
      <c r="BF374" s="867">
        <f t="shared" ca="1" si="314"/>
        <v>0</v>
      </c>
      <c r="BG374" s="867">
        <f t="shared" ca="1" si="315"/>
        <v>0</v>
      </c>
      <c r="BI374" s="867">
        <f ca="1"/>
        <v>0</v>
      </c>
      <c r="BJ374" s="867">
        <f ca="1"/>
        <v>0</v>
      </c>
      <c r="BK374" s="867">
        <f ca="1"/>
        <v>0</v>
      </c>
      <c r="BL374" s="867">
        <f t="shared" ca="1" si="316"/>
        <v>0</v>
      </c>
      <c r="BM374" s="867">
        <f t="shared" ca="1" si="317"/>
        <v>0</v>
      </c>
      <c r="BN374" s="867">
        <f t="shared" ca="1" si="318"/>
        <v>0</v>
      </c>
      <c r="BO374" s="867">
        <f t="shared" ca="1" si="319"/>
        <v>0</v>
      </c>
      <c r="BP374" s="867">
        <f t="shared" ca="1" si="320"/>
        <v>0</v>
      </c>
      <c r="BQ374" s="867">
        <f t="shared" ca="1" si="321"/>
        <v>0</v>
      </c>
      <c r="BR374" s="867">
        <f ca="1"/>
        <v>0</v>
      </c>
      <c r="BS374" s="867">
        <f ca="1"/>
        <v>0</v>
      </c>
      <c r="BT374" s="867">
        <f t="shared" ca="1" si="281"/>
        <v>0</v>
      </c>
      <c r="BU374" s="867">
        <f t="shared" ca="1" si="322"/>
        <v>0</v>
      </c>
      <c r="BX374" s="867">
        <f ca="1"/>
        <v>0</v>
      </c>
      <c r="BY374" s="867">
        <f t="shared" ca="1" si="323"/>
        <v>0</v>
      </c>
      <c r="BZ374" s="867">
        <f t="shared" ca="1" si="324"/>
        <v>0</v>
      </c>
      <c r="CA374" s="867">
        <f t="shared" ca="1" si="325"/>
        <v>0</v>
      </c>
      <c r="CB374" s="867">
        <f t="shared" ca="1" si="326"/>
        <v>0</v>
      </c>
      <c r="CC374" s="867">
        <f t="shared" ca="1" si="327"/>
        <v>0</v>
      </c>
      <c r="CD374" s="867">
        <f t="shared" ca="1" si="328"/>
        <v>0</v>
      </c>
    </row>
    <row r="375" spans="1:82" ht="17" hidden="1" thickTop="1" thickBot="1">
      <c r="A375" s="773">
        <f t="shared" si="278"/>
        <v>0</v>
      </c>
      <c r="B375" s="779"/>
      <c r="D375" s="660"/>
      <c r="E375" s="661"/>
      <c r="F375" s="862"/>
      <c r="G375" s="863"/>
      <c r="H375" s="961"/>
      <c r="I375" s="865">
        <f t="shared" si="282"/>
        <v>0</v>
      </c>
      <c r="J375" s="864" cm="1">
        <f t="array" ref="J375">IF($G375=0,0,-MIN(0,G375*c_equity.LPshare))</f>
        <v>0</v>
      </c>
      <c r="K375" s="865" cm="1">
        <f t="array" ref="K375">I375*c_rate.Pref.MO</f>
        <v>0</v>
      </c>
      <c r="L375" s="865">
        <f t="shared" si="283"/>
        <v>0</v>
      </c>
      <c r="M375" s="865">
        <f t="shared" si="284"/>
        <v>0</v>
      </c>
      <c r="N375" s="865">
        <f t="shared" si="285"/>
        <v>0</v>
      </c>
      <c r="O375" s="864" cm="1">
        <f t="array" ref="O375">IF(N375=0,0,IF(G375&lt;0,N375/c_equity.LPshare*i_equity.GPshare,L375/c_equity.LPshare*i_equity.GPshare))</f>
        <v>0</v>
      </c>
      <c r="P375" s="865">
        <f t="shared" si="286"/>
        <v>0</v>
      </c>
      <c r="Q375" s="865">
        <f t="shared" si="287"/>
        <v>0</v>
      </c>
      <c r="R375" s="161"/>
      <c r="S375" s="867">
        <f t="shared" ca="1" si="288"/>
        <v>0</v>
      </c>
      <c r="T375" s="867" cm="1">
        <f t="array" ref="T375">IF($G375=0,0,-MIN(0,$G375*c_equity.LPshare))</f>
        <v>0</v>
      </c>
      <c r="U375" s="869" cm="1">
        <f t="array" ref="U375">IF($D375=0,0,S375*c_rate.Hurdle1.MO)</f>
        <v>0</v>
      </c>
      <c r="V375" s="867">
        <f t="shared" si="289"/>
        <v>0</v>
      </c>
      <c r="W375" s="867">
        <f t="shared" ca="1" si="290"/>
        <v>0</v>
      </c>
      <c r="X375" s="869">
        <f t="shared" ca="1" si="291"/>
        <v>0</v>
      </c>
      <c r="Y375" s="869">
        <f t="shared" ca="1" si="292"/>
        <v>0</v>
      </c>
      <c r="Z375" s="869">
        <f t="shared" ca="1" si="293"/>
        <v>0</v>
      </c>
      <c r="AA375" s="869">
        <f t="shared" ca="1" si="294"/>
        <v>0</v>
      </c>
      <c r="AB375" s="867">
        <f t="shared" ca="1" si="295"/>
        <v>0</v>
      </c>
      <c r="AC375" s="161"/>
      <c r="AD375" s="869">
        <f t="shared" ca="1" si="296"/>
        <v>0</v>
      </c>
      <c r="AE375" s="867" cm="1">
        <f t="array" ref="AE375">IF($G375=0,0,-MIN(0,$G375*c_equity.LPshare))</f>
        <v>0</v>
      </c>
      <c r="AF375" s="869" cm="1">
        <f t="array" ref="AF375">IF($D375=0,0,AD375*(c_rate.Hurdle2.MO))</f>
        <v>0</v>
      </c>
      <c r="AG375" s="869">
        <f t="shared" ca="1" si="297"/>
        <v>0</v>
      </c>
      <c r="AH375" s="869">
        <f t="shared" ca="1" si="298"/>
        <v>0</v>
      </c>
      <c r="AI375" s="869">
        <f t="shared" ca="1" si="299"/>
        <v>0</v>
      </c>
      <c r="AJ375" s="870">
        <f t="shared" ca="1" si="300"/>
        <v>0</v>
      </c>
      <c r="AK375" s="867">
        <f t="shared" ca="1" si="301"/>
        <v>0</v>
      </c>
      <c r="AL375" s="869">
        <f t="shared" ca="1" si="279"/>
        <v>0</v>
      </c>
      <c r="AM375" s="869">
        <f t="shared" ca="1" si="302"/>
        <v>0</v>
      </c>
      <c r="AN375" s="867">
        <f t="shared" ca="1" si="303"/>
        <v>0</v>
      </c>
      <c r="AO375" s="161"/>
      <c r="AP375" s="869">
        <f t="shared" ca="1" si="304"/>
        <v>0</v>
      </c>
      <c r="AQ375" s="867" cm="1">
        <f t="array" ref="AQ375">IF($G375=0,0,-MIN(0,$G375*c_equity.LPshare))</f>
        <v>0</v>
      </c>
      <c r="AR375" s="869" cm="1">
        <f t="array" ref="AR375">IF($D375=0,0,AP375*(c_rate.Hurdle3.MO))</f>
        <v>0</v>
      </c>
      <c r="AS375" s="869">
        <f t="shared" ca="1" si="305"/>
        <v>0</v>
      </c>
      <c r="AT375" s="869">
        <f t="shared" ca="1" si="306"/>
        <v>0</v>
      </c>
      <c r="AU375" s="869">
        <f t="shared" ca="1" si="307"/>
        <v>0</v>
      </c>
      <c r="AV375" s="870">
        <f t="shared" ca="1" si="308"/>
        <v>0</v>
      </c>
      <c r="AW375" s="867">
        <f t="shared" ca="1" si="309"/>
        <v>0</v>
      </c>
      <c r="AX375" s="869">
        <f t="shared" ca="1" si="280"/>
        <v>0</v>
      </c>
      <c r="AY375" s="869">
        <f t="shared" ca="1" si="310"/>
        <v>0</v>
      </c>
      <c r="AZ375" s="867">
        <f t="shared" ca="1" si="311"/>
        <v>0</v>
      </c>
      <c r="BA375" s="161"/>
      <c r="BB375" s="867">
        <f t="shared" ca="1" si="312"/>
        <v>0</v>
      </c>
      <c r="BC375" s="867">
        <f t="shared" ca="1" si="277"/>
        <v>0</v>
      </c>
      <c r="BD375" s="658"/>
      <c r="BE375" s="867">
        <f t="shared" ca="1" si="313"/>
        <v>0</v>
      </c>
      <c r="BF375" s="867">
        <f t="shared" ca="1" si="314"/>
        <v>0</v>
      </c>
      <c r="BG375" s="867">
        <f t="shared" ca="1" si="315"/>
        <v>0</v>
      </c>
      <c r="BI375" s="867">
        <f ca="1"/>
        <v>0</v>
      </c>
      <c r="BJ375" s="867">
        <f ca="1"/>
        <v>0</v>
      </c>
      <c r="BK375" s="867">
        <f ca="1"/>
        <v>0</v>
      </c>
      <c r="BL375" s="867">
        <f t="shared" ca="1" si="316"/>
        <v>0</v>
      </c>
      <c r="BM375" s="867">
        <f t="shared" ca="1" si="317"/>
        <v>0</v>
      </c>
      <c r="BN375" s="867">
        <f t="shared" ca="1" si="318"/>
        <v>0</v>
      </c>
      <c r="BO375" s="867">
        <f t="shared" ca="1" si="319"/>
        <v>0</v>
      </c>
      <c r="BP375" s="867">
        <f t="shared" ca="1" si="320"/>
        <v>0</v>
      </c>
      <c r="BQ375" s="867">
        <f t="shared" ca="1" si="321"/>
        <v>0</v>
      </c>
      <c r="BR375" s="867">
        <f ca="1"/>
        <v>0</v>
      </c>
      <c r="BS375" s="867">
        <f ca="1"/>
        <v>0</v>
      </c>
      <c r="BT375" s="867">
        <f t="shared" ca="1" si="281"/>
        <v>0</v>
      </c>
      <c r="BU375" s="867">
        <f t="shared" ca="1" si="322"/>
        <v>0</v>
      </c>
      <c r="BX375" s="867">
        <f ca="1"/>
        <v>0</v>
      </c>
      <c r="BY375" s="867">
        <f t="shared" ca="1" si="323"/>
        <v>0</v>
      </c>
      <c r="BZ375" s="867">
        <f t="shared" ca="1" si="324"/>
        <v>0</v>
      </c>
      <c r="CA375" s="867">
        <f t="shared" ca="1" si="325"/>
        <v>0</v>
      </c>
      <c r="CB375" s="867">
        <f t="shared" ca="1" si="326"/>
        <v>0</v>
      </c>
      <c r="CC375" s="867">
        <f t="shared" ca="1" si="327"/>
        <v>0</v>
      </c>
      <c r="CD375" s="867">
        <f t="shared" ca="1" si="328"/>
        <v>0</v>
      </c>
    </row>
    <row r="376" spans="1:82" ht="17" hidden="1" thickTop="1" thickBot="1">
      <c r="A376" s="773">
        <f t="shared" si="278"/>
        <v>0</v>
      </c>
      <c r="B376" s="779"/>
      <c r="D376" s="660"/>
      <c r="E376" s="661"/>
      <c r="F376" s="862"/>
      <c r="G376" s="863"/>
      <c r="H376" s="961"/>
      <c r="I376" s="865">
        <f t="shared" si="282"/>
        <v>0</v>
      </c>
      <c r="J376" s="864" cm="1">
        <f t="array" ref="J376">IF($G376=0,0,-MIN(0,G376*c_equity.LPshare))</f>
        <v>0</v>
      </c>
      <c r="K376" s="865" cm="1">
        <f t="array" ref="K376">I376*c_rate.Pref.MO</f>
        <v>0</v>
      </c>
      <c r="L376" s="865">
        <f t="shared" si="283"/>
        <v>0</v>
      </c>
      <c r="M376" s="865">
        <f t="shared" si="284"/>
        <v>0</v>
      </c>
      <c r="N376" s="865">
        <f t="shared" si="285"/>
        <v>0</v>
      </c>
      <c r="O376" s="864" cm="1">
        <f t="array" ref="O376">IF(N376=0,0,IF(G376&lt;0,N376/c_equity.LPshare*i_equity.GPshare,L376/c_equity.LPshare*i_equity.GPshare))</f>
        <v>0</v>
      </c>
      <c r="P376" s="865">
        <f t="shared" si="286"/>
        <v>0</v>
      </c>
      <c r="Q376" s="865">
        <f t="shared" si="287"/>
        <v>0</v>
      </c>
      <c r="R376" s="161"/>
      <c r="S376" s="867">
        <f t="shared" ca="1" si="288"/>
        <v>0</v>
      </c>
      <c r="T376" s="867" cm="1">
        <f t="array" ref="T376">IF($G376=0,0,-MIN(0,$G376*c_equity.LPshare))</f>
        <v>0</v>
      </c>
      <c r="U376" s="869" cm="1">
        <f t="array" ref="U376">IF($D376=0,0,S376*c_rate.Hurdle1.MO)</f>
        <v>0</v>
      </c>
      <c r="V376" s="867">
        <f t="shared" si="289"/>
        <v>0</v>
      </c>
      <c r="W376" s="867">
        <f t="shared" ca="1" si="290"/>
        <v>0</v>
      </c>
      <c r="X376" s="869">
        <f t="shared" ca="1" si="291"/>
        <v>0</v>
      </c>
      <c r="Y376" s="869">
        <f t="shared" ca="1" si="292"/>
        <v>0</v>
      </c>
      <c r="Z376" s="869">
        <f t="shared" ca="1" si="293"/>
        <v>0</v>
      </c>
      <c r="AA376" s="869">
        <f t="shared" ca="1" si="294"/>
        <v>0</v>
      </c>
      <c r="AB376" s="867">
        <f t="shared" ca="1" si="295"/>
        <v>0</v>
      </c>
      <c r="AC376" s="161"/>
      <c r="AD376" s="869">
        <f t="shared" ca="1" si="296"/>
        <v>0</v>
      </c>
      <c r="AE376" s="867" cm="1">
        <f t="array" ref="AE376">IF($G376=0,0,-MIN(0,$G376*c_equity.LPshare))</f>
        <v>0</v>
      </c>
      <c r="AF376" s="869" cm="1">
        <f t="array" ref="AF376">IF($D376=0,0,AD376*(c_rate.Hurdle2.MO))</f>
        <v>0</v>
      </c>
      <c r="AG376" s="869">
        <f t="shared" ca="1" si="297"/>
        <v>0</v>
      </c>
      <c r="AH376" s="869">
        <f t="shared" ca="1" si="298"/>
        <v>0</v>
      </c>
      <c r="AI376" s="869">
        <f t="shared" ca="1" si="299"/>
        <v>0</v>
      </c>
      <c r="AJ376" s="870">
        <f t="shared" ca="1" si="300"/>
        <v>0</v>
      </c>
      <c r="AK376" s="867">
        <f t="shared" ca="1" si="301"/>
        <v>0</v>
      </c>
      <c r="AL376" s="869">
        <f t="shared" ca="1" si="279"/>
        <v>0</v>
      </c>
      <c r="AM376" s="869">
        <f t="shared" ca="1" si="302"/>
        <v>0</v>
      </c>
      <c r="AN376" s="867">
        <f t="shared" ca="1" si="303"/>
        <v>0</v>
      </c>
      <c r="AO376" s="161"/>
      <c r="AP376" s="869">
        <f t="shared" ca="1" si="304"/>
        <v>0</v>
      </c>
      <c r="AQ376" s="867" cm="1">
        <f t="array" ref="AQ376">IF($G376=0,0,-MIN(0,$G376*c_equity.LPshare))</f>
        <v>0</v>
      </c>
      <c r="AR376" s="869" cm="1">
        <f t="array" ref="AR376">IF($D376=0,0,AP376*(c_rate.Hurdle3.MO))</f>
        <v>0</v>
      </c>
      <c r="AS376" s="869">
        <f t="shared" ca="1" si="305"/>
        <v>0</v>
      </c>
      <c r="AT376" s="869">
        <f t="shared" ca="1" si="306"/>
        <v>0</v>
      </c>
      <c r="AU376" s="869">
        <f t="shared" ca="1" si="307"/>
        <v>0</v>
      </c>
      <c r="AV376" s="870">
        <f t="shared" ca="1" si="308"/>
        <v>0</v>
      </c>
      <c r="AW376" s="867">
        <f t="shared" ca="1" si="309"/>
        <v>0</v>
      </c>
      <c r="AX376" s="869">
        <f t="shared" ca="1" si="280"/>
        <v>0</v>
      </c>
      <c r="AY376" s="869">
        <f t="shared" ca="1" si="310"/>
        <v>0</v>
      </c>
      <c r="AZ376" s="867">
        <f t="shared" ca="1" si="311"/>
        <v>0</v>
      </c>
      <c r="BA376" s="161"/>
      <c r="BB376" s="867">
        <f t="shared" ca="1" si="312"/>
        <v>0</v>
      </c>
      <c r="BC376" s="867">
        <f t="shared" ca="1" si="277"/>
        <v>0</v>
      </c>
      <c r="BD376" s="658"/>
      <c r="BE376" s="867">
        <f t="shared" ca="1" si="313"/>
        <v>0</v>
      </c>
      <c r="BF376" s="867">
        <f t="shared" ca="1" si="314"/>
        <v>0</v>
      </c>
      <c r="BG376" s="867">
        <f t="shared" ca="1" si="315"/>
        <v>0</v>
      </c>
      <c r="BI376" s="867">
        <f ca="1"/>
        <v>0</v>
      </c>
      <c r="BJ376" s="867">
        <f ca="1"/>
        <v>0</v>
      </c>
      <c r="BK376" s="867">
        <f ca="1"/>
        <v>0</v>
      </c>
      <c r="BL376" s="867">
        <f t="shared" ca="1" si="316"/>
        <v>0</v>
      </c>
      <c r="BM376" s="867">
        <f t="shared" ca="1" si="317"/>
        <v>0</v>
      </c>
      <c r="BN376" s="867">
        <f t="shared" ca="1" si="318"/>
        <v>0</v>
      </c>
      <c r="BO376" s="867">
        <f t="shared" ca="1" si="319"/>
        <v>0</v>
      </c>
      <c r="BP376" s="867">
        <f t="shared" ca="1" si="320"/>
        <v>0</v>
      </c>
      <c r="BQ376" s="867">
        <f t="shared" ca="1" si="321"/>
        <v>0</v>
      </c>
      <c r="BR376" s="867">
        <f ca="1"/>
        <v>0</v>
      </c>
      <c r="BS376" s="867">
        <f ca="1"/>
        <v>0</v>
      </c>
      <c r="BT376" s="867">
        <f t="shared" ca="1" si="281"/>
        <v>0</v>
      </c>
      <c r="BU376" s="867">
        <f t="shared" ca="1" si="322"/>
        <v>0</v>
      </c>
      <c r="BX376" s="867">
        <f ca="1"/>
        <v>0</v>
      </c>
      <c r="BY376" s="867">
        <f t="shared" ca="1" si="323"/>
        <v>0</v>
      </c>
      <c r="BZ376" s="867">
        <f t="shared" ca="1" si="324"/>
        <v>0</v>
      </c>
      <c r="CA376" s="867">
        <f t="shared" ca="1" si="325"/>
        <v>0</v>
      </c>
      <c r="CB376" s="867">
        <f t="shared" ca="1" si="326"/>
        <v>0</v>
      </c>
      <c r="CC376" s="867">
        <f t="shared" ca="1" si="327"/>
        <v>0</v>
      </c>
      <c r="CD376" s="867">
        <f t="shared" ca="1" si="328"/>
        <v>0</v>
      </c>
    </row>
    <row r="377" spans="1:82" ht="17" hidden="1" thickTop="1" thickBot="1">
      <c r="A377" s="773">
        <f t="shared" si="278"/>
        <v>0</v>
      </c>
      <c r="B377" s="779"/>
      <c r="D377" s="660"/>
      <c r="E377" s="661"/>
      <c r="F377" s="862"/>
      <c r="G377" s="863"/>
      <c r="H377" s="961"/>
      <c r="I377" s="865">
        <f t="shared" si="282"/>
        <v>0</v>
      </c>
      <c r="J377" s="864" cm="1">
        <f t="array" ref="J377">IF($G377=0,0,-MIN(0,G377*c_equity.LPshare))</f>
        <v>0</v>
      </c>
      <c r="K377" s="865" cm="1">
        <f t="array" ref="K377">I377*c_rate.Pref.MO</f>
        <v>0</v>
      </c>
      <c r="L377" s="865">
        <f t="shared" si="283"/>
        <v>0</v>
      </c>
      <c r="M377" s="865">
        <f t="shared" si="284"/>
        <v>0</v>
      </c>
      <c r="N377" s="865">
        <f t="shared" si="285"/>
        <v>0</v>
      </c>
      <c r="O377" s="864" cm="1">
        <f t="array" ref="O377">IF(N377=0,0,IF(G377&lt;0,N377/c_equity.LPshare*i_equity.GPshare,L377/c_equity.LPshare*i_equity.GPshare))</f>
        <v>0</v>
      </c>
      <c r="P377" s="865">
        <f t="shared" si="286"/>
        <v>0</v>
      </c>
      <c r="Q377" s="865">
        <f t="shared" si="287"/>
        <v>0</v>
      </c>
      <c r="R377" s="161"/>
      <c r="S377" s="867">
        <f t="shared" ca="1" si="288"/>
        <v>0</v>
      </c>
      <c r="T377" s="867" cm="1">
        <f t="array" ref="T377">IF($G377=0,0,-MIN(0,$G377*c_equity.LPshare))</f>
        <v>0</v>
      </c>
      <c r="U377" s="869" cm="1">
        <f t="array" ref="U377">IF($D377=0,0,S377*c_rate.Hurdle1.MO)</f>
        <v>0</v>
      </c>
      <c r="V377" s="867">
        <f t="shared" si="289"/>
        <v>0</v>
      </c>
      <c r="W377" s="867">
        <f t="shared" ca="1" si="290"/>
        <v>0</v>
      </c>
      <c r="X377" s="869">
        <f t="shared" ca="1" si="291"/>
        <v>0</v>
      </c>
      <c r="Y377" s="869">
        <f t="shared" ca="1" si="292"/>
        <v>0</v>
      </c>
      <c r="Z377" s="869">
        <f t="shared" ca="1" si="293"/>
        <v>0</v>
      </c>
      <c r="AA377" s="869">
        <f t="shared" ca="1" si="294"/>
        <v>0</v>
      </c>
      <c r="AB377" s="867">
        <f t="shared" ca="1" si="295"/>
        <v>0</v>
      </c>
      <c r="AC377" s="161"/>
      <c r="AD377" s="869">
        <f t="shared" ca="1" si="296"/>
        <v>0</v>
      </c>
      <c r="AE377" s="867" cm="1">
        <f t="array" ref="AE377">IF($G377=0,0,-MIN(0,$G377*c_equity.LPshare))</f>
        <v>0</v>
      </c>
      <c r="AF377" s="869" cm="1">
        <f t="array" ref="AF377">IF($D377=0,0,AD377*(c_rate.Hurdle2.MO))</f>
        <v>0</v>
      </c>
      <c r="AG377" s="869">
        <f t="shared" ca="1" si="297"/>
        <v>0</v>
      </c>
      <c r="AH377" s="869">
        <f t="shared" ca="1" si="298"/>
        <v>0</v>
      </c>
      <c r="AI377" s="869">
        <f t="shared" ca="1" si="299"/>
        <v>0</v>
      </c>
      <c r="AJ377" s="870">
        <f t="shared" ca="1" si="300"/>
        <v>0</v>
      </c>
      <c r="AK377" s="867">
        <f t="shared" ca="1" si="301"/>
        <v>0</v>
      </c>
      <c r="AL377" s="869">
        <f t="shared" ca="1" si="279"/>
        <v>0</v>
      </c>
      <c r="AM377" s="869">
        <f t="shared" ca="1" si="302"/>
        <v>0</v>
      </c>
      <c r="AN377" s="867">
        <f t="shared" ca="1" si="303"/>
        <v>0</v>
      </c>
      <c r="AO377" s="161"/>
      <c r="AP377" s="869">
        <f t="shared" ca="1" si="304"/>
        <v>0</v>
      </c>
      <c r="AQ377" s="867" cm="1">
        <f t="array" ref="AQ377">IF($G377=0,0,-MIN(0,$G377*c_equity.LPshare))</f>
        <v>0</v>
      </c>
      <c r="AR377" s="869" cm="1">
        <f t="array" ref="AR377">IF($D377=0,0,AP377*(c_rate.Hurdle3.MO))</f>
        <v>0</v>
      </c>
      <c r="AS377" s="869">
        <f t="shared" ca="1" si="305"/>
        <v>0</v>
      </c>
      <c r="AT377" s="869">
        <f t="shared" ca="1" si="306"/>
        <v>0</v>
      </c>
      <c r="AU377" s="869">
        <f t="shared" ca="1" si="307"/>
        <v>0</v>
      </c>
      <c r="AV377" s="870">
        <f t="shared" ca="1" si="308"/>
        <v>0</v>
      </c>
      <c r="AW377" s="867">
        <f t="shared" ca="1" si="309"/>
        <v>0</v>
      </c>
      <c r="AX377" s="869">
        <f t="shared" ca="1" si="280"/>
        <v>0</v>
      </c>
      <c r="AY377" s="869">
        <f t="shared" ca="1" si="310"/>
        <v>0</v>
      </c>
      <c r="AZ377" s="867">
        <f t="shared" ca="1" si="311"/>
        <v>0</v>
      </c>
      <c r="BA377" s="161"/>
      <c r="BB377" s="867">
        <f t="shared" ca="1" si="312"/>
        <v>0</v>
      </c>
      <c r="BC377" s="867">
        <f t="shared" ca="1" si="277"/>
        <v>0</v>
      </c>
      <c r="BD377" s="658"/>
      <c r="BE377" s="867">
        <f t="shared" ca="1" si="313"/>
        <v>0</v>
      </c>
      <c r="BF377" s="867">
        <f t="shared" ca="1" si="314"/>
        <v>0</v>
      </c>
      <c r="BG377" s="867">
        <f t="shared" ca="1" si="315"/>
        <v>0</v>
      </c>
      <c r="BI377" s="867">
        <f ca="1"/>
        <v>0</v>
      </c>
      <c r="BJ377" s="867">
        <f ca="1"/>
        <v>0</v>
      </c>
      <c r="BK377" s="867">
        <f ca="1"/>
        <v>0</v>
      </c>
      <c r="BL377" s="867">
        <f t="shared" ca="1" si="316"/>
        <v>0</v>
      </c>
      <c r="BM377" s="867">
        <f t="shared" ca="1" si="317"/>
        <v>0</v>
      </c>
      <c r="BN377" s="867">
        <f t="shared" ca="1" si="318"/>
        <v>0</v>
      </c>
      <c r="BO377" s="867">
        <f t="shared" ca="1" si="319"/>
        <v>0</v>
      </c>
      <c r="BP377" s="867">
        <f t="shared" ca="1" si="320"/>
        <v>0</v>
      </c>
      <c r="BQ377" s="867">
        <f t="shared" ca="1" si="321"/>
        <v>0</v>
      </c>
      <c r="BR377" s="867">
        <f ca="1"/>
        <v>0</v>
      </c>
      <c r="BS377" s="867">
        <f ca="1"/>
        <v>0</v>
      </c>
      <c r="BT377" s="867">
        <f t="shared" ca="1" si="281"/>
        <v>0</v>
      </c>
      <c r="BU377" s="867">
        <f t="shared" ca="1" si="322"/>
        <v>0</v>
      </c>
      <c r="BX377" s="867">
        <f ca="1"/>
        <v>0</v>
      </c>
      <c r="BY377" s="867">
        <f t="shared" ca="1" si="323"/>
        <v>0</v>
      </c>
      <c r="BZ377" s="867">
        <f t="shared" ca="1" si="324"/>
        <v>0</v>
      </c>
      <c r="CA377" s="867">
        <f t="shared" ca="1" si="325"/>
        <v>0</v>
      </c>
      <c r="CB377" s="867">
        <f t="shared" ca="1" si="326"/>
        <v>0</v>
      </c>
      <c r="CC377" s="867">
        <f t="shared" ca="1" si="327"/>
        <v>0</v>
      </c>
      <c r="CD377" s="867">
        <f t="shared" ca="1" si="328"/>
        <v>0</v>
      </c>
    </row>
    <row r="378" spans="1:82" ht="17" hidden="1" thickTop="1" thickBot="1">
      <c r="A378" s="773">
        <f t="shared" si="278"/>
        <v>0</v>
      </c>
      <c r="B378" s="779"/>
      <c r="D378" s="660"/>
      <c r="E378" s="661"/>
      <c r="F378" s="862"/>
      <c r="G378" s="863"/>
      <c r="H378" s="961"/>
      <c r="I378" s="865">
        <f t="shared" si="282"/>
        <v>0</v>
      </c>
      <c r="J378" s="864" cm="1">
        <f t="array" ref="J378">IF($G378=0,0,-MIN(0,G378*c_equity.LPshare))</f>
        <v>0</v>
      </c>
      <c r="K378" s="865" cm="1">
        <f t="array" ref="K378">I378*c_rate.Pref.MO</f>
        <v>0</v>
      </c>
      <c r="L378" s="865">
        <f t="shared" si="283"/>
        <v>0</v>
      </c>
      <c r="M378" s="865">
        <f t="shared" si="284"/>
        <v>0</v>
      </c>
      <c r="N378" s="865">
        <f t="shared" si="285"/>
        <v>0</v>
      </c>
      <c r="O378" s="864" cm="1">
        <f t="array" ref="O378">IF(N378=0,0,IF(G378&lt;0,N378/c_equity.LPshare*i_equity.GPshare,L378/c_equity.LPshare*i_equity.GPshare))</f>
        <v>0</v>
      </c>
      <c r="P378" s="865">
        <f t="shared" si="286"/>
        <v>0</v>
      </c>
      <c r="Q378" s="865">
        <f t="shared" si="287"/>
        <v>0</v>
      </c>
      <c r="R378" s="161"/>
      <c r="S378" s="867">
        <f t="shared" ca="1" si="288"/>
        <v>0</v>
      </c>
      <c r="T378" s="867" cm="1">
        <f t="array" ref="T378">IF($G378=0,0,-MIN(0,$G378*c_equity.LPshare))</f>
        <v>0</v>
      </c>
      <c r="U378" s="869" cm="1">
        <f t="array" ref="U378">IF($D378=0,0,S378*c_rate.Hurdle1.MO)</f>
        <v>0</v>
      </c>
      <c r="V378" s="867">
        <f t="shared" si="289"/>
        <v>0</v>
      </c>
      <c r="W378" s="867">
        <f t="shared" ca="1" si="290"/>
        <v>0</v>
      </c>
      <c r="X378" s="869">
        <f t="shared" ca="1" si="291"/>
        <v>0</v>
      </c>
      <c r="Y378" s="869">
        <f t="shared" ca="1" si="292"/>
        <v>0</v>
      </c>
      <c r="Z378" s="869">
        <f t="shared" ca="1" si="293"/>
        <v>0</v>
      </c>
      <c r="AA378" s="869">
        <f t="shared" ca="1" si="294"/>
        <v>0</v>
      </c>
      <c r="AB378" s="867">
        <f t="shared" ca="1" si="295"/>
        <v>0</v>
      </c>
      <c r="AC378" s="161"/>
      <c r="AD378" s="869">
        <f t="shared" ca="1" si="296"/>
        <v>0</v>
      </c>
      <c r="AE378" s="867" cm="1">
        <f t="array" ref="AE378">IF($G378=0,0,-MIN(0,$G378*c_equity.LPshare))</f>
        <v>0</v>
      </c>
      <c r="AF378" s="869" cm="1">
        <f t="array" ref="AF378">IF($D378=0,0,AD378*(c_rate.Hurdle2.MO))</f>
        <v>0</v>
      </c>
      <c r="AG378" s="869">
        <f t="shared" ca="1" si="297"/>
        <v>0</v>
      </c>
      <c r="AH378" s="869">
        <f t="shared" ca="1" si="298"/>
        <v>0</v>
      </c>
      <c r="AI378" s="869">
        <f t="shared" ca="1" si="299"/>
        <v>0</v>
      </c>
      <c r="AJ378" s="870">
        <f t="shared" ca="1" si="300"/>
        <v>0</v>
      </c>
      <c r="AK378" s="867">
        <f t="shared" ca="1" si="301"/>
        <v>0</v>
      </c>
      <c r="AL378" s="869">
        <f t="shared" ca="1" si="279"/>
        <v>0</v>
      </c>
      <c r="AM378" s="869">
        <f t="shared" ca="1" si="302"/>
        <v>0</v>
      </c>
      <c r="AN378" s="867">
        <f t="shared" ca="1" si="303"/>
        <v>0</v>
      </c>
      <c r="AO378" s="161"/>
      <c r="AP378" s="869">
        <f t="shared" ca="1" si="304"/>
        <v>0</v>
      </c>
      <c r="AQ378" s="867" cm="1">
        <f t="array" ref="AQ378">IF($G378=0,0,-MIN(0,$G378*c_equity.LPshare))</f>
        <v>0</v>
      </c>
      <c r="AR378" s="869" cm="1">
        <f t="array" ref="AR378">IF($D378=0,0,AP378*(c_rate.Hurdle3.MO))</f>
        <v>0</v>
      </c>
      <c r="AS378" s="869">
        <f t="shared" ca="1" si="305"/>
        <v>0</v>
      </c>
      <c r="AT378" s="869">
        <f t="shared" ca="1" si="306"/>
        <v>0</v>
      </c>
      <c r="AU378" s="869">
        <f t="shared" ca="1" si="307"/>
        <v>0</v>
      </c>
      <c r="AV378" s="870">
        <f t="shared" ca="1" si="308"/>
        <v>0</v>
      </c>
      <c r="AW378" s="867">
        <f t="shared" ca="1" si="309"/>
        <v>0</v>
      </c>
      <c r="AX378" s="869">
        <f t="shared" ca="1" si="280"/>
        <v>0</v>
      </c>
      <c r="AY378" s="869">
        <f t="shared" ca="1" si="310"/>
        <v>0</v>
      </c>
      <c r="AZ378" s="867">
        <f t="shared" ca="1" si="311"/>
        <v>0</v>
      </c>
      <c r="BA378" s="161"/>
      <c r="BB378" s="867">
        <f t="shared" ca="1" si="312"/>
        <v>0</v>
      </c>
      <c r="BC378" s="867">
        <f t="shared" ca="1" si="277"/>
        <v>0</v>
      </c>
      <c r="BD378" s="658"/>
      <c r="BE378" s="867">
        <f t="shared" ca="1" si="313"/>
        <v>0</v>
      </c>
      <c r="BF378" s="867">
        <f t="shared" ca="1" si="314"/>
        <v>0</v>
      </c>
      <c r="BG378" s="867">
        <f t="shared" ca="1" si="315"/>
        <v>0</v>
      </c>
      <c r="BI378" s="867">
        <f ca="1"/>
        <v>0</v>
      </c>
      <c r="BJ378" s="867">
        <f ca="1"/>
        <v>0</v>
      </c>
      <c r="BK378" s="867">
        <f ca="1"/>
        <v>0</v>
      </c>
      <c r="BL378" s="867">
        <f t="shared" ca="1" si="316"/>
        <v>0</v>
      </c>
      <c r="BM378" s="867">
        <f t="shared" ca="1" si="317"/>
        <v>0</v>
      </c>
      <c r="BN378" s="867">
        <f t="shared" ca="1" si="318"/>
        <v>0</v>
      </c>
      <c r="BO378" s="867">
        <f t="shared" ca="1" si="319"/>
        <v>0</v>
      </c>
      <c r="BP378" s="867">
        <f t="shared" ca="1" si="320"/>
        <v>0</v>
      </c>
      <c r="BQ378" s="867">
        <f t="shared" ca="1" si="321"/>
        <v>0</v>
      </c>
      <c r="BR378" s="867">
        <f ca="1"/>
        <v>0</v>
      </c>
      <c r="BS378" s="867">
        <f ca="1"/>
        <v>0</v>
      </c>
      <c r="BT378" s="867">
        <f t="shared" ca="1" si="281"/>
        <v>0</v>
      </c>
      <c r="BU378" s="867">
        <f t="shared" ca="1" si="322"/>
        <v>0</v>
      </c>
      <c r="BX378" s="867">
        <f ca="1"/>
        <v>0</v>
      </c>
      <c r="BY378" s="867">
        <f t="shared" ca="1" si="323"/>
        <v>0</v>
      </c>
      <c r="BZ378" s="867">
        <f t="shared" ca="1" si="324"/>
        <v>0</v>
      </c>
      <c r="CA378" s="867">
        <f t="shared" ca="1" si="325"/>
        <v>0</v>
      </c>
      <c r="CB378" s="867">
        <f t="shared" ca="1" si="326"/>
        <v>0</v>
      </c>
      <c r="CC378" s="867">
        <f t="shared" ca="1" si="327"/>
        <v>0</v>
      </c>
      <c r="CD378" s="867">
        <f t="shared" ca="1" si="328"/>
        <v>0</v>
      </c>
    </row>
    <row r="379" spans="1:82" ht="17" hidden="1" thickTop="1" thickBot="1">
      <c r="A379" s="773">
        <f t="shared" si="278"/>
        <v>0</v>
      </c>
      <c r="B379" s="779"/>
      <c r="D379" s="660"/>
      <c r="E379" s="661"/>
      <c r="F379" s="862"/>
      <c r="G379" s="863"/>
      <c r="H379" s="961"/>
      <c r="I379" s="865">
        <f t="shared" si="282"/>
        <v>0</v>
      </c>
      <c r="J379" s="864" cm="1">
        <f t="array" ref="J379">IF($G379=0,0,-MIN(0,G379*c_equity.LPshare))</f>
        <v>0</v>
      </c>
      <c r="K379" s="865" cm="1">
        <f t="array" ref="K379">I379*c_rate.Pref.MO</f>
        <v>0</v>
      </c>
      <c r="L379" s="865">
        <f t="shared" si="283"/>
        <v>0</v>
      </c>
      <c r="M379" s="865">
        <f t="shared" si="284"/>
        <v>0</v>
      </c>
      <c r="N379" s="865">
        <f t="shared" si="285"/>
        <v>0</v>
      </c>
      <c r="O379" s="864" cm="1">
        <f t="array" ref="O379">IF(N379=0,0,IF(G379&lt;0,N379/c_equity.LPshare*i_equity.GPshare,L379/c_equity.LPshare*i_equity.GPshare))</f>
        <v>0</v>
      </c>
      <c r="P379" s="865">
        <f t="shared" si="286"/>
        <v>0</v>
      </c>
      <c r="Q379" s="865">
        <f t="shared" si="287"/>
        <v>0</v>
      </c>
      <c r="R379" s="161"/>
      <c r="S379" s="867">
        <f t="shared" ca="1" si="288"/>
        <v>0</v>
      </c>
      <c r="T379" s="867" cm="1">
        <f t="array" ref="T379">IF($G379=0,0,-MIN(0,$G379*c_equity.LPshare))</f>
        <v>0</v>
      </c>
      <c r="U379" s="869" cm="1">
        <f t="array" ref="U379">IF($D379=0,0,S379*c_rate.Hurdle1.MO)</f>
        <v>0</v>
      </c>
      <c r="V379" s="867">
        <f t="shared" si="289"/>
        <v>0</v>
      </c>
      <c r="W379" s="867">
        <f t="shared" ca="1" si="290"/>
        <v>0</v>
      </c>
      <c r="X379" s="869">
        <f t="shared" ca="1" si="291"/>
        <v>0</v>
      </c>
      <c r="Y379" s="869">
        <f t="shared" ca="1" si="292"/>
        <v>0</v>
      </c>
      <c r="Z379" s="869">
        <f t="shared" ca="1" si="293"/>
        <v>0</v>
      </c>
      <c r="AA379" s="869">
        <f t="shared" ca="1" si="294"/>
        <v>0</v>
      </c>
      <c r="AB379" s="867">
        <f t="shared" ca="1" si="295"/>
        <v>0</v>
      </c>
      <c r="AC379" s="161"/>
      <c r="AD379" s="869">
        <f t="shared" ca="1" si="296"/>
        <v>0</v>
      </c>
      <c r="AE379" s="867" cm="1">
        <f t="array" ref="AE379">IF($G379=0,0,-MIN(0,$G379*c_equity.LPshare))</f>
        <v>0</v>
      </c>
      <c r="AF379" s="869" cm="1">
        <f t="array" ref="AF379">IF($D379=0,0,AD379*(c_rate.Hurdle2.MO))</f>
        <v>0</v>
      </c>
      <c r="AG379" s="869">
        <f t="shared" ca="1" si="297"/>
        <v>0</v>
      </c>
      <c r="AH379" s="869">
        <f t="shared" ca="1" si="298"/>
        <v>0</v>
      </c>
      <c r="AI379" s="869">
        <f t="shared" ca="1" si="299"/>
        <v>0</v>
      </c>
      <c r="AJ379" s="870">
        <f t="shared" ca="1" si="300"/>
        <v>0</v>
      </c>
      <c r="AK379" s="867">
        <f t="shared" ca="1" si="301"/>
        <v>0</v>
      </c>
      <c r="AL379" s="869">
        <f t="shared" ca="1" si="279"/>
        <v>0</v>
      </c>
      <c r="AM379" s="869">
        <f t="shared" ca="1" si="302"/>
        <v>0</v>
      </c>
      <c r="AN379" s="867">
        <f t="shared" ca="1" si="303"/>
        <v>0</v>
      </c>
      <c r="AO379" s="161"/>
      <c r="AP379" s="869">
        <f t="shared" ca="1" si="304"/>
        <v>0</v>
      </c>
      <c r="AQ379" s="867" cm="1">
        <f t="array" ref="AQ379">IF($G379=0,0,-MIN(0,$G379*c_equity.LPshare))</f>
        <v>0</v>
      </c>
      <c r="AR379" s="869" cm="1">
        <f t="array" ref="AR379">IF($D379=0,0,AP379*(c_rate.Hurdle3.MO))</f>
        <v>0</v>
      </c>
      <c r="AS379" s="869">
        <f t="shared" ca="1" si="305"/>
        <v>0</v>
      </c>
      <c r="AT379" s="869">
        <f t="shared" ca="1" si="306"/>
        <v>0</v>
      </c>
      <c r="AU379" s="869">
        <f t="shared" ca="1" si="307"/>
        <v>0</v>
      </c>
      <c r="AV379" s="870">
        <f t="shared" ca="1" si="308"/>
        <v>0</v>
      </c>
      <c r="AW379" s="867">
        <f t="shared" ca="1" si="309"/>
        <v>0</v>
      </c>
      <c r="AX379" s="869">
        <f t="shared" ca="1" si="280"/>
        <v>0</v>
      </c>
      <c r="AY379" s="869">
        <f t="shared" ca="1" si="310"/>
        <v>0</v>
      </c>
      <c r="AZ379" s="867">
        <f t="shared" ca="1" si="311"/>
        <v>0</v>
      </c>
      <c r="BA379" s="161"/>
      <c r="BB379" s="867">
        <f t="shared" ca="1" si="312"/>
        <v>0</v>
      </c>
      <c r="BC379" s="867">
        <f t="shared" ca="1" si="277"/>
        <v>0</v>
      </c>
      <c r="BD379" s="658"/>
      <c r="BE379" s="867">
        <f t="shared" ca="1" si="313"/>
        <v>0</v>
      </c>
      <c r="BF379" s="867">
        <f t="shared" ca="1" si="314"/>
        <v>0</v>
      </c>
      <c r="BG379" s="867">
        <f t="shared" ca="1" si="315"/>
        <v>0</v>
      </c>
      <c r="BI379" s="867">
        <f ca="1"/>
        <v>0</v>
      </c>
      <c r="BJ379" s="867">
        <f ca="1"/>
        <v>0</v>
      </c>
      <c r="BK379" s="867">
        <f ca="1"/>
        <v>0</v>
      </c>
      <c r="BL379" s="867">
        <f t="shared" ca="1" si="316"/>
        <v>0</v>
      </c>
      <c r="BM379" s="867">
        <f t="shared" ca="1" si="317"/>
        <v>0</v>
      </c>
      <c r="BN379" s="867">
        <f t="shared" ca="1" si="318"/>
        <v>0</v>
      </c>
      <c r="BO379" s="867">
        <f t="shared" ca="1" si="319"/>
        <v>0</v>
      </c>
      <c r="BP379" s="867">
        <f t="shared" ca="1" si="320"/>
        <v>0</v>
      </c>
      <c r="BQ379" s="867">
        <f t="shared" ca="1" si="321"/>
        <v>0</v>
      </c>
      <c r="BR379" s="867">
        <f ca="1"/>
        <v>0</v>
      </c>
      <c r="BS379" s="867">
        <f ca="1"/>
        <v>0</v>
      </c>
      <c r="BT379" s="867">
        <f t="shared" ca="1" si="281"/>
        <v>0</v>
      </c>
      <c r="BU379" s="867">
        <f t="shared" ca="1" si="322"/>
        <v>0</v>
      </c>
      <c r="BX379" s="867">
        <f ca="1"/>
        <v>0</v>
      </c>
      <c r="BY379" s="867">
        <f t="shared" ca="1" si="323"/>
        <v>0</v>
      </c>
      <c r="BZ379" s="867">
        <f t="shared" ca="1" si="324"/>
        <v>0</v>
      </c>
      <c r="CA379" s="867">
        <f t="shared" ca="1" si="325"/>
        <v>0</v>
      </c>
      <c r="CB379" s="867">
        <f t="shared" ca="1" si="326"/>
        <v>0</v>
      </c>
      <c r="CC379" s="867">
        <f t="shared" ca="1" si="327"/>
        <v>0</v>
      </c>
      <c r="CD379" s="867">
        <f t="shared" ca="1" si="328"/>
        <v>0</v>
      </c>
    </row>
    <row r="380" spans="1:82" ht="17" hidden="1" thickTop="1" thickBot="1">
      <c r="A380" s="773">
        <f t="shared" si="278"/>
        <v>0</v>
      </c>
      <c r="B380" s="779"/>
      <c r="D380" s="660"/>
      <c r="E380" s="661"/>
      <c r="F380" s="862"/>
      <c r="G380" s="863"/>
      <c r="H380" s="961"/>
      <c r="I380" s="865">
        <f t="shared" si="282"/>
        <v>0</v>
      </c>
      <c r="J380" s="864" cm="1">
        <f t="array" ref="J380">IF($G380=0,0,-MIN(0,G380*c_equity.LPshare))</f>
        <v>0</v>
      </c>
      <c r="K380" s="865" cm="1">
        <f t="array" ref="K380">I380*c_rate.Pref.MO</f>
        <v>0</v>
      </c>
      <c r="L380" s="865">
        <f t="shared" si="283"/>
        <v>0</v>
      </c>
      <c r="M380" s="865">
        <f t="shared" si="284"/>
        <v>0</v>
      </c>
      <c r="N380" s="865">
        <f t="shared" si="285"/>
        <v>0</v>
      </c>
      <c r="O380" s="864" cm="1">
        <f t="array" ref="O380">IF(N380=0,0,IF(G380&lt;0,N380/c_equity.LPshare*i_equity.GPshare,L380/c_equity.LPshare*i_equity.GPshare))</f>
        <v>0</v>
      </c>
      <c r="P380" s="865">
        <f t="shared" si="286"/>
        <v>0</v>
      </c>
      <c r="Q380" s="865">
        <f t="shared" si="287"/>
        <v>0</v>
      </c>
      <c r="R380" s="161"/>
      <c r="S380" s="867">
        <f t="shared" ca="1" si="288"/>
        <v>0</v>
      </c>
      <c r="T380" s="867" cm="1">
        <f t="array" ref="T380">IF($G380=0,0,-MIN(0,$G380*c_equity.LPshare))</f>
        <v>0</v>
      </c>
      <c r="U380" s="869" cm="1">
        <f t="array" ref="U380">IF($D380=0,0,S380*c_rate.Hurdle1.MO)</f>
        <v>0</v>
      </c>
      <c r="V380" s="867">
        <f t="shared" si="289"/>
        <v>0</v>
      </c>
      <c r="W380" s="867">
        <f t="shared" ca="1" si="290"/>
        <v>0</v>
      </c>
      <c r="X380" s="869">
        <f t="shared" ca="1" si="291"/>
        <v>0</v>
      </c>
      <c r="Y380" s="869">
        <f t="shared" ca="1" si="292"/>
        <v>0</v>
      </c>
      <c r="Z380" s="869">
        <f t="shared" ca="1" si="293"/>
        <v>0</v>
      </c>
      <c r="AA380" s="869">
        <f t="shared" ca="1" si="294"/>
        <v>0</v>
      </c>
      <c r="AB380" s="867">
        <f t="shared" ca="1" si="295"/>
        <v>0</v>
      </c>
      <c r="AC380" s="161"/>
      <c r="AD380" s="869">
        <f t="shared" ca="1" si="296"/>
        <v>0</v>
      </c>
      <c r="AE380" s="867" cm="1">
        <f t="array" ref="AE380">IF($G380=0,0,-MIN(0,$G380*c_equity.LPshare))</f>
        <v>0</v>
      </c>
      <c r="AF380" s="869" cm="1">
        <f t="array" ref="AF380">IF($D380=0,0,AD380*(c_rate.Hurdle2.MO))</f>
        <v>0</v>
      </c>
      <c r="AG380" s="869">
        <f t="shared" ca="1" si="297"/>
        <v>0</v>
      </c>
      <c r="AH380" s="869">
        <f t="shared" ca="1" si="298"/>
        <v>0</v>
      </c>
      <c r="AI380" s="869">
        <f t="shared" ca="1" si="299"/>
        <v>0</v>
      </c>
      <c r="AJ380" s="870">
        <f t="shared" ca="1" si="300"/>
        <v>0</v>
      </c>
      <c r="AK380" s="867">
        <f t="shared" ca="1" si="301"/>
        <v>0</v>
      </c>
      <c r="AL380" s="869">
        <f t="shared" ca="1" si="279"/>
        <v>0</v>
      </c>
      <c r="AM380" s="869">
        <f t="shared" ca="1" si="302"/>
        <v>0</v>
      </c>
      <c r="AN380" s="867">
        <f t="shared" ca="1" si="303"/>
        <v>0</v>
      </c>
      <c r="AO380" s="161"/>
      <c r="AP380" s="869">
        <f t="shared" ca="1" si="304"/>
        <v>0</v>
      </c>
      <c r="AQ380" s="867" cm="1">
        <f t="array" ref="AQ380">IF($G380=0,0,-MIN(0,$G380*c_equity.LPshare))</f>
        <v>0</v>
      </c>
      <c r="AR380" s="869" cm="1">
        <f t="array" ref="AR380">IF($D380=0,0,AP380*(c_rate.Hurdle3.MO))</f>
        <v>0</v>
      </c>
      <c r="AS380" s="869">
        <f t="shared" ca="1" si="305"/>
        <v>0</v>
      </c>
      <c r="AT380" s="869">
        <f t="shared" ca="1" si="306"/>
        <v>0</v>
      </c>
      <c r="AU380" s="869">
        <f t="shared" ca="1" si="307"/>
        <v>0</v>
      </c>
      <c r="AV380" s="870">
        <f t="shared" ca="1" si="308"/>
        <v>0</v>
      </c>
      <c r="AW380" s="867">
        <f t="shared" ca="1" si="309"/>
        <v>0</v>
      </c>
      <c r="AX380" s="869">
        <f t="shared" ca="1" si="280"/>
        <v>0</v>
      </c>
      <c r="AY380" s="869">
        <f t="shared" ca="1" si="310"/>
        <v>0</v>
      </c>
      <c r="AZ380" s="867">
        <f t="shared" ca="1" si="311"/>
        <v>0</v>
      </c>
      <c r="BA380" s="161"/>
      <c r="BB380" s="867">
        <f t="shared" ca="1" si="312"/>
        <v>0</v>
      </c>
      <c r="BC380" s="867">
        <f t="shared" ca="1" si="277"/>
        <v>0</v>
      </c>
      <c r="BD380" s="658"/>
      <c r="BE380" s="867">
        <f t="shared" ca="1" si="313"/>
        <v>0</v>
      </c>
      <c r="BF380" s="867">
        <f t="shared" ca="1" si="314"/>
        <v>0</v>
      </c>
      <c r="BG380" s="867">
        <f t="shared" ca="1" si="315"/>
        <v>0</v>
      </c>
      <c r="BI380" s="867">
        <f ca="1"/>
        <v>0</v>
      </c>
      <c r="BJ380" s="867">
        <f ca="1"/>
        <v>0</v>
      </c>
      <c r="BK380" s="867">
        <f ca="1"/>
        <v>0</v>
      </c>
      <c r="BL380" s="867">
        <f t="shared" ca="1" si="316"/>
        <v>0</v>
      </c>
      <c r="BM380" s="867">
        <f t="shared" ca="1" si="317"/>
        <v>0</v>
      </c>
      <c r="BN380" s="867">
        <f t="shared" ca="1" si="318"/>
        <v>0</v>
      </c>
      <c r="BO380" s="867">
        <f t="shared" ca="1" si="319"/>
        <v>0</v>
      </c>
      <c r="BP380" s="867">
        <f t="shared" ca="1" si="320"/>
        <v>0</v>
      </c>
      <c r="BQ380" s="867">
        <f t="shared" ca="1" si="321"/>
        <v>0</v>
      </c>
      <c r="BR380" s="867">
        <f ca="1"/>
        <v>0</v>
      </c>
      <c r="BS380" s="867">
        <f ca="1"/>
        <v>0</v>
      </c>
      <c r="BT380" s="867">
        <f t="shared" ca="1" si="281"/>
        <v>0</v>
      </c>
      <c r="BU380" s="867">
        <f t="shared" ca="1" si="322"/>
        <v>0</v>
      </c>
      <c r="BX380" s="867">
        <f ca="1"/>
        <v>0</v>
      </c>
      <c r="BY380" s="867">
        <f t="shared" ca="1" si="323"/>
        <v>0</v>
      </c>
      <c r="BZ380" s="867">
        <f t="shared" ca="1" si="324"/>
        <v>0</v>
      </c>
      <c r="CA380" s="867">
        <f t="shared" ca="1" si="325"/>
        <v>0</v>
      </c>
      <c r="CB380" s="867">
        <f t="shared" ca="1" si="326"/>
        <v>0</v>
      </c>
      <c r="CC380" s="867">
        <f t="shared" ca="1" si="327"/>
        <v>0</v>
      </c>
      <c r="CD380" s="867">
        <f t="shared" ca="1" si="328"/>
        <v>0</v>
      </c>
    </row>
    <row r="381" spans="1:82" ht="17" hidden="1" thickTop="1" thickBot="1">
      <c r="A381" s="773">
        <f t="shared" si="278"/>
        <v>0</v>
      </c>
      <c r="B381" s="779"/>
      <c r="D381" s="660"/>
      <c r="E381" s="661"/>
      <c r="F381" s="862"/>
      <c r="G381" s="863"/>
      <c r="H381" s="961"/>
      <c r="I381" s="865">
        <f t="shared" si="282"/>
        <v>0</v>
      </c>
      <c r="J381" s="864" cm="1">
        <f t="array" ref="J381">IF($G381=0,0,-MIN(0,G381*c_equity.LPshare))</f>
        <v>0</v>
      </c>
      <c r="K381" s="865" cm="1">
        <f t="array" ref="K381">I381*c_rate.Pref.MO</f>
        <v>0</v>
      </c>
      <c r="L381" s="865">
        <f t="shared" si="283"/>
        <v>0</v>
      </c>
      <c r="M381" s="865">
        <f t="shared" si="284"/>
        <v>0</v>
      </c>
      <c r="N381" s="865">
        <f t="shared" si="285"/>
        <v>0</v>
      </c>
      <c r="O381" s="864" cm="1">
        <f t="array" ref="O381">IF(N381=0,0,IF(G381&lt;0,N381/c_equity.LPshare*i_equity.GPshare,L381/c_equity.LPshare*i_equity.GPshare))</f>
        <v>0</v>
      </c>
      <c r="P381" s="865">
        <f t="shared" si="286"/>
        <v>0</v>
      </c>
      <c r="Q381" s="865">
        <f t="shared" si="287"/>
        <v>0</v>
      </c>
      <c r="R381" s="161"/>
      <c r="S381" s="867">
        <f t="shared" ca="1" si="288"/>
        <v>0</v>
      </c>
      <c r="T381" s="867" cm="1">
        <f t="array" ref="T381">IF($G381=0,0,-MIN(0,$G381*c_equity.LPshare))</f>
        <v>0</v>
      </c>
      <c r="U381" s="869" cm="1">
        <f t="array" ref="U381">IF($D381=0,0,S381*c_rate.Hurdle1.MO)</f>
        <v>0</v>
      </c>
      <c r="V381" s="867">
        <f t="shared" si="289"/>
        <v>0</v>
      </c>
      <c r="W381" s="867">
        <f t="shared" ca="1" si="290"/>
        <v>0</v>
      </c>
      <c r="X381" s="869">
        <f t="shared" ca="1" si="291"/>
        <v>0</v>
      </c>
      <c r="Y381" s="869">
        <f t="shared" ca="1" si="292"/>
        <v>0</v>
      </c>
      <c r="Z381" s="869">
        <f t="shared" ca="1" si="293"/>
        <v>0</v>
      </c>
      <c r="AA381" s="869">
        <f t="shared" ca="1" si="294"/>
        <v>0</v>
      </c>
      <c r="AB381" s="867">
        <f t="shared" ca="1" si="295"/>
        <v>0</v>
      </c>
      <c r="AC381" s="161"/>
      <c r="AD381" s="869">
        <f t="shared" ca="1" si="296"/>
        <v>0</v>
      </c>
      <c r="AE381" s="867" cm="1">
        <f t="array" ref="AE381">IF($G381=0,0,-MIN(0,$G381*c_equity.LPshare))</f>
        <v>0</v>
      </c>
      <c r="AF381" s="869" cm="1">
        <f t="array" ref="AF381">IF($D381=0,0,AD381*(c_rate.Hurdle2.MO))</f>
        <v>0</v>
      </c>
      <c r="AG381" s="869">
        <f t="shared" ca="1" si="297"/>
        <v>0</v>
      </c>
      <c r="AH381" s="869">
        <f t="shared" ca="1" si="298"/>
        <v>0</v>
      </c>
      <c r="AI381" s="869">
        <f t="shared" ca="1" si="299"/>
        <v>0</v>
      </c>
      <c r="AJ381" s="870">
        <f t="shared" ca="1" si="300"/>
        <v>0</v>
      </c>
      <c r="AK381" s="867">
        <f t="shared" ca="1" si="301"/>
        <v>0</v>
      </c>
      <c r="AL381" s="869">
        <f t="shared" ca="1" si="279"/>
        <v>0</v>
      </c>
      <c r="AM381" s="869">
        <f t="shared" ca="1" si="302"/>
        <v>0</v>
      </c>
      <c r="AN381" s="867">
        <f t="shared" ca="1" si="303"/>
        <v>0</v>
      </c>
      <c r="AO381" s="161"/>
      <c r="AP381" s="869">
        <f t="shared" ca="1" si="304"/>
        <v>0</v>
      </c>
      <c r="AQ381" s="867" cm="1">
        <f t="array" ref="AQ381">IF($G381=0,0,-MIN(0,$G381*c_equity.LPshare))</f>
        <v>0</v>
      </c>
      <c r="AR381" s="869" cm="1">
        <f t="array" ref="AR381">IF($D381=0,0,AP381*(c_rate.Hurdle3.MO))</f>
        <v>0</v>
      </c>
      <c r="AS381" s="869">
        <f t="shared" ca="1" si="305"/>
        <v>0</v>
      </c>
      <c r="AT381" s="869">
        <f t="shared" ca="1" si="306"/>
        <v>0</v>
      </c>
      <c r="AU381" s="869">
        <f t="shared" ca="1" si="307"/>
        <v>0</v>
      </c>
      <c r="AV381" s="870">
        <f t="shared" ca="1" si="308"/>
        <v>0</v>
      </c>
      <c r="AW381" s="867">
        <f t="shared" ca="1" si="309"/>
        <v>0</v>
      </c>
      <c r="AX381" s="869">
        <f t="shared" ca="1" si="280"/>
        <v>0</v>
      </c>
      <c r="AY381" s="869">
        <f t="shared" ca="1" si="310"/>
        <v>0</v>
      </c>
      <c r="AZ381" s="867">
        <f t="shared" ca="1" si="311"/>
        <v>0</v>
      </c>
      <c r="BA381" s="161"/>
      <c r="BB381" s="867">
        <f t="shared" ca="1" si="312"/>
        <v>0</v>
      </c>
      <c r="BC381" s="867">
        <f t="shared" ca="1" si="277"/>
        <v>0</v>
      </c>
      <c r="BD381" s="658"/>
      <c r="BE381" s="867">
        <f t="shared" ca="1" si="313"/>
        <v>0</v>
      </c>
      <c r="BF381" s="867">
        <f t="shared" ca="1" si="314"/>
        <v>0</v>
      </c>
      <c r="BG381" s="867">
        <f t="shared" ca="1" si="315"/>
        <v>0</v>
      </c>
      <c r="BI381" s="867">
        <f ca="1"/>
        <v>0</v>
      </c>
      <c r="BJ381" s="867">
        <f ca="1"/>
        <v>0</v>
      </c>
      <c r="BK381" s="867">
        <f ca="1"/>
        <v>0</v>
      </c>
      <c r="BL381" s="867">
        <f t="shared" ca="1" si="316"/>
        <v>0</v>
      </c>
      <c r="BM381" s="867">
        <f t="shared" ca="1" si="317"/>
        <v>0</v>
      </c>
      <c r="BN381" s="867">
        <f t="shared" ca="1" si="318"/>
        <v>0</v>
      </c>
      <c r="BO381" s="867">
        <f t="shared" ca="1" si="319"/>
        <v>0</v>
      </c>
      <c r="BP381" s="867">
        <f t="shared" ca="1" si="320"/>
        <v>0</v>
      </c>
      <c r="BQ381" s="867">
        <f t="shared" ca="1" si="321"/>
        <v>0</v>
      </c>
      <c r="BR381" s="867">
        <f ca="1"/>
        <v>0</v>
      </c>
      <c r="BS381" s="867">
        <f ca="1"/>
        <v>0</v>
      </c>
      <c r="BT381" s="867">
        <f t="shared" ca="1" si="281"/>
        <v>0</v>
      </c>
      <c r="BU381" s="867">
        <f t="shared" ca="1" si="322"/>
        <v>0</v>
      </c>
      <c r="BX381" s="867">
        <f ca="1"/>
        <v>0</v>
      </c>
      <c r="BY381" s="867">
        <f t="shared" ca="1" si="323"/>
        <v>0</v>
      </c>
      <c r="BZ381" s="867">
        <f t="shared" ca="1" si="324"/>
        <v>0</v>
      </c>
      <c r="CA381" s="867">
        <f t="shared" ca="1" si="325"/>
        <v>0</v>
      </c>
      <c r="CB381" s="867">
        <f t="shared" ca="1" si="326"/>
        <v>0</v>
      </c>
      <c r="CC381" s="867">
        <f t="shared" ca="1" si="327"/>
        <v>0</v>
      </c>
      <c r="CD381" s="867">
        <f t="shared" ca="1" si="328"/>
        <v>0</v>
      </c>
    </row>
    <row r="382" spans="1:82" ht="17" hidden="1" thickTop="1" thickBot="1">
      <c r="A382" s="773">
        <f t="shared" si="278"/>
        <v>0</v>
      </c>
      <c r="B382" s="779"/>
      <c r="D382" s="660"/>
      <c r="E382" s="661"/>
      <c r="F382" s="862"/>
      <c r="G382" s="863"/>
      <c r="H382" s="961"/>
      <c r="I382" s="865">
        <f t="shared" si="282"/>
        <v>0</v>
      </c>
      <c r="J382" s="864" cm="1">
        <f t="array" ref="J382">IF($G382=0,0,-MIN(0,G382*c_equity.LPshare))</f>
        <v>0</v>
      </c>
      <c r="K382" s="865" cm="1">
        <f t="array" ref="K382">I382*c_rate.Pref.MO</f>
        <v>0</v>
      </c>
      <c r="L382" s="865">
        <f t="shared" si="283"/>
        <v>0</v>
      </c>
      <c r="M382" s="865">
        <f t="shared" si="284"/>
        <v>0</v>
      </c>
      <c r="N382" s="865">
        <f t="shared" si="285"/>
        <v>0</v>
      </c>
      <c r="O382" s="864" cm="1">
        <f t="array" ref="O382">IF(N382=0,0,IF(G382&lt;0,N382/c_equity.LPshare*i_equity.GPshare,L382/c_equity.LPshare*i_equity.GPshare))</f>
        <v>0</v>
      </c>
      <c r="P382" s="865">
        <f t="shared" si="286"/>
        <v>0</v>
      </c>
      <c r="Q382" s="865">
        <f t="shared" si="287"/>
        <v>0</v>
      </c>
      <c r="R382" s="161"/>
      <c r="S382" s="867">
        <f t="shared" ca="1" si="288"/>
        <v>0</v>
      </c>
      <c r="T382" s="867" cm="1">
        <f t="array" ref="T382">IF($G382=0,0,-MIN(0,$G382*c_equity.LPshare))</f>
        <v>0</v>
      </c>
      <c r="U382" s="869" cm="1">
        <f t="array" ref="U382">IF($D382=0,0,S382*c_rate.Hurdle1.MO)</f>
        <v>0</v>
      </c>
      <c r="V382" s="867">
        <f t="shared" si="289"/>
        <v>0</v>
      </c>
      <c r="W382" s="867">
        <f t="shared" ca="1" si="290"/>
        <v>0</v>
      </c>
      <c r="X382" s="869">
        <f t="shared" ca="1" si="291"/>
        <v>0</v>
      </c>
      <c r="Y382" s="869">
        <f t="shared" ca="1" si="292"/>
        <v>0</v>
      </c>
      <c r="Z382" s="869">
        <f t="shared" ca="1" si="293"/>
        <v>0</v>
      </c>
      <c r="AA382" s="869">
        <f t="shared" ca="1" si="294"/>
        <v>0</v>
      </c>
      <c r="AB382" s="867">
        <f t="shared" ca="1" si="295"/>
        <v>0</v>
      </c>
      <c r="AC382" s="161"/>
      <c r="AD382" s="869">
        <f t="shared" ca="1" si="296"/>
        <v>0</v>
      </c>
      <c r="AE382" s="867" cm="1">
        <f t="array" ref="AE382">IF($G382=0,0,-MIN(0,$G382*c_equity.LPshare))</f>
        <v>0</v>
      </c>
      <c r="AF382" s="869" cm="1">
        <f t="array" ref="AF382">IF($D382=0,0,AD382*(c_rate.Hurdle2.MO))</f>
        <v>0</v>
      </c>
      <c r="AG382" s="869">
        <f t="shared" ca="1" si="297"/>
        <v>0</v>
      </c>
      <c r="AH382" s="869">
        <f t="shared" ca="1" si="298"/>
        <v>0</v>
      </c>
      <c r="AI382" s="869">
        <f t="shared" ca="1" si="299"/>
        <v>0</v>
      </c>
      <c r="AJ382" s="870">
        <f t="shared" ca="1" si="300"/>
        <v>0</v>
      </c>
      <c r="AK382" s="867">
        <f t="shared" ca="1" si="301"/>
        <v>0</v>
      </c>
      <c r="AL382" s="869">
        <f t="shared" ca="1" si="279"/>
        <v>0</v>
      </c>
      <c r="AM382" s="869">
        <f t="shared" ca="1" si="302"/>
        <v>0</v>
      </c>
      <c r="AN382" s="867">
        <f t="shared" ca="1" si="303"/>
        <v>0</v>
      </c>
      <c r="AO382" s="161"/>
      <c r="AP382" s="869">
        <f t="shared" ca="1" si="304"/>
        <v>0</v>
      </c>
      <c r="AQ382" s="867" cm="1">
        <f t="array" ref="AQ382">IF($G382=0,0,-MIN(0,$G382*c_equity.LPshare))</f>
        <v>0</v>
      </c>
      <c r="AR382" s="869" cm="1">
        <f t="array" ref="AR382">IF($D382=0,0,AP382*(c_rate.Hurdle3.MO))</f>
        <v>0</v>
      </c>
      <c r="AS382" s="869">
        <f t="shared" ca="1" si="305"/>
        <v>0</v>
      </c>
      <c r="AT382" s="869">
        <f t="shared" ca="1" si="306"/>
        <v>0</v>
      </c>
      <c r="AU382" s="869">
        <f t="shared" ca="1" si="307"/>
        <v>0</v>
      </c>
      <c r="AV382" s="870">
        <f t="shared" ca="1" si="308"/>
        <v>0</v>
      </c>
      <c r="AW382" s="867">
        <f t="shared" ca="1" si="309"/>
        <v>0</v>
      </c>
      <c r="AX382" s="869">
        <f t="shared" ca="1" si="280"/>
        <v>0</v>
      </c>
      <c r="AY382" s="869">
        <f t="shared" ca="1" si="310"/>
        <v>0</v>
      </c>
      <c r="AZ382" s="867">
        <f t="shared" ca="1" si="311"/>
        <v>0</v>
      </c>
      <c r="BA382" s="161"/>
      <c r="BB382" s="867">
        <f t="shared" ca="1" si="312"/>
        <v>0</v>
      </c>
      <c r="BC382" s="867">
        <f t="shared" ca="1" si="277"/>
        <v>0</v>
      </c>
      <c r="BD382" s="658"/>
      <c r="BE382" s="867">
        <f t="shared" ca="1" si="313"/>
        <v>0</v>
      </c>
      <c r="BF382" s="867">
        <f t="shared" ca="1" si="314"/>
        <v>0</v>
      </c>
      <c r="BG382" s="867">
        <f t="shared" ca="1" si="315"/>
        <v>0</v>
      </c>
      <c r="BI382" s="867">
        <f ca="1"/>
        <v>0</v>
      </c>
      <c r="BJ382" s="867">
        <f ca="1"/>
        <v>0</v>
      </c>
      <c r="BK382" s="867">
        <f ca="1"/>
        <v>0</v>
      </c>
      <c r="BL382" s="867">
        <f t="shared" ca="1" si="316"/>
        <v>0</v>
      </c>
      <c r="BM382" s="867">
        <f t="shared" ca="1" si="317"/>
        <v>0</v>
      </c>
      <c r="BN382" s="867">
        <f t="shared" ca="1" si="318"/>
        <v>0</v>
      </c>
      <c r="BO382" s="867">
        <f t="shared" ca="1" si="319"/>
        <v>0</v>
      </c>
      <c r="BP382" s="867">
        <f t="shared" ca="1" si="320"/>
        <v>0</v>
      </c>
      <c r="BQ382" s="867">
        <f t="shared" ca="1" si="321"/>
        <v>0</v>
      </c>
      <c r="BR382" s="867">
        <f ca="1"/>
        <v>0</v>
      </c>
      <c r="BS382" s="867">
        <f ca="1"/>
        <v>0</v>
      </c>
      <c r="BT382" s="867">
        <f t="shared" ca="1" si="281"/>
        <v>0</v>
      </c>
      <c r="BU382" s="867">
        <f t="shared" ca="1" si="322"/>
        <v>0</v>
      </c>
      <c r="BX382" s="867">
        <f ca="1"/>
        <v>0</v>
      </c>
      <c r="BY382" s="867">
        <f t="shared" ca="1" si="323"/>
        <v>0</v>
      </c>
      <c r="BZ382" s="867">
        <f t="shared" ca="1" si="324"/>
        <v>0</v>
      </c>
      <c r="CA382" s="867">
        <f t="shared" ca="1" si="325"/>
        <v>0</v>
      </c>
      <c r="CB382" s="867">
        <f t="shared" ca="1" si="326"/>
        <v>0</v>
      </c>
      <c r="CC382" s="867">
        <f t="shared" ca="1" si="327"/>
        <v>0</v>
      </c>
      <c r="CD382" s="867">
        <f t="shared" ca="1" si="328"/>
        <v>0</v>
      </c>
    </row>
    <row r="383" spans="1:82" ht="17" hidden="1" thickTop="1" thickBot="1">
      <c r="A383" s="773">
        <f t="shared" si="278"/>
        <v>0</v>
      </c>
      <c r="B383" s="779"/>
      <c r="D383" s="660"/>
      <c r="E383" s="661"/>
      <c r="F383" s="862"/>
      <c r="G383" s="863"/>
      <c r="H383" s="961"/>
      <c r="I383" s="865">
        <f t="shared" si="282"/>
        <v>0</v>
      </c>
      <c r="J383" s="864" cm="1">
        <f t="array" ref="J383">IF($G383=0,0,-MIN(0,G383*c_equity.LPshare))</f>
        <v>0</v>
      </c>
      <c r="K383" s="865" cm="1">
        <f t="array" ref="K383">I383*c_rate.Pref.MO</f>
        <v>0</v>
      </c>
      <c r="L383" s="865">
        <f t="shared" si="283"/>
        <v>0</v>
      </c>
      <c r="M383" s="865">
        <f t="shared" si="284"/>
        <v>0</v>
      </c>
      <c r="N383" s="865">
        <f t="shared" si="285"/>
        <v>0</v>
      </c>
      <c r="O383" s="864" cm="1">
        <f t="array" ref="O383">IF(N383=0,0,IF(G383&lt;0,N383/c_equity.LPshare*i_equity.GPshare,L383/c_equity.LPshare*i_equity.GPshare))</f>
        <v>0</v>
      </c>
      <c r="P383" s="865">
        <f t="shared" si="286"/>
        <v>0</v>
      </c>
      <c r="Q383" s="865">
        <f t="shared" si="287"/>
        <v>0</v>
      </c>
      <c r="R383" s="161"/>
      <c r="S383" s="867">
        <f t="shared" ca="1" si="288"/>
        <v>0</v>
      </c>
      <c r="T383" s="867" cm="1">
        <f t="array" ref="T383">IF($G383=0,0,-MIN(0,$G383*c_equity.LPshare))</f>
        <v>0</v>
      </c>
      <c r="U383" s="869" cm="1">
        <f t="array" ref="U383">IF($D383=0,0,S383*c_rate.Hurdle1.MO)</f>
        <v>0</v>
      </c>
      <c r="V383" s="867">
        <f t="shared" si="289"/>
        <v>0</v>
      </c>
      <c r="W383" s="867">
        <f t="shared" ca="1" si="290"/>
        <v>0</v>
      </c>
      <c r="X383" s="869">
        <f t="shared" ca="1" si="291"/>
        <v>0</v>
      </c>
      <c r="Y383" s="869">
        <f t="shared" ca="1" si="292"/>
        <v>0</v>
      </c>
      <c r="Z383" s="869">
        <f t="shared" ca="1" si="293"/>
        <v>0</v>
      </c>
      <c r="AA383" s="869">
        <f t="shared" ca="1" si="294"/>
        <v>0</v>
      </c>
      <c r="AB383" s="867">
        <f t="shared" ca="1" si="295"/>
        <v>0</v>
      </c>
      <c r="AC383" s="161"/>
      <c r="AD383" s="869">
        <f t="shared" ca="1" si="296"/>
        <v>0</v>
      </c>
      <c r="AE383" s="867" cm="1">
        <f t="array" ref="AE383">IF($G383=0,0,-MIN(0,$G383*c_equity.LPshare))</f>
        <v>0</v>
      </c>
      <c r="AF383" s="869" cm="1">
        <f t="array" ref="AF383">IF($D383=0,0,AD383*(c_rate.Hurdle2.MO))</f>
        <v>0</v>
      </c>
      <c r="AG383" s="869">
        <f t="shared" ca="1" si="297"/>
        <v>0</v>
      </c>
      <c r="AH383" s="869">
        <f t="shared" ca="1" si="298"/>
        <v>0</v>
      </c>
      <c r="AI383" s="869">
        <f t="shared" ca="1" si="299"/>
        <v>0</v>
      </c>
      <c r="AJ383" s="870">
        <f t="shared" ca="1" si="300"/>
        <v>0</v>
      </c>
      <c r="AK383" s="867">
        <f t="shared" ca="1" si="301"/>
        <v>0</v>
      </c>
      <c r="AL383" s="869">
        <f t="shared" ca="1" si="279"/>
        <v>0</v>
      </c>
      <c r="AM383" s="869">
        <f t="shared" ca="1" si="302"/>
        <v>0</v>
      </c>
      <c r="AN383" s="867">
        <f t="shared" ca="1" si="303"/>
        <v>0</v>
      </c>
      <c r="AO383" s="161"/>
      <c r="AP383" s="869">
        <f t="shared" ca="1" si="304"/>
        <v>0</v>
      </c>
      <c r="AQ383" s="867" cm="1">
        <f t="array" ref="AQ383">IF($G383=0,0,-MIN(0,$G383*c_equity.LPshare))</f>
        <v>0</v>
      </c>
      <c r="AR383" s="869" cm="1">
        <f t="array" ref="AR383">IF($D383=0,0,AP383*(c_rate.Hurdle3.MO))</f>
        <v>0</v>
      </c>
      <c r="AS383" s="869">
        <f t="shared" ca="1" si="305"/>
        <v>0</v>
      </c>
      <c r="AT383" s="869">
        <f t="shared" ca="1" si="306"/>
        <v>0</v>
      </c>
      <c r="AU383" s="869">
        <f t="shared" ca="1" si="307"/>
        <v>0</v>
      </c>
      <c r="AV383" s="870">
        <f t="shared" ca="1" si="308"/>
        <v>0</v>
      </c>
      <c r="AW383" s="867">
        <f t="shared" ca="1" si="309"/>
        <v>0</v>
      </c>
      <c r="AX383" s="869">
        <f t="shared" ca="1" si="280"/>
        <v>0</v>
      </c>
      <c r="AY383" s="869">
        <f t="shared" ca="1" si="310"/>
        <v>0</v>
      </c>
      <c r="AZ383" s="867">
        <f t="shared" ca="1" si="311"/>
        <v>0</v>
      </c>
      <c r="BA383" s="161"/>
      <c r="BB383" s="867">
        <f t="shared" ca="1" si="312"/>
        <v>0</v>
      </c>
      <c r="BC383" s="867">
        <f t="shared" ca="1" si="277"/>
        <v>0</v>
      </c>
      <c r="BD383" s="658"/>
      <c r="BE383" s="867">
        <f t="shared" ca="1" si="313"/>
        <v>0</v>
      </c>
      <c r="BF383" s="867">
        <f t="shared" ca="1" si="314"/>
        <v>0</v>
      </c>
      <c r="BG383" s="867">
        <f t="shared" ca="1" si="315"/>
        <v>0</v>
      </c>
      <c r="BI383" s="867">
        <f ca="1"/>
        <v>0</v>
      </c>
      <c r="BJ383" s="867">
        <f ca="1"/>
        <v>0</v>
      </c>
      <c r="BK383" s="867">
        <f ca="1"/>
        <v>0</v>
      </c>
      <c r="BL383" s="867">
        <f t="shared" ca="1" si="316"/>
        <v>0</v>
      </c>
      <c r="BM383" s="867">
        <f t="shared" ca="1" si="317"/>
        <v>0</v>
      </c>
      <c r="BN383" s="867">
        <f t="shared" ca="1" si="318"/>
        <v>0</v>
      </c>
      <c r="BO383" s="867">
        <f t="shared" ca="1" si="319"/>
        <v>0</v>
      </c>
      <c r="BP383" s="867">
        <f t="shared" ca="1" si="320"/>
        <v>0</v>
      </c>
      <c r="BQ383" s="867">
        <f t="shared" ca="1" si="321"/>
        <v>0</v>
      </c>
      <c r="BR383" s="867">
        <f ca="1"/>
        <v>0</v>
      </c>
      <c r="BS383" s="867">
        <f ca="1"/>
        <v>0</v>
      </c>
      <c r="BT383" s="867">
        <f t="shared" ca="1" si="281"/>
        <v>0</v>
      </c>
      <c r="BU383" s="867">
        <f t="shared" ca="1" si="322"/>
        <v>0</v>
      </c>
      <c r="BX383" s="867">
        <f ca="1"/>
        <v>0</v>
      </c>
      <c r="BY383" s="867">
        <f t="shared" ca="1" si="323"/>
        <v>0</v>
      </c>
      <c r="BZ383" s="867">
        <f t="shared" ca="1" si="324"/>
        <v>0</v>
      </c>
      <c r="CA383" s="867">
        <f t="shared" ca="1" si="325"/>
        <v>0</v>
      </c>
      <c r="CB383" s="867">
        <f t="shared" ca="1" si="326"/>
        <v>0</v>
      </c>
      <c r="CC383" s="867">
        <f t="shared" ca="1" si="327"/>
        <v>0</v>
      </c>
      <c r="CD383" s="867">
        <f t="shared" ca="1" si="328"/>
        <v>0</v>
      </c>
    </row>
    <row r="384" spans="1:82" ht="17" hidden="1" thickTop="1" thickBot="1">
      <c r="A384" s="773">
        <f t="shared" si="278"/>
        <v>0</v>
      </c>
      <c r="B384" s="779"/>
      <c r="D384" s="660"/>
      <c r="E384" s="661"/>
      <c r="F384" s="862"/>
      <c r="G384" s="863"/>
      <c r="H384" s="961"/>
      <c r="I384" s="865">
        <f t="shared" si="282"/>
        <v>0</v>
      </c>
      <c r="J384" s="864" cm="1">
        <f t="array" ref="J384">IF($G384=0,0,-MIN(0,G384*c_equity.LPshare))</f>
        <v>0</v>
      </c>
      <c r="K384" s="865" cm="1">
        <f t="array" ref="K384">I384*c_rate.Pref.MO</f>
        <v>0</v>
      </c>
      <c r="L384" s="865">
        <f t="shared" si="283"/>
        <v>0</v>
      </c>
      <c r="M384" s="865">
        <f t="shared" si="284"/>
        <v>0</v>
      </c>
      <c r="N384" s="865">
        <f t="shared" si="285"/>
        <v>0</v>
      </c>
      <c r="O384" s="864" cm="1">
        <f t="array" ref="O384">IF(N384=0,0,IF(G384&lt;0,N384/c_equity.LPshare*i_equity.GPshare,L384/c_equity.LPshare*i_equity.GPshare))</f>
        <v>0</v>
      </c>
      <c r="P384" s="865">
        <f t="shared" si="286"/>
        <v>0</v>
      </c>
      <c r="Q384" s="865">
        <f t="shared" si="287"/>
        <v>0</v>
      </c>
      <c r="R384" s="161"/>
      <c r="S384" s="867">
        <f t="shared" ca="1" si="288"/>
        <v>0</v>
      </c>
      <c r="T384" s="867" cm="1">
        <f t="array" ref="T384">IF($G384=0,0,-MIN(0,$G384*c_equity.LPshare))</f>
        <v>0</v>
      </c>
      <c r="U384" s="869" cm="1">
        <f t="array" ref="U384">IF($D384=0,0,S384*c_rate.Hurdle1.MO)</f>
        <v>0</v>
      </c>
      <c r="V384" s="867">
        <f t="shared" si="289"/>
        <v>0</v>
      </c>
      <c r="W384" s="867">
        <f t="shared" ca="1" si="290"/>
        <v>0</v>
      </c>
      <c r="X384" s="869">
        <f t="shared" ca="1" si="291"/>
        <v>0</v>
      </c>
      <c r="Y384" s="869">
        <f t="shared" ca="1" si="292"/>
        <v>0</v>
      </c>
      <c r="Z384" s="869">
        <f t="shared" ca="1" si="293"/>
        <v>0</v>
      </c>
      <c r="AA384" s="869">
        <f t="shared" ca="1" si="294"/>
        <v>0</v>
      </c>
      <c r="AB384" s="867">
        <f t="shared" ca="1" si="295"/>
        <v>0</v>
      </c>
      <c r="AC384" s="161"/>
      <c r="AD384" s="869">
        <f t="shared" ca="1" si="296"/>
        <v>0</v>
      </c>
      <c r="AE384" s="867" cm="1">
        <f t="array" ref="AE384">IF($G384=0,0,-MIN(0,$G384*c_equity.LPshare))</f>
        <v>0</v>
      </c>
      <c r="AF384" s="869" cm="1">
        <f t="array" ref="AF384">IF($D384=0,0,AD384*(c_rate.Hurdle2.MO))</f>
        <v>0</v>
      </c>
      <c r="AG384" s="869">
        <f t="shared" ca="1" si="297"/>
        <v>0</v>
      </c>
      <c r="AH384" s="869">
        <f t="shared" ca="1" si="298"/>
        <v>0</v>
      </c>
      <c r="AI384" s="869">
        <f t="shared" ca="1" si="299"/>
        <v>0</v>
      </c>
      <c r="AJ384" s="870">
        <f t="shared" ca="1" si="300"/>
        <v>0</v>
      </c>
      <c r="AK384" s="867">
        <f t="shared" ca="1" si="301"/>
        <v>0</v>
      </c>
      <c r="AL384" s="869">
        <f t="shared" ca="1" si="279"/>
        <v>0</v>
      </c>
      <c r="AM384" s="869">
        <f t="shared" ca="1" si="302"/>
        <v>0</v>
      </c>
      <c r="AN384" s="867">
        <f t="shared" ca="1" si="303"/>
        <v>0</v>
      </c>
      <c r="AO384" s="161"/>
      <c r="AP384" s="869">
        <f t="shared" ca="1" si="304"/>
        <v>0</v>
      </c>
      <c r="AQ384" s="867" cm="1">
        <f t="array" ref="AQ384">IF($G384=0,0,-MIN(0,$G384*c_equity.LPshare))</f>
        <v>0</v>
      </c>
      <c r="AR384" s="869" cm="1">
        <f t="array" ref="AR384">IF($D384=0,0,AP384*(c_rate.Hurdle3.MO))</f>
        <v>0</v>
      </c>
      <c r="AS384" s="869">
        <f t="shared" ca="1" si="305"/>
        <v>0</v>
      </c>
      <c r="AT384" s="869">
        <f t="shared" ca="1" si="306"/>
        <v>0</v>
      </c>
      <c r="AU384" s="869">
        <f t="shared" ca="1" si="307"/>
        <v>0</v>
      </c>
      <c r="AV384" s="870">
        <f t="shared" ca="1" si="308"/>
        <v>0</v>
      </c>
      <c r="AW384" s="867">
        <f t="shared" ca="1" si="309"/>
        <v>0</v>
      </c>
      <c r="AX384" s="869">
        <f t="shared" ca="1" si="280"/>
        <v>0</v>
      </c>
      <c r="AY384" s="869">
        <f t="shared" ca="1" si="310"/>
        <v>0</v>
      </c>
      <c r="AZ384" s="867">
        <f t="shared" ca="1" si="311"/>
        <v>0</v>
      </c>
      <c r="BA384" s="161"/>
      <c r="BB384" s="867">
        <f t="shared" ca="1" si="312"/>
        <v>0</v>
      </c>
      <c r="BC384" s="867">
        <f t="shared" ca="1" si="277"/>
        <v>0</v>
      </c>
      <c r="BD384" s="658"/>
      <c r="BE384" s="867">
        <f t="shared" ca="1" si="313"/>
        <v>0</v>
      </c>
      <c r="BF384" s="867">
        <f t="shared" ca="1" si="314"/>
        <v>0</v>
      </c>
      <c r="BG384" s="867">
        <f t="shared" ca="1" si="315"/>
        <v>0</v>
      </c>
      <c r="BI384" s="867">
        <f ca="1"/>
        <v>0</v>
      </c>
      <c r="BJ384" s="867">
        <f ca="1"/>
        <v>0</v>
      </c>
      <c r="BK384" s="867">
        <f ca="1"/>
        <v>0</v>
      </c>
      <c r="BL384" s="867">
        <f t="shared" ca="1" si="316"/>
        <v>0</v>
      </c>
      <c r="BM384" s="867">
        <f t="shared" ca="1" si="317"/>
        <v>0</v>
      </c>
      <c r="BN384" s="867">
        <f t="shared" ca="1" si="318"/>
        <v>0</v>
      </c>
      <c r="BO384" s="867">
        <f t="shared" ca="1" si="319"/>
        <v>0</v>
      </c>
      <c r="BP384" s="867">
        <f t="shared" ca="1" si="320"/>
        <v>0</v>
      </c>
      <c r="BQ384" s="867">
        <f t="shared" ca="1" si="321"/>
        <v>0</v>
      </c>
      <c r="BR384" s="867">
        <f ca="1"/>
        <v>0</v>
      </c>
      <c r="BS384" s="867">
        <f ca="1"/>
        <v>0</v>
      </c>
      <c r="BT384" s="867">
        <f t="shared" ca="1" si="281"/>
        <v>0</v>
      </c>
      <c r="BU384" s="867">
        <f t="shared" ca="1" si="322"/>
        <v>0</v>
      </c>
      <c r="BX384" s="867">
        <f ca="1"/>
        <v>0</v>
      </c>
      <c r="BY384" s="867">
        <f t="shared" ca="1" si="323"/>
        <v>0</v>
      </c>
      <c r="BZ384" s="867">
        <f t="shared" ca="1" si="324"/>
        <v>0</v>
      </c>
      <c r="CA384" s="867">
        <f t="shared" ca="1" si="325"/>
        <v>0</v>
      </c>
      <c r="CB384" s="867">
        <f t="shared" ca="1" si="326"/>
        <v>0</v>
      </c>
      <c r="CC384" s="867">
        <f t="shared" ca="1" si="327"/>
        <v>0</v>
      </c>
      <c r="CD384" s="867">
        <f t="shared" ca="1" si="328"/>
        <v>0</v>
      </c>
    </row>
    <row r="385" spans="1:82" ht="17" hidden="1" thickTop="1" thickBot="1">
      <c r="A385" s="773">
        <f t="shared" si="278"/>
        <v>0</v>
      </c>
      <c r="B385" s="779"/>
      <c r="D385" s="660"/>
      <c r="E385" s="661"/>
      <c r="F385" s="862"/>
      <c r="G385" s="863"/>
      <c r="H385" s="961"/>
      <c r="I385" s="865">
        <f t="shared" si="282"/>
        <v>0</v>
      </c>
      <c r="J385" s="864" cm="1">
        <f t="array" ref="J385">IF($G385=0,0,-MIN(0,G385*c_equity.LPshare))</f>
        <v>0</v>
      </c>
      <c r="K385" s="865" cm="1">
        <f t="array" ref="K385">I385*c_rate.Pref.MO</f>
        <v>0</v>
      </c>
      <c r="L385" s="865">
        <f t="shared" si="283"/>
        <v>0</v>
      </c>
      <c r="M385" s="865">
        <f t="shared" si="284"/>
        <v>0</v>
      </c>
      <c r="N385" s="865">
        <f t="shared" si="285"/>
        <v>0</v>
      </c>
      <c r="O385" s="864" cm="1">
        <f t="array" ref="O385">IF(N385=0,0,IF(G385&lt;0,N385/c_equity.LPshare*i_equity.GPshare,L385/c_equity.LPshare*i_equity.GPshare))</f>
        <v>0</v>
      </c>
      <c r="P385" s="865">
        <f t="shared" si="286"/>
        <v>0</v>
      </c>
      <c r="Q385" s="865">
        <f t="shared" si="287"/>
        <v>0</v>
      </c>
      <c r="R385" s="161"/>
      <c r="S385" s="867">
        <f t="shared" ca="1" si="288"/>
        <v>0</v>
      </c>
      <c r="T385" s="867" cm="1">
        <f t="array" ref="T385">IF($G385=0,0,-MIN(0,$G385*c_equity.LPshare))</f>
        <v>0</v>
      </c>
      <c r="U385" s="869" cm="1">
        <f t="array" ref="U385">IF($D385=0,0,S385*c_rate.Hurdle1.MO)</f>
        <v>0</v>
      </c>
      <c r="V385" s="867">
        <f t="shared" si="289"/>
        <v>0</v>
      </c>
      <c r="W385" s="867">
        <f t="shared" ca="1" si="290"/>
        <v>0</v>
      </c>
      <c r="X385" s="869">
        <f t="shared" ca="1" si="291"/>
        <v>0</v>
      </c>
      <c r="Y385" s="869">
        <f t="shared" ca="1" si="292"/>
        <v>0</v>
      </c>
      <c r="Z385" s="869">
        <f t="shared" ca="1" si="293"/>
        <v>0</v>
      </c>
      <c r="AA385" s="869">
        <f t="shared" ca="1" si="294"/>
        <v>0</v>
      </c>
      <c r="AB385" s="867">
        <f t="shared" ca="1" si="295"/>
        <v>0</v>
      </c>
      <c r="AC385" s="161"/>
      <c r="AD385" s="869">
        <f t="shared" ca="1" si="296"/>
        <v>0</v>
      </c>
      <c r="AE385" s="867" cm="1">
        <f t="array" ref="AE385">IF($G385=0,0,-MIN(0,$G385*c_equity.LPshare))</f>
        <v>0</v>
      </c>
      <c r="AF385" s="869" cm="1">
        <f t="array" ref="AF385">IF($D385=0,0,AD385*(c_rate.Hurdle2.MO))</f>
        <v>0</v>
      </c>
      <c r="AG385" s="869">
        <f t="shared" ca="1" si="297"/>
        <v>0</v>
      </c>
      <c r="AH385" s="869">
        <f t="shared" ca="1" si="298"/>
        <v>0</v>
      </c>
      <c r="AI385" s="869">
        <f t="shared" ca="1" si="299"/>
        <v>0</v>
      </c>
      <c r="AJ385" s="870">
        <f t="shared" ca="1" si="300"/>
        <v>0</v>
      </c>
      <c r="AK385" s="867">
        <f t="shared" ca="1" si="301"/>
        <v>0</v>
      </c>
      <c r="AL385" s="869">
        <f t="shared" ca="1" si="279"/>
        <v>0</v>
      </c>
      <c r="AM385" s="869">
        <f t="shared" ca="1" si="302"/>
        <v>0</v>
      </c>
      <c r="AN385" s="867">
        <f t="shared" ca="1" si="303"/>
        <v>0</v>
      </c>
      <c r="AO385" s="161"/>
      <c r="AP385" s="869">
        <f t="shared" ca="1" si="304"/>
        <v>0</v>
      </c>
      <c r="AQ385" s="867" cm="1">
        <f t="array" ref="AQ385">IF($G385=0,0,-MIN(0,$G385*c_equity.LPshare))</f>
        <v>0</v>
      </c>
      <c r="AR385" s="869" cm="1">
        <f t="array" ref="AR385">IF($D385=0,0,AP385*(c_rate.Hurdle3.MO))</f>
        <v>0</v>
      </c>
      <c r="AS385" s="869">
        <f t="shared" ca="1" si="305"/>
        <v>0</v>
      </c>
      <c r="AT385" s="869">
        <f t="shared" ca="1" si="306"/>
        <v>0</v>
      </c>
      <c r="AU385" s="869">
        <f t="shared" ca="1" si="307"/>
        <v>0</v>
      </c>
      <c r="AV385" s="870">
        <f t="shared" ca="1" si="308"/>
        <v>0</v>
      </c>
      <c r="AW385" s="867">
        <f t="shared" ca="1" si="309"/>
        <v>0</v>
      </c>
      <c r="AX385" s="869">
        <f t="shared" ca="1" si="280"/>
        <v>0</v>
      </c>
      <c r="AY385" s="869">
        <f t="shared" ca="1" si="310"/>
        <v>0</v>
      </c>
      <c r="AZ385" s="867">
        <f t="shared" ca="1" si="311"/>
        <v>0</v>
      </c>
      <c r="BA385" s="161"/>
      <c r="BB385" s="867">
        <f t="shared" ca="1" si="312"/>
        <v>0</v>
      </c>
      <c r="BC385" s="867">
        <f t="shared" ca="1" si="277"/>
        <v>0</v>
      </c>
      <c r="BD385" s="658"/>
      <c r="BE385" s="867">
        <f t="shared" ca="1" si="313"/>
        <v>0</v>
      </c>
      <c r="BF385" s="867">
        <f t="shared" ca="1" si="314"/>
        <v>0</v>
      </c>
      <c r="BG385" s="867">
        <f t="shared" ca="1" si="315"/>
        <v>0</v>
      </c>
      <c r="BI385" s="867">
        <f ca="1"/>
        <v>0</v>
      </c>
      <c r="BJ385" s="867">
        <f ca="1"/>
        <v>0</v>
      </c>
      <c r="BK385" s="867">
        <f ca="1"/>
        <v>0</v>
      </c>
      <c r="BL385" s="867">
        <f t="shared" ca="1" si="316"/>
        <v>0</v>
      </c>
      <c r="BM385" s="867">
        <f t="shared" ca="1" si="317"/>
        <v>0</v>
      </c>
      <c r="BN385" s="867">
        <f t="shared" ca="1" si="318"/>
        <v>0</v>
      </c>
      <c r="BO385" s="867">
        <f t="shared" ca="1" si="319"/>
        <v>0</v>
      </c>
      <c r="BP385" s="867">
        <f t="shared" ca="1" si="320"/>
        <v>0</v>
      </c>
      <c r="BQ385" s="867">
        <f t="shared" ca="1" si="321"/>
        <v>0</v>
      </c>
      <c r="BR385" s="867">
        <f ca="1"/>
        <v>0</v>
      </c>
      <c r="BS385" s="867">
        <f ca="1"/>
        <v>0</v>
      </c>
      <c r="BT385" s="867">
        <f t="shared" ca="1" si="281"/>
        <v>0</v>
      </c>
      <c r="BU385" s="867">
        <f t="shared" ca="1" si="322"/>
        <v>0</v>
      </c>
      <c r="BX385" s="867">
        <f ca="1"/>
        <v>0</v>
      </c>
      <c r="BY385" s="867">
        <f t="shared" ca="1" si="323"/>
        <v>0</v>
      </c>
      <c r="BZ385" s="867">
        <f t="shared" ca="1" si="324"/>
        <v>0</v>
      </c>
      <c r="CA385" s="867">
        <f t="shared" ca="1" si="325"/>
        <v>0</v>
      </c>
      <c r="CB385" s="867">
        <f t="shared" ca="1" si="326"/>
        <v>0</v>
      </c>
      <c r="CC385" s="867">
        <f t="shared" ca="1" si="327"/>
        <v>0</v>
      </c>
      <c r="CD385" s="867">
        <f t="shared" ca="1" si="328"/>
        <v>0</v>
      </c>
    </row>
    <row r="386" spans="1:82" ht="17" hidden="1" thickTop="1" thickBot="1">
      <c r="A386" s="773">
        <f t="shared" si="278"/>
        <v>0</v>
      </c>
      <c r="B386" s="779"/>
      <c r="D386" s="660"/>
      <c r="E386" s="661"/>
      <c r="F386" s="862"/>
      <c r="G386" s="863"/>
      <c r="H386" s="961"/>
      <c r="I386" s="865">
        <f t="shared" si="282"/>
        <v>0</v>
      </c>
      <c r="J386" s="864" cm="1">
        <f t="array" ref="J386">IF($G386=0,0,-MIN(0,G386*c_equity.LPshare))</f>
        <v>0</v>
      </c>
      <c r="K386" s="865" cm="1">
        <f t="array" ref="K386">I386*c_rate.Pref.MO</f>
        <v>0</v>
      </c>
      <c r="L386" s="865">
        <f t="shared" si="283"/>
        <v>0</v>
      </c>
      <c r="M386" s="865">
        <f t="shared" si="284"/>
        <v>0</v>
      </c>
      <c r="N386" s="865">
        <f t="shared" si="285"/>
        <v>0</v>
      </c>
      <c r="O386" s="864" cm="1">
        <f t="array" ref="O386">IF(N386=0,0,IF(G386&lt;0,N386/c_equity.LPshare*i_equity.GPshare,L386/c_equity.LPshare*i_equity.GPshare))</f>
        <v>0</v>
      </c>
      <c r="P386" s="865">
        <f t="shared" si="286"/>
        <v>0</v>
      </c>
      <c r="Q386" s="865">
        <f t="shared" si="287"/>
        <v>0</v>
      </c>
      <c r="R386" s="161"/>
      <c r="S386" s="867">
        <f t="shared" ca="1" si="288"/>
        <v>0</v>
      </c>
      <c r="T386" s="867" cm="1">
        <f t="array" ref="T386">IF($G386=0,0,-MIN(0,$G386*c_equity.LPshare))</f>
        <v>0</v>
      </c>
      <c r="U386" s="869" cm="1">
        <f t="array" ref="U386">IF($D386=0,0,S386*c_rate.Hurdle1.MO)</f>
        <v>0</v>
      </c>
      <c r="V386" s="867">
        <f t="shared" si="289"/>
        <v>0</v>
      </c>
      <c r="W386" s="867">
        <f t="shared" ca="1" si="290"/>
        <v>0</v>
      </c>
      <c r="X386" s="869">
        <f t="shared" ca="1" si="291"/>
        <v>0</v>
      </c>
      <c r="Y386" s="869">
        <f t="shared" ca="1" si="292"/>
        <v>0</v>
      </c>
      <c r="Z386" s="869">
        <f t="shared" ca="1" si="293"/>
        <v>0</v>
      </c>
      <c r="AA386" s="869">
        <f t="shared" ca="1" si="294"/>
        <v>0</v>
      </c>
      <c r="AB386" s="867">
        <f t="shared" ca="1" si="295"/>
        <v>0</v>
      </c>
      <c r="AC386" s="161"/>
      <c r="AD386" s="869">
        <f t="shared" ca="1" si="296"/>
        <v>0</v>
      </c>
      <c r="AE386" s="867" cm="1">
        <f t="array" ref="AE386">IF($G386=0,0,-MIN(0,$G386*c_equity.LPshare))</f>
        <v>0</v>
      </c>
      <c r="AF386" s="869" cm="1">
        <f t="array" ref="AF386">IF($D386=0,0,AD386*(c_rate.Hurdle2.MO))</f>
        <v>0</v>
      </c>
      <c r="AG386" s="869">
        <f t="shared" ca="1" si="297"/>
        <v>0</v>
      </c>
      <c r="AH386" s="869">
        <f t="shared" ca="1" si="298"/>
        <v>0</v>
      </c>
      <c r="AI386" s="869">
        <f t="shared" ca="1" si="299"/>
        <v>0</v>
      </c>
      <c r="AJ386" s="870">
        <f t="shared" ca="1" si="300"/>
        <v>0</v>
      </c>
      <c r="AK386" s="867">
        <f t="shared" ca="1" si="301"/>
        <v>0</v>
      </c>
      <c r="AL386" s="869">
        <f t="shared" ca="1" si="279"/>
        <v>0</v>
      </c>
      <c r="AM386" s="869">
        <f t="shared" ca="1" si="302"/>
        <v>0</v>
      </c>
      <c r="AN386" s="867">
        <f t="shared" ca="1" si="303"/>
        <v>0</v>
      </c>
      <c r="AO386" s="161"/>
      <c r="AP386" s="869">
        <f t="shared" ca="1" si="304"/>
        <v>0</v>
      </c>
      <c r="AQ386" s="867" cm="1">
        <f t="array" ref="AQ386">IF($G386=0,0,-MIN(0,$G386*c_equity.LPshare))</f>
        <v>0</v>
      </c>
      <c r="AR386" s="869" cm="1">
        <f t="array" ref="AR386">IF($D386=0,0,AP386*(c_rate.Hurdle3.MO))</f>
        <v>0</v>
      </c>
      <c r="AS386" s="869">
        <f t="shared" ca="1" si="305"/>
        <v>0</v>
      </c>
      <c r="AT386" s="869">
        <f t="shared" ca="1" si="306"/>
        <v>0</v>
      </c>
      <c r="AU386" s="869">
        <f t="shared" ca="1" si="307"/>
        <v>0</v>
      </c>
      <c r="AV386" s="870">
        <f t="shared" ca="1" si="308"/>
        <v>0</v>
      </c>
      <c r="AW386" s="867">
        <f t="shared" ca="1" si="309"/>
        <v>0</v>
      </c>
      <c r="AX386" s="869">
        <f t="shared" ca="1" si="280"/>
        <v>0</v>
      </c>
      <c r="AY386" s="869">
        <f t="shared" ca="1" si="310"/>
        <v>0</v>
      </c>
      <c r="AZ386" s="867">
        <f t="shared" ca="1" si="311"/>
        <v>0</v>
      </c>
      <c r="BA386" s="161"/>
      <c r="BB386" s="867">
        <f t="shared" ca="1" si="312"/>
        <v>0</v>
      </c>
      <c r="BC386" s="867">
        <f t="shared" ca="1" si="277"/>
        <v>0</v>
      </c>
      <c r="BD386" s="658"/>
      <c r="BE386" s="867">
        <f t="shared" ca="1" si="313"/>
        <v>0</v>
      </c>
      <c r="BF386" s="867">
        <f t="shared" ca="1" si="314"/>
        <v>0</v>
      </c>
      <c r="BG386" s="867">
        <f t="shared" ca="1" si="315"/>
        <v>0</v>
      </c>
      <c r="BI386" s="867">
        <f ca="1"/>
        <v>0</v>
      </c>
      <c r="BJ386" s="867">
        <f ca="1"/>
        <v>0</v>
      </c>
      <c r="BK386" s="867">
        <f ca="1"/>
        <v>0</v>
      </c>
      <c r="BL386" s="867">
        <f t="shared" ca="1" si="316"/>
        <v>0</v>
      </c>
      <c r="BM386" s="867">
        <f t="shared" ca="1" si="317"/>
        <v>0</v>
      </c>
      <c r="BN386" s="867">
        <f t="shared" ca="1" si="318"/>
        <v>0</v>
      </c>
      <c r="BO386" s="867">
        <f t="shared" ca="1" si="319"/>
        <v>0</v>
      </c>
      <c r="BP386" s="867">
        <f t="shared" ca="1" si="320"/>
        <v>0</v>
      </c>
      <c r="BQ386" s="867">
        <f t="shared" ca="1" si="321"/>
        <v>0</v>
      </c>
      <c r="BR386" s="867">
        <f ca="1"/>
        <v>0</v>
      </c>
      <c r="BS386" s="867">
        <f ca="1"/>
        <v>0</v>
      </c>
      <c r="BT386" s="867">
        <f t="shared" ca="1" si="281"/>
        <v>0</v>
      </c>
      <c r="BU386" s="867">
        <f t="shared" ca="1" si="322"/>
        <v>0</v>
      </c>
      <c r="BX386" s="867">
        <f ca="1"/>
        <v>0</v>
      </c>
      <c r="BY386" s="867">
        <f t="shared" ca="1" si="323"/>
        <v>0</v>
      </c>
      <c r="BZ386" s="867">
        <f t="shared" ca="1" si="324"/>
        <v>0</v>
      </c>
      <c r="CA386" s="867">
        <f t="shared" ca="1" si="325"/>
        <v>0</v>
      </c>
      <c r="CB386" s="867">
        <f t="shared" ca="1" si="326"/>
        <v>0</v>
      </c>
      <c r="CC386" s="867">
        <f t="shared" ca="1" si="327"/>
        <v>0</v>
      </c>
      <c r="CD386" s="867">
        <f t="shared" ca="1" si="328"/>
        <v>0</v>
      </c>
    </row>
    <row r="387" spans="1:82" ht="17" hidden="1" thickTop="1" thickBot="1">
      <c r="A387" s="773">
        <f t="shared" si="278"/>
        <v>0</v>
      </c>
      <c r="B387" s="779"/>
      <c r="D387" s="660"/>
      <c r="E387" s="661"/>
      <c r="F387" s="862"/>
      <c r="G387" s="863"/>
      <c r="H387" s="961"/>
      <c r="I387" s="865">
        <f t="shared" si="282"/>
        <v>0</v>
      </c>
      <c r="J387" s="864" cm="1">
        <f t="array" ref="J387">IF($G387=0,0,-MIN(0,G387*c_equity.LPshare))</f>
        <v>0</v>
      </c>
      <c r="K387" s="865" cm="1">
        <f t="array" ref="K387">I387*c_rate.Pref.MO</f>
        <v>0</v>
      </c>
      <c r="L387" s="865">
        <f t="shared" si="283"/>
        <v>0</v>
      </c>
      <c r="M387" s="865">
        <f t="shared" si="284"/>
        <v>0</v>
      </c>
      <c r="N387" s="865">
        <f t="shared" si="285"/>
        <v>0</v>
      </c>
      <c r="O387" s="864" cm="1">
        <f t="array" ref="O387">IF(N387=0,0,IF(G387&lt;0,N387/c_equity.LPshare*i_equity.GPshare,L387/c_equity.LPshare*i_equity.GPshare))</f>
        <v>0</v>
      </c>
      <c r="P387" s="865">
        <f t="shared" si="286"/>
        <v>0</v>
      </c>
      <c r="Q387" s="865">
        <f t="shared" si="287"/>
        <v>0</v>
      </c>
      <c r="R387" s="161"/>
      <c r="S387" s="867">
        <f t="shared" ca="1" si="288"/>
        <v>0</v>
      </c>
      <c r="T387" s="867" cm="1">
        <f t="array" ref="T387">IF($G387=0,0,-MIN(0,$G387*c_equity.LPshare))</f>
        <v>0</v>
      </c>
      <c r="U387" s="869" cm="1">
        <f t="array" ref="U387">IF($D387=0,0,S387*c_rate.Hurdle1.MO)</f>
        <v>0</v>
      </c>
      <c r="V387" s="867">
        <f t="shared" si="289"/>
        <v>0</v>
      </c>
      <c r="W387" s="867">
        <f t="shared" ca="1" si="290"/>
        <v>0</v>
      </c>
      <c r="X387" s="869">
        <f t="shared" ca="1" si="291"/>
        <v>0</v>
      </c>
      <c r="Y387" s="869">
        <f t="shared" ca="1" si="292"/>
        <v>0</v>
      </c>
      <c r="Z387" s="869">
        <f t="shared" ca="1" si="293"/>
        <v>0</v>
      </c>
      <c r="AA387" s="869">
        <f t="shared" ca="1" si="294"/>
        <v>0</v>
      </c>
      <c r="AB387" s="867">
        <f t="shared" ca="1" si="295"/>
        <v>0</v>
      </c>
      <c r="AC387" s="161"/>
      <c r="AD387" s="869">
        <f t="shared" ca="1" si="296"/>
        <v>0</v>
      </c>
      <c r="AE387" s="867" cm="1">
        <f t="array" ref="AE387">IF($G387=0,0,-MIN(0,$G387*c_equity.LPshare))</f>
        <v>0</v>
      </c>
      <c r="AF387" s="869" cm="1">
        <f t="array" ref="AF387">IF($D387=0,0,AD387*(c_rate.Hurdle2.MO))</f>
        <v>0</v>
      </c>
      <c r="AG387" s="869">
        <f t="shared" ca="1" si="297"/>
        <v>0</v>
      </c>
      <c r="AH387" s="869">
        <f t="shared" ca="1" si="298"/>
        <v>0</v>
      </c>
      <c r="AI387" s="869">
        <f t="shared" ca="1" si="299"/>
        <v>0</v>
      </c>
      <c r="AJ387" s="870">
        <f t="shared" ca="1" si="300"/>
        <v>0</v>
      </c>
      <c r="AK387" s="867">
        <f t="shared" ca="1" si="301"/>
        <v>0</v>
      </c>
      <c r="AL387" s="869">
        <f t="shared" ca="1" si="279"/>
        <v>0</v>
      </c>
      <c r="AM387" s="869">
        <f t="shared" ca="1" si="302"/>
        <v>0</v>
      </c>
      <c r="AN387" s="867">
        <f t="shared" ca="1" si="303"/>
        <v>0</v>
      </c>
      <c r="AO387" s="161"/>
      <c r="AP387" s="869">
        <f t="shared" ca="1" si="304"/>
        <v>0</v>
      </c>
      <c r="AQ387" s="867" cm="1">
        <f t="array" ref="AQ387">IF($G387=0,0,-MIN(0,$G387*c_equity.LPshare))</f>
        <v>0</v>
      </c>
      <c r="AR387" s="869" cm="1">
        <f t="array" ref="AR387">IF($D387=0,0,AP387*(c_rate.Hurdle3.MO))</f>
        <v>0</v>
      </c>
      <c r="AS387" s="869">
        <f t="shared" ca="1" si="305"/>
        <v>0</v>
      </c>
      <c r="AT387" s="869">
        <f t="shared" ca="1" si="306"/>
        <v>0</v>
      </c>
      <c r="AU387" s="869">
        <f t="shared" ca="1" si="307"/>
        <v>0</v>
      </c>
      <c r="AV387" s="870">
        <f t="shared" ca="1" si="308"/>
        <v>0</v>
      </c>
      <c r="AW387" s="867">
        <f t="shared" ca="1" si="309"/>
        <v>0</v>
      </c>
      <c r="AX387" s="869">
        <f t="shared" ca="1" si="280"/>
        <v>0</v>
      </c>
      <c r="AY387" s="869">
        <f t="shared" ca="1" si="310"/>
        <v>0</v>
      </c>
      <c r="AZ387" s="867">
        <f t="shared" ca="1" si="311"/>
        <v>0</v>
      </c>
      <c r="BA387" s="161"/>
      <c r="BB387" s="867">
        <f t="shared" ca="1" si="312"/>
        <v>0</v>
      </c>
      <c r="BC387" s="867">
        <f t="shared" ca="1" si="277"/>
        <v>0</v>
      </c>
      <c r="BD387" s="658"/>
      <c r="BE387" s="867">
        <f t="shared" ca="1" si="313"/>
        <v>0</v>
      </c>
      <c r="BF387" s="867">
        <f t="shared" ca="1" si="314"/>
        <v>0</v>
      </c>
      <c r="BG387" s="867">
        <f t="shared" ca="1" si="315"/>
        <v>0</v>
      </c>
      <c r="BI387" s="867">
        <f ca="1"/>
        <v>0</v>
      </c>
      <c r="BJ387" s="867">
        <f ca="1"/>
        <v>0</v>
      </c>
      <c r="BK387" s="867">
        <f ca="1"/>
        <v>0</v>
      </c>
      <c r="BL387" s="867">
        <f t="shared" ca="1" si="316"/>
        <v>0</v>
      </c>
      <c r="BM387" s="867">
        <f t="shared" ca="1" si="317"/>
        <v>0</v>
      </c>
      <c r="BN387" s="867">
        <f t="shared" ca="1" si="318"/>
        <v>0</v>
      </c>
      <c r="BO387" s="867">
        <f t="shared" ca="1" si="319"/>
        <v>0</v>
      </c>
      <c r="BP387" s="867">
        <f t="shared" ca="1" si="320"/>
        <v>0</v>
      </c>
      <c r="BQ387" s="867">
        <f t="shared" ca="1" si="321"/>
        <v>0</v>
      </c>
      <c r="BR387" s="867">
        <f ca="1"/>
        <v>0</v>
      </c>
      <c r="BS387" s="867">
        <f ca="1"/>
        <v>0</v>
      </c>
      <c r="BT387" s="867">
        <f t="shared" ca="1" si="281"/>
        <v>0</v>
      </c>
      <c r="BU387" s="867">
        <f t="shared" ca="1" si="322"/>
        <v>0</v>
      </c>
      <c r="BX387" s="867">
        <f ca="1"/>
        <v>0</v>
      </c>
      <c r="BY387" s="867">
        <f t="shared" ca="1" si="323"/>
        <v>0</v>
      </c>
      <c r="BZ387" s="867">
        <f t="shared" ca="1" si="324"/>
        <v>0</v>
      </c>
      <c r="CA387" s="867">
        <f t="shared" ca="1" si="325"/>
        <v>0</v>
      </c>
      <c r="CB387" s="867">
        <f t="shared" ca="1" si="326"/>
        <v>0</v>
      </c>
      <c r="CC387" s="867">
        <f t="shared" ca="1" si="327"/>
        <v>0</v>
      </c>
      <c r="CD387" s="867">
        <f t="shared" ca="1" si="328"/>
        <v>0</v>
      </c>
    </row>
    <row r="388" spans="1:82" ht="17" hidden="1" thickTop="1" thickBot="1">
      <c r="A388" s="773">
        <f t="shared" si="278"/>
        <v>0</v>
      </c>
      <c r="B388" s="779"/>
      <c r="D388" s="660"/>
      <c r="E388" s="661"/>
      <c r="F388" s="862"/>
      <c r="G388" s="863"/>
      <c r="H388" s="961"/>
      <c r="I388" s="865">
        <f t="shared" si="282"/>
        <v>0</v>
      </c>
      <c r="J388" s="864" cm="1">
        <f t="array" ref="J388">IF($G388=0,0,-MIN(0,G388*c_equity.LPshare))</f>
        <v>0</v>
      </c>
      <c r="K388" s="865" cm="1">
        <f t="array" ref="K388">I388*c_rate.Pref.MO</f>
        <v>0</v>
      </c>
      <c r="L388" s="865">
        <f t="shared" si="283"/>
        <v>0</v>
      </c>
      <c r="M388" s="865">
        <f t="shared" si="284"/>
        <v>0</v>
      </c>
      <c r="N388" s="865">
        <f t="shared" si="285"/>
        <v>0</v>
      </c>
      <c r="O388" s="864" cm="1">
        <f t="array" ref="O388">IF(N388=0,0,IF(G388&lt;0,N388/c_equity.LPshare*i_equity.GPshare,L388/c_equity.LPshare*i_equity.GPshare))</f>
        <v>0</v>
      </c>
      <c r="P388" s="865">
        <f t="shared" si="286"/>
        <v>0</v>
      </c>
      <c r="Q388" s="865">
        <f t="shared" si="287"/>
        <v>0</v>
      </c>
      <c r="R388" s="161"/>
      <c r="S388" s="867">
        <f t="shared" ca="1" si="288"/>
        <v>0</v>
      </c>
      <c r="T388" s="867" cm="1">
        <f t="array" ref="T388">IF($G388=0,0,-MIN(0,$G388*c_equity.LPshare))</f>
        <v>0</v>
      </c>
      <c r="U388" s="869" cm="1">
        <f t="array" ref="U388">IF($D388=0,0,S388*c_rate.Hurdle1.MO)</f>
        <v>0</v>
      </c>
      <c r="V388" s="867">
        <f t="shared" si="289"/>
        <v>0</v>
      </c>
      <c r="W388" s="867">
        <f t="shared" ca="1" si="290"/>
        <v>0</v>
      </c>
      <c r="X388" s="869">
        <f t="shared" ca="1" si="291"/>
        <v>0</v>
      </c>
      <c r="Y388" s="869">
        <f t="shared" ca="1" si="292"/>
        <v>0</v>
      </c>
      <c r="Z388" s="869">
        <f t="shared" ca="1" si="293"/>
        <v>0</v>
      </c>
      <c r="AA388" s="869">
        <f t="shared" ca="1" si="294"/>
        <v>0</v>
      </c>
      <c r="AB388" s="867">
        <f t="shared" ca="1" si="295"/>
        <v>0</v>
      </c>
      <c r="AC388" s="161"/>
      <c r="AD388" s="869">
        <f t="shared" ca="1" si="296"/>
        <v>0</v>
      </c>
      <c r="AE388" s="867" cm="1">
        <f t="array" ref="AE388">IF($G388=0,0,-MIN(0,$G388*c_equity.LPshare))</f>
        <v>0</v>
      </c>
      <c r="AF388" s="869" cm="1">
        <f t="array" ref="AF388">IF($D388=0,0,AD388*(c_rate.Hurdle2.MO))</f>
        <v>0</v>
      </c>
      <c r="AG388" s="869">
        <f t="shared" ca="1" si="297"/>
        <v>0</v>
      </c>
      <c r="AH388" s="869">
        <f t="shared" ca="1" si="298"/>
        <v>0</v>
      </c>
      <c r="AI388" s="869">
        <f t="shared" ca="1" si="299"/>
        <v>0</v>
      </c>
      <c r="AJ388" s="870">
        <f t="shared" ca="1" si="300"/>
        <v>0</v>
      </c>
      <c r="AK388" s="867">
        <f t="shared" ca="1" si="301"/>
        <v>0</v>
      </c>
      <c r="AL388" s="869">
        <f t="shared" ca="1" si="279"/>
        <v>0</v>
      </c>
      <c r="AM388" s="869">
        <f t="shared" ca="1" si="302"/>
        <v>0</v>
      </c>
      <c r="AN388" s="867">
        <f t="shared" ca="1" si="303"/>
        <v>0</v>
      </c>
      <c r="AO388" s="161"/>
      <c r="AP388" s="869">
        <f t="shared" ca="1" si="304"/>
        <v>0</v>
      </c>
      <c r="AQ388" s="867" cm="1">
        <f t="array" ref="AQ388">IF($G388=0,0,-MIN(0,$G388*c_equity.LPshare))</f>
        <v>0</v>
      </c>
      <c r="AR388" s="869" cm="1">
        <f t="array" ref="AR388">IF($D388=0,0,AP388*(c_rate.Hurdle3.MO))</f>
        <v>0</v>
      </c>
      <c r="AS388" s="869">
        <f t="shared" ca="1" si="305"/>
        <v>0</v>
      </c>
      <c r="AT388" s="869">
        <f t="shared" ca="1" si="306"/>
        <v>0</v>
      </c>
      <c r="AU388" s="869">
        <f t="shared" ca="1" si="307"/>
        <v>0</v>
      </c>
      <c r="AV388" s="870">
        <f t="shared" ca="1" si="308"/>
        <v>0</v>
      </c>
      <c r="AW388" s="867">
        <f t="shared" ca="1" si="309"/>
        <v>0</v>
      </c>
      <c r="AX388" s="869">
        <f t="shared" ca="1" si="280"/>
        <v>0</v>
      </c>
      <c r="AY388" s="869">
        <f t="shared" ca="1" si="310"/>
        <v>0</v>
      </c>
      <c r="AZ388" s="867">
        <f t="shared" ca="1" si="311"/>
        <v>0</v>
      </c>
      <c r="BA388" s="161"/>
      <c r="BB388" s="867">
        <f t="shared" ca="1" si="312"/>
        <v>0</v>
      </c>
      <c r="BC388" s="867">
        <f t="shared" ca="1" si="277"/>
        <v>0</v>
      </c>
      <c r="BD388" s="658"/>
      <c r="BE388" s="867">
        <f t="shared" ca="1" si="313"/>
        <v>0</v>
      </c>
      <c r="BF388" s="867">
        <f t="shared" ca="1" si="314"/>
        <v>0</v>
      </c>
      <c r="BG388" s="867">
        <f t="shared" ca="1" si="315"/>
        <v>0</v>
      </c>
      <c r="BI388" s="867">
        <f ca="1"/>
        <v>0</v>
      </c>
      <c r="BJ388" s="867">
        <f ca="1"/>
        <v>0</v>
      </c>
      <c r="BK388" s="867">
        <f ca="1"/>
        <v>0</v>
      </c>
      <c r="BL388" s="867">
        <f t="shared" ca="1" si="316"/>
        <v>0</v>
      </c>
      <c r="BM388" s="867">
        <f t="shared" ca="1" si="317"/>
        <v>0</v>
      </c>
      <c r="BN388" s="867">
        <f t="shared" ca="1" si="318"/>
        <v>0</v>
      </c>
      <c r="BO388" s="867">
        <f t="shared" ca="1" si="319"/>
        <v>0</v>
      </c>
      <c r="BP388" s="867">
        <f t="shared" ca="1" si="320"/>
        <v>0</v>
      </c>
      <c r="BQ388" s="867">
        <f t="shared" ca="1" si="321"/>
        <v>0</v>
      </c>
      <c r="BR388" s="867">
        <f ca="1"/>
        <v>0</v>
      </c>
      <c r="BS388" s="867">
        <f ca="1"/>
        <v>0</v>
      </c>
      <c r="BT388" s="867">
        <f t="shared" ca="1" si="281"/>
        <v>0</v>
      </c>
      <c r="BU388" s="867">
        <f t="shared" ca="1" si="322"/>
        <v>0</v>
      </c>
      <c r="BX388" s="867">
        <f ca="1"/>
        <v>0</v>
      </c>
      <c r="BY388" s="867">
        <f t="shared" ca="1" si="323"/>
        <v>0</v>
      </c>
      <c r="BZ388" s="867">
        <f t="shared" ca="1" si="324"/>
        <v>0</v>
      </c>
      <c r="CA388" s="867">
        <f t="shared" ca="1" si="325"/>
        <v>0</v>
      </c>
      <c r="CB388" s="867">
        <f t="shared" ca="1" si="326"/>
        <v>0</v>
      </c>
      <c r="CC388" s="867">
        <f t="shared" ca="1" si="327"/>
        <v>0</v>
      </c>
      <c r="CD388" s="867">
        <f t="shared" ca="1" si="328"/>
        <v>0</v>
      </c>
    </row>
    <row r="389" spans="1:82" ht="17" hidden="1" thickTop="1" thickBot="1">
      <c r="A389" s="773">
        <f t="shared" si="278"/>
        <v>0</v>
      </c>
      <c r="B389" s="779"/>
      <c r="D389" s="660"/>
      <c r="E389" s="661"/>
      <c r="F389" s="862"/>
      <c r="G389" s="863"/>
      <c r="H389" s="961"/>
      <c r="I389" s="865">
        <f t="shared" si="282"/>
        <v>0</v>
      </c>
      <c r="J389" s="864" cm="1">
        <f t="array" ref="J389">IF($G389=0,0,-MIN(0,G389*c_equity.LPshare))</f>
        <v>0</v>
      </c>
      <c r="K389" s="865" cm="1">
        <f t="array" ref="K389">I389*c_rate.Pref.MO</f>
        <v>0</v>
      </c>
      <c r="L389" s="865">
        <f t="shared" si="283"/>
        <v>0</v>
      </c>
      <c r="M389" s="865">
        <f t="shared" si="284"/>
        <v>0</v>
      </c>
      <c r="N389" s="865">
        <f t="shared" si="285"/>
        <v>0</v>
      </c>
      <c r="O389" s="864" cm="1">
        <f t="array" ref="O389">IF(N389=0,0,IF(G389&lt;0,N389/c_equity.LPshare*i_equity.GPshare,L389/c_equity.LPshare*i_equity.GPshare))</f>
        <v>0</v>
      </c>
      <c r="P389" s="865">
        <f t="shared" si="286"/>
        <v>0</v>
      </c>
      <c r="Q389" s="865">
        <f t="shared" si="287"/>
        <v>0</v>
      </c>
      <c r="R389" s="161"/>
      <c r="S389" s="867">
        <f t="shared" ca="1" si="288"/>
        <v>0</v>
      </c>
      <c r="T389" s="867" cm="1">
        <f t="array" ref="T389">IF($G389=0,0,-MIN(0,$G389*c_equity.LPshare))</f>
        <v>0</v>
      </c>
      <c r="U389" s="869" cm="1">
        <f t="array" ref="U389">IF($D389=0,0,S389*c_rate.Hurdle1.MO)</f>
        <v>0</v>
      </c>
      <c r="V389" s="867">
        <f t="shared" si="289"/>
        <v>0</v>
      </c>
      <c r="W389" s="867">
        <f t="shared" ca="1" si="290"/>
        <v>0</v>
      </c>
      <c r="X389" s="869">
        <f t="shared" ca="1" si="291"/>
        <v>0</v>
      </c>
      <c r="Y389" s="869">
        <f t="shared" ca="1" si="292"/>
        <v>0</v>
      </c>
      <c r="Z389" s="869">
        <f t="shared" ca="1" si="293"/>
        <v>0</v>
      </c>
      <c r="AA389" s="869">
        <f t="shared" ca="1" si="294"/>
        <v>0</v>
      </c>
      <c r="AB389" s="867">
        <f t="shared" ca="1" si="295"/>
        <v>0</v>
      </c>
      <c r="AC389" s="161"/>
      <c r="AD389" s="869">
        <f t="shared" ca="1" si="296"/>
        <v>0</v>
      </c>
      <c r="AE389" s="867" cm="1">
        <f t="array" ref="AE389">IF($G389=0,0,-MIN(0,$G389*c_equity.LPshare))</f>
        <v>0</v>
      </c>
      <c r="AF389" s="869" cm="1">
        <f t="array" ref="AF389">IF($D389=0,0,AD389*(c_rate.Hurdle2.MO))</f>
        <v>0</v>
      </c>
      <c r="AG389" s="869">
        <f t="shared" ca="1" si="297"/>
        <v>0</v>
      </c>
      <c r="AH389" s="869">
        <f t="shared" ca="1" si="298"/>
        <v>0</v>
      </c>
      <c r="AI389" s="869">
        <f t="shared" ca="1" si="299"/>
        <v>0</v>
      </c>
      <c r="AJ389" s="870">
        <f t="shared" ca="1" si="300"/>
        <v>0</v>
      </c>
      <c r="AK389" s="867">
        <f t="shared" ca="1" si="301"/>
        <v>0</v>
      </c>
      <c r="AL389" s="869">
        <f t="shared" ca="1" si="279"/>
        <v>0</v>
      </c>
      <c r="AM389" s="869">
        <f t="shared" ca="1" si="302"/>
        <v>0</v>
      </c>
      <c r="AN389" s="867">
        <f t="shared" ca="1" si="303"/>
        <v>0</v>
      </c>
      <c r="AO389" s="161"/>
      <c r="AP389" s="869">
        <f t="shared" ca="1" si="304"/>
        <v>0</v>
      </c>
      <c r="AQ389" s="867" cm="1">
        <f t="array" ref="AQ389">IF($G389=0,0,-MIN(0,$G389*c_equity.LPshare))</f>
        <v>0</v>
      </c>
      <c r="AR389" s="869" cm="1">
        <f t="array" ref="AR389">IF($D389=0,0,AP389*(c_rate.Hurdle3.MO))</f>
        <v>0</v>
      </c>
      <c r="AS389" s="869">
        <f t="shared" ca="1" si="305"/>
        <v>0</v>
      </c>
      <c r="AT389" s="869">
        <f t="shared" ca="1" si="306"/>
        <v>0</v>
      </c>
      <c r="AU389" s="869">
        <f t="shared" ca="1" si="307"/>
        <v>0</v>
      </c>
      <c r="AV389" s="870">
        <f t="shared" ca="1" si="308"/>
        <v>0</v>
      </c>
      <c r="AW389" s="867">
        <f t="shared" ca="1" si="309"/>
        <v>0</v>
      </c>
      <c r="AX389" s="869">
        <f t="shared" ca="1" si="280"/>
        <v>0</v>
      </c>
      <c r="AY389" s="869">
        <f t="shared" ca="1" si="310"/>
        <v>0</v>
      </c>
      <c r="AZ389" s="867">
        <f t="shared" ca="1" si="311"/>
        <v>0</v>
      </c>
      <c r="BA389" s="161"/>
      <c r="BB389" s="867">
        <f t="shared" ca="1" si="312"/>
        <v>0</v>
      </c>
      <c r="BC389" s="867">
        <f t="shared" ca="1" si="277"/>
        <v>0</v>
      </c>
      <c r="BD389" s="658"/>
      <c r="BE389" s="867">
        <f t="shared" ca="1" si="313"/>
        <v>0</v>
      </c>
      <c r="BF389" s="867">
        <f t="shared" ca="1" si="314"/>
        <v>0</v>
      </c>
      <c r="BG389" s="867">
        <f t="shared" ca="1" si="315"/>
        <v>0</v>
      </c>
      <c r="BI389" s="867">
        <f ca="1"/>
        <v>0</v>
      </c>
      <c r="BJ389" s="867">
        <f ca="1"/>
        <v>0</v>
      </c>
      <c r="BK389" s="867">
        <f ca="1"/>
        <v>0</v>
      </c>
      <c r="BL389" s="867">
        <f t="shared" ca="1" si="316"/>
        <v>0</v>
      </c>
      <c r="BM389" s="867">
        <f t="shared" ca="1" si="317"/>
        <v>0</v>
      </c>
      <c r="BN389" s="867">
        <f t="shared" ca="1" si="318"/>
        <v>0</v>
      </c>
      <c r="BO389" s="867">
        <f t="shared" ca="1" si="319"/>
        <v>0</v>
      </c>
      <c r="BP389" s="867">
        <f t="shared" ca="1" si="320"/>
        <v>0</v>
      </c>
      <c r="BQ389" s="867">
        <f t="shared" ca="1" si="321"/>
        <v>0</v>
      </c>
      <c r="BR389" s="867">
        <f ca="1"/>
        <v>0</v>
      </c>
      <c r="BS389" s="867">
        <f ca="1"/>
        <v>0</v>
      </c>
      <c r="BT389" s="867">
        <f t="shared" ca="1" si="281"/>
        <v>0</v>
      </c>
      <c r="BU389" s="867">
        <f t="shared" ca="1" si="322"/>
        <v>0</v>
      </c>
      <c r="BX389" s="867">
        <f ca="1"/>
        <v>0</v>
      </c>
      <c r="BY389" s="867">
        <f t="shared" ca="1" si="323"/>
        <v>0</v>
      </c>
      <c r="BZ389" s="867">
        <f t="shared" ca="1" si="324"/>
        <v>0</v>
      </c>
      <c r="CA389" s="867">
        <f t="shared" ca="1" si="325"/>
        <v>0</v>
      </c>
      <c r="CB389" s="867">
        <f t="shared" ca="1" si="326"/>
        <v>0</v>
      </c>
      <c r="CC389" s="867">
        <f t="shared" ca="1" si="327"/>
        <v>0</v>
      </c>
      <c r="CD389" s="867">
        <f t="shared" ca="1" si="328"/>
        <v>0</v>
      </c>
    </row>
    <row r="390" spans="1:82" ht="17" hidden="1" thickTop="1" thickBot="1">
      <c r="A390" s="773">
        <f t="shared" si="278"/>
        <v>0</v>
      </c>
      <c r="B390" s="779"/>
      <c r="D390" s="660"/>
      <c r="E390" s="661"/>
      <c r="F390" s="862"/>
      <c r="G390" s="863"/>
      <c r="H390" s="961"/>
      <c r="I390" s="865">
        <f t="shared" si="282"/>
        <v>0</v>
      </c>
      <c r="J390" s="864" cm="1">
        <f t="array" ref="J390">IF($G390=0,0,-MIN(0,G390*c_equity.LPshare))</f>
        <v>0</v>
      </c>
      <c r="K390" s="865" cm="1">
        <f t="array" ref="K390">I390*c_rate.Pref.MO</f>
        <v>0</v>
      </c>
      <c r="L390" s="865">
        <f t="shared" si="283"/>
        <v>0</v>
      </c>
      <c r="M390" s="865">
        <f t="shared" si="284"/>
        <v>0</v>
      </c>
      <c r="N390" s="865">
        <f t="shared" si="285"/>
        <v>0</v>
      </c>
      <c r="O390" s="864" cm="1">
        <f t="array" ref="O390">IF(N390=0,0,IF(G390&lt;0,N390/c_equity.LPshare*i_equity.GPshare,L390/c_equity.LPshare*i_equity.GPshare))</f>
        <v>0</v>
      </c>
      <c r="P390" s="865">
        <f t="shared" si="286"/>
        <v>0</v>
      </c>
      <c r="Q390" s="865">
        <f t="shared" si="287"/>
        <v>0</v>
      </c>
      <c r="R390" s="161"/>
      <c r="S390" s="867">
        <f t="shared" ca="1" si="288"/>
        <v>0</v>
      </c>
      <c r="T390" s="867" cm="1">
        <f t="array" ref="T390">IF($G390=0,0,-MIN(0,$G390*c_equity.LPshare))</f>
        <v>0</v>
      </c>
      <c r="U390" s="869" cm="1">
        <f t="array" ref="U390">IF($D390=0,0,S390*c_rate.Hurdle1.MO)</f>
        <v>0</v>
      </c>
      <c r="V390" s="867">
        <f t="shared" si="289"/>
        <v>0</v>
      </c>
      <c r="W390" s="867">
        <f t="shared" ca="1" si="290"/>
        <v>0</v>
      </c>
      <c r="X390" s="869">
        <f t="shared" ca="1" si="291"/>
        <v>0</v>
      </c>
      <c r="Y390" s="869">
        <f t="shared" ca="1" si="292"/>
        <v>0</v>
      </c>
      <c r="Z390" s="869">
        <f t="shared" ca="1" si="293"/>
        <v>0</v>
      </c>
      <c r="AA390" s="869">
        <f t="shared" ca="1" si="294"/>
        <v>0</v>
      </c>
      <c r="AB390" s="867">
        <f t="shared" ca="1" si="295"/>
        <v>0</v>
      </c>
      <c r="AC390" s="161"/>
      <c r="AD390" s="869">
        <f t="shared" ca="1" si="296"/>
        <v>0</v>
      </c>
      <c r="AE390" s="867" cm="1">
        <f t="array" ref="AE390">IF($G390=0,0,-MIN(0,$G390*c_equity.LPshare))</f>
        <v>0</v>
      </c>
      <c r="AF390" s="869" cm="1">
        <f t="array" ref="AF390">IF($D390=0,0,AD390*(c_rate.Hurdle2.MO))</f>
        <v>0</v>
      </c>
      <c r="AG390" s="869">
        <f t="shared" ca="1" si="297"/>
        <v>0</v>
      </c>
      <c r="AH390" s="869">
        <f t="shared" ca="1" si="298"/>
        <v>0</v>
      </c>
      <c r="AI390" s="869">
        <f t="shared" ca="1" si="299"/>
        <v>0</v>
      </c>
      <c r="AJ390" s="870">
        <f t="shared" ca="1" si="300"/>
        <v>0</v>
      </c>
      <c r="AK390" s="867">
        <f t="shared" ca="1" si="301"/>
        <v>0</v>
      </c>
      <c r="AL390" s="869">
        <f t="shared" ca="1" si="279"/>
        <v>0</v>
      </c>
      <c r="AM390" s="869">
        <f t="shared" ca="1" si="302"/>
        <v>0</v>
      </c>
      <c r="AN390" s="867">
        <f t="shared" ca="1" si="303"/>
        <v>0</v>
      </c>
      <c r="AO390" s="161"/>
      <c r="AP390" s="869">
        <f t="shared" ca="1" si="304"/>
        <v>0</v>
      </c>
      <c r="AQ390" s="867" cm="1">
        <f t="array" ref="AQ390">IF($G390=0,0,-MIN(0,$G390*c_equity.LPshare))</f>
        <v>0</v>
      </c>
      <c r="AR390" s="869" cm="1">
        <f t="array" ref="AR390">IF($D390=0,0,AP390*(c_rate.Hurdle3.MO))</f>
        <v>0</v>
      </c>
      <c r="AS390" s="869">
        <f t="shared" ca="1" si="305"/>
        <v>0</v>
      </c>
      <c r="AT390" s="869">
        <f t="shared" ca="1" si="306"/>
        <v>0</v>
      </c>
      <c r="AU390" s="869">
        <f t="shared" ca="1" si="307"/>
        <v>0</v>
      </c>
      <c r="AV390" s="870">
        <f t="shared" ca="1" si="308"/>
        <v>0</v>
      </c>
      <c r="AW390" s="867">
        <f t="shared" ca="1" si="309"/>
        <v>0</v>
      </c>
      <c r="AX390" s="869">
        <f t="shared" ca="1" si="280"/>
        <v>0</v>
      </c>
      <c r="AY390" s="869">
        <f t="shared" ca="1" si="310"/>
        <v>0</v>
      </c>
      <c r="AZ390" s="867">
        <f t="shared" ca="1" si="311"/>
        <v>0</v>
      </c>
      <c r="BA390" s="161"/>
      <c r="BB390" s="867">
        <f t="shared" ca="1" si="312"/>
        <v>0</v>
      </c>
      <c r="BC390" s="867">
        <f t="shared" ca="1" si="277"/>
        <v>0</v>
      </c>
      <c r="BD390" s="658"/>
      <c r="BE390" s="867">
        <f t="shared" ca="1" si="313"/>
        <v>0</v>
      </c>
      <c r="BF390" s="867">
        <f t="shared" ca="1" si="314"/>
        <v>0</v>
      </c>
      <c r="BG390" s="867">
        <f t="shared" ca="1" si="315"/>
        <v>0</v>
      </c>
      <c r="BI390" s="867">
        <f ca="1"/>
        <v>0</v>
      </c>
      <c r="BJ390" s="867">
        <f ca="1"/>
        <v>0</v>
      </c>
      <c r="BK390" s="867">
        <f ca="1"/>
        <v>0</v>
      </c>
      <c r="BL390" s="867">
        <f t="shared" ca="1" si="316"/>
        <v>0</v>
      </c>
      <c r="BM390" s="867">
        <f t="shared" ca="1" si="317"/>
        <v>0</v>
      </c>
      <c r="BN390" s="867">
        <f t="shared" ca="1" si="318"/>
        <v>0</v>
      </c>
      <c r="BO390" s="867">
        <f t="shared" ca="1" si="319"/>
        <v>0</v>
      </c>
      <c r="BP390" s="867">
        <f t="shared" ca="1" si="320"/>
        <v>0</v>
      </c>
      <c r="BQ390" s="867">
        <f t="shared" ca="1" si="321"/>
        <v>0</v>
      </c>
      <c r="BR390" s="867">
        <f ca="1"/>
        <v>0</v>
      </c>
      <c r="BS390" s="867">
        <f ca="1"/>
        <v>0</v>
      </c>
      <c r="BT390" s="867">
        <f t="shared" ca="1" si="281"/>
        <v>0</v>
      </c>
      <c r="BU390" s="867">
        <f t="shared" ca="1" si="322"/>
        <v>0</v>
      </c>
      <c r="BX390" s="867">
        <f ca="1"/>
        <v>0</v>
      </c>
      <c r="BY390" s="867">
        <f t="shared" ca="1" si="323"/>
        <v>0</v>
      </c>
      <c r="BZ390" s="867">
        <f t="shared" ca="1" si="324"/>
        <v>0</v>
      </c>
      <c r="CA390" s="867">
        <f t="shared" ca="1" si="325"/>
        <v>0</v>
      </c>
      <c r="CB390" s="867">
        <f t="shared" ca="1" si="326"/>
        <v>0</v>
      </c>
      <c r="CC390" s="867">
        <f t="shared" ca="1" si="327"/>
        <v>0</v>
      </c>
      <c r="CD390" s="867">
        <f t="shared" ca="1" si="328"/>
        <v>0</v>
      </c>
    </row>
    <row r="391" spans="1:82" ht="17" hidden="1" thickTop="1" thickBot="1">
      <c r="A391" s="773">
        <f t="shared" si="278"/>
        <v>0</v>
      </c>
      <c r="B391" s="779"/>
      <c r="D391" s="660"/>
      <c r="E391" s="661"/>
      <c r="F391" s="862"/>
      <c r="G391" s="863"/>
      <c r="H391" s="961"/>
      <c r="I391" s="865">
        <f t="shared" si="282"/>
        <v>0</v>
      </c>
      <c r="J391" s="864" cm="1">
        <f t="array" ref="J391">IF($G391=0,0,-MIN(0,G391*c_equity.LPshare))</f>
        <v>0</v>
      </c>
      <c r="K391" s="865" cm="1">
        <f t="array" ref="K391">I391*c_rate.Pref.MO</f>
        <v>0</v>
      </c>
      <c r="L391" s="865">
        <f t="shared" si="283"/>
        <v>0</v>
      </c>
      <c r="M391" s="865">
        <f t="shared" si="284"/>
        <v>0</v>
      </c>
      <c r="N391" s="865">
        <f t="shared" si="285"/>
        <v>0</v>
      </c>
      <c r="O391" s="864" cm="1">
        <f t="array" ref="O391">IF(N391=0,0,IF(G391&lt;0,N391/c_equity.LPshare*i_equity.GPshare,L391/c_equity.LPshare*i_equity.GPshare))</f>
        <v>0</v>
      </c>
      <c r="P391" s="865">
        <f t="shared" si="286"/>
        <v>0</v>
      </c>
      <c r="Q391" s="865">
        <f t="shared" si="287"/>
        <v>0</v>
      </c>
      <c r="R391" s="161"/>
      <c r="S391" s="867">
        <f t="shared" ca="1" si="288"/>
        <v>0</v>
      </c>
      <c r="T391" s="867" cm="1">
        <f t="array" ref="T391">IF($G391=0,0,-MIN(0,$G391*c_equity.LPshare))</f>
        <v>0</v>
      </c>
      <c r="U391" s="869" cm="1">
        <f t="array" ref="U391">IF($D391=0,0,S391*c_rate.Hurdle1.MO)</f>
        <v>0</v>
      </c>
      <c r="V391" s="867">
        <f t="shared" si="289"/>
        <v>0</v>
      </c>
      <c r="W391" s="867">
        <f t="shared" ca="1" si="290"/>
        <v>0</v>
      </c>
      <c r="X391" s="869">
        <f t="shared" ca="1" si="291"/>
        <v>0</v>
      </c>
      <c r="Y391" s="869">
        <f t="shared" ca="1" si="292"/>
        <v>0</v>
      </c>
      <c r="Z391" s="869">
        <f t="shared" ca="1" si="293"/>
        <v>0</v>
      </c>
      <c r="AA391" s="869">
        <f t="shared" ca="1" si="294"/>
        <v>0</v>
      </c>
      <c r="AB391" s="867">
        <f t="shared" ca="1" si="295"/>
        <v>0</v>
      </c>
      <c r="AC391" s="161"/>
      <c r="AD391" s="869">
        <f t="shared" ca="1" si="296"/>
        <v>0</v>
      </c>
      <c r="AE391" s="867" cm="1">
        <f t="array" ref="AE391">IF($G391=0,0,-MIN(0,$G391*c_equity.LPshare))</f>
        <v>0</v>
      </c>
      <c r="AF391" s="869" cm="1">
        <f t="array" ref="AF391">IF($D391=0,0,AD391*(c_rate.Hurdle2.MO))</f>
        <v>0</v>
      </c>
      <c r="AG391" s="869">
        <f t="shared" ca="1" si="297"/>
        <v>0</v>
      </c>
      <c r="AH391" s="869">
        <f t="shared" ca="1" si="298"/>
        <v>0</v>
      </c>
      <c r="AI391" s="869">
        <f t="shared" ca="1" si="299"/>
        <v>0</v>
      </c>
      <c r="AJ391" s="870">
        <f t="shared" ca="1" si="300"/>
        <v>0</v>
      </c>
      <c r="AK391" s="867">
        <f t="shared" ca="1" si="301"/>
        <v>0</v>
      </c>
      <c r="AL391" s="869">
        <f t="shared" ca="1" si="279"/>
        <v>0</v>
      </c>
      <c r="AM391" s="869">
        <f t="shared" ca="1" si="302"/>
        <v>0</v>
      </c>
      <c r="AN391" s="867">
        <f t="shared" ca="1" si="303"/>
        <v>0</v>
      </c>
      <c r="AO391" s="161"/>
      <c r="AP391" s="869">
        <f t="shared" ca="1" si="304"/>
        <v>0</v>
      </c>
      <c r="AQ391" s="867" cm="1">
        <f t="array" ref="AQ391">IF($G391=0,0,-MIN(0,$G391*c_equity.LPshare))</f>
        <v>0</v>
      </c>
      <c r="AR391" s="869" cm="1">
        <f t="array" ref="AR391">IF($D391=0,0,AP391*(c_rate.Hurdle3.MO))</f>
        <v>0</v>
      </c>
      <c r="AS391" s="869">
        <f t="shared" ca="1" si="305"/>
        <v>0</v>
      </c>
      <c r="AT391" s="869">
        <f t="shared" ca="1" si="306"/>
        <v>0</v>
      </c>
      <c r="AU391" s="869">
        <f t="shared" ca="1" si="307"/>
        <v>0</v>
      </c>
      <c r="AV391" s="870">
        <f t="shared" ca="1" si="308"/>
        <v>0</v>
      </c>
      <c r="AW391" s="867">
        <f t="shared" ca="1" si="309"/>
        <v>0</v>
      </c>
      <c r="AX391" s="869">
        <f t="shared" ca="1" si="280"/>
        <v>0</v>
      </c>
      <c r="AY391" s="869">
        <f t="shared" ca="1" si="310"/>
        <v>0</v>
      </c>
      <c r="AZ391" s="867">
        <f t="shared" ca="1" si="311"/>
        <v>0</v>
      </c>
      <c r="BA391" s="161"/>
      <c r="BB391" s="867">
        <f t="shared" ca="1" si="312"/>
        <v>0</v>
      </c>
      <c r="BC391" s="867">
        <f t="shared" ca="1" si="277"/>
        <v>0</v>
      </c>
      <c r="BD391" s="658"/>
      <c r="BE391" s="867">
        <f t="shared" ca="1" si="313"/>
        <v>0</v>
      </c>
      <c r="BF391" s="867">
        <f t="shared" ca="1" si="314"/>
        <v>0</v>
      </c>
      <c r="BG391" s="867">
        <f t="shared" ca="1" si="315"/>
        <v>0</v>
      </c>
      <c r="BI391" s="867">
        <f ca="1"/>
        <v>0</v>
      </c>
      <c r="BJ391" s="867">
        <f ca="1"/>
        <v>0</v>
      </c>
      <c r="BK391" s="867">
        <f ca="1"/>
        <v>0</v>
      </c>
      <c r="BL391" s="867">
        <f t="shared" ca="1" si="316"/>
        <v>0</v>
      </c>
      <c r="BM391" s="867">
        <f t="shared" ca="1" si="317"/>
        <v>0</v>
      </c>
      <c r="BN391" s="867">
        <f t="shared" ca="1" si="318"/>
        <v>0</v>
      </c>
      <c r="BO391" s="867">
        <f t="shared" ca="1" si="319"/>
        <v>0</v>
      </c>
      <c r="BP391" s="867">
        <f t="shared" ca="1" si="320"/>
        <v>0</v>
      </c>
      <c r="BQ391" s="867">
        <f t="shared" ca="1" si="321"/>
        <v>0</v>
      </c>
      <c r="BR391" s="867">
        <f ca="1"/>
        <v>0</v>
      </c>
      <c r="BS391" s="867">
        <f ca="1"/>
        <v>0</v>
      </c>
      <c r="BT391" s="867">
        <f t="shared" ca="1" si="281"/>
        <v>0</v>
      </c>
      <c r="BU391" s="867">
        <f t="shared" ca="1" si="322"/>
        <v>0</v>
      </c>
      <c r="BX391" s="867">
        <f ca="1"/>
        <v>0</v>
      </c>
      <c r="BY391" s="867">
        <f t="shared" ca="1" si="323"/>
        <v>0</v>
      </c>
      <c r="BZ391" s="867">
        <f t="shared" ca="1" si="324"/>
        <v>0</v>
      </c>
      <c r="CA391" s="867">
        <f t="shared" ca="1" si="325"/>
        <v>0</v>
      </c>
      <c r="CB391" s="867">
        <f t="shared" ca="1" si="326"/>
        <v>0</v>
      </c>
      <c r="CC391" s="867">
        <f t="shared" ca="1" si="327"/>
        <v>0</v>
      </c>
      <c r="CD391" s="867">
        <f t="shared" ca="1" si="328"/>
        <v>0</v>
      </c>
    </row>
    <row r="392" spans="1:82" ht="17" hidden="1" thickTop="1" thickBot="1">
      <c r="A392" s="773">
        <f t="shared" si="278"/>
        <v>0</v>
      </c>
      <c r="B392" s="779"/>
      <c r="D392" s="660"/>
      <c r="E392" s="661"/>
      <c r="F392" s="862"/>
      <c r="G392" s="863"/>
      <c r="H392" s="961"/>
      <c r="I392" s="865">
        <f t="shared" si="282"/>
        <v>0</v>
      </c>
      <c r="J392" s="864" cm="1">
        <f t="array" ref="J392">IF($G392=0,0,-MIN(0,G392*c_equity.LPshare))</f>
        <v>0</v>
      </c>
      <c r="K392" s="865" cm="1">
        <f t="array" ref="K392">I392*c_rate.Pref.MO</f>
        <v>0</v>
      </c>
      <c r="L392" s="865">
        <f t="shared" si="283"/>
        <v>0</v>
      </c>
      <c r="M392" s="865">
        <f t="shared" si="284"/>
        <v>0</v>
      </c>
      <c r="N392" s="865">
        <f t="shared" si="285"/>
        <v>0</v>
      </c>
      <c r="O392" s="864" cm="1">
        <f t="array" ref="O392">IF(N392=0,0,IF(G392&lt;0,N392/c_equity.LPshare*i_equity.GPshare,L392/c_equity.LPshare*i_equity.GPshare))</f>
        <v>0</v>
      </c>
      <c r="P392" s="865">
        <f t="shared" si="286"/>
        <v>0</v>
      </c>
      <c r="Q392" s="865">
        <f t="shared" si="287"/>
        <v>0</v>
      </c>
      <c r="R392" s="161"/>
      <c r="S392" s="867">
        <f t="shared" ca="1" si="288"/>
        <v>0</v>
      </c>
      <c r="T392" s="867" cm="1">
        <f t="array" ref="T392">IF($G392=0,0,-MIN(0,$G392*c_equity.LPshare))</f>
        <v>0</v>
      </c>
      <c r="U392" s="869" cm="1">
        <f t="array" ref="U392">IF($D392=0,0,S392*c_rate.Hurdle1.MO)</f>
        <v>0</v>
      </c>
      <c r="V392" s="867">
        <f t="shared" si="289"/>
        <v>0</v>
      </c>
      <c r="W392" s="867">
        <f t="shared" ca="1" si="290"/>
        <v>0</v>
      </c>
      <c r="X392" s="869">
        <f t="shared" ca="1" si="291"/>
        <v>0</v>
      </c>
      <c r="Y392" s="869">
        <f t="shared" ca="1" si="292"/>
        <v>0</v>
      </c>
      <c r="Z392" s="869">
        <f t="shared" ca="1" si="293"/>
        <v>0</v>
      </c>
      <c r="AA392" s="869">
        <f t="shared" ca="1" si="294"/>
        <v>0</v>
      </c>
      <c r="AB392" s="867">
        <f t="shared" ca="1" si="295"/>
        <v>0</v>
      </c>
      <c r="AC392" s="161"/>
      <c r="AD392" s="869">
        <f t="shared" ca="1" si="296"/>
        <v>0</v>
      </c>
      <c r="AE392" s="867" cm="1">
        <f t="array" ref="AE392">IF($G392=0,0,-MIN(0,$G392*c_equity.LPshare))</f>
        <v>0</v>
      </c>
      <c r="AF392" s="869" cm="1">
        <f t="array" ref="AF392">IF($D392=0,0,AD392*(c_rate.Hurdle2.MO))</f>
        <v>0</v>
      </c>
      <c r="AG392" s="869">
        <f t="shared" ca="1" si="297"/>
        <v>0</v>
      </c>
      <c r="AH392" s="869">
        <f t="shared" ca="1" si="298"/>
        <v>0</v>
      </c>
      <c r="AI392" s="869">
        <f t="shared" ca="1" si="299"/>
        <v>0</v>
      </c>
      <c r="AJ392" s="870">
        <f t="shared" ca="1" si="300"/>
        <v>0</v>
      </c>
      <c r="AK392" s="867">
        <f t="shared" ca="1" si="301"/>
        <v>0</v>
      </c>
      <c r="AL392" s="869">
        <f t="shared" ca="1" si="279"/>
        <v>0</v>
      </c>
      <c r="AM392" s="869">
        <f t="shared" ca="1" si="302"/>
        <v>0</v>
      </c>
      <c r="AN392" s="867">
        <f t="shared" ca="1" si="303"/>
        <v>0</v>
      </c>
      <c r="AO392" s="161"/>
      <c r="AP392" s="869">
        <f t="shared" ca="1" si="304"/>
        <v>0</v>
      </c>
      <c r="AQ392" s="867" cm="1">
        <f t="array" ref="AQ392">IF($G392=0,0,-MIN(0,$G392*c_equity.LPshare))</f>
        <v>0</v>
      </c>
      <c r="AR392" s="869" cm="1">
        <f t="array" ref="AR392">IF($D392=0,0,AP392*(c_rate.Hurdle3.MO))</f>
        <v>0</v>
      </c>
      <c r="AS392" s="869">
        <f t="shared" ca="1" si="305"/>
        <v>0</v>
      </c>
      <c r="AT392" s="869">
        <f t="shared" ca="1" si="306"/>
        <v>0</v>
      </c>
      <c r="AU392" s="869">
        <f t="shared" ca="1" si="307"/>
        <v>0</v>
      </c>
      <c r="AV392" s="870">
        <f t="shared" ca="1" si="308"/>
        <v>0</v>
      </c>
      <c r="AW392" s="867">
        <f t="shared" ca="1" si="309"/>
        <v>0</v>
      </c>
      <c r="AX392" s="869">
        <f t="shared" ca="1" si="280"/>
        <v>0</v>
      </c>
      <c r="AY392" s="869">
        <f t="shared" ca="1" si="310"/>
        <v>0</v>
      </c>
      <c r="AZ392" s="867">
        <f t="shared" ca="1" si="311"/>
        <v>0</v>
      </c>
      <c r="BA392" s="161"/>
      <c r="BB392" s="867">
        <f t="shared" ca="1" si="312"/>
        <v>0</v>
      </c>
      <c r="BC392" s="867">
        <f t="shared" ca="1" si="277"/>
        <v>0</v>
      </c>
      <c r="BD392" s="658"/>
      <c r="BE392" s="867">
        <f t="shared" ca="1" si="313"/>
        <v>0</v>
      </c>
      <c r="BF392" s="867">
        <f t="shared" ca="1" si="314"/>
        <v>0</v>
      </c>
      <c r="BG392" s="867">
        <f t="shared" ca="1" si="315"/>
        <v>0</v>
      </c>
      <c r="BI392" s="867">
        <f ca="1"/>
        <v>0</v>
      </c>
      <c r="BJ392" s="867">
        <f ca="1"/>
        <v>0</v>
      </c>
      <c r="BK392" s="867">
        <f ca="1"/>
        <v>0</v>
      </c>
      <c r="BL392" s="867">
        <f t="shared" ca="1" si="316"/>
        <v>0</v>
      </c>
      <c r="BM392" s="867">
        <f t="shared" ca="1" si="317"/>
        <v>0</v>
      </c>
      <c r="BN392" s="867">
        <f t="shared" ca="1" si="318"/>
        <v>0</v>
      </c>
      <c r="BO392" s="867">
        <f t="shared" ca="1" si="319"/>
        <v>0</v>
      </c>
      <c r="BP392" s="867">
        <f t="shared" ca="1" si="320"/>
        <v>0</v>
      </c>
      <c r="BQ392" s="867">
        <f t="shared" ca="1" si="321"/>
        <v>0</v>
      </c>
      <c r="BR392" s="867">
        <f ca="1"/>
        <v>0</v>
      </c>
      <c r="BS392" s="867">
        <f ca="1"/>
        <v>0</v>
      </c>
      <c r="BT392" s="867">
        <f t="shared" ca="1" si="281"/>
        <v>0</v>
      </c>
      <c r="BU392" s="867">
        <f t="shared" ca="1" si="322"/>
        <v>0</v>
      </c>
      <c r="BX392" s="867">
        <f ca="1"/>
        <v>0</v>
      </c>
      <c r="BY392" s="867">
        <f t="shared" ca="1" si="323"/>
        <v>0</v>
      </c>
      <c r="BZ392" s="867">
        <f t="shared" ca="1" si="324"/>
        <v>0</v>
      </c>
      <c r="CA392" s="867">
        <f t="shared" ca="1" si="325"/>
        <v>0</v>
      </c>
      <c r="CB392" s="867">
        <f t="shared" ca="1" si="326"/>
        <v>0</v>
      </c>
      <c r="CC392" s="867">
        <f t="shared" ca="1" si="327"/>
        <v>0</v>
      </c>
      <c r="CD392" s="867">
        <f t="shared" ca="1" si="328"/>
        <v>0</v>
      </c>
    </row>
    <row r="393" spans="1:82" ht="17" hidden="1" thickTop="1" thickBot="1">
      <c r="A393" s="773">
        <f t="shared" si="278"/>
        <v>0</v>
      </c>
      <c r="B393" s="779"/>
      <c r="D393" s="660"/>
      <c r="E393" s="661"/>
      <c r="F393" s="862"/>
      <c r="G393" s="863"/>
      <c r="H393" s="961"/>
      <c r="I393" s="865">
        <f t="shared" si="282"/>
        <v>0</v>
      </c>
      <c r="J393" s="864" cm="1">
        <f t="array" ref="J393">IF($G393=0,0,-MIN(0,G393*c_equity.LPshare))</f>
        <v>0</v>
      </c>
      <c r="K393" s="865" cm="1">
        <f t="array" ref="K393">I393*c_rate.Pref.MO</f>
        <v>0</v>
      </c>
      <c r="L393" s="865">
        <f t="shared" si="283"/>
        <v>0</v>
      </c>
      <c r="M393" s="865">
        <f t="shared" si="284"/>
        <v>0</v>
      </c>
      <c r="N393" s="865">
        <f t="shared" si="285"/>
        <v>0</v>
      </c>
      <c r="O393" s="864" cm="1">
        <f t="array" ref="O393">IF(N393=0,0,IF(G393&lt;0,N393/c_equity.LPshare*i_equity.GPshare,L393/c_equity.LPshare*i_equity.GPshare))</f>
        <v>0</v>
      </c>
      <c r="P393" s="865">
        <f t="shared" si="286"/>
        <v>0</v>
      </c>
      <c r="Q393" s="865">
        <f t="shared" si="287"/>
        <v>0</v>
      </c>
      <c r="R393" s="161"/>
      <c r="S393" s="867">
        <f t="shared" ca="1" si="288"/>
        <v>0</v>
      </c>
      <c r="T393" s="867" cm="1">
        <f t="array" ref="T393">IF($G393=0,0,-MIN(0,$G393*c_equity.LPshare))</f>
        <v>0</v>
      </c>
      <c r="U393" s="869" cm="1">
        <f t="array" ref="U393">IF($D393=0,0,S393*c_rate.Hurdle1.MO)</f>
        <v>0</v>
      </c>
      <c r="V393" s="867">
        <f t="shared" si="289"/>
        <v>0</v>
      </c>
      <c r="W393" s="867">
        <f t="shared" ca="1" si="290"/>
        <v>0</v>
      </c>
      <c r="X393" s="869">
        <f t="shared" ca="1" si="291"/>
        <v>0</v>
      </c>
      <c r="Y393" s="869">
        <f t="shared" ca="1" si="292"/>
        <v>0</v>
      </c>
      <c r="Z393" s="869">
        <f t="shared" ca="1" si="293"/>
        <v>0</v>
      </c>
      <c r="AA393" s="869">
        <f t="shared" ca="1" si="294"/>
        <v>0</v>
      </c>
      <c r="AB393" s="867">
        <f t="shared" ca="1" si="295"/>
        <v>0</v>
      </c>
      <c r="AC393" s="161"/>
      <c r="AD393" s="869">
        <f t="shared" ca="1" si="296"/>
        <v>0</v>
      </c>
      <c r="AE393" s="867" cm="1">
        <f t="array" ref="AE393">IF($G393=0,0,-MIN(0,$G393*c_equity.LPshare))</f>
        <v>0</v>
      </c>
      <c r="AF393" s="869" cm="1">
        <f t="array" ref="AF393">IF($D393=0,0,AD393*(c_rate.Hurdle2.MO))</f>
        <v>0</v>
      </c>
      <c r="AG393" s="869">
        <f t="shared" ca="1" si="297"/>
        <v>0</v>
      </c>
      <c r="AH393" s="869">
        <f t="shared" ca="1" si="298"/>
        <v>0</v>
      </c>
      <c r="AI393" s="869">
        <f t="shared" ca="1" si="299"/>
        <v>0</v>
      </c>
      <c r="AJ393" s="870">
        <f t="shared" ca="1" si="300"/>
        <v>0</v>
      </c>
      <c r="AK393" s="867">
        <f t="shared" ca="1" si="301"/>
        <v>0</v>
      </c>
      <c r="AL393" s="869">
        <f t="shared" ca="1" si="279"/>
        <v>0</v>
      </c>
      <c r="AM393" s="869">
        <f t="shared" ca="1" si="302"/>
        <v>0</v>
      </c>
      <c r="AN393" s="867">
        <f t="shared" ca="1" si="303"/>
        <v>0</v>
      </c>
      <c r="AO393" s="161"/>
      <c r="AP393" s="869">
        <f t="shared" ca="1" si="304"/>
        <v>0</v>
      </c>
      <c r="AQ393" s="867" cm="1">
        <f t="array" ref="AQ393">IF($G393=0,0,-MIN(0,$G393*c_equity.LPshare))</f>
        <v>0</v>
      </c>
      <c r="AR393" s="869" cm="1">
        <f t="array" ref="AR393">IF($D393=0,0,AP393*(c_rate.Hurdle3.MO))</f>
        <v>0</v>
      </c>
      <c r="AS393" s="869">
        <f t="shared" ca="1" si="305"/>
        <v>0</v>
      </c>
      <c r="AT393" s="869">
        <f t="shared" ca="1" si="306"/>
        <v>0</v>
      </c>
      <c r="AU393" s="869">
        <f t="shared" ca="1" si="307"/>
        <v>0</v>
      </c>
      <c r="AV393" s="870">
        <f t="shared" ca="1" si="308"/>
        <v>0</v>
      </c>
      <c r="AW393" s="867">
        <f t="shared" ca="1" si="309"/>
        <v>0</v>
      </c>
      <c r="AX393" s="869">
        <f t="shared" ca="1" si="280"/>
        <v>0</v>
      </c>
      <c r="AY393" s="869">
        <f t="shared" ca="1" si="310"/>
        <v>0</v>
      </c>
      <c r="AZ393" s="867">
        <f t="shared" ca="1" si="311"/>
        <v>0</v>
      </c>
      <c r="BA393" s="161"/>
      <c r="BB393" s="867">
        <f t="shared" ca="1" si="312"/>
        <v>0</v>
      </c>
      <c r="BC393" s="867">
        <f t="shared" ca="1" si="277"/>
        <v>0</v>
      </c>
      <c r="BD393" s="658"/>
      <c r="BE393" s="867">
        <f t="shared" ca="1" si="313"/>
        <v>0</v>
      </c>
      <c r="BF393" s="867">
        <f t="shared" ca="1" si="314"/>
        <v>0</v>
      </c>
      <c r="BG393" s="867">
        <f t="shared" ca="1" si="315"/>
        <v>0</v>
      </c>
      <c r="BI393" s="867">
        <f ca="1"/>
        <v>0</v>
      </c>
      <c r="BJ393" s="867">
        <f ca="1"/>
        <v>0</v>
      </c>
      <c r="BK393" s="867">
        <f ca="1"/>
        <v>0</v>
      </c>
      <c r="BL393" s="867">
        <f t="shared" ca="1" si="316"/>
        <v>0</v>
      </c>
      <c r="BM393" s="867">
        <f t="shared" ca="1" si="317"/>
        <v>0</v>
      </c>
      <c r="BN393" s="867">
        <f t="shared" ca="1" si="318"/>
        <v>0</v>
      </c>
      <c r="BO393" s="867">
        <f t="shared" ca="1" si="319"/>
        <v>0</v>
      </c>
      <c r="BP393" s="867">
        <f t="shared" ca="1" si="320"/>
        <v>0</v>
      </c>
      <c r="BQ393" s="867">
        <f t="shared" ca="1" si="321"/>
        <v>0</v>
      </c>
      <c r="BR393" s="867">
        <f ca="1"/>
        <v>0</v>
      </c>
      <c r="BS393" s="867">
        <f ca="1"/>
        <v>0</v>
      </c>
      <c r="BT393" s="867">
        <f t="shared" ca="1" si="281"/>
        <v>0</v>
      </c>
      <c r="BU393" s="867">
        <f t="shared" ca="1" si="322"/>
        <v>0</v>
      </c>
      <c r="BX393" s="867">
        <f ca="1"/>
        <v>0</v>
      </c>
      <c r="BY393" s="867">
        <f t="shared" ca="1" si="323"/>
        <v>0</v>
      </c>
      <c r="BZ393" s="867">
        <f t="shared" ca="1" si="324"/>
        <v>0</v>
      </c>
      <c r="CA393" s="867">
        <f t="shared" ca="1" si="325"/>
        <v>0</v>
      </c>
      <c r="CB393" s="867">
        <f t="shared" ca="1" si="326"/>
        <v>0</v>
      </c>
      <c r="CC393" s="867">
        <f t="shared" ca="1" si="327"/>
        <v>0</v>
      </c>
      <c r="CD393" s="867">
        <f t="shared" ca="1" si="328"/>
        <v>0</v>
      </c>
    </row>
    <row r="394" spans="1:82" ht="17" hidden="1" thickTop="1" thickBot="1">
      <c r="A394" s="773">
        <f t="shared" si="278"/>
        <v>0</v>
      </c>
      <c r="B394" s="779"/>
      <c r="D394" s="660"/>
      <c r="E394" s="661"/>
      <c r="F394" s="862"/>
      <c r="G394" s="863"/>
      <c r="H394" s="961"/>
      <c r="I394" s="865">
        <f t="shared" si="282"/>
        <v>0</v>
      </c>
      <c r="J394" s="864" cm="1">
        <f t="array" ref="J394">IF($G394=0,0,-MIN(0,G394*c_equity.LPshare))</f>
        <v>0</v>
      </c>
      <c r="K394" s="865" cm="1">
        <f t="array" ref="K394">I394*c_rate.Pref.MO</f>
        <v>0</v>
      </c>
      <c r="L394" s="865">
        <f t="shared" si="283"/>
        <v>0</v>
      </c>
      <c r="M394" s="865">
        <f t="shared" si="284"/>
        <v>0</v>
      </c>
      <c r="N394" s="865">
        <f t="shared" si="285"/>
        <v>0</v>
      </c>
      <c r="O394" s="864" cm="1">
        <f t="array" ref="O394">IF(N394=0,0,IF(G394&lt;0,N394/c_equity.LPshare*i_equity.GPshare,L394/c_equity.LPshare*i_equity.GPshare))</f>
        <v>0</v>
      </c>
      <c r="P394" s="865">
        <f t="shared" si="286"/>
        <v>0</v>
      </c>
      <c r="Q394" s="865">
        <f t="shared" si="287"/>
        <v>0</v>
      </c>
      <c r="R394" s="161"/>
      <c r="S394" s="867">
        <f t="shared" ca="1" si="288"/>
        <v>0</v>
      </c>
      <c r="T394" s="867" cm="1">
        <f t="array" ref="T394">IF($G394=0,0,-MIN(0,$G394*c_equity.LPshare))</f>
        <v>0</v>
      </c>
      <c r="U394" s="869" cm="1">
        <f t="array" ref="U394">IF($D394=0,0,S394*c_rate.Hurdle1.MO)</f>
        <v>0</v>
      </c>
      <c r="V394" s="867">
        <f t="shared" si="289"/>
        <v>0</v>
      </c>
      <c r="W394" s="867">
        <f t="shared" ca="1" si="290"/>
        <v>0</v>
      </c>
      <c r="X394" s="869">
        <f t="shared" ca="1" si="291"/>
        <v>0</v>
      </c>
      <c r="Y394" s="869">
        <f t="shared" ca="1" si="292"/>
        <v>0</v>
      </c>
      <c r="Z394" s="869">
        <f t="shared" ca="1" si="293"/>
        <v>0</v>
      </c>
      <c r="AA394" s="869">
        <f t="shared" ca="1" si="294"/>
        <v>0</v>
      </c>
      <c r="AB394" s="867">
        <f t="shared" ca="1" si="295"/>
        <v>0</v>
      </c>
      <c r="AC394" s="161"/>
      <c r="AD394" s="869">
        <f t="shared" ca="1" si="296"/>
        <v>0</v>
      </c>
      <c r="AE394" s="867" cm="1">
        <f t="array" ref="AE394">IF($G394=0,0,-MIN(0,$G394*c_equity.LPshare))</f>
        <v>0</v>
      </c>
      <c r="AF394" s="869" cm="1">
        <f t="array" ref="AF394">IF($D394=0,0,AD394*(c_rate.Hurdle2.MO))</f>
        <v>0</v>
      </c>
      <c r="AG394" s="869">
        <f t="shared" ca="1" si="297"/>
        <v>0</v>
      </c>
      <c r="AH394" s="869">
        <f t="shared" ca="1" si="298"/>
        <v>0</v>
      </c>
      <c r="AI394" s="869">
        <f t="shared" ca="1" si="299"/>
        <v>0</v>
      </c>
      <c r="AJ394" s="870">
        <f t="shared" ca="1" si="300"/>
        <v>0</v>
      </c>
      <c r="AK394" s="867">
        <f t="shared" ca="1" si="301"/>
        <v>0</v>
      </c>
      <c r="AL394" s="869">
        <f t="shared" ca="1" si="279"/>
        <v>0</v>
      </c>
      <c r="AM394" s="869">
        <f t="shared" ca="1" si="302"/>
        <v>0</v>
      </c>
      <c r="AN394" s="867">
        <f t="shared" ca="1" si="303"/>
        <v>0</v>
      </c>
      <c r="AO394" s="161"/>
      <c r="AP394" s="869">
        <f t="shared" ca="1" si="304"/>
        <v>0</v>
      </c>
      <c r="AQ394" s="867" cm="1">
        <f t="array" ref="AQ394">IF($G394=0,0,-MIN(0,$G394*c_equity.LPshare))</f>
        <v>0</v>
      </c>
      <c r="AR394" s="869" cm="1">
        <f t="array" ref="AR394">IF($D394=0,0,AP394*(c_rate.Hurdle3.MO))</f>
        <v>0</v>
      </c>
      <c r="AS394" s="869">
        <f t="shared" ca="1" si="305"/>
        <v>0</v>
      </c>
      <c r="AT394" s="869">
        <f t="shared" ca="1" si="306"/>
        <v>0</v>
      </c>
      <c r="AU394" s="869">
        <f t="shared" ca="1" si="307"/>
        <v>0</v>
      </c>
      <c r="AV394" s="870">
        <f t="shared" ca="1" si="308"/>
        <v>0</v>
      </c>
      <c r="AW394" s="867">
        <f t="shared" ca="1" si="309"/>
        <v>0</v>
      </c>
      <c r="AX394" s="869">
        <f t="shared" ca="1" si="280"/>
        <v>0</v>
      </c>
      <c r="AY394" s="869">
        <f t="shared" ca="1" si="310"/>
        <v>0</v>
      </c>
      <c r="AZ394" s="867">
        <f t="shared" ca="1" si="311"/>
        <v>0</v>
      </c>
      <c r="BA394" s="161"/>
      <c r="BB394" s="867">
        <f t="shared" ca="1" si="312"/>
        <v>0</v>
      </c>
      <c r="BC394" s="867">
        <f t="shared" ca="1" si="277"/>
        <v>0</v>
      </c>
      <c r="BD394" s="658"/>
      <c r="BE394" s="867">
        <f t="shared" ca="1" si="313"/>
        <v>0</v>
      </c>
      <c r="BF394" s="867">
        <f t="shared" ca="1" si="314"/>
        <v>0</v>
      </c>
      <c r="BG394" s="867">
        <f t="shared" ca="1" si="315"/>
        <v>0</v>
      </c>
      <c r="BI394" s="867">
        <f ca="1"/>
        <v>0</v>
      </c>
      <c r="BJ394" s="867">
        <f ca="1"/>
        <v>0</v>
      </c>
      <c r="BK394" s="867">
        <f ca="1"/>
        <v>0</v>
      </c>
      <c r="BL394" s="867">
        <f t="shared" ca="1" si="316"/>
        <v>0</v>
      </c>
      <c r="BM394" s="867">
        <f t="shared" ca="1" si="317"/>
        <v>0</v>
      </c>
      <c r="BN394" s="867">
        <f t="shared" ca="1" si="318"/>
        <v>0</v>
      </c>
      <c r="BO394" s="867">
        <f t="shared" ca="1" si="319"/>
        <v>0</v>
      </c>
      <c r="BP394" s="867">
        <f t="shared" ca="1" si="320"/>
        <v>0</v>
      </c>
      <c r="BQ394" s="867">
        <f t="shared" ca="1" si="321"/>
        <v>0</v>
      </c>
      <c r="BR394" s="867">
        <f ca="1"/>
        <v>0</v>
      </c>
      <c r="BS394" s="867">
        <f ca="1"/>
        <v>0</v>
      </c>
      <c r="BT394" s="867">
        <f t="shared" ca="1" si="281"/>
        <v>0</v>
      </c>
      <c r="BU394" s="867">
        <f t="shared" ca="1" si="322"/>
        <v>0</v>
      </c>
      <c r="BX394" s="867">
        <f ca="1"/>
        <v>0</v>
      </c>
      <c r="BY394" s="867">
        <f t="shared" ca="1" si="323"/>
        <v>0</v>
      </c>
      <c r="BZ394" s="867">
        <f t="shared" ca="1" si="324"/>
        <v>0</v>
      </c>
      <c r="CA394" s="867">
        <f t="shared" ca="1" si="325"/>
        <v>0</v>
      </c>
      <c r="CB394" s="867">
        <f t="shared" ca="1" si="326"/>
        <v>0</v>
      </c>
      <c r="CC394" s="867">
        <f t="shared" ca="1" si="327"/>
        <v>0</v>
      </c>
      <c r="CD394" s="867">
        <f t="shared" ca="1" si="328"/>
        <v>0</v>
      </c>
    </row>
    <row r="395" spans="1:82" ht="17" hidden="1" thickTop="1" thickBot="1">
      <c r="A395" s="773">
        <f t="shared" si="278"/>
        <v>0</v>
      </c>
      <c r="B395" s="779"/>
      <c r="D395" s="660"/>
      <c r="E395" s="661"/>
      <c r="F395" s="862"/>
      <c r="G395" s="863"/>
      <c r="H395" s="961"/>
      <c r="I395" s="865">
        <f t="shared" si="282"/>
        <v>0</v>
      </c>
      <c r="J395" s="864" cm="1">
        <f t="array" ref="J395">IF($G395=0,0,-MIN(0,G395*c_equity.LPshare))</f>
        <v>0</v>
      </c>
      <c r="K395" s="865" cm="1">
        <f t="array" ref="K395">I395*c_rate.Pref.MO</f>
        <v>0</v>
      </c>
      <c r="L395" s="865">
        <f t="shared" si="283"/>
        <v>0</v>
      </c>
      <c r="M395" s="865">
        <f t="shared" si="284"/>
        <v>0</v>
      </c>
      <c r="N395" s="865">
        <f t="shared" si="285"/>
        <v>0</v>
      </c>
      <c r="O395" s="864" cm="1">
        <f t="array" ref="O395">IF(N395=0,0,IF(G395&lt;0,N395/c_equity.LPshare*i_equity.GPshare,L395/c_equity.LPshare*i_equity.GPshare))</f>
        <v>0</v>
      </c>
      <c r="P395" s="865">
        <f t="shared" si="286"/>
        <v>0</v>
      </c>
      <c r="Q395" s="865">
        <f t="shared" si="287"/>
        <v>0</v>
      </c>
      <c r="R395" s="161"/>
      <c r="S395" s="867">
        <f t="shared" ca="1" si="288"/>
        <v>0</v>
      </c>
      <c r="T395" s="867" cm="1">
        <f t="array" ref="T395">IF($G395=0,0,-MIN(0,$G395*c_equity.LPshare))</f>
        <v>0</v>
      </c>
      <c r="U395" s="869" cm="1">
        <f t="array" ref="U395">IF($D395=0,0,S395*c_rate.Hurdle1.MO)</f>
        <v>0</v>
      </c>
      <c r="V395" s="867">
        <f t="shared" si="289"/>
        <v>0</v>
      </c>
      <c r="W395" s="867">
        <f t="shared" ca="1" si="290"/>
        <v>0</v>
      </c>
      <c r="X395" s="869">
        <f t="shared" ca="1" si="291"/>
        <v>0</v>
      </c>
      <c r="Y395" s="869">
        <f t="shared" ca="1" si="292"/>
        <v>0</v>
      </c>
      <c r="Z395" s="869">
        <f t="shared" ca="1" si="293"/>
        <v>0</v>
      </c>
      <c r="AA395" s="869">
        <f t="shared" ca="1" si="294"/>
        <v>0</v>
      </c>
      <c r="AB395" s="867">
        <f t="shared" ca="1" si="295"/>
        <v>0</v>
      </c>
      <c r="AC395" s="161"/>
      <c r="AD395" s="869">
        <f t="shared" ca="1" si="296"/>
        <v>0</v>
      </c>
      <c r="AE395" s="867" cm="1">
        <f t="array" ref="AE395">IF($G395=0,0,-MIN(0,$G395*c_equity.LPshare))</f>
        <v>0</v>
      </c>
      <c r="AF395" s="869" cm="1">
        <f t="array" ref="AF395">IF($D395=0,0,AD395*(c_rate.Hurdle2.MO))</f>
        <v>0</v>
      </c>
      <c r="AG395" s="869">
        <f t="shared" ca="1" si="297"/>
        <v>0</v>
      </c>
      <c r="AH395" s="869">
        <f t="shared" ca="1" si="298"/>
        <v>0</v>
      </c>
      <c r="AI395" s="869">
        <f t="shared" ca="1" si="299"/>
        <v>0</v>
      </c>
      <c r="AJ395" s="870">
        <f t="shared" ca="1" si="300"/>
        <v>0</v>
      </c>
      <c r="AK395" s="867">
        <f t="shared" ca="1" si="301"/>
        <v>0</v>
      </c>
      <c r="AL395" s="869">
        <f t="shared" ca="1" si="279"/>
        <v>0</v>
      </c>
      <c r="AM395" s="869">
        <f t="shared" ca="1" si="302"/>
        <v>0</v>
      </c>
      <c r="AN395" s="867">
        <f t="shared" ca="1" si="303"/>
        <v>0</v>
      </c>
      <c r="AO395" s="161"/>
      <c r="AP395" s="869">
        <f t="shared" ca="1" si="304"/>
        <v>0</v>
      </c>
      <c r="AQ395" s="867" cm="1">
        <f t="array" ref="AQ395">IF($G395=0,0,-MIN(0,$G395*c_equity.LPshare))</f>
        <v>0</v>
      </c>
      <c r="AR395" s="869" cm="1">
        <f t="array" ref="AR395">IF($D395=0,0,AP395*(c_rate.Hurdle3.MO))</f>
        <v>0</v>
      </c>
      <c r="AS395" s="869">
        <f t="shared" ca="1" si="305"/>
        <v>0</v>
      </c>
      <c r="AT395" s="869">
        <f t="shared" ca="1" si="306"/>
        <v>0</v>
      </c>
      <c r="AU395" s="869">
        <f t="shared" ca="1" si="307"/>
        <v>0</v>
      </c>
      <c r="AV395" s="870">
        <f t="shared" ca="1" si="308"/>
        <v>0</v>
      </c>
      <c r="AW395" s="867">
        <f t="shared" ca="1" si="309"/>
        <v>0</v>
      </c>
      <c r="AX395" s="869">
        <f t="shared" ca="1" si="280"/>
        <v>0</v>
      </c>
      <c r="AY395" s="869">
        <f t="shared" ca="1" si="310"/>
        <v>0</v>
      </c>
      <c r="AZ395" s="867">
        <f t="shared" ca="1" si="311"/>
        <v>0</v>
      </c>
      <c r="BA395" s="161"/>
      <c r="BB395" s="867">
        <f t="shared" ca="1" si="312"/>
        <v>0</v>
      </c>
      <c r="BC395" s="867">
        <f t="shared" ca="1" si="277"/>
        <v>0</v>
      </c>
      <c r="BD395" s="658"/>
      <c r="BE395" s="867">
        <f t="shared" ca="1" si="313"/>
        <v>0</v>
      </c>
      <c r="BF395" s="867">
        <f t="shared" ca="1" si="314"/>
        <v>0</v>
      </c>
      <c r="BG395" s="867">
        <f t="shared" ca="1" si="315"/>
        <v>0</v>
      </c>
      <c r="BI395" s="867">
        <f ca="1"/>
        <v>0</v>
      </c>
      <c r="BJ395" s="867">
        <f ca="1"/>
        <v>0</v>
      </c>
      <c r="BK395" s="867">
        <f ca="1"/>
        <v>0</v>
      </c>
      <c r="BL395" s="867">
        <f t="shared" ca="1" si="316"/>
        <v>0</v>
      </c>
      <c r="BM395" s="867">
        <f t="shared" ca="1" si="317"/>
        <v>0</v>
      </c>
      <c r="BN395" s="867">
        <f t="shared" ca="1" si="318"/>
        <v>0</v>
      </c>
      <c r="BO395" s="867">
        <f t="shared" ca="1" si="319"/>
        <v>0</v>
      </c>
      <c r="BP395" s="867">
        <f t="shared" ca="1" si="320"/>
        <v>0</v>
      </c>
      <c r="BQ395" s="867">
        <f t="shared" ca="1" si="321"/>
        <v>0</v>
      </c>
      <c r="BR395" s="867">
        <f ca="1"/>
        <v>0</v>
      </c>
      <c r="BS395" s="867">
        <f ca="1"/>
        <v>0</v>
      </c>
      <c r="BT395" s="867">
        <f t="shared" ca="1" si="281"/>
        <v>0</v>
      </c>
      <c r="BU395" s="867">
        <f t="shared" ca="1" si="322"/>
        <v>0</v>
      </c>
      <c r="BX395" s="867">
        <f ca="1"/>
        <v>0</v>
      </c>
      <c r="BY395" s="867">
        <f t="shared" ca="1" si="323"/>
        <v>0</v>
      </c>
      <c r="BZ395" s="867">
        <f t="shared" ca="1" si="324"/>
        <v>0</v>
      </c>
      <c r="CA395" s="867">
        <f t="shared" ca="1" si="325"/>
        <v>0</v>
      </c>
      <c r="CB395" s="867">
        <f t="shared" ca="1" si="326"/>
        <v>0</v>
      </c>
      <c r="CC395" s="867">
        <f t="shared" ca="1" si="327"/>
        <v>0</v>
      </c>
      <c r="CD395" s="867">
        <f t="shared" ca="1" si="328"/>
        <v>0</v>
      </c>
    </row>
    <row r="396" spans="1:82" ht="17" hidden="1" thickTop="1" thickBot="1">
      <c r="A396" s="773">
        <f t="shared" si="278"/>
        <v>0</v>
      </c>
      <c r="B396" s="779"/>
      <c r="D396" s="660"/>
      <c r="E396" s="661"/>
      <c r="F396" s="862"/>
      <c r="G396" s="863"/>
      <c r="H396" s="961"/>
      <c r="I396" s="865">
        <f t="shared" si="282"/>
        <v>0</v>
      </c>
      <c r="J396" s="864" cm="1">
        <f t="array" ref="J396">IF($G396=0,0,-MIN(0,G396*c_equity.LPshare))</f>
        <v>0</v>
      </c>
      <c r="K396" s="865" cm="1">
        <f t="array" ref="K396">I396*c_rate.Pref.MO</f>
        <v>0</v>
      </c>
      <c r="L396" s="865">
        <f t="shared" si="283"/>
        <v>0</v>
      </c>
      <c r="M396" s="865">
        <f t="shared" si="284"/>
        <v>0</v>
      </c>
      <c r="N396" s="865">
        <f t="shared" si="285"/>
        <v>0</v>
      </c>
      <c r="O396" s="864" cm="1">
        <f t="array" ref="O396">IF(N396=0,0,IF(G396&lt;0,N396/c_equity.LPshare*i_equity.GPshare,L396/c_equity.LPshare*i_equity.GPshare))</f>
        <v>0</v>
      </c>
      <c r="P396" s="865">
        <f t="shared" si="286"/>
        <v>0</v>
      </c>
      <c r="Q396" s="865">
        <f t="shared" si="287"/>
        <v>0</v>
      </c>
      <c r="R396" s="161"/>
      <c r="S396" s="867">
        <f t="shared" ca="1" si="288"/>
        <v>0</v>
      </c>
      <c r="T396" s="867" cm="1">
        <f t="array" ref="T396">IF($G396=0,0,-MIN(0,$G396*c_equity.LPshare))</f>
        <v>0</v>
      </c>
      <c r="U396" s="869" cm="1">
        <f t="array" ref="U396">IF($D396=0,0,S396*c_rate.Hurdle1.MO)</f>
        <v>0</v>
      </c>
      <c r="V396" s="867">
        <f t="shared" si="289"/>
        <v>0</v>
      </c>
      <c r="W396" s="867">
        <f t="shared" ca="1" si="290"/>
        <v>0</v>
      </c>
      <c r="X396" s="869">
        <f t="shared" ca="1" si="291"/>
        <v>0</v>
      </c>
      <c r="Y396" s="869">
        <f t="shared" ca="1" si="292"/>
        <v>0</v>
      </c>
      <c r="Z396" s="869">
        <f t="shared" ca="1" si="293"/>
        <v>0</v>
      </c>
      <c r="AA396" s="869">
        <f t="shared" ca="1" si="294"/>
        <v>0</v>
      </c>
      <c r="AB396" s="867">
        <f t="shared" ca="1" si="295"/>
        <v>0</v>
      </c>
      <c r="AC396" s="161"/>
      <c r="AD396" s="869">
        <f t="shared" ca="1" si="296"/>
        <v>0</v>
      </c>
      <c r="AE396" s="867" cm="1">
        <f t="array" ref="AE396">IF($G396=0,0,-MIN(0,$G396*c_equity.LPshare))</f>
        <v>0</v>
      </c>
      <c r="AF396" s="869" cm="1">
        <f t="array" ref="AF396">IF($D396=0,0,AD396*(c_rate.Hurdle2.MO))</f>
        <v>0</v>
      </c>
      <c r="AG396" s="869">
        <f t="shared" ca="1" si="297"/>
        <v>0</v>
      </c>
      <c r="AH396" s="869">
        <f t="shared" ca="1" si="298"/>
        <v>0</v>
      </c>
      <c r="AI396" s="869">
        <f t="shared" ca="1" si="299"/>
        <v>0</v>
      </c>
      <c r="AJ396" s="870">
        <f t="shared" ca="1" si="300"/>
        <v>0</v>
      </c>
      <c r="AK396" s="867">
        <f t="shared" ca="1" si="301"/>
        <v>0</v>
      </c>
      <c r="AL396" s="869">
        <f t="shared" ca="1" si="279"/>
        <v>0</v>
      </c>
      <c r="AM396" s="869">
        <f t="shared" ca="1" si="302"/>
        <v>0</v>
      </c>
      <c r="AN396" s="867">
        <f t="shared" ca="1" si="303"/>
        <v>0</v>
      </c>
      <c r="AO396" s="161"/>
      <c r="AP396" s="869">
        <f t="shared" ca="1" si="304"/>
        <v>0</v>
      </c>
      <c r="AQ396" s="867" cm="1">
        <f t="array" ref="AQ396">IF($G396=0,0,-MIN(0,$G396*c_equity.LPshare))</f>
        <v>0</v>
      </c>
      <c r="AR396" s="869" cm="1">
        <f t="array" ref="AR396">IF($D396=0,0,AP396*(c_rate.Hurdle3.MO))</f>
        <v>0</v>
      </c>
      <c r="AS396" s="869">
        <f t="shared" ca="1" si="305"/>
        <v>0</v>
      </c>
      <c r="AT396" s="869">
        <f t="shared" ca="1" si="306"/>
        <v>0</v>
      </c>
      <c r="AU396" s="869">
        <f t="shared" ca="1" si="307"/>
        <v>0</v>
      </c>
      <c r="AV396" s="870">
        <f t="shared" ca="1" si="308"/>
        <v>0</v>
      </c>
      <c r="AW396" s="867">
        <f t="shared" ca="1" si="309"/>
        <v>0</v>
      </c>
      <c r="AX396" s="869">
        <f t="shared" ca="1" si="280"/>
        <v>0</v>
      </c>
      <c r="AY396" s="869">
        <f t="shared" ca="1" si="310"/>
        <v>0</v>
      </c>
      <c r="AZ396" s="867">
        <f t="shared" ca="1" si="311"/>
        <v>0</v>
      </c>
      <c r="BA396" s="161"/>
      <c r="BB396" s="867">
        <f t="shared" ca="1" si="312"/>
        <v>0</v>
      </c>
      <c r="BC396" s="867">
        <f t="shared" ca="1" si="277"/>
        <v>0</v>
      </c>
      <c r="BD396" s="658"/>
      <c r="BE396" s="867">
        <f t="shared" ca="1" si="313"/>
        <v>0</v>
      </c>
      <c r="BF396" s="867">
        <f t="shared" ca="1" si="314"/>
        <v>0</v>
      </c>
      <c r="BG396" s="867">
        <f t="shared" ca="1" si="315"/>
        <v>0</v>
      </c>
      <c r="BI396" s="867">
        <f ca="1"/>
        <v>0</v>
      </c>
      <c r="BJ396" s="867">
        <f ca="1"/>
        <v>0</v>
      </c>
      <c r="BK396" s="867">
        <f ca="1"/>
        <v>0</v>
      </c>
      <c r="BL396" s="867">
        <f t="shared" ca="1" si="316"/>
        <v>0</v>
      </c>
      <c r="BM396" s="867">
        <f t="shared" ca="1" si="317"/>
        <v>0</v>
      </c>
      <c r="BN396" s="867">
        <f t="shared" ca="1" si="318"/>
        <v>0</v>
      </c>
      <c r="BO396" s="867">
        <f t="shared" ca="1" si="319"/>
        <v>0</v>
      </c>
      <c r="BP396" s="867">
        <f t="shared" ca="1" si="320"/>
        <v>0</v>
      </c>
      <c r="BQ396" s="867">
        <f t="shared" ca="1" si="321"/>
        <v>0</v>
      </c>
      <c r="BR396" s="867">
        <f ca="1"/>
        <v>0</v>
      </c>
      <c r="BS396" s="867">
        <f ca="1"/>
        <v>0</v>
      </c>
      <c r="BT396" s="867">
        <f t="shared" ca="1" si="281"/>
        <v>0</v>
      </c>
      <c r="BU396" s="867">
        <f t="shared" ca="1" si="322"/>
        <v>0</v>
      </c>
      <c r="BX396" s="867">
        <f ca="1"/>
        <v>0</v>
      </c>
      <c r="BY396" s="867">
        <f t="shared" ca="1" si="323"/>
        <v>0</v>
      </c>
      <c r="BZ396" s="867">
        <f t="shared" ca="1" si="324"/>
        <v>0</v>
      </c>
      <c r="CA396" s="867">
        <f t="shared" ca="1" si="325"/>
        <v>0</v>
      </c>
      <c r="CB396" s="867">
        <f t="shared" ca="1" si="326"/>
        <v>0</v>
      </c>
      <c r="CC396" s="867">
        <f t="shared" ca="1" si="327"/>
        <v>0</v>
      </c>
      <c r="CD396" s="867">
        <f t="shared" ca="1" si="328"/>
        <v>0</v>
      </c>
    </row>
    <row r="397" spans="1:82" ht="17" hidden="1" thickTop="1" thickBot="1">
      <c r="A397" s="773">
        <f t="shared" si="278"/>
        <v>0</v>
      </c>
      <c r="B397" s="779"/>
      <c r="D397" s="660"/>
      <c r="E397" s="661"/>
      <c r="F397" s="862"/>
      <c r="G397" s="863"/>
      <c r="H397" s="961"/>
      <c r="I397" s="865">
        <f t="shared" si="282"/>
        <v>0</v>
      </c>
      <c r="J397" s="864" cm="1">
        <f t="array" ref="J397">IF($G397=0,0,-MIN(0,G397*c_equity.LPshare))</f>
        <v>0</v>
      </c>
      <c r="K397" s="865" cm="1">
        <f t="array" ref="K397">I397*c_rate.Pref.MO</f>
        <v>0</v>
      </c>
      <c r="L397" s="865">
        <f t="shared" si="283"/>
        <v>0</v>
      </c>
      <c r="M397" s="865">
        <f t="shared" si="284"/>
        <v>0</v>
      </c>
      <c r="N397" s="865">
        <f t="shared" si="285"/>
        <v>0</v>
      </c>
      <c r="O397" s="864" cm="1">
        <f t="array" ref="O397">IF(N397=0,0,IF(G397&lt;0,N397/c_equity.LPshare*i_equity.GPshare,L397/c_equity.LPshare*i_equity.GPshare))</f>
        <v>0</v>
      </c>
      <c r="P397" s="865">
        <f t="shared" si="286"/>
        <v>0</v>
      </c>
      <c r="Q397" s="865">
        <f t="shared" si="287"/>
        <v>0</v>
      </c>
      <c r="R397" s="161"/>
      <c r="S397" s="867">
        <f t="shared" ca="1" si="288"/>
        <v>0</v>
      </c>
      <c r="T397" s="867" cm="1">
        <f t="array" ref="T397">IF($G397=0,0,-MIN(0,$G397*c_equity.LPshare))</f>
        <v>0</v>
      </c>
      <c r="U397" s="869" cm="1">
        <f t="array" ref="U397">IF($D397=0,0,S397*c_rate.Hurdle1.MO)</f>
        <v>0</v>
      </c>
      <c r="V397" s="867">
        <f t="shared" si="289"/>
        <v>0</v>
      </c>
      <c r="W397" s="867">
        <f t="shared" ca="1" si="290"/>
        <v>0</v>
      </c>
      <c r="X397" s="869">
        <f t="shared" ca="1" si="291"/>
        <v>0</v>
      </c>
      <c r="Y397" s="869">
        <f t="shared" ca="1" si="292"/>
        <v>0</v>
      </c>
      <c r="Z397" s="869">
        <f t="shared" ca="1" si="293"/>
        <v>0</v>
      </c>
      <c r="AA397" s="869">
        <f t="shared" ca="1" si="294"/>
        <v>0</v>
      </c>
      <c r="AB397" s="867">
        <f t="shared" ca="1" si="295"/>
        <v>0</v>
      </c>
      <c r="AC397" s="161"/>
      <c r="AD397" s="869">
        <f t="shared" ca="1" si="296"/>
        <v>0</v>
      </c>
      <c r="AE397" s="867" cm="1">
        <f t="array" ref="AE397">IF($G397=0,0,-MIN(0,$G397*c_equity.LPshare))</f>
        <v>0</v>
      </c>
      <c r="AF397" s="869" cm="1">
        <f t="array" ref="AF397">IF($D397=0,0,AD397*(c_rate.Hurdle2.MO))</f>
        <v>0</v>
      </c>
      <c r="AG397" s="869">
        <f t="shared" ca="1" si="297"/>
        <v>0</v>
      </c>
      <c r="AH397" s="869">
        <f t="shared" ca="1" si="298"/>
        <v>0</v>
      </c>
      <c r="AI397" s="869">
        <f t="shared" ca="1" si="299"/>
        <v>0</v>
      </c>
      <c r="AJ397" s="870">
        <f t="shared" ca="1" si="300"/>
        <v>0</v>
      </c>
      <c r="AK397" s="867">
        <f t="shared" ca="1" si="301"/>
        <v>0</v>
      </c>
      <c r="AL397" s="869">
        <f t="shared" ca="1" si="279"/>
        <v>0</v>
      </c>
      <c r="AM397" s="869">
        <f t="shared" ca="1" si="302"/>
        <v>0</v>
      </c>
      <c r="AN397" s="867">
        <f t="shared" ca="1" si="303"/>
        <v>0</v>
      </c>
      <c r="AO397" s="161"/>
      <c r="AP397" s="869">
        <f t="shared" ca="1" si="304"/>
        <v>0</v>
      </c>
      <c r="AQ397" s="867" cm="1">
        <f t="array" ref="AQ397">IF($G397=0,0,-MIN(0,$G397*c_equity.LPshare))</f>
        <v>0</v>
      </c>
      <c r="AR397" s="869" cm="1">
        <f t="array" ref="AR397">IF($D397=0,0,AP397*(c_rate.Hurdle3.MO))</f>
        <v>0</v>
      </c>
      <c r="AS397" s="869">
        <f t="shared" ca="1" si="305"/>
        <v>0</v>
      </c>
      <c r="AT397" s="869">
        <f t="shared" ca="1" si="306"/>
        <v>0</v>
      </c>
      <c r="AU397" s="869">
        <f t="shared" ca="1" si="307"/>
        <v>0</v>
      </c>
      <c r="AV397" s="870">
        <f t="shared" ca="1" si="308"/>
        <v>0</v>
      </c>
      <c r="AW397" s="867">
        <f t="shared" ca="1" si="309"/>
        <v>0</v>
      </c>
      <c r="AX397" s="869">
        <f t="shared" ca="1" si="280"/>
        <v>0</v>
      </c>
      <c r="AY397" s="869">
        <f t="shared" ca="1" si="310"/>
        <v>0</v>
      </c>
      <c r="AZ397" s="867">
        <f t="shared" ca="1" si="311"/>
        <v>0</v>
      </c>
      <c r="BA397" s="161"/>
      <c r="BB397" s="867">
        <f t="shared" ca="1" si="312"/>
        <v>0</v>
      </c>
      <c r="BC397" s="867">
        <f t="shared" ca="1" si="277"/>
        <v>0</v>
      </c>
      <c r="BD397" s="658"/>
      <c r="BE397" s="867">
        <f t="shared" ca="1" si="313"/>
        <v>0</v>
      </c>
      <c r="BF397" s="867">
        <f t="shared" ca="1" si="314"/>
        <v>0</v>
      </c>
      <c r="BG397" s="867">
        <f t="shared" ca="1" si="315"/>
        <v>0</v>
      </c>
      <c r="BI397" s="867">
        <f ca="1"/>
        <v>0</v>
      </c>
      <c r="BJ397" s="867">
        <f ca="1"/>
        <v>0</v>
      </c>
      <c r="BK397" s="867">
        <f ca="1"/>
        <v>0</v>
      </c>
      <c r="BL397" s="867">
        <f t="shared" ca="1" si="316"/>
        <v>0</v>
      </c>
      <c r="BM397" s="867">
        <f t="shared" ca="1" si="317"/>
        <v>0</v>
      </c>
      <c r="BN397" s="867">
        <f t="shared" ca="1" si="318"/>
        <v>0</v>
      </c>
      <c r="BO397" s="867">
        <f t="shared" ca="1" si="319"/>
        <v>0</v>
      </c>
      <c r="BP397" s="867">
        <f t="shared" ca="1" si="320"/>
        <v>0</v>
      </c>
      <c r="BQ397" s="867">
        <f t="shared" ca="1" si="321"/>
        <v>0</v>
      </c>
      <c r="BR397" s="867">
        <f ca="1"/>
        <v>0</v>
      </c>
      <c r="BS397" s="867">
        <f ca="1"/>
        <v>0</v>
      </c>
      <c r="BT397" s="867">
        <f t="shared" ca="1" si="281"/>
        <v>0</v>
      </c>
      <c r="BU397" s="867">
        <f t="shared" ca="1" si="322"/>
        <v>0</v>
      </c>
      <c r="BX397" s="867">
        <f ca="1"/>
        <v>0</v>
      </c>
      <c r="BY397" s="867">
        <f t="shared" ca="1" si="323"/>
        <v>0</v>
      </c>
      <c r="BZ397" s="867">
        <f t="shared" ca="1" si="324"/>
        <v>0</v>
      </c>
      <c r="CA397" s="867">
        <f t="shared" ca="1" si="325"/>
        <v>0</v>
      </c>
      <c r="CB397" s="867">
        <f t="shared" ca="1" si="326"/>
        <v>0</v>
      </c>
      <c r="CC397" s="867">
        <f t="shared" ca="1" si="327"/>
        <v>0</v>
      </c>
      <c r="CD397" s="867">
        <f t="shared" ca="1" si="328"/>
        <v>0</v>
      </c>
    </row>
    <row r="398" spans="1:82" ht="17" hidden="1" thickTop="1" thickBot="1">
      <c r="A398" s="773">
        <f t="shared" si="278"/>
        <v>0</v>
      </c>
      <c r="B398" s="779"/>
      <c r="D398" s="660"/>
      <c r="E398" s="661"/>
      <c r="F398" s="862"/>
      <c r="G398" s="863"/>
      <c r="H398" s="961"/>
      <c r="I398" s="865">
        <f t="shared" si="282"/>
        <v>0</v>
      </c>
      <c r="J398" s="864" cm="1">
        <f t="array" ref="J398">IF($G398=0,0,-MIN(0,G398*c_equity.LPshare))</f>
        <v>0</v>
      </c>
      <c r="K398" s="865" cm="1">
        <f t="array" ref="K398">I398*c_rate.Pref.MO</f>
        <v>0</v>
      </c>
      <c r="L398" s="865">
        <f t="shared" si="283"/>
        <v>0</v>
      </c>
      <c r="M398" s="865">
        <f t="shared" si="284"/>
        <v>0</v>
      </c>
      <c r="N398" s="865">
        <f t="shared" si="285"/>
        <v>0</v>
      </c>
      <c r="O398" s="864" cm="1">
        <f t="array" ref="O398">IF(N398=0,0,IF(G398&lt;0,N398/c_equity.LPshare*i_equity.GPshare,L398/c_equity.LPshare*i_equity.GPshare))</f>
        <v>0</v>
      </c>
      <c r="P398" s="865">
        <f t="shared" si="286"/>
        <v>0</v>
      </c>
      <c r="Q398" s="865">
        <f t="shared" si="287"/>
        <v>0</v>
      </c>
      <c r="R398" s="161"/>
      <c r="S398" s="867">
        <f t="shared" ca="1" si="288"/>
        <v>0</v>
      </c>
      <c r="T398" s="867" cm="1">
        <f t="array" ref="T398">IF($G398=0,0,-MIN(0,$G398*c_equity.LPshare))</f>
        <v>0</v>
      </c>
      <c r="U398" s="869" cm="1">
        <f t="array" ref="U398">IF($D398=0,0,S398*c_rate.Hurdle1.MO)</f>
        <v>0</v>
      </c>
      <c r="V398" s="867">
        <f t="shared" si="289"/>
        <v>0</v>
      </c>
      <c r="W398" s="867">
        <f t="shared" ca="1" si="290"/>
        <v>0</v>
      </c>
      <c r="X398" s="869">
        <f t="shared" ca="1" si="291"/>
        <v>0</v>
      </c>
      <c r="Y398" s="869">
        <f t="shared" ca="1" si="292"/>
        <v>0</v>
      </c>
      <c r="Z398" s="869">
        <f t="shared" ca="1" si="293"/>
        <v>0</v>
      </c>
      <c r="AA398" s="869">
        <f t="shared" ca="1" si="294"/>
        <v>0</v>
      </c>
      <c r="AB398" s="867">
        <f t="shared" ca="1" si="295"/>
        <v>0</v>
      </c>
      <c r="AC398" s="161"/>
      <c r="AD398" s="869">
        <f t="shared" ca="1" si="296"/>
        <v>0</v>
      </c>
      <c r="AE398" s="867" cm="1">
        <f t="array" ref="AE398">IF($G398=0,0,-MIN(0,$G398*c_equity.LPshare))</f>
        <v>0</v>
      </c>
      <c r="AF398" s="869" cm="1">
        <f t="array" ref="AF398">IF($D398=0,0,AD398*(c_rate.Hurdle2.MO))</f>
        <v>0</v>
      </c>
      <c r="AG398" s="869">
        <f t="shared" ca="1" si="297"/>
        <v>0</v>
      </c>
      <c r="AH398" s="869">
        <f t="shared" ca="1" si="298"/>
        <v>0</v>
      </c>
      <c r="AI398" s="869">
        <f t="shared" ca="1" si="299"/>
        <v>0</v>
      </c>
      <c r="AJ398" s="870">
        <f t="shared" ca="1" si="300"/>
        <v>0</v>
      </c>
      <c r="AK398" s="867">
        <f t="shared" ca="1" si="301"/>
        <v>0</v>
      </c>
      <c r="AL398" s="869">
        <f t="shared" ca="1" si="279"/>
        <v>0</v>
      </c>
      <c r="AM398" s="869">
        <f t="shared" ca="1" si="302"/>
        <v>0</v>
      </c>
      <c r="AN398" s="867">
        <f t="shared" ca="1" si="303"/>
        <v>0</v>
      </c>
      <c r="AO398" s="161"/>
      <c r="AP398" s="869">
        <f t="shared" ca="1" si="304"/>
        <v>0</v>
      </c>
      <c r="AQ398" s="867" cm="1">
        <f t="array" ref="AQ398">IF($G398=0,0,-MIN(0,$G398*c_equity.LPshare))</f>
        <v>0</v>
      </c>
      <c r="AR398" s="869" cm="1">
        <f t="array" ref="AR398">IF($D398=0,0,AP398*(c_rate.Hurdle3.MO))</f>
        <v>0</v>
      </c>
      <c r="AS398" s="869">
        <f t="shared" ca="1" si="305"/>
        <v>0</v>
      </c>
      <c r="AT398" s="869">
        <f t="shared" ca="1" si="306"/>
        <v>0</v>
      </c>
      <c r="AU398" s="869">
        <f t="shared" ca="1" si="307"/>
        <v>0</v>
      </c>
      <c r="AV398" s="870">
        <f t="shared" ca="1" si="308"/>
        <v>0</v>
      </c>
      <c r="AW398" s="867">
        <f t="shared" ca="1" si="309"/>
        <v>0</v>
      </c>
      <c r="AX398" s="869">
        <f t="shared" ca="1" si="280"/>
        <v>0</v>
      </c>
      <c r="AY398" s="869">
        <f t="shared" ca="1" si="310"/>
        <v>0</v>
      </c>
      <c r="AZ398" s="867">
        <f t="shared" ca="1" si="311"/>
        <v>0</v>
      </c>
      <c r="BA398" s="161"/>
      <c r="BB398" s="867">
        <f t="shared" ca="1" si="312"/>
        <v>0</v>
      </c>
      <c r="BC398" s="867">
        <f t="shared" ca="1" si="277"/>
        <v>0</v>
      </c>
      <c r="BD398" s="658"/>
      <c r="BE398" s="867">
        <f t="shared" ca="1" si="313"/>
        <v>0</v>
      </c>
      <c r="BF398" s="867">
        <f t="shared" ca="1" si="314"/>
        <v>0</v>
      </c>
      <c r="BG398" s="867">
        <f t="shared" ca="1" si="315"/>
        <v>0</v>
      </c>
      <c r="BI398" s="867">
        <f ca="1"/>
        <v>0</v>
      </c>
      <c r="BJ398" s="867">
        <f ca="1"/>
        <v>0</v>
      </c>
      <c r="BK398" s="867">
        <f ca="1"/>
        <v>0</v>
      </c>
      <c r="BL398" s="867">
        <f t="shared" ca="1" si="316"/>
        <v>0</v>
      </c>
      <c r="BM398" s="867">
        <f t="shared" ca="1" si="317"/>
        <v>0</v>
      </c>
      <c r="BN398" s="867">
        <f t="shared" ca="1" si="318"/>
        <v>0</v>
      </c>
      <c r="BO398" s="867">
        <f t="shared" ca="1" si="319"/>
        <v>0</v>
      </c>
      <c r="BP398" s="867">
        <f t="shared" ca="1" si="320"/>
        <v>0</v>
      </c>
      <c r="BQ398" s="867">
        <f t="shared" ca="1" si="321"/>
        <v>0</v>
      </c>
      <c r="BR398" s="867">
        <f ca="1"/>
        <v>0</v>
      </c>
      <c r="BS398" s="867">
        <f ca="1"/>
        <v>0</v>
      </c>
      <c r="BT398" s="867">
        <f t="shared" ca="1" si="281"/>
        <v>0</v>
      </c>
      <c r="BU398" s="867">
        <f t="shared" ca="1" si="322"/>
        <v>0</v>
      </c>
      <c r="BX398" s="867">
        <f ca="1"/>
        <v>0</v>
      </c>
      <c r="BY398" s="867">
        <f t="shared" ca="1" si="323"/>
        <v>0</v>
      </c>
      <c r="BZ398" s="867">
        <f t="shared" ca="1" si="324"/>
        <v>0</v>
      </c>
      <c r="CA398" s="867">
        <f t="shared" ca="1" si="325"/>
        <v>0</v>
      </c>
      <c r="CB398" s="867">
        <f t="shared" ca="1" si="326"/>
        <v>0</v>
      </c>
      <c r="CC398" s="867">
        <f t="shared" ca="1" si="327"/>
        <v>0</v>
      </c>
      <c r="CD398" s="867">
        <f t="shared" ca="1" si="328"/>
        <v>0</v>
      </c>
    </row>
    <row r="399" spans="1:82" ht="17" hidden="1" thickTop="1" thickBot="1">
      <c r="A399" s="773">
        <f t="shared" si="278"/>
        <v>0</v>
      </c>
      <c r="B399" s="779"/>
      <c r="D399" s="660"/>
      <c r="E399" s="661"/>
      <c r="F399" s="862"/>
      <c r="G399" s="863"/>
      <c r="H399" s="961"/>
      <c r="I399" s="865">
        <f t="shared" si="282"/>
        <v>0</v>
      </c>
      <c r="J399" s="864" cm="1">
        <f t="array" ref="J399">IF($G399=0,0,-MIN(0,G399*c_equity.LPshare))</f>
        <v>0</v>
      </c>
      <c r="K399" s="865" cm="1">
        <f t="array" ref="K399">I399*c_rate.Pref.MO</f>
        <v>0</v>
      </c>
      <c r="L399" s="865">
        <f t="shared" si="283"/>
        <v>0</v>
      </c>
      <c r="M399" s="865">
        <f t="shared" si="284"/>
        <v>0</v>
      </c>
      <c r="N399" s="865">
        <f t="shared" si="285"/>
        <v>0</v>
      </c>
      <c r="O399" s="864" cm="1">
        <f t="array" ref="O399">IF(N399=0,0,IF(G399&lt;0,N399/c_equity.LPshare*i_equity.GPshare,L399/c_equity.LPshare*i_equity.GPshare))</f>
        <v>0</v>
      </c>
      <c r="P399" s="865">
        <f t="shared" si="286"/>
        <v>0</v>
      </c>
      <c r="Q399" s="865">
        <f t="shared" si="287"/>
        <v>0</v>
      </c>
      <c r="R399" s="161"/>
      <c r="S399" s="867">
        <f t="shared" ca="1" si="288"/>
        <v>0</v>
      </c>
      <c r="T399" s="867" cm="1">
        <f t="array" ref="T399">IF($G399=0,0,-MIN(0,$G399*c_equity.LPshare))</f>
        <v>0</v>
      </c>
      <c r="U399" s="869" cm="1">
        <f t="array" ref="U399">IF($D399=0,0,S399*c_rate.Hurdle1.MO)</f>
        <v>0</v>
      </c>
      <c r="V399" s="867">
        <f t="shared" si="289"/>
        <v>0</v>
      </c>
      <c r="W399" s="867">
        <f t="shared" ca="1" si="290"/>
        <v>0</v>
      </c>
      <c r="X399" s="869">
        <f t="shared" ca="1" si="291"/>
        <v>0</v>
      </c>
      <c r="Y399" s="869">
        <f t="shared" ca="1" si="292"/>
        <v>0</v>
      </c>
      <c r="Z399" s="869">
        <f t="shared" ca="1" si="293"/>
        <v>0</v>
      </c>
      <c r="AA399" s="869">
        <f t="shared" ca="1" si="294"/>
        <v>0</v>
      </c>
      <c r="AB399" s="867">
        <f t="shared" ca="1" si="295"/>
        <v>0</v>
      </c>
      <c r="AC399" s="161"/>
      <c r="AD399" s="869">
        <f t="shared" ca="1" si="296"/>
        <v>0</v>
      </c>
      <c r="AE399" s="867" cm="1">
        <f t="array" ref="AE399">IF($G399=0,0,-MIN(0,$G399*c_equity.LPshare))</f>
        <v>0</v>
      </c>
      <c r="AF399" s="869" cm="1">
        <f t="array" ref="AF399">IF($D399=0,0,AD399*(c_rate.Hurdle2.MO))</f>
        <v>0</v>
      </c>
      <c r="AG399" s="869">
        <f t="shared" ca="1" si="297"/>
        <v>0</v>
      </c>
      <c r="AH399" s="869">
        <f t="shared" ca="1" si="298"/>
        <v>0</v>
      </c>
      <c r="AI399" s="869">
        <f t="shared" ca="1" si="299"/>
        <v>0</v>
      </c>
      <c r="AJ399" s="870">
        <f t="shared" ca="1" si="300"/>
        <v>0</v>
      </c>
      <c r="AK399" s="867">
        <f t="shared" ca="1" si="301"/>
        <v>0</v>
      </c>
      <c r="AL399" s="869">
        <f t="shared" ca="1" si="279"/>
        <v>0</v>
      </c>
      <c r="AM399" s="869">
        <f t="shared" ca="1" si="302"/>
        <v>0</v>
      </c>
      <c r="AN399" s="867">
        <f t="shared" ca="1" si="303"/>
        <v>0</v>
      </c>
      <c r="AO399" s="161"/>
      <c r="AP399" s="869">
        <f t="shared" ca="1" si="304"/>
        <v>0</v>
      </c>
      <c r="AQ399" s="867" cm="1">
        <f t="array" ref="AQ399">IF($G399=0,0,-MIN(0,$G399*c_equity.LPshare))</f>
        <v>0</v>
      </c>
      <c r="AR399" s="869" cm="1">
        <f t="array" ref="AR399">IF($D399=0,0,AP399*(c_rate.Hurdle3.MO))</f>
        <v>0</v>
      </c>
      <c r="AS399" s="869">
        <f t="shared" ca="1" si="305"/>
        <v>0</v>
      </c>
      <c r="AT399" s="869">
        <f t="shared" ca="1" si="306"/>
        <v>0</v>
      </c>
      <c r="AU399" s="869">
        <f t="shared" ca="1" si="307"/>
        <v>0</v>
      </c>
      <c r="AV399" s="870">
        <f t="shared" ca="1" si="308"/>
        <v>0</v>
      </c>
      <c r="AW399" s="867">
        <f t="shared" ca="1" si="309"/>
        <v>0</v>
      </c>
      <c r="AX399" s="869">
        <f t="shared" ca="1" si="280"/>
        <v>0</v>
      </c>
      <c r="AY399" s="869">
        <f t="shared" ca="1" si="310"/>
        <v>0</v>
      </c>
      <c r="AZ399" s="867">
        <f t="shared" ca="1" si="311"/>
        <v>0</v>
      </c>
      <c r="BA399" s="161"/>
      <c r="BB399" s="867">
        <f t="shared" ca="1" si="312"/>
        <v>0</v>
      </c>
      <c r="BC399" s="867">
        <f t="shared" ca="1" si="277"/>
        <v>0</v>
      </c>
      <c r="BD399" s="658"/>
      <c r="BE399" s="867">
        <f t="shared" ca="1" si="313"/>
        <v>0</v>
      </c>
      <c r="BF399" s="867">
        <f t="shared" ca="1" si="314"/>
        <v>0</v>
      </c>
      <c r="BG399" s="867">
        <f t="shared" ca="1" si="315"/>
        <v>0</v>
      </c>
      <c r="BI399" s="867">
        <f ca="1"/>
        <v>0</v>
      </c>
      <c r="BJ399" s="867">
        <f ca="1"/>
        <v>0</v>
      </c>
      <c r="BK399" s="867">
        <f ca="1"/>
        <v>0</v>
      </c>
      <c r="BL399" s="867">
        <f t="shared" ca="1" si="316"/>
        <v>0</v>
      </c>
      <c r="BM399" s="867">
        <f t="shared" ca="1" si="317"/>
        <v>0</v>
      </c>
      <c r="BN399" s="867">
        <f t="shared" ca="1" si="318"/>
        <v>0</v>
      </c>
      <c r="BO399" s="867">
        <f t="shared" ca="1" si="319"/>
        <v>0</v>
      </c>
      <c r="BP399" s="867">
        <f t="shared" ca="1" si="320"/>
        <v>0</v>
      </c>
      <c r="BQ399" s="867">
        <f t="shared" ca="1" si="321"/>
        <v>0</v>
      </c>
      <c r="BR399" s="867">
        <f ca="1"/>
        <v>0</v>
      </c>
      <c r="BS399" s="867">
        <f ca="1"/>
        <v>0</v>
      </c>
      <c r="BT399" s="867">
        <f t="shared" ca="1" si="281"/>
        <v>0</v>
      </c>
      <c r="BU399" s="867">
        <f t="shared" ca="1" si="322"/>
        <v>0</v>
      </c>
      <c r="BX399" s="867">
        <f ca="1"/>
        <v>0</v>
      </c>
      <c r="BY399" s="867">
        <f t="shared" ca="1" si="323"/>
        <v>0</v>
      </c>
      <c r="BZ399" s="867">
        <f t="shared" ca="1" si="324"/>
        <v>0</v>
      </c>
      <c r="CA399" s="867">
        <f t="shared" ca="1" si="325"/>
        <v>0</v>
      </c>
      <c r="CB399" s="867">
        <f t="shared" ca="1" si="326"/>
        <v>0</v>
      </c>
      <c r="CC399" s="867">
        <f t="shared" ca="1" si="327"/>
        <v>0</v>
      </c>
      <c r="CD399" s="867">
        <f t="shared" ca="1" si="328"/>
        <v>0</v>
      </c>
    </row>
    <row r="400" spans="1:82" ht="17" hidden="1" thickTop="1" thickBot="1">
      <c r="A400" s="773">
        <f t="shared" si="278"/>
        <v>0</v>
      </c>
      <c r="B400" s="779"/>
      <c r="D400" s="660"/>
      <c r="E400" s="661"/>
      <c r="F400" s="862"/>
      <c r="G400" s="863"/>
      <c r="H400" s="961"/>
      <c r="I400" s="865">
        <f t="shared" si="282"/>
        <v>0</v>
      </c>
      <c r="J400" s="864" cm="1">
        <f t="array" ref="J400">IF($G400=0,0,-MIN(0,G400*c_equity.LPshare))</f>
        <v>0</v>
      </c>
      <c r="K400" s="865" cm="1">
        <f t="array" ref="K400">I400*c_rate.Pref.MO</f>
        <v>0</v>
      </c>
      <c r="L400" s="865">
        <f t="shared" si="283"/>
        <v>0</v>
      </c>
      <c r="M400" s="865">
        <f t="shared" si="284"/>
        <v>0</v>
      </c>
      <c r="N400" s="865">
        <f t="shared" si="285"/>
        <v>0</v>
      </c>
      <c r="O400" s="864" cm="1">
        <f t="array" ref="O400">IF(N400=0,0,IF(G400&lt;0,N400/c_equity.LPshare*i_equity.GPshare,L400/c_equity.LPshare*i_equity.GPshare))</f>
        <v>0</v>
      </c>
      <c r="P400" s="865">
        <f t="shared" si="286"/>
        <v>0</v>
      </c>
      <c r="Q400" s="865">
        <f t="shared" si="287"/>
        <v>0</v>
      </c>
      <c r="R400" s="161"/>
      <c r="S400" s="867">
        <f t="shared" ca="1" si="288"/>
        <v>0</v>
      </c>
      <c r="T400" s="867" cm="1">
        <f t="array" ref="T400">IF($G400=0,0,-MIN(0,$G400*c_equity.LPshare))</f>
        <v>0</v>
      </c>
      <c r="U400" s="869" cm="1">
        <f t="array" ref="U400">IF($D400=0,0,S400*c_rate.Hurdle1.MO)</f>
        <v>0</v>
      </c>
      <c r="V400" s="867">
        <f t="shared" si="289"/>
        <v>0</v>
      </c>
      <c r="W400" s="867">
        <f t="shared" ca="1" si="290"/>
        <v>0</v>
      </c>
      <c r="X400" s="869">
        <f t="shared" ca="1" si="291"/>
        <v>0</v>
      </c>
      <c r="Y400" s="869">
        <f t="shared" ca="1" si="292"/>
        <v>0</v>
      </c>
      <c r="Z400" s="869">
        <f t="shared" ca="1" si="293"/>
        <v>0</v>
      </c>
      <c r="AA400" s="869">
        <f t="shared" ca="1" si="294"/>
        <v>0</v>
      </c>
      <c r="AB400" s="867">
        <f t="shared" ca="1" si="295"/>
        <v>0</v>
      </c>
      <c r="AC400" s="161"/>
      <c r="AD400" s="869">
        <f t="shared" ca="1" si="296"/>
        <v>0</v>
      </c>
      <c r="AE400" s="867" cm="1">
        <f t="array" ref="AE400">IF($G400=0,0,-MIN(0,$G400*c_equity.LPshare))</f>
        <v>0</v>
      </c>
      <c r="AF400" s="869" cm="1">
        <f t="array" ref="AF400">IF($D400=0,0,AD400*(c_rate.Hurdle2.MO))</f>
        <v>0</v>
      </c>
      <c r="AG400" s="869">
        <f t="shared" ca="1" si="297"/>
        <v>0</v>
      </c>
      <c r="AH400" s="869">
        <f t="shared" ca="1" si="298"/>
        <v>0</v>
      </c>
      <c r="AI400" s="869">
        <f t="shared" ca="1" si="299"/>
        <v>0</v>
      </c>
      <c r="AJ400" s="870">
        <f t="shared" ca="1" si="300"/>
        <v>0</v>
      </c>
      <c r="AK400" s="867">
        <f t="shared" ca="1" si="301"/>
        <v>0</v>
      </c>
      <c r="AL400" s="869">
        <f t="shared" ca="1" si="279"/>
        <v>0</v>
      </c>
      <c r="AM400" s="869">
        <f t="shared" ca="1" si="302"/>
        <v>0</v>
      </c>
      <c r="AN400" s="867">
        <f t="shared" ca="1" si="303"/>
        <v>0</v>
      </c>
      <c r="AO400" s="161"/>
      <c r="AP400" s="869">
        <f t="shared" ca="1" si="304"/>
        <v>0</v>
      </c>
      <c r="AQ400" s="867" cm="1">
        <f t="array" ref="AQ400">IF($G400=0,0,-MIN(0,$G400*c_equity.LPshare))</f>
        <v>0</v>
      </c>
      <c r="AR400" s="869" cm="1">
        <f t="array" ref="AR400">IF($D400=0,0,AP400*(c_rate.Hurdle3.MO))</f>
        <v>0</v>
      </c>
      <c r="AS400" s="869">
        <f t="shared" ca="1" si="305"/>
        <v>0</v>
      </c>
      <c r="AT400" s="869">
        <f t="shared" ca="1" si="306"/>
        <v>0</v>
      </c>
      <c r="AU400" s="869">
        <f t="shared" ca="1" si="307"/>
        <v>0</v>
      </c>
      <c r="AV400" s="870">
        <f t="shared" ca="1" si="308"/>
        <v>0</v>
      </c>
      <c r="AW400" s="867">
        <f t="shared" ca="1" si="309"/>
        <v>0</v>
      </c>
      <c r="AX400" s="869">
        <f t="shared" ca="1" si="280"/>
        <v>0</v>
      </c>
      <c r="AY400" s="869">
        <f t="shared" ca="1" si="310"/>
        <v>0</v>
      </c>
      <c r="AZ400" s="867">
        <f t="shared" ca="1" si="311"/>
        <v>0</v>
      </c>
      <c r="BA400" s="161"/>
      <c r="BB400" s="867">
        <f t="shared" ca="1" si="312"/>
        <v>0</v>
      </c>
      <c r="BC400" s="867">
        <f t="shared" ca="1" si="277"/>
        <v>0</v>
      </c>
      <c r="BD400" s="658"/>
      <c r="BE400" s="867">
        <f t="shared" ca="1" si="313"/>
        <v>0</v>
      </c>
      <c r="BF400" s="867">
        <f t="shared" ca="1" si="314"/>
        <v>0</v>
      </c>
      <c r="BG400" s="867">
        <f t="shared" ca="1" si="315"/>
        <v>0</v>
      </c>
      <c r="BI400" s="867">
        <f ca="1"/>
        <v>0</v>
      </c>
      <c r="BJ400" s="867">
        <f ca="1"/>
        <v>0</v>
      </c>
      <c r="BK400" s="867">
        <f ca="1"/>
        <v>0</v>
      </c>
      <c r="BL400" s="867">
        <f t="shared" ca="1" si="316"/>
        <v>0</v>
      </c>
      <c r="BM400" s="867">
        <f t="shared" ca="1" si="317"/>
        <v>0</v>
      </c>
      <c r="BN400" s="867">
        <f t="shared" ca="1" si="318"/>
        <v>0</v>
      </c>
      <c r="BO400" s="867">
        <f t="shared" ca="1" si="319"/>
        <v>0</v>
      </c>
      <c r="BP400" s="867">
        <f t="shared" ca="1" si="320"/>
        <v>0</v>
      </c>
      <c r="BQ400" s="867">
        <f t="shared" ca="1" si="321"/>
        <v>0</v>
      </c>
      <c r="BR400" s="867">
        <f ca="1"/>
        <v>0</v>
      </c>
      <c r="BS400" s="867">
        <f ca="1"/>
        <v>0</v>
      </c>
      <c r="BT400" s="867">
        <f t="shared" ca="1" si="281"/>
        <v>0</v>
      </c>
      <c r="BU400" s="867">
        <f t="shared" ca="1" si="322"/>
        <v>0</v>
      </c>
      <c r="BX400" s="867">
        <f ca="1"/>
        <v>0</v>
      </c>
      <c r="BY400" s="867">
        <f t="shared" ca="1" si="323"/>
        <v>0</v>
      </c>
      <c r="BZ400" s="867">
        <f t="shared" ca="1" si="324"/>
        <v>0</v>
      </c>
      <c r="CA400" s="867">
        <f t="shared" ca="1" si="325"/>
        <v>0</v>
      </c>
      <c r="CB400" s="867">
        <f t="shared" ca="1" si="326"/>
        <v>0</v>
      </c>
      <c r="CC400" s="867">
        <f t="shared" ca="1" si="327"/>
        <v>0</v>
      </c>
      <c r="CD400" s="867">
        <f t="shared" ca="1" si="328"/>
        <v>0</v>
      </c>
    </row>
    <row r="401" spans="1:82" ht="17" hidden="1" thickTop="1" thickBot="1">
      <c r="A401" s="773">
        <f t="shared" si="278"/>
        <v>0</v>
      </c>
      <c r="B401" s="779"/>
      <c r="D401" s="660"/>
      <c r="E401" s="661"/>
      <c r="F401" s="862"/>
      <c r="G401" s="863"/>
      <c r="H401" s="961"/>
      <c r="I401" s="865">
        <f t="shared" si="282"/>
        <v>0</v>
      </c>
      <c r="J401" s="864" cm="1">
        <f t="array" ref="J401">IF($G401=0,0,-MIN(0,G401*c_equity.LPshare))</f>
        <v>0</v>
      </c>
      <c r="K401" s="865" cm="1">
        <f t="array" ref="K401">I401*c_rate.Pref.MO</f>
        <v>0</v>
      </c>
      <c r="L401" s="865">
        <f t="shared" si="283"/>
        <v>0</v>
      </c>
      <c r="M401" s="865">
        <f t="shared" si="284"/>
        <v>0</v>
      </c>
      <c r="N401" s="865">
        <f t="shared" si="285"/>
        <v>0</v>
      </c>
      <c r="O401" s="864" cm="1">
        <f t="array" ref="O401">IF(N401=0,0,IF(G401&lt;0,N401/c_equity.LPshare*i_equity.GPshare,L401/c_equity.LPshare*i_equity.GPshare))</f>
        <v>0</v>
      </c>
      <c r="P401" s="865">
        <f t="shared" si="286"/>
        <v>0</v>
      </c>
      <c r="Q401" s="865">
        <f t="shared" si="287"/>
        <v>0</v>
      </c>
      <c r="R401" s="161"/>
      <c r="S401" s="867">
        <f t="shared" ca="1" si="288"/>
        <v>0</v>
      </c>
      <c r="T401" s="867" cm="1">
        <f t="array" ref="T401">IF($G401=0,0,-MIN(0,$G401*c_equity.LPshare))</f>
        <v>0</v>
      </c>
      <c r="U401" s="869" cm="1">
        <f t="array" ref="U401">IF($D401=0,0,S401*c_rate.Hurdle1.MO)</f>
        <v>0</v>
      </c>
      <c r="V401" s="867">
        <f t="shared" si="289"/>
        <v>0</v>
      </c>
      <c r="W401" s="867">
        <f t="shared" ca="1" si="290"/>
        <v>0</v>
      </c>
      <c r="X401" s="869">
        <f t="shared" ca="1" si="291"/>
        <v>0</v>
      </c>
      <c r="Y401" s="869">
        <f t="shared" ca="1" si="292"/>
        <v>0</v>
      </c>
      <c r="Z401" s="869">
        <f t="shared" ca="1" si="293"/>
        <v>0</v>
      </c>
      <c r="AA401" s="869">
        <f t="shared" ca="1" si="294"/>
        <v>0</v>
      </c>
      <c r="AB401" s="867">
        <f t="shared" ca="1" si="295"/>
        <v>0</v>
      </c>
      <c r="AC401" s="161"/>
      <c r="AD401" s="869">
        <f t="shared" ca="1" si="296"/>
        <v>0</v>
      </c>
      <c r="AE401" s="867" cm="1">
        <f t="array" ref="AE401">IF($G401=0,0,-MIN(0,$G401*c_equity.LPshare))</f>
        <v>0</v>
      </c>
      <c r="AF401" s="869" cm="1">
        <f t="array" ref="AF401">IF($D401=0,0,AD401*(c_rate.Hurdle2.MO))</f>
        <v>0</v>
      </c>
      <c r="AG401" s="869">
        <f t="shared" ca="1" si="297"/>
        <v>0</v>
      </c>
      <c r="AH401" s="869">
        <f t="shared" ca="1" si="298"/>
        <v>0</v>
      </c>
      <c r="AI401" s="869">
        <f t="shared" ca="1" si="299"/>
        <v>0</v>
      </c>
      <c r="AJ401" s="870">
        <f t="shared" ca="1" si="300"/>
        <v>0</v>
      </c>
      <c r="AK401" s="867">
        <f t="shared" ca="1" si="301"/>
        <v>0</v>
      </c>
      <c r="AL401" s="869">
        <f t="shared" ca="1" si="279"/>
        <v>0</v>
      </c>
      <c r="AM401" s="869">
        <f t="shared" ca="1" si="302"/>
        <v>0</v>
      </c>
      <c r="AN401" s="867">
        <f t="shared" ca="1" si="303"/>
        <v>0</v>
      </c>
      <c r="AO401" s="161"/>
      <c r="AP401" s="869">
        <f t="shared" ca="1" si="304"/>
        <v>0</v>
      </c>
      <c r="AQ401" s="867" cm="1">
        <f t="array" ref="AQ401">IF($G401=0,0,-MIN(0,$G401*c_equity.LPshare))</f>
        <v>0</v>
      </c>
      <c r="AR401" s="869" cm="1">
        <f t="array" ref="AR401">IF($D401=0,0,AP401*(c_rate.Hurdle3.MO))</f>
        <v>0</v>
      </c>
      <c r="AS401" s="869">
        <f t="shared" ca="1" si="305"/>
        <v>0</v>
      </c>
      <c r="AT401" s="869">
        <f t="shared" ca="1" si="306"/>
        <v>0</v>
      </c>
      <c r="AU401" s="869">
        <f t="shared" ca="1" si="307"/>
        <v>0</v>
      </c>
      <c r="AV401" s="870">
        <f t="shared" ca="1" si="308"/>
        <v>0</v>
      </c>
      <c r="AW401" s="867">
        <f t="shared" ca="1" si="309"/>
        <v>0</v>
      </c>
      <c r="AX401" s="869">
        <f t="shared" ca="1" si="280"/>
        <v>0</v>
      </c>
      <c r="AY401" s="869">
        <f t="shared" ca="1" si="310"/>
        <v>0</v>
      </c>
      <c r="AZ401" s="867">
        <f t="shared" ca="1" si="311"/>
        <v>0</v>
      </c>
      <c r="BA401" s="161"/>
      <c r="BB401" s="867">
        <f t="shared" ca="1" si="312"/>
        <v>0</v>
      </c>
      <c r="BC401" s="867">
        <f t="shared" ca="1" si="277"/>
        <v>0</v>
      </c>
      <c r="BD401" s="658"/>
      <c r="BE401" s="867">
        <f t="shared" ca="1" si="313"/>
        <v>0</v>
      </c>
      <c r="BF401" s="867">
        <f t="shared" ca="1" si="314"/>
        <v>0</v>
      </c>
      <c r="BG401" s="867">
        <f t="shared" ca="1" si="315"/>
        <v>0</v>
      </c>
      <c r="BI401" s="867">
        <f ca="1"/>
        <v>0</v>
      </c>
      <c r="BJ401" s="867">
        <f ca="1"/>
        <v>0</v>
      </c>
      <c r="BK401" s="867">
        <f ca="1"/>
        <v>0</v>
      </c>
      <c r="BL401" s="867">
        <f t="shared" ca="1" si="316"/>
        <v>0</v>
      </c>
      <c r="BM401" s="867">
        <f t="shared" ca="1" si="317"/>
        <v>0</v>
      </c>
      <c r="BN401" s="867">
        <f t="shared" ca="1" si="318"/>
        <v>0</v>
      </c>
      <c r="BO401" s="867">
        <f t="shared" ca="1" si="319"/>
        <v>0</v>
      </c>
      <c r="BP401" s="867">
        <f t="shared" ca="1" si="320"/>
        <v>0</v>
      </c>
      <c r="BQ401" s="867">
        <f t="shared" ca="1" si="321"/>
        <v>0</v>
      </c>
      <c r="BR401" s="867">
        <f ca="1"/>
        <v>0</v>
      </c>
      <c r="BS401" s="867">
        <f ca="1"/>
        <v>0</v>
      </c>
      <c r="BT401" s="867">
        <f t="shared" ca="1" si="281"/>
        <v>0</v>
      </c>
      <c r="BU401" s="867">
        <f t="shared" ca="1" si="322"/>
        <v>0</v>
      </c>
      <c r="BX401" s="867">
        <f ca="1"/>
        <v>0</v>
      </c>
      <c r="BY401" s="867">
        <f t="shared" ca="1" si="323"/>
        <v>0</v>
      </c>
      <c r="BZ401" s="867">
        <f t="shared" ca="1" si="324"/>
        <v>0</v>
      </c>
      <c r="CA401" s="867">
        <f t="shared" ca="1" si="325"/>
        <v>0</v>
      </c>
      <c r="CB401" s="867">
        <f t="shared" ca="1" si="326"/>
        <v>0</v>
      </c>
      <c r="CC401" s="867">
        <f t="shared" ca="1" si="327"/>
        <v>0</v>
      </c>
      <c r="CD401" s="867">
        <f t="shared" ca="1" si="328"/>
        <v>0</v>
      </c>
    </row>
    <row r="402" spans="1:82" ht="17" hidden="1" thickTop="1" thickBot="1">
      <c r="A402" s="773">
        <f t="shared" si="278"/>
        <v>0</v>
      </c>
      <c r="B402" s="779"/>
      <c r="D402" s="660"/>
      <c r="E402" s="661"/>
      <c r="F402" s="862"/>
      <c r="G402" s="863"/>
      <c r="H402" s="961"/>
      <c r="I402" s="865">
        <f t="shared" si="282"/>
        <v>0</v>
      </c>
      <c r="J402" s="864" cm="1">
        <f t="array" ref="J402">IF($G402=0,0,-MIN(0,G402*c_equity.LPshare))</f>
        <v>0</v>
      </c>
      <c r="K402" s="865" cm="1">
        <f t="array" ref="K402">I402*c_rate.Pref.MO</f>
        <v>0</v>
      </c>
      <c r="L402" s="865">
        <f t="shared" si="283"/>
        <v>0</v>
      </c>
      <c r="M402" s="865">
        <f t="shared" si="284"/>
        <v>0</v>
      </c>
      <c r="N402" s="865">
        <f t="shared" si="285"/>
        <v>0</v>
      </c>
      <c r="O402" s="864" cm="1">
        <f t="array" ref="O402">IF(N402=0,0,IF(G402&lt;0,N402/c_equity.LPshare*i_equity.GPshare,L402/c_equity.LPshare*i_equity.GPshare))</f>
        <v>0</v>
      </c>
      <c r="P402" s="865">
        <f t="shared" si="286"/>
        <v>0</v>
      </c>
      <c r="Q402" s="865">
        <f t="shared" si="287"/>
        <v>0</v>
      </c>
      <c r="R402" s="161"/>
      <c r="S402" s="867">
        <f t="shared" ca="1" si="288"/>
        <v>0</v>
      </c>
      <c r="T402" s="867" cm="1">
        <f t="array" ref="T402">IF($G402=0,0,-MIN(0,$G402*c_equity.LPshare))</f>
        <v>0</v>
      </c>
      <c r="U402" s="869" cm="1">
        <f t="array" ref="U402">IF($D402=0,0,S402*c_rate.Hurdle1.MO)</f>
        <v>0</v>
      </c>
      <c r="V402" s="867">
        <f t="shared" si="289"/>
        <v>0</v>
      </c>
      <c r="W402" s="867">
        <f t="shared" ca="1" si="290"/>
        <v>0</v>
      </c>
      <c r="X402" s="869">
        <f t="shared" ca="1" si="291"/>
        <v>0</v>
      </c>
      <c r="Y402" s="869">
        <f t="shared" ca="1" si="292"/>
        <v>0</v>
      </c>
      <c r="Z402" s="869">
        <f t="shared" ca="1" si="293"/>
        <v>0</v>
      </c>
      <c r="AA402" s="869">
        <f t="shared" ca="1" si="294"/>
        <v>0</v>
      </c>
      <c r="AB402" s="867">
        <f t="shared" ca="1" si="295"/>
        <v>0</v>
      </c>
      <c r="AC402" s="161"/>
      <c r="AD402" s="869">
        <f t="shared" ca="1" si="296"/>
        <v>0</v>
      </c>
      <c r="AE402" s="867" cm="1">
        <f t="array" ref="AE402">IF($G402=0,0,-MIN(0,$G402*c_equity.LPshare))</f>
        <v>0</v>
      </c>
      <c r="AF402" s="869" cm="1">
        <f t="array" ref="AF402">IF($D402=0,0,AD402*(c_rate.Hurdle2.MO))</f>
        <v>0</v>
      </c>
      <c r="AG402" s="869">
        <f t="shared" ca="1" si="297"/>
        <v>0</v>
      </c>
      <c r="AH402" s="869">
        <f t="shared" ca="1" si="298"/>
        <v>0</v>
      </c>
      <c r="AI402" s="869">
        <f t="shared" ca="1" si="299"/>
        <v>0</v>
      </c>
      <c r="AJ402" s="870">
        <f t="shared" ca="1" si="300"/>
        <v>0</v>
      </c>
      <c r="AK402" s="867">
        <f t="shared" ca="1" si="301"/>
        <v>0</v>
      </c>
      <c r="AL402" s="869">
        <f t="shared" ca="1" si="279"/>
        <v>0</v>
      </c>
      <c r="AM402" s="869">
        <f t="shared" ca="1" si="302"/>
        <v>0</v>
      </c>
      <c r="AN402" s="867">
        <f t="shared" ca="1" si="303"/>
        <v>0</v>
      </c>
      <c r="AO402" s="161"/>
      <c r="AP402" s="869">
        <f t="shared" ca="1" si="304"/>
        <v>0</v>
      </c>
      <c r="AQ402" s="867" cm="1">
        <f t="array" ref="AQ402">IF($G402=0,0,-MIN(0,$G402*c_equity.LPshare))</f>
        <v>0</v>
      </c>
      <c r="AR402" s="869" cm="1">
        <f t="array" ref="AR402">IF($D402=0,0,AP402*(c_rate.Hurdle3.MO))</f>
        <v>0</v>
      </c>
      <c r="AS402" s="869">
        <f t="shared" ca="1" si="305"/>
        <v>0</v>
      </c>
      <c r="AT402" s="869">
        <f t="shared" ca="1" si="306"/>
        <v>0</v>
      </c>
      <c r="AU402" s="869">
        <f t="shared" ca="1" si="307"/>
        <v>0</v>
      </c>
      <c r="AV402" s="870">
        <f t="shared" ca="1" si="308"/>
        <v>0</v>
      </c>
      <c r="AW402" s="867">
        <f t="shared" ca="1" si="309"/>
        <v>0</v>
      </c>
      <c r="AX402" s="869">
        <f t="shared" ca="1" si="280"/>
        <v>0</v>
      </c>
      <c r="AY402" s="869">
        <f t="shared" ca="1" si="310"/>
        <v>0</v>
      </c>
      <c r="AZ402" s="867">
        <f t="shared" ca="1" si="311"/>
        <v>0</v>
      </c>
      <c r="BA402" s="161"/>
      <c r="BB402" s="867">
        <f t="shared" ca="1" si="312"/>
        <v>0</v>
      </c>
      <c r="BC402" s="867">
        <f t="shared" ca="1" si="277"/>
        <v>0</v>
      </c>
      <c r="BD402" s="658"/>
      <c r="BE402" s="867">
        <f t="shared" ca="1" si="313"/>
        <v>0</v>
      </c>
      <c r="BF402" s="867">
        <f t="shared" ca="1" si="314"/>
        <v>0</v>
      </c>
      <c r="BG402" s="867">
        <f t="shared" ca="1" si="315"/>
        <v>0</v>
      </c>
      <c r="BI402" s="867">
        <f ca="1"/>
        <v>0</v>
      </c>
      <c r="BJ402" s="867">
        <f ca="1"/>
        <v>0</v>
      </c>
      <c r="BK402" s="867">
        <f ca="1"/>
        <v>0</v>
      </c>
      <c r="BL402" s="867">
        <f t="shared" ca="1" si="316"/>
        <v>0</v>
      </c>
      <c r="BM402" s="867">
        <f t="shared" ca="1" si="317"/>
        <v>0</v>
      </c>
      <c r="BN402" s="867">
        <f t="shared" ca="1" si="318"/>
        <v>0</v>
      </c>
      <c r="BO402" s="867">
        <f t="shared" ca="1" si="319"/>
        <v>0</v>
      </c>
      <c r="BP402" s="867">
        <f t="shared" ca="1" si="320"/>
        <v>0</v>
      </c>
      <c r="BQ402" s="867">
        <f t="shared" ca="1" si="321"/>
        <v>0</v>
      </c>
      <c r="BR402" s="867">
        <f ca="1"/>
        <v>0</v>
      </c>
      <c r="BS402" s="867">
        <f ca="1"/>
        <v>0</v>
      </c>
      <c r="BT402" s="867">
        <f t="shared" ca="1" si="281"/>
        <v>0</v>
      </c>
      <c r="BU402" s="867">
        <f t="shared" ca="1" si="322"/>
        <v>0</v>
      </c>
      <c r="BX402" s="867">
        <f ca="1"/>
        <v>0</v>
      </c>
      <c r="BY402" s="867">
        <f t="shared" ca="1" si="323"/>
        <v>0</v>
      </c>
      <c r="BZ402" s="867">
        <f t="shared" ca="1" si="324"/>
        <v>0</v>
      </c>
      <c r="CA402" s="867">
        <f t="shared" ca="1" si="325"/>
        <v>0</v>
      </c>
      <c r="CB402" s="867">
        <f t="shared" ca="1" si="326"/>
        <v>0</v>
      </c>
      <c r="CC402" s="867">
        <f t="shared" ca="1" si="327"/>
        <v>0</v>
      </c>
      <c r="CD402" s="867">
        <f t="shared" ca="1" si="328"/>
        <v>0</v>
      </c>
    </row>
    <row r="403" spans="1:82" ht="17" hidden="1" thickTop="1" thickBot="1">
      <c r="A403" s="773">
        <f t="shared" si="278"/>
        <v>0</v>
      </c>
      <c r="B403" s="779"/>
      <c r="D403" s="660"/>
      <c r="E403" s="661"/>
      <c r="F403" s="862"/>
      <c r="G403" s="863"/>
      <c r="H403" s="961"/>
      <c r="I403" s="865">
        <f t="shared" si="282"/>
        <v>0</v>
      </c>
      <c r="J403" s="864" cm="1">
        <f t="array" ref="J403">IF($G403=0,0,-MIN(0,G403*c_equity.LPshare))</f>
        <v>0</v>
      </c>
      <c r="K403" s="865" cm="1">
        <f t="array" ref="K403">I403*c_rate.Pref.MO</f>
        <v>0</v>
      </c>
      <c r="L403" s="865">
        <f t="shared" si="283"/>
        <v>0</v>
      </c>
      <c r="M403" s="865">
        <f t="shared" si="284"/>
        <v>0</v>
      </c>
      <c r="N403" s="865">
        <f t="shared" si="285"/>
        <v>0</v>
      </c>
      <c r="O403" s="864" cm="1">
        <f t="array" ref="O403">IF(N403=0,0,IF(G403&lt;0,N403/c_equity.LPshare*i_equity.GPshare,L403/c_equity.LPshare*i_equity.GPshare))</f>
        <v>0</v>
      </c>
      <c r="P403" s="865">
        <f t="shared" si="286"/>
        <v>0</v>
      </c>
      <c r="Q403" s="865">
        <f t="shared" si="287"/>
        <v>0</v>
      </c>
      <c r="R403" s="161"/>
      <c r="S403" s="867">
        <f t="shared" ca="1" si="288"/>
        <v>0</v>
      </c>
      <c r="T403" s="867" cm="1">
        <f t="array" ref="T403">IF($G403=0,0,-MIN(0,$G403*c_equity.LPshare))</f>
        <v>0</v>
      </c>
      <c r="U403" s="869" cm="1">
        <f t="array" ref="U403">IF($D403=0,0,S403*c_rate.Hurdle1.MO)</f>
        <v>0</v>
      </c>
      <c r="V403" s="867">
        <f t="shared" si="289"/>
        <v>0</v>
      </c>
      <c r="W403" s="867">
        <f t="shared" ca="1" si="290"/>
        <v>0</v>
      </c>
      <c r="X403" s="869">
        <f t="shared" ca="1" si="291"/>
        <v>0</v>
      </c>
      <c r="Y403" s="869">
        <f t="shared" ca="1" si="292"/>
        <v>0</v>
      </c>
      <c r="Z403" s="869">
        <f t="shared" ca="1" si="293"/>
        <v>0</v>
      </c>
      <c r="AA403" s="869">
        <f t="shared" ca="1" si="294"/>
        <v>0</v>
      </c>
      <c r="AB403" s="867">
        <f t="shared" ca="1" si="295"/>
        <v>0</v>
      </c>
      <c r="AC403" s="161"/>
      <c r="AD403" s="869">
        <f t="shared" ca="1" si="296"/>
        <v>0</v>
      </c>
      <c r="AE403" s="867" cm="1">
        <f t="array" ref="AE403">IF($G403=0,0,-MIN(0,$G403*c_equity.LPshare))</f>
        <v>0</v>
      </c>
      <c r="AF403" s="869" cm="1">
        <f t="array" ref="AF403">IF($D403=0,0,AD403*(c_rate.Hurdle2.MO))</f>
        <v>0</v>
      </c>
      <c r="AG403" s="869">
        <f t="shared" ca="1" si="297"/>
        <v>0</v>
      </c>
      <c r="AH403" s="869">
        <f t="shared" ca="1" si="298"/>
        <v>0</v>
      </c>
      <c r="AI403" s="869">
        <f t="shared" ca="1" si="299"/>
        <v>0</v>
      </c>
      <c r="AJ403" s="870">
        <f t="shared" ca="1" si="300"/>
        <v>0</v>
      </c>
      <c r="AK403" s="867">
        <f t="shared" ca="1" si="301"/>
        <v>0</v>
      </c>
      <c r="AL403" s="869">
        <f t="shared" ca="1" si="279"/>
        <v>0</v>
      </c>
      <c r="AM403" s="869">
        <f t="shared" ca="1" si="302"/>
        <v>0</v>
      </c>
      <c r="AN403" s="867">
        <f t="shared" ca="1" si="303"/>
        <v>0</v>
      </c>
      <c r="AO403" s="161"/>
      <c r="AP403" s="869">
        <f t="shared" ca="1" si="304"/>
        <v>0</v>
      </c>
      <c r="AQ403" s="867" cm="1">
        <f t="array" ref="AQ403">IF($G403=0,0,-MIN(0,$G403*c_equity.LPshare))</f>
        <v>0</v>
      </c>
      <c r="AR403" s="869" cm="1">
        <f t="array" ref="AR403">IF($D403=0,0,AP403*(c_rate.Hurdle3.MO))</f>
        <v>0</v>
      </c>
      <c r="AS403" s="869">
        <f t="shared" ca="1" si="305"/>
        <v>0</v>
      </c>
      <c r="AT403" s="869">
        <f t="shared" ca="1" si="306"/>
        <v>0</v>
      </c>
      <c r="AU403" s="869">
        <f t="shared" ca="1" si="307"/>
        <v>0</v>
      </c>
      <c r="AV403" s="870">
        <f t="shared" ca="1" si="308"/>
        <v>0</v>
      </c>
      <c r="AW403" s="867">
        <f t="shared" ca="1" si="309"/>
        <v>0</v>
      </c>
      <c r="AX403" s="869">
        <f t="shared" ca="1" si="280"/>
        <v>0</v>
      </c>
      <c r="AY403" s="869">
        <f t="shared" ca="1" si="310"/>
        <v>0</v>
      </c>
      <c r="AZ403" s="867">
        <f t="shared" ca="1" si="311"/>
        <v>0</v>
      </c>
      <c r="BA403" s="161"/>
      <c r="BB403" s="867">
        <f t="shared" ca="1" si="312"/>
        <v>0</v>
      </c>
      <c r="BC403" s="867">
        <f t="shared" ca="1" si="277"/>
        <v>0</v>
      </c>
      <c r="BD403" s="658"/>
      <c r="BE403" s="867">
        <f t="shared" ca="1" si="313"/>
        <v>0</v>
      </c>
      <c r="BF403" s="867">
        <f t="shared" ca="1" si="314"/>
        <v>0</v>
      </c>
      <c r="BG403" s="867">
        <f t="shared" ca="1" si="315"/>
        <v>0</v>
      </c>
      <c r="BI403" s="867">
        <f ca="1"/>
        <v>0</v>
      </c>
      <c r="BJ403" s="867">
        <f ca="1"/>
        <v>0</v>
      </c>
      <c r="BK403" s="867">
        <f ca="1"/>
        <v>0</v>
      </c>
      <c r="BL403" s="867">
        <f t="shared" ca="1" si="316"/>
        <v>0</v>
      </c>
      <c r="BM403" s="867">
        <f t="shared" ca="1" si="317"/>
        <v>0</v>
      </c>
      <c r="BN403" s="867">
        <f t="shared" ca="1" si="318"/>
        <v>0</v>
      </c>
      <c r="BO403" s="867">
        <f t="shared" ca="1" si="319"/>
        <v>0</v>
      </c>
      <c r="BP403" s="867">
        <f t="shared" ca="1" si="320"/>
        <v>0</v>
      </c>
      <c r="BQ403" s="867">
        <f t="shared" ca="1" si="321"/>
        <v>0</v>
      </c>
      <c r="BR403" s="867">
        <f ca="1"/>
        <v>0</v>
      </c>
      <c r="BS403" s="867">
        <f ca="1"/>
        <v>0</v>
      </c>
      <c r="BT403" s="867">
        <f t="shared" ca="1" si="281"/>
        <v>0</v>
      </c>
      <c r="BU403" s="867">
        <f t="shared" ca="1" si="322"/>
        <v>0</v>
      </c>
      <c r="BX403" s="867">
        <f ca="1"/>
        <v>0</v>
      </c>
      <c r="BY403" s="867">
        <f t="shared" ca="1" si="323"/>
        <v>0</v>
      </c>
      <c r="BZ403" s="867">
        <f t="shared" ca="1" si="324"/>
        <v>0</v>
      </c>
      <c r="CA403" s="867">
        <f t="shared" ca="1" si="325"/>
        <v>0</v>
      </c>
      <c r="CB403" s="867">
        <f t="shared" ca="1" si="326"/>
        <v>0</v>
      </c>
      <c r="CC403" s="867">
        <f t="shared" ca="1" si="327"/>
        <v>0</v>
      </c>
      <c r="CD403" s="867">
        <f t="shared" ca="1" si="328"/>
        <v>0</v>
      </c>
    </row>
    <row r="404" spans="1:82" ht="17" hidden="1" thickTop="1" thickBot="1">
      <c r="A404" s="773">
        <f t="shared" si="278"/>
        <v>0</v>
      </c>
      <c r="B404" s="779"/>
      <c r="D404" s="660"/>
      <c r="E404" s="661"/>
      <c r="F404" s="862"/>
      <c r="G404" s="863"/>
      <c r="H404" s="961"/>
      <c r="I404" s="865">
        <f t="shared" si="282"/>
        <v>0</v>
      </c>
      <c r="J404" s="864" cm="1">
        <f t="array" ref="J404">IF($G404=0,0,-MIN(0,G404*c_equity.LPshare))</f>
        <v>0</v>
      </c>
      <c r="K404" s="865" cm="1">
        <f t="array" ref="K404">I404*c_rate.Pref.MO</f>
        <v>0</v>
      </c>
      <c r="L404" s="865">
        <f t="shared" si="283"/>
        <v>0</v>
      </c>
      <c r="M404" s="865">
        <f t="shared" si="284"/>
        <v>0</v>
      </c>
      <c r="N404" s="865">
        <f t="shared" si="285"/>
        <v>0</v>
      </c>
      <c r="O404" s="864" cm="1">
        <f t="array" ref="O404">IF(N404=0,0,IF(G404&lt;0,N404/c_equity.LPshare*i_equity.GPshare,L404/c_equity.LPshare*i_equity.GPshare))</f>
        <v>0</v>
      </c>
      <c r="P404" s="865">
        <f t="shared" si="286"/>
        <v>0</v>
      </c>
      <c r="Q404" s="865">
        <f t="shared" si="287"/>
        <v>0</v>
      </c>
      <c r="R404" s="161"/>
      <c r="S404" s="867">
        <f t="shared" ca="1" si="288"/>
        <v>0</v>
      </c>
      <c r="T404" s="867" cm="1">
        <f t="array" ref="T404">IF($G404=0,0,-MIN(0,$G404*c_equity.LPshare))</f>
        <v>0</v>
      </c>
      <c r="U404" s="869" cm="1">
        <f t="array" ref="U404">IF($D404=0,0,S404*c_rate.Hurdle1.MO)</f>
        <v>0</v>
      </c>
      <c r="V404" s="867">
        <f t="shared" si="289"/>
        <v>0</v>
      </c>
      <c r="W404" s="867">
        <f t="shared" ca="1" si="290"/>
        <v>0</v>
      </c>
      <c r="X404" s="869">
        <f t="shared" ca="1" si="291"/>
        <v>0</v>
      </c>
      <c r="Y404" s="869">
        <f t="shared" ca="1" si="292"/>
        <v>0</v>
      </c>
      <c r="Z404" s="869">
        <f t="shared" ca="1" si="293"/>
        <v>0</v>
      </c>
      <c r="AA404" s="869">
        <f t="shared" ca="1" si="294"/>
        <v>0</v>
      </c>
      <c r="AB404" s="867">
        <f t="shared" ca="1" si="295"/>
        <v>0</v>
      </c>
      <c r="AC404" s="161"/>
      <c r="AD404" s="869">
        <f t="shared" ca="1" si="296"/>
        <v>0</v>
      </c>
      <c r="AE404" s="867" cm="1">
        <f t="array" ref="AE404">IF($G404=0,0,-MIN(0,$G404*c_equity.LPshare))</f>
        <v>0</v>
      </c>
      <c r="AF404" s="869" cm="1">
        <f t="array" ref="AF404">IF($D404=0,0,AD404*(c_rate.Hurdle2.MO))</f>
        <v>0</v>
      </c>
      <c r="AG404" s="869">
        <f t="shared" ca="1" si="297"/>
        <v>0</v>
      </c>
      <c r="AH404" s="869">
        <f t="shared" ca="1" si="298"/>
        <v>0</v>
      </c>
      <c r="AI404" s="869">
        <f t="shared" ca="1" si="299"/>
        <v>0</v>
      </c>
      <c r="AJ404" s="870">
        <f t="shared" ca="1" si="300"/>
        <v>0</v>
      </c>
      <c r="AK404" s="867">
        <f t="shared" ca="1" si="301"/>
        <v>0</v>
      </c>
      <c r="AL404" s="869">
        <f t="shared" ca="1" si="279"/>
        <v>0</v>
      </c>
      <c r="AM404" s="869">
        <f t="shared" ca="1" si="302"/>
        <v>0</v>
      </c>
      <c r="AN404" s="867">
        <f t="shared" ca="1" si="303"/>
        <v>0</v>
      </c>
      <c r="AO404" s="161"/>
      <c r="AP404" s="869">
        <f t="shared" ca="1" si="304"/>
        <v>0</v>
      </c>
      <c r="AQ404" s="867" cm="1">
        <f t="array" ref="AQ404">IF($G404=0,0,-MIN(0,$G404*c_equity.LPshare))</f>
        <v>0</v>
      </c>
      <c r="AR404" s="869" cm="1">
        <f t="array" ref="AR404">IF($D404=0,0,AP404*(c_rate.Hurdle3.MO))</f>
        <v>0</v>
      </c>
      <c r="AS404" s="869">
        <f t="shared" ca="1" si="305"/>
        <v>0</v>
      </c>
      <c r="AT404" s="869">
        <f t="shared" ca="1" si="306"/>
        <v>0</v>
      </c>
      <c r="AU404" s="869">
        <f t="shared" ca="1" si="307"/>
        <v>0</v>
      </c>
      <c r="AV404" s="870">
        <f t="shared" ca="1" si="308"/>
        <v>0</v>
      </c>
      <c r="AW404" s="867">
        <f t="shared" ca="1" si="309"/>
        <v>0</v>
      </c>
      <c r="AX404" s="869">
        <f t="shared" ca="1" si="280"/>
        <v>0</v>
      </c>
      <c r="AY404" s="869">
        <f t="shared" ca="1" si="310"/>
        <v>0</v>
      </c>
      <c r="AZ404" s="867">
        <f t="shared" ca="1" si="311"/>
        <v>0</v>
      </c>
      <c r="BA404" s="161"/>
      <c r="BB404" s="867">
        <f t="shared" ca="1" si="312"/>
        <v>0</v>
      </c>
      <c r="BC404" s="867">
        <f t="shared" ca="1" si="277"/>
        <v>0</v>
      </c>
      <c r="BD404" s="658"/>
      <c r="BE404" s="867">
        <f t="shared" ca="1" si="313"/>
        <v>0</v>
      </c>
      <c r="BF404" s="867">
        <f t="shared" ca="1" si="314"/>
        <v>0</v>
      </c>
      <c r="BG404" s="867">
        <f t="shared" ca="1" si="315"/>
        <v>0</v>
      </c>
      <c r="BI404" s="867">
        <f ca="1"/>
        <v>0</v>
      </c>
      <c r="BJ404" s="867">
        <f ca="1"/>
        <v>0</v>
      </c>
      <c r="BK404" s="867">
        <f ca="1"/>
        <v>0</v>
      </c>
      <c r="BL404" s="867">
        <f t="shared" ca="1" si="316"/>
        <v>0</v>
      </c>
      <c r="BM404" s="867">
        <f t="shared" ca="1" si="317"/>
        <v>0</v>
      </c>
      <c r="BN404" s="867">
        <f t="shared" ca="1" si="318"/>
        <v>0</v>
      </c>
      <c r="BO404" s="867">
        <f t="shared" ca="1" si="319"/>
        <v>0</v>
      </c>
      <c r="BP404" s="867">
        <f t="shared" ca="1" si="320"/>
        <v>0</v>
      </c>
      <c r="BQ404" s="867">
        <f t="shared" ca="1" si="321"/>
        <v>0</v>
      </c>
      <c r="BR404" s="867">
        <f ca="1"/>
        <v>0</v>
      </c>
      <c r="BS404" s="867">
        <f ca="1"/>
        <v>0</v>
      </c>
      <c r="BT404" s="867">
        <f t="shared" ca="1" si="281"/>
        <v>0</v>
      </c>
      <c r="BU404" s="867">
        <f t="shared" ca="1" si="322"/>
        <v>0</v>
      </c>
      <c r="BX404" s="867">
        <f ca="1"/>
        <v>0</v>
      </c>
      <c r="BY404" s="867">
        <f t="shared" ca="1" si="323"/>
        <v>0</v>
      </c>
      <c r="BZ404" s="867">
        <f t="shared" ca="1" si="324"/>
        <v>0</v>
      </c>
      <c r="CA404" s="867">
        <f t="shared" ca="1" si="325"/>
        <v>0</v>
      </c>
      <c r="CB404" s="867">
        <f t="shared" ca="1" si="326"/>
        <v>0</v>
      </c>
      <c r="CC404" s="867">
        <f t="shared" ca="1" si="327"/>
        <v>0</v>
      </c>
      <c r="CD404" s="867">
        <f t="shared" ca="1" si="328"/>
        <v>0</v>
      </c>
    </row>
    <row r="405" spans="1:82" ht="17" hidden="1" thickTop="1" thickBot="1">
      <c r="A405" s="773">
        <f t="shared" si="278"/>
        <v>0</v>
      </c>
      <c r="B405" s="779"/>
      <c r="D405" s="660"/>
      <c r="E405" s="661"/>
      <c r="F405" s="862"/>
      <c r="G405" s="863"/>
      <c r="H405" s="961"/>
      <c r="I405" s="865">
        <f t="shared" si="282"/>
        <v>0</v>
      </c>
      <c r="J405" s="864" cm="1">
        <f t="array" ref="J405">IF($G405=0,0,-MIN(0,G405*c_equity.LPshare))</f>
        <v>0</v>
      </c>
      <c r="K405" s="865" cm="1">
        <f t="array" ref="K405">I405*c_rate.Pref.MO</f>
        <v>0</v>
      </c>
      <c r="L405" s="865">
        <f t="shared" si="283"/>
        <v>0</v>
      </c>
      <c r="M405" s="865">
        <f t="shared" si="284"/>
        <v>0</v>
      </c>
      <c r="N405" s="865">
        <f t="shared" si="285"/>
        <v>0</v>
      </c>
      <c r="O405" s="864" cm="1">
        <f t="array" ref="O405">IF(N405=0,0,IF(G405&lt;0,N405/c_equity.LPshare*i_equity.GPshare,L405/c_equity.LPshare*i_equity.GPshare))</f>
        <v>0</v>
      </c>
      <c r="P405" s="865">
        <f t="shared" si="286"/>
        <v>0</v>
      </c>
      <c r="Q405" s="865">
        <f t="shared" si="287"/>
        <v>0</v>
      </c>
      <c r="R405" s="161"/>
      <c r="S405" s="867">
        <f t="shared" ca="1" si="288"/>
        <v>0</v>
      </c>
      <c r="T405" s="867" cm="1">
        <f t="array" ref="T405">IF($G405=0,0,-MIN(0,$G405*c_equity.LPshare))</f>
        <v>0</v>
      </c>
      <c r="U405" s="869" cm="1">
        <f t="array" ref="U405">IF($D405=0,0,S405*c_rate.Hurdle1.MO)</f>
        <v>0</v>
      </c>
      <c r="V405" s="867">
        <f t="shared" si="289"/>
        <v>0</v>
      </c>
      <c r="W405" s="867">
        <f t="shared" ca="1" si="290"/>
        <v>0</v>
      </c>
      <c r="X405" s="869">
        <f t="shared" ca="1" si="291"/>
        <v>0</v>
      </c>
      <c r="Y405" s="869">
        <f t="shared" ca="1" si="292"/>
        <v>0</v>
      </c>
      <c r="Z405" s="869">
        <f t="shared" ca="1" si="293"/>
        <v>0</v>
      </c>
      <c r="AA405" s="869">
        <f t="shared" ca="1" si="294"/>
        <v>0</v>
      </c>
      <c r="AB405" s="867">
        <f t="shared" ca="1" si="295"/>
        <v>0</v>
      </c>
      <c r="AC405" s="161"/>
      <c r="AD405" s="869">
        <f t="shared" ca="1" si="296"/>
        <v>0</v>
      </c>
      <c r="AE405" s="867" cm="1">
        <f t="array" ref="AE405">IF($G405=0,0,-MIN(0,$G405*c_equity.LPshare))</f>
        <v>0</v>
      </c>
      <c r="AF405" s="869" cm="1">
        <f t="array" ref="AF405">IF($D405=0,0,AD405*(c_rate.Hurdle2.MO))</f>
        <v>0</v>
      </c>
      <c r="AG405" s="869">
        <f t="shared" ca="1" si="297"/>
        <v>0</v>
      </c>
      <c r="AH405" s="869">
        <f t="shared" ca="1" si="298"/>
        <v>0</v>
      </c>
      <c r="AI405" s="869">
        <f t="shared" ca="1" si="299"/>
        <v>0</v>
      </c>
      <c r="AJ405" s="870">
        <f t="shared" ca="1" si="300"/>
        <v>0</v>
      </c>
      <c r="AK405" s="867">
        <f t="shared" ca="1" si="301"/>
        <v>0</v>
      </c>
      <c r="AL405" s="869">
        <f t="shared" ca="1" si="279"/>
        <v>0</v>
      </c>
      <c r="AM405" s="869">
        <f t="shared" ca="1" si="302"/>
        <v>0</v>
      </c>
      <c r="AN405" s="867">
        <f t="shared" ca="1" si="303"/>
        <v>0</v>
      </c>
      <c r="AO405" s="161"/>
      <c r="AP405" s="869">
        <f t="shared" ca="1" si="304"/>
        <v>0</v>
      </c>
      <c r="AQ405" s="867" cm="1">
        <f t="array" ref="AQ405">IF($G405=0,0,-MIN(0,$G405*c_equity.LPshare))</f>
        <v>0</v>
      </c>
      <c r="AR405" s="869" cm="1">
        <f t="array" ref="AR405">IF($D405=0,0,AP405*(c_rate.Hurdle3.MO))</f>
        <v>0</v>
      </c>
      <c r="AS405" s="869">
        <f t="shared" ca="1" si="305"/>
        <v>0</v>
      </c>
      <c r="AT405" s="869">
        <f t="shared" ca="1" si="306"/>
        <v>0</v>
      </c>
      <c r="AU405" s="869">
        <f t="shared" ca="1" si="307"/>
        <v>0</v>
      </c>
      <c r="AV405" s="870">
        <f t="shared" ca="1" si="308"/>
        <v>0</v>
      </c>
      <c r="AW405" s="867">
        <f t="shared" ca="1" si="309"/>
        <v>0</v>
      </c>
      <c r="AX405" s="869">
        <f t="shared" ca="1" si="280"/>
        <v>0</v>
      </c>
      <c r="AY405" s="869">
        <f t="shared" ca="1" si="310"/>
        <v>0</v>
      </c>
      <c r="AZ405" s="867">
        <f t="shared" ca="1" si="311"/>
        <v>0</v>
      </c>
      <c r="BA405" s="161"/>
      <c r="BB405" s="867">
        <f t="shared" ca="1" si="312"/>
        <v>0</v>
      </c>
      <c r="BC405" s="867">
        <f t="shared" ca="1" si="277"/>
        <v>0</v>
      </c>
      <c r="BD405" s="658"/>
      <c r="BE405" s="867">
        <f t="shared" ca="1" si="313"/>
        <v>0</v>
      </c>
      <c r="BF405" s="867">
        <f t="shared" ca="1" si="314"/>
        <v>0</v>
      </c>
      <c r="BG405" s="867">
        <f t="shared" ca="1" si="315"/>
        <v>0</v>
      </c>
      <c r="BI405" s="867">
        <f ca="1"/>
        <v>0</v>
      </c>
      <c r="BJ405" s="867">
        <f ca="1"/>
        <v>0</v>
      </c>
      <c r="BK405" s="867">
        <f ca="1"/>
        <v>0</v>
      </c>
      <c r="BL405" s="867">
        <f t="shared" ca="1" si="316"/>
        <v>0</v>
      </c>
      <c r="BM405" s="867">
        <f t="shared" ca="1" si="317"/>
        <v>0</v>
      </c>
      <c r="BN405" s="867">
        <f t="shared" ca="1" si="318"/>
        <v>0</v>
      </c>
      <c r="BO405" s="867">
        <f t="shared" ca="1" si="319"/>
        <v>0</v>
      </c>
      <c r="BP405" s="867">
        <f t="shared" ca="1" si="320"/>
        <v>0</v>
      </c>
      <c r="BQ405" s="867">
        <f t="shared" ca="1" si="321"/>
        <v>0</v>
      </c>
      <c r="BR405" s="867">
        <f ca="1"/>
        <v>0</v>
      </c>
      <c r="BS405" s="867">
        <f ca="1"/>
        <v>0</v>
      </c>
      <c r="BT405" s="867">
        <f t="shared" ca="1" si="281"/>
        <v>0</v>
      </c>
      <c r="BU405" s="867">
        <f t="shared" ca="1" si="322"/>
        <v>0</v>
      </c>
      <c r="BX405" s="867">
        <f ca="1"/>
        <v>0</v>
      </c>
      <c r="BY405" s="867">
        <f t="shared" ca="1" si="323"/>
        <v>0</v>
      </c>
      <c r="BZ405" s="867">
        <f t="shared" ca="1" si="324"/>
        <v>0</v>
      </c>
      <c r="CA405" s="867">
        <f t="shared" ca="1" si="325"/>
        <v>0</v>
      </c>
      <c r="CB405" s="867">
        <f t="shared" ca="1" si="326"/>
        <v>0</v>
      </c>
      <c r="CC405" s="867">
        <f t="shared" ca="1" si="327"/>
        <v>0</v>
      </c>
      <c r="CD405" s="867">
        <f t="shared" ca="1" si="328"/>
        <v>0</v>
      </c>
    </row>
    <row r="406" spans="1:82" ht="17" hidden="1" thickTop="1" thickBot="1">
      <c r="A406" s="773">
        <f t="shared" si="278"/>
        <v>0</v>
      </c>
      <c r="B406" s="779"/>
      <c r="D406" s="660"/>
      <c r="E406" s="661"/>
      <c r="F406" s="862"/>
      <c r="G406" s="863"/>
      <c r="H406" s="961"/>
      <c r="I406" s="865">
        <f t="shared" si="282"/>
        <v>0</v>
      </c>
      <c r="J406" s="864" cm="1">
        <f t="array" ref="J406">IF($G406=0,0,-MIN(0,G406*c_equity.LPshare))</f>
        <v>0</v>
      </c>
      <c r="K406" s="865" cm="1">
        <f t="array" ref="K406">I406*c_rate.Pref.MO</f>
        <v>0</v>
      </c>
      <c r="L406" s="865">
        <f t="shared" si="283"/>
        <v>0</v>
      </c>
      <c r="M406" s="865">
        <f t="shared" si="284"/>
        <v>0</v>
      </c>
      <c r="N406" s="865">
        <f t="shared" si="285"/>
        <v>0</v>
      </c>
      <c r="O406" s="864" cm="1">
        <f t="array" ref="O406">IF(N406=0,0,IF(G406&lt;0,N406/c_equity.LPshare*i_equity.GPshare,L406/c_equity.LPshare*i_equity.GPshare))</f>
        <v>0</v>
      </c>
      <c r="P406" s="865">
        <f t="shared" si="286"/>
        <v>0</v>
      </c>
      <c r="Q406" s="865">
        <f t="shared" si="287"/>
        <v>0</v>
      </c>
      <c r="R406" s="161"/>
      <c r="S406" s="867">
        <f t="shared" ca="1" si="288"/>
        <v>0</v>
      </c>
      <c r="T406" s="867" cm="1">
        <f t="array" ref="T406">IF($G406=0,0,-MIN(0,$G406*c_equity.LPshare))</f>
        <v>0</v>
      </c>
      <c r="U406" s="869" cm="1">
        <f t="array" ref="U406">IF($D406=0,0,S406*c_rate.Hurdle1.MO)</f>
        <v>0</v>
      </c>
      <c r="V406" s="867">
        <f t="shared" si="289"/>
        <v>0</v>
      </c>
      <c r="W406" s="867">
        <f t="shared" ca="1" si="290"/>
        <v>0</v>
      </c>
      <c r="X406" s="869">
        <f t="shared" ca="1" si="291"/>
        <v>0</v>
      </c>
      <c r="Y406" s="869">
        <f t="shared" ca="1" si="292"/>
        <v>0</v>
      </c>
      <c r="Z406" s="869">
        <f t="shared" ca="1" si="293"/>
        <v>0</v>
      </c>
      <c r="AA406" s="869">
        <f t="shared" ca="1" si="294"/>
        <v>0</v>
      </c>
      <c r="AB406" s="867">
        <f t="shared" ca="1" si="295"/>
        <v>0</v>
      </c>
      <c r="AC406" s="161"/>
      <c r="AD406" s="869">
        <f t="shared" ca="1" si="296"/>
        <v>0</v>
      </c>
      <c r="AE406" s="867" cm="1">
        <f t="array" ref="AE406">IF($G406=0,0,-MIN(0,$G406*c_equity.LPshare))</f>
        <v>0</v>
      </c>
      <c r="AF406" s="869" cm="1">
        <f t="array" ref="AF406">IF($D406=0,0,AD406*(c_rate.Hurdle2.MO))</f>
        <v>0</v>
      </c>
      <c r="AG406" s="869">
        <f t="shared" ca="1" si="297"/>
        <v>0</v>
      </c>
      <c r="AH406" s="869">
        <f t="shared" ca="1" si="298"/>
        <v>0</v>
      </c>
      <c r="AI406" s="869">
        <f t="shared" ca="1" si="299"/>
        <v>0</v>
      </c>
      <c r="AJ406" s="870">
        <f t="shared" ca="1" si="300"/>
        <v>0</v>
      </c>
      <c r="AK406" s="867">
        <f t="shared" ca="1" si="301"/>
        <v>0</v>
      </c>
      <c r="AL406" s="869">
        <f t="shared" ca="1" si="279"/>
        <v>0</v>
      </c>
      <c r="AM406" s="869">
        <f t="shared" ca="1" si="302"/>
        <v>0</v>
      </c>
      <c r="AN406" s="867">
        <f t="shared" ca="1" si="303"/>
        <v>0</v>
      </c>
      <c r="AO406" s="161"/>
      <c r="AP406" s="869">
        <f t="shared" ca="1" si="304"/>
        <v>0</v>
      </c>
      <c r="AQ406" s="867" cm="1">
        <f t="array" ref="AQ406">IF($G406=0,0,-MIN(0,$G406*c_equity.LPshare))</f>
        <v>0</v>
      </c>
      <c r="AR406" s="869" cm="1">
        <f t="array" ref="AR406">IF($D406=0,0,AP406*(c_rate.Hurdle3.MO))</f>
        <v>0</v>
      </c>
      <c r="AS406" s="869">
        <f t="shared" ca="1" si="305"/>
        <v>0</v>
      </c>
      <c r="AT406" s="869">
        <f t="shared" ca="1" si="306"/>
        <v>0</v>
      </c>
      <c r="AU406" s="869">
        <f t="shared" ca="1" si="307"/>
        <v>0</v>
      </c>
      <c r="AV406" s="870">
        <f t="shared" ca="1" si="308"/>
        <v>0</v>
      </c>
      <c r="AW406" s="867">
        <f t="shared" ca="1" si="309"/>
        <v>0</v>
      </c>
      <c r="AX406" s="869">
        <f t="shared" ca="1" si="280"/>
        <v>0</v>
      </c>
      <c r="AY406" s="869">
        <f t="shared" ca="1" si="310"/>
        <v>0</v>
      </c>
      <c r="AZ406" s="867">
        <f t="shared" ca="1" si="311"/>
        <v>0</v>
      </c>
      <c r="BA406" s="161"/>
      <c r="BB406" s="867">
        <f t="shared" ca="1" si="312"/>
        <v>0</v>
      </c>
      <c r="BC406" s="867">
        <f t="shared" ca="1" si="277"/>
        <v>0</v>
      </c>
      <c r="BD406" s="658"/>
      <c r="BE406" s="867">
        <f t="shared" ca="1" si="313"/>
        <v>0</v>
      </c>
      <c r="BF406" s="867">
        <f t="shared" ca="1" si="314"/>
        <v>0</v>
      </c>
      <c r="BG406" s="867">
        <f t="shared" ca="1" si="315"/>
        <v>0</v>
      </c>
      <c r="BI406" s="867">
        <f ca="1"/>
        <v>0</v>
      </c>
      <c r="BJ406" s="867">
        <f ca="1"/>
        <v>0</v>
      </c>
      <c r="BK406" s="867">
        <f ca="1"/>
        <v>0</v>
      </c>
      <c r="BL406" s="867">
        <f t="shared" ca="1" si="316"/>
        <v>0</v>
      </c>
      <c r="BM406" s="867">
        <f t="shared" ca="1" si="317"/>
        <v>0</v>
      </c>
      <c r="BN406" s="867">
        <f t="shared" ca="1" si="318"/>
        <v>0</v>
      </c>
      <c r="BO406" s="867">
        <f t="shared" ca="1" si="319"/>
        <v>0</v>
      </c>
      <c r="BP406" s="867">
        <f t="shared" ca="1" si="320"/>
        <v>0</v>
      </c>
      <c r="BQ406" s="867">
        <f t="shared" ca="1" si="321"/>
        <v>0</v>
      </c>
      <c r="BR406" s="867">
        <f ca="1"/>
        <v>0</v>
      </c>
      <c r="BS406" s="867">
        <f ca="1"/>
        <v>0</v>
      </c>
      <c r="BT406" s="867">
        <f t="shared" ca="1" si="281"/>
        <v>0</v>
      </c>
      <c r="BU406" s="867">
        <f t="shared" ca="1" si="322"/>
        <v>0</v>
      </c>
      <c r="BX406" s="867">
        <f ca="1"/>
        <v>0</v>
      </c>
      <c r="BY406" s="867">
        <f t="shared" ca="1" si="323"/>
        <v>0</v>
      </c>
      <c r="BZ406" s="867">
        <f t="shared" ca="1" si="324"/>
        <v>0</v>
      </c>
      <c r="CA406" s="867">
        <f t="shared" ca="1" si="325"/>
        <v>0</v>
      </c>
      <c r="CB406" s="867">
        <f t="shared" ca="1" si="326"/>
        <v>0</v>
      </c>
      <c r="CC406" s="867">
        <f t="shared" ca="1" si="327"/>
        <v>0</v>
      </c>
      <c r="CD406" s="867">
        <f t="shared" ca="1" si="328"/>
        <v>0</v>
      </c>
    </row>
    <row r="407" spans="1:82" ht="17" hidden="1" thickTop="1" thickBot="1">
      <c r="A407" s="773">
        <f t="shared" si="278"/>
        <v>0</v>
      </c>
      <c r="B407" s="779"/>
      <c r="D407" s="660"/>
      <c r="E407" s="661"/>
      <c r="F407" s="862"/>
      <c r="G407" s="863"/>
      <c r="H407" s="961"/>
      <c r="I407" s="865">
        <f t="shared" si="282"/>
        <v>0</v>
      </c>
      <c r="J407" s="864" cm="1">
        <f t="array" ref="J407">IF($G407=0,0,-MIN(0,G407*c_equity.LPshare))</f>
        <v>0</v>
      </c>
      <c r="K407" s="865" cm="1">
        <f t="array" ref="K407">I407*c_rate.Pref.MO</f>
        <v>0</v>
      </c>
      <c r="L407" s="865">
        <f t="shared" si="283"/>
        <v>0</v>
      </c>
      <c r="M407" s="865">
        <f t="shared" si="284"/>
        <v>0</v>
      </c>
      <c r="N407" s="865">
        <f t="shared" si="285"/>
        <v>0</v>
      </c>
      <c r="O407" s="864" cm="1">
        <f t="array" ref="O407">IF(N407=0,0,IF(G407&lt;0,N407/c_equity.LPshare*i_equity.GPshare,L407/c_equity.LPshare*i_equity.GPshare))</f>
        <v>0</v>
      </c>
      <c r="P407" s="865">
        <f t="shared" si="286"/>
        <v>0</v>
      </c>
      <c r="Q407" s="865">
        <f t="shared" si="287"/>
        <v>0</v>
      </c>
      <c r="R407" s="161"/>
      <c r="S407" s="867">
        <f t="shared" ca="1" si="288"/>
        <v>0</v>
      </c>
      <c r="T407" s="867" cm="1">
        <f t="array" ref="T407">IF($G407=0,0,-MIN(0,$G407*c_equity.LPshare))</f>
        <v>0</v>
      </c>
      <c r="U407" s="869" cm="1">
        <f t="array" ref="U407">IF($D407=0,0,S407*c_rate.Hurdle1.MO)</f>
        <v>0</v>
      </c>
      <c r="V407" s="867">
        <f t="shared" si="289"/>
        <v>0</v>
      </c>
      <c r="W407" s="867">
        <f t="shared" ca="1" si="290"/>
        <v>0</v>
      </c>
      <c r="X407" s="869">
        <f t="shared" ca="1" si="291"/>
        <v>0</v>
      </c>
      <c r="Y407" s="869">
        <f t="shared" ca="1" si="292"/>
        <v>0</v>
      </c>
      <c r="Z407" s="869">
        <f t="shared" ca="1" si="293"/>
        <v>0</v>
      </c>
      <c r="AA407" s="869">
        <f t="shared" ca="1" si="294"/>
        <v>0</v>
      </c>
      <c r="AB407" s="867">
        <f t="shared" ca="1" si="295"/>
        <v>0</v>
      </c>
      <c r="AC407" s="161"/>
      <c r="AD407" s="869">
        <f t="shared" ca="1" si="296"/>
        <v>0</v>
      </c>
      <c r="AE407" s="867" cm="1">
        <f t="array" ref="AE407">IF($G407=0,0,-MIN(0,$G407*c_equity.LPshare))</f>
        <v>0</v>
      </c>
      <c r="AF407" s="869" cm="1">
        <f t="array" ref="AF407">IF($D407=0,0,AD407*(c_rate.Hurdle2.MO))</f>
        <v>0</v>
      </c>
      <c r="AG407" s="869">
        <f t="shared" ca="1" si="297"/>
        <v>0</v>
      </c>
      <c r="AH407" s="869">
        <f t="shared" ca="1" si="298"/>
        <v>0</v>
      </c>
      <c r="AI407" s="869">
        <f t="shared" ca="1" si="299"/>
        <v>0</v>
      </c>
      <c r="AJ407" s="870">
        <f t="shared" ca="1" si="300"/>
        <v>0</v>
      </c>
      <c r="AK407" s="867">
        <f t="shared" ca="1" si="301"/>
        <v>0</v>
      </c>
      <c r="AL407" s="869">
        <f t="shared" ca="1" si="279"/>
        <v>0</v>
      </c>
      <c r="AM407" s="869">
        <f t="shared" ca="1" si="302"/>
        <v>0</v>
      </c>
      <c r="AN407" s="867">
        <f t="shared" ca="1" si="303"/>
        <v>0</v>
      </c>
      <c r="AO407" s="161"/>
      <c r="AP407" s="869">
        <f t="shared" ca="1" si="304"/>
        <v>0</v>
      </c>
      <c r="AQ407" s="867" cm="1">
        <f t="array" ref="AQ407">IF($G407=0,0,-MIN(0,$G407*c_equity.LPshare))</f>
        <v>0</v>
      </c>
      <c r="AR407" s="869" cm="1">
        <f t="array" ref="AR407">IF($D407=0,0,AP407*(c_rate.Hurdle3.MO))</f>
        <v>0</v>
      </c>
      <c r="AS407" s="869">
        <f t="shared" ca="1" si="305"/>
        <v>0</v>
      </c>
      <c r="AT407" s="869">
        <f t="shared" ca="1" si="306"/>
        <v>0</v>
      </c>
      <c r="AU407" s="869">
        <f t="shared" ca="1" si="307"/>
        <v>0</v>
      </c>
      <c r="AV407" s="870">
        <f t="shared" ca="1" si="308"/>
        <v>0</v>
      </c>
      <c r="AW407" s="867">
        <f t="shared" ca="1" si="309"/>
        <v>0</v>
      </c>
      <c r="AX407" s="869">
        <f t="shared" ca="1" si="280"/>
        <v>0</v>
      </c>
      <c r="AY407" s="869">
        <f t="shared" ca="1" si="310"/>
        <v>0</v>
      </c>
      <c r="AZ407" s="867">
        <f t="shared" ca="1" si="311"/>
        <v>0</v>
      </c>
      <c r="BA407" s="161"/>
      <c r="BB407" s="867">
        <f t="shared" ca="1" si="312"/>
        <v>0</v>
      </c>
      <c r="BC407" s="867">
        <f t="shared" ca="1" si="277"/>
        <v>0</v>
      </c>
      <c r="BD407" s="658"/>
      <c r="BE407" s="867">
        <f t="shared" ca="1" si="313"/>
        <v>0</v>
      </c>
      <c r="BF407" s="867">
        <f t="shared" ca="1" si="314"/>
        <v>0</v>
      </c>
      <c r="BG407" s="867">
        <f t="shared" ca="1" si="315"/>
        <v>0</v>
      </c>
      <c r="BI407" s="867">
        <f ca="1"/>
        <v>0</v>
      </c>
      <c r="BJ407" s="867">
        <f ca="1"/>
        <v>0</v>
      </c>
      <c r="BK407" s="867">
        <f ca="1"/>
        <v>0</v>
      </c>
      <c r="BL407" s="867">
        <f t="shared" ca="1" si="316"/>
        <v>0</v>
      </c>
      <c r="BM407" s="867">
        <f t="shared" ca="1" si="317"/>
        <v>0</v>
      </c>
      <c r="BN407" s="867">
        <f t="shared" ca="1" si="318"/>
        <v>0</v>
      </c>
      <c r="BO407" s="867">
        <f t="shared" ca="1" si="319"/>
        <v>0</v>
      </c>
      <c r="BP407" s="867">
        <f t="shared" ca="1" si="320"/>
        <v>0</v>
      </c>
      <c r="BQ407" s="867">
        <f t="shared" ca="1" si="321"/>
        <v>0</v>
      </c>
      <c r="BR407" s="867">
        <f ca="1"/>
        <v>0</v>
      </c>
      <c r="BS407" s="867">
        <f ca="1"/>
        <v>0</v>
      </c>
      <c r="BT407" s="867">
        <f t="shared" ca="1" si="281"/>
        <v>0</v>
      </c>
      <c r="BU407" s="867">
        <f t="shared" ca="1" si="322"/>
        <v>0</v>
      </c>
      <c r="BX407" s="867">
        <f ca="1"/>
        <v>0</v>
      </c>
      <c r="BY407" s="867">
        <f t="shared" ca="1" si="323"/>
        <v>0</v>
      </c>
      <c r="BZ407" s="867">
        <f t="shared" ca="1" si="324"/>
        <v>0</v>
      </c>
      <c r="CA407" s="867">
        <f t="shared" ca="1" si="325"/>
        <v>0</v>
      </c>
      <c r="CB407" s="867">
        <f t="shared" ca="1" si="326"/>
        <v>0</v>
      </c>
      <c r="CC407" s="867">
        <f t="shared" ca="1" si="327"/>
        <v>0</v>
      </c>
      <c r="CD407" s="867">
        <f t="shared" ca="1" si="328"/>
        <v>0</v>
      </c>
    </row>
    <row r="408" spans="1:82" customFormat="1" ht="16" hidden="1" thickTop="1" thickBot="1">
      <c r="A408" s="773"/>
      <c r="O408" s="864"/>
      <c r="S408" s="867"/>
      <c r="T408" s="867"/>
      <c r="U408" s="869"/>
      <c r="V408" s="867"/>
      <c r="W408" s="867"/>
      <c r="X408" s="869"/>
      <c r="Y408" s="869"/>
      <c r="Z408" s="869"/>
      <c r="AA408" s="869"/>
      <c r="AB408" s="867"/>
      <c r="AJ408" s="868"/>
      <c r="AL408" s="869"/>
      <c r="AN408" s="867"/>
      <c r="AX408" s="869"/>
      <c r="AZ408" s="867"/>
    </row>
    <row r="409" spans="1:82" ht="16.25" customHeight="1" thickTop="1" thickBot="1">
      <c r="A409" s="773">
        <v>1</v>
      </c>
      <c r="B409" s="779"/>
      <c r="D409" s="662"/>
      <c r="E409" s="663"/>
      <c r="F409" s="664"/>
      <c r="G409" s="665">
        <f ca="1">SUM(G48:G407)</f>
        <v>176446196.45614529</v>
      </c>
      <c r="H409" s="871"/>
      <c r="I409" s="665"/>
      <c r="J409" s="665">
        <f ca="1">SUM(J48:J407)</f>
        <v>139147167.49491292</v>
      </c>
      <c r="K409" s="665">
        <f ca="1">SUM(K48:K407)</f>
        <v>23498052.32251681</v>
      </c>
      <c r="L409" s="665">
        <f ca="1">SUM(L48:L407)</f>
        <v>162645219.81742963</v>
      </c>
      <c r="M409" s="665"/>
      <c r="N409" s="665">
        <f ca="1">SUM(N48:N407)</f>
        <v>23498052.322516877</v>
      </c>
      <c r="O409" s="665">
        <f ca="1">SUM(O48:O407)</f>
        <v>1236739.5959219323</v>
      </c>
      <c r="P409" s="665">
        <f ca="1">SUM(P48:P407)</f>
        <v>24734791.91843871</v>
      </c>
      <c r="Q409" s="665">
        <f ca="1">SUM(Q48:Q407)</f>
        <v>151711404.5</v>
      </c>
      <c r="R409" s="872"/>
      <c r="S409" s="666"/>
      <c r="T409" s="665">
        <f ca="1">SUM(T48:T407)</f>
        <v>139147167.49491292</v>
      </c>
      <c r="U409" s="665">
        <f ca="1">SUM(U48:U407)</f>
        <v>29984736.291376628</v>
      </c>
      <c r="V409" s="665">
        <f ca="1">SUM(V48:V407)</f>
        <v>162645219.81742963</v>
      </c>
      <c r="W409" s="665">
        <f ca="1">SUM(W48:W407)</f>
        <v>6486683.9688597703</v>
      </c>
      <c r="X409" s="665"/>
      <c r="Y409" s="665">
        <f ca="1">SUM(Y48:Y407)</f>
        <v>29984736.29137665</v>
      </c>
      <c r="Z409" s="665">
        <f ca="1">SUM(Z48:Z407)</f>
        <v>2336820.5029215394</v>
      </c>
      <c r="AA409" s="665">
        <f ca="1">SUM(AA48:AA407)</f>
        <v>32321556.794298097</v>
      </c>
      <c r="AB409" s="665">
        <f ca="1">SUM(AB48:AB407)</f>
        <v>144124639.66184726</v>
      </c>
      <c r="AC409" s="829">
        <f ca="1">Q409-AB409</f>
        <v>7586764.8381527364</v>
      </c>
      <c r="AD409" s="665"/>
      <c r="AE409" s="665">
        <f t="shared" ref="AE409:AN409" ca="1" si="329">SUM(AE48:AE407)</f>
        <v>139147167.49491292</v>
      </c>
      <c r="AF409" s="665">
        <f t="shared" ca="1" si="329"/>
        <v>36725181.939819537</v>
      </c>
      <c r="AG409" s="665">
        <f t="shared" ca="1" si="329"/>
        <v>169131903.78628942</v>
      </c>
      <c r="AH409" s="665">
        <f t="shared" ca="1" si="329"/>
        <v>6740445.6484428756</v>
      </c>
      <c r="AI409" s="665">
        <f t="shared" ca="1" si="329"/>
        <v>3870374471.5484529</v>
      </c>
      <c r="AJ409" s="665">
        <f t="shared" ca="1" si="329"/>
        <v>36725181.939819455</v>
      </c>
      <c r="AK409" s="665">
        <f t="shared" ca="1" si="329"/>
        <v>36725181.939819455</v>
      </c>
      <c r="AL409" s="665">
        <f t="shared" ca="1" si="329"/>
        <v>4465382.2866403498</v>
      </c>
      <c r="AM409" s="665">
        <f t="shared" ca="1" si="329"/>
        <v>41190564.226459742</v>
      </c>
      <c r="AN409" s="665">
        <f t="shared" ca="1" si="329"/>
        <v>135255632.22968557</v>
      </c>
      <c r="AO409" s="872">
        <f ca="1">AC409-AN409</f>
        <v>-127668867.39153284</v>
      </c>
      <c r="AP409" s="666"/>
      <c r="AQ409" s="665">
        <f ca="1">SUM(AQ48:AQ407)</f>
        <v>139147167.49491292</v>
      </c>
      <c r="AR409" s="665">
        <f ca="1">SUM(AR48:AR407)</f>
        <v>43723836.120865718</v>
      </c>
      <c r="AS409" s="665">
        <f ca="1">SUM(AS48:AS407)</f>
        <v>175872349.43473232</v>
      </c>
      <c r="AT409" s="665">
        <f ca="1">SUM(AT48:AT407)</f>
        <v>6998654.1810462987</v>
      </c>
      <c r="AU409" s="665"/>
      <c r="AV409" s="665">
        <f ca="1">SUM(AV48:AV407)</f>
        <v>43723836.120865747</v>
      </c>
      <c r="AW409" s="665">
        <f ca="1">SUM(AW48:AW407)</f>
        <v>43723836.120865747</v>
      </c>
      <c r="AX409" s="665">
        <f ca="1">SUM(AX48:AX407)</f>
        <v>7991020.1071674405</v>
      </c>
      <c r="AY409" s="665">
        <f ca="1">SUM(AY48:AY407)</f>
        <v>51714856.228033133</v>
      </c>
      <c r="AZ409" s="665">
        <f ca="1">SUM(AZ48:AZ407)</f>
        <v>124731340.22811219</v>
      </c>
      <c r="BA409" s="161"/>
      <c r="BB409" s="665">
        <f ca="1">SUM(BB48:BB407)</f>
        <v>62365670.114056095</v>
      </c>
      <c r="BC409" s="665">
        <f ca="1">SUM(BC48:BC407)</f>
        <v>62365670.114056095</v>
      </c>
      <c r="BD409" s="667"/>
      <c r="BE409" s="665">
        <f ca="1">SUM(BE48:BE407)</f>
        <v>106089506.2349219</v>
      </c>
      <c r="BF409" s="665">
        <f ca="1">SUM(BF48:BF407)</f>
        <v>70356690.221223414</v>
      </c>
      <c r="BG409" s="665">
        <f ca="1">SUM(BG48:BG407)</f>
        <v>176446196.45614529</v>
      </c>
      <c r="BI409" s="668">
        <f t="shared" ref="BI409:BU409" ca="1" si="330">SUM(BI48:BI407)</f>
        <v>176446196.45614529</v>
      </c>
      <c r="BJ409" s="668">
        <f t="shared" ca="1" si="330"/>
        <v>23498052.322516877</v>
      </c>
      <c r="BK409" s="668">
        <f t="shared" ca="1" si="330"/>
        <v>1236739.5959219323</v>
      </c>
      <c r="BL409" s="668">
        <f t="shared" ca="1" si="330"/>
        <v>6486683.9688597703</v>
      </c>
      <c r="BM409" s="668">
        <f t="shared" ca="1" si="330"/>
        <v>1100080.9069996104</v>
      </c>
      <c r="BN409" s="668">
        <f t="shared" ca="1" si="330"/>
        <v>6740445.6484428756</v>
      </c>
      <c r="BO409" s="668">
        <f t="shared" ca="1" si="330"/>
        <v>2128561.783718803</v>
      </c>
      <c r="BP409" s="668">
        <f t="shared" ca="1" si="330"/>
        <v>6998654.1810462987</v>
      </c>
      <c r="BQ409" s="668">
        <f t="shared" ca="1" si="330"/>
        <v>3525637.8205270832</v>
      </c>
      <c r="BR409" s="668">
        <f t="shared" ca="1" si="330"/>
        <v>62365670.114056095</v>
      </c>
      <c r="BS409" s="668">
        <f t="shared" ca="1" si="330"/>
        <v>62365670.114056095</v>
      </c>
      <c r="BT409" s="668">
        <f t="shared" ca="1" si="330"/>
        <v>106089506.2349219</v>
      </c>
      <c r="BU409" s="668">
        <f t="shared" ca="1" si="330"/>
        <v>70356690.221223414</v>
      </c>
      <c r="BX409" s="668">
        <f t="shared" ref="BX409:CD409" ca="1" si="331">SUM(BX48:BX407)</f>
        <v>176446196.45614529</v>
      </c>
      <c r="BY409" s="668">
        <f t="shared" ca="1" si="331"/>
        <v>25010374.343438707</v>
      </c>
      <c r="BZ409" s="668">
        <f t="shared" ca="1" si="331"/>
        <v>7586764.8758593816</v>
      </c>
      <c r="CA409" s="668">
        <f t="shared" ca="1" si="331"/>
        <v>8869007.4321616776</v>
      </c>
      <c r="CB409" s="668">
        <f t="shared" ca="1" si="331"/>
        <v>10524292.001573382</v>
      </c>
      <c r="CC409" s="668">
        <f t="shared" ca="1" si="331"/>
        <v>124731340.22811219</v>
      </c>
      <c r="CD409" s="668">
        <f t="shared" ca="1" si="331"/>
        <v>176721778.8811453</v>
      </c>
    </row>
    <row r="410" spans="1:82" ht="16" thickTop="1" thickBot="1">
      <c r="A410" s="773">
        <v>1</v>
      </c>
      <c r="D410" s="873"/>
      <c r="E410" s="873"/>
      <c r="F410" s="873"/>
      <c r="G410" s="873"/>
      <c r="I410" s="873">
        <f>I48</f>
        <v>0</v>
      </c>
      <c r="J410" s="873"/>
      <c r="K410" s="873">
        <f>K48</f>
        <v>0</v>
      </c>
      <c r="L410" s="873">
        <f ca="1">L48</f>
        <v>0</v>
      </c>
      <c r="M410" s="873"/>
      <c r="N410" s="873">
        <f ca="1">N48</f>
        <v>-261803.30374999996</v>
      </c>
      <c r="O410" s="873">
        <f ca="1">O48</f>
        <v>-13779.12125</v>
      </c>
      <c r="P410" s="873">
        <f ca="1">P48</f>
        <v>-275582.42499999999</v>
      </c>
      <c r="Q410" s="873">
        <f ca="1">Q48</f>
        <v>0</v>
      </c>
      <c r="R410" s="866"/>
      <c r="S410" s="873"/>
      <c r="T410" s="873"/>
      <c r="U410" s="873"/>
      <c r="V410" s="873"/>
      <c r="W410" s="873"/>
      <c r="X410" s="873"/>
      <c r="Y410" s="873">
        <f ca="1">Y48</f>
        <v>-261803.30374999996</v>
      </c>
      <c r="Z410" s="873">
        <f ca="1">Z48</f>
        <v>-13779.12125</v>
      </c>
      <c r="AA410" s="873">
        <f ca="1">AA48</f>
        <v>-275582.42499999999</v>
      </c>
      <c r="AB410" s="873"/>
      <c r="AC410" s="866"/>
      <c r="AD410" s="873"/>
      <c r="AE410" s="873"/>
      <c r="AF410" s="873"/>
      <c r="AG410" s="873"/>
      <c r="AH410" s="873"/>
      <c r="AI410" s="873">
        <f>J410</f>
        <v>0</v>
      </c>
      <c r="AJ410" s="873"/>
      <c r="AK410" s="873">
        <f ca="1">Y410</f>
        <v>-261803.30374999996</v>
      </c>
      <c r="AL410" s="873">
        <f ca="1">Z410</f>
        <v>-13779.12125</v>
      </c>
      <c r="AM410" s="873">
        <f ca="1">AA410</f>
        <v>-275582.42499999999</v>
      </c>
      <c r="AN410" s="873"/>
      <c r="AO410" s="866"/>
      <c r="AP410" s="873"/>
      <c r="AQ410" s="873"/>
      <c r="AR410" s="873"/>
      <c r="AS410" s="873"/>
      <c r="AT410" s="873"/>
      <c r="AU410" s="873"/>
      <c r="AV410" s="873">
        <f ca="1">AV48</f>
        <v>-261803.30374999996</v>
      </c>
      <c r="AW410" s="873">
        <f ca="1">AW48</f>
        <v>-261803.30374999996</v>
      </c>
      <c r="AX410" s="873">
        <f ca="1">AX48</f>
        <v>-13779.12125</v>
      </c>
      <c r="AY410" s="873">
        <f ca="1">AY48</f>
        <v>-275582.42499999999</v>
      </c>
      <c r="AZ410" s="873"/>
      <c r="BA410" s="866"/>
      <c r="BB410" s="873"/>
      <c r="BC410" s="873"/>
      <c r="BD410" s="659"/>
      <c r="BE410" s="873"/>
      <c r="BF410" s="873"/>
      <c r="BG410" s="873"/>
      <c r="BI410" s="873"/>
      <c r="BJ410" s="873"/>
      <c r="BK410" s="873"/>
      <c r="BL410" s="873"/>
      <c r="BM410" s="873"/>
      <c r="BN410" s="873"/>
      <c r="BO410" s="873"/>
      <c r="BP410" s="873"/>
      <c r="BQ410" s="873"/>
      <c r="BR410" s="873"/>
      <c r="BS410" s="873"/>
      <c r="BT410" s="873"/>
      <c r="BU410" s="873"/>
      <c r="BX410" s="873"/>
      <c r="BY410" s="873"/>
      <c r="BZ410" s="873"/>
      <c r="CA410" s="873"/>
      <c r="CB410" s="873"/>
      <c r="CC410" s="873"/>
      <c r="CD410" s="873"/>
    </row>
    <row r="411" spans="1:82" ht="16" thickTop="1" thickBot="1">
      <c r="A411" s="773">
        <f t="shared" si="278"/>
        <v>1</v>
      </c>
      <c r="D411" s="874" cm="1">
        <f t="array" ref="D411:D418">list_Term.Years</f>
        <v>1</v>
      </c>
      <c r="E411" s="876" cm="1">
        <f t="array" ref="E411:E418">_xlfn.UNIQUE(DATE(YEAR(list_Dates.ALL)+1,1,1)-1)</f>
        <v>45657</v>
      </c>
      <c r="F411" s="877" cm="1">
        <f t="array" ref="F411:F418">_xlfn.ANCHORARRAY(ADMIN!U9)</f>
        <v>2024</v>
      </c>
      <c r="G411" s="869">
        <f t="shared" ref="G411:G439" ca="1" si="332">SUMIF($F$48:$F$407,$D411,G$48:G$407)</f>
        <v>-3306989.0999999992</v>
      </c>
      <c r="I411" s="869"/>
      <c r="J411" s="869">
        <f t="shared" ref="J411:L440" ca="1" si="333">SUMIF($F$48:$F$407,$D411,J$48:J$407)</f>
        <v>3141639.6449999996</v>
      </c>
      <c r="K411" s="869">
        <f t="shared" ca="1" si="333"/>
        <v>113592.91405135184</v>
      </c>
      <c r="L411" s="869">
        <f t="shared" ca="1" si="333"/>
        <v>0</v>
      </c>
      <c r="M411" s="869"/>
      <c r="N411" s="869">
        <f t="shared" ref="N411:Q440" ca="1" si="334">SUMIF($F$48:$F$407,$D411,N$48:N$407)</f>
        <v>-3141639.6449999996</v>
      </c>
      <c r="O411" s="869">
        <f t="shared" ca="1" si="334"/>
        <v>-165349.45499999999</v>
      </c>
      <c r="P411" s="869">
        <f t="shared" ca="1" si="334"/>
        <v>-3306989.0999999992</v>
      </c>
      <c r="Q411" s="869">
        <f t="shared" ca="1" si="334"/>
        <v>0</v>
      </c>
      <c r="R411" s="161"/>
      <c r="S411" s="869"/>
      <c r="T411" s="869">
        <f t="shared" ref="T411:W440" ca="1" si="335">SUMIF($F$48:$F$407,$D411,T$48:T$407)</f>
        <v>3141639.6449999996</v>
      </c>
      <c r="U411" s="869">
        <f t="shared" ca="1" si="335"/>
        <v>141514.27088848531</v>
      </c>
      <c r="V411" s="869">
        <f t="shared" ca="1" si="335"/>
        <v>0</v>
      </c>
      <c r="W411" s="869">
        <f t="shared" ca="1" si="335"/>
        <v>0</v>
      </c>
      <c r="X411" s="869" cm="1">
        <f t="array" aca="1" ref="X411" ca="1">LOOKUP(2,1/($F$49:$F$407=$D412),X$49:X$407)</f>
        <v>117865431.50696014</v>
      </c>
      <c r="Y411" s="869">
        <f t="shared" ref="Y411:AB440" ca="1" si="336">SUMIF($F$48:$F$407,$D411,Y$48:Y$407)</f>
        <v>-3141639.6449999996</v>
      </c>
      <c r="Z411" s="869">
        <f t="shared" ca="1" si="336"/>
        <v>-165349.45499999999</v>
      </c>
      <c r="AA411" s="869">
        <f t="shared" ca="1" si="336"/>
        <v>-3306989.0999999992</v>
      </c>
      <c r="AB411" s="869">
        <f t="shared" ca="1" si="336"/>
        <v>0</v>
      </c>
      <c r="AC411" s="161"/>
      <c r="AD411" s="869"/>
      <c r="AE411" s="869">
        <f t="shared" ref="AE411:AH440" ca="1" si="337">SUMIF($F$48:$F$407,$D411,AE$48:AE$407)</f>
        <v>3141639.6449999996</v>
      </c>
      <c r="AF411" s="869">
        <f t="shared" ca="1" si="337"/>
        <v>169255.28827432811</v>
      </c>
      <c r="AG411" s="869">
        <f t="shared" ca="1" si="337"/>
        <v>0</v>
      </c>
      <c r="AH411" s="869">
        <f t="shared" ca="1" si="337"/>
        <v>0</v>
      </c>
      <c r="AI411" s="869" cm="1">
        <f t="array" aca="1" ref="AI411" ca="1">LOOKUP(2,1/($F$49:$F$407=$D412),AI$49:AI$407)</f>
        <v>119821958.48430474</v>
      </c>
      <c r="AJ411" s="869">
        <f t="shared" ref="AJ411:AM440" ca="1" si="338">SUMIF($F$48:$F$407,$D411,AJ$48:AJ$407)</f>
        <v>-3141639.6449999996</v>
      </c>
      <c r="AK411" s="869">
        <f t="shared" ca="1" si="338"/>
        <v>-3141639.6449999996</v>
      </c>
      <c r="AL411" s="869">
        <f t="shared" ca="1" si="338"/>
        <v>-165349.45499999999</v>
      </c>
      <c r="AM411" s="869">
        <f t="shared" ca="1" si="338"/>
        <v>-3306989.0999999992</v>
      </c>
      <c r="AN411" s="869">
        <f t="shared" ref="AN411:AN420" ca="1" si="339">SUMIF($F$49:$F$407,$D412,AN$49:AN$407)</f>
        <v>0</v>
      </c>
      <c r="AO411" s="161"/>
      <c r="AP411" s="869"/>
      <c r="AQ411" s="869">
        <f t="shared" ref="AQ411:AT439" ca="1" si="340">SUMIF($F$48:$F$407,$D411,AQ$48:AQ$407)</f>
        <v>3141639.6449999996</v>
      </c>
      <c r="AR411" s="869">
        <f t="shared" ca="1" si="340"/>
        <v>196820.75972570872</v>
      </c>
      <c r="AS411" s="869">
        <f t="shared" ca="1" si="340"/>
        <v>0</v>
      </c>
      <c r="AT411" s="869">
        <f t="shared" ca="1" si="340"/>
        <v>0</v>
      </c>
      <c r="AU411" s="869"/>
      <c r="AV411" s="869">
        <f t="shared" ref="AV411:AZ420" ca="1" si="341">SUMIF($F$48:$F$407,$D411,AV$48:AV$407)</f>
        <v>-3141639.6449999996</v>
      </c>
      <c r="AW411" s="869">
        <f t="shared" ca="1" si="341"/>
        <v>-3141639.6449999996</v>
      </c>
      <c r="AX411" s="869">
        <f t="shared" ca="1" si="341"/>
        <v>-165349.45499999999</v>
      </c>
      <c r="AY411" s="869">
        <f t="shared" ca="1" si="341"/>
        <v>-3306989.0999999992</v>
      </c>
      <c r="AZ411" s="869">
        <f t="shared" ca="1" si="341"/>
        <v>0</v>
      </c>
      <c r="BA411" s="161"/>
      <c r="BB411" s="869">
        <f t="shared" ref="BB411:BC439" ca="1" si="342">SUMIF($F$48:$F$407,$D411,BB$48:BB$407)</f>
        <v>0</v>
      </c>
      <c r="BC411" s="869">
        <f t="shared" ca="1" si="342"/>
        <v>0</v>
      </c>
      <c r="BD411" s="658"/>
      <c r="BE411" s="869">
        <f t="shared" ref="BE411:BG439" ca="1" si="343">SUMIF($F$48:$F$407,$D411,BE$48:BE$407)</f>
        <v>-3141639.6449999996</v>
      </c>
      <c r="BF411" s="869">
        <f t="shared" ca="1" si="343"/>
        <v>-165349.45499999999</v>
      </c>
      <c r="BG411" s="869">
        <f t="shared" ca="1" si="343"/>
        <v>-3306989.0999999992</v>
      </c>
      <c r="BI411" s="869">
        <f t="shared" ref="BI411:BU420" ca="1" si="344">SUMIF($F$48:$F$407,$D411,BI$48:BI$407)</f>
        <v>-3306989.0999999992</v>
      </c>
      <c r="BJ411" s="869">
        <f t="shared" ca="1" si="344"/>
        <v>-3141639.6449999996</v>
      </c>
      <c r="BK411" s="869">
        <f t="shared" ca="1" si="344"/>
        <v>-165349.45499999999</v>
      </c>
      <c r="BL411" s="869">
        <f t="shared" ca="1" si="344"/>
        <v>0</v>
      </c>
      <c r="BM411" s="869">
        <f t="shared" ca="1" si="344"/>
        <v>0</v>
      </c>
      <c r="BN411" s="869">
        <f t="shared" ca="1" si="344"/>
        <v>0</v>
      </c>
      <c r="BO411" s="869">
        <f t="shared" ca="1" si="344"/>
        <v>0</v>
      </c>
      <c r="BP411" s="869">
        <f t="shared" ca="1" si="344"/>
        <v>0</v>
      </c>
      <c r="BQ411" s="869">
        <f t="shared" ca="1" si="344"/>
        <v>0</v>
      </c>
      <c r="BR411" s="869">
        <f t="shared" ca="1" si="344"/>
        <v>0</v>
      </c>
      <c r="BS411" s="869">
        <f t="shared" ca="1" si="344"/>
        <v>0</v>
      </c>
      <c r="BT411" s="869">
        <f t="shared" ca="1" si="344"/>
        <v>-3141639.6449999996</v>
      </c>
      <c r="BU411" s="869">
        <f t="shared" ca="1" si="344"/>
        <v>-165349.45499999999</v>
      </c>
      <c r="BX411" s="869">
        <f t="shared" ref="BX411:CD420" ca="1" si="345">SUMIF($F$48:$F$407,$D411,BX$48:BX$407)</f>
        <v>-3306989.0999999992</v>
      </c>
      <c r="BY411" s="869">
        <f t="shared" ca="1" si="345"/>
        <v>-3031406.6749999993</v>
      </c>
      <c r="BZ411" s="869">
        <f t="shared" ca="1" si="345"/>
        <v>0</v>
      </c>
      <c r="CA411" s="869">
        <f t="shared" ca="1" si="345"/>
        <v>0</v>
      </c>
      <c r="CB411" s="869">
        <f t="shared" ca="1" si="345"/>
        <v>0</v>
      </c>
      <c r="CC411" s="869">
        <f t="shared" ca="1" si="345"/>
        <v>0</v>
      </c>
      <c r="CD411" s="869">
        <f t="shared" ca="1" si="345"/>
        <v>-3031406.6749999993</v>
      </c>
    </row>
    <row r="412" spans="1:82" ht="16" thickTop="1" thickBot="1">
      <c r="A412" s="773">
        <f t="shared" si="278"/>
        <v>1</v>
      </c>
      <c r="D412" s="874">
        <v>2</v>
      </c>
      <c r="E412" s="876">
        <v>46022</v>
      </c>
      <c r="F412" s="877">
        <v>2025</v>
      </c>
      <c r="G412" s="869">
        <f t="shared" ca="1" si="332"/>
        <v>-110430825.17669424</v>
      </c>
      <c r="I412" s="869"/>
      <c r="J412" s="869">
        <f t="shared" ca="1" si="333"/>
        <v>104909283.91785949</v>
      </c>
      <c r="K412" s="869">
        <f t="shared" ca="1" si="333"/>
        <v>7742339.4685112284</v>
      </c>
      <c r="L412" s="869">
        <f t="shared" ca="1" si="333"/>
        <v>0</v>
      </c>
      <c r="M412" s="869"/>
      <c r="N412" s="869">
        <f t="shared" ca="1" si="334"/>
        <v>-104909283.91785949</v>
      </c>
      <c r="O412" s="869">
        <f t="shared" ca="1" si="334"/>
        <v>-5521541.2588347122</v>
      </c>
      <c r="P412" s="869">
        <f t="shared" ca="1" si="334"/>
        <v>-110430825.17669424</v>
      </c>
      <c r="Q412" s="869">
        <f t="shared" ca="1" si="334"/>
        <v>0</v>
      </c>
      <c r="R412" s="161"/>
      <c r="S412" s="869"/>
      <c r="T412" s="869">
        <f t="shared" ca="1" si="335"/>
        <v>104909283.91785949</v>
      </c>
      <c r="U412" s="869">
        <f t="shared" ca="1" si="335"/>
        <v>9672993.6732121576</v>
      </c>
      <c r="V412" s="869">
        <f t="shared" ca="1" si="335"/>
        <v>0</v>
      </c>
      <c r="W412" s="869">
        <f t="shared" ca="1" si="335"/>
        <v>0</v>
      </c>
      <c r="X412" s="869" cm="1">
        <f t="array" aca="1" ref="X412" ca="1">LOOKUP(2,1/($F$49:$F$407=$D413),X$49:X$407)</f>
        <v>111115583.36639173</v>
      </c>
      <c r="Y412" s="869">
        <f t="shared" ca="1" si="336"/>
        <v>-104909283.91785949</v>
      </c>
      <c r="Z412" s="869">
        <f t="shared" ca="1" si="336"/>
        <v>-5521541.2588347122</v>
      </c>
      <c r="AA412" s="869">
        <f t="shared" ca="1" si="336"/>
        <v>-110430825.17669424</v>
      </c>
      <c r="AB412" s="869">
        <f t="shared" ca="1" si="336"/>
        <v>0</v>
      </c>
      <c r="AC412" s="161"/>
      <c r="AD412" s="869"/>
      <c r="AE412" s="869">
        <f t="shared" ca="1" si="337"/>
        <v>104909283.91785949</v>
      </c>
      <c r="AF412" s="869">
        <f t="shared" ca="1" si="337"/>
        <v>11601779.633170942</v>
      </c>
      <c r="AG412" s="869">
        <f t="shared" ca="1" si="337"/>
        <v>0</v>
      </c>
      <c r="AH412" s="869">
        <f t="shared" ca="1" si="337"/>
        <v>0</v>
      </c>
      <c r="AI412" s="869" cm="1">
        <f t="array" aca="1" ref="AI412" ca="1">LOOKUP(2,1/($F$49:$F$407=$D413),AI$49:AI$407)</f>
        <v>115305132.56521085</v>
      </c>
      <c r="AJ412" s="869">
        <f t="shared" ca="1" si="338"/>
        <v>-104909283.91785949</v>
      </c>
      <c r="AK412" s="869">
        <f t="shared" ca="1" si="338"/>
        <v>-104909283.91785949</v>
      </c>
      <c r="AL412" s="869">
        <f t="shared" ca="1" si="338"/>
        <v>-5521541.2588347122</v>
      </c>
      <c r="AM412" s="869">
        <f t="shared" ca="1" si="338"/>
        <v>-110430825.17669424</v>
      </c>
      <c r="AN412" s="869">
        <f t="shared" ca="1" si="339"/>
        <v>0</v>
      </c>
      <c r="AO412" s="161"/>
      <c r="AP412" s="869"/>
      <c r="AQ412" s="869">
        <f t="shared" ca="1" si="340"/>
        <v>104909283.91785949</v>
      </c>
      <c r="AR412" s="869">
        <f t="shared" ca="1" si="340"/>
        <v>13528745.845881313</v>
      </c>
      <c r="AS412" s="869">
        <f t="shared" ca="1" si="340"/>
        <v>0</v>
      </c>
      <c r="AT412" s="869">
        <f t="shared" ca="1" si="340"/>
        <v>0</v>
      </c>
      <c r="AU412" s="869"/>
      <c r="AV412" s="869">
        <f t="shared" ca="1" si="341"/>
        <v>-104909283.91785949</v>
      </c>
      <c r="AW412" s="869">
        <f t="shared" ca="1" si="341"/>
        <v>-104909283.91785949</v>
      </c>
      <c r="AX412" s="869">
        <f t="shared" ca="1" si="341"/>
        <v>-5521541.2588347122</v>
      </c>
      <c r="AY412" s="869">
        <f t="shared" ca="1" si="341"/>
        <v>-110430825.17669424</v>
      </c>
      <c r="AZ412" s="869">
        <f t="shared" ca="1" si="341"/>
        <v>0</v>
      </c>
      <c r="BA412" s="161"/>
      <c r="BB412" s="869">
        <f t="shared" ca="1" si="342"/>
        <v>0</v>
      </c>
      <c r="BC412" s="869">
        <f t="shared" ca="1" si="342"/>
        <v>0</v>
      </c>
      <c r="BD412" s="658"/>
      <c r="BE412" s="869">
        <f t="shared" ca="1" si="343"/>
        <v>-104909283.91785949</v>
      </c>
      <c r="BF412" s="869">
        <f t="shared" ca="1" si="343"/>
        <v>-5521541.2588347122</v>
      </c>
      <c r="BG412" s="869">
        <f t="shared" ca="1" si="343"/>
        <v>-110430825.17669424</v>
      </c>
      <c r="BI412" s="869">
        <f t="shared" ca="1" si="344"/>
        <v>-110430825.17669424</v>
      </c>
      <c r="BJ412" s="869">
        <f t="shared" ca="1" si="344"/>
        <v>-104909283.91785949</v>
      </c>
      <c r="BK412" s="869">
        <f t="shared" ca="1" si="344"/>
        <v>-5521541.2588347122</v>
      </c>
      <c r="BL412" s="869">
        <f t="shared" ca="1" si="344"/>
        <v>0</v>
      </c>
      <c r="BM412" s="869">
        <f t="shared" ca="1" si="344"/>
        <v>0</v>
      </c>
      <c r="BN412" s="869">
        <f t="shared" ca="1" si="344"/>
        <v>0</v>
      </c>
      <c r="BO412" s="869">
        <f t="shared" ca="1" si="344"/>
        <v>0</v>
      </c>
      <c r="BP412" s="869">
        <f t="shared" ca="1" si="344"/>
        <v>0</v>
      </c>
      <c r="BQ412" s="869">
        <f t="shared" ca="1" si="344"/>
        <v>0</v>
      </c>
      <c r="BR412" s="869">
        <f t="shared" ca="1" si="344"/>
        <v>0</v>
      </c>
      <c r="BS412" s="869">
        <f t="shared" ca="1" si="344"/>
        <v>0</v>
      </c>
      <c r="BT412" s="869">
        <f t="shared" ca="1" si="344"/>
        <v>-104909283.91785949</v>
      </c>
      <c r="BU412" s="869">
        <f t="shared" ca="1" si="344"/>
        <v>-5521541.2588347122</v>
      </c>
      <c r="BX412" s="869">
        <f t="shared" ca="1" si="345"/>
        <v>-110430825.17669424</v>
      </c>
      <c r="BY412" s="869">
        <f t="shared" ca="1" si="345"/>
        <v>-110430825.17669424</v>
      </c>
      <c r="BZ412" s="869">
        <f t="shared" ca="1" si="345"/>
        <v>0</v>
      </c>
      <c r="CA412" s="869">
        <f t="shared" ca="1" si="345"/>
        <v>0</v>
      </c>
      <c r="CB412" s="869">
        <f t="shared" ca="1" si="345"/>
        <v>0</v>
      </c>
      <c r="CC412" s="869">
        <f t="shared" ca="1" si="345"/>
        <v>0</v>
      </c>
      <c r="CD412" s="869">
        <f t="shared" ca="1" si="345"/>
        <v>-110430825.17669424</v>
      </c>
    </row>
    <row r="413" spans="1:82" ht="16" thickTop="1" thickBot="1">
      <c r="A413" s="773">
        <f t="shared" si="278"/>
        <v>1</v>
      </c>
      <c r="D413" s="874">
        <v>3</v>
      </c>
      <c r="E413" s="876">
        <v>46387</v>
      </c>
      <c r="F413" s="877">
        <v>2026</v>
      </c>
      <c r="G413" s="869">
        <f t="shared" ca="1" si="332"/>
        <v>17610048.807228312</v>
      </c>
      <c r="I413" s="869"/>
      <c r="J413" s="869">
        <f t="shared" ca="1" si="333"/>
        <v>10612303.638538502</v>
      </c>
      <c r="K413" s="869">
        <f t="shared" ca="1" si="333"/>
        <v>7825522.9796399223</v>
      </c>
      <c r="L413" s="869">
        <f t="shared" ca="1" si="333"/>
        <v>27341850.005405389</v>
      </c>
      <c r="M413" s="869"/>
      <c r="N413" s="869">
        <f t="shared" ca="1" si="334"/>
        <v>16729546.366866887</v>
      </c>
      <c r="O413" s="869">
        <f t="shared" ca="1" si="334"/>
        <v>880502.44036141573</v>
      </c>
      <c r="P413" s="869">
        <f t="shared" ca="1" si="334"/>
        <v>17610048.807228312</v>
      </c>
      <c r="Q413" s="869">
        <f t="shared" ca="1" si="334"/>
        <v>0</v>
      </c>
      <c r="R413" s="161"/>
      <c r="S413" s="869"/>
      <c r="T413" s="869">
        <f t="shared" ca="1" si="335"/>
        <v>10612303.638538502</v>
      </c>
      <c r="U413" s="869">
        <f t="shared" ca="1" si="335"/>
        <v>9979698.2262985595</v>
      </c>
      <c r="V413" s="869">
        <f t="shared" ca="1" si="335"/>
        <v>27341850.005405389</v>
      </c>
      <c r="W413" s="869">
        <f t="shared" ca="1" si="335"/>
        <v>0</v>
      </c>
      <c r="X413" s="869" cm="1">
        <f t="array" aca="1" ref="X413" ca="1">LOOKUP(2,1/($F$49:$F$407=$D414),X$49:X$407)</f>
        <v>0</v>
      </c>
      <c r="Y413" s="869">
        <f t="shared" ca="1" si="336"/>
        <v>16729546.366866887</v>
      </c>
      <c r="Z413" s="869">
        <f t="shared" ca="1" si="336"/>
        <v>880502.44036141573</v>
      </c>
      <c r="AA413" s="869">
        <f t="shared" ca="1" si="336"/>
        <v>17610048.807228312</v>
      </c>
      <c r="AB413" s="869">
        <f t="shared" ca="1" si="336"/>
        <v>0</v>
      </c>
      <c r="AC413" s="161"/>
      <c r="AD413" s="869"/>
      <c r="AE413" s="869">
        <f t="shared" ca="1" si="337"/>
        <v>10612303.638538502</v>
      </c>
      <c r="AF413" s="869">
        <f t="shared" ca="1" si="337"/>
        <v>12212720.447773078</v>
      </c>
      <c r="AG413" s="869">
        <f t="shared" ca="1" si="337"/>
        <v>27341850.005405389</v>
      </c>
      <c r="AH413" s="869">
        <f t="shared" ca="1" si="337"/>
        <v>0</v>
      </c>
      <c r="AI413" s="869" cm="1">
        <f t="array" aca="1" ref="AI413" ca="1">LOOKUP(2,1/($F$49:$F$407=$D414),AI$49:AI$407)</f>
        <v>0</v>
      </c>
      <c r="AJ413" s="869">
        <f t="shared" ca="1" si="338"/>
        <v>16729546.366866887</v>
      </c>
      <c r="AK413" s="869">
        <f t="shared" ca="1" si="338"/>
        <v>16729546.366866887</v>
      </c>
      <c r="AL413" s="869">
        <f t="shared" ca="1" si="338"/>
        <v>880502.44036141573</v>
      </c>
      <c r="AM413" s="869">
        <f t="shared" ca="1" si="338"/>
        <v>17610048.807228312</v>
      </c>
      <c r="AN413" s="869">
        <f t="shared" ca="1" si="339"/>
        <v>88234449.245690227</v>
      </c>
      <c r="AO413" s="161"/>
      <c r="AP413" s="869"/>
      <c r="AQ413" s="869">
        <f t="shared" ca="1" si="340"/>
        <v>10612303.638538502</v>
      </c>
      <c r="AR413" s="869">
        <f t="shared" ca="1" si="340"/>
        <v>14524462.33516299</v>
      </c>
      <c r="AS413" s="869">
        <f t="shared" ca="1" si="340"/>
        <v>27341850.005405389</v>
      </c>
      <c r="AT413" s="869">
        <f t="shared" ca="1" si="340"/>
        <v>0</v>
      </c>
      <c r="AU413" s="869"/>
      <c r="AV413" s="869">
        <f t="shared" ca="1" si="341"/>
        <v>16729546.366866887</v>
      </c>
      <c r="AW413" s="869">
        <f t="shared" ca="1" si="341"/>
        <v>16729546.366866887</v>
      </c>
      <c r="AX413" s="869">
        <f t="shared" ca="1" si="341"/>
        <v>880502.44036141573</v>
      </c>
      <c r="AY413" s="869">
        <f t="shared" ca="1" si="341"/>
        <v>17610048.807228312</v>
      </c>
      <c r="AZ413" s="869">
        <f t="shared" ca="1" si="341"/>
        <v>0</v>
      </c>
      <c r="BA413" s="161"/>
      <c r="BB413" s="869">
        <f t="shared" ca="1" si="342"/>
        <v>0</v>
      </c>
      <c r="BC413" s="869">
        <f t="shared" ca="1" si="342"/>
        <v>0</v>
      </c>
      <c r="BD413" s="658"/>
      <c r="BE413" s="869">
        <f t="shared" ca="1" si="343"/>
        <v>16729546.366866887</v>
      </c>
      <c r="BF413" s="869">
        <f t="shared" ca="1" si="343"/>
        <v>880502.44036141573</v>
      </c>
      <c r="BG413" s="869">
        <f t="shared" ca="1" si="343"/>
        <v>17610048.807228312</v>
      </c>
      <c r="BI413" s="869">
        <f t="shared" ca="1" si="344"/>
        <v>17610048.807228312</v>
      </c>
      <c r="BJ413" s="869">
        <f t="shared" ca="1" si="344"/>
        <v>16729546.366866887</v>
      </c>
      <c r="BK413" s="869">
        <f t="shared" ca="1" si="344"/>
        <v>880502.44036141573</v>
      </c>
      <c r="BL413" s="869">
        <f t="shared" ca="1" si="344"/>
        <v>0</v>
      </c>
      <c r="BM413" s="869">
        <f t="shared" ca="1" si="344"/>
        <v>0</v>
      </c>
      <c r="BN413" s="869">
        <f t="shared" ca="1" si="344"/>
        <v>0</v>
      </c>
      <c r="BO413" s="869">
        <f t="shared" ca="1" si="344"/>
        <v>0</v>
      </c>
      <c r="BP413" s="869">
        <f t="shared" ca="1" si="344"/>
        <v>0</v>
      </c>
      <c r="BQ413" s="869">
        <f t="shared" ca="1" si="344"/>
        <v>0</v>
      </c>
      <c r="BR413" s="869">
        <f t="shared" ca="1" si="344"/>
        <v>0</v>
      </c>
      <c r="BS413" s="869">
        <f t="shared" ca="1" si="344"/>
        <v>0</v>
      </c>
      <c r="BT413" s="869">
        <f t="shared" ca="1" si="344"/>
        <v>16729546.366866887</v>
      </c>
      <c r="BU413" s="869">
        <f t="shared" ca="1" si="344"/>
        <v>880502.44036141573</v>
      </c>
      <c r="BX413" s="869">
        <f t="shared" ca="1" si="345"/>
        <v>17610048.807228312</v>
      </c>
      <c r="BY413" s="869">
        <f t="shared" ca="1" si="345"/>
        <v>17610048.807228312</v>
      </c>
      <c r="BZ413" s="869">
        <f t="shared" ca="1" si="345"/>
        <v>0</v>
      </c>
      <c r="CA413" s="869">
        <f t="shared" ca="1" si="345"/>
        <v>0</v>
      </c>
      <c r="CB413" s="869">
        <f t="shared" ca="1" si="345"/>
        <v>0</v>
      </c>
      <c r="CC413" s="869">
        <f t="shared" ca="1" si="345"/>
        <v>0</v>
      </c>
      <c r="CD413" s="869">
        <f t="shared" ca="1" si="345"/>
        <v>17610048.807228312</v>
      </c>
    </row>
    <row r="414" spans="1:82" ht="16" thickTop="1" thickBot="1">
      <c r="A414" s="773">
        <f t="shared" si="278"/>
        <v>1</v>
      </c>
      <c r="D414" s="874">
        <v>4</v>
      </c>
      <c r="E414" s="876">
        <v>46752</v>
      </c>
      <c r="F414" s="877">
        <v>2027</v>
      </c>
      <c r="G414" s="869">
        <f t="shared" ca="1" si="332"/>
        <v>224432970.10221842</v>
      </c>
      <c r="I414" s="869"/>
      <c r="J414" s="869">
        <f t="shared" ca="1" si="333"/>
        <v>7199571.1715958435</v>
      </c>
      <c r="K414" s="869">
        <f t="shared" ca="1" si="333"/>
        <v>7146731.3220175086</v>
      </c>
      <c r="L414" s="869">
        <f t="shared" ca="1" si="333"/>
        <v>121349135.05180839</v>
      </c>
      <c r="M414" s="869"/>
      <c r="N414" s="869">
        <f t="shared" ca="1" si="334"/>
        <v>114149563.88021253</v>
      </c>
      <c r="O414" s="869">
        <f t="shared" ca="1" si="334"/>
        <v>6007871.7831690814</v>
      </c>
      <c r="P414" s="869">
        <f t="shared" ca="1" si="334"/>
        <v>120157435.66338164</v>
      </c>
      <c r="Q414" s="869">
        <f t="shared" ca="1" si="334"/>
        <v>104275534.40000001</v>
      </c>
      <c r="R414" s="161"/>
      <c r="S414" s="869"/>
      <c r="T414" s="869">
        <f t="shared" ca="1" si="335"/>
        <v>7199571.1715958435</v>
      </c>
      <c r="U414" s="869">
        <f t="shared" ca="1" si="335"/>
        <v>9353720.5378828105</v>
      </c>
      <c r="V414" s="869">
        <f t="shared" ca="1" si="335"/>
        <v>121349135.05180839</v>
      </c>
      <c r="W414" s="869">
        <f t="shared" ca="1" si="335"/>
        <v>6319740.024061963</v>
      </c>
      <c r="X414" s="869" cm="1">
        <f t="array" aca="1" ref="X414" ca="1">LOOKUP(2,1/($F$49:$F$407=$D415),X$49:X$407)</f>
        <v>1892213.578967497</v>
      </c>
      <c r="Y414" s="869">
        <f t="shared" ca="1" si="336"/>
        <v>120469303.90427449</v>
      </c>
      <c r="Z414" s="869">
        <f t="shared" ca="1" si="336"/>
        <v>7079640.559179591</v>
      </c>
      <c r="AA414" s="869">
        <f t="shared" ca="1" si="336"/>
        <v>127548944.4634541</v>
      </c>
      <c r="AB414" s="869">
        <f t="shared" ca="1" si="336"/>
        <v>96884025.638764307</v>
      </c>
      <c r="AC414" s="161"/>
      <c r="AD414" s="869"/>
      <c r="AE414" s="869">
        <f t="shared" ca="1" si="337"/>
        <v>7199571.1715958435</v>
      </c>
      <c r="AF414" s="869">
        <f t="shared" ca="1" si="337"/>
        <v>11737849.397800015</v>
      </c>
      <c r="AG414" s="869">
        <f t="shared" ca="1" si="337"/>
        <v>127668875.07587036</v>
      </c>
      <c r="AH414" s="869">
        <f t="shared" ca="1" si="337"/>
        <v>6573678.0587363094</v>
      </c>
      <c r="AI414" s="869" cm="1">
        <f t="array" aca="1" ref="AI414" ca="1">LOOKUP(2,1/($F$49:$F$407=$D415),AI$49:AI$407)</f>
        <v>1906418.0204430639</v>
      </c>
      <c r="AJ414" s="869">
        <f t="shared" ca="1" si="338"/>
        <v>127042981.9630108</v>
      </c>
      <c r="AK414" s="869">
        <f t="shared" ca="1" si="338"/>
        <v>127042981.9630108</v>
      </c>
      <c r="AL414" s="869">
        <f t="shared" ca="1" si="338"/>
        <v>9155538.8935173731</v>
      </c>
      <c r="AM414" s="869">
        <f t="shared" ca="1" si="338"/>
        <v>136198520.85652819</v>
      </c>
      <c r="AN414" s="869">
        <f t="shared" ca="1" si="339"/>
        <v>0</v>
      </c>
      <c r="AO414" s="161"/>
      <c r="AP414" s="869"/>
      <c r="AQ414" s="869">
        <f t="shared" ca="1" si="340"/>
        <v>7199571.1715958435</v>
      </c>
      <c r="AR414" s="869">
        <f t="shared" ca="1" si="340"/>
        <v>14303623.858825132</v>
      </c>
      <c r="AS414" s="869">
        <f t="shared" ca="1" si="340"/>
        <v>134242553.13460666</v>
      </c>
      <c r="AT414" s="869">
        <f t="shared" ca="1" si="340"/>
        <v>6832048.0325768739</v>
      </c>
      <c r="AU414" s="869"/>
      <c r="AV414" s="869">
        <f t="shared" ca="1" si="341"/>
        <v>133875029.99558768</v>
      </c>
      <c r="AW414" s="869">
        <f t="shared" ca="1" si="341"/>
        <v>133875029.99558768</v>
      </c>
      <c r="AX414" s="869">
        <f t="shared" ca="1" si="341"/>
        <v>12597247.300905723</v>
      </c>
      <c r="AY414" s="869">
        <f t="shared" ca="1" si="341"/>
        <v>146472277.29649341</v>
      </c>
      <c r="AZ414" s="869">
        <f t="shared" ca="1" si="341"/>
        <v>77960692.805724993</v>
      </c>
      <c r="BA414" s="161"/>
      <c r="BB414" s="869">
        <f t="shared" ca="1" si="342"/>
        <v>38980346.402862497</v>
      </c>
      <c r="BC414" s="869">
        <f t="shared" ca="1" si="342"/>
        <v>38980346.402862497</v>
      </c>
      <c r="BD414" s="658"/>
      <c r="BE414" s="869">
        <f t="shared" ca="1" si="343"/>
        <v>172855376.39845017</v>
      </c>
      <c r="BF414" s="869">
        <f t="shared" ca="1" si="343"/>
        <v>51577593.703768224</v>
      </c>
      <c r="BG414" s="869">
        <f t="shared" ca="1" si="343"/>
        <v>224432970.10221842</v>
      </c>
      <c r="BI414" s="869">
        <f t="shared" ca="1" si="344"/>
        <v>224432970.10221842</v>
      </c>
      <c r="BJ414" s="869">
        <f t="shared" ca="1" si="344"/>
        <v>114149563.88021253</v>
      </c>
      <c r="BK414" s="869">
        <f t="shared" ca="1" si="344"/>
        <v>6007871.7831690814</v>
      </c>
      <c r="BL414" s="869">
        <f t="shared" ca="1" si="344"/>
        <v>6319740.024061963</v>
      </c>
      <c r="BM414" s="869">
        <f t="shared" ca="1" si="344"/>
        <v>1071768.7760105086</v>
      </c>
      <c r="BN414" s="869">
        <f t="shared" ca="1" si="344"/>
        <v>6573678.0587363094</v>
      </c>
      <c r="BO414" s="869">
        <f t="shared" ca="1" si="344"/>
        <v>2075898.3343377821</v>
      </c>
      <c r="BP414" s="869">
        <f t="shared" ca="1" si="344"/>
        <v>6832048.0325768739</v>
      </c>
      <c r="BQ414" s="869">
        <f t="shared" ca="1" si="344"/>
        <v>3441708.4073883509</v>
      </c>
      <c r="BR414" s="869">
        <f t="shared" ca="1" si="344"/>
        <v>38980346.402862497</v>
      </c>
      <c r="BS414" s="869">
        <f t="shared" ca="1" si="344"/>
        <v>38980346.402862497</v>
      </c>
      <c r="BT414" s="869">
        <f t="shared" ca="1" si="344"/>
        <v>172855376.39845017</v>
      </c>
      <c r="BU414" s="869">
        <f t="shared" ca="1" si="344"/>
        <v>51577593.703768224</v>
      </c>
      <c r="BX414" s="869">
        <f t="shared" ca="1" si="345"/>
        <v>224432970.10221842</v>
      </c>
      <c r="BY414" s="869">
        <f t="shared" ca="1" si="345"/>
        <v>120157435.66338164</v>
      </c>
      <c r="BZ414" s="869">
        <f t="shared" ca="1" si="345"/>
        <v>7391508.8000724716</v>
      </c>
      <c r="CA414" s="869">
        <f t="shared" ca="1" si="345"/>
        <v>8649576.3930740915</v>
      </c>
      <c r="CB414" s="869">
        <f t="shared" ca="1" si="345"/>
        <v>10273756.439965226</v>
      </c>
      <c r="CC414" s="869">
        <f t="shared" ca="1" si="345"/>
        <v>77960692.805724993</v>
      </c>
      <c r="CD414" s="869">
        <f t="shared" ca="1" si="345"/>
        <v>224432970.10221845</v>
      </c>
    </row>
    <row r="415" spans="1:82" ht="16" thickTop="1" thickBot="1">
      <c r="A415" s="773">
        <f t="shared" si="278"/>
        <v>1</v>
      </c>
      <c r="D415" s="874">
        <v>5</v>
      </c>
      <c r="E415" s="876">
        <v>47118</v>
      </c>
      <c r="F415" s="877">
        <v>2028</v>
      </c>
      <c r="G415" s="869">
        <f t="shared" ca="1" si="332"/>
        <v>-1915529.43582018</v>
      </c>
      <c r="I415" s="869"/>
      <c r="J415" s="869">
        <f t="shared" ca="1" si="333"/>
        <v>1819752.964029171</v>
      </c>
      <c r="K415" s="869">
        <f t="shared" ca="1" si="333"/>
        <v>58163.832899111003</v>
      </c>
      <c r="L415" s="869">
        <f t="shared" ca="1" si="333"/>
        <v>0</v>
      </c>
      <c r="M415" s="869"/>
      <c r="N415" s="869">
        <f t="shared" ca="1" si="334"/>
        <v>-1819752.964029171</v>
      </c>
      <c r="O415" s="869">
        <f t="shared" ca="1" si="334"/>
        <v>-95776.471791009026</v>
      </c>
      <c r="P415" s="869">
        <f t="shared" ca="1" si="334"/>
        <v>-1915529.43582018</v>
      </c>
      <c r="Q415" s="869">
        <f t="shared" ca="1" si="334"/>
        <v>0</v>
      </c>
      <c r="R415" s="161"/>
      <c r="S415" s="869"/>
      <c r="T415" s="869">
        <f t="shared" ca="1" si="335"/>
        <v>1819752.964029171</v>
      </c>
      <c r="U415" s="869">
        <f t="shared" ca="1" si="335"/>
        <v>72460.61493832618</v>
      </c>
      <c r="V415" s="869">
        <f t="shared" ca="1" si="335"/>
        <v>0</v>
      </c>
      <c r="W415" s="869">
        <f t="shared" ca="1" si="335"/>
        <v>0</v>
      </c>
      <c r="X415" s="869" cm="1">
        <f t="array" aca="1" ref="X415" ca="1">LOOKUP(2,1/($F$49:$F$407=$D416),X$49:X$407)</f>
        <v>0</v>
      </c>
      <c r="Y415" s="869">
        <f t="shared" ca="1" si="336"/>
        <v>-1819752.964029171</v>
      </c>
      <c r="Z415" s="869">
        <f t="shared" ca="1" si="336"/>
        <v>-95776.471791009026</v>
      </c>
      <c r="AA415" s="869">
        <f t="shared" ca="1" si="336"/>
        <v>-1915529.43582018</v>
      </c>
      <c r="AB415" s="869">
        <f t="shared" ca="1" si="336"/>
        <v>0</v>
      </c>
      <c r="AC415" s="161"/>
      <c r="AD415" s="869"/>
      <c r="AE415" s="869">
        <f t="shared" ca="1" si="337"/>
        <v>1819752.964029171</v>
      </c>
      <c r="AF415" s="869">
        <f t="shared" ca="1" si="337"/>
        <v>86665.056413892802</v>
      </c>
      <c r="AG415" s="869">
        <f t="shared" ca="1" si="337"/>
        <v>0</v>
      </c>
      <c r="AH415" s="869">
        <f t="shared" ca="1" si="337"/>
        <v>0</v>
      </c>
      <c r="AI415" s="869" cm="1">
        <f t="array" aca="1" ref="AI415" ca="1">LOOKUP(2,1/($F$49:$F$407=$D416),AI$49:AI$407)</f>
        <v>0</v>
      </c>
      <c r="AJ415" s="869">
        <f t="shared" ca="1" si="338"/>
        <v>-1819752.964029171</v>
      </c>
      <c r="AK415" s="869">
        <f t="shared" ca="1" si="338"/>
        <v>-1819752.964029171</v>
      </c>
      <c r="AL415" s="869">
        <f t="shared" ca="1" si="338"/>
        <v>-95776.471791009026</v>
      </c>
      <c r="AM415" s="869">
        <f t="shared" ca="1" si="338"/>
        <v>-1915529.43582018</v>
      </c>
      <c r="AN415" s="869">
        <f t="shared" ca="1" si="339"/>
        <v>234554.56750125065</v>
      </c>
      <c r="AO415" s="161"/>
      <c r="AP415" s="869"/>
      <c r="AQ415" s="869">
        <f t="shared" ca="1" si="340"/>
        <v>1819752.964029171</v>
      </c>
      <c r="AR415" s="869">
        <f t="shared" ca="1" si="340"/>
        <v>100779.61178623326</v>
      </c>
      <c r="AS415" s="869">
        <f t="shared" ca="1" si="340"/>
        <v>0</v>
      </c>
      <c r="AT415" s="869">
        <f t="shared" ca="1" si="340"/>
        <v>0</v>
      </c>
      <c r="AU415" s="869"/>
      <c r="AV415" s="869">
        <f t="shared" ca="1" si="341"/>
        <v>-1819752.964029171</v>
      </c>
      <c r="AW415" s="869">
        <f t="shared" ca="1" si="341"/>
        <v>-1819752.964029171</v>
      </c>
      <c r="AX415" s="869">
        <f t="shared" ca="1" si="341"/>
        <v>-95776.471791009026</v>
      </c>
      <c r="AY415" s="869">
        <f t="shared" ca="1" si="341"/>
        <v>-1915529.43582018</v>
      </c>
      <c r="AZ415" s="869">
        <f t="shared" ca="1" si="341"/>
        <v>0</v>
      </c>
      <c r="BA415" s="161"/>
      <c r="BB415" s="869">
        <f t="shared" ca="1" si="342"/>
        <v>0</v>
      </c>
      <c r="BC415" s="869">
        <f t="shared" ca="1" si="342"/>
        <v>0</v>
      </c>
      <c r="BD415" s="658"/>
      <c r="BE415" s="869">
        <f t="shared" ca="1" si="343"/>
        <v>-1819752.964029171</v>
      </c>
      <c r="BF415" s="869">
        <f t="shared" ca="1" si="343"/>
        <v>-95776.471791009026</v>
      </c>
      <c r="BG415" s="869">
        <f t="shared" ca="1" si="343"/>
        <v>-1915529.43582018</v>
      </c>
      <c r="BI415" s="869">
        <f t="shared" ca="1" si="344"/>
        <v>-1915529.43582018</v>
      </c>
      <c r="BJ415" s="869">
        <f t="shared" ca="1" si="344"/>
        <v>-1819752.964029171</v>
      </c>
      <c r="BK415" s="869">
        <f t="shared" ca="1" si="344"/>
        <v>-95776.471791009026</v>
      </c>
      <c r="BL415" s="869">
        <f t="shared" ca="1" si="344"/>
        <v>0</v>
      </c>
      <c r="BM415" s="869">
        <f t="shared" ca="1" si="344"/>
        <v>0</v>
      </c>
      <c r="BN415" s="869">
        <f t="shared" ca="1" si="344"/>
        <v>0</v>
      </c>
      <c r="BO415" s="869">
        <f t="shared" ca="1" si="344"/>
        <v>0</v>
      </c>
      <c r="BP415" s="869">
        <f t="shared" ca="1" si="344"/>
        <v>0</v>
      </c>
      <c r="BQ415" s="869">
        <f t="shared" ca="1" si="344"/>
        <v>0</v>
      </c>
      <c r="BR415" s="869">
        <f t="shared" ca="1" si="344"/>
        <v>0</v>
      </c>
      <c r="BS415" s="869">
        <f t="shared" ca="1" si="344"/>
        <v>0</v>
      </c>
      <c r="BT415" s="869">
        <f t="shared" ca="1" si="344"/>
        <v>-1819752.964029171</v>
      </c>
      <c r="BU415" s="869">
        <f t="shared" ca="1" si="344"/>
        <v>-95776.471791009026</v>
      </c>
      <c r="BX415" s="869">
        <f t="shared" ca="1" si="345"/>
        <v>-1915529.43582018</v>
      </c>
      <c r="BY415" s="869">
        <f t="shared" ca="1" si="345"/>
        <v>-1915529.43582018</v>
      </c>
      <c r="BZ415" s="869">
        <f t="shared" ca="1" si="345"/>
        <v>0</v>
      </c>
      <c r="CA415" s="869">
        <f t="shared" ca="1" si="345"/>
        <v>0</v>
      </c>
      <c r="CB415" s="869">
        <f t="shared" ca="1" si="345"/>
        <v>0</v>
      </c>
      <c r="CC415" s="869">
        <f t="shared" ca="1" si="345"/>
        <v>0</v>
      </c>
      <c r="CD415" s="869">
        <f t="shared" ca="1" si="345"/>
        <v>-1915529.43582018</v>
      </c>
    </row>
    <row r="416" spans="1:82" ht="16" thickTop="1" thickBot="1">
      <c r="A416" s="773">
        <f t="shared" si="278"/>
        <v>1</v>
      </c>
      <c r="D416" s="874">
        <v>6</v>
      </c>
      <c r="E416" s="876">
        <v>47483</v>
      </c>
      <c r="F416" s="877">
        <v>2029</v>
      </c>
      <c r="G416" s="869">
        <f t="shared" ca="1" si="332"/>
        <v>2751324.8599989675</v>
      </c>
      <c r="I416" s="869"/>
      <c r="J416" s="869">
        <f t="shared" ca="1" si="333"/>
        <v>3796856.0714754844</v>
      </c>
      <c r="K416" s="869">
        <f t="shared" ca="1" si="333"/>
        <v>299997.39083384816</v>
      </c>
      <c r="L416" s="869">
        <f t="shared" ca="1" si="333"/>
        <v>5974770.2592376163</v>
      </c>
      <c r="M416" s="869"/>
      <c r="N416" s="869">
        <f t="shared" ca="1" si="334"/>
        <v>2177914.1877621319</v>
      </c>
      <c r="O416" s="869">
        <f t="shared" ca="1" si="334"/>
        <v>114627.06251379638</v>
      </c>
      <c r="P416" s="869">
        <f t="shared" ca="1" si="334"/>
        <v>2292541.2502759281</v>
      </c>
      <c r="Q416" s="869">
        <f t="shared" ca="1" si="334"/>
        <v>458783.6</v>
      </c>
      <c r="R416" s="161"/>
      <c r="S416" s="869"/>
      <c r="T416" s="869">
        <f t="shared" ca="1" si="335"/>
        <v>3796856.0714754844</v>
      </c>
      <c r="U416" s="869">
        <f t="shared" ca="1" si="335"/>
        <v>375797.69590842753</v>
      </c>
      <c r="V416" s="869">
        <f t="shared" ca="1" si="335"/>
        <v>5974770.2592376163</v>
      </c>
      <c r="W416" s="869">
        <f t="shared" ca="1" si="335"/>
        <v>90097.087113794871</v>
      </c>
      <c r="X416" s="869" cm="1">
        <f t="array" aca="1" ref="X416" ca="1">LOOKUP(2,1/($F$49:$F$407=$D417),X$49:X$407)</f>
        <v>707979.44919106795</v>
      </c>
      <c r="Y416" s="869">
        <f t="shared" ca="1" si="336"/>
        <v>2268011.2748759268</v>
      </c>
      <c r="Z416" s="869">
        <f t="shared" ca="1" si="336"/>
        <v>129906.68547461537</v>
      </c>
      <c r="AA416" s="869">
        <f t="shared" ca="1" si="336"/>
        <v>2397917.9603505419</v>
      </c>
      <c r="AB416" s="869">
        <f t="shared" ca="1" si="336"/>
        <v>353406.8996484261</v>
      </c>
      <c r="AC416" s="161"/>
      <c r="AD416" s="869"/>
      <c r="AE416" s="869">
        <f t="shared" ca="1" si="337"/>
        <v>3796856.0714754844</v>
      </c>
      <c r="AF416" s="869">
        <f t="shared" ca="1" si="337"/>
        <v>451921.02686471376</v>
      </c>
      <c r="AG416" s="869">
        <f t="shared" ca="1" si="337"/>
        <v>6064867.3463514112</v>
      </c>
      <c r="AH416" s="869">
        <f t="shared" ca="1" si="337"/>
        <v>90327.772431853227</v>
      </c>
      <c r="AI416" s="869" cm="1">
        <f t="array" aca="1" ref="AI416" ca="1">LOOKUP(2,1/($F$49:$F$407=$D417),AI$49:AI$407)</f>
        <v>708721.86500601284</v>
      </c>
      <c r="AJ416" s="869">
        <f t="shared" ca="1" si="338"/>
        <v>2358339.04730778</v>
      </c>
      <c r="AK416" s="869">
        <f t="shared" ca="1" si="338"/>
        <v>2358339.04730778</v>
      </c>
      <c r="AL416" s="869">
        <f t="shared" ca="1" si="338"/>
        <v>158431.24518993741</v>
      </c>
      <c r="AM416" s="869">
        <f t="shared" ca="1" si="338"/>
        <v>2516770.2924977173</v>
      </c>
      <c r="AN416" s="869">
        <f t="shared" ca="1" si="339"/>
        <v>20901955.591748308</v>
      </c>
      <c r="AO416" s="161"/>
      <c r="AP416" s="869"/>
      <c r="AQ416" s="869">
        <f t="shared" ca="1" si="340"/>
        <v>3796856.0714754844</v>
      </c>
      <c r="AR416" s="869">
        <f t="shared" ca="1" si="340"/>
        <v>528368.50679882115</v>
      </c>
      <c r="AS416" s="869">
        <f t="shared" ca="1" si="340"/>
        <v>6155195.1187832644</v>
      </c>
      <c r="AT416" s="869">
        <f t="shared" ca="1" si="340"/>
        <v>90562.035306448117</v>
      </c>
      <c r="AU416" s="869"/>
      <c r="AV416" s="869">
        <f t="shared" ca="1" si="341"/>
        <v>2448901.0826142281</v>
      </c>
      <c r="AW416" s="869">
        <f t="shared" ca="1" si="341"/>
        <v>2448901.0826142281</v>
      </c>
      <c r="AX416" s="869">
        <f t="shared" ca="1" si="341"/>
        <v>204052.72162250901</v>
      </c>
      <c r="AY416" s="869">
        <f t="shared" ca="1" si="341"/>
        <v>2652953.8042367366</v>
      </c>
      <c r="AZ416" s="869">
        <f t="shared" ca="1" si="341"/>
        <v>98371.05576223135</v>
      </c>
      <c r="BA416" s="161"/>
      <c r="BB416" s="869">
        <f t="shared" ca="1" si="342"/>
        <v>49185.527881115675</v>
      </c>
      <c r="BC416" s="869">
        <f t="shared" ca="1" si="342"/>
        <v>49185.527881115675</v>
      </c>
      <c r="BD416" s="658"/>
      <c r="BE416" s="869">
        <f t="shared" ca="1" si="343"/>
        <v>2498086.6104953438</v>
      </c>
      <c r="BF416" s="869">
        <f t="shared" ca="1" si="343"/>
        <v>253238.24950362468</v>
      </c>
      <c r="BG416" s="869">
        <f t="shared" ca="1" si="343"/>
        <v>2751324.859998968</v>
      </c>
      <c r="BI416" s="869">
        <f t="shared" ca="1" si="344"/>
        <v>2751324.8599989675</v>
      </c>
      <c r="BJ416" s="869">
        <f t="shared" ca="1" si="344"/>
        <v>2177914.1877621319</v>
      </c>
      <c r="BK416" s="869">
        <f t="shared" ca="1" si="344"/>
        <v>114627.06251379638</v>
      </c>
      <c r="BL416" s="869">
        <f t="shared" ca="1" si="344"/>
        <v>90097.087113794871</v>
      </c>
      <c r="BM416" s="869">
        <f t="shared" ca="1" si="344"/>
        <v>15279.62296081899</v>
      </c>
      <c r="BN416" s="869">
        <f t="shared" ca="1" si="344"/>
        <v>90327.772431853227</v>
      </c>
      <c r="BO416" s="869">
        <f t="shared" ca="1" si="344"/>
        <v>28524.559715322044</v>
      </c>
      <c r="BP416" s="869">
        <f t="shared" ca="1" si="344"/>
        <v>90562.035306448117</v>
      </c>
      <c r="BQ416" s="869">
        <f t="shared" ca="1" si="344"/>
        <v>45621.476432571595</v>
      </c>
      <c r="BR416" s="869">
        <f t="shared" ca="1" si="344"/>
        <v>49185.527881115675</v>
      </c>
      <c r="BS416" s="869">
        <f t="shared" ca="1" si="344"/>
        <v>49185.527881115675</v>
      </c>
      <c r="BT416" s="869">
        <f t="shared" ca="1" si="344"/>
        <v>2498086.6104953438</v>
      </c>
      <c r="BU416" s="869">
        <f t="shared" ca="1" si="344"/>
        <v>253238.24950362468</v>
      </c>
      <c r="BX416" s="869">
        <f t="shared" ca="1" si="345"/>
        <v>2751324.8599989675</v>
      </c>
      <c r="BY416" s="869">
        <f t="shared" ca="1" si="345"/>
        <v>2292541.2502759281</v>
      </c>
      <c r="BZ416" s="869">
        <f t="shared" ca="1" si="345"/>
        <v>105376.71007461386</v>
      </c>
      <c r="CA416" s="869">
        <f t="shared" ca="1" si="345"/>
        <v>118852.33214717527</v>
      </c>
      <c r="CB416" s="869">
        <f t="shared" ca="1" si="345"/>
        <v>136183.51173901971</v>
      </c>
      <c r="CC416" s="869">
        <f t="shared" ca="1" si="345"/>
        <v>98371.05576223135</v>
      </c>
      <c r="CD416" s="869">
        <f t="shared" ca="1" si="345"/>
        <v>2751324.859998968</v>
      </c>
    </row>
    <row r="417" spans="1:82" ht="16" thickTop="1" thickBot="1">
      <c r="A417" s="773">
        <f t="shared" si="278"/>
        <v>1</v>
      </c>
      <c r="D417" s="875">
        <v>7</v>
      </c>
      <c r="E417" s="876">
        <v>47848</v>
      </c>
      <c r="F417" s="877">
        <v>2030</v>
      </c>
      <c r="G417" s="869">
        <f t="shared" ca="1" si="332"/>
        <v>20186769.797467355</v>
      </c>
      <c r="I417" s="869"/>
      <c r="J417" s="869">
        <f t="shared" ca="1" si="333"/>
        <v>1678390.3153845826</v>
      </c>
      <c r="K417" s="869">
        <f t="shared" ca="1" si="333"/>
        <v>18880.153638164149</v>
      </c>
      <c r="L417" s="869">
        <f t="shared" ca="1" si="333"/>
        <v>990042.85569793067</v>
      </c>
      <c r="M417" s="869"/>
      <c r="N417" s="869">
        <f t="shared" ca="1" si="334"/>
        <v>-688347.45968665218</v>
      </c>
      <c r="O417" s="869">
        <f t="shared" ca="1" si="334"/>
        <v>-36228.813667718539</v>
      </c>
      <c r="P417" s="869">
        <f t="shared" ca="1" si="334"/>
        <v>-724576.27335437061</v>
      </c>
      <c r="Q417" s="869">
        <f t="shared" ca="1" si="334"/>
        <v>20911346.100000001</v>
      </c>
      <c r="R417" s="161"/>
      <c r="S417" s="869"/>
      <c r="T417" s="869">
        <f t="shared" ca="1" si="335"/>
        <v>1678390.3153845826</v>
      </c>
      <c r="U417" s="869">
        <f t="shared" ca="1" si="335"/>
        <v>23437.541362609725</v>
      </c>
      <c r="V417" s="869">
        <f t="shared" ca="1" si="335"/>
        <v>990042.85569793067</v>
      </c>
      <c r="W417" s="869">
        <f t="shared" ca="1" si="335"/>
        <v>3805.5518581937067</v>
      </c>
      <c r="X417" s="869" cm="1">
        <f t="array" aca="1" ref="X417" ca="1">LOOKUP(2,1/($F$49:$F$407=$D418),X$49:X$407)</f>
        <v>0</v>
      </c>
      <c r="Y417" s="869">
        <f t="shared" ca="1" si="336"/>
        <v>-684541.90782845847</v>
      </c>
      <c r="Z417" s="869">
        <f t="shared" ca="1" si="336"/>
        <v>-35583.427680071654</v>
      </c>
      <c r="AA417" s="869">
        <f t="shared" ca="1" si="336"/>
        <v>-720125.33550853003</v>
      </c>
      <c r="AB417" s="869">
        <f t="shared" ca="1" si="336"/>
        <v>20906895.132975891</v>
      </c>
      <c r="AC417" s="161"/>
      <c r="AD417" s="869"/>
      <c r="AE417" s="869">
        <f t="shared" ca="1" si="337"/>
        <v>1678390.3153845826</v>
      </c>
      <c r="AF417" s="869">
        <f t="shared" ca="1" si="337"/>
        <v>27934.008510515876</v>
      </c>
      <c r="AG417" s="869">
        <f t="shared" ca="1" si="337"/>
        <v>993848.40755612438</v>
      </c>
      <c r="AH417" s="869">
        <f t="shared" ca="1" si="337"/>
        <v>3754.0513329615351</v>
      </c>
      <c r="AI417" s="869" cm="1">
        <f t="array" aca="1" ref="AI417" ca="1">LOOKUP(2,1/($F$49:$F$407=$D418),AI$49:AI$407)</f>
        <v>0</v>
      </c>
      <c r="AJ417" s="869">
        <f t="shared" ca="1" si="338"/>
        <v>-680787.85649549693</v>
      </c>
      <c r="AK417" s="869">
        <f t="shared" ca="1" si="338"/>
        <v>-680787.85649549693</v>
      </c>
      <c r="AL417" s="869">
        <f t="shared" ca="1" si="338"/>
        <v>-34397.937785452224</v>
      </c>
      <c r="AM417" s="869">
        <f t="shared" ca="1" si="338"/>
        <v>-715185.79428094928</v>
      </c>
      <c r="AN417" s="869">
        <f t="shared" ca="1" si="339"/>
        <v>25884672.824745815</v>
      </c>
      <c r="AO417" s="161"/>
      <c r="AP417" s="869"/>
      <c r="AQ417" s="869">
        <f t="shared" ca="1" si="340"/>
        <v>1678390.3153845826</v>
      </c>
      <c r="AR417" s="869">
        <f t="shared" ca="1" si="340"/>
        <v>32371.447222527313</v>
      </c>
      <c r="AS417" s="869">
        <f t="shared" ca="1" si="340"/>
        <v>997602.45888908592</v>
      </c>
      <c r="AT417" s="869">
        <f t="shared" ca="1" si="340"/>
        <v>3704.1572826465126</v>
      </c>
      <c r="AU417" s="869"/>
      <c r="AV417" s="869">
        <f t="shared" ca="1" si="341"/>
        <v>-677083.69921285042</v>
      </c>
      <c r="AW417" s="869">
        <f t="shared" ca="1" si="341"/>
        <v>-677083.69921285042</v>
      </c>
      <c r="AX417" s="869">
        <f t="shared" ca="1" si="341"/>
        <v>-32531.933740810746</v>
      </c>
      <c r="AY417" s="869">
        <f t="shared" ca="1" si="341"/>
        <v>-709615.63295366126</v>
      </c>
      <c r="AZ417" s="869">
        <f t="shared" ca="1" si="341"/>
        <v>20896385.430421017</v>
      </c>
      <c r="BA417" s="161"/>
      <c r="BB417" s="869">
        <f t="shared" ca="1" si="342"/>
        <v>10448192.715210509</v>
      </c>
      <c r="BC417" s="869">
        <f t="shared" ca="1" si="342"/>
        <v>10448192.715210509</v>
      </c>
      <c r="BD417" s="658"/>
      <c r="BE417" s="869">
        <f t="shared" ca="1" si="343"/>
        <v>9771109.0159976557</v>
      </c>
      <c r="BF417" s="869">
        <f t="shared" ca="1" si="343"/>
        <v>10415660.781469695</v>
      </c>
      <c r="BG417" s="869">
        <f t="shared" ca="1" si="343"/>
        <v>20186769.797467355</v>
      </c>
      <c r="BI417" s="869">
        <f t="shared" ca="1" si="344"/>
        <v>20186769.797467355</v>
      </c>
      <c r="BJ417" s="869">
        <f t="shared" ca="1" si="344"/>
        <v>-688347.45968665218</v>
      </c>
      <c r="BK417" s="869">
        <f t="shared" ca="1" si="344"/>
        <v>-36228.813667718539</v>
      </c>
      <c r="BL417" s="869">
        <f t="shared" ca="1" si="344"/>
        <v>3805.5518581937067</v>
      </c>
      <c r="BM417" s="869">
        <f t="shared" ca="1" si="344"/>
        <v>645.38598764688504</v>
      </c>
      <c r="BN417" s="869">
        <f t="shared" ca="1" si="344"/>
        <v>3754.0513329615351</v>
      </c>
      <c r="BO417" s="869">
        <f t="shared" ca="1" si="344"/>
        <v>1185.4898946194298</v>
      </c>
      <c r="BP417" s="869">
        <f t="shared" ca="1" si="344"/>
        <v>3704.1572826465126</v>
      </c>
      <c r="BQ417" s="869">
        <f t="shared" ca="1" si="344"/>
        <v>1866.0040446414787</v>
      </c>
      <c r="BR417" s="869">
        <f t="shared" ca="1" si="344"/>
        <v>10448192.715210509</v>
      </c>
      <c r="BS417" s="869">
        <f t="shared" ca="1" si="344"/>
        <v>10448192.715210509</v>
      </c>
      <c r="BT417" s="869">
        <f t="shared" ca="1" si="344"/>
        <v>9771109.0159976557</v>
      </c>
      <c r="BU417" s="869">
        <f t="shared" ca="1" si="344"/>
        <v>10415660.781469695</v>
      </c>
      <c r="BX417" s="869">
        <f t="shared" ca="1" si="345"/>
        <v>20186769.797467355</v>
      </c>
      <c r="BY417" s="869">
        <f t="shared" ca="1" si="345"/>
        <v>-724576.27335437061</v>
      </c>
      <c r="BZ417" s="869">
        <f t="shared" ca="1" si="345"/>
        <v>4450.9378458405918</v>
      </c>
      <c r="CA417" s="869">
        <f t="shared" ca="1" si="345"/>
        <v>4939.5412275809649</v>
      </c>
      <c r="CB417" s="869">
        <f t="shared" ca="1" si="345"/>
        <v>5570.1613272879913</v>
      </c>
      <c r="CC417" s="869">
        <f t="shared" ca="1" si="345"/>
        <v>20896385.430421017</v>
      </c>
      <c r="CD417" s="869">
        <f t="shared" ca="1" si="345"/>
        <v>20186769.797467355</v>
      </c>
    </row>
    <row r="418" spans="1:82" ht="16" thickTop="1" thickBot="1">
      <c r="A418" s="773">
        <f t="shared" si="278"/>
        <v>1</v>
      </c>
      <c r="D418" s="875">
        <v>8</v>
      </c>
      <c r="E418" s="876">
        <v>48213</v>
      </c>
      <c r="F418" s="877">
        <v>2031</v>
      </c>
      <c r="G418" s="869">
        <f t="shared" ca="1" si="332"/>
        <v>27118426.601746663</v>
      </c>
      <c r="I418" s="869"/>
      <c r="J418" s="869">
        <f t="shared" ca="1" si="333"/>
        <v>5989369.7710298281</v>
      </c>
      <c r="K418" s="869">
        <f t="shared" ca="1" si="333"/>
        <v>292824.26092567126</v>
      </c>
      <c r="L418" s="869">
        <f t="shared" ca="1" si="333"/>
        <v>6989421.6452803155</v>
      </c>
      <c r="M418" s="869"/>
      <c r="N418" s="869">
        <f t="shared" ca="1" si="334"/>
        <v>1000051.8742504874</v>
      </c>
      <c r="O418" s="869">
        <f t="shared" ca="1" si="334"/>
        <v>52634.309171078261</v>
      </c>
      <c r="P418" s="869">
        <f t="shared" ca="1" si="334"/>
        <v>1052686.1834215643</v>
      </c>
      <c r="Q418" s="869">
        <f t="shared" ca="1" si="334"/>
        <v>26065740.399999999</v>
      </c>
      <c r="R418" s="161"/>
      <c r="S418" s="869"/>
      <c r="T418" s="869">
        <f t="shared" ca="1" si="335"/>
        <v>5989369.7710298281</v>
      </c>
      <c r="U418" s="869">
        <f t="shared" ca="1" si="335"/>
        <v>365113.73088523792</v>
      </c>
      <c r="V418" s="869">
        <f t="shared" ca="1" si="335"/>
        <v>6989421.6452803155</v>
      </c>
      <c r="W418" s="869">
        <f t="shared" ca="1" si="335"/>
        <v>73041.305825819261</v>
      </c>
      <c r="X418" s="869" cm="1">
        <f t="array" aca="1" ref="X418" ca="1">LOOKUP(2,1/($F$49:$F$407=$D419),X$49:X$407)</f>
        <v>0</v>
      </c>
      <c r="Y418" s="869">
        <f t="shared" ca="1" si="336"/>
        <v>1073093.1800763067</v>
      </c>
      <c r="Z418" s="869">
        <f t="shared" ca="1" si="336"/>
        <v>65021.431211714284</v>
      </c>
      <c r="AA418" s="869">
        <f t="shared" ca="1" si="336"/>
        <v>1138114.6112880195</v>
      </c>
      <c r="AB418" s="869">
        <f t="shared" ca="1" si="336"/>
        <v>25980311.990458645</v>
      </c>
      <c r="AC418" s="161"/>
      <c r="AD418" s="869"/>
      <c r="AE418" s="869">
        <f t="shared" ca="1" si="337"/>
        <v>5989369.7710298281</v>
      </c>
      <c r="AF418" s="869">
        <f t="shared" ca="1" si="337"/>
        <v>437057.08101204666</v>
      </c>
      <c r="AG418" s="869">
        <f t="shared" ca="1" si="337"/>
        <v>7062462.9511061348</v>
      </c>
      <c r="AH418" s="869">
        <f t="shared" ca="1" si="337"/>
        <v>72685.76594175119</v>
      </c>
      <c r="AI418" s="869" cm="1">
        <f t="array" aca="1" ref="AI418" ca="1">LOOKUP(2,1/($F$49:$F$407=$D419),AI$49:AI$407)</f>
        <v>0</v>
      </c>
      <c r="AJ418" s="869">
        <f t="shared" ca="1" si="338"/>
        <v>1145778.9460180579</v>
      </c>
      <c r="AK418" s="869">
        <f t="shared" ca="1" si="338"/>
        <v>1145778.9460180579</v>
      </c>
      <c r="AL418" s="869">
        <f t="shared" ca="1" si="338"/>
        <v>87974.830982793588</v>
      </c>
      <c r="AM418" s="869">
        <f t="shared" ca="1" si="338"/>
        <v>1233753.7770008501</v>
      </c>
      <c r="AN418" s="869">
        <f t="shared" si="339"/>
        <v>0</v>
      </c>
      <c r="AO418" s="161"/>
      <c r="AP418" s="869"/>
      <c r="AQ418" s="869">
        <f t="shared" ca="1" si="340"/>
        <v>5989369.7710298281</v>
      </c>
      <c r="AR418" s="869">
        <f t="shared" ca="1" si="340"/>
        <v>508663.7554630118</v>
      </c>
      <c r="AS418" s="869">
        <f t="shared" ca="1" si="340"/>
        <v>7135148.717047886</v>
      </c>
      <c r="AT418" s="869">
        <f t="shared" ca="1" si="340"/>
        <v>72339.955880329944</v>
      </c>
      <c r="AU418" s="869"/>
      <c r="AV418" s="869">
        <f t="shared" ca="1" si="341"/>
        <v>1218118.9018983878</v>
      </c>
      <c r="AW418" s="869">
        <f t="shared" ca="1" si="341"/>
        <v>1218118.9018983878</v>
      </c>
      <c r="AX418" s="869">
        <f t="shared" ca="1" si="341"/>
        <v>124416.76364431321</v>
      </c>
      <c r="AY418" s="869">
        <f t="shared" ca="1" si="341"/>
        <v>1342535.6655426994</v>
      </c>
      <c r="AZ418" s="869">
        <f t="shared" ca="1" si="341"/>
        <v>25775890.936203964</v>
      </c>
      <c r="BA418" s="161"/>
      <c r="BB418" s="869">
        <f t="shared" ca="1" si="342"/>
        <v>12887945.468101982</v>
      </c>
      <c r="BC418" s="869">
        <f t="shared" ca="1" si="342"/>
        <v>12887945.468101982</v>
      </c>
      <c r="BD418" s="658"/>
      <c r="BE418" s="869">
        <f t="shared" ca="1" si="343"/>
        <v>14106064.370000372</v>
      </c>
      <c r="BF418" s="869">
        <f t="shared" ca="1" si="343"/>
        <v>13012362.231746294</v>
      </c>
      <c r="BG418" s="869">
        <f t="shared" ca="1" si="343"/>
        <v>27118426.601746663</v>
      </c>
      <c r="BI418" s="869">
        <f t="shared" ca="1" si="344"/>
        <v>27118426.601746663</v>
      </c>
      <c r="BJ418" s="869">
        <f t="shared" ca="1" si="344"/>
        <v>1000051.8742504874</v>
      </c>
      <c r="BK418" s="869">
        <f t="shared" ca="1" si="344"/>
        <v>52634.309171078261</v>
      </c>
      <c r="BL418" s="869">
        <f t="shared" ca="1" si="344"/>
        <v>73041.305825819261</v>
      </c>
      <c r="BM418" s="869">
        <f t="shared" ca="1" si="344"/>
        <v>12387.122040636023</v>
      </c>
      <c r="BN418" s="869">
        <f t="shared" ca="1" si="344"/>
        <v>72685.76594175119</v>
      </c>
      <c r="BO418" s="869">
        <f t="shared" ca="1" si="344"/>
        <v>22953.399771079305</v>
      </c>
      <c r="BP418" s="869">
        <f t="shared" ca="1" si="344"/>
        <v>72339.955880329944</v>
      </c>
      <c r="BQ418" s="869">
        <f t="shared" ca="1" si="344"/>
        <v>36441.932661519619</v>
      </c>
      <c r="BR418" s="869">
        <f t="shared" ca="1" si="344"/>
        <v>12887945.468101982</v>
      </c>
      <c r="BS418" s="869">
        <f t="shared" ca="1" si="344"/>
        <v>12887945.468101982</v>
      </c>
      <c r="BT418" s="869">
        <f t="shared" ca="1" si="344"/>
        <v>14106064.370000372</v>
      </c>
      <c r="BU418" s="869">
        <f t="shared" ca="1" si="344"/>
        <v>13012362.231746294</v>
      </c>
      <c r="BX418" s="869">
        <f t="shared" ca="1" si="345"/>
        <v>27118426.601746663</v>
      </c>
      <c r="BY418" s="869">
        <f t="shared" ca="1" si="345"/>
        <v>1052686.1834215643</v>
      </c>
      <c r="BZ418" s="869">
        <f t="shared" ca="1" si="345"/>
        <v>85428.427866455284</v>
      </c>
      <c r="CA418" s="869">
        <f t="shared" ca="1" si="345"/>
        <v>95639.165712830494</v>
      </c>
      <c r="CB418" s="869">
        <f t="shared" ca="1" si="345"/>
        <v>108781.88854184956</v>
      </c>
      <c r="CC418" s="869">
        <f t="shared" ca="1" si="345"/>
        <v>25775890.936203964</v>
      </c>
      <c r="CD418" s="869">
        <f t="shared" ca="1" si="345"/>
        <v>27118426.601746663</v>
      </c>
    </row>
    <row r="419" spans="1:82" ht="16" hidden="1" thickTop="1" thickBot="1">
      <c r="A419" s="773">
        <f t="shared" si="278"/>
        <v>0</v>
      </c>
      <c r="D419" s="875"/>
      <c r="E419" s="876"/>
      <c r="F419" s="877"/>
      <c r="G419" s="869">
        <f t="shared" si="332"/>
        <v>0</v>
      </c>
      <c r="I419" s="869"/>
      <c r="J419" s="869">
        <f t="shared" si="333"/>
        <v>0</v>
      </c>
      <c r="K419" s="869">
        <f t="shared" si="333"/>
        <v>0</v>
      </c>
      <c r="L419" s="869">
        <f t="shared" si="333"/>
        <v>0</v>
      </c>
      <c r="M419" s="869"/>
      <c r="N419" s="869">
        <f t="shared" si="334"/>
        <v>0</v>
      </c>
      <c r="O419" s="869">
        <f t="shared" si="334"/>
        <v>0</v>
      </c>
      <c r="P419" s="869">
        <f t="shared" si="334"/>
        <v>0</v>
      </c>
      <c r="Q419" s="869">
        <f t="shared" si="334"/>
        <v>0</v>
      </c>
      <c r="R419" s="161"/>
      <c r="S419" s="869"/>
      <c r="T419" s="869">
        <f t="shared" si="335"/>
        <v>0</v>
      </c>
      <c r="U419" s="869">
        <f t="shared" si="335"/>
        <v>0</v>
      </c>
      <c r="V419" s="869">
        <f t="shared" si="335"/>
        <v>0</v>
      </c>
      <c r="W419" s="869">
        <f t="shared" si="335"/>
        <v>0</v>
      </c>
      <c r="X419" s="869" cm="1">
        <f t="array" aca="1" ref="X419" ca="1">LOOKUP(2,1/($F$49:$F$407=$D420),X$49:X$407)</f>
        <v>0</v>
      </c>
      <c r="Y419" s="869">
        <f t="shared" si="336"/>
        <v>0</v>
      </c>
      <c r="Z419" s="869">
        <f t="shared" si="336"/>
        <v>0</v>
      </c>
      <c r="AA419" s="869">
        <f t="shared" si="336"/>
        <v>0</v>
      </c>
      <c r="AB419" s="869">
        <f t="shared" si="336"/>
        <v>0</v>
      </c>
      <c r="AC419" s="161"/>
      <c r="AD419" s="869"/>
      <c r="AE419" s="869">
        <f t="shared" si="337"/>
        <v>0</v>
      </c>
      <c r="AF419" s="869">
        <f t="shared" si="337"/>
        <v>0</v>
      </c>
      <c r="AG419" s="869">
        <f t="shared" si="337"/>
        <v>0</v>
      </c>
      <c r="AH419" s="869">
        <f t="shared" si="337"/>
        <v>0</v>
      </c>
      <c r="AI419" s="869" cm="1">
        <f t="array" aca="1" ref="AI419" ca="1">LOOKUP(2,1/($F$49:$F$407=$D420),AI$49:AI$407)</f>
        <v>0</v>
      </c>
      <c r="AJ419" s="869">
        <f t="shared" si="338"/>
        <v>0</v>
      </c>
      <c r="AK419" s="869">
        <f t="shared" si="338"/>
        <v>0</v>
      </c>
      <c r="AL419" s="869">
        <f t="shared" si="338"/>
        <v>0</v>
      </c>
      <c r="AM419" s="869">
        <f t="shared" si="338"/>
        <v>0</v>
      </c>
      <c r="AN419" s="869">
        <f t="shared" si="339"/>
        <v>0</v>
      </c>
      <c r="AO419" s="161"/>
      <c r="AP419" s="869"/>
      <c r="AQ419" s="869">
        <f t="shared" si="340"/>
        <v>0</v>
      </c>
      <c r="AR419" s="869">
        <f t="shared" si="340"/>
        <v>0</v>
      </c>
      <c r="AS419" s="869">
        <f t="shared" si="340"/>
        <v>0</v>
      </c>
      <c r="AT419" s="869">
        <f t="shared" si="340"/>
        <v>0</v>
      </c>
      <c r="AU419" s="869"/>
      <c r="AV419" s="869">
        <f t="shared" si="341"/>
        <v>0</v>
      </c>
      <c r="AW419" s="869">
        <f t="shared" si="341"/>
        <v>0</v>
      </c>
      <c r="AX419" s="869">
        <f t="shared" si="341"/>
        <v>0</v>
      </c>
      <c r="AY419" s="869">
        <f t="shared" si="341"/>
        <v>0</v>
      </c>
      <c r="AZ419" s="869">
        <f t="shared" si="341"/>
        <v>0</v>
      </c>
      <c r="BA419" s="161"/>
      <c r="BB419" s="869">
        <f t="shared" si="342"/>
        <v>0</v>
      </c>
      <c r="BC419" s="869">
        <f t="shared" si="342"/>
        <v>0</v>
      </c>
      <c r="BD419" s="658"/>
      <c r="BE419" s="869">
        <f t="shared" si="343"/>
        <v>0</v>
      </c>
      <c r="BF419" s="869">
        <f t="shared" si="343"/>
        <v>0</v>
      </c>
      <c r="BG419" s="869">
        <f t="shared" si="343"/>
        <v>0</v>
      </c>
      <c r="BI419" s="869">
        <f t="shared" si="344"/>
        <v>0</v>
      </c>
      <c r="BJ419" s="869">
        <f t="shared" si="344"/>
        <v>0</v>
      </c>
      <c r="BK419" s="869">
        <f t="shared" si="344"/>
        <v>0</v>
      </c>
      <c r="BL419" s="869">
        <f t="shared" si="344"/>
        <v>0</v>
      </c>
      <c r="BM419" s="869">
        <f t="shared" si="344"/>
        <v>0</v>
      </c>
      <c r="BN419" s="869">
        <f t="shared" si="344"/>
        <v>0</v>
      </c>
      <c r="BO419" s="869">
        <f t="shared" si="344"/>
        <v>0</v>
      </c>
      <c r="BP419" s="869">
        <f t="shared" si="344"/>
        <v>0</v>
      </c>
      <c r="BQ419" s="869">
        <f t="shared" si="344"/>
        <v>0</v>
      </c>
      <c r="BR419" s="869">
        <f t="shared" si="344"/>
        <v>0</v>
      </c>
      <c r="BS419" s="869">
        <f t="shared" si="344"/>
        <v>0</v>
      </c>
      <c r="BT419" s="869">
        <f t="shared" si="344"/>
        <v>0</v>
      </c>
      <c r="BU419" s="869">
        <f t="shared" si="344"/>
        <v>0</v>
      </c>
      <c r="BX419" s="869">
        <f t="shared" si="345"/>
        <v>0</v>
      </c>
      <c r="BY419" s="869">
        <f t="shared" si="345"/>
        <v>0</v>
      </c>
      <c r="BZ419" s="869">
        <f t="shared" si="345"/>
        <v>0</v>
      </c>
      <c r="CA419" s="869">
        <f t="shared" si="345"/>
        <v>0</v>
      </c>
      <c r="CB419" s="869">
        <f t="shared" si="345"/>
        <v>0</v>
      </c>
      <c r="CC419" s="869">
        <f t="shared" si="345"/>
        <v>0</v>
      </c>
      <c r="CD419" s="869">
        <f t="shared" si="345"/>
        <v>0</v>
      </c>
    </row>
    <row r="420" spans="1:82" ht="16" hidden="1" thickTop="1" thickBot="1">
      <c r="A420" s="773">
        <f t="shared" si="278"/>
        <v>0</v>
      </c>
      <c r="D420" s="875"/>
      <c r="E420" s="876"/>
      <c r="F420" s="877"/>
      <c r="G420" s="869">
        <f t="shared" si="332"/>
        <v>0</v>
      </c>
      <c r="I420" s="869"/>
      <c r="J420" s="869">
        <f t="shared" si="333"/>
        <v>0</v>
      </c>
      <c r="K420" s="869">
        <f t="shared" si="333"/>
        <v>0</v>
      </c>
      <c r="L420" s="869">
        <f t="shared" si="333"/>
        <v>0</v>
      </c>
      <c r="M420" s="869"/>
      <c r="N420" s="869">
        <f t="shared" si="334"/>
        <v>0</v>
      </c>
      <c r="O420" s="869">
        <f t="shared" si="334"/>
        <v>0</v>
      </c>
      <c r="P420" s="869">
        <f t="shared" si="334"/>
        <v>0</v>
      </c>
      <c r="Q420" s="869">
        <f t="shared" si="334"/>
        <v>0</v>
      </c>
      <c r="R420" s="161"/>
      <c r="S420" s="869"/>
      <c r="T420" s="869">
        <f t="shared" si="335"/>
        <v>0</v>
      </c>
      <c r="U420" s="869">
        <f t="shared" si="335"/>
        <v>0</v>
      </c>
      <c r="V420" s="869">
        <f t="shared" si="335"/>
        <v>0</v>
      </c>
      <c r="W420" s="869">
        <f t="shared" si="335"/>
        <v>0</v>
      </c>
      <c r="X420" s="869" cm="1">
        <f t="array" aca="1" ref="X420" ca="1">LOOKUP(2,1/($F$49:$F$407=$D421),X$49:X$407)</f>
        <v>0</v>
      </c>
      <c r="Y420" s="869">
        <f t="shared" si="336"/>
        <v>0</v>
      </c>
      <c r="Z420" s="869">
        <f t="shared" si="336"/>
        <v>0</v>
      </c>
      <c r="AA420" s="869">
        <f t="shared" si="336"/>
        <v>0</v>
      </c>
      <c r="AB420" s="869">
        <f t="shared" si="336"/>
        <v>0</v>
      </c>
      <c r="AC420" s="161"/>
      <c r="AD420" s="869"/>
      <c r="AE420" s="869">
        <f t="shared" si="337"/>
        <v>0</v>
      </c>
      <c r="AF420" s="869">
        <f t="shared" si="337"/>
        <v>0</v>
      </c>
      <c r="AG420" s="869">
        <f t="shared" si="337"/>
        <v>0</v>
      </c>
      <c r="AH420" s="869">
        <f t="shared" si="337"/>
        <v>0</v>
      </c>
      <c r="AI420" s="869" cm="1">
        <f t="array" aca="1" ref="AI420" ca="1">LOOKUP(2,1/($F$49:$F$407=$D421),AI$49:AI$407)</f>
        <v>0</v>
      </c>
      <c r="AJ420" s="869">
        <f t="shared" si="338"/>
        <v>0</v>
      </c>
      <c r="AK420" s="869">
        <f t="shared" si="338"/>
        <v>0</v>
      </c>
      <c r="AL420" s="869">
        <f t="shared" si="338"/>
        <v>0</v>
      </c>
      <c r="AM420" s="869">
        <f t="shared" si="338"/>
        <v>0</v>
      </c>
      <c r="AN420" s="869">
        <f t="shared" si="339"/>
        <v>0</v>
      </c>
      <c r="AO420" s="161"/>
      <c r="AP420" s="869"/>
      <c r="AQ420" s="869">
        <f t="shared" si="340"/>
        <v>0</v>
      </c>
      <c r="AR420" s="869">
        <f t="shared" si="340"/>
        <v>0</v>
      </c>
      <c r="AS420" s="869">
        <f t="shared" si="340"/>
        <v>0</v>
      </c>
      <c r="AT420" s="869">
        <f t="shared" si="340"/>
        <v>0</v>
      </c>
      <c r="AU420" s="869"/>
      <c r="AV420" s="869">
        <f t="shared" si="341"/>
        <v>0</v>
      </c>
      <c r="AW420" s="869">
        <f t="shared" si="341"/>
        <v>0</v>
      </c>
      <c r="AX420" s="869">
        <f t="shared" si="341"/>
        <v>0</v>
      </c>
      <c r="AY420" s="869">
        <f t="shared" si="341"/>
        <v>0</v>
      </c>
      <c r="AZ420" s="869">
        <f t="shared" si="341"/>
        <v>0</v>
      </c>
      <c r="BA420" s="161"/>
      <c r="BB420" s="869">
        <f t="shared" si="342"/>
        <v>0</v>
      </c>
      <c r="BC420" s="869">
        <f t="shared" si="342"/>
        <v>0</v>
      </c>
      <c r="BD420" s="658"/>
      <c r="BE420" s="869">
        <f t="shared" si="343"/>
        <v>0</v>
      </c>
      <c r="BF420" s="869">
        <f t="shared" si="343"/>
        <v>0</v>
      </c>
      <c r="BG420" s="869">
        <f t="shared" si="343"/>
        <v>0</v>
      </c>
      <c r="BI420" s="869">
        <f t="shared" si="344"/>
        <v>0</v>
      </c>
      <c r="BJ420" s="869">
        <f t="shared" si="344"/>
        <v>0</v>
      </c>
      <c r="BK420" s="869">
        <f t="shared" si="344"/>
        <v>0</v>
      </c>
      <c r="BL420" s="869">
        <f t="shared" si="344"/>
        <v>0</v>
      </c>
      <c r="BM420" s="869">
        <f t="shared" si="344"/>
        <v>0</v>
      </c>
      <c r="BN420" s="869">
        <f t="shared" si="344"/>
        <v>0</v>
      </c>
      <c r="BO420" s="869">
        <f t="shared" si="344"/>
        <v>0</v>
      </c>
      <c r="BP420" s="869">
        <f t="shared" si="344"/>
        <v>0</v>
      </c>
      <c r="BQ420" s="869">
        <f t="shared" si="344"/>
        <v>0</v>
      </c>
      <c r="BR420" s="869">
        <f t="shared" si="344"/>
        <v>0</v>
      </c>
      <c r="BS420" s="869">
        <f t="shared" si="344"/>
        <v>0</v>
      </c>
      <c r="BT420" s="869">
        <f t="shared" si="344"/>
        <v>0</v>
      </c>
      <c r="BU420" s="869">
        <f t="shared" si="344"/>
        <v>0</v>
      </c>
      <c r="BX420" s="869">
        <f t="shared" si="345"/>
        <v>0</v>
      </c>
      <c r="BY420" s="869">
        <f t="shared" si="345"/>
        <v>0</v>
      </c>
      <c r="BZ420" s="869">
        <f t="shared" si="345"/>
        <v>0</v>
      </c>
      <c r="CA420" s="869">
        <f t="shared" si="345"/>
        <v>0</v>
      </c>
      <c r="CB420" s="869">
        <f t="shared" si="345"/>
        <v>0</v>
      </c>
      <c r="CC420" s="869">
        <f t="shared" si="345"/>
        <v>0</v>
      </c>
      <c r="CD420" s="869">
        <f t="shared" si="345"/>
        <v>0</v>
      </c>
    </row>
    <row r="421" spans="1:82" ht="16" hidden="1" thickTop="1" thickBot="1">
      <c r="A421" s="773">
        <f t="shared" si="278"/>
        <v>0</v>
      </c>
      <c r="D421" s="875"/>
      <c r="E421" s="876"/>
      <c r="F421" s="877"/>
      <c r="G421" s="869">
        <f t="shared" si="332"/>
        <v>0</v>
      </c>
      <c r="I421" s="869"/>
      <c r="J421" s="869">
        <f t="shared" si="333"/>
        <v>0</v>
      </c>
      <c r="K421" s="869">
        <f t="shared" si="333"/>
        <v>0</v>
      </c>
      <c r="L421" s="869">
        <f t="shared" si="333"/>
        <v>0</v>
      </c>
      <c r="M421" s="869"/>
      <c r="N421" s="869">
        <f t="shared" si="334"/>
        <v>0</v>
      </c>
      <c r="O421" s="869">
        <f t="shared" si="334"/>
        <v>0</v>
      </c>
      <c r="P421" s="869">
        <f t="shared" si="334"/>
        <v>0</v>
      </c>
      <c r="Q421" s="869">
        <f t="shared" si="334"/>
        <v>0</v>
      </c>
      <c r="R421" s="161"/>
      <c r="S421" s="869"/>
      <c r="T421" s="869">
        <f t="shared" si="335"/>
        <v>0</v>
      </c>
      <c r="U421" s="869">
        <f t="shared" si="335"/>
        <v>0</v>
      </c>
      <c r="V421" s="869">
        <f t="shared" si="335"/>
        <v>0</v>
      </c>
      <c r="W421" s="869">
        <f t="shared" si="335"/>
        <v>0</v>
      </c>
      <c r="X421" s="869" cm="1">
        <f t="array" aca="1" ref="X421" ca="1">LOOKUP(2,1/($F$49:$F$407=$D422),X$49:X$407)</f>
        <v>0</v>
      </c>
      <c r="Y421" s="869">
        <f t="shared" si="336"/>
        <v>0</v>
      </c>
      <c r="Z421" s="869">
        <f t="shared" si="336"/>
        <v>0</v>
      </c>
      <c r="AA421" s="869">
        <f t="shared" si="336"/>
        <v>0</v>
      </c>
      <c r="AB421" s="869">
        <f t="shared" si="336"/>
        <v>0</v>
      </c>
      <c r="AC421" s="161"/>
      <c r="AD421" s="869"/>
      <c r="AE421" s="869">
        <f t="shared" si="337"/>
        <v>0</v>
      </c>
      <c r="AF421" s="869">
        <f t="shared" si="337"/>
        <v>0</v>
      </c>
      <c r="AG421" s="869">
        <f t="shared" si="337"/>
        <v>0</v>
      </c>
      <c r="AH421" s="869">
        <f t="shared" si="337"/>
        <v>0</v>
      </c>
      <c r="AI421" s="869" cm="1">
        <f t="array" aca="1" ref="AI421" ca="1">LOOKUP(2,1/($F$49:$F$407=$D422),AI$49:AI$407)</f>
        <v>0</v>
      </c>
      <c r="AJ421" s="869">
        <f t="shared" si="338"/>
        <v>0</v>
      </c>
      <c r="AK421" s="869">
        <f t="shared" si="338"/>
        <v>0</v>
      </c>
      <c r="AL421" s="869">
        <f t="shared" si="338"/>
        <v>0</v>
      </c>
      <c r="AM421" s="869">
        <f t="shared" si="338"/>
        <v>0</v>
      </c>
      <c r="AN421" s="869">
        <f>SUMIF($F$49:$F$407,#REF!,AN$49:AN$407)</f>
        <v>0</v>
      </c>
      <c r="AO421" s="161"/>
      <c r="AP421" s="869"/>
      <c r="AQ421" s="869">
        <f t="shared" si="340"/>
        <v>0</v>
      </c>
      <c r="AR421" s="869">
        <f t="shared" si="340"/>
        <v>0</v>
      </c>
      <c r="AS421" s="869">
        <f t="shared" si="340"/>
        <v>0</v>
      </c>
      <c r="AT421" s="869">
        <f t="shared" si="340"/>
        <v>0</v>
      </c>
      <c r="AU421" s="869"/>
      <c r="AV421" s="869">
        <f t="shared" ref="AV421:AZ430" si="346">SUMIF($F$48:$F$407,$D421,AV$48:AV$407)</f>
        <v>0</v>
      </c>
      <c r="AW421" s="869">
        <f t="shared" si="346"/>
        <v>0</v>
      </c>
      <c r="AX421" s="869">
        <f t="shared" si="346"/>
        <v>0</v>
      </c>
      <c r="AY421" s="869">
        <f t="shared" si="346"/>
        <v>0</v>
      </c>
      <c r="AZ421" s="869">
        <f t="shared" si="346"/>
        <v>0</v>
      </c>
      <c r="BA421" s="161"/>
      <c r="BB421" s="869">
        <f t="shared" si="342"/>
        <v>0</v>
      </c>
      <c r="BC421" s="869">
        <f t="shared" si="342"/>
        <v>0</v>
      </c>
      <c r="BD421" s="658"/>
      <c r="BE421" s="869">
        <f t="shared" si="343"/>
        <v>0</v>
      </c>
      <c r="BF421" s="869">
        <f t="shared" si="343"/>
        <v>0</v>
      </c>
      <c r="BG421" s="869">
        <f t="shared" si="343"/>
        <v>0</v>
      </c>
      <c r="BI421" s="869">
        <f t="shared" ref="BI421:BU430" si="347">SUMIF($F$48:$F$407,$D421,BI$48:BI$407)</f>
        <v>0</v>
      </c>
      <c r="BJ421" s="869">
        <f t="shared" si="347"/>
        <v>0</v>
      </c>
      <c r="BK421" s="869">
        <f t="shared" si="347"/>
        <v>0</v>
      </c>
      <c r="BL421" s="869">
        <f t="shared" si="347"/>
        <v>0</v>
      </c>
      <c r="BM421" s="869">
        <f t="shared" si="347"/>
        <v>0</v>
      </c>
      <c r="BN421" s="869">
        <f t="shared" si="347"/>
        <v>0</v>
      </c>
      <c r="BO421" s="869">
        <f t="shared" si="347"/>
        <v>0</v>
      </c>
      <c r="BP421" s="869">
        <f t="shared" si="347"/>
        <v>0</v>
      </c>
      <c r="BQ421" s="869">
        <f t="shared" si="347"/>
        <v>0</v>
      </c>
      <c r="BR421" s="869">
        <f t="shared" si="347"/>
        <v>0</v>
      </c>
      <c r="BS421" s="869">
        <f t="shared" si="347"/>
        <v>0</v>
      </c>
      <c r="BT421" s="869">
        <f t="shared" si="347"/>
        <v>0</v>
      </c>
      <c r="BU421" s="869">
        <f t="shared" si="347"/>
        <v>0</v>
      </c>
      <c r="BX421" s="869">
        <f t="shared" ref="BX421:CD430" si="348">SUMIF($F$48:$F$407,$D421,BX$48:BX$407)</f>
        <v>0</v>
      </c>
      <c r="BY421" s="869">
        <f t="shared" si="348"/>
        <v>0</v>
      </c>
      <c r="BZ421" s="869">
        <f t="shared" si="348"/>
        <v>0</v>
      </c>
      <c r="CA421" s="869">
        <f t="shared" si="348"/>
        <v>0</v>
      </c>
      <c r="CB421" s="869">
        <f t="shared" si="348"/>
        <v>0</v>
      </c>
      <c r="CC421" s="869">
        <f t="shared" si="348"/>
        <v>0</v>
      </c>
      <c r="CD421" s="869">
        <f t="shared" si="348"/>
        <v>0</v>
      </c>
    </row>
    <row r="422" spans="1:82" ht="16" hidden="1" thickTop="1" thickBot="1">
      <c r="A422" s="773">
        <f t="shared" si="278"/>
        <v>0</v>
      </c>
      <c r="D422" s="875"/>
      <c r="E422" s="876"/>
      <c r="F422" s="877"/>
      <c r="G422" s="869">
        <f t="shared" si="332"/>
        <v>0</v>
      </c>
      <c r="I422" s="869"/>
      <c r="J422" s="869">
        <f t="shared" si="333"/>
        <v>0</v>
      </c>
      <c r="K422" s="869">
        <f t="shared" si="333"/>
        <v>0</v>
      </c>
      <c r="L422" s="869">
        <f t="shared" si="333"/>
        <v>0</v>
      </c>
      <c r="M422" s="869"/>
      <c r="N422" s="869">
        <f t="shared" si="334"/>
        <v>0</v>
      </c>
      <c r="O422" s="869">
        <f t="shared" si="334"/>
        <v>0</v>
      </c>
      <c r="P422" s="869">
        <f t="shared" si="334"/>
        <v>0</v>
      </c>
      <c r="Q422" s="869">
        <f t="shared" si="334"/>
        <v>0</v>
      </c>
      <c r="R422" s="161"/>
      <c r="S422" s="869"/>
      <c r="T422" s="869">
        <f t="shared" si="335"/>
        <v>0</v>
      </c>
      <c r="U422" s="869">
        <f t="shared" si="335"/>
        <v>0</v>
      </c>
      <c r="V422" s="869">
        <f t="shared" si="335"/>
        <v>0</v>
      </c>
      <c r="W422" s="869">
        <f t="shared" si="335"/>
        <v>0</v>
      </c>
      <c r="X422" s="869" cm="1">
        <f t="array" aca="1" ref="X422" ca="1">LOOKUP(2,1/($F$49:$F$407=$D423),X$49:X$407)</f>
        <v>0</v>
      </c>
      <c r="Y422" s="869">
        <f t="shared" si="336"/>
        <v>0</v>
      </c>
      <c r="Z422" s="869">
        <f t="shared" si="336"/>
        <v>0</v>
      </c>
      <c r="AA422" s="869">
        <f t="shared" si="336"/>
        <v>0</v>
      </c>
      <c r="AB422" s="869">
        <f t="shared" si="336"/>
        <v>0</v>
      </c>
      <c r="AC422" s="161"/>
      <c r="AD422" s="869">
        <f t="shared" ref="AD422:AD440" si="349">SUMIF($F$48:$F$407,$D422,AD$48:AD$407)</f>
        <v>0</v>
      </c>
      <c r="AE422" s="869">
        <f t="shared" si="337"/>
        <v>0</v>
      </c>
      <c r="AF422" s="869">
        <f t="shared" si="337"/>
        <v>0</v>
      </c>
      <c r="AG422" s="869">
        <f t="shared" si="337"/>
        <v>0</v>
      </c>
      <c r="AH422" s="869">
        <f t="shared" si="337"/>
        <v>0</v>
      </c>
      <c r="AI422" s="869" cm="1">
        <f t="array" aca="1" ref="AI422" ca="1">LOOKUP(2,1/($F$49:$F$407=$D423),AI$49:AI$407)</f>
        <v>0</v>
      </c>
      <c r="AJ422" s="869">
        <f t="shared" si="338"/>
        <v>0</v>
      </c>
      <c r="AK422" s="869">
        <f t="shared" si="338"/>
        <v>0</v>
      </c>
      <c r="AL422" s="869">
        <f t="shared" si="338"/>
        <v>0</v>
      </c>
      <c r="AM422" s="869">
        <f t="shared" si="338"/>
        <v>0</v>
      </c>
      <c r="AN422" s="869">
        <f t="shared" ref="AN422:AN440" si="350">SUMIF($F$49:$F$407,$D422,AN$49:AN$407)</f>
        <v>0</v>
      </c>
      <c r="AO422" s="161"/>
      <c r="AP422" s="869"/>
      <c r="AQ422" s="869">
        <f t="shared" si="340"/>
        <v>0</v>
      </c>
      <c r="AR422" s="869">
        <f t="shared" si="340"/>
        <v>0</v>
      </c>
      <c r="AS422" s="869">
        <f t="shared" si="340"/>
        <v>0</v>
      </c>
      <c r="AT422" s="869">
        <f t="shared" si="340"/>
        <v>0</v>
      </c>
      <c r="AU422" s="869"/>
      <c r="AV422" s="869">
        <f t="shared" si="346"/>
        <v>0</v>
      </c>
      <c r="AW422" s="869">
        <f t="shared" si="346"/>
        <v>0</v>
      </c>
      <c r="AX422" s="869">
        <f t="shared" si="346"/>
        <v>0</v>
      </c>
      <c r="AY422" s="869">
        <f t="shared" si="346"/>
        <v>0</v>
      </c>
      <c r="AZ422" s="869">
        <f t="shared" si="346"/>
        <v>0</v>
      </c>
      <c r="BA422" s="161"/>
      <c r="BB422" s="869">
        <f t="shared" si="342"/>
        <v>0</v>
      </c>
      <c r="BC422" s="869">
        <f t="shared" si="342"/>
        <v>0</v>
      </c>
      <c r="BD422" s="658"/>
      <c r="BE422" s="869">
        <f t="shared" si="343"/>
        <v>0</v>
      </c>
      <c r="BF422" s="869">
        <f t="shared" si="343"/>
        <v>0</v>
      </c>
      <c r="BG422" s="869">
        <f t="shared" si="343"/>
        <v>0</v>
      </c>
      <c r="BI422" s="869">
        <f t="shared" si="347"/>
        <v>0</v>
      </c>
      <c r="BJ422" s="869">
        <f t="shared" si="347"/>
        <v>0</v>
      </c>
      <c r="BK422" s="869">
        <f t="shared" si="347"/>
        <v>0</v>
      </c>
      <c r="BL422" s="869">
        <f t="shared" si="347"/>
        <v>0</v>
      </c>
      <c r="BM422" s="869">
        <f t="shared" si="347"/>
        <v>0</v>
      </c>
      <c r="BN422" s="869">
        <f t="shared" si="347"/>
        <v>0</v>
      </c>
      <c r="BO422" s="869">
        <f t="shared" si="347"/>
        <v>0</v>
      </c>
      <c r="BP422" s="869">
        <f t="shared" si="347"/>
        <v>0</v>
      </c>
      <c r="BQ422" s="869">
        <f t="shared" si="347"/>
        <v>0</v>
      </c>
      <c r="BR422" s="869">
        <f t="shared" si="347"/>
        <v>0</v>
      </c>
      <c r="BS422" s="869">
        <f t="shared" si="347"/>
        <v>0</v>
      </c>
      <c r="BT422" s="869">
        <f t="shared" si="347"/>
        <v>0</v>
      </c>
      <c r="BU422" s="869">
        <f t="shared" si="347"/>
        <v>0</v>
      </c>
      <c r="BX422" s="869">
        <f t="shared" si="348"/>
        <v>0</v>
      </c>
      <c r="BY422" s="869">
        <f t="shared" si="348"/>
        <v>0</v>
      </c>
      <c r="BZ422" s="869">
        <f t="shared" si="348"/>
        <v>0</v>
      </c>
      <c r="CA422" s="869">
        <f t="shared" si="348"/>
        <v>0</v>
      </c>
      <c r="CB422" s="869">
        <f t="shared" si="348"/>
        <v>0</v>
      </c>
      <c r="CC422" s="869">
        <f t="shared" si="348"/>
        <v>0</v>
      </c>
      <c r="CD422" s="869">
        <f t="shared" si="348"/>
        <v>0</v>
      </c>
    </row>
    <row r="423" spans="1:82" ht="16" hidden="1" thickTop="1" thickBot="1">
      <c r="A423" s="773">
        <f t="shared" si="278"/>
        <v>0</v>
      </c>
      <c r="D423" s="875"/>
      <c r="E423" s="876"/>
      <c r="F423" s="877"/>
      <c r="G423" s="869">
        <f t="shared" si="332"/>
        <v>0</v>
      </c>
      <c r="I423" s="869"/>
      <c r="J423" s="869">
        <f t="shared" si="333"/>
        <v>0</v>
      </c>
      <c r="K423" s="869">
        <f t="shared" si="333"/>
        <v>0</v>
      </c>
      <c r="L423" s="869">
        <f t="shared" si="333"/>
        <v>0</v>
      </c>
      <c r="M423" s="869"/>
      <c r="N423" s="869">
        <f t="shared" si="334"/>
        <v>0</v>
      </c>
      <c r="O423" s="869">
        <f t="shared" si="334"/>
        <v>0</v>
      </c>
      <c r="P423" s="869">
        <f t="shared" si="334"/>
        <v>0</v>
      </c>
      <c r="Q423" s="869">
        <f t="shared" si="334"/>
        <v>0</v>
      </c>
      <c r="R423" s="161"/>
      <c r="S423" s="869"/>
      <c r="T423" s="869">
        <f t="shared" si="335"/>
        <v>0</v>
      </c>
      <c r="U423" s="869">
        <f t="shared" si="335"/>
        <v>0</v>
      </c>
      <c r="V423" s="869">
        <f t="shared" si="335"/>
        <v>0</v>
      </c>
      <c r="W423" s="869">
        <f t="shared" si="335"/>
        <v>0</v>
      </c>
      <c r="X423" s="869" cm="1">
        <f t="array" aca="1" ref="X423" ca="1">LOOKUP(2,1/($F$49:$F$407=$D424),X$49:X$407)</f>
        <v>0</v>
      </c>
      <c r="Y423" s="869">
        <f t="shared" si="336"/>
        <v>0</v>
      </c>
      <c r="Z423" s="869">
        <f t="shared" si="336"/>
        <v>0</v>
      </c>
      <c r="AA423" s="869">
        <f t="shared" si="336"/>
        <v>0</v>
      </c>
      <c r="AB423" s="869">
        <f t="shared" si="336"/>
        <v>0</v>
      </c>
      <c r="AC423" s="161"/>
      <c r="AD423" s="869">
        <f t="shared" si="349"/>
        <v>0</v>
      </c>
      <c r="AE423" s="869">
        <f t="shared" si="337"/>
        <v>0</v>
      </c>
      <c r="AF423" s="869">
        <f t="shared" si="337"/>
        <v>0</v>
      </c>
      <c r="AG423" s="869">
        <f t="shared" si="337"/>
        <v>0</v>
      </c>
      <c r="AH423" s="869">
        <f t="shared" si="337"/>
        <v>0</v>
      </c>
      <c r="AI423" s="869" cm="1">
        <f t="array" aca="1" ref="AI423" ca="1">LOOKUP(2,1/($F$49:$F$407=$D424),AI$49:AI$407)</f>
        <v>0</v>
      </c>
      <c r="AJ423" s="869">
        <f t="shared" si="338"/>
        <v>0</v>
      </c>
      <c r="AK423" s="869">
        <f t="shared" si="338"/>
        <v>0</v>
      </c>
      <c r="AL423" s="869">
        <f t="shared" si="338"/>
        <v>0</v>
      </c>
      <c r="AM423" s="869">
        <f t="shared" si="338"/>
        <v>0</v>
      </c>
      <c r="AN423" s="869">
        <f t="shared" si="350"/>
        <v>0</v>
      </c>
      <c r="AO423" s="161"/>
      <c r="AP423" s="869"/>
      <c r="AQ423" s="869">
        <f t="shared" si="340"/>
        <v>0</v>
      </c>
      <c r="AR423" s="869">
        <f t="shared" si="340"/>
        <v>0</v>
      </c>
      <c r="AS423" s="869">
        <f t="shared" si="340"/>
        <v>0</v>
      </c>
      <c r="AT423" s="869">
        <f t="shared" si="340"/>
        <v>0</v>
      </c>
      <c r="AU423" s="869"/>
      <c r="AV423" s="869">
        <f t="shared" si="346"/>
        <v>0</v>
      </c>
      <c r="AW423" s="869">
        <f t="shared" si="346"/>
        <v>0</v>
      </c>
      <c r="AX423" s="869">
        <f t="shared" si="346"/>
        <v>0</v>
      </c>
      <c r="AY423" s="869">
        <f t="shared" si="346"/>
        <v>0</v>
      </c>
      <c r="AZ423" s="869">
        <f t="shared" si="346"/>
        <v>0</v>
      </c>
      <c r="BA423" s="161"/>
      <c r="BB423" s="869">
        <f t="shared" si="342"/>
        <v>0</v>
      </c>
      <c r="BC423" s="869">
        <f t="shared" si="342"/>
        <v>0</v>
      </c>
      <c r="BD423" s="658"/>
      <c r="BE423" s="869">
        <f t="shared" si="343"/>
        <v>0</v>
      </c>
      <c r="BF423" s="869">
        <f t="shared" si="343"/>
        <v>0</v>
      </c>
      <c r="BG423" s="869">
        <f t="shared" si="343"/>
        <v>0</v>
      </c>
      <c r="BI423" s="869">
        <f t="shared" si="347"/>
        <v>0</v>
      </c>
      <c r="BJ423" s="869">
        <f t="shared" si="347"/>
        <v>0</v>
      </c>
      <c r="BK423" s="869">
        <f t="shared" si="347"/>
        <v>0</v>
      </c>
      <c r="BL423" s="869">
        <f t="shared" si="347"/>
        <v>0</v>
      </c>
      <c r="BM423" s="869">
        <f t="shared" si="347"/>
        <v>0</v>
      </c>
      <c r="BN423" s="869">
        <f t="shared" si="347"/>
        <v>0</v>
      </c>
      <c r="BO423" s="869">
        <f t="shared" si="347"/>
        <v>0</v>
      </c>
      <c r="BP423" s="869">
        <f t="shared" si="347"/>
        <v>0</v>
      </c>
      <c r="BQ423" s="869">
        <f t="shared" si="347"/>
        <v>0</v>
      </c>
      <c r="BR423" s="869">
        <f t="shared" si="347"/>
        <v>0</v>
      </c>
      <c r="BS423" s="869">
        <f t="shared" si="347"/>
        <v>0</v>
      </c>
      <c r="BT423" s="869">
        <f t="shared" si="347"/>
        <v>0</v>
      </c>
      <c r="BU423" s="869">
        <f t="shared" si="347"/>
        <v>0</v>
      </c>
      <c r="BX423" s="869">
        <f t="shared" si="348"/>
        <v>0</v>
      </c>
      <c r="BY423" s="869">
        <f t="shared" si="348"/>
        <v>0</v>
      </c>
      <c r="BZ423" s="869">
        <f t="shared" si="348"/>
        <v>0</v>
      </c>
      <c r="CA423" s="869">
        <f t="shared" si="348"/>
        <v>0</v>
      </c>
      <c r="CB423" s="869">
        <f t="shared" si="348"/>
        <v>0</v>
      </c>
      <c r="CC423" s="869">
        <f t="shared" si="348"/>
        <v>0</v>
      </c>
      <c r="CD423" s="869">
        <f t="shared" si="348"/>
        <v>0</v>
      </c>
    </row>
    <row r="424" spans="1:82" ht="16" hidden="1" thickTop="1" thickBot="1">
      <c r="A424" s="773">
        <f t="shared" si="278"/>
        <v>0</v>
      </c>
      <c r="D424" s="875"/>
      <c r="E424" s="876"/>
      <c r="F424" s="877"/>
      <c r="G424" s="869">
        <f t="shared" si="332"/>
        <v>0</v>
      </c>
      <c r="I424" s="869"/>
      <c r="J424" s="869">
        <f t="shared" si="333"/>
        <v>0</v>
      </c>
      <c r="K424" s="869">
        <f t="shared" si="333"/>
        <v>0</v>
      </c>
      <c r="L424" s="869">
        <f t="shared" si="333"/>
        <v>0</v>
      </c>
      <c r="M424" s="869"/>
      <c r="N424" s="869">
        <f t="shared" si="334"/>
        <v>0</v>
      </c>
      <c r="O424" s="869">
        <f t="shared" si="334"/>
        <v>0</v>
      </c>
      <c r="P424" s="869">
        <f t="shared" si="334"/>
        <v>0</v>
      </c>
      <c r="Q424" s="869">
        <f t="shared" si="334"/>
        <v>0</v>
      </c>
      <c r="R424" s="161"/>
      <c r="S424" s="869">
        <f t="shared" ref="S424:S440" si="351">IFERROR(LOOKUP($E424,$E$48:$E$407,S$48:S$407),0)</f>
        <v>0</v>
      </c>
      <c r="T424" s="869">
        <f t="shared" si="335"/>
        <v>0</v>
      </c>
      <c r="U424" s="869">
        <f t="shared" si="335"/>
        <v>0</v>
      </c>
      <c r="V424" s="869">
        <f t="shared" si="335"/>
        <v>0</v>
      </c>
      <c r="W424" s="869">
        <f t="shared" si="335"/>
        <v>0</v>
      </c>
      <c r="X424" s="869" cm="1">
        <f t="array" aca="1" ref="X424" ca="1">LOOKUP(2,1/($F$49:$F$407=$D425),X$49:X$407)</f>
        <v>0</v>
      </c>
      <c r="Y424" s="869">
        <f t="shared" si="336"/>
        <v>0</v>
      </c>
      <c r="Z424" s="869">
        <f t="shared" si="336"/>
        <v>0</v>
      </c>
      <c r="AA424" s="869">
        <f t="shared" si="336"/>
        <v>0</v>
      </c>
      <c r="AB424" s="869">
        <f t="shared" si="336"/>
        <v>0</v>
      </c>
      <c r="AC424" s="161"/>
      <c r="AD424" s="869">
        <f t="shared" si="349"/>
        <v>0</v>
      </c>
      <c r="AE424" s="869">
        <f t="shared" si="337"/>
        <v>0</v>
      </c>
      <c r="AF424" s="869">
        <f t="shared" si="337"/>
        <v>0</v>
      </c>
      <c r="AG424" s="869">
        <f t="shared" si="337"/>
        <v>0</v>
      </c>
      <c r="AH424" s="869">
        <f t="shared" si="337"/>
        <v>0</v>
      </c>
      <c r="AI424" s="869" cm="1">
        <f t="array" aca="1" ref="AI424" ca="1">LOOKUP(2,1/($F$49:$F$407=$D425),AI$49:AI$407)</f>
        <v>0</v>
      </c>
      <c r="AJ424" s="869">
        <f t="shared" si="338"/>
        <v>0</v>
      </c>
      <c r="AK424" s="869">
        <f t="shared" si="338"/>
        <v>0</v>
      </c>
      <c r="AL424" s="869">
        <f t="shared" si="338"/>
        <v>0</v>
      </c>
      <c r="AM424" s="869">
        <f t="shared" si="338"/>
        <v>0</v>
      </c>
      <c r="AN424" s="869">
        <f t="shared" si="350"/>
        <v>0</v>
      </c>
      <c r="AO424" s="161"/>
      <c r="AP424" s="869"/>
      <c r="AQ424" s="869">
        <f t="shared" si="340"/>
        <v>0</v>
      </c>
      <c r="AR424" s="869">
        <f t="shared" si="340"/>
        <v>0</v>
      </c>
      <c r="AS424" s="869">
        <f t="shared" si="340"/>
        <v>0</v>
      </c>
      <c r="AT424" s="869">
        <f t="shared" si="340"/>
        <v>0</v>
      </c>
      <c r="AU424" s="869"/>
      <c r="AV424" s="869">
        <f t="shared" si="346"/>
        <v>0</v>
      </c>
      <c r="AW424" s="869">
        <f t="shared" si="346"/>
        <v>0</v>
      </c>
      <c r="AX424" s="869">
        <f t="shared" si="346"/>
        <v>0</v>
      </c>
      <c r="AY424" s="869">
        <f t="shared" si="346"/>
        <v>0</v>
      </c>
      <c r="AZ424" s="869">
        <f t="shared" si="346"/>
        <v>0</v>
      </c>
      <c r="BA424" s="161"/>
      <c r="BB424" s="869">
        <f t="shared" si="342"/>
        <v>0</v>
      </c>
      <c r="BC424" s="869">
        <f t="shared" si="342"/>
        <v>0</v>
      </c>
      <c r="BD424" s="658"/>
      <c r="BE424" s="869">
        <f t="shared" si="343"/>
        <v>0</v>
      </c>
      <c r="BF424" s="869">
        <f t="shared" si="343"/>
        <v>0</v>
      </c>
      <c r="BG424" s="869">
        <f t="shared" si="343"/>
        <v>0</v>
      </c>
      <c r="BI424" s="869">
        <f t="shared" si="347"/>
        <v>0</v>
      </c>
      <c r="BJ424" s="869">
        <f t="shared" si="347"/>
        <v>0</v>
      </c>
      <c r="BK424" s="869">
        <f t="shared" si="347"/>
        <v>0</v>
      </c>
      <c r="BL424" s="869">
        <f t="shared" si="347"/>
        <v>0</v>
      </c>
      <c r="BM424" s="869">
        <f t="shared" si="347"/>
        <v>0</v>
      </c>
      <c r="BN424" s="869">
        <f t="shared" si="347"/>
        <v>0</v>
      </c>
      <c r="BO424" s="869">
        <f t="shared" si="347"/>
        <v>0</v>
      </c>
      <c r="BP424" s="869">
        <f t="shared" si="347"/>
        <v>0</v>
      </c>
      <c r="BQ424" s="869">
        <f t="shared" si="347"/>
        <v>0</v>
      </c>
      <c r="BR424" s="869">
        <f t="shared" si="347"/>
        <v>0</v>
      </c>
      <c r="BS424" s="869">
        <f t="shared" si="347"/>
        <v>0</v>
      </c>
      <c r="BT424" s="869">
        <f t="shared" si="347"/>
        <v>0</v>
      </c>
      <c r="BU424" s="869">
        <f t="shared" si="347"/>
        <v>0</v>
      </c>
      <c r="BX424" s="869">
        <f t="shared" si="348"/>
        <v>0</v>
      </c>
      <c r="BY424" s="869">
        <f t="shared" si="348"/>
        <v>0</v>
      </c>
      <c r="BZ424" s="869">
        <f t="shared" si="348"/>
        <v>0</v>
      </c>
      <c r="CA424" s="869">
        <f t="shared" si="348"/>
        <v>0</v>
      </c>
      <c r="CB424" s="869">
        <f t="shared" si="348"/>
        <v>0</v>
      </c>
      <c r="CC424" s="869">
        <f t="shared" si="348"/>
        <v>0</v>
      </c>
      <c r="CD424" s="869">
        <f t="shared" si="348"/>
        <v>0</v>
      </c>
    </row>
    <row r="425" spans="1:82" ht="16" hidden="1" thickTop="1" thickBot="1">
      <c r="A425" s="773">
        <f t="shared" si="278"/>
        <v>0</v>
      </c>
      <c r="D425" s="875"/>
      <c r="E425" s="876"/>
      <c r="F425" s="877"/>
      <c r="G425" s="869">
        <f t="shared" si="332"/>
        <v>0</v>
      </c>
      <c r="I425" s="869"/>
      <c r="J425" s="869">
        <f t="shared" si="333"/>
        <v>0</v>
      </c>
      <c r="K425" s="869">
        <f t="shared" si="333"/>
        <v>0</v>
      </c>
      <c r="L425" s="869">
        <f t="shared" si="333"/>
        <v>0</v>
      </c>
      <c r="M425" s="869"/>
      <c r="N425" s="869">
        <f t="shared" si="334"/>
        <v>0</v>
      </c>
      <c r="O425" s="869">
        <f t="shared" si="334"/>
        <v>0</v>
      </c>
      <c r="P425" s="869">
        <f t="shared" si="334"/>
        <v>0</v>
      </c>
      <c r="Q425" s="869">
        <f t="shared" si="334"/>
        <v>0</v>
      </c>
      <c r="R425" s="161"/>
      <c r="S425" s="869">
        <f t="shared" si="351"/>
        <v>0</v>
      </c>
      <c r="T425" s="869">
        <f t="shared" si="335"/>
        <v>0</v>
      </c>
      <c r="U425" s="869">
        <f t="shared" si="335"/>
        <v>0</v>
      </c>
      <c r="V425" s="869">
        <f t="shared" si="335"/>
        <v>0</v>
      </c>
      <c r="W425" s="869">
        <f t="shared" si="335"/>
        <v>0</v>
      </c>
      <c r="X425" s="869" cm="1">
        <f t="array" aca="1" ref="X425" ca="1">LOOKUP(2,1/($F$49:$F$407=$D426),X$49:X$407)</f>
        <v>0</v>
      </c>
      <c r="Y425" s="869">
        <f t="shared" si="336"/>
        <v>0</v>
      </c>
      <c r="Z425" s="869">
        <f t="shared" si="336"/>
        <v>0</v>
      </c>
      <c r="AA425" s="869">
        <f t="shared" si="336"/>
        <v>0</v>
      </c>
      <c r="AB425" s="869">
        <f t="shared" si="336"/>
        <v>0</v>
      </c>
      <c r="AC425" s="161"/>
      <c r="AD425" s="869">
        <f t="shared" si="349"/>
        <v>0</v>
      </c>
      <c r="AE425" s="869">
        <f t="shared" si="337"/>
        <v>0</v>
      </c>
      <c r="AF425" s="869">
        <f t="shared" si="337"/>
        <v>0</v>
      </c>
      <c r="AG425" s="869">
        <f t="shared" si="337"/>
        <v>0</v>
      </c>
      <c r="AH425" s="869">
        <f t="shared" si="337"/>
        <v>0</v>
      </c>
      <c r="AI425" s="869" cm="1">
        <f t="array" aca="1" ref="AI425" ca="1">LOOKUP(2,1/($F$49:$F$407=$D426),AI$49:AI$407)</f>
        <v>0</v>
      </c>
      <c r="AJ425" s="869">
        <f t="shared" si="338"/>
        <v>0</v>
      </c>
      <c r="AK425" s="869">
        <f t="shared" si="338"/>
        <v>0</v>
      </c>
      <c r="AL425" s="869">
        <f t="shared" si="338"/>
        <v>0</v>
      </c>
      <c r="AM425" s="869">
        <f t="shared" si="338"/>
        <v>0</v>
      </c>
      <c r="AN425" s="869">
        <f t="shared" si="350"/>
        <v>0</v>
      </c>
      <c r="AO425" s="161"/>
      <c r="AP425" s="869">
        <f t="shared" ref="AP425:AP440" si="352">IFERROR(LOOKUP($E425,$E$48:$E$407,AP$48:AP$407),0)</f>
        <v>0</v>
      </c>
      <c r="AQ425" s="869">
        <f t="shared" si="340"/>
        <v>0</v>
      </c>
      <c r="AR425" s="869">
        <f t="shared" si="340"/>
        <v>0</v>
      </c>
      <c r="AS425" s="869">
        <f t="shared" si="340"/>
        <v>0</v>
      </c>
      <c r="AT425" s="869">
        <f t="shared" si="340"/>
        <v>0</v>
      </c>
      <c r="AU425" s="869"/>
      <c r="AV425" s="869">
        <f t="shared" si="346"/>
        <v>0</v>
      </c>
      <c r="AW425" s="869">
        <f t="shared" si="346"/>
        <v>0</v>
      </c>
      <c r="AX425" s="869">
        <f t="shared" si="346"/>
        <v>0</v>
      </c>
      <c r="AY425" s="869">
        <f t="shared" si="346"/>
        <v>0</v>
      </c>
      <c r="AZ425" s="869">
        <f t="shared" si="346"/>
        <v>0</v>
      </c>
      <c r="BA425" s="161"/>
      <c r="BB425" s="869">
        <f t="shared" si="342"/>
        <v>0</v>
      </c>
      <c r="BC425" s="869">
        <f t="shared" si="342"/>
        <v>0</v>
      </c>
      <c r="BD425" s="658"/>
      <c r="BE425" s="869">
        <f t="shared" si="343"/>
        <v>0</v>
      </c>
      <c r="BF425" s="869">
        <f t="shared" si="343"/>
        <v>0</v>
      </c>
      <c r="BG425" s="869">
        <f t="shared" si="343"/>
        <v>0</v>
      </c>
      <c r="BI425" s="869">
        <f t="shared" si="347"/>
        <v>0</v>
      </c>
      <c r="BJ425" s="869">
        <f t="shared" si="347"/>
        <v>0</v>
      </c>
      <c r="BK425" s="869">
        <f t="shared" si="347"/>
        <v>0</v>
      </c>
      <c r="BL425" s="869">
        <f t="shared" si="347"/>
        <v>0</v>
      </c>
      <c r="BM425" s="869">
        <f t="shared" si="347"/>
        <v>0</v>
      </c>
      <c r="BN425" s="869">
        <f t="shared" si="347"/>
        <v>0</v>
      </c>
      <c r="BO425" s="869">
        <f t="shared" si="347"/>
        <v>0</v>
      </c>
      <c r="BP425" s="869">
        <f t="shared" si="347"/>
        <v>0</v>
      </c>
      <c r="BQ425" s="869">
        <f t="shared" si="347"/>
        <v>0</v>
      </c>
      <c r="BR425" s="869">
        <f t="shared" si="347"/>
        <v>0</v>
      </c>
      <c r="BS425" s="869">
        <f t="shared" si="347"/>
        <v>0</v>
      </c>
      <c r="BT425" s="869">
        <f t="shared" si="347"/>
        <v>0</v>
      </c>
      <c r="BU425" s="869">
        <f t="shared" si="347"/>
        <v>0</v>
      </c>
      <c r="BX425" s="869">
        <f t="shared" si="348"/>
        <v>0</v>
      </c>
      <c r="BY425" s="869">
        <f t="shared" si="348"/>
        <v>0</v>
      </c>
      <c r="BZ425" s="869">
        <f t="shared" si="348"/>
        <v>0</v>
      </c>
      <c r="CA425" s="869">
        <f t="shared" si="348"/>
        <v>0</v>
      </c>
      <c r="CB425" s="869">
        <f t="shared" si="348"/>
        <v>0</v>
      </c>
      <c r="CC425" s="869">
        <f t="shared" si="348"/>
        <v>0</v>
      </c>
      <c r="CD425" s="869">
        <f t="shared" si="348"/>
        <v>0</v>
      </c>
    </row>
    <row r="426" spans="1:82" ht="16" hidden="1" thickTop="1" thickBot="1">
      <c r="A426" s="773">
        <f t="shared" si="278"/>
        <v>0</v>
      </c>
      <c r="D426" s="875"/>
      <c r="E426" s="876"/>
      <c r="F426" s="877"/>
      <c r="G426" s="869">
        <f t="shared" si="332"/>
        <v>0</v>
      </c>
      <c r="I426" s="869"/>
      <c r="J426" s="869">
        <f t="shared" si="333"/>
        <v>0</v>
      </c>
      <c r="K426" s="869">
        <f t="shared" si="333"/>
        <v>0</v>
      </c>
      <c r="L426" s="869">
        <f t="shared" si="333"/>
        <v>0</v>
      </c>
      <c r="M426" s="869"/>
      <c r="N426" s="869">
        <f t="shared" si="334"/>
        <v>0</v>
      </c>
      <c r="O426" s="869">
        <f t="shared" si="334"/>
        <v>0</v>
      </c>
      <c r="P426" s="869">
        <f t="shared" si="334"/>
        <v>0</v>
      </c>
      <c r="Q426" s="869">
        <f t="shared" si="334"/>
        <v>0</v>
      </c>
      <c r="R426" s="161"/>
      <c r="S426" s="869">
        <f t="shared" si="351"/>
        <v>0</v>
      </c>
      <c r="T426" s="869">
        <f t="shared" si="335"/>
        <v>0</v>
      </c>
      <c r="U426" s="869">
        <f t="shared" si="335"/>
        <v>0</v>
      </c>
      <c r="V426" s="869">
        <f t="shared" si="335"/>
        <v>0</v>
      </c>
      <c r="W426" s="869">
        <f t="shared" si="335"/>
        <v>0</v>
      </c>
      <c r="X426" s="869" cm="1">
        <f t="array" aca="1" ref="X426" ca="1">LOOKUP(2,1/($F$49:$F$407=$D427),X$49:X$407)</f>
        <v>0</v>
      </c>
      <c r="Y426" s="869">
        <f t="shared" si="336"/>
        <v>0</v>
      </c>
      <c r="Z426" s="869">
        <f t="shared" si="336"/>
        <v>0</v>
      </c>
      <c r="AA426" s="869">
        <f t="shared" si="336"/>
        <v>0</v>
      </c>
      <c r="AB426" s="869">
        <f t="shared" si="336"/>
        <v>0</v>
      </c>
      <c r="AC426" s="161"/>
      <c r="AD426" s="869">
        <f t="shared" si="349"/>
        <v>0</v>
      </c>
      <c r="AE426" s="869">
        <f t="shared" si="337"/>
        <v>0</v>
      </c>
      <c r="AF426" s="869">
        <f t="shared" si="337"/>
        <v>0</v>
      </c>
      <c r="AG426" s="869">
        <f t="shared" si="337"/>
        <v>0</v>
      </c>
      <c r="AH426" s="869">
        <f t="shared" si="337"/>
        <v>0</v>
      </c>
      <c r="AI426" s="869" cm="1">
        <f t="array" aca="1" ref="AI426" ca="1">LOOKUP(2,1/($F$49:$F$407=$D427),AI$49:AI$407)</f>
        <v>0</v>
      </c>
      <c r="AJ426" s="869">
        <f t="shared" si="338"/>
        <v>0</v>
      </c>
      <c r="AK426" s="869">
        <f t="shared" si="338"/>
        <v>0</v>
      </c>
      <c r="AL426" s="869">
        <f t="shared" si="338"/>
        <v>0</v>
      </c>
      <c r="AM426" s="869">
        <f t="shared" si="338"/>
        <v>0</v>
      </c>
      <c r="AN426" s="869">
        <f t="shared" si="350"/>
        <v>0</v>
      </c>
      <c r="AO426" s="161"/>
      <c r="AP426" s="869">
        <f t="shared" si="352"/>
        <v>0</v>
      </c>
      <c r="AQ426" s="869">
        <f t="shared" si="340"/>
        <v>0</v>
      </c>
      <c r="AR426" s="869">
        <f t="shared" si="340"/>
        <v>0</v>
      </c>
      <c r="AS426" s="869">
        <f t="shared" si="340"/>
        <v>0</v>
      </c>
      <c r="AT426" s="869">
        <f t="shared" si="340"/>
        <v>0</v>
      </c>
      <c r="AU426" s="869"/>
      <c r="AV426" s="869">
        <f t="shared" si="346"/>
        <v>0</v>
      </c>
      <c r="AW426" s="869">
        <f t="shared" si="346"/>
        <v>0</v>
      </c>
      <c r="AX426" s="869">
        <f t="shared" si="346"/>
        <v>0</v>
      </c>
      <c r="AY426" s="869">
        <f t="shared" si="346"/>
        <v>0</v>
      </c>
      <c r="AZ426" s="869">
        <f t="shared" si="346"/>
        <v>0</v>
      </c>
      <c r="BA426" s="161"/>
      <c r="BB426" s="869">
        <f t="shared" si="342"/>
        <v>0</v>
      </c>
      <c r="BC426" s="869">
        <f t="shared" si="342"/>
        <v>0</v>
      </c>
      <c r="BD426" s="658"/>
      <c r="BE426" s="869">
        <f t="shared" si="343"/>
        <v>0</v>
      </c>
      <c r="BF426" s="869">
        <f t="shared" si="343"/>
        <v>0</v>
      </c>
      <c r="BG426" s="869">
        <f t="shared" si="343"/>
        <v>0</v>
      </c>
      <c r="BI426" s="869">
        <f t="shared" si="347"/>
        <v>0</v>
      </c>
      <c r="BJ426" s="869">
        <f t="shared" si="347"/>
        <v>0</v>
      </c>
      <c r="BK426" s="869">
        <f t="shared" si="347"/>
        <v>0</v>
      </c>
      <c r="BL426" s="869">
        <f t="shared" si="347"/>
        <v>0</v>
      </c>
      <c r="BM426" s="869">
        <f t="shared" si="347"/>
        <v>0</v>
      </c>
      <c r="BN426" s="869">
        <f t="shared" si="347"/>
        <v>0</v>
      </c>
      <c r="BO426" s="869">
        <f t="shared" si="347"/>
        <v>0</v>
      </c>
      <c r="BP426" s="869">
        <f t="shared" si="347"/>
        <v>0</v>
      </c>
      <c r="BQ426" s="869">
        <f t="shared" si="347"/>
        <v>0</v>
      </c>
      <c r="BR426" s="869">
        <f t="shared" si="347"/>
        <v>0</v>
      </c>
      <c r="BS426" s="869">
        <f t="shared" si="347"/>
        <v>0</v>
      </c>
      <c r="BT426" s="869">
        <f t="shared" si="347"/>
        <v>0</v>
      </c>
      <c r="BU426" s="869">
        <f t="shared" si="347"/>
        <v>0</v>
      </c>
      <c r="BX426" s="869">
        <f t="shared" si="348"/>
        <v>0</v>
      </c>
      <c r="BY426" s="869">
        <f t="shared" si="348"/>
        <v>0</v>
      </c>
      <c r="BZ426" s="869">
        <f t="shared" si="348"/>
        <v>0</v>
      </c>
      <c r="CA426" s="869">
        <f t="shared" si="348"/>
        <v>0</v>
      </c>
      <c r="CB426" s="869">
        <f t="shared" si="348"/>
        <v>0</v>
      </c>
      <c r="CC426" s="869">
        <f t="shared" si="348"/>
        <v>0</v>
      </c>
      <c r="CD426" s="869">
        <f t="shared" si="348"/>
        <v>0</v>
      </c>
    </row>
    <row r="427" spans="1:82" ht="16" hidden="1" thickTop="1" thickBot="1">
      <c r="A427" s="773">
        <f t="shared" si="278"/>
        <v>0</v>
      </c>
      <c r="D427" s="875"/>
      <c r="E427" s="876"/>
      <c r="F427" s="877"/>
      <c r="G427" s="869">
        <f t="shared" si="332"/>
        <v>0</v>
      </c>
      <c r="I427" s="869"/>
      <c r="J427" s="869">
        <f t="shared" si="333"/>
        <v>0</v>
      </c>
      <c r="K427" s="869">
        <f t="shared" si="333"/>
        <v>0</v>
      </c>
      <c r="L427" s="869">
        <f t="shared" si="333"/>
        <v>0</v>
      </c>
      <c r="M427" s="869"/>
      <c r="N427" s="869">
        <f t="shared" si="334"/>
        <v>0</v>
      </c>
      <c r="O427" s="869">
        <f t="shared" si="334"/>
        <v>0</v>
      </c>
      <c r="P427" s="869">
        <f t="shared" si="334"/>
        <v>0</v>
      </c>
      <c r="Q427" s="869">
        <f t="shared" si="334"/>
        <v>0</v>
      </c>
      <c r="R427" s="161"/>
      <c r="S427" s="869">
        <f t="shared" si="351"/>
        <v>0</v>
      </c>
      <c r="T427" s="869">
        <f t="shared" si="335"/>
        <v>0</v>
      </c>
      <c r="U427" s="869">
        <f t="shared" si="335"/>
        <v>0</v>
      </c>
      <c r="V427" s="869">
        <f t="shared" si="335"/>
        <v>0</v>
      </c>
      <c r="W427" s="869">
        <f t="shared" si="335"/>
        <v>0</v>
      </c>
      <c r="X427" s="869" cm="1">
        <f t="array" aca="1" ref="X427" ca="1">LOOKUP(2,1/($F$49:$F$407=$D428),X$49:X$407)</f>
        <v>0</v>
      </c>
      <c r="Y427" s="869">
        <f t="shared" si="336"/>
        <v>0</v>
      </c>
      <c r="Z427" s="869">
        <f t="shared" si="336"/>
        <v>0</v>
      </c>
      <c r="AA427" s="869">
        <f t="shared" si="336"/>
        <v>0</v>
      </c>
      <c r="AB427" s="869">
        <f t="shared" si="336"/>
        <v>0</v>
      </c>
      <c r="AC427" s="161"/>
      <c r="AD427" s="869">
        <f t="shared" si="349"/>
        <v>0</v>
      </c>
      <c r="AE427" s="869">
        <f t="shared" si="337"/>
        <v>0</v>
      </c>
      <c r="AF427" s="869">
        <f t="shared" si="337"/>
        <v>0</v>
      </c>
      <c r="AG427" s="869">
        <f t="shared" si="337"/>
        <v>0</v>
      </c>
      <c r="AH427" s="869">
        <f t="shared" si="337"/>
        <v>0</v>
      </c>
      <c r="AI427" s="869" cm="1">
        <f t="array" aca="1" ref="AI427" ca="1">LOOKUP(2,1/($F$49:$F$407=$D428),AI$49:AI$407)</f>
        <v>0</v>
      </c>
      <c r="AJ427" s="869">
        <f t="shared" si="338"/>
        <v>0</v>
      </c>
      <c r="AK427" s="869">
        <f t="shared" si="338"/>
        <v>0</v>
      </c>
      <c r="AL427" s="869">
        <f t="shared" si="338"/>
        <v>0</v>
      </c>
      <c r="AM427" s="869">
        <f t="shared" si="338"/>
        <v>0</v>
      </c>
      <c r="AN427" s="869">
        <f t="shared" si="350"/>
        <v>0</v>
      </c>
      <c r="AO427" s="161"/>
      <c r="AP427" s="869">
        <f t="shared" si="352"/>
        <v>0</v>
      </c>
      <c r="AQ427" s="869">
        <f t="shared" si="340"/>
        <v>0</v>
      </c>
      <c r="AR427" s="869">
        <f t="shared" si="340"/>
        <v>0</v>
      </c>
      <c r="AS427" s="869">
        <f t="shared" si="340"/>
        <v>0</v>
      </c>
      <c r="AT427" s="869">
        <f t="shared" si="340"/>
        <v>0</v>
      </c>
      <c r="AU427" s="869"/>
      <c r="AV427" s="869">
        <f t="shared" si="346"/>
        <v>0</v>
      </c>
      <c r="AW427" s="869">
        <f t="shared" si="346"/>
        <v>0</v>
      </c>
      <c r="AX427" s="869">
        <f t="shared" si="346"/>
        <v>0</v>
      </c>
      <c r="AY427" s="869">
        <f t="shared" si="346"/>
        <v>0</v>
      </c>
      <c r="AZ427" s="869">
        <f t="shared" si="346"/>
        <v>0</v>
      </c>
      <c r="BA427" s="161"/>
      <c r="BB427" s="869">
        <f t="shared" si="342"/>
        <v>0</v>
      </c>
      <c r="BC427" s="869">
        <f t="shared" si="342"/>
        <v>0</v>
      </c>
      <c r="BD427" s="658"/>
      <c r="BE427" s="869">
        <f t="shared" si="343"/>
        <v>0</v>
      </c>
      <c r="BF427" s="869">
        <f t="shared" si="343"/>
        <v>0</v>
      </c>
      <c r="BG427" s="869">
        <f t="shared" si="343"/>
        <v>0</v>
      </c>
      <c r="BI427" s="869">
        <f t="shared" si="347"/>
        <v>0</v>
      </c>
      <c r="BJ427" s="869">
        <f t="shared" si="347"/>
        <v>0</v>
      </c>
      <c r="BK427" s="869">
        <f t="shared" si="347"/>
        <v>0</v>
      </c>
      <c r="BL427" s="869">
        <f t="shared" si="347"/>
        <v>0</v>
      </c>
      <c r="BM427" s="869">
        <f t="shared" si="347"/>
        <v>0</v>
      </c>
      <c r="BN427" s="869">
        <f t="shared" si="347"/>
        <v>0</v>
      </c>
      <c r="BO427" s="869">
        <f t="shared" si="347"/>
        <v>0</v>
      </c>
      <c r="BP427" s="869">
        <f t="shared" si="347"/>
        <v>0</v>
      </c>
      <c r="BQ427" s="869">
        <f t="shared" si="347"/>
        <v>0</v>
      </c>
      <c r="BR427" s="869">
        <f t="shared" si="347"/>
        <v>0</v>
      </c>
      <c r="BS427" s="869">
        <f t="shared" si="347"/>
        <v>0</v>
      </c>
      <c r="BT427" s="869">
        <f t="shared" si="347"/>
        <v>0</v>
      </c>
      <c r="BU427" s="869">
        <f t="shared" si="347"/>
        <v>0</v>
      </c>
      <c r="BX427" s="869">
        <f t="shared" si="348"/>
        <v>0</v>
      </c>
      <c r="BY427" s="869">
        <f t="shared" si="348"/>
        <v>0</v>
      </c>
      <c r="BZ427" s="869">
        <f t="shared" si="348"/>
        <v>0</v>
      </c>
      <c r="CA427" s="869">
        <f t="shared" si="348"/>
        <v>0</v>
      </c>
      <c r="CB427" s="869">
        <f t="shared" si="348"/>
        <v>0</v>
      </c>
      <c r="CC427" s="869">
        <f t="shared" si="348"/>
        <v>0</v>
      </c>
      <c r="CD427" s="869">
        <f t="shared" si="348"/>
        <v>0</v>
      </c>
    </row>
    <row r="428" spans="1:82" ht="16" hidden="1" thickTop="1" thickBot="1">
      <c r="A428" s="773">
        <f t="shared" si="278"/>
        <v>0</v>
      </c>
      <c r="D428" s="875"/>
      <c r="E428" s="876"/>
      <c r="F428" s="877"/>
      <c r="G428" s="869">
        <f t="shared" si="332"/>
        <v>0</v>
      </c>
      <c r="I428" s="869"/>
      <c r="J428" s="869">
        <f t="shared" si="333"/>
        <v>0</v>
      </c>
      <c r="K428" s="869">
        <f t="shared" si="333"/>
        <v>0</v>
      </c>
      <c r="L428" s="869">
        <f t="shared" si="333"/>
        <v>0</v>
      </c>
      <c r="M428" s="869"/>
      <c r="N428" s="869">
        <f t="shared" si="334"/>
        <v>0</v>
      </c>
      <c r="O428" s="869">
        <f t="shared" si="334"/>
        <v>0</v>
      </c>
      <c r="P428" s="869">
        <f t="shared" si="334"/>
        <v>0</v>
      </c>
      <c r="Q428" s="869">
        <f t="shared" si="334"/>
        <v>0</v>
      </c>
      <c r="R428" s="161"/>
      <c r="S428" s="869">
        <f t="shared" si="351"/>
        <v>0</v>
      </c>
      <c r="T428" s="869">
        <f t="shared" si="335"/>
        <v>0</v>
      </c>
      <c r="U428" s="869">
        <f t="shared" si="335"/>
        <v>0</v>
      </c>
      <c r="V428" s="869">
        <f t="shared" si="335"/>
        <v>0</v>
      </c>
      <c r="W428" s="869">
        <f t="shared" si="335"/>
        <v>0</v>
      </c>
      <c r="X428" s="869" cm="1">
        <f t="array" aca="1" ref="X428" ca="1">LOOKUP(2,1/($F$49:$F$407=$D429),X$49:X$407)</f>
        <v>0</v>
      </c>
      <c r="Y428" s="869">
        <f t="shared" si="336"/>
        <v>0</v>
      </c>
      <c r="Z428" s="869">
        <f t="shared" si="336"/>
        <v>0</v>
      </c>
      <c r="AA428" s="869">
        <f t="shared" si="336"/>
        <v>0</v>
      </c>
      <c r="AB428" s="869">
        <f t="shared" si="336"/>
        <v>0</v>
      </c>
      <c r="AC428" s="161"/>
      <c r="AD428" s="869">
        <f t="shared" si="349"/>
        <v>0</v>
      </c>
      <c r="AE428" s="869">
        <f t="shared" si="337"/>
        <v>0</v>
      </c>
      <c r="AF428" s="869">
        <f t="shared" si="337"/>
        <v>0</v>
      </c>
      <c r="AG428" s="869">
        <f t="shared" si="337"/>
        <v>0</v>
      </c>
      <c r="AH428" s="869">
        <f t="shared" si="337"/>
        <v>0</v>
      </c>
      <c r="AI428" s="869" cm="1">
        <f t="array" aca="1" ref="AI428" ca="1">LOOKUP(2,1/($F$49:$F$407=$D429),AI$49:AI$407)</f>
        <v>0</v>
      </c>
      <c r="AJ428" s="869">
        <f t="shared" si="338"/>
        <v>0</v>
      </c>
      <c r="AK428" s="869">
        <f t="shared" si="338"/>
        <v>0</v>
      </c>
      <c r="AL428" s="869">
        <f t="shared" si="338"/>
        <v>0</v>
      </c>
      <c r="AM428" s="869">
        <f t="shared" si="338"/>
        <v>0</v>
      </c>
      <c r="AN428" s="869">
        <f t="shared" si="350"/>
        <v>0</v>
      </c>
      <c r="AO428" s="161"/>
      <c r="AP428" s="869">
        <f t="shared" si="352"/>
        <v>0</v>
      </c>
      <c r="AQ428" s="869">
        <f t="shared" si="340"/>
        <v>0</v>
      </c>
      <c r="AR428" s="869">
        <f t="shared" si="340"/>
        <v>0</v>
      </c>
      <c r="AS428" s="869">
        <f t="shared" si="340"/>
        <v>0</v>
      </c>
      <c r="AT428" s="869">
        <f t="shared" si="340"/>
        <v>0</v>
      </c>
      <c r="AU428" s="869"/>
      <c r="AV428" s="869">
        <f t="shared" si="346"/>
        <v>0</v>
      </c>
      <c r="AW428" s="869">
        <f t="shared" si="346"/>
        <v>0</v>
      </c>
      <c r="AX428" s="869">
        <f t="shared" si="346"/>
        <v>0</v>
      </c>
      <c r="AY428" s="869">
        <f t="shared" si="346"/>
        <v>0</v>
      </c>
      <c r="AZ428" s="869">
        <f t="shared" si="346"/>
        <v>0</v>
      </c>
      <c r="BA428" s="161"/>
      <c r="BB428" s="869">
        <f t="shared" si="342"/>
        <v>0</v>
      </c>
      <c r="BC428" s="869">
        <f t="shared" si="342"/>
        <v>0</v>
      </c>
      <c r="BD428" s="658"/>
      <c r="BE428" s="869">
        <f t="shared" si="343"/>
        <v>0</v>
      </c>
      <c r="BF428" s="869">
        <f t="shared" si="343"/>
        <v>0</v>
      </c>
      <c r="BG428" s="869">
        <f t="shared" si="343"/>
        <v>0</v>
      </c>
      <c r="BI428" s="869">
        <f t="shared" si="347"/>
        <v>0</v>
      </c>
      <c r="BJ428" s="869">
        <f t="shared" si="347"/>
        <v>0</v>
      </c>
      <c r="BK428" s="869">
        <f t="shared" si="347"/>
        <v>0</v>
      </c>
      <c r="BL428" s="869">
        <f t="shared" si="347"/>
        <v>0</v>
      </c>
      <c r="BM428" s="869">
        <f t="shared" si="347"/>
        <v>0</v>
      </c>
      <c r="BN428" s="869">
        <f t="shared" si="347"/>
        <v>0</v>
      </c>
      <c r="BO428" s="869">
        <f t="shared" si="347"/>
        <v>0</v>
      </c>
      <c r="BP428" s="869">
        <f t="shared" si="347"/>
        <v>0</v>
      </c>
      <c r="BQ428" s="869">
        <f t="shared" si="347"/>
        <v>0</v>
      </c>
      <c r="BR428" s="869">
        <f t="shared" si="347"/>
        <v>0</v>
      </c>
      <c r="BS428" s="869">
        <f t="shared" si="347"/>
        <v>0</v>
      </c>
      <c r="BT428" s="869">
        <f t="shared" si="347"/>
        <v>0</v>
      </c>
      <c r="BU428" s="869">
        <f t="shared" si="347"/>
        <v>0</v>
      </c>
      <c r="BX428" s="869">
        <f t="shared" si="348"/>
        <v>0</v>
      </c>
      <c r="BY428" s="869">
        <f t="shared" si="348"/>
        <v>0</v>
      </c>
      <c r="BZ428" s="869">
        <f t="shared" si="348"/>
        <v>0</v>
      </c>
      <c r="CA428" s="869">
        <f t="shared" si="348"/>
        <v>0</v>
      </c>
      <c r="CB428" s="869">
        <f t="shared" si="348"/>
        <v>0</v>
      </c>
      <c r="CC428" s="869">
        <f t="shared" si="348"/>
        <v>0</v>
      </c>
      <c r="CD428" s="869">
        <f t="shared" si="348"/>
        <v>0</v>
      </c>
    </row>
    <row r="429" spans="1:82" ht="16" hidden="1" thickTop="1" thickBot="1">
      <c r="A429" s="773">
        <f t="shared" si="278"/>
        <v>0</v>
      </c>
      <c r="D429" s="875"/>
      <c r="E429" s="876"/>
      <c r="F429" s="877"/>
      <c r="G429" s="869">
        <f t="shared" si="332"/>
        <v>0</v>
      </c>
      <c r="I429" s="869"/>
      <c r="J429" s="869">
        <f t="shared" si="333"/>
        <v>0</v>
      </c>
      <c r="K429" s="869">
        <f t="shared" si="333"/>
        <v>0</v>
      </c>
      <c r="L429" s="869">
        <f t="shared" si="333"/>
        <v>0</v>
      </c>
      <c r="M429" s="869"/>
      <c r="N429" s="869">
        <f t="shared" si="334"/>
        <v>0</v>
      </c>
      <c r="O429" s="869">
        <f t="shared" si="334"/>
        <v>0</v>
      </c>
      <c r="P429" s="869">
        <f t="shared" si="334"/>
        <v>0</v>
      </c>
      <c r="Q429" s="869">
        <f t="shared" si="334"/>
        <v>0</v>
      </c>
      <c r="R429" s="161"/>
      <c r="S429" s="869">
        <f t="shared" si="351"/>
        <v>0</v>
      </c>
      <c r="T429" s="869">
        <f t="shared" si="335"/>
        <v>0</v>
      </c>
      <c r="U429" s="869">
        <f t="shared" si="335"/>
        <v>0</v>
      </c>
      <c r="V429" s="869">
        <f t="shared" si="335"/>
        <v>0</v>
      </c>
      <c r="W429" s="869">
        <f t="shared" si="335"/>
        <v>0</v>
      </c>
      <c r="X429" s="869" cm="1">
        <f t="array" aca="1" ref="X429" ca="1">LOOKUP(2,1/($F$49:$F$407=$D430),X$49:X$407)</f>
        <v>0</v>
      </c>
      <c r="Y429" s="869">
        <f t="shared" si="336"/>
        <v>0</v>
      </c>
      <c r="Z429" s="869">
        <f t="shared" si="336"/>
        <v>0</v>
      </c>
      <c r="AA429" s="869">
        <f t="shared" si="336"/>
        <v>0</v>
      </c>
      <c r="AB429" s="869">
        <f t="shared" si="336"/>
        <v>0</v>
      </c>
      <c r="AC429" s="161"/>
      <c r="AD429" s="869">
        <f t="shared" si="349"/>
        <v>0</v>
      </c>
      <c r="AE429" s="869">
        <f t="shared" si="337"/>
        <v>0</v>
      </c>
      <c r="AF429" s="869">
        <f t="shared" si="337"/>
        <v>0</v>
      </c>
      <c r="AG429" s="869">
        <f t="shared" si="337"/>
        <v>0</v>
      </c>
      <c r="AH429" s="869">
        <f t="shared" si="337"/>
        <v>0</v>
      </c>
      <c r="AI429" s="869" cm="1">
        <f t="array" aca="1" ref="AI429" ca="1">LOOKUP(2,1/($F$49:$F$407=$D430),AI$49:AI$407)</f>
        <v>0</v>
      </c>
      <c r="AJ429" s="869">
        <f t="shared" si="338"/>
        <v>0</v>
      </c>
      <c r="AK429" s="869">
        <f t="shared" si="338"/>
        <v>0</v>
      </c>
      <c r="AL429" s="869">
        <f t="shared" si="338"/>
        <v>0</v>
      </c>
      <c r="AM429" s="869">
        <f t="shared" si="338"/>
        <v>0</v>
      </c>
      <c r="AN429" s="869">
        <f t="shared" si="350"/>
        <v>0</v>
      </c>
      <c r="AO429" s="161"/>
      <c r="AP429" s="869">
        <f t="shared" si="352"/>
        <v>0</v>
      </c>
      <c r="AQ429" s="869">
        <f t="shared" si="340"/>
        <v>0</v>
      </c>
      <c r="AR429" s="869">
        <f t="shared" si="340"/>
        <v>0</v>
      </c>
      <c r="AS429" s="869">
        <f t="shared" si="340"/>
        <v>0</v>
      </c>
      <c r="AT429" s="869">
        <f t="shared" si="340"/>
        <v>0</v>
      </c>
      <c r="AU429" s="869"/>
      <c r="AV429" s="869">
        <f t="shared" si="346"/>
        <v>0</v>
      </c>
      <c r="AW429" s="869">
        <f t="shared" si="346"/>
        <v>0</v>
      </c>
      <c r="AX429" s="869">
        <f t="shared" si="346"/>
        <v>0</v>
      </c>
      <c r="AY429" s="869">
        <f t="shared" si="346"/>
        <v>0</v>
      </c>
      <c r="AZ429" s="869">
        <f t="shared" si="346"/>
        <v>0</v>
      </c>
      <c r="BA429" s="161"/>
      <c r="BB429" s="869">
        <f t="shared" si="342"/>
        <v>0</v>
      </c>
      <c r="BC429" s="869">
        <f t="shared" si="342"/>
        <v>0</v>
      </c>
      <c r="BD429" s="658"/>
      <c r="BE429" s="869">
        <f t="shared" si="343"/>
        <v>0</v>
      </c>
      <c r="BF429" s="869">
        <f t="shared" si="343"/>
        <v>0</v>
      </c>
      <c r="BG429" s="869">
        <f t="shared" si="343"/>
        <v>0</v>
      </c>
      <c r="BI429" s="869">
        <f t="shared" si="347"/>
        <v>0</v>
      </c>
      <c r="BJ429" s="869">
        <f t="shared" si="347"/>
        <v>0</v>
      </c>
      <c r="BK429" s="869">
        <f t="shared" si="347"/>
        <v>0</v>
      </c>
      <c r="BL429" s="869">
        <f t="shared" si="347"/>
        <v>0</v>
      </c>
      <c r="BM429" s="869">
        <f t="shared" si="347"/>
        <v>0</v>
      </c>
      <c r="BN429" s="869">
        <f t="shared" si="347"/>
        <v>0</v>
      </c>
      <c r="BO429" s="869">
        <f t="shared" si="347"/>
        <v>0</v>
      </c>
      <c r="BP429" s="869">
        <f t="shared" si="347"/>
        <v>0</v>
      </c>
      <c r="BQ429" s="869">
        <f t="shared" si="347"/>
        <v>0</v>
      </c>
      <c r="BR429" s="869">
        <f t="shared" si="347"/>
        <v>0</v>
      </c>
      <c r="BS429" s="869">
        <f t="shared" si="347"/>
        <v>0</v>
      </c>
      <c r="BT429" s="869">
        <f t="shared" si="347"/>
        <v>0</v>
      </c>
      <c r="BU429" s="869">
        <f t="shared" si="347"/>
        <v>0</v>
      </c>
      <c r="BX429" s="869">
        <f t="shared" si="348"/>
        <v>0</v>
      </c>
      <c r="BY429" s="869">
        <f t="shared" si="348"/>
        <v>0</v>
      </c>
      <c r="BZ429" s="869">
        <f t="shared" si="348"/>
        <v>0</v>
      </c>
      <c r="CA429" s="869">
        <f t="shared" si="348"/>
        <v>0</v>
      </c>
      <c r="CB429" s="869">
        <f t="shared" si="348"/>
        <v>0</v>
      </c>
      <c r="CC429" s="869">
        <f t="shared" si="348"/>
        <v>0</v>
      </c>
      <c r="CD429" s="869">
        <f t="shared" si="348"/>
        <v>0</v>
      </c>
    </row>
    <row r="430" spans="1:82" ht="16" hidden="1" thickTop="1" thickBot="1">
      <c r="A430" s="773">
        <f t="shared" si="278"/>
        <v>0</v>
      </c>
      <c r="D430" s="875"/>
      <c r="E430" s="876"/>
      <c r="F430" s="877"/>
      <c r="G430" s="869">
        <f t="shared" si="332"/>
        <v>0</v>
      </c>
      <c r="I430" s="869"/>
      <c r="J430" s="869">
        <f t="shared" si="333"/>
        <v>0</v>
      </c>
      <c r="K430" s="869">
        <f t="shared" si="333"/>
        <v>0</v>
      </c>
      <c r="L430" s="869">
        <f t="shared" si="333"/>
        <v>0</v>
      </c>
      <c r="M430" s="869"/>
      <c r="N430" s="869">
        <f t="shared" si="334"/>
        <v>0</v>
      </c>
      <c r="O430" s="869">
        <f t="shared" si="334"/>
        <v>0</v>
      </c>
      <c r="P430" s="869">
        <f t="shared" si="334"/>
        <v>0</v>
      </c>
      <c r="Q430" s="869">
        <f t="shared" si="334"/>
        <v>0</v>
      </c>
      <c r="R430" s="161"/>
      <c r="S430" s="869">
        <f t="shared" si="351"/>
        <v>0</v>
      </c>
      <c r="T430" s="869">
        <f t="shared" si="335"/>
        <v>0</v>
      </c>
      <c r="U430" s="869">
        <f t="shared" si="335"/>
        <v>0</v>
      </c>
      <c r="V430" s="869">
        <f t="shared" si="335"/>
        <v>0</v>
      </c>
      <c r="W430" s="869">
        <f t="shared" si="335"/>
        <v>0</v>
      </c>
      <c r="X430" s="869" cm="1">
        <f t="array" aca="1" ref="X430" ca="1">LOOKUP(2,1/($F$49:$F$407=$D431),X$49:X$407)</f>
        <v>0</v>
      </c>
      <c r="Y430" s="869">
        <f t="shared" si="336"/>
        <v>0</v>
      </c>
      <c r="Z430" s="869">
        <f t="shared" si="336"/>
        <v>0</v>
      </c>
      <c r="AA430" s="869">
        <f t="shared" si="336"/>
        <v>0</v>
      </c>
      <c r="AB430" s="869">
        <f t="shared" si="336"/>
        <v>0</v>
      </c>
      <c r="AC430" s="161"/>
      <c r="AD430" s="869">
        <f t="shared" si="349"/>
        <v>0</v>
      </c>
      <c r="AE430" s="869">
        <f t="shared" si="337"/>
        <v>0</v>
      </c>
      <c r="AF430" s="869">
        <f t="shared" si="337"/>
        <v>0</v>
      </c>
      <c r="AG430" s="869">
        <f t="shared" si="337"/>
        <v>0</v>
      </c>
      <c r="AH430" s="869">
        <f t="shared" si="337"/>
        <v>0</v>
      </c>
      <c r="AI430" s="869" cm="1">
        <f t="array" aca="1" ref="AI430" ca="1">LOOKUP(2,1/($F$49:$F$407=$D431),AI$49:AI$407)</f>
        <v>0</v>
      </c>
      <c r="AJ430" s="869">
        <f t="shared" si="338"/>
        <v>0</v>
      </c>
      <c r="AK430" s="869">
        <f t="shared" si="338"/>
        <v>0</v>
      </c>
      <c r="AL430" s="869">
        <f t="shared" si="338"/>
        <v>0</v>
      </c>
      <c r="AM430" s="869">
        <f t="shared" si="338"/>
        <v>0</v>
      </c>
      <c r="AN430" s="869">
        <f t="shared" si="350"/>
        <v>0</v>
      </c>
      <c r="AO430" s="161"/>
      <c r="AP430" s="869">
        <f t="shared" si="352"/>
        <v>0</v>
      </c>
      <c r="AQ430" s="869">
        <f t="shared" si="340"/>
        <v>0</v>
      </c>
      <c r="AR430" s="869">
        <f t="shared" si="340"/>
        <v>0</v>
      </c>
      <c r="AS430" s="869">
        <f t="shared" si="340"/>
        <v>0</v>
      </c>
      <c r="AT430" s="869">
        <f t="shared" si="340"/>
        <v>0</v>
      </c>
      <c r="AU430" s="869"/>
      <c r="AV430" s="869">
        <f t="shared" si="346"/>
        <v>0</v>
      </c>
      <c r="AW430" s="869">
        <f t="shared" si="346"/>
        <v>0</v>
      </c>
      <c r="AX430" s="869">
        <f t="shared" si="346"/>
        <v>0</v>
      </c>
      <c r="AY430" s="869">
        <f t="shared" si="346"/>
        <v>0</v>
      </c>
      <c r="AZ430" s="869">
        <f t="shared" si="346"/>
        <v>0</v>
      </c>
      <c r="BA430" s="161"/>
      <c r="BB430" s="869">
        <f t="shared" si="342"/>
        <v>0</v>
      </c>
      <c r="BC430" s="869">
        <f t="shared" si="342"/>
        <v>0</v>
      </c>
      <c r="BD430" s="658"/>
      <c r="BE430" s="869">
        <f t="shared" si="343"/>
        <v>0</v>
      </c>
      <c r="BF430" s="869">
        <f t="shared" si="343"/>
        <v>0</v>
      </c>
      <c r="BG430" s="869">
        <f t="shared" si="343"/>
        <v>0</v>
      </c>
      <c r="BI430" s="869">
        <f t="shared" si="347"/>
        <v>0</v>
      </c>
      <c r="BJ430" s="869">
        <f t="shared" si="347"/>
        <v>0</v>
      </c>
      <c r="BK430" s="869">
        <f t="shared" si="347"/>
        <v>0</v>
      </c>
      <c r="BL430" s="869">
        <f t="shared" si="347"/>
        <v>0</v>
      </c>
      <c r="BM430" s="869">
        <f t="shared" si="347"/>
        <v>0</v>
      </c>
      <c r="BN430" s="869">
        <f t="shared" si="347"/>
        <v>0</v>
      </c>
      <c r="BO430" s="869">
        <f t="shared" si="347"/>
        <v>0</v>
      </c>
      <c r="BP430" s="869">
        <f t="shared" si="347"/>
        <v>0</v>
      </c>
      <c r="BQ430" s="869">
        <f t="shared" si="347"/>
        <v>0</v>
      </c>
      <c r="BR430" s="869">
        <f t="shared" si="347"/>
        <v>0</v>
      </c>
      <c r="BS430" s="869">
        <f t="shared" si="347"/>
        <v>0</v>
      </c>
      <c r="BT430" s="869">
        <f t="shared" si="347"/>
        <v>0</v>
      </c>
      <c r="BU430" s="869">
        <f t="shared" si="347"/>
        <v>0</v>
      </c>
      <c r="BX430" s="869">
        <f t="shared" si="348"/>
        <v>0</v>
      </c>
      <c r="BY430" s="869">
        <f t="shared" si="348"/>
        <v>0</v>
      </c>
      <c r="BZ430" s="869">
        <f t="shared" si="348"/>
        <v>0</v>
      </c>
      <c r="CA430" s="869">
        <f t="shared" si="348"/>
        <v>0</v>
      </c>
      <c r="CB430" s="869">
        <f t="shared" si="348"/>
        <v>0</v>
      </c>
      <c r="CC430" s="869">
        <f t="shared" si="348"/>
        <v>0</v>
      </c>
      <c r="CD430" s="869">
        <f t="shared" si="348"/>
        <v>0</v>
      </c>
    </row>
    <row r="431" spans="1:82" ht="16" hidden="1" thickTop="1" thickBot="1">
      <c r="A431" s="773">
        <f t="shared" si="278"/>
        <v>0</v>
      </c>
      <c r="D431" s="875"/>
      <c r="E431" s="876"/>
      <c r="F431" s="877"/>
      <c r="G431" s="869">
        <f t="shared" si="332"/>
        <v>0</v>
      </c>
      <c r="I431" s="869"/>
      <c r="J431" s="869">
        <f t="shared" si="333"/>
        <v>0</v>
      </c>
      <c r="K431" s="869">
        <f t="shared" si="333"/>
        <v>0</v>
      </c>
      <c r="L431" s="869">
        <f t="shared" si="333"/>
        <v>0</v>
      </c>
      <c r="M431" s="869"/>
      <c r="N431" s="869">
        <f t="shared" si="334"/>
        <v>0</v>
      </c>
      <c r="O431" s="869">
        <f t="shared" si="334"/>
        <v>0</v>
      </c>
      <c r="P431" s="869">
        <f t="shared" si="334"/>
        <v>0</v>
      </c>
      <c r="Q431" s="869">
        <f t="shared" si="334"/>
        <v>0</v>
      </c>
      <c r="R431" s="161"/>
      <c r="S431" s="869">
        <f t="shared" si="351"/>
        <v>0</v>
      </c>
      <c r="T431" s="869">
        <f t="shared" si="335"/>
        <v>0</v>
      </c>
      <c r="U431" s="869">
        <f t="shared" si="335"/>
        <v>0</v>
      </c>
      <c r="V431" s="869">
        <f t="shared" si="335"/>
        <v>0</v>
      </c>
      <c r="W431" s="869">
        <f t="shared" si="335"/>
        <v>0</v>
      </c>
      <c r="X431" s="869" cm="1">
        <f t="array" aca="1" ref="X431" ca="1">LOOKUP(2,1/($F$49:$F$407=$D432),X$49:X$407)</f>
        <v>0</v>
      </c>
      <c r="Y431" s="869">
        <f t="shared" si="336"/>
        <v>0</v>
      </c>
      <c r="Z431" s="869">
        <f t="shared" si="336"/>
        <v>0</v>
      </c>
      <c r="AA431" s="869">
        <f t="shared" si="336"/>
        <v>0</v>
      </c>
      <c r="AB431" s="869">
        <f t="shared" si="336"/>
        <v>0</v>
      </c>
      <c r="AC431" s="161"/>
      <c r="AD431" s="869">
        <f t="shared" si="349"/>
        <v>0</v>
      </c>
      <c r="AE431" s="869">
        <f t="shared" si="337"/>
        <v>0</v>
      </c>
      <c r="AF431" s="869">
        <f t="shared" si="337"/>
        <v>0</v>
      </c>
      <c r="AG431" s="869">
        <f t="shared" si="337"/>
        <v>0</v>
      </c>
      <c r="AH431" s="869">
        <f t="shared" si="337"/>
        <v>0</v>
      </c>
      <c r="AI431" s="869" cm="1">
        <f t="array" aca="1" ref="AI431" ca="1">LOOKUP(2,1/($F$49:$F$407=$D432),AI$49:AI$407)</f>
        <v>0</v>
      </c>
      <c r="AJ431" s="869">
        <f t="shared" si="338"/>
        <v>0</v>
      </c>
      <c r="AK431" s="869">
        <f t="shared" si="338"/>
        <v>0</v>
      </c>
      <c r="AL431" s="869">
        <f t="shared" si="338"/>
        <v>0</v>
      </c>
      <c r="AM431" s="869">
        <f t="shared" si="338"/>
        <v>0</v>
      </c>
      <c r="AN431" s="869">
        <f t="shared" si="350"/>
        <v>0</v>
      </c>
      <c r="AO431" s="161"/>
      <c r="AP431" s="869">
        <f t="shared" si="352"/>
        <v>0</v>
      </c>
      <c r="AQ431" s="869">
        <f t="shared" si="340"/>
        <v>0</v>
      </c>
      <c r="AR431" s="869">
        <f t="shared" si="340"/>
        <v>0</v>
      </c>
      <c r="AS431" s="869">
        <f t="shared" si="340"/>
        <v>0</v>
      </c>
      <c r="AT431" s="869">
        <f t="shared" si="340"/>
        <v>0</v>
      </c>
      <c r="AU431" s="869"/>
      <c r="AV431" s="869">
        <f t="shared" ref="AV431:AZ439" si="353">SUMIF($F$48:$F$407,$D431,AV$48:AV$407)</f>
        <v>0</v>
      </c>
      <c r="AW431" s="869">
        <f t="shared" si="353"/>
        <v>0</v>
      </c>
      <c r="AX431" s="869">
        <f t="shared" si="353"/>
        <v>0</v>
      </c>
      <c r="AY431" s="869">
        <f t="shared" si="353"/>
        <v>0</v>
      </c>
      <c r="AZ431" s="869">
        <f t="shared" si="353"/>
        <v>0</v>
      </c>
      <c r="BA431" s="161"/>
      <c r="BB431" s="869">
        <f t="shared" si="342"/>
        <v>0</v>
      </c>
      <c r="BC431" s="869">
        <f t="shared" si="342"/>
        <v>0</v>
      </c>
      <c r="BD431" s="658"/>
      <c r="BE431" s="869">
        <f t="shared" si="343"/>
        <v>0</v>
      </c>
      <c r="BF431" s="869">
        <f t="shared" si="343"/>
        <v>0</v>
      </c>
      <c r="BG431" s="869">
        <f t="shared" si="343"/>
        <v>0</v>
      </c>
      <c r="BI431" s="869">
        <f t="shared" ref="BI431:BU439" si="354">SUMIF($F$48:$F$407,$D431,BI$48:BI$407)</f>
        <v>0</v>
      </c>
      <c r="BJ431" s="869">
        <f t="shared" si="354"/>
        <v>0</v>
      </c>
      <c r="BK431" s="869">
        <f t="shared" si="354"/>
        <v>0</v>
      </c>
      <c r="BL431" s="869">
        <f t="shared" si="354"/>
        <v>0</v>
      </c>
      <c r="BM431" s="869">
        <f t="shared" si="354"/>
        <v>0</v>
      </c>
      <c r="BN431" s="869">
        <f t="shared" si="354"/>
        <v>0</v>
      </c>
      <c r="BO431" s="869">
        <f t="shared" si="354"/>
        <v>0</v>
      </c>
      <c r="BP431" s="869">
        <f t="shared" si="354"/>
        <v>0</v>
      </c>
      <c r="BQ431" s="869">
        <f t="shared" si="354"/>
        <v>0</v>
      </c>
      <c r="BR431" s="869">
        <f t="shared" si="354"/>
        <v>0</v>
      </c>
      <c r="BS431" s="869">
        <f t="shared" si="354"/>
        <v>0</v>
      </c>
      <c r="BT431" s="869">
        <f t="shared" si="354"/>
        <v>0</v>
      </c>
      <c r="BU431" s="869">
        <f t="shared" si="354"/>
        <v>0</v>
      </c>
      <c r="BX431" s="869">
        <f t="shared" ref="BX431:CD439" si="355">SUMIF($F$48:$F$407,$D431,BX$48:BX$407)</f>
        <v>0</v>
      </c>
      <c r="BY431" s="869">
        <f t="shared" si="355"/>
        <v>0</v>
      </c>
      <c r="BZ431" s="869">
        <f t="shared" si="355"/>
        <v>0</v>
      </c>
      <c r="CA431" s="869">
        <f t="shared" si="355"/>
        <v>0</v>
      </c>
      <c r="CB431" s="869">
        <f t="shared" si="355"/>
        <v>0</v>
      </c>
      <c r="CC431" s="869">
        <f t="shared" si="355"/>
        <v>0</v>
      </c>
      <c r="CD431" s="869">
        <f t="shared" si="355"/>
        <v>0</v>
      </c>
    </row>
    <row r="432" spans="1:82" ht="16" hidden="1" thickTop="1" thickBot="1">
      <c r="A432" s="773">
        <f t="shared" ref="A432:A443" si="356">IF(D432&gt;0,1,0)</f>
        <v>0</v>
      </c>
      <c r="D432" s="875"/>
      <c r="E432" s="876"/>
      <c r="F432" s="877"/>
      <c r="G432" s="869">
        <f t="shared" si="332"/>
        <v>0</v>
      </c>
      <c r="I432" s="869"/>
      <c r="J432" s="869">
        <f t="shared" si="333"/>
        <v>0</v>
      </c>
      <c r="K432" s="869">
        <f t="shared" si="333"/>
        <v>0</v>
      </c>
      <c r="L432" s="869">
        <f t="shared" si="333"/>
        <v>0</v>
      </c>
      <c r="M432" s="869" cm="1">
        <f t="array" ref="M432">LOOKUP(2,1/($F$49:$F$407=$D433),M$49:M$407)</f>
        <v>0</v>
      </c>
      <c r="N432" s="869">
        <f t="shared" si="334"/>
        <v>0</v>
      </c>
      <c r="O432" s="869">
        <f t="shared" si="334"/>
        <v>0</v>
      </c>
      <c r="P432" s="869">
        <f t="shared" si="334"/>
        <v>0</v>
      </c>
      <c r="Q432" s="869">
        <f t="shared" si="334"/>
        <v>0</v>
      </c>
      <c r="R432" s="161"/>
      <c r="S432" s="869">
        <f t="shared" si="351"/>
        <v>0</v>
      </c>
      <c r="T432" s="869">
        <f t="shared" si="335"/>
        <v>0</v>
      </c>
      <c r="U432" s="869">
        <f t="shared" si="335"/>
        <v>0</v>
      </c>
      <c r="V432" s="869">
        <f t="shared" si="335"/>
        <v>0</v>
      </c>
      <c r="W432" s="869">
        <f t="shared" si="335"/>
        <v>0</v>
      </c>
      <c r="X432" s="869" cm="1">
        <f t="array" aca="1" ref="X432" ca="1">LOOKUP(2,1/($F$49:$F$407=$D433),X$49:X$407)</f>
        <v>0</v>
      </c>
      <c r="Y432" s="869">
        <f t="shared" si="336"/>
        <v>0</v>
      </c>
      <c r="Z432" s="869">
        <f t="shared" si="336"/>
        <v>0</v>
      </c>
      <c r="AA432" s="869">
        <f t="shared" si="336"/>
        <v>0</v>
      </c>
      <c r="AB432" s="869">
        <f t="shared" si="336"/>
        <v>0</v>
      </c>
      <c r="AC432" s="161"/>
      <c r="AD432" s="869">
        <f t="shared" si="349"/>
        <v>0</v>
      </c>
      <c r="AE432" s="869">
        <f t="shared" si="337"/>
        <v>0</v>
      </c>
      <c r="AF432" s="869">
        <f t="shared" si="337"/>
        <v>0</v>
      </c>
      <c r="AG432" s="869">
        <f t="shared" si="337"/>
        <v>0</v>
      </c>
      <c r="AH432" s="869">
        <f t="shared" si="337"/>
        <v>0</v>
      </c>
      <c r="AI432" s="869" cm="1">
        <f t="array" aca="1" ref="AI432" ca="1">LOOKUP(2,1/($F$49:$F$407=$D433),AI$49:AI$407)</f>
        <v>0</v>
      </c>
      <c r="AJ432" s="869">
        <f t="shared" si="338"/>
        <v>0</v>
      </c>
      <c r="AK432" s="869">
        <f t="shared" si="338"/>
        <v>0</v>
      </c>
      <c r="AL432" s="869">
        <f t="shared" si="338"/>
        <v>0</v>
      </c>
      <c r="AM432" s="869">
        <f t="shared" si="338"/>
        <v>0</v>
      </c>
      <c r="AN432" s="869">
        <f t="shared" si="350"/>
        <v>0</v>
      </c>
      <c r="AO432" s="161"/>
      <c r="AP432" s="869">
        <f t="shared" si="352"/>
        <v>0</v>
      </c>
      <c r="AQ432" s="869">
        <f t="shared" si="340"/>
        <v>0</v>
      </c>
      <c r="AR432" s="869">
        <f t="shared" si="340"/>
        <v>0</v>
      </c>
      <c r="AS432" s="869">
        <f t="shared" si="340"/>
        <v>0</v>
      </c>
      <c r="AT432" s="869">
        <f t="shared" si="340"/>
        <v>0</v>
      </c>
      <c r="AU432" s="869"/>
      <c r="AV432" s="869">
        <f t="shared" si="353"/>
        <v>0</v>
      </c>
      <c r="AW432" s="869">
        <f t="shared" si="353"/>
        <v>0</v>
      </c>
      <c r="AX432" s="869">
        <f t="shared" si="353"/>
        <v>0</v>
      </c>
      <c r="AY432" s="869">
        <f t="shared" si="353"/>
        <v>0</v>
      </c>
      <c r="AZ432" s="869">
        <f t="shared" si="353"/>
        <v>0</v>
      </c>
      <c r="BA432" s="161"/>
      <c r="BB432" s="869">
        <f t="shared" si="342"/>
        <v>0</v>
      </c>
      <c r="BC432" s="869">
        <f t="shared" si="342"/>
        <v>0</v>
      </c>
      <c r="BD432" s="658"/>
      <c r="BE432" s="869">
        <f t="shared" si="343"/>
        <v>0</v>
      </c>
      <c r="BF432" s="869">
        <f t="shared" si="343"/>
        <v>0</v>
      </c>
      <c r="BG432" s="869">
        <f t="shared" si="343"/>
        <v>0</v>
      </c>
      <c r="BI432" s="869">
        <f t="shared" si="354"/>
        <v>0</v>
      </c>
      <c r="BJ432" s="869">
        <f t="shared" si="354"/>
        <v>0</v>
      </c>
      <c r="BK432" s="869">
        <f t="shared" si="354"/>
        <v>0</v>
      </c>
      <c r="BL432" s="869">
        <f t="shared" si="354"/>
        <v>0</v>
      </c>
      <c r="BM432" s="869">
        <f t="shared" si="354"/>
        <v>0</v>
      </c>
      <c r="BN432" s="869">
        <f t="shared" si="354"/>
        <v>0</v>
      </c>
      <c r="BO432" s="869">
        <f t="shared" si="354"/>
        <v>0</v>
      </c>
      <c r="BP432" s="869">
        <f t="shared" si="354"/>
        <v>0</v>
      </c>
      <c r="BQ432" s="869">
        <f t="shared" si="354"/>
        <v>0</v>
      </c>
      <c r="BR432" s="869">
        <f t="shared" si="354"/>
        <v>0</v>
      </c>
      <c r="BS432" s="869">
        <f t="shared" si="354"/>
        <v>0</v>
      </c>
      <c r="BT432" s="869">
        <f t="shared" si="354"/>
        <v>0</v>
      </c>
      <c r="BU432" s="869">
        <f t="shared" si="354"/>
        <v>0</v>
      </c>
      <c r="BX432" s="869">
        <f t="shared" si="355"/>
        <v>0</v>
      </c>
      <c r="BY432" s="869">
        <f t="shared" si="355"/>
        <v>0</v>
      </c>
      <c r="BZ432" s="869">
        <f t="shared" si="355"/>
        <v>0</v>
      </c>
      <c r="CA432" s="869">
        <f t="shared" si="355"/>
        <v>0</v>
      </c>
      <c r="CB432" s="869">
        <f t="shared" si="355"/>
        <v>0</v>
      </c>
      <c r="CC432" s="869">
        <f t="shared" si="355"/>
        <v>0</v>
      </c>
      <c r="CD432" s="869">
        <f t="shared" si="355"/>
        <v>0</v>
      </c>
    </row>
    <row r="433" spans="1:82" ht="16" hidden="1" thickTop="1" thickBot="1">
      <c r="A433" s="773">
        <f t="shared" si="356"/>
        <v>0</v>
      </c>
      <c r="D433" s="875"/>
      <c r="E433" s="876"/>
      <c r="F433" s="877"/>
      <c r="G433" s="869">
        <f t="shared" si="332"/>
        <v>0</v>
      </c>
      <c r="I433" s="869"/>
      <c r="J433" s="869">
        <f t="shared" si="333"/>
        <v>0</v>
      </c>
      <c r="K433" s="869">
        <f t="shared" si="333"/>
        <v>0</v>
      </c>
      <c r="L433" s="869">
        <f t="shared" si="333"/>
        <v>0</v>
      </c>
      <c r="M433" s="869" cm="1">
        <f t="array" ref="M433">LOOKUP(2,1/($F$49:$F$407=$D434),M$49:M$407)</f>
        <v>0</v>
      </c>
      <c r="N433" s="869">
        <f t="shared" si="334"/>
        <v>0</v>
      </c>
      <c r="O433" s="869">
        <f t="shared" si="334"/>
        <v>0</v>
      </c>
      <c r="P433" s="869">
        <f t="shared" si="334"/>
        <v>0</v>
      </c>
      <c r="Q433" s="869">
        <f t="shared" si="334"/>
        <v>0</v>
      </c>
      <c r="R433" s="161"/>
      <c r="S433" s="869">
        <f t="shared" si="351"/>
        <v>0</v>
      </c>
      <c r="T433" s="869">
        <f t="shared" si="335"/>
        <v>0</v>
      </c>
      <c r="U433" s="869">
        <f t="shared" si="335"/>
        <v>0</v>
      </c>
      <c r="V433" s="869">
        <f t="shared" si="335"/>
        <v>0</v>
      </c>
      <c r="W433" s="869">
        <f t="shared" si="335"/>
        <v>0</v>
      </c>
      <c r="X433" s="869" cm="1">
        <f t="array" aca="1" ref="X433" ca="1">LOOKUP(2,1/($F$49:$F$407=$D434),X$49:X$407)</f>
        <v>0</v>
      </c>
      <c r="Y433" s="869">
        <f t="shared" si="336"/>
        <v>0</v>
      </c>
      <c r="Z433" s="869">
        <f t="shared" si="336"/>
        <v>0</v>
      </c>
      <c r="AA433" s="869">
        <f t="shared" si="336"/>
        <v>0</v>
      </c>
      <c r="AB433" s="869">
        <f t="shared" si="336"/>
        <v>0</v>
      </c>
      <c r="AC433" s="161"/>
      <c r="AD433" s="869">
        <f t="shared" si="349"/>
        <v>0</v>
      </c>
      <c r="AE433" s="869">
        <f t="shared" si="337"/>
        <v>0</v>
      </c>
      <c r="AF433" s="869">
        <f t="shared" si="337"/>
        <v>0</v>
      </c>
      <c r="AG433" s="869">
        <f t="shared" si="337"/>
        <v>0</v>
      </c>
      <c r="AH433" s="869">
        <f t="shared" si="337"/>
        <v>0</v>
      </c>
      <c r="AI433" s="869" cm="1">
        <f t="array" aca="1" ref="AI433" ca="1">LOOKUP(2,1/($F$49:$F$407=$D434),AI$49:AI$407)</f>
        <v>0</v>
      </c>
      <c r="AJ433" s="869">
        <f t="shared" si="338"/>
        <v>0</v>
      </c>
      <c r="AK433" s="869">
        <f t="shared" si="338"/>
        <v>0</v>
      </c>
      <c r="AL433" s="869">
        <f t="shared" si="338"/>
        <v>0</v>
      </c>
      <c r="AM433" s="869">
        <f t="shared" si="338"/>
        <v>0</v>
      </c>
      <c r="AN433" s="869">
        <f t="shared" si="350"/>
        <v>0</v>
      </c>
      <c r="AO433" s="161"/>
      <c r="AP433" s="869">
        <f t="shared" si="352"/>
        <v>0</v>
      </c>
      <c r="AQ433" s="869">
        <f t="shared" si="340"/>
        <v>0</v>
      </c>
      <c r="AR433" s="869">
        <f t="shared" si="340"/>
        <v>0</v>
      </c>
      <c r="AS433" s="869">
        <f t="shared" si="340"/>
        <v>0</v>
      </c>
      <c r="AT433" s="869">
        <f t="shared" si="340"/>
        <v>0</v>
      </c>
      <c r="AU433" s="869"/>
      <c r="AV433" s="869">
        <f t="shared" si="353"/>
        <v>0</v>
      </c>
      <c r="AW433" s="869">
        <f t="shared" si="353"/>
        <v>0</v>
      </c>
      <c r="AX433" s="869">
        <f t="shared" si="353"/>
        <v>0</v>
      </c>
      <c r="AY433" s="869">
        <f t="shared" si="353"/>
        <v>0</v>
      </c>
      <c r="AZ433" s="869">
        <f t="shared" si="353"/>
        <v>0</v>
      </c>
      <c r="BA433" s="161"/>
      <c r="BB433" s="869">
        <f t="shared" si="342"/>
        <v>0</v>
      </c>
      <c r="BC433" s="869">
        <f t="shared" si="342"/>
        <v>0</v>
      </c>
      <c r="BD433" s="658"/>
      <c r="BE433" s="869">
        <f t="shared" si="343"/>
        <v>0</v>
      </c>
      <c r="BF433" s="869">
        <f t="shared" si="343"/>
        <v>0</v>
      </c>
      <c r="BG433" s="869">
        <f t="shared" si="343"/>
        <v>0</v>
      </c>
      <c r="BI433" s="869">
        <f t="shared" si="354"/>
        <v>0</v>
      </c>
      <c r="BJ433" s="869">
        <f t="shared" si="354"/>
        <v>0</v>
      </c>
      <c r="BK433" s="869">
        <f t="shared" si="354"/>
        <v>0</v>
      </c>
      <c r="BL433" s="869">
        <f t="shared" si="354"/>
        <v>0</v>
      </c>
      <c r="BM433" s="869">
        <f t="shared" si="354"/>
        <v>0</v>
      </c>
      <c r="BN433" s="869">
        <f t="shared" si="354"/>
        <v>0</v>
      </c>
      <c r="BO433" s="869">
        <f t="shared" si="354"/>
        <v>0</v>
      </c>
      <c r="BP433" s="869">
        <f t="shared" si="354"/>
        <v>0</v>
      </c>
      <c r="BQ433" s="869">
        <f t="shared" si="354"/>
        <v>0</v>
      </c>
      <c r="BR433" s="869">
        <f t="shared" si="354"/>
        <v>0</v>
      </c>
      <c r="BS433" s="869">
        <f t="shared" si="354"/>
        <v>0</v>
      </c>
      <c r="BT433" s="869">
        <f t="shared" si="354"/>
        <v>0</v>
      </c>
      <c r="BU433" s="869">
        <f t="shared" si="354"/>
        <v>0</v>
      </c>
      <c r="BX433" s="869">
        <f t="shared" si="355"/>
        <v>0</v>
      </c>
      <c r="BY433" s="869">
        <f t="shared" si="355"/>
        <v>0</v>
      </c>
      <c r="BZ433" s="869">
        <f t="shared" si="355"/>
        <v>0</v>
      </c>
      <c r="CA433" s="869">
        <f t="shared" si="355"/>
        <v>0</v>
      </c>
      <c r="CB433" s="869">
        <f t="shared" si="355"/>
        <v>0</v>
      </c>
      <c r="CC433" s="869">
        <f t="shared" si="355"/>
        <v>0</v>
      </c>
      <c r="CD433" s="869">
        <f t="shared" si="355"/>
        <v>0</v>
      </c>
    </row>
    <row r="434" spans="1:82" ht="16" hidden="1" thickTop="1" thickBot="1">
      <c r="A434" s="773">
        <f t="shared" si="356"/>
        <v>0</v>
      </c>
      <c r="D434" s="875"/>
      <c r="E434" s="876"/>
      <c r="F434" s="877"/>
      <c r="G434" s="869">
        <f t="shared" si="332"/>
        <v>0</v>
      </c>
      <c r="I434" s="869"/>
      <c r="J434" s="869">
        <f t="shared" si="333"/>
        <v>0</v>
      </c>
      <c r="K434" s="869">
        <f t="shared" si="333"/>
        <v>0</v>
      </c>
      <c r="L434" s="869">
        <f t="shared" si="333"/>
        <v>0</v>
      </c>
      <c r="M434" s="869" cm="1">
        <f t="array" ref="M434">LOOKUP(2,1/($F$49:$F$407=$D435),M$49:M$407)</f>
        <v>0</v>
      </c>
      <c r="N434" s="869">
        <f t="shared" si="334"/>
        <v>0</v>
      </c>
      <c r="O434" s="869">
        <f t="shared" si="334"/>
        <v>0</v>
      </c>
      <c r="P434" s="869">
        <f t="shared" si="334"/>
        <v>0</v>
      </c>
      <c r="Q434" s="869">
        <f t="shared" si="334"/>
        <v>0</v>
      </c>
      <c r="R434" s="161"/>
      <c r="S434" s="869">
        <f t="shared" si="351"/>
        <v>0</v>
      </c>
      <c r="T434" s="869">
        <f t="shared" si="335"/>
        <v>0</v>
      </c>
      <c r="U434" s="869">
        <f t="shared" si="335"/>
        <v>0</v>
      </c>
      <c r="V434" s="869">
        <f t="shared" si="335"/>
        <v>0</v>
      </c>
      <c r="W434" s="869">
        <f t="shared" si="335"/>
        <v>0</v>
      </c>
      <c r="X434" s="869" cm="1">
        <f t="array" aca="1" ref="X434" ca="1">LOOKUP(2,1/($F$49:$F$407=$D435),X$49:X$407)</f>
        <v>0</v>
      </c>
      <c r="Y434" s="869">
        <f t="shared" si="336"/>
        <v>0</v>
      </c>
      <c r="Z434" s="869">
        <f t="shared" si="336"/>
        <v>0</v>
      </c>
      <c r="AA434" s="869">
        <f t="shared" si="336"/>
        <v>0</v>
      </c>
      <c r="AB434" s="869">
        <f t="shared" si="336"/>
        <v>0</v>
      </c>
      <c r="AC434" s="161"/>
      <c r="AD434" s="869">
        <f t="shared" si="349"/>
        <v>0</v>
      </c>
      <c r="AE434" s="869">
        <f t="shared" si="337"/>
        <v>0</v>
      </c>
      <c r="AF434" s="869">
        <f t="shared" si="337"/>
        <v>0</v>
      </c>
      <c r="AG434" s="869">
        <f t="shared" si="337"/>
        <v>0</v>
      </c>
      <c r="AH434" s="869">
        <f t="shared" si="337"/>
        <v>0</v>
      </c>
      <c r="AI434" s="869" cm="1">
        <f t="array" aca="1" ref="AI434" ca="1">LOOKUP(2,1/($F$49:$F$407=$D435),AI$49:AI$407)</f>
        <v>0</v>
      </c>
      <c r="AJ434" s="869">
        <f t="shared" si="338"/>
        <v>0</v>
      </c>
      <c r="AK434" s="869">
        <f t="shared" si="338"/>
        <v>0</v>
      </c>
      <c r="AL434" s="869">
        <f t="shared" si="338"/>
        <v>0</v>
      </c>
      <c r="AM434" s="869">
        <f t="shared" si="338"/>
        <v>0</v>
      </c>
      <c r="AN434" s="869">
        <f t="shared" si="350"/>
        <v>0</v>
      </c>
      <c r="AO434" s="161"/>
      <c r="AP434" s="869">
        <f t="shared" si="352"/>
        <v>0</v>
      </c>
      <c r="AQ434" s="869">
        <f t="shared" si="340"/>
        <v>0</v>
      </c>
      <c r="AR434" s="869">
        <f t="shared" si="340"/>
        <v>0</v>
      </c>
      <c r="AS434" s="869">
        <f t="shared" si="340"/>
        <v>0</v>
      </c>
      <c r="AT434" s="869">
        <f t="shared" si="340"/>
        <v>0</v>
      </c>
      <c r="AU434" s="869"/>
      <c r="AV434" s="869">
        <f t="shared" si="353"/>
        <v>0</v>
      </c>
      <c r="AW434" s="869">
        <f t="shared" si="353"/>
        <v>0</v>
      </c>
      <c r="AX434" s="869">
        <f t="shared" si="353"/>
        <v>0</v>
      </c>
      <c r="AY434" s="869">
        <f t="shared" si="353"/>
        <v>0</v>
      </c>
      <c r="AZ434" s="869">
        <f t="shared" si="353"/>
        <v>0</v>
      </c>
      <c r="BA434" s="161"/>
      <c r="BB434" s="869">
        <f t="shared" si="342"/>
        <v>0</v>
      </c>
      <c r="BC434" s="869">
        <f t="shared" si="342"/>
        <v>0</v>
      </c>
      <c r="BD434" s="658"/>
      <c r="BE434" s="869">
        <f t="shared" si="343"/>
        <v>0</v>
      </c>
      <c r="BF434" s="869">
        <f t="shared" si="343"/>
        <v>0</v>
      </c>
      <c r="BG434" s="869">
        <f t="shared" si="343"/>
        <v>0</v>
      </c>
      <c r="BI434" s="869">
        <f t="shared" si="354"/>
        <v>0</v>
      </c>
      <c r="BJ434" s="869">
        <f t="shared" si="354"/>
        <v>0</v>
      </c>
      <c r="BK434" s="869">
        <f t="shared" si="354"/>
        <v>0</v>
      </c>
      <c r="BL434" s="869">
        <f t="shared" si="354"/>
        <v>0</v>
      </c>
      <c r="BM434" s="869">
        <f t="shared" si="354"/>
        <v>0</v>
      </c>
      <c r="BN434" s="869">
        <f t="shared" si="354"/>
        <v>0</v>
      </c>
      <c r="BO434" s="869">
        <f t="shared" si="354"/>
        <v>0</v>
      </c>
      <c r="BP434" s="869">
        <f t="shared" si="354"/>
        <v>0</v>
      </c>
      <c r="BQ434" s="869">
        <f t="shared" si="354"/>
        <v>0</v>
      </c>
      <c r="BR434" s="869">
        <f t="shared" si="354"/>
        <v>0</v>
      </c>
      <c r="BS434" s="869">
        <f t="shared" si="354"/>
        <v>0</v>
      </c>
      <c r="BT434" s="869">
        <f t="shared" si="354"/>
        <v>0</v>
      </c>
      <c r="BU434" s="869">
        <f t="shared" si="354"/>
        <v>0</v>
      </c>
      <c r="BX434" s="869">
        <f t="shared" si="355"/>
        <v>0</v>
      </c>
      <c r="BY434" s="869">
        <f t="shared" si="355"/>
        <v>0</v>
      </c>
      <c r="BZ434" s="869">
        <f t="shared" si="355"/>
        <v>0</v>
      </c>
      <c r="CA434" s="869">
        <f t="shared" si="355"/>
        <v>0</v>
      </c>
      <c r="CB434" s="869">
        <f t="shared" si="355"/>
        <v>0</v>
      </c>
      <c r="CC434" s="869">
        <f t="shared" si="355"/>
        <v>0</v>
      </c>
      <c r="CD434" s="869">
        <f t="shared" si="355"/>
        <v>0</v>
      </c>
    </row>
    <row r="435" spans="1:82" ht="16" hidden="1" thickTop="1" thickBot="1">
      <c r="A435" s="773">
        <f t="shared" si="356"/>
        <v>0</v>
      </c>
      <c r="D435" s="875"/>
      <c r="E435" s="876"/>
      <c r="F435" s="877"/>
      <c r="G435" s="869">
        <f t="shared" si="332"/>
        <v>0</v>
      </c>
      <c r="I435" s="869"/>
      <c r="J435" s="869">
        <f t="shared" si="333"/>
        <v>0</v>
      </c>
      <c r="K435" s="869">
        <f t="shared" si="333"/>
        <v>0</v>
      </c>
      <c r="L435" s="869">
        <f t="shared" si="333"/>
        <v>0</v>
      </c>
      <c r="M435" s="869" cm="1">
        <f t="array" ref="M435">LOOKUP(2,1/($F$49:$F$407=$D436),M$49:M$407)</f>
        <v>0</v>
      </c>
      <c r="N435" s="869">
        <f t="shared" si="334"/>
        <v>0</v>
      </c>
      <c r="O435" s="869">
        <f t="shared" si="334"/>
        <v>0</v>
      </c>
      <c r="P435" s="869">
        <f t="shared" si="334"/>
        <v>0</v>
      </c>
      <c r="Q435" s="869">
        <f t="shared" si="334"/>
        <v>0</v>
      </c>
      <c r="R435" s="161"/>
      <c r="S435" s="869">
        <f t="shared" si="351"/>
        <v>0</v>
      </c>
      <c r="T435" s="869">
        <f t="shared" si="335"/>
        <v>0</v>
      </c>
      <c r="U435" s="869">
        <f t="shared" si="335"/>
        <v>0</v>
      </c>
      <c r="V435" s="869">
        <f t="shared" si="335"/>
        <v>0</v>
      </c>
      <c r="W435" s="869">
        <f t="shared" si="335"/>
        <v>0</v>
      </c>
      <c r="X435" s="869" cm="1">
        <f t="array" aca="1" ref="X435" ca="1">LOOKUP(2,1/($F$49:$F$407=$D436),X$49:X$407)</f>
        <v>0</v>
      </c>
      <c r="Y435" s="869">
        <f t="shared" si="336"/>
        <v>0</v>
      </c>
      <c r="Z435" s="869">
        <f t="shared" si="336"/>
        <v>0</v>
      </c>
      <c r="AA435" s="869">
        <f t="shared" si="336"/>
        <v>0</v>
      </c>
      <c r="AB435" s="869">
        <f t="shared" si="336"/>
        <v>0</v>
      </c>
      <c r="AC435" s="161"/>
      <c r="AD435" s="869">
        <f t="shared" si="349"/>
        <v>0</v>
      </c>
      <c r="AE435" s="869">
        <f t="shared" si="337"/>
        <v>0</v>
      </c>
      <c r="AF435" s="869">
        <f t="shared" si="337"/>
        <v>0</v>
      </c>
      <c r="AG435" s="869">
        <f t="shared" si="337"/>
        <v>0</v>
      </c>
      <c r="AH435" s="869">
        <f t="shared" si="337"/>
        <v>0</v>
      </c>
      <c r="AI435" s="869" cm="1">
        <f t="array" aca="1" ref="AI435" ca="1">LOOKUP(2,1/($F$49:$F$407=$D436),AI$49:AI$407)</f>
        <v>0</v>
      </c>
      <c r="AJ435" s="869">
        <f t="shared" si="338"/>
        <v>0</v>
      </c>
      <c r="AK435" s="869">
        <f t="shared" si="338"/>
        <v>0</v>
      </c>
      <c r="AL435" s="869">
        <f t="shared" si="338"/>
        <v>0</v>
      </c>
      <c r="AM435" s="869">
        <f t="shared" si="338"/>
        <v>0</v>
      </c>
      <c r="AN435" s="869">
        <f t="shared" si="350"/>
        <v>0</v>
      </c>
      <c r="AO435" s="161"/>
      <c r="AP435" s="869">
        <f t="shared" si="352"/>
        <v>0</v>
      </c>
      <c r="AQ435" s="869">
        <f t="shared" si="340"/>
        <v>0</v>
      </c>
      <c r="AR435" s="869">
        <f t="shared" si="340"/>
        <v>0</v>
      </c>
      <c r="AS435" s="869">
        <f t="shared" si="340"/>
        <v>0</v>
      </c>
      <c r="AT435" s="869">
        <f t="shared" si="340"/>
        <v>0</v>
      </c>
      <c r="AU435" s="869"/>
      <c r="AV435" s="869">
        <f t="shared" si="353"/>
        <v>0</v>
      </c>
      <c r="AW435" s="869">
        <f t="shared" si="353"/>
        <v>0</v>
      </c>
      <c r="AX435" s="869">
        <f t="shared" si="353"/>
        <v>0</v>
      </c>
      <c r="AY435" s="869">
        <f t="shared" si="353"/>
        <v>0</v>
      </c>
      <c r="AZ435" s="869">
        <f t="shared" si="353"/>
        <v>0</v>
      </c>
      <c r="BA435" s="161"/>
      <c r="BB435" s="869">
        <f t="shared" si="342"/>
        <v>0</v>
      </c>
      <c r="BC435" s="869">
        <f t="shared" si="342"/>
        <v>0</v>
      </c>
      <c r="BD435" s="658"/>
      <c r="BE435" s="869">
        <f t="shared" si="343"/>
        <v>0</v>
      </c>
      <c r="BF435" s="869">
        <f t="shared" si="343"/>
        <v>0</v>
      </c>
      <c r="BG435" s="869">
        <f t="shared" si="343"/>
        <v>0</v>
      </c>
      <c r="BI435" s="869">
        <f t="shared" si="354"/>
        <v>0</v>
      </c>
      <c r="BJ435" s="869">
        <f t="shared" si="354"/>
        <v>0</v>
      </c>
      <c r="BK435" s="869">
        <f t="shared" si="354"/>
        <v>0</v>
      </c>
      <c r="BL435" s="869">
        <f t="shared" si="354"/>
        <v>0</v>
      </c>
      <c r="BM435" s="869">
        <f t="shared" si="354"/>
        <v>0</v>
      </c>
      <c r="BN435" s="869">
        <f t="shared" si="354"/>
        <v>0</v>
      </c>
      <c r="BO435" s="869">
        <f t="shared" si="354"/>
        <v>0</v>
      </c>
      <c r="BP435" s="869">
        <f t="shared" si="354"/>
        <v>0</v>
      </c>
      <c r="BQ435" s="869">
        <f t="shared" si="354"/>
        <v>0</v>
      </c>
      <c r="BR435" s="869">
        <f t="shared" si="354"/>
        <v>0</v>
      </c>
      <c r="BS435" s="869">
        <f t="shared" si="354"/>
        <v>0</v>
      </c>
      <c r="BT435" s="869">
        <f t="shared" si="354"/>
        <v>0</v>
      </c>
      <c r="BU435" s="869">
        <f t="shared" si="354"/>
        <v>0</v>
      </c>
      <c r="BX435" s="869">
        <f t="shared" si="355"/>
        <v>0</v>
      </c>
      <c r="BY435" s="869">
        <f t="shared" si="355"/>
        <v>0</v>
      </c>
      <c r="BZ435" s="869">
        <f t="shared" si="355"/>
        <v>0</v>
      </c>
      <c r="CA435" s="869">
        <f t="shared" si="355"/>
        <v>0</v>
      </c>
      <c r="CB435" s="869">
        <f t="shared" si="355"/>
        <v>0</v>
      </c>
      <c r="CC435" s="869">
        <f t="shared" si="355"/>
        <v>0</v>
      </c>
      <c r="CD435" s="869">
        <f t="shared" si="355"/>
        <v>0</v>
      </c>
    </row>
    <row r="436" spans="1:82" ht="16" hidden="1" thickTop="1" thickBot="1">
      <c r="A436" s="773">
        <f t="shared" si="356"/>
        <v>0</v>
      </c>
      <c r="D436" s="875"/>
      <c r="E436" s="876"/>
      <c r="F436" s="877"/>
      <c r="G436" s="869">
        <f t="shared" si="332"/>
        <v>0</v>
      </c>
      <c r="I436" s="869"/>
      <c r="J436" s="869">
        <f t="shared" si="333"/>
        <v>0</v>
      </c>
      <c r="K436" s="869">
        <f t="shared" si="333"/>
        <v>0</v>
      </c>
      <c r="L436" s="869">
        <f t="shared" si="333"/>
        <v>0</v>
      </c>
      <c r="M436" s="869" cm="1">
        <f t="array" ref="M436">LOOKUP(2,1/($F$49:$F$407=$D437),M$49:M$407)</f>
        <v>0</v>
      </c>
      <c r="N436" s="869">
        <f t="shared" si="334"/>
        <v>0</v>
      </c>
      <c r="O436" s="869">
        <f t="shared" si="334"/>
        <v>0</v>
      </c>
      <c r="P436" s="869">
        <f t="shared" si="334"/>
        <v>0</v>
      </c>
      <c r="Q436" s="869">
        <f t="shared" si="334"/>
        <v>0</v>
      </c>
      <c r="R436" s="161"/>
      <c r="S436" s="869">
        <f t="shared" si="351"/>
        <v>0</v>
      </c>
      <c r="T436" s="869">
        <f t="shared" si="335"/>
        <v>0</v>
      </c>
      <c r="U436" s="869">
        <f t="shared" si="335"/>
        <v>0</v>
      </c>
      <c r="V436" s="869">
        <f t="shared" si="335"/>
        <v>0</v>
      </c>
      <c r="W436" s="869">
        <f t="shared" si="335"/>
        <v>0</v>
      </c>
      <c r="X436" s="869" cm="1">
        <f t="array" aca="1" ref="X436" ca="1">LOOKUP(2,1/($F$49:$F$407=$D437),X$49:X$407)</f>
        <v>0</v>
      </c>
      <c r="Y436" s="869">
        <f t="shared" si="336"/>
        <v>0</v>
      </c>
      <c r="Z436" s="869">
        <f t="shared" si="336"/>
        <v>0</v>
      </c>
      <c r="AA436" s="869">
        <f t="shared" si="336"/>
        <v>0</v>
      </c>
      <c r="AB436" s="869">
        <f t="shared" si="336"/>
        <v>0</v>
      </c>
      <c r="AC436" s="161"/>
      <c r="AD436" s="869">
        <f t="shared" si="349"/>
        <v>0</v>
      </c>
      <c r="AE436" s="869">
        <f t="shared" si="337"/>
        <v>0</v>
      </c>
      <c r="AF436" s="869">
        <f t="shared" si="337"/>
        <v>0</v>
      </c>
      <c r="AG436" s="869">
        <f t="shared" si="337"/>
        <v>0</v>
      </c>
      <c r="AH436" s="869">
        <f t="shared" si="337"/>
        <v>0</v>
      </c>
      <c r="AI436" s="869" cm="1">
        <f t="array" aca="1" ref="AI436" ca="1">LOOKUP(2,1/($F$49:$F$407=$D437),AI$49:AI$407)</f>
        <v>0</v>
      </c>
      <c r="AJ436" s="869">
        <f t="shared" si="338"/>
        <v>0</v>
      </c>
      <c r="AK436" s="869">
        <f t="shared" si="338"/>
        <v>0</v>
      </c>
      <c r="AL436" s="869">
        <f t="shared" si="338"/>
        <v>0</v>
      </c>
      <c r="AM436" s="869">
        <f t="shared" si="338"/>
        <v>0</v>
      </c>
      <c r="AN436" s="869">
        <f t="shared" si="350"/>
        <v>0</v>
      </c>
      <c r="AO436" s="161"/>
      <c r="AP436" s="869">
        <f t="shared" si="352"/>
        <v>0</v>
      </c>
      <c r="AQ436" s="869">
        <f t="shared" si="340"/>
        <v>0</v>
      </c>
      <c r="AR436" s="869">
        <f t="shared" si="340"/>
        <v>0</v>
      </c>
      <c r="AS436" s="869">
        <f t="shared" si="340"/>
        <v>0</v>
      </c>
      <c r="AT436" s="869">
        <f t="shared" si="340"/>
        <v>0</v>
      </c>
      <c r="AU436" s="869"/>
      <c r="AV436" s="869">
        <f t="shared" si="353"/>
        <v>0</v>
      </c>
      <c r="AW436" s="869">
        <f t="shared" si="353"/>
        <v>0</v>
      </c>
      <c r="AX436" s="869">
        <f t="shared" si="353"/>
        <v>0</v>
      </c>
      <c r="AY436" s="869">
        <f t="shared" si="353"/>
        <v>0</v>
      </c>
      <c r="AZ436" s="869">
        <f t="shared" si="353"/>
        <v>0</v>
      </c>
      <c r="BA436" s="161"/>
      <c r="BB436" s="869">
        <f t="shared" si="342"/>
        <v>0</v>
      </c>
      <c r="BC436" s="869">
        <f t="shared" si="342"/>
        <v>0</v>
      </c>
      <c r="BD436" s="658"/>
      <c r="BE436" s="869">
        <f t="shared" si="343"/>
        <v>0</v>
      </c>
      <c r="BF436" s="869">
        <f t="shared" si="343"/>
        <v>0</v>
      </c>
      <c r="BG436" s="869">
        <f t="shared" si="343"/>
        <v>0</v>
      </c>
      <c r="BI436" s="869">
        <f t="shared" si="354"/>
        <v>0</v>
      </c>
      <c r="BJ436" s="869">
        <f t="shared" si="354"/>
        <v>0</v>
      </c>
      <c r="BK436" s="869">
        <f t="shared" si="354"/>
        <v>0</v>
      </c>
      <c r="BL436" s="869">
        <f t="shared" si="354"/>
        <v>0</v>
      </c>
      <c r="BM436" s="869">
        <f t="shared" si="354"/>
        <v>0</v>
      </c>
      <c r="BN436" s="869">
        <f t="shared" si="354"/>
        <v>0</v>
      </c>
      <c r="BO436" s="869">
        <f t="shared" si="354"/>
        <v>0</v>
      </c>
      <c r="BP436" s="869">
        <f t="shared" si="354"/>
        <v>0</v>
      </c>
      <c r="BQ436" s="869">
        <f t="shared" si="354"/>
        <v>0</v>
      </c>
      <c r="BR436" s="869">
        <f t="shared" si="354"/>
        <v>0</v>
      </c>
      <c r="BS436" s="869">
        <f t="shared" si="354"/>
        <v>0</v>
      </c>
      <c r="BT436" s="869">
        <f t="shared" si="354"/>
        <v>0</v>
      </c>
      <c r="BU436" s="869">
        <f t="shared" si="354"/>
        <v>0</v>
      </c>
      <c r="BX436" s="869">
        <f t="shared" si="355"/>
        <v>0</v>
      </c>
      <c r="BY436" s="869">
        <f t="shared" si="355"/>
        <v>0</v>
      </c>
      <c r="BZ436" s="869">
        <f t="shared" si="355"/>
        <v>0</v>
      </c>
      <c r="CA436" s="869">
        <f t="shared" si="355"/>
        <v>0</v>
      </c>
      <c r="CB436" s="869">
        <f t="shared" si="355"/>
        <v>0</v>
      </c>
      <c r="CC436" s="869">
        <f t="shared" si="355"/>
        <v>0</v>
      </c>
      <c r="CD436" s="869">
        <f t="shared" si="355"/>
        <v>0</v>
      </c>
    </row>
    <row r="437" spans="1:82" ht="16" hidden="1" thickTop="1" thickBot="1">
      <c r="A437" s="773">
        <f t="shared" si="356"/>
        <v>0</v>
      </c>
      <c r="D437" s="875"/>
      <c r="E437" s="876"/>
      <c r="F437" s="877"/>
      <c r="G437" s="869">
        <f t="shared" si="332"/>
        <v>0</v>
      </c>
      <c r="I437" s="869"/>
      <c r="J437" s="869">
        <f t="shared" si="333"/>
        <v>0</v>
      </c>
      <c r="K437" s="869">
        <f t="shared" si="333"/>
        <v>0</v>
      </c>
      <c r="L437" s="869">
        <f t="shared" si="333"/>
        <v>0</v>
      </c>
      <c r="M437" s="869" cm="1">
        <f t="array" ref="M437">LOOKUP(2,1/($F$49:$F$407=$D438),M$49:M$407)</f>
        <v>0</v>
      </c>
      <c r="N437" s="869">
        <f t="shared" si="334"/>
        <v>0</v>
      </c>
      <c r="O437" s="869">
        <f t="shared" si="334"/>
        <v>0</v>
      </c>
      <c r="P437" s="869">
        <f t="shared" si="334"/>
        <v>0</v>
      </c>
      <c r="Q437" s="869">
        <f t="shared" si="334"/>
        <v>0</v>
      </c>
      <c r="R437" s="161"/>
      <c r="S437" s="869">
        <f t="shared" si="351"/>
        <v>0</v>
      </c>
      <c r="T437" s="869">
        <f t="shared" si="335"/>
        <v>0</v>
      </c>
      <c r="U437" s="869">
        <f t="shared" si="335"/>
        <v>0</v>
      </c>
      <c r="V437" s="869">
        <f t="shared" si="335"/>
        <v>0</v>
      </c>
      <c r="W437" s="869">
        <f t="shared" si="335"/>
        <v>0</v>
      </c>
      <c r="X437" s="869" cm="1">
        <f t="array" aca="1" ref="X437" ca="1">LOOKUP(2,1/($F$49:$F$407=$D438),X$49:X$407)</f>
        <v>0</v>
      </c>
      <c r="Y437" s="869">
        <f t="shared" si="336"/>
        <v>0</v>
      </c>
      <c r="Z437" s="869">
        <f t="shared" si="336"/>
        <v>0</v>
      </c>
      <c r="AA437" s="869">
        <f t="shared" si="336"/>
        <v>0</v>
      </c>
      <c r="AB437" s="869">
        <f t="shared" si="336"/>
        <v>0</v>
      </c>
      <c r="AC437" s="161"/>
      <c r="AD437" s="869">
        <f t="shared" si="349"/>
        <v>0</v>
      </c>
      <c r="AE437" s="869">
        <f t="shared" si="337"/>
        <v>0</v>
      </c>
      <c r="AF437" s="869">
        <f t="shared" si="337"/>
        <v>0</v>
      </c>
      <c r="AG437" s="869">
        <f t="shared" si="337"/>
        <v>0</v>
      </c>
      <c r="AH437" s="869">
        <f t="shared" si="337"/>
        <v>0</v>
      </c>
      <c r="AI437" s="869" cm="1">
        <f t="array" aca="1" ref="AI437" ca="1">LOOKUP(2,1/($F$49:$F$407=$D438),AI$49:AI$407)</f>
        <v>0</v>
      </c>
      <c r="AJ437" s="869">
        <f t="shared" si="338"/>
        <v>0</v>
      </c>
      <c r="AK437" s="869">
        <f t="shared" si="338"/>
        <v>0</v>
      </c>
      <c r="AL437" s="869">
        <f t="shared" si="338"/>
        <v>0</v>
      </c>
      <c r="AM437" s="869">
        <f t="shared" si="338"/>
        <v>0</v>
      </c>
      <c r="AN437" s="869">
        <f t="shared" si="350"/>
        <v>0</v>
      </c>
      <c r="AO437" s="161"/>
      <c r="AP437" s="869">
        <f t="shared" si="352"/>
        <v>0</v>
      </c>
      <c r="AQ437" s="869">
        <f t="shared" si="340"/>
        <v>0</v>
      </c>
      <c r="AR437" s="869">
        <f t="shared" si="340"/>
        <v>0</v>
      </c>
      <c r="AS437" s="869">
        <f t="shared" si="340"/>
        <v>0</v>
      </c>
      <c r="AT437" s="869">
        <f t="shared" si="340"/>
        <v>0</v>
      </c>
      <c r="AU437" s="869"/>
      <c r="AV437" s="869">
        <f t="shared" si="353"/>
        <v>0</v>
      </c>
      <c r="AW437" s="869">
        <f t="shared" si="353"/>
        <v>0</v>
      </c>
      <c r="AX437" s="869">
        <f t="shared" si="353"/>
        <v>0</v>
      </c>
      <c r="AY437" s="869">
        <f t="shared" si="353"/>
        <v>0</v>
      </c>
      <c r="AZ437" s="869">
        <f t="shared" si="353"/>
        <v>0</v>
      </c>
      <c r="BA437" s="161"/>
      <c r="BB437" s="869">
        <f t="shared" si="342"/>
        <v>0</v>
      </c>
      <c r="BC437" s="869">
        <f t="shared" si="342"/>
        <v>0</v>
      </c>
      <c r="BD437" s="658"/>
      <c r="BE437" s="869">
        <f t="shared" si="343"/>
        <v>0</v>
      </c>
      <c r="BF437" s="869">
        <f t="shared" si="343"/>
        <v>0</v>
      </c>
      <c r="BG437" s="869">
        <f t="shared" si="343"/>
        <v>0</v>
      </c>
      <c r="BI437" s="869">
        <f t="shared" si="354"/>
        <v>0</v>
      </c>
      <c r="BJ437" s="869">
        <f t="shared" si="354"/>
        <v>0</v>
      </c>
      <c r="BK437" s="869">
        <f t="shared" si="354"/>
        <v>0</v>
      </c>
      <c r="BL437" s="869">
        <f t="shared" si="354"/>
        <v>0</v>
      </c>
      <c r="BM437" s="869">
        <f t="shared" si="354"/>
        <v>0</v>
      </c>
      <c r="BN437" s="869">
        <f t="shared" si="354"/>
        <v>0</v>
      </c>
      <c r="BO437" s="869">
        <f t="shared" si="354"/>
        <v>0</v>
      </c>
      <c r="BP437" s="869">
        <f t="shared" si="354"/>
        <v>0</v>
      </c>
      <c r="BQ437" s="869">
        <f t="shared" si="354"/>
        <v>0</v>
      </c>
      <c r="BR437" s="869">
        <f t="shared" si="354"/>
        <v>0</v>
      </c>
      <c r="BS437" s="869">
        <f t="shared" si="354"/>
        <v>0</v>
      </c>
      <c r="BT437" s="869">
        <f t="shared" si="354"/>
        <v>0</v>
      </c>
      <c r="BU437" s="869">
        <f t="shared" si="354"/>
        <v>0</v>
      </c>
      <c r="BX437" s="869">
        <f t="shared" si="355"/>
        <v>0</v>
      </c>
      <c r="BY437" s="869">
        <f t="shared" si="355"/>
        <v>0</v>
      </c>
      <c r="BZ437" s="869">
        <f t="shared" si="355"/>
        <v>0</v>
      </c>
      <c r="CA437" s="869">
        <f t="shared" si="355"/>
        <v>0</v>
      </c>
      <c r="CB437" s="869">
        <f t="shared" si="355"/>
        <v>0</v>
      </c>
      <c r="CC437" s="869">
        <f t="shared" si="355"/>
        <v>0</v>
      </c>
      <c r="CD437" s="869">
        <f t="shared" si="355"/>
        <v>0</v>
      </c>
    </row>
    <row r="438" spans="1:82" ht="16" hidden="1" thickTop="1" thickBot="1">
      <c r="A438" s="773">
        <f t="shared" si="356"/>
        <v>0</v>
      </c>
      <c r="D438" s="875"/>
      <c r="E438" s="876"/>
      <c r="F438" s="877"/>
      <c r="G438" s="869">
        <f t="shared" si="332"/>
        <v>0</v>
      </c>
      <c r="I438" s="869"/>
      <c r="J438" s="869">
        <f t="shared" si="333"/>
        <v>0</v>
      </c>
      <c r="K438" s="869">
        <f t="shared" si="333"/>
        <v>0</v>
      </c>
      <c r="L438" s="869">
        <f t="shared" si="333"/>
        <v>0</v>
      </c>
      <c r="M438" s="869" cm="1">
        <f t="array" ref="M438">LOOKUP(2,1/($F$49:$F$407=$D439),M$49:M$407)</f>
        <v>0</v>
      </c>
      <c r="N438" s="869">
        <f t="shared" si="334"/>
        <v>0</v>
      </c>
      <c r="O438" s="869">
        <f t="shared" si="334"/>
        <v>0</v>
      </c>
      <c r="P438" s="869">
        <f t="shared" si="334"/>
        <v>0</v>
      </c>
      <c r="Q438" s="869">
        <f t="shared" si="334"/>
        <v>0</v>
      </c>
      <c r="R438" s="161"/>
      <c r="S438" s="869">
        <f t="shared" si="351"/>
        <v>0</v>
      </c>
      <c r="T438" s="869">
        <f t="shared" si="335"/>
        <v>0</v>
      </c>
      <c r="U438" s="869">
        <f t="shared" si="335"/>
        <v>0</v>
      </c>
      <c r="V438" s="869">
        <f t="shared" si="335"/>
        <v>0</v>
      </c>
      <c r="W438" s="869">
        <f t="shared" si="335"/>
        <v>0</v>
      </c>
      <c r="X438" s="869" cm="1">
        <f t="array" aca="1" ref="X438" ca="1">LOOKUP(2,1/($F$49:$F$407=$D439),X$49:X$407)</f>
        <v>0</v>
      </c>
      <c r="Y438" s="869">
        <f t="shared" si="336"/>
        <v>0</v>
      </c>
      <c r="Z438" s="869">
        <f t="shared" si="336"/>
        <v>0</v>
      </c>
      <c r="AA438" s="869">
        <f t="shared" si="336"/>
        <v>0</v>
      </c>
      <c r="AB438" s="869">
        <f t="shared" si="336"/>
        <v>0</v>
      </c>
      <c r="AC438" s="161"/>
      <c r="AD438" s="869">
        <f t="shared" si="349"/>
        <v>0</v>
      </c>
      <c r="AE438" s="869">
        <f t="shared" si="337"/>
        <v>0</v>
      </c>
      <c r="AF438" s="869">
        <f t="shared" si="337"/>
        <v>0</v>
      </c>
      <c r="AG438" s="869">
        <f t="shared" si="337"/>
        <v>0</v>
      </c>
      <c r="AH438" s="869">
        <f t="shared" si="337"/>
        <v>0</v>
      </c>
      <c r="AI438" s="869" cm="1">
        <f t="array" aca="1" ref="AI438" ca="1">LOOKUP(2,1/($F$49:$F$407=$D439),AI$49:AI$407)</f>
        <v>0</v>
      </c>
      <c r="AJ438" s="869">
        <f t="shared" si="338"/>
        <v>0</v>
      </c>
      <c r="AK438" s="869">
        <f t="shared" si="338"/>
        <v>0</v>
      </c>
      <c r="AL438" s="869">
        <f t="shared" si="338"/>
        <v>0</v>
      </c>
      <c r="AM438" s="869">
        <f t="shared" si="338"/>
        <v>0</v>
      </c>
      <c r="AN438" s="869">
        <f t="shared" si="350"/>
        <v>0</v>
      </c>
      <c r="AO438" s="161"/>
      <c r="AP438" s="869">
        <f t="shared" si="352"/>
        <v>0</v>
      </c>
      <c r="AQ438" s="869">
        <f t="shared" si="340"/>
        <v>0</v>
      </c>
      <c r="AR438" s="869">
        <f t="shared" si="340"/>
        <v>0</v>
      </c>
      <c r="AS438" s="869">
        <f t="shared" si="340"/>
        <v>0</v>
      </c>
      <c r="AT438" s="869">
        <f t="shared" si="340"/>
        <v>0</v>
      </c>
      <c r="AU438" s="869"/>
      <c r="AV438" s="869">
        <f t="shared" si="353"/>
        <v>0</v>
      </c>
      <c r="AW438" s="869">
        <f t="shared" si="353"/>
        <v>0</v>
      </c>
      <c r="AX438" s="869">
        <f t="shared" si="353"/>
        <v>0</v>
      </c>
      <c r="AY438" s="869">
        <f t="shared" si="353"/>
        <v>0</v>
      </c>
      <c r="AZ438" s="869">
        <f t="shared" si="353"/>
        <v>0</v>
      </c>
      <c r="BA438" s="161"/>
      <c r="BB438" s="869">
        <f t="shared" si="342"/>
        <v>0</v>
      </c>
      <c r="BC438" s="869">
        <f t="shared" si="342"/>
        <v>0</v>
      </c>
      <c r="BD438" s="658"/>
      <c r="BE438" s="869">
        <f t="shared" si="343"/>
        <v>0</v>
      </c>
      <c r="BF438" s="869">
        <f t="shared" si="343"/>
        <v>0</v>
      </c>
      <c r="BG438" s="869">
        <f t="shared" si="343"/>
        <v>0</v>
      </c>
      <c r="BI438" s="869">
        <f t="shared" si="354"/>
        <v>0</v>
      </c>
      <c r="BJ438" s="869">
        <f t="shared" si="354"/>
        <v>0</v>
      </c>
      <c r="BK438" s="869">
        <f t="shared" si="354"/>
        <v>0</v>
      </c>
      <c r="BL438" s="869">
        <f t="shared" si="354"/>
        <v>0</v>
      </c>
      <c r="BM438" s="869">
        <f t="shared" si="354"/>
        <v>0</v>
      </c>
      <c r="BN438" s="869">
        <f t="shared" si="354"/>
        <v>0</v>
      </c>
      <c r="BO438" s="869">
        <f t="shared" si="354"/>
        <v>0</v>
      </c>
      <c r="BP438" s="869">
        <f t="shared" si="354"/>
        <v>0</v>
      </c>
      <c r="BQ438" s="869">
        <f t="shared" si="354"/>
        <v>0</v>
      </c>
      <c r="BR438" s="869">
        <f t="shared" si="354"/>
        <v>0</v>
      </c>
      <c r="BS438" s="869">
        <f t="shared" si="354"/>
        <v>0</v>
      </c>
      <c r="BT438" s="869">
        <f t="shared" si="354"/>
        <v>0</v>
      </c>
      <c r="BU438" s="869">
        <f t="shared" si="354"/>
        <v>0</v>
      </c>
      <c r="BX438" s="869">
        <f t="shared" si="355"/>
        <v>0</v>
      </c>
      <c r="BY438" s="869">
        <f t="shared" si="355"/>
        <v>0</v>
      </c>
      <c r="BZ438" s="869">
        <f t="shared" si="355"/>
        <v>0</v>
      </c>
      <c r="CA438" s="869">
        <f t="shared" si="355"/>
        <v>0</v>
      </c>
      <c r="CB438" s="869">
        <f t="shared" si="355"/>
        <v>0</v>
      </c>
      <c r="CC438" s="869">
        <f t="shared" si="355"/>
        <v>0</v>
      </c>
      <c r="CD438" s="869">
        <f t="shared" si="355"/>
        <v>0</v>
      </c>
    </row>
    <row r="439" spans="1:82" ht="16" hidden="1" thickTop="1" thickBot="1">
      <c r="A439" s="773">
        <f t="shared" si="356"/>
        <v>0</v>
      </c>
      <c r="D439" s="875"/>
      <c r="E439" s="876"/>
      <c r="F439" s="877"/>
      <c r="G439" s="869">
        <f t="shared" si="332"/>
        <v>0</v>
      </c>
      <c r="I439" s="869"/>
      <c r="J439" s="869">
        <f t="shared" si="333"/>
        <v>0</v>
      </c>
      <c r="K439" s="869">
        <f t="shared" si="333"/>
        <v>0</v>
      </c>
      <c r="L439" s="869">
        <f t="shared" si="333"/>
        <v>0</v>
      </c>
      <c r="M439" s="869" cm="1">
        <f t="array" ref="M439">LOOKUP(2,1/($F$49:$F$407=$D440),M$49:M$407)</f>
        <v>0</v>
      </c>
      <c r="N439" s="869">
        <f t="shared" si="334"/>
        <v>0</v>
      </c>
      <c r="O439" s="869">
        <f t="shared" si="334"/>
        <v>0</v>
      </c>
      <c r="P439" s="869">
        <f t="shared" si="334"/>
        <v>0</v>
      </c>
      <c r="Q439" s="869">
        <f t="shared" si="334"/>
        <v>0</v>
      </c>
      <c r="R439" s="161"/>
      <c r="S439" s="869">
        <f t="shared" si="351"/>
        <v>0</v>
      </c>
      <c r="T439" s="869">
        <f t="shared" si="335"/>
        <v>0</v>
      </c>
      <c r="U439" s="869">
        <f t="shared" si="335"/>
        <v>0</v>
      </c>
      <c r="V439" s="869">
        <f t="shared" si="335"/>
        <v>0</v>
      </c>
      <c r="W439" s="869">
        <f t="shared" si="335"/>
        <v>0</v>
      </c>
      <c r="X439" s="869" cm="1">
        <f t="array" aca="1" ref="X439" ca="1">LOOKUP(2,1/($F$49:$F$407=$D440),X$49:X$407)</f>
        <v>0</v>
      </c>
      <c r="Y439" s="869">
        <f t="shared" si="336"/>
        <v>0</v>
      </c>
      <c r="Z439" s="869">
        <f t="shared" si="336"/>
        <v>0</v>
      </c>
      <c r="AA439" s="869">
        <f t="shared" si="336"/>
        <v>0</v>
      </c>
      <c r="AB439" s="869">
        <f t="shared" si="336"/>
        <v>0</v>
      </c>
      <c r="AC439" s="161"/>
      <c r="AD439" s="869">
        <f t="shared" si="349"/>
        <v>0</v>
      </c>
      <c r="AE439" s="869">
        <f t="shared" si="337"/>
        <v>0</v>
      </c>
      <c r="AF439" s="869">
        <f t="shared" si="337"/>
        <v>0</v>
      </c>
      <c r="AG439" s="869">
        <f t="shared" si="337"/>
        <v>0</v>
      </c>
      <c r="AH439" s="869">
        <f t="shared" si="337"/>
        <v>0</v>
      </c>
      <c r="AI439" s="869" cm="1">
        <f t="array" aca="1" ref="AI439" ca="1">LOOKUP(2,1/($F$49:$F$407=$D440),AI$49:AI$407)</f>
        <v>0</v>
      </c>
      <c r="AJ439" s="869">
        <f t="shared" si="338"/>
        <v>0</v>
      </c>
      <c r="AK439" s="869">
        <f t="shared" si="338"/>
        <v>0</v>
      </c>
      <c r="AL439" s="869">
        <f t="shared" si="338"/>
        <v>0</v>
      </c>
      <c r="AM439" s="869">
        <f t="shared" si="338"/>
        <v>0</v>
      </c>
      <c r="AN439" s="869">
        <f t="shared" si="350"/>
        <v>0</v>
      </c>
      <c r="AO439" s="161"/>
      <c r="AP439" s="869">
        <f t="shared" si="352"/>
        <v>0</v>
      </c>
      <c r="AQ439" s="869">
        <f t="shared" si="340"/>
        <v>0</v>
      </c>
      <c r="AR439" s="869">
        <f t="shared" si="340"/>
        <v>0</v>
      </c>
      <c r="AS439" s="869">
        <f t="shared" si="340"/>
        <v>0</v>
      </c>
      <c r="AT439" s="869">
        <f t="shared" si="340"/>
        <v>0</v>
      </c>
      <c r="AU439" s="869"/>
      <c r="AV439" s="869">
        <f t="shared" si="353"/>
        <v>0</v>
      </c>
      <c r="AW439" s="869">
        <f t="shared" si="353"/>
        <v>0</v>
      </c>
      <c r="AX439" s="869">
        <f t="shared" si="353"/>
        <v>0</v>
      </c>
      <c r="AY439" s="869">
        <f t="shared" si="353"/>
        <v>0</v>
      </c>
      <c r="AZ439" s="869">
        <f t="shared" si="353"/>
        <v>0</v>
      </c>
      <c r="BA439" s="161"/>
      <c r="BB439" s="869">
        <f t="shared" si="342"/>
        <v>0</v>
      </c>
      <c r="BC439" s="869">
        <f t="shared" si="342"/>
        <v>0</v>
      </c>
      <c r="BD439" s="658"/>
      <c r="BE439" s="869">
        <f t="shared" si="343"/>
        <v>0</v>
      </c>
      <c r="BF439" s="869">
        <f t="shared" si="343"/>
        <v>0</v>
      </c>
      <c r="BG439" s="869">
        <f t="shared" si="343"/>
        <v>0</v>
      </c>
      <c r="BI439" s="869">
        <f t="shared" si="354"/>
        <v>0</v>
      </c>
      <c r="BJ439" s="869">
        <f t="shared" si="354"/>
        <v>0</v>
      </c>
      <c r="BK439" s="869">
        <f t="shared" si="354"/>
        <v>0</v>
      </c>
      <c r="BL439" s="869">
        <f t="shared" si="354"/>
        <v>0</v>
      </c>
      <c r="BM439" s="869">
        <f t="shared" si="354"/>
        <v>0</v>
      </c>
      <c r="BN439" s="869">
        <f t="shared" si="354"/>
        <v>0</v>
      </c>
      <c r="BO439" s="869">
        <f t="shared" si="354"/>
        <v>0</v>
      </c>
      <c r="BP439" s="869">
        <f t="shared" si="354"/>
        <v>0</v>
      </c>
      <c r="BQ439" s="869">
        <f t="shared" si="354"/>
        <v>0</v>
      </c>
      <c r="BR439" s="869">
        <f t="shared" si="354"/>
        <v>0</v>
      </c>
      <c r="BS439" s="869">
        <f t="shared" si="354"/>
        <v>0</v>
      </c>
      <c r="BT439" s="869">
        <f t="shared" si="354"/>
        <v>0</v>
      </c>
      <c r="BU439" s="869">
        <f t="shared" si="354"/>
        <v>0</v>
      </c>
      <c r="BX439" s="869">
        <f t="shared" si="355"/>
        <v>0</v>
      </c>
      <c r="BY439" s="869">
        <f t="shared" si="355"/>
        <v>0</v>
      </c>
      <c r="BZ439" s="869">
        <f t="shared" si="355"/>
        <v>0</v>
      </c>
      <c r="CA439" s="869">
        <f t="shared" si="355"/>
        <v>0</v>
      </c>
      <c r="CB439" s="869">
        <f t="shared" si="355"/>
        <v>0</v>
      </c>
      <c r="CC439" s="869">
        <f t="shared" si="355"/>
        <v>0</v>
      </c>
      <c r="CD439" s="869">
        <f t="shared" si="355"/>
        <v>0</v>
      </c>
    </row>
    <row r="440" spans="1:82" ht="16" hidden="1" thickTop="1" thickBot="1">
      <c r="A440" s="773">
        <f t="shared" si="356"/>
        <v>0</v>
      </c>
      <c r="D440" s="875"/>
      <c r="E440" s="876"/>
      <c r="F440" s="877"/>
      <c r="G440" s="878">
        <f>SUMIF($F$49:$F$407,$D440,G$49:G$407)</f>
        <v>0</v>
      </c>
      <c r="I440" s="869"/>
      <c r="J440" s="869">
        <f t="shared" si="333"/>
        <v>0</v>
      </c>
      <c r="K440" s="869">
        <f t="shared" si="333"/>
        <v>0</v>
      </c>
      <c r="L440" s="869">
        <f t="shared" si="333"/>
        <v>0</v>
      </c>
      <c r="M440" s="869" cm="1">
        <f t="array" ref="M440">LOOKUP(2,1/($F$49:$F$407=$D441),M$49:M$407)</f>
        <v>0</v>
      </c>
      <c r="N440" s="869">
        <f t="shared" si="334"/>
        <v>0</v>
      </c>
      <c r="O440" s="869">
        <f t="shared" si="334"/>
        <v>0</v>
      </c>
      <c r="P440" s="869">
        <f t="shared" si="334"/>
        <v>0</v>
      </c>
      <c r="Q440" s="869">
        <f t="shared" si="334"/>
        <v>0</v>
      </c>
      <c r="R440" s="161"/>
      <c r="S440" s="869">
        <f t="shared" si="351"/>
        <v>0</v>
      </c>
      <c r="T440" s="869">
        <f t="shared" si="335"/>
        <v>0</v>
      </c>
      <c r="U440" s="869">
        <f t="shared" si="335"/>
        <v>0</v>
      </c>
      <c r="V440" s="869">
        <f t="shared" si="335"/>
        <v>0</v>
      </c>
      <c r="W440" s="869">
        <f t="shared" si="335"/>
        <v>0</v>
      </c>
      <c r="X440" s="869" cm="1">
        <f t="array" aca="1" ref="X440" ca="1">LOOKUP(2,1/($F$49:$F$407=$D441),X$49:X$407)</f>
        <v>0</v>
      </c>
      <c r="Y440" s="869">
        <f t="shared" si="336"/>
        <v>0</v>
      </c>
      <c r="Z440" s="869">
        <f t="shared" si="336"/>
        <v>0</v>
      </c>
      <c r="AA440" s="869">
        <f t="shared" si="336"/>
        <v>0</v>
      </c>
      <c r="AB440" s="869">
        <f t="shared" si="336"/>
        <v>0</v>
      </c>
      <c r="AC440" s="161"/>
      <c r="AD440" s="869">
        <f t="shared" si="349"/>
        <v>0</v>
      </c>
      <c r="AE440" s="869">
        <f t="shared" si="337"/>
        <v>0</v>
      </c>
      <c r="AF440" s="869">
        <f t="shared" si="337"/>
        <v>0</v>
      </c>
      <c r="AG440" s="869">
        <f t="shared" si="337"/>
        <v>0</v>
      </c>
      <c r="AH440" s="869">
        <f t="shared" si="337"/>
        <v>0</v>
      </c>
      <c r="AI440" s="869" cm="1">
        <f t="array" aca="1" ref="AI440" ca="1">LOOKUP(2,1/($F$49:$F$407=$D441),AI$49:AI$407)</f>
        <v>0</v>
      </c>
      <c r="AJ440" s="869">
        <f t="shared" si="338"/>
        <v>0</v>
      </c>
      <c r="AK440" s="869">
        <f t="shared" si="338"/>
        <v>0</v>
      </c>
      <c r="AL440" s="869">
        <f t="shared" si="338"/>
        <v>0</v>
      </c>
      <c r="AM440" s="869">
        <f t="shared" si="338"/>
        <v>0</v>
      </c>
      <c r="AN440" s="869">
        <f t="shared" si="350"/>
        <v>0</v>
      </c>
      <c r="AO440" s="161"/>
      <c r="AP440" s="869">
        <f t="shared" si="352"/>
        <v>0</v>
      </c>
      <c r="AQ440" s="869">
        <f>SUMIF($F$48:$F$407,$D440,AQ$48:AQ$407)</f>
        <v>0</v>
      </c>
      <c r="AR440" s="869">
        <f>SUMIF($F$48:$F$407,$D440,AR$48:AR$407)</f>
        <v>0</v>
      </c>
      <c r="AS440" s="869">
        <f>SUMIF($F$48:$F$407,$D440,AS$48:AS$407)</f>
        <v>0</v>
      </c>
      <c r="AT440" s="869">
        <f>SUMIF($F$49:$F$407,$D440,AT$49:AT$407)</f>
        <v>0</v>
      </c>
      <c r="AU440" s="869"/>
      <c r="AV440" s="869">
        <f>SUMIF($F$49:$F$407,$D440,AV$49:AV$407)</f>
        <v>0</v>
      </c>
      <c r="AW440" s="869">
        <f>SUMIF($F$49:$F$407,$D440,AW$49:AW$407)</f>
        <v>0</v>
      </c>
      <c r="AX440" s="869">
        <f>SUMIF($F$49:$F$407,$D440,AX$49:AX$407)</f>
        <v>0</v>
      </c>
      <c r="AY440" s="869">
        <f>SUMIF($F$49:$F$407,$D440,AY$49:AY$407)</f>
        <v>0</v>
      </c>
      <c r="AZ440" s="869">
        <f>SUMIF($F$49:$F$407,$D440,AZ$49:AZ$407)</f>
        <v>0</v>
      </c>
      <c r="BA440" s="161"/>
      <c r="BB440" s="869">
        <f>SUMIF($F$49:$F$407,$D440,BB$49:BB$407)</f>
        <v>0</v>
      </c>
      <c r="BC440" s="869">
        <f>SUMIF($F$49:$F$407,$D440,BC$49:BC$407)</f>
        <v>0</v>
      </c>
      <c r="BD440" s="658"/>
      <c r="BE440" s="869">
        <f>SUMIF($F$49:$F$407,$D440,BE$49:BE$407)</f>
        <v>0</v>
      </c>
      <c r="BF440" s="869">
        <f>SUMIF($F$49:$F$407,$D440,BF$49:BF$407)</f>
        <v>0</v>
      </c>
      <c r="BG440" s="869">
        <f>SUMIF($F$49:$F$407,$D440,BG$49:BG$407)</f>
        <v>0</v>
      </c>
      <c r="BI440" s="869">
        <f t="shared" ref="BI440:BU440" si="357">SUMIF($F$49:$F$407,$D440,BI$49:BI$407)</f>
        <v>0</v>
      </c>
      <c r="BJ440" s="869">
        <f t="shared" si="357"/>
        <v>0</v>
      </c>
      <c r="BK440" s="869">
        <f t="shared" si="357"/>
        <v>0</v>
      </c>
      <c r="BL440" s="869">
        <f t="shared" si="357"/>
        <v>0</v>
      </c>
      <c r="BM440" s="869">
        <f t="shared" si="357"/>
        <v>0</v>
      </c>
      <c r="BN440" s="869">
        <f t="shared" si="357"/>
        <v>0</v>
      </c>
      <c r="BO440" s="869">
        <f t="shared" si="357"/>
        <v>0</v>
      </c>
      <c r="BP440" s="869">
        <f t="shared" si="357"/>
        <v>0</v>
      </c>
      <c r="BQ440" s="869">
        <f t="shared" si="357"/>
        <v>0</v>
      </c>
      <c r="BR440" s="869">
        <f t="shared" si="357"/>
        <v>0</v>
      </c>
      <c r="BS440" s="869">
        <f t="shared" si="357"/>
        <v>0</v>
      </c>
      <c r="BT440" s="869">
        <f t="shared" si="357"/>
        <v>0</v>
      </c>
      <c r="BU440" s="869">
        <f t="shared" si="357"/>
        <v>0</v>
      </c>
      <c r="BX440" s="869">
        <f t="shared" ref="BX440:CD440" si="358">SUMIF($F$49:$F$407,$D440,BX$49:BX$407)</f>
        <v>0</v>
      </c>
      <c r="BY440" s="869">
        <f t="shared" si="358"/>
        <v>0</v>
      </c>
      <c r="BZ440" s="869">
        <f t="shared" si="358"/>
        <v>0</v>
      </c>
      <c r="CA440" s="869">
        <f t="shared" si="358"/>
        <v>0</v>
      </c>
      <c r="CB440" s="869">
        <f t="shared" si="358"/>
        <v>0</v>
      </c>
      <c r="CC440" s="869">
        <f t="shared" si="358"/>
        <v>0</v>
      </c>
      <c r="CD440" s="869">
        <f t="shared" si="358"/>
        <v>0</v>
      </c>
    </row>
    <row r="441" spans="1:82" ht="15" hidden="1" thickTop="1">
      <c r="A441" s="773">
        <f t="shared" si="356"/>
        <v>0</v>
      </c>
      <c r="E441" s="527"/>
      <c r="F441" s="527"/>
      <c r="N441" s="879"/>
      <c r="Y441" s="879"/>
      <c r="AJ441" s="879"/>
      <c r="AK441" s="879"/>
      <c r="AV441" s="879"/>
      <c r="AW441" s="879"/>
      <c r="BI441" s="527"/>
      <c r="BX441" s="527"/>
    </row>
    <row r="442" spans="1:82" ht="16" hidden="1" thickTop="1" thickBot="1">
      <c r="A442" s="773">
        <f t="shared" si="356"/>
        <v>0</v>
      </c>
      <c r="E442" s="527"/>
      <c r="F442" s="527"/>
      <c r="G442" s="665">
        <f ca="1">SUM(G411:G440)</f>
        <v>176446196.45614529</v>
      </c>
      <c r="I442" s="829"/>
      <c r="J442" s="665">
        <f ca="1">SUM(J411:J440)</f>
        <v>139147167.49491289</v>
      </c>
      <c r="K442" s="665">
        <f ca="1">SUM(K411:K440)</f>
        <v>23498052.32251681</v>
      </c>
      <c r="L442" s="665">
        <f ca="1">SUM(L411:L440)</f>
        <v>162645219.81742963</v>
      </c>
      <c r="M442" s="829"/>
      <c r="N442" s="665">
        <f ca="1">SUM(N411:N440)</f>
        <v>23498052.322516724</v>
      </c>
      <c r="O442" s="665">
        <f ca="1">SUM(O411:O440)</f>
        <v>1236739.5959219323</v>
      </c>
      <c r="P442" s="665">
        <f ca="1">SUM(P411:P440)</f>
        <v>24734791.918438651</v>
      </c>
      <c r="Q442" s="665">
        <f ca="1">SUM(Q411:Q440)</f>
        <v>151711404.5</v>
      </c>
      <c r="T442" s="665">
        <f ca="1">SUM(T411:T440)</f>
        <v>139147167.49491289</v>
      </c>
      <c r="U442" s="665">
        <f ca="1">SUM(U411:U440)</f>
        <v>29984736.291376617</v>
      </c>
      <c r="V442" s="665">
        <f ca="1">SUM(V411:V440)</f>
        <v>162645219.81742963</v>
      </c>
      <c r="W442" s="665">
        <f ca="1">SUM(W411:W440)</f>
        <v>6486683.9688597703</v>
      </c>
      <c r="Y442" s="665">
        <f ca="1">SUM(Y411:Y440)</f>
        <v>29984736.291376494</v>
      </c>
      <c r="Z442" s="665">
        <f ca="1">SUM(Z411:Z440)</f>
        <v>2336820.502921544</v>
      </c>
      <c r="AA442" s="665">
        <f ca="1">SUM(AA411:AA440)</f>
        <v>32321556.794298023</v>
      </c>
      <c r="AB442" s="665">
        <f ca="1">SUM(AB411:AB440)</f>
        <v>144124639.66184726</v>
      </c>
      <c r="AE442" s="665">
        <f ca="1">SUM(AE411:AE440)</f>
        <v>139147167.49491289</v>
      </c>
      <c r="AF442" s="665">
        <f ca="1">SUM(AF411:AF440)</f>
        <v>36725181.939819537</v>
      </c>
      <c r="AG442" s="665">
        <f ca="1">SUM(AG411:AG440)</f>
        <v>169131903.78628942</v>
      </c>
      <c r="AH442" s="665">
        <f ca="1">SUM(AH411:AH440)</f>
        <v>6740445.6484428756</v>
      </c>
      <c r="AJ442" s="665">
        <f ca="1">SUM(AJ411:AJ440)</f>
        <v>36725181.939819366</v>
      </c>
      <c r="AK442" s="665">
        <f ca="1">SUM(AK411:AK440)</f>
        <v>36725181.939819366</v>
      </c>
      <c r="AL442" s="665">
        <f ca="1">SUM(AL411:AL440)</f>
        <v>4465382.2866403461</v>
      </c>
      <c r="AM442" s="665">
        <f ca="1">SUM(AM411:AM440)</f>
        <v>41190564.226459712</v>
      </c>
      <c r="AN442" s="665">
        <f ca="1">SUM(AN411:AN440)</f>
        <v>135255632.2296856</v>
      </c>
      <c r="AQ442" s="665">
        <f ca="1">SUM(AQ411:AQ440)</f>
        <v>139147167.49491289</v>
      </c>
      <c r="AR442" s="665">
        <f ca="1">SUM(AR411:AR440)</f>
        <v>43723836.12086574</v>
      </c>
      <c r="AS442" s="665">
        <f ca="1">SUM(AS411:AS440)</f>
        <v>175872349.43473232</v>
      </c>
      <c r="AT442" s="665">
        <f ca="1">SUM(AT411:AT440)</f>
        <v>6998654.1810462987</v>
      </c>
      <c r="AV442" s="665">
        <f ca="1">SUM(AV411:AV440)</f>
        <v>43723836.120865673</v>
      </c>
      <c r="AW442" s="665">
        <f ca="1">SUM(AW411:AW440)</f>
        <v>43723836.120865673</v>
      </c>
      <c r="AX442" s="665">
        <f ca="1">SUM(AX411:AX440)</f>
        <v>7991020.1071674293</v>
      </c>
      <c r="AY442" s="665">
        <f ca="1">SUM(AY411:AY440)</f>
        <v>51714856.228033088</v>
      </c>
      <c r="AZ442" s="665">
        <f ca="1">SUM(AZ411:AZ440)</f>
        <v>124731340.22811219</v>
      </c>
      <c r="BB442" s="665">
        <f ca="1">SUM(BB411:BB440)</f>
        <v>62365670.114056095</v>
      </c>
      <c r="BC442" s="665">
        <f ca="1">SUM(BC411:BC440)</f>
        <v>62365670.114056095</v>
      </c>
      <c r="BE442" s="665">
        <f ca="1">SUM(BE411:BE440)</f>
        <v>106089506.23492177</v>
      </c>
      <c r="BF442" s="665">
        <f ca="1">SUM(BF411:BF440)</f>
        <v>70356690.221223533</v>
      </c>
      <c r="BG442" s="665">
        <f ca="1">SUM(BG411:BG440)</f>
        <v>176446196.45614529</v>
      </c>
      <c r="BI442" s="665">
        <f t="shared" ref="BI442:BU442" ca="1" si="359">SUM(BI411:BI440)</f>
        <v>176446196.45614529</v>
      </c>
      <c r="BJ442" s="665">
        <f t="shared" ca="1" si="359"/>
        <v>23498052.322516724</v>
      </c>
      <c r="BK442" s="665">
        <f t="shared" ca="1" si="359"/>
        <v>1236739.5959219323</v>
      </c>
      <c r="BL442" s="665">
        <f t="shared" ca="1" si="359"/>
        <v>6486683.9688597703</v>
      </c>
      <c r="BM442" s="665">
        <f t="shared" ca="1" si="359"/>
        <v>1100080.9069996104</v>
      </c>
      <c r="BN442" s="665">
        <f t="shared" ca="1" si="359"/>
        <v>6740445.6484428756</v>
      </c>
      <c r="BO442" s="665">
        <f t="shared" ca="1" si="359"/>
        <v>2128561.783718803</v>
      </c>
      <c r="BP442" s="665">
        <f t="shared" ca="1" si="359"/>
        <v>6998654.1810462987</v>
      </c>
      <c r="BQ442" s="665">
        <f t="shared" ca="1" si="359"/>
        <v>3525637.8205270832</v>
      </c>
      <c r="BR442" s="665">
        <f t="shared" ca="1" si="359"/>
        <v>62365670.114056095</v>
      </c>
      <c r="BS442" s="665">
        <f t="shared" ca="1" si="359"/>
        <v>62365670.114056095</v>
      </c>
      <c r="BT442" s="665">
        <f t="shared" ca="1" si="359"/>
        <v>106089506.23492177</v>
      </c>
      <c r="BU442" s="665">
        <f t="shared" ca="1" si="359"/>
        <v>70356690.221223533</v>
      </c>
      <c r="BX442" s="665">
        <f t="shared" ref="BX442:CD442" ca="1" si="360">SUM(BX411:BX440)</f>
        <v>176446196.45614529</v>
      </c>
      <c r="BY442" s="665">
        <f t="shared" ca="1" si="360"/>
        <v>25010374.343438648</v>
      </c>
      <c r="BZ442" s="665">
        <f t="shared" ca="1" si="360"/>
        <v>7586764.8758593816</v>
      </c>
      <c r="CA442" s="665">
        <f t="shared" ca="1" si="360"/>
        <v>8869007.4321616776</v>
      </c>
      <c r="CB442" s="665">
        <f t="shared" ca="1" si="360"/>
        <v>10524292.001573382</v>
      </c>
      <c r="CC442" s="665">
        <f t="shared" ca="1" si="360"/>
        <v>124731340.22811219</v>
      </c>
      <c r="CD442" s="665">
        <f t="shared" ca="1" si="360"/>
        <v>176721778.88114536</v>
      </c>
    </row>
    <row r="443" spans="1:82" ht="16" hidden="1" thickTop="1" thickBot="1">
      <c r="A443" s="773">
        <f t="shared" si="356"/>
        <v>0</v>
      </c>
      <c r="E443" s="527"/>
      <c r="F443" s="527"/>
      <c r="G443" s="918" t="str">
        <f ca="1">IF(ROUND(ABS(G409 - G442), 0) = 0, "R", "T")</f>
        <v>R</v>
      </c>
      <c r="J443" s="918" t="str">
        <f ca="1">IF(ROUND(ABS(J409 - J442), 0) = 0, "R", "T")</f>
        <v>R</v>
      </c>
      <c r="K443" s="918" t="str">
        <f ca="1">IF(ROUND(ABS(K409 - K442), 0) = 0, "R", "T")</f>
        <v>R</v>
      </c>
      <c r="L443" s="918" t="str">
        <f ca="1">IF(ROUND(ABS(L409 - L442), 0) = 0, "R", "T")</f>
        <v>R</v>
      </c>
      <c r="N443" s="918" t="str">
        <f ca="1">IF(ROUND(ABS(N409 - N442), 0) = 0, "R", "T")</f>
        <v>R</v>
      </c>
      <c r="O443" s="918" t="str">
        <f ca="1">IF(ROUND(ABS(O409 - O442), 0) = 0, "R", "T")</f>
        <v>R</v>
      </c>
      <c r="P443" s="918" t="str">
        <f ca="1">IF(ROUND(ABS(P409 - P442), 0) = 0, "R", "T")</f>
        <v>R</v>
      </c>
      <c r="Q443" s="918" t="str">
        <f ca="1">IF(ROUND(ABS(Q409 - Q442), 0) = 0, "R", "T")</f>
        <v>R</v>
      </c>
      <c r="T443" s="918" t="str">
        <f t="shared" ref="T443:AB443" ca="1" si="361">IF(ROUND(ABS(T409 - T442), 0) = 0, "R", "T")</f>
        <v>R</v>
      </c>
      <c r="U443" s="918" t="str">
        <f t="shared" ca="1" si="361"/>
        <v>R</v>
      </c>
      <c r="V443" s="918" t="str">
        <f t="shared" ca="1" si="361"/>
        <v>R</v>
      </c>
      <c r="W443" s="918" t="str">
        <f t="shared" ca="1" si="361"/>
        <v>R</v>
      </c>
      <c r="X443" s="918" t="str">
        <f t="shared" si="361"/>
        <v>R</v>
      </c>
      <c r="Y443" s="918" t="str">
        <f t="shared" ca="1" si="361"/>
        <v>R</v>
      </c>
      <c r="Z443" s="918" t="str">
        <f t="shared" ca="1" si="361"/>
        <v>R</v>
      </c>
      <c r="AA443" s="918" t="str">
        <f t="shared" ca="1" si="361"/>
        <v>R</v>
      </c>
      <c r="AB443" s="918" t="str">
        <f t="shared" ca="1" si="361"/>
        <v>R</v>
      </c>
      <c r="AE443" s="918" t="str">
        <f ca="1">IF(ROUND(ABS(AE409 - AE442), 0) = 0, "R", "T")</f>
        <v>R</v>
      </c>
      <c r="AF443" s="918" t="str">
        <f ca="1">IF(ROUND(ABS(AF409 - AF442), 0) = 0, "R", "T")</f>
        <v>R</v>
      </c>
      <c r="AG443" s="918" t="str">
        <f ca="1">IF(ROUND(ABS(AG409 - AG442), 0) = 0, "R", "T")</f>
        <v>R</v>
      </c>
      <c r="AH443" s="918" t="str">
        <f ca="1">IF(ROUND(ABS(AH409 - AH442), 0) = 0, "R", "T")</f>
        <v>R</v>
      </c>
      <c r="AJ443" s="918" t="str">
        <f ca="1">IF(ROUND(ABS(AJ409 - AJ442), 0) = 0, "R", "T")</f>
        <v>R</v>
      </c>
      <c r="AK443" s="918" t="str">
        <f ca="1">IF(ROUND(ABS(AK409 - AK442), 0) = 0, "R", "T")</f>
        <v>R</v>
      </c>
      <c r="AL443" s="918" t="str">
        <f ca="1">IF(ROUND(ABS(AL409 - AL442), 0) = 0, "R", "T")</f>
        <v>R</v>
      </c>
      <c r="AM443" s="918" t="str">
        <f ca="1">IF(ROUND(ABS(AM409 - AM442), 0) = 0, "R", "T")</f>
        <v>R</v>
      </c>
      <c r="AN443" s="918" t="str">
        <f ca="1">IF(ROUND(ABS(AN409 - AN442), 0) = 0, "R", "T")</f>
        <v>R</v>
      </c>
      <c r="AQ443" s="918" t="str">
        <f ca="1">IF(ROUND(ABS(AQ409 - AQ442), 0) = 0, "R", "T")</f>
        <v>R</v>
      </c>
      <c r="AR443" s="918" t="str">
        <f ca="1">IF(ROUND(ABS(AR409 - AR442), 0) = 0, "R", "T")</f>
        <v>R</v>
      </c>
      <c r="AS443" s="918" t="str">
        <f ca="1">IF(ROUND(ABS(AS409 - AS442), 0) = 0, "R", "T")</f>
        <v>R</v>
      </c>
      <c r="AT443" s="918" t="str">
        <f ca="1">IF(ROUND(ABS(AT409 - AT442), 0) = 0, "R", "T")</f>
        <v>R</v>
      </c>
      <c r="AU443" s="918"/>
      <c r="AV443" s="918" t="str">
        <f t="shared" ref="AV443:BG443" ca="1" si="362">IF(ROUND(ABS(AV409 - AV442), 0) = 0, "R", "T")</f>
        <v>R</v>
      </c>
      <c r="AW443" s="918" t="str">
        <f t="shared" ca="1" si="362"/>
        <v>R</v>
      </c>
      <c r="AX443" s="918" t="str">
        <f t="shared" ca="1" si="362"/>
        <v>R</v>
      </c>
      <c r="AY443" s="918" t="str">
        <f t="shared" ca="1" si="362"/>
        <v>R</v>
      </c>
      <c r="AZ443" s="918" t="str">
        <f t="shared" ca="1" si="362"/>
        <v>R</v>
      </c>
      <c r="BA443" s="918" t="str">
        <f t="shared" si="362"/>
        <v>R</v>
      </c>
      <c r="BB443" s="918" t="str">
        <f t="shared" ca="1" si="362"/>
        <v>R</v>
      </c>
      <c r="BC443" s="918" t="str">
        <f t="shared" ca="1" si="362"/>
        <v>R</v>
      </c>
      <c r="BD443" s="918" t="str">
        <f t="shared" si="362"/>
        <v>R</v>
      </c>
      <c r="BE443" s="918" t="str">
        <f t="shared" ca="1" si="362"/>
        <v>R</v>
      </c>
      <c r="BF443" s="918" t="str">
        <f t="shared" ca="1" si="362"/>
        <v>R</v>
      </c>
      <c r="BG443" s="918" t="str">
        <f t="shared" ca="1" si="362"/>
        <v>R</v>
      </c>
      <c r="BI443" s="918" t="str">
        <f t="shared" ref="BI443:CD443" ca="1" si="363">IF(ROUND(ABS(BI409 - BI442), 0) = 0, "R", "T")</f>
        <v>R</v>
      </c>
      <c r="BJ443" s="918" t="str">
        <f t="shared" ca="1" si="363"/>
        <v>R</v>
      </c>
      <c r="BK443" s="918" t="str">
        <f t="shared" ca="1" si="363"/>
        <v>R</v>
      </c>
      <c r="BL443" s="918" t="str">
        <f t="shared" ca="1" si="363"/>
        <v>R</v>
      </c>
      <c r="BM443" s="918" t="str">
        <f t="shared" ca="1" si="363"/>
        <v>R</v>
      </c>
      <c r="BN443" s="918" t="str">
        <f t="shared" ca="1" si="363"/>
        <v>R</v>
      </c>
      <c r="BO443" s="918" t="str">
        <f t="shared" ca="1" si="363"/>
        <v>R</v>
      </c>
      <c r="BP443" s="918" t="str">
        <f t="shared" ca="1" si="363"/>
        <v>R</v>
      </c>
      <c r="BQ443" s="918" t="str">
        <f t="shared" ca="1" si="363"/>
        <v>R</v>
      </c>
      <c r="BR443" s="918" t="str">
        <f t="shared" ca="1" si="363"/>
        <v>R</v>
      </c>
      <c r="BS443" s="918" t="str">
        <f t="shared" ca="1" si="363"/>
        <v>R</v>
      </c>
      <c r="BT443" s="918" t="str">
        <f t="shared" ca="1" si="363"/>
        <v>R</v>
      </c>
      <c r="BU443" s="918" t="str">
        <f t="shared" ca="1" si="363"/>
        <v>R</v>
      </c>
      <c r="BV443" s="918" t="str">
        <f t="shared" si="363"/>
        <v>R</v>
      </c>
      <c r="BW443" s="918" t="str">
        <f t="shared" si="363"/>
        <v>R</v>
      </c>
      <c r="BX443" s="918" t="str">
        <f t="shared" ca="1" si="363"/>
        <v>R</v>
      </c>
      <c r="BY443" s="918" t="str">
        <f t="shared" ca="1" si="363"/>
        <v>R</v>
      </c>
      <c r="BZ443" s="918" t="str">
        <f t="shared" ca="1" si="363"/>
        <v>R</v>
      </c>
      <c r="CA443" s="918" t="str">
        <f t="shared" ca="1" si="363"/>
        <v>R</v>
      </c>
      <c r="CB443" s="918" t="str">
        <f t="shared" ca="1" si="363"/>
        <v>R</v>
      </c>
      <c r="CC443" s="918" t="str">
        <f t="shared" ca="1" si="363"/>
        <v>R</v>
      </c>
      <c r="CD443" s="918" t="str">
        <f t="shared" ca="1" si="363"/>
        <v>R</v>
      </c>
    </row>
    <row r="444" spans="1:82" ht="15" thickTop="1"/>
  </sheetData>
  <autoFilter ref="A42:A443" xr:uid="{F34A5073-3385-8346-8384-7034831ED960}">
    <filterColumn colId="0">
      <filters>
        <filter val="1"/>
      </filters>
    </filterColumn>
  </autoFilter>
  <mergeCells count="4">
    <mergeCell ref="BB42:BC42"/>
    <mergeCell ref="BB43:BC43"/>
    <mergeCell ref="BT45:BT46"/>
    <mergeCell ref="BU45:BU46"/>
  </mergeCells>
  <pageMargins left="0.7" right="0.7" top="0.75" bottom="0.75" header="0.3" footer="0.3"/>
  <pageSetup orientation="portrait" horizontalDpi="0" verticalDpi="0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3D92-970D-4976-A963-383E7CE96FDC}">
  <sheetPr codeName="Sheet7" filterMode="1">
    <tabColor rgb="FF0070C0"/>
    <pageSetUpPr fitToPage="1"/>
  </sheetPr>
  <dimension ref="A2:BB75"/>
  <sheetViews>
    <sheetView showGridLines="0" topLeftCell="B1" zoomScaleNormal="100" zoomScaleSheetLayoutView="130" workbookViewId="0">
      <selection activeCell="D9" sqref="D9"/>
    </sheetView>
  </sheetViews>
  <sheetFormatPr baseColWidth="10" defaultColWidth="8.83203125" defaultRowHeight="14"/>
  <cols>
    <col min="1" max="1" width="8.83203125" hidden="1" customWidth="1"/>
    <col min="2" max="2" width="3.1640625" customWidth="1"/>
    <col min="6" max="6" width="5.1640625" bestFit="1" customWidth="1"/>
    <col min="7" max="7" width="10.33203125" customWidth="1"/>
    <col min="9" max="10" width="7.6640625" customWidth="1"/>
    <col min="11" max="11" width="13.5" customWidth="1"/>
    <col min="12" max="12" width="12" bestFit="1" customWidth="1"/>
    <col min="13" max="13" width="10.6640625" bestFit="1" customWidth="1"/>
    <col min="14" max="14" width="1.6640625" bestFit="1" customWidth="1"/>
    <col min="15" max="15" width="10.6640625" bestFit="1" customWidth="1"/>
    <col min="16" max="16" width="7.33203125" customWidth="1"/>
    <col min="17" max="18" width="7.33203125" bestFit="1" customWidth="1"/>
    <col min="19" max="19" width="9.5" bestFit="1" customWidth="1"/>
    <col min="20" max="20" width="4.83203125" bestFit="1" customWidth="1"/>
    <col min="21" max="21" width="6.5" bestFit="1" customWidth="1"/>
    <col min="22" max="22" width="4.6640625" bestFit="1" customWidth="1"/>
    <col min="23" max="23" width="3.83203125" bestFit="1" customWidth="1"/>
    <col min="24" max="24" width="5.33203125" bestFit="1" customWidth="1"/>
    <col min="25" max="26" width="9.6640625" bestFit="1" customWidth="1"/>
    <col min="27" max="27" width="10.5" bestFit="1" customWidth="1"/>
    <col min="28" max="28" width="9.6640625" bestFit="1" customWidth="1"/>
    <col min="29" max="29" width="9.33203125" bestFit="1" customWidth="1"/>
    <col min="30" max="30" width="9.5" bestFit="1" customWidth="1"/>
    <col min="31" max="31" width="9.33203125" bestFit="1" customWidth="1"/>
    <col min="32" max="32" width="4.83203125" bestFit="1" customWidth="1"/>
    <col min="33" max="34" width="6.5" bestFit="1" customWidth="1"/>
    <col min="40" max="40" width="8.83203125" style="3"/>
    <col min="41" max="48" width="8.83203125" style="3" bestFit="1" customWidth="1"/>
    <col min="49" max="49" width="9.6640625" style="3" bestFit="1" customWidth="1"/>
    <col min="50" max="51" width="8.83203125" style="3" bestFit="1" customWidth="1"/>
    <col min="52" max="53" width="9.6640625" style="3" bestFit="1" customWidth="1"/>
    <col min="54" max="54" width="8.83203125" style="3" bestFit="1" customWidth="1"/>
  </cols>
  <sheetData>
    <row r="2" spans="1:10" s="163" customFormat="1" ht="30" customHeight="1">
      <c r="A2" s="162"/>
      <c r="B2" s="31" t="str">
        <f>i_Project.Name</f>
        <v>Peoria Lakes</v>
      </c>
    </row>
    <row r="3" spans="1:10" s="163" customFormat="1" ht="22.25" customHeight="1">
      <c r="A3" s="162"/>
      <c r="B3" s="217" t="str">
        <f>i_Project.Location</f>
        <v>Peoria Lakes</v>
      </c>
    </row>
    <row r="4" spans="1:10" s="163" customFormat="1" ht="16">
      <c r="A4" s="162"/>
      <c r="B4" s="165"/>
    </row>
    <row r="5" spans="1:10" ht="13.25" customHeight="1" thickBot="1">
      <c r="A5" s="162"/>
    </row>
    <row r="6" spans="1:10" ht="22.25" customHeight="1" thickTop="1" thickBot="1">
      <c r="A6" s="162"/>
      <c r="C6" s="1228" t="s">
        <v>652</v>
      </c>
      <c r="D6" s="1229"/>
      <c r="E6" s="1229"/>
      <c r="F6" s="1229"/>
      <c r="G6" s="1229"/>
      <c r="H6" s="1229"/>
      <c r="I6" s="1229"/>
      <c r="J6" s="1229"/>
    </row>
    <row r="7" spans="1:10" ht="16.25" customHeight="1" thickTop="1" thickBot="1">
      <c r="A7" s="162"/>
      <c r="C7" s="1240" t="s">
        <v>653</v>
      </c>
      <c r="D7" s="1240" t="s">
        <v>39</v>
      </c>
      <c r="E7" s="1240" t="s">
        <v>47</v>
      </c>
      <c r="F7" s="1240" t="s">
        <v>92</v>
      </c>
      <c r="G7" s="1240"/>
      <c r="H7" s="1240"/>
      <c r="I7" s="1743" t="s">
        <v>649</v>
      </c>
      <c r="J7" s="1744"/>
    </row>
    <row r="8" spans="1:10" ht="16.5" customHeight="1" thickTop="1" thickBot="1">
      <c r="A8" s="162"/>
      <c r="C8" s="1241" t="s">
        <v>38</v>
      </c>
      <c r="D8" s="1241" t="s">
        <v>70</v>
      </c>
      <c r="E8" s="1241" t="s">
        <v>89</v>
      </c>
      <c r="F8" s="1241" t="s">
        <v>48</v>
      </c>
      <c r="G8" s="1241" t="s">
        <v>49</v>
      </c>
      <c r="H8" s="1241" t="s">
        <v>237</v>
      </c>
      <c r="I8" s="1242" t="s">
        <v>651</v>
      </c>
      <c r="J8" s="1242" t="s">
        <v>650</v>
      </c>
    </row>
    <row r="9" spans="1:10" ht="15" customHeight="1" thickTop="1">
      <c r="A9" s="162">
        <f t="shared" ref="A9:A40" si="0">IF(C9&lt;&gt;0,1,0)</f>
        <v>1</v>
      </c>
      <c r="C9" s="1235" t="str" cm="1">
        <f t="array" ref="C9:C50">CONCATENATE(tbl_Planning[Area],".",tbl_Planning[Phase])</f>
        <v>1.1</v>
      </c>
      <c r="D9" s="1236" t="str" cm="1">
        <f t="array" ref="D9:J50">tbl_Planning[[Parcel ID]:[FF/Acre]]</f>
        <v>1.101</v>
      </c>
      <c r="E9" s="1237" t="str">
        <v>MDR</v>
      </c>
      <c r="F9" s="1237">
        <v>32</v>
      </c>
      <c r="G9" s="1237" t="str">
        <v>50x125</v>
      </c>
      <c r="H9" s="1238">
        <v>128</v>
      </c>
      <c r="I9" s="1237">
        <v>3.9726719999999998</v>
      </c>
      <c r="J9" s="1239">
        <v>200</v>
      </c>
    </row>
    <row r="10" spans="1:10" ht="15" customHeight="1">
      <c r="A10" s="162">
        <f t="shared" si="0"/>
        <v>1</v>
      </c>
      <c r="C10" s="1230" t="str">
        <v>1.1</v>
      </c>
      <c r="D10" s="1231" t="str">
        <v>1.102</v>
      </c>
      <c r="E10" s="1232" t="str">
        <v>MDR</v>
      </c>
      <c r="F10" s="1232">
        <v>25</v>
      </c>
      <c r="G10" s="1232" t="str">
        <v>60x125</v>
      </c>
      <c r="H10" s="1233">
        <v>82</v>
      </c>
      <c r="I10" s="1232">
        <v>3.3105599999999997</v>
      </c>
      <c r="J10" s="1234">
        <v>196.8</v>
      </c>
    </row>
    <row r="11" spans="1:10" ht="15" customHeight="1">
      <c r="A11" s="162">
        <f t="shared" si="0"/>
        <v>1</v>
      </c>
      <c r="C11" s="1230" t="str">
        <v>1.1</v>
      </c>
      <c r="D11" s="1231" t="str">
        <v>1.103</v>
      </c>
      <c r="E11" s="1232" t="str">
        <v>MDR</v>
      </c>
      <c r="F11" s="1232">
        <v>21</v>
      </c>
      <c r="G11" s="1232" t="str">
        <v>45x115</v>
      </c>
      <c r="H11" s="1233">
        <v>113</v>
      </c>
      <c r="I11" s="1232">
        <v>4.4140799999999993</v>
      </c>
      <c r="J11" s="1234">
        <v>242.14285714285714</v>
      </c>
    </row>
    <row r="12" spans="1:10" ht="15" customHeight="1">
      <c r="A12" s="162">
        <f t="shared" si="0"/>
        <v>1</v>
      </c>
      <c r="C12" s="1230" t="str">
        <v>1.1</v>
      </c>
      <c r="D12" s="1231" t="str">
        <v>1.104</v>
      </c>
      <c r="E12" s="1232" t="str">
        <v>MU</v>
      </c>
      <c r="F12" s="1232">
        <v>26</v>
      </c>
      <c r="G12" s="1232" t="str">
        <v>MU</v>
      </c>
      <c r="H12" s="1233">
        <v>0</v>
      </c>
      <c r="I12" s="1232" t="str">
        <v/>
      </c>
      <c r="J12" s="1234" t="str">
        <v/>
      </c>
    </row>
    <row r="13" spans="1:10" ht="15" customHeight="1">
      <c r="A13" s="162">
        <f t="shared" si="0"/>
        <v>1</v>
      </c>
      <c r="C13" s="1230" t="str">
        <v>1.2</v>
      </c>
      <c r="D13" s="1231" t="str">
        <v>1.201</v>
      </c>
      <c r="E13" s="1232" t="str">
        <v>MU</v>
      </c>
      <c r="F13" s="1232">
        <v>27</v>
      </c>
      <c r="G13" s="1232" t="str">
        <v>MU</v>
      </c>
      <c r="H13" s="1233">
        <v>0</v>
      </c>
      <c r="I13" s="1232" t="str">
        <v/>
      </c>
      <c r="J13" s="1234" t="str">
        <v/>
      </c>
    </row>
    <row r="14" spans="1:10" ht="15" customHeight="1">
      <c r="A14" s="162">
        <f t="shared" si="0"/>
        <v>1</v>
      </c>
      <c r="C14" s="1230" t="str">
        <v>1.2</v>
      </c>
      <c r="D14" s="1231" t="str">
        <v>1.202</v>
      </c>
      <c r="E14" s="1232" t="str">
        <v>HDR</v>
      </c>
      <c r="F14" s="1232">
        <v>19</v>
      </c>
      <c r="G14" s="1232" t="str">
        <v>APTS</v>
      </c>
      <c r="H14" s="1233">
        <v>380</v>
      </c>
      <c r="I14" s="1232" t="str">
        <v/>
      </c>
      <c r="J14" s="1234" t="str">
        <v/>
      </c>
    </row>
    <row r="15" spans="1:10" ht="15" customHeight="1">
      <c r="A15" s="162">
        <f t="shared" si="0"/>
        <v>1</v>
      </c>
      <c r="C15" s="1230" t="str">
        <v>1.2</v>
      </c>
      <c r="D15" s="1231" t="str">
        <v>1.203</v>
      </c>
      <c r="E15" s="1232" t="str">
        <v>MDR</v>
      </c>
      <c r="F15" s="1232">
        <v>16</v>
      </c>
      <c r="G15" s="1232" t="str">
        <v>35x95</v>
      </c>
      <c r="H15" s="1233">
        <v>120</v>
      </c>
      <c r="I15" s="1232">
        <v>5.6752457142857144</v>
      </c>
      <c r="J15" s="1234">
        <v>262.5</v>
      </c>
    </row>
    <row r="16" spans="1:10" ht="15" customHeight="1">
      <c r="A16" s="162">
        <f t="shared" si="0"/>
        <v>1</v>
      </c>
      <c r="C16" s="1230" t="str">
        <v>1.2</v>
      </c>
      <c r="D16" s="1231" t="str">
        <v>1.204</v>
      </c>
      <c r="E16" s="1232" t="str">
        <v>MDR</v>
      </c>
      <c r="F16" s="1232">
        <v>20</v>
      </c>
      <c r="G16" s="1232" t="str">
        <v>45x115</v>
      </c>
      <c r="H16" s="1233">
        <v>96</v>
      </c>
      <c r="I16" s="1232">
        <v>4.4140799999999993</v>
      </c>
      <c r="J16" s="1234">
        <v>216</v>
      </c>
    </row>
    <row r="17" spans="1:10" ht="15" customHeight="1">
      <c r="A17" s="162">
        <f t="shared" si="0"/>
        <v>1</v>
      </c>
      <c r="C17" s="1230" t="str">
        <v>1.2</v>
      </c>
      <c r="D17" s="1231" t="str">
        <v>1.205</v>
      </c>
      <c r="E17" s="1232" t="str">
        <v>MDR</v>
      </c>
      <c r="F17" s="1232">
        <v>36</v>
      </c>
      <c r="G17" s="1232" t="str">
        <v>65x125</v>
      </c>
      <c r="H17" s="1233">
        <v>111</v>
      </c>
      <c r="I17" s="1232">
        <v>3.055901538461538</v>
      </c>
      <c r="J17" s="1234">
        <v>200.41666666666666</v>
      </c>
    </row>
    <row r="18" spans="1:10" ht="15" customHeight="1">
      <c r="A18" s="162">
        <f t="shared" si="0"/>
        <v>1</v>
      </c>
      <c r="C18" s="1230" t="str">
        <v>1.2</v>
      </c>
      <c r="D18" s="1231" t="str">
        <v>1.206</v>
      </c>
      <c r="E18" s="1232" t="str">
        <v>MDR</v>
      </c>
      <c r="F18" s="1232">
        <v>29</v>
      </c>
      <c r="G18" s="1232" t="str">
        <v>70x125</v>
      </c>
      <c r="H18" s="1233">
        <v>81</v>
      </c>
      <c r="I18" s="1232">
        <v>2.8376228571428572</v>
      </c>
      <c r="J18" s="1234">
        <v>195.51724137931035</v>
      </c>
    </row>
    <row r="19" spans="1:10" ht="15" customHeight="1">
      <c r="A19" s="162">
        <f t="shared" si="0"/>
        <v>1</v>
      </c>
      <c r="C19" s="1230" t="str">
        <v>2.1</v>
      </c>
      <c r="D19" s="1231" t="str">
        <v>2.101</v>
      </c>
      <c r="E19" s="1232" t="str">
        <v>MDR</v>
      </c>
      <c r="F19" s="1232">
        <v>18</v>
      </c>
      <c r="G19" s="1232" t="str">
        <v>40x115</v>
      </c>
      <c r="H19" s="1233">
        <v>97</v>
      </c>
      <c r="I19" s="1232">
        <v>4.9658399999999991</v>
      </c>
      <c r="J19" s="1234">
        <v>215.55555555555554</v>
      </c>
    </row>
    <row r="20" spans="1:10" ht="15" customHeight="1">
      <c r="A20" s="162">
        <f t="shared" si="0"/>
        <v>1</v>
      </c>
      <c r="C20" s="1230" t="str">
        <v>2.1</v>
      </c>
      <c r="D20" s="1231" t="str">
        <v>2.102</v>
      </c>
      <c r="E20" s="1232" t="str">
        <v>MDR</v>
      </c>
      <c r="F20" s="1232">
        <v>17</v>
      </c>
      <c r="G20" s="1232" t="str">
        <v>45x115</v>
      </c>
      <c r="H20" s="1233">
        <v>81</v>
      </c>
      <c r="I20" s="1232">
        <v>4.4140799999999993</v>
      </c>
      <c r="J20" s="1234">
        <v>214.41176470588235</v>
      </c>
    </row>
    <row r="21" spans="1:10" ht="15" customHeight="1">
      <c r="A21" s="162">
        <f t="shared" si="0"/>
        <v>1</v>
      </c>
      <c r="C21" s="1230" t="str">
        <v>2.1</v>
      </c>
      <c r="D21" s="1231" t="str">
        <v>2.103</v>
      </c>
      <c r="E21" s="1232" t="str">
        <v>MDR</v>
      </c>
      <c r="F21" s="1232">
        <v>16</v>
      </c>
      <c r="G21" s="1232" t="str">
        <v>50x120</v>
      </c>
      <c r="H21" s="1233">
        <v>65</v>
      </c>
      <c r="I21" s="1232">
        <v>3.9726719999999998</v>
      </c>
      <c r="J21" s="1234">
        <v>203.125</v>
      </c>
    </row>
    <row r="22" spans="1:10" ht="15" customHeight="1">
      <c r="A22" s="162">
        <f t="shared" si="0"/>
        <v>1</v>
      </c>
      <c r="C22" s="1230" t="str">
        <v>2.1</v>
      </c>
      <c r="D22" s="1231" t="str">
        <v>2.104</v>
      </c>
      <c r="E22" s="1232" t="str">
        <v>MDR</v>
      </c>
      <c r="F22" s="1232">
        <v>21</v>
      </c>
      <c r="G22" s="1232" t="str">
        <v>40x115</v>
      </c>
      <c r="H22" s="1233">
        <v>113</v>
      </c>
      <c r="I22" s="1232">
        <v>4.9658399999999991</v>
      </c>
      <c r="J22" s="1234">
        <v>215.23809523809524</v>
      </c>
    </row>
    <row r="23" spans="1:10" ht="15" customHeight="1">
      <c r="A23" s="162">
        <f t="shared" si="0"/>
        <v>1</v>
      </c>
      <c r="C23" s="1230" t="str">
        <v>2.1</v>
      </c>
      <c r="D23" s="1231" t="str">
        <v>2.105</v>
      </c>
      <c r="E23" s="1232" t="str">
        <v>MDR</v>
      </c>
      <c r="F23" s="1232">
        <v>21</v>
      </c>
      <c r="G23" s="1232" t="str">
        <v>45x115</v>
      </c>
      <c r="H23" s="1233">
        <v>100</v>
      </c>
      <c r="I23" s="1232">
        <v>4.4140799999999993</v>
      </c>
      <c r="J23" s="1234">
        <v>214.28571428571428</v>
      </c>
    </row>
    <row r="24" spans="1:10" ht="15" customHeight="1">
      <c r="A24" s="162">
        <f t="shared" si="0"/>
        <v>1</v>
      </c>
      <c r="C24" s="1230" t="str">
        <v>2.1</v>
      </c>
      <c r="D24" s="1231" t="str">
        <v>2.106</v>
      </c>
      <c r="E24" s="1232" t="str">
        <v>MDR</v>
      </c>
      <c r="F24" s="1232">
        <v>21</v>
      </c>
      <c r="G24" s="1232" t="str">
        <v>50x120</v>
      </c>
      <c r="H24" s="1233">
        <v>86</v>
      </c>
      <c r="I24" s="1232">
        <v>3.9726719999999998</v>
      </c>
      <c r="J24" s="1234">
        <v>204.76190476190476</v>
      </c>
    </row>
    <row r="25" spans="1:10" ht="15" customHeight="1">
      <c r="A25" s="162">
        <f t="shared" si="0"/>
        <v>1</v>
      </c>
      <c r="C25" s="1230" t="str">
        <v>2.1</v>
      </c>
      <c r="D25" s="1231" t="str">
        <v>2.107</v>
      </c>
      <c r="E25" s="1232" t="str">
        <v>MHDR</v>
      </c>
      <c r="F25" s="1232">
        <v>16</v>
      </c>
      <c r="G25" s="1232" t="str">
        <v>7/8 Pack</v>
      </c>
      <c r="H25" s="1233">
        <v>168</v>
      </c>
      <c r="I25" s="1232" t="str">
        <v/>
      </c>
      <c r="J25" s="1234" t="str">
        <v/>
      </c>
    </row>
    <row r="26" spans="1:10" ht="15" customHeight="1">
      <c r="A26" s="162">
        <f t="shared" si="0"/>
        <v>1</v>
      </c>
      <c r="C26" s="1230" t="str">
        <v>2.1</v>
      </c>
      <c r="D26" s="1231" t="str">
        <v>2.108</v>
      </c>
      <c r="E26" s="1232" t="str">
        <v>MHDR</v>
      </c>
      <c r="F26" s="1232">
        <v>13</v>
      </c>
      <c r="G26" s="1232" t="str">
        <v>6/6Pack</v>
      </c>
      <c r="H26" s="1233">
        <v>110</v>
      </c>
      <c r="I26" s="1232" t="str">
        <v/>
      </c>
      <c r="J26" s="1234" t="str">
        <v/>
      </c>
    </row>
    <row r="27" spans="1:10" ht="15" customHeight="1">
      <c r="A27" s="162">
        <f t="shared" si="0"/>
        <v>1</v>
      </c>
      <c r="C27" s="1230" t="str">
        <v>2.1</v>
      </c>
      <c r="D27" s="1231" t="str">
        <v>2.109</v>
      </c>
      <c r="E27" s="1232" t="str">
        <v>MDR</v>
      </c>
      <c r="F27" s="1232">
        <v>19</v>
      </c>
      <c r="G27" s="1232" t="str">
        <v>40x100</v>
      </c>
      <c r="H27" s="1233">
        <v>117</v>
      </c>
      <c r="I27" s="1232">
        <v>4.9658399999999991</v>
      </c>
      <c r="J27" s="1234">
        <v>246.31578947368422</v>
      </c>
    </row>
    <row r="28" spans="1:10" ht="15" customHeight="1">
      <c r="A28" s="162">
        <f t="shared" si="0"/>
        <v>1</v>
      </c>
      <c r="C28" s="1230" t="str">
        <v>2.1</v>
      </c>
      <c r="D28" s="1231" t="str">
        <v>2.110</v>
      </c>
      <c r="E28" s="1232" t="str">
        <v>MHDR</v>
      </c>
      <c r="F28" s="1232">
        <v>23</v>
      </c>
      <c r="G28" s="1232" t="str">
        <v>BFR SFD</v>
      </c>
      <c r="H28" s="1233">
        <v>253</v>
      </c>
      <c r="I28" s="1232" t="str">
        <v/>
      </c>
      <c r="J28" s="1234" t="str">
        <v/>
      </c>
    </row>
    <row r="29" spans="1:10" ht="15" customHeight="1">
      <c r="A29" s="162">
        <f t="shared" si="0"/>
        <v>1</v>
      </c>
      <c r="C29" s="1230" t="str">
        <v>2.1</v>
      </c>
      <c r="D29" s="1231" t="str">
        <v>2.111</v>
      </c>
      <c r="E29" s="1232" t="str">
        <v>HDR</v>
      </c>
      <c r="F29" s="1232">
        <v>19</v>
      </c>
      <c r="G29" s="1232" t="str">
        <v>APTS</v>
      </c>
      <c r="H29" s="1233">
        <v>380</v>
      </c>
      <c r="I29" s="1232" t="str">
        <v/>
      </c>
      <c r="J29" s="1234" t="str">
        <v/>
      </c>
    </row>
    <row r="30" spans="1:10" ht="15" customHeight="1">
      <c r="A30" s="162">
        <f t="shared" si="0"/>
        <v>1</v>
      </c>
      <c r="C30" s="1230" t="str">
        <v>2.1</v>
      </c>
      <c r="D30" s="1231" t="str">
        <v>2.112</v>
      </c>
      <c r="E30" s="1232" t="str">
        <v>OS</v>
      </c>
      <c r="F30" s="1232">
        <v>56</v>
      </c>
      <c r="G30" s="1232" t="str">
        <v>OS</v>
      </c>
      <c r="H30" s="1233">
        <v>0</v>
      </c>
      <c r="I30" s="1232" t="str">
        <v/>
      </c>
      <c r="J30" s="1234" t="str">
        <v/>
      </c>
    </row>
    <row r="31" spans="1:10" ht="15" customHeight="1">
      <c r="A31" s="162">
        <f t="shared" si="0"/>
        <v>1</v>
      </c>
      <c r="C31" s="1230" t="str">
        <v>2.2</v>
      </c>
      <c r="D31" s="1231" t="str">
        <v>2.201</v>
      </c>
      <c r="E31" s="1232" t="str">
        <v>MDR</v>
      </c>
      <c r="F31" s="1232">
        <v>28</v>
      </c>
      <c r="G31" s="1232" t="str">
        <v>50x125</v>
      </c>
      <c r="H31" s="1233">
        <v>112</v>
      </c>
      <c r="I31" s="1232">
        <v>3.9726719999999998</v>
      </c>
      <c r="J31" s="1234">
        <v>200</v>
      </c>
    </row>
    <row r="32" spans="1:10" ht="15" customHeight="1">
      <c r="A32" s="162">
        <f t="shared" si="0"/>
        <v>1</v>
      </c>
      <c r="C32" s="1230" t="str">
        <v>2.2</v>
      </c>
      <c r="D32" s="1231" t="str">
        <v>2.202</v>
      </c>
      <c r="E32" s="1232" t="str">
        <v>MDR</v>
      </c>
      <c r="F32" s="1232">
        <v>21</v>
      </c>
      <c r="G32" s="1232" t="str">
        <v>55x125</v>
      </c>
      <c r="H32" s="1233">
        <v>75</v>
      </c>
      <c r="I32" s="1232">
        <v>3.6115200000000001</v>
      </c>
      <c r="J32" s="1234">
        <v>196.42857142857142</v>
      </c>
    </row>
    <row r="33" spans="1:10" ht="15" customHeight="1">
      <c r="A33" s="162">
        <f t="shared" si="0"/>
        <v>1</v>
      </c>
      <c r="C33" s="1230" t="str">
        <v>2.2</v>
      </c>
      <c r="D33" s="1231" t="str">
        <v>2.203</v>
      </c>
      <c r="E33" s="1232" t="str">
        <v>OS</v>
      </c>
      <c r="F33" s="1232">
        <v>33</v>
      </c>
      <c r="G33" s="1232" t="str">
        <v>OS</v>
      </c>
      <c r="H33" s="1233">
        <v>0</v>
      </c>
      <c r="I33" s="1232" t="str">
        <v/>
      </c>
      <c r="J33" s="1234" t="str">
        <v/>
      </c>
    </row>
    <row r="34" spans="1:10" ht="15" customHeight="1">
      <c r="A34" s="162">
        <f t="shared" si="0"/>
        <v>1</v>
      </c>
      <c r="C34" s="1230" t="str">
        <v>2.2</v>
      </c>
      <c r="D34" s="1231" t="str">
        <v>2.204</v>
      </c>
      <c r="E34" s="1232" t="str">
        <v>OS</v>
      </c>
      <c r="F34" s="1232">
        <v>41</v>
      </c>
      <c r="G34" s="1232" t="str">
        <v>BLM</v>
      </c>
      <c r="H34" s="1233">
        <v>0</v>
      </c>
      <c r="I34" s="1232" t="str">
        <v/>
      </c>
      <c r="J34" s="1234" t="str">
        <v/>
      </c>
    </row>
    <row r="35" spans="1:10" ht="15" customHeight="1">
      <c r="A35" s="162">
        <f t="shared" si="0"/>
        <v>1</v>
      </c>
      <c r="C35" s="1230" t="str">
        <v>3.1</v>
      </c>
      <c r="D35" s="1231" t="str">
        <v>3.101</v>
      </c>
      <c r="E35" s="1232" t="str">
        <v>C</v>
      </c>
      <c r="F35" s="1232">
        <v>64</v>
      </c>
      <c r="G35" s="1232" t="str">
        <v>C</v>
      </c>
      <c r="H35" s="1233">
        <v>0</v>
      </c>
      <c r="I35" s="1232" t="str">
        <v/>
      </c>
      <c r="J35" s="1234" t="str">
        <v/>
      </c>
    </row>
    <row r="36" spans="1:10" ht="15" customHeight="1">
      <c r="A36" s="162">
        <f t="shared" si="0"/>
        <v>1</v>
      </c>
      <c r="C36" s="1230" t="str">
        <v>3.1</v>
      </c>
      <c r="D36" s="1231" t="str">
        <v>3.102</v>
      </c>
      <c r="E36" s="1232" t="str">
        <v>C</v>
      </c>
      <c r="F36" s="1232">
        <v>34</v>
      </c>
      <c r="G36" s="1232" t="str">
        <v>C</v>
      </c>
      <c r="H36" s="1233">
        <v>0</v>
      </c>
      <c r="I36" s="1232" t="str">
        <v/>
      </c>
      <c r="J36" s="1234" t="str">
        <v/>
      </c>
    </row>
    <row r="37" spans="1:10" ht="15" customHeight="1">
      <c r="A37" s="162">
        <f t="shared" si="0"/>
        <v>1</v>
      </c>
      <c r="C37" s="1230" t="str">
        <v>3.1</v>
      </c>
      <c r="D37" s="1231" t="str">
        <v>3.103</v>
      </c>
      <c r="E37" s="1232" t="str">
        <v>C</v>
      </c>
      <c r="F37" s="1232">
        <v>39</v>
      </c>
      <c r="G37" s="1232" t="str">
        <v>C</v>
      </c>
      <c r="H37" s="1233">
        <v>0</v>
      </c>
      <c r="I37" s="1232" t="str">
        <v/>
      </c>
      <c r="J37" s="1234" t="str">
        <v/>
      </c>
    </row>
    <row r="38" spans="1:10" ht="15" customHeight="1">
      <c r="A38" s="162">
        <f t="shared" si="0"/>
        <v>1</v>
      </c>
      <c r="C38" s="1230" t="str">
        <v>3.2</v>
      </c>
      <c r="D38" s="1231" t="str">
        <v>3.201</v>
      </c>
      <c r="E38" s="1232" t="str">
        <v>C</v>
      </c>
      <c r="F38" s="1232">
        <v>45</v>
      </c>
      <c r="G38" s="1232" t="str">
        <v>C</v>
      </c>
      <c r="H38" s="1233">
        <v>0</v>
      </c>
      <c r="I38" s="1232" t="str">
        <v/>
      </c>
      <c r="J38" s="1234" t="str">
        <v/>
      </c>
    </row>
    <row r="39" spans="1:10" ht="15" customHeight="1">
      <c r="A39" s="162">
        <f t="shared" si="0"/>
        <v>1</v>
      </c>
      <c r="C39" s="1230" t="str">
        <v>3.2</v>
      </c>
      <c r="D39" s="1231" t="str">
        <v>3.202</v>
      </c>
      <c r="E39" s="1232" t="str">
        <v>C</v>
      </c>
      <c r="F39" s="1232">
        <v>60</v>
      </c>
      <c r="G39" s="1232" t="str">
        <v>C</v>
      </c>
      <c r="H39" s="1233">
        <v>0</v>
      </c>
      <c r="I39" s="1232" t="str">
        <v/>
      </c>
      <c r="J39" s="1234" t="str">
        <v/>
      </c>
    </row>
    <row r="40" spans="1:10" ht="15" customHeight="1">
      <c r="A40" s="162">
        <f t="shared" si="0"/>
        <v>1</v>
      </c>
      <c r="C40" s="1230" t="str">
        <v>4.1</v>
      </c>
      <c r="D40" s="1231" t="str">
        <v>4.101</v>
      </c>
      <c r="E40" s="1232" t="str">
        <v>OS</v>
      </c>
      <c r="F40" s="1232">
        <v>9</v>
      </c>
      <c r="G40" s="1232" t="str">
        <v>OS</v>
      </c>
      <c r="H40" s="1233">
        <v>0</v>
      </c>
      <c r="I40" s="1232" t="str">
        <v/>
      </c>
      <c r="J40" s="1234" t="str">
        <v/>
      </c>
    </row>
    <row r="41" spans="1:10" ht="15" customHeight="1">
      <c r="A41" s="162">
        <f t="shared" ref="A41:A74" si="1">IF(C41&lt;&gt;0,1,0)</f>
        <v>1</v>
      </c>
      <c r="C41" s="1230" t="str">
        <v>4.1</v>
      </c>
      <c r="D41" s="1231" t="str">
        <v>4.102</v>
      </c>
      <c r="E41" s="1232" t="str">
        <v>MDR</v>
      </c>
      <c r="F41" s="1232">
        <v>23</v>
      </c>
      <c r="G41" s="1232" t="str">
        <v>55x120</v>
      </c>
      <c r="H41" s="1233">
        <v>87</v>
      </c>
      <c r="I41" s="1232">
        <v>3.6115200000000001</v>
      </c>
      <c r="J41" s="1234">
        <v>208.04347826086956</v>
      </c>
    </row>
    <row r="42" spans="1:10" ht="15" customHeight="1">
      <c r="A42" s="162">
        <f t="shared" si="1"/>
        <v>1</v>
      </c>
      <c r="C42" s="1230" t="str">
        <v>4.1</v>
      </c>
      <c r="D42" s="1231" t="str">
        <v>4.103</v>
      </c>
      <c r="E42" s="1232" t="str">
        <v>OS</v>
      </c>
      <c r="F42" s="1232">
        <v>10</v>
      </c>
      <c r="G42" s="1232" t="str">
        <v>OS</v>
      </c>
      <c r="H42" s="1233">
        <v>0</v>
      </c>
      <c r="I42" s="1232" t="str">
        <v/>
      </c>
      <c r="J42" s="1234" t="str">
        <v/>
      </c>
    </row>
    <row r="43" spans="1:10" ht="15" customHeight="1">
      <c r="A43" s="162">
        <f t="shared" si="1"/>
        <v>1</v>
      </c>
      <c r="C43" s="1230" t="str">
        <v>4.1</v>
      </c>
      <c r="D43" s="1231" t="str">
        <v>4.104</v>
      </c>
      <c r="E43" s="1232" t="str">
        <v>MDR</v>
      </c>
      <c r="F43" s="1232">
        <v>19</v>
      </c>
      <c r="G43" s="1232" t="str">
        <v>45x115</v>
      </c>
      <c r="H43" s="1233">
        <v>91</v>
      </c>
      <c r="I43" s="1232">
        <v>4.4140799999999993</v>
      </c>
      <c r="J43" s="1234">
        <v>215.52631578947367</v>
      </c>
    </row>
    <row r="44" spans="1:10" ht="15" customHeight="1">
      <c r="A44" s="162">
        <f t="shared" si="1"/>
        <v>1</v>
      </c>
      <c r="C44" s="1230" t="str">
        <v>4.1</v>
      </c>
      <c r="D44" s="1231" t="str">
        <v>4.105</v>
      </c>
      <c r="E44" s="1232" t="str">
        <v>MDR</v>
      </c>
      <c r="F44" s="1232">
        <v>22</v>
      </c>
      <c r="G44" s="1232" t="str">
        <v>55x120</v>
      </c>
      <c r="H44" s="1233">
        <v>83</v>
      </c>
      <c r="I44" s="1232">
        <v>3.6115200000000001</v>
      </c>
      <c r="J44" s="1234">
        <v>207.5</v>
      </c>
    </row>
    <row r="45" spans="1:10" ht="15" customHeight="1">
      <c r="A45" s="162">
        <f t="shared" si="1"/>
        <v>1</v>
      </c>
      <c r="C45" s="1230" t="str">
        <v>4.2</v>
      </c>
      <c r="D45" s="1231" t="str">
        <v>4.201</v>
      </c>
      <c r="E45" s="1232" t="str">
        <v>MDR</v>
      </c>
      <c r="F45" s="1232">
        <v>17</v>
      </c>
      <c r="G45" s="1232" t="str">
        <v>70x130</v>
      </c>
      <c r="H45" s="1233">
        <v>45</v>
      </c>
      <c r="I45" s="1232">
        <v>2.8376228571428572</v>
      </c>
      <c r="J45" s="1234">
        <v>185.29411764705881</v>
      </c>
    </row>
    <row r="46" spans="1:10" ht="15" customHeight="1">
      <c r="A46" s="162">
        <f t="shared" si="1"/>
        <v>1</v>
      </c>
      <c r="C46" s="1230" t="str">
        <v>4.2</v>
      </c>
      <c r="D46" s="1231" t="str">
        <v>4.202</v>
      </c>
      <c r="E46" s="1232" t="str">
        <v>MLDR</v>
      </c>
      <c r="F46" s="1232">
        <v>26</v>
      </c>
      <c r="G46" s="1232" t="str">
        <v>80x130</v>
      </c>
      <c r="H46" s="1233">
        <v>62</v>
      </c>
      <c r="I46" s="1232">
        <v>2.4829199999999996</v>
      </c>
      <c r="J46" s="1234">
        <v>190.76923076923077</v>
      </c>
    </row>
    <row r="47" spans="1:10" ht="15" customHeight="1">
      <c r="A47" s="162">
        <f t="shared" si="1"/>
        <v>1</v>
      </c>
      <c r="C47" s="1230" t="str">
        <v>4.2</v>
      </c>
      <c r="D47" s="1231" t="str">
        <v>4.203</v>
      </c>
      <c r="E47" s="1232" t="str">
        <v>MLDR</v>
      </c>
      <c r="F47" s="1232">
        <v>20</v>
      </c>
      <c r="G47" s="1232" t="str">
        <v>70x130</v>
      </c>
      <c r="H47" s="1233">
        <v>54</v>
      </c>
      <c r="I47" s="1232">
        <v>2.8376228571428572</v>
      </c>
      <c r="J47" s="1234">
        <v>189</v>
      </c>
    </row>
    <row r="48" spans="1:10" ht="15" customHeight="1">
      <c r="A48" s="162">
        <f t="shared" si="1"/>
        <v>1</v>
      </c>
      <c r="C48" s="1230" t="str">
        <v>4.2</v>
      </c>
      <c r="D48" s="1231" t="str">
        <v>4.204</v>
      </c>
      <c r="E48" s="1232" t="str">
        <v>MLDR</v>
      </c>
      <c r="F48" s="1232">
        <v>23</v>
      </c>
      <c r="G48" s="1232" t="str">
        <v>70x130</v>
      </c>
      <c r="H48" s="1233">
        <v>62</v>
      </c>
      <c r="I48" s="1232">
        <v>2.8376228571428572</v>
      </c>
      <c r="J48" s="1234">
        <v>188.69565217391303</v>
      </c>
    </row>
    <row r="49" spans="1:10" ht="15" customHeight="1">
      <c r="A49" s="162">
        <f t="shared" si="1"/>
        <v>1</v>
      </c>
      <c r="C49" s="1230" t="str">
        <v>4.2</v>
      </c>
      <c r="D49" s="1231" t="str">
        <v>4.205</v>
      </c>
      <c r="E49" s="1232" t="str">
        <v>MLDR</v>
      </c>
      <c r="F49" s="1232">
        <v>27</v>
      </c>
      <c r="G49" s="1232" t="str">
        <v>80x130</v>
      </c>
      <c r="H49" s="1233">
        <v>64</v>
      </c>
      <c r="I49" s="1232">
        <v>2.4829199999999996</v>
      </c>
      <c r="J49" s="1234">
        <v>189.62962962962962</v>
      </c>
    </row>
    <row r="50" spans="1:10" ht="15" customHeight="1">
      <c r="A50" s="162">
        <f t="shared" si="1"/>
        <v>1</v>
      </c>
      <c r="C50" s="1230" t="str">
        <v>4.2</v>
      </c>
      <c r="D50" s="1231" t="str">
        <v>4.206</v>
      </c>
      <c r="E50" s="1232" t="str">
        <v>C</v>
      </c>
      <c r="F50" s="1232">
        <v>18</v>
      </c>
      <c r="G50" s="1232" t="str">
        <v>C</v>
      </c>
      <c r="H50" s="1233">
        <v>0</v>
      </c>
      <c r="I50" s="1232" t="str">
        <v/>
      </c>
      <c r="J50" s="1234" t="str">
        <v/>
      </c>
    </row>
    <row r="51" spans="1:10" ht="14" customHeight="1">
      <c r="A51" s="162">
        <f t="shared" si="1"/>
        <v>0</v>
      </c>
      <c r="C51" s="1230"/>
      <c r="D51" s="1231"/>
      <c r="E51" s="1232"/>
      <c r="F51" s="1232"/>
      <c r="G51" s="1232"/>
      <c r="H51" s="1233"/>
      <c r="I51" s="1232"/>
      <c r="J51" s="1234"/>
    </row>
    <row r="52" spans="1:10" ht="14" customHeight="1">
      <c r="A52" s="162">
        <f t="shared" si="1"/>
        <v>0</v>
      </c>
      <c r="C52" s="1230"/>
      <c r="D52" s="1231"/>
      <c r="E52" s="1232"/>
      <c r="F52" s="1232"/>
      <c r="G52" s="1232"/>
      <c r="H52" s="1233"/>
      <c r="I52" s="1232"/>
      <c r="J52" s="1234"/>
    </row>
    <row r="53" spans="1:10" ht="14" customHeight="1">
      <c r="A53" s="162">
        <f t="shared" si="1"/>
        <v>0</v>
      </c>
      <c r="C53" s="1230"/>
      <c r="D53" s="1231"/>
      <c r="E53" s="1232"/>
      <c r="F53" s="1232"/>
      <c r="G53" s="1232"/>
      <c r="H53" s="1233"/>
      <c r="I53" s="1232"/>
      <c r="J53" s="1234"/>
    </row>
    <row r="54" spans="1:10" ht="14" customHeight="1">
      <c r="A54" s="162">
        <f t="shared" si="1"/>
        <v>0</v>
      </c>
      <c r="C54" s="1230"/>
      <c r="D54" s="1231"/>
      <c r="E54" s="1232"/>
      <c r="F54" s="1232"/>
      <c r="G54" s="1232"/>
      <c r="H54" s="1233"/>
      <c r="I54" s="1232"/>
      <c r="J54" s="1234"/>
    </row>
    <row r="55" spans="1:10" ht="14" customHeight="1">
      <c r="A55" s="162">
        <f t="shared" si="1"/>
        <v>0</v>
      </c>
      <c r="C55" s="1230"/>
      <c r="D55" s="1231"/>
      <c r="E55" s="1232"/>
      <c r="F55" s="1232"/>
      <c r="G55" s="1232"/>
      <c r="H55" s="1233"/>
      <c r="I55" s="1232"/>
      <c r="J55" s="1234"/>
    </row>
    <row r="56" spans="1:10" ht="14" customHeight="1">
      <c r="A56" s="162">
        <f t="shared" si="1"/>
        <v>0</v>
      </c>
      <c r="C56" s="1230"/>
      <c r="D56" s="1231"/>
      <c r="E56" s="1232"/>
      <c r="F56" s="1232"/>
      <c r="G56" s="1232"/>
      <c r="H56" s="1233"/>
      <c r="I56" s="1232"/>
      <c r="J56" s="1234"/>
    </row>
    <row r="57" spans="1:10" ht="14" customHeight="1">
      <c r="A57" s="162">
        <f t="shared" si="1"/>
        <v>0</v>
      </c>
      <c r="C57" s="1230"/>
      <c r="D57" s="1231"/>
      <c r="E57" s="1232"/>
      <c r="F57" s="1232"/>
      <c r="G57" s="1232"/>
      <c r="H57" s="1233"/>
      <c r="I57" s="1232"/>
      <c r="J57" s="1234"/>
    </row>
    <row r="58" spans="1:10" ht="14" customHeight="1">
      <c r="A58" s="162">
        <f t="shared" si="1"/>
        <v>0</v>
      </c>
      <c r="C58" s="1230"/>
      <c r="D58" s="1231"/>
      <c r="E58" s="1232"/>
      <c r="F58" s="1232"/>
      <c r="G58" s="1232"/>
      <c r="H58" s="1233"/>
      <c r="I58" s="1232"/>
      <c r="J58" s="1234"/>
    </row>
    <row r="59" spans="1:10" ht="14" customHeight="1">
      <c r="A59" s="162">
        <f t="shared" si="1"/>
        <v>0</v>
      </c>
      <c r="C59" s="1230"/>
      <c r="D59" s="1231"/>
      <c r="E59" s="1232"/>
      <c r="F59" s="1232"/>
      <c r="G59" s="1232"/>
      <c r="H59" s="1233"/>
      <c r="I59" s="1232"/>
      <c r="J59" s="1234"/>
    </row>
    <row r="60" spans="1:10" ht="14" customHeight="1">
      <c r="A60" s="162">
        <f t="shared" si="1"/>
        <v>0</v>
      </c>
      <c r="C60" s="1230"/>
      <c r="D60" s="1231"/>
      <c r="E60" s="1232"/>
      <c r="F60" s="1232"/>
      <c r="G60" s="1232"/>
      <c r="H60" s="1233"/>
      <c r="I60" s="1232"/>
      <c r="J60" s="1234"/>
    </row>
    <row r="61" spans="1:10" ht="14" customHeight="1">
      <c r="A61" s="162">
        <f t="shared" si="1"/>
        <v>0</v>
      </c>
      <c r="C61" s="1230"/>
      <c r="D61" s="1231"/>
      <c r="E61" s="1232"/>
      <c r="F61" s="1232"/>
      <c r="G61" s="1232"/>
      <c r="H61" s="1233"/>
      <c r="I61" s="1232"/>
      <c r="J61" s="1234"/>
    </row>
    <row r="62" spans="1:10" ht="14.25" customHeight="1">
      <c r="A62" s="162">
        <f t="shared" si="1"/>
        <v>0</v>
      </c>
      <c r="C62" s="1230"/>
      <c r="D62" s="1231"/>
      <c r="E62" s="1232"/>
      <c r="F62" s="1232"/>
      <c r="G62" s="1232"/>
      <c r="H62" s="1233"/>
      <c r="I62" s="1232"/>
      <c r="J62" s="1234"/>
    </row>
    <row r="63" spans="1:10" ht="15">
      <c r="A63" s="162">
        <f t="shared" si="1"/>
        <v>0</v>
      </c>
      <c r="C63" s="1230"/>
      <c r="D63" s="1231"/>
      <c r="E63" s="1232"/>
      <c r="F63" s="1232"/>
      <c r="G63" s="1232"/>
      <c r="H63" s="1233"/>
      <c r="I63" s="1232"/>
      <c r="J63" s="1234"/>
    </row>
    <row r="64" spans="1:10" ht="15">
      <c r="A64" s="162">
        <f t="shared" si="1"/>
        <v>0</v>
      </c>
      <c r="C64" s="1230"/>
      <c r="D64" s="1231"/>
      <c r="E64" s="1232"/>
      <c r="F64" s="1232"/>
      <c r="G64" s="1232"/>
      <c r="H64" s="1233"/>
      <c r="I64" s="1232"/>
      <c r="J64" s="1234"/>
    </row>
    <row r="65" spans="1:10" ht="15">
      <c r="A65" s="162">
        <f t="shared" si="1"/>
        <v>0</v>
      </c>
      <c r="C65" s="1230"/>
      <c r="D65" s="1231"/>
      <c r="E65" s="1232"/>
      <c r="F65" s="1232"/>
      <c r="G65" s="1232"/>
      <c r="H65" s="1233"/>
      <c r="I65" s="1232"/>
      <c r="J65" s="1234"/>
    </row>
    <row r="66" spans="1:10" ht="15">
      <c r="A66" s="162">
        <f t="shared" si="1"/>
        <v>0</v>
      </c>
      <c r="C66" s="1230"/>
      <c r="D66" s="1231"/>
      <c r="E66" s="1232"/>
      <c r="F66" s="1232"/>
      <c r="G66" s="1232"/>
      <c r="H66" s="1233"/>
      <c r="I66" s="1232"/>
      <c r="J66" s="1234"/>
    </row>
    <row r="67" spans="1:10" ht="15">
      <c r="A67" s="162">
        <f t="shared" si="1"/>
        <v>0</v>
      </c>
      <c r="C67" s="1230"/>
      <c r="D67" s="1231"/>
      <c r="E67" s="1232"/>
      <c r="F67" s="1232"/>
      <c r="G67" s="1232"/>
      <c r="H67" s="1233"/>
      <c r="I67" s="1232"/>
      <c r="J67" s="1234"/>
    </row>
    <row r="68" spans="1:10" ht="15">
      <c r="A68" s="162">
        <f t="shared" si="1"/>
        <v>0</v>
      </c>
      <c r="C68" s="1230"/>
      <c r="D68" s="1231"/>
      <c r="E68" s="1232"/>
      <c r="F68" s="1232"/>
      <c r="G68" s="1232"/>
      <c r="H68" s="1233"/>
      <c r="I68" s="1232"/>
      <c r="J68" s="1234"/>
    </row>
    <row r="69" spans="1:10" ht="15">
      <c r="A69" s="162">
        <f t="shared" si="1"/>
        <v>0</v>
      </c>
      <c r="C69" s="1230"/>
      <c r="D69" s="1231"/>
      <c r="E69" s="1232"/>
      <c r="F69" s="1232"/>
      <c r="G69" s="1232"/>
      <c r="H69" s="1233"/>
      <c r="I69" s="1232"/>
      <c r="J69" s="1234"/>
    </row>
    <row r="70" spans="1:10" ht="15">
      <c r="A70" s="162">
        <f t="shared" si="1"/>
        <v>0</v>
      </c>
      <c r="C70" s="1230"/>
      <c r="D70" s="1231"/>
      <c r="E70" s="1232"/>
      <c r="F70" s="1232"/>
      <c r="G70" s="1232"/>
      <c r="H70" s="1233"/>
      <c r="I70" s="1232"/>
      <c r="J70" s="1234"/>
    </row>
    <row r="71" spans="1:10" ht="15">
      <c r="A71" s="162">
        <f t="shared" si="1"/>
        <v>0</v>
      </c>
      <c r="C71" s="1230"/>
      <c r="D71" s="1231"/>
      <c r="E71" s="1232"/>
      <c r="F71" s="1232"/>
      <c r="G71" s="1232"/>
      <c r="H71" s="1233"/>
      <c r="I71" s="1232"/>
      <c r="J71" s="1234"/>
    </row>
    <row r="72" spans="1:10" ht="15">
      <c r="A72" s="162">
        <f t="shared" si="1"/>
        <v>0</v>
      </c>
      <c r="C72" s="1230"/>
      <c r="D72" s="1231"/>
      <c r="E72" s="1232"/>
      <c r="F72" s="1232"/>
      <c r="G72" s="1232"/>
      <c r="H72" s="1233"/>
      <c r="I72" s="1232"/>
      <c r="J72" s="1234"/>
    </row>
    <row r="73" spans="1:10" ht="15">
      <c r="A73" s="162">
        <f t="shared" si="1"/>
        <v>0</v>
      </c>
      <c r="C73" s="1230"/>
      <c r="D73" s="1231"/>
      <c r="E73" s="1232"/>
      <c r="F73" s="1232"/>
      <c r="G73" s="1232"/>
      <c r="H73" s="1233"/>
      <c r="I73" s="1232"/>
      <c r="J73" s="1234"/>
    </row>
    <row r="74" spans="1:10" ht="15">
      <c r="A74" s="162">
        <f t="shared" si="1"/>
        <v>0</v>
      </c>
      <c r="C74" s="1230"/>
      <c r="D74" s="1231"/>
      <c r="E74" s="1232"/>
      <c r="F74" s="1232"/>
      <c r="G74" s="1232"/>
      <c r="H74" s="1233"/>
      <c r="I74" s="1232"/>
      <c r="J74" s="1234"/>
    </row>
    <row r="75" spans="1:10" ht="15">
      <c r="A75" s="162">
        <v>1</v>
      </c>
      <c r="C75" s="1243">
        <f>COUNTA(_xlfn.ANCHORARRAY(C9))</f>
        <v>42</v>
      </c>
      <c r="D75" s="1244"/>
      <c r="E75" s="1245"/>
      <c r="F75" s="1245"/>
      <c r="G75" s="1245">
        <f>SUM(G9:G50)</f>
        <v>0</v>
      </c>
      <c r="H75" s="1246"/>
      <c r="I75" s="1245">
        <f>SUM(I9:I50)</f>
        <v>92.051206681318675</v>
      </c>
      <c r="J75" s="1247"/>
    </row>
  </sheetData>
  <autoFilter ref="A9:A75" xr:uid="{16693D92-970D-4976-A963-383E7CE96FDC}">
    <filterColumn colId="0">
      <filters>
        <filter val="1"/>
      </filters>
    </filterColumn>
  </autoFilter>
  <mergeCells count="1">
    <mergeCell ref="I7:J7"/>
  </mergeCells>
  <printOptions horizontalCentered="1"/>
  <pageMargins left="0.5" right="0.5" top="0.75" bottom="0.75" header="0.3" footer="0.3"/>
  <pageSetup scale="65" orientation="portrait" r:id="rId1"/>
  <headerFooter>
    <oddHeader>&amp;L&amp;K000000Crescent Bay Holdings&amp;CPeoria Lakes&amp;R&amp;K000000&amp;D &amp;T</oddHeader>
    <oddFooter>&amp;L&amp;B Confidential&amp;B&amp;C&amp;D&amp;RPage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55AE0-3F9C-457E-BAE9-E78BAA93D7AE}">
  <sheetPr codeName="Sheet22">
    <tabColor rgb="FF0070C0"/>
    <pageSetUpPr fitToPage="1"/>
  </sheetPr>
  <dimension ref="A1:V63"/>
  <sheetViews>
    <sheetView showGridLines="0" topLeftCell="B4" workbookViewId="0">
      <selection activeCell="K10" sqref="K10"/>
    </sheetView>
  </sheetViews>
  <sheetFormatPr baseColWidth="10" defaultColWidth="9" defaultRowHeight="16"/>
  <cols>
    <col min="1" max="1" width="9.1640625" style="47" hidden="1" customWidth="1"/>
    <col min="2" max="2" width="1.6640625" style="47" customWidth="1"/>
    <col min="3" max="3" width="7.5" style="357" customWidth="1"/>
    <col min="4" max="6" width="10.5" style="357" customWidth="1"/>
    <col min="7" max="7" width="5.83203125" style="99" customWidth="1"/>
    <col min="8" max="9" width="8.83203125" style="99" customWidth="1"/>
    <col min="10" max="10" width="5" style="357" customWidth="1"/>
    <col min="11" max="11" width="6" style="99" customWidth="1"/>
    <col min="12" max="12" width="10.83203125" style="404" customWidth="1"/>
    <col min="13" max="13" width="10.33203125" style="112" bestFit="1" customWidth="1"/>
    <col min="14" max="14" width="12" style="112" bestFit="1" customWidth="1"/>
    <col min="15" max="15" width="11.33203125" style="112" bestFit="1" customWidth="1"/>
    <col min="16" max="16" width="10.6640625" style="1314" customWidth="1"/>
    <col min="17" max="18" width="12.1640625" style="112" customWidth="1"/>
    <col min="19" max="19" width="5.5" style="112" bestFit="1" customWidth="1"/>
    <col min="20" max="20" width="6.5" style="99" bestFit="1" customWidth="1"/>
    <col min="21" max="21" width="7.83203125" style="99" customWidth="1"/>
    <col min="22" max="22" width="6.5" style="99" customWidth="1"/>
    <col min="23" max="23" width="11.6640625" customWidth="1"/>
    <col min="24" max="26" width="8" customWidth="1"/>
    <col min="27" max="33" width="3.1640625" customWidth="1"/>
    <col min="34" max="40" width="3.5" customWidth="1"/>
    <col min="41" max="58" width="9" customWidth="1"/>
    <col min="59" max="66" width="3.5" customWidth="1"/>
    <col min="67" max="67" width="6.83203125" customWidth="1"/>
    <col min="68" max="70" width="3.5" customWidth="1"/>
    <col min="71" max="71" width="9" customWidth="1"/>
    <col min="72" max="121" width="1.6640625" customWidth="1"/>
    <col min="122" max="124" width="9" customWidth="1"/>
  </cols>
  <sheetData>
    <row r="1" spans="1:21" hidden="1">
      <c r="A1" t="s">
        <v>159</v>
      </c>
      <c r="B1" s="116"/>
      <c r="C1" s="1020"/>
      <c r="D1" s="1020"/>
      <c r="E1" s="1020"/>
      <c r="F1" s="1020"/>
      <c r="G1" s="384"/>
      <c r="H1" s="384"/>
      <c r="I1" s="384"/>
      <c r="J1" s="1020"/>
      <c r="K1" s="384"/>
      <c r="L1" s="385">
        <f>IF(SUM(L68:$V118)&gt;0,0,1)</f>
        <v>1</v>
      </c>
      <c r="M1" s="385">
        <f>IF(SUM(M68:$V118)&gt;0,0,1)</f>
        <v>1</v>
      </c>
      <c r="N1" s="385">
        <f>IF(SUM(N68:$V118)&gt;0,0,1)</f>
        <v>1</v>
      </c>
      <c r="O1" s="385">
        <f>IF(SUM(O68:$V118)&gt;0,0,1)</f>
        <v>1</v>
      </c>
      <c r="P1" s="1309">
        <f>IF(SUM(P68:$V118)&gt;0,0,1)</f>
        <v>1</v>
      </c>
      <c r="Q1" s="385"/>
      <c r="R1" s="385">
        <f>IF(SUM(R68:$V118)&gt;0,0,1)</f>
        <v>1</v>
      </c>
      <c r="S1" s="385">
        <f>IF(SUM(S68:$V118)&gt;0,0,1)</f>
        <v>1</v>
      </c>
    </row>
    <row r="2" spans="1:21" ht="20">
      <c r="A2" s="34"/>
      <c r="B2" s="31" t="str">
        <f>i_Project.Name</f>
        <v>Peoria Lakes</v>
      </c>
      <c r="C2" s="1021"/>
      <c r="D2" s="1021"/>
      <c r="E2" s="1021"/>
      <c r="F2" s="1021"/>
      <c r="G2" s="386"/>
      <c r="H2" s="386"/>
      <c r="I2" s="386"/>
      <c r="J2" s="1021"/>
      <c r="K2" s="386"/>
      <c r="L2" s="387"/>
      <c r="M2" s="389"/>
      <c r="N2" s="388"/>
      <c r="O2" s="389"/>
      <c r="P2" s="1310"/>
      <c r="Q2" s="392"/>
      <c r="R2" s="392"/>
      <c r="S2" s="392"/>
      <c r="T2" s="392"/>
      <c r="U2" s="392"/>
    </row>
    <row r="3" spans="1:21">
      <c r="A3" s="34"/>
      <c r="B3" s="32"/>
      <c r="C3" s="1021"/>
      <c r="D3" s="1021"/>
      <c r="E3" s="1021"/>
      <c r="F3" s="1021"/>
      <c r="G3" s="386"/>
      <c r="H3" s="386"/>
      <c r="I3" s="386"/>
      <c r="J3" s="1021"/>
      <c r="K3" s="386"/>
      <c r="L3" s="393"/>
      <c r="M3" s="389"/>
      <c r="N3" s="389"/>
      <c r="O3" s="394"/>
      <c r="P3" s="1311"/>
      <c r="Q3" s="397"/>
      <c r="R3" s="397"/>
      <c r="S3" s="397"/>
      <c r="T3" s="397"/>
      <c r="U3" s="397"/>
    </row>
    <row r="4" spans="1:21">
      <c r="A4" s="113"/>
      <c r="B4" s="35"/>
      <c r="C4" s="1021"/>
      <c r="D4" s="1021"/>
      <c r="E4" s="1021"/>
      <c r="F4" s="1021"/>
      <c r="G4" s="386"/>
      <c r="H4" s="386"/>
      <c r="I4" s="386"/>
      <c r="J4" s="1021"/>
      <c r="K4" s="386"/>
      <c r="L4" s="398"/>
      <c r="M4" s="399"/>
      <c r="N4" s="399"/>
      <c r="O4" s="399"/>
      <c r="P4" s="1312"/>
      <c r="Q4" s="400"/>
      <c r="R4" s="400"/>
      <c r="S4" s="400"/>
      <c r="T4" s="400"/>
      <c r="U4" s="400"/>
    </row>
    <row r="5" spans="1:21">
      <c r="A5" s="113"/>
      <c r="B5" s="50"/>
      <c r="C5" s="1021"/>
      <c r="D5" s="1021"/>
      <c r="E5" s="1021"/>
      <c r="F5" s="1021"/>
      <c r="G5" s="386"/>
      <c r="H5" s="386"/>
      <c r="I5" s="386"/>
      <c r="J5" s="1021"/>
      <c r="K5" s="386"/>
      <c r="L5" s="401"/>
      <c r="M5" s="402"/>
      <c r="N5" s="402"/>
      <c r="O5" s="402"/>
      <c r="P5" s="1313"/>
      <c r="Q5" s="402"/>
      <c r="R5" s="402"/>
      <c r="S5" s="402"/>
      <c r="T5" s="402"/>
      <c r="U5" s="402"/>
    </row>
    <row r="6" spans="1:21" ht="17" thickBot="1">
      <c r="A6" s="113"/>
      <c r="B6"/>
      <c r="C6" s="1022"/>
      <c r="D6" s="1022"/>
      <c r="E6" s="1022"/>
      <c r="F6" s="1022"/>
      <c r="G6" s="403"/>
      <c r="H6" s="403"/>
      <c r="I6" s="403"/>
      <c r="J6" s="1022"/>
      <c r="K6" s="403"/>
    </row>
    <row r="7" spans="1:21" ht="27.5" customHeight="1" thickTop="1" thickBot="1">
      <c r="A7" s="113"/>
      <c r="B7"/>
      <c r="C7" s="1484" t="s">
        <v>544</v>
      </c>
      <c r="D7" s="1485"/>
      <c r="E7" s="1486"/>
      <c r="F7" s="1486"/>
      <c r="G7" s="1486"/>
      <c r="H7" s="1486"/>
      <c r="I7" s="1486"/>
      <c r="J7" s="1486"/>
      <c r="K7" s="1486"/>
      <c r="L7" s="1486"/>
      <c r="M7" s="1486"/>
      <c r="N7" s="1486"/>
      <c r="O7" s="1486"/>
      <c r="P7" s="1486"/>
      <c r="Q7" s="1486"/>
      <c r="R7" s="1486"/>
      <c r="S7" s="1486"/>
      <c r="T7" s="1486"/>
      <c r="U7" s="1487"/>
    </row>
    <row r="8" spans="1:21" ht="21.5" customHeight="1" thickTop="1" thickBot="1">
      <c r="A8" s="113"/>
      <c r="B8"/>
      <c r="C8" s="1483" t="s">
        <v>55</v>
      </c>
      <c r="D8" s="1483" t="s">
        <v>39</v>
      </c>
      <c r="E8" s="1745" t="s">
        <v>90</v>
      </c>
      <c r="F8" s="1746"/>
      <c r="G8" s="1745" t="s">
        <v>441</v>
      </c>
      <c r="H8" s="1747"/>
      <c r="I8" s="1746"/>
      <c r="J8" s="1745" t="s">
        <v>97</v>
      </c>
      <c r="K8" s="1746"/>
      <c r="L8" s="1745" t="s">
        <v>570</v>
      </c>
      <c r="M8" s="1746"/>
      <c r="N8" s="1491" t="s">
        <v>591</v>
      </c>
      <c r="O8" s="1491" t="s">
        <v>39</v>
      </c>
      <c r="P8" s="1491" t="s">
        <v>686</v>
      </c>
      <c r="Q8" s="1491" t="s">
        <v>689</v>
      </c>
      <c r="R8" s="1491" t="s">
        <v>39</v>
      </c>
      <c r="S8" s="1748" t="s">
        <v>710</v>
      </c>
      <c r="T8" s="1749"/>
      <c r="U8" s="1750"/>
    </row>
    <row r="9" spans="1:21" s="140" customFormat="1" ht="17.25" customHeight="1" thickTop="1" thickBot="1">
      <c r="A9" s="1019"/>
      <c r="B9"/>
      <c r="C9" s="1482" t="s">
        <v>38</v>
      </c>
      <c r="D9" s="1482" t="s">
        <v>70</v>
      </c>
      <c r="E9" s="1443" t="s">
        <v>89</v>
      </c>
      <c r="F9" s="1488" t="s">
        <v>49</v>
      </c>
      <c r="G9" s="1489" t="s">
        <v>237</v>
      </c>
      <c r="H9" s="1444" t="s">
        <v>521</v>
      </c>
      <c r="I9" s="1490" t="s">
        <v>48</v>
      </c>
      <c r="J9" s="1489" t="s">
        <v>4</v>
      </c>
      <c r="K9" s="1490" t="s">
        <v>17</v>
      </c>
      <c r="L9" s="1489" t="s">
        <v>661</v>
      </c>
      <c r="M9" s="1490" t="s">
        <v>95</v>
      </c>
      <c r="N9" s="1492" t="s">
        <v>685</v>
      </c>
      <c r="O9" s="1492" t="s">
        <v>92</v>
      </c>
      <c r="P9" s="1492" t="s">
        <v>687</v>
      </c>
      <c r="Q9" s="1492" t="s">
        <v>690</v>
      </c>
      <c r="R9" s="1492" t="s">
        <v>688</v>
      </c>
      <c r="S9" s="1493" t="str">
        <f>DATABASE!AC31</f>
        <v>$/FF</v>
      </c>
      <c r="T9" s="1494" t="s">
        <v>634</v>
      </c>
      <c r="U9" s="1495" t="str">
        <f>DATABASE!AE31</f>
        <v>$/Acre</v>
      </c>
    </row>
    <row r="10" spans="1:21" ht="20" customHeight="1" thickTop="1">
      <c r="A10" s="113">
        <f t="shared" ref="A10:A41" si="0">IF($D10=0,0,1)</f>
        <v>1</v>
      </c>
      <c r="B10"/>
      <c r="C10" s="1055" t="str" cm="1">
        <f t="array" ref="C10:C46">IFERROR(LOOKUP(_xlfn.ANCHORARRAY(D10),tbl_Planning[Parcel ID],tbl_Planning.Help[Phase]),0)</f>
        <v>1.1</v>
      </c>
      <c r="D10" s="1055" t="str" cm="1">
        <f t="array" ref="D10:D46">_xlfn._xlws.FILTER(tbl_Planning[Parcel ID],tbl_Planning[Code]&lt;&gt;"OS")</f>
        <v>1.101</v>
      </c>
      <c r="E10" s="1023" t="str" cm="1">
        <f t="array" ref="E10:E46">LOOKUP(_xlfn.ANCHORARRAY(D10),tbl_Planning[Parcel ID],tbl_Planning[Code])</f>
        <v>MDR</v>
      </c>
      <c r="F10" s="1023" t="str" cm="1">
        <f t="array" ref="F10:F46">LOOKUP(_xlfn.ANCHORARRAY(D10),tbl_Planning[Parcel ID],tbl_Planning[Product])</f>
        <v>50x125</v>
      </c>
      <c r="G10" s="1018" cm="1">
        <f t="array" ref="G10:G46">IFERROR(_xlfn.XLOOKUP(_xlfn.ANCHORARRAY($D10),tbl_Planning[Parcel ID],tbl_Planning[Units]),0)</f>
        <v>128</v>
      </c>
      <c r="H10" s="1018" cm="1">
        <f t="array" aca="1" ref="H10:H46" ca="1">LOOKUP(_xlfn.ANCHORARRAY(D10),_xlfn.ANCHORARRAY(DATABASE!R32),DATABASE!$T$32:$T$84)</f>
        <v>6400</v>
      </c>
      <c r="I10" s="1018" cm="1">
        <f t="array" aca="1" ref="I10:I46" ca="1">LOOKUP(_xlfn.ANCHORARRAY($D10),_xlfn.ANCHORARRAY(DATABASE!$R32),DATABASE!$U$32:$U$84)</f>
        <v>32</v>
      </c>
      <c r="J10" s="1308" cm="1">
        <f t="array" aca="1" ref="J10:J46" ca="1">IFERROR(_xlfn.XLOOKUP(_xlfn.ANCHORARRAY(K10),list_Periods.ALL,list_Periods.Yr,),"")</f>
        <v>3</v>
      </c>
      <c r="K10" s="1018" cm="1">
        <f t="array" aca="1" ref="K10:K46" ca="1">LOOKUP(_xlfn.ANCHORARRAY($D10),_xlfn.ANCHORARRAY(DATABASE!$R32),DATABASE!$S$32:$S$84)</f>
        <v>26</v>
      </c>
      <c r="L10" s="1026" cm="1">
        <f t="array" aca="1" ref="L10:L46" ca="1">IFERROR(IF(_xlfn.ANCHORARRAY($H10)=0,"",LOOKUP(_xlfn.ANCHORARRAY($D10),_xlfn.ANCHORARRAY(DATABASE!R32),DATABASE!$W$32:$W$84))-_xlfn.ANCHORARRAY(M10),0)</f>
        <v>16390233.069539547</v>
      </c>
      <c r="M10" s="1026" cm="1">
        <f t="array" aca="1" ref="M10:M46" ca="1">IFERROR(IF(_xlfn.ANCHORARRAY($H10)&gt;0,0,IFERROR(LOOKUP(_xlfn.ANCHORARRAY($D10),_xlfn.ANCHORARRAY(DATABASE!R32),DATABASE!$W$32:$W$84),0)),0)</f>
        <v>0</v>
      </c>
      <c r="N10" s="1024" cm="1">
        <f t="array" aca="1" ref="N10:N46" ca="1">IF(_xlfn.ANCHORARRAY($H10)=0,"",LOOKUP(_xlfn.ANCHORARRAY($D10),_xlfn.ANCHORARRAY(DATABASE!R32),DATABASE!$X$32:$X$84))</f>
        <v>-8878042.912667254</v>
      </c>
      <c r="O10" s="1024" cm="1">
        <f t="array" aca="1" ref="O10:O46" ca="1">LOOKUP(_xlfn.ANCHORARRAY($D10),_xlfn.ANCHORARRAY(DATABASE!R32),DATABASE!$Y$32:$Y$84)</f>
        <v>7512190.156872293</v>
      </c>
      <c r="P10" s="1024" cm="1">
        <f t="array" ref="P10:P46">SUMIF(_xlfn.ANCHORARRAY(DATABASE!R32),_xlfn.ANCHORARRAY(D10),DATABASE!$Z$32:$Z$84)+SUMIF(_xlfn.ANCHORARRAY(DATABASE!R32),_xlfn.ANCHORARRAY(D10),DATABASE!$AA$32:$AA$84)</f>
        <v>-300487.6062748917</v>
      </c>
      <c r="Q10" s="1024" cm="1">
        <f t="array" aca="1" ref="Q10:Q46" ca="1">-IFERROR(LOOKUP(_xlfn.ANCHORARRAY(C10),_xlfn.ANCHORARRAY('r.Costs'!C9),_xlfn.ANCHORARRAY('r.Costs'!Q9))*_xlfn.ANCHORARRAY(I10),0)</f>
        <v>-1889095.576923077</v>
      </c>
      <c r="R10" s="1026" cm="1">
        <f t="array" aca="1" ref="R10:R46" ca="1">O10+_xlfn.ANCHORARRAY(P10)+Q10</f>
        <v>5322606.9736743243</v>
      </c>
      <c r="S10" s="1025" cm="1">
        <f t="array" aca="1" ref="S10:S46" ca="1">IFERROR(_xlfn.ANCHORARRAY(R10)/LOOKUP(_xlfn.ANCHORARRAY(D10),tbl_Planning[Parcel ID],tbl_Planning.Help[Feet]),0)</f>
        <v>831.65733963661319</v>
      </c>
      <c r="T10" s="1025" cm="1">
        <f t="array" aca="1" ref="T10:T46" ca="1">IFERROR(_xlfn.ANCHORARRAY(R10)/_xlfn.ANCHORARRAY(G10),0)</f>
        <v>41582.866981830659</v>
      </c>
      <c r="U10" s="1025" cm="1">
        <f t="array" aca="1" ref="U10:U46" ca="1">_xlfn.ANCHORARRAY(R10)/_xlfn.ANCHORARRAY(I10)</f>
        <v>166331.46792732264</v>
      </c>
    </row>
    <row r="11" spans="1:21" ht="20" customHeight="1">
      <c r="A11" s="113">
        <f t="shared" si="0"/>
        <v>1</v>
      </c>
      <c r="B11"/>
      <c r="C11" s="1055" t="str">
        <v>1.1</v>
      </c>
      <c r="D11" s="1055" t="str">
        <v>1.102</v>
      </c>
      <c r="E11" s="1023" t="str">
        <v>MDR</v>
      </c>
      <c r="F11" s="1023" t="str">
        <v>60x125</v>
      </c>
      <c r="G11" s="1018">
        <v>82</v>
      </c>
      <c r="H11" s="1018">
        <f ca="1"/>
        <v>4920</v>
      </c>
      <c r="I11" s="1018">
        <f ca="1"/>
        <v>25</v>
      </c>
      <c r="J11" s="1308">
        <f ca="1"/>
        <v>3</v>
      </c>
      <c r="K11" s="1018">
        <f ca="1"/>
        <v>26</v>
      </c>
      <c r="L11" s="1026">
        <f ca="1"/>
        <v>12599991.672208527</v>
      </c>
      <c r="M11" s="1026">
        <f ca="1"/>
        <v>0</v>
      </c>
      <c r="N11" s="1024">
        <f ca="1"/>
        <v>-6824995.4891129518</v>
      </c>
      <c r="O11" s="1026">
        <f ca="1"/>
        <v>5774996.1830955753</v>
      </c>
      <c r="P11" s="1024">
        <v>-230999.84732382302</v>
      </c>
      <c r="Q11" s="1024">
        <f ca="1"/>
        <v>-1475855.919471154</v>
      </c>
      <c r="R11" s="1026">
        <f ca="1"/>
        <v>5392094.7326253932</v>
      </c>
      <c r="S11" s="1025">
        <f ca="1"/>
        <v>1095.9542139482508</v>
      </c>
      <c r="T11" s="1025">
        <f ca="1"/>
        <v>65757.252836895044</v>
      </c>
      <c r="U11" s="1025">
        <f ca="1"/>
        <v>215683.78930501573</v>
      </c>
    </row>
    <row r="12" spans="1:21" ht="20" customHeight="1">
      <c r="A12" s="113">
        <f t="shared" si="0"/>
        <v>1</v>
      </c>
      <c r="B12"/>
      <c r="C12" s="1055" t="str">
        <v>1.1</v>
      </c>
      <c r="D12" s="1055" t="str">
        <v>1.103</v>
      </c>
      <c r="E12" s="1023" t="str">
        <v>MDR</v>
      </c>
      <c r="F12" s="1023" t="str">
        <v>45x115</v>
      </c>
      <c r="G12" s="1018">
        <v>113</v>
      </c>
      <c r="H12" s="1018">
        <f ca="1"/>
        <v>5085</v>
      </c>
      <c r="I12" s="1018">
        <f ca="1"/>
        <v>21</v>
      </c>
      <c r="J12" s="1308">
        <f ca="1"/>
        <v>3</v>
      </c>
      <c r="K12" s="1018">
        <f ca="1"/>
        <v>26</v>
      </c>
      <c r="L12" s="1026">
        <f ca="1"/>
        <v>13022552.368532594</v>
      </c>
      <c r="M12" s="1026">
        <f ca="1"/>
        <v>0</v>
      </c>
      <c r="N12" s="1024">
        <f ca="1"/>
        <v>-7053882.5329551548</v>
      </c>
      <c r="O12" s="1026">
        <f ca="1"/>
        <v>5968669.8355774395</v>
      </c>
      <c r="P12" s="1024">
        <v>-238746.79342309758</v>
      </c>
      <c r="Q12" s="1024">
        <f ca="1"/>
        <v>-1239718.9723557692</v>
      </c>
      <c r="R12" s="1026">
        <f ca="1"/>
        <v>5384347.7865261184</v>
      </c>
      <c r="S12" s="1025">
        <f ca="1"/>
        <v>1058.868787910741</v>
      </c>
      <c r="T12" s="1025">
        <f ca="1"/>
        <v>47649.095455983348</v>
      </c>
      <c r="U12" s="1025">
        <f ca="1"/>
        <v>256397.51364410087</v>
      </c>
    </row>
    <row r="13" spans="1:21" ht="20" customHeight="1">
      <c r="A13" s="113">
        <f t="shared" si="0"/>
        <v>1</v>
      </c>
      <c r="B13"/>
      <c r="C13" s="1055" t="str">
        <v>1.1</v>
      </c>
      <c r="D13" s="1055" t="str">
        <v>1.104</v>
      </c>
      <c r="E13" s="1023" t="str">
        <v>MU</v>
      </c>
      <c r="F13" s="1023" t="str">
        <v>MU</v>
      </c>
      <c r="G13" s="1018">
        <v>0</v>
      </c>
      <c r="H13" s="1018">
        <f ca="1"/>
        <v>0</v>
      </c>
      <c r="I13" s="1018">
        <f ca="1"/>
        <v>26</v>
      </c>
      <c r="J13" s="1308">
        <f ca="1"/>
        <v>3</v>
      </c>
      <c r="K13" s="1018">
        <f ca="1"/>
        <v>26</v>
      </c>
      <c r="L13" s="1026">
        <f ca="1"/>
        <v>0</v>
      </c>
      <c r="M13" s="1026">
        <f ca="1"/>
        <v>12085235.914868301</v>
      </c>
      <c r="N13" s="1024" t="str">
        <f ca="1"/>
        <v/>
      </c>
      <c r="O13" s="1026">
        <f ca="1"/>
        <v>12085235.914868301</v>
      </c>
      <c r="P13" s="1024">
        <v>-483409.43659473205</v>
      </c>
      <c r="Q13" s="1024">
        <f ca="1"/>
        <v>-1534890.15625</v>
      </c>
      <c r="R13" s="1026">
        <f ca="1"/>
        <v>5139685.1433544839</v>
      </c>
      <c r="S13" s="1025">
        <f ca="1"/>
        <v>0</v>
      </c>
      <c r="T13" s="1025">
        <f ca="1"/>
        <v>0</v>
      </c>
      <c r="U13" s="1025">
        <f ca="1"/>
        <v>197680.19782132629</v>
      </c>
    </row>
    <row r="14" spans="1:21" s="115" customFormat="1" ht="20" customHeight="1">
      <c r="A14" s="113">
        <f t="shared" si="0"/>
        <v>1</v>
      </c>
      <c r="B14"/>
      <c r="C14" s="1055" t="str">
        <v>1.2</v>
      </c>
      <c r="D14" s="1055" t="str">
        <v>1.201</v>
      </c>
      <c r="E14" s="1023" t="str">
        <v>MU</v>
      </c>
      <c r="F14" s="1023" t="str">
        <v>MU</v>
      </c>
      <c r="G14" s="1018">
        <v>0</v>
      </c>
      <c r="H14" s="1018">
        <f ca="1"/>
        <v>0</v>
      </c>
      <c r="I14" s="1018">
        <f ca="1"/>
        <v>27</v>
      </c>
      <c r="J14" s="1308">
        <f ca="1"/>
        <v>4</v>
      </c>
      <c r="K14" s="1018">
        <f ca="1"/>
        <v>42</v>
      </c>
      <c r="L14" s="1026">
        <f ca="1"/>
        <v>0</v>
      </c>
      <c r="M14" s="1026">
        <f ca="1"/>
        <v>13061578.038137645</v>
      </c>
      <c r="N14" s="1024" t="str">
        <f ca="1"/>
        <v/>
      </c>
      <c r="O14" s="1026">
        <f ca="1"/>
        <v>13061578.038137645</v>
      </c>
      <c r="P14" s="1024">
        <v>-522463.12152550579</v>
      </c>
      <c r="Q14" s="1024">
        <f ca="1"/>
        <v>-1127674.400510204</v>
      </c>
      <c r="R14" s="1026">
        <f ca="1"/>
        <v>5100631.4584237104</v>
      </c>
      <c r="S14" s="1025">
        <f ca="1"/>
        <v>0</v>
      </c>
      <c r="T14" s="1025">
        <f ca="1"/>
        <v>0</v>
      </c>
      <c r="U14" s="1025">
        <f ca="1"/>
        <v>188912.27623791521</v>
      </c>
    </row>
    <row r="15" spans="1:21" s="115" customFormat="1" ht="20" customHeight="1">
      <c r="A15" s="113">
        <f t="shared" si="0"/>
        <v>1</v>
      </c>
      <c r="B15"/>
      <c r="C15" s="1055" t="str">
        <v>1.2</v>
      </c>
      <c r="D15" s="1055" t="str">
        <v>1.202</v>
      </c>
      <c r="E15" s="1023" t="str">
        <v>HDR</v>
      </c>
      <c r="F15" s="1023" t="str">
        <v>APTS</v>
      </c>
      <c r="G15" s="1018">
        <v>380</v>
      </c>
      <c r="H15" s="1018">
        <f ca="1"/>
        <v>0</v>
      </c>
      <c r="I15" s="1018">
        <f ca="1"/>
        <v>19</v>
      </c>
      <c r="J15" s="1308">
        <f ca="1"/>
        <v>4</v>
      </c>
      <c r="K15" s="1018">
        <f ca="1"/>
        <v>42</v>
      </c>
      <c r="L15" s="1026">
        <f ca="1"/>
        <v>0</v>
      </c>
      <c r="M15" s="1026">
        <f ca="1"/>
        <v>10550368.275542259</v>
      </c>
      <c r="N15" s="1024" t="str">
        <f ca="1"/>
        <v/>
      </c>
      <c r="O15" s="1026">
        <f ca="1"/>
        <v>10550368.275542259</v>
      </c>
      <c r="P15" s="1024">
        <v>-422014.73102169036</v>
      </c>
      <c r="Q15" s="1024">
        <f ca="1"/>
        <v>-793548.65221088426</v>
      </c>
      <c r="R15" s="1026">
        <f ca="1"/>
        <v>5201079.8489275258</v>
      </c>
      <c r="S15" s="1025">
        <f ca="1"/>
        <v>0</v>
      </c>
      <c r="T15" s="1025">
        <f ca="1"/>
        <v>13687.052234019804</v>
      </c>
      <c r="U15" s="1025">
        <f ca="1"/>
        <v>273741.04468039609</v>
      </c>
    </row>
    <row r="16" spans="1:21" s="115" customFormat="1" ht="20" customHeight="1">
      <c r="A16" s="113">
        <f t="shared" si="0"/>
        <v>1</v>
      </c>
      <c r="B16"/>
      <c r="C16" s="1055" t="str">
        <v>1.2</v>
      </c>
      <c r="D16" s="1055" t="str">
        <v>1.203</v>
      </c>
      <c r="E16" s="1023" t="str">
        <v>MDR</v>
      </c>
      <c r="F16" s="1023" t="str">
        <v>35x95</v>
      </c>
      <c r="G16" s="1018">
        <v>120</v>
      </c>
      <c r="H16" s="1018">
        <f ca="1"/>
        <v>4200</v>
      </c>
      <c r="I16" s="1018">
        <f ca="1"/>
        <v>16</v>
      </c>
      <c r="J16" s="1308">
        <f ca="1"/>
        <v>4</v>
      </c>
      <c r="K16" s="1018">
        <f ca="1"/>
        <v>42</v>
      </c>
      <c r="L16" s="1026">
        <f ca="1"/>
        <v>11194496.022891156</v>
      </c>
      <c r="M16" s="1026">
        <f ca="1"/>
        <v>0</v>
      </c>
      <c r="N16" s="1024">
        <f ca="1"/>
        <v>-6063685.3457327085</v>
      </c>
      <c r="O16" s="1026">
        <f ca="1"/>
        <v>5130810.6771584479</v>
      </c>
      <c r="P16" s="1024">
        <v>-205232.42708633791</v>
      </c>
      <c r="Q16" s="1024">
        <f ca="1"/>
        <v>-668251.49659863941</v>
      </c>
      <c r="R16" s="1026">
        <f ca="1"/>
        <v>5417862.1528628785</v>
      </c>
      <c r="S16" s="1025">
        <f ca="1"/>
        <v>1289.9671792530662</v>
      </c>
      <c r="T16" s="1025">
        <f ca="1"/>
        <v>45148.851273857319</v>
      </c>
      <c r="U16" s="1025">
        <f ca="1"/>
        <v>338616.38455392991</v>
      </c>
    </row>
    <row r="17" spans="1:21" s="115" customFormat="1" ht="20" customHeight="1">
      <c r="A17" s="113">
        <f t="shared" si="0"/>
        <v>1</v>
      </c>
      <c r="B17"/>
      <c r="C17" s="1055" t="str">
        <v>1.2</v>
      </c>
      <c r="D17" s="1055" t="str">
        <v>1.204</v>
      </c>
      <c r="E17" s="1023" t="str">
        <v>MDR</v>
      </c>
      <c r="F17" s="1023" t="str">
        <v>45x115</v>
      </c>
      <c r="G17" s="1018">
        <v>96</v>
      </c>
      <c r="H17" s="1018">
        <f ca="1"/>
        <v>4320</v>
      </c>
      <c r="I17" s="1018">
        <f ca="1"/>
        <v>20</v>
      </c>
      <c r="J17" s="1308">
        <f ca="1"/>
        <v>4</v>
      </c>
      <c r="K17" s="1018">
        <f ca="1"/>
        <v>42</v>
      </c>
      <c r="L17" s="1026">
        <f ca="1"/>
        <v>11514338.766402332</v>
      </c>
      <c r="M17" s="1026">
        <f ca="1"/>
        <v>0</v>
      </c>
      <c r="N17" s="1024">
        <f ca="1"/>
        <v>-6236933.4984679287</v>
      </c>
      <c r="O17" s="1026">
        <f ca="1"/>
        <v>5277405.2679344034</v>
      </c>
      <c r="P17" s="1024">
        <v>-211096.21071737615</v>
      </c>
      <c r="Q17" s="1024">
        <f ca="1"/>
        <v>-835314.37074829929</v>
      </c>
      <c r="R17" s="1026">
        <f ca="1"/>
        <v>5411998.3692318397</v>
      </c>
      <c r="S17" s="1025">
        <f ca="1"/>
        <v>1252.7774002851481</v>
      </c>
      <c r="T17" s="1025">
        <f ca="1"/>
        <v>56374.983012831661</v>
      </c>
      <c r="U17" s="1025">
        <f ca="1"/>
        <v>270599.91846159199</v>
      </c>
    </row>
    <row r="18" spans="1:21" s="115" customFormat="1" ht="20" customHeight="1">
      <c r="A18" s="113">
        <f t="shared" si="0"/>
        <v>1</v>
      </c>
      <c r="B18"/>
      <c r="C18" s="1055" t="str">
        <v>1.2</v>
      </c>
      <c r="D18" s="1055" t="str">
        <v>1.205</v>
      </c>
      <c r="E18" s="1023" t="str">
        <v>MDR</v>
      </c>
      <c r="F18" s="1023" t="str">
        <v>65x125</v>
      </c>
      <c r="G18" s="1018">
        <v>111</v>
      </c>
      <c r="H18" s="1018">
        <f ca="1"/>
        <v>7215</v>
      </c>
      <c r="I18" s="1018">
        <f ca="1"/>
        <v>36</v>
      </c>
      <c r="J18" s="1308">
        <f ca="1"/>
        <v>4</v>
      </c>
      <c r="K18" s="1018">
        <f ca="1"/>
        <v>42</v>
      </c>
      <c r="L18" s="1026">
        <f ca="1"/>
        <v>19230544.953609452</v>
      </c>
      <c r="M18" s="1026">
        <f ca="1"/>
        <v>0</v>
      </c>
      <c r="N18" s="1024">
        <f ca="1"/>
        <v>-10416545.183205117</v>
      </c>
      <c r="O18" s="1026">
        <f ca="1"/>
        <v>8813999.7704043351</v>
      </c>
      <c r="P18" s="1024">
        <v>-352559.99081617338</v>
      </c>
      <c r="Q18" s="1024">
        <f ca="1"/>
        <v>-1503565.8673469387</v>
      </c>
      <c r="R18" s="1026">
        <f ca="1"/>
        <v>5270534.5891330428</v>
      </c>
      <c r="S18" s="1025">
        <f ca="1"/>
        <v>730.49682455066431</v>
      </c>
      <c r="T18" s="1025">
        <f ca="1"/>
        <v>47482.293595793177</v>
      </c>
      <c r="U18" s="1025">
        <f ca="1"/>
        <v>146403.73858702896</v>
      </c>
    </row>
    <row r="19" spans="1:21" s="115" customFormat="1" ht="20" customHeight="1">
      <c r="A19" s="113">
        <f t="shared" si="0"/>
        <v>1</v>
      </c>
      <c r="B19"/>
      <c r="C19" s="1055" t="str">
        <v>1.2</v>
      </c>
      <c r="D19" s="1055" t="str">
        <v>1.206</v>
      </c>
      <c r="E19" s="1023" t="str">
        <v>MDR</v>
      </c>
      <c r="F19" s="1023" t="str">
        <v>70x125</v>
      </c>
      <c r="G19" s="1018">
        <v>81</v>
      </c>
      <c r="H19" s="1018">
        <f ca="1"/>
        <v>5670</v>
      </c>
      <c r="I19" s="1018">
        <f ca="1"/>
        <v>29</v>
      </c>
      <c r="J19" s="1308">
        <f ca="1"/>
        <v>4</v>
      </c>
      <c r="K19" s="1018">
        <f ca="1"/>
        <v>42</v>
      </c>
      <c r="L19" s="1026">
        <f ca="1"/>
        <v>15112569.630903061</v>
      </c>
      <c r="M19" s="1026">
        <f ca="1"/>
        <v>0</v>
      </c>
      <c r="N19" s="1024">
        <f ca="1"/>
        <v>-8185975.2167391563</v>
      </c>
      <c r="O19" s="1026">
        <f ca="1"/>
        <v>6926594.4141639052</v>
      </c>
      <c r="P19" s="1024">
        <v>-277063.77656655619</v>
      </c>
      <c r="Q19" s="1024">
        <f ca="1"/>
        <v>-1211205.8375850338</v>
      </c>
      <c r="R19" s="1026">
        <f ca="1"/>
        <v>5346030.8033826603</v>
      </c>
      <c r="S19" s="1025">
        <f ca="1"/>
        <v>942.86257555249745</v>
      </c>
      <c r="T19" s="1025">
        <f ca="1"/>
        <v>66000.380288674816</v>
      </c>
      <c r="U19" s="1025">
        <f ca="1"/>
        <v>184345.88977181588</v>
      </c>
    </row>
    <row r="20" spans="1:21" s="115" customFormat="1" ht="20" customHeight="1">
      <c r="A20" s="113">
        <f t="shared" si="0"/>
        <v>1</v>
      </c>
      <c r="B20"/>
      <c r="C20" s="1055" t="str">
        <v>2.1</v>
      </c>
      <c r="D20" s="1055" t="str">
        <v>2.101</v>
      </c>
      <c r="E20" s="1023" t="str">
        <v>MDR</v>
      </c>
      <c r="F20" s="1023" t="str">
        <v>40x115</v>
      </c>
      <c r="G20" s="1018">
        <v>97</v>
      </c>
      <c r="H20" s="1018">
        <f ca="1"/>
        <v>3880</v>
      </c>
      <c r="I20" s="1018">
        <f ca="1"/>
        <v>18</v>
      </c>
      <c r="J20" s="1308">
        <f ca="1"/>
        <v>4</v>
      </c>
      <c r="K20" s="1018">
        <f ca="1"/>
        <v>48</v>
      </c>
      <c r="L20" s="1026">
        <f ca="1"/>
        <v>10497678.531923844</v>
      </c>
      <c r="M20" s="1026">
        <f ca="1"/>
        <v>0</v>
      </c>
      <c r="N20" s="1024">
        <f ca="1"/>
        <v>-5686242.5381254153</v>
      </c>
      <c r="O20" s="1026">
        <f ca="1"/>
        <v>4811435.9937984282</v>
      </c>
      <c r="P20" s="1024">
        <v>-192457.43975193714</v>
      </c>
      <c r="Q20" s="1024">
        <f ca="1"/>
        <v>-541725.9375</v>
      </c>
      <c r="R20" s="1026">
        <f ca="1"/>
        <v>5430637.1401972789</v>
      </c>
      <c r="S20" s="1025">
        <f ca="1"/>
        <v>1399.6487474735254</v>
      </c>
      <c r="T20" s="1025">
        <f ca="1"/>
        <v>55985.94989894102</v>
      </c>
      <c r="U20" s="1025">
        <f ca="1"/>
        <v>301702.06334429327</v>
      </c>
    </row>
    <row r="21" spans="1:21" s="115" customFormat="1" ht="20" customHeight="1">
      <c r="A21" s="113">
        <f t="shared" si="0"/>
        <v>1</v>
      </c>
      <c r="B21"/>
      <c r="C21" s="1055" t="str">
        <v>2.1</v>
      </c>
      <c r="D21" s="1055" t="str">
        <v>2.102</v>
      </c>
      <c r="E21" s="1023" t="str">
        <v>MDR</v>
      </c>
      <c r="F21" s="1023" t="str">
        <v>45x115</v>
      </c>
      <c r="G21" s="1018">
        <v>81</v>
      </c>
      <c r="H21" s="1018">
        <f ca="1"/>
        <v>3645</v>
      </c>
      <c r="I21" s="1018">
        <f ca="1"/>
        <v>17</v>
      </c>
      <c r="J21" s="1308">
        <f ca="1"/>
        <v>4</v>
      </c>
      <c r="K21" s="1018">
        <f ca="1"/>
        <v>48</v>
      </c>
      <c r="L21" s="1026">
        <f ca="1"/>
        <v>9861865.5280573219</v>
      </c>
      <c r="M21" s="1026">
        <f ca="1"/>
        <v>0</v>
      </c>
      <c r="N21" s="1024">
        <f ca="1"/>
        <v>-5341843.8276977167</v>
      </c>
      <c r="O21" s="1026">
        <f ca="1"/>
        <v>4520021.7003596053</v>
      </c>
      <c r="P21" s="1024">
        <v>-180800.86801438421</v>
      </c>
      <c r="Q21" s="1024">
        <f ca="1"/>
        <v>-511630.05208333337</v>
      </c>
      <c r="R21" s="1026">
        <f ca="1"/>
        <v>5442293.7119348319</v>
      </c>
      <c r="S21" s="1025">
        <f ca="1"/>
        <v>1493.084694632327</v>
      </c>
      <c r="T21" s="1025">
        <f ca="1"/>
        <v>67188.81125845472</v>
      </c>
      <c r="U21" s="1025">
        <f ca="1"/>
        <v>320134.92423146073</v>
      </c>
    </row>
    <row r="22" spans="1:21" s="115" customFormat="1" ht="20" customHeight="1">
      <c r="A22" s="113">
        <f t="shared" si="0"/>
        <v>1</v>
      </c>
      <c r="B22"/>
      <c r="C22" s="1055" t="str">
        <v>2.1</v>
      </c>
      <c r="D22" s="1055" t="str">
        <v>2.103</v>
      </c>
      <c r="E22" s="1023" t="str">
        <v>MDR</v>
      </c>
      <c r="F22" s="1023" t="str">
        <v>50x120</v>
      </c>
      <c r="G22" s="1018">
        <v>65</v>
      </c>
      <c r="H22" s="1018">
        <f ca="1"/>
        <v>3250</v>
      </c>
      <c r="I22" s="1018">
        <f ca="1"/>
        <v>16</v>
      </c>
      <c r="J22" s="1308">
        <f ca="1"/>
        <v>4</v>
      </c>
      <c r="K22" s="1018">
        <f ca="1"/>
        <v>48</v>
      </c>
      <c r="L22" s="1026">
        <f ca="1"/>
        <v>8793158.5641114675</v>
      </c>
      <c r="M22" s="1026">
        <f ca="1"/>
        <v>0</v>
      </c>
      <c r="N22" s="1024">
        <f ca="1"/>
        <v>-4762960.8888937114</v>
      </c>
      <c r="O22" s="1026">
        <f ca="1"/>
        <v>4030197.6752177561</v>
      </c>
      <c r="P22" s="1024">
        <v>-161207.90700871026</v>
      </c>
      <c r="Q22" s="1024">
        <f ca="1"/>
        <v>-481534.16666666669</v>
      </c>
      <c r="R22" s="1026">
        <f ca="1"/>
        <v>5461886.6729405057</v>
      </c>
      <c r="S22" s="1025">
        <f ca="1"/>
        <v>1680.5805147509247</v>
      </c>
      <c r="T22" s="1025">
        <f ca="1"/>
        <v>84029.025737546239</v>
      </c>
      <c r="U22" s="1025">
        <f ca="1"/>
        <v>341367.9170587816</v>
      </c>
    </row>
    <row r="23" spans="1:21" s="115" customFormat="1" ht="20" customHeight="1">
      <c r="A23" s="113">
        <f t="shared" si="0"/>
        <v>1</v>
      </c>
      <c r="B23"/>
      <c r="C23" s="1055" t="str">
        <v>2.1</v>
      </c>
      <c r="D23" s="1055" t="str">
        <v>2.104</v>
      </c>
      <c r="E23" s="1023" t="str">
        <v>MDR</v>
      </c>
      <c r="F23" s="1023" t="str">
        <v>40x115</v>
      </c>
      <c r="G23" s="1018">
        <v>113</v>
      </c>
      <c r="H23" s="1018">
        <f ca="1"/>
        <v>4520</v>
      </c>
      <c r="I23" s="1018">
        <f ca="1"/>
        <v>21</v>
      </c>
      <c r="J23" s="1308">
        <f ca="1"/>
        <v>4</v>
      </c>
      <c r="K23" s="1018">
        <f ca="1"/>
        <v>48</v>
      </c>
      <c r="L23" s="1026">
        <f ca="1"/>
        <v>12229254.372241179</v>
      </c>
      <c r="M23" s="1026">
        <f ca="1"/>
        <v>0</v>
      </c>
      <c r="N23" s="1024">
        <f ca="1"/>
        <v>-6624179.4516306389</v>
      </c>
      <c r="O23" s="1026">
        <f ca="1"/>
        <v>5605074.9206105396</v>
      </c>
      <c r="P23" s="1024">
        <v>-224202.99682442157</v>
      </c>
      <c r="Q23" s="1024">
        <f ca="1"/>
        <v>-632013.59375</v>
      </c>
      <c r="R23" s="1026">
        <f ca="1"/>
        <v>5398891.5831247941</v>
      </c>
      <c r="S23" s="1025">
        <f ca="1"/>
        <v>1194.445040514335</v>
      </c>
      <c r="T23" s="1025">
        <f ca="1"/>
        <v>47777.801620573402</v>
      </c>
      <c r="U23" s="1025">
        <f ca="1"/>
        <v>257090.07538689495</v>
      </c>
    </row>
    <row r="24" spans="1:21" s="115" customFormat="1" ht="20" customHeight="1">
      <c r="A24" s="113">
        <f t="shared" si="0"/>
        <v>1</v>
      </c>
      <c r="B24"/>
      <c r="C24" s="1055" t="str">
        <v>2.1</v>
      </c>
      <c r="D24" s="1055" t="str">
        <v>2.105</v>
      </c>
      <c r="E24" s="1023" t="str">
        <v>MDR</v>
      </c>
      <c r="F24" s="1023" t="str">
        <v>45x115</v>
      </c>
      <c r="G24" s="1018">
        <v>100</v>
      </c>
      <c r="H24" s="1018">
        <f ca="1"/>
        <v>4500</v>
      </c>
      <c r="I24" s="1018">
        <f ca="1"/>
        <v>21</v>
      </c>
      <c r="J24" s="1308">
        <f ca="1"/>
        <v>4</v>
      </c>
      <c r="K24" s="1018">
        <f ca="1"/>
        <v>48</v>
      </c>
      <c r="L24" s="1026">
        <f ca="1"/>
        <v>12175142.627231263</v>
      </c>
      <c r="M24" s="1026">
        <f ca="1"/>
        <v>0</v>
      </c>
      <c r="N24" s="1024">
        <f ca="1"/>
        <v>-6594868.9230836006</v>
      </c>
      <c r="O24" s="1026">
        <f ca="1"/>
        <v>5580273.704147662</v>
      </c>
      <c r="P24" s="1024">
        <v>-223210.94816590648</v>
      </c>
      <c r="Q24" s="1024">
        <f ca="1"/>
        <v>-632013.59375</v>
      </c>
      <c r="R24" s="1026">
        <f ca="1"/>
        <v>5399883.6317833094</v>
      </c>
      <c r="S24" s="1025">
        <f ca="1"/>
        <v>1199.974140396291</v>
      </c>
      <c r="T24" s="1025">
        <f ca="1"/>
        <v>53998.836317833091</v>
      </c>
      <c r="U24" s="1025">
        <f ca="1"/>
        <v>257137.31579920521</v>
      </c>
    </row>
    <row r="25" spans="1:21" s="115" customFormat="1" ht="20" customHeight="1">
      <c r="A25" s="113">
        <f t="shared" si="0"/>
        <v>1</v>
      </c>
      <c r="B25"/>
      <c r="C25" s="1055" t="str">
        <v>2.1</v>
      </c>
      <c r="D25" s="1055" t="str">
        <v>2.106</v>
      </c>
      <c r="E25" s="1023" t="str">
        <v>MDR</v>
      </c>
      <c r="F25" s="1023" t="str">
        <v>50x120</v>
      </c>
      <c r="G25" s="1018">
        <v>86</v>
      </c>
      <c r="H25" s="1018">
        <f ca="1"/>
        <v>4300</v>
      </c>
      <c r="I25" s="1018">
        <f ca="1"/>
        <v>21</v>
      </c>
      <c r="J25" s="1308">
        <f ca="1"/>
        <v>4</v>
      </c>
      <c r="K25" s="1018">
        <f ca="1"/>
        <v>48</v>
      </c>
      <c r="L25" s="1026">
        <f ca="1"/>
        <v>11634025.177132094</v>
      </c>
      <c r="M25" s="1026">
        <f ca="1"/>
        <v>0</v>
      </c>
      <c r="N25" s="1024">
        <f ca="1"/>
        <v>-6301763.6376132183</v>
      </c>
      <c r="O25" s="1026">
        <f ca="1"/>
        <v>5332261.539518876</v>
      </c>
      <c r="P25" s="1024">
        <v>-213290.46158075504</v>
      </c>
      <c r="Q25" s="1024">
        <f ca="1"/>
        <v>-632013.59375</v>
      </c>
      <c r="R25" s="1026">
        <f ca="1"/>
        <v>5409804.1183684608</v>
      </c>
      <c r="S25" s="1025">
        <f ca="1"/>
        <v>1258.0939810159211</v>
      </c>
      <c r="T25" s="1025">
        <f ca="1"/>
        <v>62904.699050796058</v>
      </c>
      <c r="U25" s="1025">
        <f ca="1"/>
        <v>257609.71992230765</v>
      </c>
    </row>
    <row r="26" spans="1:21" s="115" customFormat="1" ht="20" customHeight="1">
      <c r="A26" s="113">
        <f t="shared" si="0"/>
        <v>1</v>
      </c>
      <c r="B26"/>
      <c r="C26" s="1055" t="str">
        <v>2.1</v>
      </c>
      <c r="D26" s="1055" t="str">
        <v>2.107</v>
      </c>
      <c r="E26" s="1023" t="str">
        <v>MHDR</v>
      </c>
      <c r="F26" s="1023" t="str">
        <v>7/8 Pack</v>
      </c>
      <c r="G26" s="1018">
        <v>168</v>
      </c>
      <c r="H26" s="1018">
        <f ca="1"/>
        <v>0</v>
      </c>
      <c r="I26" s="1018">
        <f ca="1"/>
        <v>16</v>
      </c>
      <c r="J26" s="1308">
        <f ca="1"/>
        <v>4</v>
      </c>
      <c r="K26" s="1018">
        <f ca="1"/>
        <v>48</v>
      </c>
      <c r="L26" s="1026">
        <f ca="1"/>
        <v>0</v>
      </c>
      <c r="M26" s="1026">
        <f ca="1"/>
        <v>9469555.3767354265</v>
      </c>
      <c r="N26" s="1024" t="str">
        <f ca="1"/>
        <v/>
      </c>
      <c r="O26" s="1026">
        <f ca="1"/>
        <v>9469555.3767354265</v>
      </c>
      <c r="P26" s="1024">
        <v>-378782.21506941709</v>
      </c>
      <c r="Q26" s="1024">
        <f ca="1"/>
        <v>-481534.16666666669</v>
      </c>
      <c r="R26" s="1026">
        <f ca="1"/>
        <v>5244312.3648797991</v>
      </c>
      <c r="S26" s="1025">
        <f ca="1"/>
        <v>0</v>
      </c>
      <c r="T26" s="1025">
        <f ca="1"/>
        <v>31216.145029046424</v>
      </c>
      <c r="U26" s="1025">
        <f ca="1"/>
        <v>327769.52280498744</v>
      </c>
    </row>
    <row r="27" spans="1:21" s="115" customFormat="1" ht="20" customHeight="1">
      <c r="A27" s="113">
        <f t="shared" si="0"/>
        <v>1</v>
      </c>
      <c r="B27"/>
      <c r="C27" s="1055" t="str">
        <v>2.1</v>
      </c>
      <c r="D27" s="1055" t="str">
        <v>2.108</v>
      </c>
      <c r="E27" s="1023" t="str">
        <v>MHDR</v>
      </c>
      <c r="F27" s="1023" t="str">
        <v>6/6Pack</v>
      </c>
      <c r="G27" s="1018">
        <v>110</v>
      </c>
      <c r="H27" s="1018">
        <f ca="1"/>
        <v>0</v>
      </c>
      <c r="I27" s="1018">
        <f ca="1"/>
        <v>13</v>
      </c>
      <c r="J27" s="1308">
        <f ca="1"/>
        <v>4</v>
      </c>
      <c r="K27" s="1018">
        <f ca="1"/>
        <v>48</v>
      </c>
      <c r="L27" s="1026">
        <f ca="1"/>
        <v>0</v>
      </c>
      <c r="M27" s="1026">
        <f ca="1"/>
        <v>6200304.1157196239</v>
      </c>
      <c r="N27" s="1024" t="str">
        <f ca="1"/>
        <v/>
      </c>
      <c r="O27" s="1026">
        <f ca="1"/>
        <v>6200304.1157196239</v>
      </c>
      <c r="P27" s="1024">
        <v>-248012.16462878496</v>
      </c>
      <c r="Q27" s="1024">
        <f ca="1"/>
        <v>-391246.51041666669</v>
      </c>
      <c r="R27" s="1026">
        <f ca="1"/>
        <v>5375082.4153204309</v>
      </c>
      <c r="S27" s="1025">
        <f ca="1"/>
        <v>0</v>
      </c>
      <c r="T27" s="1025">
        <f ca="1"/>
        <v>48864.385593822102</v>
      </c>
      <c r="U27" s="1025">
        <f ca="1"/>
        <v>413467.87810157158</v>
      </c>
    </row>
    <row r="28" spans="1:21" ht="20" customHeight="1">
      <c r="A28" s="113">
        <f t="shared" si="0"/>
        <v>1</v>
      </c>
      <c r="B28"/>
      <c r="C28" s="1055" t="str">
        <v>2.1</v>
      </c>
      <c r="D28" s="1055" t="str">
        <v>2.109</v>
      </c>
      <c r="E28" s="1023" t="str">
        <v>MDR</v>
      </c>
      <c r="F28" s="1023" t="str">
        <v>40x100</v>
      </c>
      <c r="G28" s="1018">
        <v>117</v>
      </c>
      <c r="H28" s="1018">
        <f ca="1"/>
        <v>4680</v>
      </c>
      <c r="I28" s="1018">
        <f ca="1"/>
        <v>19</v>
      </c>
      <c r="J28" s="1308">
        <f ca="1"/>
        <v>4</v>
      </c>
      <c r="K28" s="1018">
        <f ca="1"/>
        <v>48</v>
      </c>
      <c r="L28" s="1026">
        <f ca="1"/>
        <v>12662148.332320513</v>
      </c>
      <c r="M28" s="1026">
        <f ca="1"/>
        <v>0</v>
      </c>
      <c r="N28" s="1024">
        <f ca="1"/>
        <v>-6858663.6800069446</v>
      </c>
      <c r="O28" s="1026">
        <f ca="1"/>
        <v>5803484.6523135686</v>
      </c>
      <c r="P28" s="1024">
        <v>-232139.38609254276</v>
      </c>
      <c r="Q28" s="1024">
        <f ca="1"/>
        <v>-571821.82291666674</v>
      </c>
      <c r="R28" s="1026">
        <f ca="1"/>
        <v>5390955.1938566733</v>
      </c>
      <c r="S28" s="1025">
        <f ca="1"/>
        <v>1151.9135029608276</v>
      </c>
      <c r="T28" s="1025">
        <f ca="1"/>
        <v>46076.540118433106</v>
      </c>
      <c r="U28" s="1025">
        <f ca="1"/>
        <v>283734.48388719332</v>
      </c>
    </row>
    <row r="29" spans="1:21" ht="20" customHeight="1">
      <c r="A29" s="113">
        <f t="shared" si="0"/>
        <v>1</v>
      </c>
      <c r="B29"/>
      <c r="C29" s="1055" t="str">
        <v>2.1</v>
      </c>
      <c r="D29" s="1055" t="str">
        <v>2.110</v>
      </c>
      <c r="E29" s="1023" t="str">
        <v>MHDR</v>
      </c>
      <c r="F29" s="1023" t="str">
        <v>BFR SFD</v>
      </c>
      <c r="G29" s="1018">
        <v>253</v>
      </c>
      <c r="H29" s="1018">
        <f ca="1"/>
        <v>0</v>
      </c>
      <c r="I29" s="1018">
        <f ca="1"/>
        <v>23</v>
      </c>
      <c r="J29" s="1308">
        <f ca="1"/>
        <v>4</v>
      </c>
      <c r="K29" s="1018">
        <f ca="1"/>
        <v>48</v>
      </c>
      <c r="L29" s="1026">
        <f ca="1"/>
        <v>0</v>
      </c>
      <c r="M29" s="1026">
        <f ca="1"/>
        <v>14260699.466155136</v>
      </c>
      <c r="N29" s="1024" t="str">
        <f ca="1"/>
        <v/>
      </c>
      <c r="O29" s="1026">
        <f ca="1"/>
        <v>14260699.466155136</v>
      </c>
      <c r="P29" s="1024">
        <v>-570427.97864620551</v>
      </c>
      <c r="Q29" s="1024">
        <f ca="1"/>
        <v>-692205.36458333337</v>
      </c>
      <c r="R29" s="1026">
        <f ca="1"/>
        <v>5052666.6013030102</v>
      </c>
      <c r="S29" s="1025">
        <f ca="1"/>
        <v>0</v>
      </c>
      <c r="T29" s="1025">
        <f ca="1"/>
        <v>19971.014234399248</v>
      </c>
      <c r="U29" s="1025">
        <f ca="1"/>
        <v>219681.15657839176</v>
      </c>
    </row>
    <row r="30" spans="1:21" ht="20" customHeight="1">
      <c r="A30" s="113">
        <f t="shared" si="0"/>
        <v>1</v>
      </c>
      <c r="B30"/>
      <c r="C30" s="1055" t="str">
        <v>2.1</v>
      </c>
      <c r="D30" s="1055" t="str">
        <v>2.111</v>
      </c>
      <c r="E30" s="1023" t="str">
        <v>HDR</v>
      </c>
      <c r="F30" s="1023" t="str">
        <v>APTS</v>
      </c>
      <c r="G30" s="1018">
        <v>380</v>
      </c>
      <c r="H30" s="1018">
        <f ca="1"/>
        <v>0</v>
      </c>
      <c r="I30" s="1018">
        <f ca="1"/>
        <v>19</v>
      </c>
      <c r="J30" s="1308">
        <f ca="1"/>
        <v>4</v>
      </c>
      <c r="K30" s="1018">
        <f ca="1"/>
        <v>48</v>
      </c>
      <c r="L30" s="1026">
        <f ca="1"/>
        <v>0</v>
      </c>
      <c r="M30" s="1026">
        <f ca="1"/>
        <v>10709616.19987935</v>
      </c>
      <c r="N30" s="1024" t="str">
        <f ca="1"/>
        <v/>
      </c>
      <c r="O30" s="1026">
        <f ca="1"/>
        <v>10709616.19987935</v>
      </c>
      <c r="P30" s="1024">
        <v>-428384.64799517399</v>
      </c>
      <c r="Q30" s="1024">
        <f ca="1"/>
        <v>-571821.82291666674</v>
      </c>
      <c r="R30" s="1026">
        <f ca="1"/>
        <v>5194709.9319540421</v>
      </c>
      <c r="S30" s="1025">
        <f ca="1"/>
        <v>0</v>
      </c>
      <c r="T30" s="1025">
        <f ca="1"/>
        <v>13670.289294615901</v>
      </c>
      <c r="U30" s="1025">
        <f ca="1"/>
        <v>273405.785892318</v>
      </c>
    </row>
    <row r="31" spans="1:21" ht="20" customHeight="1">
      <c r="A31" s="113">
        <f t="shared" si="0"/>
        <v>1</v>
      </c>
      <c r="B31"/>
      <c r="C31" s="1055" t="str">
        <v>2.2</v>
      </c>
      <c r="D31" s="1055" t="str">
        <v>2.201</v>
      </c>
      <c r="E31" s="1023" t="str">
        <v>MDR</v>
      </c>
      <c r="F31" s="1023" t="str">
        <v>50x125</v>
      </c>
      <c r="G31" s="1018">
        <v>112</v>
      </c>
      <c r="H31" s="1018">
        <f ca="1"/>
        <v>5600</v>
      </c>
      <c r="I31" s="1018">
        <f ca="1"/>
        <v>28</v>
      </c>
      <c r="J31" s="1308">
        <f ca="1"/>
        <v>6</v>
      </c>
      <c r="K31" s="1018">
        <f ca="1"/>
        <v>72</v>
      </c>
      <c r="L31" s="1026">
        <f ca="1"/>
        <v>16086987.403644357</v>
      </c>
      <c r="M31" s="1026">
        <f ca="1"/>
        <v>0</v>
      </c>
      <c r="N31" s="1024">
        <f ca="1"/>
        <v>-8713784.8436406944</v>
      </c>
      <c r="O31" s="1026">
        <f ca="1"/>
        <v>7373202.5600036625</v>
      </c>
      <c r="P31" s="1024">
        <v>-294928.10240014648</v>
      </c>
      <c r="Q31" s="1024">
        <f ca="1"/>
        <v>-3508320.3571428573</v>
      </c>
      <c r="R31" s="1026">
        <f ca="1"/>
        <v>5328166.4775490696</v>
      </c>
      <c r="S31" s="1025">
        <f ca="1"/>
        <v>951.45829956233388</v>
      </c>
      <c r="T31" s="1025">
        <f ca="1"/>
        <v>47572.914978116693</v>
      </c>
      <c r="U31" s="1025">
        <f ca="1"/>
        <v>190291.65991246677</v>
      </c>
    </row>
    <row r="32" spans="1:21" ht="20" customHeight="1">
      <c r="A32" s="113">
        <f t="shared" si="0"/>
        <v>1</v>
      </c>
      <c r="B32"/>
      <c r="C32" s="1055" t="str">
        <v>2.2</v>
      </c>
      <c r="D32" s="1055" t="str">
        <v>2.202</v>
      </c>
      <c r="E32" s="1023" t="str">
        <v>MDR</v>
      </c>
      <c r="F32" s="1023" t="str">
        <v>55x125</v>
      </c>
      <c r="G32" s="1018">
        <v>75</v>
      </c>
      <c r="H32" s="1018">
        <f ca="1"/>
        <v>4125</v>
      </c>
      <c r="I32" s="1018">
        <f ca="1"/>
        <v>21</v>
      </c>
      <c r="J32" s="1308">
        <f ca="1"/>
        <v>7</v>
      </c>
      <c r="K32" s="1018">
        <f ca="1"/>
        <v>73</v>
      </c>
      <c r="L32" s="1026">
        <f ca="1"/>
        <v>11879414.303148761</v>
      </c>
      <c r="M32" s="1026">
        <f ca="1"/>
        <v>0</v>
      </c>
      <c r="N32" s="1024">
        <f ca="1"/>
        <v>-6434682.7475389121</v>
      </c>
      <c r="O32" s="1026">
        <f ca="1"/>
        <v>5444731.5556098493</v>
      </c>
      <c r="P32" s="1024">
        <v>-217789.26222439398</v>
      </c>
      <c r="Q32" s="1024">
        <f ca="1"/>
        <v>-2631240.2678571427</v>
      </c>
      <c r="R32" s="1026">
        <f ca="1"/>
        <v>5405305.3177248221</v>
      </c>
      <c r="S32" s="1025">
        <f ca="1"/>
        <v>1310.3770467211689</v>
      </c>
      <c r="T32" s="1025">
        <f ca="1"/>
        <v>72070.737569664299</v>
      </c>
      <c r="U32" s="1025">
        <f ca="1"/>
        <v>257395.49132022963</v>
      </c>
    </row>
    <row r="33" spans="1:21" ht="20" customHeight="1">
      <c r="A33" s="113">
        <f t="shared" si="0"/>
        <v>1</v>
      </c>
      <c r="B33"/>
      <c r="C33" s="1055" t="str">
        <v>3.1</v>
      </c>
      <c r="D33" s="1055" t="str">
        <v>3.101</v>
      </c>
      <c r="E33" s="1023" t="str">
        <v>C</v>
      </c>
      <c r="F33" s="1023" t="str">
        <v>C</v>
      </c>
      <c r="G33" s="1018">
        <v>0</v>
      </c>
      <c r="H33" s="1018">
        <f ca="1"/>
        <v>0</v>
      </c>
      <c r="I33" s="1018">
        <f ca="1"/>
        <v>64</v>
      </c>
      <c r="J33" s="1308">
        <f ca="1"/>
        <v>4</v>
      </c>
      <c r="K33" s="1018">
        <f ca="1"/>
        <v>48</v>
      </c>
      <c r="L33" s="1026">
        <f ca="1"/>
        <v>0</v>
      </c>
      <c r="M33" s="1026">
        <f ca="1"/>
        <v>31428101.501759633</v>
      </c>
      <c r="N33" s="1024" t="str">
        <f ca="1"/>
        <v/>
      </c>
      <c r="O33" s="1026">
        <f ca="1"/>
        <v>31428101.501759633</v>
      </c>
      <c r="P33" s="1024">
        <v>-1257124.0600703852</v>
      </c>
      <c r="Q33" s="1024">
        <f ca="1"/>
        <v>-2868115.9124087594</v>
      </c>
      <c r="R33" s="1026">
        <f ca="1"/>
        <v>4365970.5198788308</v>
      </c>
      <c r="S33" s="1025">
        <f ca="1"/>
        <v>0</v>
      </c>
      <c r="T33" s="1025">
        <f ca="1"/>
        <v>0</v>
      </c>
      <c r="U33" s="1025">
        <f ca="1"/>
        <v>68218.289373106731</v>
      </c>
    </row>
    <row r="34" spans="1:21" ht="20" customHeight="1">
      <c r="A34" s="113">
        <f t="shared" si="0"/>
        <v>1</v>
      </c>
      <c r="B34"/>
      <c r="C34" s="1055" t="str">
        <v>3.1</v>
      </c>
      <c r="D34" s="1055" t="str">
        <v>3.102</v>
      </c>
      <c r="E34" s="1023" t="str">
        <v>C</v>
      </c>
      <c r="F34" s="1023" t="str">
        <v>C</v>
      </c>
      <c r="G34" s="1018">
        <v>0</v>
      </c>
      <c r="H34" s="1018">
        <f ca="1"/>
        <v>0</v>
      </c>
      <c r="I34" s="1018">
        <f ca="1"/>
        <v>34</v>
      </c>
      <c r="J34" s="1308">
        <f ca="1"/>
        <v>4</v>
      </c>
      <c r="K34" s="1018">
        <f ca="1"/>
        <v>48</v>
      </c>
      <c r="L34" s="1026">
        <f ca="1"/>
        <v>0</v>
      </c>
      <c r="M34" s="1026">
        <f ca="1"/>
        <v>16696178.922809806</v>
      </c>
      <c r="N34" s="1024" t="str">
        <f ca="1"/>
        <v/>
      </c>
      <c r="O34" s="1026">
        <f ca="1"/>
        <v>16696178.922809806</v>
      </c>
      <c r="P34" s="1024">
        <v>-667847.15691239224</v>
      </c>
      <c r="Q34" s="1024">
        <f ca="1"/>
        <v>-1523686.5784671535</v>
      </c>
      <c r="R34" s="1026">
        <f ca="1"/>
        <v>4955247.423036824</v>
      </c>
      <c r="S34" s="1025">
        <f ca="1"/>
        <v>0</v>
      </c>
      <c r="T34" s="1025">
        <f ca="1"/>
        <v>0</v>
      </c>
      <c r="U34" s="1025">
        <f ca="1"/>
        <v>145742.57126578895</v>
      </c>
    </row>
    <row r="35" spans="1:21" ht="20" customHeight="1">
      <c r="A35" s="113">
        <f t="shared" si="0"/>
        <v>1</v>
      </c>
      <c r="B35"/>
      <c r="C35" s="1055" t="str">
        <v>3.1</v>
      </c>
      <c r="D35" s="1055" t="str">
        <v>3.103</v>
      </c>
      <c r="E35" s="1023" t="str">
        <v>C</v>
      </c>
      <c r="F35" s="1023" t="str">
        <v>C</v>
      </c>
      <c r="G35" s="1018">
        <v>0</v>
      </c>
      <c r="H35" s="1018">
        <f ca="1"/>
        <v>0</v>
      </c>
      <c r="I35" s="1018">
        <f ca="1"/>
        <v>39</v>
      </c>
      <c r="J35" s="1308">
        <f ca="1"/>
        <v>4</v>
      </c>
      <c r="K35" s="1018">
        <f ca="1"/>
        <v>48</v>
      </c>
      <c r="L35" s="1026">
        <f ca="1"/>
        <v>0</v>
      </c>
      <c r="M35" s="1026">
        <f ca="1"/>
        <v>19151499.352634776</v>
      </c>
      <c r="N35" s="1024" t="str">
        <f ca="1"/>
        <v/>
      </c>
      <c r="O35" s="1026">
        <f ca="1"/>
        <v>19151499.352634776</v>
      </c>
      <c r="P35" s="1024">
        <v>-766059.97410539107</v>
      </c>
      <c r="Q35" s="1024">
        <f ca="1"/>
        <v>-1747758.1341240876</v>
      </c>
      <c r="R35" s="1026">
        <f ca="1"/>
        <v>4857034.6058438253</v>
      </c>
      <c r="S35" s="1025">
        <f ca="1"/>
        <v>0</v>
      </c>
      <c r="T35" s="1025">
        <f ca="1"/>
        <v>0</v>
      </c>
      <c r="U35" s="1025">
        <f ca="1"/>
        <v>124539.3488677904</v>
      </c>
    </row>
    <row r="36" spans="1:21" ht="20" customHeight="1">
      <c r="A36" s="113">
        <f t="shared" si="0"/>
        <v>1</v>
      </c>
      <c r="B36"/>
      <c r="C36" s="1055" t="str">
        <v>3.2</v>
      </c>
      <c r="D36" s="1055" t="str">
        <v>3.201</v>
      </c>
      <c r="E36" s="1023" t="str">
        <v>C</v>
      </c>
      <c r="F36" s="1023" t="str">
        <v>C</v>
      </c>
      <c r="G36" s="1018">
        <v>0</v>
      </c>
      <c r="H36" s="1018">
        <f ca="1"/>
        <v>0</v>
      </c>
      <c r="I36" s="1018">
        <f ca="1"/>
        <v>45</v>
      </c>
      <c r="J36" s="1308">
        <f ca="1"/>
        <v>4</v>
      </c>
      <c r="K36" s="1018">
        <f ca="1"/>
        <v>48</v>
      </c>
      <c r="L36" s="1026">
        <f ca="1"/>
        <v>0</v>
      </c>
      <c r="M36" s="1026">
        <f ca="1"/>
        <v>22097883.868424743</v>
      </c>
      <c r="N36" s="1024" t="str">
        <f ca="1"/>
        <v/>
      </c>
      <c r="O36" s="1026">
        <f ca="1"/>
        <v>22097883.868424743</v>
      </c>
      <c r="P36" s="1024">
        <v>-883915.35473698971</v>
      </c>
      <c r="Q36" s="1024">
        <f ca="1"/>
        <v>-2631240.2678571427</v>
      </c>
      <c r="R36" s="1026">
        <f ca="1"/>
        <v>4739179.2252122266</v>
      </c>
      <c r="S36" s="1025">
        <f ca="1"/>
        <v>0</v>
      </c>
      <c r="T36" s="1025">
        <f ca="1"/>
        <v>0</v>
      </c>
      <c r="U36" s="1025">
        <f ca="1"/>
        <v>105315.09389360504</v>
      </c>
    </row>
    <row r="37" spans="1:21" ht="20" customHeight="1">
      <c r="A37" s="113">
        <f t="shared" si="0"/>
        <v>1</v>
      </c>
      <c r="B37"/>
      <c r="C37" s="1055" t="str">
        <v>3.2</v>
      </c>
      <c r="D37" s="1055" t="str">
        <v>3.202</v>
      </c>
      <c r="E37" s="1023" t="str">
        <v>C</v>
      </c>
      <c r="F37" s="1023" t="str">
        <v>C</v>
      </c>
      <c r="G37" s="1018">
        <v>0</v>
      </c>
      <c r="H37" s="1018">
        <f ca="1"/>
        <v>0</v>
      </c>
      <c r="I37" s="1018">
        <f ca="1"/>
        <v>60</v>
      </c>
      <c r="J37" s="1308">
        <f ca="1"/>
        <v>4</v>
      </c>
      <c r="K37" s="1018">
        <f ca="1"/>
        <v>48</v>
      </c>
      <c r="L37" s="1026">
        <f ca="1"/>
        <v>0</v>
      </c>
      <c r="M37" s="1026">
        <f ca="1"/>
        <v>29463845.157899655</v>
      </c>
      <c r="N37" s="1024" t="str">
        <f ca="1"/>
        <v/>
      </c>
      <c r="O37" s="1026">
        <f ca="1"/>
        <v>29463845.157899655</v>
      </c>
      <c r="P37" s="1024">
        <v>-1178553.8063159862</v>
      </c>
      <c r="Q37" s="1024">
        <f ca="1"/>
        <v>-3508320.3571428573</v>
      </c>
      <c r="R37" s="1026">
        <f ca="1"/>
        <v>4444540.7736332295</v>
      </c>
      <c r="S37" s="1025">
        <f ca="1"/>
        <v>0</v>
      </c>
      <c r="T37" s="1025">
        <f ca="1"/>
        <v>0</v>
      </c>
      <c r="U37" s="1025">
        <f ca="1"/>
        <v>74075.679560553821</v>
      </c>
    </row>
    <row r="38" spans="1:21" ht="20" customHeight="1">
      <c r="A38" s="113">
        <f t="shared" si="0"/>
        <v>1</v>
      </c>
      <c r="B38"/>
      <c r="C38" s="1055" t="str">
        <v>4.1</v>
      </c>
      <c r="D38" s="1055" t="str">
        <v>4.102</v>
      </c>
      <c r="E38" s="1023" t="str">
        <v>MDR</v>
      </c>
      <c r="F38" s="1023" t="str">
        <v>55x120</v>
      </c>
      <c r="G38" s="1018">
        <v>87</v>
      </c>
      <c r="H38" s="1018">
        <f ca="1"/>
        <v>4785</v>
      </c>
      <c r="I38" s="1018">
        <f ca="1"/>
        <v>23</v>
      </c>
      <c r="J38" s="1308">
        <f ca="1"/>
        <v>7</v>
      </c>
      <c r="K38" s="1018">
        <f ca="1"/>
        <v>78</v>
      </c>
      <c r="L38" s="1026">
        <f ca="1"/>
        <v>13953235.512421811</v>
      </c>
      <c r="M38" s="1026">
        <f ca="1"/>
        <v>0</v>
      </c>
      <c r="N38" s="1024">
        <f ca="1"/>
        <v>-7558002.5692284815</v>
      </c>
      <c r="O38" s="1026">
        <f ca="1"/>
        <v>6395232.9431933295</v>
      </c>
      <c r="P38" s="1024">
        <v>-255809.31772773317</v>
      </c>
      <c r="Q38" s="1024">
        <f ca="1"/>
        <v>-2206404.599609375</v>
      </c>
      <c r="R38" s="1026">
        <f ca="1"/>
        <v>5367285.2622214826</v>
      </c>
      <c r="S38" s="1025">
        <f ca="1"/>
        <v>1121.6897099731416</v>
      </c>
      <c r="T38" s="1025">
        <f ca="1"/>
        <v>61692.934048522788</v>
      </c>
      <c r="U38" s="1025">
        <f ca="1"/>
        <v>233360.22879223837</v>
      </c>
    </row>
    <row r="39" spans="1:21" ht="20" customHeight="1">
      <c r="A39" s="113">
        <f t="shared" si="0"/>
        <v>1</v>
      </c>
      <c r="B39"/>
      <c r="C39" s="1055" t="str">
        <v>4.1</v>
      </c>
      <c r="D39" s="1055" t="str">
        <v>4.104</v>
      </c>
      <c r="E39" s="1023" t="str">
        <v>MDR</v>
      </c>
      <c r="F39" s="1023" t="str">
        <v>45x115</v>
      </c>
      <c r="G39" s="1018">
        <v>91</v>
      </c>
      <c r="H39" s="1018">
        <f ca="1"/>
        <v>4095</v>
      </c>
      <c r="I39" s="1018">
        <f ca="1"/>
        <v>19</v>
      </c>
      <c r="J39" s="1308">
        <f ca="1"/>
        <v>7</v>
      </c>
      <c r="K39" s="1018">
        <f ca="1"/>
        <v>78</v>
      </c>
      <c r="L39" s="1026">
        <f ca="1"/>
        <v>11941170.203420548</v>
      </c>
      <c r="M39" s="1026">
        <f ca="1"/>
        <v>0</v>
      </c>
      <c r="N39" s="1024">
        <f ca="1"/>
        <v>-6468133.8601861298</v>
      </c>
      <c r="O39" s="1026">
        <f ca="1"/>
        <v>5473036.343234418</v>
      </c>
      <c r="P39" s="1024">
        <v>-218921.45372937672</v>
      </c>
      <c r="Q39" s="1024">
        <f ca="1"/>
        <v>-1822682.060546875</v>
      </c>
      <c r="R39" s="1026">
        <f ca="1"/>
        <v>5404173.1262198389</v>
      </c>
      <c r="S39" s="1025">
        <f ca="1"/>
        <v>1319.7003971232818</v>
      </c>
      <c r="T39" s="1025">
        <f ca="1"/>
        <v>59386.517870547679</v>
      </c>
      <c r="U39" s="1025">
        <f ca="1"/>
        <v>284430.16453788627</v>
      </c>
    </row>
    <row r="40" spans="1:21" ht="20" customHeight="1">
      <c r="A40" s="113">
        <f t="shared" si="0"/>
        <v>1</v>
      </c>
      <c r="B40"/>
      <c r="C40" s="1055" t="str">
        <v>4.1</v>
      </c>
      <c r="D40" s="1055" t="str">
        <v>4.105</v>
      </c>
      <c r="E40" s="1023" t="str">
        <v>MDR</v>
      </c>
      <c r="F40" s="1023" t="str">
        <v>55x120</v>
      </c>
      <c r="G40" s="1018">
        <v>83</v>
      </c>
      <c r="H40" s="1018">
        <f ca="1"/>
        <v>4565</v>
      </c>
      <c r="I40" s="1018">
        <f ca="1"/>
        <v>22</v>
      </c>
      <c r="J40" s="1308">
        <f ca="1"/>
        <v>7</v>
      </c>
      <c r="K40" s="1018">
        <f ca="1"/>
        <v>78</v>
      </c>
      <c r="L40" s="1026">
        <f ca="1"/>
        <v>13311707.442885177</v>
      </c>
      <c r="M40" s="1026">
        <f ca="1"/>
        <v>0</v>
      </c>
      <c r="N40" s="1024">
        <f ca="1"/>
        <v>-7210508.1982294712</v>
      </c>
      <c r="O40" s="1026">
        <f ca="1"/>
        <v>6101199.244655706</v>
      </c>
      <c r="P40" s="1024">
        <v>-244047.96978622823</v>
      </c>
      <c r="Q40" s="1024">
        <f ca="1"/>
        <v>-2110473.96484375</v>
      </c>
      <c r="R40" s="1026">
        <f ca="1"/>
        <v>5379046.6101629874</v>
      </c>
      <c r="S40" s="1025">
        <f ca="1"/>
        <v>1178.3234633434802</v>
      </c>
      <c r="T40" s="1025">
        <f ca="1"/>
        <v>64807.790483891411</v>
      </c>
      <c r="U40" s="1025">
        <f ca="1"/>
        <v>244502.11864377215</v>
      </c>
    </row>
    <row r="41" spans="1:21" ht="20" customHeight="1">
      <c r="A41" s="113">
        <f t="shared" si="0"/>
        <v>1</v>
      </c>
      <c r="B41"/>
      <c r="C41" s="1055" t="str">
        <v>4.2</v>
      </c>
      <c r="D41" s="1055" t="str">
        <v>4.201</v>
      </c>
      <c r="E41" s="1023" t="str">
        <v>MDR</v>
      </c>
      <c r="F41" s="1023" t="str">
        <v>70x130</v>
      </c>
      <c r="G41" s="1018">
        <v>45</v>
      </c>
      <c r="H41" s="1018">
        <f ca="1"/>
        <v>3150</v>
      </c>
      <c r="I41" s="1018">
        <f ca="1"/>
        <v>17</v>
      </c>
      <c r="J41" s="1308">
        <f ca="1"/>
        <v>8</v>
      </c>
      <c r="K41" s="1018">
        <f ca="1"/>
        <v>96</v>
      </c>
      <c r="L41" s="1026">
        <f ca="1"/>
        <v>9607765.6106848717</v>
      </c>
      <c r="M41" s="1026">
        <f ca="1"/>
        <v>0</v>
      </c>
      <c r="N41" s="1024">
        <f ca="1"/>
        <v>-5204206.3724543061</v>
      </c>
      <c r="O41" s="1026">
        <f ca="1"/>
        <v>4403559.2382305656</v>
      </c>
      <c r="P41" s="1024">
        <v>-176142.3695292226</v>
      </c>
      <c r="Q41" s="1024">
        <f ca="1"/>
        <v>-796736.875</v>
      </c>
      <c r="R41" s="1026">
        <f ca="1"/>
        <v>5446952.2104199929</v>
      </c>
      <c r="S41" s="1025">
        <f ca="1"/>
        <v>1729.1911779111088</v>
      </c>
      <c r="T41" s="1025">
        <f ca="1"/>
        <v>121043.38245377762</v>
      </c>
      <c r="U41" s="1025">
        <f ca="1"/>
        <v>320408.95355411724</v>
      </c>
    </row>
    <row r="42" spans="1:21" ht="20" customHeight="1">
      <c r="A42" s="113">
        <f t="shared" ref="A42:A62" si="1">IF($D42=0,0,1)</f>
        <v>1</v>
      </c>
      <c r="B42"/>
      <c r="C42" s="1055" t="str">
        <v>4.2</v>
      </c>
      <c r="D42" s="1055" t="str">
        <v>4.202</v>
      </c>
      <c r="E42" s="1023" t="str">
        <v>MLDR</v>
      </c>
      <c r="F42" s="1023" t="str">
        <v>80x130</v>
      </c>
      <c r="G42" s="1018">
        <v>62</v>
      </c>
      <c r="H42" s="1018">
        <f ca="1"/>
        <v>4960</v>
      </c>
      <c r="I42" s="1018">
        <f ca="1"/>
        <v>26</v>
      </c>
      <c r="J42" s="1308">
        <f ca="1"/>
        <v>8</v>
      </c>
      <c r="K42" s="1018">
        <f ca="1"/>
        <v>96</v>
      </c>
      <c r="L42" s="1026">
        <f ca="1"/>
        <v>13867716.712141974</v>
      </c>
      <c r="M42" s="1026">
        <f ca="1"/>
        <v>0</v>
      </c>
      <c r="N42" s="1024">
        <f ca="1"/>
        <v>-8194559.8753566211</v>
      </c>
      <c r="O42" s="1026">
        <f ca="1"/>
        <v>5673156.8367853528</v>
      </c>
      <c r="P42" s="1024">
        <v>-226926.27347141411</v>
      </c>
      <c r="Q42" s="1024">
        <f ca="1"/>
        <v>-1218538.75</v>
      </c>
      <c r="R42" s="1026">
        <f ca="1"/>
        <v>5396168.3064778019</v>
      </c>
      <c r="S42" s="1025">
        <f ca="1"/>
        <v>1087.9371585640729</v>
      </c>
      <c r="T42" s="1025">
        <f ca="1"/>
        <v>87034.972685125831</v>
      </c>
      <c r="U42" s="1025">
        <f ca="1"/>
        <v>207544.93486453083</v>
      </c>
    </row>
    <row r="43" spans="1:21" ht="20" customHeight="1">
      <c r="A43" s="113">
        <f t="shared" si="1"/>
        <v>1</v>
      </c>
      <c r="B43"/>
      <c r="C43" s="1055" t="str">
        <v>4.2</v>
      </c>
      <c r="D43" s="1055" t="str">
        <v>4.203</v>
      </c>
      <c r="E43" s="1023" t="str">
        <v>MLDR</v>
      </c>
      <c r="F43" s="1023" t="str">
        <v>70x130</v>
      </c>
      <c r="G43" s="1018">
        <v>54</v>
      </c>
      <c r="H43" s="1018">
        <f ca="1"/>
        <v>3780</v>
      </c>
      <c r="I43" s="1018">
        <f ca="1"/>
        <v>20</v>
      </c>
      <c r="J43" s="1308">
        <f ca="1"/>
        <v>8</v>
      </c>
      <c r="K43" s="1018">
        <f ca="1"/>
        <v>96</v>
      </c>
      <c r="L43" s="1026">
        <f ca="1"/>
        <v>10568542.17175336</v>
      </c>
      <c r="M43" s="1026">
        <f ca="1"/>
        <v>0</v>
      </c>
      <c r="N43" s="1024">
        <f ca="1"/>
        <v>-6245047.6469451673</v>
      </c>
      <c r="O43" s="1026">
        <f ca="1"/>
        <v>4323494.5248081926</v>
      </c>
      <c r="P43" s="1024">
        <v>-172939.78099232769</v>
      </c>
      <c r="Q43" s="1024">
        <f ca="1"/>
        <v>-937337.5</v>
      </c>
      <c r="R43" s="1026">
        <f ca="1"/>
        <v>5450154.7989568887</v>
      </c>
      <c r="S43" s="1025">
        <f ca="1"/>
        <v>1441.8398939039389</v>
      </c>
      <c r="T43" s="1025">
        <f ca="1"/>
        <v>100928.79257327571</v>
      </c>
      <c r="U43" s="1025">
        <f ca="1"/>
        <v>272507.73994784441</v>
      </c>
    </row>
    <row r="44" spans="1:21" s="115" customFormat="1" ht="20" customHeight="1">
      <c r="A44" s="113">
        <f t="shared" si="1"/>
        <v>1</v>
      </c>
      <c r="B44"/>
      <c r="C44" s="1055" t="str">
        <v>4.2</v>
      </c>
      <c r="D44" s="1055" t="str">
        <v>4.204</v>
      </c>
      <c r="E44" s="1023" t="str">
        <v>MLDR</v>
      </c>
      <c r="F44" s="1023" t="str">
        <v>70x130</v>
      </c>
      <c r="G44" s="1018">
        <v>62</v>
      </c>
      <c r="H44" s="1018">
        <f ca="1"/>
        <v>4340</v>
      </c>
      <c r="I44" s="1018">
        <f ca="1"/>
        <v>23</v>
      </c>
      <c r="J44" s="1308">
        <f ca="1"/>
        <v>8</v>
      </c>
      <c r="K44" s="1018">
        <f ca="1"/>
        <v>96</v>
      </c>
      <c r="L44" s="1026">
        <f ca="1"/>
        <v>12134252.123124227</v>
      </c>
      <c r="M44" s="1026">
        <f ca="1"/>
        <v>0</v>
      </c>
      <c r="N44" s="1024">
        <f ca="1"/>
        <v>-7170239.8909370434</v>
      </c>
      <c r="O44" s="1026">
        <f ca="1"/>
        <v>4964012.2321871836</v>
      </c>
      <c r="P44" s="1024">
        <v>-198560.48928748735</v>
      </c>
      <c r="Q44" s="1024">
        <f ca="1"/>
        <v>-1077938.125</v>
      </c>
      <c r="R44" s="1026">
        <f ca="1"/>
        <v>5424534.0906617288</v>
      </c>
      <c r="S44" s="1025">
        <f ca="1"/>
        <v>1249.8926476179099</v>
      </c>
      <c r="T44" s="1025">
        <f ca="1"/>
        <v>87492.485333253688</v>
      </c>
      <c r="U44" s="1025">
        <f ca="1"/>
        <v>235849.30828964038</v>
      </c>
    </row>
    <row r="45" spans="1:21" s="115" customFormat="1" ht="20" customHeight="1">
      <c r="A45" s="113">
        <f t="shared" si="1"/>
        <v>1</v>
      </c>
      <c r="B45"/>
      <c r="C45" s="1055" t="str">
        <v>4.2</v>
      </c>
      <c r="D45" s="1055" t="str">
        <v>4.205</v>
      </c>
      <c r="E45" s="1023" t="str">
        <v>MLDR</v>
      </c>
      <c r="F45" s="1023" t="str">
        <v>80x130</v>
      </c>
      <c r="G45" s="1018">
        <v>64</v>
      </c>
      <c r="H45" s="1018">
        <f ca="1"/>
        <v>5120</v>
      </c>
      <c r="I45" s="1018">
        <f ca="1"/>
        <v>27</v>
      </c>
      <c r="J45" s="1308">
        <f ca="1"/>
        <v>8</v>
      </c>
      <c r="K45" s="1018">
        <f ca="1"/>
        <v>96</v>
      </c>
      <c r="L45" s="1026">
        <f ca="1"/>
        <v>14315062.41253365</v>
      </c>
      <c r="M45" s="1026">
        <f ca="1"/>
        <v>0</v>
      </c>
      <c r="N45" s="1024">
        <f ca="1"/>
        <v>-8458900.5164971575</v>
      </c>
      <c r="O45" s="1026">
        <f ca="1"/>
        <v>5856161.8960364927</v>
      </c>
      <c r="P45" s="1024">
        <v>-234246.4758414597</v>
      </c>
      <c r="Q45" s="1024">
        <f ca="1"/>
        <v>-1265405.625</v>
      </c>
      <c r="R45" s="1026">
        <f ca="1"/>
        <v>5388848.1041077562</v>
      </c>
      <c r="S45" s="1025">
        <f ca="1"/>
        <v>1052.5093953335461</v>
      </c>
      <c r="T45" s="1025">
        <f ca="1"/>
        <v>84200.75162668369</v>
      </c>
      <c r="U45" s="1025">
        <f ca="1"/>
        <v>199586.96681880578</v>
      </c>
    </row>
    <row r="46" spans="1:21" s="115" customFormat="1" ht="20" customHeight="1">
      <c r="A46" s="113">
        <f t="shared" si="1"/>
        <v>1</v>
      </c>
      <c r="B46"/>
      <c r="C46" s="1055" t="str">
        <v>4.2</v>
      </c>
      <c r="D46" s="1055" t="str">
        <v>4.206</v>
      </c>
      <c r="E46" s="1023" t="str">
        <v>C</v>
      </c>
      <c r="F46" s="1023" t="str">
        <v>C</v>
      </c>
      <c r="G46" s="1018">
        <v>0</v>
      </c>
      <c r="H46" s="1018">
        <f ca="1"/>
        <v>0</v>
      </c>
      <c r="I46" s="1018">
        <f ca="1"/>
        <v>18</v>
      </c>
      <c r="J46" s="1308">
        <f ca="1"/>
        <v>8</v>
      </c>
      <c r="K46" s="1018">
        <f ca="1"/>
        <v>96</v>
      </c>
      <c r="L46" s="1026">
        <f ca="1"/>
        <v>0</v>
      </c>
      <c r="M46" s="1026">
        <f ca="1"/>
        <v>9964625.4762245957</v>
      </c>
      <c r="N46" s="1024" t="str">
        <f ca="1"/>
        <v/>
      </c>
      <c r="O46" s="1026">
        <f ca="1"/>
        <v>9964625.4762245957</v>
      </c>
      <c r="P46" s="1024">
        <v>-398585.01904898381</v>
      </c>
      <c r="Q46" s="1024">
        <f ca="1"/>
        <v>-843603.75</v>
      </c>
      <c r="R46" s="1026">
        <f ca="1"/>
        <v>5224509.5609002318</v>
      </c>
      <c r="S46" s="1025">
        <f ca="1"/>
        <v>0</v>
      </c>
      <c r="T46" s="1025">
        <f ca="1"/>
        <v>0</v>
      </c>
      <c r="U46" s="1025">
        <f ca="1"/>
        <v>290250.531161124</v>
      </c>
    </row>
    <row r="47" spans="1:21" s="115" customFormat="1" ht="20" customHeight="1">
      <c r="A47" s="113">
        <f t="shared" si="1"/>
        <v>0</v>
      </c>
      <c r="B47"/>
      <c r="C47" s="1055"/>
      <c r="D47" s="1055"/>
      <c r="E47" s="1023"/>
      <c r="F47" s="1023"/>
      <c r="G47" s="1018"/>
      <c r="H47" s="1018"/>
      <c r="I47" s="1018"/>
      <c r="J47" s="1308"/>
      <c r="K47" s="1018"/>
      <c r="L47" s="1026"/>
      <c r="M47" s="1026"/>
      <c r="N47" s="1024"/>
      <c r="O47" s="1026"/>
      <c r="P47" s="1024"/>
      <c r="Q47" s="1024"/>
      <c r="R47" s="1026"/>
      <c r="S47" s="1025"/>
      <c r="T47" s="1025"/>
      <c r="U47" s="1025"/>
    </row>
    <row r="48" spans="1:21" s="115" customFormat="1" ht="20" customHeight="1">
      <c r="A48" s="113">
        <f t="shared" si="1"/>
        <v>0</v>
      </c>
      <c r="B48"/>
      <c r="C48" s="1055"/>
      <c r="D48" s="1055"/>
      <c r="E48" s="1023"/>
      <c r="F48" s="1023"/>
      <c r="G48" s="1018"/>
      <c r="H48" s="1018"/>
      <c r="I48" s="1018"/>
      <c r="J48" s="1308"/>
      <c r="K48" s="1018"/>
      <c r="L48" s="1026"/>
      <c r="M48" s="1026"/>
      <c r="N48" s="1024"/>
      <c r="O48" s="1026"/>
      <c r="P48" s="1024"/>
      <c r="Q48" s="1024"/>
      <c r="R48" s="1026"/>
      <c r="S48" s="1025"/>
      <c r="T48" s="1025"/>
      <c r="U48" s="1025"/>
    </row>
    <row r="49" spans="1:21" s="115" customFormat="1" ht="20" customHeight="1">
      <c r="A49" s="113">
        <f t="shared" si="1"/>
        <v>0</v>
      </c>
      <c r="B49"/>
      <c r="C49" s="1055"/>
      <c r="D49" s="1055"/>
      <c r="E49" s="1023"/>
      <c r="F49" s="1023"/>
      <c r="G49" s="1018"/>
      <c r="H49" s="1018"/>
      <c r="I49" s="1018"/>
      <c r="J49" s="1308"/>
      <c r="K49" s="1018"/>
      <c r="L49" s="1026"/>
      <c r="M49" s="1026"/>
      <c r="N49" s="1024"/>
      <c r="O49" s="1026"/>
      <c r="P49" s="1024"/>
      <c r="Q49" s="1024"/>
      <c r="R49" s="1026"/>
      <c r="S49" s="1025"/>
      <c r="T49" s="1025"/>
      <c r="U49" s="1025"/>
    </row>
    <row r="50" spans="1:21" s="115" customFormat="1" ht="20" customHeight="1">
      <c r="A50" s="113">
        <f t="shared" si="1"/>
        <v>0</v>
      </c>
      <c r="B50"/>
      <c r="C50" s="1055"/>
      <c r="D50" s="1055"/>
      <c r="E50" s="1023"/>
      <c r="F50" s="1023"/>
      <c r="G50" s="1018"/>
      <c r="H50" s="1018"/>
      <c r="I50" s="1018"/>
      <c r="J50" s="1308"/>
      <c r="K50" s="1018"/>
      <c r="L50" s="1026"/>
      <c r="M50" s="1026"/>
      <c r="N50" s="1024"/>
      <c r="O50" s="1026"/>
      <c r="P50" s="1024"/>
      <c r="Q50" s="1024"/>
      <c r="R50" s="1026"/>
      <c r="S50" s="1025"/>
      <c r="T50" s="1025"/>
      <c r="U50" s="1025"/>
    </row>
    <row r="51" spans="1:21" s="115" customFormat="1" ht="20" customHeight="1">
      <c r="A51" s="113">
        <f t="shared" si="1"/>
        <v>0</v>
      </c>
      <c r="B51"/>
      <c r="C51" s="1055"/>
      <c r="D51" s="1055"/>
      <c r="E51" s="1023"/>
      <c r="F51" s="1023"/>
      <c r="G51" s="1018"/>
      <c r="H51" s="1018"/>
      <c r="I51" s="1018"/>
      <c r="J51" s="1308"/>
      <c r="K51" s="1018"/>
      <c r="L51" s="1026"/>
      <c r="M51" s="1026"/>
      <c r="N51" s="1024"/>
      <c r="O51" s="1026"/>
      <c r="P51" s="1024"/>
      <c r="Q51" s="1024"/>
      <c r="R51" s="1026"/>
      <c r="S51" s="1025"/>
      <c r="T51" s="1025"/>
      <c r="U51" s="1025"/>
    </row>
    <row r="52" spans="1:21" s="115" customFormat="1">
      <c r="A52" s="113">
        <f t="shared" si="1"/>
        <v>0</v>
      </c>
      <c r="B52"/>
      <c r="C52" s="1055"/>
      <c r="D52" s="1055"/>
      <c r="E52" s="1023"/>
      <c r="F52" s="1023"/>
      <c r="G52" s="1018"/>
      <c r="H52" s="1018"/>
      <c r="I52" s="1018"/>
      <c r="J52" s="1308"/>
      <c r="K52" s="1018"/>
      <c r="L52" s="1024"/>
      <c r="M52" s="1024"/>
      <c r="N52" s="1024"/>
      <c r="O52" s="1026"/>
      <c r="P52" s="1024"/>
      <c r="Q52" s="1024"/>
      <c r="R52" s="1026"/>
      <c r="S52" s="1025"/>
      <c r="T52" s="1025"/>
      <c r="U52" s="1025"/>
    </row>
    <row r="53" spans="1:21" s="115" customFormat="1">
      <c r="A53" s="113">
        <f t="shared" si="1"/>
        <v>0</v>
      </c>
      <c r="B53"/>
      <c r="C53" s="1055"/>
      <c r="D53" s="1055"/>
      <c r="E53" s="1023"/>
      <c r="F53" s="1023"/>
      <c r="G53" s="1018"/>
      <c r="H53" s="1018"/>
      <c r="I53" s="1018"/>
      <c r="J53" s="1308"/>
      <c r="K53" s="1018"/>
      <c r="L53" s="1024"/>
      <c r="M53" s="1024"/>
      <c r="N53" s="1024"/>
      <c r="O53" s="1026"/>
      <c r="P53" s="1024"/>
      <c r="Q53" s="1024"/>
      <c r="R53" s="1026"/>
      <c r="S53" s="1025"/>
      <c r="T53" s="1025"/>
      <c r="U53" s="1025"/>
    </row>
    <row r="54" spans="1:21" s="115" customFormat="1">
      <c r="A54" s="113">
        <f t="shared" si="1"/>
        <v>0</v>
      </c>
      <c r="B54"/>
      <c r="C54" s="1055"/>
      <c r="D54" s="1023"/>
      <c r="E54" s="1023"/>
      <c r="F54" s="1023"/>
      <c r="G54" s="1018"/>
      <c r="H54" s="1018"/>
      <c r="I54" s="1018"/>
      <c r="J54" s="1307"/>
      <c r="K54" s="1018"/>
      <c r="L54" s="1024"/>
      <c r="M54" s="1024"/>
      <c r="N54" s="1024"/>
      <c r="O54" s="1024"/>
      <c r="P54" s="1024"/>
      <c r="Q54" s="1024"/>
      <c r="R54" s="1026"/>
      <c r="S54" s="1025"/>
      <c r="T54" s="1025"/>
      <c r="U54" s="1025"/>
    </row>
    <row r="55" spans="1:21" s="115" customFormat="1">
      <c r="A55" s="113">
        <f t="shared" si="1"/>
        <v>0</v>
      </c>
      <c r="B55"/>
      <c r="C55" s="1055"/>
      <c r="D55" s="1023"/>
      <c r="E55" s="1023"/>
      <c r="F55" s="1023"/>
      <c r="G55" s="1018"/>
      <c r="H55" s="1018"/>
      <c r="I55" s="1018"/>
      <c r="J55" s="1307"/>
      <c r="K55" s="1018"/>
      <c r="L55" s="1024"/>
      <c r="M55" s="1024"/>
      <c r="N55" s="1024"/>
      <c r="O55" s="1024"/>
      <c r="P55" s="1024"/>
      <c r="Q55" s="1024"/>
      <c r="R55" s="1026"/>
      <c r="S55" s="1025"/>
      <c r="T55" s="1025"/>
      <c r="U55" s="1025"/>
    </row>
    <row r="56" spans="1:21">
      <c r="A56" s="113">
        <f t="shared" si="1"/>
        <v>0</v>
      </c>
      <c r="B56"/>
      <c r="C56" s="1055"/>
      <c r="D56" s="1023"/>
      <c r="E56" s="1023"/>
      <c r="F56" s="1023"/>
      <c r="G56" s="1018"/>
      <c r="H56" s="1018"/>
      <c r="I56" s="1018"/>
      <c r="J56" s="1307"/>
      <c r="K56" s="1018"/>
      <c r="L56" s="1024"/>
      <c r="M56" s="1024"/>
      <c r="N56" s="1024"/>
      <c r="O56" s="1024"/>
      <c r="P56" s="1024"/>
      <c r="Q56" s="1024"/>
      <c r="R56" s="1026"/>
      <c r="S56" s="1025"/>
      <c r="T56" s="1025"/>
      <c r="U56" s="1025"/>
    </row>
    <row r="57" spans="1:21">
      <c r="A57" s="113">
        <f t="shared" si="1"/>
        <v>0</v>
      </c>
      <c r="B57"/>
      <c r="C57" s="1055"/>
      <c r="D57" s="1023"/>
      <c r="E57" s="1023"/>
      <c r="F57" s="1023"/>
      <c r="G57" s="1018"/>
      <c r="H57" s="1018"/>
      <c r="I57" s="1018"/>
      <c r="J57" s="1307"/>
      <c r="K57" s="1018"/>
      <c r="L57" s="1024"/>
      <c r="M57" s="1024"/>
      <c r="N57" s="1024"/>
      <c r="O57" s="1024"/>
      <c r="P57" s="1024"/>
      <c r="Q57" s="1024"/>
      <c r="R57" s="1026"/>
      <c r="S57" s="1025"/>
      <c r="T57" s="1025"/>
      <c r="U57" s="1025"/>
    </row>
    <row r="58" spans="1:21">
      <c r="A58" s="113">
        <f t="shared" si="1"/>
        <v>0</v>
      </c>
      <c r="B58"/>
      <c r="C58" s="1055"/>
      <c r="D58" s="1023"/>
      <c r="E58" s="1023"/>
      <c r="F58" s="1023"/>
      <c r="G58" s="1018"/>
      <c r="H58" s="1018"/>
      <c r="I58" s="1018"/>
      <c r="J58" s="1307"/>
      <c r="K58" s="1018"/>
      <c r="L58" s="1024"/>
      <c r="M58" s="1024"/>
      <c r="N58" s="1024"/>
      <c r="O58" s="1024"/>
      <c r="P58" s="1024"/>
      <c r="Q58" s="1024"/>
      <c r="R58" s="1026"/>
      <c r="S58" s="1025"/>
      <c r="T58" s="1025"/>
      <c r="U58" s="1025"/>
    </row>
    <row r="59" spans="1:21">
      <c r="A59" s="113">
        <f t="shared" si="1"/>
        <v>0</v>
      </c>
      <c r="B59"/>
      <c r="C59" s="1055"/>
      <c r="D59" s="1023"/>
      <c r="E59" s="1023"/>
      <c r="F59" s="1023"/>
      <c r="G59" s="1018"/>
      <c r="H59" s="1018"/>
      <c r="I59" s="1018"/>
      <c r="J59" s="1307"/>
      <c r="K59" s="1018"/>
      <c r="L59" s="1024"/>
      <c r="M59" s="1024"/>
      <c r="N59" s="1024"/>
      <c r="O59" s="1024"/>
      <c r="P59" s="1024"/>
      <c r="Q59" s="1024"/>
      <c r="R59" s="1026"/>
      <c r="S59" s="1025"/>
      <c r="T59" s="1025"/>
      <c r="U59" s="1025"/>
    </row>
    <row r="60" spans="1:21">
      <c r="A60" s="113">
        <f t="shared" si="1"/>
        <v>0</v>
      </c>
      <c r="B60"/>
      <c r="C60" s="1055"/>
      <c r="D60" s="1023"/>
      <c r="E60" s="1023"/>
      <c r="F60" s="1023"/>
      <c r="G60" s="1018"/>
      <c r="H60" s="1018"/>
      <c r="I60" s="1018"/>
      <c r="J60" s="1307"/>
      <c r="K60" s="1018"/>
      <c r="L60" s="1024"/>
      <c r="M60" s="1024"/>
      <c r="N60" s="1024"/>
      <c r="O60" s="1024"/>
      <c r="P60" s="1024"/>
      <c r="Q60" s="1024"/>
      <c r="R60" s="1026"/>
      <c r="S60" s="1025"/>
      <c r="T60" s="1025"/>
      <c r="U60" s="1025"/>
    </row>
    <row r="61" spans="1:21">
      <c r="A61" s="113">
        <f t="shared" si="1"/>
        <v>0</v>
      </c>
      <c r="B61"/>
      <c r="C61" s="1055"/>
      <c r="D61" s="1023"/>
      <c r="E61" s="1023"/>
      <c r="F61" s="1023"/>
      <c r="G61" s="1018"/>
      <c r="H61" s="1018"/>
      <c r="I61" s="1018"/>
      <c r="J61" s="1307"/>
      <c r="K61" s="1018"/>
      <c r="L61" s="1024"/>
      <c r="M61" s="1024"/>
      <c r="N61" s="1024"/>
      <c r="O61" s="1024"/>
      <c r="P61" s="1024"/>
      <c r="Q61" s="1024"/>
      <c r="R61" s="1026"/>
      <c r="S61" s="1025"/>
      <c r="T61" s="1025"/>
      <c r="U61" s="1025"/>
    </row>
    <row r="62" spans="1:21">
      <c r="A62" s="113">
        <f t="shared" si="1"/>
        <v>0</v>
      </c>
      <c r="B62"/>
      <c r="C62" s="1496"/>
      <c r="D62" s="1497"/>
      <c r="E62" s="1497"/>
      <c r="F62" s="1497"/>
      <c r="G62" s="1498"/>
      <c r="H62" s="1498"/>
      <c r="I62" s="1498"/>
      <c r="J62" s="1499"/>
      <c r="K62" s="1498"/>
      <c r="L62" s="1500"/>
      <c r="M62" s="1500"/>
      <c r="N62" s="1500"/>
      <c r="O62" s="1500"/>
      <c r="P62" s="1500"/>
      <c r="Q62" s="1500"/>
      <c r="R62" s="1501"/>
      <c r="S62" s="1502"/>
      <c r="T62" s="1502"/>
      <c r="U62" s="1502"/>
    </row>
    <row r="63" spans="1:21" ht="25" customHeight="1" thickBot="1">
      <c r="A63" s="113">
        <v>1</v>
      </c>
      <c r="B63"/>
      <c r="C63" s="1503"/>
      <c r="D63" s="1504"/>
      <c r="E63" s="1504"/>
      <c r="F63" s="1505"/>
      <c r="G63" s="1506">
        <f>SUM(_xlfn.ANCHORARRAY(G10))</f>
        <v>3416</v>
      </c>
      <c r="H63" s="1506">
        <f ca="1">SUM(_xlfn.ANCHORARRAY(H10))</f>
        <v>111105</v>
      </c>
      <c r="I63" s="1506">
        <f ca="1">SUM(_xlfn.ANCHORARRAY(I10))</f>
        <v>941</v>
      </c>
      <c r="J63" s="1507"/>
      <c r="K63" s="1508"/>
      <c r="L63" s="1509">
        <f t="shared" ref="L63:R63" ca="1" si="2">SUM(_xlfn.ANCHORARRAY(L10))</f>
        <v>304583853.5128631</v>
      </c>
      <c r="M63" s="1509">
        <f t="shared" ca="1" si="2"/>
        <v>205139491.66679096</v>
      </c>
      <c r="N63" s="1506">
        <f t="shared" ca="1" si="2"/>
        <v>-167488649.64694554</v>
      </c>
      <c r="O63" s="1506">
        <f t="shared" ca="1" si="2"/>
        <v>342234695.53270864</v>
      </c>
      <c r="P63" s="1506">
        <f t="shared" si="2"/>
        <v>-13689387.821308341</v>
      </c>
      <c r="Q63" s="1506">
        <f t="shared" ca="1" si="2"/>
        <v>-49116485</v>
      </c>
      <c r="R63" s="1506">
        <f t="shared" ca="1" si="2"/>
        <v>194365111.63681269</v>
      </c>
      <c r="S63" s="1510"/>
      <c r="T63" s="1511"/>
      <c r="U63" s="1511"/>
    </row>
  </sheetData>
  <mergeCells count="5">
    <mergeCell ref="L8:M8"/>
    <mergeCell ref="J8:K8"/>
    <mergeCell ref="G8:I8"/>
    <mergeCell ref="E8:F8"/>
    <mergeCell ref="S8:U8"/>
  </mergeCells>
  <conditionalFormatting sqref="D10:U62">
    <cfRule type="expression" dxfId="33" priority="2">
      <formula>MOD(ROW(),2)=1</formula>
    </cfRule>
  </conditionalFormatting>
  <conditionalFormatting sqref="C10:C62">
    <cfRule type="expression" dxfId="32" priority="1">
      <formula>MOD(ROW(),2)=1</formula>
    </cfRule>
  </conditionalFormatting>
  <pageMargins left="0.25" right="0.25" top="0.75" bottom="0.75" header="0.3" footer="0.3"/>
  <pageSetup scale="55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04679-4F71-470C-BF72-D2C159082EDE}">
  <sheetPr codeName="Sheet24" filterMode="1">
    <tabColor rgb="FF0070C0"/>
    <pageSetUpPr fitToPage="1"/>
  </sheetPr>
  <dimension ref="A1:S38"/>
  <sheetViews>
    <sheetView showGridLines="0" topLeftCell="B2" workbookViewId="0">
      <selection activeCell="H5" sqref="H5"/>
    </sheetView>
  </sheetViews>
  <sheetFormatPr baseColWidth="10" defaultColWidth="0" defaultRowHeight="13.5" customHeight="1"/>
  <cols>
    <col min="1" max="1" width="11.5" hidden="1" customWidth="1"/>
    <col min="2" max="2" width="2.83203125" customWidth="1"/>
    <col min="3" max="3" width="10.6640625" bestFit="1" customWidth="1"/>
    <col min="4" max="5" width="8.5" customWidth="1"/>
    <col min="6" max="6" width="7.1640625" customWidth="1"/>
    <col min="7" max="7" width="10.33203125" customWidth="1"/>
    <col min="8" max="8" width="7.83203125" bestFit="1" customWidth="1"/>
    <col min="9" max="9" width="10" bestFit="1" customWidth="1"/>
    <col min="10" max="10" width="9.6640625" bestFit="1" customWidth="1"/>
    <col min="11" max="12" width="13.33203125" customWidth="1"/>
    <col min="13" max="13" width="11.83203125" customWidth="1"/>
    <col min="14" max="14" width="12.5" bestFit="1" customWidth="1"/>
    <col min="15" max="15" width="14.6640625" customWidth="1"/>
    <col min="16" max="16" width="12.5" customWidth="1"/>
    <col min="17" max="17" width="9.33203125" customWidth="1"/>
    <col min="18" max="18" width="7.83203125" bestFit="1" customWidth="1"/>
    <col min="19" max="19" width="6.5" customWidth="1"/>
    <col min="20" max="16384" width="9" hidden="1"/>
  </cols>
  <sheetData>
    <row r="1" spans="1:17" ht="16" hidden="1">
      <c r="A1" s="199"/>
      <c r="B1" s="116"/>
      <c r="C1" s="1020"/>
      <c r="D1" s="1020"/>
      <c r="E1" s="1020"/>
      <c r="F1" s="384"/>
      <c r="G1" s="384"/>
      <c r="H1" s="384"/>
      <c r="I1" s="385">
        <f>IF(SUM(I40:$S111)&gt;0,0,1)</f>
        <v>1</v>
      </c>
      <c r="J1" s="385">
        <f>IF(SUM(J40:$S111)&gt;0,0,1)</f>
        <v>1</v>
      </c>
      <c r="K1" s="385">
        <f>IF(SUM(K40:$S111)&gt;0,0,1)</f>
        <v>1</v>
      </c>
      <c r="L1" s="385">
        <f>IF(SUM(L40:$S111)&gt;0,0,1)</f>
        <v>1</v>
      </c>
      <c r="M1" s="385">
        <f>IF(SUM(M40:$S111)&gt;0,0,1)</f>
        <v>1</v>
      </c>
      <c r="N1" s="385">
        <f>IF(SUM(N40:$S111)&gt;0,0,1)</f>
        <v>1</v>
      </c>
      <c r="O1" s="385">
        <f>IF(SUM(O40:$S111)&gt;0,0,1)</f>
        <v>1</v>
      </c>
      <c r="P1" s="385">
        <f>IF(SUM(P40:$S111)&gt;0,0,1)</f>
        <v>1</v>
      </c>
      <c r="Q1" s="99"/>
    </row>
    <row r="2" spans="1:17" ht="20">
      <c r="A2" s="34"/>
      <c r="B2" s="31" t="str">
        <f>i_Project.Name</f>
        <v>Peoria Lakes</v>
      </c>
      <c r="C2" s="1021"/>
      <c r="D2" s="1021"/>
      <c r="E2" s="1021"/>
      <c r="F2" s="386"/>
      <c r="G2" s="386"/>
      <c r="H2" s="386"/>
      <c r="I2" s="387"/>
      <c r="J2" s="388"/>
      <c r="K2" s="389"/>
      <c r="L2" s="388"/>
      <c r="M2" s="389"/>
      <c r="N2" s="390"/>
      <c r="O2" s="391"/>
      <c r="P2" s="392"/>
      <c r="Q2" s="392"/>
    </row>
    <row r="3" spans="1:17" ht="16">
      <c r="A3" s="34"/>
      <c r="B3" s="138" t="str">
        <f>i_Project.Location</f>
        <v>Peoria Lakes</v>
      </c>
      <c r="C3" s="1021"/>
      <c r="D3" s="1021"/>
      <c r="E3" s="1021"/>
      <c r="F3" s="386"/>
      <c r="G3" s="386"/>
      <c r="H3" s="386"/>
      <c r="I3" s="393"/>
      <c r="J3" s="389"/>
      <c r="K3" s="389"/>
      <c r="L3" s="389"/>
      <c r="M3" s="394"/>
      <c r="N3" s="395"/>
      <c r="O3" s="396"/>
      <c r="P3" s="397"/>
      <c r="Q3" s="397"/>
    </row>
    <row r="4" spans="1:17" ht="16">
      <c r="A4" s="113"/>
      <c r="B4" s="32" t="str">
        <f>i_Project.Descr</f>
        <v>Land</v>
      </c>
      <c r="C4" s="1021"/>
      <c r="D4" s="1021"/>
      <c r="E4" s="1021"/>
      <c r="F4" s="386"/>
      <c r="G4" s="386"/>
      <c r="H4" s="386"/>
      <c r="I4" s="398"/>
      <c r="J4" s="399"/>
      <c r="K4" s="399"/>
      <c r="L4" s="399"/>
      <c r="M4" s="399"/>
      <c r="N4" s="399"/>
      <c r="O4" s="400"/>
      <c r="P4" s="400"/>
      <c r="Q4" s="400"/>
    </row>
    <row r="5" spans="1:17" ht="16">
      <c r="A5" s="113"/>
      <c r="B5" s="50"/>
      <c r="C5" s="1021"/>
      <c r="D5" s="1021"/>
      <c r="E5" s="1021"/>
      <c r="F5" s="386"/>
      <c r="G5" s="386"/>
      <c r="H5" s="386"/>
      <c r="I5" s="401"/>
      <c r="J5" s="402"/>
      <c r="K5" s="402"/>
      <c r="L5" s="402"/>
      <c r="M5" s="402"/>
      <c r="N5" s="402"/>
      <c r="O5" s="402"/>
      <c r="P5" s="402"/>
      <c r="Q5" s="402"/>
    </row>
    <row r="6" spans="1:17" ht="16.5" customHeight="1" thickBot="1">
      <c r="A6" s="113"/>
      <c r="B6" s="47"/>
      <c r="C6" s="1022"/>
      <c r="D6" s="1022"/>
      <c r="E6" s="1022"/>
      <c r="F6" s="403"/>
      <c r="G6" s="403"/>
      <c r="H6" s="403"/>
      <c r="I6" s="404"/>
      <c r="J6" s="112"/>
      <c r="K6" s="112"/>
      <c r="L6" s="112"/>
      <c r="M6" s="112"/>
      <c r="N6" s="112"/>
      <c r="O6" s="112"/>
      <c r="P6" s="112"/>
      <c r="Q6" s="99"/>
    </row>
    <row r="7" spans="1:17" ht="28" customHeight="1" thickTop="1" thickBot="1">
      <c r="A7" s="113"/>
      <c r="B7" s="47"/>
      <c r="C7" s="1644" t="s">
        <v>205</v>
      </c>
      <c r="D7" s="1645"/>
      <c r="E7" s="1645"/>
      <c r="F7" s="1645"/>
      <c r="G7" s="1645"/>
      <c r="H7" s="1645"/>
      <c r="I7" s="1645"/>
      <c r="J7" s="1645"/>
      <c r="K7" s="1645"/>
      <c r="L7" s="1645"/>
      <c r="M7" s="1645"/>
      <c r="N7" s="1645"/>
      <c r="O7" s="1645"/>
      <c r="P7" s="1645"/>
      <c r="Q7" s="1645"/>
    </row>
    <row r="8" spans="1:17" ht="47.5" customHeight="1" thickTop="1">
      <c r="A8" s="113"/>
      <c r="B8" s="47"/>
      <c r="C8" s="966" t="str">
        <f>DATABASE!D15</f>
        <v>Development Phase</v>
      </c>
      <c r="D8" s="966" t="s">
        <v>135</v>
      </c>
      <c r="E8" s="966" t="s">
        <v>695</v>
      </c>
      <c r="F8" s="966" t="str">
        <f>DATABASE!E15</f>
        <v>Start Month</v>
      </c>
      <c r="G8" s="966" t="str">
        <f>DATABASE!F15</f>
        <v>Months to Complete</v>
      </c>
      <c r="H8" s="966" t="str">
        <f>DATABASE!G15</f>
        <v>Thru Month</v>
      </c>
      <c r="I8" s="966" t="str">
        <f>DATABASE!H15</f>
        <v>Entitlements</v>
      </c>
      <c r="J8" s="966" t="str">
        <f>DATABASE!I15</f>
        <v>Engineering</v>
      </c>
      <c r="K8" s="966" t="str">
        <f>DATABASE!J15</f>
        <v>Development &gt; Offsite</v>
      </c>
      <c r="L8" s="966" t="str">
        <f>DATABASE!K15</f>
        <v>Development &gt; OnSite</v>
      </c>
      <c r="M8" s="966" t="str">
        <f>DATABASE!L15</f>
        <v>Development &gt; Other</v>
      </c>
      <c r="N8" s="966" t="str">
        <f>DATABASE!M15</f>
        <v>Contingency</v>
      </c>
      <c r="O8" s="966" t="s">
        <v>561</v>
      </c>
      <c r="P8" s="966" t="str">
        <f>DATABASE!O15</f>
        <v>Total Costs Inflated</v>
      </c>
      <c r="Q8" s="966" t="s">
        <v>694</v>
      </c>
    </row>
    <row r="9" spans="1:17" ht="23.5" customHeight="1">
      <c r="A9" s="113">
        <f t="shared" ref="A9:A37" si="0">IF(C9=0,0,1)</f>
        <v>1</v>
      </c>
      <c r="B9" s="47"/>
      <c r="C9" s="1018" t="str" cm="1">
        <f t="array" ref="C9:C16">list_Phases</f>
        <v>1.1</v>
      </c>
      <c r="D9" s="1018" cm="1">
        <f t="array" ref="D9:D16">SUMIF(tbl_Planning.Help[Phase],_xlfn.ANCHORARRAY(C9),tbl_Planning[Acres])</f>
        <v>104</v>
      </c>
      <c r="E9" s="1018" cm="1">
        <f t="array" aca="1" ref="E9:E16" ca="1">LOOKUP(_xlfn.ANCHORARRAY(C9),_xlfn.ANCHORARRAY(i.Planning!U26),i.Planning!$AD$26:$AD$39)</f>
        <v>104</v>
      </c>
      <c r="F9" s="1018" cm="1">
        <f t="array" ref="F9:F16">_xlfn._xlws.FILTER(DATABASE!E16:E43, DATABASE!E16:E43&lt;&gt;0)</f>
        <v>1</v>
      </c>
      <c r="G9" s="1018" cm="1">
        <f t="array" ref="G9:G16">_xlfn._xlws.FILTER(DATABASE!F16:F43, DATABASE!F16:F43&lt;&gt;0)</f>
        <v>25</v>
      </c>
      <c r="H9" s="1018" cm="1">
        <f t="array" ref="H9:H16">_xlfn._xlws.FILTER(DATABASE!G16:G43, DATABASE!G16:G43&lt;&gt;0)</f>
        <v>25</v>
      </c>
      <c r="I9" s="1024" cm="1">
        <f t="array" ref="I9:I16">_xlfn._xlws.FILTER(DATABASE!H16:H43, DATABASE!$G$16:$G$43&lt;&gt;0)</f>
        <v>80750</v>
      </c>
      <c r="J9" s="1024" cm="1">
        <f t="array" ref="J9:J16">_xlfn._xlws.FILTER(DATABASE!I16:I43, DATABASE!$G$16:$G$43&lt;&gt;0)</f>
        <v>565250</v>
      </c>
      <c r="K9" s="1024" cm="1">
        <f t="array" ref="K9:K16">_xlfn._xlws.FILTER(DATABASE!J16:J43, DATABASE!$G$16:$G$43&lt;&gt;0)</f>
        <v>1640500</v>
      </c>
      <c r="L9" s="1024" cm="1">
        <f t="array" ref="L9:L16">_xlfn._xlws.FILTER(DATABASE!K16:K43, DATABASE!$G$16:$G$43&lt;&gt;0)</f>
        <v>3281000</v>
      </c>
      <c r="M9" s="1024" cm="1">
        <f t="array" ref="M9:M16">_xlfn._xlws.FILTER(DATABASE!L16:L43, DATABASE!$G$16:$G$43&lt;&gt;0)</f>
        <v>0</v>
      </c>
      <c r="N9" s="1024" cm="1">
        <f t="array" ref="N9:N16">_xlfn._xlws.FILTER(DATABASE!M16:M43, DATABASE!$G$16:$G$43&lt;&gt;0)</f>
        <v>556750</v>
      </c>
      <c r="O9" s="1024" cm="1">
        <f t="array" ref="O9:O16">_xlfn._xlws.FILTER(DATABASE!N16:N43, DATABASE!$G$16:$G$43&lt;&gt;0)</f>
        <v>6124250</v>
      </c>
      <c r="P9" s="1024" cm="1">
        <f t="array" ref="P9:P16">_xlfn._xlws.FILTER(DATABASE!O16:O43, DATABASE!$G$16:$G$43&lt;&gt;0)</f>
        <v>6139560.625</v>
      </c>
      <c r="Q9" s="1024" cm="1">
        <f t="array" aca="1" ref="Q9:Q16" ca="1">P9/_xlfn.ANCHORARRAY(E9)</f>
        <v>59034.236778846156</v>
      </c>
    </row>
    <row r="10" spans="1:17" ht="23.5" customHeight="1">
      <c r="A10" s="113">
        <f t="shared" si="0"/>
        <v>1</v>
      </c>
      <c r="B10" s="47"/>
      <c r="C10" s="1018" t="str">
        <v>1.2</v>
      </c>
      <c r="D10" s="1018">
        <v>147</v>
      </c>
      <c r="E10" s="1018">
        <f ca="1"/>
        <v>147</v>
      </c>
      <c r="F10" s="1018">
        <v>24</v>
      </c>
      <c r="G10" s="1018">
        <v>18</v>
      </c>
      <c r="H10" s="1018">
        <v>41</v>
      </c>
      <c r="I10" s="1024">
        <v>102000</v>
      </c>
      <c r="J10" s="1024">
        <v>714000</v>
      </c>
      <c r="K10" s="1024">
        <v>2140500</v>
      </c>
      <c r="L10" s="1024">
        <v>4281000</v>
      </c>
      <c r="M10" s="1024">
        <v>0</v>
      </c>
      <c r="N10" s="1024">
        <v>723750</v>
      </c>
      <c r="O10" s="1024">
        <v>7961250</v>
      </c>
      <c r="P10" s="1024">
        <v>8452913.2686306704</v>
      </c>
      <c r="Q10" s="1024">
        <f ca="1"/>
        <v>41765.718537414963</v>
      </c>
    </row>
    <row r="11" spans="1:17" ht="23.5" customHeight="1">
      <c r="A11" s="113">
        <f t="shared" si="0"/>
        <v>1</v>
      </c>
      <c r="B11" s="47"/>
      <c r="C11" s="1018" t="str">
        <v>2.1</v>
      </c>
      <c r="D11" s="1018">
        <v>260</v>
      </c>
      <c r="E11" s="1018">
        <f ca="1"/>
        <v>204</v>
      </c>
      <c r="F11" s="1018">
        <v>24</v>
      </c>
      <c r="G11" s="1018">
        <v>24</v>
      </c>
      <c r="H11" s="1018">
        <v>47</v>
      </c>
      <c r="I11" s="1024">
        <v>164750</v>
      </c>
      <c r="J11" s="1024">
        <v>1153250</v>
      </c>
      <c r="K11" s="1024">
        <v>2877500</v>
      </c>
      <c r="L11" s="1024">
        <v>5755000</v>
      </c>
      <c r="M11" s="1024">
        <v>0</v>
      </c>
      <c r="N11" s="1024">
        <v>995050</v>
      </c>
      <c r="O11" s="1024">
        <v>10945550</v>
      </c>
      <c r="P11" s="1024">
        <v>11621514.81582169</v>
      </c>
      <c r="Q11" s="1024">
        <f ca="1"/>
        <v>30095.885416666668</v>
      </c>
    </row>
    <row r="12" spans="1:17" ht="23.5" customHeight="1">
      <c r="A12" s="113">
        <f t="shared" si="0"/>
        <v>1</v>
      </c>
      <c r="B12" s="47"/>
      <c r="C12" s="1018" t="str">
        <v>2.2</v>
      </c>
      <c r="D12" s="1018">
        <v>123</v>
      </c>
      <c r="E12" s="1018">
        <f ca="1"/>
        <v>49</v>
      </c>
      <c r="F12" s="1018">
        <v>48</v>
      </c>
      <c r="G12" s="1018">
        <v>24</v>
      </c>
      <c r="H12" s="1018">
        <v>71</v>
      </c>
      <c r="I12" s="1024">
        <v>46750</v>
      </c>
      <c r="J12" s="1024">
        <v>327250</v>
      </c>
      <c r="K12" s="1024">
        <v>560000</v>
      </c>
      <c r="L12" s="1024">
        <v>1120000</v>
      </c>
      <c r="M12" s="1024">
        <v>0</v>
      </c>
      <c r="N12" s="1024">
        <v>205400</v>
      </c>
      <c r="O12" s="1024">
        <v>2259400</v>
      </c>
      <c r="P12" s="1024">
        <v>2547084.9307376216</v>
      </c>
      <c r="Q12" s="1024">
        <f ca="1"/>
        <v>125297.1556122449</v>
      </c>
    </row>
    <row r="13" spans="1:17" ht="23.5" customHeight="1">
      <c r="A13" s="113">
        <f t="shared" si="0"/>
        <v>1</v>
      </c>
      <c r="B13" s="47"/>
      <c r="C13" s="1018" t="str">
        <v>3.1</v>
      </c>
      <c r="D13" s="1018">
        <v>137</v>
      </c>
      <c r="E13" s="1018">
        <f ca="1"/>
        <v>137</v>
      </c>
      <c r="F13" s="1018">
        <v>24</v>
      </c>
      <c r="G13" s="1018">
        <v>24</v>
      </c>
      <c r="H13" s="1018">
        <v>47</v>
      </c>
      <c r="I13" s="1024">
        <v>0</v>
      </c>
      <c r="J13" s="1024">
        <v>0</v>
      </c>
      <c r="K13" s="1024">
        <v>0</v>
      </c>
      <c r="L13" s="1024">
        <v>0</v>
      </c>
      <c r="M13" s="1024">
        <v>0</v>
      </c>
      <c r="N13" s="1024">
        <v>0</v>
      </c>
      <c r="O13" s="1024">
        <v>0</v>
      </c>
      <c r="P13" s="1024">
        <v>0</v>
      </c>
      <c r="Q13" s="1024">
        <f ca="1"/>
        <v>44814.311131386865</v>
      </c>
    </row>
    <row r="14" spans="1:17" ht="23.5" customHeight="1">
      <c r="A14" s="113">
        <f t="shared" si="0"/>
        <v>1</v>
      </c>
      <c r="B14" s="47"/>
      <c r="C14" s="1018" t="str">
        <v>3.2</v>
      </c>
      <c r="D14" s="1018">
        <v>105</v>
      </c>
      <c r="E14" s="1018">
        <f ca="1"/>
        <v>105</v>
      </c>
      <c r="F14" s="1018">
        <v>24</v>
      </c>
      <c r="G14" s="1018">
        <v>24</v>
      </c>
      <c r="H14" s="1018">
        <v>47</v>
      </c>
      <c r="I14" s="1024">
        <v>0</v>
      </c>
      <c r="J14" s="1024">
        <v>0</v>
      </c>
      <c r="K14" s="1024">
        <v>0</v>
      </c>
      <c r="L14" s="1024">
        <v>0</v>
      </c>
      <c r="M14" s="1024">
        <v>0</v>
      </c>
      <c r="N14" s="1024">
        <v>0</v>
      </c>
      <c r="O14" s="1024">
        <v>0</v>
      </c>
      <c r="P14" s="1024">
        <v>0</v>
      </c>
      <c r="Q14" s="1024">
        <f ca="1"/>
        <v>58472.005952380954</v>
      </c>
    </row>
    <row r="15" spans="1:17" ht="23.5" customHeight="1">
      <c r="A15" s="113">
        <f t="shared" si="0"/>
        <v>1</v>
      </c>
      <c r="B15" s="47"/>
      <c r="C15" s="1018" t="str">
        <v>4.1</v>
      </c>
      <c r="D15" s="1018">
        <v>83</v>
      </c>
      <c r="E15" s="1018">
        <f ca="1"/>
        <v>64</v>
      </c>
      <c r="F15" s="1018">
        <v>60</v>
      </c>
      <c r="G15" s="1018">
        <v>18</v>
      </c>
      <c r="H15" s="1018">
        <v>77</v>
      </c>
      <c r="I15" s="1024">
        <v>50000</v>
      </c>
      <c r="J15" s="1024">
        <v>391500</v>
      </c>
      <c r="K15" s="1024">
        <v>672250</v>
      </c>
      <c r="L15" s="1024">
        <v>2016750</v>
      </c>
      <c r="M15" s="1024">
        <v>0</v>
      </c>
      <c r="N15" s="1024">
        <v>313050</v>
      </c>
      <c r="O15" s="1024">
        <v>3443550</v>
      </c>
      <c r="P15" s="1024">
        <v>4000085.4681246532</v>
      </c>
      <c r="Q15" s="1024">
        <f ca="1"/>
        <v>95930.634765625</v>
      </c>
    </row>
    <row r="16" spans="1:17" ht="23.5" customHeight="1">
      <c r="A16" s="113">
        <f t="shared" si="0"/>
        <v>1</v>
      </c>
      <c r="B16" s="47"/>
      <c r="C16" s="1018" t="str">
        <v>4.2</v>
      </c>
      <c r="D16" s="1018">
        <v>131</v>
      </c>
      <c r="E16" s="1018">
        <f ca="1"/>
        <v>131</v>
      </c>
      <c r="F16" s="1018">
        <v>84</v>
      </c>
      <c r="G16" s="1018">
        <v>12</v>
      </c>
      <c r="H16" s="1018">
        <v>95</v>
      </c>
      <c r="I16" s="1024">
        <v>71750</v>
      </c>
      <c r="J16" s="1024">
        <v>430500</v>
      </c>
      <c r="K16" s="1024">
        <v>1067500</v>
      </c>
      <c r="L16" s="1024">
        <v>3202500</v>
      </c>
      <c r="M16" s="1024">
        <v>0</v>
      </c>
      <c r="N16" s="1024">
        <v>477225</v>
      </c>
      <c r="O16" s="1024">
        <v>5249475</v>
      </c>
      <c r="P16" s="1024">
        <v>6474465.1916132011</v>
      </c>
      <c r="Q16" s="1024">
        <f ca="1"/>
        <v>46866.875</v>
      </c>
    </row>
    <row r="17" spans="1:17" ht="23.5" hidden="1" customHeight="1">
      <c r="A17" s="113">
        <f t="shared" si="0"/>
        <v>0</v>
      </c>
      <c r="B17" s="47"/>
      <c r="C17" s="1018"/>
      <c r="D17" s="1018"/>
      <c r="E17" s="1018"/>
      <c r="F17" s="1018"/>
      <c r="G17" s="1018"/>
      <c r="H17" s="1018"/>
      <c r="I17" s="1024"/>
      <c r="J17" s="1024"/>
      <c r="K17" s="1024"/>
      <c r="L17" s="1024"/>
      <c r="M17" s="1024"/>
      <c r="N17" s="1024"/>
      <c r="O17" s="1024"/>
      <c r="P17" s="1024"/>
      <c r="Q17" s="1024"/>
    </row>
    <row r="18" spans="1:17" ht="23.5" hidden="1" customHeight="1">
      <c r="A18" s="113">
        <f t="shared" si="0"/>
        <v>0</v>
      </c>
      <c r="B18" s="47"/>
      <c r="C18" s="1018"/>
      <c r="D18" s="1018"/>
      <c r="E18" s="1018"/>
      <c r="F18" s="1018"/>
      <c r="G18" s="1018"/>
      <c r="H18" s="1018"/>
      <c r="I18" s="1024"/>
      <c r="J18" s="1024"/>
      <c r="K18" s="1024"/>
      <c r="L18" s="1024"/>
      <c r="M18" s="1024"/>
      <c r="N18" s="1024"/>
      <c r="O18" s="1024"/>
      <c r="P18" s="1024"/>
      <c r="Q18" s="1024"/>
    </row>
    <row r="19" spans="1:17" ht="23.5" hidden="1" customHeight="1">
      <c r="A19" s="113">
        <f t="shared" si="0"/>
        <v>0</v>
      </c>
      <c r="B19" s="47"/>
      <c r="C19" s="1018"/>
      <c r="D19" s="1018"/>
      <c r="E19" s="1018"/>
      <c r="F19" s="1018"/>
      <c r="G19" s="1018"/>
      <c r="H19" s="1018"/>
      <c r="I19" s="1024"/>
      <c r="J19" s="1024"/>
      <c r="K19" s="1024"/>
      <c r="L19" s="1024"/>
      <c r="M19" s="1024"/>
      <c r="N19" s="1024"/>
      <c r="O19" s="1024"/>
      <c r="P19" s="1024"/>
      <c r="Q19" s="1024"/>
    </row>
    <row r="20" spans="1:17" ht="23.5" hidden="1" customHeight="1">
      <c r="A20" s="113">
        <f t="shared" si="0"/>
        <v>0</v>
      </c>
      <c r="B20" s="47"/>
      <c r="C20" s="1018"/>
      <c r="D20" s="1018"/>
      <c r="E20" s="1018"/>
      <c r="F20" s="1018"/>
      <c r="G20" s="1018"/>
      <c r="H20" s="1018"/>
      <c r="I20" s="1024"/>
      <c r="J20" s="1024"/>
      <c r="K20" s="1024"/>
      <c r="L20" s="1024"/>
      <c r="M20" s="1024"/>
      <c r="N20" s="1024"/>
      <c r="O20" s="1024"/>
      <c r="P20" s="1024"/>
      <c r="Q20" s="1024"/>
    </row>
    <row r="21" spans="1:17" ht="23.5" hidden="1" customHeight="1">
      <c r="A21" s="113">
        <f t="shared" si="0"/>
        <v>0</v>
      </c>
      <c r="B21" s="47"/>
      <c r="C21" s="1018"/>
      <c r="D21" s="1018"/>
      <c r="E21" s="1018"/>
      <c r="F21" s="1018"/>
      <c r="G21" s="1018"/>
      <c r="H21" s="1018"/>
      <c r="I21" s="1024"/>
      <c r="J21" s="1024"/>
      <c r="K21" s="1024"/>
      <c r="L21" s="1024"/>
      <c r="M21" s="1024"/>
      <c r="N21" s="1024"/>
      <c r="O21" s="1024"/>
      <c r="P21" s="1024"/>
      <c r="Q21" s="1024"/>
    </row>
    <row r="22" spans="1:17" ht="23.5" hidden="1" customHeight="1">
      <c r="A22" s="113">
        <f t="shared" si="0"/>
        <v>0</v>
      </c>
      <c r="B22" s="47"/>
      <c r="C22" s="1018"/>
      <c r="D22" s="1018"/>
      <c r="E22" s="1018"/>
      <c r="F22" s="1018"/>
      <c r="G22" s="1018"/>
      <c r="H22" s="1018"/>
      <c r="I22" s="1024"/>
      <c r="J22" s="1024"/>
      <c r="K22" s="1024"/>
      <c r="L22" s="1024"/>
      <c r="M22" s="1024"/>
      <c r="N22" s="1024"/>
      <c r="O22" s="1024"/>
      <c r="P22" s="1024"/>
      <c r="Q22" s="1024"/>
    </row>
    <row r="23" spans="1:17" ht="23.5" hidden="1" customHeight="1">
      <c r="A23" s="113">
        <f t="shared" si="0"/>
        <v>0</v>
      </c>
      <c r="B23" s="47"/>
      <c r="C23" s="1018"/>
      <c r="D23" s="1018"/>
      <c r="E23" s="1018"/>
      <c r="F23" s="1018"/>
      <c r="G23" s="1018"/>
      <c r="H23" s="1018"/>
      <c r="I23" s="1024"/>
      <c r="J23" s="1024"/>
      <c r="K23" s="1024"/>
      <c r="L23" s="1024"/>
      <c r="M23" s="1024"/>
      <c r="N23" s="1024"/>
      <c r="O23" s="1024"/>
      <c r="P23" s="1024"/>
      <c r="Q23" s="1024"/>
    </row>
    <row r="24" spans="1:17" ht="23.5" hidden="1" customHeight="1">
      <c r="A24" s="113">
        <f t="shared" si="0"/>
        <v>0</v>
      </c>
      <c r="B24" s="47"/>
      <c r="C24" s="1018"/>
      <c r="D24" s="1018"/>
      <c r="E24" s="1018"/>
      <c r="F24" s="1018"/>
      <c r="G24" s="1018"/>
      <c r="H24" s="1018"/>
      <c r="I24" s="1024"/>
      <c r="J24" s="1024"/>
      <c r="K24" s="1024"/>
      <c r="L24" s="1024"/>
      <c r="M24" s="1024"/>
      <c r="N24" s="1024"/>
      <c r="O24" s="1024"/>
      <c r="P24" s="1024"/>
      <c r="Q24" s="1024"/>
    </row>
    <row r="25" spans="1:17" ht="23.5" hidden="1" customHeight="1">
      <c r="A25" s="113">
        <f t="shared" si="0"/>
        <v>0</v>
      </c>
      <c r="B25" s="47"/>
      <c r="C25" s="1018"/>
      <c r="D25" s="1018"/>
      <c r="E25" s="1018"/>
      <c r="F25" s="1018"/>
      <c r="G25" s="1018"/>
      <c r="H25" s="1018"/>
      <c r="I25" s="1024"/>
      <c r="J25" s="1024"/>
      <c r="K25" s="1024"/>
      <c r="L25" s="1024"/>
      <c r="M25" s="1024"/>
      <c r="N25" s="1024"/>
      <c r="O25" s="1024"/>
      <c r="P25" s="1024"/>
      <c r="Q25" s="1024"/>
    </row>
    <row r="26" spans="1:17" ht="23.5" hidden="1" customHeight="1">
      <c r="A26" s="113">
        <f t="shared" si="0"/>
        <v>0</v>
      </c>
      <c r="C26" s="1018"/>
      <c r="D26" s="1018"/>
      <c r="E26" s="1018"/>
      <c r="F26" s="1018"/>
      <c r="G26" s="1018"/>
      <c r="H26" s="1018"/>
      <c r="I26" s="1024"/>
      <c r="J26" s="1024"/>
      <c r="K26" s="1024"/>
      <c r="L26" s="1024"/>
      <c r="M26" s="1024"/>
      <c r="N26" s="1024"/>
      <c r="O26" s="1024"/>
      <c r="P26" s="1024"/>
      <c r="Q26" s="1024"/>
    </row>
    <row r="27" spans="1:17" ht="23.5" hidden="1" customHeight="1">
      <c r="A27" s="113">
        <f t="shared" si="0"/>
        <v>0</v>
      </c>
      <c r="C27" s="1018"/>
      <c r="D27" s="1018"/>
      <c r="E27" s="1018"/>
      <c r="F27" s="1018"/>
      <c r="G27" s="1018"/>
      <c r="H27" s="1018"/>
      <c r="I27" s="1024"/>
      <c r="J27" s="1024"/>
      <c r="K27" s="1024"/>
      <c r="L27" s="1024"/>
      <c r="M27" s="1024"/>
      <c r="N27" s="1024"/>
      <c r="O27" s="1024"/>
      <c r="P27" s="1024"/>
      <c r="Q27" s="1024"/>
    </row>
    <row r="28" spans="1:17" ht="15" hidden="1">
      <c r="A28" s="113">
        <f t="shared" si="0"/>
        <v>0</v>
      </c>
      <c r="C28" s="1018"/>
      <c r="D28" s="1018"/>
      <c r="E28" s="1018"/>
      <c r="F28" s="1018"/>
      <c r="G28" s="1018"/>
      <c r="H28" s="1018"/>
      <c r="I28" s="1024"/>
      <c r="J28" s="1024"/>
      <c r="K28" s="1024"/>
      <c r="L28" s="1024"/>
      <c r="M28" s="1024"/>
      <c r="N28" s="1024"/>
      <c r="O28" s="1024"/>
      <c r="P28" s="1024"/>
      <c r="Q28" s="1024"/>
    </row>
    <row r="29" spans="1:17" ht="15" hidden="1">
      <c r="A29" s="113">
        <f t="shared" si="0"/>
        <v>0</v>
      </c>
      <c r="C29" s="1018"/>
      <c r="D29" s="1018"/>
      <c r="E29" s="1018"/>
      <c r="F29" s="1018"/>
      <c r="G29" s="1018"/>
      <c r="H29" s="1018"/>
      <c r="I29" s="1024"/>
      <c r="J29" s="1024"/>
      <c r="K29" s="1024"/>
      <c r="L29" s="1024"/>
      <c r="M29" s="1024"/>
      <c r="N29" s="1024"/>
      <c r="O29" s="1024"/>
      <c r="P29" s="1024"/>
      <c r="Q29" s="1024"/>
    </row>
    <row r="30" spans="1:17" ht="15" hidden="1">
      <c r="A30" s="113">
        <f t="shared" si="0"/>
        <v>0</v>
      </c>
      <c r="C30" s="1018"/>
      <c r="D30" s="1018"/>
      <c r="E30" s="1018"/>
      <c r="F30" s="1018"/>
      <c r="G30" s="1018"/>
      <c r="H30" s="1018"/>
      <c r="I30" s="1024"/>
      <c r="J30" s="1024"/>
      <c r="K30" s="1024"/>
      <c r="L30" s="1024"/>
      <c r="M30" s="1024"/>
      <c r="N30" s="1024"/>
      <c r="O30" s="1024"/>
      <c r="P30" s="1024"/>
      <c r="Q30" s="1024"/>
    </row>
    <row r="31" spans="1:17" ht="15" hidden="1">
      <c r="A31" s="113">
        <f t="shared" si="0"/>
        <v>0</v>
      </c>
      <c r="C31" s="1018"/>
      <c r="D31" s="1018"/>
      <c r="E31" s="1018"/>
      <c r="F31" s="1018"/>
      <c r="G31" s="1018"/>
      <c r="H31" s="1018"/>
      <c r="I31" s="1024"/>
      <c r="J31" s="1024"/>
      <c r="K31" s="1024"/>
      <c r="L31" s="1024"/>
      <c r="M31" s="1024"/>
      <c r="N31" s="1024"/>
      <c r="O31" s="1024"/>
      <c r="P31" s="1024"/>
      <c r="Q31" s="1024"/>
    </row>
    <row r="32" spans="1:17" ht="15" hidden="1">
      <c r="A32" s="113">
        <f t="shared" si="0"/>
        <v>0</v>
      </c>
      <c r="C32" s="1018"/>
      <c r="D32" s="1018"/>
      <c r="E32" s="1018"/>
      <c r="F32" s="1018"/>
      <c r="G32" s="1018"/>
      <c r="H32" s="1018"/>
      <c r="I32" s="1024"/>
      <c r="J32" s="1024"/>
      <c r="K32" s="1024"/>
      <c r="L32" s="1024"/>
      <c r="M32" s="1024"/>
      <c r="N32" s="1024"/>
      <c r="O32" s="1024"/>
      <c r="P32" s="1024"/>
      <c r="Q32" s="1024"/>
    </row>
    <row r="33" spans="1:17" ht="15" hidden="1">
      <c r="A33" s="113">
        <f t="shared" si="0"/>
        <v>0</v>
      </c>
      <c r="C33" s="1018"/>
      <c r="D33" s="1018"/>
      <c r="E33" s="1018"/>
      <c r="F33" s="1018"/>
      <c r="G33" s="1018"/>
      <c r="H33" s="1018"/>
      <c r="I33" s="1024"/>
      <c r="J33" s="1024"/>
      <c r="K33" s="1024"/>
      <c r="L33" s="1024"/>
      <c r="M33" s="1024"/>
      <c r="N33" s="1024"/>
      <c r="O33" s="1024"/>
      <c r="P33" s="1024"/>
      <c r="Q33" s="1024"/>
    </row>
    <row r="34" spans="1:17" ht="15" hidden="1">
      <c r="A34" s="113">
        <f t="shared" si="0"/>
        <v>0</v>
      </c>
      <c r="C34" s="1018"/>
      <c r="D34" s="1018"/>
      <c r="E34" s="1018"/>
      <c r="F34" s="1018"/>
      <c r="G34" s="1018"/>
      <c r="H34" s="1018"/>
      <c r="I34" s="1024"/>
      <c r="J34" s="1024"/>
      <c r="K34" s="1024"/>
      <c r="L34" s="1024"/>
      <c r="M34" s="1024"/>
      <c r="N34" s="1024"/>
      <c r="O34" s="1024"/>
      <c r="P34" s="1024"/>
      <c r="Q34" s="1024"/>
    </row>
    <row r="35" spans="1:17" ht="15" hidden="1">
      <c r="A35" s="113">
        <f t="shared" si="0"/>
        <v>0</v>
      </c>
      <c r="C35" s="1018"/>
      <c r="D35" s="1018"/>
      <c r="E35" s="1018"/>
      <c r="F35" s="1018"/>
      <c r="G35" s="1018"/>
      <c r="H35" s="1018"/>
      <c r="I35" s="1024"/>
      <c r="J35" s="1024"/>
      <c r="K35" s="1024"/>
      <c r="L35" s="1024"/>
      <c r="M35" s="1024"/>
      <c r="N35" s="1024"/>
      <c r="O35" s="1024"/>
      <c r="P35" s="1024"/>
      <c r="Q35" s="1024"/>
    </row>
    <row r="36" spans="1:17" ht="15" hidden="1">
      <c r="A36" s="113">
        <f t="shared" si="0"/>
        <v>0</v>
      </c>
      <c r="C36" s="1018"/>
      <c r="D36" s="1018"/>
      <c r="E36" s="1018"/>
      <c r="F36" s="1018"/>
      <c r="G36" s="1018"/>
      <c r="H36" s="1018"/>
      <c r="I36" s="1024"/>
      <c r="J36" s="1024"/>
      <c r="K36" s="1024"/>
      <c r="L36" s="1024"/>
      <c r="M36" s="1024"/>
      <c r="N36" s="1024"/>
      <c r="O36" s="1024"/>
      <c r="P36" s="1024"/>
      <c r="Q36" s="1024"/>
    </row>
    <row r="37" spans="1:17" ht="15" hidden="1">
      <c r="A37" s="113">
        <f t="shared" si="0"/>
        <v>0</v>
      </c>
      <c r="C37" s="1018"/>
      <c r="D37" s="1018"/>
      <c r="E37" s="1018"/>
      <c r="F37" s="1018"/>
      <c r="G37" s="1018"/>
      <c r="H37" s="1018"/>
      <c r="I37" s="1024"/>
      <c r="J37" s="1024"/>
      <c r="K37" s="1024"/>
      <c r="L37" s="1024"/>
      <c r="M37" s="1024"/>
      <c r="N37" s="1024"/>
      <c r="O37" s="1024"/>
      <c r="P37" s="1024"/>
      <c r="Q37" s="1024"/>
    </row>
    <row r="38" spans="1:17" ht="14">
      <c r="C38" s="1646"/>
      <c r="D38" s="1647">
        <f>SUM(D9:D37)</f>
        <v>1090</v>
      </c>
      <c r="E38" s="1647">
        <f ca="1">SUM(E9:E37)</f>
        <v>941</v>
      </c>
      <c r="F38" s="1647">
        <f>_xlfn.MINIFS(F9:F37,F9:F37,"&gt;0")</f>
        <v>1</v>
      </c>
      <c r="G38" s="1647"/>
      <c r="H38" s="1647">
        <f>MAX(H9:H37)</f>
        <v>95</v>
      </c>
      <c r="I38" s="1647">
        <f t="shared" ref="I38:P38" si="1">SUM(I9:I37)</f>
        <v>516000</v>
      </c>
      <c r="J38" s="1647">
        <f t="shared" si="1"/>
        <v>3581750</v>
      </c>
      <c r="K38" s="1647">
        <f t="shared" si="1"/>
        <v>8958250</v>
      </c>
      <c r="L38" s="1647">
        <f t="shared" si="1"/>
        <v>19656250</v>
      </c>
      <c r="M38" s="1647">
        <f t="shared" si="1"/>
        <v>0</v>
      </c>
      <c r="N38" s="1647">
        <f t="shared" si="1"/>
        <v>3271225</v>
      </c>
      <c r="O38" s="1647">
        <f t="shared" si="1"/>
        <v>35983475</v>
      </c>
      <c r="P38" s="1647">
        <f t="shared" si="1"/>
        <v>39235624.299927838</v>
      </c>
      <c r="Q38" s="1647">
        <f ca="1">P38/E38</f>
        <v>41695.668756565181</v>
      </c>
    </row>
  </sheetData>
  <autoFilter ref="A9:A37" xr:uid="{F8204679-4F71-470C-BF72-D2C159082EDE}">
    <filterColumn colId="0">
      <filters>
        <filter val="1"/>
      </filters>
    </filterColumn>
  </autoFilter>
  <sortState xmlns:xlrd2="http://schemas.microsoft.com/office/spreadsheetml/2017/richdata2" ref="C9:P9">
    <sortCondition ref="H9:H28"/>
  </sortState>
  <pageMargins left="0.25" right="0.25" top="0.75" bottom="0.75" header="0.3" footer="0.3"/>
  <pageSetup scale="61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D20D1-B180-445B-ADEB-CEFC31B75FEC}">
  <sheetPr codeName="Sheet15" filterMode="1">
    <tabColor rgb="FF0070C0"/>
    <pageSetUpPr fitToPage="1"/>
  </sheetPr>
  <dimension ref="A1:NA254"/>
  <sheetViews>
    <sheetView showGridLines="0" topLeftCell="B2" workbookViewId="0"/>
  </sheetViews>
  <sheetFormatPr baseColWidth="10" defaultColWidth="0" defaultRowHeight="14" zeroHeight="1"/>
  <cols>
    <col min="1" max="1" width="11" hidden="1" customWidth="1"/>
    <col min="2" max="2" width="3" customWidth="1"/>
    <col min="3" max="3" width="48.1640625" customWidth="1"/>
    <col min="4" max="4" width="17" customWidth="1"/>
    <col min="5" max="5" width="4.1640625" customWidth="1"/>
    <col min="6" max="137" width="8.5" customWidth="1"/>
    <col min="138" max="145" width="2.83203125" hidden="1" customWidth="1"/>
    <col min="146" max="365" width="8.1640625" hidden="1" customWidth="1"/>
    <col min="366" max="16384" width="9" hidden="1"/>
  </cols>
  <sheetData>
    <row r="1" spans="2:137" ht="15" hidden="1">
      <c r="B1" s="116"/>
      <c r="C1" s="49"/>
      <c r="D1" s="244"/>
      <c r="E1" s="244"/>
      <c r="F1" s="1393" cm="1">
        <f t="array" ref="F1:CW1">TRANSPOSE(list_Periods.Yr)</f>
        <v>1</v>
      </c>
      <c r="G1" s="1393">
        <v>1</v>
      </c>
      <c r="H1" s="1393">
        <v>1</v>
      </c>
      <c r="I1" s="1393">
        <v>1</v>
      </c>
      <c r="J1" s="1393">
        <v>1</v>
      </c>
      <c r="K1" s="1393">
        <v>1</v>
      </c>
      <c r="L1" s="1393">
        <v>1</v>
      </c>
      <c r="M1" s="1393">
        <v>1</v>
      </c>
      <c r="N1" s="1393">
        <v>1</v>
      </c>
      <c r="O1" s="1393">
        <v>1</v>
      </c>
      <c r="P1" s="1393">
        <v>1</v>
      </c>
      <c r="Q1" s="1393">
        <v>1</v>
      </c>
      <c r="R1" s="1393">
        <v>2</v>
      </c>
      <c r="S1" s="1393">
        <v>2</v>
      </c>
      <c r="T1" s="1393">
        <v>2</v>
      </c>
      <c r="U1" s="1393">
        <v>2</v>
      </c>
      <c r="V1" s="1393">
        <v>2</v>
      </c>
      <c r="W1" s="1393">
        <v>2</v>
      </c>
      <c r="X1" s="1393">
        <v>2</v>
      </c>
      <c r="Y1" s="1393">
        <v>2</v>
      </c>
      <c r="Z1" s="1393">
        <v>2</v>
      </c>
      <c r="AA1" s="1393">
        <v>2</v>
      </c>
      <c r="AB1" s="1393">
        <v>2</v>
      </c>
      <c r="AC1" s="1393">
        <v>2</v>
      </c>
      <c r="AD1" s="1393">
        <v>3</v>
      </c>
      <c r="AE1" s="1393">
        <v>3</v>
      </c>
      <c r="AF1" s="1393">
        <v>3</v>
      </c>
      <c r="AG1" s="1393">
        <v>3</v>
      </c>
      <c r="AH1" s="1393">
        <v>3</v>
      </c>
      <c r="AI1" s="1393">
        <v>3</v>
      </c>
      <c r="AJ1" s="1394">
        <v>3</v>
      </c>
      <c r="AK1" s="1394">
        <v>3</v>
      </c>
      <c r="AL1" s="1394">
        <v>3</v>
      </c>
      <c r="AM1" s="1394">
        <v>3</v>
      </c>
      <c r="AN1" s="1394">
        <v>3</v>
      </c>
      <c r="AO1" s="1394">
        <v>3</v>
      </c>
      <c r="AP1" s="1394">
        <v>4</v>
      </c>
      <c r="AQ1" s="1394">
        <v>4</v>
      </c>
      <c r="AR1" s="1394">
        <v>4</v>
      </c>
      <c r="AS1" s="1394">
        <v>4</v>
      </c>
      <c r="AT1" s="1394">
        <v>4</v>
      </c>
      <c r="AU1" s="1394">
        <v>4</v>
      </c>
      <c r="AV1" s="1394">
        <v>4</v>
      </c>
      <c r="AW1" s="1394">
        <v>4</v>
      </c>
      <c r="AX1" s="1394">
        <v>4</v>
      </c>
      <c r="AY1" s="1394">
        <v>4</v>
      </c>
      <c r="AZ1" s="1394">
        <v>4</v>
      </c>
      <c r="BA1" s="1394">
        <v>4</v>
      </c>
      <c r="BB1" s="1394">
        <v>5</v>
      </c>
      <c r="BC1" s="1394">
        <v>5</v>
      </c>
      <c r="BD1" s="1394">
        <v>5</v>
      </c>
      <c r="BE1" s="1394">
        <v>5</v>
      </c>
      <c r="BF1" s="1394">
        <v>5</v>
      </c>
      <c r="BG1" s="1394">
        <v>5</v>
      </c>
      <c r="BH1" s="1394">
        <v>5</v>
      </c>
      <c r="BI1" s="1394">
        <v>5</v>
      </c>
      <c r="BJ1" s="1394">
        <v>5</v>
      </c>
      <c r="BK1" s="1394">
        <v>5</v>
      </c>
      <c r="BL1" s="1394">
        <v>5</v>
      </c>
      <c r="BM1" s="1394">
        <v>5</v>
      </c>
      <c r="BN1" s="1394">
        <v>6</v>
      </c>
      <c r="BO1" s="1394">
        <v>6</v>
      </c>
      <c r="BP1" s="1394">
        <v>6</v>
      </c>
      <c r="BQ1" s="1394">
        <v>6</v>
      </c>
      <c r="BR1" s="1394">
        <v>6</v>
      </c>
      <c r="BS1" s="1394">
        <v>6</v>
      </c>
      <c r="BT1" s="1394">
        <v>6</v>
      </c>
      <c r="BU1" s="1394">
        <v>6</v>
      </c>
      <c r="BV1" s="1394">
        <v>6</v>
      </c>
      <c r="BW1" s="1394">
        <v>6</v>
      </c>
      <c r="BX1" s="1394">
        <v>6</v>
      </c>
      <c r="BY1" s="1394">
        <v>6</v>
      </c>
      <c r="BZ1" s="1394">
        <v>7</v>
      </c>
      <c r="CA1" s="1394">
        <v>7</v>
      </c>
      <c r="CB1" s="1394">
        <v>7</v>
      </c>
      <c r="CC1" s="1394">
        <v>7</v>
      </c>
      <c r="CD1" s="1394">
        <v>7</v>
      </c>
      <c r="CE1" s="1394">
        <v>7</v>
      </c>
      <c r="CF1" s="1394">
        <v>7</v>
      </c>
      <c r="CG1" s="1394">
        <v>7</v>
      </c>
      <c r="CH1" s="1394">
        <v>7</v>
      </c>
      <c r="CI1" s="1394">
        <v>7</v>
      </c>
      <c r="CJ1" s="1394">
        <v>7</v>
      </c>
      <c r="CK1" s="1394">
        <v>7</v>
      </c>
      <c r="CL1" s="1394">
        <v>8</v>
      </c>
      <c r="CM1" s="220">
        <v>8</v>
      </c>
      <c r="CN1" s="220">
        <v>8</v>
      </c>
      <c r="CO1" s="220">
        <v>8</v>
      </c>
      <c r="CP1" s="220">
        <v>8</v>
      </c>
      <c r="CQ1" s="220">
        <v>8</v>
      </c>
      <c r="CR1" s="220">
        <v>8</v>
      </c>
      <c r="CS1" s="220">
        <v>8</v>
      </c>
      <c r="CT1" s="220">
        <v>8</v>
      </c>
      <c r="CU1" s="220">
        <v>8</v>
      </c>
      <c r="CV1" s="220">
        <v>8</v>
      </c>
      <c r="CW1" s="220">
        <v>8</v>
      </c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  <c r="DR1" s="220"/>
      <c r="DS1" s="220"/>
      <c r="DT1" s="220"/>
      <c r="DU1" s="220"/>
      <c r="DV1" s="220"/>
      <c r="DW1" s="220"/>
      <c r="DX1" s="220"/>
      <c r="DY1" s="220"/>
      <c r="DZ1" s="220"/>
      <c r="EA1" s="220"/>
      <c r="EB1" s="220"/>
      <c r="EC1" s="220"/>
      <c r="ED1" s="220"/>
      <c r="EE1" s="220"/>
      <c r="EF1" s="220"/>
      <c r="EG1" s="220"/>
    </row>
    <row r="2" spans="2:137" ht="20">
      <c r="B2" s="31" t="str">
        <f>i_Project.Name</f>
        <v>Peoria Lakes</v>
      </c>
      <c r="C2" s="93"/>
      <c r="D2" s="245"/>
      <c r="E2" s="245"/>
      <c r="F2" s="1395"/>
      <c r="G2" s="1396"/>
      <c r="H2" s="42"/>
      <c r="I2" s="1396"/>
      <c r="J2" s="42"/>
      <c r="K2" s="55"/>
      <c r="L2" s="56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93"/>
      <c r="AI2" s="93"/>
      <c r="AJ2" s="43"/>
      <c r="AK2" s="43"/>
      <c r="AL2" s="43"/>
      <c r="AM2" s="43"/>
      <c r="AN2" s="43"/>
      <c r="AO2" s="43"/>
      <c r="AP2" s="43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</row>
    <row r="3" spans="2:137">
      <c r="B3" s="32" t="str">
        <f>i_Project.Location</f>
        <v>Peoria Lakes</v>
      </c>
      <c r="C3" s="93"/>
      <c r="D3" s="245"/>
      <c r="E3" s="245"/>
      <c r="F3" s="62"/>
      <c r="G3" s="42"/>
      <c r="H3" s="42"/>
      <c r="I3" s="42"/>
      <c r="J3" s="58"/>
      <c r="K3" s="59"/>
      <c r="L3" s="60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93"/>
      <c r="AI3" s="93"/>
      <c r="AJ3" s="44"/>
      <c r="AK3" s="44"/>
      <c r="AL3" s="44"/>
      <c r="AM3" s="44"/>
      <c r="AN3" s="44"/>
      <c r="AO3" s="44"/>
      <c r="AP3" s="44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</row>
    <row r="4" spans="2:137" ht="15">
      <c r="B4" s="35"/>
      <c r="C4" s="93"/>
      <c r="D4" s="245"/>
      <c r="E4" s="245"/>
      <c r="F4" s="63"/>
      <c r="G4" s="35"/>
      <c r="H4" s="35"/>
      <c r="I4" s="35"/>
      <c r="J4" s="35"/>
      <c r="K4" s="3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93"/>
      <c r="AI4" s="93"/>
      <c r="AJ4" s="45"/>
      <c r="AK4" s="45"/>
      <c r="AL4" s="45"/>
      <c r="AM4" s="45"/>
      <c r="AN4" s="45"/>
      <c r="AO4" s="45"/>
      <c r="AP4" s="4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</row>
    <row r="5" spans="2:137" ht="12" customHeight="1">
      <c r="B5" s="47"/>
      <c r="C5" s="46"/>
      <c r="D5" s="246"/>
      <c r="E5" s="246"/>
      <c r="F5" s="1397"/>
      <c r="G5" s="1398"/>
      <c r="H5" s="1398"/>
      <c r="I5" s="1398"/>
      <c r="J5" s="1398"/>
      <c r="K5" s="1398"/>
      <c r="L5" s="1398"/>
      <c r="M5" s="1398"/>
      <c r="N5" s="1398"/>
      <c r="O5" s="1398"/>
      <c r="P5" s="1398"/>
      <c r="Q5" s="1398"/>
      <c r="R5" s="1398"/>
      <c r="S5" s="1398"/>
      <c r="T5" s="1398"/>
      <c r="U5" s="1399"/>
      <c r="V5" s="1398"/>
      <c r="W5" s="1398"/>
      <c r="X5" s="1398"/>
      <c r="Y5" s="1398"/>
      <c r="Z5" s="1398"/>
      <c r="AA5" s="1398"/>
      <c r="AB5" s="1398"/>
      <c r="AC5" s="1398"/>
      <c r="AD5" s="1398"/>
      <c r="AE5" s="1398"/>
      <c r="AF5" s="1398"/>
      <c r="AG5" s="1398"/>
      <c r="AH5" s="1398"/>
      <c r="AI5" s="1398"/>
      <c r="AJ5" s="241"/>
      <c r="AK5" s="241"/>
      <c r="AL5" s="241"/>
      <c r="AM5" s="241"/>
      <c r="AN5" s="241"/>
      <c r="AO5" s="241"/>
      <c r="AP5" s="241"/>
      <c r="AQ5" s="241"/>
      <c r="AR5" s="241"/>
      <c r="AS5" s="241"/>
      <c r="AT5" s="241"/>
      <c r="AU5" s="241"/>
      <c r="AV5" s="241"/>
      <c r="AW5" s="241"/>
      <c r="AX5" s="241"/>
      <c r="AY5" s="241"/>
      <c r="AZ5" s="241"/>
      <c r="BA5" s="241"/>
      <c r="BB5" s="241"/>
      <c r="BC5" s="241"/>
      <c r="BD5" s="241"/>
      <c r="BE5" s="241"/>
      <c r="BF5" s="241"/>
      <c r="BG5" s="241"/>
      <c r="BH5" s="241"/>
      <c r="BI5" s="241"/>
      <c r="BJ5" s="241"/>
      <c r="BK5" s="241"/>
      <c r="BL5" s="241"/>
      <c r="BM5" s="241"/>
      <c r="BN5" s="241"/>
      <c r="BO5" s="241"/>
      <c r="BP5" s="241"/>
      <c r="BQ5" s="241"/>
      <c r="BR5" s="241"/>
      <c r="BS5" s="241"/>
      <c r="BT5" s="241"/>
      <c r="BU5" s="241"/>
      <c r="BV5" s="241"/>
      <c r="BW5" s="1398"/>
      <c r="BX5" s="1398"/>
      <c r="BY5" s="1398"/>
      <c r="BZ5" s="1398"/>
      <c r="CA5" s="1398"/>
      <c r="CB5" s="1398"/>
      <c r="CC5" s="1398"/>
      <c r="CD5" s="1398"/>
      <c r="CE5" s="1398"/>
      <c r="CF5" s="1398"/>
      <c r="CG5" s="1398"/>
      <c r="CH5" s="1398"/>
      <c r="CI5" s="1398"/>
      <c r="CJ5" s="1398"/>
      <c r="CK5" s="1398"/>
      <c r="CL5" s="1398"/>
      <c r="CM5" s="1398"/>
      <c r="CN5" s="1398"/>
      <c r="CO5" s="1398"/>
      <c r="CP5" s="1398"/>
      <c r="CQ5" s="1398"/>
      <c r="CR5" s="1398"/>
      <c r="CS5" s="1398"/>
      <c r="CT5" s="1398"/>
      <c r="CU5" s="1398"/>
      <c r="CV5" s="1398"/>
      <c r="CW5" s="1398"/>
      <c r="CX5" s="1398"/>
      <c r="CY5" s="1398"/>
      <c r="CZ5" s="1398"/>
      <c r="DA5" s="1398"/>
      <c r="DB5" s="1398"/>
      <c r="DC5" s="1398"/>
      <c r="DD5" s="1398"/>
      <c r="DE5" s="1398"/>
      <c r="DF5" s="1398"/>
      <c r="DG5" s="1398"/>
      <c r="DH5" s="1398"/>
      <c r="DI5" s="1398"/>
      <c r="DJ5" s="1398"/>
      <c r="DK5" s="1398"/>
      <c r="DL5" s="1398"/>
      <c r="DM5" s="1398"/>
      <c r="DN5" s="1398"/>
      <c r="DO5" s="1398"/>
      <c r="DP5" s="1398"/>
      <c r="DQ5" s="1398"/>
      <c r="DR5" s="1398"/>
      <c r="DS5" s="1398"/>
      <c r="DT5" s="1398"/>
      <c r="DU5" s="1398"/>
      <c r="DV5" s="1398"/>
      <c r="DW5" s="1398"/>
      <c r="DX5" s="1398"/>
      <c r="DY5" s="1398"/>
      <c r="DZ5" s="1398"/>
      <c r="EA5" s="1398"/>
      <c r="EB5" s="1398"/>
      <c r="EC5" s="1398"/>
      <c r="ED5" s="1398"/>
      <c r="EE5" s="1398"/>
      <c r="EF5" s="1398"/>
      <c r="EG5" s="1398"/>
    </row>
    <row r="6" spans="2:137" ht="30" customHeight="1" thickBot="1">
      <c r="C6" s="11" t="s">
        <v>265</v>
      </c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7"/>
      <c r="AR6" s="247"/>
      <c r="AS6" s="247"/>
      <c r="AT6" s="247"/>
      <c r="AU6" s="247"/>
      <c r="AV6" s="247"/>
      <c r="AW6" s="247"/>
      <c r="AX6" s="247"/>
      <c r="AY6" s="247"/>
      <c r="AZ6" s="247"/>
      <c r="BA6" s="247"/>
      <c r="BB6" s="247"/>
      <c r="BC6" s="247"/>
      <c r="BD6" s="247"/>
      <c r="BE6" s="247"/>
      <c r="BF6" s="247"/>
      <c r="BG6" s="247"/>
      <c r="BH6" s="247"/>
      <c r="BI6" s="247"/>
      <c r="BJ6" s="247"/>
      <c r="BK6" s="247"/>
      <c r="BL6" s="247"/>
      <c r="BM6" s="247"/>
      <c r="BN6" s="247"/>
      <c r="BO6" s="247"/>
      <c r="BP6" s="247"/>
      <c r="BQ6" s="247"/>
      <c r="BR6" s="247"/>
      <c r="BS6" s="247"/>
      <c r="BT6" s="247"/>
      <c r="BU6" s="247"/>
      <c r="BV6" s="247"/>
      <c r="BW6" s="247"/>
      <c r="BX6" s="247"/>
      <c r="BY6" s="247"/>
      <c r="BZ6" s="247"/>
      <c r="CA6" s="247"/>
      <c r="CB6" s="247"/>
      <c r="CC6" s="247"/>
      <c r="CD6" s="247"/>
      <c r="CE6" s="247"/>
      <c r="CF6" s="247"/>
      <c r="CG6" s="247"/>
      <c r="CH6" s="247"/>
      <c r="CI6" s="247"/>
      <c r="CJ6" s="247"/>
      <c r="CK6" s="247"/>
      <c r="CL6" s="247"/>
      <c r="CM6" s="247"/>
      <c r="CN6" s="247"/>
      <c r="CO6" s="247"/>
      <c r="CP6" s="247"/>
      <c r="CQ6" s="247"/>
      <c r="CR6" s="247"/>
      <c r="CS6" s="247"/>
      <c r="CT6" s="247"/>
      <c r="CU6" s="247"/>
      <c r="CV6" s="247"/>
      <c r="CW6" s="247"/>
      <c r="CX6" s="247"/>
      <c r="CY6" s="247"/>
      <c r="CZ6" s="1400"/>
      <c r="DA6" s="1400"/>
      <c r="DB6" s="1400"/>
      <c r="DC6" s="1400"/>
      <c r="DD6" s="1400"/>
      <c r="DE6" s="1400"/>
      <c r="DF6" s="1400"/>
      <c r="DG6" s="1400"/>
      <c r="DH6" s="1400"/>
      <c r="DI6" s="1400"/>
      <c r="DJ6" s="1400"/>
      <c r="DK6" s="1400"/>
      <c r="DL6" s="1400"/>
      <c r="DM6" s="1400"/>
      <c r="DN6" s="1400"/>
      <c r="DO6" s="1400"/>
      <c r="DP6" s="1400"/>
      <c r="DQ6" s="1400"/>
      <c r="DR6" s="1400"/>
      <c r="DS6" s="1400"/>
      <c r="DT6" s="1400"/>
      <c r="DU6" s="1400"/>
      <c r="DV6" s="1400"/>
      <c r="DW6" s="1400"/>
      <c r="DX6" s="1400"/>
      <c r="DY6" s="1400"/>
      <c r="DZ6" s="1400"/>
      <c r="EA6" s="1400"/>
      <c r="EB6" s="1400"/>
      <c r="EC6" s="1400"/>
      <c r="ED6" s="1400"/>
      <c r="EE6" s="1400"/>
      <c r="EF6" s="1400"/>
      <c r="EG6" s="1400"/>
    </row>
    <row r="7" spans="2:137" ht="15" thickTop="1">
      <c r="C7" s="82"/>
      <c r="D7" s="503"/>
      <c r="E7" s="503"/>
      <c r="F7" s="1401" cm="1">
        <f t="array" ref="F7:CW7">TRANSPOSE(list_Periods.ALL)</f>
        <v>1</v>
      </c>
      <c r="G7" s="1401">
        <v>2</v>
      </c>
      <c r="H7" s="1401">
        <v>3</v>
      </c>
      <c r="I7" s="1401">
        <v>4</v>
      </c>
      <c r="J7" s="1401">
        <v>5</v>
      </c>
      <c r="K7" s="1401">
        <v>6</v>
      </c>
      <c r="L7" s="1401">
        <v>7</v>
      </c>
      <c r="M7" s="1401">
        <v>8</v>
      </c>
      <c r="N7" s="1401">
        <v>9</v>
      </c>
      <c r="O7" s="1401">
        <v>10</v>
      </c>
      <c r="P7" s="1401">
        <v>11</v>
      </c>
      <c r="Q7" s="1401">
        <v>12</v>
      </c>
      <c r="R7" s="1401">
        <v>13</v>
      </c>
      <c r="S7" s="1401">
        <v>14</v>
      </c>
      <c r="T7" s="1401">
        <v>15</v>
      </c>
      <c r="U7" s="1401">
        <v>16</v>
      </c>
      <c r="V7" s="1401">
        <v>17</v>
      </c>
      <c r="W7" s="1401">
        <v>18</v>
      </c>
      <c r="X7" s="1401">
        <v>19</v>
      </c>
      <c r="Y7" s="1401">
        <v>20</v>
      </c>
      <c r="Z7" s="1401">
        <v>21</v>
      </c>
      <c r="AA7" s="1401">
        <v>22</v>
      </c>
      <c r="AB7" s="1401">
        <v>23</v>
      </c>
      <c r="AC7" s="1401">
        <v>24</v>
      </c>
      <c r="AD7" s="1401">
        <v>25</v>
      </c>
      <c r="AE7" s="1401">
        <v>26</v>
      </c>
      <c r="AF7" s="1401">
        <v>27</v>
      </c>
      <c r="AG7" s="1401">
        <v>28</v>
      </c>
      <c r="AH7" s="1401">
        <v>29</v>
      </c>
      <c r="AI7" s="1401">
        <v>30</v>
      </c>
      <c r="AJ7" s="1401">
        <v>31</v>
      </c>
      <c r="AK7" s="1401">
        <v>32</v>
      </c>
      <c r="AL7" s="1401">
        <v>33</v>
      </c>
      <c r="AM7" s="1401">
        <v>34</v>
      </c>
      <c r="AN7" s="1401">
        <v>35</v>
      </c>
      <c r="AO7" s="1401">
        <v>36</v>
      </c>
      <c r="AP7" s="1401">
        <v>37</v>
      </c>
      <c r="AQ7" s="1401">
        <v>38</v>
      </c>
      <c r="AR7" s="1401">
        <v>39</v>
      </c>
      <c r="AS7" s="1401">
        <v>40</v>
      </c>
      <c r="AT7" s="1401">
        <v>41</v>
      </c>
      <c r="AU7" s="1401">
        <v>42</v>
      </c>
      <c r="AV7" s="1401">
        <v>43</v>
      </c>
      <c r="AW7" s="1401">
        <v>44</v>
      </c>
      <c r="AX7" s="1401">
        <v>45</v>
      </c>
      <c r="AY7" s="1401">
        <v>46</v>
      </c>
      <c r="AZ7" s="1401">
        <v>47</v>
      </c>
      <c r="BA7" s="1401">
        <v>48</v>
      </c>
      <c r="BB7" s="1401">
        <v>49</v>
      </c>
      <c r="BC7" s="1401">
        <v>50</v>
      </c>
      <c r="BD7" s="1401">
        <v>51</v>
      </c>
      <c r="BE7" s="1401">
        <v>52</v>
      </c>
      <c r="BF7" s="1401">
        <v>53</v>
      </c>
      <c r="BG7" s="1401">
        <v>54</v>
      </c>
      <c r="BH7" s="1401">
        <v>55</v>
      </c>
      <c r="BI7" s="1401">
        <v>56</v>
      </c>
      <c r="BJ7" s="1401">
        <v>57</v>
      </c>
      <c r="BK7" s="1401">
        <v>58</v>
      </c>
      <c r="BL7" s="1401">
        <v>59</v>
      </c>
      <c r="BM7" s="1401">
        <v>60</v>
      </c>
      <c r="BN7" s="1401">
        <v>61</v>
      </c>
      <c r="BO7" s="1401">
        <v>62</v>
      </c>
      <c r="BP7" s="1401">
        <v>63</v>
      </c>
      <c r="BQ7" s="1401">
        <v>64</v>
      </c>
      <c r="BR7" s="1401">
        <v>65</v>
      </c>
      <c r="BS7" s="1401">
        <v>66</v>
      </c>
      <c r="BT7" s="1401">
        <v>67</v>
      </c>
      <c r="BU7" s="1401">
        <v>68</v>
      </c>
      <c r="BV7" s="1401">
        <v>69</v>
      </c>
      <c r="BW7" s="1401">
        <v>70</v>
      </c>
      <c r="BX7" s="1401">
        <v>71</v>
      </c>
      <c r="BY7" s="1401">
        <v>72</v>
      </c>
      <c r="BZ7" s="1401">
        <v>73</v>
      </c>
      <c r="CA7" s="1401">
        <v>74</v>
      </c>
      <c r="CB7" s="1401">
        <v>75</v>
      </c>
      <c r="CC7" s="1401">
        <v>76</v>
      </c>
      <c r="CD7" s="1401">
        <v>77</v>
      </c>
      <c r="CE7" s="1401">
        <v>78</v>
      </c>
      <c r="CF7" s="1401">
        <v>79</v>
      </c>
      <c r="CG7" s="1401">
        <v>80</v>
      </c>
      <c r="CH7" s="1401">
        <v>81</v>
      </c>
      <c r="CI7" s="1401">
        <v>82</v>
      </c>
      <c r="CJ7" s="1401">
        <v>83</v>
      </c>
      <c r="CK7" s="1401">
        <v>84</v>
      </c>
      <c r="CL7" s="1401">
        <v>85</v>
      </c>
      <c r="CM7" s="1401">
        <v>86</v>
      </c>
      <c r="CN7" s="1401">
        <v>87</v>
      </c>
      <c r="CO7" s="1401">
        <v>88</v>
      </c>
      <c r="CP7" s="1401">
        <v>89</v>
      </c>
      <c r="CQ7" s="1401">
        <v>90</v>
      </c>
      <c r="CR7" s="1401">
        <v>91</v>
      </c>
      <c r="CS7" s="1401">
        <v>92</v>
      </c>
      <c r="CT7" s="1401">
        <v>93</v>
      </c>
      <c r="CU7" s="1401">
        <v>94</v>
      </c>
      <c r="CV7" s="1401">
        <v>95</v>
      </c>
      <c r="CW7" s="1401">
        <v>96</v>
      </c>
      <c r="CX7" s="1401"/>
      <c r="CY7" s="1401"/>
      <c r="CZ7" s="1401"/>
      <c r="DA7" s="1401"/>
      <c r="DB7" s="1401"/>
      <c r="DC7" s="1401"/>
      <c r="DD7" s="1401"/>
      <c r="DE7" s="1401"/>
      <c r="DF7" s="1401"/>
      <c r="DG7" s="1401"/>
      <c r="DH7" s="1401"/>
      <c r="DI7" s="1401"/>
      <c r="DJ7" s="1401"/>
      <c r="DK7" s="1401"/>
      <c r="DL7" s="1401"/>
      <c r="DM7" s="1401"/>
      <c r="DN7" s="1401"/>
      <c r="DO7" s="1401"/>
      <c r="DP7" s="1401"/>
      <c r="DQ7" s="1401"/>
      <c r="DR7" s="1401"/>
      <c r="DS7" s="1401"/>
      <c r="DT7" s="1401"/>
      <c r="DU7" s="1401"/>
      <c r="DV7" s="1401"/>
      <c r="DW7" s="1401"/>
      <c r="DX7" s="1401"/>
      <c r="DY7" s="1401"/>
      <c r="DZ7" s="1401"/>
      <c r="EA7" s="1401"/>
      <c r="EB7" s="1401"/>
      <c r="EC7" s="1401"/>
      <c r="ED7" s="1401"/>
      <c r="EE7" s="1401"/>
      <c r="EF7" s="1401"/>
      <c r="EG7" s="1401"/>
    </row>
    <row r="8" spans="2:137" ht="17" thickBot="1">
      <c r="C8" s="505" t="s">
        <v>8</v>
      </c>
      <c r="D8" s="504"/>
      <c r="E8" s="504"/>
      <c r="F8" s="1402" cm="1">
        <f t="array" ref="F8:CW8">TRANSPOSE(list_Dates.ALL)</f>
        <v>45292</v>
      </c>
      <c r="G8" s="1402">
        <v>45323</v>
      </c>
      <c r="H8" s="1402">
        <v>45352</v>
      </c>
      <c r="I8" s="1402">
        <v>45383</v>
      </c>
      <c r="J8" s="1402">
        <v>45413</v>
      </c>
      <c r="K8" s="1402">
        <v>45444</v>
      </c>
      <c r="L8" s="1402">
        <v>45474</v>
      </c>
      <c r="M8" s="1402">
        <v>45505</v>
      </c>
      <c r="N8" s="1402">
        <v>45536</v>
      </c>
      <c r="O8" s="1402">
        <v>45566</v>
      </c>
      <c r="P8" s="1402">
        <v>45597</v>
      </c>
      <c r="Q8" s="1402">
        <v>45627</v>
      </c>
      <c r="R8" s="1402">
        <v>45658</v>
      </c>
      <c r="S8" s="1402">
        <v>45689</v>
      </c>
      <c r="T8" s="1402">
        <v>45717</v>
      </c>
      <c r="U8" s="1402">
        <v>45748</v>
      </c>
      <c r="V8" s="1402">
        <v>45778</v>
      </c>
      <c r="W8" s="1402">
        <v>45809</v>
      </c>
      <c r="X8" s="1402">
        <v>45839</v>
      </c>
      <c r="Y8" s="1402">
        <v>45870</v>
      </c>
      <c r="Z8" s="1402">
        <v>45901</v>
      </c>
      <c r="AA8" s="1402">
        <v>45931</v>
      </c>
      <c r="AB8" s="1402">
        <v>45962</v>
      </c>
      <c r="AC8" s="1402">
        <v>45992</v>
      </c>
      <c r="AD8" s="1402">
        <v>46023</v>
      </c>
      <c r="AE8" s="1402">
        <v>46054</v>
      </c>
      <c r="AF8" s="1402">
        <v>46082</v>
      </c>
      <c r="AG8" s="1402">
        <v>46113</v>
      </c>
      <c r="AH8" s="1402">
        <v>46143</v>
      </c>
      <c r="AI8" s="1402">
        <v>46174</v>
      </c>
      <c r="AJ8" s="1402">
        <v>46204</v>
      </c>
      <c r="AK8" s="1402">
        <v>46235</v>
      </c>
      <c r="AL8" s="1402">
        <v>46266</v>
      </c>
      <c r="AM8" s="1402">
        <v>46296</v>
      </c>
      <c r="AN8" s="1402">
        <v>46327</v>
      </c>
      <c r="AO8" s="1402">
        <v>46357</v>
      </c>
      <c r="AP8" s="1402">
        <v>46388</v>
      </c>
      <c r="AQ8" s="1402">
        <v>46419</v>
      </c>
      <c r="AR8" s="1402">
        <v>46447</v>
      </c>
      <c r="AS8" s="1402">
        <v>46478</v>
      </c>
      <c r="AT8" s="1402">
        <v>46508</v>
      </c>
      <c r="AU8" s="1402">
        <v>46539</v>
      </c>
      <c r="AV8" s="1402">
        <v>46569</v>
      </c>
      <c r="AW8" s="1402">
        <v>46600</v>
      </c>
      <c r="AX8" s="1402">
        <v>46631</v>
      </c>
      <c r="AY8" s="1402">
        <v>46661</v>
      </c>
      <c r="AZ8" s="1402">
        <v>46692</v>
      </c>
      <c r="BA8" s="1402">
        <v>46722</v>
      </c>
      <c r="BB8" s="1402">
        <v>46753</v>
      </c>
      <c r="BC8" s="1402">
        <v>46784</v>
      </c>
      <c r="BD8" s="1402">
        <v>46813</v>
      </c>
      <c r="BE8" s="1402">
        <v>46844</v>
      </c>
      <c r="BF8" s="1402">
        <v>46874</v>
      </c>
      <c r="BG8" s="1402">
        <v>46905</v>
      </c>
      <c r="BH8" s="1402">
        <v>46935</v>
      </c>
      <c r="BI8" s="1402">
        <v>46966</v>
      </c>
      <c r="BJ8" s="1402">
        <v>46997</v>
      </c>
      <c r="BK8" s="1402">
        <v>47027</v>
      </c>
      <c r="BL8" s="1402">
        <v>47058</v>
      </c>
      <c r="BM8" s="1402">
        <v>47088</v>
      </c>
      <c r="BN8" s="1402">
        <v>47119</v>
      </c>
      <c r="BO8" s="1402">
        <v>47150</v>
      </c>
      <c r="BP8" s="1402">
        <v>47178</v>
      </c>
      <c r="BQ8" s="1402">
        <v>47209</v>
      </c>
      <c r="BR8" s="1402">
        <v>47239</v>
      </c>
      <c r="BS8" s="1402">
        <v>47270</v>
      </c>
      <c r="BT8" s="1402">
        <v>47300</v>
      </c>
      <c r="BU8" s="1402">
        <v>47331</v>
      </c>
      <c r="BV8" s="1402">
        <v>47362</v>
      </c>
      <c r="BW8" s="1402">
        <v>47392</v>
      </c>
      <c r="BX8" s="1402">
        <v>47423</v>
      </c>
      <c r="BY8" s="1402">
        <v>47453</v>
      </c>
      <c r="BZ8" s="1402">
        <v>47484</v>
      </c>
      <c r="CA8" s="1402">
        <v>47515</v>
      </c>
      <c r="CB8" s="1402">
        <v>47543</v>
      </c>
      <c r="CC8" s="1402">
        <v>47574</v>
      </c>
      <c r="CD8" s="1402">
        <v>47604</v>
      </c>
      <c r="CE8" s="1402">
        <v>47635</v>
      </c>
      <c r="CF8" s="1402">
        <v>47665</v>
      </c>
      <c r="CG8" s="1402">
        <v>47696</v>
      </c>
      <c r="CH8" s="1402">
        <v>47727</v>
      </c>
      <c r="CI8" s="1402">
        <v>47757</v>
      </c>
      <c r="CJ8" s="1402">
        <v>47788</v>
      </c>
      <c r="CK8" s="1402">
        <v>47818</v>
      </c>
      <c r="CL8" s="1402">
        <v>47849</v>
      </c>
      <c r="CM8" s="1402">
        <v>47880</v>
      </c>
      <c r="CN8" s="1402">
        <v>47908</v>
      </c>
      <c r="CO8" s="1402">
        <v>47939</v>
      </c>
      <c r="CP8" s="1402">
        <v>47969</v>
      </c>
      <c r="CQ8" s="1402">
        <v>48000</v>
      </c>
      <c r="CR8" s="1402">
        <v>48030</v>
      </c>
      <c r="CS8" s="1402">
        <v>48061</v>
      </c>
      <c r="CT8" s="1402">
        <v>48092</v>
      </c>
      <c r="CU8" s="1402">
        <v>48122</v>
      </c>
      <c r="CV8" s="1402">
        <v>48153</v>
      </c>
      <c r="CW8" s="1402">
        <v>48183</v>
      </c>
      <c r="CX8" s="1402"/>
      <c r="CY8" s="1402"/>
      <c r="CZ8" s="1402"/>
      <c r="DA8" s="1402"/>
      <c r="DB8" s="1402"/>
      <c r="DC8" s="1402"/>
      <c r="DD8" s="1402"/>
      <c r="DE8" s="1402"/>
      <c r="DF8" s="1402"/>
      <c r="DG8" s="1402"/>
      <c r="DH8" s="1402"/>
      <c r="DI8" s="1402"/>
      <c r="DJ8" s="1402"/>
      <c r="DK8" s="1402"/>
      <c r="DL8" s="1402"/>
      <c r="DM8" s="1402"/>
      <c r="DN8" s="1402"/>
      <c r="DO8" s="1402"/>
      <c r="DP8" s="1402"/>
      <c r="DQ8" s="1402"/>
      <c r="DR8" s="1402"/>
      <c r="DS8" s="1402"/>
      <c r="DT8" s="1402"/>
      <c r="DU8" s="1402"/>
      <c r="DV8" s="1402"/>
      <c r="DW8" s="1402"/>
      <c r="DX8" s="1402"/>
      <c r="DY8" s="1402"/>
      <c r="DZ8" s="1402"/>
      <c r="EA8" s="1402"/>
      <c r="EB8" s="1402"/>
      <c r="EC8" s="1402"/>
      <c r="ED8" s="1402"/>
      <c r="EE8" s="1402"/>
      <c r="EF8" s="1402"/>
      <c r="EG8" s="1402"/>
    </row>
    <row r="9" spans="2:137" ht="25.25" customHeight="1" thickTop="1">
      <c r="C9" s="447" t="s">
        <v>263</v>
      </c>
      <c r="D9" s="495"/>
      <c r="F9" s="1388"/>
      <c r="G9" s="1388"/>
      <c r="H9" s="1388"/>
      <c r="I9" s="1388"/>
      <c r="J9" s="1388"/>
      <c r="K9" s="1388"/>
      <c r="L9" s="1388"/>
      <c r="M9" s="1388"/>
      <c r="N9" s="1388"/>
      <c r="O9" s="1388"/>
      <c r="P9" s="1388"/>
      <c r="Q9" s="1388"/>
      <c r="R9" s="1388"/>
      <c r="S9" s="1388"/>
      <c r="T9" s="1388"/>
      <c r="U9" s="1388"/>
      <c r="V9" s="1388"/>
      <c r="W9" s="1388"/>
      <c r="X9" s="1388"/>
      <c r="Y9" s="1388"/>
      <c r="Z9" s="1388"/>
      <c r="AA9" s="1388"/>
      <c r="AB9" s="1388"/>
      <c r="AC9" s="1388"/>
      <c r="AD9" s="1388"/>
      <c r="AE9" s="1388"/>
      <c r="AF9" s="1388"/>
      <c r="AG9" s="1388"/>
      <c r="AH9" s="1388"/>
      <c r="AI9" s="1388"/>
      <c r="AJ9" s="1388"/>
      <c r="AK9" s="1388"/>
      <c r="AL9" s="1388"/>
      <c r="AM9" s="1388"/>
      <c r="AN9" s="1388"/>
      <c r="AO9" s="1388"/>
      <c r="AP9" s="1388"/>
      <c r="AQ9" s="1388"/>
      <c r="AR9" s="1388"/>
      <c r="AS9" s="1388"/>
      <c r="AT9" s="1388"/>
      <c r="AU9" s="1388"/>
      <c r="AV9" s="1388"/>
      <c r="AW9" s="1388"/>
      <c r="AX9" s="1388"/>
      <c r="AY9" s="1388"/>
      <c r="AZ9" s="1388"/>
      <c r="BA9" s="1388"/>
      <c r="BB9" s="1388"/>
      <c r="BC9" s="1388"/>
      <c r="BD9" s="1388"/>
      <c r="BE9" s="1388"/>
      <c r="BF9" s="1388"/>
      <c r="BG9" s="1388"/>
      <c r="BH9" s="1388"/>
      <c r="BI9" s="1388"/>
      <c r="BJ9" s="1388"/>
      <c r="BK9" s="1388"/>
      <c r="BL9" s="1388"/>
      <c r="BM9" s="1388"/>
      <c r="BN9" s="1388"/>
      <c r="BO9" s="1388"/>
      <c r="BP9" s="1388"/>
      <c r="BQ9" s="1388"/>
      <c r="BR9" s="1388"/>
      <c r="BS9" s="1388"/>
      <c r="BT9" s="1388"/>
      <c r="BU9" s="1388"/>
      <c r="BV9" s="1388"/>
      <c r="BW9" s="1388"/>
      <c r="BX9" s="1388"/>
      <c r="BY9" s="1388"/>
      <c r="BZ9" s="1388"/>
      <c r="CA9" s="1388"/>
      <c r="CB9" s="1388"/>
      <c r="CC9" s="1388"/>
      <c r="CD9" s="1388"/>
      <c r="CE9" s="1388"/>
      <c r="CF9" s="1388"/>
      <c r="CG9" s="1388"/>
      <c r="CH9" s="1388"/>
      <c r="CI9" s="1388"/>
      <c r="CJ9" s="1388"/>
      <c r="CK9" s="1388"/>
      <c r="CL9" s="1388"/>
      <c r="CM9" s="1388"/>
      <c r="CN9" s="1388"/>
      <c r="CO9" s="1388"/>
      <c r="CP9" s="1388"/>
      <c r="CQ9" s="1388"/>
      <c r="CR9" s="1388"/>
      <c r="CS9" s="1388"/>
      <c r="CT9" s="1388"/>
      <c r="CU9" s="1388"/>
      <c r="CV9" s="1388"/>
      <c r="CW9" s="1388"/>
      <c r="CX9" s="1388"/>
      <c r="CY9" s="1388"/>
      <c r="CZ9" s="1388"/>
      <c r="DA9" s="1388"/>
      <c r="DB9" s="1388"/>
      <c r="DC9" s="1388"/>
      <c r="DD9" s="1388"/>
      <c r="DE9" s="1388"/>
      <c r="DF9" s="1388"/>
      <c r="DG9" s="1388"/>
      <c r="DH9" s="1388"/>
      <c r="DI9" s="1388"/>
      <c r="DJ9" s="1388"/>
      <c r="DK9" s="1388"/>
      <c r="DL9" s="1388"/>
      <c r="DM9" s="1388"/>
      <c r="DN9" s="1388"/>
      <c r="DO9" s="1388"/>
      <c r="DP9" s="1388"/>
      <c r="DQ9" s="1388"/>
      <c r="DR9" s="1388"/>
      <c r="DS9" s="1388"/>
      <c r="DT9" s="1388"/>
      <c r="DU9" s="1388"/>
      <c r="DV9" s="1388"/>
      <c r="DW9" s="1388"/>
      <c r="DX9" s="1388"/>
      <c r="DY9" s="1388"/>
      <c r="DZ9" s="1388"/>
      <c r="EA9" s="1388"/>
      <c r="EB9" s="1388"/>
      <c r="EC9" s="1388"/>
      <c r="ED9" s="1388"/>
      <c r="EE9" s="1388"/>
      <c r="EF9" s="1388"/>
      <c r="EG9" s="1388"/>
    </row>
    <row r="10" spans="2:137" ht="23.25" customHeight="1">
      <c r="B10" s="140"/>
      <c r="C10" s="498" t="str" cm="1">
        <f t="array" ref="C10:C16">TRANSPOSE(mProject!F8:L8)</f>
        <v>Single Family Revenue</v>
      </c>
      <c r="D10" s="500">
        <f>SUM(_xlfn.ANCHORARRAY(F10))</f>
        <v>304583853.51286304</v>
      </c>
      <c r="F10" s="1389" cm="1">
        <f t="array" ref="F10:CW10">TRANSPOSE(_xlfn.ANCHORARRAY(mProject!F$9))</f>
        <v>0</v>
      </c>
      <c r="G10" s="1389">
        <v>0</v>
      </c>
      <c r="H10" s="1388">
        <v>0</v>
      </c>
      <c r="I10" s="1388">
        <v>0</v>
      </c>
      <c r="J10" s="1388">
        <v>0</v>
      </c>
      <c r="K10" s="1388">
        <v>0</v>
      </c>
      <c r="L10" s="1388">
        <v>0</v>
      </c>
      <c r="M10" s="1388">
        <v>0</v>
      </c>
      <c r="N10" s="1388">
        <v>0</v>
      </c>
      <c r="O10" s="1388">
        <v>0</v>
      </c>
      <c r="P10" s="1388">
        <v>0</v>
      </c>
      <c r="Q10" s="1388">
        <v>0</v>
      </c>
      <c r="R10" s="1388">
        <v>0</v>
      </c>
      <c r="S10" s="1388">
        <v>0</v>
      </c>
      <c r="T10" s="1388">
        <v>0</v>
      </c>
      <c r="U10" s="1388">
        <v>0</v>
      </c>
      <c r="V10" s="1388">
        <v>0</v>
      </c>
      <c r="W10" s="1388">
        <v>0</v>
      </c>
      <c r="X10" s="1388">
        <v>0</v>
      </c>
      <c r="Y10" s="1388">
        <v>0</v>
      </c>
      <c r="Z10" s="1388">
        <v>0</v>
      </c>
      <c r="AA10" s="1388">
        <v>0</v>
      </c>
      <c r="AB10" s="1388">
        <v>0</v>
      </c>
      <c r="AC10" s="1388">
        <v>0</v>
      </c>
      <c r="AD10" s="1388">
        <v>0</v>
      </c>
      <c r="AE10" s="1388">
        <v>42012777.110280663</v>
      </c>
      <c r="AF10" s="1388">
        <v>0</v>
      </c>
      <c r="AG10" s="1388">
        <v>0</v>
      </c>
      <c r="AH10" s="1388">
        <v>0</v>
      </c>
      <c r="AI10" s="1388">
        <v>0</v>
      </c>
      <c r="AJ10" s="1388">
        <v>0</v>
      </c>
      <c r="AK10" s="1388">
        <v>0</v>
      </c>
      <c r="AL10" s="1388">
        <v>0</v>
      </c>
      <c r="AM10" s="1388">
        <v>0</v>
      </c>
      <c r="AN10" s="1388">
        <v>0</v>
      </c>
      <c r="AO10" s="1388">
        <v>0</v>
      </c>
      <c r="AP10" s="1388">
        <v>0</v>
      </c>
      <c r="AQ10" s="1388">
        <v>0</v>
      </c>
      <c r="AR10" s="1388">
        <v>0</v>
      </c>
      <c r="AS10" s="1388">
        <v>0</v>
      </c>
      <c r="AT10" s="1388">
        <v>0</v>
      </c>
      <c r="AU10" s="1388">
        <v>57051949.373806</v>
      </c>
      <c r="AV10" s="1388">
        <v>0</v>
      </c>
      <c r="AW10" s="1388">
        <v>0</v>
      </c>
      <c r="AX10" s="1388">
        <v>0</v>
      </c>
      <c r="AY10" s="1388">
        <v>0</v>
      </c>
      <c r="AZ10" s="1388">
        <v>0</v>
      </c>
      <c r="BA10" s="1388">
        <v>77853273.133017659</v>
      </c>
      <c r="BB10" s="1388">
        <v>0</v>
      </c>
      <c r="BC10" s="1388">
        <v>0</v>
      </c>
      <c r="BD10" s="1388">
        <v>0</v>
      </c>
      <c r="BE10" s="1388">
        <v>0</v>
      </c>
      <c r="BF10" s="1388">
        <v>0</v>
      </c>
      <c r="BG10" s="1388">
        <v>0</v>
      </c>
      <c r="BH10" s="1388">
        <v>0</v>
      </c>
      <c r="BI10" s="1388">
        <v>0</v>
      </c>
      <c r="BJ10" s="1388">
        <v>0</v>
      </c>
      <c r="BK10" s="1388">
        <v>0</v>
      </c>
      <c r="BL10" s="1388">
        <v>0</v>
      </c>
      <c r="BM10" s="1388">
        <v>0</v>
      </c>
      <c r="BN10" s="1388">
        <v>0</v>
      </c>
      <c r="BO10" s="1388">
        <v>0</v>
      </c>
      <c r="BP10" s="1388">
        <v>0</v>
      </c>
      <c r="BQ10" s="1388">
        <v>0</v>
      </c>
      <c r="BR10" s="1388">
        <v>0</v>
      </c>
      <c r="BS10" s="1388">
        <v>0</v>
      </c>
      <c r="BT10" s="1388">
        <v>0</v>
      </c>
      <c r="BU10" s="1388">
        <v>0</v>
      </c>
      <c r="BV10" s="1388">
        <v>0</v>
      </c>
      <c r="BW10" s="1388">
        <v>0</v>
      </c>
      <c r="BX10" s="1388">
        <v>0</v>
      </c>
      <c r="BY10" s="1388">
        <v>16086987.403644357</v>
      </c>
      <c r="BZ10" s="1388">
        <v>11879414.303148761</v>
      </c>
      <c r="CA10" s="1388">
        <v>0</v>
      </c>
      <c r="CB10" s="1388">
        <v>0</v>
      </c>
      <c r="CC10" s="1388">
        <v>0</v>
      </c>
      <c r="CD10" s="1388">
        <v>0</v>
      </c>
      <c r="CE10" s="1388">
        <v>39206113.158727534</v>
      </c>
      <c r="CF10" s="1388">
        <v>0</v>
      </c>
      <c r="CG10" s="1388">
        <v>0</v>
      </c>
      <c r="CH10" s="1388">
        <v>0</v>
      </c>
      <c r="CI10" s="1388">
        <v>0</v>
      </c>
      <c r="CJ10" s="1388">
        <v>0</v>
      </c>
      <c r="CK10" s="1388">
        <v>0</v>
      </c>
      <c r="CL10" s="1388">
        <v>0</v>
      </c>
      <c r="CM10" s="1388">
        <v>0</v>
      </c>
      <c r="CN10" s="1388">
        <v>0</v>
      </c>
      <c r="CO10" s="1388">
        <v>0</v>
      </c>
      <c r="CP10" s="1388">
        <v>0</v>
      </c>
      <c r="CQ10" s="1388">
        <v>0</v>
      </c>
      <c r="CR10" s="1388">
        <v>0</v>
      </c>
      <c r="CS10" s="1388">
        <v>0</v>
      </c>
      <c r="CT10" s="1388">
        <v>0</v>
      </c>
      <c r="CU10" s="1388">
        <v>0</v>
      </c>
      <c r="CV10" s="1388">
        <v>0</v>
      </c>
      <c r="CW10" s="1388">
        <v>60493339.030238084</v>
      </c>
      <c r="CX10" s="1388"/>
      <c r="CY10" s="1388"/>
      <c r="CZ10" s="1388"/>
      <c r="DA10" s="1388"/>
      <c r="DB10" s="1388"/>
      <c r="DC10" s="1388"/>
      <c r="DD10" s="1388"/>
      <c r="DE10" s="1388"/>
      <c r="DF10" s="1388"/>
      <c r="DG10" s="1388"/>
      <c r="DH10" s="1388"/>
      <c r="DI10" s="1388"/>
      <c r="DJ10" s="1388"/>
      <c r="DK10" s="1388"/>
      <c r="DL10" s="1388"/>
      <c r="DM10" s="1388"/>
      <c r="DN10" s="1388"/>
      <c r="DO10" s="1388"/>
      <c r="DP10" s="1388"/>
      <c r="DQ10" s="1388"/>
      <c r="DR10" s="1388"/>
      <c r="DS10" s="1388"/>
      <c r="DT10" s="1388"/>
      <c r="DU10" s="1388"/>
      <c r="DV10" s="1388"/>
      <c r="DW10" s="1388"/>
      <c r="DX10" s="1388"/>
      <c r="DY10" s="1388"/>
      <c r="DZ10" s="1388"/>
      <c r="EA10" s="1388"/>
      <c r="EB10" s="1388"/>
      <c r="EC10" s="1388"/>
      <c r="ED10" s="1388"/>
      <c r="EE10" s="1388"/>
      <c r="EF10" s="1388"/>
      <c r="EG10" s="1388"/>
    </row>
    <row r="11" spans="2:137" ht="22.5" customHeight="1">
      <c r="B11" s="140"/>
      <c r="C11" s="446" t="str">
        <v>Commercial / Multifamily Revenue</v>
      </c>
      <c r="D11" s="500">
        <f t="shared" ref="D11:D16" si="0">SUM(_xlfn.ANCHORARRAY(F11))</f>
        <v>205139491.66679096</v>
      </c>
      <c r="F11" s="1389" cm="1">
        <f t="array" ref="F11:CW11">TRANSPOSE(_xlfn.ANCHORARRAY(mProject!G$9))</f>
        <v>0</v>
      </c>
      <c r="G11" s="1388">
        <v>0</v>
      </c>
      <c r="H11" s="1388">
        <v>0</v>
      </c>
      <c r="I11" s="1388">
        <v>0</v>
      </c>
      <c r="J11" s="1388">
        <v>0</v>
      </c>
      <c r="K11" s="1388">
        <v>0</v>
      </c>
      <c r="L11" s="1388">
        <v>0</v>
      </c>
      <c r="M11" s="1388">
        <v>0</v>
      </c>
      <c r="N11" s="1388">
        <v>0</v>
      </c>
      <c r="O11" s="1388">
        <v>0</v>
      </c>
      <c r="P11" s="1388">
        <v>0</v>
      </c>
      <c r="Q11" s="1388">
        <v>0</v>
      </c>
      <c r="R11" s="1388">
        <v>0</v>
      </c>
      <c r="S11" s="1388">
        <v>0</v>
      </c>
      <c r="T11" s="1388">
        <v>0</v>
      </c>
      <c r="U11" s="1388">
        <v>0</v>
      </c>
      <c r="V11" s="1388">
        <v>0</v>
      </c>
      <c r="W11" s="1388">
        <v>0</v>
      </c>
      <c r="X11" s="1388">
        <v>0</v>
      </c>
      <c r="Y11" s="1388">
        <v>0</v>
      </c>
      <c r="Z11" s="1388">
        <v>0</v>
      </c>
      <c r="AA11" s="1388">
        <v>0</v>
      </c>
      <c r="AB11" s="1388">
        <v>0</v>
      </c>
      <c r="AC11" s="1388">
        <v>0</v>
      </c>
      <c r="AD11" s="1388">
        <v>0</v>
      </c>
      <c r="AE11" s="1388">
        <v>12085235.914868301</v>
      </c>
      <c r="AF11" s="1388">
        <v>0</v>
      </c>
      <c r="AG11" s="1388">
        <v>0</v>
      </c>
      <c r="AH11" s="1388">
        <v>0</v>
      </c>
      <c r="AI11" s="1388">
        <v>0</v>
      </c>
      <c r="AJ11" s="1388">
        <v>0</v>
      </c>
      <c r="AK11" s="1388">
        <v>0</v>
      </c>
      <c r="AL11" s="1388">
        <v>0</v>
      </c>
      <c r="AM11" s="1388">
        <v>0</v>
      </c>
      <c r="AN11" s="1388">
        <v>0</v>
      </c>
      <c r="AO11" s="1388">
        <v>0</v>
      </c>
      <c r="AP11" s="1388">
        <v>0</v>
      </c>
      <c r="AQ11" s="1388">
        <v>0</v>
      </c>
      <c r="AR11" s="1388">
        <v>0</v>
      </c>
      <c r="AS11" s="1388">
        <v>0</v>
      </c>
      <c r="AT11" s="1388">
        <v>0</v>
      </c>
      <c r="AU11" s="1388">
        <v>23611946.313679904</v>
      </c>
      <c r="AV11" s="1388">
        <v>0</v>
      </c>
      <c r="AW11" s="1388">
        <v>0</v>
      </c>
      <c r="AX11" s="1388">
        <v>0</v>
      </c>
      <c r="AY11" s="1388">
        <v>0</v>
      </c>
      <c r="AZ11" s="1388">
        <v>0</v>
      </c>
      <c r="BA11" s="1388">
        <v>159477683.96201816</v>
      </c>
      <c r="BB11" s="1388">
        <v>0</v>
      </c>
      <c r="BC11" s="1388">
        <v>0</v>
      </c>
      <c r="BD11" s="1388">
        <v>0</v>
      </c>
      <c r="BE11" s="1388">
        <v>0</v>
      </c>
      <c r="BF11" s="1388">
        <v>0</v>
      </c>
      <c r="BG11" s="1388">
        <v>0</v>
      </c>
      <c r="BH11" s="1388">
        <v>0</v>
      </c>
      <c r="BI11" s="1388">
        <v>0</v>
      </c>
      <c r="BJ11" s="1388">
        <v>0</v>
      </c>
      <c r="BK11" s="1388">
        <v>0</v>
      </c>
      <c r="BL11" s="1388">
        <v>0</v>
      </c>
      <c r="BM11" s="1388">
        <v>0</v>
      </c>
      <c r="BN11" s="1388">
        <v>0</v>
      </c>
      <c r="BO11" s="1388">
        <v>0</v>
      </c>
      <c r="BP11" s="1388">
        <v>0</v>
      </c>
      <c r="BQ11" s="1388">
        <v>0</v>
      </c>
      <c r="BR11" s="1388">
        <v>0</v>
      </c>
      <c r="BS11" s="1388">
        <v>0</v>
      </c>
      <c r="BT11" s="1388">
        <v>0</v>
      </c>
      <c r="BU11" s="1388">
        <v>0</v>
      </c>
      <c r="BV11" s="1388">
        <v>0</v>
      </c>
      <c r="BW11" s="1388">
        <v>0</v>
      </c>
      <c r="BX11" s="1388">
        <v>0</v>
      </c>
      <c r="BY11" s="1388">
        <v>0</v>
      </c>
      <c r="BZ11" s="1388">
        <v>0</v>
      </c>
      <c r="CA11" s="1388">
        <v>0</v>
      </c>
      <c r="CB11" s="1388">
        <v>0</v>
      </c>
      <c r="CC11" s="1388">
        <v>0</v>
      </c>
      <c r="CD11" s="1388">
        <v>0</v>
      </c>
      <c r="CE11" s="1388">
        <v>0</v>
      </c>
      <c r="CF11" s="1388">
        <v>0</v>
      </c>
      <c r="CG11" s="1388">
        <v>0</v>
      </c>
      <c r="CH11" s="1388">
        <v>0</v>
      </c>
      <c r="CI11" s="1388">
        <v>0</v>
      </c>
      <c r="CJ11" s="1388">
        <v>0</v>
      </c>
      <c r="CK11" s="1388">
        <v>0</v>
      </c>
      <c r="CL11" s="1388">
        <v>0</v>
      </c>
      <c r="CM11" s="1388">
        <v>0</v>
      </c>
      <c r="CN11" s="1388">
        <v>0</v>
      </c>
      <c r="CO11" s="1388">
        <v>0</v>
      </c>
      <c r="CP11" s="1388">
        <v>0</v>
      </c>
      <c r="CQ11" s="1388">
        <v>0</v>
      </c>
      <c r="CR11" s="1388">
        <v>0</v>
      </c>
      <c r="CS11" s="1388">
        <v>0</v>
      </c>
      <c r="CT11" s="1388">
        <v>0</v>
      </c>
      <c r="CU11" s="1388">
        <v>0</v>
      </c>
      <c r="CV11" s="1388">
        <v>0</v>
      </c>
      <c r="CW11" s="1388">
        <v>9964625.4762245957</v>
      </c>
      <c r="CX11" s="1388"/>
      <c r="CY11" s="1388"/>
      <c r="CZ11" s="1388"/>
      <c r="DA11" s="1388"/>
      <c r="DB11" s="1388"/>
      <c r="DC11" s="1388"/>
      <c r="DD11" s="1388"/>
      <c r="DE11" s="1388"/>
      <c r="DF11" s="1388"/>
      <c r="DG11" s="1388"/>
      <c r="DH11" s="1388"/>
      <c r="DI11" s="1388"/>
      <c r="DJ11" s="1388"/>
      <c r="DK11" s="1388"/>
      <c r="DL11" s="1388"/>
      <c r="DM11" s="1388"/>
      <c r="DN11" s="1388"/>
      <c r="DO11" s="1388"/>
      <c r="DP11" s="1388"/>
      <c r="DQ11" s="1388"/>
      <c r="DR11" s="1388"/>
      <c r="DS11" s="1388"/>
      <c r="DT11" s="1388"/>
      <c r="DU11" s="1388"/>
      <c r="DV11" s="1388"/>
      <c r="DW11" s="1388"/>
      <c r="DX11" s="1388"/>
      <c r="DY11" s="1388"/>
      <c r="DZ11" s="1388"/>
      <c r="EA11" s="1388"/>
      <c r="EB11" s="1388"/>
      <c r="EC11" s="1388"/>
      <c r="ED11" s="1388"/>
      <c r="EE11" s="1388"/>
      <c r="EF11" s="1388"/>
      <c r="EG11" s="1388"/>
    </row>
    <row r="12" spans="2:137" ht="22.5" customHeight="1">
      <c r="B12" s="140"/>
      <c r="C12" s="1392" t="str">
        <v>Less: Subd Cost</v>
      </c>
      <c r="D12" s="500">
        <f t="shared" si="0"/>
        <v>-167488649.64694551</v>
      </c>
      <c r="F12" s="1389" cm="1">
        <f t="array" ref="F12:CW12">TRANSPOSE(_xlfn.ANCHORARRAY(mProject!H$9))</f>
        <v>0</v>
      </c>
      <c r="G12" s="1388">
        <v>0</v>
      </c>
      <c r="H12" s="1388">
        <v>0</v>
      </c>
      <c r="I12" s="1388">
        <v>0</v>
      </c>
      <c r="J12" s="1388">
        <v>0</v>
      </c>
      <c r="K12" s="1388">
        <v>0</v>
      </c>
      <c r="L12" s="1388">
        <v>0</v>
      </c>
      <c r="M12" s="1388">
        <v>0</v>
      </c>
      <c r="N12" s="1388">
        <v>0</v>
      </c>
      <c r="O12" s="1388">
        <v>0</v>
      </c>
      <c r="P12" s="1388">
        <v>0</v>
      </c>
      <c r="Q12" s="1388">
        <v>0</v>
      </c>
      <c r="R12" s="1388">
        <v>0</v>
      </c>
      <c r="S12" s="1388">
        <v>0</v>
      </c>
      <c r="T12" s="1388">
        <v>0</v>
      </c>
      <c r="U12" s="1388">
        <v>0</v>
      </c>
      <c r="V12" s="1388">
        <v>0</v>
      </c>
      <c r="W12" s="1388">
        <v>0</v>
      </c>
      <c r="X12" s="1388">
        <v>0</v>
      </c>
      <c r="Y12" s="1388">
        <v>0</v>
      </c>
      <c r="Z12" s="1388">
        <v>0</v>
      </c>
      <c r="AA12" s="1388">
        <v>0</v>
      </c>
      <c r="AB12" s="1388">
        <v>0</v>
      </c>
      <c r="AC12" s="1388">
        <v>0</v>
      </c>
      <c r="AD12" s="1388">
        <v>0</v>
      </c>
      <c r="AE12" s="1388">
        <v>-22756920.934735361</v>
      </c>
      <c r="AF12" s="1388">
        <v>0</v>
      </c>
      <c r="AG12" s="1388">
        <v>0</v>
      </c>
      <c r="AH12" s="1388">
        <v>0</v>
      </c>
      <c r="AI12" s="1388">
        <v>0</v>
      </c>
      <c r="AJ12" s="1388">
        <v>0</v>
      </c>
      <c r="AK12" s="1388">
        <v>0</v>
      </c>
      <c r="AL12" s="1388">
        <v>0</v>
      </c>
      <c r="AM12" s="1388">
        <v>0</v>
      </c>
      <c r="AN12" s="1388">
        <v>0</v>
      </c>
      <c r="AO12" s="1388">
        <v>0</v>
      </c>
      <c r="AP12" s="1388">
        <v>0</v>
      </c>
      <c r="AQ12" s="1388">
        <v>0</v>
      </c>
      <c r="AR12" s="1388">
        <v>0</v>
      </c>
      <c r="AS12" s="1388">
        <v>0</v>
      </c>
      <c r="AT12" s="1388">
        <v>0</v>
      </c>
      <c r="AU12" s="1388">
        <v>-30903139.244144909</v>
      </c>
      <c r="AV12" s="1388">
        <v>0</v>
      </c>
      <c r="AW12" s="1388">
        <v>0</v>
      </c>
      <c r="AX12" s="1388">
        <v>0</v>
      </c>
      <c r="AY12" s="1388">
        <v>0</v>
      </c>
      <c r="AZ12" s="1388">
        <v>0</v>
      </c>
      <c r="BA12" s="1388">
        <v>-42170522.947051242</v>
      </c>
      <c r="BB12" s="1388">
        <v>0</v>
      </c>
      <c r="BC12" s="1388">
        <v>0</v>
      </c>
      <c r="BD12" s="1388">
        <v>0</v>
      </c>
      <c r="BE12" s="1388">
        <v>0</v>
      </c>
      <c r="BF12" s="1388">
        <v>0</v>
      </c>
      <c r="BG12" s="1388">
        <v>0</v>
      </c>
      <c r="BH12" s="1388">
        <v>0</v>
      </c>
      <c r="BI12" s="1388">
        <v>0</v>
      </c>
      <c r="BJ12" s="1388">
        <v>0</v>
      </c>
      <c r="BK12" s="1388">
        <v>0</v>
      </c>
      <c r="BL12" s="1388">
        <v>0</v>
      </c>
      <c r="BM12" s="1388">
        <v>0</v>
      </c>
      <c r="BN12" s="1388">
        <v>0</v>
      </c>
      <c r="BO12" s="1388">
        <v>0</v>
      </c>
      <c r="BP12" s="1388">
        <v>0</v>
      </c>
      <c r="BQ12" s="1388">
        <v>0</v>
      </c>
      <c r="BR12" s="1388">
        <v>0</v>
      </c>
      <c r="BS12" s="1388">
        <v>0</v>
      </c>
      <c r="BT12" s="1388">
        <v>0</v>
      </c>
      <c r="BU12" s="1388">
        <v>0</v>
      </c>
      <c r="BV12" s="1388">
        <v>0</v>
      </c>
      <c r="BW12" s="1388">
        <v>0</v>
      </c>
      <c r="BX12" s="1388">
        <v>0</v>
      </c>
      <c r="BY12" s="1388">
        <v>-8713784.8436406944</v>
      </c>
      <c r="BZ12" s="1388">
        <v>-6434682.7475389121</v>
      </c>
      <c r="CA12" s="1388">
        <v>0</v>
      </c>
      <c r="CB12" s="1388">
        <v>0</v>
      </c>
      <c r="CC12" s="1388">
        <v>0</v>
      </c>
      <c r="CD12" s="1388">
        <v>0</v>
      </c>
      <c r="CE12" s="1388">
        <v>-21236644.627644084</v>
      </c>
      <c r="CF12" s="1388">
        <v>0</v>
      </c>
      <c r="CG12" s="1388">
        <v>0</v>
      </c>
      <c r="CH12" s="1388">
        <v>0</v>
      </c>
      <c r="CI12" s="1388">
        <v>0</v>
      </c>
      <c r="CJ12" s="1388">
        <v>0</v>
      </c>
      <c r="CK12" s="1388">
        <v>0</v>
      </c>
      <c r="CL12" s="1388">
        <v>0</v>
      </c>
      <c r="CM12" s="1388">
        <v>0</v>
      </c>
      <c r="CN12" s="1388">
        <v>0</v>
      </c>
      <c r="CO12" s="1388">
        <v>0</v>
      </c>
      <c r="CP12" s="1388">
        <v>0</v>
      </c>
      <c r="CQ12" s="1388">
        <v>0</v>
      </c>
      <c r="CR12" s="1388">
        <v>0</v>
      </c>
      <c r="CS12" s="1388">
        <v>0</v>
      </c>
      <c r="CT12" s="1388">
        <v>0</v>
      </c>
      <c r="CU12" s="1388">
        <v>0</v>
      </c>
      <c r="CV12" s="1388">
        <v>0</v>
      </c>
      <c r="CW12" s="1388">
        <v>-35272954.302190296</v>
      </c>
      <c r="CX12" s="1388"/>
      <c r="CY12" s="1388"/>
      <c r="CZ12" s="1388"/>
      <c r="DA12" s="1388"/>
      <c r="DB12" s="1388"/>
      <c r="DC12" s="1388"/>
      <c r="DD12" s="1388"/>
      <c r="DE12" s="1388"/>
      <c r="DF12" s="1388"/>
      <c r="DG12" s="1388"/>
      <c r="DH12" s="1388"/>
      <c r="DI12" s="1388"/>
      <c r="DJ12" s="1388"/>
      <c r="DK12" s="1388"/>
      <c r="DL12" s="1388"/>
      <c r="DM12" s="1388"/>
      <c r="DN12" s="1388"/>
      <c r="DO12" s="1388"/>
      <c r="DP12" s="1388"/>
      <c r="DQ12" s="1388"/>
      <c r="DR12" s="1388"/>
      <c r="DS12" s="1388"/>
      <c r="DT12" s="1388"/>
      <c r="DU12" s="1388"/>
      <c r="DV12" s="1388"/>
      <c r="DW12" s="1388"/>
      <c r="DX12" s="1388"/>
      <c r="DY12" s="1388"/>
      <c r="DZ12" s="1388"/>
      <c r="EA12" s="1388"/>
      <c r="EB12" s="1388"/>
      <c r="EC12" s="1388"/>
      <c r="ED12" s="1388"/>
      <c r="EE12" s="1388"/>
      <c r="EF12" s="1388"/>
      <c r="EG12" s="1388"/>
    </row>
    <row r="13" spans="2:137" ht="22.5" customHeight="1">
      <c r="B13" s="140"/>
      <c r="C13" s="1372" t="str">
        <v>Gross Revenue</v>
      </c>
      <c r="D13" s="500">
        <f t="shared" si="0"/>
        <v>342234695.53270853</v>
      </c>
      <c r="F13" s="1389" cm="1">
        <f t="array" ref="F13:CW13">TRANSPOSE(_xlfn.ANCHORARRAY(mProject!I$9))</f>
        <v>0</v>
      </c>
      <c r="G13" s="1388">
        <v>0</v>
      </c>
      <c r="H13" s="1388">
        <v>0</v>
      </c>
      <c r="I13" s="1388">
        <v>0</v>
      </c>
      <c r="J13" s="1388">
        <v>0</v>
      </c>
      <c r="K13" s="1388">
        <v>0</v>
      </c>
      <c r="L13" s="1388">
        <v>0</v>
      </c>
      <c r="M13" s="1388">
        <v>0</v>
      </c>
      <c r="N13" s="1388">
        <v>0</v>
      </c>
      <c r="O13" s="1388">
        <v>0</v>
      </c>
      <c r="P13" s="1388">
        <v>0</v>
      </c>
      <c r="Q13" s="1388">
        <v>0</v>
      </c>
      <c r="R13" s="1388">
        <v>0</v>
      </c>
      <c r="S13" s="1388">
        <v>0</v>
      </c>
      <c r="T13" s="1388">
        <v>0</v>
      </c>
      <c r="U13" s="1388">
        <v>0</v>
      </c>
      <c r="V13" s="1388">
        <v>0</v>
      </c>
      <c r="W13" s="1388">
        <v>0</v>
      </c>
      <c r="X13" s="1388">
        <v>0</v>
      </c>
      <c r="Y13" s="1388">
        <v>0</v>
      </c>
      <c r="Z13" s="1388">
        <v>0</v>
      </c>
      <c r="AA13" s="1388">
        <v>0</v>
      </c>
      <c r="AB13" s="1388">
        <v>0</v>
      </c>
      <c r="AC13" s="1388">
        <v>0</v>
      </c>
      <c r="AD13" s="1388">
        <v>0</v>
      </c>
      <c r="AE13" s="1388">
        <v>31341092.090413608</v>
      </c>
      <c r="AF13" s="1388">
        <v>0</v>
      </c>
      <c r="AG13" s="1388">
        <v>0</v>
      </c>
      <c r="AH13" s="1388">
        <v>0</v>
      </c>
      <c r="AI13" s="1388">
        <v>0</v>
      </c>
      <c r="AJ13" s="1388">
        <v>0</v>
      </c>
      <c r="AK13" s="1388">
        <v>0</v>
      </c>
      <c r="AL13" s="1388">
        <v>0</v>
      </c>
      <c r="AM13" s="1388">
        <v>0</v>
      </c>
      <c r="AN13" s="1388">
        <v>0</v>
      </c>
      <c r="AO13" s="1388">
        <v>0</v>
      </c>
      <c r="AP13" s="1388">
        <v>0</v>
      </c>
      <c r="AQ13" s="1388">
        <v>0</v>
      </c>
      <c r="AR13" s="1388">
        <v>0</v>
      </c>
      <c r="AS13" s="1388">
        <v>0</v>
      </c>
      <c r="AT13" s="1388">
        <v>0</v>
      </c>
      <c r="AU13" s="1388">
        <v>49760756.443340987</v>
      </c>
      <c r="AV13" s="1388">
        <v>0</v>
      </c>
      <c r="AW13" s="1388">
        <v>0</v>
      </c>
      <c r="AX13" s="1388">
        <v>0</v>
      </c>
      <c r="AY13" s="1388">
        <v>0</v>
      </c>
      <c r="AZ13" s="1388">
        <v>0</v>
      </c>
      <c r="BA13" s="1388">
        <v>195160434.14798459</v>
      </c>
      <c r="BB13" s="1388">
        <v>0</v>
      </c>
      <c r="BC13" s="1388">
        <v>0</v>
      </c>
      <c r="BD13" s="1388">
        <v>0</v>
      </c>
      <c r="BE13" s="1388">
        <v>0</v>
      </c>
      <c r="BF13" s="1388">
        <v>0</v>
      </c>
      <c r="BG13" s="1388">
        <v>0</v>
      </c>
      <c r="BH13" s="1388">
        <v>0</v>
      </c>
      <c r="BI13" s="1388">
        <v>0</v>
      </c>
      <c r="BJ13" s="1388">
        <v>0</v>
      </c>
      <c r="BK13" s="1388">
        <v>0</v>
      </c>
      <c r="BL13" s="1388">
        <v>0</v>
      </c>
      <c r="BM13" s="1388">
        <v>0</v>
      </c>
      <c r="BN13" s="1388">
        <v>0</v>
      </c>
      <c r="BO13" s="1388">
        <v>0</v>
      </c>
      <c r="BP13" s="1388">
        <v>0</v>
      </c>
      <c r="BQ13" s="1388">
        <v>0</v>
      </c>
      <c r="BR13" s="1388">
        <v>0</v>
      </c>
      <c r="BS13" s="1388">
        <v>0</v>
      </c>
      <c r="BT13" s="1388">
        <v>0</v>
      </c>
      <c r="BU13" s="1388">
        <v>0</v>
      </c>
      <c r="BV13" s="1388">
        <v>0</v>
      </c>
      <c r="BW13" s="1388">
        <v>0</v>
      </c>
      <c r="BX13" s="1388">
        <v>0</v>
      </c>
      <c r="BY13" s="1388">
        <v>7373202.5600036625</v>
      </c>
      <c r="BZ13" s="1388">
        <v>5444731.5556098493</v>
      </c>
      <c r="CA13" s="1388">
        <v>0</v>
      </c>
      <c r="CB13" s="1388">
        <v>0</v>
      </c>
      <c r="CC13" s="1388">
        <v>0</v>
      </c>
      <c r="CD13" s="1388">
        <v>0</v>
      </c>
      <c r="CE13" s="1388">
        <v>17969468.531083453</v>
      </c>
      <c r="CF13" s="1388">
        <v>0</v>
      </c>
      <c r="CG13" s="1388">
        <v>0</v>
      </c>
      <c r="CH13" s="1388">
        <v>0</v>
      </c>
      <c r="CI13" s="1388">
        <v>0</v>
      </c>
      <c r="CJ13" s="1388">
        <v>0</v>
      </c>
      <c r="CK13" s="1388">
        <v>0</v>
      </c>
      <c r="CL13" s="1388">
        <v>0</v>
      </c>
      <c r="CM13" s="1388">
        <v>0</v>
      </c>
      <c r="CN13" s="1388">
        <v>0</v>
      </c>
      <c r="CO13" s="1388">
        <v>0</v>
      </c>
      <c r="CP13" s="1388">
        <v>0</v>
      </c>
      <c r="CQ13" s="1388">
        <v>0</v>
      </c>
      <c r="CR13" s="1388">
        <v>0</v>
      </c>
      <c r="CS13" s="1388">
        <v>0</v>
      </c>
      <c r="CT13" s="1388">
        <v>0</v>
      </c>
      <c r="CU13" s="1388">
        <v>0</v>
      </c>
      <c r="CV13" s="1388">
        <v>0</v>
      </c>
      <c r="CW13" s="1388">
        <v>35185010.204272382</v>
      </c>
      <c r="CX13" s="1388"/>
      <c r="CY13" s="1388"/>
      <c r="CZ13" s="1388"/>
      <c r="DA13" s="1388"/>
      <c r="DB13" s="1388"/>
      <c r="DC13" s="1388"/>
      <c r="DD13" s="1388"/>
      <c r="DE13" s="1388"/>
      <c r="DF13" s="1388"/>
      <c r="DG13" s="1388"/>
      <c r="DH13" s="1388"/>
      <c r="DI13" s="1388"/>
      <c r="DJ13" s="1388"/>
      <c r="DK13" s="1388"/>
      <c r="DL13" s="1388"/>
      <c r="DM13" s="1388"/>
      <c r="DN13" s="1388"/>
      <c r="DO13" s="1388"/>
      <c r="DP13" s="1388"/>
      <c r="DQ13" s="1388"/>
      <c r="DR13" s="1388"/>
      <c r="DS13" s="1388"/>
      <c r="DT13" s="1388"/>
      <c r="DU13" s="1388"/>
      <c r="DV13" s="1388"/>
      <c r="DW13" s="1388"/>
      <c r="DX13" s="1388"/>
      <c r="DY13" s="1388"/>
      <c r="DZ13" s="1388"/>
      <c r="EA13" s="1388"/>
      <c r="EB13" s="1388"/>
      <c r="EC13" s="1388"/>
      <c r="ED13" s="1388"/>
      <c r="EE13" s="1388"/>
      <c r="EF13" s="1388"/>
      <c r="EG13" s="1388"/>
    </row>
    <row r="14" spans="2:137" ht="22.5" customHeight="1">
      <c r="B14" s="140"/>
      <c r="C14" s="1392" t="str">
        <v>Less: Commissions</v>
      </c>
      <c r="D14" s="500">
        <f t="shared" si="0"/>
        <v>-10267040.865981257</v>
      </c>
      <c r="F14" s="1389" cm="1">
        <f t="array" ref="F14:CW14">TRANSPOSE(_xlfn.ANCHORARRAY(mProject!J$9))</f>
        <v>0</v>
      </c>
      <c r="G14" s="1388">
        <v>0</v>
      </c>
      <c r="H14" s="1388">
        <v>0</v>
      </c>
      <c r="I14" s="1388">
        <v>0</v>
      </c>
      <c r="J14" s="1388">
        <v>0</v>
      </c>
      <c r="K14" s="1388">
        <v>0</v>
      </c>
      <c r="L14" s="1388">
        <v>0</v>
      </c>
      <c r="M14" s="1388">
        <v>0</v>
      </c>
      <c r="N14" s="1388">
        <v>0</v>
      </c>
      <c r="O14" s="1388">
        <v>0</v>
      </c>
      <c r="P14" s="1388">
        <v>0</v>
      </c>
      <c r="Q14" s="1388">
        <v>0</v>
      </c>
      <c r="R14" s="1388">
        <v>0</v>
      </c>
      <c r="S14" s="1388">
        <v>0</v>
      </c>
      <c r="T14" s="1388">
        <v>0</v>
      </c>
      <c r="U14" s="1388">
        <v>0</v>
      </c>
      <c r="V14" s="1388">
        <v>0</v>
      </c>
      <c r="W14" s="1388">
        <v>0</v>
      </c>
      <c r="X14" s="1388">
        <v>0</v>
      </c>
      <c r="Y14" s="1388">
        <v>0</v>
      </c>
      <c r="Z14" s="1388">
        <v>0</v>
      </c>
      <c r="AA14" s="1388">
        <v>0</v>
      </c>
      <c r="AB14" s="1388">
        <v>0</v>
      </c>
      <c r="AC14" s="1388">
        <v>0</v>
      </c>
      <c r="AD14" s="1388">
        <v>0</v>
      </c>
      <c r="AE14" s="1388">
        <v>-940232.76271240832</v>
      </c>
      <c r="AF14" s="1388">
        <v>0</v>
      </c>
      <c r="AG14" s="1388">
        <v>0</v>
      </c>
      <c r="AH14" s="1388">
        <v>0</v>
      </c>
      <c r="AI14" s="1388">
        <v>0</v>
      </c>
      <c r="AJ14" s="1388">
        <v>0</v>
      </c>
      <c r="AK14" s="1388">
        <v>0</v>
      </c>
      <c r="AL14" s="1388">
        <v>0</v>
      </c>
      <c r="AM14" s="1388">
        <v>0</v>
      </c>
      <c r="AN14" s="1388">
        <v>0</v>
      </c>
      <c r="AO14" s="1388">
        <v>0</v>
      </c>
      <c r="AP14" s="1388">
        <v>0</v>
      </c>
      <c r="AQ14" s="1388">
        <v>0</v>
      </c>
      <c r="AR14" s="1388">
        <v>0</v>
      </c>
      <c r="AS14" s="1388">
        <v>0</v>
      </c>
      <c r="AT14" s="1388">
        <v>0</v>
      </c>
      <c r="AU14" s="1388">
        <v>-1492822.69330023</v>
      </c>
      <c r="AV14" s="1388">
        <v>0</v>
      </c>
      <c r="AW14" s="1388">
        <v>0</v>
      </c>
      <c r="AX14" s="1388">
        <v>0</v>
      </c>
      <c r="AY14" s="1388">
        <v>0</v>
      </c>
      <c r="AZ14" s="1388">
        <v>0</v>
      </c>
      <c r="BA14" s="1388">
        <v>-5854813.024439537</v>
      </c>
      <c r="BB14" s="1388">
        <v>0</v>
      </c>
      <c r="BC14" s="1388">
        <v>0</v>
      </c>
      <c r="BD14" s="1388">
        <v>0</v>
      </c>
      <c r="BE14" s="1388">
        <v>0</v>
      </c>
      <c r="BF14" s="1388">
        <v>0</v>
      </c>
      <c r="BG14" s="1388">
        <v>0</v>
      </c>
      <c r="BH14" s="1388">
        <v>0</v>
      </c>
      <c r="BI14" s="1388">
        <v>0</v>
      </c>
      <c r="BJ14" s="1388">
        <v>0</v>
      </c>
      <c r="BK14" s="1388">
        <v>0</v>
      </c>
      <c r="BL14" s="1388">
        <v>0</v>
      </c>
      <c r="BM14" s="1388">
        <v>0</v>
      </c>
      <c r="BN14" s="1388">
        <v>0</v>
      </c>
      <c r="BO14" s="1388">
        <v>0</v>
      </c>
      <c r="BP14" s="1388">
        <v>0</v>
      </c>
      <c r="BQ14" s="1388">
        <v>0</v>
      </c>
      <c r="BR14" s="1388">
        <v>0</v>
      </c>
      <c r="BS14" s="1388">
        <v>0</v>
      </c>
      <c r="BT14" s="1388">
        <v>0</v>
      </c>
      <c r="BU14" s="1388">
        <v>0</v>
      </c>
      <c r="BV14" s="1388">
        <v>0</v>
      </c>
      <c r="BW14" s="1388">
        <v>0</v>
      </c>
      <c r="BX14" s="1388">
        <v>0</v>
      </c>
      <c r="BY14" s="1388">
        <v>-221196.07680010988</v>
      </c>
      <c r="BZ14" s="1388">
        <v>-163341.94666829548</v>
      </c>
      <c r="CA14" s="1388">
        <v>0</v>
      </c>
      <c r="CB14" s="1388">
        <v>0</v>
      </c>
      <c r="CC14" s="1388">
        <v>0</v>
      </c>
      <c r="CD14" s="1388">
        <v>0</v>
      </c>
      <c r="CE14" s="1388">
        <v>-539084.05593250366</v>
      </c>
      <c r="CF14" s="1388">
        <v>0</v>
      </c>
      <c r="CG14" s="1388">
        <v>0</v>
      </c>
      <c r="CH14" s="1388">
        <v>0</v>
      </c>
      <c r="CI14" s="1388">
        <v>0</v>
      </c>
      <c r="CJ14" s="1388">
        <v>0</v>
      </c>
      <c r="CK14" s="1388">
        <v>0</v>
      </c>
      <c r="CL14" s="1388">
        <v>0</v>
      </c>
      <c r="CM14" s="1388">
        <v>0</v>
      </c>
      <c r="CN14" s="1388">
        <v>0</v>
      </c>
      <c r="CO14" s="1388">
        <v>0</v>
      </c>
      <c r="CP14" s="1388">
        <v>0</v>
      </c>
      <c r="CQ14" s="1388">
        <v>0</v>
      </c>
      <c r="CR14" s="1388">
        <v>0</v>
      </c>
      <c r="CS14" s="1388">
        <v>0</v>
      </c>
      <c r="CT14" s="1388">
        <v>0</v>
      </c>
      <c r="CU14" s="1388">
        <v>0</v>
      </c>
      <c r="CV14" s="1388">
        <v>0</v>
      </c>
      <c r="CW14" s="1388">
        <v>-1055550.3061281715</v>
      </c>
      <c r="CX14" s="1388"/>
      <c r="CY14" s="1388"/>
      <c r="CZ14" s="1388"/>
      <c r="DA14" s="1388"/>
      <c r="DB14" s="1388"/>
      <c r="DC14" s="1388"/>
      <c r="DD14" s="1388"/>
      <c r="DE14" s="1388"/>
      <c r="DF14" s="1388"/>
      <c r="DG14" s="1388"/>
      <c r="DH14" s="1388"/>
      <c r="DI14" s="1388"/>
      <c r="DJ14" s="1388"/>
      <c r="DK14" s="1388"/>
      <c r="DL14" s="1388"/>
      <c r="DM14" s="1388"/>
      <c r="DN14" s="1388"/>
      <c r="DO14" s="1388"/>
      <c r="DP14" s="1388"/>
      <c r="DQ14" s="1388"/>
      <c r="DR14" s="1388"/>
      <c r="DS14" s="1388"/>
      <c r="DT14" s="1388"/>
      <c r="DU14" s="1388"/>
      <c r="DV14" s="1388"/>
      <c r="DW14" s="1388"/>
      <c r="DX14" s="1388"/>
      <c r="DY14" s="1388"/>
      <c r="DZ14" s="1388"/>
      <c r="EA14" s="1388"/>
      <c r="EB14" s="1388"/>
      <c r="EC14" s="1388"/>
      <c r="ED14" s="1388"/>
      <c r="EE14" s="1388"/>
      <c r="EF14" s="1388"/>
      <c r="EG14" s="1388"/>
    </row>
    <row r="15" spans="2:137" ht="22.5" customHeight="1">
      <c r="B15" s="140"/>
      <c r="C15" s="1392" t="str">
        <v>Less: Cost of Sale</v>
      </c>
      <c r="D15" s="507">
        <f t="shared" si="0"/>
        <v>-3422346.9553270852</v>
      </c>
      <c r="F15" s="1371" cm="1">
        <f t="array" ref="F15:CW15">TRANSPOSE(_xlfn.ANCHORARRAY(mProject!K$9))</f>
        <v>0</v>
      </c>
      <c r="G15" s="1403">
        <v>0</v>
      </c>
      <c r="H15" s="1403">
        <v>0</v>
      </c>
      <c r="I15" s="1403">
        <v>0</v>
      </c>
      <c r="J15" s="1403">
        <v>0</v>
      </c>
      <c r="K15" s="1403">
        <v>0</v>
      </c>
      <c r="L15" s="1403">
        <v>0</v>
      </c>
      <c r="M15" s="1403">
        <v>0</v>
      </c>
      <c r="N15" s="1403">
        <v>0</v>
      </c>
      <c r="O15" s="1403">
        <v>0</v>
      </c>
      <c r="P15" s="1403">
        <v>0</v>
      </c>
      <c r="Q15" s="1403">
        <v>0</v>
      </c>
      <c r="R15" s="1403">
        <v>0</v>
      </c>
      <c r="S15" s="1403">
        <v>0</v>
      </c>
      <c r="T15" s="1403">
        <v>0</v>
      </c>
      <c r="U15" s="1403">
        <v>0</v>
      </c>
      <c r="V15" s="1403">
        <v>0</v>
      </c>
      <c r="W15" s="1403">
        <v>0</v>
      </c>
      <c r="X15" s="1403">
        <v>0</v>
      </c>
      <c r="Y15" s="1403">
        <v>0</v>
      </c>
      <c r="Z15" s="1403">
        <v>0</v>
      </c>
      <c r="AA15" s="1403">
        <v>0</v>
      </c>
      <c r="AB15" s="1403">
        <v>0</v>
      </c>
      <c r="AC15" s="1403">
        <v>0</v>
      </c>
      <c r="AD15" s="1403">
        <v>0</v>
      </c>
      <c r="AE15" s="1403">
        <v>-313410.92090413609</v>
      </c>
      <c r="AF15" s="1403">
        <v>0</v>
      </c>
      <c r="AG15" s="1403">
        <v>0</v>
      </c>
      <c r="AH15" s="1403">
        <v>0</v>
      </c>
      <c r="AI15" s="1403">
        <v>0</v>
      </c>
      <c r="AJ15" s="1403">
        <v>0</v>
      </c>
      <c r="AK15" s="1403">
        <v>0</v>
      </c>
      <c r="AL15" s="1403">
        <v>0</v>
      </c>
      <c r="AM15" s="1403">
        <v>0</v>
      </c>
      <c r="AN15" s="1403">
        <v>0</v>
      </c>
      <c r="AO15" s="1403">
        <v>0</v>
      </c>
      <c r="AP15" s="1403">
        <v>0</v>
      </c>
      <c r="AQ15" s="1403">
        <v>0</v>
      </c>
      <c r="AR15" s="1403">
        <v>0</v>
      </c>
      <c r="AS15" s="1403">
        <v>0</v>
      </c>
      <c r="AT15" s="1403">
        <v>0</v>
      </c>
      <c r="AU15" s="1403">
        <v>-497607.56443340995</v>
      </c>
      <c r="AV15" s="1403">
        <v>0</v>
      </c>
      <c r="AW15" s="1403">
        <v>0</v>
      </c>
      <c r="AX15" s="1403">
        <v>0</v>
      </c>
      <c r="AY15" s="1403">
        <v>0</v>
      </c>
      <c r="AZ15" s="1403">
        <v>0</v>
      </c>
      <c r="BA15" s="1403">
        <v>-1951604.3414798456</v>
      </c>
      <c r="BB15" s="1403">
        <v>0</v>
      </c>
      <c r="BC15" s="1403">
        <v>0</v>
      </c>
      <c r="BD15" s="1403">
        <v>0</v>
      </c>
      <c r="BE15" s="1403">
        <v>0</v>
      </c>
      <c r="BF15" s="1403">
        <v>0</v>
      </c>
      <c r="BG15" s="1403">
        <v>0</v>
      </c>
      <c r="BH15" s="1403">
        <v>0</v>
      </c>
      <c r="BI15" s="1403">
        <v>0</v>
      </c>
      <c r="BJ15" s="1403">
        <v>0</v>
      </c>
      <c r="BK15" s="1403">
        <v>0</v>
      </c>
      <c r="BL15" s="1403">
        <v>0</v>
      </c>
      <c r="BM15" s="1403">
        <v>0</v>
      </c>
      <c r="BN15" s="1403">
        <v>0</v>
      </c>
      <c r="BO15" s="1403">
        <v>0</v>
      </c>
      <c r="BP15" s="1403">
        <v>0</v>
      </c>
      <c r="BQ15" s="1403">
        <v>0</v>
      </c>
      <c r="BR15" s="1403">
        <v>0</v>
      </c>
      <c r="BS15" s="1403">
        <v>0</v>
      </c>
      <c r="BT15" s="1403">
        <v>0</v>
      </c>
      <c r="BU15" s="1403">
        <v>0</v>
      </c>
      <c r="BV15" s="1403">
        <v>0</v>
      </c>
      <c r="BW15" s="1403">
        <v>0</v>
      </c>
      <c r="BX15" s="1403">
        <v>0</v>
      </c>
      <c r="BY15" s="1403">
        <v>-73732.025600036621</v>
      </c>
      <c r="BZ15" s="1403">
        <v>-54447.315556098496</v>
      </c>
      <c r="CA15" s="1403">
        <v>0</v>
      </c>
      <c r="CB15" s="1403">
        <v>0</v>
      </c>
      <c r="CC15" s="1403">
        <v>0</v>
      </c>
      <c r="CD15" s="1403">
        <v>0</v>
      </c>
      <c r="CE15" s="1403">
        <v>-179694.68531083455</v>
      </c>
      <c r="CF15" s="1403">
        <v>0</v>
      </c>
      <c r="CG15" s="1403">
        <v>0</v>
      </c>
      <c r="CH15" s="1403">
        <v>0</v>
      </c>
      <c r="CI15" s="1403">
        <v>0</v>
      </c>
      <c r="CJ15" s="1403">
        <v>0</v>
      </c>
      <c r="CK15" s="1403">
        <v>0</v>
      </c>
      <c r="CL15" s="1403">
        <v>0</v>
      </c>
      <c r="CM15" s="1403">
        <v>0</v>
      </c>
      <c r="CN15" s="1403">
        <v>0</v>
      </c>
      <c r="CO15" s="1403">
        <v>0</v>
      </c>
      <c r="CP15" s="1403">
        <v>0</v>
      </c>
      <c r="CQ15" s="1403">
        <v>0</v>
      </c>
      <c r="CR15" s="1403">
        <v>0</v>
      </c>
      <c r="CS15" s="1403">
        <v>0</v>
      </c>
      <c r="CT15" s="1403">
        <v>0</v>
      </c>
      <c r="CU15" s="1403">
        <v>0</v>
      </c>
      <c r="CV15" s="1403">
        <v>0</v>
      </c>
      <c r="CW15" s="1403">
        <v>-351850.1020427238</v>
      </c>
      <c r="CX15" s="1403"/>
      <c r="CY15" s="1403"/>
      <c r="CZ15" s="1403"/>
      <c r="DA15" s="1403"/>
      <c r="DB15" s="1403"/>
      <c r="DC15" s="1403"/>
      <c r="DD15" s="1403"/>
      <c r="DE15" s="1403"/>
      <c r="DF15" s="1403"/>
      <c r="DG15" s="1403"/>
      <c r="DH15" s="1403"/>
      <c r="DI15" s="1403"/>
      <c r="DJ15" s="1403"/>
      <c r="DK15" s="1403"/>
      <c r="DL15" s="1403"/>
      <c r="DM15" s="1403"/>
      <c r="DN15" s="1403"/>
      <c r="DO15" s="1403"/>
      <c r="DP15" s="1403"/>
      <c r="DQ15" s="1403"/>
      <c r="DR15" s="1403"/>
      <c r="DS15" s="1403"/>
      <c r="DT15" s="1403"/>
      <c r="DU15" s="1403"/>
      <c r="DV15" s="1403"/>
      <c r="DW15" s="1403"/>
      <c r="DX15" s="1403"/>
      <c r="DY15" s="1403"/>
      <c r="DZ15" s="1403"/>
      <c r="EA15" s="1403"/>
      <c r="EB15" s="1403"/>
      <c r="EC15" s="1403"/>
      <c r="ED15" s="1403"/>
      <c r="EE15" s="1403"/>
      <c r="EF15" s="1403"/>
      <c r="EG15" s="1403"/>
    </row>
    <row r="16" spans="2:137" ht="22.5" customHeight="1">
      <c r="B16" s="140"/>
      <c r="C16" s="1374" t="str">
        <v>Net Sale Revenue</v>
      </c>
      <c r="D16" s="1383">
        <f t="shared" si="0"/>
        <v>328545307.71140021</v>
      </c>
      <c r="F16" s="1384" cm="1">
        <f t="array" ref="F16:CW16">TRANSPOSE(_xlfn.ANCHORARRAY(mProject!L$9))</f>
        <v>0</v>
      </c>
      <c r="G16" s="1384">
        <v>0</v>
      </c>
      <c r="H16" s="1384">
        <v>0</v>
      </c>
      <c r="I16" s="1384">
        <v>0</v>
      </c>
      <c r="J16" s="1384">
        <v>0</v>
      </c>
      <c r="K16" s="1384">
        <v>0</v>
      </c>
      <c r="L16" s="1384">
        <v>0</v>
      </c>
      <c r="M16" s="1384">
        <v>0</v>
      </c>
      <c r="N16" s="1384">
        <v>0</v>
      </c>
      <c r="O16" s="1384">
        <v>0</v>
      </c>
      <c r="P16" s="1384">
        <v>0</v>
      </c>
      <c r="Q16" s="1384">
        <v>0</v>
      </c>
      <c r="R16" s="1384">
        <v>0</v>
      </c>
      <c r="S16" s="1384">
        <v>0</v>
      </c>
      <c r="T16" s="1384">
        <v>0</v>
      </c>
      <c r="U16" s="1384">
        <v>0</v>
      </c>
      <c r="V16" s="1384">
        <v>0</v>
      </c>
      <c r="W16" s="1384">
        <v>0</v>
      </c>
      <c r="X16" s="1384">
        <v>0</v>
      </c>
      <c r="Y16" s="1384">
        <v>0</v>
      </c>
      <c r="Z16" s="1384">
        <v>0</v>
      </c>
      <c r="AA16" s="1384">
        <v>0</v>
      </c>
      <c r="AB16" s="1384">
        <v>0</v>
      </c>
      <c r="AC16" s="1384">
        <v>0</v>
      </c>
      <c r="AD16" s="1384">
        <v>0</v>
      </c>
      <c r="AE16" s="1384">
        <v>30087448.406797066</v>
      </c>
      <c r="AF16" s="1384">
        <v>0</v>
      </c>
      <c r="AG16" s="1384">
        <v>0</v>
      </c>
      <c r="AH16" s="1384">
        <v>0</v>
      </c>
      <c r="AI16" s="1384">
        <v>0</v>
      </c>
      <c r="AJ16" s="1384">
        <v>0</v>
      </c>
      <c r="AK16" s="1384">
        <v>0</v>
      </c>
      <c r="AL16" s="1384">
        <v>0</v>
      </c>
      <c r="AM16" s="1384">
        <v>0</v>
      </c>
      <c r="AN16" s="1384">
        <v>0</v>
      </c>
      <c r="AO16" s="1384">
        <v>0</v>
      </c>
      <c r="AP16" s="1384">
        <v>0</v>
      </c>
      <c r="AQ16" s="1384">
        <v>0</v>
      </c>
      <c r="AR16" s="1384">
        <v>0</v>
      </c>
      <c r="AS16" s="1384">
        <v>0</v>
      </c>
      <c r="AT16" s="1384">
        <v>0</v>
      </c>
      <c r="AU16" s="1384">
        <v>47770326.185607359</v>
      </c>
      <c r="AV16" s="1384">
        <v>0</v>
      </c>
      <c r="AW16" s="1384">
        <v>0</v>
      </c>
      <c r="AX16" s="1384">
        <v>0</v>
      </c>
      <c r="AY16" s="1384">
        <v>0</v>
      </c>
      <c r="AZ16" s="1384">
        <v>0</v>
      </c>
      <c r="BA16" s="1384">
        <v>187354016.78206518</v>
      </c>
      <c r="BB16" s="1384">
        <v>0</v>
      </c>
      <c r="BC16" s="1384">
        <v>0</v>
      </c>
      <c r="BD16" s="1384">
        <v>0</v>
      </c>
      <c r="BE16" s="1384">
        <v>0</v>
      </c>
      <c r="BF16" s="1384">
        <v>0</v>
      </c>
      <c r="BG16" s="1384">
        <v>0</v>
      </c>
      <c r="BH16" s="1384">
        <v>0</v>
      </c>
      <c r="BI16" s="1384">
        <v>0</v>
      </c>
      <c r="BJ16" s="1384">
        <v>0</v>
      </c>
      <c r="BK16" s="1384">
        <v>0</v>
      </c>
      <c r="BL16" s="1384">
        <v>0</v>
      </c>
      <c r="BM16" s="1384">
        <v>0</v>
      </c>
      <c r="BN16" s="1384">
        <v>0</v>
      </c>
      <c r="BO16" s="1384">
        <v>0</v>
      </c>
      <c r="BP16" s="1384">
        <v>0</v>
      </c>
      <c r="BQ16" s="1384">
        <v>0</v>
      </c>
      <c r="BR16" s="1384">
        <v>0</v>
      </c>
      <c r="BS16" s="1384">
        <v>0</v>
      </c>
      <c r="BT16" s="1384">
        <v>0</v>
      </c>
      <c r="BU16" s="1384">
        <v>0</v>
      </c>
      <c r="BV16" s="1384">
        <v>0</v>
      </c>
      <c r="BW16" s="1384">
        <v>0</v>
      </c>
      <c r="BX16" s="1384">
        <v>0</v>
      </c>
      <c r="BY16" s="1384">
        <v>7078274.4576035161</v>
      </c>
      <c r="BZ16" s="1384">
        <v>5226942.2933854554</v>
      </c>
      <c r="CA16" s="1384">
        <v>0</v>
      </c>
      <c r="CB16" s="1384">
        <v>0</v>
      </c>
      <c r="CC16" s="1384">
        <v>0</v>
      </c>
      <c r="CD16" s="1384">
        <v>0</v>
      </c>
      <c r="CE16" s="1384">
        <v>17250689.789840117</v>
      </c>
      <c r="CF16" s="1384">
        <v>0</v>
      </c>
      <c r="CG16" s="1384">
        <v>0</v>
      </c>
      <c r="CH16" s="1384">
        <v>0</v>
      </c>
      <c r="CI16" s="1384">
        <v>0</v>
      </c>
      <c r="CJ16" s="1384">
        <v>0</v>
      </c>
      <c r="CK16" s="1384">
        <v>0</v>
      </c>
      <c r="CL16" s="1384">
        <v>0</v>
      </c>
      <c r="CM16" s="1384">
        <v>0</v>
      </c>
      <c r="CN16" s="1384">
        <v>0</v>
      </c>
      <c r="CO16" s="1384">
        <v>0</v>
      </c>
      <c r="CP16" s="1384">
        <v>0</v>
      </c>
      <c r="CQ16" s="1384">
        <v>0</v>
      </c>
      <c r="CR16" s="1384">
        <v>0</v>
      </c>
      <c r="CS16" s="1384">
        <v>0</v>
      </c>
      <c r="CT16" s="1384">
        <v>0</v>
      </c>
      <c r="CU16" s="1384">
        <v>0</v>
      </c>
      <c r="CV16" s="1384">
        <v>0</v>
      </c>
      <c r="CW16" s="1384">
        <v>33777609.796101488</v>
      </c>
      <c r="CX16" s="1384"/>
      <c r="CY16" s="1384"/>
      <c r="CZ16" s="1384"/>
      <c r="DA16" s="1384"/>
      <c r="DB16" s="1384"/>
      <c r="DC16" s="1384"/>
      <c r="DD16" s="1384"/>
      <c r="DE16" s="1384"/>
      <c r="DF16" s="1384"/>
      <c r="DG16" s="1384"/>
      <c r="DH16" s="1384"/>
      <c r="DI16" s="1384"/>
      <c r="DJ16" s="1384"/>
      <c r="DK16" s="1384"/>
      <c r="DL16" s="1384"/>
      <c r="DM16" s="1384"/>
      <c r="DN16" s="1384"/>
      <c r="DO16" s="1384"/>
      <c r="DP16" s="1384"/>
      <c r="DQ16" s="1384"/>
      <c r="DR16" s="1384"/>
      <c r="DS16" s="1384"/>
      <c r="DT16" s="1384"/>
      <c r="DU16" s="1384"/>
      <c r="DV16" s="1384"/>
      <c r="DW16" s="1384"/>
      <c r="DX16" s="1384"/>
      <c r="DY16" s="1384"/>
      <c r="DZ16" s="1384"/>
      <c r="EA16" s="1384"/>
      <c r="EB16" s="1384"/>
      <c r="EC16" s="1384"/>
      <c r="ED16" s="1384"/>
      <c r="EE16" s="1384"/>
      <c r="EF16" s="1384"/>
      <c r="EG16" s="1384"/>
    </row>
    <row r="17" spans="1:137" ht="22.5" customHeight="1">
      <c r="A17" s="506"/>
      <c r="B17" s="140"/>
      <c r="C17" s="1081"/>
      <c r="D17" s="500"/>
      <c r="F17" s="1388"/>
      <c r="G17" s="1388"/>
      <c r="H17" s="1388"/>
      <c r="I17" s="1388"/>
      <c r="J17" s="1388"/>
      <c r="K17" s="1388"/>
      <c r="L17" s="1388"/>
      <c r="M17" s="1388"/>
      <c r="N17" s="1388"/>
      <c r="O17" s="1388"/>
      <c r="P17" s="1388"/>
      <c r="Q17" s="1388"/>
      <c r="R17" s="1388"/>
      <c r="S17" s="1388"/>
      <c r="T17" s="1388"/>
      <c r="U17" s="1388"/>
      <c r="V17" s="1388"/>
      <c r="W17" s="1388"/>
      <c r="X17" s="1388"/>
      <c r="Y17" s="1388"/>
      <c r="Z17" s="1388"/>
      <c r="AA17" s="1388"/>
      <c r="AB17" s="1388"/>
      <c r="AC17" s="1388"/>
      <c r="AD17" s="1388"/>
      <c r="AE17" s="1388"/>
      <c r="AF17" s="1388"/>
      <c r="AG17" s="1388"/>
      <c r="AH17" s="1388"/>
      <c r="AI17" s="1388"/>
      <c r="AJ17" s="1388"/>
      <c r="AK17" s="1388"/>
      <c r="AL17" s="1388"/>
      <c r="AM17" s="1388"/>
      <c r="AN17" s="1388"/>
      <c r="AO17" s="1388"/>
      <c r="AP17" s="1388"/>
      <c r="AQ17" s="1388"/>
      <c r="AR17" s="1388"/>
      <c r="AS17" s="1388"/>
      <c r="AT17" s="1388"/>
      <c r="AU17" s="1388"/>
      <c r="AV17" s="1388"/>
      <c r="AW17" s="1388"/>
      <c r="AX17" s="1388"/>
      <c r="AY17" s="1388"/>
      <c r="AZ17" s="1388"/>
      <c r="BA17" s="1388"/>
      <c r="BB17" s="1388"/>
      <c r="BC17" s="1388"/>
      <c r="BD17" s="1388"/>
      <c r="BE17" s="1388"/>
      <c r="BF17" s="1388"/>
      <c r="BG17" s="1388"/>
      <c r="BH17" s="1388"/>
      <c r="BI17" s="1388"/>
      <c r="BJ17" s="1388"/>
      <c r="BK17" s="1388"/>
      <c r="BL17" s="1388"/>
      <c r="BM17" s="1388"/>
      <c r="BN17" s="1388"/>
      <c r="BO17" s="1388"/>
      <c r="BP17" s="1388"/>
      <c r="BQ17" s="1388"/>
      <c r="BR17" s="1388"/>
      <c r="BS17" s="1388"/>
      <c r="BT17" s="1388"/>
      <c r="BU17" s="1388"/>
      <c r="BV17" s="1388"/>
      <c r="BW17" s="1388"/>
      <c r="BX17" s="1388"/>
      <c r="BY17" s="1388"/>
      <c r="BZ17" s="1388"/>
      <c r="CA17" s="1388"/>
      <c r="CB17" s="1388"/>
      <c r="CC17" s="1388"/>
      <c r="CD17" s="1388"/>
      <c r="CE17" s="1388"/>
      <c r="CF17" s="1388"/>
      <c r="CG17" s="1388"/>
      <c r="CH17" s="1388"/>
      <c r="CI17" s="1388"/>
      <c r="CJ17" s="1388"/>
      <c r="CK17" s="1388"/>
      <c r="CL17" s="1388"/>
      <c r="CM17" s="1388"/>
      <c r="CN17" s="1388"/>
      <c r="CO17" s="1388"/>
      <c r="CP17" s="1388"/>
      <c r="CQ17" s="1388"/>
      <c r="CR17" s="1388"/>
      <c r="CS17" s="1388"/>
      <c r="CT17" s="1388"/>
      <c r="CU17" s="1388"/>
      <c r="CV17" s="1388"/>
      <c r="CW17" s="1388"/>
      <c r="CX17" s="1388"/>
      <c r="CY17" s="1388"/>
      <c r="CZ17" s="1388"/>
      <c r="DA17" s="1388"/>
      <c r="DB17" s="1388"/>
      <c r="DC17" s="1388"/>
      <c r="DD17" s="1388"/>
      <c r="DE17" s="1388"/>
      <c r="DF17" s="1388"/>
      <c r="DG17" s="1388"/>
      <c r="DH17" s="1388"/>
      <c r="DI17" s="1388"/>
      <c r="DJ17" s="1388"/>
      <c r="DK17" s="1388"/>
      <c r="DL17" s="1388"/>
      <c r="DM17" s="1388"/>
      <c r="DN17" s="1388"/>
      <c r="DO17" s="1388"/>
      <c r="DP17" s="1388"/>
      <c r="DQ17" s="1388"/>
      <c r="DR17" s="1388"/>
      <c r="DS17" s="1388"/>
      <c r="DT17" s="1388"/>
      <c r="DU17" s="1388"/>
      <c r="DV17" s="1388"/>
      <c r="DW17" s="1388"/>
      <c r="DX17" s="1388"/>
      <c r="DY17" s="1388"/>
      <c r="DZ17" s="1388"/>
      <c r="EA17" s="1388"/>
      <c r="EB17" s="1388"/>
      <c r="EC17" s="1388"/>
      <c r="ED17" s="1388"/>
      <c r="EE17" s="1388"/>
      <c r="EF17" s="1388"/>
      <c r="EG17" s="1388"/>
    </row>
    <row r="18" spans="1:137" ht="22.5" customHeight="1">
      <c r="A18" s="506">
        <f>IF(C18&lt;&gt;0,1,0)</f>
        <v>1</v>
      </c>
      <c r="C18" s="447" t="s">
        <v>3</v>
      </c>
      <c r="F18" s="220"/>
      <c r="G18" s="220"/>
      <c r="H18" s="220"/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  <c r="AY18" s="220"/>
      <c r="AZ18" s="220"/>
      <c r="BA18" s="220"/>
      <c r="BB18" s="220"/>
      <c r="BC18" s="220"/>
      <c r="BD18" s="220"/>
      <c r="BE18" s="220"/>
      <c r="BF18" s="220"/>
      <c r="BG18" s="220"/>
      <c r="BH18" s="220"/>
      <c r="BI18" s="220"/>
      <c r="BJ18" s="220"/>
      <c r="BK18" s="220"/>
      <c r="BL18" s="220"/>
      <c r="BM18" s="220"/>
      <c r="BN18" s="220"/>
      <c r="BO18" s="220"/>
      <c r="BP18" s="220"/>
      <c r="BQ18" s="220"/>
      <c r="BR18" s="220"/>
      <c r="BS18" s="220"/>
      <c r="BT18" s="220"/>
      <c r="BU18" s="220"/>
      <c r="BV18" s="220"/>
      <c r="BW18" s="220"/>
      <c r="BX18" s="220"/>
      <c r="BY18" s="220"/>
      <c r="BZ18" s="220"/>
      <c r="CA18" s="220"/>
      <c r="CB18" s="220"/>
      <c r="CC18" s="220"/>
      <c r="CD18" s="220"/>
      <c r="CE18" s="220"/>
      <c r="CF18" s="220"/>
      <c r="CG18" s="220"/>
      <c r="CH18" s="220"/>
      <c r="CI18" s="220"/>
      <c r="CJ18" s="220"/>
      <c r="CK18" s="220"/>
      <c r="CL18" s="220"/>
      <c r="CM18" s="220"/>
      <c r="CN18" s="220"/>
      <c r="CO18" s="220"/>
      <c r="CP18" s="220"/>
      <c r="CQ18" s="220"/>
      <c r="CR18" s="220"/>
      <c r="CS18" s="220"/>
      <c r="CT18" s="220"/>
      <c r="CU18" s="220"/>
      <c r="CV18" s="220"/>
      <c r="CW18" s="220"/>
      <c r="CX18" s="220"/>
      <c r="CY18" s="220"/>
      <c r="CZ18" s="220"/>
      <c r="DA18" s="220"/>
      <c r="DB18" s="220"/>
      <c r="DC18" s="220"/>
      <c r="DD18" s="220"/>
      <c r="DE18" s="220"/>
      <c r="DF18" s="220"/>
      <c r="DG18" s="220"/>
      <c r="DH18" s="220"/>
      <c r="DI18" s="220"/>
      <c r="DJ18" s="220"/>
      <c r="DK18" s="220"/>
      <c r="DL18" s="220"/>
      <c r="DM18" s="220"/>
      <c r="DN18" s="220"/>
      <c r="DO18" s="220"/>
      <c r="DP18" s="220"/>
      <c r="DQ18" s="220"/>
      <c r="DR18" s="220"/>
      <c r="DS18" s="220"/>
      <c r="DT18" s="220"/>
      <c r="DU18" s="220"/>
      <c r="DV18" s="220"/>
      <c r="DW18" s="220"/>
      <c r="DX18" s="220"/>
      <c r="DY18" s="220"/>
      <c r="DZ18" s="220"/>
      <c r="EA18" s="220"/>
      <c r="EB18" s="220"/>
      <c r="EC18" s="220"/>
      <c r="ED18" s="220"/>
      <c r="EE18" s="220"/>
      <c r="EF18" s="220"/>
      <c r="EG18" s="220"/>
    </row>
    <row r="19" spans="1:137" s="114" customFormat="1" ht="22.5" customHeight="1">
      <c r="A19" s="506">
        <f t="shared" ref="A19:A63" si="1">IF(C19&lt;&gt;0,1,0)</f>
        <v>1</v>
      </c>
      <c r="B19"/>
      <c r="C19" s="1373" t="s">
        <v>14</v>
      </c>
      <c r="D19" s="500">
        <f t="shared" ref="D19:D45" si="2">SUM(_xlfn.ANCHORARRAY(F19))</f>
        <v>105000000</v>
      </c>
      <c r="E19"/>
      <c r="F19" s="1389" cm="1">
        <f t="array" ref="F19:CW19">TRANSPOSE(_xlfn.ANCHORARRAY(mProject!X$9))</f>
        <v>0</v>
      </c>
      <c r="G19" s="1388">
        <v>0</v>
      </c>
      <c r="H19" s="1388">
        <v>0</v>
      </c>
      <c r="I19" s="1388">
        <v>0</v>
      </c>
      <c r="J19" s="1388">
        <v>0</v>
      </c>
      <c r="K19" s="1388">
        <v>0</v>
      </c>
      <c r="L19" s="1388">
        <v>0</v>
      </c>
      <c r="M19" s="1388">
        <v>0</v>
      </c>
      <c r="N19" s="1388">
        <v>0</v>
      </c>
      <c r="O19" s="1388">
        <v>0</v>
      </c>
      <c r="P19" s="1388">
        <v>0</v>
      </c>
      <c r="Q19" s="1388">
        <v>0</v>
      </c>
      <c r="R19" s="1388">
        <v>105000000</v>
      </c>
      <c r="S19" s="1388">
        <v>0</v>
      </c>
      <c r="T19" s="1388">
        <v>0</v>
      </c>
      <c r="U19" s="1388">
        <v>0</v>
      </c>
      <c r="V19" s="1388">
        <v>0</v>
      </c>
      <c r="W19" s="1388">
        <v>0</v>
      </c>
      <c r="X19" s="1388">
        <v>0</v>
      </c>
      <c r="Y19" s="1388">
        <v>0</v>
      </c>
      <c r="Z19" s="1388">
        <v>0</v>
      </c>
      <c r="AA19" s="1388">
        <v>0</v>
      </c>
      <c r="AB19" s="1388">
        <v>0</v>
      </c>
      <c r="AC19" s="1388">
        <v>0</v>
      </c>
      <c r="AD19" s="1388">
        <v>0</v>
      </c>
      <c r="AE19" s="1388">
        <v>0</v>
      </c>
      <c r="AF19" s="1388">
        <v>0</v>
      </c>
      <c r="AG19" s="1388">
        <v>0</v>
      </c>
      <c r="AH19" s="1388">
        <v>0</v>
      </c>
      <c r="AI19" s="1388">
        <v>0</v>
      </c>
      <c r="AJ19" s="1388">
        <v>0</v>
      </c>
      <c r="AK19" s="1388">
        <v>0</v>
      </c>
      <c r="AL19" s="1388">
        <v>0</v>
      </c>
      <c r="AM19" s="1388">
        <v>0</v>
      </c>
      <c r="AN19" s="1388">
        <v>0</v>
      </c>
      <c r="AO19" s="1388">
        <v>0</v>
      </c>
      <c r="AP19" s="1388">
        <v>0</v>
      </c>
      <c r="AQ19" s="1388">
        <v>0</v>
      </c>
      <c r="AR19" s="1388">
        <v>0</v>
      </c>
      <c r="AS19" s="1388">
        <v>0</v>
      </c>
      <c r="AT19" s="1388">
        <v>0</v>
      </c>
      <c r="AU19" s="1388">
        <v>0</v>
      </c>
      <c r="AV19" s="1388">
        <v>0</v>
      </c>
      <c r="AW19" s="1388">
        <v>0</v>
      </c>
      <c r="AX19" s="1388">
        <v>0</v>
      </c>
      <c r="AY19" s="1388">
        <v>0</v>
      </c>
      <c r="AZ19" s="1388">
        <v>0</v>
      </c>
      <c r="BA19" s="1388">
        <v>0</v>
      </c>
      <c r="BB19" s="1388">
        <v>0</v>
      </c>
      <c r="BC19" s="1388">
        <v>0</v>
      </c>
      <c r="BD19" s="1388">
        <v>0</v>
      </c>
      <c r="BE19" s="1388">
        <v>0</v>
      </c>
      <c r="BF19" s="1388">
        <v>0</v>
      </c>
      <c r="BG19" s="1388">
        <v>0</v>
      </c>
      <c r="BH19" s="1388">
        <v>0</v>
      </c>
      <c r="BI19" s="1388">
        <v>0</v>
      </c>
      <c r="BJ19" s="1388">
        <v>0</v>
      </c>
      <c r="BK19" s="1388">
        <v>0</v>
      </c>
      <c r="BL19" s="1388">
        <v>0</v>
      </c>
      <c r="BM19" s="1388">
        <v>0</v>
      </c>
      <c r="BN19" s="1388">
        <v>0</v>
      </c>
      <c r="BO19" s="1388">
        <v>0</v>
      </c>
      <c r="BP19" s="1388">
        <v>0</v>
      </c>
      <c r="BQ19" s="1388">
        <v>0</v>
      </c>
      <c r="BR19" s="1388">
        <v>0</v>
      </c>
      <c r="BS19" s="1388">
        <v>0</v>
      </c>
      <c r="BT19" s="1388">
        <v>0</v>
      </c>
      <c r="BU19" s="1388">
        <v>0</v>
      </c>
      <c r="BV19" s="1388">
        <v>0</v>
      </c>
      <c r="BW19" s="1388">
        <v>0</v>
      </c>
      <c r="BX19" s="1388">
        <v>0</v>
      </c>
      <c r="BY19" s="1388">
        <v>0</v>
      </c>
      <c r="BZ19" s="1388">
        <v>0</v>
      </c>
      <c r="CA19" s="1388">
        <v>0</v>
      </c>
      <c r="CB19" s="1388">
        <v>0</v>
      </c>
      <c r="CC19" s="1388">
        <v>0</v>
      </c>
      <c r="CD19" s="1388">
        <v>0</v>
      </c>
      <c r="CE19" s="1388">
        <v>0</v>
      </c>
      <c r="CF19" s="1388">
        <v>0</v>
      </c>
      <c r="CG19" s="1388">
        <v>0</v>
      </c>
      <c r="CH19" s="1388">
        <v>0</v>
      </c>
      <c r="CI19" s="1388">
        <v>0</v>
      </c>
      <c r="CJ19" s="1388">
        <v>0</v>
      </c>
      <c r="CK19" s="1388">
        <v>0</v>
      </c>
      <c r="CL19" s="1388">
        <v>0</v>
      </c>
      <c r="CM19" s="1388">
        <v>0</v>
      </c>
      <c r="CN19" s="1388">
        <v>0</v>
      </c>
      <c r="CO19" s="1388">
        <v>0</v>
      </c>
      <c r="CP19" s="1388">
        <v>0</v>
      </c>
      <c r="CQ19" s="1388">
        <v>0</v>
      </c>
      <c r="CR19" s="1388">
        <v>0</v>
      </c>
      <c r="CS19" s="1388">
        <v>0</v>
      </c>
      <c r="CT19" s="1388">
        <v>0</v>
      </c>
      <c r="CU19" s="1388">
        <v>0</v>
      </c>
      <c r="CV19" s="1388">
        <v>0</v>
      </c>
      <c r="CW19" s="1388">
        <v>0</v>
      </c>
      <c r="CX19" s="1388"/>
      <c r="CY19" s="1388"/>
      <c r="CZ19" s="1388"/>
      <c r="DA19" s="1388"/>
      <c r="DB19" s="1388"/>
      <c r="DC19" s="1388"/>
      <c r="DD19" s="1388"/>
      <c r="DE19" s="1388"/>
      <c r="DF19" s="1388"/>
      <c r="DG19" s="1388"/>
      <c r="DH19" s="1388"/>
      <c r="DI19" s="1388"/>
      <c r="DJ19" s="1388"/>
      <c r="DK19" s="1388"/>
      <c r="DL19" s="1388"/>
      <c r="DM19" s="1388"/>
      <c r="DN19" s="1388"/>
      <c r="DO19" s="1388"/>
      <c r="DP19" s="1388"/>
      <c r="DQ19" s="1388"/>
      <c r="DR19" s="1388"/>
      <c r="DS19" s="1388"/>
      <c r="DT19" s="1388"/>
      <c r="DU19" s="1388"/>
      <c r="DV19" s="1388"/>
      <c r="DW19" s="1388"/>
      <c r="DX19" s="1388"/>
      <c r="DY19" s="1388"/>
      <c r="DZ19" s="1388"/>
      <c r="EA19" s="1388"/>
      <c r="EB19" s="1388"/>
      <c r="EC19" s="1388"/>
      <c r="ED19" s="1388"/>
      <c r="EE19" s="1388"/>
      <c r="EF19" s="1388"/>
      <c r="EG19" s="1388"/>
    </row>
    <row r="20" spans="1:137" s="114" customFormat="1" ht="22.5" customHeight="1">
      <c r="A20" s="506">
        <f t="shared" si="1"/>
        <v>1</v>
      </c>
      <c r="B20"/>
      <c r="C20" s="1373" t="s">
        <v>684</v>
      </c>
      <c r="D20"/>
      <c r="E20"/>
      <c r="F20" s="220"/>
      <c r="G20" s="220"/>
      <c r="H20" s="220"/>
      <c r="I20" s="220"/>
      <c r="J20" s="220"/>
      <c r="K20" s="220"/>
      <c r="L20" s="220"/>
      <c r="M20" s="220"/>
      <c r="N20" s="220"/>
      <c r="O20" s="220"/>
      <c r="P20" s="220"/>
      <c r="Q20" s="220"/>
      <c r="R20" s="220"/>
      <c r="S20" s="220"/>
      <c r="T20" s="220"/>
      <c r="U20" s="220"/>
      <c r="V20" s="220"/>
      <c r="W20" s="220"/>
      <c r="X20" s="220"/>
      <c r="Y20" s="220"/>
      <c r="Z20" s="220"/>
      <c r="AA20" s="220"/>
      <c r="AB20" s="220"/>
      <c r="AC20" s="220"/>
      <c r="AD20" s="220"/>
      <c r="AE20" s="220"/>
      <c r="AF20" s="220"/>
      <c r="AG20" s="220"/>
      <c r="AH20" s="220"/>
      <c r="AI20" s="220"/>
      <c r="AJ20" s="220"/>
      <c r="AK20" s="220"/>
      <c r="AL20" s="220"/>
      <c r="AM20" s="220"/>
      <c r="AN20" s="220"/>
      <c r="AO20" s="220"/>
      <c r="AP20" s="220"/>
      <c r="AQ20" s="220"/>
      <c r="AR20" s="220"/>
      <c r="AS20" s="220"/>
      <c r="AT20" s="220"/>
      <c r="AU20" s="220"/>
      <c r="AV20" s="220"/>
      <c r="AW20" s="220"/>
      <c r="AX20" s="220"/>
      <c r="AY20" s="220"/>
      <c r="AZ20" s="220"/>
      <c r="BA20" s="220"/>
      <c r="BB20" s="220"/>
      <c r="BC20" s="220"/>
      <c r="BD20" s="220"/>
      <c r="BE20" s="220"/>
      <c r="BF20" s="220"/>
      <c r="BG20" s="220"/>
      <c r="BH20" s="220"/>
      <c r="BI20" s="220"/>
      <c r="BJ20" s="220"/>
      <c r="BK20" s="220"/>
      <c r="BL20" s="220"/>
      <c r="BM20" s="220"/>
      <c r="BN20" s="220"/>
      <c r="BO20" s="220"/>
      <c r="BP20" s="220"/>
      <c r="BQ20" s="220"/>
      <c r="BR20" s="220"/>
      <c r="BS20" s="220"/>
      <c r="BT20" s="220"/>
      <c r="BU20" s="220"/>
      <c r="BV20" s="220"/>
      <c r="BW20" s="220"/>
      <c r="BX20" s="220"/>
      <c r="BY20" s="220"/>
      <c r="BZ20" s="220"/>
      <c r="CA20" s="220"/>
      <c r="CB20" s="220"/>
      <c r="CC20" s="220"/>
      <c r="CD20" s="220"/>
      <c r="CE20" s="220"/>
      <c r="CF20" s="220"/>
      <c r="CG20" s="220"/>
      <c r="CH20" s="220"/>
      <c r="CI20" s="220"/>
      <c r="CJ20" s="1388"/>
      <c r="CK20" s="1388"/>
      <c r="CL20" s="1388"/>
      <c r="CM20" s="1388"/>
      <c r="CN20" s="1388"/>
      <c r="CO20" s="1388"/>
      <c r="CP20" s="1388"/>
      <c r="CQ20" s="1388"/>
      <c r="CR20" s="1388"/>
      <c r="CS20" s="1388"/>
      <c r="CT20" s="1388"/>
      <c r="CU20" s="1388"/>
      <c r="CV20" s="1388"/>
      <c r="CW20" s="1388"/>
      <c r="CX20" s="1388"/>
      <c r="CY20" s="1388"/>
      <c r="CZ20" s="1388"/>
      <c r="DA20" s="1388"/>
      <c r="DB20" s="1388"/>
      <c r="DC20" s="1388"/>
      <c r="DD20" s="1388"/>
      <c r="DE20" s="1388"/>
      <c r="DF20" s="1388"/>
      <c r="DG20" s="1388"/>
      <c r="DH20" s="1388"/>
      <c r="DI20" s="1388"/>
      <c r="DJ20" s="1388"/>
      <c r="DK20" s="1388"/>
      <c r="DL20" s="1388"/>
      <c r="DM20" s="1388"/>
      <c r="DN20" s="1388"/>
      <c r="DO20" s="1388"/>
      <c r="DP20" s="1388"/>
      <c r="DQ20" s="1388"/>
      <c r="DR20" s="1388"/>
      <c r="DS20" s="1388"/>
      <c r="DT20" s="1388"/>
      <c r="DU20" s="1388"/>
      <c r="DV20" s="1388"/>
      <c r="DW20" s="1388"/>
      <c r="DX20" s="1388"/>
      <c r="DY20" s="1388"/>
      <c r="DZ20" s="1388"/>
      <c r="EA20" s="1388"/>
      <c r="EB20" s="1388"/>
      <c r="EC20" s="1388"/>
      <c r="ED20" s="1388"/>
      <c r="EE20" s="1388"/>
      <c r="EF20" s="1388"/>
      <c r="EG20" s="1388"/>
    </row>
    <row r="21" spans="1:137" s="114" customFormat="1" ht="22.5" customHeight="1">
      <c r="A21" s="506">
        <f t="shared" si="1"/>
        <v>1</v>
      </c>
      <c r="B21"/>
      <c r="C21" s="1441" cm="1">
        <f t="array" ref="C21:C28">TRANSPOSE(_xlfn.ANCHORARRAY(mProject!Z8))</f>
        <v>1.1000000000000001</v>
      </c>
      <c r="D21" s="500">
        <f t="shared" si="2"/>
        <v>6139560.6249999972</v>
      </c>
      <c r="E21"/>
      <c r="F21" s="1388" cm="1">
        <f t="array" ref="F21:CW21">TRANSPOSE(_xlfn.ANCHORARRAY(mProject!Z$9))</f>
        <v>245582.42499999999</v>
      </c>
      <c r="G21" s="1388">
        <v>245582.42499999999</v>
      </c>
      <c r="H21" s="1388">
        <v>245582.42499999999</v>
      </c>
      <c r="I21" s="1388">
        <v>245582.42499999999</v>
      </c>
      <c r="J21" s="1388">
        <v>245582.42499999999</v>
      </c>
      <c r="K21" s="1388">
        <v>245582.42499999999</v>
      </c>
      <c r="L21" s="1388">
        <v>245582.42499999999</v>
      </c>
      <c r="M21" s="1388">
        <v>245582.42499999999</v>
      </c>
      <c r="N21" s="1388">
        <v>245582.42499999999</v>
      </c>
      <c r="O21" s="1388">
        <v>245582.42499999999</v>
      </c>
      <c r="P21" s="1388">
        <v>245582.42499999999</v>
      </c>
      <c r="Q21" s="1388">
        <v>245582.42499999999</v>
      </c>
      <c r="R21" s="1388">
        <v>245582.42499999999</v>
      </c>
      <c r="S21" s="1388">
        <v>245582.42499999999</v>
      </c>
      <c r="T21" s="1388">
        <v>245582.42499999999</v>
      </c>
      <c r="U21" s="1388">
        <v>245582.42499999999</v>
      </c>
      <c r="V21" s="1388">
        <v>245582.42499999999</v>
      </c>
      <c r="W21" s="1388">
        <v>245582.42499999999</v>
      </c>
      <c r="X21" s="1388">
        <v>245582.42499999999</v>
      </c>
      <c r="Y21" s="1388">
        <v>245582.42499999999</v>
      </c>
      <c r="Z21" s="1388">
        <v>245582.42499999999</v>
      </c>
      <c r="AA21" s="1388">
        <v>245582.42499999999</v>
      </c>
      <c r="AB21" s="1388">
        <v>245582.42499999999</v>
      </c>
      <c r="AC21" s="1388">
        <v>245582.42499999999</v>
      </c>
      <c r="AD21" s="1388">
        <v>245582.42499999999</v>
      </c>
      <c r="AE21" s="1388">
        <v>0</v>
      </c>
      <c r="AF21" s="1388">
        <v>0</v>
      </c>
      <c r="AG21" s="1388">
        <v>0</v>
      </c>
      <c r="AH21" s="1388">
        <v>0</v>
      </c>
      <c r="AI21" s="1388">
        <v>0</v>
      </c>
      <c r="AJ21" s="1388">
        <v>0</v>
      </c>
      <c r="AK21" s="1388">
        <v>0</v>
      </c>
      <c r="AL21" s="1388">
        <v>0</v>
      </c>
      <c r="AM21" s="1388">
        <v>0</v>
      </c>
      <c r="AN21" s="1388">
        <v>0</v>
      </c>
      <c r="AO21" s="1388">
        <v>0</v>
      </c>
      <c r="AP21" s="1388">
        <v>0</v>
      </c>
      <c r="AQ21" s="1388">
        <v>0</v>
      </c>
      <c r="AR21" s="1388">
        <v>0</v>
      </c>
      <c r="AS21" s="1388">
        <v>0</v>
      </c>
      <c r="AT21" s="1388">
        <v>0</v>
      </c>
      <c r="AU21" s="1388">
        <v>0</v>
      </c>
      <c r="AV21" s="1388">
        <v>0</v>
      </c>
      <c r="AW21" s="1388">
        <v>0</v>
      </c>
      <c r="AX21" s="1388">
        <v>0</v>
      </c>
      <c r="AY21" s="1388">
        <v>0</v>
      </c>
      <c r="AZ21" s="1388">
        <v>0</v>
      </c>
      <c r="BA21" s="1388">
        <v>0</v>
      </c>
      <c r="BB21" s="1388">
        <v>0</v>
      </c>
      <c r="BC21" s="1388">
        <v>0</v>
      </c>
      <c r="BD21" s="1388">
        <v>0</v>
      </c>
      <c r="BE21" s="1388">
        <v>0</v>
      </c>
      <c r="BF21" s="1388">
        <v>0</v>
      </c>
      <c r="BG21" s="1388">
        <v>0</v>
      </c>
      <c r="BH21" s="1388">
        <v>0</v>
      </c>
      <c r="BI21" s="1388">
        <v>0</v>
      </c>
      <c r="BJ21" s="1388">
        <v>0</v>
      </c>
      <c r="BK21" s="1388">
        <v>0</v>
      </c>
      <c r="BL21" s="1388">
        <v>0</v>
      </c>
      <c r="BM21" s="1388">
        <v>0</v>
      </c>
      <c r="BN21" s="1388">
        <v>0</v>
      </c>
      <c r="BO21" s="1388">
        <v>0</v>
      </c>
      <c r="BP21" s="1388">
        <v>0</v>
      </c>
      <c r="BQ21" s="1388">
        <v>0</v>
      </c>
      <c r="BR21" s="1388">
        <v>0</v>
      </c>
      <c r="BS21" s="1388">
        <v>0</v>
      </c>
      <c r="BT21" s="1388">
        <v>0</v>
      </c>
      <c r="BU21" s="1388">
        <v>0</v>
      </c>
      <c r="BV21" s="1388">
        <v>0</v>
      </c>
      <c r="BW21" s="1388">
        <v>0</v>
      </c>
      <c r="BX21" s="1388">
        <v>0</v>
      </c>
      <c r="BY21" s="1388">
        <v>0</v>
      </c>
      <c r="BZ21" s="1388">
        <v>0</v>
      </c>
      <c r="CA21" s="1388">
        <v>0</v>
      </c>
      <c r="CB21" s="1388">
        <v>0</v>
      </c>
      <c r="CC21" s="1388">
        <v>0</v>
      </c>
      <c r="CD21" s="1388">
        <v>0</v>
      </c>
      <c r="CE21" s="1388">
        <v>0</v>
      </c>
      <c r="CF21" s="1388">
        <v>0</v>
      </c>
      <c r="CG21" s="1388">
        <v>0</v>
      </c>
      <c r="CH21" s="1388">
        <v>0</v>
      </c>
      <c r="CI21" s="1388">
        <v>0</v>
      </c>
      <c r="CJ21" s="1388">
        <v>0</v>
      </c>
      <c r="CK21" s="1388">
        <v>0</v>
      </c>
      <c r="CL21" s="1388">
        <v>0</v>
      </c>
      <c r="CM21" s="1388">
        <v>0</v>
      </c>
      <c r="CN21" s="1388">
        <v>0</v>
      </c>
      <c r="CO21" s="1388">
        <v>0</v>
      </c>
      <c r="CP21" s="1388">
        <v>0</v>
      </c>
      <c r="CQ21" s="1388">
        <v>0</v>
      </c>
      <c r="CR21" s="1388">
        <v>0</v>
      </c>
      <c r="CS21" s="1388">
        <v>0</v>
      </c>
      <c r="CT21" s="1388">
        <v>0</v>
      </c>
      <c r="CU21" s="1388">
        <v>0</v>
      </c>
      <c r="CV21" s="1388">
        <v>0</v>
      </c>
      <c r="CW21" s="1388">
        <v>0</v>
      </c>
      <c r="CX21" s="1388"/>
      <c r="CY21" s="1388"/>
      <c r="CZ21" s="1388"/>
      <c r="DA21" s="1388"/>
      <c r="DB21" s="1388"/>
      <c r="DC21" s="1388"/>
      <c r="DD21" s="1388"/>
      <c r="DE21" s="1388"/>
      <c r="DF21" s="1388"/>
      <c r="DG21" s="1388"/>
      <c r="DH21" s="1388"/>
      <c r="DI21" s="1388"/>
      <c r="DJ21" s="1388"/>
      <c r="DK21" s="1388"/>
      <c r="DL21" s="1388"/>
      <c r="DM21" s="1388"/>
      <c r="DN21" s="1388"/>
      <c r="DO21" s="1388"/>
      <c r="DP21" s="1388"/>
      <c r="DQ21" s="1388"/>
      <c r="DR21" s="1388"/>
      <c r="DS21" s="1388"/>
      <c r="DT21" s="1388"/>
      <c r="DU21" s="1388"/>
      <c r="DV21" s="1388"/>
      <c r="DW21" s="1388"/>
      <c r="DX21" s="1388"/>
      <c r="DY21" s="1388"/>
      <c r="DZ21" s="1388"/>
      <c r="EA21" s="1388"/>
      <c r="EB21" s="1388"/>
      <c r="EC21" s="1388"/>
      <c r="ED21" s="1388"/>
      <c r="EE21" s="1388"/>
      <c r="EF21" s="1388"/>
      <c r="EG21" s="1388"/>
    </row>
    <row r="22" spans="1:137" s="114" customFormat="1" ht="22.5" customHeight="1">
      <c r="A22" s="506">
        <f t="shared" si="1"/>
        <v>1</v>
      </c>
      <c r="B22"/>
      <c r="C22" s="1441">
        <v>1.2</v>
      </c>
      <c r="D22" s="500">
        <f t="shared" si="2"/>
        <v>8452913.2686306667</v>
      </c>
      <c r="E22"/>
      <c r="F22" s="1388" cm="1">
        <f t="array" ref="F22:CW22">TRANSPOSE(_xlfn.ANCHORARRAY(mProject!AA$9))</f>
        <v>0</v>
      </c>
      <c r="G22" s="1388">
        <v>0</v>
      </c>
      <c r="H22" s="1388">
        <v>0</v>
      </c>
      <c r="I22" s="1388">
        <v>0</v>
      </c>
      <c r="J22" s="1388">
        <v>0</v>
      </c>
      <c r="K22" s="1388">
        <v>0</v>
      </c>
      <c r="L22" s="1388">
        <v>0</v>
      </c>
      <c r="M22" s="1388">
        <v>0</v>
      </c>
      <c r="N22" s="1388">
        <v>0</v>
      </c>
      <c r="O22" s="1388">
        <v>0</v>
      </c>
      <c r="P22" s="1388">
        <v>0</v>
      </c>
      <c r="Q22" s="1388">
        <v>0</v>
      </c>
      <c r="R22" s="1388">
        <v>0</v>
      </c>
      <c r="S22" s="1388">
        <v>0</v>
      </c>
      <c r="T22" s="1388">
        <v>0</v>
      </c>
      <c r="U22" s="1388">
        <v>0</v>
      </c>
      <c r="V22" s="1388">
        <v>0</v>
      </c>
      <c r="W22" s="1388">
        <v>0</v>
      </c>
      <c r="X22" s="1388">
        <v>0</v>
      </c>
      <c r="Y22" s="1388">
        <v>0</v>
      </c>
      <c r="Z22" s="1388">
        <v>0</v>
      </c>
      <c r="AA22" s="1388">
        <v>0</v>
      </c>
      <c r="AB22" s="1388">
        <v>0</v>
      </c>
      <c r="AC22" s="1388">
        <v>469606.2927017039</v>
      </c>
      <c r="AD22" s="1388">
        <v>469606.2927017039</v>
      </c>
      <c r="AE22" s="1388">
        <v>469606.2927017039</v>
      </c>
      <c r="AF22" s="1388">
        <v>469606.2927017039</v>
      </c>
      <c r="AG22" s="1388">
        <v>469606.2927017039</v>
      </c>
      <c r="AH22" s="1388">
        <v>469606.2927017039</v>
      </c>
      <c r="AI22" s="1388">
        <v>469606.2927017039</v>
      </c>
      <c r="AJ22" s="1388">
        <v>469606.2927017039</v>
      </c>
      <c r="AK22" s="1388">
        <v>469606.2927017039</v>
      </c>
      <c r="AL22" s="1388">
        <v>469606.2927017039</v>
      </c>
      <c r="AM22" s="1388">
        <v>469606.2927017039</v>
      </c>
      <c r="AN22" s="1388">
        <v>469606.2927017039</v>
      </c>
      <c r="AO22" s="1388">
        <v>469606.2927017039</v>
      </c>
      <c r="AP22" s="1388">
        <v>469606.2927017039</v>
      </c>
      <c r="AQ22" s="1388">
        <v>469606.2927017039</v>
      </c>
      <c r="AR22" s="1388">
        <v>469606.2927017039</v>
      </c>
      <c r="AS22" s="1388">
        <v>469606.2927017039</v>
      </c>
      <c r="AT22" s="1388">
        <v>469606.2927017039</v>
      </c>
      <c r="AU22" s="1388">
        <v>0</v>
      </c>
      <c r="AV22" s="1388">
        <v>0</v>
      </c>
      <c r="AW22" s="1388">
        <v>0</v>
      </c>
      <c r="AX22" s="1388">
        <v>0</v>
      </c>
      <c r="AY22" s="1388">
        <v>0</v>
      </c>
      <c r="AZ22" s="1388">
        <v>0</v>
      </c>
      <c r="BA22" s="1388">
        <v>0</v>
      </c>
      <c r="BB22" s="1388">
        <v>0</v>
      </c>
      <c r="BC22" s="1388">
        <v>0</v>
      </c>
      <c r="BD22" s="1388">
        <v>0</v>
      </c>
      <c r="BE22" s="1388">
        <v>0</v>
      </c>
      <c r="BF22" s="1388">
        <v>0</v>
      </c>
      <c r="BG22" s="1388">
        <v>0</v>
      </c>
      <c r="BH22" s="1388">
        <v>0</v>
      </c>
      <c r="BI22" s="1388">
        <v>0</v>
      </c>
      <c r="BJ22" s="1388">
        <v>0</v>
      </c>
      <c r="BK22" s="1388">
        <v>0</v>
      </c>
      <c r="BL22" s="1388">
        <v>0</v>
      </c>
      <c r="BM22" s="1388">
        <v>0</v>
      </c>
      <c r="BN22" s="1388">
        <v>0</v>
      </c>
      <c r="BO22" s="1388">
        <v>0</v>
      </c>
      <c r="BP22" s="1388">
        <v>0</v>
      </c>
      <c r="BQ22" s="1388">
        <v>0</v>
      </c>
      <c r="BR22" s="1388">
        <v>0</v>
      </c>
      <c r="BS22" s="1388">
        <v>0</v>
      </c>
      <c r="BT22" s="1388">
        <v>0</v>
      </c>
      <c r="BU22" s="1388">
        <v>0</v>
      </c>
      <c r="BV22" s="1388">
        <v>0</v>
      </c>
      <c r="BW22" s="1388">
        <v>0</v>
      </c>
      <c r="BX22" s="1388">
        <v>0</v>
      </c>
      <c r="BY22" s="1388">
        <v>0</v>
      </c>
      <c r="BZ22" s="1388">
        <v>0</v>
      </c>
      <c r="CA22" s="1388">
        <v>0</v>
      </c>
      <c r="CB22" s="1388">
        <v>0</v>
      </c>
      <c r="CC22" s="1388">
        <v>0</v>
      </c>
      <c r="CD22" s="1388">
        <v>0</v>
      </c>
      <c r="CE22" s="1388">
        <v>0</v>
      </c>
      <c r="CF22" s="1388">
        <v>0</v>
      </c>
      <c r="CG22" s="1388">
        <v>0</v>
      </c>
      <c r="CH22" s="1388">
        <v>0</v>
      </c>
      <c r="CI22" s="1388">
        <v>0</v>
      </c>
      <c r="CJ22" s="1388">
        <v>0</v>
      </c>
      <c r="CK22" s="1388">
        <v>0</v>
      </c>
      <c r="CL22" s="1388">
        <v>0</v>
      </c>
      <c r="CM22" s="1388">
        <v>0</v>
      </c>
      <c r="CN22" s="1388">
        <v>0</v>
      </c>
      <c r="CO22" s="1388">
        <v>0</v>
      </c>
      <c r="CP22" s="1388">
        <v>0</v>
      </c>
      <c r="CQ22" s="1388">
        <v>0</v>
      </c>
      <c r="CR22" s="1388">
        <v>0</v>
      </c>
      <c r="CS22" s="1388">
        <v>0</v>
      </c>
      <c r="CT22" s="1388">
        <v>0</v>
      </c>
      <c r="CU22" s="1388">
        <v>0</v>
      </c>
      <c r="CV22" s="1388">
        <v>0</v>
      </c>
      <c r="CW22" s="1388">
        <v>0</v>
      </c>
      <c r="CX22" s="1388"/>
      <c r="CY22" s="1388"/>
      <c r="CZ22" s="1388"/>
      <c r="DA22" s="1388"/>
      <c r="DB22" s="1388"/>
      <c r="DC22" s="1388"/>
      <c r="DD22" s="1388"/>
      <c r="DE22" s="1388"/>
      <c r="DF22" s="1388"/>
      <c r="DG22" s="1388"/>
      <c r="DH22" s="1388"/>
      <c r="DI22" s="1388"/>
      <c r="DJ22" s="1388"/>
      <c r="DK22" s="1388"/>
      <c r="DL22" s="1388"/>
      <c r="DM22" s="1388"/>
      <c r="DN22" s="1388"/>
      <c r="DO22" s="1388"/>
      <c r="DP22" s="1388"/>
      <c r="DQ22" s="1388"/>
      <c r="DR22" s="1388"/>
      <c r="DS22" s="1388"/>
      <c r="DT22" s="1388"/>
      <c r="DU22" s="1388"/>
      <c r="DV22" s="1388"/>
      <c r="DW22" s="1388"/>
      <c r="DX22" s="1388"/>
      <c r="DY22" s="1388"/>
      <c r="DZ22" s="1388"/>
      <c r="EA22" s="1388"/>
      <c r="EB22" s="1388"/>
      <c r="EC22" s="1388"/>
      <c r="ED22" s="1388"/>
      <c r="EE22" s="1388"/>
      <c r="EF22" s="1388"/>
      <c r="EG22" s="1388"/>
    </row>
    <row r="23" spans="1:137" s="114" customFormat="1" ht="22.5" customHeight="1">
      <c r="A23" s="506">
        <f t="shared" si="1"/>
        <v>1</v>
      </c>
      <c r="B23"/>
      <c r="C23" s="1441">
        <v>2.1</v>
      </c>
      <c r="D23" s="500">
        <f t="shared" si="2"/>
        <v>11621514.81582169</v>
      </c>
      <c r="E23"/>
      <c r="F23" s="1388" cm="1">
        <f t="array" ref="F23:CW23">TRANSPOSE(_xlfn.ANCHORARRAY(mProject!AB$9))</f>
        <v>0</v>
      </c>
      <c r="G23" s="1388">
        <v>0</v>
      </c>
      <c r="H23" s="1388">
        <v>0</v>
      </c>
      <c r="I23" s="1388">
        <v>0</v>
      </c>
      <c r="J23" s="1388">
        <v>0</v>
      </c>
      <c r="K23" s="1388">
        <v>0</v>
      </c>
      <c r="L23" s="1388">
        <v>0</v>
      </c>
      <c r="M23" s="1388">
        <v>0</v>
      </c>
      <c r="N23" s="1388">
        <v>0</v>
      </c>
      <c r="O23" s="1388">
        <v>0</v>
      </c>
      <c r="P23" s="1388">
        <v>0</v>
      </c>
      <c r="Q23" s="1388">
        <v>0</v>
      </c>
      <c r="R23" s="1388">
        <v>0</v>
      </c>
      <c r="S23" s="1388">
        <v>0</v>
      </c>
      <c r="T23" s="1388">
        <v>0</v>
      </c>
      <c r="U23" s="1388">
        <v>0</v>
      </c>
      <c r="V23" s="1388">
        <v>0</v>
      </c>
      <c r="W23" s="1388">
        <v>0</v>
      </c>
      <c r="X23" s="1388">
        <v>0</v>
      </c>
      <c r="Y23" s="1388">
        <v>0</v>
      </c>
      <c r="Z23" s="1388">
        <v>0</v>
      </c>
      <c r="AA23" s="1388">
        <v>0</v>
      </c>
      <c r="AB23" s="1388">
        <v>0</v>
      </c>
      <c r="AC23" s="1388">
        <v>484229.78399257042</v>
      </c>
      <c r="AD23" s="1388">
        <v>484229.78399257042</v>
      </c>
      <c r="AE23" s="1388">
        <v>484229.78399257042</v>
      </c>
      <c r="AF23" s="1388">
        <v>484229.78399257042</v>
      </c>
      <c r="AG23" s="1388">
        <v>484229.78399257042</v>
      </c>
      <c r="AH23" s="1388">
        <v>484229.78399257042</v>
      </c>
      <c r="AI23" s="1388">
        <v>484229.78399257042</v>
      </c>
      <c r="AJ23" s="1388">
        <v>484229.78399257042</v>
      </c>
      <c r="AK23" s="1388">
        <v>484229.78399257042</v>
      </c>
      <c r="AL23" s="1388">
        <v>484229.78399257042</v>
      </c>
      <c r="AM23" s="1388">
        <v>484229.78399257042</v>
      </c>
      <c r="AN23" s="1388">
        <v>484229.78399257042</v>
      </c>
      <c r="AO23" s="1388">
        <v>484229.78399257042</v>
      </c>
      <c r="AP23" s="1388">
        <v>484229.78399257042</v>
      </c>
      <c r="AQ23" s="1388">
        <v>484229.78399257042</v>
      </c>
      <c r="AR23" s="1388">
        <v>484229.78399257042</v>
      </c>
      <c r="AS23" s="1388">
        <v>484229.78399257042</v>
      </c>
      <c r="AT23" s="1388">
        <v>484229.78399257042</v>
      </c>
      <c r="AU23" s="1388">
        <v>484229.78399257042</v>
      </c>
      <c r="AV23" s="1388">
        <v>484229.78399257042</v>
      </c>
      <c r="AW23" s="1388">
        <v>484229.78399257042</v>
      </c>
      <c r="AX23" s="1388">
        <v>484229.78399257042</v>
      </c>
      <c r="AY23" s="1388">
        <v>484229.78399257042</v>
      </c>
      <c r="AZ23" s="1388">
        <v>484229.78399257042</v>
      </c>
      <c r="BA23" s="1388">
        <v>0</v>
      </c>
      <c r="BB23" s="1388">
        <v>0</v>
      </c>
      <c r="BC23" s="1388">
        <v>0</v>
      </c>
      <c r="BD23" s="1388">
        <v>0</v>
      </c>
      <c r="BE23" s="1388">
        <v>0</v>
      </c>
      <c r="BF23" s="1388">
        <v>0</v>
      </c>
      <c r="BG23" s="1388">
        <v>0</v>
      </c>
      <c r="BH23" s="1388">
        <v>0</v>
      </c>
      <c r="BI23" s="1388">
        <v>0</v>
      </c>
      <c r="BJ23" s="1388">
        <v>0</v>
      </c>
      <c r="BK23" s="1388">
        <v>0</v>
      </c>
      <c r="BL23" s="1388">
        <v>0</v>
      </c>
      <c r="BM23" s="1388">
        <v>0</v>
      </c>
      <c r="BN23" s="1388">
        <v>0</v>
      </c>
      <c r="BO23" s="1388">
        <v>0</v>
      </c>
      <c r="BP23" s="1388">
        <v>0</v>
      </c>
      <c r="BQ23" s="1388">
        <v>0</v>
      </c>
      <c r="BR23" s="1388">
        <v>0</v>
      </c>
      <c r="BS23" s="1388">
        <v>0</v>
      </c>
      <c r="BT23" s="1388">
        <v>0</v>
      </c>
      <c r="BU23" s="1388">
        <v>0</v>
      </c>
      <c r="BV23" s="1388">
        <v>0</v>
      </c>
      <c r="BW23" s="1388">
        <v>0</v>
      </c>
      <c r="BX23" s="1388">
        <v>0</v>
      </c>
      <c r="BY23" s="1388">
        <v>0</v>
      </c>
      <c r="BZ23" s="1388">
        <v>0</v>
      </c>
      <c r="CA23" s="1388">
        <v>0</v>
      </c>
      <c r="CB23" s="1388">
        <v>0</v>
      </c>
      <c r="CC23" s="1388">
        <v>0</v>
      </c>
      <c r="CD23" s="1388">
        <v>0</v>
      </c>
      <c r="CE23" s="1388">
        <v>0</v>
      </c>
      <c r="CF23" s="1388">
        <v>0</v>
      </c>
      <c r="CG23" s="1388">
        <v>0</v>
      </c>
      <c r="CH23" s="1388">
        <v>0</v>
      </c>
      <c r="CI23" s="1388">
        <v>0</v>
      </c>
      <c r="CJ23" s="1388">
        <v>0</v>
      </c>
      <c r="CK23" s="1388">
        <v>0</v>
      </c>
      <c r="CL23" s="1388">
        <v>0</v>
      </c>
      <c r="CM23" s="1388">
        <v>0</v>
      </c>
      <c r="CN23" s="1388">
        <v>0</v>
      </c>
      <c r="CO23" s="1388">
        <v>0</v>
      </c>
      <c r="CP23" s="1388">
        <v>0</v>
      </c>
      <c r="CQ23" s="1388">
        <v>0</v>
      </c>
      <c r="CR23" s="1388">
        <v>0</v>
      </c>
      <c r="CS23" s="1388">
        <v>0</v>
      </c>
      <c r="CT23" s="1388">
        <v>0</v>
      </c>
      <c r="CU23" s="1388">
        <v>0</v>
      </c>
      <c r="CV23" s="1388">
        <v>0</v>
      </c>
      <c r="CW23" s="1388">
        <v>0</v>
      </c>
      <c r="CX23" s="1388"/>
      <c r="CY23" s="1388"/>
      <c r="CZ23" s="1388"/>
      <c r="DA23" s="1388"/>
      <c r="DB23" s="1388"/>
      <c r="DC23" s="1388"/>
      <c r="DD23" s="1388"/>
      <c r="DE23" s="1388"/>
      <c r="DF23" s="1388"/>
      <c r="DG23" s="1388"/>
      <c r="DH23" s="1388"/>
      <c r="DI23" s="1388"/>
      <c r="DJ23" s="1388"/>
      <c r="DK23" s="1388"/>
      <c r="DL23" s="1388"/>
      <c r="DM23" s="1388"/>
      <c r="DN23" s="1388"/>
      <c r="DO23" s="1388"/>
      <c r="DP23" s="1388"/>
      <c r="DQ23" s="1388"/>
      <c r="DR23" s="1388"/>
      <c r="DS23" s="1388"/>
      <c r="DT23" s="1388"/>
      <c r="DU23" s="1388"/>
      <c r="DV23" s="1388"/>
      <c r="DW23" s="1388"/>
      <c r="DX23" s="1388"/>
      <c r="DY23" s="1388"/>
      <c r="DZ23" s="1388"/>
      <c r="EA23" s="1388"/>
      <c r="EB23" s="1388"/>
      <c r="EC23" s="1388"/>
      <c r="ED23" s="1388"/>
      <c r="EE23" s="1388"/>
      <c r="EF23" s="1388"/>
      <c r="EG23" s="1388"/>
    </row>
    <row r="24" spans="1:137" s="114" customFormat="1" ht="22.5" customHeight="1">
      <c r="A24" s="506">
        <f t="shared" si="1"/>
        <v>1</v>
      </c>
      <c r="B24"/>
      <c r="C24" s="1441">
        <v>2.2000000000000002</v>
      </c>
      <c r="D24" s="500">
        <f t="shared" si="2"/>
        <v>2547084.9307376216</v>
      </c>
      <c r="E24"/>
      <c r="F24" s="1388" cm="1">
        <f t="array" ref="F24:CW24">TRANSPOSE(_xlfn.ANCHORARRAY(mProject!AC$9))</f>
        <v>0</v>
      </c>
      <c r="G24" s="1388">
        <v>0</v>
      </c>
      <c r="H24" s="1388">
        <v>0</v>
      </c>
      <c r="I24" s="1388">
        <v>0</v>
      </c>
      <c r="J24" s="1388">
        <v>0</v>
      </c>
      <c r="K24" s="1388">
        <v>0</v>
      </c>
      <c r="L24" s="1388">
        <v>0</v>
      </c>
      <c r="M24" s="1388">
        <v>0</v>
      </c>
      <c r="N24" s="1388">
        <v>0</v>
      </c>
      <c r="O24" s="1388">
        <v>0</v>
      </c>
      <c r="P24" s="1388">
        <v>0</v>
      </c>
      <c r="Q24" s="1388">
        <v>0</v>
      </c>
      <c r="R24" s="1388">
        <v>0</v>
      </c>
      <c r="S24" s="1388">
        <v>0</v>
      </c>
      <c r="T24" s="1388">
        <v>0</v>
      </c>
      <c r="U24" s="1388">
        <v>0</v>
      </c>
      <c r="V24" s="1388">
        <v>0</v>
      </c>
      <c r="W24" s="1388">
        <v>0</v>
      </c>
      <c r="X24" s="1388">
        <v>0</v>
      </c>
      <c r="Y24" s="1388">
        <v>0</v>
      </c>
      <c r="Z24" s="1388">
        <v>0</v>
      </c>
      <c r="AA24" s="1388">
        <v>0</v>
      </c>
      <c r="AB24" s="1388">
        <v>0</v>
      </c>
      <c r="AC24" s="1388">
        <v>0</v>
      </c>
      <c r="AD24" s="1388">
        <v>0</v>
      </c>
      <c r="AE24" s="1388">
        <v>0</v>
      </c>
      <c r="AF24" s="1388">
        <v>0</v>
      </c>
      <c r="AG24" s="1388">
        <v>0</v>
      </c>
      <c r="AH24" s="1388">
        <v>0</v>
      </c>
      <c r="AI24" s="1388">
        <v>0</v>
      </c>
      <c r="AJ24" s="1388">
        <v>0</v>
      </c>
      <c r="AK24" s="1388">
        <v>0</v>
      </c>
      <c r="AL24" s="1388">
        <v>0</v>
      </c>
      <c r="AM24" s="1388">
        <v>0</v>
      </c>
      <c r="AN24" s="1388">
        <v>0</v>
      </c>
      <c r="AO24" s="1388">
        <v>0</v>
      </c>
      <c r="AP24" s="1388">
        <v>0</v>
      </c>
      <c r="AQ24" s="1388">
        <v>0</v>
      </c>
      <c r="AR24" s="1388">
        <v>0</v>
      </c>
      <c r="AS24" s="1388">
        <v>0</v>
      </c>
      <c r="AT24" s="1388">
        <v>0</v>
      </c>
      <c r="AU24" s="1388">
        <v>0</v>
      </c>
      <c r="AV24" s="1388">
        <v>0</v>
      </c>
      <c r="AW24" s="1388">
        <v>0</v>
      </c>
      <c r="AX24" s="1388">
        <v>0</v>
      </c>
      <c r="AY24" s="1388">
        <v>0</v>
      </c>
      <c r="AZ24" s="1388">
        <v>0</v>
      </c>
      <c r="BA24" s="1388">
        <v>106128.53878073423</v>
      </c>
      <c r="BB24" s="1388">
        <v>106128.53878073423</v>
      </c>
      <c r="BC24" s="1388">
        <v>106128.53878073423</v>
      </c>
      <c r="BD24" s="1388">
        <v>106128.53878073423</v>
      </c>
      <c r="BE24" s="1388">
        <v>106128.53878073423</v>
      </c>
      <c r="BF24" s="1388">
        <v>106128.53878073423</v>
      </c>
      <c r="BG24" s="1388">
        <v>106128.53878073423</v>
      </c>
      <c r="BH24" s="1388">
        <v>106128.53878073423</v>
      </c>
      <c r="BI24" s="1388">
        <v>106128.53878073423</v>
      </c>
      <c r="BJ24" s="1388">
        <v>106128.53878073423</v>
      </c>
      <c r="BK24" s="1388">
        <v>106128.53878073423</v>
      </c>
      <c r="BL24" s="1388">
        <v>106128.53878073423</v>
      </c>
      <c r="BM24" s="1388">
        <v>106128.53878073423</v>
      </c>
      <c r="BN24" s="1388">
        <v>106128.53878073423</v>
      </c>
      <c r="BO24" s="1388">
        <v>106128.53878073423</v>
      </c>
      <c r="BP24" s="1388">
        <v>106128.53878073423</v>
      </c>
      <c r="BQ24" s="1388">
        <v>106128.53878073423</v>
      </c>
      <c r="BR24" s="1388">
        <v>106128.53878073423</v>
      </c>
      <c r="BS24" s="1388">
        <v>106128.53878073423</v>
      </c>
      <c r="BT24" s="1388">
        <v>106128.53878073423</v>
      </c>
      <c r="BU24" s="1388">
        <v>106128.53878073423</v>
      </c>
      <c r="BV24" s="1388">
        <v>106128.53878073423</v>
      </c>
      <c r="BW24" s="1388">
        <v>106128.53878073423</v>
      </c>
      <c r="BX24" s="1388">
        <v>106128.53878073423</v>
      </c>
      <c r="BY24" s="1388">
        <v>0</v>
      </c>
      <c r="BZ24" s="1388">
        <v>0</v>
      </c>
      <c r="CA24" s="1388">
        <v>0</v>
      </c>
      <c r="CB24" s="1388">
        <v>0</v>
      </c>
      <c r="CC24" s="1388">
        <v>0</v>
      </c>
      <c r="CD24" s="1388">
        <v>0</v>
      </c>
      <c r="CE24" s="1388">
        <v>0</v>
      </c>
      <c r="CF24" s="1388">
        <v>0</v>
      </c>
      <c r="CG24" s="1388">
        <v>0</v>
      </c>
      <c r="CH24" s="1388">
        <v>0</v>
      </c>
      <c r="CI24" s="1388">
        <v>0</v>
      </c>
      <c r="CJ24" s="1388">
        <v>0</v>
      </c>
      <c r="CK24" s="1388">
        <v>0</v>
      </c>
      <c r="CL24" s="1388">
        <v>0</v>
      </c>
      <c r="CM24" s="1388">
        <v>0</v>
      </c>
      <c r="CN24" s="1388">
        <v>0</v>
      </c>
      <c r="CO24" s="1388">
        <v>0</v>
      </c>
      <c r="CP24" s="1388">
        <v>0</v>
      </c>
      <c r="CQ24" s="1388">
        <v>0</v>
      </c>
      <c r="CR24" s="1388">
        <v>0</v>
      </c>
      <c r="CS24" s="1388">
        <v>0</v>
      </c>
      <c r="CT24" s="1388">
        <v>0</v>
      </c>
      <c r="CU24" s="1388">
        <v>0</v>
      </c>
      <c r="CV24" s="1388">
        <v>0</v>
      </c>
      <c r="CW24" s="1388">
        <v>0</v>
      </c>
      <c r="CX24" s="1388"/>
      <c r="CY24" s="1388"/>
      <c r="CZ24" s="1388"/>
      <c r="DA24" s="1388"/>
      <c r="DB24" s="1388"/>
      <c r="DC24" s="1388"/>
      <c r="DD24" s="1388"/>
      <c r="DE24" s="1388"/>
      <c r="DF24" s="1388"/>
      <c r="DG24" s="1388"/>
      <c r="DH24" s="1388"/>
      <c r="DI24" s="1388"/>
      <c r="DJ24" s="1388"/>
      <c r="DK24" s="1388"/>
      <c r="DL24" s="1388"/>
      <c r="DM24" s="1388"/>
      <c r="DN24" s="1388"/>
      <c r="DO24" s="1388"/>
      <c r="DP24" s="1388"/>
      <c r="DQ24" s="1388"/>
      <c r="DR24" s="1388"/>
      <c r="DS24" s="1388"/>
      <c r="DT24" s="1388"/>
      <c r="DU24" s="1388"/>
      <c r="DV24" s="1388"/>
      <c r="DW24" s="1388"/>
      <c r="DX24" s="1388"/>
      <c r="DY24" s="1388"/>
      <c r="DZ24" s="1388"/>
      <c r="EA24" s="1388"/>
      <c r="EB24" s="1388"/>
      <c r="EC24" s="1388"/>
      <c r="ED24" s="1388"/>
      <c r="EE24" s="1388"/>
      <c r="EF24" s="1388"/>
      <c r="EG24" s="1388"/>
    </row>
    <row r="25" spans="1:137" s="114" customFormat="1" ht="22.5" customHeight="1">
      <c r="A25" s="506">
        <f t="shared" si="1"/>
        <v>1</v>
      </c>
      <c r="B25"/>
      <c r="C25" s="1441">
        <v>3.1</v>
      </c>
      <c r="D25" s="500">
        <f t="shared" si="2"/>
        <v>0</v>
      </c>
      <c r="E25"/>
      <c r="F25" s="1388" cm="1">
        <f t="array" ref="F25:CW25">TRANSPOSE(_xlfn.ANCHORARRAY(mProject!AD$9))</f>
        <v>0</v>
      </c>
      <c r="G25" s="1388">
        <v>0</v>
      </c>
      <c r="H25" s="1388">
        <v>0</v>
      </c>
      <c r="I25" s="1388">
        <v>0</v>
      </c>
      <c r="J25" s="1388">
        <v>0</v>
      </c>
      <c r="K25" s="1388">
        <v>0</v>
      </c>
      <c r="L25" s="1388">
        <v>0</v>
      </c>
      <c r="M25" s="1388">
        <v>0</v>
      </c>
      <c r="N25" s="1388">
        <v>0</v>
      </c>
      <c r="O25" s="1388">
        <v>0</v>
      </c>
      <c r="P25" s="1388">
        <v>0</v>
      </c>
      <c r="Q25" s="1388">
        <v>0</v>
      </c>
      <c r="R25" s="1388">
        <v>0</v>
      </c>
      <c r="S25" s="1388">
        <v>0</v>
      </c>
      <c r="T25" s="1388">
        <v>0</v>
      </c>
      <c r="U25" s="1388">
        <v>0</v>
      </c>
      <c r="V25" s="1388">
        <v>0</v>
      </c>
      <c r="W25" s="1388">
        <v>0</v>
      </c>
      <c r="X25" s="1388">
        <v>0</v>
      </c>
      <c r="Y25" s="1388">
        <v>0</v>
      </c>
      <c r="Z25" s="1388">
        <v>0</v>
      </c>
      <c r="AA25" s="1388">
        <v>0</v>
      </c>
      <c r="AB25" s="1388">
        <v>0</v>
      </c>
      <c r="AC25" s="1388">
        <v>0</v>
      </c>
      <c r="AD25" s="1388">
        <v>0</v>
      </c>
      <c r="AE25" s="1388">
        <v>0</v>
      </c>
      <c r="AF25" s="1388">
        <v>0</v>
      </c>
      <c r="AG25" s="1388">
        <v>0</v>
      </c>
      <c r="AH25" s="1388">
        <v>0</v>
      </c>
      <c r="AI25" s="1388">
        <v>0</v>
      </c>
      <c r="AJ25" s="1388">
        <v>0</v>
      </c>
      <c r="AK25" s="1388">
        <v>0</v>
      </c>
      <c r="AL25" s="1388">
        <v>0</v>
      </c>
      <c r="AM25" s="1388">
        <v>0</v>
      </c>
      <c r="AN25" s="1388">
        <v>0</v>
      </c>
      <c r="AO25" s="1388">
        <v>0</v>
      </c>
      <c r="AP25" s="1388">
        <v>0</v>
      </c>
      <c r="AQ25" s="1388">
        <v>0</v>
      </c>
      <c r="AR25" s="1388">
        <v>0</v>
      </c>
      <c r="AS25" s="1388">
        <v>0</v>
      </c>
      <c r="AT25" s="1388">
        <v>0</v>
      </c>
      <c r="AU25" s="1388">
        <v>0</v>
      </c>
      <c r="AV25" s="1388">
        <v>0</v>
      </c>
      <c r="AW25" s="1388">
        <v>0</v>
      </c>
      <c r="AX25" s="1388">
        <v>0</v>
      </c>
      <c r="AY25" s="1388">
        <v>0</v>
      </c>
      <c r="AZ25" s="1388">
        <v>0</v>
      </c>
      <c r="BA25" s="1388">
        <v>0</v>
      </c>
      <c r="BB25" s="1388">
        <v>0</v>
      </c>
      <c r="BC25" s="1388">
        <v>0</v>
      </c>
      <c r="BD25" s="1388">
        <v>0</v>
      </c>
      <c r="BE25" s="1388">
        <v>0</v>
      </c>
      <c r="BF25" s="1388">
        <v>0</v>
      </c>
      <c r="BG25" s="1388">
        <v>0</v>
      </c>
      <c r="BH25" s="1388">
        <v>0</v>
      </c>
      <c r="BI25" s="1388">
        <v>0</v>
      </c>
      <c r="BJ25" s="1388">
        <v>0</v>
      </c>
      <c r="BK25" s="1388">
        <v>0</v>
      </c>
      <c r="BL25" s="1388">
        <v>0</v>
      </c>
      <c r="BM25" s="1388">
        <v>0</v>
      </c>
      <c r="BN25" s="1388">
        <v>0</v>
      </c>
      <c r="BO25" s="1388">
        <v>0</v>
      </c>
      <c r="BP25" s="1388">
        <v>0</v>
      </c>
      <c r="BQ25" s="1388">
        <v>0</v>
      </c>
      <c r="BR25" s="1388">
        <v>0</v>
      </c>
      <c r="BS25" s="1388">
        <v>0</v>
      </c>
      <c r="BT25" s="1388">
        <v>0</v>
      </c>
      <c r="BU25" s="1388">
        <v>0</v>
      </c>
      <c r="BV25" s="1388">
        <v>0</v>
      </c>
      <c r="BW25" s="1388">
        <v>0</v>
      </c>
      <c r="BX25" s="1388">
        <v>0</v>
      </c>
      <c r="BY25" s="1388">
        <v>0</v>
      </c>
      <c r="BZ25" s="1388">
        <v>0</v>
      </c>
      <c r="CA25" s="1388">
        <v>0</v>
      </c>
      <c r="CB25" s="1388">
        <v>0</v>
      </c>
      <c r="CC25" s="1388">
        <v>0</v>
      </c>
      <c r="CD25" s="1388">
        <v>0</v>
      </c>
      <c r="CE25" s="1388">
        <v>0</v>
      </c>
      <c r="CF25" s="1388">
        <v>0</v>
      </c>
      <c r="CG25" s="1388">
        <v>0</v>
      </c>
      <c r="CH25" s="1388">
        <v>0</v>
      </c>
      <c r="CI25" s="1388">
        <v>0</v>
      </c>
      <c r="CJ25" s="1388">
        <v>0</v>
      </c>
      <c r="CK25" s="1388">
        <v>0</v>
      </c>
      <c r="CL25" s="1388">
        <v>0</v>
      </c>
      <c r="CM25" s="1388">
        <v>0</v>
      </c>
      <c r="CN25" s="1388">
        <v>0</v>
      </c>
      <c r="CO25" s="1388">
        <v>0</v>
      </c>
      <c r="CP25" s="1388">
        <v>0</v>
      </c>
      <c r="CQ25" s="1388">
        <v>0</v>
      </c>
      <c r="CR25" s="1388">
        <v>0</v>
      </c>
      <c r="CS25" s="1388">
        <v>0</v>
      </c>
      <c r="CT25" s="1388">
        <v>0</v>
      </c>
      <c r="CU25" s="1388">
        <v>0</v>
      </c>
      <c r="CV25" s="1388">
        <v>0</v>
      </c>
      <c r="CW25" s="1388">
        <v>0</v>
      </c>
      <c r="CX25" s="1388"/>
      <c r="CY25" s="1388"/>
      <c r="CZ25" s="1388"/>
      <c r="DA25" s="1388"/>
      <c r="DB25" s="1388"/>
      <c r="DC25" s="1388"/>
      <c r="DD25" s="1388"/>
      <c r="DE25" s="1388"/>
      <c r="DF25" s="1388"/>
      <c r="DG25" s="1388"/>
      <c r="DH25" s="1388"/>
      <c r="DI25" s="1388"/>
      <c r="DJ25" s="1388"/>
      <c r="DK25" s="1388"/>
      <c r="DL25" s="1388"/>
      <c r="DM25" s="1388"/>
      <c r="DN25" s="1388"/>
      <c r="DO25" s="1388"/>
      <c r="DP25" s="1388"/>
      <c r="DQ25" s="1388"/>
      <c r="DR25" s="1388"/>
      <c r="DS25" s="1388"/>
      <c r="DT25" s="1388"/>
      <c r="DU25" s="1388"/>
      <c r="DV25" s="1388"/>
      <c r="DW25" s="1388"/>
      <c r="DX25" s="1388"/>
      <c r="DY25" s="1388"/>
      <c r="DZ25" s="1388"/>
      <c r="EA25" s="1388"/>
      <c r="EB25" s="1388"/>
      <c r="EC25" s="1388"/>
      <c r="ED25" s="1388"/>
      <c r="EE25" s="1388"/>
      <c r="EF25" s="1388"/>
      <c r="EG25" s="1388"/>
    </row>
    <row r="26" spans="1:137" s="114" customFormat="1" ht="22.5" customHeight="1">
      <c r="A26" s="506">
        <f t="shared" si="1"/>
        <v>1</v>
      </c>
      <c r="B26"/>
      <c r="C26" s="1441">
        <v>3.2</v>
      </c>
      <c r="D26" s="500">
        <f t="shared" si="2"/>
        <v>0</v>
      </c>
      <c r="E26"/>
      <c r="F26" s="1389" cm="1">
        <f t="array" ref="F26:CW26">TRANSPOSE(_xlfn.ANCHORARRAY(mProject!AE$9))</f>
        <v>0</v>
      </c>
      <c r="G26" s="1388">
        <v>0</v>
      </c>
      <c r="H26" s="1388">
        <v>0</v>
      </c>
      <c r="I26" s="1388">
        <v>0</v>
      </c>
      <c r="J26" s="1388">
        <v>0</v>
      </c>
      <c r="K26" s="1388">
        <v>0</v>
      </c>
      <c r="L26" s="1388">
        <v>0</v>
      </c>
      <c r="M26" s="1388">
        <v>0</v>
      </c>
      <c r="N26" s="1388">
        <v>0</v>
      </c>
      <c r="O26" s="1388">
        <v>0</v>
      </c>
      <c r="P26" s="1388">
        <v>0</v>
      </c>
      <c r="Q26" s="1388">
        <v>0</v>
      </c>
      <c r="R26" s="1388">
        <v>0</v>
      </c>
      <c r="S26" s="1388">
        <v>0</v>
      </c>
      <c r="T26" s="1388">
        <v>0</v>
      </c>
      <c r="U26" s="1388">
        <v>0</v>
      </c>
      <c r="V26" s="1388">
        <v>0</v>
      </c>
      <c r="W26" s="1388">
        <v>0</v>
      </c>
      <c r="X26" s="1388">
        <v>0</v>
      </c>
      <c r="Y26" s="1388">
        <v>0</v>
      </c>
      <c r="Z26" s="1388">
        <v>0</v>
      </c>
      <c r="AA26" s="1388">
        <v>0</v>
      </c>
      <c r="AB26" s="1388">
        <v>0</v>
      </c>
      <c r="AC26" s="1388">
        <v>0</v>
      </c>
      <c r="AD26" s="1388">
        <v>0</v>
      </c>
      <c r="AE26" s="1388">
        <v>0</v>
      </c>
      <c r="AF26" s="1388">
        <v>0</v>
      </c>
      <c r="AG26" s="1388">
        <v>0</v>
      </c>
      <c r="AH26" s="1388">
        <v>0</v>
      </c>
      <c r="AI26" s="1388">
        <v>0</v>
      </c>
      <c r="AJ26" s="1388">
        <v>0</v>
      </c>
      <c r="AK26" s="1388">
        <v>0</v>
      </c>
      <c r="AL26" s="1388">
        <v>0</v>
      </c>
      <c r="AM26" s="1388">
        <v>0</v>
      </c>
      <c r="AN26" s="1388">
        <v>0</v>
      </c>
      <c r="AO26" s="1388">
        <v>0</v>
      </c>
      <c r="AP26" s="1388">
        <v>0</v>
      </c>
      <c r="AQ26" s="1388">
        <v>0</v>
      </c>
      <c r="AR26" s="1388">
        <v>0</v>
      </c>
      <c r="AS26" s="1388">
        <v>0</v>
      </c>
      <c r="AT26" s="1388">
        <v>0</v>
      </c>
      <c r="AU26" s="1388">
        <v>0</v>
      </c>
      <c r="AV26" s="1388">
        <v>0</v>
      </c>
      <c r="AW26" s="1388">
        <v>0</v>
      </c>
      <c r="AX26" s="1388">
        <v>0</v>
      </c>
      <c r="AY26" s="1388">
        <v>0</v>
      </c>
      <c r="AZ26" s="1388">
        <v>0</v>
      </c>
      <c r="BA26" s="1388">
        <v>0</v>
      </c>
      <c r="BB26" s="1388">
        <v>0</v>
      </c>
      <c r="BC26" s="1388">
        <v>0</v>
      </c>
      <c r="BD26" s="1388">
        <v>0</v>
      </c>
      <c r="BE26" s="1388">
        <v>0</v>
      </c>
      <c r="BF26" s="1388">
        <v>0</v>
      </c>
      <c r="BG26" s="1388">
        <v>0</v>
      </c>
      <c r="BH26" s="1388">
        <v>0</v>
      </c>
      <c r="BI26" s="1388">
        <v>0</v>
      </c>
      <c r="BJ26" s="1388">
        <v>0</v>
      </c>
      <c r="BK26" s="1388">
        <v>0</v>
      </c>
      <c r="BL26" s="1388">
        <v>0</v>
      </c>
      <c r="BM26" s="1388">
        <v>0</v>
      </c>
      <c r="BN26" s="1388">
        <v>0</v>
      </c>
      <c r="BO26" s="1388">
        <v>0</v>
      </c>
      <c r="BP26" s="1388">
        <v>0</v>
      </c>
      <c r="BQ26" s="1388">
        <v>0</v>
      </c>
      <c r="BR26" s="1388">
        <v>0</v>
      </c>
      <c r="BS26" s="1388">
        <v>0</v>
      </c>
      <c r="BT26" s="1388">
        <v>0</v>
      </c>
      <c r="BU26" s="1388">
        <v>0</v>
      </c>
      <c r="BV26" s="1388">
        <v>0</v>
      </c>
      <c r="BW26" s="1388">
        <v>0</v>
      </c>
      <c r="BX26" s="1388">
        <v>0</v>
      </c>
      <c r="BY26" s="1388">
        <v>0</v>
      </c>
      <c r="BZ26" s="1388">
        <v>0</v>
      </c>
      <c r="CA26" s="1388">
        <v>0</v>
      </c>
      <c r="CB26" s="1388">
        <v>0</v>
      </c>
      <c r="CC26" s="1388">
        <v>0</v>
      </c>
      <c r="CD26" s="1388">
        <v>0</v>
      </c>
      <c r="CE26" s="1388">
        <v>0</v>
      </c>
      <c r="CF26" s="1388">
        <v>0</v>
      </c>
      <c r="CG26" s="1388">
        <v>0</v>
      </c>
      <c r="CH26" s="1388">
        <v>0</v>
      </c>
      <c r="CI26" s="1388">
        <v>0</v>
      </c>
      <c r="CJ26" s="1388">
        <v>0</v>
      </c>
      <c r="CK26" s="1388">
        <v>0</v>
      </c>
      <c r="CL26" s="1388">
        <v>0</v>
      </c>
      <c r="CM26" s="1388">
        <v>0</v>
      </c>
      <c r="CN26" s="1388">
        <v>0</v>
      </c>
      <c r="CO26" s="1388">
        <v>0</v>
      </c>
      <c r="CP26" s="1388">
        <v>0</v>
      </c>
      <c r="CQ26" s="1388">
        <v>0</v>
      </c>
      <c r="CR26" s="1388">
        <v>0</v>
      </c>
      <c r="CS26" s="1388">
        <v>0</v>
      </c>
      <c r="CT26" s="1388">
        <v>0</v>
      </c>
      <c r="CU26" s="1388">
        <v>0</v>
      </c>
      <c r="CV26" s="1388">
        <v>0</v>
      </c>
      <c r="CW26" s="1388">
        <v>0</v>
      </c>
      <c r="CX26" s="1388"/>
      <c r="CY26" s="1388"/>
      <c r="CZ26" s="1388"/>
      <c r="DA26" s="1388"/>
      <c r="DB26" s="1388"/>
      <c r="DC26" s="1388"/>
      <c r="DD26" s="1388"/>
      <c r="DE26" s="1388"/>
      <c r="DF26" s="1388"/>
      <c r="DG26" s="1388"/>
      <c r="DH26" s="1388"/>
      <c r="DI26" s="1388"/>
      <c r="DJ26" s="1388"/>
      <c r="DK26" s="1388"/>
      <c r="DL26" s="1388"/>
      <c r="DM26" s="1388"/>
      <c r="DN26" s="1388"/>
      <c r="DO26" s="1388"/>
      <c r="DP26" s="1388"/>
      <c r="DQ26" s="1388"/>
      <c r="DR26" s="1388"/>
      <c r="DS26" s="1388"/>
      <c r="DT26" s="1388"/>
      <c r="DU26" s="1388"/>
      <c r="DV26" s="1388"/>
      <c r="DW26" s="1388"/>
      <c r="DX26" s="1388"/>
      <c r="DY26" s="1388"/>
      <c r="DZ26" s="1388"/>
      <c r="EA26" s="1388"/>
      <c r="EB26" s="1388"/>
      <c r="EC26" s="1388"/>
      <c r="ED26" s="1388"/>
      <c r="EE26" s="1388"/>
      <c r="EF26" s="1388"/>
      <c r="EG26" s="1388"/>
    </row>
    <row r="27" spans="1:137" s="114" customFormat="1" ht="22.5" customHeight="1">
      <c r="A27" s="506">
        <f t="shared" si="1"/>
        <v>1</v>
      </c>
      <c r="B27"/>
      <c r="C27" s="1441">
        <v>4.0999999999999996</v>
      </c>
      <c r="D27" s="500">
        <f t="shared" si="2"/>
        <v>4000085.4681246514</v>
      </c>
      <c r="E27"/>
      <c r="F27" s="1389" cm="1">
        <f t="array" ref="F27:CW27">TRANSPOSE(_xlfn.ANCHORARRAY(mProject!AF$9))</f>
        <v>0</v>
      </c>
      <c r="G27" s="1388">
        <v>0</v>
      </c>
      <c r="H27" s="1388">
        <v>0</v>
      </c>
      <c r="I27" s="1388">
        <v>0</v>
      </c>
      <c r="J27" s="1388">
        <v>0</v>
      </c>
      <c r="K27" s="1388">
        <v>0</v>
      </c>
      <c r="L27" s="1388">
        <v>0</v>
      </c>
      <c r="M27" s="1388">
        <v>0</v>
      </c>
      <c r="N27" s="1388">
        <v>0</v>
      </c>
      <c r="O27" s="1388">
        <v>0</v>
      </c>
      <c r="P27" s="1388">
        <v>0</v>
      </c>
      <c r="Q27" s="1388">
        <v>0</v>
      </c>
      <c r="R27" s="1388">
        <v>0</v>
      </c>
      <c r="S27" s="1388">
        <v>0</v>
      </c>
      <c r="T27" s="1388">
        <v>0</v>
      </c>
      <c r="U27" s="1388">
        <v>0</v>
      </c>
      <c r="V27" s="1388">
        <v>0</v>
      </c>
      <c r="W27" s="1388">
        <v>0</v>
      </c>
      <c r="X27" s="1388">
        <v>0</v>
      </c>
      <c r="Y27" s="1388">
        <v>0</v>
      </c>
      <c r="Z27" s="1388">
        <v>0</v>
      </c>
      <c r="AA27" s="1388">
        <v>0</v>
      </c>
      <c r="AB27" s="1388">
        <v>0</v>
      </c>
      <c r="AC27" s="1388">
        <v>0</v>
      </c>
      <c r="AD27" s="1388">
        <v>0</v>
      </c>
      <c r="AE27" s="1388">
        <v>0</v>
      </c>
      <c r="AF27" s="1388">
        <v>0</v>
      </c>
      <c r="AG27" s="1388">
        <v>0</v>
      </c>
      <c r="AH27" s="1388">
        <v>0</v>
      </c>
      <c r="AI27" s="1388">
        <v>0</v>
      </c>
      <c r="AJ27" s="1388">
        <v>0</v>
      </c>
      <c r="AK27" s="1388">
        <v>0</v>
      </c>
      <c r="AL27" s="1388">
        <v>0</v>
      </c>
      <c r="AM27" s="1388">
        <v>0</v>
      </c>
      <c r="AN27" s="1388">
        <v>0</v>
      </c>
      <c r="AO27" s="1388">
        <v>0</v>
      </c>
      <c r="AP27" s="1388">
        <v>0</v>
      </c>
      <c r="AQ27" s="1388">
        <v>0</v>
      </c>
      <c r="AR27" s="1388">
        <v>0</v>
      </c>
      <c r="AS27" s="1388">
        <v>0</v>
      </c>
      <c r="AT27" s="1388">
        <v>0</v>
      </c>
      <c r="AU27" s="1388">
        <v>0</v>
      </c>
      <c r="AV27" s="1388">
        <v>0</v>
      </c>
      <c r="AW27" s="1388">
        <v>0</v>
      </c>
      <c r="AX27" s="1388">
        <v>0</v>
      </c>
      <c r="AY27" s="1388">
        <v>0</v>
      </c>
      <c r="AZ27" s="1388">
        <v>0</v>
      </c>
      <c r="BA27" s="1388">
        <v>0</v>
      </c>
      <c r="BB27" s="1388">
        <v>0</v>
      </c>
      <c r="BC27" s="1388">
        <v>0</v>
      </c>
      <c r="BD27" s="1388">
        <v>0</v>
      </c>
      <c r="BE27" s="1388">
        <v>0</v>
      </c>
      <c r="BF27" s="1388">
        <v>0</v>
      </c>
      <c r="BG27" s="1388">
        <v>0</v>
      </c>
      <c r="BH27" s="1388">
        <v>0</v>
      </c>
      <c r="BI27" s="1388">
        <v>0</v>
      </c>
      <c r="BJ27" s="1388">
        <v>0</v>
      </c>
      <c r="BK27" s="1388">
        <v>0</v>
      </c>
      <c r="BL27" s="1388">
        <v>0</v>
      </c>
      <c r="BM27" s="1388">
        <v>222226.97045136962</v>
      </c>
      <c r="BN27" s="1388">
        <v>222226.97045136962</v>
      </c>
      <c r="BO27" s="1388">
        <v>222226.97045136962</v>
      </c>
      <c r="BP27" s="1388">
        <v>222226.97045136962</v>
      </c>
      <c r="BQ27" s="1388">
        <v>222226.97045136962</v>
      </c>
      <c r="BR27" s="1388">
        <v>222226.97045136962</v>
      </c>
      <c r="BS27" s="1388">
        <v>222226.97045136962</v>
      </c>
      <c r="BT27" s="1388">
        <v>222226.97045136962</v>
      </c>
      <c r="BU27" s="1388">
        <v>222226.97045136962</v>
      </c>
      <c r="BV27" s="1388">
        <v>222226.97045136962</v>
      </c>
      <c r="BW27" s="1388">
        <v>222226.97045136962</v>
      </c>
      <c r="BX27" s="1388">
        <v>222226.97045136962</v>
      </c>
      <c r="BY27" s="1388">
        <v>222226.97045136962</v>
      </c>
      <c r="BZ27" s="1388">
        <v>222226.97045136962</v>
      </c>
      <c r="CA27" s="1388">
        <v>222226.97045136962</v>
      </c>
      <c r="CB27" s="1388">
        <v>222226.97045136962</v>
      </c>
      <c r="CC27" s="1388">
        <v>222226.97045136962</v>
      </c>
      <c r="CD27" s="1388">
        <v>222226.97045136962</v>
      </c>
      <c r="CE27" s="1388">
        <v>0</v>
      </c>
      <c r="CF27" s="1388">
        <v>0</v>
      </c>
      <c r="CG27" s="1388">
        <v>0</v>
      </c>
      <c r="CH27" s="1388">
        <v>0</v>
      </c>
      <c r="CI27" s="1388">
        <v>0</v>
      </c>
      <c r="CJ27" s="1388">
        <v>0</v>
      </c>
      <c r="CK27" s="1388">
        <v>0</v>
      </c>
      <c r="CL27" s="1388">
        <v>0</v>
      </c>
      <c r="CM27" s="1388">
        <v>0</v>
      </c>
      <c r="CN27" s="1388">
        <v>0</v>
      </c>
      <c r="CO27" s="1388">
        <v>0</v>
      </c>
      <c r="CP27" s="1388">
        <v>0</v>
      </c>
      <c r="CQ27" s="1388">
        <v>0</v>
      </c>
      <c r="CR27" s="1388">
        <v>0</v>
      </c>
      <c r="CS27" s="1388">
        <v>0</v>
      </c>
      <c r="CT27" s="1388">
        <v>0</v>
      </c>
      <c r="CU27" s="1388">
        <v>0</v>
      </c>
      <c r="CV27" s="1388">
        <v>0</v>
      </c>
      <c r="CW27" s="1388">
        <v>0</v>
      </c>
      <c r="CX27" s="1388"/>
      <c r="CY27" s="1388"/>
      <c r="CZ27" s="1388"/>
      <c r="DA27" s="1388"/>
      <c r="DB27" s="1388"/>
      <c r="DC27" s="1388"/>
      <c r="DD27" s="1388"/>
      <c r="DE27" s="1388"/>
      <c r="DF27" s="1388"/>
      <c r="DG27" s="1388"/>
      <c r="DH27" s="1388"/>
      <c r="DI27" s="1388"/>
      <c r="DJ27" s="1388"/>
      <c r="DK27" s="1388"/>
      <c r="DL27" s="1388"/>
      <c r="DM27" s="1388"/>
      <c r="DN27" s="1388"/>
      <c r="DO27" s="1388"/>
      <c r="DP27" s="1388"/>
      <c r="DQ27" s="1388"/>
      <c r="DR27" s="1388"/>
      <c r="DS27" s="1388"/>
      <c r="DT27" s="1388"/>
      <c r="DU27" s="1388"/>
      <c r="DV27" s="1388"/>
      <c r="DW27" s="1388"/>
      <c r="DX27" s="1388"/>
      <c r="DY27" s="1388"/>
      <c r="DZ27" s="1388"/>
      <c r="EA27" s="1388"/>
      <c r="EB27" s="1388"/>
      <c r="EC27" s="1388"/>
      <c r="ED27" s="1388"/>
      <c r="EE27" s="1388"/>
      <c r="EF27" s="1388"/>
      <c r="EG27" s="1388"/>
    </row>
    <row r="28" spans="1:137" s="114" customFormat="1" ht="16">
      <c r="A28" s="506">
        <f t="shared" si="1"/>
        <v>1</v>
      </c>
      <c r="B28"/>
      <c r="C28" s="1441">
        <v>4.2</v>
      </c>
      <c r="D28" s="500">
        <f t="shared" si="2"/>
        <v>6474465.1916132011</v>
      </c>
      <c r="E28"/>
      <c r="F28" s="1389" cm="1">
        <f t="array" ref="F28:CW28">TRANSPOSE(_xlfn.ANCHORARRAY(mProject!AG$9))</f>
        <v>0</v>
      </c>
      <c r="G28" s="1388">
        <v>0</v>
      </c>
      <c r="H28" s="1388">
        <v>0</v>
      </c>
      <c r="I28" s="1388">
        <v>0</v>
      </c>
      <c r="J28" s="1388">
        <v>0</v>
      </c>
      <c r="K28" s="1388">
        <v>0</v>
      </c>
      <c r="L28" s="1388">
        <v>0</v>
      </c>
      <c r="M28" s="1388">
        <v>0</v>
      </c>
      <c r="N28" s="1388">
        <v>0</v>
      </c>
      <c r="O28" s="1388">
        <v>0</v>
      </c>
      <c r="P28" s="1388">
        <v>0</v>
      </c>
      <c r="Q28" s="1388">
        <v>0</v>
      </c>
      <c r="R28" s="1388">
        <v>0</v>
      </c>
      <c r="S28" s="1388">
        <v>0</v>
      </c>
      <c r="T28" s="1388">
        <v>0</v>
      </c>
      <c r="U28" s="1388">
        <v>0</v>
      </c>
      <c r="V28" s="1388">
        <v>0</v>
      </c>
      <c r="W28" s="1388">
        <v>0</v>
      </c>
      <c r="X28" s="1388">
        <v>0</v>
      </c>
      <c r="Y28" s="1388">
        <v>0</v>
      </c>
      <c r="Z28" s="1388">
        <v>0</v>
      </c>
      <c r="AA28" s="1388">
        <v>0</v>
      </c>
      <c r="AB28" s="1388">
        <v>0</v>
      </c>
      <c r="AC28" s="1388">
        <v>0</v>
      </c>
      <c r="AD28" s="1388">
        <v>0</v>
      </c>
      <c r="AE28" s="1388">
        <v>0</v>
      </c>
      <c r="AF28" s="1388">
        <v>0</v>
      </c>
      <c r="AG28" s="1388">
        <v>0</v>
      </c>
      <c r="AH28" s="1388">
        <v>0</v>
      </c>
      <c r="AI28" s="1388">
        <v>0</v>
      </c>
      <c r="AJ28" s="1388">
        <v>0</v>
      </c>
      <c r="AK28" s="1388">
        <v>0</v>
      </c>
      <c r="AL28" s="1388">
        <v>0</v>
      </c>
      <c r="AM28" s="1388">
        <v>0</v>
      </c>
      <c r="AN28" s="1388">
        <v>0</v>
      </c>
      <c r="AO28" s="1388">
        <v>0</v>
      </c>
      <c r="AP28" s="1388">
        <v>0</v>
      </c>
      <c r="AQ28" s="1388">
        <v>0</v>
      </c>
      <c r="AR28" s="1388">
        <v>0</v>
      </c>
      <c r="AS28" s="1388">
        <v>0</v>
      </c>
      <c r="AT28" s="1388">
        <v>0</v>
      </c>
      <c r="AU28" s="1388">
        <v>0</v>
      </c>
      <c r="AV28" s="1388">
        <v>0</v>
      </c>
      <c r="AW28" s="1388">
        <v>0</v>
      </c>
      <c r="AX28" s="1388">
        <v>0</v>
      </c>
      <c r="AY28" s="1388">
        <v>0</v>
      </c>
      <c r="AZ28" s="1388">
        <v>0</v>
      </c>
      <c r="BA28" s="1388">
        <v>0</v>
      </c>
      <c r="BB28" s="1388">
        <v>0</v>
      </c>
      <c r="BC28" s="1388">
        <v>0</v>
      </c>
      <c r="BD28" s="1388">
        <v>0</v>
      </c>
      <c r="BE28" s="1388">
        <v>0</v>
      </c>
      <c r="BF28" s="1388">
        <v>0</v>
      </c>
      <c r="BG28" s="1388">
        <v>0</v>
      </c>
      <c r="BH28" s="1388">
        <v>0</v>
      </c>
      <c r="BI28" s="1388">
        <v>0</v>
      </c>
      <c r="BJ28" s="1388">
        <v>0</v>
      </c>
      <c r="BK28" s="1388">
        <v>0</v>
      </c>
      <c r="BL28" s="1388">
        <v>0</v>
      </c>
      <c r="BM28" s="1388">
        <v>0</v>
      </c>
      <c r="BN28" s="1388">
        <v>0</v>
      </c>
      <c r="BO28" s="1388">
        <v>0</v>
      </c>
      <c r="BP28" s="1388">
        <v>0</v>
      </c>
      <c r="BQ28" s="1388">
        <v>0</v>
      </c>
      <c r="BR28" s="1388">
        <v>0</v>
      </c>
      <c r="BS28" s="1388">
        <v>0</v>
      </c>
      <c r="BT28" s="1388">
        <v>0</v>
      </c>
      <c r="BU28" s="1388">
        <v>0</v>
      </c>
      <c r="BV28" s="1388">
        <v>0</v>
      </c>
      <c r="BW28" s="1388">
        <v>0</v>
      </c>
      <c r="BX28" s="1388">
        <v>0</v>
      </c>
      <c r="BY28" s="1388">
        <v>0</v>
      </c>
      <c r="BZ28" s="1388">
        <v>0</v>
      </c>
      <c r="CA28" s="1388">
        <v>0</v>
      </c>
      <c r="CB28" s="1388">
        <v>0</v>
      </c>
      <c r="CC28" s="1388">
        <v>0</v>
      </c>
      <c r="CD28" s="1388">
        <v>0</v>
      </c>
      <c r="CE28" s="1388">
        <v>0</v>
      </c>
      <c r="CF28" s="1388">
        <v>0</v>
      </c>
      <c r="CG28" s="1388">
        <v>0</v>
      </c>
      <c r="CH28" s="1388">
        <v>0</v>
      </c>
      <c r="CI28" s="1388">
        <v>0</v>
      </c>
      <c r="CJ28" s="1388">
        <v>0</v>
      </c>
      <c r="CK28" s="1388">
        <v>539538.76596776675</v>
      </c>
      <c r="CL28" s="1388">
        <v>539538.76596776675</v>
      </c>
      <c r="CM28" s="1388">
        <v>539538.76596776675</v>
      </c>
      <c r="CN28" s="1388">
        <v>539538.76596776675</v>
      </c>
      <c r="CO28" s="1388">
        <v>539538.76596776675</v>
      </c>
      <c r="CP28" s="1388">
        <v>539538.76596776675</v>
      </c>
      <c r="CQ28" s="1388">
        <v>539538.76596776675</v>
      </c>
      <c r="CR28" s="1388">
        <v>539538.76596776675</v>
      </c>
      <c r="CS28" s="1388">
        <v>539538.76596776675</v>
      </c>
      <c r="CT28" s="1388">
        <v>539538.76596776675</v>
      </c>
      <c r="CU28" s="1388">
        <v>539538.76596776675</v>
      </c>
      <c r="CV28" s="1388">
        <v>539538.76596776675</v>
      </c>
      <c r="CW28" s="1388">
        <v>0</v>
      </c>
      <c r="CX28" s="1388"/>
      <c r="CY28" s="1388"/>
      <c r="CZ28" s="1388"/>
      <c r="DA28" s="1388"/>
      <c r="DB28" s="1388"/>
      <c r="DC28" s="1388"/>
      <c r="DD28" s="1388"/>
      <c r="DE28" s="1388"/>
      <c r="DF28" s="1388"/>
      <c r="DG28" s="1388"/>
      <c r="DH28" s="1388"/>
      <c r="DI28" s="1388"/>
      <c r="DJ28" s="1388"/>
      <c r="DK28" s="1388"/>
      <c r="DL28" s="1388"/>
      <c r="DM28" s="1388"/>
      <c r="DN28" s="1388"/>
      <c r="DO28" s="1388"/>
      <c r="DP28" s="1388"/>
      <c r="DQ28" s="1388"/>
      <c r="DR28" s="1388"/>
      <c r="DS28" s="1388"/>
      <c r="DT28" s="1388"/>
      <c r="DU28" s="1388"/>
      <c r="DV28" s="1388"/>
      <c r="DW28" s="1388"/>
      <c r="DX28" s="1388"/>
      <c r="DY28" s="1388"/>
      <c r="DZ28" s="1388"/>
      <c r="EA28" s="1388"/>
      <c r="EB28" s="1388"/>
      <c r="EC28" s="1388"/>
      <c r="ED28" s="1388"/>
      <c r="EE28" s="1388"/>
      <c r="EF28" s="1388"/>
      <c r="EG28" s="1388"/>
    </row>
    <row r="29" spans="1:137" s="114" customFormat="1" ht="16" hidden="1">
      <c r="A29" s="506">
        <f t="shared" si="1"/>
        <v>0</v>
      </c>
      <c r="B29"/>
      <c r="C29" s="1442"/>
      <c r="D29" s="500">
        <f t="shared" si="2"/>
        <v>0</v>
      </c>
      <c r="E29"/>
      <c r="F29" s="1389" cm="1">
        <f t="array" ref="F29:CW29">TRANSPOSE(_xlfn.ANCHORARRAY(mProject!AH$9))</f>
        <v>0</v>
      </c>
      <c r="G29" s="1388">
        <v>0</v>
      </c>
      <c r="H29" s="1388">
        <v>0</v>
      </c>
      <c r="I29" s="1388">
        <v>0</v>
      </c>
      <c r="J29" s="1388">
        <v>0</v>
      </c>
      <c r="K29" s="1388">
        <v>0</v>
      </c>
      <c r="L29" s="1388">
        <v>0</v>
      </c>
      <c r="M29" s="1388">
        <v>0</v>
      </c>
      <c r="N29" s="1388">
        <v>0</v>
      </c>
      <c r="O29" s="1388">
        <v>0</v>
      </c>
      <c r="P29" s="1388">
        <v>0</v>
      </c>
      <c r="Q29" s="1388">
        <v>0</v>
      </c>
      <c r="R29" s="1388">
        <v>0</v>
      </c>
      <c r="S29" s="1388">
        <v>0</v>
      </c>
      <c r="T29" s="1388">
        <v>0</v>
      </c>
      <c r="U29" s="1388">
        <v>0</v>
      </c>
      <c r="V29" s="1388">
        <v>0</v>
      </c>
      <c r="W29" s="1388">
        <v>0</v>
      </c>
      <c r="X29" s="1388">
        <v>0</v>
      </c>
      <c r="Y29" s="1388">
        <v>0</v>
      </c>
      <c r="Z29" s="1388">
        <v>0</v>
      </c>
      <c r="AA29" s="1388">
        <v>0</v>
      </c>
      <c r="AB29" s="1388">
        <v>0</v>
      </c>
      <c r="AC29" s="1388">
        <v>0</v>
      </c>
      <c r="AD29" s="1388">
        <v>0</v>
      </c>
      <c r="AE29" s="1388">
        <v>0</v>
      </c>
      <c r="AF29" s="1388">
        <v>0</v>
      </c>
      <c r="AG29" s="1388">
        <v>0</v>
      </c>
      <c r="AH29" s="1388">
        <v>0</v>
      </c>
      <c r="AI29" s="1388">
        <v>0</v>
      </c>
      <c r="AJ29" s="1388">
        <v>0</v>
      </c>
      <c r="AK29" s="1388">
        <v>0</v>
      </c>
      <c r="AL29" s="1388">
        <v>0</v>
      </c>
      <c r="AM29" s="1388">
        <v>0</v>
      </c>
      <c r="AN29" s="1388">
        <v>0</v>
      </c>
      <c r="AO29" s="1388">
        <v>0</v>
      </c>
      <c r="AP29" s="1388">
        <v>0</v>
      </c>
      <c r="AQ29" s="1388">
        <v>0</v>
      </c>
      <c r="AR29" s="1388">
        <v>0</v>
      </c>
      <c r="AS29" s="1388">
        <v>0</v>
      </c>
      <c r="AT29" s="1388">
        <v>0</v>
      </c>
      <c r="AU29" s="1388">
        <v>0</v>
      </c>
      <c r="AV29" s="1388">
        <v>0</v>
      </c>
      <c r="AW29" s="1388">
        <v>0</v>
      </c>
      <c r="AX29" s="1388">
        <v>0</v>
      </c>
      <c r="AY29" s="1388">
        <v>0</v>
      </c>
      <c r="AZ29" s="1388">
        <v>0</v>
      </c>
      <c r="BA29" s="1388">
        <v>0</v>
      </c>
      <c r="BB29" s="1388">
        <v>0</v>
      </c>
      <c r="BC29" s="1388">
        <v>0</v>
      </c>
      <c r="BD29" s="1388">
        <v>0</v>
      </c>
      <c r="BE29" s="1388">
        <v>0</v>
      </c>
      <c r="BF29" s="1388">
        <v>0</v>
      </c>
      <c r="BG29" s="1388">
        <v>0</v>
      </c>
      <c r="BH29" s="1388">
        <v>0</v>
      </c>
      <c r="BI29" s="1388">
        <v>0</v>
      </c>
      <c r="BJ29" s="1388">
        <v>0</v>
      </c>
      <c r="BK29" s="1388">
        <v>0</v>
      </c>
      <c r="BL29" s="1388">
        <v>0</v>
      </c>
      <c r="BM29" s="1388">
        <v>0</v>
      </c>
      <c r="BN29" s="1388">
        <v>0</v>
      </c>
      <c r="BO29" s="1388">
        <v>0</v>
      </c>
      <c r="BP29" s="1388">
        <v>0</v>
      </c>
      <c r="BQ29" s="1388">
        <v>0</v>
      </c>
      <c r="BR29" s="1388">
        <v>0</v>
      </c>
      <c r="BS29" s="1388">
        <v>0</v>
      </c>
      <c r="BT29" s="1388">
        <v>0</v>
      </c>
      <c r="BU29" s="1388">
        <v>0</v>
      </c>
      <c r="BV29" s="1388">
        <v>0</v>
      </c>
      <c r="BW29" s="1388">
        <v>0</v>
      </c>
      <c r="BX29" s="1388">
        <v>0</v>
      </c>
      <c r="BY29" s="1388">
        <v>0</v>
      </c>
      <c r="BZ29" s="1388">
        <v>0</v>
      </c>
      <c r="CA29" s="1388">
        <v>0</v>
      </c>
      <c r="CB29" s="1388">
        <v>0</v>
      </c>
      <c r="CC29" s="1388">
        <v>0</v>
      </c>
      <c r="CD29" s="1388">
        <v>0</v>
      </c>
      <c r="CE29" s="1388">
        <v>0</v>
      </c>
      <c r="CF29" s="1388">
        <v>0</v>
      </c>
      <c r="CG29" s="1388">
        <v>0</v>
      </c>
      <c r="CH29" s="1388">
        <v>0</v>
      </c>
      <c r="CI29" s="1388">
        <v>0</v>
      </c>
      <c r="CJ29" s="1388">
        <v>0</v>
      </c>
      <c r="CK29" s="1388">
        <v>0</v>
      </c>
      <c r="CL29" s="1388">
        <v>0</v>
      </c>
      <c r="CM29" s="1388">
        <v>0</v>
      </c>
      <c r="CN29" s="1388">
        <v>0</v>
      </c>
      <c r="CO29" s="1388">
        <v>0</v>
      </c>
      <c r="CP29" s="1388">
        <v>0</v>
      </c>
      <c r="CQ29" s="1388">
        <v>0</v>
      </c>
      <c r="CR29" s="1388">
        <v>0</v>
      </c>
      <c r="CS29" s="1388">
        <v>0</v>
      </c>
      <c r="CT29" s="1388">
        <v>0</v>
      </c>
      <c r="CU29" s="1388">
        <v>0</v>
      </c>
      <c r="CV29" s="1388">
        <v>0</v>
      </c>
      <c r="CW29" s="1388">
        <v>0</v>
      </c>
      <c r="CX29" s="1388"/>
      <c r="CY29" s="1388"/>
      <c r="CZ29" s="1388"/>
      <c r="DA29" s="1388"/>
      <c r="DB29" s="1388"/>
      <c r="DC29" s="1388"/>
      <c r="DD29" s="1388"/>
      <c r="DE29" s="1388"/>
      <c r="DF29" s="1388"/>
      <c r="DG29" s="1388"/>
      <c r="DH29" s="1388"/>
      <c r="DI29" s="1388"/>
      <c r="DJ29" s="1388"/>
      <c r="DK29" s="1388"/>
      <c r="DL29" s="1388"/>
      <c r="DM29" s="1388"/>
      <c r="DN29" s="1388"/>
      <c r="DO29" s="1388"/>
      <c r="DP29" s="1388"/>
      <c r="DQ29" s="1388"/>
      <c r="DR29" s="1388"/>
      <c r="DS29" s="1388"/>
      <c r="DT29" s="1388"/>
      <c r="DU29" s="1388"/>
      <c r="DV29" s="1388"/>
      <c r="DW29" s="1388"/>
      <c r="DX29" s="1388"/>
      <c r="DY29" s="1388"/>
      <c r="DZ29" s="1388"/>
      <c r="EA29" s="1388"/>
      <c r="EB29" s="1388"/>
      <c r="EC29" s="1388"/>
      <c r="ED29" s="1388"/>
      <c r="EE29" s="1388"/>
      <c r="EF29" s="1388"/>
      <c r="EG29" s="1388"/>
    </row>
    <row r="30" spans="1:137" s="114" customFormat="1" ht="16" hidden="1">
      <c r="A30" s="506">
        <f t="shared" si="1"/>
        <v>0</v>
      </c>
      <c r="B30"/>
      <c r="C30" s="1442"/>
      <c r="D30" s="500">
        <f t="shared" si="2"/>
        <v>0</v>
      </c>
      <c r="E30"/>
      <c r="F30" s="1389" cm="1">
        <f t="array" ref="F30:CW30">TRANSPOSE(_xlfn.ANCHORARRAY(mProject!AI$9))</f>
        <v>0</v>
      </c>
      <c r="G30" s="1388">
        <v>0</v>
      </c>
      <c r="H30" s="1388">
        <v>0</v>
      </c>
      <c r="I30" s="1388">
        <v>0</v>
      </c>
      <c r="J30" s="1388">
        <v>0</v>
      </c>
      <c r="K30" s="1388">
        <v>0</v>
      </c>
      <c r="L30" s="1388">
        <v>0</v>
      </c>
      <c r="M30" s="1388">
        <v>0</v>
      </c>
      <c r="N30" s="1388">
        <v>0</v>
      </c>
      <c r="O30" s="1388">
        <v>0</v>
      </c>
      <c r="P30" s="1388">
        <v>0</v>
      </c>
      <c r="Q30" s="1388">
        <v>0</v>
      </c>
      <c r="R30" s="1388">
        <v>0</v>
      </c>
      <c r="S30" s="1388">
        <v>0</v>
      </c>
      <c r="T30" s="1388">
        <v>0</v>
      </c>
      <c r="U30" s="1388">
        <v>0</v>
      </c>
      <c r="V30" s="1388">
        <v>0</v>
      </c>
      <c r="W30" s="1388">
        <v>0</v>
      </c>
      <c r="X30" s="1388">
        <v>0</v>
      </c>
      <c r="Y30" s="1388">
        <v>0</v>
      </c>
      <c r="Z30" s="1388">
        <v>0</v>
      </c>
      <c r="AA30" s="1388">
        <v>0</v>
      </c>
      <c r="AB30" s="1388">
        <v>0</v>
      </c>
      <c r="AC30" s="1388">
        <v>0</v>
      </c>
      <c r="AD30" s="1388">
        <v>0</v>
      </c>
      <c r="AE30" s="1388">
        <v>0</v>
      </c>
      <c r="AF30" s="1388">
        <v>0</v>
      </c>
      <c r="AG30" s="1388">
        <v>0</v>
      </c>
      <c r="AH30" s="1388">
        <v>0</v>
      </c>
      <c r="AI30" s="1388">
        <v>0</v>
      </c>
      <c r="AJ30" s="1388">
        <v>0</v>
      </c>
      <c r="AK30" s="1388">
        <v>0</v>
      </c>
      <c r="AL30" s="1388">
        <v>0</v>
      </c>
      <c r="AM30" s="1388">
        <v>0</v>
      </c>
      <c r="AN30" s="1388">
        <v>0</v>
      </c>
      <c r="AO30" s="1388">
        <v>0</v>
      </c>
      <c r="AP30" s="1388">
        <v>0</v>
      </c>
      <c r="AQ30" s="1388">
        <v>0</v>
      </c>
      <c r="AR30" s="1388">
        <v>0</v>
      </c>
      <c r="AS30" s="1388">
        <v>0</v>
      </c>
      <c r="AT30" s="1388">
        <v>0</v>
      </c>
      <c r="AU30" s="1388">
        <v>0</v>
      </c>
      <c r="AV30" s="1388">
        <v>0</v>
      </c>
      <c r="AW30" s="1388">
        <v>0</v>
      </c>
      <c r="AX30" s="1388">
        <v>0</v>
      </c>
      <c r="AY30" s="1388">
        <v>0</v>
      </c>
      <c r="AZ30" s="1388">
        <v>0</v>
      </c>
      <c r="BA30" s="1388">
        <v>0</v>
      </c>
      <c r="BB30" s="1388">
        <v>0</v>
      </c>
      <c r="BC30" s="1388">
        <v>0</v>
      </c>
      <c r="BD30" s="1388">
        <v>0</v>
      </c>
      <c r="BE30" s="1388">
        <v>0</v>
      </c>
      <c r="BF30" s="1388">
        <v>0</v>
      </c>
      <c r="BG30" s="1388">
        <v>0</v>
      </c>
      <c r="BH30" s="1388">
        <v>0</v>
      </c>
      <c r="BI30" s="1388">
        <v>0</v>
      </c>
      <c r="BJ30" s="1388">
        <v>0</v>
      </c>
      <c r="BK30" s="1388">
        <v>0</v>
      </c>
      <c r="BL30" s="1388">
        <v>0</v>
      </c>
      <c r="BM30" s="1388">
        <v>0</v>
      </c>
      <c r="BN30" s="1388">
        <v>0</v>
      </c>
      <c r="BO30" s="1388">
        <v>0</v>
      </c>
      <c r="BP30" s="1388">
        <v>0</v>
      </c>
      <c r="BQ30" s="1388">
        <v>0</v>
      </c>
      <c r="BR30" s="1388">
        <v>0</v>
      </c>
      <c r="BS30" s="1388">
        <v>0</v>
      </c>
      <c r="BT30" s="1388">
        <v>0</v>
      </c>
      <c r="BU30" s="1388">
        <v>0</v>
      </c>
      <c r="BV30" s="1388">
        <v>0</v>
      </c>
      <c r="BW30" s="1388">
        <v>0</v>
      </c>
      <c r="BX30" s="1388">
        <v>0</v>
      </c>
      <c r="BY30" s="1388">
        <v>0</v>
      </c>
      <c r="BZ30" s="1388">
        <v>0</v>
      </c>
      <c r="CA30" s="1388">
        <v>0</v>
      </c>
      <c r="CB30" s="1388">
        <v>0</v>
      </c>
      <c r="CC30" s="1388">
        <v>0</v>
      </c>
      <c r="CD30" s="1388">
        <v>0</v>
      </c>
      <c r="CE30" s="1388">
        <v>0</v>
      </c>
      <c r="CF30" s="1388">
        <v>0</v>
      </c>
      <c r="CG30" s="1388">
        <v>0</v>
      </c>
      <c r="CH30" s="1388">
        <v>0</v>
      </c>
      <c r="CI30" s="1388">
        <v>0</v>
      </c>
      <c r="CJ30" s="1388">
        <v>0</v>
      </c>
      <c r="CK30" s="1388">
        <v>0</v>
      </c>
      <c r="CL30" s="1388">
        <v>0</v>
      </c>
      <c r="CM30" s="1388">
        <v>0</v>
      </c>
      <c r="CN30" s="1388">
        <v>0</v>
      </c>
      <c r="CO30" s="1388">
        <v>0</v>
      </c>
      <c r="CP30" s="1388">
        <v>0</v>
      </c>
      <c r="CQ30" s="1388">
        <v>0</v>
      </c>
      <c r="CR30" s="1388">
        <v>0</v>
      </c>
      <c r="CS30" s="1388">
        <v>0</v>
      </c>
      <c r="CT30" s="1388">
        <v>0</v>
      </c>
      <c r="CU30" s="1388">
        <v>0</v>
      </c>
      <c r="CV30" s="1388">
        <v>0</v>
      </c>
      <c r="CW30" s="1388">
        <v>0</v>
      </c>
      <c r="CX30" s="1388"/>
      <c r="CY30" s="1388"/>
      <c r="CZ30" s="1388"/>
      <c r="DA30" s="1388"/>
      <c r="DB30" s="1388"/>
      <c r="DC30" s="1388"/>
      <c r="DD30" s="1388"/>
      <c r="DE30" s="1388"/>
      <c r="DF30" s="1388"/>
      <c r="DG30" s="1388"/>
      <c r="DH30" s="1388"/>
      <c r="DI30" s="1388"/>
      <c r="DJ30" s="1388"/>
      <c r="DK30" s="1388"/>
      <c r="DL30" s="1388"/>
      <c r="DM30" s="1388"/>
      <c r="DN30" s="1388"/>
      <c r="DO30" s="1388"/>
      <c r="DP30" s="1388"/>
      <c r="DQ30" s="1388"/>
      <c r="DR30" s="1388"/>
      <c r="DS30" s="1388"/>
      <c r="DT30" s="1388"/>
      <c r="DU30" s="1388"/>
      <c r="DV30" s="1388"/>
      <c r="DW30" s="1388"/>
      <c r="DX30" s="1388"/>
      <c r="DY30" s="1388"/>
      <c r="DZ30" s="1388"/>
      <c r="EA30" s="1388"/>
      <c r="EB30" s="1388"/>
      <c r="EC30" s="1388"/>
      <c r="ED30" s="1388"/>
      <c r="EE30" s="1388"/>
      <c r="EF30" s="1388"/>
      <c r="EG30" s="1388"/>
    </row>
    <row r="31" spans="1:137" s="114" customFormat="1" ht="16" hidden="1">
      <c r="A31" s="506">
        <f t="shared" si="1"/>
        <v>0</v>
      </c>
      <c r="B31"/>
      <c r="C31" s="1442"/>
      <c r="D31" s="500">
        <f t="shared" si="2"/>
        <v>0</v>
      </c>
      <c r="E31"/>
      <c r="F31" s="1389" cm="1">
        <f t="array" ref="F31:CW31">TRANSPOSE(_xlfn.ANCHORARRAY(mProject!AJ$9))</f>
        <v>0</v>
      </c>
      <c r="G31" s="1388">
        <v>0</v>
      </c>
      <c r="H31" s="1388">
        <v>0</v>
      </c>
      <c r="I31" s="1388">
        <v>0</v>
      </c>
      <c r="J31" s="1388">
        <v>0</v>
      </c>
      <c r="K31" s="1388">
        <v>0</v>
      </c>
      <c r="L31" s="1388">
        <v>0</v>
      </c>
      <c r="M31" s="1388">
        <v>0</v>
      </c>
      <c r="N31" s="1388">
        <v>0</v>
      </c>
      <c r="O31" s="1388">
        <v>0</v>
      </c>
      <c r="P31" s="1388">
        <v>0</v>
      </c>
      <c r="Q31" s="1388">
        <v>0</v>
      </c>
      <c r="R31" s="1388">
        <v>0</v>
      </c>
      <c r="S31" s="1388">
        <v>0</v>
      </c>
      <c r="T31" s="1388">
        <v>0</v>
      </c>
      <c r="U31" s="1388">
        <v>0</v>
      </c>
      <c r="V31" s="1388">
        <v>0</v>
      </c>
      <c r="W31" s="1388">
        <v>0</v>
      </c>
      <c r="X31" s="1388">
        <v>0</v>
      </c>
      <c r="Y31" s="1388">
        <v>0</v>
      </c>
      <c r="Z31" s="1388">
        <v>0</v>
      </c>
      <c r="AA31" s="1388">
        <v>0</v>
      </c>
      <c r="AB31" s="1388">
        <v>0</v>
      </c>
      <c r="AC31" s="1388">
        <v>0</v>
      </c>
      <c r="AD31" s="1388">
        <v>0</v>
      </c>
      <c r="AE31" s="1388">
        <v>0</v>
      </c>
      <c r="AF31" s="1388">
        <v>0</v>
      </c>
      <c r="AG31" s="1388">
        <v>0</v>
      </c>
      <c r="AH31" s="1388">
        <v>0</v>
      </c>
      <c r="AI31" s="1388">
        <v>0</v>
      </c>
      <c r="AJ31" s="1388">
        <v>0</v>
      </c>
      <c r="AK31" s="1388">
        <v>0</v>
      </c>
      <c r="AL31" s="1388">
        <v>0</v>
      </c>
      <c r="AM31" s="1388">
        <v>0</v>
      </c>
      <c r="AN31" s="1388">
        <v>0</v>
      </c>
      <c r="AO31" s="1388">
        <v>0</v>
      </c>
      <c r="AP31" s="1388">
        <v>0</v>
      </c>
      <c r="AQ31" s="1388">
        <v>0</v>
      </c>
      <c r="AR31" s="1388">
        <v>0</v>
      </c>
      <c r="AS31" s="1388">
        <v>0</v>
      </c>
      <c r="AT31" s="1388">
        <v>0</v>
      </c>
      <c r="AU31" s="1388">
        <v>0</v>
      </c>
      <c r="AV31" s="1388">
        <v>0</v>
      </c>
      <c r="AW31" s="1388">
        <v>0</v>
      </c>
      <c r="AX31" s="1388">
        <v>0</v>
      </c>
      <c r="AY31" s="1388">
        <v>0</v>
      </c>
      <c r="AZ31" s="1388">
        <v>0</v>
      </c>
      <c r="BA31" s="1388">
        <v>0</v>
      </c>
      <c r="BB31" s="1388">
        <v>0</v>
      </c>
      <c r="BC31" s="1388">
        <v>0</v>
      </c>
      <c r="BD31" s="1388">
        <v>0</v>
      </c>
      <c r="BE31" s="1388">
        <v>0</v>
      </c>
      <c r="BF31" s="1388">
        <v>0</v>
      </c>
      <c r="BG31" s="1388">
        <v>0</v>
      </c>
      <c r="BH31" s="1388">
        <v>0</v>
      </c>
      <c r="BI31" s="1388">
        <v>0</v>
      </c>
      <c r="BJ31" s="1388">
        <v>0</v>
      </c>
      <c r="BK31" s="1388">
        <v>0</v>
      </c>
      <c r="BL31" s="1388">
        <v>0</v>
      </c>
      <c r="BM31" s="1388">
        <v>0</v>
      </c>
      <c r="BN31" s="1388">
        <v>0</v>
      </c>
      <c r="BO31" s="1388">
        <v>0</v>
      </c>
      <c r="BP31" s="1388">
        <v>0</v>
      </c>
      <c r="BQ31" s="1388">
        <v>0</v>
      </c>
      <c r="BR31" s="1388">
        <v>0</v>
      </c>
      <c r="BS31" s="1388">
        <v>0</v>
      </c>
      <c r="BT31" s="1388">
        <v>0</v>
      </c>
      <c r="BU31" s="1388">
        <v>0</v>
      </c>
      <c r="BV31" s="1388">
        <v>0</v>
      </c>
      <c r="BW31" s="1388">
        <v>0</v>
      </c>
      <c r="BX31" s="1388">
        <v>0</v>
      </c>
      <c r="BY31" s="1388">
        <v>0</v>
      </c>
      <c r="BZ31" s="1388">
        <v>0</v>
      </c>
      <c r="CA31" s="1388">
        <v>0</v>
      </c>
      <c r="CB31" s="1388">
        <v>0</v>
      </c>
      <c r="CC31" s="1388">
        <v>0</v>
      </c>
      <c r="CD31" s="1388">
        <v>0</v>
      </c>
      <c r="CE31" s="1388">
        <v>0</v>
      </c>
      <c r="CF31" s="1388">
        <v>0</v>
      </c>
      <c r="CG31" s="1388">
        <v>0</v>
      </c>
      <c r="CH31" s="1388">
        <v>0</v>
      </c>
      <c r="CI31" s="1388">
        <v>0</v>
      </c>
      <c r="CJ31" s="1388">
        <v>0</v>
      </c>
      <c r="CK31" s="1388">
        <v>0</v>
      </c>
      <c r="CL31" s="1388">
        <v>0</v>
      </c>
      <c r="CM31" s="1388">
        <v>0</v>
      </c>
      <c r="CN31" s="1388">
        <v>0</v>
      </c>
      <c r="CO31" s="1388">
        <v>0</v>
      </c>
      <c r="CP31" s="1388">
        <v>0</v>
      </c>
      <c r="CQ31" s="1388">
        <v>0</v>
      </c>
      <c r="CR31" s="1388">
        <v>0</v>
      </c>
      <c r="CS31" s="1388">
        <v>0</v>
      </c>
      <c r="CT31" s="1388">
        <v>0</v>
      </c>
      <c r="CU31" s="1388">
        <v>0</v>
      </c>
      <c r="CV31" s="1388">
        <v>0</v>
      </c>
      <c r="CW31" s="1388">
        <v>0</v>
      </c>
      <c r="CX31" s="1388"/>
      <c r="CY31" s="1388"/>
      <c r="CZ31" s="1388"/>
      <c r="DA31" s="1388"/>
      <c r="DB31" s="1388"/>
      <c r="DC31" s="1388"/>
      <c r="DD31" s="1388"/>
      <c r="DE31" s="1388"/>
      <c r="DF31" s="1388"/>
      <c r="DG31" s="1388"/>
      <c r="DH31" s="1388"/>
      <c r="DI31" s="1388"/>
      <c r="DJ31" s="1388"/>
      <c r="DK31" s="1388"/>
      <c r="DL31" s="1388"/>
      <c r="DM31" s="1388"/>
      <c r="DN31" s="1388"/>
      <c r="DO31" s="1388"/>
      <c r="DP31" s="1388"/>
      <c r="DQ31" s="1388"/>
      <c r="DR31" s="1388"/>
      <c r="DS31" s="1388"/>
      <c r="DT31" s="1388"/>
      <c r="DU31" s="1388"/>
      <c r="DV31" s="1388"/>
      <c r="DW31" s="1388"/>
      <c r="DX31" s="1388"/>
      <c r="DY31" s="1388"/>
      <c r="DZ31" s="1388"/>
      <c r="EA31" s="1388"/>
      <c r="EB31" s="1388"/>
      <c r="EC31" s="1388"/>
      <c r="ED31" s="1388"/>
      <c r="EE31" s="1388"/>
      <c r="EF31" s="1388"/>
      <c r="EG31" s="1388"/>
    </row>
    <row r="32" spans="1:137" s="114" customFormat="1" ht="16" hidden="1">
      <c r="A32" s="506">
        <f t="shared" si="1"/>
        <v>0</v>
      </c>
      <c r="B32"/>
      <c r="C32" s="1442"/>
      <c r="D32" s="500">
        <f t="shared" si="2"/>
        <v>0</v>
      </c>
      <c r="E32"/>
      <c r="F32" s="1389" cm="1">
        <f t="array" ref="F32:CW32">TRANSPOSE(_xlfn.ANCHORARRAY(mProject!AK$9))</f>
        <v>0</v>
      </c>
      <c r="G32" s="1388">
        <v>0</v>
      </c>
      <c r="H32" s="1388">
        <v>0</v>
      </c>
      <c r="I32" s="1388">
        <v>0</v>
      </c>
      <c r="J32" s="1388">
        <v>0</v>
      </c>
      <c r="K32" s="1388">
        <v>0</v>
      </c>
      <c r="L32" s="1388">
        <v>0</v>
      </c>
      <c r="M32" s="1388">
        <v>0</v>
      </c>
      <c r="N32" s="1388">
        <v>0</v>
      </c>
      <c r="O32" s="1388">
        <v>0</v>
      </c>
      <c r="P32" s="1388">
        <v>0</v>
      </c>
      <c r="Q32" s="1388">
        <v>0</v>
      </c>
      <c r="R32" s="1388">
        <v>0</v>
      </c>
      <c r="S32" s="1388">
        <v>0</v>
      </c>
      <c r="T32" s="1388">
        <v>0</v>
      </c>
      <c r="U32" s="1388">
        <v>0</v>
      </c>
      <c r="V32" s="1388">
        <v>0</v>
      </c>
      <c r="W32" s="1388">
        <v>0</v>
      </c>
      <c r="X32" s="1388">
        <v>0</v>
      </c>
      <c r="Y32" s="1388">
        <v>0</v>
      </c>
      <c r="Z32" s="1388">
        <v>0</v>
      </c>
      <c r="AA32" s="1388">
        <v>0</v>
      </c>
      <c r="AB32" s="1388">
        <v>0</v>
      </c>
      <c r="AC32" s="1388">
        <v>0</v>
      </c>
      <c r="AD32" s="1388">
        <v>0</v>
      </c>
      <c r="AE32" s="1388">
        <v>0</v>
      </c>
      <c r="AF32" s="1388">
        <v>0</v>
      </c>
      <c r="AG32" s="1388">
        <v>0</v>
      </c>
      <c r="AH32" s="1388">
        <v>0</v>
      </c>
      <c r="AI32" s="1388">
        <v>0</v>
      </c>
      <c r="AJ32" s="1388">
        <v>0</v>
      </c>
      <c r="AK32" s="1388">
        <v>0</v>
      </c>
      <c r="AL32" s="1388">
        <v>0</v>
      </c>
      <c r="AM32" s="1388">
        <v>0</v>
      </c>
      <c r="AN32" s="1388">
        <v>0</v>
      </c>
      <c r="AO32" s="1388">
        <v>0</v>
      </c>
      <c r="AP32" s="1388">
        <v>0</v>
      </c>
      <c r="AQ32" s="1388">
        <v>0</v>
      </c>
      <c r="AR32" s="1388">
        <v>0</v>
      </c>
      <c r="AS32" s="1388">
        <v>0</v>
      </c>
      <c r="AT32" s="1388">
        <v>0</v>
      </c>
      <c r="AU32" s="1388">
        <v>0</v>
      </c>
      <c r="AV32" s="1388">
        <v>0</v>
      </c>
      <c r="AW32" s="1388">
        <v>0</v>
      </c>
      <c r="AX32" s="1388">
        <v>0</v>
      </c>
      <c r="AY32" s="1388">
        <v>0</v>
      </c>
      <c r="AZ32" s="1388">
        <v>0</v>
      </c>
      <c r="BA32" s="1388">
        <v>0</v>
      </c>
      <c r="BB32" s="1388">
        <v>0</v>
      </c>
      <c r="BC32" s="1388">
        <v>0</v>
      </c>
      <c r="BD32" s="1388">
        <v>0</v>
      </c>
      <c r="BE32" s="1388">
        <v>0</v>
      </c>
      <c r="BF32" s="1388">
        <v>0</v>
      </c>
      <c r="BG32" s="1388">
        <v>0</v>
      </c>
      <c r="BH32" s="1388">
        <v>0</v>
      </c>
      <c r="BI32" s="1388">
        <v>0</v>
      </c>
      <c r="BJ32" s="1388">
        <v>0</v>
      </c>
      <c r="BK32" s="1388">
        <v>0</v>
      </c>
      <c r="BL32" s="1388">
        <v>0</v>
      </c>
      <c r="BM32" s="1388">
        <v>0</v>
      </c>
      <c r="BN32" s="1388">
        <v>0</v>
      </c>
      <c r="BO32" s="1388">
        <v>0</v>
      </c>
      <c r="BP32" s="1388">
        <v>0</v>
      </c>
      <c r="BQ32" s="1388">
        <v>0</v>
      </c>
      <c r="BR32" s="1388">
        <v>0</v>
      </c>
      <c r="BS32" s="1388">
        <v>0</v>
      </c>
      <c r="BT32" s="1388">
        <v>0</v>
      </c>
      <c r="BU32" s="1388">
        <v>0</v>
      </c>
      <c r="BV32" s="1388">
        <v>0</v>
      </c>
      <c r="BW32" s="1388">
        <v>0</v>
      </c>
      <c r="BX32" s="1388">
        <v>0</v>
      </c>
      <c r="BY32" s="1388">
        <v>0</v>
      </c>
      <c r="BZ32" s="1388">
        <v>0</v>
      </c>
      <c r="CA32" s="1388">
        <v>0</v>
      </c>
      <c r="CB32" s="1388">
        <v>0</v>
      </c>
      <c r="CC32" s="1388">
        <v>0</v>
      </c>
      <c r="CD32" s="1388">
        <v>0</v>
      </c>
      <c r="CE32" s="1388">
        <v>0</v>
      </c>
      <c r="CF32" s="1388">
        <v>0</v>
      </c>
      <c r="CG32" s="1388">
        <v>0</v>
      </c>
      <c r="CH32" s="1388">
        <v>0</v>
      </c>
      <c r="CI32" s="1388">
        <v>0</v>
      </c>
      <c r="CJ32" s="1388">
        <v>0</v>
      </c>
      <c r="CK32" s="1388">
        <v>0</v>
      </c>
      <c r="CL32" s="1388">
        <v>0</v>
      </c>
      <c r="CM32" s="1388">
        <v>0</v>
      </c>
      <c r="CN32" s="1388">
        <v>0</v>
      </c>
      <c r="CO32" s="1388">
        <v>0</v>
      </c>
      <c r="CP32" s="1388">
        <v>0</v>
      </c>
      <c r="CQ32" s="1388">
        <v>0</v>
      </c>
      <c r="CR32" s="1388">
        <v>0</v>
      </c>
      <c r="CS32" s="1388">
        <v>0</v>
      </c>
      <c r="CT32" s="1388">
        <v>0</v>
      </c>
      <c r="CU32" s="1388">
        <v>0</v>
      </c>
      <c r="CV32" s="1388">
        <v>0</v>
      </c>
      <c r="CW32" s="1388">
        <v>0</v>
      </c>
      <c r="CX32" s="1388"/>
      <c r="CY32" s="1388"/>
      <c r="CZ32" s="1388"/>
      <c r="DA32" s="1388"/>
      <c r="DB32" s="1388"/>
      <c r="DC32" s="1388"/>
      <c r="DD32" s="1388"/>
      <c r="DE32" s="1388"/>
      <c r="DF32" s="1388"/>
      <c r="DG32" s="1388"/>
      <c r="DH32" s="1388"/>
      <c r="DI32" s="1388"/>
      <c r="DJ32" s="1388"/>
      <c r="DK32" s="1388"/>
      <c r="DL32" s="1388"/>
      <c r="DM32" s="1388"/>
      <c r="DN32" s="1388"/>
      <c r="DO32" s="1388"/>
      <c r="DP32" s="1388"/>
      <c r="DQ32" s="1388"/>
      <c r="DR32" s="1388"/>
      <c r="DS32" s="1388"/>
      <c r="DT32" s="1388"/>
      <c r="DU32" s="1388"/>
      <c r="DV32" s="1388"/>
      <c r="DW32" s="1388"/>
      <c r="DX32" s="1388"/>
      <c r="DY32" s="1388"/>
      <c r="DZ32" s="1388"/>
      <c r="EA32" s="1388"/>
      <c r="EB32" s="1388"/>
      <c r="EC32" s="1388"/>
      <c r="ED32" s="1388"/>
      <c r="EE32" s="1388"/>
      <c r="EF32" s="1388"/>
      <c r="EG32" s="1388"/>
    </row>
    <row r="33" spans="1:365" s="114" customFormat="1" ht="16" hidden="1">
      <c r="A33" s="506">
        <f t="shared" si="1"/>
        <v>0</v>
      </c>
      <c r="B33"/>
      <c r="C33" s="1442"/>
      <c r="D33" s="500">
        <f t="shared" si="2"/>
        <v>0</v>
      </c>
      <c r="E33"/>
      <c r="F33" s="1389" cm="1">
        <f t="array" ref="F33:CW33">TRANSPOSE(_xlfn.ANCHORARRAY(mProject!AL$9))</f>
        <v>0</v>
      </c>
      <c r="G33" s="1388">
        <v>0</v>
      </c>
      <c r="H33" s="1388">
        <v>0</v>
      </c>
      <c r="I33" s="1388">
        <v>0</v>
      </c>
      <c r="J33" s="1388">
        <v>0</v>
      </c>
      <c r="K33" s="1388">
        <v>0</v>
      </c>
      <c r="L33" s="1388">
        <v>0</v>
      </c>
      <c r="M33" s="1388">
        <v>0</v>
      </c>
      <c r="N33" s="1388">
        <v>0</v>
      </c>
      <c r="O33" s="1388">
        <v>0</v>
      </c>
      <c r="P33" s="1388">
        <v>0</v>
      </c>
      <c r="Q33" s="1388">
        <v>0</v>
      </c>
      <c r="R33" s="1388">
        <v>0</v>
      </c>
      <c r="S33" s="1388">
        <v>0</v>
      </c>
      <c r="T33" s="1388">
        <v>0</v>
      </c>
      <c r="U33" s="1388">
        <v>0</v>
      </c>
      <c r="V33" s="1388">
        <v>0</v>
      </c>
      <c r="W33" s="1388">
        <v>0</v>
      </c>
      <c r="X33" s="1388">
        <v>0</v>
      </c>
      <c r="Y33" s="1388">
        <v>0</v>
      </c>
      <c r="Z33" s="1388">
        <v>0</v>
      </c>
      <c r="AA33" s="1388">
        <v>0</v>
      </c>
      <c r="AB33" s="1388">
        <v>0</v>
      </c>
      <c r="AC33" s="1388">
        <v>0</v>
      </c>
      <c r="AD33" s="1388">
        <v>0</v>
      </c>
      <c r="AE33" s="1388">
        <v>0</v>
      </c>
      <c r="AF33" s="1388">
        <v>0</v>
      </c>
      <c r="AG33" s="1388">
        <v>0</v>
      </c>
      <c r="AH33" s="1388">
        <v>0</v>
      </c>
      <c r="AI33" s="1388">
        <v>0</v>
      </c>
      <c r="AJ33" s="1388">
        <v>0</v>
      </c>
      <c r="AK33" s="1388">
        <v>0</v>
      </c>
      <c r="AL33" s="1388">
        <v>0</v>
      </c>
      <c r="AM33" s="1388">
        <v>0</v>
      </c>
      <c r="AN33" s="1388">
        <v>0</v>
      </c>
      <c r="AO33" s="1388">
        <v>0</v>
      </c>
      <c r="AP33" s="1388">
        <v>0</v>
      </c>
      <c r="AQ33" s="1388">
        <v>0</v>
      </c>
      <c r="AR33" s="1388">
        <v>0</v>
      </c>
      <c r="AS33" s="1388">
        <v>0</v>
      </c>
      <c r="AT33" s="1388">
        <v>0</v>
      </c>
      <c r="AU33" s="1388">
        <v>0</v>
      </c>
      <c r="AV33" s="1388">
        <v>0</v>
      </c>
      <c r="AW33" s="1388">
        <v>0</v>
      </c>
      <c r="AX33" s="1388">
        <v>0</v>
      </c>
      <c r="AY33" s="1388">
        <v>0</v>
      </c>
      <c r="AZ33" s="1388">
        <v>0</v>
      </c>
      <c r="BA33" s="1388">
        <v>0</v>
      </c>
      <c r="BB33" s="1388">
        <v>0</v>
      </c>
      <c r="BC33" s="1388">
        <v>0</v>
      </c>
      <c r="BD33" s="1388">
        <v>0</v>
      </c>
      <c r="BE33" s="1388">
        <v>0</v>
      </c>
      <c r="BF33" s="1388">
        <v>0</v>
      </c>
      <c r="BG33" s="1388">
        <v>0</v>
      </c>
      <c r="BH33" s="1388">
        <v>0</v>
      </c>
      <c r="BI33" s="1388">
        <v>0</v>
      </c>
      <c r="BJ33" s="1388">
        <v>0</v>
      </c>
      <c r="BK33" s="1388">
        <v>0</v>
      </c>
      <c r="BL33" s="1388">
        <v>0</v>
      </c>
      <c r="BM33" s="1388">
        <v>0</v>
      </c>
      <c r="BN33" s="1388">
        <v>0</v>
      </c>
      <c r="BO33" s="1388">
        <v>0</v>
      </c>
      <c r="BP33" s="1388">
        <v>0</v>
      </c>
      <c r="BQ33" s="1388">
        <v>0</v>
      </c>
      <c r="BR33" s="1388">
        <v>0</v>
      </c>
      <c r="BS33" s="1388">
        <v>0</v>
      </c>
      <c r="BT33" s="1388">
        <v>0</v>
      </c>
      <c r="BU33" s="1388">
        <v>0</v>
      </c>
      <c r="BV33" s="1388">
        <v>0</v>
      </c>
      <c r="BW33" s="1388">
        <v>0</v>
      </c>
      <c r="BX33" s="1388">
        <v>0</v>
      </c>
      <c r="BY33" s="1388">
        <v>0</v>
      </c>
      <c r="BZ33" s="1388">
        <v>0</v>
      </c>
      <c r="CA33" s="1388">
        <v>0</v>
      </c>
      <c r="CB33" s="1388">
        <v>0</v>
      </c>
      <c r="CC33" s="1388">
        <v>0</v>
      </c>
      <c r="CD33" s="1388">
        <v>0</v>
      </c>
      <c r="CE33" s="1388">
        <v>0</v>
      </c>
      <c r="CF33" s="1388">
        <v>0</v>
      </c>
      <c r="CG33" s="1388">
        <v>0</v>
      </c>
      <c r="CH33" s="1388">
        <v>0</v>
      </c>
      <c r="CI33" s="1388">
        <v>0</v>
      </c>
      <c r="CJ33" s="1388">
        <v>0</v>
      </c>
      <c r="CK33" s="1388">
        <v>0</v>
      </c>
      <c r="CL33" s="1388">
        <v>0</v>
      </c>
      <c r="CM33" s="1388">
        <v>0</v>
      </c>
      <c r="CN33" s="1388">
        <v>0</v>
      </c>
      <c r="CO33" s="1388">
        <v>0</v>
      </c>
      <c r="CP33" s="1388">
        <v>0</v>
      </c>
      <c r="CQ33" s="1388">
        <v>0</v>
      </c>
      <c r="CR33" s="1388">
        <v>0</v>
      </c>
      <c r="CS33" s="1388">
        <v>0</v>
      </c>
      <c r="CT33" s="1388">
        <v>0</v>
      </c>
      <c r="CU33" s="1388">
        <v>0</v>
      </c>
      <c r="CV33" s="1388">
        <v>0</v>
      </c>
      <c r="CW33" s="1388">
        <v>0</v>
      </c>
      <c r="CX33" s="1388"/>
      <c r="CY33" s="1388"/>
      <c r="CZ33" s="1388"/>
      <c r="DA33" s="1388"/>
      <c r="DB33" s="1388"/>
      <c r="DC33" s="1388"/>
      <c r="DD33" s="1388"/>
      <c r="DE33" s="1388"/>
      <c r="DF33" s="1388"/>
      <c r="DG33" s="1388"/>
      <c r="DH33" s="1388"/>
      <c r="DI33" s="1388"/>
      <c r="DJ33" s="1388"/>
      <c r="DK33" s="1388"/>
      <c r="DL33" s="1388"/>
      <c r="DM33" s="1388"/>
      <c r="DN33" s="1388"/>
      <c r="DO33" s="1388"/>
      <c r="DP33" s="1388"/>
      <c r="DQ33" s="1388"/>
      <c r="DR33" s="1388"/>
      <c r="DS33" s="1388"/>
      <c r="DT33" s="1388"/>
      <c r="DU33" s="1388"/>
      <c r="DV33" s="1388"/>
      <c r="DW33" s="1388"/>
      <c r="DX33" s="1388"/>
      <c r="DY33" s="1388"/>
      <c r="DZ33" s="1388"/>
      <c r="EA33" s="1388"/>
      <c r="EB33" s="1388"/>
      <c r="EC33" s="1388"/>
      <c r="ED33" s="1388"/>
      <c r="EE33" s="1388"/>
      <c r="EF33" s="1388"/>
      <c r="EG33" s="1388"/>
      <c r="EH33" s="501"/>
      <c r="EI33" s="117"/>
      <c r="EJ33" s="117"/>
      <c r="EK33" s="117"/>
      <c r="EL33" s="117"/>
      <c r="EM33" s="117"/>
      <c r="EN33" s="117"/>
      <c r="EO33" s="117"/>
      <c r="EP33" s="117"/>
      <c r="EQ33" s="117"/>
      <c r="ER33" s="117"/>
      <c r="ES33" s="117"/>
      <c r="ET33" s="117"/>
      <c r="EU33" s="117"/>
      <c r="EV33" s="117"/>
      <c r="EW33" s="117"/>
      <c r="EX33" s="117"/>
      <c r="EY33" s="117"/>
      <c r="EZ33" s="117"/>
      <c r="FA33" s="117"/>
      <c r="FB33" s="117"/>
      <c r="FC33" s="117"/>
      <c r="FD33" s="117"/>
      <c r="FE33" s="117"/>
      <c r="FF33" s="117"/>
      <c r="FG33" s="117"/>
      <c r="FH33" s="117"/>
      <c r="FI33" s="117"/>
      <c r="FJ33" s="117"/>
      <c r="FK33" s="117"/>
      <c r="JJ33" s="501"/>
      <c r="JK33" s="117"/>
      <c r="JL33" s="117"/>
      <c r="JM33" s="117"/>
      <c r="JN33" s="117"/>
      <c r="JO33" s="117"/>
      <c r="JP33" s="117"/>
      <c r="JQ33" s="117"/>
      <c r="JR33" s="117"/>
      <c r="JS33" s="117"/>
      <c r="JT33" s="117"/>
      <c r="JU33" s="117"/>
      <c r="JV33" s="117"/>
      <c r="JW33" s="117"/>
      <c r="JX33" s="117"/>
      <c r="JY33" s="117"/>
      <c r="JZ33" s="117"/>
      <c r="KA33" s="117"/>
      <c r="KB33" s="117"/>
      <c r="KC33" s="117"/>
      <c r="KD33" s="117"/>
      <c r="KE33" s="117"/>
      <c r="KF33" s="117"/>
      <c r="KG33" s="117"/>
      <c r="KH33" s="117"/>
      <c r="KI33" s="117"/>
      <c r="KJ33" s="117"/>
      <c r="KK33" s="117"/>
      <c r="KL33" s="117"/>
      <c r="KM33" s="117"/>
    </row>
    <row r="34" spans="1:365" s="114" customFormat="1" ht="16" hidden="1">
      <c r="A34" s="506">
        <f t="shared" si="1"/>
        <v>0</v>
      </c>
      <c r="B34"/>
      <c r="C34" s="1442"/>
      <c r="D34" s="500">
        <f t="shared" si="2"/>
        <v>0</v>
      </c>
      <c r="E34"/>
      <c r="F34" s="1389" cm="1">
        <f t="array" ref="F34:CW34">TRANSPOSE(_xlfn.ANCHORARRAY(mProject!AM$9))</f>
        <v>0</v>
      </c>
      <c r="G34" s="1388">
        <v>0</v>
      </c>
      <c r="H34" s="1388">
        <v>0</v>
      </c>
      <c r="I34" s="1388">
        <v>0</v>
      </c>
      <c r="J34" s="1388">
        <v>0</v>
      </c>
      <c r="K34" s="1388">
        <v>0</v>
      </c>
      <c r="L34" s="1388">
        <v>0</v>
      </c>
      <c r="M34" s="1388">
        <v>0</v>
      </c>
      <c r="N34" s="1388">
        <v>0</v>
      </c>
      <c r="O34" s="1388">
        <v>0</v>
      </c>
      <c r="P34" s="1388">
        <v>0</v>
      </c>
      <c r="Q34" s="1388">
        <v>0</v>
      </c>
      <c r="R34" s="1388">
        <v>0</v>
      </c>
      <c r="S34" s="1388">
        <v>0</v>
      </c>
      <c r="T34" s="1388">
        <v>0</v>
      </c>
      <c r="U34" s="1388">
        <v>0</v>
      </c>
      <c r="V34" s="1388">
        <v>0</v>
      </c>
      <c r="W34" s="1388">
        <v>0</v>
      </c>
      <c r="X34" s="1388">
        <v>0</v>
      </c>
      <c r="Y34" s="1388">
        <v>0</v>
      </c>
      <c r="Z34" s="1388">
        <v>0</v>
      </c>
      <c r="AA34" s="1388">
        <v>0</v>
      </c>
      <c r="AB34" s="1388">
        <v>0</v>
      </c>
      <c r="AC34" s="1388">
        <v>0</v>
      </c>
      <c r="AD34" s="1388">
        <v>0</v>
      </c>
      <c r="AE34" s="1388">
        <v>0</v>
      </c>
      <c r="AF34" s="1388">
        <v>0</v>
      </c>
      <c r="AG34" s="1388">
        <v>0</v>
      </c>
      <c r="AH34" s="1388">
        <v>0</v>
      </c>
      <c r="AI34" s="1388">
        <v>0</v>
      </c>
      <c r="AJ34" s="1388">
        <v>0</v>
      </c>
      <c r="AK34" s="1388">
        <v>0</v>
      </c>
      <c r="AL34" s="1388">
        <v>0</v>
      </c>
      <c r="AM34" s="1388">
        <v>0</v>
      </c>
      <c r="AN34" s="1388">
        <v>0</v>
      </c>
      <c r="AO34" s="1388">
        <v>0</v>
      </c>
      <c r="AP34" s="1388">
        <v>0</v>
      </c>
      <c r="AQ34" s="1388">
        <v>0</v>
      </c>
      <c r="AR34" s="1388">
        <v>0</v>
      </c>
      <c r="AS34" s="1388">
        <v>0</v>
      </c>
      <c r="AT34" s="1388">
        <v>0</v>
      </c>
      <c r="AU34" s="1388">
        <v>0</v>
      </c>
      <c r="AV34" s="1388">
        <v>0</v>
      </c>
      <c r="AW34" s="1388">
        <v>0</v>
      </c>
      <c r="AX34" s="1388">
        <v>0</v>
      </c>
      <c r="AY34" s="1388">
        <v>0</v>
      </c>
      <c r="AZ34" s="1388">
        <v>0</v>
      </c>
      <c r="BA34" s="1388">
        <v>0</v>
      </c>
      <c r="BB34" s="1388">
        <v>0</v>
      </c>
      <c r="BC34" s="1388">
        <v>0</v>
      </c>
      <c r="BD34" s="1388">
        <v>0</v>
      </c>
      <c r="BE34" s="1388">
        <v>0</v>
      </c>
      <c r="BF34" s="1388">
        <v>0</v>
      </c>
      <c r="BG34" s="1388">
        <v>0</v>
      </c>
      <c r="BH34" s="1388">
        <v>0</v>
      </c>
      <c r="BI34" s="1388">
        <v>0</v>
      </c>
      <c r="BJ34" s="1388">
        <v>0</v>
      </c>
      <c r="BK34" s="1388">
        <v>0</v>
      </c>
      <c r="BL34" s="1388">
        <v>0</v>
      </c>
      <c r="BM34" s="1388">
        <v>0</v>
      </c>
      <c r="BN34" s="1388">
        <v>0</v>
      </c>
      <c r="BO34" s="1388">
        <v>0</v>
      </c>
      <c r="BP34" s="1388">
        <v>0</v>
      </c>
      <c r="BQ34" s="1388">
        <v>0</v>
      </c>
      <c r="BR34" s="1388">
        <v>0</v>
      </c>
      <c r="BS34" s="1388">
        <v>0</v>
      </c>
      <c r="BT34" s="1388">
        <v>0</v>
      </c>
      <c r="BU34" s="1388">
        <v>0</v>
      </c>
      <c r="BV34" s="1388">
        <v>0</v>
      </c>
      <c r="BW34" s="1388">
        <v>0</v>
      </c>
      <c r="BX34" s="1388">
        <v>0</v>
      </c>
      <c r="BY34" s="1388">
        <v>0</v>
      </c>
      <c r="BZ34" s="1388">
        <v>0</v>
      </c>
      <c r="CA34" s="1388">
        <v>0</v>
      </c>
      <c r="CB34" s="1388">
        <v>0</v>
      </c>
      <c r="CC34" s="1388">
        <v>0</v>
      </c>
      <c r="CD34" s="1388">
        <v>0</v>
      </c>
      <c r="CE34" s="1388">
        <v>0</v>
      </c>
      <c r="CF34" s="1388">
        <v>0</v>
      </c>
      <c r="CG34" s="1388">
        <v>0</v>
      </c>
      <c r="CH34" s="1388">
        <v>0</v>
      </c>
      <c r="CI34" s="1388">
        <v>0</v>
      </c>
      <c r="CJ34" s="1388">
        <v>0</v>
      </c>
      <c r="CK34" s="1388">
        <v>0</v>
      </c>
      <c r="CL34" s="1388">
        <v>0</v>
      </c>
      <c r="CM34" s="1388">
        <v>0</v>
      </c>
      <c r="CN34" s="1388">
        <v>0</v>
      </c>
      <c r="CO34" s="1388">
        <v>0</v>
      </c>
      <c r="CP34" s="1388">
        <v>0</v>
      </c>
      <c r="CQ34" s="1388">
        <v>0</v>
      </c>
      <c r="CR34" s="1388">
        <v>0</v>
      </c>
      <c r="CS34" s="1388">
        <v>0</v>
      </c>
      <c r="CT34" s="1388">
        <v>0</v>
      </c>
      <c r="CU34" s="1388">
        <v>0</v>
      </c>
      <c r="CV34" s="1388">
        <v>0</v>
      </c>
      <c r="CW34" s="1388">
        <v>0</v>
      </c>
      <c r="CX34" s="1388"/>
      <c r="CY34" s="1388"/>
      <c r="CZ34" s="1388"/>
      <c r="DA34" s="1388"/>
      <c r="DB34" s="1388"/>
      <c r="DC34" s="1388"/>
      <c r="DD34" s="1388"/>
      <c r="DE34" s="1388"/>
      <c r="DF34" s="1388"/>
      <c r="DG34" s="1388"/>
      <c r="DH34" s="1388"/>
      <c r="DI34" s="1388"/>
      <c r="DJ34" s="1388"/>
      <c r="DK34" s="1388"/>
      <c r="DL34" s="1388"/>
      <c r="DM34" s="1388"/>
      <c r="DN34" s="1388"/>
      <c r="DO34" s="1388"/>
      <c r="DP34" s="1388"/>
      <c r="DQ34" s="1388"/>
      <c r="DR34" s="1388"/>
      <c r="DS34" s="1388"/>
      <c r="DT34" s="1388"/>
      <c r="DU34" s="1388"/>
      <c r="DV34" s="1388"/>
      <c r="DW34" s="1388"/>
      <c r="DX34" s="1388"/>
      <c r="DY34" s="1388"/>
      <c r="DZ34" s="1388"/>
      <c r="EA34" s="1388"/>
      <c r="EB34" s="1388"/>
      <c r="EC34" s="1388"/>
      <c r="ED34" s="1388"/>
      <c r="EE34" s="1388"/>
      <c r="EF34" s="1388"/>
      <c r="EG34" s="1388"/>
      <c r="EH34" s="501"/>
      <c r="EI34" s="117"/>
      <c r="EJ34" s="117"/>
      <c r="EK34" s="117"/>
      <c r="EL34" s="117"/>
      <c r="EM34" s="117"/>
      <c r="EN34" s="117"/>
      <c r="EO34" s="117"/>
      <c r="EP34" s="117"/>
      <c r="EQ34" s="117"/>
      <c r="ER34" s="117"/>
      <c r="ES34" s="117"/>
      <c r="ET34" s="117"/>
      <c r="EU34" s="117"/>
      <c r="EV34" s="117"/>
      <c r="EW34" s="117"/>
      <c r="EX34" s="117"/>
      <c r="EY34" s="117"/>
      <c r="EZ34" s="117"/>
      <c r="FA34" s="117"/>
      <c r="FB34" s="117"/>
      <c r="FC34" s="117"/>
      <c r="FD34" s="117"/>
      <c r="FE34" s="117"/>
      <c r="FF34" s="117"/>
      <c r="FG34" s="117"/>
      <c r="FH34" s="117"/>
      <c r="FI34" s="117"/>
      <c r="FJ34" s="117"/>
      <c r="FK34" s="117"/>
      <c r="JJ34" s="501"/>
      <c r="JK34" s="117"/>
      <c r="JL34" s="117"/>
      <c r="JM34" s="117"/>
      <c r="JN34" s="117"/>
      <c r="JO34" s="117"/>
      <c r="JP34" s="117"/>
      <c r="JQ34" s="117"/>
      <c r="JR34" s="117"/>
      <c r="JS34" s="117"/>
      <c r="JT34" s="117"/>
      <c r="JU34" s="117"/>
      <c r="JV34" s="117"/>
      <c r="JW34" s="117"/>
      <c r="JX34" s="117"/>
      <c r="JY34" s="117"/>
      <c r="JZ34" s="117"/>
      <c r="KA34" s="117"/>
      <c r="KB34" s="117"/>
      <c r="KC34" s="117"/>
      <c r="KD34" s="117"/>
      <c r="KE34" s="117"/>
      <c r="KF34" s="117"/>
      <c r="KG34" s="117"/>
      <c r="KH34" s="117"/>
      <c r="KI34" s="117"/>
      <c r="KJ34" s="117"/>
      <c r="KK34" s="117"/>
      <c r="KL34" s="117"/>
      <c r="KM34" s="117"/>
    </row>
    <row r="35" spans="1:365" s="114" customFormat="1" ht="16" hidden="1">
      <c r="A35" s="506">
        <f t="shared" si="1"/>
        <v>0</v>
      </c>
      <c r="B35"/>
      <c r="C35" s="1442"/>
      <c r="D35" s="500">
        <f t="shared" si="2"/>
        <v>0</v>
      </c>
      <c r="E35"/>
      <c r="F35" s="1389" cm="1">
        <f t="array" ref="F35:CW35">TRANSPOSE(_xlfn.ANCHORARRAY(mProject!AN$9))</f>
        <v>0</v>
      </c>
      <c r="G35" s="1388">
        <v>0</v>
      </c>
      <c r="H35" s="1388">
        <v>0</v>
      </c>
      <c r="I35" s="1388">
        <v>0</v>
      </c>
      <c r="J35" s="1388">
        <v>0</v>
      </c>
      <c r="K35" s="1388">
        <v>0</v>
      </c>
      <c r="L35" s="1388">
        <v>0</v>
      </c>
      <c r="M35" s="1388">
        <v>0</v>
      </c>
      <c r="N35" s="1388">
        <v>0</v>
      </c>
      <c r="O35" s="1388">
        <v>0</v>
      </c>
      <c r="P35" s="1388">
        <v>0</v>
      </c>
      <c r="Q35" s="1388">
        <v>0</v>
      </c>
      <c r="R35" s="1388">
        <v>0</v>
      </c>
      <c r="S35" s="1388">
        <v>0</v>
      </c>
      <c r="T35" s="1388">
        <v>0</v>
      </c>
      <c r="U35" s="1388">
        <v>0</v>
      </c>
      <c r="V35" s="1388">
        <v>0</v>
      </c>
      <c r="W35" s="1388">
        <v>0</v>
      </c>
      <c r="X35" s="1388">
        <v>0</v>
      </c>
      <c r="Y35" s="1388">
        <v>0</v>
      </c>
      <c r="Z35" s="1388">
        <v>0</v>
      </c>
      <c r="AA35" s="1388">
        <v>0</v>
      </c>
      <c r="AB35" s="1388">
        <v>0</v>
      </c>
      <c r="AC35" s="1388">
        <v>0</v>
      </c>
      <c r="AD35" s="1388">
        <v>0</v>
      </c>
      <c r="AE35" s="1388">
        <v>0</v>
      </c>
      <c r="AF35" s="1388">
        <v>0</v>
      </c>
      <c r="AG35" s="1388">
        <v>0</v>
      </c>
      <c r="AH35" s="1388">
        <v>0</v>
      </c>
      <c r="AI35" s="1388">
        <v>0</v>
      </c>
      <c r="AJ35" s="1388">
        <v>0</v>
      </c>
      <c r="AK35" s="1388">
        <v>0</v>
      </c>
      <c r="AL35" s="1388">
        <v>0</v>
      </c>
      <c r="AM35" s="1388">
        <v>0</v>
      </c>
      <c r="AN35" s="1388">
        <v>0</v>
      </c>
      <c r="AO35" s="1388">
        <v>0</v>
      </c>
      <c r="AP35" s="1388">
        <v>0</v>
      </c>
      <c r="AQ35" s="1388">
        <v>0</v>
      </c>
      <c r="AR35" s="1388">
        <v>0</v>
      </c>
      <c r="AS35" s="1388">
        <v>0</v>
      </c>
      <c r="AT35" s="1388">
        <v>0</v>
      </c>
      <c r="AU35" s="1388">
        <v>0</v>
      </c>
      <c r="AV35" s="1388">
        <v>0</v>
      </c>
      <c r="AW35" s="1388">
        <v>0</v>
      </c>
      <c r="AX35" s="1388">
        <v>0</v>
      </c>
      <c r="AY35" s="1388">
        <v>0</v>
      </c>
      <c r="AZ35" s="1388">
        <v>0</v>
      </c>
      <c r="BA35" s="1388">
        <v>0</v>
      </c>
      <c r="BB35" s="1388">
        <v>0</v>
      </c>
      <c r="BC35" s="1388">
        <v>0</v>
      </c>
      <c r="BD35" s="1388">
        <v>0</v>
      </c>
      <c r="BE35" s="1388">
        <v>0</v>
      </c>
      <c r="BF35" s="1388">
        <v>0</v>
      </c>
      <c r="BG35" s="1388">
        <v>0</v>
      </c>
      <c r="BH35" s="1388">
        <v>0</v>
      </c>
      <c r="BI35" s="1388">
        <v>0</v>
      </c>
      <c r="BJ35" s="1388">
        <v>0</v>
      </c>
      <c r="BK35" s="1388">
        <v>0</v>
      </c>
      <c r="BL35" s="1388">
        <v>0</v>
      </c>
      <c r="BM35" s="1388">
        <v>0</v>
      </c>
      <c r="BN35" s="1388">
        <v>0</v>
      </c>
      <c r="BO35" s="1388">
        <v>0</v>
      </c>
      <c r="BP35" s="1388">
        <v>0</v>
      </c>
      <c r="BQ35" s="1388">
        <v>0</v>
      </c>
      <c r="BR35" s="1388">
        <v>0</v>
      </c>
      <c r="BS35" s="1388">
        <v>0</v>
      </c>
      <c r="BT35" s="1388">
        <v>0</v>
      </c>
      <c r="BU35" s="1388">
        <v>0</v>
      </c>
      <c r="BV35" s="1388">
        <v>0</v>
      </c>
      <c r="BW35" s="1388">
        <v>0</v>
      </c>
      <c r="BX35" s="1388">
        <v>0</v>
      </c>
      <c r="BY35" s="1388">
        <v>0</v>
      </c>
      <c r="BZ35" s="1388">
        <v>0</v>
      </c>
      <c r="CA35" s="1388">
        <v>0</v>
      </c>
      <c r="CB35" s="1388">
        <v>0</v>
      </c>
      <c r="CC35" s="1388">
        <v>0</v>
      </c>
      <c r="CD35" s="1388">
        <v>0</v>
      </c>
      <c r="CE35" s="1388">
        <v>0</v>
      </c>
      <c r="CF35" s="1388">
        <v>0</v>
      </c>
      <c r="CG35" s="1388">
        <v>0</v>
      </c>
      <c r="CH35" s="1388">
        <v>0</v>
      </c>
      <c r="CI35" s="1388">
        <v>0</v>
      </c>
      <c r="CJ35" s="1388">
        <v>0</v>
      </c>
      <c r="CK35" s="1388">
        <v>0</v>
      </c>
      <c r="CL35" s="1388">
        <v>0</v>
      </c>
      <c r="CM35" s="1388">
        <v>0</v>
      </c>
      <c r="CN35" s="1388">
        <v>0</v>
      </c>
      <c r="CO35" s="1388">
        <v>0</v>
      </c>
      <c r="CP35" s="1388">
        <v>0</v>
      </c>
      <c r="CQ35" s="1388">
        <v>0</v>
      </c>
      <c r="CR35" s="1388">
        <v>0</v>
      </c>
      <c r="CS35" s="1388">
        <v>0</v>
      </c>
      <c r="CT35" s="1388">
        <v>0</v>
      </c>
      <c r="CU35" s="1388">
        <v>0</v>
      </c>
      <c r="CV35" s="1388">
        <v>0</v>
      </c>
      <c r="CW35" s="1388">
        <v>0</v>
      </c>
      <c r="CX35" s="1388"/>
      <c r="CY35" s="1388"/>
      <c r="CZ35" s="1388"/>
      <c r="DA35" s="1388"/>
      <c r="DB35" s="1388"/>
      <c r="DC35" s="1388"/>
      <c r="DD35" s="1388"/>
      <c r="DE35" s="1388"/>
      <c r="DF35" s="1388"/>
      <c r="DG35" s="1388"/>
      <c r="DH35" s="1388"/>
      <c r="DI35" s="1388"/>
      <c r="DJ35" s="1388"/>
      <c r="DK35" s="1388"/>
      <c r="DL35" s="1388"/>
      <c r="DM35" s="1388"/>
      <c r="DN35" s="1388"/>
      <c r="DO35" s="1388"/>
      <c r="DP35" s="1388"/>
      <c r="DQ35" s="1388"/>
      <c r="DR35" s="1388"/>
      <c r="DS35" s="1388"/>
      <c r="DT35" s="1388"/>
      <c r="DU35" s="1388"/>
      <c r="DV35" s="1388"/>
      <c r="DW35" s="1388"/>
      <c r="DX35" s="1388"/>
      <c r="DY35" s="1388"/>
      <c r="DZ35" s="1388"/>
      <c r="EA35" s="1388"/>
      <c r="EB35" s="1388"/>
      <c r="EC35" s="1388"/>
      <c r="ED35" s="1388"/>
      <c r="EE35" s="1388"/>
      <c r="EF35" s="1388"/>
      <c r="EG35" s="1388"/>
      <c r="EH35" s="501"/>
      <c r="EI35" s="117"/>
      <c r="EJ35" s="117"/>
      <c r="EK35" s="117"/>
      <c r="EL35" s="117"/>
      <c r="EM35" s="117"/>
      <c r="EN35" s="117"/>
      <c r="EO35" s="117"/>
      <c r="EP35" s="117"/>
      <c r="EQ35" s="117"/>
      <c r="ER35" s="117"/>
      <c r="ES35" s="117"/>
      <c r="ET35" s="117"/>
      <c r="EU35" s="117"/>
      <c r="EV35" s="117"/>
      <c r="EW35" s="117"/>
      <c r="EX35" s="117"/>
      <c r="EY35" s="117"/>
      <c r="EZ35" s="117"/>
      <c r="FA35" s="117"/>
      <c r="FB35" s="117"/>
      <c r="FC35" s="117"/>
      <c r="FD35" s="117"/>
      <c r="FE35" s="117"/>
      <c r="FF35" s="117"/>
      <c r="FG35" s="117"/>
      <c r="FH35" s="117"/>
      <c r="FI35" s="117"/>
      <c r="FJ35" s="117"/>
      <c r="FK35" s="117"/>
      <c r="JJ35" s="501"/>
      <c r="JK35" s="117"/>
      <c r="JL35" s="117"/>
      <c r="JM35" s="117"/>
      <c r="JN35" s="117"/>
      <c r="JO35" s="117"/>
      <c r="JP35" s="117"/>
      <c r="JQ35" s="117"/>
      <c r="JR35" s="117"/>
      <c r="JS35" s="117"/>
      <c r="JT35" s="117"/>
      <c r="JU35" s="117"/>
      <c r="JV35" s="117"/>
      <c r="JW35" s="117"/>
      <c r="JX35" s="117"/>
      <c r="JY35" s="117"/>
      <c r="JZ35" s="117"/>
      <c r="KA35" s="117"/>
      <c r="KB35" s="117"/>
      <c r="KC35" s="117"/>
      <c r="KD35" s="117"/>
      <c r="KE35" s="117"/>
      <c r="KF35" s="117"/>
      <c r="KG35" s="117"/>
      <c r="KH35" s="117"/>
      <c r="KI35" s="117"/>
      <c r="KJ35" s="117"/>
      <c r="KK35" s="117"/>
      <c r="KL35" s="117"/>
      <c r="KM35" s="117"/>
    </row>
    <row r="36" spans="1:365" s="114" customFormat="1" ht="16" hidden="1">
      <c r="A36" s="506">
        <f t="shared" si="1"/>
        <v>0</v>
      </c>
      <c r="B36"/>
      <c r="C36" s="1442"/>
      <c r="D36" s="500">
        <f t="shared" si="2"/>
        <v>0</v>
      </c>
      <c r="E36"/>
      <c r="F36" s="1389" cm="1">
        <f t="array" ref="F36:CW36">TRANSPOSE(_xlfn.ANCHORARRAY(mProject!AO$9))</f>
        <v>0</v>
      </c>
      <c r="G36" s="1388">
        <v>0</v>
      </c>
      <c r="H36" s="1388">
        <v>0</v>
      </c>
      <c r="I36" s="1388">
        <v>0</v>
      </c>
      <c r="J36" s="1388">
        <v>0</v>
      </c>
      <c r="K36" s="1388">
        <v>0</v>
      </c>
      <c r="L36" s="1388">
        <v>0</v>
      </c>
      <c r="M36" s="1388">
        <v>0</v>
      </c>
      <c r="N36" s="1388">
        <v>0</v>
      </c>
      <c r="O36" s="1388">
        <v>0</v>
      </c>
      <c r="P36" s="1388">
        <v>0</v>
      </c>
      <c r="Q36" s="1388">
        <v>0</v>
      </c>
      <c r="R36" s="1388">
        <v>0</v>
      </c>
      <c r="S36" s="1388">
        <v>0</v>
      </c>
      <c r="T36" s="1388">
        <v>0</v>
      </c>
      <c r="U36" s="1388">
        <v>0</v>
      </c>
      <c r="V36" s="1388">
        <v>0</v>
      </c>
      <c r="W36" s="1388">
        <v>0</v>
      </c>
      <c r="X36" s="1388">
        <v>0</v>
      </c>
      <c r="Y36" s="1388">
        <v>0</v>
      </c>
      <c r="Z36" s="1388">
        <v>0</v>
      </c>
      <c r="AA36" s="1388">
        <v>0</v>
      </c>
      <c r="AB36" s="1388">
        <v>0</v>
      </c>
      <c r="AC36" s="1388">
        <v>0</v>
      </c>
      <c r="AD36" s="1388">
        <v>0</v>
      </c>
      <c r="AE36" s="1388">
        <v>0</v>
      </c>
      <c r="AF36" s="1388">
        <v>0</v>
      </c>
      <c r="AG36" s="1388">
        <v>0</v>
      </c>
      <c r="AH36" s="1388">
        <v>0</v>
      </c>
      <c r="AI36" s="1388">
        <v>0</v>
      </c>
      <c r="AJ36" s="1388">
        <v>0</v>
      </c>
      <c r="AK36" s="1388">
        <v>0</v>
      </c>
      <c r="AL36" s="1388">
        <v>0</v>
      </c>
      <c r="AM36" s="1388">
        <v>0</v>
      </c>
      <c r="AN36" s="1388">
        <v>0</v>
      </c>
      <c r="AO36" s="1388">
        <v>0</v>
      </c>
      <c r="AP36" s="1388">
        <v>0</v>
      </c>
      <c r="AQ36" s="1388">
        <v>0</v>
      </c>
      <c r="AR36" s="1388">
        <v>0</v>
      </c>
      <c r="AS36" s="1388">
        <v>0</v>
      </c>
      <c r="AT36" s="1388">
        <v>0</v>
      </c>
      <c r="AU36" s="1388">
        <v>0</v>
      </c>
      <c r="AV36" s="1388">
        <v>0</v>
      </c>
      <c r="AW36" s="1388">
        <v>0</v>
      </c>
      <c r="AX36" s="1388">
        <v>0</v>
      </c>
      <c r="AY36" s="1388">
        <v>0</v>
      </c>
      <c r="AZ36" s="1388">
        <v>0</v>
      </c>
      <c r="BA36" s="1388">
        <v>0</v>
      </c>
      <c r="BB36" s="1388">
        <v>0</v>
      </c>
      <c r="BC36" s="1388">
        <v>0</v>
      </c>
      <c r="BD36" s="1388">
        <v>0</v>
      </c>
      <c r="BE36" s="1388">
        <v>0</v>
      </c>
      <c r="BF36" s="1388">
        <v>0</v>
      </c>
      <c r="BG36" s="1388">
        <v>0</v>
      </c>
      <c r="BH36" s="1388">
        <v>0</v>
      </c>
      <c r="BI36" s="1388">
        <v>0</v>
      </c>
      <c r="BJ36" s="1388">
        <v>0</v>
      </c>
      <c r="BK36" s="1388">
        <v>0</v>
      </c>
      <c r="BL36" s="1388">
        <v>0</v>
      </c>
      <c r="BM36" s="1388">
        <v>0</v>
      </c>
      <c r="BN36" s="1388">
        <v>0</v>
      </c>
      <c r="BO36" s="1388">
        <v>0</v>
      </c>
      <c r="BP36" s="1388">
        <v>0</v>
      </c>
      <c r="BQ36" s="1388">
        <v>0</v>
      </c>
      <c r="BR36" s="1388">
        <v>0</v>
      </c>
      <c r="BS36" s="1388">
        <v>0</v>
      </c>
      <c r="BT36" s="1388">
        <v>0</v>
      </c>
      <c r="BU36" s="1388">
        <v>0</v>
      </c>
      <c r="BV36" s="1388">
        <v>0</v>
      </c>
      <c r="BW36" s="1388">
        <v>0</v>
      </c>
      <c r="BX36" s="1388">
        <v>0</v>
      </c>
      <c r="BY36" s="1388">
        <v>0</v>
      </c>
      <c r="BZ36" s="1388">
        <v>0</v>
      </c>
      <c r="CA36" s="1388">
        <v>0</v>
      </c>
      <c r="CB36" s="1388">
        <v>0</v>
      </c>
      <c r="CC36" s="1388">
        <v>0</v>
      </c>
      <c r="CD36" s="1388">
        <v>0</v>
      </c>
      <c r="CE36" s="1388">
        <v>0</v>
      </c>
      <c r="CF36" s="1388">
        <v>0</v>
      </c>
      <c r="CG36" s="1388">
        <v>0</v>
      </c>
      <c r="CH36" s="1388">
        <v>0</v>
      </c>
      <c r="CI36" s="1388">
        <v>0</v>
      </c>
      <c r="CJ36" s="1388">
        <v>0</v>
      </c>
      <c r="CK36" s="1388">
        <v>0</v>
      </c>
      <c r="CL36" s="1388">
        <v>0</v>
      </c>
      <c r="CM36" s="1388">
        <v>0</v>
      </c>
      <c r="CN36" s="1388">
        <v>0</v>
      </c>
      <c r="CO36" s="1388">
        <v>0</v>
      </c>
      <c r="CP36" s="1388">
        <v>0</v>
      </c>
      <c r="CQ36" s="1388">
        <v>0</v>
      </c>
      <c r="CR36" s="1388">
        <v>0</v>
      </c>
      <c r="CS36" s="1388">
        <v>0</v>
      </c>
      <c r="CT36" s="1388">
        <v>0</v>
      </c>
      <c r="CU36" s="1388">
        <v>0</v>
      </c>
      <c r="CV36" s="1388">
        <v>0</v>
      </c>
      <c r="CW36" s="1388">
        <v>0</v>
      </c>
      <c r="CX36" s="1388"/>
      <c r="CY36" s="1388"/>
      <c r="CZ36" s="1388"/>
      <c r="DA36" s="1388"/>
      <c r="DB36" s="1388"/>
      <c r="DC36" s="1388"/>
      <c r="DD36" s="1388"/>
      <c r="DE36" s="1388"/>
      <c r="DF36" s="1388"/>
      <c r="DG36" s="1388"/>
      <c r="DH36" s="1388"/>
      <c r="DI36" s="1388"/>
      <c r="DJ36" s="1388"/>
      <c r="DK36" s="1388"/>
      <c r="DL36" s="1388"/>
      <c r="DM36" s="1388"/>
      <c r="DN36" s="1388"/>
      <c r="DO36" s="1388"/>
      <c r="DP36" s="1388"/>
      <c r="DQ36" s="1388"/>
      <c r="DR36" s="1388"/>
      <c r="DS36" s="1388"/>
      <c r="DT36" s="1388"/>
      <c r="DU36" s="1388"/>
      <c r="DV36" s="1388"/>
      <c r="DW36" s="1388"/>
      <c r="DX36" s="1388"/>
      <c r="DY36" s="1388"/>
      <c r="DZ36" s="1388"/>
      <c r="EA36" s="1388"/>
      <c r="EB36" s="1388"/>
      <c r="EC36" s="1388"/>
      <c r="ED36" s="1388"/>
      <c r="EE36" s="1388"/>
      <c r="EF36" s="1388"/>
      <c r="EG36" s="1388"/>
      <c r="EH36" s="501"/>
      <c r="EI36" s="117"/>
      <c r="EJ36" s="117"/>
      <c r="EK36" s="117"/>
      <c r="EL36" s="117"/>
      <c r="EM36" s="117"/>
      <c r="EN36" s="117"/>
      <c r="EO36" s="117"/>
      <c r="EP36" s="117"/>
      <c r="EQ36" s="117"/>
      <c r="ER36" s="117"/>
      <c r="ES36" s="117"/>
      <c r="ET36" s="117"/>
      <c r="EU36" s="117"/>
      <c r="EV36" s="117"/>
      <c r="EW36" s="117"/>
      <c r="EX36" s="117"/>
      <c r="EY36" s="117"/>
      <c r="EZ36" s="117"/>
      <c r="FA36" s="117"/>
      <c r="FB36" s="117"/>
      <c r="FC36" s="117"/>
      <c r="FD36" s="117"/>
      <c r="FE36" s="117"/>
      <c r="FF36" s="117"/>
      <c r="FG36" s="117"/>
      <c r="FH36" s="117"/>
      <c r="FI36" s="117"/>
      <c r="FJ36" s="117"/>
      <c r="FK36" s="117"/>
      <c r="JJ36" s="501"/>
      <c r="JK36" s="117"/>
      <c r="JL36" s="117"/>
      <c r="JM36" s="117"/>
      <c r="JN36" s="117"/>
      <c r="JO36" s="117"/>
      <c r="JP36" s="117"/>
      <c r="JQ36" s="117"/>
      <c r="JR36" s="117"/>
      <c r="JS36" s="117"/>
      <c r="JT36" s="117"/>
      <c r="JU36" s="117"/>
      <c r="JV36" s="117"/>
      <c r="JW36" s="117"/>
      <c r="JX36" s="117"/>
      <c r="JY36" s="117"/>
      <c r="JZ36" s="117"/>
      <c r="KA36" s="117"/>
      <c r="KB36" s="117"/>
      <c r="KC36" s="117"/>
      <c r="KD36" s="117"/>
      <c r="KE36" s="117"/>
      <c r="KF36" s="117"/>
      <c r="KG36" s="117"/>
      <c r="KH36" s="117"/>
      <c r="KI36" s="117"/>
      <c r="KJ36" s="117"/>
      <c r="KK36" s="117"/>
      <c r="KL36" s="117"/>
      <c r="KM36" s="117"/>
    </row>
    <row r="37" spans="1:365" s="114" customFormat="1" ht="16" hidden="1">
      <c r="A37" s="506">
        <f t="shared" si="1"/>
        <v>0</v>
      </c>
      <c r="B37"/>
      <c r="C37" s="1442"/>
      <c r="D37" s="500">
        <f t="shared" si="2"/>
        <v>0</v>
      </c>
      <c r="E37"/>
      <c r="F37" s="1389" cm="1">
        <f t="array" ref="F37:CW37">TRANSPOSE(_xlfn.ANCHORARRAY(mProject!AK$9))</f>
        <v>0</v>
      </c>
      <c r="G37" s="1388">
        <v>0</v>
      </c>
      <c r="H37" s="1388">
        <v>0</v>
      </c>
      <c r="I37" s="1388">
        <v>0</v>
      </c>
      <c r="J37" s="1388">
        <v>0</v>
      </c>
      <c r="K37" s="1388">
        <v>0</v>
      </c>
      <c r="L37" s="1388">
        <v>0</v>
      </c>
      <c r="M37" s="1388">
        <v>0</v>
      </c>
      <c r="N37" s="1388">
        <v>0</v>
      </c>
      <c r="O37" s="1388">
        <v>0</v>
      </c>
      <c r="P37" s="1388">
        <v>0</v>
      </c>
      <c r="Q37" s="1388">
        <v>0</v>
      </c>
      <c r="R37" s="1388">
        <v>0</v>
      </c>
      <c r="S37" s="1388">
        <v>0</v>
      </c>
      <c r="T37" s="1388">
        <v>0</v>
      </c>
      <c r="U37" s="1388">
        <v>0</v>
      </c>
      <c r="V37" s="1388">
        <v>0</v>
      </c>
      <c r="W37" s="1388">
        <v>0</v>
      </c>
      <c r="X37" s="1388">
        <v>0</v>
      </c>
      <c r="Y37" s="1388">
        <v>0</v>
      </c>
      <c r="Z37" s="1388">
        <v>0</v>
      </c>
      <c r="AA37" s="1388">
        <v>0</v>
      </c>
      <c r="AB37" s="1388">
        <v>0</v>
      </c>
      <c r="AC37" s="1388">
        <v>0</v>
      </c>
      <c r="AD37" s="1388">
        <v>0</v>
      </c>
      <c r="AE37" s="1388">
        <v>0</v>
      </c>
      <c r="AF37" s="1388">
        <v>0</v>
      </c>
      <c r="AG37" s="1388">
        <v>0</v>
      </c>
      <c r="AH37" s="1388">
        <v>0</v>
      </c>
      <c r="AI37" s="1388">
        <v>0</v>
      </c>
      <c r="AJ37" s="1388">
        <v>0</v>
      </c>
      <c r="AK37" s="1388">
        <v>0</v>
      </c>
      <c r="AL37" s="1388">
        <v>0</v>
      </c>
      <c r="AM37" s="1388">
        <v>0</v>
      </c>
      <c r="AN37" s="1388">
        <v>0</v>
      </c>
      <c r="AO37" s="1388">
        <v>0</v>
      </c>
      <c r="AP37" s="1388">
        <v>0</v>
      </c>
      <c r="AQ37" s="1388">
        <v>0</v>
      </c>
      <c r="AR37" s="1388">
        <v>0</v>
      </c>
      <c r="AS37" s="1388">
        <v>0</v>
      </c>
      <c r="AT37" s="1388">
        <v>0</v>
      </c>
      <c r="AU37" s="1388">
        <v>0</v>
      </c>
      <c r="AV37" s="1388">
        <v>0</v>
      </c>
      <c r="AW37" s="1388">
        <v>0</v>
      </c>
      <c r="AX37" s="1388">
        <v>0</v>
      </c>
      <c r="AY37" s="1388">
        <v>0</v>
      </c>
      <c r="AZ37" s="1388">
        <v>0</v>
      </c>
      <c r="BA37" s="1388">
        <v>0</v>
      </c>
      <c r="BB37" s="1388">
        <v>0</v>
      </c>
      <c r="BC37" s="1388">
        <v>0</v>
      </c>
      <c r="BD37" s="1388">
        <v>0</v>
      </c>
      <c r="BE37" s="1388">
        <v>0</v>
      </c>
      <c r="BF37" s="1388">
        <v>0</v>
      </c>
      <c r="BG37" s="1388">
        <v>0</v>
      </c>
      <c r="BH37" s="1388">
        <v>0</v>
      </c>
      <c r="BI37" s="1388">
        <v>0</v>
      </c>
      <c r="BJ37" s="1388">
        <v>0</v>
      </c>
      <c r="BK37" s="1388">
        <v>0</v>
      </c>
      <c r="BL37" s="1388">
        <v>0</v>
      </c>
      <c r="BM37" s="1388">
        <v>0</v>
      </c>
      <c r="BN37" s="1388">
        <v>0</v>
      </c>
      <c r="BO37" s="1388">
        <v>0</v>
      </c>
      <c r="BP37" s="1388">
        <v>0</v>
      </c>
      <c r="BQ37" s="1388">
        <v>0</v>
      </c>
      <c r="BR37" s="1388">
        <v>0</v>
      </c>
      <c r="BS37" s="1388">
        <v>0</v>
      </c>
      <c r="BT37" s="1388">
        <v>0</v>
      </c>
      <c r="BU37" s="1388">
        <v>0</v>
      </c>
      <c r="BV37" s="1388">
        <v>0</v>
      </c>
      <c r="BW37" s="1388">
        <v>0</v>
      </c>
      <c r="BX37" s="1388">
        <v>0</v>
      </c>
      <c r="BY37" s="1388">
        <v>0</v>
      </c>
      <c r="BZ37" s="1388">
        <v>0</v>
      </c>
      <c r="CA37" s="1388">
        <v>0</v>
      </c>
      <c r="CB37" s="1388">
        <v>0</v>
      </c>
      <c r="CC37" s="1388">
        <v>0</v>
      </c>
      <c r="CD37" s="1388">
        <v>0</v>
      </c>
      <c r="CE37" s="1388">
        <v>0</v>
      </c>
      <c r="CF37" s="1388">
        <v>0</v>
      </c>
      <c r="CG37" s="1388">
        <v>0</v>
      </c>
      <c r="CH37" s="1388">
        <v>0</v>
      </c>
      <c r="CI37" s="1388">
        <v>0</v>
      </c>
      <c r="CJ37" s="1388">
        <v>0</v>
      </c>
      <c r="CK37" s="1388">
        <v>0</v>
      </c>
      <c r="CL37" s="1388">
        <v>0</v>
      </c>
      <c r="CM37" s="1388">
        <v>0</v>
      </c>
      <c r="CN37" s="1388">
        <v>0</v>
      </c>
      <c r="CO37" s="1388">
        <v>0</v>
      </c>
      <c r="CP37" s="1388">
        <v>0</v>
      </c>
      <c r="CQ37" s="1388">
        <v>0</v>
      </c>
      <c r="CR37" s="1388">
        <v>0</v>
      </c>
      <c r="CS37" s="1388">
        <v>0</v>
      </c>
      <c r="CT37" s="1388">
        <v>0</v>
      </c>
      <c r="CU37" s="1388">
        <v>0</v>
      </c>
      <c r="CV37" s="1388">
        <v>0</v>
      </c>
      <c r="CW37" s="1388">
        <v>0</v>
      </c>
      <c r="CX37" s="1388"/>
      <c r="CY37" s="1388"/>
      <c r="CZ37" s="1388"/>
      <c r="DA37" s="1388"/>
      <c r="DB37" s="1388"/>
      <c r="DC37" s="1388"/>
      <c r="DD37" s="1388"/>
      <c r="DE37" s="1388"/>
      <c r="DF37" s="1388"/>
      <c r="DG37" s="1388"/>
      <c r="DH37" s="1388"/>
      <c r="DI37" s="1388"/>
      <c r="DJ37" s="1388"/>
      <c r="DK37" s="1388"/>
      <c r="DL37" s="1388"/>
      <c r="DM37" s="1388"/>
      <c r="DN37" s="1388"/>
      <c r="DO37" s="1388"/>
      <c r="DP37" s="1388"/>
      <c r="DQ37" s="1388"/>
      <c r="DR37" s="1388"/>
      <c r="DS37" s="1388"/>
      <c r="DT37" s="1388"/>
      <c r="DU37" s="1388"/>
      <c r="DV37" s="1388"/>
      <c r="DW37" s="1388"/>
      <c r="DX37" s="1388"/>
      <c r="DY37" s="1388"/>
      <c r="DZ37" s="1388"/>
      <c r="EA37" s="1388"/>
      <c r="EB37" s="1388"/>
      <c r="EC37" s="1388"/>
      <c r="ED37" s="1388"/>
      <c r="EE37" s="1388"/>
      <c r="EF37" s="1388"/>
      <c r="EG37" s="1388"/>
      <c r="EH37" s="501"/>
      <c r="EI37" s="117"/>
      <c r="EJ37" s="117"/>
      <c r="EK37" s="117"/>
      <c r="EL37" s="117"/>
      <c r="EM37" s="117"/>
      <c r="EN37" s="117"/>
      <c r="EO37" s="117"/>
      <c r="EP37" s="117"/>
      <c r="EQ37" s="117"/>
      <c r="ER37" s="117"/>
      <c r="ES37" s="117"/>
      <c r="ET37" s="117"/>
      <c r="EU37" s="117"/>
      <c r="EV37" s="117"/>
      <c r="EW37" s="117"/>
      <c r="EX37" s="117"/>
      <c r="EY37" s="117"/>
      <c r="EZ37" s="117"/>
      <c r="FA37" s="117"/>
      <c r="FB37" s="117"/>
      <c r="FC37" s="117"/>
      <c r="FD37" s="117"/>
      <c r="FE37" s="117"/>
      <c r="FF37" s="117"/>
      <c r="FG37" s="117"/>
      <c r="FH37" s="117"/>
      <c r="FI37" s="117"/>
      <c r="FJ37" s="117"/>
      <c r="FK37" s="117"/>
      <c r="JJ37" s="501"/>
      <c r="JK37" s="117"/>
      <c r="JL37" s="117"/>
      <c r="JM37" s="117"/>
      <c r="JN37" s="117"/>
      <c r="JO37" s="117"/>
      <c r="JP37" s="117"/>
      <c r="JQ37" s="117"/>
      <c r="JR37" s="117"/>
      <c r="JS37" s="117"/>
      <c r="JT37" s="117"/>
      <c r="JU37" s="117"/>
      <c r="JV37" s="117"/>
      <c r="JW37" s="117"/>
      <c r="JX37" s="117"/>
      <c r="JY37" s="117"/>
      <c r="JZ37" s="117"/>
      <c r="KA37" s="117"/>
      <c r="KB37" s="117"/>
      <c r="KC37" s="117"/>
      <c r="KD37" s="117"/>
      <c r="KE37" s="117"/>
      <c r="KF37" s="117"/>
      <c r="KG37" s="117"/>
      <c r="KH37" s="117"/>
      <c r="KI37" s="117"/>
      <c r="KJ37" s="117"/>
      <c r="KK37" s="117"/>
      <c r="KL37" s="117"/>
      <c r="KM37" s="117"/>
    </row>
    <row r="38" spans="1:365" s="114" customFormat="1" ht="16" hidden="1">
      <c r="A38" s="506">
        <f t="shared" si="1"/>
        <v>0</v>
      </c>
      <c r="B38"/>
      <c r="C38" s="1442"/>
      <c r="D38" s="500">
        <f t="shared" si="2"/>
        <v>0</v>
      </c>
      <c r="E38"/>
      <c r="F38" s="1389" cm="1">
        <f t="array" ref="F38:CW38">TRANSPOSE(_xlfn.ANCHORARRAY(mProject!AP$9))</f>
        <v>0</v>
      </c>
      <c r="G38" s="1388">
        <v>0</v>
      </c>
      <c r="H38" s="1388">
        <v>0</v>
      </c>
      <c r="I38" s="1388">
        <v>0</v>
      </c>
      <c r="J38" s="1388">
        <v>0</v>
      </c>
      <c r="K38" s="1388">
        <v>0</v>
      </c>
      <c r="L38" s="1388">
        <v>0</v>
      </c>
      <c r="M38" s="1388">
        <v>0</v>
      </c>
      <c r="N38" s="1388">
        <v>0</v>
      </c>
      <c r="O38" s="1388">
        <v>0</v>
      </c>
      <c r="P38" s="1388">
        <v>0</v>
      </c>
      <c r="Q38" s="1388">
        <v>0</v>
      </c>
      <c r="R38" s="1388">
        <v>0</v>
      </c>
      <c r="S38" s="1388">
        <v>0</v>
      </c>
      <c r="T38" s="1388">
        <v>0</v>
      </c>
      <c r="U38" s="1388">
        <v>0</v>
      </c>
      <c r="V38" s="1388">
        <v>0</v>
      </c>
      <c r="W38" s="1388">
        <v>0</v>
      </c>
      <c r="X38" s="1388">
        <v>0</v>
      </c>
      <c r="Y38" s="1388">
        <v>0</v>
      </c>
      <c r="Z38" s="1388">
        <v>0</v>
      </c>
      <c r="AA38" s="1388">
        <v>0</v>
      </c>
      <c r="AB38" s="1388">
        <v>0</v>
      </c>
      <c r="AC38" s="1388">
        <v>0</v>
      </c>
      <c r="AD38" s="1388">
        <v>0</v>
      </c>
      <c r="AE38" s="1388">
        <v>0</v>
      </c>
      <c r="AF38" s="1388">
        <v>0</v>
      </c>
      <c r="AG38" s="1388">
        <v>0</v>
      </c>
      <c r="AH38" s="1388">
        <v>0</v>
      </c>
      <c r="AI38" s="1388">
        <v>0</v>
      </c>
      <c r="AJ38" s="1388">
        <v>0</v>
      </c>
      <c r="AK38" s="1388">
        <v>0</v>
      </c>
      <c r="AL38" s="1388">
        <v>0</v>
      </c>
      <c r="AM38" s="1388">
        <v>0</v>
      </c>
      <c r="AN38" s="1388">
        <v>0</v>
      </c>
      <c r="AO38" s="1388">
        <v>0</v>
      </c>
      <c r="AP38" s="1388">
        <v>0</v>
      </c>
      <c r="AQ38" s="1388">
        <v>0</v>
      </c>
      <c r="AR38" s="1388">
        <v>0</v>
      </c>
      <c r="AS38" s="1388">
        <v>0</v>
      </c>
      <c r="AT38" s="1388">
        <v>0</v>
      </c>
      <c r="AU38" s="1388">
        <v>0</v>
      </c>
      <c r="AV38" s="1388">
        <v>0</v>
      </c>
      <c r="AW38" s="1388">
        <v>0</v>
      </c>
      <c r="AX38" s="1388">
        <v>0</v>
      </c>
      <c r="AY38" s="1388">
        <v>0</v>
      </c>
      <c r="AZ38" s="1388">
        <v>0</v>
      </c>
      <c r="BA38" s="1388">
        <v>0</v>
      </c>
      <c r="BB38" s="1388">
        <v>0</v>
      </c>
      <c r="BC38" s="1388">
        <v>0</v>
      </c>
      <c r="BD38" s="1388">
        <v>0</v>
      </c>
      <c r="BE38" s="1388">
        <v>0</v>
      </c>
      <c r="BF38" s="1388">
        <v>0</v>
      </c>
      <c r="BG38" s="1388">
        <v>0</v>
      </c>
      <c r="BH38" s="1388">
        <v>0</v>
      </c>
      <c r="BI38" s="1388">
        <v>0</v>
      </c>
      <c r="BJ38" s="1388">
        <v>0</v>
      </c>
      <c r="BK38" s="1388">
        <v>0</v>
      </c>
      <c r="BL38" s="1388">
        <v>0</v>
      </c>
      <c r="BM38" s="1388">
        <v>0</v>
      </c>
      <c r="BN38" s="1388">
        <v>0</v>
      </c>
      <c r="BO38" s="1388">
        <v>0</v>
      </c>
      <c r="BP38" s="1388">
        <v>0</v>
      </c>
      <c r="BQ38" s="1388">
        <v>0</v>
      </c>
      <c r="BR38" s="1388">
        <v>0</v>
      </c>
      <c r="BS38" s="1388">
        <v>0</v>
      </c>
      <c r="BT38" s="1388">
        <v>0</v>
      </c>
      <c r="BU38" s="1388">
        <v>0</v>
      </c>
      <c r="BV38" s="1388">
        <v>0</v>
      </c>
      <c r="BW38" s="1388">
        <v>0</v>
      </c>
      <c r="BX38" s="1388">
        <v>0</v>
      </c>
      <c r="BY38" s="1388">
        <v>0</v>
      </c>
      <c r="BZ38" s="1388">
        <v>0</v>
      </c>
      <c r="CA38" s="1388">
        <v>0</v>
      </c>
      <c r="CB38" s="1388">
        <v>0</v>
      </c>
      <c r="CC38" s="1388">
        <v>0</v>
      </c>
      <c r="CD38" s="1388">
        <v>0</v>
      </c>
      <c r="CE38" s="1388">
        <v>0</v>
      </c>
      <c r="CF38" s="1388">
        <v>0</v>
      </c>
      <c r="CG38" s="1388">
        <v>0</v>
      </c>
      <c r="CH38" s="1388">
        <v>0</v>
      </c>
      <c r="CI38" s="1388">
        <v>0</v>
      </c>
      <c r="CJ38" s="1388">
        <v>0</v>
      </c>
      <c r="CK38" s="1388">
        <v>0</v>
      </c>
      <c r="CL38" s="1388">
        <v>0</v>
      </c>
      <c r="CM38" s="1388">
        <v>0</v>
      </c>
      <c r="CN38" s="1388">
        <v>0</v>
      </c>
      <c r="CO38" s="1388">
        <v>0</v>
      </c>
      <c r="CP38" s="1388">
        <v>0</v>
      </c>
      <c r="CQ38" s="1388">
        <v>0</v>
      </c>
      <c r="CR38" s="1388">
        <v>0</v>
      </c>
      <c r="CS38" s="1388">
        <v>0</v>
      </c>
      <c r="CT38" s="1388">
        <v>0</v>
      </c>
      <c r="CU38" s="1388">
        <v>0</v>
      </c>
      <c r="CV38" s="1388">
        <v>0</v>
      </c>
      <c r="CW38" s="1388">
        <v>0</v>
      </c>
      <c r="CX38" s="1388"/>
      <c r="CY38" s="1388"/>
      <c r="CZ38" s="1388"/>
      <c r="DA38" s="1388"/>
      <c r="DB38" s="1388"/>
      <c r="DC38" s="1388"/>
      <c r="DD38" s="1388"/>
      <c r="DE38" s="1388"/>
      <c r="DF38" s="1388"/>
      <c r="DG38" s="1388"/>
      <c r="DH38" s="1388"/>
      <c r="DI38" s="1388"/>
      <c r="DJ38" s="1388"/>
      <c r="DK38" s="1388"/>
      <c r="DL38" s="1388"/>
      <c r="DM38" s="1388"/>
      <c r="DN38" s="1388"/>
      <c r="DO38" s="1388"/>
      <c r="DP38" s="1388"/>
      <c r="DQ38" s="1388"/>
      <c r="DR38" s="1388"/>
      <c r="DS38" s="1388"/>
      <c r="DT38" s="1388"/>
      <c r="DU38" s="1388"/>
      <c r="DV38" s="1388"/>
      <c r="DW38" s="1388"/>
      <c r="DX38" s="1388"/>
      <c r="DY38" s="1388"/>
      <c r="DZ38" s="1388"/>
      <c r="EA38" s="1388"/>
      <c r="EB38" s="1388"/>
      <c r="EC38" s="1388"/>
      <c r="ED38" s="1388"/>
      <c r="EE38" s="1388"/>
      <c r="EF38" s="1388"/>
      <c r="EG38" s="1388"/>
      <c r="EH38" s="501"/>
      <c r="EI38" s="117"/>
      <c r="EJ38" s="117"/>
      <c r="EK38" s="117"/>
      <c r="EL38" s="117"/>
      <c r="EM38" s="117"/>
      <c r="EN38" s="117"/>
      <c r="EO38" s="117"/>
      <c r="EP38" s="117"/>
      <c r="EQ38" s="117"/>
      <c r="ER38" s="117"/>
      <c r="ES38" s="117"/>
      <c r="ET38" s="117"/>
      <c r="EU38" s="117"/>
      <c r="EV38" s="117"/>
      <c r="EW38" s="117"/>
      <c r="EX38" s="117"/>
      <c r="EY38" s="117"/>
      <c r="EZ38" s="117"/>
      <c r="FA38" s="117"/>
      <c r="FB38" s="117"/>
      <c r="FC38" s="117"/>
      <c r="FD38" s="117"/>
      <c r="FE38" s="117"/>
      <c r="FF38" s="117"/>
      <c r="FG38" s="117"/>
      <c r="FH38" s="117"/>
      <c r="FI38" s="117"/>
      <c r="FJ38" s="117"/>
      <c r="FK38" s="117"/>
      <c r="JJ38" s="501"/>
      <c r="JK38" s="117"/>
      <c r="JL38" s="117"/>
      <c r="JM38" s="117"/>
      <c r="JN38" s="117"/>
      <c r="JO38" s="117"/>
      <c r="JP38" s="117"/>
      <c r="JQ38" s="117"/>
      <c r="JR38" s="117"/>
      <c r="JS38" s="117"/>
      <c r="JT38" s="117"/>
      <c r="JU38" s="117"/>
      <c r="JV38" s="117"/>
      <c r="JW38" s="117"/>
      <c r="JX38" s="117"/>
      <c r="JY38" s="117"/>
      <c r="JZ38" s="117"/>
      <c r="KA38" s="117"/>
      <c r="KB38" s="117"/>
      <c r="KC38" s="117"/>
      <c r="KD38" s="117"/>
      <c r="KE38" s="117"/>
      <c r="KF38" s="117"/>
      <c r="KG38" s="117"/>
      <c r="KH38" s="117"/>
      <c r="KI38" s="117"/>
      <c r="KJ38" s="117"/>
      <c r="KK38" s="117"/>
      <c r="KL38" s="117"/>
      <c r="KM38" s="117"/>
    </row>
    <row r="39" spans="1:365" s="114" customFormat="1" ht="16" hidden="1">
      <c r="A39" s="506">
        <f t="shared" si="1"/>
        <v>0</v>
      </c>
      <c r="B39"/>
      <c r="C39" s="1442"/>
      <c r="D39" s="500">
        <f t="shared" si="2"/>
        <v>0</v>
      </c>
      <c r="E39"/>
      <c r="F39" s="1389" cm="1">
        <f t="array" ref="F39:CW39">TRANSPOSE(_xlfn.ANCHORARRAY(mProject!AQ$9))</f>
        <v>0</v>
      </c>
      <c r="G39" s="1388">
        <v>0</v>
      </c>
      <c r="H39" s="1388">
        <v>0</v>
      </c>
      <c r="I39" s="1388">
        <v>0</v>
      </c>
      <c r="J39" s="1388">
        <v>0</v>
      </c>
      <c r="K39" s="1388">
        <v>0</v>
      </c>
      <c r="L39" s="1388">
        <v>0</v>
      </c>
      <c r="M39" s="1388">
        <v>0</v>
      </c>
      <c r="N39" s="1388">
        <v>0</v>
      </c>
      <c r="O39" s="1388">
        <v>0</v>
      </c>
      <c r="P39" s="1388">
        <v>0</v>
      </c>
      <c r="Q39" s="1388">
        <v>0</v>
      </c>
      <c r="R39" s="1388">
        <v>0</v>
      </c>
      <c r="S39" s="1388">
        <v>0</v>
      </c>
      <c r="T39" s="1388">
        <v>0</v>
      </c>
      <c r="U39" s="1388">
        <v>0</v>
      </c>
      <c r="V39" s="1388">
        <v>0</v>
      </c>
      <c r="W39" s="1388">
        <v>0</v>
      </c>
      <c r="X39" s="1388">
        <v>0</v>
      </c>
      <c r="Y39" s="1388">
        <v>0</v>
      </c>
      <c r="Z39" s="1388">
        <v>0</v>
      </c>
      <c r="AA39" s="1388">
        <v>0</v>
      </c>
      <c r="AB39" s="1388">
        <v>0</v>
      </c>
      <c r="AC39" s="1388">
        <v>0</v>
      </c>
      <c r="AD39" s="1388">
        <v>0</v>
      </c>
      <c r="AE39" s="1388">
        <v>0</v>
      </c>
      <c r="AF39" s="1388">
        <v>0</v>
      </c>
      <c r="AG39" s="1388">
        <v>0</v>
      </c>
      <c r="AH39" s="1388">
        <v>0</v>
      </c>
      <c r="AI39" s="1388">
        <v>0</v>
      </c>
      <c r="AJ39" s="1388">
        <v>0</v>
      </c>
      <c r="AK39" s="1388">
        <v>0</v>
      </c>
      <c r="AL39" s="1388">
        <v>0</v>
      </c>
      <c r="AM39" s="1388">
        <v>0</v>
      </c>
      <c r="AN39" s="1388">
        <v>0</v>
      </c>
      <c r="AO39" s="1388">
        <v>0</v>
      </c>
      <c r="AP39" s="1388">
        <v>0</v>
      </c>
      <c r="AQ39" s="1388">
        <v>0</v>
      </c>
      <c r="AR39" s="1388">
        <v>0</v>
      </c>
      <c r="AS39" s="1388">
        <v>0</v>
      </c>
      <c r="AT39" s="1388">
        <v>0</v>
      </c>
      <c r="AU39" s="1388">
        <v>0</v>
      </c>
      <c r="AV39" s="1388">
        <v>0</v>
      </c>
      <c r="AW39" s="1388">
        <v>0</v>
      </c>
      <c r="AX39" s="1388">
        <v>0</v>
      </c>
      <c r="AY39" s="1388">
        <v>0</v>
      </c>
      <c r="AZ39" s="1388">
        <v>0</v>
      </c>
      <c r="BA39" s="1388">
        <v>0</v>
      </c>
      <c r="BB39" s="1388">
        <v>0</v>
      </c>
      <c r="BC39" s="1388">
        <v>0</v>
      </c>
      <c r="BD39" s="1388">
        <v>0</v>
      </c>
      <c r="BE39" s="1388">
        <v>0</v>
      </c>
      <c r="BF39" s="1388">
        <v>0</v>
      </c>
      <c r="BG39" s="1388">
        <v>0</v>
      </c>
      <c r="BH39" s="1388">
        <v>0</v>
      </c>
      <c r="BI39" s="1388">
        <v>0</v>
      </c>
      <c r="BJ39" s="1388">
        <v>0</v>
      </c>
      <c r="BK39" s="1388">
        <v>0</v>
      </c>
      <c r="BL39" s="1388">
        <v>0</v>
      </c>
      <c r="BM39" s="1388">
        <v>0</v>
      </c>
      <c r="BN39" s="1388">
        <v>0</v>
      </c>
      <c r="BO39" s="1388">
        <v>0</v>
      </c>
      <c r="BP39" s="1388">
        <v>0</v>
      </c>
      <c r="BQ39" s="1388">
        <v>0</v>
      </c>
      <c r="BR39" s="1388">
        <v>0</v>
      </c>
      <c r="BS39" s="1388">
        <v>0</v>
      </c>
      <c r="BT39" s="1388">
        <v>0</v>
      </c>
      <c r="BU39" s="1388">
        <v>0</v>
      </c>
      <c r="BV39" s="1388">
        <v>0</v>
      </c>
      <c r="BW39" s="1388">
        <v>0</v>
      </c>
      <c r="BX39" s="1388">
        <v>0</v>
      </c>
      <c r="BY39" s="1388">
        <v>0</v>
      </c>
      <c r="BZ39" s="1388">
        <v>0</v>
      </c>
      <c r="CA39" s="1388">
        <v>0</v>
      </c>
      <c r="CB39" s="1388">
        <v>0</v>
      </c>
      <c r="CC39" s="1388">
        <v>0</v>
      </c>
      <c r="CD39" s="1388">
        <v>0</v>
      </c>
      <c r="CE39" s="1388">
        <v>0</v>
      </c>
      <c r="CF39" s="1388">
        <v>0</v>
      </c>
      <c r="CG39" s="1388">
        <v>0</v>
      </c>
      <c r="CH39" s="1388">
        <v>0</v>
      </c>
      <c r="CI39" s="1388">
        <v>0</v>
      </c>
      <c r="CJ39" s="1388">
        <v>0</v>
      </c>
      <c r="CK39" s="1388">
        <v>0</v>
      </c>
      <c r="CL39" s="1388">
        <v>0</v>
      </c>
      <c r="CM39" s="1388">
        <v>0</v>
      </c>
      <c r="CN39" s="1388">
        <v>0</v>
      </c>
      <c r="CO39" s="1388">
        <v>0</v>
      </c>
      <c r="CP39" s="1388">
        <v>0</v>
      </c>
      <c r="CQ39" s="1388">
        <v>0</v>
      </c>
      <c r="CR39" s="1388">
        <v>0</v>
      </c>
      <c r="CS39" s="1388">
        <v>0</v>
      </c>
      <c r="CT39" s="1388">
        <v>0</v>
      </c>
      <c r="CU39" s="1388">
        <v>0</v>
      </c>
      <c r="CV39" s="1388">
        <v>0</v>
      </c>
      <c r="CW39" s="1388">
        <v>0</v>
      </c>
      <c r="CX39" s="1388"/>
      <c r="CY39" s="1388"/>
      <c r="CZ39" s="1388"/>
      <c r="DA39" s="1388"/>
      <c r="DB39" s="1388"/>
      <c r="DC39" s="1388"/>
      <c r="DD39" s="1388"/>
      <c r="DE39" s="1388"/>
      <c r="DF39" s="1388"/>
      <c r="DG39" s="1388"/>
      <c r="DH39" s="1388"/>
      <c r="DI39" s="1388"/>
      <c r="DJ39" s="1388"/>
      <c r="DK39" s="1388"/>
      <c r="DL39" s="1388"/>
      <c r="DM39" s="1388"/>
      <c r="DN39" s="1388"/>
      <c r="DO39" s="1388"/>
      <c r="DP39" s="1388"/>
      <c r="DQ39" s="1388"/>
      <c r="DR39" s="1388"/>
      <c r="DS39" s="1388"/>
      <c r="DT39" s="1388"/>
      <c r="DU39" s="1388"/>
      <c r="DV39" s="1388"/>
      <c r="DW39" s="1388"/>
      <c r="DX39" s="1388"/>
      <c r="DY39" s="1388"/>
      <c r="DZ39" s="1388"/>
      <c r="EA39" s="1388"/>
      <c r="EB39" s="1388"/>
      <c r="EC39" s="1388"/>
      <c r="ED39" s="1388"/>
      <c r="EE39" s="1388"/>
      <c r="EF39" s="1388"/>
      <c r="EG39" s="1388"/>
      <c r="EH39" s="501"/>
      <c r="EI39" s="117"/>
      <c r="EJ39" s="117"/>
      <c r="EK39" s="117"/>
      <c r="EL39" s="117"/>
      <c r="EM39" s="117"/>
      <c r="EN39" s="117"/>
      <c r="EO39" s="117"/>
      <c r="EP39" s="117"/>
      <c r="EQ39" s="117"/>
      <c r="ER39" s="117"/>
      <c r="ES39" s="117"/>
      <c r="ET39" s="117"/>
      <c r="EU39" s="117"/>
      <c r="EV39" s="117"/>
      <c r="EW39" s="117"/>
      <c r="EX39" s="117"/>
      <c r="EY39" s="117"/>
      <c r="EZ39" s="117"/>
      <c r="FA39" s="117"/>
      <c r="FB39" s="117"/>
      <c r="FC39" s="117"/>
      <c r="FD39" s="117"/>
      <c r="FE39" s="117"/>
      <c r="FF39" s="117"/>
      <c r="FG39" s="117"/>
      <c r="FH39" s="117"/>
      <c r="FI39" s="117"/>
      <c r="FJ39" s="117"/>
      <c r="FK39" s="117"/>
      <c r="JJ39" s="501"/>
      <c r="JK39" s="117"/>
      <c r="JL39" s="117"/>
      <c r="JM39" s="117"/>
      <c r="JN39" s="117"/>
      <c r="JO39" s="117"/>
      <c r="JP39" s="117"/>
      <c r="JQ39" s="117"/>
      <c r="JR39" s="117"/>
      <c r="JS39" s="117"/>
      <c r="JT39" s="117"/>
      <c r="JU39" s="117"/>
      <c r="JV39" s="117"/>
      <c r="JW39" s="117"/>
      <c r="JX39" s="117"/>
      <c r="JY39" s="117"/>
      <c r="JZ39" s="117"/>
      <c r="KA39" s="117"/>
      <c r="KB39" s="117"/>
      <c r="KC39" s="117"/>
      <c r="KD39" s="117"/>
      <c r="KE39" s="117"/>
      <c r="KF39" s="117"/>
      <c r="KG39" s="117"/>
      <c r="KH39" s="117"/>
      <c r="KI39" s="117"/>
      <c r="KJ39" s="117"/>
      <c r="KK39" s="117"/>
      <c r="KL39" s="117"/>
      <c r="KM39" s="117"/>
    </row>
    <row r="40" spans="1:365" s="114" customFormat="1" ht="16" hidden="1">
      <c r="A40" s="506">
        <f t="shared" si="1"/>
        <v>0</v>
      </c>
      <c r="B40"/>
      <c r="C40" s="1442"/>
      <c r="D40" s="500">
        <f t="shared" si="2"/>
        <v>0</v>
      </c>
      <c r="E40"/>
      <c r="F40" s="1389" cm="1">
        <f t="array" ref="F40:CW40">TRANSPOSE(_xlfn.ANCHORARRAY(mProject!AR$9))</f>
        <v>0</v>
      </c>
      <c r="G40" s="1388">
        <v>0</v>
      </c>
      <c r="H40" s="1388">
        <v>0</v>
      </c>
      <c r="I40" s="1388">
        <v>0</v>
      </c>
      <c r="J40" s="1388">
        <v>0</v>
      </c>
      <c r="K40" s="1388">
        <v>0</v>
      </c>
      <c r="L40" s="1388">
        <v>0</v>
      </c>
      <c r="M40" s="1388">
        <v>0</v>
      </c>
      <c r="N40" s="1388">
        <v>0</v>
      </c>
      <c r="O40" s="1388">
        <v>0</v>
      </c>
      <c r="P40" s="1388">
        <v>0</v>
      </c>
      <c r="Q40" s="1388">
        <v>0</v>
      </c>
      <c r="R40" s="1388">
        <v>0</v>
      </c>
      <c r="S40" s="1388">
        <v>0</v>
      </c>
      <c r="T40" s="1388">
        <v>0</v>
      </c>
      <c r="U40" s="1388">
        <v>0</v>
      </c>
      <c r="V40" s="1388">
        <v>0</v>
      </c>
      <c r="W40" s="1388">
        <v>0</v>
      </c>
      <c r="X40" s="1388">
        <v>0</v>
      </c>
      <c r="Y40" s="1388">
        <v>0</v>
      </c>
      <c r="Z40" s="1388">
        <v>0</v>
      </c>
      <c r="AA40" s="1388">
        <v>0</v>
      </c>
      <c r="AB40" s="1388">
        <v>0</v>
      </c>
      <c r="AC40" s="1388">
        <v>0</v>
      </c>
      <c r="AD40" s="1388">
        <v>0</v>
      </c>
      <c r="AE40" s="1388">
        <v>0</v>
      </c>
      <c r="AF40" s="1388">
        <v>0</v>
      </c>
      <c r="AG40" s="1388">
        <v>0</v>
      </c>
      <c r="AH40" s="1388">
        <v>0</v>
      </c>
      <c r="AI40" s="1388">
        <v>0</v>
      </c>
      <c r="AJ40" s="1388">
        <v>0</v>
      </c>
      <c r="AK40" s="1388">
        <v>0</v>
      </c>
      <c r="AL40" s="1388">
        <v>0</v>
      </c>
      <c r="AM40" s="1388">
        <v>0</v>
      </c>
      <c r="AN40" s="1388">
        <v>0</v>
      </c>
      <c r="AO40" s="1388">
        <v>0</v>
      </c>
      <c r="AP40" s="1388">
        <v>0</v>
      </c>
      <c r="AQ40" s="1388">
        <v>0</v>
      </c>
      <c r="AR40" s="1388">
        <v>0</v>
      </c>
      <c r="AS40" s="1388">
        <v>0</v>
      </c>
      <c r="AT40" s="1388">
        <v>0</v>
      </c>
      <c r="AU40" s="1388">
        <v>0</v>
      </c>
      <c r="AV40" s="1388">
        <v>0</v>
      </c>
      <c r="AW40" s="1388">
        <v>0</v>
      </c>
      <c r="AX40" s="1388">
        <v>0</v>
      </c>
      <c r="AY40" s="1388">
        <v>0</v>
      </c>
      <c r="AZ40" s="1388">
        <v>0</v>
      </c>
      <c r="BA40" s="1388">
        <v>0</v>
      </c>
      <c r="BB40" s="1388">
        <v>0</v>
      </c>
      <c r="BC40" s="1388">
        <v>0</v>
      </c>
      <c r="BD40" s="1388">
        <v>0</v>
      </c>
      <c r="BE40" s="1388">
        <v>0</v>
      </c>
      <c r="BF40" s="1388">
        <v>0</v>
      </c>
      <c r="BG40" s="1388">
        <v>0</v>
      </c>
      <c r="BH40" s="1388">
        <v>0</v>
      </c>
      <c r="BI40" s="1388">
        <v>0</v>
      </c>
      <c r="BJ40" s="1388">
        <v>0</v>
      </c>
      <c r="BK40" s="1388">
        <v>0</v>
      </c>
      <c r="BL40" s="1388">
        <v>0</v>
      </c>
      <c r="BM40" s="1388">
        <v>0</v>
      </c>
      <c r="BN40" s="1388">
        <v>0</v>
      </c>
      <c r="BO40" s="1388">
        <v>0</v>
      </c>
      <c r="BP40" s="1388">
        <v>0</v>
      </c>
      <c r="BQ40" s="1388">
        <v>0</v>
      </c>
      <c r="BR40" s="1388">
        <v>0</v>
      </c>
      <c r="BS40" s="1388">
        <v>0</v>
      </c>
      <c r="BT40" s="1388">
        <v>0</v>
      </c>
      <c r="BU40" s="1388">
        <v>0</v>
      </c>
      <c r="BV40" s="1388">
        <v>0</v>
      </c>
      <c r="BW40" s="1388">
        <v>0</v>
      </c>
      <c r="BX40" s="1388">
        <v>0</v>
      </c>
      <c r="BY40" s="1388">
        <v>0</v>
      </c>
      <c r="BZ40" s="1388">
        <v>0</v>
      </c>
      <c r="CA40" s="1388">
        <v>0</v>
      </c>
      <c r="CB40" s="1388">
        <v>0</v>
      </c>
      <c r="CC40" s="1388">
        <v>0</v>
      </c>
      <c r="CD40" s="1388">
        <v>0</v>
      </c>
      <c r="CE40" s="1388">
        <v>0</v>
      </c>
      <c r="CF40" s="1388">
        <v>0</v>
      </c>
      <c r="CG40" s="1388">
        <v>0</v>
      </c>
      <c r="CH40" s="1388">
        <v>0</v>
      </c>
      <c r="CI40" s="1388">
        <v>0</v>
      </c>
      <c r="CJ40" s="1388">
        <v>0</v>
      </c>
      <c r="CK40" s="1388">
        <v>0</v>
      </c>
      <c r="CL40" s="1388">
        <v>0</v>
      </c>
      <c r="CM40" s="1388">
        <v>0</v>
      </c>
      <c r="CN40" s="1388">
        <v>0</v>
      </c>
      <c r="CO40" s="1388">
        <v>0</v>
      </c>
      <c r="CP40" s="1388">
        <v>0</v>
      </c>
      <c r="CQ40" s="1388">
        <v>0</v>
      </c>
      <c r="CR40" s="1388">
        <v>0</v>
      </c>
      <c r="CS40" s="1388">
        <v>0</v>
      </c>
      <c r="CT40" s="1388">
        <v>0</v>
      </c>
      <c r="CU40" s="1388">
        <v>0</v>
      </c>
      <c r="CV40" s="1388">
        <v>0</v>
      </c>
      <c r="CW40" s="1388">
        <v>0</v>
      </c>
      <c r="CX40" s="1388"/>
      <c r="CY40" s="1388"/>
      <c r="CZ40" s="1388"/>
      <c r="DA40" s="1388"/>
      <c r="DB40" s="1388"/>
      <c r="DC40" s="1388"/>
      <c r="DD40" s="1388"/>
      <c r="DE40" s="1388"/>
      <c r="DF40" s="1388"/>
      <c r="DG40" s="1388"/>
      <c r="DH40" s="1388"/>
      <c r="DI40" s="1388"/>
      <c r="DJ40" s="1388"/>
      <c r="DK40" s="1388"/>
      <c r="DL40" s="1388"/>
      <c r="DM40" s="1388"/>
      <c r="DN40" s="1388"/>
      <c r="DO40" s="1388"/>
      <c r="DP40" s="1388"/>
      <c r="DQ40" s="1388"/>
      <c r="DR40" s="1388"/>
      <c r="DS40" s="1388"/>
      <c r="DT40" s="1388"/>
      <c r="DU40" s="1388"/>
      <c r="DV40" s="1388"/>
      <c r="DW40" s="1388"/>
      <c r="DX40" s="1388"/>
      <c r="DY40" s="1388"/>
      <c r="DZ40" s="1388"/>
      <c r="EA40" s="1388"/>
      <c r="EB40" s="1388"/>
      <c r="EC40" s="1388"/>
      <c r="ED40" s="1388"/>
      <c r="EE40" s="1388"/>
      <c r="EF40" s="1388"/>
      <c r="EG40" s="1388"/>
      <c r="EH40" s="501"/>
      <c r="EI40" s="117"/>
      <c r="EJ40" s="117"/>
      <c r="EK40" s="117"/>
      <c r="EL40" s="117"/>
      <c r="EM40" s="117"/>
      <c r="EN40" s="117"/>
      <c r="EO40" s="117"/>
      <c r="EP40" s="117"/>
      <c r="EQ40" s="117"/>
      <c r="ER40" s="117"/>
      <c r="ES40" s="117"/>
      <c r="ET40" s="117"/>
      <c r="EU40" s="117"/>
      <c r="EV40" s="117"/>
      <c r="EW40" s="117"/>
      <c r="EX40" s="117"/>
      <c r="EY40" s="117"/>
      <c r="EZ40" s="117"/>
      <c r="FA40" s="117"/>
      <c r="FB40" s="117"/>
      <c r="FC40" s="117"/>
      <c r="FD40" s="117"/>
      <c r="FE40" s="117"/>
      <c r="FF40" s="117"/>
      <c r="FG40" s="117"/>
      <c r="FH40" s="117"/>
      <c r="FI40" s="117"/>
      <c r="FJ40" s="117"/>
      <c r="FK40" s="117"/>
      <c r="JJ40" s="501"/>
      <c r="JK40" s="117"/>
      <c r="JL40" s="117"/>
      <c r="JM40" s="117"/>
      <c r="JN40" s="117"/>
      <c r="JO40" s="117"/>
      <c r="JP40" s="117"/>
      <c r="JQ40" s="117"/>
      <c r="JR40" s="117"/>
      <c r="JS40" s="117"/>
      <c r="JT40" s="117"/>
      <c r="JU40" s="117"/>
      <c r="JV40" s="117"/>
      <c r="JW40" s="117"/>
      <c r="JX40" s="117"/>
      <c r="JY40" s="117"/>
      <c r="JZ40" s="117"/>
      <c r="KA40" s="117"/>
      <c r="KB40" s="117"/>
      <c r="KC40" s="117"/>
      <c r="KD40" s="117"/>
      <c r="KE40" s="117"/>
      <c r="KF40" s="117"/>
      <c r="KG40" s="117"/>
      <c r="KH40" s="117"/>
      <c r="KI40" s="117"/>
      <c r="KJ40" s="117"/>
      <c r="KK40" s="117"/>
      <c r="KL40" s="117"/>
      <c r="KM40" s="117"/>
    </row>
    <row r="41" spans="1:365" s="114" customFormat="1" ht="16" hidden="1">
      <c r="A41" s="506">
        <f t="shared" si="1"/>
        <v>0</v>
      </c>
      <c r="B41"/>
      <c r="C41" s="1442"/>
      <c r="D41" s="500">
        <f t="shared" si="2"/>
        <v>0</v>
      </c>
      <c r="E41"/>
      <c r="F41" s="1389" cm="1">
        <f t="array" ref="F41:CW41">TRANSPOSE(_xlfn.ANCHORARRAY(mProject!AS$9))</f>
        <v>0</v>
      </c>
      <c r="G41" s="1388">
        <v>0</v>
      </c>
      <c r="H41" s="1388">
        <v>0</v>
      </c>
      <c r="I41" s="1388">
        <v>0</v>
      </c>
      <c r="J41" s="1388">
        <v>0</v>
      </c>
      <c r="K41" s="1388">
        <v>0</v>
      </c>
      <c r="L41" s="1388">
        <v>0</v>
      </c>
      <c r="M41" s="1388">
        <v>0</v>
      </c>
      <c r="N41" s="1388">
        <v>0</v>
      </c>
      <c r="O41" s="1388">
        <v>0</v>
      </c>
      <c r="P41" s="1388">
        <v>0</v>
      </c>
      <c r="Q41" s="1388">
        <v>0</v>
      </c>
      <c r="R41" s="1388">
        <v>0</v>
      </c>
      <c r="S41" s="1388">
        <v>0</v>
      </c>
      <c r="T41" s="1388">
        <v>0</v>
      </c>
      <c r="U41" s="1388">
        <v>0</v>
      </c>
      <c r="V41" s="1388">
        <v>0</v>
      </c>
      <c r="W41" s="1388">
        <v>0</v>
      </c>
      <c r="X41" s="1388">
        <v>0</v>
      </c>
      <c r="Y41" s="1388">
        <v>0</v>
      </c>
      <c r="Z41" s="1388">
        <v>0</v>
      </c>
      <c r="AA41" s="1388">
        <v>0</v>
      </c>
      <c r="AB41" s="1388">
        <v>0</v>
      </c>
      <c r="AC41" s="1388">
        <v>0</v>
      </c>
      <c r="AD41" s="1388">
        <v>0</v>
      </c>
      <c r="AE41" s="1388">
        <v>0</v>
      </c>
      <c r="AF41" s="1388">
        <v>0</v>
      </c>
      <c r="AG41" s="1388">
        <v>0</v>
      </c>
      <c r="AH41" s="1388">
        <v>0</v>
      </c>
      <c r="AI41" s="1388">
        <v>0</v>
      </c>
      <c r="AJ41" s="1388">
        <v>0</v>
      </c>
      <c r="AK41" s="1388">
        <v>0</v>
      </c>
      <c r="AL41" s="1388">
        <v>0</v>
      </c>
      <c r="AM41" s="1388">
        <v>0</v>
      </c>
      <c r="AN41" s="1388">
        <v>0</v>
      </c>
      <c r="AO41" s="1388">
        <v>0</v>
      </c>
      <c r="AP41" s="1388">
        <v>0</v>
      </c>
      <c r="AQ41" s="1388">
        <v>0</v>
      </c>
      <c r="AR41" s="1388">
        <v>0</v>
      </c>
      <c r="AS41" s="1388">
        <v>0</v>
      </c>
      <c r="AT41" s="1388">
        <v>0</v>
      </c>
      <c r="AU41" s="1388">
        <v>0</v>
      </c>
      <c r="AV41" s="1388">
        <v>0</v>
      </c>
      <c r="AW41" s="1388">
        <v>0</v>
      </c>
      <c r="AX41" s="1388">
        <v>0</v>
      </c>
      <c r="AY41" s="1388">
        <v>0</v>
      </c>
      <c r="AZ41" s="1388">
        <v>0</v>
      </c>
      <c r="BA41" s="1388">
        <v>0</v>
      </c>
      <c r="BB41" s="1388">
        <v>0</v>
      </c>
      <c r="BC41" s="1388">
        <v>0</v>
      </c>
      <c r="BD41" s="1388">
        <v>0</v>
      </c>
      <c r="BE41" s="1388">
        <v>0</v>
      </c>
      <c r="BF41" s="1388">
        <v>0</v>
      </c>
      <c r="BG41" s="1388">
        <v>0</v>
      </c>
      <c r="BH41" s="1388">
        <v>0</v>
      </c>
      <c r="BI41" s="1388">
        <v>0</v>
      </c>
      <c r="BJ41" s="1388">
        <v>0</v>
      </c>
      <c r="BK41" s="1388">
        <v>0</v>
      </c>
      <c r="BL41" s="1388">
        <v>0</v>
      </c>
      <c r="BM41" s="1388">
        <v>0</v>
      </c>
      <c r="BN41" s="1388">
        <v>0</v>
      </c>
      <c r="BO41" s="1388">
        <v>0</v>
      </c>
      <c r="BP41" s="1388">
        <v>0</v>
      </c>
      <c r="BQ41" s="1388">
        <v>0</v>
      </c>
      <c r="BR41" s="1388">
        <v>0</v>
      </c>
      <c r="BS41" s="1388">
        <v>0</v>
      </c>
      <c r="BT41" s="1388">
        <v>0</v>
      </c>
      <c r="BU41" s="1388">
        <v>0</v>
      </c>
      <c r="BV41" s="1388">
        <v>0</v>
      </c>
      <c r="BW41" s="1388">
        <v>0</v>
      </c>
      <c r="BX41" s="1388">
        <v>0</v>
      </c>
      <c r="BY41" s="1388">
        <v>0</v>
      </c>
      <c r="BZ41" s="1388">
        <v>0</v>
      </c>
      <c r="CA41" s="1388">
        <v>0</v>
      </c>
      <c r="CB41" s="1388">
        <v>0</v>
      </c>
      <c r="CC41" s="1388">
        <v>0</v>
      </c>
      <c r="CD41" s="1388">
        <v>0</v>
      </c>
      <c r="CE41" s="1388">
        <v>0</v>
      </c>
      <c r="CF41" s="1388">
        <v>0</v>
      </c>
      <c r="CG41" s="1388">
        <v>0</v>
      </c>
      <c r="CH41" s="1388">
        <v>0</v>
      </c>
      <c r="CI41" s="1388">
        <v>0</v>
      </c>
      <c r="CJ41" s="1388">
        <v>0</v>
      </c>
      <c r="CK41" s="1388">
        <v>0</v>
      </c>
      <c r="CL41" s="1388">
        <v>0</v>
      </c>
      <c r="CM41" s="1388">
        <v>0</v>
      </c>
      <c r="CN41" s="1388">
        <v>0</v>
      </c>
      <c r="CO41" s="1388">
        <v>0</v>
      </c>
      <c r="CP41" s="1388">
        <v>0</v>
      </c>
      <c r="CQ41" s="1388">
        <v>0</v>
      </c>
      <c r="CR41" s="1388">
        <v>0</v>
      </c>
      <c r="CS41" s="1388">
        <v>0</v>
      </c>
      <c r="CT41" s="1388">
        <v>0</v>
      </c>
      <c r="CU41" s="1388">
        <v>0</v>
      </c>
      <c r="CV41" s="1388">
        <v>0</v>
      </c>
      <c r="CW41" s="1388">
        <v>0</v>
      </c>
      <c r="CX41" s="1388"/>
      <c r="CY41" s="1388"/>
      <c r="CZ41" s="1388"/>
      <c r="DA41" s="1388"/>
      <c r="DB41" s="1388"/>
      <c r="DC41" s="1388"/>
      <c r="DD41" s="1388"/>
      <c r="DE41" s="1388"/>
      <c r="DF41" s="1388"/>
      <c r="DG41" s="1388"/>
      <c r="DH41" s="1388"/>
      <c r="DI41" s="1388"/>
      <c r="DJ41" s="1388"/>
      <c r="DK41" s="1388"/>
      <c r="DL41" s="1388"/>
      <c r="DM41" s="1388"/>
      <c r="DN41" s="1388"/>
      <c r="DO41" s="1388"/>
      <c r="DP41" s="1388"/>
      <c r="DQ41" s="1388"/>
      <c r="DR41" s="1388"/>
      <c r="DS41" s="1388"/>
      <c r="DT41" s="1388"/>
      <c r="DU41" s="1388"/>
      <c r="DV41" s="1388"/>
      <c r="DW41" s="1388"/>
      <c r="DX41" s="1388"/>
      <c r="DY41" s="1388"/>
      <c r="DZ41" s="1388"/>
      <c r="EA41" s="1388"/>
      <c r="EB41" s="1388"/>
      <c r="EC41" s="1388"/>
      <c r="ED41" s="1388"/>
      <c r="EE41" s="1388"/>
      <c r="EF41" s="1388"/>
      <c r="EG41" s="1388"/>
      <c r="EH41" s="501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JJ41" s="501"/>
      <c r="JK41" s="117"/>
      <c r="JL41" s="117"/>
      <c r="JM41" s="117"/>
      <c r="JN41" s="117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117"/>
      <c r="KC41" s="117"/>
      <c r="KD41" s="117"/>
      <c r="KE41" s="117"/>
      <c r="KF41" s="117"/>
      <c r="KG41" s="117"/>
      <c r="KH41" s="117"/>
      <c r="KI41" s="117"/>
      <c r="KJ41" s="117"/>
      <c r="KK41" s="117"/>
      <c r="KL41" s="117"/>
      <c r="KM41" s="117"/>
    </row>
    <row r="42" spans="1:365" s="114" customFormat="1" ht="16" hidden="1">
      <c r="A42" s="506">
        <f t="shared" si="1"/>
        <v>0</v>
      </c>
      <c r="B42"/>
      <c r="C42" s="1442"/>
      <c r="D42" s="500">
        <f t="shared" si="2"/>
        <v>0</v>
      </c>
      <c r="E42"/>
      <c r="F42" s="1389" cm="1">
        <f t="array" ref="F42:CW42">TRANSPOSE(_xlfn.ANCHORARRAY(mProject!AT$9))</f>
        <v>0</v>
      </c>
      <c r="G42" s="1388">
        <v>0</v>
      </c>
      <c r="H42" s="1388">
        <v>0</v>
      </c>
      <c r="I42" s="1388">
        <v>0</v>
      </c>
      <c r="J42" s="1388">
        <v>0</v>
      </c>
      <c r="K42" s="1388">
        <v>0</v>
      </c>
      <c r="L42" s="1388">
        <v>0</v>
      </c>
      <c r="M42" s="1388">
        <v>0</v>
      </c>
      <c r="N42" s="1388">
        <v>0</v>
      </c>
      <c r="O42" s="1388">
        <v>0</v>
      </c>
      <c r="P42" s="1388">
        <v>0</v>
      </c>
      <c r="Q42" s="1388">
        <v>0</v>
      </c>
      <c r="R42" s="1388">
        <v>0</v>
      </c>
      <c r="S42" s="1388">
        <v>0</v>
      </c>
      <c r="T42" s="1388">
        <v>0</v>
      </c>
      <c r="U42" s="1388">
        <v>0</v>
      </c>
      <c r="V42" s="1388">
        <v>0</v>
      </c>
      <c r="W42" s="1388">
        <v>0</v>
      </c>
      <c r="X42" s="1388">
        <v>0</v>
      </c>
      <c r="Y42" s="1388">
        <v>0</v>
      </c>
      <c r="Z42" s="1388">
        <v>0</v>
      </c>
      <c r="AA42" s="1388">
        <v>0</v>
      </c>
      <c r="AB42" s="1388">
        <v>0</v>
      </c>
      <c r="AC42" s="1388">
        <v>0</v>
      </c>
      <c r="AD42" s="1388">
        <v>0</v>
      </c>
      <c r="AE42" s="1388">
        <v>0</v>
      </c>
      <c r="AF42" s="1388">
        <v>0</v>
      </c>
      <c r="AG42" s="1388">
        <v>0</v>
      </c>
      <c r="AH42" s="1388">
        <v>0</v>
      </c>
      <c r="AI42" s="1388">
        <v>0</v>
      </c>
      <c r="AJ42" s="1388">
        <v>0</v>
      </c>
      <c r="AK42" s="1388">
        <v>0</v>
      </c>
      <c r="AL42" s="1388">
        <v>0</v>
      </c>
      <c r="AM42" s="1388">
        <v>0</v>
      </c>
      <c r="AN42" s="1388">
        <v>0</v>
      </c>
      <c r="AO42" s="1388">
        <v>0</v>
      </c>
      <c r="AP42" s="1388">
        <v>0</v>
      </c>
      <c r="AQ42" s="1388">
        <v>0</v>
      </c>
      <c r="AR42" s="1388">
        <v>0</v>
      </c>
      <c r="AS42" s="1388">
        <v>0</v>
      </c>
      <c r="AT42" s="1388">
        <v>0</v>
      </c>
      <c r="AU42" s="1388">
        <v>0</v>
      </c>
      <c r="AV42" s="1388">
        <v>0</v>
      </c>
      <c r="AW42" s="1388">
        <v>0</v>
      </c>
      <c r="AX42" s="1388">
        <v>0</v>
      </c>
      <c r="AY42" s="1388">
        <v>0</v>
      </c>
      <c r="AZ42" s="1388">
        <v>0</v>
      </c>
      <c r="BA42" s="1388">
        <v>0</v>
      </c>
      <c r="BB42" s="1388">
        <v>0</v>
      </c>
      <c r="BC42" s="1388">
        <v>0</v>
      </c>
      <c r="BD42" s="1388">
        <v>0</v>
      </c>
      <c r="BE42" s="1388">
        <v>0</v>
      </c>
      <c r="BF42" s="1388">
        <v>0</v>
      </c>
      <c r="BG42" s="1388">
        <v>0</v>
      </c>
      <c r="BH42" s="1388">
        <v>0</v>
      </c>
      <c r="BI42" s="1388">
        <v>0</v>
      </c>
      <c r="BJ42" s="1388">
        <v>0</v>
      </c>
      <c r="BK42" s="1388">
        <v>0</v>
      </c>
      <c r="BL42" s="1388">
        <v>0</v>
      </c>
      <c r="BM42" s="1388">
        <v>0</v>
      </c>
      <c r="BN42" s="1388">
        <v>0</v>
      </c>
      <c r="BO42" s="1388">
        <v>0</v>
      </c>
      <c r="BP42" s="1388">
        <v>0</v>
      </c>
      <c r="BQ42" s="1388">
        <v>0</v>
      </c>
      <c r="BR42" s="1388">
        <v>0</v>
      </c>
      <c r="BS42" s="1388">
        <v>0</v>
      </c>
      <c r="BT42" s="1388">
        <v>0</v>
      </c>
      <c r="BU42" s="1388">
        <v>0</v>
      </c>
      <c r="BV42" s="1388">
        <v>0</v>
      </c>
      <c r="BW42" s="1388">
        <v>0</v>
      </c>
      <c r="BX42" s="1388">
        <v>0</v>
      </c>
      <c r="BY42" s="1388">
        <v>0</v>
      </c>
      <c r="BZ42" s="1388">
        <v>0</v>
      </c>
      <c r="CA42" s="1388">
        <v>0</v>
      </c>
      <c r="CB42" s="1388">
        <v>0</v>
      </c>
      <c r="CC42" s="1388">
        <v>0</v>
      </c>
      <c r="CD42" s="1388">
        <v>0</v>
      </c>
      <c r="CE42" s="1388">
        <v>0</v>
      </c>
      <c r="CF42" s="1388">
        <v>0</v>
      </c>
      <c r="CG42" s="1388">
        <v>0</v>
      </c>
      <c r="CH42" s="1388">
        <v>0</v>
      </c>
      <c r="CI42" s="1388">
        <v>0</v>
      </c>
      <c r="CJ42" s="1388">
        <v>0</v>
      </c>
      <c r="CK42" s="1388">
        <v>0</v>
      </c>
      <c r="CL42" s="1388">
        <v>0</v>
      </c>
      <c r="CM42" s="1388">
        <v>0</v>
      </c>
      <c r="CN42" s="1388">
        <v>0</v>
      </c>
      <c r="CO42" s="1388">
        <v>0</v>
      </c>
      <c r="CP42" s="1388">
        <v>0</v>
      </c>
      <c r="CQ42" s="1388">
        <v>0</v>
      </c>
      <c r="CR42" s="1388">
        <v>0</v>
      </c>
      <c r="CS42" s="1388">
        <v>0</v>
      </c>
      <c r="CT42" s="1388">
        <v>0</v>
      </c>
      <c r="CU42" s="1388">
        <v>0</v>
      </c>
      <c r="CV42" s="1388">
        <v>0</v>
      </c>
      <c r="CW42" s="1388">
        <v>0</v>
      </c>
      <c r="CX42" s="1388"/>
      <c r="CY42" s="1388"/>
      <c r="CZ42" s="1388"/>
      <c r="DA42" s="1388"/>
      <c r="DB42" s="1388"/>
      <c r="DC42" s="1388"/>
      <c r="DD42" s="1388"/>
      <c r="DE42" s="1388"/>
      <c r="DF42" s="1388"/>
      <c r="DG42" s="1388"/>
      <c r="DH42" s="1388"/>
      <c r="DI42" s="1388"/>
      <c r="DJ42" s="1388"/>
      <c r="DK42" s="1388"/>
      <c r="DL42" s="1388"/>
      <c r="DM42" s="1388"/>
      <c r="DN42" s="1388"/>
      <c r="DO42" s="1388"/>
      <c r="DP42" s="1388"/>
      <c r="DQ42" s="1388"/>
      <c r="DR42" s="1388"/>
      <c r="DS42" s="1388"/>
      <c r="DT42" s="1388"/>
      <c r="DU42" s="1388"/>
      <c r="DV42" s="1388"/>
      <c r="DW42" s="1388"/>
      <c r="DX42" s="1388"/>
      <c r="DY42" s="1388"/>
      <c r="DZ42" s="1388"/>
      <c r="EA42" s="1388"/>
      <c r="EB42" s="1388"/>
      <c r="EC42" s="1388"/>
      <c r="ED42" s="1388"/>
      <c r="EE42" s="1388"/>
      <c r="EF42" s="1388"/>
      <c r="EG42" s="1388"/>
      <c r="EH42" s="501"/>
      <c r="EI42" s="117"/>
      <c r="EJ42" s="117"/>
      <c r="EK42" s="117"/>
      <c r="EL42" s="117"/>
      <c r="EM42" s="117"/>
      <c r="EN42" s="117"/>
      <c r="EO42" s="117"/>
      <c r="EP42" s="117"/>
      <c r="EQ42" s="117"/>
      <c r="ER42" s="117"/>
      <c r="ES42" s="117"/>
      <c r="ET42" s="117"/>
      <c r="EU42" s="117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17"/>
      <c r="FG42" s="117"/>
      <c r="FH42" s="117"/>
      <c r="FI42" s="117"/>
      <c r="FJ42" s="117"/>
      <c r="FK42" s="117"/>
      <c r="JJ42" s="501"/>
      <c r="JK42" s="117"/>
      <c r="JL42" s="117"/>
      <c r="JM42" s="117"/>
      <c r="JN42" s="117"/>
      <c r="JO42" s="117"/>
      <c r="JP42" s="117"/>
      <c r="JQ42" s="117"/>
      <c r="JR42" s="117"/>
      <c r="JS42" s="117"/>
      <c r="JT42" s="117"/>
      <c r="JU42" s="117"/>
      <c r="JV42" s="117"/>
      <c r="JW42" s="117"/>
      <c r="JX42" s="117"/>
      <c r="JY42" s="117"/>
      <c r="JZ42" s="117"/>
      <c r="KA42" s="117"/>
      <c r="KB42" s="117"/>
      <c r="KC42" s="117"/>
      <c r="KD42" s="117"/>
      <c r="KE42" s="117"/>
      <c r="KF42" s="117"/>
      <c r="KG42" s="117"/>
      <c r="KH42" s="117"/>
      <c r="KI42" s="117"/>
      <c r="KJ42" s="117"/>
      <c r="KK42" s="117"/>
      <c r="KL42" s="117"/>
      <c r="KM42" s="117"/>
    </row>
    <row r="43" spans="1:365" s="114" customFormat="1" ht="16" hidden="1">
      <c r="A43" s="506">
        <f t="shared" si="1"/>
        <v>0</v>
      </c>
      <c r="B43"/>
      <c r="C43" s="1442"/>
      <c r="D43" s="500">
        <f t="shared" si="2"/>
        <v>0</v>
      </c>
      <c r="E43"/>
      <c r="F43" s="1389" cm="1">
        <f t="array" ref="F43:CW43">TRANSPOSE(_xlfn.ANCHORARRAY(mProject!AU$9))</f>
        <v>0</v>
      </c>
      <c r="G43" s="1388">
        <v>0</v>
      </c>
      <c r="H43" s="1388">
        <v>0</v>
      </c>
      <c r="I43" s="1388">
        <v>0</v>
      </c>
      <c r="J43" s="1388">
        <v>0</v>
      </c>
      <c r="K43" s="1388">
        <v>0</v>
      </c>
      <c r="L43" s="1388">
        <v>0</v>
      </c>
      <c r="M43" s="1388">
        <v>0</v>
      </c>
      <c r="N43" s="1388">
        <v>0</v>
      </c>
      <c r="O43" s="1388">
        <v>0</v>
      </c>
      <c r="P43" s="1388">
        <v>0</v>
      </c>
      <c r="Q43" s="1388">
        <v>0</v>
      </c>
      <c r="R43" s="1388">
        <v>0</v>
      </c>
      <c r="S43" s="1388">
        <v>0</v>
      </c>
      <c r="T43" s="1388">
        <v>0</v>
      </c>
      <c r="U43" s="1388">
        <v>0</v>
      </c>
      <c r="V43" s="1388">
        <v>0</v>
      </c>
      <c r="W43" s="1388">
        <v>0</v>
      </c>
      <c r="X43" s="1388">
        <v>0</v>
      </c>
      <c r="Y43" s="1388">
        <v>0</v>
      </c>
      <c r="Z43" s="1388">
        <v>0</v>
      </c>
      <c r="AA43" s="1388">
        <v>0</v>
      </c>
      <c r="AB43" s="1388">
        <v>0</v>
      </c>
      <c r="AC43" s="1388">
        <v>0</v>
      </c>
      <c r="AD43" s="1388">
        <v>0</v>
      </c>
      <c r="AE43" s="1388">
        <v>0</v>
      </c>
      <c r="AF43" s="1388">
        <v>0</v>
      </c>
      <c r="AG43" s="1388">
        <v>0</v>
      </c>
      <c r="AH43" s="1388">
        <v>0</v>
      </c>
      <c r="AI43" s="1388">
        <v>0</v>
      </c>
      <c r="AJ43" s="1388">
        <v>0</v>
      </c>
      <c r="AK43" s="1388">
        <v>0</v>
      </c>
      <c r="AL43" s="1388">
        <v>0</v>
      </c>
      <c r="AM43" s="1388">
        <v>0</v>
      </c>
      <c r="AN43" s="1388">
        <v>0</v>
      </c>
      <c r="AO43" s="1388">
        <v>0</v>
      </c>
      <c r="AP43" s="1388">
        <v>0</v>
      </c>
      <c r="AQ43" s="1388">
        <v>0</v>
      </c>
      <c r="AR43" s="1388">
        <v>0</v>
      </c>
      <c r="AS43" s="1388">
        <v>0</v>
      </c>
      <c r="AT43" s="1388">
        <v>0</v>
      </c>
      <c r="AU43" s="1388">
        <v>0</v>
      </c>
      <c r="AV43" s="1388">
        <v>0</v>
      </c>
      <c r="AW43" s="1388">
        <v>0</v>
      </c>
      <c r="AX43" s="1388">
        <v>0</v>
      </c>
      <c r="AY43" s="1388">
        <v>0</v>
      </c>
      <c r="AZ43" s="1388">
        <v>0</v>
      </c>
      <c r="BA43" s="1388">
        <v>0</v>
      </c>
      <c r="BB43" s="1388">
        <v>0</v>
      </c>
      <c r="BC43" s="1388">
        <v>0</v>
      </c>
      <c r="BD43" s="1388">
        <v>0</v>
      </c>
      <c r="BE43" s="1388">
        <v>0</v>
      </c>
      <c r="BF43" s="1388">
        <v>0</v>
      </c>
      <c r="BG43" s="1388">
        <v>0</v>
      </c>
      <c r="BH43" s="1388">
        <v>0</v>
      </c>
      <c r="BI43" s="1388">
        <v>0</v>
      </c>
      <c r="BJ43" s="1388">
        <v>0</v>
      </c>
      <c r="BK43" s="1388">
        <v>0</v>
      </c>
      <c r="BL43" s="1388">
        <v>0</v>
      </c>
      <c r="BM43" s="1388">
        <v>0</v>
      </c>
      <c r="BN43" s="1388">
        <v>0</v>
      </c>
      <c r="BO43" s="1388">
        <v>0</v>
      </c>
      <c r="BP43" s="1388">
        <v>0</v>
      </c>
      <c r="BQ43" s="1388">
        <v>0</v>
      </c>
      <c r="BR43" s="1388">
        <v>0</v>
      </c>
      <c r="BS43" s="1388">
        <v>0</v>
      </c>
      <c r="BT43" s="1388">
        <v>0</v>
      </c>
      <c r="BU43" s="1388">
        <v>0</v>
      </c>
      <c r="BV43" s="1388">
        <v>0</v>
      </c>
      <c r="BW43" s="1388">
        <v>0</v>
      </c>
      <c r="BX43" s="1388">
        <v>0</v>
      </c>
      <c r="BY43" s="1388">
        <v>0</v>
      </c>
      <c r="BZ43" s="1388">
        <v>0</v>
      </c>
      <c r="CA43" s="1388">
        <v>0</v>
      </c>
      <c r="CB43" s="1388">
        <v>0</v>
      </c>
      <c r="CC43" s="1388">
        <v>0</v>
      </c>
      <c r="CD43" s="1388">
        <v>0</v>
      </c>
      <c r="CE43" s="1388">
        <v>0</v>
      </c>
      <c r="CF43" s="1388">
        <v>0</v>
      </c>
      <c r="CG43" s="1388">
        <v>0</v>
      </c>
      <c r="CH43" s="1388">
        <v>0</v>
      </c>
      <c r="CI43" s="1388">
        <v>0</v>
      </c>
      <c r="CJ43" s="1388">
        <v>0</v>
      </c>
      <c r="CK43" s="1388">
        <v>0</v>
      </c>
      <c r="CL43" s="1388">
        <v>0</v>
      </c>
      <c r="CM43" s="1388">
        <v>0</v>
      </c>
      <c r="CN43" s="1388">
        <v>0</v>
      </c>
      <c r="CO43" s="1388">
        <v>0</v>
      </c>
      <c r="CP43" s="1388">
        <v>0</v>
      </c>
      <c r="CQ43" s="1388">
        <v>0</v>
      </c>
      <c r="CR43" s="1388">
        <v>0</v>
      </c>
      <c r="CS43" s="1388">
        <v>0</v>
      </c>
      <c r="CT43" s="1388">
        <v>0</v>
      </c>
      <c r="CU43" s="1388">
        <v>0</v>
      </c>
      <c r="CV43" s="1388">
        <v>0</v>
      </c>
      <c r="CW43" s="1388">
        <v>0</v>
      </c>
      <c r="CX43" s="1388"/>
      <c r="CY43" s="1388"/>
      <c r="CZ43" s="1388"/>
      <c r="DA43" s="1388"/>
      <c r="DB43" s="1388"/>
      <c r="DC43" s="1388"/>
      <c r="DD43" s="1388"/>
      <c r="DE43" s="1388"/>
      <c r="DF43" s="1388"/>
      <c r="DG43" s="1388"/>
      <c r="DH43" s="1388"/>
      <c r="DI43" s="1388"/>
      <c r="DJ43" s="1388"/>
      <c r="DK43" s="1388"/>
      <c r="DL43" s="1388"/>
      <c r="DM43" s="1388"/>
      <c r="DN43" s="1388"/>
      <c r="DO43" s="1388"/>
      <c r="DP43" s="1388"/>
      <c r="DQ43" s="1388"/>
      <c r="DR43" s="1388"/>
      <c r="DS43" s="1388"/>
      <c r="DT43" s="1388"/>
      <c r="DU43" s="1388"/>
      <c r="DV43" s="1388"/>
      <c r="DW43" s="1388"/>
      <c r="DX43" s="1388"/>
      <c r="DY43" s="1388"/>
      <c r="DZ43" s="1388"/>
      <c r="EA43" s="1388"/>
      <c r="EB43" s="1388"/>
      <c r="EC43" s="1388"/>
      <c r="ED43" s="1388"/>
      <c r="EE43" s="1388"/>
      <c r="EF43" s="1388"/>
      <c r="EG43" s="1388"/>
      <c r="EH43" s="501"/>
      <c r="EI43" s="117"/>
      <c r="EJ43" s="117"/>
      <c r="EK43" s="117"/>
      <c r="EL43" s="117"/>
      <c r="EM43" s="117"/>
      <c r="EN43" s="117"/>
      <c r="EO43" s="117"/>
      <c r="EP43" s="117"/>
      <c r="EQ43" s="117"/>
      <c r="ER43" s="117"/>
      <c r="ES43" s="117"/>
      <c r="ET43" s="117"/>
      <c r="EU43" s="117"/>
      <c r="EV43" s="117"/>
      <c r="EW43" s="117"/>
      <c r="EX43" s="117"/>
      <c r="EY43" s="117"/>
      <c r="EZ43" s="117"/>
      <c r="FA43" s="117"/>
      <c r="FB43" s="117"/>
      <c r="FC43" s="117"/>
      <c r="FD43" s="117"/>
      <c r="FE43" s="117"/>
      <c r="FF43" s="117"/>
      <c r="FG43" s="117"/>
      <c r="FH43" s="117"/>
      <c r="FI43" s="117"/>
      <c r="FJ43" s="117"/>
      <c r="FK43" s="117"/>
      <c r="JJ43" s="501"/>
      <c r="JK43" s="117"/>
      <c r="JL43" s="117"/>
      <c r="JM43" s="117"/>
      <c r="JN43" s="117"/>
      <c r="JO43" s="117"/>
      <c r="JP43" s="117"/>
      <c r="JQ43" s="117"/>
      <c r="JR43" s="117"/>
      <c r="JS43" s="117"/>
      <c r="JT43" s="117"/>
      <c r="JU43" s="117"/>
      <c r="JV43" s="117"/>
      <c r="JW43" s="117"/>
      <c r="JX43" s="117"/>
      <c r="JY43" s="117"/>
      <c r="JZ43" s="117"/>
      <c r="KA43" s="117"/>
      <c r="KB43" s="117"/>
      <c r="KC43" s="117"/>
      <c r="KD43" s="117"/>
      <c r="KE43" s="117"/>
      <c r="KF43" s="117"/>
      <c r="KG43" s="117"/>
      <c r="KH43" s="117"/>
      <c r="KI43" s="117"/>
      <c r="KJ43" s="117"/>
      <c r="KK43" s="117"/>
      <c r="KL43" s="117"/>
      <c r="KM43" s="117"/>
    </row>
    <row r="44" spans="1:365" s="114" customFormat="1" ht="16" hidden="1">
      <c r="A44" s="506">
        <f t="shared" si="1"/>
        <v>0</v>
      </c>
      <c r="B44"/>
      <c r="C44" s="1442"/>
      <c r="D44" s="500">
        <f t="shared" si="2"/>
        <v>0</v>
      </c>
      <c r="E44"/>
      <c r="F44" s="1389" cm="1">
        <f t="array" ref="F44:CW44">TRANSPOSE(_xlfn.ANCHORARRAY(mProject!AV$9))</f>
        <v>0</v>
      </c>
      <c r="G44" s="1388">
        <v>0</v>
      </c>
      <c r="H44" s="1388">
        <v>0</v>
      </c>
      <c r="I44" s="1388">
        <v>0</v>
      </c>
      <c r="J44" s="1388">
        <v>0</v>
      </c>
      <c r="K44" s="1388">
        <v>0</v>
      </c>
      <c r="L44" s="1388">
        <v>0</v>
      </c>
      <c r="M44" s="1388">
        <v>0</v>
      </c>
      <c r="N44" s="1388">
        <v>0</v>
      </c>
      <c r="O44" s="1388">
        <v>0</v>
      </c>
      <c r="P44" s="1388">
        <v>0</v>
      </c>
      <c r="Q44" s="1388">
        <v>0</v>
      </c>
      <c r="R44" s="1388">
        <v>0</v>
      </c>
      <c r="S44" s="1388">
        <v>0</v>
      </c>
      <c r="T44" s="1388">
        <v>0</v>
      </c>
      <c r="U44" s="1388">
        <v>0</v>
      </c>
      <c r="V44" s="1388">
        <v>0</v>
      </c>
      <c r="W44" s="1388">
        <v>0</v>
      </c>
      <c r="X44" s="1388">
        <v>0</v>
      </c>
      <c r="Y44" s="1388">
        <v>0</v>
      </c>
      <c r="Z44" s="1388">
        <v>0</v>
      </c>
      <c r="AA44" s="1388">
        <v>0</v>
      </c>
      <c r="AB44" s="1388">
        <v>0</v>
      </c>
      <c r="AC44" s="1388">
        <v>0</v>
      </c>
      <c r="AD44" s="1388">
        <v>0</v>
      </c>
      <c r="AE44" s="1388">
        <v>0</v>
      </c>
      <c r="AF44" s="1388">
        <v>0</v>
      </c>
      <c r="AG44" s="1388">
        <v>0</v>
      </c>
      <c r="AH44" s="1388">
        <v>0</v>
      </c>
      <c r="AI44" s="1388">
        <v>0</v>
      </c>
      <c r="AJ44" s="1388">
        <v>0</v>
      </c>
      <c r="AK44" s="1388">
        <v>0</v>
      </c>
      <c r="AL44" s="1388">
        <v>0</v>
      </c>
      <c r="AM44" s="1388">
        <v>0</v>
      </c>
      <c r="AN44" s="1388">
        <v>0</v>
      </c>
      <c r="AO44" s="1388">
        <v>0</v>
      </c>
      <c r="AP44" s="1388">
        <v>0</v>
      </c>
      <c r="AQ44" s="1388">
        <v>0</v>
      </c>
      <c r="AR44" s="1388">
        <v>0</v>
      </c>
      <c r="AS44" s="1388">
        <v>0</v>
      </c>
      <c r="AT44" s="1388">
        <v>0</v>
      </c>
      <c r="AU44" s="1388">
        <v>0</v>
      </c>
      <c r="AV44" s="1388">
        <v>0</v>
      </c>
      <c r="AW44" s="1388">
        <v>0</v>
      </c>
      <c r="AX44" s="1388">
        <v>0</v>
      </c>
      <c r="AY44" s="1388">
        <v>0</v>
      </c>
      <c r="AZ44" s="1388">
        <v>0</v>
      </c>
      <c r="BA44" s="1388">
        <v>0</v>
      </c>
      <c r="BB44" s="1388">
        <v>0</v>
      </c>
      <c r="BC44" s="1388">
        <v>0</v>
      </c>
      <c r="BD44" s="1388">
        <v>0</v>
      </c>
      <c r="BE44" s="1388">
        <v>0</v>
      </c>
      <c r="BF44" s="1388">
        <v>0</v>
      </c>
      <c r="BG44" s="1388">
        <v>0</v>
      </c>
      <c r="BH44" s="1388">
        <v>0</v>
      </c>
      <c r="BI44" s="1388">
        <v>0</v>
      </c>
      <c r="BJ44" s="1388">
        <v>0</v>
      </c>
      <c r="BK44" s="1388">
        <v>0</v>
      </c>
      <c r="BL44" s="1388">
        <v>0</v>
      </c>
      <c r="BM44" s="1388">
        <v>0</v>
      </c>
      <c r="BN44" s="1388">
        <v>0</v>
      </c>
      <c r="BO44" s="1388">
        <v>0</v>
      </c>
      <c r="BP44" s="1388">
        <v>0</v>
      </c>
      <c r="BQ44" s="1388">
        <v>0</v>
      </c>
      <c r="BR44" s="1388">
        <v>0</v>
      </c>
      <c r="BS44" s="1388">
        <v>0</v>
      </c>
      <c r="BT44" s="1388">
        <v>0</v>
      </c>
      <c r="BU44" s="1388">
        <v>0</v>
      </c>
      <c r="BV44" s="1388">
        <v>0</v>
      </c>
      <c r="BW44" s="1388">
        <v>0</v>
      </c>
      <c r="BX44" s="1388">
        <v>0</v>
      </c>
      <c r="BY44" s="1388">
        <v>0</v>
      </c>
      <c r="BZ44" s="1388">
        <v>0</v>
      </c>
      <c r="CA44" s="1388">
        <v>0</v>
      </c>
      <c r="CB44" s="1388">
        <v>0</v>
      </c>
      <c r="CC44" s="1388">
        <v>0</v>
      </c>
      <c r="CD44" s="1388">
        <v>0</v>
      </c>
      <c r="CE44" s="1388">
        <v>0</v>
      </c>
      <c r="CF44" s="1388">
        <v>0</v>
      </c>
      <c r="CG44" s="1388">
        <v>0</v>
      </c>
      <c r="CH44" s="1388">
        <v>0</v>
      </c>
      <c r="CI44" s="1388">
        <v>0</v>
      </c>
      <c r="CJ44" s="1388">
        <v>0</v>
      </c>
      <c r="CK44" s="1388">
        <v>0</v>
      </c>
      <c r="CL44" s="1388">
        <v>0</v>
      </c>
      <c r="CM44" s="1388">
        <v>0</v>
      </c>
      <c r="CN44" s="1388">
        <v>0</v>
      </c>
      <c r="CO44" s="1388">
        <v>0</v>
      </c>
      <c r="CP44" s="1388">
        <v>0</v>
      </c>
      <c r="CQ44" s="1388">
        <v>0</v>
      </c>
      <c r="CR44" s="1388">
        <v>0</v>
      </c>
      <c r="CS44" s="1388">
        <v>0</v>
      </c>
      <c r="CT44" s="1388">
        <v>0</v>
      </c>
      <c r="CU44" s="1388">
        <v>0</v>
      </c>
      <c r="CV44" s="1388">
        <v>0</v>
      </c>
      <c r="CW44" s="1388">
        <v>0</v>
      </c>
      <c r="CX44" s="1388"/>
      <c r="CY44" s="1388"/>
      <c r="CZ44" s="1388"/>
      <c r="DA44" s="1388"/>
      <c r="DB44" s="1388"/>
      <c r="DC44" s="1388"/>
      <c r="DD44" s="1388"/>
      <c r="DE44" s="1388"/>
      <c r="DF44" s="1388"/>
      <c r="DG44" s="1388"/>
      <c r="DH44" s="1388"/>
      <c r="DI44" s="1388"/>
      <c r="DJ44" s="1388"/>
      <c r="DK44" s="1388"/>
      <c r="DL44" s="1388"/>
      <c r="DM44" s="1388"/>
      <c r="DN44" s="1388"/>
      <c r="DO44" s="1388"/>
      <c r="DP44" s="1388"/>
      <c r="DQ44" s="1388"/>
      <c r="DR44" s="1388"/>
      <c r="DS44" s="1388"/>
      <c r="DT44" s="1388"/>
      <c r="DU44" s="1388"/>
      <c r="DV44" s="1388"/>
      <c r="DW44" s="1388"/>
      <c r="DX44" s="1388"/>
      <c r="DY44" s="1388"/>
      <c r="DZ44" s="1388"/>
      <c r="EA44" s="1388"/>
      <c r="EB44" s="1388"/>
      <c r="EC44" s="1388"/>
      <c r="ED44" s="1388"/>
      <c r="EE44" s="1388"/>
      <c r="EF44" s="1388"/>
      <c r="EG44" s="1388"/>
      <c r="EH44" s="501"/>
      <c r="EI44" s="117"/>
      <c r="EJ44" s="117"/>
      <c r="EK44" s="117"/>
      <c r="EL44" s="117"/>
      <c r="EM44" s="117"/>
      <c r="EN44" s="117"/>
      <c r="EO44" s="117"/>
      <c r="EP44" s="117"/>
      <c r="EQ44" s="117"/>
      <c r="ER44" s="117"/>
      <c r="ES44" s="117"/>
      <c r="ET44" s="117"/>
      <c r="EU44" s="117"/>
      <c r="EV44" s="117"/>
      <c r="EW44" s="117"/>
      <c r="EX44" s="117"/>
      <c r="EY44" s="117"/>
      <c r="EZ44" s="117"/>
      <c r="FA44" s="117"/>
      <c r="FB44" s="117"/>
      <c r="FC44" s="117"/>
      <c r="FD44" s="117"/>
      <c r="FE44" s="117"/>
      <c r="FF44" s="117"/>
      <c r="FG44" s="117"/>
      <c r="FH44" s="117"/>
      <c r="FI44" s="117"/>
      <c r="FJ44" s="117"/>
      <c r="FK44" s="117"/>
      <c r="JJ44" s="501"/>
      <c r="JK44" s="117"/>
      <c r="JL44" s="117"/>
      <c r="JM44" s="117"/>
      <c r="JN44" s="117"/>
      <c r="JO44" s="117"/>
      <c r="JP44" s="117"/>
      <c r="JQ44" s="117"/>
      <c r="JR44" s="117"/>
      <c r="JS44" s="117"/>
      <c r="JT44" s="117"/>
      <c r="JU44" s="117"/>
      <c r="JV44" s="117"/>
      <c r="JW44" s="117"/>
      <c r="JX44" s="117"/>
      <c r="JY44" s="117"/>
      <c r="JZ44" s="117"/>
      <c r="KA44" s="117"/>
      <c r="KB44" s="117"/>
      <c r="KC44" s="117"/>
      <c r="KD44" s="117"/>
      <c r="KE44" s="117"/>
      <c r="KF44" s="117"/>
      <c r="KG44" s="117"/>
      <c r="KH44" s="117"/>
      <c r="KI44" s="117"/>
      <c r="KJ44" s="117"/>
      <c r="KK44" s="117"/>
      <c r="KL44" s="117"/>
      <c r="KM44" s="117"/>
    </row>
    <row r="45" spans="1:365" s="114" customFormat="1" ht="16" hidden="1">
      <c r="A45" s="506">
        <f t="shared" si="1"/>
        <v>0</v>
      </c>
      <c r="B45"/>
      <c r="C45" s="1442"/>
      <c r="D45" s="500">
        <f t="shared" si="2"/>
        <v>0</v>
      </c>
      <c r="E45"/>
      <c r="F45" s="1371" cm="1">
        <f t="array" ref="F45:CW45">TRANSPOSE(_xlfn.ANCHORARRAY(mProject!AW$9))</f>
        <v>0</v>
      </c>
      <c r="G45" s="1403">
        <v>0</v>
      </c>
      <c r="H45" s="1403">
        <v>0</v>
      </c>
      <c r="I45" s="1403">
        <v>0</v>
      </c>
      <c r="J45" s="1403">
        <v>0</v>
      </c>
      <c r="K45" s="1403">
        <v>0</v>
      </c>
      <c r="L45" s="1403">
        <v>0</v>
      </c>
      <c r="M45" s="1403">
        <v>0</v>
      </c>
      <c r="N45" s="1403">
        <v>0</v>
      </c>
      <c r="O45" s="1403">
        <v>0</v>
      </c>
      <c r="P45" s="1403">
        <v>0</v>
      </c>
      <c r="Q45" s="1403">
        <v>0</v>
      </c>
      <c r="R45" s="1403">
        <v>0</v>
      </c>
      <c r="S45" s="1403">
        <v>0</v>
      </c>
      <c r="T45" s="1403">
        <v>0</v>
      </c>
      <c r="U45" s="1403">
        <v>0</v>
      </c>
      <c r="V45" s="1403">
        <v>0</v>
      </c>
      <c r="W45" s="1403">
        <v>0</v>
      </c>
      <c r="X45" s="1403">
        <v>0</v>
      </c>
      <c r="Y45" s="1403">
        <v>0</v>
      </c>
      <c r="Z45" s="1403">
        <v>0</v>
      </c>
      <c r="AA45" s="1403">
        <v>0</v>
      </c>
      <c r="AB45" s="1403">
        <v>0</v>
      </c>
      <c r="AC45" s="1403">
        <v>0</v>
      </c>
      <c r="AD45" s="1403">
        <v>0</v>
      </c>
      <c r="AE45" s="1403">
        <v>0</v>
      </c>
      <c r="AF45" s="1403">
        <v>0</v>
      </c>
      <c r="AG45" s="1403">
        <v>0</v>
      </c>
      <c r="AH45" s="1403">
        <v>0</v>
      </c>
      <c r="AI45" s="1403">
        <v>0</v>
      </c>
      <c r="AJ45" s="1403">
        <v>0</v>
      </c>
      <c r="AK45" s="1403">
        <v>0</v>
      </c>
      <c r="AL45" s="1403">
        <v>0</v>
      </c>
      <c r="AM45" s="1403">
        <v>0</v>
      </c>
      <c r="AN45" s="1403">
        <v>0</v>
      </c>
      <c r="AO45" s="1403">
        <v>0</v>
      </c>
      <c r="AP45" s="1403">
        <v>0</v>
      </c>
      <c r="AQ45" s="1403">
        <v>0</v>
      </c>
      <c r="AR45" s="1403">
        <v>0</v>
      </c>
      <c r="AS45" s="1403">
        <v>0</v>
      </c>
      <c r="AT45" s="1403">
        <v>0</v>
      </c>
      <c r="AU45" s="1403">
        <v>0</v>
      </c>
      <c r="AV45" s="1403">
        <v>0</v>
      </c>
      <c r="AW45" s="1403">
        <v>0</v>
      </c>
      <c r="AX45" s="1403">
        <v>0</v>
      </c>
      <c r="AY45" s="1403">
        <v>0</v>
      </c>
      <c r="AZ45" s="1403">
        <v>0</v>
      </c>
      <c r="BA45" s="1403">
        <v>0</v>
      </c>
      <c r="BB45" s="1403">
        <v>0</v>
      </c>
      <c r="BC45" s="1403">
        <v>0</v>
      </c>
      <c r="BD45" s="1403">
        <v>0</v>
      </c>
      <c r="BE45" s="1403">
        <v>0</v>
      </c>
      <c r="BF45" s="1403">
        <v>0</v>
      </c>
      <c r="BG45" s="1403">
        <v>0</v>
      </c>
      <c r="BH45" s="1403">
        <v>0</v>
      </c>
      <c r="BI45" s="1403">
        <v>0</v>
      </c>
      <c r="BJ45" s="1403">
        <v>0</v>
      </c>
      <c r="BK45" s="1403">
        <v>0</v>
      </c>
      <c r="BL45" s="1403">
        <v>0</v>
      </c>
      <c r="BM45" s="1403">
        <v>0</v>
      </c>
      <c r="BN45" s="1403">
        <v>0</v>
      </c>
      <c r="BO45" s="1403">
        <v>0</v>
      </c>
      <c r="BP45" s="1403">
        <v>0</v>
      </c>
      <c r="BQ45" s="1403">
        <v>0</v>
      </c>
      <c r="BR45" s="1403">
        <v>0</v>
      </c>
      <c r="BS45" s="1403">
        <v>0</v>
      </c>
      <c r="BT45" s="1403">
        <v>0</v>
      </c>
      <c r="BU45" s="1403">
        <v>0</v>
      </c>
      <c r="BV45" s="1403">
        <v>0</v>
      </c>
      <c r="BW45" s="1403">
        <v>0</v>
      </c>
      <c r="BX45" s="1403">
        <v>0</v>
      </c>
      <c r="BY45" s="1403">
        <v>0</v>
      </c>
      <c r="BZ45" s="1403">
        <v>0</v>
      </c>
      <c r="CA45" s="1403">
        <v>0</v>
      </c>
      <c r="CB45" s="1403">
        <v>0</v>
      </c>
      <c r="CC45" s="1403">
        <v>0</v>
      </c>
      <c r="CD45" s="1403">
        <v>0</v>
      </c>
      <c r="CE45" s="1403">
        <v>0</v>
      </c>
      <c r="CF45" s="1403">
        <v>0</v>
      </c>
      <c r="CG45" s="1403">
        <v>0</v>
      </c>
      <c r="CH45" s="1403">
        <v>0</v>
      </c>
      <c r="CI45" s="1403">
        <v>0</v>
      </c>
      <c r="CJ45" s="1403">
        <v>0</v>
      </c>
      <c r="CK45" s="1403">
        <v>0</v>
      </c>
      <c r="CL45" s="1403">
        <v>0</v>
      </c>
      <c r="CM45" s="1403">
        <v>0</v>
      </c>
      <c r="CN45" s="1403">
        <v>0</v>
      </c>
      <c r="CO45" s="1403">
        <v>0</v>
      </c>
      <c r="CP45" s="1403">
        <v>0</v>
      </c>
      <c r="CQ45" s="1403">
        <v>0</v>
      </c>
      <c r="CR45" s="1403">
        <v>0</v>
      </c>
      <c r="CS45" s="1403">
        <v>0</v>
      </c>
      <c r="CT45" s="1403">
        <v>0</v>
      </c>
      <c r="CU45" s="1403">
        <v>0</v>
      </c>
      <c r="CV45" s="1403">
        <v>0</v>
      </c>
      <c r="CW45" s="1403">
        <v>0</v>
      </c>
      <c r="CX45" s="1403"/>
      <c r="CY45" s="1403"/>
      <c r="CZ45" s="1403"/>
      <c r="DA45" s="1403"/>
      <c r="DB45" s="1403"/>
      <c r="DC45" s="1403"/>
      <c r="DD45" s="1403"/>
      <c r="DE45" s="1403"/>
      <c r="DF45" s="1403"/>
      <c r="DG45" s="1403"/>
      <c r="DH45" s="1403"/>
      <c r="DI45" s="1403"/>
      <c r="DJ45" s="1403"/>
      <c r="DK45" s="1403"/>
      <c r="DL45" s="1403"/>
      <c r="DM45" s="1403"/>
      <c r="DN45" s="1403"/>
      <c r="DO45" s="1403"/>
      <c r="DP45" s="1403"/>
      <c r="DQ45" s="1403"/>
      <c r="DR45" s="1403"/>
      <c r="DS45" s="1403"/>
      <c r="DT45" s="1403"/>
      <c r="DU45" s="1403"/>
      <c r="DV45" s="1403"/>
      <c r="DW45" s="1403"/>
      <c r="DX45" s="1403"/>
      <c r="DY45" s="1403"/>
      <c r="DZ45" s="1403"/>
      <c r="EA45" s="1403"/>
      <c r="EB45" s="1403"/>
      <c r="EC45" s="1403"/>
      <c r="ED45" s="1403"/>
      <c r="EE45" s="1403"/>
      <c r="EF45" s="1403"/>
      <c r="EG45" s="1403"/>
      <c r="EH45" s="501"/>
      <c r="EI45" s="117"/>
      <c r="EJ45" s="117"/>
      <c r="EK45" s="117"/>
      <c r="EL45" s="117"/>
      <c r="EM45" s="117"/>
      <c r="EN45" s="117"/>
      <c r="EO45" s="117"/>
      <c r="EP45" s="117"/>
      <c r="EQ45" s="117"/>
      <c r="ER45" s="117"/>
      <c r="ES45" s="117"/>
      <c r="ET45" s="117"/>
      <c r="EU45" s="117"/>
      <c r="EV45" s="117"/>
      <c r="EW45" s="117"/>
      <c r="EX45" s="117"/>
      <c r="EY45" s="117"/>
      <c r="EZ45" s="117"/>
      <c r="FA45" s="117"/>
      <c r="FB45" s="117"/>
      <c r="FC45" s="117"/>
      <c r="FD45" s="117"/>
      <c r="FE45" s="117"/>
      <c r="FF45" s="117"/>
      <c r="FG45" s="117"/>
      <c r="FH45" s="117"/>
      <c r="FI45" s="117"/>
      <c r="FJ45" s="117"/>
      <c r="FK45" s="117"/>
      <c r="JJ45" s="501"/>
      <c r="JK45" s="117"/>
      <c r="JL45" s="117"/>
      <c r="JM45" s="117"/>
      <c r="JN45" s="117"/>
      <c r="JO45" s="117"/>
      <c r="JP45" s="117"/>
      <c r="JQ45" s="117"/>
      <c r="JR45" s="117"/>
      <c r="JS45" s="117"/>
      <c r="JT45" s="117"/>
      <c r="JU45" s="117"/>
      <c r="JV45" s="117"/>
      <c r="JW45" s="117"/>
      <c r="JX45" s="117"/>
      <c r="JY45" s="117"/>
      <c r="JZ45" s="117"/>
      <c r="KA45" s="117"/>
      <c r="KB45" s="117"/>
      <c r="KC45" s="117"/>
      <c r="KD45" s="117"/>
      <c r="KE45" s="117"/>
      <c r="KF45" s="117"/>
      <c r="KG45" s="117"/>
      <c r="KH45" s="117"/>
      <c r="KI45" s="117"/>
      <c r="KJ45" s="117"/>
      <c r="KK45" s="117"/>
      <c r="KL45" s="117"/>
      <c r="KM45" s="117"/>
    </row>
    <row r="46" spans="1:365" s="114" customFormat="1" ht="16">
      <c r="A46" s="506">
        <f t="shared" si="1"/>
        <v>1</v>
      </c>
      <c r="B46"/>
      <c r="C46" s="1382" t="s">
        <v>697</v>
      </c>
      <c r="D46" s="1383">
        <f>SUM(_xlfn.ANCHORARRAY(F46))</f>
        <v>39235624.299927793</v>
      </c>
      <c r="E46"/>
      <c r="F46" s="1404" cm="1">
        <f t="array" ref="F46:CW46">TRANSPOSE(_xlfn.ANCHORARRAY(mProject!AX$9))</f>
        <v>245582.42499999999</v>
      </c>
      <c r="G46" s="1405">
        <v>245582.42499999999</v>
      </c>
      <c r="H46" s="1405">
        <v>245582.42499999999</v>
      </c>
      <c r="I46" s="1405">
        <v>245582.42499999999</v>
      </c>
      <c r="J46" s="1405">
        <v>245582.42499999999</v>
      </c>
      <c r="K46" s="1405">
        <v>245582.42499999999</v>
      </c>
      <c r="L46" s="1405">
        <v>245582.42499999999</v>
      </c>
      <c r="M46" s="1405">
        <v>245582.42499999999</v>
      </c>
      <c r="N46" s="1405">
        <v>245582.42499999999</v>
      </c>
      <c r="O46" s="1405">
        <v>245582.42499999999</v>
      </c>
      <c r="P46" s="1405">
        <v>245582.42499999999</v>
      </c>
      <c r="Q46" s="1405">
        <v>245582.42499999999</v>
      </c>
      <c r="R46" s="1405">
        <v>245582.42499999999</v>
      </c>
      <c r="S46" s="1405">
        <v>245582.42499999999</v>
      </c>
      <c r="T46" s="1405">
        <v>245582.42499999999</v>
      </c>
      <c r="U46" s="1405">
        <v>245582.42499999999</v>
      </c>
      <c r="V46" s="1405">
        <v>245582.42499999999</v>
      </c>
      <c r="W46" s="1405">
        <v>245582.42499999999</v>
      </c>
      <c r="X46" s="1405">
        <v>245582.42499999999</v>
      </c>
      <c r="Y46" s="1405">
        <v>245582.42499999999</v>
      </c>
      <c r="Z46" s="1405">
        <v>245582.42499999999</v>
      </c>
      <c r="AA46" s="1405">
        <v>245582.42499999999</v>
      </c>
      <c r="AB46" s="1405">
        <v>245582.42499999999</v>
      </c>
      <c r="AC46" s="1405">
        <v>1199418.5016942744</v>
      </c>
      <c r="AD46" s="1405">
        <v>1199418.5016942744</v>
      </c>
      <c r="AE46" s="1405">
        <v>953836.07669427432</v>
      </c>
      <c r="AF46" s="1405">
        <v>953836.07669427432</v>
      </c>
      <c r="AG46" s="1405">
        <v>953836.07669427432</v>
      </c>
      <c r="AH46" s="1405">
        <v>953836.07669427432</v>
      </c>
      <c r="AI46" s="1405">
        <v>953836.07669427432</v>
      </c>
      <c r="AJ46" s="1405">
        <v>953836.07669427432</v>
      </c>
      <c r="AK46" s="1405">
        <v>953836.07669427432</v>
      </c>
      <c r="AL46" s="1405">
        <v>953836.07669427432</v>
      </c>
      <c r="AM46" s="1405">
        <v>953836.07669427432</v>
      </c>
      <c r="AN46" s="1405">
        <v>953836.07669427432</v>
      </c>
      <c r="AO46" s="1405">
        <v>953836.07669427432</v>
      </c>
      <c r="AP46" s="1405">
        <v>953836.07669427432</v>
      </c>
      <c r="AQ46" s="1405">
        <v>953836.07669427432</v>
      </c>
      <c r="AR46" s="1405">
        <v>953836.07669427432</v>
      </c>
      <c r="AS46" s="1405">
        <v>953836.07669427432</v>
      </c>
      <c r="AT46" s="1405">
        <v>953836.07669427432</v>
      </c>
      <c r="AU46" s="1405">
        <v>484229.78399257042</v>
      </c>
      <c r="AV46" s="1405">
        <v>484229.78399257042</v>
      </c>
      <c r="AW46" s="1405">
        <v>484229.78399257042</v>
      </c>
      <c r="AX46" s="1405">
        <v>484229.78399257042</v>
      </c>
      <c r="AY46" s="1405">
        <v>484229.78399257042</v>
      </c>
      <c r="AZ46" s="1405">
        <v>484229.78399257042</v>
      </c>
      <c r="BA46" s="1405">
        <v>106128.53878073423</v>
      </c>
      <c r="BB46" s="1405">
        <v>106128.53878073423</v>
      </c>
      <c r="BC46" s="1405">
        <v>106128.53878073423</v>
      </c>
      <c r="BD46" s="1405">
        <v>106128.53878073423</v>
      </c>
      <c r="BE46" s="1405">
        <v>106128.53878073423</v>
      </c>
      <c r="BF46" s="1405">
        <v>106128.53878073423</v>
      </c>
      <c r="BG46" s="1405">
        <v>106128.53878073423</v>
      </c>
      <c r="BH46" s="1405">
        <v>106128.53878073423</v>
      </c>
      <c r="BI46" s="1405">
        <v>106128.53878073423</v>
      </c>
      <c r="BJ46" s="1405">
        <v>106128.53878073423</v>
      </c>
      <c r="BK46" s="1405">
        <v>106128.53878073423</v>
      </c>
      <c r="BL46" s="1405">
        <v>106128.53878073423</v>
      </c>
      <c r="BM46" s="1405">
        <v>328355.50923210382</v>
      </c>
      <c r="BN46" s="1405">
        <v>328355.50923210382</v>
      </c>
      <c r="BO46" s="1405">
        <v>328355.50923210382</v>
      </c>
      <c r="BP46" s="1405">
        <v>328355.50923210382</v>
      </c>
      <c r="BQ46" s="1405">
        <v>328355.50923210382</v>
      </c>
      <c r="BR46" s="1405">
        <v>328355.50923210382</v>
      </c>
      <c r="BS46" s="1405">
        <v>328355.50923210382</v>
      </c>
      <c r="BT46" s="1405">
        <v>328355.50923210382</v>
      </c>
      <c r="BU46" s="1405">
        <v>328355.50923210382</v>
      </c>
      <c r="BV46" s="1405">
        <v>328355.50923210382</v>
      </c>
      <c r="BW46" s="1405">
        <v>328355.50923210382</v>
      </c>
      <c r="BX46" s="1405">
        <v>328355.50923210382</v>
      </c>
      <c r="BY46" s="1405">
        <v>222226.97045136962</v>
      </c>
      <c r="BZ46" s="1405">
        <v>222226.97045136962</v>
      </c>
      <c r="CA46" s="1405">
        <v>222226.97045136962</v>
      </c>
      <c r="CB46" s="1405">
        <v>222226.97045136962</v>
      </c>
      <c r="CC46" s="1405">
        <v>222226.97045136962</v>
      </c>
      <c r="CD46" s="1405">
        <v>222226.97045136962</v>
      </c>
      <c r="CE46" s="1405">
        <v>0</v>
      </c>
      <c r="CF46" s="1405">
        <v>0</v>
      </c>
      <c r="CG46" s="1405">
        <v>0</v>
      </c>
      <c r="CH46" s="1405">
        <v>0</v>
      </c>
      <c r="CI46" s="1405">
        <v>0</v>
      </c>
      <c r="CJ46" s="1405">
        <v>0</v>
      </c>
      <c r="CK46" s="1405">
        <v>539538.76596776675</v>
      </c>
      <c r="CL46" s="1405">
        <v>539538.76596776675</v>
      </c>
      <c r="CM46" s="1405">
        <v>539538.76596776675</v>
      </c>
      <c r="CN46" s="1405">
        <v>539538.76596776675</v>
      </c>
      <c r="CO46" s="1405">
        <v>539538.76596776675</v>
      </c>
      <c r="CP46" s="1405">
        <v>539538.76596776675</v>
      </c>
      <c r="CQ46" s="1405">
        <v>539538.76596776675</v>
      </c>
      <c r="CR46" s="1405">
        <v>539538.76596776675</v>
      </c>
      <c r="CS46" s="1405">
        <v>539538.76596776675</v>
      </c>
      <c r="CT46" s="1405">
        <v>539538.76596776675</v>
      </c>
      <c r="CU46" s="1405">
        <v>539538.76596776675</v>
      </c>
      <c r="CV46" s="1405">
        <v>539538.76596776675</v>
      </c>
      <c r="CW46" s="1405">
        <v>0</v>
      </c>
      <c r="CX46" s="1405"/>
      <c r="CY46" s="1405"/>
      <c r="CZ46" s="1405"/>
      <c r="DA46" s="1405"/>
      <c r="DB46" s="1405"/>
      <c r="DC46" s="1405"/>
      <c r="DD46" s="1405"/>
      <c r="DE46" s="1405"/>
      <c r="DF46" s="1405"/>
      <c r="DG46" s="1405"/>
      <c r="DH46" s="1405"/>
      <c r="DI46" s="1405"/>
      <c r="DJ46" s="1405"/>
      <c r="DK46" s="1405"/>
      <c r="DL46" s="1405"/>
      <c r="DM46" s="1405"/>
      <c r="DN46" s="1405"/>
      <c r="DO46" s="1405"/>
      <c r="DP46" s="1405"/>
      <c r="DQ46" s="1405"/>
      <c r="DR46" s="1405"/>
      <c r="DS46" s="1405"/>
      <c r="DT46" s="1405"/>
      <c r="DU46" s="1405"/>
      <c r="DV46" s="1405"/>
      <c r="DW46" s="1405"/>
      <c r="DX46" s="1405"/>
      <c r="DY46" s="1405"/>
      <c r="DZ46" s="1405"/>
      <c r="EA46" s="1405"/>
      <c r="EB46" s="1405"/>
      <c r="EC46" s="1405"/>
      <c r="ED46" s="1405"/>
      <c r="EE46" s="1405"/>
      <c r="EF46" s="1405"/>
      <c r="EG46" s="1405"/>
      <c r="EH46" s="501"/>
      <c r="EI46" s="117"/>
      <c r="EJ46" s="117"/>
      <c r="EK46" s="117"/>
      <c r="EL46" s="117"/>
      <c r="EM46" s="117"/>
      <c r="EN46" s="117"/>
      <c r="EO46" s="117"/>
      <c r="EP46" s="117"/>
      <c r="EQ46" s="117"/>
      <c r="ER46" s="117"/>
      <c r="ES46" s="117"/>
      <c r="ET46" s="117"/>
      <c r="EU46" s="117"/>
      <c r="EV46" s="117"/>
      <c r="EW46" s="117"/>
      <c r="EX46" s="117"/>
      <c r="EY46" s="117"/>
      <c r="EZ46" s="117"/>
      <c r="FA46" s="117"/>
      <c r="FB46" s="117"/>
      <c r="FC46" s="117"/>
      <c r="FD46" s="117"/>
      <c r="FE46" s="117"/>
      <c r="FF46" s="117"/>
      <c r="FG46" s="117"/>
      <c r="FH46" s="117"/>
      <c r="FI46" s="117"/>
      <c r="FJ46" s="117"/>
      <c r="FK46" s="117"/>
      <c r="JJ46" s="501"/>
      <c r="JK46" s="117"/>
      <c r="JL46" s="117"/>
      <c r="JM46" s="117"/>
      <c r="JN46" s="117"/>
      <c r="JO46" s="117"/>
      <c r="JP46" s="117"/>
      <c r="JQ46" s="117"/>
      <c r="JR46" s="117"/>
      <c r="JS46" s="117"/>
      <c r="JT46" s="117"/>
      <c r="JU46" s="117"/>
      <c r="JV46" s="117"/>
      <c r="JW46" s="117"/>
      <c r="JX46" s="117"/>
      <c r="JY46" s="117"/>
      <c r="JZ46" s="117"/>
      <c r="KA46" s="117"/>
      <c r="KB46" s="117"/>
      <c r="KC46" s="117"/>
      <c r="KD46" s="117"/>
      <c r="KE46" s="117"/>
      <c r="KF46" s="117"/>
      <c r="KG46" s="117"/>
      <c r="KH46" s="117"/>
      <c r="KI46" s="117"/>
      <c r="KJ46" s="117"/>
      <c r="KK46" s="117"/>
      <c r="KL46" s="117"/>
      <c r="KM46" s="117"/>
    </row>
    <row r="47" spans="1:365" s="1380" customFormat="1" ht="29" customHeight="1">
      <c r="A47" s="1376">
        <f t="shared" si="1"/>
        <v>1</v>
      </c>
      <c r="B47"/>
      <c r="C47" s="1381" t="str">
        <f>mProject!AZ6</f>
        <v>Property Carry Cost</v>
      </c>
      <c r="D47" s="1377"/>
      <c r="E47"/>
      <c r="F47" s="1390"/>
      <c r="G47" s="1406"/>
      <c r="H47" s="1406"/>
      <c r="I47" s="1406"/>
      <c r="J47" s="1406"/>
      <c r="K47" s="1406"/>
      <c r="L47" s="1406"/>
      <c r="M47" s="1406"/>
      <c r="N47" s="1406"/>
      <c r="O47" s="1406"/>
      <c r="P47" s="1406"/>
      <c r="Q47" s="1406"/>
      <c r="R47" s="1406"/>
      <c r="S47" s="1406"/>
      <c r="T47" s="1406"/>
      <c r="U47" s="1406"/>
      <c r="V47" s="1406"/>
      <c r="W47" s="1406"/>
      <c r="X47" s="1406"/>
      <c r="Y47" s="1406"/>
      <c r="Z47" s="1406"/>
      <c r="AA47" s="1406"/>
      <c r="AB47" s="1406"/>
      <c r="AC47" s="1406"/>
      <c r="AD47" s="1406"/>
      <c r="AE47" s="1406"/>
      <c r="AF47" s="1406"/>
      <c r="AG47" s="1406"/>
      <c r="AH47" s="1406"/>
      <c r="AI47" s="1406"/>
      <c r="AJ47" s="1406"/>
      <c r="AK47" s="1406"/>
      <c r="AL47" s="1406"/>
      <c r="AM47" s="1406"/>
      <c r="AN47" s="1406"/>
      <c r="AO47" s="1406"/>
      <c r="AP47" s="1406"/>
      <c r="AQ47" s="1406"/>
      <c r="AR47" s="1406"/>
      <c r="AS47" s="1406"/>
      <c r="AT47" s="1406"/>
      <c r="AU47" s="1406"/>
      <c r="AV47" s="1406"/>
      <c r="AW47" s="1406"/>
      <c r="AX47" s="1406"/>
      <c r="AY47" s="1406"/>
      <c r="AZ47" s="1406"/>
      <c r="BA47" s="1406"/>
      <c r="BB47" s="1406"/>
      <c r="BC47" s="1406"/>
      <c r="BD47" s="1406"/>
      <c r="BE47" s="1406"/>
      <c r="BF47" s="1406"/>
      <c r="BG47" s="1406"/>
      <c r="BH47" s="1406"/>
      <c r="BI47" s="1406"/>
      <c r="BJ47" s="1406"/>
      <c r="BK47" s="1406"/>
      <c r="BL47" s="1406"/>
      <c r="BM47" s="1406"/>
      <c r="BN47" s="1406"/>
      <c r="BO47" s="1406"/>
      <c r="BP47" s="1406"/>
      <c r="BQ47" s="1406"/>
      <c r="BR47" s="1406"/>
      <c r="BS47" s="1406"/>
      <c r="BT47" s="1406"/>
      <c r="BU47" s="1406"/>
      <c r="BV47" s="1406"/>
      <c r="BW47" s="1406"/>
      <c r="BX47" s="1406"/>
      <c r="BY47" s="1406"/>
      <c r="BZ47" s="1406"/>
      <c r="CA47" s="1406"/>
      <c r="CB47" s="1406"/>
      <c r="CC47" s="1406"/>
      <c r="CD47" s="1406"/>
      <c r="CE47" s="1406"/>
      <c r="CF47" s="1406"/>
      <c r="CG47" s="1406"/>
      <c r="CH47" s="1406"/>
      <c r="CI47" s="1406"/>
      <c r="CJ47" s="1406"/>
      <c r="CK47" s="1406"/>
      <c r="CL47" s="1406"/>
      <c r="CM47" s="1406"/>
      <c r="CN47" s="1406"/>
      <c r="CO47" s="1406"/>
      <c r="CP47" s="1406"/>
      <c r="CQ47" s="1406"/>
      <c r="CR47" s="1406"/>
      <c r="CS47" s="1406"/>
      <c r="CT47" s="1406"/>
      <c r="CU47" s="1406"/>
      <c r="CV47" s="1406"/>
      <c r="CW47" s="1406"/>
      <c r="CX47" s="1406"/>
      <c r="CY47" s="1406"/>
      <c r="CZ47" s="1406"/>
      <c r="DA47" s="1406"/>
      <c r="DB47" s="1406"/>
      <c r="DC47" s="1406"/>
      <c r="DD47" s="1406"/>
      <c r="DE47" s="1406"/>
      <c r="DF47" s="1406"/>
      <c r="DG47" s="1406"/>
      <c r="DH47" s="1406"/>
      <c r="DI47" s="1406"/>
      <c r="DJ47" s="1406"/>
      <c r="DK47" s="1406"/>
      <c r="DL47" s="1406"/>
      <c r="DM47" s="1406"/>
      <c r="DN47" s="1406"/>
      <c r="DO47" s="1406"/>
      <c r="DP47" s="1406"/>
      <c r="DQ47" s="1406"/>
      <c r="DR47" s="1406"/>
      <c r="DS47" s="1406"/>
      <c r="DT47" s="1406"/>
      <c r="DU47" s="1406"/>
      <c r="DV47" s="1406"/>
      <c r="DW47" s="1406"/>
      <c r="DX47" s="1406"/>
      <c r="DY47" s="1406"/>
      <c r="DZ47" s="1406"/>
      <c r="EA47" s="1406"/>
      <c r="EB47" s="1406"/>
      <c r="EC47" s="1406"/>
      <c r="ED47" s="1406"/>
      <c r="EE47" s="1406"/>
      <c r="EF47" s="1406"/>
      <c r="EG47" s="1406"/>
      <c r="EH47" s="1378"/>
      <c r="EI47" s="1379"/>
      <c r="EJ47" s="1379"/>
      <c r="EK47" s="1379"/>
      <c r="EL47" s="1379"/>
      <c r="EM47" s="1379"/>
      <c r="EN47" s="1379"/>
      <c r="EO47" s="1379"/>
      <c r="EP47" s="1379"/>
      <c r="EQ47" s="1379"/>
      <c r="ER47" s="1379"/>
      <c r="ES47" s="1379"/>
      <c r="ET47" s="1379"/>
      <c r="EU47" s="1379"/>
      <c r="EV47" s="1379"/>
      <c r="EW47" s="1379"/>
      <c r="EX47" s="1379"/>
      <c r="EY47" s="1379"/>
      <c r="EZ47" s="1379"/>
      <c r="FA47" s="1379"/>
      <c r="FB47" s="1379"/>
      <c r="FC47" s="1379"/>
      <c r="FD47" s="1379"/>
      <c r="FE47" s="1379"/>
      <c r="FF47" s="1379"/>
      <c r="FG47" s="1379"/>
      <c r="FH47" s="1379"/>
      <c r="FI47" s="1379"/>
      <c r="FJ47" s="1379"/>
      <c r="FK47" s="1379"/>
      <c r="JJ47" s="1378"/>
      <c r="JK47" s="1379"/>
      <c r="JL47" s="1379"/>
      <c r="JM47" s="1379"/>
      <c r="JN47" s="1379"/>
      <c r="JO47" s="1379"/>
      <c r="JP47" s="1379"/>
      <c r="JQ47" s="1379"/>
      <c r="JR47" s="1379"/>
      <c r="JS47" s="1379"/>
      <c r="JT47" s="1379"/>
      <c r="JU47" s="1379"/>
      <c r="JV47" s="1379"/>
      <c r="JW47" s="1379"/>
      <c r="JX47" s="1379"/>
      <c r="JY47" s="1379"/>
      <c r="JZ47" s="1379"/>
      <c r="KA47" s="1379"/>
      <c r="KB47" s="1379"/>
      <c r="KC47" s="1379"/>
      <c r="KD47" s="1379"/>
      <c r="KE47" s="1379"/>
      <c r="KF47" s="1379"/>
      <c r="KG47" s="1379"/>
      <c r="KH47" s="1379"/>
      <c r="KI47" s="1379"/>
      <c r="KJ47" s="1379"/>
      <c r="KK47" s="1379"/>
      <c r="KL47" s="1379"/>
      <c r="KM47" s="1379"/>
    </row>
    <row r="48" spans="1:365" s="114" customFormat="1" ht="22.5" customHeight="1">
      <c r="A48" s="506">
        <f t="shared" si="1"/>
        <v>1</v>
      </c>
      <c r="B48"/>
      <c r="C48" s="1386" t="str" cm="1">
        <f t="array" ref="C48:C51">TRANSPOSE(_xlfn.ANCHORARRAY(mProject!AZ8))</f>
        <v>Property Tax</v>
      </c>
      <c r="D48" s="500">
        <f ca="1">SUM(_xlfn.ANCHORARRAY(F48))</f>
        <v>338212.50000000023</v>
      </c>
      <c r="E48"/>
      <c r="F48" s="1389" cm="1">
        <f t="array" aca="1" ref="F48:NA48" ca="1">TRANSPOSE(_xlfn.ANCHORARRAY(mProject!AZ$9))</f>
        <v>0</v>
      </c>
      <c r="G48" s="1388">
        <f ca="1"/>
        <v>0</v>
      </c>
      <c r="H48" s="1388">
        <f ca="1"/>
        <v>0</v>
      </c>
      <c r="I48" s="1388">
        <f ca="1"/>
        <v>0</v>
      </c>
      <c r="J48" s="1388">
        <f ca="1"/>
        <v>0</v>
      </c>
      <c r="K48" s="1388">
        <f ca="1"/>
        <v>0</v>
      </c>
      <c r="L48" s="1388">
        <f ca="1"/>
        <v>0</v>
      </c>
      <c r="M48" s="1388">
        <f ca="1"/>
        <v>0</v>
      </c>
      <c r="N48" s="1388">
        <f ca="1"/>
        <v>0</v>
      </c>
      <c r="O48" s="1388">
        <f ca="1"/>
        <v>0</v>
      </c>
      <c r="P48" s="1388">
        <f ca="1"/>
        <v>0</v>
      </c>
      <c r="Q48" s="1388">
        <f ca="1"/>
        <v>0</v>
      </c>
      <c r="R48" s="1388">
        <f ca="1"/>
        <v>6250</v>
      </c>
      <c r="S48" s="1388">
        <f ca="1"/>
        <v>6250</v>
      </c>
      <c r="T48" s="1388">
        <f ca="1"/>
        <v>6250</v>
      </c>
      <c r="U48" s="1388">
        <f ca="1"/>
        <v>6250</v>
      </c>
      <c r="V48" s="1388">
        <f ca="1"/>
        <v>6250</v>
      </c>
      <c r="W48" s="1388">
        <f ca="1"/>
        <v>6250</v>
      </c>
      <c r="X48" s="1388">
        <f ca="1"/>
        <v>6250</v>
      </c>
      <c r="Y48" s="1388">
        <f ca="1"/>
        <v>6250</v>
      </c>
      <c r="Z48" s="1388">
        <f ca="1"/>
        <v>6250</v>
      </c>
      <c r="AA48" s="1388">
        <f ca="1"/>
        <v>6250</v>
      </c>
      <c r="AB48" s="1388">
        <f ca="1"/>
        <v>6250</v>
      </c>
      <c r="AC48" s="1388">
        <f ca="1"/>
        <v>6250</v>
      </c>
      <c r="AD48" s="1388">
        <f ca="1"/>
        <v>6250</v>
      </c>
      <c r="AE48" s="1388">
        <f ca="1"/>
        <v>5816.666666666667</v>
      </c>
      <c r="AF48" s="1388">
        <f ca="1"/>
        <v>5816.666666666667</v>
      </c>
      <c r="AG48" s="1388">
        <f ca="1"/>
        <v>5816.666666666667</v>
      </c>
      <c r="AH48" s="1388">
        <f ca="1"/>
        <v>5816.666666666667</v>
      </c>
      <c r="AI48" s="1388">
        <f ca="1"/>
        <v>5816.666666666667</v>
      </c>
      <c r="AJ48" s="1388">
        <f ca="1"/>
        <v>5816.666666666667</v>
      </c>
      <c r="AK48" s="1388">
        <f ca="1"/>
        <v>5816.666666666667</v>
      </c>
      <c r="AL48" s="1388">
        <f ca="1"/>
        <v>5816.666666666667</v>
      </c>
      <c r="AM48" s="1388">
        <f ca="1"/>
        <v>5816.666666666667</v>
      </c>
      <c r="AN48" s="1388">
        <f ca="1"/>
        <v>5816.666666666667</v>
      </c>
      <c r="AO48" s="1388">
        <f ca="1"/>
        <v>5816.666666666667</v>
      </c>
      <c r="AP48" s="1388">
        <f ca="1"/>
        <v>5816.666666666667</v>
      </c>
      <c r="AQ48" s="1388">
        <f ca="1"/>
        <v>5816.666666666667</v>
      </c>
      <c r="AR48" s="1388">
        <f ca="1"/>
        <v>5816.666666666667</v>
      </c>
      <c r="AS48" s="1388">
        <f ca="1"/>
        <v>5816.666666666667</v>
      </c>
      <c r="AT48" s="1388">
        <f ca="1"/>
        <v>5816.666666666667</v>
      </c>
      <c r="AU48" s="1388">
        <f ca="1"/>
        <v>5204.166666666667</v>
      </c>
      <c r="AV48" s="1388">
        <f ca="1"/>
        <v>5204.166666666667</v>
      </c>
      <c r="AW48" s="1388">
        <f ca="1"/>
        <v>5204.166666666667</v>
      </c>
      <c r="AX48" s="1388">
        <f ca="1"/>
        <v>5204.166666666667</v>
      </c>
      <c r="AY48" s="1388">
        <f ca="1"/>
        <v>5204.166666666667</v>
      </c>
      <c r="AZ48" s="1388">
        <f ca="1"/>
        <v>5204.166666666667</v>
      </c>
      <c r="BA48" s="1388">
        <f ca="1"/>
        <v>3112.5</v>
      </c>
      <c r="BB48" s="1388">
        <f ca="1"/>
        <v>3112.5</v>
      </c>
      <c r="BC48" s="1388">
        <f ca="1"/>
        <v>3112.5</v>
      </c>
      <c r="BD48" s="1388">
        <f ca="1"/>
        <v>3112.5</v>
      </c>
      <c r="BE48" s="1388">
        <f ca="1"/>
        <v>3112.5</v>
      </c>
      <c r="BF48" s="1388">
        <f ca="1"/>
        <v>3112.5</v>
      </c>
      <c r="BG48" s="1388">
        <f ca="1"/>
        <v>3112.5</v>
      </c>
      <c r="BH48" s="1388">
        <f ca="1"/>
        <v>3112.5</v>
      </c>
      <c r="BI48" s="1388">
        <f ca="1"/>
        <v>3112.5</v>
      </c>
      <c r="BJ48" s="1388">
        <f ca="1"/>
        <v>3112.5</v>
      </c>
      <c r="BK48" s="1388">
        <f ca="1"/>
        <v>3112.5</v>
      </c>
      <c r="BL48" s="1388">
        <f ca="1"/>
        <v>3112.5</v>
      </c>
      <c r="BM48" s="1388">
        <f ca="1"/>
        <v>3112.5</v>
      </c>
      <c r="BN48" s="1388">
        <f ca="1"/>
        <v>3112.5</v>
      </c>
      <c r="BO48" s="1388">
        <f ca="1"/>
        <v>3112.5</v>
      </c>
      <c r="BP48" s="1388">
        <f ca="1"/>
        <v>3112.5</v>
      </c>
      <c r="BQ48" s="1388">
        <f ca="1"/>
        <v>3112.5</v>
      </c>
      <c r="BR48" s="1388">
        <f ca="1"/>
        <v>3112.5</v>
      </c>
      <c r="BS48" s="1388">
        <f ca="1"/>
        <v>3112.5</v>
      </c>
      <c r="BT48" s="1388">
        <f ca="1"/>
        <v>3112.5</v>
      </c>
      <c r="BU48" s="1388">
        <f ca="1"/>
        <v>3112.5</v>
      </c>
      <c r="BV48" s="1388">
        <f ca="1"/>
        <v>3112.5</v>
      </c>
      <c r="BW48" s="1388">
        <f ca="1"/>
        <v>3112.5</v>
      </c>
      <c r="BX48" s="1388">
        <f ca="1"/>
        <v>3112.5</v>
      </c>
      <c r="BY48" s="1388">
        <f ca="1"/>
        <v>2687.5</v>
      </c>
      <c r="BZ48" s="1388">
        <f ca="1"/>
        <v>2600</v>
      </c>
      <c r="CA48" s="1388">
        <f ca="1"/>
        <v>2600</v>
      </c>
      <c r="CB48" s="1388">
        <f ca="1"/>
        <v>2600</v>
      </c>
      <c r="CC48" s="1388">
        <f ca="1"/>
        <v>2600</v>
      </c>
      <c r="CD48" s="1388">
        <f ca="1"/>
        <v>2600</v>
      </c>
      <c r="CE48" s="1388">
        <f ca="1"/>
        <v>2254.1666666666665</v>
      </c>
      <c r="CF48" s="1388">
        <f ca="1"/>
        <v>2254.1666666666665</v>
      </c>
      <c r="CG48" s="1388">
        <f ca="1"/>
        <v>2254.1666666666665</v>
      </c>
      <c r="CH48" s="1388">
        <f ca="1"/>
        <v>2254.1666666666665</v>
      </c>
      <c r="CI48" s="1388">
        <f ca="1"/>
        <v>2254.1666666666665</v>
      </c>
      <c r="CJ48" s="1388">
        <f ca="1"/>
        <v>2254.1666666666665</v>
      </c>
      <c r="CK48" s="1388">
        <f ca="1"/>
        <v>2254.1666666666665</v>
      </c>
      <c r="CL48" s="1388">
        <f ca="1"/>
        <v>2254.1666666666665</v>
      </c>
      <c r="CM48" s="1388">
        <f ca="1"/>
        <v>2254.1666666666665</v>
      </c>
      <c r="CN48" s="1388">
        <f ca="1"/>
        <v>2254.1666666666665</v>
      </c>
      <c r="CO48" s="1388">
        <f ca="1"/>
        <v>2254.1666666666665</v>
      </c>
      <c r="CP48" s="1388">
        <f ca="1"/>
        <v>2254.1666666666665</v>
      </c>
      <c r="CQ48" s="1388">
        <f ca="1"/>
        <v>2254.1666666666665</v>
      </c>
      <c r="CR48" s="1388">
        <f ca="1"/>
        <v>2254.1666666666665</v>
      </c>
      <c r="CS48" s="1388">
        <f ca="1"/>
        <v>2254.1666666666665</v>
      </c>
      <c r="CT48" s="1388">
        <f ca="1"/>
        <v>2254.1666666666665</v>
      </c>
      <c r="CU48" s="1388">
        <f ca="1"/>
        <v>2254.1666666666665</v>
      </c>
      <c r="CV48" s="1388">
        <f ca="1"/>
        <v>2254.1666666666665</v>
      </c>
      <c r="CW48" s="1388">
        <f ca="1"/>
        <v>1708.3333333333333</v>
      </c>
      <c r="CX48" s="1388" t="str">
        <f ca="1"/>
        <v/>
      </c>
      <c r="CY48" s="1388" t="str">
        <f ca="1"/>
        <v/>
      </c>
      <c r="CZ48" s="1388" t="str">
        <f ca="1"/>
        <v/>
      </c>
      <c r="DA48" s="1388" t="str">
        <f ca="1"/>
        <v/>
      </c>
      <c r="DB48" s="1388" t="str">
        <f ca="1"/>
        <v/>
      </c>
      <c r="DC48" s="1388" t="str">
        <f ca="1"/>
        <v/>
      </c>
      <c r="DD48" s="1388" t="str">
        <f ca="1"/>
        <v/>
      </c>
      <c r="DE48" s="1388" t="str">
        <f ca="1"/>
        <v/>
      </c>
      <c r="DF48" s="1388" t="str">
        <f ca="1"/>
        <v/>
      </c>
      <c r="DG48" s="1388" t="str">
        <f ca="1"/>
        <v/>
      </c>
      <c r="DH48" s="1388" t="str">
        <f ca="1"/>
        <v/>
      </c>
      <c r="DI48" s="1388" t="str">
        <f ca="1"/>
        <v/>
      </c>
      <c r="DJ48" s="1388" t="str">
        <f ca="1"/>
        <v/>
      </c>
      <c r="DK48" s="1388" t="str">
        <f ca="1"/>
        <v/>
      </c>
      <c r="DL48" s="1388" t="str">
        <f ca="1"/>
        <v/>
      </c>
      <c r="DM48" s="1388" t="str">
        <f ca="1"/>
        <v/>
      </c>
      <c r="DN48" s="1388" t="str">
        <f ca="1"/>
        <v/>
      </c>
      <c r="DO48" s="1388" t="str">
        <f ca="1"/>
        <v/>
      </c>
      <c r="DP48" s="1388" t="str">
        <f ca="1"/>
        <v/>
      </c>
      <c r="DQ48" s="1388" t="str">
        <f ca="1"/>
        <v/>
      </c>
      <c r="DR48" s="1388" t="str">
        <f ca="1"/>
        <v/>
      </c>
      <c r="DS48" s="1388" t="str">
        <f ca="1"/>
        <v/>
      </c>
      <c r="DT48" s="1388" t="str">
        <f ca="1"/>
        <v/>
      </c>
      <c r="DU48" s="1388" t="str">
        <f ca="1"/>
        <v/>
      </c>
      <c r="DV48" s="1388" t="str">
        <f ca="1"/>
        <v/>
      </c>
      <c r="DW48" s="1388" t="str">
        <f ca="1"/>
        <v/>
      </c>
      <c r="DX48" s="1388" t="str">
        <f ca="1"/>
        <v/>
      </c>
      <c r="DY48" s="1388" t="str">
        <f ca="1"/>
        <v/>
      </c>
      <c r="DZ48" s="1388" t="str">
        <f ca="1"/>
        <v/>
      </c>
      <c r="EA48" s="1388" t="str">
        <f ca="1"/>
        <v/>
      </c>
      <c r="EB48" s="1388" t="str">
        <f ca="1"/>
        <v/>
      </c>
      <c r="EC48" s="1388" t="str">
        <f ca="1"/>
        <v/>
      </c>
      <c r="ED48" s="1388" t="str">
        <f ca="1"/>
        <v/>
      </c>
      <c r="EE48" s="1388" t="str">
        <f ca="1"/>
        <v/>
      </c>
      <c r="EF48" s="1388" t="str">
        <f ca="1"/>
        <v/>
      </c>
      <c r="EG48" s="1388" t="str">
        <f ca="1"/>
        <v/>
      </c>
      <c r="EH48" s="501" t="str">
        <f ca="1"/>
        <v/>
      </c>
      <c r="EI48" s="117" t="str">
        <f ca="1"/>
        <v/>
      </c>
      <c r="EJ48" s="117" t="str">
        <f ca="1"/>
        <v/>
      </c>
      <c r="EK48" s="117" t="str">
        <f ca="1"/>
        <v/>
      </c>
      <c r="EL48" s="117" t="str">
        <f ca="1"/>
        <v/>
      </c>
      <c r="EM48" s="117" t="str">
        <f ca="1"/>
        <v/>
      </c>
      <c r="EN48" s="117" t="str">
        <f ca="1"/>
        <v/>
      </c>
      <c r="EO48" s="117" t="str">
        <f ca="1"/>
        <v/>
      </c>
      <c r="EP48" s="117" t="str">
        <f ca="1"/>
        <v/>
      </c>
      <c r="EQ48" s="117" t="str">
        <f ca="1"/>
        <v/>
      </c>
      <c r="ER48" s="117" t="str">
        <f ca="1"/>
        <v/>
      </c>
      <c r="ES48" s="117" t="str">
        <f ca="1"/>
        <v/>
      </c>
      <c r="ET48" s="117" t="str">
        <f ca="1"/>
        <v/>
      </c>
      <c r="EU48" s="117" t="str">
        <f ca="1"/>
        <v/>
      </c>
      <c r="EV48" s="117" t="str">
        <f ca="1"/>
        <v/>
      </c>
      <c r="EW48" s="117" t="str">
        <f ca="1"/>
        <v/>
      </c>
      <c r="EX48" s="117" t="str">
        <f ca="1"/>
        <v/>
      </c>
      <c r="EY48" s="117" t="str">
        <f ca="1"/>
        <v/>
      </c>
      <c r="EZ48" s="117" t="str">
        <f ca="1"/>
        <v/>
      </c>
      <c r="FA48" s="117" t="str">
        <f ca="1"/>
        <v/>
      </c>
      <c r="FB48" s="117" t="str">
        <f ca="1"/>
        <v/>
      </c>
      <c r="FC48" s="117" t="str">
        <f ca="1"/>
        <v/>
      </c>
      <c r="FD48" s="117" t="str">
        <f ca="1"/>
        <v/>
      </c>
      <c r="FE48" s="117" t="str">
        <f ca="1"/>
        <v/>
      </c>
      <c r="FF48" s="117" t="str">
        <f ca="1"/>
        <v/>
      </c>
      <c r="FG48" s="117" t="str">
        <f ca="1"/>
        <v/>
      </c>
      <c r="FH48" s="117" t="str">
        <f ca="1"/>
        <v/>
      </c>
      <c r="FI48" s="117" t="str">
        <f ca="1"/>
        <v/>
      </c>
      <c r="FJ48" s="117" t="str">
        <f ca="1"/>
        <v/>
      </c>
      <c r="FK48" s="117" t="str">
        <f ca="1"/>
        <v/>
      </c>
      <c r="FL48" s="114" t="str">
        <f ca="1"/>
        <v/>
      </c>
      <c r="FM48" s="114" t="str">
        <f ca="1"/>
        <v/>
      </c>
      <c r="FN48" s="114" t="str">
        <f ca="1"/>
        <v/>
      </c>
      <c r="FO48" s="114" t="str">
        <f ca="1"/>
        <v/>
      </c>
      <c r="FP48" s="114" t="str">
        <f ca="1"/>
        <v/>
      </c>
      <c r="FQ48" s="114" t="str">
        <f ca="1"/>
        <v/>
      </c>
      <c r="FR48" s="114" t="str">
        <f ca="1"/>
        <v/>
      </c>
      <c r="FS48" s="114" t="str">
        <f ca="1"/>
        <v/>
      </c>
      <c r="FT48" s="114" t="str">
        <f ca="1"/>
        <v/>
      </c>
      <c r="FU48" s="114" t="str">
        <f ca="1"/>
        <v/>
      </c>
      <c r="FV48" s="114" t="str">
        <f ca="1"/>
        <v/>
      </c>
      <c r="FW48" s="114" t="str">
        <f ca="1"/>
        <v/>
      </c>
      <c r="FX48" s="114" t="str">
        <f ca="1"/>
        <v/>
      </c>
      <c r="FY48" s="114" t="str">
        <f ca="1"/>
        <v/>
      </c>
      <c r="FZ48" s="114" t="str">
        <f ca="1"/>
        <v/>
      </c>
      <c r="GA48" s="114" t="str">
        <f ca="1"/>
        <v/>
      </c>
      <c r="GB48" s="114" t="str">
        <f ca="1"/>
        <v/>
      </c>
      <c r="GC48" s="114" t="str">
        <f ca="1"/>
        <v/>
      </c>
      <c r="GD48" s="114" t="str">
        <f ca="1"/>
        <v/>
      </c>
      <c r="GE48" s="114" t="str">
        <f ca="1"/>
        <v/>
      </c>
      <c r="GF48" s="114" t="str">
        <f ca="1"/>
        <v/>
      </c>
      <c r="GG48" s="114" t="str">
        <f ca="1"/>
        <v/>
      </c>
      <c r="GH48" s="114" t="str">
        <f ca="1"/>
        <v/>
      </c>
      <c r="GI48" s="114" t="str">
        <f ca="1"/>
        <v/>
      </c>
      <c r="GJ48" s="114" t="str">
        <f ca="1"/>
        <v/>
      </c>
      <c r="GK48" s="114" t="str">
        <f ca="1"/>
        <v/>
      </c>
      <c r="GL48" s="114" t="str">
        <f ca="1"/>
        <v/>
      </c>
      <c r="GM48" s="114" t="str">
        <f ca="1"/>
        <v/>
      </c>
      <c r="GN48" s="114" t="str">
        <f ca="1"/>
        <v/>
      </c>
      <c r="GO48" s="114" t="str">
        <f ca="1"/>
        <v/>
      </c>
      <c r="GP48" s="114" t="str">
        <f ca="1"/>
        <v/>
      </c>
      <c r="GQ48" s="114" t="str">
        <f ca="1"/>
        <v/>
      </c>
      <c r="GR48" s="114" t="str">
        <f ca="1"/>
        <v/>
      </c>
      <c r="GS48" s="114" t="str">
        <f ca="1"/>
        <v/>
      </c>
      <c r="GT48" s="114" t="str">
        <f ca="1"/>
        <v/>
      </c>
      <c r="GU48" s="114" t="str">
        <f ca="1"/>
        <v/>
      </c>
      <c r="GV48" s="114" t="str">
        <f ca="1"/>
        <v/>
      </c>
      <c r="GW48" s="114" t="str">
        <f ca="1"/>
        <v/>
      </c>
      <c r="GX48" s="114" t="str">
        <f ca="1"/>
        <v/>
      </c>
      <c r="GY48" s="114" t="str">
        <f ca="1"/>
        <v/>
      </c>
      <c r="GZ48" s="114" t="str">
        <f ca="1"/>
        <v/>
      </c>
      <c r="HA48" s="114" t="str">
        <f ca="1"/>
        <v/>
      </c>
      <c r="HB48" s="114" t="str">
        <f ca="1"/>
        <v/>
      </c>
      <c r="HC48" s="114" t="str">
        <f ca="1"/>
        <v/>
      </c>
      <c r="HD48" s="114" t="str">
        <f ca="1"/>
        <v/>
      </c>
      <c r="HE48" s="114" t="str">
        <f ca="1"/>
        <v/>
      </c>
      <c r="HF48" s="114" t="str">
        <f ca="1"/>
        <v/>
      </c>
      <c r="HG48" s="114" t="str">
        <f ca="1"/>
        <v/>
      </c>
      <c r="HH48" s="114" t="str">
        <f ca="1"/>
        <v/>
      </c>
      <c r="HI48" s="114" t="str">
        <f ca="1"/>
        <v/>
      </c>
      <c r="HJ48" s="114" t="str">
        <f ca="1"/>
        <v/>
      </c>
      <c r="HK48" s="114" t="str">
        <f ca="1"/>
        <v/>
      </c>
      <c r="HL48" s="114" t="str">
        <f ca="1"/>
        <v/>
      </c>
      <c r="HM48" s="114" t="str">
        <f ca="1"/>
        <v/>
      </c>
      <c r="HN48" s="114" t="str">
        <f ca="1"/>
        <v/>
      </c>
      <c r="HO48" s="114" t="str">
        <f ca="1"/>
        <v/>
      </c>
      <c r="HP48" s="114" t="str">
        <f ca="1"/>
        <v/>
      </c>
      <c r="HQ48" s="114" t="str">
        <f ca="1"/>
        <v/>
      </c>
      <c r="HR48" s="114" t="str">
        <f ca="1"/>
        <v/>
      </c>
      <c r="HS48" s="114" t="str">
        <f ca="1"/>
        <v/>
      </c>
      <c r="HT48" s="114" t="str">
        <f ca="1"/>
        <v/>
      </c>
      <c r="HU48" s="114" t="str">
        <f ca="1"/>
        <v/>
      </c>
      <c r="HV48" s="114" t="str">
        <f ca="1"/>
        <v/>
      </c>
      <c r="HW48" s="114" t="str">
        <f ca="1"/>
        <v/>
      </c>
      <c r="HX48" s="114" t="str">
        <f ca="1"/>
        <v/>
      </c>
      <c r="HY48" s="114" t="str">
        <f ca="1"/>
        <v/>
      </c>
      <c r="HZ48" s="114" t="str">
        <f ca="1"/>
        <v/>
      </c>
      <c r="IA48" s="114" t="str">
        <f ca="1"/>
        <v/>
      </c>
      <c r="IB48" s="114" t="str">
        <f ca="1"/>
        <v/>
      </c>
      <c r="IC48" s="114" t="str">
        <f ca="1"/>
        <v/>
      </c>
      <c r="ID48" s="114" t="str">
        <f ca="1"/>
        <v/>
      </c>
      <c r="IE48" s="114" t="str">
        <f ca="1"/>
        <v/>
      </c>
      <c r="IF48" s="114" t="str">
        <f ca="1"/>
        <v/>
      </c>
      <c r="IG48" s="114" t="str">
        <f ca="1"/>
        <v/>
      </c>
      <c r="IH48" s="114" t="str">
        <f ca="1"/>
        <v/>
      </c>
      <c r="II48" s="114" t="str">
        <f ca="1"/>
        <v/>
      </c>
      <c r="IJ48" s="114" t="str">
        <f ca="1"/>
        <v/>
      </c>
      <c r="IK48" s="114" t="str">
        <f ca="1"/>
        <v/>
      </c>
      <c r="IL48" s="114" t="str">
        <f ca="1"/>
        <v/>
      </c>
      <c r="IM48" s="114" t="str">
        <f ca="1"/>
        <v/>
      </c>
      <c r="IN48" s="114" t="str">
        <f ca="1"/>
        <v/>
      </c>
      <c r="IO48" s="114" t="str">
        <f ca="1"/>
        <v/>
      </c>
      <c r="IP48" s="114" t="str">
        <f ca="1"/>
        <v/>
      </c>
      <c r="IQ48" s="114" t="str">
        <f ca="1"/>
        <v/>
      </c>
      <c r="IR48" s="114" t="str">
        <f ca="1"/>
        <v/>
      </c>
      <c r="IS48" s="114" t="str">
        <f ca="1"/>
        <v/>
      </c>
      <c r="IT48" s="114" t="str">
        <f ca="1"/>
        <v/>
      </c>
      <c r="IU48" s="114" t="str">
        <f ca="1"/>
        <v/>
      </c>
      <c r="IV48" s="114" t="str">
        <f ca="1"/>
        <v/>
      </c>
      <c r="IW48" s="114" t="str">
        <f ca="1"/>
        <v/>
      </c>
      <c r="IX48" s="114" t="str">
        <f ca="1"/>
        <v/>
      </c>
      <c r="IY48" s="114" t="str">
        <f ca="1"/>
        <v/>
      </c>
      <c r="IZ48" s="114" t="str">
        <f ca="1"/>
        <v/>
      </c>
      <c r="JA48" s="114" t="str">
        <f ca="1"/>
        <v/>
      </c>
      <c r="JB48" s="114" t="str">
        <f ca="1"/>
        <v/>
      </c>
      <c r="JC48" s="114" t="str">
        <f ca="1"/>
        <v/>
      </c>
      <c r="JD48" s="114" t="str">
        <f ca="1"/>
        <v/>
      </c>
      <c r="JE48" s="114" t="str">
        <f ca="1"/>
        <v/>
      </c>
      <c r="JF48" s="114" t="str">
        <f ca="1"/>
        <v/>
      </c>
      <c r="JG48" s="114" t="str">
        <f ca="1"/>
        <v/>
      </c>
      <c r="JH48" s="114" t="str">
        <f ca="1"/>
        <v/>
      </c>
      <c r="JI48" s="114" t="str">
        <f ca="1"/>
        <v/>
      </c>
      <c r="JJ48" s="501" t="str">
        <f ca="1"/>
        <v/>
      </c>
      <c r="JK48" s="117" t="str">
        <f ca="1"/>
        <v/>
      </c>
      <c r="JL48" s="117" t="str">
        <f ca="1"/>
        <v/>
      </c>
      <c r="JM48" s="117" t="str">
        <f ca="1"/>
        <v/>
      </c>
      <c r="JN48" s="117" t="str">
        <f ca="1"/>
        <v/>
      </c>
      <c r="JO48" s="117" t="str">
        <f ca="1"/>
        <v/>
      </c>
      <c r="JP48" s="117" t="str">
        <f ca="1"/>
        <v/>
      </c>
      <c r="JQ48" s="117" t="str">
        <f ca="1"/>
        <v/>
      </c>
      <c r="JR48" s="117" t="str">
        <f ca="1"/>
        <v/>
      </c>
      <c r="JS48" s="117" t="str">
        <f ca="1"/>
        <v/>
      </c>
      <c r="JT48" s="117" t="str">
        <f ca="1"/>
        <v/>
      </c>
      <c r="JU48" s="117" t="str">
        <f ca="1"/>
        <v/>
      </c>
      <c r="JV48" s="117" t="str">
        <f ca="1"/>
        <v/>
      </c>
      <c r="JW48" s="117" t="str">
        <f ca="1"/>
        <v/>
      </c>
      <c r="JX48" s="117" t="str">
        <f ca="1"/>
        <v/>
      </c>
      <c r="JY48" s="117" t="str">
        <f ca="1"/>
        <v/>
      </c>
      <c r="JZ48" s="117" t="str">
        <f ca="1"/>
        <v/>
      </c>
      <c r="KA48" s="117" t="str">
        <f ca="1"/>
        <v/>
      </c>
      <c r="KB48" s="117" t="str">
        <f ca="1"/>
        <v/>
      </c>
      <c r="KC48" s="117" t="str">
        <f ca="1"/>
        <v/>
      </c>
      <c r="KD48" s="117" t="str">
        <f ca="1"/>
        <v/>
      </c>
      <c r="KE48" s="117" t="str">
        <f ca="1"/>
        <v/>
      </c>
      <c r="KF48" s="117" t="str">
        <f ca="1"/>
        <v/>
      </c>
      <c r="KG48" s="117" t="str">
        <f ca="1"/>
        <v/>
      </c>
      <c r="KH48" s="117" t="str">
        <f ca="1"/>
        <v/>
      </c>
      <c r="KI48" s="117" t="str">
        <f ca="1"/>
        <v/>
      </c>
      <c r="KJ48" s="117" t="str">
        <f ca="1"/>
        <v/>
      </c>
      <c r="KK48" s="117" t="str">
        <f ca="1"/>
        <v/>
      </c>
      <c r="KL48" s="117" t="str">
        <f ca="1"/>
        <v/>
      </c>
      <c r="KM48" s="117" t="str">
        <f ca="1"/>
        <v/>
      </c>
      <c r="KN48" s="114" t="str">
        <f ca="1"/>
        <v/>
      </c>
      <c r="KO48" s="114" t="str">
        <f ca="1"/>
        <v/>
      </c>
      <c r="KP48" s="114" t="str">
        <f ca="1"/>
        <v/>
      </c>
      <c r="KQ48" s="114" t="str">
        <f ca="1"/>
        <v/>
      </c>
      <c r="KR48" s="114" t="str">
        <f ca="1"/>
        <v/>
      </c>
      <c r="KS48" s="114" t="str">
        <f ca="1"/>
        <v/>
      </c>
      <c r="KT48" s="114" t="str">
        <f ca="1"/>
        <v/>
      </c>
      <c r="KU48" s="114" t="str">
        <f ca="1"/>
        <v/>
      </c>
      <c r="KV48" s="114" t="str">
        <f ca="1"/>
        <v/>
      </c>
      <c r="KW48" s="114" t="str">
        <f ca="1"/>
        <v/>
      </c>
      <c r="KX48" s="114" t="str">
        <f ca="1"/>
        <v/>
      </c>
      <c r="KY48" s="114" t="str">
        <f ca="1"/>
        <v/>
      </c>
      <c r="KZ48" s="114" t="str">
        <f ca="1"/>
        <v/>
      </c>
      <c r="LA48" s="114" t="str">
        <f ca="1"/>
        <v/>
      </c>
      <c r="LB48" s="114" t="str">
        <f ca="1"/>
        <v/>
      </c>
      <c r="LC48" s="114" t="str">
        <f ca="1"/>
        <v/>
      </c>
      <c r="LD48" s="114" t="str">
        <f ca="1"/>
        <v/>
      </c>
      <c r="LE48" s="114" t="str">
        <f ca="1"/>
        <v/>
      </c>
      <c r="LF48" s="114" t="str">
        <f ca="1"/>
        <v/>
      </c>
      <c r="LG48" s="114" t="str">
        <f ca="1"/>
        <v/>
      </c>
      <c r="LH48" s="114" t="str">
        <f ca="1"/>
        <v/>
      </c>
      <c r="LI48" s="114" t="str">
        <f ca="1"/>
        <v/>
      </c>
      <c r="LJ48" s="114" t="str">
        <f ca="1"/>
        <v/>
      </c>
      <c r="LK48" s="114" t="str">
        <f ca="1"/>
        <v/>
      </c>
      <c r="LL48" s="114" t="str">
        <f ca="1"/>
        <v/>
      </c>
      <c r="LM48" s="114" t="str">
        <f ca="1"/>
        <v/>
      </c>
      <c r="LN48" s="114" t="str">
        <f ca="1"/>
        <v/>
      </c>
      <c r="LO48" s="114" t="str">
        <f ca="1"/>
        <v/>
      </c>
      <c r="LP48" s="114" t="str">
        <f ca="1"/>
        <v/>
      </c>
      <c r="LQ48" s="114" t="str">
        <f ca="1"/>
        <v/>
      </c>
      <c r="LR48" s="114" t="str">
        <f ca="1"/>
        <v/>
      </c>
      <c r="LS48" s="114" t="str">
        <f ca="1"/>
        <v/>
      </c>
      <c r="LT48" s="114" t="str">
        <f ca="1"/>
        <v/>
      </c>
      <c r="LU48" s="114" t="str">
        <f ca="1"/>
        <v/>
      </c>
      <c r="LV48" s="114" t="str">
        <f ca="1"/>
        <v/>
      </c>
      <c r="LW48" s="114" t="str">
        <f ca="1"/>
        <v/>
      </c>
      <c r="LX48" s="114" t="str">
        <f ca="1"/>
        <v/>
      </c>
      <c r="LY48" s="114" t="str">
        <f ca="1"/>
        <v/>
      </c>
      <c r="LZ48" s="114" t="str">
        <f ca="1"/>
        <v/>
      </c>
      <c r="MA48" s="114" t="str">
        <f ca="1"/>
        <v/>
      </c>
      <c r="MB48" s="114" t="str">
        <f ca="1"/>
        <v/>
      </c>
      <c r="MC48" s="114" t="str">
        <f ca="1"/>
        <v/>
      </c>
      <c r="MD48" s="114" t="str">
        <f ca="1"/>
        <v/>
      </c>
      <c r="ME48" s="114" t="str">
        <f ca="1"/>
        <v/>
      </c>
      <c r="MF48" s="114" t="str">
        <f ca="1"/>
        <v/>
      </c>
      <c r="MG48" s="114" t="str">
        <f ca="1"/>
        <v/>
      </c>
      <c r="MH48" s="114" t="str">
        <f ca="1"/>
        <v/>
      </c>
      <c r="MI48" s="114" t="str">
        <f ca="1"/>
        <v/>
      </c>
      <c r="MJ48" s="114" t="str">
        <f ca="1"/>
        <v/>
      </c>
      <c r="MK48" s="114" t="str">
        <f ca="1"/>
        <v/>
      </c>
      <c r="ML48" s="114" t="str">
        <f ca="1"/>
        <v/>
      </c>
      <c r="MM48" s="114" t="str">
        <f ca="1"/>
        <v/>
      </c>
      <c r="MN48" s="114" t="str">
        <f ca="1"/>
        <v/>
      </c>
      <c r="MO48" s="114" t="str">
        <f ca="1"/>
        <v/>
      </c>
      <c r="MP48" s="114" t="str">
        <f ca="1"/>
        <v/>
      </c>
      <c r="MQ48" s="114" t="str">
        <f ca="1"/>
        <v/>
      </c>
      <c r="MR48" s="114" t="str">
        <f ca="1"/>
        <v/>
      </c>
      <c r="MS48" s="114" t="str">
        <f ca="1"/>
        <v/>
      </c>
      <c r="MT48" s="114" t="str">
        <f ca="1"/>
        <v/>
      </c>
      <c r="MU48" s="114" t="str">
        <f ca="1"/>
        <v/>
      </c>
      <c r="MV48" s="114" t="str">
        <f ca="1"/>
        <v/>
      </c>
      <c r="MW48" s="114" t="str">
        <f ca="1"/>
        <v/>
      </c>
      <c r="MX48" s="114" t="str">
        <f ca="1"/>
        <v/>
      </c>
      <c r="MY48" s="114" t="str">
        <f ca="1"/>
        <v/>
      </c>
      <c r="MZ48" s="114" t="str">
        <f ca="1"/>
        <v/>
      </c>
      <c r="NA48" s="114" t="str">
        <f ca="1"/>
        <v/>
      </c>
    </row>
    <row r="49" spans="1:365" s="114" customFormat="1" ht="22.5" customHeight="1">
      <c r="A49" s="506">
        <f t="shared" si="1"/>
        <v>1</v>
      </c>
      <c r="B49"/>
      <c r="C49" s="1386" t="str">
        <v>Insurance</v>
      </c>
      <c r="D49" s="500">
        <f ca="1">SUM(_xlfn.ANCHORARRAY(F49))</f>
        <v>202927.5</v>
      </c>
      <c r="E49"/>
      <c r="F49" s="1389" cm="1">
        <f t="array" aca="1" ref="F49:NA49" ca="1">TRANSPOSE(_xlfn.ANCHORARRAY(mProject!BA$9))</f>
        <v>0</v>
      </c>
      <c r="G49" s="1388">
        <f ca="1"/>
        <v>0</v>
      </c>
      <c r="H49" s="1388">
        <f ca="1"/>
        <v>0</v>
      </c>
      <c r="I49" s="1388">
        <f ca="1"/>
        <v>0</v>
      </c>
      <c r="J49" s="1388">
        <f ca="1"/>
        <v>0</v>
      </c>
      <c r="K49" s="1388">
        <f ca="1"/>
        <v>0</v>
      </c>
      <c r="L49" s="1388">
        <f ca="1"/>
        <v>0</v>
      </c>
      <c r="M49" s="1388">
        <f ca="1"/>
        <v>0</v>
      </c>
      <c r="N49" s="1388">
        <f ca="1"/>
        <v>0</v>
      </c>
      <c r="O49" s="1388">
        <f ca="1"/>
        <v>0</v>
      </c>
      <c r="P49" s="1388">
        <f ca="1"/>
        <v>0</v>
      </c>
      <c r="Q49" s="1388">
        <f ca="1"/>
        <v>0</v>
      </c>
      <c r="R49" s="1388">
        <f ca="1"/>
        <v>3750</v>
      </c>
      <c r="S49" s="1388">
        <f ca="1"/>
        <v>3750</v>
      </c>
      <c r="T49" s="1388">
        <f ca="1"/>
        <v>3750</v>
      </c>
      <c r="U49" s="1388">
        <f ca="1"/>
        <v>3750</v>
      </c>
      <c r="V49" s="1388">
        <f ca="1"/>
        <v>3750</v>
      </c>
      <c r="W49" s="1388">
        <f ca="1"/>
        <v>3750</v>
      </c>
      <c r="X49" s="1388">
        <f ca="1"/>
        <v>3750</v>
      </c>
      <c r="Y49" s="1388">
        <f ca="1"/>
        <v>3750</v>
      </c>
      <c r="Z49" s="1388">
        <f ca="1"/>
        <v>3750</v>
      </c>
      <c r="AA49" s="1388">
        <f ca="1"/>
        <v>3750</v>
      </c>
      <c r="AB49" s="1388">
        <f ca="1"/>
        <v>3750</v>
      </c>
      <c r="AC49" s="1388">
        <f ca="1"/>
        <v>3750</v>
      </c>
      <c r="AD49" s="1388">
        <f ca="1"/>
        <v>3750</v>
      </c>
      <c r="AE49" s="1388">
        <f ca="1"/>
        <v>3490</v>
      </c>
      <c r="AF49" s="1388">
        <f ca="1"/>
        <v>3490</v>
      </c>
      <c r="AG49" s="1388">
        <f ca="1"/>
        <v>3490</v>
      </c>
      <c r="AH49" s="1388">
        <f ca="1"/>
        <v>3490</v>
      </c>
      <c r="AI49" s="1388">
        <f ca="1"/>
        <v>3490</v>
      </c>
      <c r="AJ49" s="1388">
        <f ca="1"/>
        <v>3490</v>
      </c>
      <c r="AK49" s="1388">
        <f ca="1"/>
        <v>3490</v>
      </c>
      <c r="AL49" s="1388">
        <f ca="1"/>
        <v>3490</v>
      </c>
      <c r="AM49" s="1388">
        <f ca="1"/>
        <v>3490</v>
      </c>
      <c r="AN49" s="1388">
        <f ca="1"/>
        <v>3490</v>
      </c>
      <c r="AO49" s="1388">
        <f ca="1"/>
        <v>3490</v>
      </c>
      <c r="AP49" s="1388">
        <f ca="1"/>
        <v>3490</v>
      </c>
      <c r="AQ49" s="1388">
        <f ca="1"/>
        <v>3490</v>
      </c>
      <c r="AR49" s="1388">
        <f ca="1"/>
        <v>3490</v>
      </c>
      <c r="AS49" s="1388">
        <f ca="1"/>
        <v>3490</v>
      </c>
      <c r="AT49" s="1388">
        <f ca="1"/>
        <v>3490</v>
      </c>
      <c r="AU49" s="1388">
        <f ca="1"/>
        <v>3122.5</v>
      </c>
      <c r="AV49" s="1388">
        <f ca="1"/>
        <v>3122.5</v>
      </c>
      <c r="AW49" s="1388">
        <f ca="1"/>
        <v>3122.5</v>
      </c>
      <c r="AX49" s="1388">
        <f ca="1"/>
        <v>3122.5</v>
      </c>
      <c r="AY49" s="1388">
        <f ca="1"/>
        <v>3122.5</v>
      </c>
      <c r="AZ49" s="1388">
        <f ca="1"/>
        <v>3122.5</v>
      </c>
      <c r="BA49" s="1388">
        <f ca="1"/>
        <v>1867.5</v>
      </c>
      <c r="BB49" s="1388">
        <f ca="1"/>
        <v>1867.5</v>
      </c>
      <c r="BC49" s="1388">
        <f ca="1"/>
        <v>1867.5</v>
      </c>
      <c r="BD49" s="1388">
        <f ca="1"/>
        <v>1867.5</v>
      </c>
      <c r="BE49" s="1388">
        <f ca="1"/>
        <v>1867.5</v>
      </c>
      <c r="BF49" s="1388">
        <f ca="1"/>
        <v>1867.5</v>
      </c>
      <c r="BG49" s="1388">
        <f ca="1"/>
        <v>1867.5</v>
      </c>
      <c r="BH49" s="1388">
        <f ca="1"/>
        <v>1867.5</v>
      </c>
      <c r="BI49" s="1388">
        <f ca="1"/>
        <v>1867.5</v>
      </c>
      <c r="BJ49" s="1388">
        <f ca="1"/>
        <v>1867.5</v>
      </c>
      <c r="BK49" s="1388">
        <f ca="1"/>
        <v>1867.5</v>
      </c>
      <c r="BL49" s="1388">
        <f ca="1"/>
        <v>1867.5</v>
      </c>
      <c r="BM49" s="1388">
        <f ca="1"/>
        <v>1867.5</v>
      </c>
      <c r="BN49" s="1388">
        <f ca="1"/>
        <v>1867.5</v>
      </c>
      <c r="BO49" s="1388">
        <f ca="1"/>
        <v>1867.5</v>
      </c>
      <c r="BP49" s="1388">
        <f ca="1"/>
        <v>1867.5</v>
      </c>
      <c r="BQ49" s="1388">
        <f ca="1"/>
        <v>1867.5</v>
      </c>
      <c r="BR49" s="1388">
        <f ca="1"/>
        <v>1867.5</v>
      </c>
      <c r="BS49" s="1388">
        <f ca="1"/>
        <v>1867.5</v>
      </c>
      <c r="BT49" s="1388">
        <f ca="1"/>
        <v>1867.5</v>
      </c>
      <c r="BU49" s="1388">
        <f ca="1"/>
        <v>1867.5</v>
      </c>
      <c r="BV49" s="1388">
        <f ca="1"/>
        <v>1867.5</v>
      </c>
      <c r="BW49" s="1388">
        <f ca="1"/>
        <v>1867.5</v>
      </c>
      <c r="BX49" s="1388">
        <f ca="1"/>
        <v>1867.5</v>
      </c>
      <c r="BY49" s="1388">
        <f ca="1"/>
        <v>1612.5</v>
      </c>
      <c r="BZ49" s="1388">
        <f ca="1"/>
        <v>1560</v>
      </c>
      <c r="CA49" s="1388">
        <f ca="1"/>
        <v>1560</v>
      </c>
      <c r="CB49" s="1388">
        <f ca="1"/>
        <v>1560</v>
      </c>
      <c r="CC49" s="1388">
        <f ca="1"/>
        <v>1560</v>
      </c>
      <c r="CD49" s="1388">
        <f ca="1"/>
        <v>1560</v>
      </c>
      <c r="CE49" s="1388">
        <f ca="1"/>
        <v>1352.5</v>
      </c>
      <c r="CF49" s="1388">
        <f ca="1"/>
        <v>1352.5</v>
      </c>
      <c r="CG49" s="1388">
        <f ca="1"/>
        <v>1352.5</v>
      </c>
      <c r="CH49" s="1388">
        <f ca="1"/>
        <v>1352.5</v>
      </c>
      <c r="CI49" s="1388">
        <f ca="1"/>
        <v>1352.5</v>
      </c>
      <c r="CJ49" s="1388">
        <f ca="1"/>
        <v>1352.5</v>
      </c>
      <c r="CK49" s="1388">
        <f ca="1"/>
        <v>1352.5</v>
      </c>
      <c r="CL49" s="1388">
        <f ca="1"/>
        <v>1352.5</v>
      </c>
      <c r="CM49" s="1388">
        <f ca="1"/>
        <v>1352.5</v>
      </c>
      <c r="CN49" s="1388">
        <f ca="1"/>
        <v>1352.5</v>
      </c>
      <c r="CO49" s="1388">
        <f ca="1"/>
        <v>1352.5</v>
      </c>
      <c r="CP49" s="1388">
        <f ca="1"/>
        <v>1352.5</v>
      </c>
      <c r="CQ49" s="1388">
        <f ca="1"/>
        <v>1352.5</v>
      </c>
      <c r="CR49" s="1388">
        <f ca="1"/>
        <v>1352.5</v>
      </c>
      <c r="CS49" s="1388">
        <f ca="1"/>
        <v>1352.5</v>
      </c>
      <c r="CT49" s="1388">
        <f ca="1"/>
        <v>1352.5</v>
      </c>
      <c r="CU49" s="1388">
        <f ca="1"/>
        <v>1352.5</v>
      </c>
      <c r="CV49" s="1388">
        <f ca="1"/>
        <v>1352.5</v>
      </c>
      <c r="CW49" s="1388">
        <f ca="1"/>
        <v>1025</v>
      </c>
      <c r="CX49" s="1388" t="str">
        <f ca="1"/>
        <v/>
      </c>
      <c r="CY49" s="1388" t="str">
        <f ca="1"/>
        <v/>
      </c>
      <c r="CZ49" s="1388" t="str">
        <f ca="1"/>
        <v/>
      </c>
      <c r="DA49" s="1388" t="str">
        <f ca="1"/>
        <v/>
      </c>
      <c r="DB49" s="1388" t="str">
        <f ca="1"/>
        <v/>
      </c>
      <c r="DC49" s="1388" t="str">
        <f ca="1"/>
        <v/>
      </c>
      <c r="DD49" s="1388" t="str">
        <f ca="1"/>
        <v/>
      </c>
      <c r="DE49" s="1388" t="str">
        <f ca="1"/>
        <v/>
      </c>
      <c r="DF49" s="1388" t="str">
        <f ca="1"/>
        <v/>
      </c>
      <c r="DG49" s="1388" t="str">
        <f ca="1"/>
        <v/>
      </c>
      <c r="DH49" s="1388" t="str">
        <f ca="1"/>
        <v/>
      </c>
      <c r="DI49" s="1388" t="str">
        <f ca="1"/>
        <v/>
      </c>
      <c r="DJ49" s="1388" t="str">
        <f ca="1"/>
        <v/>
      </c>
      <c r="DK49" s="1388" t="str">
        <f ca="1"/>
        <v/>
      </c>
      <c r="DL49" s="1388" t="str">
        <f ca="1"/>
        <v/>
      </c>
      <c r="DM49" s="1388" t="str">
        <f ca="1"/>
        <v/>
      </c>
      <c r="DN49" s="1388" t="str">
        <f ca="1"/>
        <v/>
      </c>
      <c r="DO49" s="1388" t="str">
        <f ca="1"/>
        <v/>
      </c>
      <c r="DP49" s="1388" t="str">
        <f ca="1"/>
        <v/>
      </c>
      <c r="DQ49" s="1388" t="str">
        <f ca="1"/>
        <v/>
      </c>
      <c r="DR49" s="1388" t="str">
        <f ca="1"/>
        <v/>
      </c>
      <c r="DS49" s="1388" t="str">
        <f ca="1"/>
        <v/>
      </c>
      <c r="DT49" s="1388" t="str">
        <f ca="1"/>
        <v/>
      </c>
      <c r="DU49" s="1388" t="str">
        <f ca="1"/>
        <v/>
      </c>
      <c r="DV49" s="1388" t="str">
        <f ca="1"/>
        <v/>
      </c>
      <c r="DW49" s="1388" t="str">
        <f ca="1"/>
        <v/>
      </c>
      <c r="DX49" s="1388" t="str">
        <f ca="1"/>
        <v/>
      </c>
      <c r="DY49" s="1388" t="str">
        <f ca="1"/>
        <v/>
      </c>
      <c r="DZ49" s="1388" t="str">
        <f ca="1"/>
        <v/>
      </c>
      <c r="EA49" s="1388" t="str">
        <f ca="1"/>
        <v/>
      </c>
      <c r="EB49" s="1388" t="str">
        <f ca="1"/>
        <v/>
      </c>
      <c r="EC49" s="1388" t="str">
        <f ca="1"/>
        <v/>
      </c>
      <c r="ED49" s="1388" t="str">
        <f ca="1"/>
        <v/>
      </c>
      <c r="EE49" s="1388" t="str">
        <f ca="1"/>
        <v/>
      </c>
      <c r="EF49" s="1388" t="str">
        <f ca="1"/>
        <v/>
      </c>
      <c r="EG49" s="1388" t="str">
        <f ca="1"/>
        <v/>
      </c>
      <c r="EH49" s="501" t="str">
        <f ca="1"/>
        <v/>
      </c>
      <c r="EI49" s="117" t="str">
        <f ca="1"/>
        <v/>
      </c>
      <c r="EJ49" s="117" t="str">
        <f ca="1"/>
        <v/>
      </c>
      <c r="EK49" s="117" t="str">
        <f ca="1"/>
        <v/>
      </c>
      <c r="EL49" s="117" t="str">
        <f ca="1"/>
        <v/>
      </c>
      <c r="EM49" s="117" t="str">
        <f ca="1"/>
        <v/>
      </c>
      <c r="EN49" s="117" t="str">
        <f ca="1"/>
        <v/>
      </c>
      <c r="EO49" s="117" t="str">
        <f ca="1"/>
        <v/>
      </c>
      <c r="EP49" s="117" t="str">
        <f ca="1"/>
        <v/>
      </c>
      <c r="EQ49" s="117" t="str">
        <f ca="1"/>
        <v/>
      </c>
      <c r="ER49" s="117" t="str">
        <f ca="1"/>
        <v/>
      </c>
      <c r="ES49" s="117" t="str">
        <f ca="1"/>
        <v/>
      </c>
      <c r="ET49" s="117" t="str">
        <f ca="1"/>
        <v/>
      </c>
      <c r="EU49" s="117" t="str">
        <f ca="1"/>
        <v/>
      </c>
      <c r="EV49" s="117" t="str">
        <f ca="1"/>
        <v/>
      </c>
      <c r="EW49" s="117" t="str">
        <f ca="1"/>
        <v/>
      </c>
      <c r="EX49" s="117" t="str">
        <f ca="1"/>
        <v/>
      </c>
      <c r="EY49" s="117" t="str">
        <f ca="1"/>
        <v/>
      </c>
      <c r="EZ49" s="117" t="str">
        <f ca="1"/>
        <v/>
      </c>
      <c r="FA49" s="117" t="str">
        <f ca="1"/>
        <v/>
      </c>
      <c r="FB49" s="117" t="str">
        <f ca="1"/>
        <v/>
      </c>
      <c r="FC49" s="117" t="str">
        <f ca="1"/>
        <v/>
      </c>
      <c r="FD49" s="117" t="str">
        <f ca="1"/>
        <v/>
      </c>
      <c r="FE49" s="117" t="str">
        <f ca="1"/>
        <v/>
      </c>
      <c r="FF49" s="117" t="str">
        <f ca="1"/>
        <v/>
      </c>
      <c r="FG49" s="117" t="str">
        <f ca="1"/>
        <v/>
      </c>
      <c r="FH49" s="117" t="str">
        <f ca="1"/>
        <v/>
      </c>
      <c r="FI49" s="117" t="str">
        <f ca="1"/>
        <v/>
      </c>
      <c r="FJ49" s="117" t="str">
        <f ca="1"/>
        <v/>
      </c>
      <c r="FK49" s="117" t="str">
        <f ca="1"/>
        <v/>
      </c>
      <c r="FL49" s="114" t="str">
        <f ca="1"/>
        <v/>
      </c>
      <c r="FM49" s="114" t="str">
        <f ca="1"/>
        <v/>
      </c>
      <c r="FN49" s="114" t="str">
        <f ca="1"/>
        <v/>
      </c>
      <c r="FO49" s="114" t="str">
        <f ca="1"/>
        <v/>
      </c>
      <c r="FP49" s="114" t="str">
        <f ca="1"/>
        <v/>
      </c>
      <c r="FQ49" s="114" t="str">
        <f ca="1"/>
        <v/>
      </c>
      <c r="FR49" s="114" t="str">
        <f ca="1"/>
        <v/>
      </c>
      <c r="FS49" s="114" t="str">
        <f ca="1"/>
        <v/>
      </c>
      <c r="FT49" s="114" t="str">
        <f ca="1"/>
        <v/>
      </c>
      <c r="FU49" s="114" t="str">
        <f ca="1"/>
        <v/>
      </c>
      <c r="FV49" s="114" t="str">
        <f ca="1"/>
        <v/>
      </c>
      <c r="FW49" s="114" t="str">
        <f ca="1"/>
        <v/>
      </c>
      <c r="FX49" s="114" t="str">
        <f ca="1"/>
        <v/>
      </c>
      <c r="FY49" s="114" t="str">
        <f ca="1"/>
        <v/>
      </c>
      <c r="FZ49" s="114" t="str">
        <f ca="1"/>
        <v/>
      </c>
      <c r="GA49" s="114" t="str">
        <f ca="1"/>
        <v/>
      </c>
      <c r="GB49" s="114" t="str">
        <f ca="1"/>
        <v/>
      </c>
      <c r="GC49" s="114" t="str">
        <f ca="1"/>
        <v/>
      </c>
      <c r="GD49" s="114" t="str">
        <f ca="1"/>
        <v/>
      </c>
      <c r="GE49" s="114" t="str">
        <f ca="1"/>
        <v/>
      </c>
      <c r="GF49" s="114" t="str">
        <f ca="1"/>
        <v/>
      </c>
      <c r="GG49" s="114" t="str">
        <f ca="1"/>
        <v/>
      </c>
      <c r="GH49" s="114" t="str">
        <f ca="1"/>
        <v/>
      </c>
      <c r="GI49" s="114" t="str">
        <f ca="1"/>
        <v/>
      </c>
      <c r="GJ49" s="114" t="str">
        <f ca="1"/>
        <v/>
      </c>
      <c r="GK49" s="114" t="str">
        <f ca="1"/>
        <v/>
      </c>
      <c r="GL49" s="114" t="str">
        <f ca="1"/>
        <v/>
      </c>
      <c r="GM49" s="114" t="str">
        <f ca="1"/>
        <v/>
      </c>
      <c r="GN49" s="114" t="str">
        <f ca="1"/>
        <v/>
      </c>
      <c r="GO49" s="114" t="str">
        <f ca="1"/>
        <v/>
      </c>
      <c r="GP49" s="114" t="str">
        <f ca="1"/>
        <v/>
      </c>
      <c r="GQ49" s="114" t="str">
        <f ca="1"/>
        <v/>
      </c>
      <c r="GR49" s="114" t="str">
        <f ca="1"/>
        <v/>
      </c>
      <c r="GS49" s="114" t="str">
        <f ca="1"/>
        <v/>
      </c>
      <c r="GT49" s="114" t="str">
        <f ca="1"/>
        <v/>
      </c>
      <c r="GU49" s="114" t="str">
        <f ca="1"/>
        <v/>
      </c>
      <c r="GV49" s="114" t="str">
        <f ca="1"/>
        <v/>
      </c>
      <c r="GW49" s="114" t="str">
        <f ca="1"/>
        <v/>
      </c>
      <c r="GX49" s="114" t="str">
        <f ca="1"/>
        <v/>
      </c>
      <c r="GY49" s="114" t="str">
        <f ca="1"/>
        <v/>
      </c>
      <c r="GZ49" s="114" t="str">
        <f ca="1"/>
        <v/>
      </c>
      <c r="HA49" s="114" t="str">
        <f ca="1"/>
        <v/>
      </c>
      <c r="HB49" s="114" t="str">
        <f ca="1"/>
        <v/>
      </c>
      <c r="HC49" s="114" t="str">
        <f ca="1"/>
        <v/>
      </c>
      <c r="HD49" s="114" t="str">
        <f ca="1"/>
        <v/>
      </c>
      <c r="HE49" s="114" t="str">
        <f ca="1"/>
        <v/>
      </c>
      <c r="HF49" s="114" t="str">
        <f ca="1"/>
        <v/>
      </c>
      <c r="HG49" s="114" t="str">
        <f ca="1"/>
        <v/>
      </c>
      <c r="HH49" s="114" t="str">
        <f ca="1"/>
        <v/>
      </c>
      <c r="HI49" s="114" t="str">
        <f ca="1"/>
        <v/>
      </c>
      <c r="HJ49" s="114" t="str">
        <f ca="1"/>
        <v/>
      </c>
      <c r="HK49" s="114" t="str">
        <f ca="1"/>
        <v/>
      </c>
      <c r="HL49" s="114" t="str">
        <f ca="1"/>
        <v/>
      </c>
      <c r="HM49" s="114" t="str">
        <f ca="1"/>
        <v/>
      </c>
      <c r="HN49" s="114" t="str">
        <f ca="1"/>
        <v/>
      </c>
      <c r="HO49" s="114" t="str">
        <f ca="1"/>
        <v/>
      </c>
      <c r="HP49" s="114" t="str">
        <f ca="1"/>
        <v/>
      </c>
      <c r="HQ49" s="114" t="str">
        <f ca="1"/>
        <v/>
      </c>
      <c r="HR49" s="114" t="str">
        <f ca="1"/>
        <v/>
      </c>
      <c r="HS49" s="114" t="str">
        <f ca="1"/>
        <v/>
      </c>
      <c r="HT49" s="114" t="str">
        <f ca="1"/>
        <v/>
      </c>
      <c r="HU49" s="114" t="str">
        <f ca="1"/>
        <v/>
      </c>
      <c r="HV49" s="114" t="str">
        <f ca="1"/>
        <v/>
      </c>
      <c r="HW49" s="114" t="str">
        <f ca="1"/>
        <v/>
      </c>
      <c r="HX49" s="114" t="str">
        <f ca="1"/>
        <v/>
      </c>
      <c r="HY49" s="114" t="str">
        <f ca="1"/>
        <v/>
      </c>
      <c r="HZ49" s="114" t="str">
        <f ca="1"/>
        <v/>
      </c>
      <c r="IA49" s="114" t="str">
        <f ca="1"/>
        <v/>
      </c>
      <c r="IB49" s="114" t="str">
        <f ca="1"/>
        <v/>
      </c>
      <c r="IC49" s="114" t="str">
        <f ca="1"/>
        <v/>
      </c>
      <c r="ID49" s="114" t="str">
        <f ca="1"/>
        <v/>
      </c>
      <c r="IE49" s="114" t="str">
        <f ca="1"/>
        <v/>
      </c>
      <c r="IF49" s="114" t="str">
        <f ca="1"/>
        <v/>
      </c>
      <c r="IG49" s="114" t="str">
        <f ca="1"/>
        <v/>
      </c>
      <c r="IH49" s="114" t="str">
        <f ca="1"/>
        <v/>
      </c>
      <c r="II49" s="114" t="str">
        <f ca="1"/>
        <v/>
      </c>
      <c r="IJ49" s="114" t="str">
        <f ca="1"/>
        <v/>
      </c>
      <c r="IK49" s="114" t="str">
        <f ca="1"/>
        <v/>
      </c>
      <c r="IL49" s="114" t="str">
        <f ca="1"/>
        <v/>
      </c>
      <c r="IM49" s="114" t="str">
        <f ca="1"/>
        <v/>
      </c>
      <c r="IN49" s="114" t="str">
        <f ca="1"/>
        <v/>
      </c>
      <c r="IO49" s="114" t="str">
        <f ca="1"/>
        <v/>
      </c>
      <c r="IP49" s="114" t="str">
        <f ca="1"/>
        <v/>
      </c>
      <c r="IQ49" s="114" t="str">
        <f ca="1"/>
        <v/>
      </c>
      <c r="IR49" s="114" t="str">
        <f ca="1"/>
        <v/>
      </c>
      <c r="IS49" s="114" t="str">
        <f ca="1"/>
        <v/>
      </c>
      <c r="IT49" s="114" t="str">
        <f ca="1"/>
        <v/>
      </c>
      <c r="IU49" s="114" t="str">
        <f ca="1"/>
        <v/>
      </c>
      <c r="IV49" s="114" t="str">
        <f ca="1"/>
        <v/>
      </c>
      <c r="IW49" s="114" t="str">
        <f ca="1"/>
        <v/>
      </c>
      <c r="IX49" s="114" t="str">
        <f ca="1"/>
        <v/>
      </c>
      <c r="IY49" s="114" t="str">
        <f ca="1"/>
        <v/>
      </c>
      <c r="IZ49" s="114" t="str">
        <f ca="1"/>
        <v/>
      </c>
      <c r="JA49" s="114" t="str">
        <f ca="1"/>
        <v/>
      </c>
      <c r="JB49" s="114" t="str">
        <f ca="1"/>
        <v/>
      </c>
      <c r="JC49" s="114" t="str">
        <f ca="1"/>
        <v/>
      </c>
      <c r="JD49" s="114" t="str">
        <f ca="1"/>
        <v/>
      </c>
      <c r="JE49" s="114" t="str">
        <f ca="1"/>
        <v/>
      </c>
      <c r="JF49" s="114" t="str">
        <f ca="1"/>
        <v/>
      </c>
      <c r="JG49" s="114" t="str">
        <f ca="1"/>
        <v/>
      </c>
      <c r="JH49" s="114" t="str">
        <f ca="1"/>
        <v/>
      </c>
      <c r="JI49" s="114" t="str">
        <f ca="1"/>
        <v/>
      </c>
      <c r="JJ49" s="501" t="str">
        <f ca="1"/>
        <v/>
      </c>
      <c r="JK49" s="117" t="str">
        <f ca="1"/>
        <v/>
      </c>
      <c r="JL49" s="117" t="str">
        <f ca="1"/>
        <v/>
      </c>
      <c r="JM49" s="117" t="str">
        <f ca="1"/>
        <v/>
      </c>
      <c r="JN49" s="117" t="str">
        <f ca="1"/>
        <v/>
      </c>
      <c r="JO49" s="117" t="str">
        <f ca="1"/>
        <v/>
      </c>
      <c r="JP49" s="117" t="str">
        <f ca="1"/>
        <v/>
      </c>
      <c r="JQ49" s="117" t="str">
        <f ca="1"/>
        <v/>
      </c>
      <c r="JR49" s="117" t="str">
        <f ca="1"/>
        <v/>
      </c>
      <c r="JS49" s="117" t="str">
        <f ca="1"/>
        <v/>
      </c>
      <c r="JT49" s="117" t="str">
        <f ca="1"/>
        <v/>
      </c>
      <c r="JU49" s="117" t="str">
        <f ca="1"/>
        <v/>
      </c>
      <c r="JV49" s="117" t="str">
        <f ca="1"/>
        <v/>
      </c>
      <c r="JW49" s="117" t="str">
        <f ca="1"/>
        <v/>
      </c>
      <c r="JX49" s="117" t="str">
        <f ca="1"/>
        <v/>
      </c>
      <c r="JY49" s="117" t="str">
        <f ca="1"/>
        <v/>
      </c>
      <c r="JZ49" s="117" t="str">
        <f ca="1"/>
        <v/>
      </c>
      <c r="KA49" s="117" t="str">
        <f ca="1"/>
        <v/>
      </c>
      <c r="KB49" s="117" t="str">
        <f ca="1"/>
        <v/>
      </c>
      <c r="KC49" s="117" t="str">
        <f ca="1"/>
        <v/>
      </c>
      <c r="KD49" s="117" t="str">
        <f ca="1"/>
        <v/>
      </c>
      <c r="KE49" s="117" t="str">
        <f ca="1"/>
        <v/>
      </c>
      <c r="KF49" s="117" t="str">
        <f ca="1"/>
        <v/>
      </c>
      <c r="KG49" s="117" t="str">
        <f ca="1"/>
        <v/>
      </c>
      <c r="KH49" s="117" t="str">
        <f ca="1"/>
        <v/>
      </c>
      <c r="KI49" s="117" t="str">
        <f ca="1"/>
        <v/>
      </c>
      <c r="KJ49" s="117" t="str">
        <f ca="1"/>
        <v/>
      </c>
      <c r="KK49" s="117" t="str">
        <f ca="1"/>
        <v/>
      </c>
      <c r="KL49" s="117" t="str">
        <f ca="1"/>
        <v/>
      </c>
      <c r="KM49" s="117" t="str">
        <f ca="1"/>
        <v/>
      </c>
      <c r="KN49" s="114" t="str">
        <f ca="1"/>
        <v/>
      </c>
      <c r="KO49" s="114" t="str">
        <f ca="1"/>
        <v/>
      </c>
      <c r="KP49" s="114" t="str">
        <f ca="1"/>
        <v/>
      </c>
      <c r="KQ49" s="114" t="str">
        <f ca="1"/>
        <v/>
      </c>
      <c r="KR49" s="114" t="str">
        <f ca="1"/>
        <v/>
      </c>
      <c r="KS49" s="114" t="str">
        <f ca="1"/>
        <v/>
      </c>
      <c r="KT49" s="114" t="str">
        <f ca="1"/>
        <v/>
      </c>
      <c r="KU49" s="114" t="str">
        <f ca="1"/>
        <v/>
      </c>
      <c r="KV49" s="114" t="str">
        <f ca="1"/>
        <v/>
      </c>
      <c r="KW49" s="114" t="str">
        <f ca="1"/>
        <v/>
      </c>
      <c r="KX49" s="114" t="str">
        <f ca="1"/>
        <v/>
      </c>
      <c r="KY49" s="114" t="str">
        <f ca="1"/>
        <v/>
      </c>
      <c r="KZ49" s="114" t="str">
        <f ca="1"/>
        <v/>
      </c>
      <c r="LA49" s="114" t="str">
        <f ca="1"/>
        <v/>
      </c>
      <c r="LB49" s="114" t="str">
        <f ca="1"/>
        <v/>
      </c>
      <c r="LC49" s="114" t="str">
        <f ca="1"/>
        <v/>
      </c>
      <c r="LD49" s="114" t="str">
        <f ca="1"/>
        <v/>
      </c>
      <c r="LE49" s="114" t="str">
        <f ca="1"/>
        <v/>
      </c>
      <c r="LF49" s="114" t="str">
        <f ca="1"/>
        <v/>
      </c>
      <c r="LG49" s="114" t="str">
        <f ca="1"/>
        <v/>
      </c>
      <c r="LH49" s="114" t="str">
        <f ca="1"/>
        <v/>
      </c>
      <c r="LI49" s="114" t="str">
        <f ca="1"/>
        <v/>
      </c>
      <c r="LJ49" s="114" t="str">
        <f ca="1"/>
        <v/>
      </c>
      <c r="LK49" s="114" t="str">
        <f ca="1"/>
        <v/>
      </c>
      <c r="LL49" s="114" t="str">
        <f ca="1"/>
        <v/>
      </c>
      <c r="LM49" s="114" t="str">
        <f ca="1"/>
        <v/>
      </c>
      <c r="LN49" s="114" t="str">
        <f ca="1"/>
        <v/>
      </c>
      <c r="LO49" s="114" t="str">
        <f ca="1"/>
        <v/>
      </c>
      <c r="LP49" s="114" t="str">
        <f ca="1"/>
        <v/>
      </c>
      <c r="LQ49" s="114" t="str">
        <f ca="1"/>
        <v/>
      </c>
      <c r="LR49" s="114" t="str">
        <f ca="1"/>
        <v/>
      </c>
      <c r="LS49" s="114" t="str">
        <f ca="1"/>
        <v/>
      </c>
      <c r="LT49" s="114" t="str">
        <f ca="1"/>
        <v/>
      </c>
      <c r="LU49" s="114" t="str">
        <f ca="1"/>
        <v/>
      </c>
      <c r="LV49" s="114" t="str">
        <f ca="1"/>
        <v/>
      </c>
      <c r="LW49" s="114" t="str">
        <f ca="1"/>
        <v/>
      </c>
      <c r="LX49" s="114" t="str">
        <f ca="1"/>
        <v/>
      </c>
      <c r="LY49" s="114" t="str">
        <f ca="1"/>
        <v/>
      </c>
      <c r="LZ49" s="114" t="str">
        <f ca="1"/>
        <v/>
      </c>
      <c r="MA49" s="114" t="str">
        <f ca="1"/>
        <v/>
      </c>
      <c r="MB49" s="114" t="str">
        <f ca="1"/>
        <v/>
      </c>
      <c r="MC49" s="114" t="str">
        <f ca="1"/>
        <v/>
      </c>
      <c r="MD49" s="114" t="str">
        <f ca="1"/>
        <v/>
      </c>
      <c r="ME49" s="114" t="str">
        <f ca="1"/>
        <v/>
      </c>
      <c r="MF49" s="114" t="str">
        <f ca="1"/>
        <v/>
      </c>
      <c r="MG49" s="114" t="str">
        <f ca="1"/>
        <v/>
      </c>
      <c r="MH49" s="114" t="str">
        <f ca="1"/>
        <v/>
      </c>
      <c r="MI49" s="114" t="str">
        <f ca="1"/>
        <v/>
      </c>
      <c r="MJ49" s="114" t="str">
        <f ca="1"/>
        <v/>
      </c>
      <c r="MK49" s="114" t="str">
        <f ca="1"/>
        <v/>
      </c>
      <c r="ML49" s="114" t="str">
        <f ca="1"/>
        <v/>
      </c>
      <c r="MM49" s="114" t="str">
        <f ca="1"/>
        <v/>
      </c>
      <c r="MN49" s="114" t="str">
        <f ca="1"/>
        <v/>
      </c>
      <c r="MO49" s="114" t="str">
        <f ca="1"/>
        <v/>
      </c>
      <c r="MP49" s="114" t="str">
        <f ca="1"/>
        <v/>
      </c>
      <c r="MQ49" s="114" t="str">
        <f ca="1"/>
        <v/>
      </c>
      <c r="MR49" s="114" t="str">
        <f ca="1"/>
        <v/>
      </c>
      <c r="MS49" s="114" t="str">
        <f ca="1"/>
        <v/>
      </c>
      <c r="MT49" s="114" t="str">
        <f ca="1"/>
        <v/>
      </c>
      <c r="MU49" s="114" t="str">
        <f ca="1"/>
        <v/>
      </c>
      <c r="MV49" s="114" t="str">
        <f ca="1"/>
        <v/>
      </c>
      <c r="MW49" s="114" t="str">
        <f ca="1"/>
        <v/>
      </c>
      <c r="MX49" s="114" t="str">
        <f ca="1"/>
        <v/>
      </c>
      <c r="MY49" s="114" t="str">
        <f ca="1"/>
        <v/>
      </c>
      <c r="MZ49" s="114" t="str">
        <f ca="1"/>
        <v/>
      </c>
      <c r="NA49" s="114" t="str">
        <f ca="1"/>
        <v/>
      </c>
    </row>
    <row r="50" spans="1:365" s="114" customFormat="1" ht="22.5" customHeight="1">
      <c r="A50" s="506">
        <f t="shared" si="1"/>
        <v>1</v>
      </c>
      <c r="B50"/>
      <c r="C50" s="1386" t="str">
        <v>Other 1</v>
      </c>
      <c r="D50" s="500">
        <f ca="1">SUM(_xlfn.ANCHORARRAY(F50))</f>
        <v>0</v>
      </c>
      <c r="E50"/>
      <c r="F50" s="1389" cm="1">
        <f t="array" aca="1" ref="F50:NA50" ca="1">TRANSPOSE(_xlfn.ANCHORARRAY(mProject!BB$9))</f>
        <v>0</v>
      </c>
      <c r="G50" s="1388">
        <f ca="1"/>
        <v>0</v>
      </c>
      <c r="H50" s="1388">
        <f ca="1"/>
        <v>0</v>
      </c>
      <c r="I50" s="1388">
        <f ca="1"/>
        <v>0</v>
      </c>
      <c r="J50" s="1388">
        <f ca="1"/>
        <v>0</v>
      </c>
      <c r="K50" s="1388">
        <f ca="1"/>
        <v>0</v>
      </c>
      <c r="L50" s="1388">
        <f ca="1"/>
        <v>0</v>
      </c>
      <c r="M50" s="1388">
        <f ca="1"/>
        <v>0</v>
      </c>
      <c r="N50" s="1388">
        <f ca="1"/>
        <v>0</v>
      </c>
      <c r="O50" s="1388">
        <f ca="1"/>
        <v>0</v>
      </c>
      <c r="P50" s="1388">
        <f ca="1"/>
        <v>0</v>
      </c>
      <c r="Q50" s="1388">
        <f ca="1"/>
        <v>0</v>
      </c>
      <c r="R50" s="1388">
        <f ca="1"/>
        <v>0</v>
      </c>
      <c r="S50" s="1388">
        <f ca="1"/>
        <v>0</v>
      </c>
      <c r="T50" s="1388">
        <f ca="1"/>
        <v>0</v>
      </c>
      <c r="U50" s="1388">
        <f ca="1"/>
        <v>0</v>
      </c>
      <c r="V50" s="1388">
        <f ca="1"/>
        <v>0</v>
      </c>
      <c r="W50" s="1388">
        <f ca="1"/>
        <v>0</v>
      </c>
      <c r="X50" s="1388">
        <f ca="1"/>
        <v>0</v>
      </c>
      <c r="Y50" s="1388">
        <f ca="1"/>
        <v>0</v>
      </c>
      <c r="Z50" s="1388">
        <f ca="1"/>
        <v>0</v>
      </c>
      <c r="AA50" s="1388">
        <f ca="1"/>
        <v>0</v>
      </c>
      <c r="AB50" s="1388">
        <f ca="1"/>
        <v>0</v>
      </c>
      <c r="AC50" s="1388">
        <f ca="1"/>
        <v>0</v>
      </c>
      <c r="AD50" s="1388">
        <f ca="1"/>
        <v>0</v>
      </c>
      <c r="AE50" s="1388">
        <f ca="1"/>
        <v>0</v>
      </c>
      <c r="AF50" s="1388">
        <f ca="1"/>
        <v>0</v>
      </c>
      <c r="AG50" s="1388">
        <f ca="1"/>
        <v>0</v>
      </c>
      <c r="AH50" s="1388">
        <f ca="1"/>
        <v>0</v>
      </c>
      <c r="AI50" s="1388">
        <f ca="1"/>
        <v>0</v>
      </c>
      <c r="AJ50" s="1388">
        <f ca="1"/>
        <v>0</v>
      </c>
      <c r="AK50" s="1388">
        <f ca="1"/>
        <v>0</v>
      </c>
      <c r="AL50" s="1388">
        <f ca="1"/>
        <v>0</v>
      </c>
      <c r="AM50" s="1388">
        <f ca="1"/>
        <v>0</v>
      </c>
      <c r="AN50" s="1388">
        <f ca="1"/>
        <v>0</v>
      </c>
      <c r="AO50" s="1388">
        <f ca="1"/>
        <v>0</v>
      </c>
      <c r="AP50" s="1388">
        <f ca="1"/>
        <v>0</v>
      </c>
      <c r="AQ50" s="1388">
        <f ca="1"/>
        <v>0</v>
      </c>
      <c r="AR50" s="1388">
        <f ca="1"/>
        <v>0</v>
      </c>
      <c r="AS50" s="1388">
        <f ca="1"/>
        <v>0</v>
      </c>
      <c r="AT50" s="1388">
        <f ca="1"/>
        <v>0</v>
      </c>
      <c r="AU50" s="1388">
        <f ca="1"/>
        <v>0</v>
      </c>
      <c r="AV50" s="1388">
        <f ca="1"/>
        <v>0</v>
      </c>
      <c r="AW50" s="1388">
        <f ca="1"/>
        <v>0</v>
      </c>
      <c r="AX50" s="1388">
        <f ca="1"/>
        <v>0</v>
      </c>
      <c r="AY50" s="1388">
        <f ca="1"/>
        <v>0</v>
      </c>
      <c r="AZ50" s="1388">
        <f ca="1"/>
        <v>0</v>
      </c>
      <c r="BA50" s="1388">
        <f ca="1"/>
        <v>0</v>
      </c>
      <c r="BB50" s="1388">
        <f ca="1"/>
        <v>0</v>
      </c>
      <c r="BC50" s="1388">
        <f ca="1"/>
        <v>0</v>
      </c>
      <c r="BD50" s="1388">
        <f ca="1"/>
        <v>0</v>
      </c>
      <c r="BE50" s="1388">
        <f ca="1"/>
        <v>0</v>
      </c>
      <c r="BF50" s="1388">
        <f ca="1"/>
        <v>0</v>
      </c>
      <c r="BG50" s="1388">
        <f ca="1"/>
        <v>0</v>
      </c>
      <c r="BH50" s="1388">
        <f ca="1"/>
        <v>0</v>
      </c>
      <c r="BI50" s="1388">
        <f ca="1"/>
        <v>0</v>
      </c>
      <c r="BJ50" s="1388">
        <f ca="1"/>
        <v>0</v>
      </c>
      <c r="BK50" s="1388">
        <f ca="1"/>
        <v>0</v>
      </c>
      <c r="BL50" s="1388">
        <f ca="1"/>
        <v>0</v>
      </c>
      <c r="BM50" s="1388">
        <f ca="1"/>
        <v>0</v>
      </c>
      <c r="BN50" s="1388">
        <f ca="1"/>
        <v>0</v>
      </c>
      <c r="BO50" s="1388">
        <f ca="1"/>
        <v>0</v>
      </c>
      <c r="BP50" s="1388">
        <f ca="1"/>
        <v>0</v>
      </c>
      <c r="BQ50" s="1388">
        <f ca="1"/>
        <v>0</v>
      </c>
      <c r="BR50" s="1388">
        <f ca="1"/>
        <v>0</v>
      </c>
      <c r="BS50" s="1388">
        <f ca="1"/>
        <v>0</v>
      </c>
      <c r="BT50" s="1388">
        <f ca="1"/>
        <v>0</v>
      </c>
      <c r="BU50" s="1388">
        <f ca="1"/>
        <v>0</v>
      </c>
      <c r="BV50" s="1388">
        <f ca="1"/>
        <v>0</v>
      </c>
      <c r="BW50" s="1388">
        <f ca="1"/>
        <v>0</v>
      </c>
      <c r="BX50" s="1388">
        <f ca="1"/>
        <v>0</v>
      </c>
      <c r="BY50" s="1388">
        <f ca="1"/>
        <v>0</v>
      </c>
      <c r="BZ50" s="1388">
        <f ca="1"/>
        <v>0</v>
      </c>
      <c r="CA50" s="1388">
        <f ca="1"/>
        <v>0</v>
      </c>
      <c r="CB50" s="1388">
        <f ca="1"/>
        <v>0</v>
      </c>
      <c r="CC50" s="1388">
        <f ca="1"/>
        <v>0</v>
      </c>
      <c r="CD50" s="1388">
        <f ca="1"/>
        <v>0</v>
      </c>
      <c r="CE50" s="1388">
        <f ca="1"/>
        <v>0</v>
      </c>
      <c r="CF50" s="1388">
        <f ca="1"/>
        <v>0</v>
      </c>
      <c r="CG50" s="1388">
        <f ca="1"/>
        <v>0</v>
      </c>
      <c r="CH50" s="1388">
        <f ca="1"/>
        <v>0</v>
      </c>
      <c r="CI50" s="1388">
        <f ca="1"/>
        <v>0</v>
      </c>
      <c r="CJ50" s="1388">
        <f ca="1"/>
        <v>0</v>
      </c>
      <c r="CK50" s="1388">
        <f ca="1"/>
        <v>0</v>
      </c>
      <c r="CL50" s="1388">
        <f ca="1"/>
        <v>0</v>
      </c>
      <c r="CM50" s="1388">
        <f ca="1"/>
        <v>0</v>
      </c>
      <c r="CN50" s="1388">
        <f ca="1"/>
        <v>0</v>
      </c>
      <c r="CO50" s="1388">
        <f ca="1"/>
        <v>0</v>
      </c>
      <c r="CP50" s="1388">
        <f ca="1"/>
        <v>0</v>
      </c>
      <c r="CQ50" s="1388">
        <f ca="1"/>
        <v>0</v>
      </c>
      <c r="CR50" s="1388">
        <f ca="1"/>
        <v>0</v>
      </c>
      <c r="CS50" s="1388">
        <f ca="1"/>
        <v>0</v>
      </c>
      <c r="CT50" s="1388">
        <f ca="1"/>
        <v>0</v>
      </c>
      <c r="CU50" s="1388">
        <f ca="1"/>
        <v>0</v>
      </c>
      <c r="CV50" s="1388">
        <f ca="1"/>
        <v>0</v>
      </c>
      <c r="CW50" s="1388">
        <f ca="1"/>
        <v>0</v>
      </c>
      <c r="CX50" s="1388" t="str">
        <f ca="1"/>
        <v/>
      </c>
      <c r="CY50" s="1388" t="str">
        <f ca="1"/>
        <v/>
      </c>
      <c r="CZ50" s="1388" t="str">
        <f ca="1"/>
        <v/>
      </c>
      <c r="DA50" s="1388" t="str">
        <f ca="1"/>
        <v/>
      </c>
      <c r="DB50" s="1388" t="str">
        <f ca="1"/>
        <v/>
      </c>
      <c r="DC50" s="1388" t="str">
        <f ca="1"/>
        <v/>
      </c>
      <c r="DD50" s="1388" t="str">
        <f ca="1"/>
        <v/>
      </c>
      <c r="DE50" s="1388" t="str">
        <f ca="1"/>
        <v/>
      </c>
      <c r="DF50" s="1388" t="str">
        <f ca="1"/>
        <v/>
      </c>
      <c r="DG50" s="1388" t="str">
        <f ca="1"/>
        <v/>
      </c>
      <c r="DH50" s="1388" t="str">
        <f ca="1"/>
        <v/>
      </c>
      <c r="DI50" s="1388" t="str">
        <f ca="1"/>
        <v/>
      </c>
      <c r="DJ50" s="1388" t="str">
        <f ca="1"/>
        <v/>
      </c>
      <c r="DK50" s="1388" t="str">
        <f ca="1"/>
        <v/>
      </c>
      <c r="DL50" s="1388" t="str">
        <f ca="1"/>
        <v/>
      </c>
      <c r="DM50" s="1388" t="str">
        <f ca="1"/>
        <v/>
      </c>
      <c r="DN50" s="1388" t="str">
        <f ca="1"/>
        <v/>
      </c>
      <c r="DO50" s="1388" t="str">
        <f ca="1"/>
        <v/>
      </c>
      <c r="DP50" s="1388" t="str">
        <f ca="1"/>
        <v/>
      </c>
      <c r="DQ50" s="1388" t="str">
        <f ca="1"/>
        <v/>
      </c>
      <c r="DR50" s="1388" t="str">
        <f ca="1"/>
        <v/>
      </c>
      <c r="DS50" s="1388" t="str">
        <f ca="1"/>
        <v/>
      </c>
      <c r="DT50" s="1388" t="str">
        <f ca="1"/>
        <v/>
      </c>
      <c r="DU50" s="1388" t="str">
        <f ca="1"/>
        <v/>
      </c>
      <c r="DV50" s="1388" t="str">
        <f ca="1"/>
        <v/>
      </c>
      <c r="DW50" s="1388" t="str">
        <f ca="1"/>
        <v/>
      </c>
      <c r="DX50" s="1388" t="str">
        <f ca="1"/>
        <v/>
      </c>
      <c r="DY50" s="1388" t="str">
        <f ca="1"/>
        <v/>
      </c>
      <c r="DZ50" s="1388" t="str">
        <f ca="1"/>
        <v/>
      </c>
      <c r="EA50" s="1388" t="str">
        <f ca="1"/>
        <v/>
      </c>
      <c r="EB50" s="1388" t="str">
        <f ca="1"/>
        <v/>
      </c>
      <c r="EC50" s="1388" t="str">
        <f ca="1"/>
        <v/>
      </c>
      <c r="ED50" s="1388" t="str">
        <f ca="1"/>
        <v/>
      </c>
      <c r="EE50" s="1388" t="str">
        <f ca="1"/>
        <v/>
      </c>
      <c r="EF50" s="1388" t="str">
        <f ca="1"/>
        <v/>
      </c>
      <c r="EG50" s="1388" t="str">
        <f ca="1"/>
        <v/>
      </c>
      <c r="EH50" s="501" t="str">
        <f ca="1"/>
        <v/>
      </c>
      <c r="EI50" s="117" t="str">
        <f ca="1"/>
        <v/>
      </c>
      <c r="EJ50" s="117" t="str">
        <f ca="1"/>
        <v/>
      </c>
      <c r="EK50" s="117" t="str">
        <f ca="1"/>
        <v/>
      </c>
      <c r="EL50" s="117" t="str">
        <f ca="1"/>
        <v/>
      </c>
      <c r="EM50" s="117" t="str">
        <f ca="1"/>
        <v/>
      </c>
      <c r="EN50" s="117" t="str">
        <f ca="1"/>
        <v/>
      </c>
      <c r="EO50" s="117" t="str">
        <f ca="1"/>
        <v/>
      </c>
      <c r="EP50" s="117" t="str">
        <f ca="1"/>
        <v/>
      </c>
      <c r="EQ50" s="117" t="str">
        <f ca="1"/>
        <v/>
      </c>
      <c r="ER50" s="117" t="str">
        <f ca="1"/>
        <v/>
      </c>
      <c r="ES50" s="117" t="str">
        <f ca="1"/>
        <v/>
      </c>
      <c r="ET50" s="117" t="str">
        <f ca="1"/>
        <v/>
      </c>
      <c r="EU50" s="117" t="str">
        <f ca="1"/>
        <v/>
      </c>
      <c r="EV50" s="117" t="str">
        <f ca="1"/>
        <v/>
      </c>
      <c r="EW50" s="117" t="str">
        <f ca="1"/>
        <v/>
      </c>
      <c r="EX50" s="117" t="str">
        <f ca="1"/>
        <v/>
      </c>
      <c r="EY50" s="117" t="str">
        <f ca="1"/>
        <v/>
      </c>
      <c r="EZ50" s="117" t="str">
        <f ca="1"/>
        <v/>
      </c>
      <c r="FA50" s="117" t="str">
        <f ca="1"/>
        <v/>
      </c>
      <c r="FB50" s="117" t="str">
        <f ca="1"/>
        <v/>
      </c>
      <c r="FC50" s="117" t="str">
        <f ca="1"/>
        <v/>
      </c>
      <c r="FD50" s="117" t="str">
        <f ca="1"/>
        <v/>
      </c>
      <c r="FE50" s="117" t="str">
        <f ca="1"/>
        <v/>
      </c>
      <c r="FF50" s="117" t="str">
        <f ca="1"/>
        <v/>
      </c>
      <c r="FG50" s="117" t="str">
        <f ca="1"/>
        <v/>
      </c>
      <c r="FH50" s="117" t="str">
        <f ca="1"/>
        <v/>
      </c>
      <c r="FI50" s="117" t="str">
        <f ca="1"/>
        <v/>
      </c>
      <c r="FJ50" s="117" t="str">
        <f ca="1"/>
        <v/>
      </c>
      <c r="FK50" s="117" t="str">
        <f ca="1"/>
        <v/>
      </c>
      <c r="FL50" s="114" t="str">
        <f ca="1"/>
        <v/>
      </c>
      <c r="FM50" s="114" t="str">
        <f ca="1"/>
        <v/>
      </c>
      <c r="FN50" s="114" t="str">
        <f ca="1"/>
        <v/>
      </c>
      <c r="FO50" s="114" t="str">
        <f ca="1"/>
        <v/>
      </c>
      <c r="FP50" s="114" t="str">
        <f ca="1"/>
        <v/>
      </c>
      <c r="FQ50" s="114" t="str">
        <f ca="1"/>
        <v/>
      </c>
      <c r="FR50" s="114" t="str">
        <f ca="1"/>
        <v/>
      </c>
      <c r="FS50" s="114" t="str">
        <f ca="1"/>
        <v/>
      </c>
      <c r="FT50" s="114" t="str">
        <f ca="1"/>
        <v/>
      </c>
      <c r="FU50" s="114" t="str">
        <f ca="1"/>
        <v/>
      </c>
      <c r="FV50" s="114" t="str">
        <f ca="1"/>
        <v/>
      </c>
      <c r="FW50" s="114" t="str">
        <f ca="1"/>
        <v/>
      </c>
      <c r="FX50" s="114" t="str">
        <f ca="1"/>
        <v/>
      </c>
      <c r="FY50" s="114" t="str">
        <f ca="1"/>
        <v/>
      </c>
      <c r="FZ50" s="114" t="str">
        <f ca="1"/>
        <v/>
      </c>
      <c r="GA50" s="114" t="str">
        <f ca="1"/>
        <v/>
      </c>
      <c r="GB50" s="114" t="str">
        <f ca="1"/>
        <v/>
      </c>
      <c r="GC50" s="114" t="str">
        <f ca="1"/>
        <v/>
      </c>
      <c r="GD50" s="114" t="str">
        <f ca="1"/>
        <v/>
      </c>
      <c r="GE50" s="114" t="str">
        <f ca="1"/>
        <v/>
      </c>
      <c r="GF50" s="114" t="str">
        <f ca="1"/>
        <v/>
      </c>
      <c r="GG50" s="114" t="str">
        <f ca="1"/>
        <v/>
      </c>
      <c r="GH50" s="114" t="str">
        <f ca="1"/>
        <v/>
      </c>
      <c r="GI50" s="114" t="str">
        <f ca="1"/>
        <v/>
      </c>
      <c r="GJ50" s="114" t="str">
        <f ca="1"/>
        <v/>
      </c>
      <c r="GK50" s="114" t="str">
        <f ca="1"/>
        <v/>
      </c>
      <c r="GL50" s="114" t="str">
        <f ca="1"/>
        <v/>
      </c>
      <c r="GM50" s="114" t="str">
        <f ca="1"/>
        <v/>
      </c>
      <c r="GN50" s="114" t="str">
        <f ca="1"/>
        <v/>
      </c>
      <c r="GO50" s="114" t="str">
        <f ca="1"/>
        <v/>
      </c>
      <c r="GP50" s="114" t="str">
        <f ca="1"/>
        <v/>
      </c>
      <c r="GQ50" s="114" t="str">
        <f ca="1"/>
        <v/>
      </c>
      <c r="GR50" s="114" t="str">
        <f ca="1"/>
        <v/>
      </c>
      <c r="GS50" s="114" t="str">
        <f ca="1"/>
        <v/>
      </c>
      <c r="GT50" s="114" t="str">
        <f ca="1"/>
        <v/>
      </c>
      <c r="GU50" s="114" t="str">
        <f ca="1"/>
        <v/>
      </c>
      <c r="GV50" s="114" t="str">
        <f ca="1"/>
        <v/>
      </c>
      <c r="GW50" s="114" t="str">
        <f ca="1"/>
        <v/>
      </c>
      <c r="GX50" s="114" t="str">
        <f ca="1"/>
        <v/>
      </c>
      <c r="GY50" s="114" t="str">
        <f ca="1"/>
        <v/>
      </c>
      <c r="GZ50" s="114" t="str">
        <f ca="1"/>
        <v/>
      </c>
      <c r="HA50" s="114" t="str">
        <f ca="1"/>
        <v/>
      </c>
      <c r="HB50" s="114" t="str">
        <f ca="1"/>
        <v/>
      </c>
      <c r="HC50" s="114" t="str">
        <f ca="1"/>
        <v/>
      </c>
      <c r="HD50" s="114" t="str">
        <f ca="1"/>
        <v/>
      </c>
      <c r="HE50" s="114" t="str">
        <f ca="1"/>
        <v/>
      </c>
      <c r="HF50" s="114" t="str">
        <f ca="1"/>
        <v/>
      </c>
      <c r="HG50" s="114" t="str">
        <f ca="1"/>
        <v/>
      </c>
      <c r="HH50" s="114" t="str">
        <f ca="1"/>
        <v/>
      </c>
      <c r="HI50" s="114" t="str">
        <f ca="1"/>
        <v/>
      </c>
      <c r="HJ50" s="114" t="str">
        <f ca="1"/>
        <v/>
      </c>
      <c r="HK50" s="114" t="str">
        <f ca="1"/>
        <v/>
      </c>
      <c r="HL50" s="114" t="str">
        <f ca="1"/>
        <v/>
      </c>
      <c r="HM50" s="114" t="str">
        <f ca="1"/>
        <v/>
      </c>
      <c r="HN50" s="114" t="str">
        <f ca="1"/>
        <v/>
      </c>
      <c r="HO50" s="114" t="str">
        <f ca="1"/>
        <v/>
      </c>
      <c r="HP50" s="114" t="str">
        <f ca="1"/>
        <v/>
      </c>
      <c r="HQ50" s="114" t="str">
        <f ca="1"/>
        <v/>
      </c>
      <c r="HR50" s="114" t="str">
        <f ca="1"/>
        <v/>
      </c>
      <c r="HS50" s="114" t="str">
        <f ca="1"/>
        <v/>
      </c>
      <c r="HT50" s="114" t="str">
        <f ca="1"/>
        <v/>
      </c>
      <c r="HU50" s="114" t="str">
        <f ca="1"/>
        <v/>
      </c>
      <c r="HV50" s="114" t="str">
        <f ca="1"/>
        <v/>
      </c>
      <c r="HW50" s="114" t="str">
        <f ca="1"/>
        <v/>
      </c>
      <c r="HX50" s="114" t="str">
        <f ca="1"/>
        <v/>
      </c>
      <c r="HY50" s="114" t="str">
        <f ca="1"/>
        <v/>
      </c>
      <c r="HZ50" s="114" t="str">
        <f ca="1"/>
        <v/>
      </c>
      <c r="IA50" s="114" t="str">
        <f ca="1"/>
        <v/>
      </c>
      <c r="IB50" s="114" t="str">
        <f ca="1"/>
        <v/>
      </c>
      <c r="IC50" s="114" t="str">
        <f ca="1"/>
        <v/>
      </c>
      <c r="ID50" s="114" t="str">
        <f ca="1"/>
        <v/>
      </c>
      <c r="IE50" s="114" t="str">
        <f ca="1"/>
        <v/>
      </c>
      <c r="IF50" s="114" t="str">
        <f ca="1"/>
        <v/>
      </c>
      <c r="IG50" s="114" t="str">
        <f ca="1"/>
        <v/>
      </c>
      <c r="IH50" s="114" t="str">
        <f ca="1"/>
        <v/>
      </c>
      <c r="II50" s="114" t="str">
        <f ca="1"/>
        <v/>
      </c>
      <c r="IJ50" s="114" t="str">
        <f ca="1"/>
        <v/>
      </c>
      <c r="IK50" s="114" t="str">
        <f ca="1"/>
        <v/>
      </c>
      <c r="IL50" s="114" t="str">
        <f ca="1"/>
        <v/>
      </c>
      <c r="IM50" s="114" t="str">
        <f ca="1"/>
        <v/>
      </c>
      <c r="IN50" s="114" t="str">
        <f ca="1"/>
        <v/>
      </c>
      <c r="IO50" s="114" t="str">
        <f ca="1"/>
        <v/>
      </c>
      <c r="IP50" s="114" t="str">
        <f ca="1"/>
        <v/>
      </c>
      <c r="IQ50" s="114" t="str">
        <f ca="1"/>
        <v/>
      </c>
      <c r="IR50" s="114" t="str">
        <f ca="1"/>
        <v/>
      </c>
      <c r="IS50" s="114" t="str">
        <f ca="1"/>
        <v/>
      </c>
      <c r="IT50" s="114" t="str">
        <f ca="1"/>
        <v/>
      </c>
      <c r="IU50" s="114" t="str">
        <f ca="1"/>
        <v/>
      </c>
      <c r="IV50" s="114" t="str">
        <f ca="1"/>
        <v/>
      </c>
      <c r="IW50" s="114" t="str">
        <f ca="1"/>
        <v/>
      </c>
      <c r="IX50" s="114" t="str">
        <f ca="1"/>
        <v/>
      </c>
      <c r="IY50" s="114" t="str">
        <f ca="1"/>
        <v/>
      </c>
      <c r="IZ50" s="114" t="str">
        <f ca="1"/>
        <v/>
      </c>
      <c r="JA50" s="114" t="str">
        <f ca="1"/>
        <v/>
      </c>
      <c r="JB50" s="114" t="str">
        <f ca="1"/>
        <v/>
      </c>
      <c r="JC50" s="114" t="str">
        <f ca="1"/>
        <v/>
      </c>
      <c r="JD50" s="114" t="str">
        <f ca="1"/>
        <v/>
      </c>
      <c r="JE50" s="114" t="str">
        <f ca="1"/>
        <v/>
      </c>
      <c r="JF50" s="114" t="str">
        <f ca="1"/>
        <v/>
      </c>
      <c r="JG50" s="114" t="str">
        <f ca="1"/>
        <v/>
      </c>
      <c r="JH50" s="114" t="str">
        <f ca="1"/>
        <v/>
      </c>
      <c r="JI50" s="114" t="str">
        <f ca="1"/>
        <v/>
      </c>
      <c r="JJ50" s="501" t="str">
        <f ca="1"/>
        <v/>
      </c>
      <c r="JK50" s="117" t="str">
        <f ca="1"/>
        <v/>
      </c>
      <c r="JL50" s="117" t="str">
        <f ca="1"/>
        <v/>
      </c>
      <c r="JM50" s="117" t="str">
        <f ca="1"/>
        <v/>
      </c>
      <c r="JN50" s="117" t="str">
        <f ca="1"/>
        <v/>
      </c>
      <c r="JO50" s="117" t="str">
        <f ca="1"/>
        <v/>
      </c>
      <c r="JP50" s="117" t="str">
        <f ca="1"/>
        <v/>
      </c>
      <c r="JQ50" s="117" t="str">
        <f ca="1"/>
        <v/>
      </c>
      <c r="JR50" s="117" t="str">
        <f ca="1"/>
        <v/>
      </c>
      <c r="JS50" s="117" t="str">
        <f ca="1"/>
        <v/>
      </c>
      <c r="JT50" s="117" t="str">
        <f ca="1"/>
        <v/>
      </c>
      <c r="JU50" s="117" t="str">
        <f ca="1"/>
        <v/>
      </c>
      <c r="JV50" s="117" t="str">
        <f ca="1"/>
        <v/>
      </c>
      <c r="JW50" s="117" t="str">
        <f ca="1"/>
        <v/>
      </c>
      <c r="JX50" s="117" t="str">
        <f ca="1"/>
        <v/>
      </c>
      <c r="JY50" s="117" t="str">
        <f ca="1"/>
        <v/>
      </c>
      <c r="JZ50" s="117" t="str">
        <f ca="1"/>
        <v/>
      </c>
      <c r="KA50" s="117" t="str">
        <f ca="1"/>
        <v/>
      </c>
      <c r="KB50" s="117" t="str">
        <f ca="1"/>
        <v/>
      </c>
      <c r="KC50" s="117" t="str">
        <f ca="1"/>
        <v/>
      </c>
      <c r="KD50" s="117" t="str">
        <f ca="1"/>
        <v/>
      </c>
      <c r="KE50" s="117" t="str">
        <f ca="1"/>
        <v/>
      </c>
      <c r="KF50" s="117" t="str">
        <f ca="1"/>
        <v/>
      </c>
      <c r="KG50" s="117" t="str">
        <f ca="1"/>
        <v/>
      </c>
      <c r="KH50" s="117" t="str">
        <f ca="1"/>
        <v/>
      </c>
      <c r="KI50" s="117" t="str">
        <f ca="1"/>
        <v/>
      </c>
      <c r="KJ50" s="117" t="str">
        <f ca="1"/>
        <v/>
      </c>
      <c r="KK50" s="117" t="str">
        <f ca="1"/>
        <v/>
      </c>
      <c r="KL50" s="117" t="str">
        <f ca="1"/>
        <v/>
      </c>
      <c r="KM50" s="117" t="str">
        <f ca="1"/>
        <v/>
      </c>
      <c r="KN50" s="114" t="str">
        <f ca="1"/>
        <v/>
      </c>
      <c r="KO50" s="114" t="str">
        <f ca="1"/>
        <v/>
      </c>
      <c r="KP50" s="114" t="str">
        <f ca="1"/>
        <v/>
      </c>
      <c r="KQ50" s="114" t="str">
        <f ca="1"/>
        <v/>
      </c>
      <c r="KR50" s="114" t="str">
        <f ca="1"/>
        <v/>
      </c>
      <c r="KS50" s="114" t="str">
        <f ca="1"/>
        <v/>
      </c>
      <c r="KT50" s="114" t="str">
        <f ca="1"/>
        <v/>
      </c>
      <c r="KU50" s="114" t="str">
        <f ca="1"/>
        <v/>
      </c>
      <c r="KV50" s="114" t="str">
        <f ca="1"/>
        <v/>
      </c>
      <c r="KW50" s="114" t="str">
        <f ca="1"/>
        <v/>
      </c>
      <c r="KX50" s="114" t="str">
        <f ca="1"/>
        <v/>
      </c>
      <c r="KY50" s="114" t="str">
        <f ca="1"/>
        <v/>
      </c>
      <c r="KZ50" s="114" t="str">
        <f ca="1"/>
        <v/>
      </c>
      <c r="LA50" s="114" t="str">
        <f ca="1"/>
        <v/>
      </c>
      <c r="LB50" s="114" t="str">
        <f ca="1"/>
        <v/>
      </c>
      <c r="LC50" s="114" t="str">
        <f ca="1"/>
        <v/>
      </c>
      <c r="LD50" s="114" t="str">
        <f ca="1"/>
        <v/>
      </c>
      <c r="LE50" s="114" t="str">
        <f ca="1"/>
        <v/>
      </c>
      <c r="LF50" s="114" t="str">
        <f ca="1"/>
        <v/>
      </c>
      <c r="LG50" s="114" t="str">
        <f ca="1"/>
        <v/>
      </c>
      <c r="LH50" s="114" t="str">
        <f ca="1"/>
        <v/>
      </c>
      <c r="LI50" s="114" t="str">
        <f ca="1"/>
        <v/>
      </c>
      <c r="LJ50" s="114" t="str">
        <f ca="1"/>
        <v/>
      </c>
      <c r="LK50" s="114" t="str">
        <f ca="1"/>
        <v/>
      </c>
      <c r="LL50" s="114" t="str">
        <f ca="1"/>
        <v/>
      </c>
      <c r="LM50" s="114" t="str">
        <f ca="1"/>
        <v/>
      </c>
      <c r="LN50" s="114" t="str">
        <f ca="1"/>
        <v/>
      </c>
      <c r="LO50" s="114" t="str">
        <f ca="1"/>
        <v/>
      </c>
      <c r="LP50" s="114" t="str">
        <f ca="1"/>
        <v/>
      </c>
      <c r="LQ50" s="114" t="str">
        <f ca="1"/>
        <v/>
      </c>
      <c r="LR50" s="114" t="str">
        <f ca="1"/>
        <v/>
      </c>
      <c r="LS50" s="114" t="str">
        <f ca="1"/>
        <v/>
      </c>
      <c r="LT50" s="114" t="str">
        <f ca="1"/>
        <v/>
      </c>
      <c r="LU50" s="114" t="str">
        <f ca="1"/>
        <v/>
      </c>
      <c r="LV50" s="114" t="str">
        <f ca="1"/>
        <v/>
      </c>
      <c r="LW50" s="114" t="str">
        <f ca="1"/>
        <v/>
      </c>
      <c r="LX50" s="114" t="str">
        <f ca="1"/>
        <v/>
      </c>
      <c r="LY50" s="114" t="str">
        <f ca="1"/>
        <v/>
      </c>
      <c r="LZ50" s="114" t="str">
        <f ca="1"/>
        <v/>
      </c>
      <c r="MA50" s="114" t="str">
        <f ca="1"/>
        <v/>
      </c>
      <c r="MB50" s="114" t="str">
        <f ca="1"/>
        <v/>
      </c>
      <c r="MC50" s="114" t="str">
        <f ca="1"/>
        <v/>
      </c>
      <c r="MD50" s="114" t="str">
        <f ca="1"/>
        <v/>
      </c>
      <c r="ME50" s="114" t="str">
        <f ca="1"/>
        <v/>
      </c>
      <c r="MF50" s="114" t="str">
        <f ca="1"/>
        <v/>
      </c>
      <c r="MG50" s="114" t="str">
        <f ca="1"/>
        <v/>
      </c>
      <c r="MH50" s="114" t="str">
        <f ca="1"/>
        <v/>
      </c>
      <c r="MI50" s="114" t="str">
        <f ca="1"/>
        <v/>
      </c>
      <c r="MJ50" s="114" t="str">
        <f ca="1"/>
        <v/>
      </c>
      <c r="MK50" s="114" t="str">
        <f ca="1"/>
        <v/>
      </c>
      <c r="ML50" s="114" t="str">
        <f ca="1"/>
        <v/>
      </c>
      <c r="MM50" s="114" t="str">
        <f ca="1"/>
        <v/>
      </c>
      <c r="MN50" s="114" t="str">
        <f ca="1"/>
        <v/>
      </c>
      <c r="MO50" s="114" t="str">
        <f ca="1"/>
        <v/>
      </c>
      <c r="MP50" s="114" t="str">
        <f ca="1"/>
        <v/>
      </c>
      <c r="MQ50" s="114" t="str">
        <f ca="1"/>
        <v/>
      </c>
      <c r="MR50" s="114" t="str">
        <f ca="1"/>
        <v/>
      </c>
      <c r="MS50" s="114" t="str">
        <f ca="1"/>
        <v/>
      </c>
      <c r="MT50" s="114" t="str">
        <f ca="1"/>
        <v/>
      </c>
      <c r="MU50" s="114" t="str">
        <f ca="1"/>
        <v/>
      </c>
      <c r="MV50" s="114" t="str">
        <f ca="1"/>
        <v/>
      </c>
      <c r="MW50" s="114" t="str">
        <f ca="1"/>
        <v/>
      </c>
      <c r="MX50" s="114" t="str">
        <f ca="1"/>
        <v/>
      </c>
      <c r="MY50" s="114" t="str">
        <f ca="1"/>
        <v/>
      </c>
      <c r="MZ50" s="114" t="str">
        <f ca="1"/>
        <v/>
      </c>
      <c r="NA50" s="114" t="str">
        <f ca="1"/>
        <v/>
      </c>
    </row>
    <row r="51" spans="1:365" s="114" customFormat="1" ht="22.5" customHeight="1">
      <c r="A51" s="506">
        <f t="shared" si="1"/>
        <v>1</v>
      </c>
      <c r="B51"/>
      <c r="C51" s="1386" t="str">
        <v>Other 2</v>
      </c>
      <c r="D51" s="500">
        <f ca="1">SUM(_xlfn.ANCHORARRAY(F51))</f>
        <v>0</v>
      </c>
      <c r="E51"/>
      <c r="F51" s="1371" cm="1">
        <f t="array" aca="1" ref="F51:NA51" ca="1">TRANSPOSE(_xlfn.ANCHORARRAY(mProject!BC$9))</f>
        <v>0</v>
      </c>
      <c r="G51" s="1403">
        <f ca="1"/>
        <v>0</v>
      </c>
      <c r="H51" s="1403">
        <f ca="1"/>
        <v>0</v>
      </c>
      <c r="I51" s="1403">
        <f ca="1"/>
        <v>0</v>
      </c>
      <c r="J51" s="1403">
        <f ca="1"/>
        <v>0</v>
      </c>
      <c r="K51" s="1403">
        <f ca="1"/>
        <v>0</v>
      </c>
      <c r="L51" s="1403">
        <f ca="1"/>
        <v>0</v>
      </c>
      <c r="M51" s="1403">
        <f ca="1"/>
        <v>0</v>
      </c>
      <c r="N51" s="1403">
        <f ca="1"/>
        <v>0</v>
      </c>
      <c r="O51" s="1403">
        <f ca="1"/>
        <v>0</v>
      </c>
      <c r="P51" s="1403">
        <f ca="1"/>
        <v>0</v>
      </c>
      <c r="Q51" s="1403">
        <f ca="1"/>
        <v>0</v>
      </c>
      <c r="R51" s="1403">
        <f ca="1"/>
        <v>0</v>
      </c>
      <c r="S51" s="1403">
        <f ca="1"/>
        <v>0</v>
      </c>
      <c r="T51" s="1403">
        <f ca="1"/>
        <v>0</v>
      </c>
      <c r="U51" s="1403">
        <f ca="1"/>
        <v>0</v>
      </c>
      <c r="V51" s="1403">
        <f ca="1"/>
        <v>0</v>
      </c>
      <c r="W51" s="1403">
        <f ca="1"/>
        <v>0</v>
      </c>
      <c r="X51" s="1403">
        <f ca="1"/>
        <v>0</v>
      </c>
      <c r="Y51" s="1403">
        <f ca="1"/>
        <v>0</v>
      </c>
      <c r="Z51" s="1403">
        <f ca="1"/>
        <v>0</v>
      </c>
      <c r="AA51" s="1403">
        <f ca="1"/>
        <v>0</v>
      </c>
      <c r="AB51" s="1403">
        <f ca="1"/>
        <v>0</v>
      </c>
      <c r="AC51" s="1403">
        <f ca="1"/>
        <v>0</v>
      </c>
      <c r="AD51" s="1403">
        <f ca="1"/>
        <v>0</v>
      </c>
      <c r="AE51" s="1403">
        <f ca="1"/>
        <v>0</v>
      </c>
      <c r="AF51" s="1403">
        <f ca="1"/>
        <v>0</v>
      </c>
      <c r="AG51" s="1403">
        <f ca="1"/>
        <v>0</v>
      </c>
      <c r="AH51" s="1403">
        <f ca="1"/>
        <v>0</v>
      </c>
      <c r="AI51" s="1403">
        <f ca="1"/>
        <v>0</v>
      </c>
      <c r="AJ51" s="1403">
        <f ca="1"/>
        <v>0</v>
      </c>
      <c r="AK51" s="1403">
        <f ca="1"/>
        <v>0</v>
      </c>
      <c r="AL51" s="1403">
        <f ca="1"/>
        <v>0</v>
      </c>
      <c r="AM51" s="1403">
        <f ca="1"/>
        <v>0</v>
      </c>
      <c r="AN51" s="1403">
        <f ca="1"/>
        <v>0</v>
      </c>
      <c r="AO51" s="1403">
        <f ca="1"/>
        <v>0</v>
      </c>
      <c r="AP51" s="1403">
        <f ca="1"/>
        <v>0</v>
      </c>
      <c r="AQ51" s="1403">
        <f ca="1"/>
        <v>0</v>
      </c>
      <c r="AR51" s="1403">
        <f ca="1"/>
        <v>0</v>
      </c>
      <c r="AS51" s="1403">
        <f ca="1"/>
        <v>0</v>
      </c>
      <c r="AT51" s="1403">
        <f ca="1"/>
        <v>0</v>
      </c>
      <c r="AU51" s="1403">
        <f ca="1"/>
        <v>0</v>
      </c>
      <c r="AV51" s="1403">
        <f ca="1"/>
        <v>0</v>
      </c>
      <c r="AW51" s="1403">
        <f ca="1"/>
        <v>0</v>
      </c>
      <c r="AX51" s="1403">
        <f ca="1"/>
        <v>0</v>
      </c>
      <c r="AY51" s="1403">
        <f ca="1"/>
        <v>0</v>
      </c>
      <c r="AZ51" s="1403">
        <f ca="1"/>
        <v>0</v>
      </c>
      <c r="BA51" s="1403">
        <f ca="1"/>
        <v>0</v>
      </c>
      <c r="BB51" s="1403">
        <f ca="1"/>
        <v>0</v>
      </c>
      <c r="BC51" s="1403">
        <f ca="1"/>
        <v>0</v>
      </c>
      <c r="BD51" s="1403">
        <f ca="1"/>
        <v>0</v>
      </c>
      <c r="BE51" s="1403">
        <f ca="1"/>
        <v>0</v>
      </c>
      <c r="BF51" s="1403">
        <f ca="1"/>
        <v>0</v>
      </c>
      <c r="BG51" s="1403">
        <f ca="1"/>
        <v>0</v>
      </c>
      <c r="BH51" s="1403">
        <f ca="1"/>
        <v>0</v>
      </c>
      <c r="BI51" s="1403">
        <f ca="1"/>
        <v>0</v>
      </c>
      <c r="BJ51" s="1403">
        <f ca="1"/>
        <v>0</v>
      </c>
      <c r="BK51" s="1403">
        <f ca="1"/>
        <v>0</v>
      </c>
      <c r="BL51" s="1403">
        <f ca="1"/>
        <v>0</v>
      </c>
      <c r="BM51" s="1403">
        <f ca="1"/>
        <v>0</v>
      </c>
      <c r="BN51" s="1403">
        <f ca="1"/>
        <v>0</v>
      </c>
      <c r="BO51" s="1403">
        <f ca="1"/>
        <v>0</v>
      </c>
      <c r="BP51" s="1403">
        <f ca="1"/>
        <v>0</v>
      </c>
      <c r="BQ51" s="1403">
        <f ca="1"/>
        <v>0</v>
      </c>
      <c r="BR51" s="1403">
        <f ca="1"/>
        <v>0</v>
      </c>
      <c r="BS51" s="1403">
        <f ca="1"/>
        <v>0</v>
      </c>
      <c r="BT51" s="1403">
        <f ca="1"/>
        <v>0</v>
      </c>
      <c r="BU51" s="1403">
        <f ca="1"/>
        <v>0</v>
      </c>
      <c r="BV51" s="1403">
        <f ca="1"/>
        <v>0</v>
      </c>
      <c r="BW51" s="1403">
        <f ca="1"/>
        <v>0</v>
      </c>
      <c r="BX51" s="1403">
        <f ca="1"/>
        <v>0</v>
      </c>
      <c r="BY51" s="1403">
        <f ca="1"/>
        <v>0</v>
      </c>
      <c r="BZ51" s="1403">
        <f ca="1"/>
        <v>0</v>
      </c>
      <c r="CA51" s="1403">
        <f ca="1"/>
        <v>0</v>
      </c>
      <c r="CB51" s="1403">
        <f ca="1"/>
        <v>0</v>
      </c>
      <c r="CC51" s="1403">
        <f ca="1"/>
        <v>0</v>
      </c>
      <c r="CD51" s="1403">
        <f ca="1"/>
        <v>0</v>
      </c>
      <c r="CE51" s="1403">
        <f ca="1"/>
        <v>0</v>
      </c>
      <c r="CF51" s="1403">
        <f ca="1"/>
        <v>0</v>
      </c>
      <c r="CG51" s="1403">
        <f ca="1"/>
        <v>0</v>
      </c>
      <c r="CH51" s="1403">
        <f ca="1"/>
        <v>0</v>
      </c>
      <c r="CI51" s="1403">
        <f ca="1"/>
        <v>0</v>
      </c>
      <c r="CJ51" s="1403">
        <f ca="1"/>
        <v>0</v>
      </c>
      <c r="CK51" s="1403">
        <f ca="1"/>
        <v>0</v>
      </c>
      <c r="CL51" s="1403">
        <f ca="1"/>
        <v>0</v>
      </c>
      <c r="CM51" s="1403">
        <f ca="1"/>
        <v>0</v>
      </c>
      <c r="CN51" s="1403">
        <f ca="1"/>
        <v>0</v>
      </c>
      <c r="CO51" s="1403">
        <f ca="1"/>
        <v>0</v>
      </c>
      <c r="CP51" s="1403">
        <f ca="1"/>
        <v>0</v>
      </c>
      <c r="CQ51" s="1403">
        <f ca="1"/>
        <v>0</v>
      </c>
      <c r="CR51" s="1403">
        <f ca="1"/>
        <v>0</v>
      </c>
      <c r="CS51" s="1403">
        <f ca="1"/>
        <v>0</v>
      </c>
      <c r="CT51" s="1403">
        <f ca="1"/>
        <v>0</v>
      </c>
      <c r="CU51" s="1403">
        <f ca="1"/>
        <v>0</v>
      </c>
      <c r="CV51" s="1403">
        <f ca="1"/>
        <v>0</v>
      </c>
      <c r="CW51" s="1403">
        <f ca="1"/>
        <v>0</v>
      </c>
      <c r="CX51" s="1403" t="str">
        <f ca="1"/>
        <v/>
      </c>
      <c r="CY51" s="1403" t="str">
        <f ca="1"/>
        <v/>
      </c>
      <c r="CZ51" s="1403" t="str">
        <f ca="1"/>
        <v/>
      </c>
      <c r="DA51" s="1403" t="str">
        <f ca="1"/>
        <v/>
      </c>
      <c r="DB51" s="1403" t="str">
        <f ca="1"/>
        <v/>
      </c>
      <c r="DC51" s="1403" t="str">
        <f ca="1"/>
        <v/>
      </c>
      <c r="DD51" s="1403" t="str">
        <f ca="1"/>
        <v/>
      </c>
      <c r="DE51" s="1403" t="str">
        <f ca="1"/>
        <v/>
      </c>
      <c r="DF51" s="1403" t="str">
        <f ca="1"/>
        <v/>
      </c>
      <c r="DG51" s="1403" t="str">
        <f ca="1"/>
        <v/>
      </c>
      <c r="DH51" s="1403" t="str">
        <f ca="1"/>
        <v/>
      </c>
      <c r="DI51" s="1403" t="str">
        <f ca="1"/>
        <v/>
      </c>
      <c r="DJ51" s="1403" t="str">
        <f ca="1"/>
        <v/>
      </c>
      <c r="DK51" s="1403" t="str">
        <f ca="1"/>
        <v/>
      </c>
      <c r="DL51" s="1403" t="str">
        <f ca="1"/>
        <v/>
      </c>
      <c r="DM51" s="1403" t="str">
        <f ca="1"/>
        <v/>
      </c>
      <c r="DN51" s="1403" t="str">
        <f ca="1"/>
        <v/>
      </c>
      <c r="DO51" s="1403" t="str">
        <f ca="1"/>
        <v/>
      </c>
      <c r="DP51" s="1403" t="str">
        <f ca="1"/>
        <v/>
      </c>
      <c r="DQ51" s="1403" t="str">
        <f ca="1"/>
        <v/>
      </c>
      <c r="DR51" s="1403" t="str">
        <f ca="1"/>
        <v/>
      </c>
      <c r="DS51" s="1403" t="str">
        <f ca="1"/>
        <v/>
      </c>
      <c r="DT51" s="1403" t="str">
        <f ca="1"/>
        <v/>
      </c>
      <c r="DU51" s="1403" t="str">
        <f ca="1"/>
        <v/>
      </c>
      <c r="DV51" s="1403" t="str">
        <f ca="1"/>
        <v/>
      </c>
      <c r="DW51" s="1403" t="str">
        <f ca="1"/>
        <v/>
      </c>
      <c r="DX51" s="1403" t="str">
        <f ca="1"/>
        <v/>
      </c>
      <c r="DY51" s="1403" t="str">
        <f ca="1"/>
        <v/>
      </c>
      <c r="DZ51" s="1403" t="str">
        <f ca="1"/>
        <v/>
      </c>
      <c r="EA51" s="1403" t="str">
        <f ca="1"/>
        <v/>
      </c>
      <c r="EB51" s="1403" t="str">
        <f ca="1"/>
        <v/>
      </c>
      <c r="EC51" s="1403" t="str">
        <f ca="1"/>
        <v/>
      </c>
      <c r="ED51" s="1403" t="str">
        <f ca="1"/>
        <v/>
      </c>
      <c r="EE51" s="1403" t="str">
        <f ca="1"/>
        <v/>
      </c>
      <c r="EF51" s="1403" t="str">
        <f ca="1"/>
        <v/>
      </c>
      <c r="EG51" s="1403" t="str">
        <f ca="1"/>
        <v/>
      </c>
      <c r="EH51" s="501" t="str">
        <f ca="1"/>
        <v/>
      </c>
      <c r="EI51" s="117" t="str">
        <f ca="1"/>
        <v/>
      </c>
      <c r="EJ51" s="117" t="str">
        <f ca="1"/>
        <v/>
      </c>
      <c r="EK51" s="117" t="str">
        <f ca="1"/>
        <v/>
      </c>
      <c r="EL51" s="117" t="str">
        <f ca="1"/>
        <v/>
      </c>
      <c r="EM51" s="117" t="str">
        <f ca="1"/>
        <v/>
      </c>
      <c r="EN51" s="117" t="str">
        <f ca="1"/>
        <v/>
      </c>
      <c r="EO51" s="117" t="str">
        <f ca="1"/>
        <v/>
      </c>
      <c r="EP51" s="117" t="str">
        <f ca="1"/>
        <v/>
      </c>
      <c r="EQ51" s="117" t="str">
        <f ca="1"/>
        <v/>
      </c>
      <c r="ER51" s="117" t="str">
        <f ca="1"/>
        <v/>
      </c>
      <c r="ES51" s="117" t="str">
        <f ca="1"/>
        <v/>
      </c>
      <c r="ET51" s="117" t="str">
        <f ca="1"/>
        <v/>
      </c>
      <c r="EU51" s="117" t="str">
        <f ca="1"/>
        <v/>
      </c>
      <c r="EV51" s="117" t="str">
        <f ca="1"/>
        <v/>
      </c>
      <c r="EW51" s="117" t="str">
        <f ca="1"/>
        <v/>
      </c>
      <c r="EX51" s="117" t="str">
        <f ca="1"/>
        <v/>
      </c>
      <c r="EY51" s="117" t="str">
        <f ca="1"/>
        <v/>
      </c>
      <c r="EZ51" s="117" t="str">
        <f ca="1"/>
        <v/>
      </c>
      <c r="FA51" s="117" t="str">
        <f ca="1"/>
        <v/>
      </c>
      <c r="FB51" s="117" t="str">
        <f ca="1"/>
        <v/>
      </c>
      <c r="FC51" s="117" t="str">
        <f ca="1"/>
        <v/>
      </c>
      <c r="FD51" s="117" t="str">
        <f ca="1"/>
        <v/>
      </c>
      <c r="FE51" s="117" t="str">
        <f ca="1"/>
        <v/>
      </c>
      <c r="FF51" s="117" t="str">
        <f ca="1"/>
        <v/>
      </c>
      <c r="FG51" s="117" t="str">
        <f ca="1"/>
        <v/>
      </c>
      <c r="FH51" s="117" t="str">
        <f ca="1"/>
        <v/>
      </c>
      <c r="FI51" s="117" t="str">
        <f ca="1"/>
        <v/>
      </c>
      <c r="FJ51" s="117" t="str">
        <f ca="1"/>
        <v/>
      </c>
      <c r="FK51" s="117" t="str">
        <f ca="1"/>
        <v/>
      </c>
      <c r="FL51" s="114" t="str">
        <f ca="1"/>
        <v/>
      </c>
      <c r="FM51" s="114" t="str">
        <f ca="1"/>
        <v/>
      </c>
      <c r="FN51" s="114" t="str">
        <f ca="1"/>
        <v/>
      </c>
      <c r="FO51" s="114" t="str">
        <f ca="1"/>
        <v/>
      </c>
      <c r="FP51" s="114" t="str">
        <f ca="1"/>
        <v/>
      </c>
      <c r="FQ51" s="114" t="str">
        <f ca="1"/>
        <v/>
      </c>
      <c r="FR51" s="114" t="str">
        <f ca="1"/>
        <v/>
      </c>
      <c r="FS51" s="114" t="str">
        <f ca="1"/>
        <v/>
      </c>
      <c r="FT51" s="114" t="str">
        <f ca="1"/>
        <v/>
      </c>
      <c r="FU51" s="114" t="str">
        <f ca="1"/>
        <v/>
      </c>
      <c r="FV51" s="114" t="str">
        <f ca="1"/>
        <v/>
      </c>
      <c r="FW51" s="114" t="str">
        <f ca="1"/>
        <v/>
      </c>
      <c r="FX51" s="114" t="str">
        <f ca="1"/>
        <v/>
      </c>
      <c r="FY51" s="114" t="str">
        <f ca="1"/>
        <v/>
      </c>
      <c r="FZ51" s="114" t="str">
        <f ca="1"/>
        <v/>
      </c>
      <c r="GA51" s="114" t="str">
        <f ca="1"/>
        <v/>
      </c>
      <c r="GB51" s="114" t="str">
        <f ca="1"/>
        <v/>
      </c>
      <c r="GC51" s="114" t="str">
        <f ca="1"/>
        <v/>
      </c>
      <c r="GD51" s="114" t="str">
        <f ca="1"/>
        <v/>
      </c>
      <c r="GE51" s="114" t="str">
        <f ca="1"/>
        <v/>
      </c>
      <c r="GF51" s="114" t="str">
        <f ca="1"/>
        <v/>
      </c>
      <c r="GG51" s="114" t="str">
        <f ca="1"/>
        <v/>
      </c>
      <c r="GH51" s="114" t="str">
        <f ca="1"/>
        <v/>
      </c>
      <c r="GI51" s="114" t="str">
        <f ca="1"/>
        <v/>
      </c>
      <c r="GJ51" s="114" t="str">
        <f ca="1"/>
        <v/>
      </c>
      <c r="GK51" s="114" t="str">
        <f ca="1"/>
        <v/>
      </c>
      <c r="GL51" s="114" t="str">
        <f ca="1"/>
        <v/>
      </c>
      <c r="GM51" s="114" t="str">
        <f ca="1"/>
        <v/>
      </c>
      <c r="GN51" s="114" t="str">
        <f ca="1"/>
        <v/>
      </c>
      <c r="GO51" s="114" t="str">
        <f ca="1"/>
        <v/>
      </c>
      <c r="GP51" s="114" t="str">
        <f ca="1"/>
        <v/>
      </c>
      <c r="GQ51" s="114" t="str">
        <f ca="1"/>
        <v/>
      </c>
      <c r="GR51" s="114" t="str">
        <f ca="1"/>
        <v/>
      </c>
      <c r="GS51" s="114" t="str">
        <f ca="1"/>
        <v/>
      </c>
      <c r="GT51" s="114" t="str">
        <f ca="1"/>
        <v/>
      </c>
      <c r="GU51" s="114" t="str">
        <f ca="1"/>
        <v/>
      </c>
      <c r="GV51" s="114" t="str">
        <f ca="1"/>
        <v/>
      </c>
      <c r="GW51" s="114" t="str">
        <f ca="1"/>
        <v/>
      </c>
      <c r="GX51" s="114" t="str">
        <f ca="1"/>
        <v/>
      </c>
      <c r="GY51" s="114" t="str">
        <f ca="1"/>
        <v/>
      </c>
      <c r="GZ51" s="114" t="str">
        <f ca="1"/>
        <v/>
      </c>
      <c r="HA51" s="114" t="str">
        <f ca="1"/>
        <v/>
      </c>
      <c r="HB51" s="114" t="str">
        <f ca="1"/>
        <v/>
      </c>
      <c r="HC51" s="114" t="str">
        <f ca="1"/>
        <v/>
      </c>
      <c r="HD51" s="114" t="str">
        <f ca="1"/>
        <v/>
      </c>
      <c r="HE51" s="114" t="str">
        <f ca="1"/>
        <v/>
      </c>
      <c r="HF51" s="114" t="str">
        <f ca="1"/>
        <v/>
      </c>
      <c r="HG51" s="114" t="str">
        <f ca="1"/>
        <v/>
      </c>
      <c r="HH51" s="114" t="str">
        <f ca="1"/>
        <v/>
      </c>
      <c r="HI51" s="114" t="str">
        <f ca="1"/>
        <v/>
      </c>
      <c r="HJ51" s="114" t="str">
        <f ca="1"/>
        <v/>
      </c>
      <c r="HK51" s="114" t="str">
        <f ca="1"/>
        <v/>
      </c>
      <c r="HL51" s="114" t="str">
        <f ca="1"/>
        <v/>
      </c>
      <c r="HM51" s="114" t="str">
        <f ca="1"/>
        <v/>
      </c>
      <c r="HN51" s="114" t="str">
        <f ca="1"/>
        <v/>
      </c>
      <c r="HO51" s="114" t="str">
        <f ca="1"/>
        <v/>
      </c>
      <c r="HP51" s="114" t="str">
        <f ca="1"/>
        <v/>
      </c>
      <c r="HQ51" s="114" t="str">
        <f ca="1"/>
        <v/>
      </c>
      <c r="HR51" s="114" t="str">
        <f ca="1"/>
        <v/>
      </c>
      <c r="HS51" s="114" t="str">
        <f ca="1"/>
        <v/>
      </c>
      <c r="HT51" s="114" t="str">
        <f ca="1"/>
        <v/>
      </c>
      <c r="HU51" s="114" t="str">
        <f ca="1"/>
        <v/>
      </c>
      <c r="HV51" s="114" t="str">
        <f ca="1"/>
        <v/>
      </c>
      <c r="HW51" s="114" t="str">
        <f ca="1"/>
        <v/>
      </c>
      <c r="HX51" s="114" t="str">
        <f ca="1"/>
        <v/>
      </c>
      <c r="HY51" s="114" t="str">
        <f ca="1"/>
        <v/>
      </c>
      <c r="HZ51" s="114" t="str">
        <f ca="1"/>
        <v/>
      </c>
      <c r="IA51" s="114" t="str">
        <f ca="1"/>
        <v/>
      </c>
      <c r="IB51" s="114" t="str">
        <f ca="1"/>
        <v/>
      </c>
      <c r="IC51" s="114" t="str">
        <f ca="1"/>
        <v/>
      </c>
      <c r="ID51" s="114" t="str">
        <f ca="1"/>
        <v/>
      </c>
      <c r="IE51" s="114" t="str">
        <f ca="1"/>
        <v/>
      </c>
      <c r="IF51" s="114" t="str">
        <f ca="1"/>
        <v/>
      </c>
      <c r="IG51" s="114" t="str">
        <f ca="1"/>
        <v/>
      </c>
      <c r="IH51" s="114" t="str">
        <f ca="1"/>
        <v/>
      </c>
      <c r="II51" s="114" t="str">
        <f ca="1"/>
        <v/>
      </c>
      <c r="IJ51" s="114" t="str">
        <f ca="1"/>
        <v/>
      </c>
      <c r="IK51" s="114" t="str">
        <f ca="1"/>
        <v/>
      </c>
      <c r="IL51" s="114" t="str">
        <f ca="1"/>
        <v/>
      </c>
      <c r="IM51" s="114" t="str">
        <f ca="1"/>
        <v/>
      </c>
      <c r="IN51" s="114" t="str">
        <f ca="1"/>
        <v/>
      </c>
      <c r="IO51" s="114" t="str">
        <f ca="1"/>
        <v/>
      </c>
      <c r="IP51" s="114" t="str">
        <f ca="1"/>
        <v/>
      </c>
      <c r="IQ51" s="114" t="str">
        <f ca="1"/>
        <v/>
      </c>
      <c r="IR51" s="114" t="str">
        <f ca="1"/>
        <v/>
      </c>
      <c r="IS51" s="114" t="str">
        <f ca="1"/>
        <v/>
      </c>
      <c r="IT51" s="114" t="str">
        <f ca="1"/>
        <v/>
      </c>
      <c r="IU51" s="114" t="str">
        <f ca="1"/>
        <v/>
      </c>
      <c r="IV51" s="114" t="str">
        <f ca="1"/>
        <v/>
      </c>
      <c r="IW51" s="114" t="str">
        <f ca="1"/>
        <v/>
      </c>
      <c r="IX51" s="114" t="str">
        <f ca="1"/>
        <v/>
      </c>
      <c r="IY51" s="114" t="str">
        <f ca="1"/>
        <v/>
      </c>
      <c r="IZ51" s="114" t="str">
        <f ca="1"/>
        <v/>
      </c>
      <c r="JA51" s="114" t="str">
        <f ca="1"/>
        <v/>
      </c>
      <c r="JB51" s="114" t="str">
        <f ca="1"/>
        <v/>
      </c>
      <c r="JC51" s="114" t="str">
        <f ca="1"/>
        <v/>
      </c>
      <c r="JD51" s="114" t="str">
        <f ca="1"/>
        <v/>
      </c>
      <c r="JE51" s="114" t="str">
        <f ca="1"/>
        <v/>
      </c>
      <c r="JF51" s="114" t="str">
        <f ca="1"/>
        <v/>
      </c>
      <c r="JG51" s="114" t="str">
        <f ca="1"/>
        <v/>
      </c>
      <c r="JH51" s="114" t="str">
        <f ca="1"/>
        <v/>
      </c>
      <c r="JI51" s="114" t="str">
        <f ca="1"/>
        <v/>
      </c>
      <c r="JJ51" s="501" t="str">
        <f ca="1"/>
        <v/>
      </c>
      <c r="JK51" s="117" t="str">
        <f ca="1"/>
        <v/>
      </c>
      <c r="JL51" s="117" t="str">
        <f ca="1"/>
        <v/>
      </c>
      <c r="JM51" s="117" t="str">
        <f ca="1"/>
        <v/>
      </c>
      <c r="JN51" s="117" t="str">
        <f ca="1"/>
        <v/>
      </c>
      <c r="JO51" s="117" t="str">
        <f ca="1"/>
        <v/>
      </c>
      <c r="JP51" s="117" t="str">
        <f ca="1"/>
        <v/>
      </c>
      <c r="JQ51" s="117" t="str">
        <f ca="1"/>
        <v/>
      </c>
      <c r="JR51" s="117" t="str">
        <f ca="1"/>
        <v/>
      </c>
      <c r="JS51" s="117" t="str">
        <f ca="1"/>
        <v/>
      </c>
      <c r="JT51" s="117" t="str">
        <f ca="1"/>
        <v/>
      </c>
      <c r="JU51" s="117" t="str">
        <f ca="1"/>
        <v/>
      </c>
      <c r="JV51" s="117" t="str">
        <f ca="1"/>
        <v/>
      </c>
      <c r="JW51" s="117" t="str">
        <f ca="1"/>
        <v/>
      </c>
      <c r="JX51" s="117" t="str">
        <f ca="1"/>
        <v/>
      </c>
      <c r="JY51" s="117" t="str">
        <f ca="1"/>
        <v/>
      </c>
      <c r="JZ51" s="117" t="str">
        <f ca="1"/>
        <v/>
      </c>
      <c r="KA51" s="117" t="str">
        <f ca="1"/>
        <v/>
      </c>
      <c r="KB51" s="117" t="str">
        <f ca="1"/>
        <v/>
      </c>
      <c r="KC51" s="117" t="str">
        <f ca="1"/>
        <v/>
      </c>
      <c r="KD51" s="117" t="str">
        <f ca="1"/>
        <v/>
      </c>
      <c r="KE51" s="117" t="str">
        <f ca="1"/>
        <v/>
      </c>
      <c r="KF51" s="117" t="str">
        <f ca="1"/>
        <v/>
      </c>
      <c r="KG51" s="117" t="str">
        <f ca="1"/>
        <v/>
      </c>
      <c r="KH51" s="117" t="str">
        <f ca="1"/>
        <v/>
      </c>
      <c r="KI51" s="117" t="str">
        <f ca="1"/>
        <v/>
      </c>
      <c r="KJ51" s="117" t="str">
        <f ca="1"/>
        <v/>
      </c>
      <c r="KK51" s="117" t="str">
        <f ca="1"/>
        <v/>
      </c>
      <c r="KL51" s="117" t="str">
        <f ca="1"/>
        <v/>
      </c>
      <c r="KM51" s="117" t="str">
        <f ca="1"/>
        <v/>
      </c>
      <c r="KN51" s="114" t="str">
        <f ca="1"/>
        <v/>
      </c>
      <c r="KO51" s="114" t="str">
        <f ca="1"/>
        <v/>
      </c>
      <c r="KP51" s="114" t="str">
        <f ca="1"/>
        <v/>
      </c>
      <c r="KQ51" s="114" t="str">
        <f ca="1"/>
        <v/>
      </c>
      <c r="KR51" s="114" t="str">
        <f ca="1"/>
        <v/>
      </c>
      <c r="KS51" s="114" t="str">
        <f ca="1"/>
        <v/>
      </c>
      <c r="KT51" s="114" t="str">
        <f ca="1"/>
        <v/>
      </c>
      <c r="KU51" s="114" t="str">
        <f ca="1"/>
        <v/>
      </c>
      <c r="KV51" s="114" t="str">
        <f ca="1"/>
        <v/>
      </c>
      <c r="KW51" s="114" t="str">
        <f ca="1"/>
        <v/>
      </c>
      <c r="KX51" s="114" t="str">
        <f ca="1"/>
        <v/>
      </c>
      <c r="KY51" s="114" t="str">
        <f ca="1"/>
        <v/>
      </c>
      <c r="KZ51" s="114" t="str">
        <f ca="1"/>
        <v/>
      </c>
      <c r="LA51" s="114" t="str">
        <f ca="1"/>
        <v/>
      </c>
      <c r="LB51" s="114" t="str">
        <f ca="1"/>
        <v/>
      </c>
      <c r="LC51" s="114" t="str">
        <f ca="1"/>
        <v/>
      </c>
      <c r="LD51" s="114" t="str">
        <f ca="1"/>
        <v/>
      </c>
      <c r="LE51" s="114" t="str">
        <f ca="1"/>
        <v/>
      </c>
      <c r="LF51" s="114" t="str">
        <f ca="1"/>
        <v/>
      </c>
      <c r="LG51" s="114" t="str">
        <f ca="1"/>
        <v/>
      </c>
      <c r="LH51" s="114" t="str">
        <f ca="1"/>
        <v/>
      </c>
      <c r="LI51" s="114" t="str">
        <f ca="1"/>
        <v/>
      </c>
      <c r="LJ51" s="114" t="str">
        <f ca="1"/>
        <v/>
      </c>
      <c r="LK51" s="114" t="str">
        <f ca="1"/>
        <v/>
      </c>
      <c r="LL51" s="114" t="str">
        <f ca="1"/>
        <v/>
      </c>
      <c r="LM51" s="114" t="str">
        <f ca="1"/>
        <v/>
      </c>
      <c r="LN51" s="114" t="str">
        <f ca="1"/>
        <v/>
      </c>
      <c r="LO51" s="114" t="str">
        <f ca="1"/>
        <v/>
      </c>
      <c r="LP51" s="114" t="str">
        <f ca="1"/>
        <v/>
      </c>
      <c r="LQ51" s="114" t="str">
        <f ca="1"/>
        <v/>
      </c>
      <c r="LR51" s="114" t="str">
        <f ca="1"/>
        <v/>
      </c>
      <c r="LS51" s="114" t="str">
        <f ca="1"/>
        <v/>
      </c>
      <c r="LT51" s="114" t="str">
        <f ca="1"/>
        <v/>
      </c>
      <c r="LU51" s="114" t="str">
        <f ca="1"/>
        <v/>
      </c>
      <c r="LV51" s="114" t="str">
        <f ca="1"/>
        <v/>
      </c>
      <c r="LW51" s="114" t="str">
        <f ca="1"/>
        <v/>
      </c>
      <c r="LX51" s="114" t="str">
        <f ca="1"/>
        <v/>
      </c>
      <c r="LY51" s="114" t="str">
        <f ca="1"/>
        <v/>
      </c>
      <c r="LZ51" s="114" t="str">
        <f ca="1"/>
        <v/>
      </c>
      <c r="MA51" s="114" t="str">
        <f ca="1"/>
        <v/>
      </c>
      <c r="MB51" s="114" t="str">
        <f ca="1"/>
        <v/>
      </c>
      <c r="MC51" s="114" t="str">
        <f ca="1"/>
        <v/>
      </c>
      <c r="MD51" s="114" t="str">
        <f ca="1"/>
        <v/>
      </c>
      <c r="ME51" s="114" t="str">
        <f ca="1"/>
        <v/>
      </c>
      <c r="MF51" s="114" t="str">
        <f ca="1"/>
        <v/>
      </c>
      <c r="MG51" s="114" t="str">
        <f ca="1"/>
        <v/>
      </c>
      <c r="MH51" s="114" t="str">
        <f ca="1"/>
        <v/>
      </c>
      <c r="MI51" s="114" t="str">
        <f ca="1"/>
        <v/>
      </c>
      <c r="MJ51" s="114" t="str">
        <f ca="1"/>
        <v/>
      </c>
      <c r="MK51" s="114" t="str">
        <f ca="1"/>
        <v/>
      </c>
      <c r="ML51" s="114" t="str">
        <f ca="1"/>
        <v/>
      </c>
      <c r="MM51" s="114" t="str">
        <f ca="1"/>
        <v/>
      </c>
      <c r="MN51" s="114" t="str">
        <f ca="1"/>
        <v/>
      </c>
      <c r="MO51" s="114" t="str">
        <f ca="1"/>
        <v/>
      </c>
      <c r="MP51" s="114" t="str">
        <f ca="1"/>
        <v/>
      </c>
      <c r="MQ51" s="114" t="str">
        <f ca="1"/>
        <v/>
      </c>
      <c r="MR51" s="114" t="str">
        <f ca="1"/>
        <v/>
      </c>
      <c r="MS51" s="114" t="str">
        <f ca="1"/>
        <v/>
      </c>
      <c r="MT51" s="114" t="str">
        <f ca="1"/>
        <v/>
      </c>
      <c r="MU51" s="114" t="str">
        <f ca="1"/>
        <v/>
      </c>
      <c r="MV51" s="114" t="str">
        <f ca="1"/>
        <v/>
      </c>
      <c r="MW51" s="114" t="str">
        <f ca="1"/>
        <v/>
      </c>
      <c r="MX51" s="114" t="str">
        <f ca="1"/>
        <v/>
      </c>
      <c r="MY51" s="114" t="str">
        <f ca="1"/>
        <v/>
      </c>
      <c r="MZ51" s="114" t="str">
        <f ca="1"/>
        <v/>
      </c>
      <c r="NA51" s="114" t="str">
        <f ca="1"/>
        <v/>
      </c>
    </row>
    <row r="52" spans="1:365" s="114" customFormat="1" ht="22.5" customHeight="1">
      <c r="A52" s="506">
        <f t="shared" si="1"/>
        <v>1</v>
      </c>
      <c r="B52"/>
      <c r="C52" s="1382" t="s">
        <v>698</v>
      </c>
      <c r="D52" s="1383">
        <f ca="1">SUM(_xlfn.ANCHORARRAY(F52))</f>
        <v>541140.00000000023</v>
      </c>
      <c r="E52"/>
      <c r="F52" s="1404" cm="1">
        <f t="array" aca="1" ref="F52:NA52" ca="1">TRANSPOSE(_xlfn.ANCHORARRAY(mProject!BD$9))</f>
        <v>0</v>
      </c>
      <c r="G52" s="1405">
        <f ca="1"/>
        <v>0</v>
      </c>
      <c r="H52" s="1405">
        <f ca="1"/>
        <v>0</v>
      </c>
      <c r="I52" s="1405">
        <f ca="1"/>
        <v>0</v>
      </c>
      <c r="J52" s="1405">
        <f ca="1"/>
        <v>0</v>
      </c>
      <c r="K52" s="1405">
        <f ca="1"/>
        <v>0</v>
      </c>
      <c r="L52" s="1405">
        <f ca="1"/>
        <v>0</v>
      </c>
      <c r="M52" s="1405">
        <f ca="1"/>
        <v>0</v>
      </c>
      <c r="N52" s="1405">
        <f ca="1"/>
        <v>0</v>
      </c>
      <c r="O52" s="1405">
        <f ca="1"/>
        <v>0</v>
      </c>
      <c r="P52" s="1405">
        <f ca="1"/>
        <v>0</v>
      </c>
      <c r="Q52" s="1405">
        <f ca="1"/>
        <v>0</v>
      </c>
      <c r="R52" s="1405">
        <f ca="1"/>
        <v>10000</v>
      </c>
      <c r="S52" s="1405">
        <f ca="1"/>
        <v>10000</v>
      </c>
      <c r="T52" s="1405">
        <f ca="1"/>
        <v>10000</v>
      </c>
      <c r="U52" s="1405">
        <f ca="1"/>
        <v>10000</v>
      </c>
      <c r="V52" s="1405">
        <f ca="1"/>
        <v>10000</v>
      </c>
      <c r="W52" s="1405">
        <f ca="1"/>
        <v>10000</v>
      </c>
      <c r="X52" s="1405">
        <f ca="1"/>
        <v>10000</v>
      </c>
      <c r="Y52" s="1405">
        <f ca="1"/>
        <v>10000</v>
      </c>
      <c r="Z52" s="1405">
        <f ca="1"/>
        <v>10000</v>
      </c>
      <c r="AA52" s="1405">
        <f ca="1"/>
        <v>10000</v>
      </c>
      <c r="AB52" s="1405">
        <f ca="1"/>
        <v>10000</v>
      </c>
      <c r="AC52" s="1405">
        <f ca="1"/>
        <v>10000</v>
      </c>
      <c r="AD52" s="1405">
        <f ca="1"/>
        <v>10000</v>
      </c>
      <c r="AE52" s="1405">
        <f ca="1"/>
        <v>9306.6666666666679</v>
      </c>
      <c r="AF52" s="1405">
        <f ca="1"/>
        <v>9306.6666666666679</v>
      </c>
      <c r="AG52" s="1405">
        <f ca="1"/>
        <v>9306.6666666666679</v>
      </c>
      <c r="AH52" s="1405">
        <f ca="1"/>
        <v>9306.6666666666679</v>
      </c>
      <c r="AI52" s="1405">
        <f ca="1"/>
        <v>9306.6666666666679</v>
      </c>
      <c r="AJ52" s="1405">
        <f ca="1"/>
        <v>9306.6666666666679</v>
      </c>
      <c r="AK52" s="1405">
        <f ca="1"/>
        <v>9306.6666666666679</v>
      </c>
      <c r="AL52" s="1405">
        <f ca="1"/>
        <v>9306.6666666666679</v>
      </c>
      <c r="AM52" s="1405">
        <f ca="1"/>
        <v>9306.6666666666679</v>
      </c>
      <c r="AN52" s="1405">
        <f ca="1"/>
        <v>9306.6666666666679</v>
      </c>
      <c r="AO52" s="1405">
        <f ca="1"/>
        <v>9306.6666666666679</v>
      </c>
      <c r="AP52" s="1405">
        <f ca="1"/>
        <v>9306.6666666666679</v>
      </c>
      <c r="AQ52" s="1405">
        <f ca="1"/>
        <v>9306.6666666666679</v>
      </c>
      <c r="AR52" s="1405">
        <f ca="1"/>
        <v>9306.6666666666679</v>
      </c>
      <c r="AS52" s="1405">
        <f ca="1"/>
        <v>9306.6666666666679</v>
      </c>
      <c r="AT52" s="1405">
        <f ca="1"/>
        <v>9306.6666666666679</v>
      </c>
      <c r="AU52" s="1405">
        <f ca="1"/>
        <v>8326.6666666666679</v>
      </c>
      <c r="AV52" s="1405">
        <f ca="1"/>
        <v>8326.6666666666679</v>
      </c>
      <c r="AW52" s="1405">
        <f ca="1"/>
        <v>8326.6666666666679</v>
      </c>
      <c r="AX52" s="1405">
        <f ca="1"/>
        <v>8326.6666666666679</v>
      </c>
      <c r="AY52" s="1405">
        <f ca="1"/>
        <v>8326.6666666666679</v>
      </c>
      <c r="AZ52" s="1405">
        <f ca="1"/>
        <v>8326.6666666666679</v>
      </c>
      <c r="BA52" s="1405">
        <f ca="1"/>
        <v>4980</v>
      </c>
      <c r="BB52" s="1405">
        <f ca="1"/>
        <v>4980</v>
      </c>
      <c r="BC52" s="1405">
        <f ca="1"/>
        <v>4980</v>
      </c>
      <c r="BD52" s="1405">
        <f ca="1"/>
        <v>4980</v>
      </c>
      <c r="BE52" s="1405">
        <f ca="1"/>
        <v>4980</v>
      </c>
      <c r="BF52" s="1405">
        <f ca="1"/>
        <v>4980</v>
      </c>
      <c r="BG52" s="1405">
        <f ca="1"/>
        <v>4980</v>
      </c>
      <c r="BH52" s="1405">
        <f ca="1"/>
        <v>4980</v>
      </c>
      <c r="BI52" s="1405">
        <f ca="1"/>
        <v>4980</v>
      </c>
      <c r="BJ52" s="1405">
        <f ca="1"/>
        <v>4980</v>
      </c>
      <c r="BK52" s="1405">
        <f ca="1"/>
        <v>4980</v>
      </c>
      <c r="BL52" s="1405">
        <f ca="1"/>
        <v>4980</v>
      </c>
      <c r="BM52" s="1405">
        <f ca="1"/>
        <v>4980</v>
      </c>
      <c r="BN52" s="1405">
        <f ca="1"/>
        <v>4980</v>
      </c>
      <c r="BO52" s="1405">
        <f ca="1"/>
        <v>4980</v>
      </c>
      <c r="BP52" s="1405">
        <f ca="1"/>
        <v>4980</v>
      </c>
      <c r="BQ52" s="1405">
        <f ca="1"/>
        <v>4980</v>
      </c>
      <c r="BR52" s="1405">
        <f ca="1"/>
        <v>4980</v>
      </c>
      <c r="BS52" s="1405">
        <f ca="1"/>
        <v>4980</v>
      </c>
      <c r="BT52" s="1405">
        <f ca="1"/>
        <v>4980</v>
      </c>
      <c r="BU52" s="1405">
        <f ca="1"/>
        <v>4980</v>
      </c>
      <c r="BV52" s="1405">
        <f ca="1"/>
        <v>4980</v>
      </c>
      <c r="BW52" s="1405">
        <f ca="1"/>
        <v>4980</v>
      </c>
      <c r="BX52" s="1405">
        <f ca="1"/>
        <v>4980</v>
      </c>
      <c r="BY52" s="1405">
        <f ca="1"/>
        <v>4300</v>
      </c>
      <c r="BZ52" s="1405">
        <f ca="1"/>
        <v>4160</v>
      </c>
      <c r="CA52" s="1405">
        <f ca="1"/>
        <v>4160</v>
      </c>
      <c r="CB52" s="1405">
        <f ca="1"/>
        <v>4160</v>
      </c>
      <c r="CC52" s="1405">
        <f ca="1"/>
        <v>4160</v>
      </c>
      <c r="CD52" s="1405">
        <f ca="1"/>
        <v>4160</v>
      </c>
      <c r="CE52" s="1405">
        <f ca="1"/>
        <v>3606.6666666666665</v>
      </c>
      <c r="CF52" s="1405">
        <f ca="1"/>
        <v>3606.6666666666665</v>
      </c>
      <c r="CG52" s="1405">
        <f ca="1"/>
        <v>3606.6666666666665</v>
      </c>
      <c r="CH52" s="1405">
        <f ca="1"/>
        <v>3606.6666666666665</v>
      </c>
      <c r="CI52" s="1405">
        <f ca="1"/>
        <v>3606.6666666666665</v>
      </c>
      <c r="CJ52" s="1405">
        <f ca="1"/>
        <v>3606.6666666666665</v>
      </c>
      <c r="CK52" s="1405">
        <f ca="1"/>
        <v>3606.6666666666665</v>
      </c>
      <c r="CL52" s="1405">
        <f ca="1"/>
        <v>3606.6666666666665</v>
      </c>
      <c r="CM52" s="1405">
        <f ca="1"/>
        <v>3606.6666666666665</v>
      </c>
      <c r="CN52" s="1405">
        <f ca="1"/>
        <v>3606.6666666666665</v>
      </c>
      <c r="CO52" s="1405">
        <f ca="1"/>
        <v>3606.6666666666665</v>
      </c>
      <c r="CP52" s="1405">
        <f ca="1"/>
        <v>3606.6666666666665</v>
      </c>
      <c r="CQ52" s="1405">
        <f ca="1"/>
        <v>3606.6666666666665</v>
      </c>
      <c r="CR52" s="1405">
        <f ca="1"/>
        <v>3606.6666666666665</v>
      </c>
      <c r="CS52" s="1405">
        <f ca="1"/>
        <v>3606.6666666666665</v>
      </c>
      <c r="CT52" s="1405">
        <f ca="1"/>
        <v>3606.6666666666665</v>
      </c>
      <c r="CU52" s="1405">
        <f ca="1"/>
        <v>3606.6666666666665</v>
      </c>
      <c r="CV52" s="1405">
        <f ca="1"/>
        <v>3606.6666666666665</v>
      </c>
      <c r="CW52" s="1405">
        <f ca="1"/>
        <v>2733.333333333333</v>
      </c>
      <c r="CX52" s="1405">
        <f ca="1"/>
        <v>0</v>
      </c>
      <c r="CY52" s="1405">
        <f ca="1"/>
        <v>0</v>
      </c>
      <c r="CZ52" s="1405">
        <f ca="1"/>
        <v>0</v>
      </c>
      <c r="DA52" s="1405">
        <f ca="1"/>
        <v>0</v>
      </c>
      <c r="DB52" s="1405">
        <f ca="1"/>
        <v>0</v>
      </c>
      <c r="DC52" s="1405">
        <f ca="1"/>
        <v>0</v>
      </c>
      <c r="DD52" s="1405">
        <f ca="1"/>
        <v>0</v>
      </c>
      <c r="DE52" s="1405">
        <f ca="1"/>
        <v>0</v>
      </c>
      <c r="DF52" s="1405">
        <f ca="1"/>
        <v>0</v>
      </c>
      <c r="DG52" s="1405">
        <f ca="1"/>
        <v>0</v>
      </c>
      <c r="DH52" s="1405">
        <f ca="1"/>
        <v>0</v>
      </c>
      <c r="DI52" s="1405">
        <f ca="1"/>
        <v>0</v>
      </c>
      <c r="DJ52" s="1405">
        <f ca="1"/>
        <v>0</v>
      </c>
      <c r="DK52" s="1405">
        <f ca="1"/>
        <v>0</v>
      </c>
      <c r="DL52" s="1405">
        <f ca="1"/>
        <v>0</v>
      </c>
      <c r="DM52" s="1405">
        <f ca="1"/>
        <v>0</v>
      </c>
      <c r="DN52" s="1405">
        <f ca="1"/>
        <v>0</v>
      </c>
      <c r="DO52" s="1405">
        <f ca="1"/>
        <v>0</v>
      </c>
      <c r="DP52" s="1405">
        <f ca="1"/>
        <v>0</v>
      </c>
      <c r="DQ52" s="1405">
        <f ca="1"/>
        <v>0</v>
      </c>
      <c r="DR52" s="1405">
        <f ca="1"/>
        <v>0</v>
      </c>
      <c r="DS52" s="1405">
        <f ca="1"/>
        <v>0</v>
      </c>
      <c r="DT52" s="1405">
        <f ca="1"/>
        <v>0</v>
      </c>
      <c r="DU52" s="1405">
        <f ca="1"/>
        <v>0</v>
      </c>
      <c r="DV52" s="1405">
        <f ca="1"/>
        <v>0</v>
      </c>
      <c r="DW52" s="1405">
        <f ca="1"/>
        <v>0</v>
      </c>
      <c r="DX52" s="1405">
        <f ca="1"/>
        <v>0</v>
      </c>
      <c r="DY52" s="1405">
        <f ca="1"/>
        <v>0</v>
      </c>
      <c r="DZ52" s="1405">
        <f ca="1"/>
        <v>0</v>
      </c>
      <c r="EA52" s="1405">
        <f ca="1"/>
        <v>0</v>
      </c>
      <c r="EB52" s="1405">
        <f ca="1"/>
        <v>0</v>
      </c>
      <c r="EC52" s="1405">
        <f ca="1"/>
        <v>0</v>
      </c>
      <c r="ED52" s="1405">
        <f ca="1"/>
        <v>0</v>
      </c>
      <c r="EE52" s="1405">
        <f ca="1"/>
        <v>0</v>
      </c>
      <c r="EF52" s="1405">
        <f ca="1"/>
        <v>0</v>
      </c>
      <c r="EG52" s="1405">
        <f ca="1"/>
        <v>0</v>
      </c>
      <c r="EH52" s="501">
        <f ca="1"/>
        <v>0</v>
      </c>
      <c r="EI52" s="117">
        <f ca="1"/>
        <v>0</v>
      </c>
      <c r="EJ52" s="117">
        <f ca="1"/>
        <v>0</v>
      </c>
      <c r="EK52" s="117">
        <f ca="1"/>
        <v>0</v>
      </c>
      <c r="EL52" s="117">
        <f ca="1"/>
        <v>0</v>
      </c>
      <c r="EM52" s="117">
        <f ca="1"/>
        <v>0</v>
      </c>
      <c r="EN52" s="117">
        <f ca="1"/>
        <v>0</v>
      </c>
      <c r="EO52" s="117">
        <f ca="1"/>
        <v>0</v>
      </c>
      <c r="EP52" s="117">
        <f ca="1"/>
        <v>0</v>
      </c>
      <c r="EQ52" s="117">
        <f ca="1"/>
        <v>0</v>
      </c>
      <c r="ER52" s="117">
        <f ca="1"/>
        <v>0</v>
      </c>
      <c r="ES52" s="117">
        <f ca="1"/>
        <v>0</v>
      </c>
      <c r="ET52" s="117">
        <f ca="1"/>
        <v>0</v>
      </c>
      <c r="EU52" s="117">
        <f ca="1"/>
        <v>0</v>
      </c>
      <c r="EV52" s="117">
        <f ca="1"/>
        <v>0</v>
      </c>
      <c r="EW52" s="117">
        <f ca="1"/>
        <v>0</v>
      </c>
      <c r="EX52" s="117">
        <f ca="1"/>
        <v>0</v>
      </c>
      <c r="EY52" s="117">
        <f ca="1"/>
        <v>0</v>
      </c>
      <c r="EZ52" s="117">
        <f ca="1"/>
        <v>0</v>
      </c>
      <c r="FA52" s="117">
        <f ca="1"/>
        <v>0</v>
      </c>
      <c r="FB52" s="117">
        <f ca="1"/>
        <v>0</v>
      </c>
      <c r="FC52" s="117">
        <f ca="1"/>
        <v>0</v>
      </c>
      <c r="FD52" s="117">
        <f ca="1"/>
        <v>0</v>
      </c>
      <c r="FE52" s="117">
        <f ca="1"/>
        <v>0</v>
      </c>
      <c r="FF52" s="117">
        <f ca="1"/>
        <v>0</v>
      </c>
      <c r="FG52" s="117">
        <f ca="1"/>
        <v>0</v>
      </c>
      <c r="FH52" s="117">
        <f ca="1"/>
        <v>0</v>
      </c>
      <c r="FI52" s="117">
        <f ca="1"/>
        <v>0</v>
      </c>
      <c r="FJ52" s="117">
        <f ca="1"/>
        <v>0</v>
      </c>
      <c r="FK52" s="117">
        <f ca="1"/>
        <v>0</v>
      </c>
      <c r="FL52" s="114">
        <f ca="1"/>
        <v>0</v>
      </c>
      <c r="FM52" s="114">
        <f ca="1"/>
        <v>0</v>
      </c>
      <c r="FN52" s="114">
        <f ca="1"/>
        <v>0</v>
      </c>
      <c r="FO52" s="114">
        <f ca="1"/>
        <v>0</v>
      </c>
      <c r="FP52" s="114">
        <f ca="1"/>
        <v>0</v>
      </c>
      <c r="FQ52" s="114">
        <f ca="1"/>
        <v>0</v>
      </c>
      <c r="FR52" s="114">
        <f ca="1"/>
        <v>0</v>
      </c>
      <c r="FS52" s="114">
        <f ca="1"/>
        <v>0</v>
      </c>
      <c r="FT52" s="114">
        <f ca="1"/>
        <v>0</v>
      </c>
      <c r="FU52" s="114">
        <f ca="1"/>
        <v>0</v>
      </c>
      <c r="FV52" s="114">
        <f ca="1"/>
        <v>0</v>
      </c>
      <c r="FW52" s="114">
        <f ca="1"/>
        <v>0</v>
      </c>
      <c r="FX52" s="114">
        <f ca="1"/>
        <v>0</v>
      </c>
      <c r="FY52" s="114">
        <f ca="1"/>
        <v>0</v>
      </c>
      <c r="FZ52" s="114">
        <f ca="1"/>
        <v>0</v>
      </c>
      <c r="GA52" s="114">
        <f ca="1"/>
        <v>0</v>
      </c>
      <c r="GB52" s="114">
        <f ca="1"/>
        <v>0</v>
      </c>
      <c r="GC52" s="114">
        <f ca="1"/>
        <v>0</v>
      </c>
      <c r="GD52" s="114">
        <f ca="1"/>
        <v>0</v>
      </c>
      <c r="GE52" s="114">
        <f ca="1"/>
        <v>0</v>
      </c>
      <c r="GF52" s="114">
        <f ca="1"/>
        <v>0</v>
      </c>
      <c r="GG52" s="114">
        <f ca="1"/>
        <v>0</v>
      </c>
      <c r="GH52" s="114">
        <f ca="1"/>
        <v>0</v>
      </c>
      <c r="GI52" s="114">
        <f ca="1"/>
        <v>0</v>
      </c>
      <c r="GJ52" s="114">
        <f ca="1"/>
        <v>0</v>
      </c>
      <c r="GK52" s="114">
        <f ca="1"/>
        <v>0</v>
      </c>
      <c r="GL52" s="114">
        <f ca="1"/>
        <v>0</v>
      </c>
      <c r="GM52" s="114">
        <f ca="1"/>
        <v>0</v>
      </c>
      <c r="GN52" s="114">
        <f ca="1"/>
        <v>0</v>
      </c>
      <c r="GO52" s="114">
        <f ca="1"/>
        <v>0</v>
      </c>
      <c r="GP52" s="114">
        <f ca="1"/>
        <v>0</v>
      </c>
      <c r="GQ52" s="114">
        <f ca="1"/>
        <v>0</v>
      </c>
      <c r="GR52" s="114">
        <f ca="1"/>
        <v>0</v>
      </c>
      <c r="GS52" s="114">
        <f ca="1"/>
        <v>0</v>
      </c>
      <c r="GT52" s="114">
        <f ca="1"/>
        <v>0</v>
      </c>
      <c r="GU52" s="114">
        <f ca="1"/>
        <v>0</v>
      </c>
      <c r="GV52" s="114">
        <f ca="1"/>
        <v>0</v>
      </c>
      <c r="GW52" s="114">
        <f ca="1"/>
        <v>0</v>
      </c>
      <c r="GX52" s="114">
        <f ca="1"/>
        <v>0</v>
      </c>
      <c r="GY52" s="114">
        <f ca="1"/>
        <v>0</v>
      </c>
      <c r="GZ52" s="114">
        <f ca="1"/>
        <v>0</v>
      </c>
      <c r="HA52" s="114">
        <f ca="1"/>
        <v>0</v>
      </c>
      <c r="HB52" s="114">
        <f ca="1"/>
        <v>0</v>
      </c>
      <c r="HC52" s="114">
        <f ca="1"/>
        <v>0</v>
      </c>
      <c r="HD52" s="114">
        <f ca="1"/>
        <v>0</v>
      </c>
      <c r="HE52" s="114">
        <f ca="1"/>
        <v>0</v>
      </c>
      <c r="HF52" s="114">
        <f ca="1"/>
        <v>0</v>
      </c>
      <c r="HG52" s="114">
        <f ca="1"/>
        <v>0</v>
      </c>
      <c r="HH52" s="114">
        <f ca="1"/>
        <v>0</v>
      </c>
      <c r="HI52" s="114">
        <f ca="1"/>
        <v>0</v>
      </c>
      <c r="HJ52" s="114">
        <f ca="1"/>
        <v>0</v>
      </c>
      <c r="HK52" s="114">
        <f ca="1"/>
        <v>0</v>
      </c>
      <c r="HL52" s="114">
        <f ca="1"/>
        <v>0</v>
      </c>
      <c r="HM52" s="114">
        <f ca="1"/>
        <v>0</v>
      </c>
      <c r="HN52" s="114">
        <f ca="1"/>
        <v>0</v>
      </c>
      <c r="HO52" s="114">
        <f ca="1"/>
        <v>0</v>
      </c>
      <c r="HP52" s="114">
        <f ca="1"/>
        <v>0</v>
      </c>
      <c r="HQ52" s="114">
        <f ca="1"/>
        <v>0</v>
      </c>
      <c r="HR52" s="114">
        <f ca="1"/>
        <v>0</v>
      </c>
      <c r="HS52" s="114">
        <f ca="1"/>
        <v>0</v>
      </c>
      <c r="HT52" s="114">
        <f ca="1"/>
        <v>0</v>
      </c>
      <c r="HU52" s="114">
        <f ca="1"/>
        <v>0</v>
      </c>
      <c r="HV52" s="114">
        <f ca="1"/>
        <v>0</v>
      </c>
      <c r="HW52" s="114">
        <f ca="1"/>
        <v>0</v>
      </c>
      <c r="HX52" s="114">
        <f ca="1"/>
        <v>0</v>
      </c>
      <c r="HY52" s="114">
        <f ca="1"/>
        <v>0</v>
      </c>
      <c r="HZ52" s="114">
        <f ca="1"/>
        <v>0</v>
      </c>
      <c r="IA52" s="114">
        <f ca="1"/>
        <v>0</v>
      </c>
      <c r="IB52" s="114">
        <f ca="1"/>
        <v>0</v>
      </c>
      <c r="IC52" s="114">
        <f ca="1"/>
        <v>0</v>
      </c>
      <c r="ID52" s="114">
        <f ca="1"/>
        <v>0</v>
      </c>
      <c r="IE52" s="114">
        <f ca="1"/>
        <v>0</v>
      </c>
      <c r="IF52" s="114">
        <f ca="1"/>
        <v>0</v>
      </c>
      <c r="IG52" s="114">
        <f ca="1"/>
        <v>0</v>
      </c>
      <c r="IH52" s="114">
        <f ca="1"/>
        <v>0</v>
      </c>
      <c r="II52" s="114">
        <f ca="1"/>
        <v>0</v>
      </c>
      <c r="IJ52" s="114">
        <f ca="1"/>
        <v>0</v>
      </c>
      <c r="IK52" s="114">
        <f ca="1"/>
        <v>0</v>
      </c>
      <c r="IL52" s="114">
        <f ca="1"/>
        <v>0</v>
      </c>
      <c r="IM52" s="114">
        <f ca="1"/>
        <v>0</v>
      </c>
      <c r="IN52" s="114">
        <f ca="1"/>
        <v>0</v>
      </c>
      <c r="IO52" s="114">
        <f ca="1"/>
        <v>0</v>
      </c>
      <c r="IP52" s="114">
        <f ca="1"/>
        <v>0</v>
      </c>
      <c r="IQ52" s="114">
        <f ca="1"/>
        <v>0</v>
      </c>
      <c r="IR52" s="114">
        <f ca="1"/>
        <v>0</v>
      </c>
      <c r="IS52" s="114">
        <f ca="1"/>
        <v>0</v>
      </c>
      <c r="IT52" s="114">
        <f ca="1"/>
        <v>0</v>
      </c>
      <c r="IU52" s="114">
        <f ca="1"/>
        <v>0</v>
      </c>
      <c r="IV52" s="114">
        <f ca="1"/>
        <v>0</v>
      </c>
      <c r="IW52" s="114">
        <f ca="1"/>
        <v>0</v>
      </c>
      <c r="IX52" s="114">
        <f ca="1"/>
        <v>0</v>
      </c>
      <c r="IY52" s="114">
        <f ca="1"/>
        <v>0</v>
      </c>
      <c r="IZ52" s="114">
        <f ca="1"/>
        <v>0</v>
      </c>
      <c r="JA52" s="114">
        <f ca="1"/>
        <v>0</v>
      </c>
      <c r="JB52" s="114">
        <f ca="1"/>
        <v>0</v>
      </c>
      <c r="JC52" s="114">
        <f ca="1"/>
        <v>0</v>
      </c>
      <c r="JD52" s="114">
        <f ca="1"/>
        <v>0</v>
      </c>
      <c r="JE52" s="114">
        <f ca="1"/>
        <v>0</v>
      </c>
      <c r="JF52" s="114">
        <f ca="1"/>
        <v>0</v>
      </c>
      <c r="JG52" s="114">
        <f ca="1"/>
        <v>0</v>
      </c>
      <c r="JH52" s="114">
        <f ca="1"/>
        <v>0</v>
      </c>
      <c r="JI52" s="114">
        <f ca="1"/>
        <v>0</v>
      </c>
      <c r="JJ52" s="501">
        <f ca="1"/>
        <v>0</v>
      </c>
      <c r="JK52" s="117">
        <f ca="1"/>
        <v>0</v>
      </c>
      <c r="JL52" s="117">
        <f ca="1"/>
        <v>0</v>
      </c>
      <c r="JM52" s="117">
        <f ca="1"/>
        <v>0</v>
      </c>
      <c r="JN52" s="117">
        <f ca="1"/>
        <v>0</v>
      </c>
      <c r="JO52" s="117">
        <f ca="1"/>
        <v>0</v>
      </c>
      <c r="JP52" s="117">
        <f ca="1"/>
        <v>0</v>
      </c>
      <c r="JQ52" s="117">
        <f ca="1"/>
        <v>0</v>
      </c>
      <c r="JR52" s="117">
        <f ca="1"/>
        <v>0</v>
      </c>
      <c r="JS52" s="117">
        <f ca="1"/>
        <v>0</v>
      </c>
      <c r="JT52" s="117">
        <f ca="1"/>
        <v>0</v>
      </c>
      <c r="JU52" s="117">
        <f ca="1"/>
        <v>0</v>
      </c>
      <c r="JV52" s="117">
        <f ca="1"/>
        <v>0</v>
      </c>
      <c r="JW52" s="117">
        <f ca="1"/>
        <v>0</v>
      </c>
      <c r="JX52" s="117">
        <f ca="1"/>
        <v>0</v>
      </c>
      <c r="JY52" s="117">
        <f ca="1"/>
        <v>0</v>
      </c>
      <c r="JZ52" s="117">
        <f ca="1"/>
        <v>0</v>
      </c>
      <c r="KA52" s="117">
        <f ca="1"/>
        <v>0</v>
      </c>
      <c r="KB52" s="117">
        <f ca="1"/>
        <v>0</v>
      </c>
      <c r="KC52" s="117">
        <f ca="1"/>
        <v>0</v>
      </c>
      <c r="KD52" s="117">
        <f ca="1"/>
        <v>0</v>
      </c>
      <c r="KE52" s="117">
        <f ca="1"/>
        <v>0</v>
      </c>
      <c r="KF52" s="117">
        <f ca="1"/>
        <v>0</v>
      </c>
      <c r="KG52" s="117">
        <f ca="1"/>
        <v>0</v>
      </c>
      <c r="KH52" s="117">
        <f ca="1"/>
        <v>0</v>
      </c>
      <c r="KI52" s="117">
        <f ca="1"/>
        <v>0</v>
      </c>
      <c r="KJ52" s="117">
        <f ca="1"/>
        <v>0</v>
      </c>
      <c r="KK52" s="117">
        <f ca="1"/>
        <v>0</v>
      </c>
      <c r="KL52" s="117">
        <f ca="1"/>
        <v>0</v>
      </c>
      <c r="KM52" s="117">
        <f ca="1"/>
        <v>0</v>
      </c>
      <c r="KN52" s="114">
        <f ca="1"/>
        <v>0</v>
      </c>
      <c r="KO52" s="114">
        <f ca="1"/>
        <v>0</v>
      </c>
      <c r="KP52" s="114">
        <f ca="1"/>
        <v>0</v>
      </c>
      <c r="KQ52" s="114">
        <f ca="1"/>
        <v>0</v>
      </c>
      <c r="KR52" s="114">
        <f ca="1"/>
        <v>0</v>
      </c>
      <c r="KS52" s="114">
        <f ca="1"/>
        <v>0</v>
      </c>
      <c r="KT52" s="114">
        <f ca="1"/>
        <v>0</v>
      </c>
      <c r="KU52" s="114">
        <f ca="1"/>
        <v>0</v>
      </c>
      <c r="KV52" s="114">
        <f ca="1"/>
        <v>0</v>
      </c>
      <c r="KW52" s="114">
        <f ca="1"/>
        <v>0</v>
      </c>
      <c r="KX52" s="114">
        <f ca="1"/>
        <v>0</v>
      </c>
      <c r="KY52" s="114">
        <f ca="1"/>
        <v>0</v>
      </c>
      <c r="KZ52" s="114">
        <f ca="1"/>
        <v>0</v>
      </c>
      <c r="LA52" s="114">
        <f ca="1"/>
        <v>0</v>
      </c>
      <c r="LB52" s="114">
        <f ca="1"/>
        <v>0</v>
      </c>
      <c r="LC52" s="114">
        <f ca="1"/>
        <v>0</v>
      </c>
      <c r="LD52" s="114">
        <f ca="1"/>
        <v>0</v>
      </c>
      <c r="LE52" s="114">
        <f ca="1"/>
        <v>0</v>
      </c>
      <c r="LF52" s="114">
        <f ca="1"/>
        <v>0</v>
      </c>
      <c r="LG52" s="114">
        <f ca="1"/>
        <v>0</v>
      </c>
      <c r="LH52" s="114">
        <f ca="1"/>
        <v>0</v>
      </c>
      <c r="LI52" s="114">
        <f ca="1"/>
        <v>0</v>
      </c>
      <c r="LJ52" s="114">
        <f ca="1"/>
        <v>0</v>
      </c>
      <c r="LK52" s="114">
        <f ca="1"/>
        <v>0</v>
      </c>
      <c r="LL52" s="114">
        <f ca="1"/>
        <v>0</v>
      </c>
      <c r="LM52" s="114">
        <f ca="1"/>
        <v>0</v>
      </c>
      <c r="LN52" s="114">
        <f ca="1"/>
        <v>0</v>
      </c>
      <c r="LO52" s="114">
        <f ca="1"/>
        <v>0</v>
      </c>
      <c r="LP52" s="114">
        <f ca="1"/>
        <v>0</v>
      </c>
      <c r="LQ52" s="114">
        <f ca="1"/>
        <v>0</v>
      </c>
      <c r="LR52" s="114">
        <f ca="1"/>
        <v>0</v>
      </c>
      <c r="LS52" s="114">
        <f ca="1"/>
        <v>0</v>
      </c>
      <c r="LT52" s="114">
        <f ca="1"/>
        <v>0</v>
      </c>
      <c r="LU52" s="114">
        <f ca="1"/>
        <v>0</v>
      </c>
      <c r="LV52" s="114">
        <f ca="1"/>
        <v>0</v>
      </c>
      <c r="LW52" s="114">
        <f ca="1"/>
        <v>0</v>
      </c>
      <c r="LX52" s="114">
        <f ca="1"/>
        <v>0</v>
      </c>
      <c r="LY52" s="114">
        <f ca="1"/>
        <v>0</v>
      </c>
      <c r="LZ52" s="114">
        <f ca="1"/>
        <v>0</v>
      </c>
      <c r="MA52" s="114">
        <f ca="1"/>
        <v>0</v>
      </c>
      <c r="MB52" s="114">
        <f ca="1"/>
        <v>0</v>
      </c>
      <c r="MC52" s="114">
        <f ca="1"/>
        <v>0</v>
      </c>
      <c r="MD52" s="114">
        <f ca="1"/>
        <v>0</v>
      </c>
      <c r="ME52" s="114">
        <f ca="1"/>
        <v>0</v>
      </c>
      <c r="MF52" s="114">
        <f ca="1"/>
        <v>0</v>
      </c>
      <c r="MG52" s="114">
        <f ca="1"/>
        <v>0</v>
      </c>
      <c r="MH52" s="114">
        <f ca="1"/>
        <v>0</v>
      </c>
      <c r="MI52" s="114">
        <f ca="1"/>
        <v>0</v>
      </c>
      <c r="MJ52" s="114">
        <f ca="1"/>
        <v>0</v>
      </c>
      <c r="MK52" s="114">
        <f ca="1"/>
        <v>0</v>
      </c>
      <c r="ML52" s="114">
        <f ca="1"/>
        <v>0</v>
      </c>
      <c r="MM52" s="114">
        <f ca="1"/>
        <v>0</v>
      </c>
      <c r="MN52" s="114">
        <f ca="1"/>
        <v>0</v>
      </c>
      <c r="MO52" s="114">
        <f ca="1"/>
        <v>0</v>
      </c>
      <c r="MP52" s="114">
        <f ca="1"/>
        <v>0</v>
      </c>
      <c r="MQ52" s="114">
        <f ca="1"/>
        <v>0</v>
      </c>
      <c r="MR52" s="114">
        <f ca="1"/>
        <v>0</v>
      </c>
      <c r="MS52" s="114">
        <f ca="1"/>
        <v>0</v>
      </c>
      <c r="MT52" s="114">
        <f ca="1"/>
        <v>0</v>
      </c>
      <c r="MU52" s="114">
        <f ca="1"/>
        <v>0</v>
      </c>
      <c r="MV52" s="114">
        <f ca="1"/>
        <v>0</v>
      </c>
      <c r="MW52" s="114">
        <f ca="1"/>
        <v>0</v>
      </c>
      <c r="MX52" s="114">
        <f ca="1"/>
        <v>0</v>
      </c>
      <c r="MY52" s="114">
        <f ca="1"/>
        <v>0</v>
      </c>
      <c r="MZ52" s="114">
        <f ca="1"/>
        <v>0</v>
      </c>
      <c r="NA52" s="114">
        <f ca="1"/>
        <v>0</v>
      </c>
    </row>
    <row r="53" spans="1:365" s="114" customFormat="1" ht="22.5" customHeight="1">
      <c r="A53" s="506">
        <f t="shared" si="1"/>
        <v>1</v>
      </c>
      <c r="B53"/>
      <c r="C53" s="1381" t="str">
        <f>mProject!BF6</f>
        <v>Project Overhead</v>
      </c>
      <c r="D53" s="500"/>
      <c r="E53"/>
      <c r="F53" s="1388"/>
      <c r="G53" s="1388"/>
      <c r="H53" s="1388"/>
      <c r="I53" s="1388"/>
      <c r="J53" s="1388"/>
      <c r="K53" s="1388"/>
      <c r="L53" s="1388"/>
      <c r="M53" s="1388"/>
      <c r="N53" s="1388"/>
      <c r="O53" s="1388"/>
      <c r="P53" s="1388"/>
      <c r="Q53" s="1388"/>
      <c r="R53" s="1388"/>
      <c r="S53" s="1388"/>
      <c r="T53" s="1388"/>
      <c r="U53" s="1388"/>
      <c r="V53" s="1388"/>
      <c r="W53" s="1388"/>
      <c r="X53" s="1388"/>
      <c r="Y53" s="1388"/>
      <c r="Z53" s="1388"/>
      <c r="AA53" s="1388"/>
      <c r="AB53" s="1388"/>
      <c r="AC53" s="1388"/>
      <c r="AD53" s="1388"/>
      <c r="AE53" s="1388"/>
      <c r="AF53" s="1388"/>
      <c r="AG53" s="1388"/>
      <c r="AH53" s="1388"/>
      <c r="AI53" s="1388"/>
      <c r="AJ53" s="1388"/>
      <c r="AK53" s="1388"/>
      <c r="AL53" s="1388"/>
      <c r="AM53" s="1388"/>
      <c r="AN53" s="1388"/>
      <c r="AO53" s="1388"/>
      <c r="AP53" s="1388"/>
      <c r="AQ53" s="1388"/>
      <c r="AR53" s="1388"/>
      <c r="AS53" s="1388"/>
      <c r="AT53" s="1388"/>
      <c r="AU53" s="1388"/>
      <c r="AV53" s="1388"/>
      <c r="AW53" s="1388"/>
      <c r="AX53" s="1388"/>
      <c r="AY53" s="1388"/>
      <c r="AZ53" s="1388"/>
      <c r="BA53" s="1388"/>
      <c r="BB53" s="1388"/>
      <c r="BC53" s="1388"/>
      <c r="BD53" s="1388"/>
      <c r="BE53" s="1388"/>
      <c r="BF53" s="1388"/>
      <c r="BG53" s="1388"/>
      <c r="BH53" s="1388"/>
      <c r="BI53" s="1388"/>
      <c r="BJ53" s="1388"/>
      <c r="BK53" s="1388"/>
      <c r="BL53" s="1388"/>
      <c r="BM53" s="1388"/>
      <c r="BN53" s="1388"/>
      <c r="BO53" s="1388"/>
      <c r="BP53" s="1388"/>
      <c r="BQ53" s="1388"/>
      <c r="BR53" s="1388"/>
      <c r="BS53" s="1388"/>
      <c r="BT53" s="1388"/>
      <c r="BU53" s="1388"/>
      <c r="BV53" s="1388"/>
      <c r="BW53" s="1388"/>
      <c r="BX53" s="1388"/>
      <c r="BY53" s="1388"/>
      <c r="BZ53" s="1388"/>
      <c r="CA53" s="1388"/>
      <c r="CB53" s="1388"/>
      <c r="CC53" s="1388"/>
      <c r="CD53" s="1388"/>
      <c r="CE53" s="1388"/>
      <c r="CF53" s="1388"/>
      <c r="CG53" s="1388"/>
      <c r="CH53" s="1388"/>
      <c r="CI53" s="1388"/>
      <c r="CJ53" s="1388"/>
      <c r="CK53" s="1388"/>
      <c r="CL53" s="1388"/>
      <c r="CM53" s="1388"/>
      <c r="CN53" s="1388"/>
      <c r="CO53" s="1388"/>
      <c r="CP53" s="1388"/>
      <c r="CQ53" s="1388"/>
      <c r="CR53" s="1388"/>
      <c r="CS53" s="1388"/>
      <c r="CT53" s="1388"/>
      <c r="CU53" s="1388"/>
      <c r="CV53" s="1388"/>
      <c r="CW53" s="1388"/>
      <c r="CX53" s="1388"/>
      <c r="CY53" s="1388"/>
      <c r="CZ53" s="1388"/>
      <c r="DA53" s="1388"/>
      <c r="DB53" s="1388"/>
      <c r="DC53" s="1388"/>
      <c r="DD53" s="1388"/>
      <c r="DE53" s="1388"/>
      <c r="DF53" s="1388"/>
      <c r="DG53" s="1388"/>
      <c r="DH53" s="1388"/>
      <c r="DI53" s="1388"/>
      <c r="DJ53" s="1388"/>
      <c r="DK53" s="1388"/>
      <c r="DL53" s="1388"/>
      <c r="DM53" s="1388"/>
      <c r="DN53" s="1388"/>
      <c r="DO53" s="1388"/>
      <c r="DP53" s="1388"/>
      <c r="DQ53" s="1388"/>
      <c r="DR53" s="1388"/>
      <c r="DS53" s="1388"/>
      <c r="DT53" s="1388"/>
      <c r="DU53" s="1388"/>
      <c r="DV53" s="1388"/>
      <c r="DW53" s="1388"/>
      <c r="DX53" s="1388"/>
      <c r="DY53" s="1388"/>
      <c r="DZ53" s="1388"/>
      <c r="EA53" s="1388"/>
      <c r="EB53" s="1388"/>
      <c r="EC53" s="1388"/>
      <c r="ED53" s="1388"/>
      <c r="EE53" s="1388"/>
      <c r="EF53" s="1388"/>
      <c r="EG53" s="1388"/>
      <c r="EH53" s="501"/>
      <c r="EI53" s="117"/>
      <c r="EJ53" s="117"/>
      <c r="EK53" s="117"/>
      <c r="EL53" s="117"/>
      <c r="EM53" s="117"/>
      <c r="EN53" s="117"/>
      <c r="EO53" s="117"/>
      <c r="EP53" s="117"/>
      <c r="EQ53" s="117"/>
      <c r="ER53" s="117"/>
      <c r="ES53" s="117"/>
      <c r="ET53" s="117"/>
      <c r="EU53" s="117"/>
      <c r="EV53" s="117"/>
      <c r="EW53" s="117"/>
      <c r="EX53" s="117"/>
      <c r="EY53" s="117"/>
      <c r="EZ53" s="117"/>
      <c r="FA53" s="117"/>
      <c r="FB53" s="117"/>
      <c r="FC53" s="117"/>
      <c r="FD53" s="117"/>
      <c r="FE53" s="117"/>
      <c r="FF53" s="117"/>
      <c r="FG53" s="117"/>
      <c r="FH53" s="117"/>
      <c r="FI53" s="117"/>
      <c r="FJ53" s="117"/>
      <c r="FK53" s="117"/>
      <c r="JJ53" s="501"/>
      <c r="JK53" s="117"/>
      <c r="JL53" s="117"/>
      <c r="JM53" s="117"/>
      <c r="JN53" s="117"/>
      <c r="JO53" s="117"/>
      <c r="JP53" s="117"/>
      <c r="JQ53" s="117"/>
      <c r="JR53" s="117"/>
      <c r="JS53" s="117"/>
      <c r="JT53" s="117"/>
      <c r="JU53" s="117"/>
      <c r="JV53" s="117"/>
      <c r="JW53" s="117"/>
      <c r="JX53" s="117"/>
      <c r="JY53" s="117"/>
      <c r="JZ53" s="117"/>
      <c r="KA53" s="117"/>
      <c r="KB53" s="117"/>
      <c r="KC53" s="117"/>
      <c r="KD53" s="117"/>
      <c r="KE53" s="117"/>
      <c r="KF53" s="117"/>
      <c r="KG53" s="117"/>
      <c r="KH53" s="117"/>
      <c r="KI53" s="117"/>
      <c r="KJ53" s="117"/>
      <c r="KK53" s="117"/>
      <c r="KL53" s="117"/>
      <c r="KM53" s="117"/>
    </row>
    <row r="54" spans="1:365" s="114" customFormat="1" ht="22.5" customHeight="1">
      <c r="A54" s="506">
        <f t="shared" si="1"/>
        <v>1</v>
      </c>
      <c r="B54"/>
      <c r="C54" s="1386" t="str" cm="1">
        <f t="array" ref="C54:C60">TRANSPOSE(mProject!BF8:BL8)</f>
        <v>Management Fees</v>
      </c>
      <c r="D54" s="500">
        <f t="shared" ref="D54:D61" si="3">SUM(_xlfn.ANCHORARRAY(F54))</f>
        <v>2375000</v>
      </c>
      <c r="E54"/>
      <c r="F54" s="1388" cm="1">
        <f t="array" ref="F54:CW54">TRANSPOSE(_xlfn.ANCHORARRAY(mProject!BF$9))</f>
        <v>25000</v>
      </c>
      <c r="G54" s="1388">
        <v>25000</v>
      </c>
      <c r="H54" s="1388">
        <v>25000</v>
      </c>
      <c r="I54" s="1388">
        <v>25000</v>
      </c>
      <c r="J54" s="1388">
        <v>25000</v>
      </c>
      <c r="K54" s="1388">
        <v>25000</v>
      </c>
      <c r="L54" s="1388">
        <v>25000</v>
      </c>
      <c r="M54" s="1388">
        <v>25000</v>
      </c>
      <c r="N54" s="1388">
        <v>25000</v>
      </c>
      <c r="O54" s="1388">
        <v>25000</v>
      </c>
      <c r="P54" s="1388">
        <v>25000</v>
      </c>
      <c r="Q54" s="1388">
        <v>25000</v>
      </c>
      <c r="R54" s="1388">
        <v>25000</v>
      </c>
      <c r="S54" s="1388">
        <v>25000</v>
      </c>
      <c r="T54" s="1388">
        <v>25000</v>
      </c>
      <c r="U54" s="1388">
        <v>25000</v>
      </c>
      <c r="V54" s="1388">
        <v>25000</v>
      </c>
      <c r="W54" s="1388">
        <v>25000</v>
      </c>
      <c r="X54" s="1388">
        <v>25000</v>
      </c>
      <c r="Y54" s="1388">
        <v>25000</v>
      </c>
      <c r="Z54" s="1388">
        <v>25000</v>
      </c>
      <c r="AA54" s="1388">
        <v>25000</v>
      </c>
      <c r="AB54" s="1388">
        <v>25000</v>
      </c>
      <c r="AC54" s="1388">
        <v>25000</v>
      </c>
      <c r="AD54" s="1388">
        <v>25000</v>
      </c>
      <c r="AE54" s="1388">
        <v>25000</v>
      </c>
      <c r="AF54" s="1388">
        <v>25000</v>
      </c>
      <c r="AG54" s="1388">
        <v>25000</v>
      </c>
      <c r="AH54" s="1388">
        <v>25000</v>
      </c>
      <c r="AI54" s="1388">
        <v>25000</v>
      </c>
      <c r="AJ54" s="1388">
        <v>25000</v>
      </c>
      <c r="AK54" s="1388">
        <v>25000</v>
      </c>
      <c r="AL54" s="1388">
        <v>25000</v>
      </c>
      <c r="AM54" s="1388">
        <v>25000</v>
      </c>
      <c r="AN54" s="1388">
        <v>25000</v>
      </c>
      <c r="AO54" s="1388">
        <v>25000</v>
      </c>
      <c r="AP54" s="1388">
        <v>25000</v>
      </c>
      <c r="AQ54" s="1388">
        <v>25000</v>
      </c>
      <c r="AR54" s="1388">
        <v>25000</v>
      </c>
      <c r="AS54" s="1388">
        <v>25000</v>
      </c>
      <c r="AT54" s="1388">
        <v>25000</v>
      </c>
      <c r="AU54" s="1388">
        <v>25000</v>
      </c>
      <c r="AV54" s="1388">
        <v>25000</v>
      </c>
      <c r="AW54" s="1388">
        <v>25000</v>
      </c>
      <c r="AX54" s="1388">
        <v>25000</v>
      </c>
      <c r="AY54" s="1388">
        <v>25000</v>
      </c>
      <c r="AZ54" s="1388">
        <v>25000</v>
      </c>
      <c r="BA54" s="1388">
        <v>25000</v>
      </c>
      <c r="BB54" s="1388">
        <v>25000</v>
      </c>
      <c r="BC54" s="1388">
        <v>25000</v>
      </c>
      <c r="BD54" s="1388">
        <v>25000</v>
      </c>
      <c r="BE54" s="1388">
        <v>25000</v>
      </c>
      <c r="BF54" s="1388">
        <v>25000</v>
      </c>
      <c r="BG54" s="1388">
        <v>25000</v>
      </c>
      <c r="BH54" s="1388">
        <v>25000</v>
      </c>
      <c r="BI54" s="1388">
        <v>25000</v>
      </c>
      <c r="BJ54" s="1388">
        <v>25000</v>
      </c>
      <c r="BK54" s="1388">
        <v>25000</v>
      </c>
      <c r="BL54" s="1388">
        <v>25000</v>
      </c>
      <c r="BM54" s="1388">
        <v>25000</v>
      </c>
      <c r="BN54" s="1388">
        <v>25000</v>
      </c>
      <c r="BO54" s="1388">
        <v>25000</v>
      </c>
      <c r="BP54" s="1388">
        <v>25000</v>
      </c>
      <c r="BQ54" s="1388">
        <v>25000</v>
      </c>
      <c r="BR54" s="1388">
        <v>25000</v>
      </c>
      <c r="BS54" s="1388">
        <v>25000</v>
      </c>
      <c r="BT54" s="1388">
        <v>25000</v>
      </c>
      <c r="BU54" s="1388">
        <v>25000</v>
      </c>
      <c r="BV54" s="1388">
        <v>25000</v>
      </c>
      <c r="BW54" s="1388">
        <v>25000</v>
      </c>
      <c r="BX54" s="1388">
        <v>25000</v>
      </c>
      <c r="BY54" s="1388">
        <v>25000</v>
      </c>
      <c r="BZ54" s="1388">
        <v>25000</v>
      </c>
      <c r="CA54" s="1388">
        <v>25000</v>
      </c>
      <c r="CB54" s="1388">
        <v>25000</v>
      </c>
      <c r="CC54" s="1388">
        <v>25000</v>
      </c>
      <c r="CD54" s="1388">
        <v>25000</v>
      </c>
      <c r="CE54" s="1388">
        <v>25000</v>
      </c>
      <c r="CF54" s="1388">
        <v>25000</v>
      </c>
      <c r="CG54" s="1388">
        <v>25000</v>
      </c>
      <c r="CH54" s="1388">
        <v>25000</v>
      </c>
      <c r="CI54" s="1388">
        <v>25000</v>
      </c>
      <c r="CJ54" s="1388">
        <v>25000</v>
      </c>
      <c r="CK54" s="1388">
        <v>25000</v>
      </c>
      <c r="CL54" s="1388">
        <v>25000</v>
      </c>
      <c r="CM54" s="1388">
        <v>25000</v>
      </c>
      <c r="CN54" s="1388">
        <v>25000</v>
      </c>
      <c r="CO54" s="1388">
        <v>25000</v>
      </c>
      <c r="CP54" s="1388">
        <v>25000</v>
      </c>
      <c r="CQ54" s="1388">
        <v>25000</v>
      </c>
      <c r="CR54" s="1388">
        <v>25000</v>
      </c>
      <c r="CS54" s="1388">
        <v>25000</v>
      </c>
      <c r="CT54" s="1388">
        <v>25000</v>
      </c>
      <c r="CU54" s="1388">
        <v>25000</v>
      </c>
      <c r="CV54" s="1388">
        <v>25000</v>
      </c>
      <c r="CW54" s="1388">
        <v>0</v>
      </c>
      <c r="CX54" s="1388"/>
      <c r="CY54" s="1388"/>
      <c r="CZ54" s="1388"/>
      <c r="DA54" s="1388"/>
      <c r="DB54" s="1388"/>
      <c r="DC54" s="1388"/>
      <c r="DD54" s="1388"/>
      <c r="DE54" s="1388"/>
      <c r="DF54" s="1388"/>
      <c r="DG54" s="1388"/>
      <c r="DH54" s="1388"/>
      <c r="DI54" s="1388"/>
      <c r="DJ54" s="1388"/>
      <c r="DK54" s="1388"/>
      <c r="DL54" s="1388"/>
      <c r="DM54" s="1388"/>
      <c r="DN54" s="1388"/>
      <c r="DO54" s="1388"/>
      <c r="DP54" s="1388"/>
      <c r="DQ54" s="1388"/>
      <c r="DR54" s="1388"/>
      <c r="DS54" s="1388"/>
      <c r="DT54" s="1388"/>
      <c r="DU54" s="1388"/>
      <c r="DV54" s="1388"/>
      <c r="DW54" s="1388"/>
      <c r="DX54" s="1388"/>
      <c r="DY54" s="1388"/>
      <c r="DZ54" s="1388"/>
      <c r="EA54" s="1388"/>
      <c r="EB54" s="1388"/>
      <c r="EC54" s="1388"/>
      <c r="ED54" s="1388"/>
      <c r="EE54" s="1388"/>
      <c r="EF54" s="1388"/>
      <c r="EG54" s="1388"/>
      <c r="EH54" s="501"/>
      <c r="EI54" s="117"/>
      <c r="EJ54" s="117"/>
      <c r="EK54" s="117"/>
      <c r="EL54" s="117"/>
      <c r="EM54" s="117"/>
      <c r="EN54" s="117"/>
      <c r="EO54" s="117"/>
      <c r="EP54" s="117"/>
      <c r="EQ54" s="117"/>
      <c r="ER54" s="117"/>
      <c r="ES54" s="117"/>
      <c r="ET54" s="117"/>
      <c r="EU54" s="117"/>
      <c r="EV54" s="117"/>
      <c r="EW54" s="117"/>
      <c r="EX54" s="117"/>
      <c r="EY54" s="117"/>
      <c r="EZ54" s="117"/>
      <c r="FA54" s="117"/>
      <c r="FB54" s="117"/>
      <c r="FC54" s="117"/>
      <c r="FD54" s="117"/>
      <c r="FE54" s="117"/>
      <c r="FF54" s="117"/>
      <c r="FG54" s="117"/>
      <c r="FH54" s="117"/>
      <c r="FI54" s="117"/>
      <c r="FJ54" s="117"/>
      <c r="FK54" s="117"/>
      <c r="JJ54" s="501"/>
      <c r="JK54" s="117"/>
      <c r="JL54" s="117"/>
      <c r="JM54" s="117"/>
      <c r="JN54" s="117"/>
      <c r="JO54" s="117"/>
      <c r="JP54" s="117"/>
      <c r="JQ54" s="117"/>
      <c r="JR54" s="117"/>
      <c r="JS54" s="117"/>
      <c r="JT54" s="117"/>
      <c r="JU54" s="117"/>
      <c r="JV54" s="117"/>
      <c r="JW54" s="117"/>
      <c r="JX54" s="117"/>
      <c r="JY54" s="117"/>
      <c r="JZ54" s="117"/>
      <c r="KA54" s="117"/>
      <c r="KB54" s="117"/>
      <c r="KC54" s="117"/>
      <c r="KD54" s="117"/>
      <c r="KE54" s="117"/>
      <c r="KF54" s="117"/>
      <c r="KG54" s="117"/>
      <c r="KH54" s="117"/>
      <c r="KI54" s="117"/>
      <c r="KJ54" s="117"/>
      <c r="KK54" s="117"/>
      <c r="KL54" s="117"/>
      <c r="KM54" s="117"/>
    </row>
    <row r="55" spans="1:365" s="114" customFormat="1" ht="22.5" customHeight="1">
      <c r="A55" s="506">
        <f t="shared" si="1"/>
        <v>1</v>
      </c>
      <c r="B55"/>
      <c r="C55" s="1386" t="str">
        <v>General &amp; Administrative</v>
      </c>
      <c r="D55" s="500">
        <f t="shared" si="3"/>
        <v>395833.33333333372</v>
      </c>
      <c r="E55"/>
      <c r="F55" s="1388" cm="1">
        <f t="array" ref="F55:CW55">TRANSPOSE(_xlfn.ANCHORARRAY(mProject!BG$9))</f>
        <v>4166.666666666667</v>
      </c>
      <c r="G55" s="1388">
        <v>4166.666666666667</v>
      </c>
      <c r="H55" s="1388">
        <v>4166.666666666667</v>
      </c>
      <c r="I55" s="1388">
        <v>4166.666666666667</v>
      </c>
      <c r="J55" s="1388">
        <v>4166.666666666667</v>
      </c>
      <c r="K55" s="1388">
        <v>4166.666666666667</v>
      </c>
      <c r="L55" s="1388">
        <v>4166.666666666667</v>
      </c>
      <c r="M55" s="1388">
        <v>4166.666666666667</v>
      </c>
      <c r="N55" s="1388">
        <v>4166.666666666667</v>
      </c>
      <c r="O55" s="1388">
        <v>4166.666666666667</v>
      </c>
      <c r="P55" s="1388">
        <v>4166.666666666667</v>
      </c>
      <c r="Q55" s="1388">
        <v>4166.666666666667</v>
      </c>
      <c r="R55" s="1388">
        <v>4166.666666666667</v>
      </c>
      <c r="S55" s="1388">
        <v>4166.666666666667</v>
      </c>
      <c r="T55" s="1388">
        <v>4166.666666666667</v>
      </c>
      <c r="U55" s="1388">
        <v>4166.666666666667</v>
      </c>
      <c r="V55" s="1388">
        <v>4166.666666666667</v>
      </c>
      <c r="W55" s="1388">
        <v>4166.666666666667</v>
      </c>
      <c r="X55" s="1388">
        <v>4166.666666666667</v>
      </c>
      <c r="Y55" s="1388">
        <v>4166.666666666667</v>
      </c>
      <c r="Z55" s="1388">
        <v>4166.666666666667</v>
      </c>
      <c r="AA55" s="1388">
        <v>4166.666666666667</v>
      </c>
      <c r="AB55" s="1388">
        <v>4166.666666666667</v>
      </c>
      <c r="AC55" s="1388">
        <v>4166.666666666667</v>
      </c>
      <c r="AD55" s="1388">
        <v>4166.666666666667</v>
      </c>
      <c r="AE55" s="1388">
        <v>4166.666666666667</v>
      </c>
      <c r="AF55" s="1388">
        <v>4166.666666666667</v>
      </c>
      <c r="AG55" s="1388">
        <v>4166.666666666667</v>
      </c>
      <c r="AH55" s="1388">
        <v>4166.666666666667</v>
      </c>
      <c r="AI55" s="1388">
        <v>4166.666666666667</v>
      </c>
      <c r="AJ55" s="1388">
        <v>4166.666666666667</v>
      </c>
      <c r="AK55" s="1388">
        <v>4166.666666666667</v>
      </c>
      <c r="AL55" s="1388">
        <v>4166.666666666667</v>
      </c>
      <c r="AM55" s="1388">
        <v>4166.666666666667</v>
      </c>
      <c r="AN55" s="1388">
        <v>4166.666666666667</v>
      </c>
      <c r="AO55" s="1388">
        <v>4166.666666666667</v>
      </c>
      <c r="AP55" s="1388">
        <v>4166.666666666667</v>
      </c>
      <c r="AQ55" s="1388">
        <v>4166.666666666667</v>
      </c>
      <c r="AR55" s="1388">
        <v>4166.666666666667</v>
      </c>
      <c r="AS55" s="1388">
        <v>4166.666666666667</v>
      </c>
      <c r="AT55" s="1388">
        <v>4166.666666666667</v>
      </c>
      <c r="AU55" s="1388">
        <v>4166.666666666667</v>
      </c>
      <c r="AV55" s="1388">
        <v>4166.666666666667</v>
      </c>
      <c r="AW55" s="1388">
        <v>4166.666666666667</v>
      </c>
      <c r="AX55" s="1388">
        <v>4166.666666666667</v>
      </c>
      <c r="AY55" s="1388">
        <v>4166.666666666667</v>
      </c>
      <c r="AZ55" s="1388">
        <v>4166.666666666667</v>
      </c>
      <c r="BA55" s="1388">
        <v>4166.666666666667</v>
      </c>
      <c r="BB55" s="1388">
        <v>4166.666666666667</v>
      </c>
      <c r="BC55" s="1388">
        <v>4166.666666666667</v>
      </c>
      <c r="BD55" s="1388">
        <v>4166.666666666667</v>
      </c>
      <c r="BE55" s="1388">
        <v>4166.666666666667</v>
      </c>
      <c r="BF55" s="1388">
        <v>4166.666666666667</v>
      </c>
      <c r="BG55" s="1388">
        <v>4166.666666666667</v>
      </c>
      <c r="BH55" s="1388">
        <v>4166.666666666667</v>
      </c>
      <c r="BI55" s="1388">
        <v>4166.666666666667</v>
      </c>
      <c r="BJ55" s="1388">
        <v>4166.666666666667</v>
      </c>
      <c r="BK55" s="1388">
        <v>4166.666666666667</v>
      </c>
      <c r="BL55" s="1388">
        <v>4166.666666666667</v>
      </c>
      <c r="BM55" s="1388">
        <v>4166.666666666667</v>
      </c>
      <c r="BN55" s="1388">
        <v>4166.666666666667</v>
      </c>
      <c r="BO55" s="1388">
        <v>4166.666666666667</v>
      </c>
      <c r="BP55" s="1388">
        <v>4166.666666666667</v>
      </c>
      <c r="BQ55" s="1388">
        <v>4166.666666666667</v>
      </c>
      <c r="BR55" s="1388">
        <v>4166.666666666667</v>
      </c>
      <c r="BS55" s="1388">
        <v>4166.666666666667</v>
      </c>
      <c r="BT55" s="1388">
        <v>4166.666666666667</v>
      </c>
      <c r="BU55" s="1388">
        <v>4166.666666666667</v>
      </c>
      <c r="BV55" s="1388">
        <v>4166.666666666667</v>
      </c>
      <c r="BW55" s="1388">
        <v>4166.666666666667</v>
      </c>
      <c r="BX55" s="1388">
        <v>4166.666666666667</v>
      </c>
      <c r="BY55" s="1388">
        <v>4166.666666666667</v>
      </c>
      <c r="BZ55" s="1388">
        <v>4166.666666666667</v>
      </c>
      <c r="CA55" s="1388">
        <v>4166.666666666667</v>
      </c>
      <c r="CB55" s="1388">
        <v>4166.666666666667</v>
      </c>
      <c r="CC55" s="1388">
        <v>4166.666666666667</v>
      </c>
      <c r="CD55" s="1388">
        <v>4166.666666666667</v>
      </c>
      <c r="CE55" s="1388">
        <v>4166.666666666667</v>
      </c>
      <c r="CF55" s="1388">
        <v>4166.666666666667</v>
      </c>
      <c r="CG55" s="1388">
        <v>4166.666666666667</v>
      </c>
      <c r="CH55" s="1388">
        <v>4166.666666666667</v>
      </c>
      <c r="CI55" s="1388">
        <v>4166.666666666667</v>
      </c>
      <c r="CJ55" s="1388">
        <v>4166.666666666667</v>
      </c>
      <c r="CK55" s="1388">
        <v>4166.666666666667</v>
      </c>
      <c r="CL55" s="1388">
        <v>4166.666666666667</v>
      </c>
      <c r="CM55" s="1388">
        <v>4166.666666666667</v>
      </c>
      <c r="CN55" s="1388">
        <v>4166.666666666667</v>
      </c>
      <c r="CO55" s="1388">
        <v>4166.666666666667</v>
      </c>
      <c r="CP55" s="1388">
        <v>4166.666666666667</v>
      </c>
      <c r="CQ55" s="1388">
        <v>4166.666666666667</v>
      </c>
      <c r="CR55" s="1388">
        <v>4166.666666666667</v>
      </c>
      <c r="CS55" s="1388">
        <v>4166.666666666667</v>
      </c>
      <c r="CT55" s="1388">
        <v>4166.666666666667</v>
      </c>
      <c r="CU55" s="1388">
        <v>4166.666666666667</v>
      </c>
      <c r="CV55" s="1388">
        <v>4166.666666666667</v>
      </c>
      <c r="CW55" s="1388">
        <v>0</v>
      </c>
      <c r="CX55" s="1388"/>
      <c r="CY55" s="1388"/>
      <c r="CZ55" s="1388"/>
      <c r="DA55" s="1388"/>
      <c r="DB55" s="1388"/>
      <c r="DC55" s="1388"/>
      <c r="DD55" s="1388"/>
      <c r="DE55" s="1388"/>
      <c r="DF55" s="1388"/>
      <c r="DG55" s="1388"/>
      <c r="DH55" s="1388"/>
      <c r="DI55" s="1388"/>
      <c r="DJ55" s="1388"/>
      <c r="DK55" s="1388"/>
      <c r="DL55" s="1388"/>
      <c r="DM55" s="1388"/>
      <c r="DN55" s="1388"/>
      <c r="DO55" s="1388"/>
      <c r="DP55" s="1388"/>
      <c r="DQ55" s="1388"/>
      <c r="DR55" s="1388"/>
      <c r="DS55" s="1388"/>
      <c r="DT55" s="1388"/>
      <c r="DU55" s="1388"/>
      <c r="DV55" s="1388"/>
      <c r="DW55" s="1388"/>
      <c r="DX55" s="1388"/>
      <c r="DY55" s="1388"/>
      <c r="DZ55" s="1388"/>
      <c r="EA55" s="1388"/>
      <c r="EB55" s="1388"/>
      <c r="EC55" s="1388"/>
      <c r="ED55" s="1388"/>
      <c r="EE55" s="1388"/>
      <c r="EF55" s="1388"/>
      <c r="EG55" s="1388"/>
      <c r="EH55" s="501"/>
      <c r="EI55" s="117"/>
      <c r="EJ55" s="117"/>
      <c r="EK55" s="117"/>
      <c r="EL55" s="117"/>
      <c r="EM55" s="117"/>
      <c r="EN55" s="117"/>
      <c r="EO55" s="117"/>
      <c r="EP55" s="117"/>
      <c r="EQ55" s="117"/>
      <c r="ER55" s="117"/>
      <c r="ES55" s="117"/>
      <c r="ET55" s="117"/>
      <c r="EU55" s="117"/>
      <c r="EV55" s="117"/>
      <c r="EW55" s="117"/>
      <c r="EX55" s="117"/>
      <c r="EY55" s="117"/>
      <c r="EZ55" s="117"/>
      <c r="FA55" s="117"/>
      <c r="FB55" s="117"/>
      <c r="FC55" s="117"/>
      <c r="FD55" s="117"/>
      <c r="FE55" s="117"/>
      <c r="FF55" s="117"/>
      <c r="FG55" s="117"/>
      <c r="FH55" s="117"/>
      <c r="FI55" s="117"/>
      <c r="FJ55" s="117"/>
      <c r="FK55" s="117"/>
      <c r="JJ55" s="501"/>
      <c r="JK55" s="117"/>
      <c r="JL55" s="117"/>
      <c r="JM55" s="117"/>
      <c r="JN55" s="117"/>
      <c r="JO55" s="117"/>
      <c r="JP55" s="117"/>
      <c r="JQ55" s="117"/>
      <c r="JR55" s="117"/>
      <c r="JS55" s="117"/>
      <c r="JT55" s="117"/>
      <c r="JU55" s="117"/>
      <c r="JV55" s="117"/>
      <c r="JW55" s="117"/>
      <c r="JX55" s="117"/>
      <c r="JY55" s="117"/>
      <c r="JZ55" s="117"/>
      <c r="KA55" s="117"/>
      <c r="KB55" s="117"/>
      <c r="KC55" s="117"/>
      <c r="KD55" s="117"/>
      <c r="KE55" s="117"/>
      <c r="KF55" s="117"/>
      <c r="KG55" s="117"/>
      <c r="KH55" s="117"/>
      <c r="KI55" s="117"/>
      <c r="KJ55" s="117"/>
      <c r="KK55" s="117"/>
      <c r="KL55" s="117"/>
      <c r="KM55" s="117"/>
    </row>
    <row r="56" spans="1:365" s="114" customFormat="1" ht="22.5" customHeight="1">
      <c r="A56" s="506">
        <f t="shared" si="1"/>
        <v>1</v>
      </c>
      <c r="B56"/>
      <c r="C56" s="1386" t="str">
        <v>Legal &amp; Accounting</v>
      </c>
      <c r="D56" s="500">
        <f t="shared" si="3"/>
        <v>79166.666666666657</v>
      </c>
      <c r="E56"/>
      <c r="F56" s="1388" cm="1">
        <f t="array" ref="F56:CW56">TRANSPOSE(_xlfn.ANCHORARRAY(mProject!BH$9))</f>
        <v>833.33333333333337</v>
      </c>
      <c r="G56" s="1388">
        <v>833.33333333333337</v>
      </c>
      <c r="H56" s="1388">
        <v>833.33333333333337</v>
      </c>
      <c r="I56" s="1388">
        <v>833.33333333333337</v>
      </c>
      <c r="J56" s="1388">
        <v>833.33333333333337</v>
      </c>
      <c r="K56" s="1388">
        <v>833.33333333333337</v>
      </c>
      <c r="L56" s="1388">
        <v>833.33333333333337</v>
      </c>
      <c r="M56" s="1388">
        <v>833.33333333333337</v>
      </c>
      <c r="N56" s="1388">
        <v>833.33333333333337</v>
      </c>
      <c r="O56" s="1388">
        <v>833.33333333333337</v>
      </c>
      <c r="P56" s="1388">
        <v>833.33333333333337</v>
      </c>
      <c r="Q56" s="1388">
        <v>833.33333333333337</v>
      </c>
      <c r="R56" s="1388">
        <v>833.33333333333337</v>
      </c>
      <c r="S56" s="1388">
        <v>833.33333333333337</v>
      </c>
      <c r="T56" s="1388">
        <v>833.33333333333337</v>
      </c>
      <c r="U56" s="1388">
        <v>833.33333333333337</v>
      </c>
      <c r="V56" s="1388">
        <v>833.33333333333337</v>
      </c>
      <c r="W56" s="1388">
        <v>833.33333333333337</v>
      </c>
      <c r="X56" s="1388">
        <v>833.33333333333337</v>
      </c>
      <c r="Y56" s="1388">
        <v>833.33333333333337</v>
      </c>
      <c r="Z56" s="1388">
        <v>833.33333333333337</v>
      </c>
      <c r="AA56" s="1388">
        <v>833.33333333333337</v>
      </c>
      <c r="AB56" s="1388">
        <v>833.33333333333337</v>
      </c>
      <c r="AC56" s="1388">
        <v>833.33333333333337</v>
      </c>
      <c r="AD56" s="1388">
        <v>833.33333333333337</v>
      </c>
      <c r="AE56" s="1388">
        <v>833.33333333333337</v>
      </c>
      <c r="AF56" s="1388">
        <v>833.33333333333337</v>
      </c>
      <c r="AG56" s="1388">
        <v>833.33333333333337</v>
      </c>
      <c r="AH56" s="1388">
        <v>833.33333333333337</v>
      </c>
      <c r="AI56" s="1388">
        <v>833.33333333333337</v>
      </c>
      <c r="AJ56" s="1388">
        <v>833.33333333333337</v>
      </c>
      <c r="AK56" s="1388">
        <v>833.33333333333337</v>
      </c>
      <c r="AL56" s="1388">
        <v>833.33333333333337</v>
      </c>
      <c r="AM56" s="1388">
        <v>833.33333333333337</v>
      </c>
      <c r="AN56" s="1388">
        <v>833.33333333333337</v>
      </c>
      <c r="AO56" s="1388">
        <v>833.33333333333337</v>
      </c>
      <c r="AP56" s="1388">
        <v>833.33333333333337</v>
      </c>
      <c r="AQ56" s="1388">
        <v>833.33333333333337</v>
      </c>
      <c r="AR56" s="1388">
        <v>833.33333333333337</v>
      </c>
      <c r="AS56" s="1388">
        <v>833.33333333333337</v>
      </c>
      <c r="AT56" s="1388">
        <v>833.33333333333337</v>
      </c>
      <c r="AU56" s="1388">
        <v>833.33333333333337</v>
      </c>
      <c r="AV56" s="1388">
        <v>833.33333333333337</v>
      </c>
      <c r="AW56" s="1388">
        <v>833.33333333333337</v>
      </c>
      <c r="AX56" s="1388">
        <v>833.33333333333337</v>
      </c>
      <c r="AY56" s="1388">
        <v>833.33333333333337</v>
      </c>
      <c r="AZ56" s="1388">
        <v>833.33333333333337</v>
      </c>
      <c r="BA56" s="1388">
        <v>833.33333333333337</v>
      </c>
      <c r="BB56" s="1388">
        <v>833.33333333333337</v>
      </c>
      <c r="BC56" s="1388">
        <v>833.33333333333337</v>
      </c>
      <c r="BD56" s="1388">
        <v>833.33333333333337</v>
      </c>
      <c r="BE56" s="1388">
        <v>833.33333333333337</v>
      </c>
      <c r="BF56" s="1388">
        <v>833.33333333333337</v>
      </c>
      <c r="BG56" s="1388">
        <v>833.33333333333337</v>
      </c>
      <c r="BH56" s="1388">
        <v>833.33333333333337</v>
      </c>
      <c r="BI56" s="1388">
        <v>833.33333333333337</v>
      </c>
      <c r="BJ56" s="1388">
        <v>833.33333333333337</v>
      </c>
      <c r="BK56" s="1388">
        <v>833.33333333333337</v>
      </c>
      <c r="BL56" s="1388">
        <v>833.33333333333337</v>
      </c>
      <c r="BM56" s="1388">
        <v>833.33333333333337</v>
      </c>
      <c r="BN56" s="1388">
        <v>833.33333333333337</v>
      </c>
      <c r="BO56" s="1388">
        <v>833.33333333333337</v>
      </c>
      <c r="BP56" s="1388">
        <v>833.33333333333337</v>
      </c>
      <c r="BQ56" s="1388">
        <v>833.33333333333337</v>
      </c>
      <c r="BR56" s="1388">
        <v>833.33333333333337</v>
      </c>
      <c r="BS56" s="1388">
        <v>833.33333333333337</v>
      </c>
      <c r="BT56" s="1388">
        <v>833.33333333333337</v>
      </c>
      <c r="BU56" s="1388">
        <v>833.33333333333337</v>
      </c>
      <c r="BV56" s="1388">
        <v>833.33333333333337</v>
      </c>
      <c r="BW56" s="1388">
        <v>833.33333333333337</v>
      </c>
      <c r="BX56" s="1388">
        <v>833.33333333333337</v>
      </c>
      <c r="BY56" s="1388">
        <v>833.33333333333337</v>
      </c>
      <c r="BZ56" s="1388">
        <v>833.33333333333337</v>
      </c>
      <c r="CA56" s="1388">
        <v>833.33333333333337</v>
      </c>
      <c r="CB56" s="1388">
        <v>833.33333333333337</v>
      </c>
      <c r="CC56" s="1388">
        <v>833.33333333333337</v>
      </c>
      <c r="CD56" s="1388">
        <v>833.33333333333337</v>
      </c>
      <c r="CE56" s="1388">
        <v>833.33333333333337</v>
      </c>
      <c r="CF56" s="1388">
        <v>833.33333333333337</v>
      </c>
      <c r="CG56" s="1388">
        <v>833.33333333333337</v>
      </c>
      <c r="CH56" s="1388">
        <v>833.33333333333337</v>
      </c>
      <c r="CI56" s="1388">
        <v>833.33333333333337</v>
      </c>
      <c r="CJ56" s="1388">
        <v>833.33333333333337</v>
      </c>
      <c r="CK56" s="1388">
        <v>833.33333333333337</v>
      </c>
      <c r="CL56" s="1388">
        <v>833.33333333333337</v>
      </c>
      <c r="CM56" s="1388">
        <v>833.33333333333337</v>
      </c>
      <c r="CN56" s="1388">
        <v>833.33333333333337</v>
      </c>
      <c r="CO56" s="1388">
        <v>833.33333333333337</v>
      </c>
      <c r="CP56" s="1388">
        <v>833.33333333333337</v>
      </c>
      <c r="CQ56" s="1388">
        <v>833.33333333333337</v>
      </c>
      <c r="CR56" s="1388">
        <v>833.33333333333337</v>
      </c>
      <c r="CS56" s="1388">
        <v>833.33333333333337</v>
      </c>
      <c r="CT56" s="1388">
        <v>833.33333333333337</v>
      </c>
      <c r="CU56" s="1388">
        <v>833.33333333333337</v>
      </c>
      <c r="CV56" s="1388">
        <v>833.33333333333337</v>
      </c>
      <c r="CW56" s="1388">
        <v>0</v>
      </c>
      <c r="CX56" s="1388"/>
      <c r="CY56" s="1388"/>
      <c r="CZ56" s="1388"/>
      <c r="DA56" s="1388"/>
      <c r="DB56" s="1388"/>
      <c r="DC56" s="1388"/>
      <c r="DD56" s="1388"/>
      <c r="DE56" s="1388"/>
      <c r="DF56" s="1388"/>
      <c r="DG56" s="1388"/>
      <c r="DH56" s="1388"/>
      <c r="DI56" s="1388"/>
      <c r="DJ56" s="1388"/>
      <c r="DK56" s="1388"/>
      <c r="DL56" s="1388"/>
      <c r="DM56" s="1388"/>
      <c r="DN56" s="1388"/>
      <c r="DO56" s="1388"/>
      <c r="DP56" s="1388"/>
      <c r="DQ56" s="1388"/>
      <c r="DR56" s="1388"/>
      <c r="DS56" s="1388"/>
      <c r="DT56" s="1388"/>
      <c r="DU56" s="1388"/>
      <c r="DV56" s="1388"/>
      <c r="DW56" s="1388"/>
      <c r="DX56" s="1388"/>
      <c r="DY56" s="1388"/>
      <c r="DZ56" s="1388"/>
      <c r="EA56" s="1388"/>
      <c r="EB56" s="1388"/>
      <c r="EC56" s="1388"/>
      <c r="ED56" s="1388"/>
      <c r="EE56" s="1388"/>
      <c r="EF56" s="1388"/>
      <c r="EG56" s="1388"/>
      <c r="EH56" s="501"/>
      <c r="EI56" s="117"/>
      <c r="EJ56" s="117"/>
      <c r="EK56" s="117"/>
      <c r="EL56" s="117"/>
      <c r="EM56" s="117"/>
      <c r="EN56" s="117"/>
      <c r="EO56" s="117"/>
      <c r="EP56" s="117"/>
      <c r="EQ56" s="117"/>
      <c r="ER56" s="117"/>
      <c r="ES56" s="117"/>
      <c r="ET56" s="117"/>
      <c r="EU56" s="117"/>
      <c r="EV56" s="117"/>
      <c r="EW56" s="117"/>
      <c r="EX56" s="117"/>
      <c r="EY56" s="117"/>
      <c r="EZ56" s="117"/>
      <c r="FA56" s="117"/>
      <c r="FB56" s="117"/>
      <c r="FC56" s="117"/>
      <c r="FD56" s="117"/>
      <c r="FE56" s="117"/>
      <c r="FF56" s="117"/>
      <c r="FG56" s="117"/>
      <c r="FH56" s="117"/>
      <c r="FI56" s="117"/>
      <c r="FJ56" s="117"/>
      <c r="FK56" s="117"/>
      <c r="JJ56" s="501"/>
      <c r="JK56" s="117"/>
      <c r="JL56" s="117"/>
      <c r="JM56" s="117"/>
      <c r="JN56" s="117"/>
      <c r="JO56" s="117"/>
      <c r="JP56" s="117"/>
      <c r="JQ56" s="117"/>
      <c r="JR56" s="117"/>
      <c r="JS56" s="117"/>
      <c r="JT56" s="117"/>
      <c r="JU56" s="117"/>
      <c r="JV56" s="117"/>
      <c r="JW56" s="117"/>
      <c r="JX56" s="117"/>
      <c r="JY56" s="117"/>
      <c r="JZ56" s="117"/>
      <c r="KA56" s="117"/>
      <c r="KB56" s="117"/>
      <c r="KC56" s="117"/>
      <c r="KD56" s="117"/>
      <c r="KE56" s="117"/>
      <c r="KF56" s="117"/>
      <c r="KG56" s="117"/>
      <c r="KH56" s="117"/>
      <c r="KI56" s="117"/>
      <c r="KJ56" s="117"/>
      <c r="KK56" s="117"/>
      <c r="KL56" s="117"/>
      <c r="KM56" s="117"/>
    </row>
    <row r="57" spans="1:365" s="114" customFormat="1" ht="22.5" customHeight="1">
      <c r="A57" s="506">
        <f t="shared" si="1"/>
        <v>1</v>
      </c>
      <c r="B57"/>
      <c r="C57" s="1386" t="str">
        <v>Other</v>
      </c>
      <c r="D57" s="500">
        <f t="shared" si="3"/>
        <v>0</v>
      </c>
      <c r="E57"/>
      <c r="F57" s="1388" cm="1">
        <f t="array" ref="F57:CW57">TRANSPOSE(_xlfn.ANCHORARRAY(mProject!BI$9))</f>
        <v>0</v>
      </c>
      <c r="G57" s="1388">
        <v>0</v>
      </c>
      <c r="H57" s="1388">
        <v>0</v>
      </c>
      <c r="I57" s="1388">
        <v>0</v>
      </c>
      <c r="J57" s="1388">
        <v>0</v>
      </c>
      <c r="K57" s="1388">
        <v>0</v>
      </c>
      <c r="L57" s="1388">
        <v>0</v>
      </c>
      <c r="M57" s="1388">
        <v>0</v>
      </c>
      <c r="N57" s="1388">
        <v>0</v>
      </c>
      <c r="O57" s="1388">
        <v>0</v>
      </c>
      <c r="P57" s="1388">
        <v>0</v>
      </c>
      <c r="Q57" s="1388">
        <v>0</v>
      </c>
      <c r="R57" s="1388">
        <v>0</v>
      </c>
      <c r="S57" s="1388">
        <v>0</v>
      </c>
      <c r="T57" s="1388">
        <v>0</v>
      </c>
      <c r="U57" s="1388">
        <v>0</v>
      </c>
      <c r="V57" s="1388">
        <v>0</v>
      </c>
      <c r="W57" s="1388">
        <v>0</v>
      </c>
      <c r="X57" s="1388">
        <v>0</v>
      </c>
      <c r="Y57" s="1388">
        <v>0</v>
      </c>
      <c r="Z57" s="1388">
        <v>0</v>
      </c>
      <c r="AA57" s="1388">
        <v>0</v>
      </c>
      <c r="AB57" s="1388">
        <v>0</v>
      </c>
      <c r="AC57" s="1388">
        <v>0</v>
      </c>
      <c r="AD57" s="1388">
        <v>0</v>
      </c>
      <c r="AE57" s="1388">
        <v>0</v>
      </c>
      <c r="AF57" s="1388">
        <v>0</v>
      </c>
      <c r="AG57" s="1388">
        <v>0</v>
      </c>
      <c r="AH57" s="1388">
        <v>0</v>
      </c>
      <c r="AI57" s="1388">
        <v>0</v>
      </c>
      <c r="AJ57" s="1388">
        <v>0</v>
      </c>
      <c r="AK57" s="1388">
        <v>0</v>
      </c>
      <c r="AL57" s="1388">
        <v>0</v>
      </c>
      <c r="AM57" s="1388">
        <v>0</v>
      </c>
      <c r="AN57" s="1388">
        <v>0</v>
      </c>
      <c r="AO57" s="1388">
        <v>0</v>
      </c>
      <c r="AP57" s="1388">
        <v>0</v>
      </c>
      <c r="AQ57" s="1388">
        <v>0</v>
      </c>
      <c r="AR57" s="1388">
        <v>0</v>
      </c>
      <c r="AS57" s="1388">
        <v>0</v>
      </c>
      <c r="AT57" s="1388">
        <v>0</v>
      </c>
      <c r="AU57" s="1388">
        <v>0</v>
      </c>
      <c r="AV57" s="1388">
        <v>0</v>
      </c>
      <c r="AW57" s="1388">
        <v>0</v>
      </c>
      <c r="AX57" s="1388">
        <v>0</v>
      </c>
      <c r="AY57" s="1388">
        <v>0</v>
      </c>
      <c r="AZ57" s="1388">
        <v>0</v>
      </c>
      <c r="BA57" s="1388">
        <v>0</v>
      </c>
      <c r="BB57" s="1388">
        <v>0</v>
      </c>
      <c r="BC57" s="1388">
        <v>0</v>
      </c>
      <c r="BD57" s="1388">
        <v>0</v>
      </c>
      <c r="BE57" s="1388">
        <v>0</v>
      </c>
      <c r="BF57" s="1388">
        <v>0</v>
      </c>
      <c r="BG57" s="1388">
        <v>0</v>
      </c>
      <c r="BH57" s="1388">
        <v>0</v>
      </c>
      <c r="BI57" s="1388">
        <v>0</v>
      </c>
      <c r="BJ57" s="1388">
        <v>0</v>
      </c>
      <c r="BK57" s="1388">
        <v>0</v>
      </c>
      <c r="BL57" s="1388">
        <v>0</v>
      </c>
      <c r="BM57" s="1388">
        <v>0</v>
      </c>
      <c r="BN57" s="1388">
        <v>0</v>
      </c>
      <c r="BO57" s="1388">
        <v>0</v>
      </c>
      <c r="BP57" s="1388">
        <v>0</v>
      </c>
      <c r="BQ57" s="1388">
        <v>0</v>
      </c>
      <c r="BR57" s="1388">
        <v>0</v>
      </c>
      <c r="BS57" s="1388">
        <v>0</v>
      </c>
      <c r="BT57" s="1388">
        <v>0</v>
      </c>
      <c r="BU57" s="1388">
        <v>0</v>
      </c>
      <c r="BV57" s="1388">
        <v>0</v>
      </c>
      <c r="BW57" s="1388">
        <v>0</v>
      </c>
      <c r="BX57" s="1388">
        <v>0</v>
      </c>
      <c r="BY57" s="1388">
        <v>0</v>
      </c>
      <c r="BZ57" s="1388">
        <v>0</v>
      </c>
      <c r="CA57" s="1388">
        <v>0</v>
      </c>
      <c r="CB57" s="1388">
        <v>0</v>
      </c>
      <c r="CC57" s="1388">
        <v>0</v>
      </c>
      <c r="CD57" s="1388">
        <v>0</v>
      </c>
      <c r="CE57" s="1388">
        <v>0</v>
      </c>
      <c r="CF57" s="1388">
        <v>0</v>
      </c>
      <c r="CG57" s="1388">
        <v>0</v>
      </c>
      <c r="CH57" s="1388">
        <v>0</v>
      </c>
      <c r="CI57" s="1388">
        <v>0</v>
      </c>
      <c r="CJ57" s="1388">
        <v>0</v>
      </c>
      <c r="CK57" s="1388">
        <v>0</v>
      </c>
      <c r="CL57" s="1388">
        <v>0</v>
      </c>
      <c r="CM57" s="1388">
        <v>0</v>
      </c>
      <c r="CN57" s="1388">
        <v>0</v>
      </c>
      <c r="CO57" s="1388">
        <v>0</v>
      </c>
      <c r="CP57" s="1388">
        <v>0</v>
      </c>
      <c r="CQ57" s="1388">
        <v>0</v>
      </c>
      <c r="CR57" s="1388">
        <v>0</v>
      </c>
      <c r="CS57" s="1388">
        <v>0</v>
      </c>
      <c r="CT57" s="1388">
        <v>0</v>
      </c>
      <c r="CU57" s="1388">
        <v>0</v>
      </c>
      <c r="CV57" s="1388">
        <v>0</v>
      </c>
      <c r="CW57" s="1388">
        <v>0</v>
      </c>
      <c r="CX57" s="1388"/>
      <c r="CY57" s="1388"/>
      <c r="CZ57" s="1388"/>
      <c r="DA57" s="1388"/>
      <c r="DB57" s="1388"/>
      <c r="DC57" s="1388"/>
      <c r="DD57" s="1388"/>
      <c r="DE57" s="1388"/>
      <c r="DF57" s="1388"/>
      <c r="DG57" s="1388"/>
      <c r="DH57" s="1388"/>
      <c r="DI57" s="1388"/>
      <c r="DJ57" s="1388"/>
      <c r="DK57" s="1388"/>
      <c r="DL57" s="1388"/>
      <c r="DM57" s="1388"/>
      <c r="DN57" s="1388"/>
      <c r="DO57" s="1388"/>
      <c r="DP57" s="1388"/>
      <c r="DQ57" s="1388"/>
      <c r="DR57" s="1388"/>
      <c r="DS57" s="1388"/>
      <c r="DT57" s="1388"/>
      <c r="DU57" s="1388"/>
      <c r="DV57" s="1388"/>
      <c r="DW57" s="1388"/>
      <c r="DX57" s="1388"/>
      <c r="DY57" s="1388"/>
      <c r="DZ57" s="1388"/>
      <c r="EA57" s="1388"/>
      <c r="EB57" s="1388"/>
      <c r="EC57" s="1388"/>
      <c r="ED57" s="1388"/>
      <c r="EE57" s="1388"/>
      <c r="EF57" s="1388"/>
      <c r="EG57" s="1388"/>
      <c r="EH57" s="501"/>
      <c r="EI57" s="117"/>
      <c r="EJ57" s="117"/>
      <c r="EK57" s="117"/>
      <c r="EL57" s="117"/>
      <c r="EM57" s="117"/>
      <c r="EN57" s="117"/>
      <c r="EO57" s="117"/>
      <c r="EP57" s="117"/>
      <c r="EQ57" s="117"/>
      <c r="ER57" s="117"/>
      <c r="ES57" s="117"/>
      <c r="ET57" s="117"/>
      <c r="EU57" s="117"/>
      <c r="EV57" s="117"/>
      <c r="EW57" s="117"/>
      <c r="EX57" s="117"/>
      <c r="EY57" s="117"/>
      <c r="EZ57" s="117"/>
      <c r="FA57" s="117"/>
      <c r="FB57" s="117"/>
      <c r="FC57" s="117"/>
      <c r="FD57" s="117"/>
      <c r="FE57" s="117"/>
      <c r="FF57" s="117"/>
      <c r="FG57" s="117"/>
      <c r="FH57" s="117"/>
      <c r="FI57" s="117"/>
      <c r="FJ57" s="117"/>
      <c r="FK57" s="117"/>
      <c r="JJ57" s="501"/>
      <c r="JK57" s="117"/>
      <c r="JL57" s="117"/>
      <c r="JM57" s="117"/>
      <c r="JN57" s="117"/>
      <c r="JO57" s="117"/>
      <c r="JP57" s="117"/>
      <c r="JQ57" s="117"/>
      <c r="JR57" s="117"/>
      <c r="JS57" s="117"/>
      <c r="JT57" s="117"/>
      <c r="JU57" s="117"/>
      <c r="JV57" s="117"/>
      <c r="JW57" s="117"/>
      <c r="JX57" s="117"/>
      <c r="JY57" s="117"/>
      <c r="JZ57" s="117"/>
      <c r="KA57" s="117"/>
      <c r="KB57" s="117"/>
      <c r="KC57" s="117"/>
      <c r="KD57" s="117"/>
      <c r="KE57" s="117"/>
      <c r="KF57" s="117"/>
      <c r="KG57" s="117"/>
      <c r="KH57" s="117"/>
      <c r="KI57" s="117"/>
      <c r="KJ57" s="117"/>
      <c r="KK57" s="117"/>
      <c r="KL57" s="117"/>
      <c r="KM57" s="117"/>
    </row>
    <row r="58" spans="1:365" s="114" customFormat="1" ht="22.5" customHeight="1">
      <c r="A58" s="506">
        <f t="shared" si="1"/>
        <v>1</v>
      </c>
      <c r="B58"/>
      <c r="C58" s="1386" t="str">
        <v>Acqusition Fee to GP [Land]</v>
      </c>
      <c r="D58" s="500">
        <f t="shared" si="3"/>
        <v>1050000</v>
      </c>
      <c r="E58"/>
      <c r="F58" s="1388" cm="1">
        <f t="array" ref="F58:CW58">TRANSPOSE(_xlfn.ANCHORARRAY(mProject!BJ$9))</f>
        <v>0</v>
      </c>
      <c r="G58" s="1388">
        <v>0</v>
      </c>
      <c r="H58" s="1388">
        <v>0</v>
      </c>
      <c r="I58" s="1388">
        <v>0</v>
      </c>
      <c r="J58" s="1388">
        <v>0</v>
      </c>
      <c r="K58" s="1388">
        <v>0</v>
      </c>
      <c r="L58" s="1388">
        <v>0</v>
      </c>
      <c r="M58" s="1388">
        <v>0</v>
      </c>
      <c r="N58" s="1388">
        <v>0</v>
      </c>
      <c r="O58" s="1388">
        <v>0</v>
      </c>
      <c r="P58" s="1388">
        <v>0</v>
      </c>
      <c r="Q58" s="1388">
        <v>0</v>
      </c>
      <c r="R58" s="1388">
        <v>1050000</v>
      </c>
      <c r="S58" s="1388">
        <v>0</v>
      </c>
      <c r="T58" s="1388">
        <v>0</v>
      </c>
      <c r="U58" s="1388">
        <v>0</v>
      </c>
      <c r="V58" s="1388">
        <v>0</v>
      </c>
      <c r="W58" s="1388">
        <v>0</v>
      </c>
      <c r="X58" s="1388">
        <v>0</v>
      </c>
      <c r="Y58" s="1388">
        <v>0</v>
      </c>
      <c r="Z58" s="1388">
        <v>0</v>
      </c>
      <c r="AA58" s="1388">
        <v>0</v>
      </c>
      <c r="AB58" s="1388">
        <v>0</v>
      </c>
      <c r="AC58" s="1388">
        <v>0</v>
      </c>
      <c r="AD58" s="1388">
        <v>0</v>
      </c>
      <c r="AE58" s="1388">
        <v>0</v>
      </c>
      <c r="AF58" s="1388">
        <v>0</v>
      </c>
      <c r="AG58" s="1388">
        <v>0</v>
      </c>
      <c r="AH58" s="1388">
        <v>0</v>
      </c>
      <c r="AI58" s="1388">
        <v>0</v>
      </c>
      <c r="AJ58" s="1388">
        <v>0</v>
      </c>
      <c r="AK58" s="1388">
        <v>0</v>
      </c>
      <c r="AL58" s="1388">
        <v>0</v>
      </c>
      <c r="AM58" s="1388">
        <v>0</v>
      </c>
      <c r="AN58" s="1388">
        <v>0</v>
      </c>
      <c r="AO58" s="1388">
        <v>0</v>
      </c>
      <c r="AP58" s="1388">
        <v>0</v>
      </c>
      <c r="AQ58" s="1388">
        <v>0</v>
      </c>
      <c r="AR58" s="1388">
        <v>0</v>
      </c>
      <c r="AS58" s="1388">
        <v>0</v>
      </c>
      <c r="AT58" s="1388">
        <v>0</v>
      </c>
      <c r="AU58" s="1388">
        <v>0</v>
      </c>
      <c r="AV58" s="1388">
        <v>0</v>
      </c>
      <c r="AW58" s="1388">
        <v>0</v>
      </c>
      <c r="AX58" s="1388">
        <v>0</v>
      </c>
      <c r="AY58" s="1388">
        <v>0</v>
      </c>
      <c r="AZ58" s="1388">
        <v>0</v>
      </c>
      <c r="BA58" s="1388">
        <v>0</v>
      </c>
      <c r="BB58" s="1388">
        <v>0</v>
      </c>
      <c r="BC58" s="1388">
        <v>0</v>
      </c>
      <c r="BD58" s="1388">
        <v>0</v>
      </c>
      <c r="BE58" s="1388">
        <v>0</v>
      </c>
      <c r="BF58" s="1388">
        <v>0</v>
      </c>
      <c r="BG58" s="1388">
        <v>0</v>
      </c>
      <c r="BH58" s="1388">
        <v>0</v>
      </c>
      <c r="BI58" s="1388">
        <v>0</v>
      </c>
      <c r="BJ58" s="1388">
        <v>0</v>
      </c>
      <c r="BK58" s="1388">
        <v>0</v>
      </c>
      <c r="BL58" s="1388">
        <v>0</v>
      </c>
      <c r="BM58" s="1388">
        <v>0</v>
      </c>
      <c r="BN58" s="1388">
        <v>0</v>
      </c>
      <c r="BO58" s="1388">
        <v>0</v>
      </c>
      <c r="BP58" s="1388">
        <v>0</v>
      </c>
      <c r="BQ58" s="1388">
        <v>0</v>
      </c>
      <c r="BR58" s="1388">
        <v>0</v>
      </c>
      <c r="BS58" s="1388">
        <v>0</v>
      </c>
      <c r="BT58" s="1388">
        <v>0</v>
      </c>
      <c r="BU58" s="1388">
        <v>0</v>
      </c>
      <c r="BV58" s="1388">
        <v>0</v>
      </c>
      <c r="BW58" s="1388">
        <v>0</v>
      </c>
      <c r="BX58" s="1388">
        <v>0</v>
      </c>
      <c r="BY58" s="1388">
        <v>0</v>
      </c>
      <c r="BZ58" s="1388">
        <v>0</v>
      </c>
      <c r="CA58" s="1388">
        <v>0</v>
      </c>
      <c r="CB58" s="1388">
        <v>0</v>
      </c>
      <c r="CC58" s="1388">
        <v>0</v>
      </c>
      <c r="CD58" s="1388">
        <v>0</v>
      </c>
      <c r="CE58" s="1388">
        <v>0</v>
      </c>
      <c r="CF58" s="1388">
        <v>0</v>
      </c>
      <c r="CG58" s="1388">
        <v>0</v>
      </c>
      <c r="CH58" s="1388">
        <v>0</v>
      </c>
      <c r="CI58" s="1388">
        <v>0</v>
      </c>
      <c r="CJ58" s="1388">
        <v>0</v>
      </c>
      <c r="CK58" s="1388">
        <v>0</v>
      </c>
      <c r="CL58" s="1388">
        <v>0</v>
      </c>
      <c r="CM58" s="1388">
        <v>0</v>
      </c>
      <c r="CN58" s="1388">
        <v>0</v>
      </c>
      <c r="CO58" s="1388">
        <v>0</v>
      </c>
      <c r="CP58" s="1388">
        <v>0</v>
      </c>
      <c r="CQ58" s="1388">
        <v>0</v>
      </c>
      <c r="CR58" s="1388">
        <v>0</v>
      </c>
      <c r="CS58" s="1388">
        <v>0</v>
      </c>
      <c r="CT58" s="1388">
        <v>0</v>
      </c>
      <c r="CU58" s="1388">
        <v>0</v>
      </c>
      <c r="CV58" s="1388">
        <v>0</v>
      </c>
      <c r="CW58" s="1388">
        <v>0</v>
      </c>
      <c r="CX58" s="1388"/>
      <c r="CY58" s="1388"/>
      <c r="CZ58" s="1388"/>
      <c r="DA58" s="1388"/>
      <c r="DB58" s="1388"/>
      <c r="DC58" s="1388"/>
      <c r="DD58" s="1388"/>
      <c r="DE58" s="1388"/>
      <c r="DF58" s="1388"/>
      <c r="DG58" s="1388"/>
      <c r="DH58" s="1388"/>
      <c r="DI58" s="1388"/>
      <c r="DJ58" s="1388"/>
      <c r="DK58" s="1388"/>
      <c r="DL58" s="1388"/>
      <c r="DM58" s="1388"/>
      <c r="DN58" s="1388"/>
      <c r="DO58" s="1388"/>
      <c r="DP58" s="1388"/>
      <c r="DQ58" s="1388"/>
      <c r="DR58" s="1388"/>
      <c r="DS58" s="1388"/>
      <c r="DT58" s="1388"/>
      <c r="DU58" s="1388"/>
      <c r="DV58" s="1388"/>
      <c r="DW58" s="1388"/>
      <c r="DX58" s="1388"/>
      <c r="DY58" s="1388"/>
      <c r="DZ58" s="1388"/>
      <c r="EA58" s="1388"/>
      <c r="EB58" s="1388"/>
      <c r="EC58" s="1388"/>
      <c r="ED58" s="1388"/>
      <c r="EE58" s="1388"/>
      <c r="EF58" s="1388"/>
      <c r="EG58" s="1388"/>
      <c r="EH58" s="501"/>
      <c r="EI58" s="117"/>
      <c r="EJ58" s="117"/>
      <c r="EK58" s="117"/>
      <c r="EL58" s="117"/>
      <c r="EM58" s="117"/>
      <c r="EN58" s="117"/>
      <c r="EO58" s="117"/>
      <c r="EP58" s="117"/>
      <c r="EQ58" s="117"/>
      <c r="ER58" s="117"/>
      <c r="ES58" s="117"/>
      <c r="ET58" s="117"/>
      <c r="EU58" s="117"/>
      <c r="EV58" s="117"/>
      <c r="EW58" s="117"/>
      <c r="EX58" s="117"/>
      <c r="EY58" s="117"/>
      <c r="EZ58" s="117"/>
      <c r="FA58" s="117"/>
      <c r="FB58" s="117"/>
      <c r="FC58" s="117"/>
      <c r="FD58" s="117"/>
      <c r="FE58" s="117"/>
      <c r="FF58" s="117"/>
      <c r="FG58" s="117"/>
      <c r="FH58" s="117"/>
      <c r="FI58" s="117"/>
      <c r="FJ58" s="117"/>
      <c r="FK58" s="117"/>
      <c r="JJ58" s="501"/>
      <c r="JK58" s="117"/>
      <c r="JL58" s="117"/>
      <c r="JM58" s="117"/>
      <c r="JN58" s="117"/>
      <c r="JO58" s="117"/>
      <c r="JP58" s="117"/>
      <c r="JQ58" s="117"/>
      <c r="JR58" s="117"/>
      <c r="JS58" s="117"/>
      <c r="JT58" s="117"/>
      <c r="JU58" s="117"/>
      <c r="JV58" s="117"/>
      <c r="JW58" s="117"/>
      <c r="JX58" s="117"/>
      <c r="JY58" s="117"/>
      <c r="JZ58" s="117"/>
      <c r="KA58" s="117"/>
      <c r="KB58" s="117"/>
      <c r="KC58" s="117"/>
      <c r="KD58" s="117"/>
      <c r="KE58" s="117"/>
      <c r="KF58" s="117"/>
      <c r="KG58" s="117"/>
      <c r="KH58" s="117"/>
      <c r="KI58" s="117"/>
      <c r="KJ58" s="117"/>
      <c r="KK58" s="117"/>
      <c r="KL58" s="117"/>
      <c r="KM58" s="117"/>
    </row>
    <row r="59" spans="1:365" s="114" customFormat="1" ht="22.5" customHeight="1">
      <c r="A59" s="506">
        <f t="shared" si="1"/>
        <v>1</v>
      </c>
      <c r="B59"/>
      <c r="C59" s="1451" t="str">
        <v>Disposition Fee [Net Revenue]</v>
      </c>
      <c r="D59" s="507">
        <f t="shared" si="3"/>
        <v>3422346.9553270857</v>
      </c>
      <c r="E59"/>
      <c r="F59" s="1403" cm="1">
        <f t="array" ref="F59:CW59">TRANSPOSE(_xlfn.ANCHORARRAY(mProject!BK$9))</f>
        <v>0</v>
      </c>
      <c r="G59" s="1403">
        <v>0</v>
      </c>
      <c r="H59" s="1403">
        <v>0</v>
      </c>
      <c r="I59" s="1403">
        <v>0</v>
      </c>
      <c r="J59" s="1403">
        <v>0</v>
      </c>
      <c r="K59" s="1403">
        <v>0</v>
      </c>
      <c r="L59" s="1403">
        <v>0</v>
      </c>
      <c r="M59" s="1403">
        <v>0</v>
      </c>
      <c r="N59" s="1403">
        <v>0</v>
      </c>
      <c r="O59" s="1403">
        <v>0</v>
      </c>
      <c r="P59" s="1403">
        <v>0</v>
      </c>
      <c r="Q59" s="1403">
        <v>0</v>
      </c>
      <c r="R59" s="1403">
        <v>0</v>
      </c>
      <c r="S59" s="1403">
        <v>0</v>
      </c>
      <c r="T59" s="1403">
        <v>0</v>
      </c>
      <c r="U59" s="1403">
        <v>0</v>
      </c>
      <c r="V59" s="1403">
        <v>0</v>
      </c>
      <c r="W59" s="1403">
        <v>0</v>
      </c>
      <c r="X59" s="1403">
        <v>0</v>
      </c>
      <c r="Y59" s="1403">
        <v>0</v>
      </c>
      <c r="Z59" s="1403">
        <v>0</v>
      </c>
      <c r="AA59" s="1403">
        <v>0</v>
      </c>
      <c r="AB59" s="1403">
        <v>0</v>
      </c>
      <c r="AC59" s="1403">
        <v>0</v>
      </c>
      <c r="AD59" s="1403">
        <v>0</v>
      </c>
      <c r="AE59" s="1403">
        <v>313410.92090413609</v>
      </c>
      <c r="AF59" s="1403">
        <v>0</v>
      </c>
      <c r="AG59" s="1403">
        <v>0</v>
      </c>
      <c r="AH59" s="1403">
        <v>0</v>
      </c>
      <c r="AI59" s="1403">
        <v>0</v>
      </c>
      <c r="AJ59" s="1403">
        <v>0</v>
      </c>
      <c r="AK59" s="1403">
        <v>0</v>
      </c>
      <c r="AL59" s="1403">
        <v>0</v>
      </c>
      <c r="AM59" s="1403">
        <v>0</v>
      </c>
      <c r="AN59" s="1403">
        <v>0</v>
      </c>
      <c r="AO59" s="1403">
        <v>0</v>
      </c>
      <c r="AP59" s="1403">
        <v>0</v>
      </c>
      <c r="AQ59" s="1403">
        <v>0</v>
      </c>
      <c r="AR59" s="1403">
        <v>0</v>
      </c>
      <c r="AS59" s="1403">
        <v>0</v>
      </c>
      <c r="AT59" s="1403">
        <v>0</v>
      </c>
      <c r="AU59" s="1403">
        <v>497607.56443340989</v>
      </c>
      <c r="AV59" s="1403">
        <v>0</v>
      </c>
      <c r="AW59" s="1403">
        <v>0</v>
      </c>
      <c r="AX59" s="1403">
        <v>0</v>
      </c>
      <c r="AY59" s="1403">
        <v>0</v>
      </c>
      <c r="AZ59" s="1403">
        <v>0</v>
      </c>
      <c r="BA59" s="1403">
        <v>1951604.341479846</v>
      </c>
      <c r="BB59" s="1403">
        <v>0</v>
      </c>
      <c r="BC59" s="1403">
        <v>0</v>
      </c>
      <c r="BD59" s="1403">
        <v>0</v>
      </c>
      <c r="BE59" s="1403">
        <v>0</v>
      </c>
      <c r="BF59" s="1403">
        <v>0</v>
      </c>
      <c r="BG59" s="1403">
        <v>0</v>
      </c>
      <c r="BH59" s="1403">
        <v>0</v>
      </c>
      <c r="BI59" s="1403">
        <v>0</v>
      </c>
      <c r="BJ59" s="1403">
        <v>0</v>
      </c>
      <c r="BK59" s="1403">
        <v>0</v>
      </c>
      <c r="BL59" s="1403">
        <v>0</v>
      </c>
      <c r="BM59" s="1403">
        <v>0</v>
      </c>
      <c r="BN59" s="1403">
        <v>0</v>
      </c>
      <c r="BO59" s="1403">
        <v>0</v>
      </c>
      <c r="BP59" s="1403">
        <v>0</v>
      </c>
      <c r="BQ59" s="1403">
        <v>0</v>
      </c>
      <c r="BR59" s="1403">
        <v>0</v>
      </c>
      <c r="BS59" s="1403">
        <v>0</v>
      </c>
      <c r="BT59" s="1403">
        <v>0</v>
      </c>
      <c r="BU59" s="1403">
        <v>0</v>
      </c>
      <c r="BV59" s="1403">
        <v>0</v>
      </c>
      <c r="BW59" s="1403">
        <v>0</v>
      </c>
      <c r="BX59" s="1403">
        <v>0</v>
      </c>
      <c r="BY59" s="1403">
        <v>73732.025600036621</v>
      </c>
      <c r="BZ59" s="1403">
        <v>54447.315556098496</v>
      </c>
      <c r="CA59" s="1403">
        <v>0</v>
      </c>
      <c r="CB59" s="1403">
        <v>0</v>
      </c>
      <c r="CC59" s="1403">
        <v>0</v>
      </c>
      <c r="CD59" s="1403">
        <v>0</v>
      </c>
      <c r="CE59" s="1403">
        <v>179694.68531083452</v>
      </c>
      <c r="CF59" s="1403">
        <v>0</v>
      </c>
      <c r="CG59" s="1403">
        <v>0</v>
      </c>
      <c r="CH59" s="1403">
        <v>0</v>
      </c>
      <c r="CI59" s="1403">
        <v>0</v>
      </c>
      <c r="CJ59" s="1403">
        <v>0</v>
      </c>
      <c r="CK59" s="1403">
        <v>0</v>
      </c>
      <c r="CL59" s="1403">
        <v>0</v>
      </c>
      <c r="CM59" s="1403">
        <v>0</v>
      </c>
      <c r="CN59" s="1403">
        <v>0</v>
      </c>
      <c r="CO59" s="1403">
        <v>0</v>
      </c>
      <c r="CP59" s="1403">
        <v>0</v>
      </c>
      <c r="CQ59" s="1403">
        <v>0</v>
      </c>
      <c r="CR59" s="1403">
        <v>0</v>
      </c>
      <c r="CS59" s="1403">
        <v>0</v>
      </c>
      <c r="CT59" s="1403">
        <v>0</v>
      </c>
      <c r="CU59" s="1403">
        <v>0</v>
      </c>
      <c r="CV59" s="1403">
        <v>0</v>
      </c>
      <c r="CW59" s="1403">
        <v>351850.10204272385</v>
      </c>
      <c r="CX59" s="1403"/>
      <c r="CY59" s="1403"/>
      <c r="CZ59" s="1403"/>
      <c r="DA59" s="1403"/>
      <c r="DB59" s="1403"/>
      <c r="DC59" s="1403"/>
      <c r="DD59" s="1403"/>
      <c r="DE59" s="1403"/>
      <c r="DF59" s="1403"/>
      <c r="DG59" s="1403"/>
      <c r="DH59" s="1403"/>
      <c r="DI59" s="1403"/>
      <c r="DJ59" s="1403"/>
      <c r="DK59" s="1403"/>
      <c r="DL59" s="1403"/>
      <c r="DM59" s="1403"/>
      <c r="DN59" s="1403"/>
      <c r="DO59" s="1403"/>
      <c r="DP59" s="1403"/>
      <c r="DQ59" s="1403"/>
      <c r="DR59" s="1403"/>
      <c r="DS59" s="1403"/>
      <c r="DT59" s="1403"/>
      <c r="DU59" s="1403"/>
      <c r="DV59" s="1403"/>
      <c r="DW59" s="1403"/>
      <c r="DX59" s="1403"/>
      <c r="DY59" s="1403"/>
      <c r="DZ59" s="1403"/>
      <c r="EA59" s="1403"/>
      <c r="EB59" s="1403"/>
      <c r="EC59" s="1403"/>
      <c r="ED59" s="1403"/>
      <c r="EE59" s="1403"/>
      <c r="EF59" s="1403"/>
      <c r="EG59" s="1403"/>
      <c r="EH59" s="501"/>
      <c r="EI59" s="117"/>
      <c r="EJ59" s="117"/>
      <c r="EK59" s="117"/>
      <c r="EL59" s="117"/>
      <c r="EM59" s="117"/>
      <c r="EN59" s="117"/>
      <c r="EO59" s="117"/>
      <c r="EP59" s="117"/>
      <c r="EQ59" s="117"/>
      <c r="ER59" s="117"/>
      <c r="ES59" s="117"/>
      <c r="ET59" s="117"/>
      <c r="EU59" s="117"/>
      <c r="EV59" s="117"/>
      <c r="EW59" s="117"/>
      <c r="EX59" s="117"/>
      <c r="EY59" s="117"/>
      <c r="EZ59" s="117"/>
      <c r="FA59" s="117"/>
      <c r="FB59" s="117"/>
      <c r="FC59" s="117"/>
      <c r="FD59" s="117"/>
      <c r="FE59" s="117"/>
      <c r="FF59" s="117"/>
      <c r="FG59" s="117"/>
      <c r="FH59" s="117"/>
      <c r="FI59" s="117"/>
      <c r="FJ59" s="117"/>
      <c r="FK59" s="117"/>
      <c r="JJ59" s="501"/>
      <c r="JK59" s="117"/>
      <c r="JL59" s="117"/>
      <c r="JM59" s="117"/>
      <c r="JN59" s="117"/>
      <c r="JO59" s="117"/>
      <c r="JP59" s="117"/>
      <c r="JQ59" s="117"/>
      <c r="JR59" s="117"/>
      <c r="JS59" s="117"/>
      <c r="JT59" s="117"/>
      <c r="JU59" s="117"/>
      <c r="JV59" s="117"/>
      <c r="JW59" s="117"/>
      <c r="JX59" s="117"/>
      <c r="JY59" s="117"/>
      <c r="JZ59" s="117"/>
      <c r="KA59" s="117"/>
      <c r="KB59" s="117"/>
      <c r="KC59" s="117"/>
      <c r="KD59" s="117"/>
      <c r="KE59" s="117"/>
      <c r="KF59" s="117"/>
      <c r="KG59" s="117"/>
      <c r="KH59" s="117"/>
      <c r="KI59" s="117"/>
      <c r="KJ59" s="117"/>
      <c r="KK59" s="117"/>
      <c r="KL59" s="117"/>
      <c r="KM59" s="117"/>
    </row>
    <row r="60" spans="1:365" s="114" customFormat="1" ht="22.5" customHeight="1">
      <c r="A60" s="506"/>
      <c r="B60"/>
      <c r="C60" s="1385" t="str">
        <v>Total Project Overhead</v>
      </c>
      <c r="D60" s="1375">
        <f t="shared" si="3"/>
        <v>7322346.9553270852</v>
      </c>
      <c r="E60"/>
      <c r="F60" s="1388" cm="1">
        <f t="array" ref="F60:CW60">TRANSPOSE(_xlfn.ANCHORARRAY(mProject!BL$9))</f>
        <v>30000</v>
      </c>
      <c r="G60" s="1388">
        <v>30000</v>
      </c>
      <c r="H60" s="1388">
        <v>30000</v>
      </c>
      <c r="I60" s="1388">
        <v>30000</v>
      </c>
      <c r="J60" s="1388">
        <v>30000</v>
      </c>
      <c r="K60" s="1388">
        <v>30000</v>
      </c>
      <c r="L60" s="1388">
        <v>30000</v>
      </c>
      <c r="M60" s="1388">
        <v>30000</v>
      </c>
      <c r="N60" s="1388">
        <v>30000</v>
      </c>
      <c r="O60" s="1388">
        <v>30000</v>
      </c>
      <c r="P60" s="1388">
        <v>30000</v>
      </c>
      <c r="Q60" s="1388">
        <v>30000</v>
      </c>
      <c r="R60" s="1388">
        <v>1080000</v>
      </c>
      <c r="S60" s="1388">
        <v>30000</v>
      </c>
      <c r="T60" s="1388">
        <v>30000</v>
      </c>
      <c r="U60" s="1388">
        <v>30000</v>
      </c>
      <c r="V60" s="1388">
        <v>30000</v>
      </c>
      <c r="W60" s="1388">
        <v>30000</v>
      </c>
      <c r="X60" s="1388">
        <v>30000</v>
      </c>
      <c r="Y60" s="1388">
        <v>30000</v>
      </c>
      <c r="Z60" s="1388">
        <v>30000</v>
      </c>
      <c r="AA60" s="1388">
        <v>30000</v>
      </c>
      <c r="AB60" s="1388">
        <v>30000</v>
      </c>
      <c r="AC60" s="1388">
        <v>30000</v>
      </c>
      <c r="AD60" s="1388">
        <v>30000</v>
      </c>
      <c r="AE60" s="1388">
        <v>343410.92090413609</v>
      </c>
      <c r="AF60" s="1388">
        <v>30000</v>
      </c>
      <c r="AG60" s="1388">
        <v>30000</v>
      </c>
      <c r="AH60" s="1388">
        <v>30000</v>
      </c>
      <c r="AI60" s="1388">
        <v>30000</v>
      </c>
      <c r="AJ60" s="1388">
        <v>30000</v>
      </c>
      <c r="AK60" s="1388">
        <v>30000</v>
      </c>
      <c r="AL60" s="1388">
        <v>30000</v>
      </c>
      <c r="AM60" s="1388">
        <v>30000</v>
      </c>
      <c r="AN60" s="1388">
        <v>30000</v>
      </c>
      <c r="AO60" s="1388">
        <v>30000</v>
      </c>
      <c r="AP60" s="1388">
        <v>30000</v>
      </c>
      <c r="AQ60" s="1388">
        <v>30000</v>
      </c>
      <c r="AR60" s="1388">
        <v>30000</v>
      </c>
      <c r="AS60" s="1388">
        <v>30000</v>
      </c>
      <c r="AT60" s="1388">
        <v>30000</v>
      </c>
      <c r="AU60" s="1388">
        <v>527607.56443340983</v>
      </c>
      <c r="AV60" s="1388">
        <v>30000</v>
      </c>
      <c r="AW60" s="1388">
        <v>30000</v>
      </c>
      <c r="AX60" s="1388">
        <v>30000</v>
      </c>
      <c r="AY60" s="1388">
        <v>30000</v>
      </c>
      <c r="AZ60" s="1388">
        <v>30000</v>
      </c>
      <c r="BA60" s="1388">
        <v>1981604.341479846</v>
      </c>
      <c r="BB60" s="1388">
        <v>30000</v>
      </c>
      <c r="BC60" s="1388">
        <v>30000</v>
      </c>
      <c r="BD60" s="1388">
        <v>30000</v>
      </c>
      <c r="BE60" s="1388">
        <v>30000</v>
      </c>
      <c r="BF60" s="1388">
        <v>30000</v>
      </c>
      <c r="BG60" s="1388">
        <v>30000</v>
      </c>
      <c r="BH60" s="1388">
        <v>30000</v>
      </c>
      <c r="BI60" s="1388">
        <v>30000</v>
      </c>
      <c r="BJ60" s="1388">
        <v>30000</v>
      </c>
      <c r="BK60" s="1388">
        <v>30000</v>
      </c>
      <c r="BL60" s="1388">
        <v>30000</v>
      </c>
      <c r="BM60" s="1388">
        <v>30000</v>
      </c>
      <c r="BN60" s="1388">
        <v>30000</v>
      </c>
      <c r="BO60" s="1388">
        <v>30000</v>
      </c>
      <c r="BP60" s="1388">
        <v>30000</v>
      </c>
      <c r="BQ60" s="1388">
        <v>30000</v>
      </c>
      <c r="BR60" s="1388">
        <v>30000</v>
      </c>
      <c r="BS60" s="1388">
        <v>30000</v>
      </c>
      <c r="BT60" s="1388">
        <v>30000</v>
      </c>
      <c r="BU60" s="1388">
        <v>30000</v>
      </c>
      <c r="BV60" s="1388">
        <v>30000</v>
      </c>
      <c r="BW60" s="1388">
        <v>30000</v>
      </c>
      <c r="BX60" s="1388">
        <v>30000</v>
      </c>
      <c r="BY60" s="1388">
        <v>103732.02560003662</v>
      </c>
      <c r="BZ60" s="1388">
        <v>84447.315556098503</v>
      </c>
      <c r="CA60" s="1388">
        <v>30000</v>
      </c>
      <c r="CB60" s="1388">
        <v>30000</v>
      </c>
      <c r="CC60" s="1388">
        <v>30000</v>
      </c>
      <c r="CD60" s="1388">
        <v>30000</v>
      </c>
      <c r="CE60" s="1388">
        <v>209694.68531083452</v>
      </c>
      <c r="CF60" s="1388">
        <v>30000</v>
      </c>
      <c r="CG60" s="1388">
        <v>30000</v>
      </c>
      <c r="CH60" s="1388">
        <v>30000</v>
      </c>
      <c r="CI60" s="1388">
        <v>30000</v>
      </c>
      <c r="CJ60" s="1388">
        <v>30000</v>
      </c>
      <c r="CK60" s="1388">
        <v>30000</v>
      </c>
      <c r="CL60" s="1388">
        <v>30000</v>
      </c>
      <c r="CM60" s="1388">
        <v>30000</v>
      </c>
      <c r="CN60" s="1388">
        <v>30000</v>
      </c>
      <c r="CO60" s="1388">
        <v>30000</v>
      </c>
      <c r="CP60" s="1388">
        <v>30000</v>
      </c>
      <c r="CQ60" s="1388">
        <v>30000</v>
      </c>
      <c r="CR60" s="1388">
        <v>30000</v>
      </c>
      <c r="CS60" s="1388">
        <v>30000</v>
      </c>
      <c r="CT60" s="1388">
        <v>30000</v>
      </c>
      <c r="CU60" s="1388">
        <v>30000</v>
      </c>
      <c r="CV60" s="1388">
        <v>30000</v>
      </c>
      <c r="CW60" s="1388">
        <v>351850.10204272385</v>
      </c>
      <c r="CX60" s="1388"/>
      <c r="CY60" s="1388"/>
      <c r="CZ60" s="1388"/>
      <c r="DA60" s="1388"/>
      <c r="DB60" s="1388"/>
      <c r="DC60" s="1388"/>
      <c r="DD60" s="1388"/>
      <c r="DE60" s="1388"/>
      <c r="DF60" s="1388"/>
      <c r="DG60" s="1388"/>
      <c r="DH60" s="1388"/>
      <c r="DI60" s="1388"/>
      <c r="DJ60" s="1388"/>
      <c r="DK60" s="1388"/>
      <c r="DL60" s="1388"/>
      <c r="DM60" s="1388"/>
      <c r="DN60" s="1388"/>
      <c r="DO60" s="1388"/>
      <c r="DP60" s="1388"/>
      <c r="DQ60" s="1388"/>
      <c r="DR60" s="1388"/>
      <c r="DS60" s="1388"/>
      <c r="DT60" s="1388"/>
      <c r="DU60" s="1388"/>
      <c r="DV60" s="1388"/>
      <c r="DW60" s="1388"/>
      <c r="DX60" s="1388"/>
      <c r="DY60" s="1388"/>
      <c r="DZ60" s="1388"/>
      <c r="EA60" s="1388"/>
      <c r="EB60" s="1388"/>
      <c r="EC60" s="1388"/>
      <c r="ED60" s="1388"/>
      <c r="EE60" s="1388"/>
      <c r="EF60" s="1388"/>
      <c r="EG60" s="1388"/>
      <c r="EH60" s="501"/>
      <c r="EI60" s="117"/>
      <c r="EJ60" s="117"/>
      <c r="EK60" s="117"/>
      <c r="EL60" s="117"/>
      <c r="EM60" s="117"/>
      <c r="EN60" s="117"/>
      <c r="EO60" s="117"/>
      <c r="EP60" s="117"/>
      <c r="EQ60" s="117"/>
      <c r="ER60" s="117"/>
      <c r="ES60" s="117"/>
      <c r="ET60" s="117"/>
      <c r="EU60" s="117"/>
      <c r="EV60" s="117"/>
      <c r="EW60" s="117"/>
      <c r="EX60" s="117"/>
      <c r="EY60" s="117"/>
      <c r="EZ60" s="117"/>
      <c r="FA60" s="117"/>
      <c r="FB60" s="117"/>
      <c r="FC60" s="117"/>
      <c r="FD60" s="117"/>
      <c r="FE60" s="117"/>
      <c r="FF60" s="117"/>
      <c r="FG60" s="117"/>
      <c r="FH60" s="117"/>
      <c r="FI60" s="117"/>
      <c r="FJ60" s="117"/>
      <c r="FK60" s="117"/>
      <c r="JJ60" s="501"/>
      <c r="JK60" s="117"/>
      <c r="JL60" s="117"/>
      <c r="JM60" s="117"/>
      <c r="JN60" s="117"/>
      <c r="JO60" s="117"/>
      <c r="JP60" s="117"/>
      <c r="JQ60" s="117"/>
      <c r="JR60" s="117"/>
      <c r="JS60" s="117"/>
      <c r="JT60" s="117"/>
      <c r="JU60" s="117"/>
      <c r="JV60" s="117"/>
      <c r="JW60" s="117"/>
      <c r="JX60" s="117"/>
      <c r="JY60" s="117"/>
      <c r="JZ60" s="117"/>
      <c r="KA60" s="117"/>
      <c r="KB60" s="117"/>
      <c r="KC60" s="117"/>
      <c r="KD60" s="117"/>
      <c r="KE60" s="117"/>
      <c r="KF60" s="117"/>
      <c r="KG60" s="117"/>
      <c r="KH60" s="117"/>
      <c r="KI60" s="117"/>
      <c r="KJ60" s="117"/>
      <c r="KK60" s="117"/>
      <c r="KL60" s="117"/>
      <c r="KM60" s="117"/>
    </row>
    <row r="61" spans="1:365" s="1380" customFormat="1" ht="28.25" customHeight="1">
      <c r="A61" s="1376">
        <f t="shared" si="1"/>
        <v>1</v>
      </c>
      <c r="B61"/>
      <c r="C61" s="1387" t="s">
        <v>13</v>
      </c>
      <c r="D61" s="1391">
        <f t="shared" ca="1" si="3"/>
        <v>152099111.25525495</v>
      </c>
      <c r="E61"/>
      <c r="F61" s="1390" cm="1">
        <f t="array" aca="1" ref="F61:NA61" ca="1">TRANSPOSE(_xlfn.ANCHORARRAY(mProject!BN9))</f>
        <v>275582.42499999999</v>
      </c>
      <c r="G61" s="1390">
        <f ca="1"/>
        <v>275582.42499999999</v>
      </c>
      <c r="H61" s="1390">
        <f ca="1"/>
        <v>275582.42499999999</v>
      </c>
      <c r="I61" s="1390">
        <f ca="1"/>
        <v>275582.42499999999</v>
      </c>
      <c r="J61" s="1390">
        <f ca="1"/>
        <v>275582.42499999999</v>
      </c>
      <c r="K61" s="1390">
        <f ca="1"/>
        <v>275582.42499999999</v>
      </c>
      <c r="L61" s="1390">
        <f ca="1"/>
        <v>275582.42499999999</v>
      </c>
      <c r="M61" s="1390">
        <f ca="1"/>
        <v>275582.42499999999</v>
      </c>
      <c r="N61" s="1390">
        <f ca="1"/>
        <v>275582.42499999999</v>
      </c>
      <c r="O61" s="1390">
        <f ca="1"/>
        <v>275582.42499999999</v>
      </c>
      <c r="P61" s="1390">
        <f ca="1"/>
        <v>275582.42499999999</v>
      </c>
      <c r="Q61" s="1390">
        <f ca="1"/>
        <v>275582.42499999999</v>
      </c>
      <c r="R61" s="1390">
        <f ca="1"/>
        <v>106335582.425</v>
      </c>
      <c r="S61" s="1390">
        <f ca="1"/>
        <v>285582.42499999999</v>
      </c>
      <c r="T61" s="1390">
        <f ca="1"/>
        <v>285582.42499999999</v>
      </c>
      <c r="U61" s="1390">
        <f ca="1"/>
        <v>285582.42499999999</v>
      </c>
      <c r="V61" s="1390">
        <f ca="1"/>
        <v>285582.42499999999</v>
      </c>
      <c r="W61" s="1390">
        <f ca="1"/>
        <v>285582.42499999999</v>
      </c>
      <c r="X61" s="1390">
        <f ca="1"/>
        <v>285582.42499999999</v>
      </c>
      <c r="Y61" s="1390">
        <f ca="1"/>
        <v>285582.42499999999</v>
      </c>
      <c r="Z61" s="1390">
        <f ca="1"/>
        <v>285582.42499999999</v>
      </c>
      <c r="AA61" s="1390">
        <f ca="1"/>
        <v>285582.42499999999</v>
      </c>
      <c r="AB61" s="1390">
        <f ca="1"/>
        <v>285582.42499999999</v>
      </c>
      <c r="AC61" s="1390">
        <f ca="1"/>
        <v>1239418.5016942744</v>
      </c>
      <c r="AD61" s="1390">
        <f ca="1"/>
        <v>1239418.5016942744</v>
      </c>
      <c r="AE61" s="1390">
        <f ca="1"/>
        <v>1306553.6642650771</v>
      </c>
      <c r="AF61" s="1390">
        <f ca="1"/>
        <v>993142.74336094095</v>
      </c>
      <c r="AG61" s="1390">
        <f ca="1"/>
        <v>993142.74336094095</v>
      </c>
      <c r="AH61" s="1390">
        <f ca="1"/>
        <v>993142.74336094095</v>
      </c>
      <c r="AI61" s="1390">
        <f ca="1"/>
        <v>993142.74336094095</v>
      </c>
      <c r="AJ61" s="1390">
        <f ca="1"/>
        <v>993142.74336094095</v>
      </c>
      <c r="AK61" s="1390">
        <f ca="1"/>
        <v>993142.74336094095</v>
      </c>
      <c r="AL61" s="1390">
        <f ca="1"/>
        <v>993142.74336094095</v>
      </c>
      <c r="AM61" s="1390">
        <f ca="1"/>
        <v>993142.74336094095</v>
      </c>
      <c r="AN61" s="1390">
        <f ca="1"/>
        <v>993142.74336094095</v>
      </c>
      <c r="AO61" s="1390">
        <f ca="1"/>
        <v>993142.74336094095</v>
      </c>
      <c r="AP61" s="1390">
        <f ca="1"/>
        <v>993142.74336094095</v>
      </c>
      <c r="AQ61" s="1390">
        <f ca="1"/>
        <v>993142.74336094095</v>
      </c>
      <c r="AR61" s="1390">
        <f ca="1"/>
        <v>993142.74336094095</v>
      </c>
      <c r="AS61" s="1390">
        <f ca="1"/>
        <v>993142.74336094095</v>
      </c>
      <c r="AT61" s="1390">
        <f ca="1"/>
        <v>993142.74336094095</v>
      </c>
      <c r="AU61" s="1390">
        <f ca="1"/>
        <v>1020164.0150926469</v>
      </c>
      <c r="AV61" s="1390">
        <f ca="1"/>
        <v>522556.4506592371</v>
      </c>
      <c r="AW61" s="1390">
        <f ca="1"/>
        <v>522556.4506592371</v>
      </c>
      <c r="AX61" s="1390">
        <f ca="1"/>
        <v>522556.4506592371</v>
      </c>
      <c r="AY61" s="1390">
        <f ca="1"/>
        <v>522556.4506592371</v>
      </c>
      <c r="AZ61" s="1390">
        <f ca="1"/>
        <v>522556.4506592371</v>
      </c>
      <c r="BA61" s="1390">
        <f ca="1"/>
        <v>2092712.8802605802</v>
      </c>
      <c r="BB61" s="1390">
        <f ca="1"/>
        <v>141108.53878073423</v>
      </c>
      <c r="BC61" s="1390">
        <f ca="1"/>
        <v>141108.53878073423</v>
      </c>
      <c r="BD61" s="1390">
        <f ca="1"/>
        <v>141108.53878073423</v>
      </c>
      <c r="BE61" s="1390">
        <f ca="1"/>
        <v>141108.53878073423</v>
      </c>
      <c r="BF61" s="1390">
        <f ca="1"/>
        <v>141108.53878073423</v>
      </c>
      <c r="BG61" s="1390">
        <f ca="1"/>
        <v>141108.53878073423</v>
      </c>
      <c r="BH61" s="1390">
        <f ca="1"/>
        <v>141108.53878073423</v>
      </c>
      <c r="BI61" s="1390">
        <f ca="1"/>
        <v>141108.53878073423</v>
      </c>
      <c r="BJ61" s="1390">
        <f ca="1"/>
        <v>141108.53878073423</v>
      </c>
      <c r="BK61" s="1390">
        <f ca="1"/>
        <v>141108.53878073423</v>
      </c>
      <c r="BL61" s="1390">
        <f ca="1"/>
        <v>141108.53878073423</v>
      </c>
      <c r="BM61" s="1390">
        <f ca="1"/>
        <v>363335.50923210382</v>
      </c>
      <c r="BN61" s="1390">
        <f ca="1"/>
        <v>363335.50923210382</v>
      </c>
      <c r="BO61" s="1390">
        <f ca="1"/>
        <v>363335.50923210382</v>
      </c>
      <c r="BP61" s="1390">
        <f ca="1"/>
        <v>363335.50923210382</v>
      </c>
      <c r="BQ61" s="1390">
        <f ca="1"/>
        <v>363335.50923210382</v>
      </c>
      <c r="BR61" s="1390">
        <f ca="1"/>
        <v>363335.50923210382</v>
      </c>
      <c r="BS61" s="1390">
        <f ca="1"/>
        <v>363335.50923210382</v>
      </c>
      <c r="BT61" s="1390">
        <f ca="1"/>
        <v>363335.50923210382</v>
      </c>
      <c r="BU61" s="1390">
        <f ca="1"/>
        <v>363335.50923210382</v>
      </c>
      <c r="BV61" s="1390">
        <f ca="1"/>
        <v>363335.50923210382</v>
      </c>
      <c r="BW61" s="1390">
        <f ca="1"/>
        <v>363335.50923210382</v>
      </c>
      <c r="BX61" s="1390">
        <f ca="1"/>
        <v>363335.50923210382</v>
      </c>
      <c r="BY61" s="1390">
        <f ca="1"/>
        <v>330258.99605140625</v>
      </c>
      <c r="BZ61" s="1390">
        <f ca="1"/>
        <v>310834.28600746812</v>
      </c>
      <c r="CA61" s="1390">
        <f ca="1"/>
        <v>256386.97045136962</v>
      </c>
      <c r="CB61" s="1390">
        <f ca="1"/>
        <v>256386.97045136962</v>
      </c>
      <c r="CC61" s="1390">
        <f ca="1"/>
        <v>256386.97045136962</v>
      </c>
      <c r="CD61" s="1390">
        <f ca="1"/>
        <v>256386.97045136962</v>
      </c>
      <c r="CE61" s="1390">
        <f ca="1"/>
        <v>213301.35197750118</v>
      </c>
      <c r="CF61" s="1390">
        <f ca="1"/>
        <v>33606.666666666664</v>
      </c>
      <c r="CG61" s="1390">
        <f ca="1"/>
        <v>33606.666666666664</v>
      </c>
      <c r="CH61" s="1390">
        <f ca="1"/>
        <v>33606.666666666664</v>
      </c>
      <c r="CI61" s="1390">
        <f ca="1"/>
        <v>33606.666666666664</v>
      </c>
      <c r="CJ61" s="1390">
        <f ca="1"/>
        <v>33606.666666666664</v>
      </c>
      <c r="CK61" s="1390">
        <f ca="1"/>
        <v>573145.43263443338</v>
      </c>
      <c r="CL61" s="1390">
        <f ca="1"/>
        <v>573145.43263443338</v>
      </c>
      <c r="CM61" s="1390">
        <f ca="1"/>
        <v>573145.43263443338</v>
      </c>
      <c r="CN61" s="1390">
        <f ca="1"/>
        <v>573145.43263443338</v>
      </c>
      <c r="CO61" s="1390">
        <f ca="1"/>
        <v>573145.43263443338</v>
      </c>
      <c r="CP61" s="1390">
        <f ca="1"/>
        <v>573145.43263443338</v>
      </c>
      <c r="CQ61" s="1390">
        <f ca="1"/>
        <v>573145.43263443338</v>
      </c>
      <c r="CR61" s="1390">
        <f ca="1"/>
        <v>573145.43263443338</v>
      </c>
      <c r="CS61" s="1390">
        <f ca="1"/>
        <v>573145.43263443338</v>
      </c>
      <c r="CT61" s="1390">
        <f ca="1"/>
        <v>573145.43263443338</v>
      </c>
      <c r="CU61" s="1390">
        <f ca="1"/>
        <v>573145.43263443338</v>
      </c>
      <c r="CV61" s="1390">
        <f ca="1"/>
        <v>573145.43263443338</v>
      </c>
      <c r="CW61" s="1390">
        <f ca="1"/>
        <v>354583.43537605717</v>
      </c>
      <c r="CX61" s="1390">
        <f ca="1"/>
        <v>0</v>
      </c>
      <c r="CY61" s="1390">
        <f ca="1"/>
        <v>0</v>
      </c>
      <c r="CZ61" s="1390">
        <f ca="1"/>
        <v>0</v>
      </c>
      <c r="DA61" s="1390">
        <f ca="1"/>
        <v>0</v>
      </c>
      <c r="DB61" s="1390">
        <f ca="1"/>
        <v>0</v>
      </c>
      <c r="DC61" s="1390">
        <f ca="1"/>
        <v>0</v>
      </c>
      <c r="DD61" s="1390">
        <f ca="1"/>
        <v>0</v>
      </c>
      <c r="DE61" s="1390">
        <f ca="1"/>
        <v>0</v>
      </c>
      <c r="DF61" s="1390">
        <f ca="1"/>
        <v>0</v>
      </c>
      <c r="DG61" s="1390">
        <f ca="1"/>
        <v>0</v>
      </c>
      <c r="DH61" s="1390">
        <f ca="1"/>
        <v>0</v>
      </c>
      <c r="DI61" s="1390">
        <f ca="1"/>
        <v>0</v>
      </c>
      <c r="DJ61" s="1390">
        <f ca="1"/>
        <v>0</v>
      </c>
      <c r="DK61" s="1390">
        <f ca="1"/>
        <v>0</v>
      </c>
      <c r="DL61" s="1390">
        <f ca="1"/>
        <v>0</v>
      </c>
      <c r="DM61" s="1390">
        <f ca="1"/>
        <v>0</v>
      </c>
      <c r="DN61" s="1390">
        <f ca="1"/>
        <v>0</v>
      </c>
      <c r="DO61" s="1390">
        <f ca="1"/>
        <v>0</v>
      </c>
      <c r="DP61" s="1390">
        <f ca="1"/>
        <v>0</v>
      </c>
      <c r="DQ61" s="1390">
        <f ca="1"/>
        <v>0</v>
      </c>
      <c r="DR61" s="1390">
        <f ca="1"/>
        <v>0</v>
      </c>
      <c r="DS61" s="1390">
        <f ca="1"/>
        <v>0</v>
      </c>
      <c r="DT61" s="1390">
        <f ca="1"/>
        <v>0</v>
      </c>
      <c r="DU61" s="1390">
        <f ca="1"/>
        <v>0</v>
      </c>
      <c r="DV61" s="1390">
        <f ca="1"/>
        <v>0</v>
      </c>
      <c r="DW61" s="1390">
        <f ca="1"/>
        <v>0</v>
      </c>
      <c r="DX61" s="1390">
        <f ca="1"/>
        <v>0</v>
      </c>
      <c r="DY61" s="1390">
        <f ca="1"/>
        <v>0</v>
      </c>
      <c r="DZ61" s="1390">
        <f ca="1"/>
        <v>0</v>
      </c>
      <c r="EA61" s="1390">
        <f ca="1"/>
        <v>0</v>
      </c>
      <c r="EB61" s="1390">
        <f ca="1"/>
        <v>0</v>
      </c>
      <c r="EC61" s="1390">
        <f ca="1"/>
        <v>0</v>
      </c>
      <c r="ED61" s="1390">
        <f ca="1"/>
        <v>0</v>
      </c>
      <c r="EE61" s="1390">
        <f ca="1"/>
        <v>0</v>
      </c>
      <c r="EF61" s="1390">
        <f ca="1"/>
        <v>0</v>
      </c>
      <c r="EG61" s="1390">
        <f ca="1"/>
        <v>0</v>
      </c>
      <c r="EH61" s="1378">
        <f ca="1"/>
        <v>0</v>
      </c>
      <c r="EI61" s="1379">
        <f ca="1"/>
        <v>0</v>
      </c>
      <c r="EJ61" s="1379">
        <f ca="1"/>
        <v>0</v>
      </c>
      <c r="EK61" s="1379">
        <f ca="1"/>
        <v>0</v>
      </c>
      <c r="EL61" s="1379">
        <f ca="1"/>
        <v>0</v>
      </c>
      <c r="EM61" s="1379">
        <f ca="1"/>
        <v>0</v>
      </c>
      <c r="EN61" s="1379">
        <f ca="1"/>
        <v>0</v>
      </c>
      <c r="EO61" s="1379">
        <f ca="1"/>
        <v>0</v>
      </c>
      <c r="EP61" s="1379">
        <f ca="1"/>
        <v>0</v>
      </c>
      <c r="EQ61" s="1379">
        <f ca="1"/>
        <v>0</v>
      </c>
      <c r="ER61" s="1379">
        <f ca="1"/>
        <v>0</v>
      </c>
      <c r="ES61" s="1379">
        <f ca="1"/>
        <v>0</v>
      </c>
      <c r="ET61" s="1379">
        <f ca="1"/>
        <v>0</v>
      </c>
      <c r="EU61" s="1379">
        <f ca="1"/>
        <v>0</v>
      </c>
      <c r="EV61" s="1379">
        <f ca="1"/>
        <v>0</v>
      </c>
      <c r="EW61" s="1379">
        <f ca="1"/>
        <v>0</v>
      </c>
      <c r="EX61" s="1379">
        <f ca="1"/>
        <v>0</v>
      </c>
      <c r="EY61" s="1379">
        <f ca="1"/>
        <v>0</v>
      </c>
      <c r="EZ61" s="1379">
        <f ca="1"/>
        <v>0</v>
      </c>
      <c r="FA61" s="1379">
        <f ca="1"/>
        <v>0</v>
      </c>
      <c r="FB61" s="1379">
        <f ca="1"/>
        <v>0</v>
      </c>
      <c r="FC61" s="1379">
        <f ca="1"/>
        <v>0</v>
      </c>
      <c r="FD61" s="1379">
        <f ca="1"/>
        <v>0</v>
      </c>
      <c r="FE61" s="1379">
        <f ca="1"/>
        <v>0</v>
      </c>
      <c r="FF61" s="1379">
        <f ca="1"/>
        <v>0</v>
      </c>
      <c r="FG61" s="1379">
        <f ca="1"/>
        <v>0</v>
      </c>
      <c r="FH61" s="1379">
        <f ca="1"/>
        <v>0</v>
      </c>
      <c r="FI61" s="1379">
        <f ca="1"/>
        <v>0</v>
      </c>
      <c r="FJ61" s="1379">
        <f ca="1"/>
        <v>0</v>
      </c>
      <c r="FK61" s="1379">
        <f ca="1"/>
        <v>0</v>
      </c>
      <c r="FL61" s="1380">
        <f ca="1"/>
        <v>0</v>
      </c>
      <c r="FM61" s="1380">
        <f ca="1"/>
        <v>0</v>
      </c>
      <c r="FN61" s="1380">
        <f ca="1"/>
        <v>0</v>
      </c>
      <c r="FO61" s="1380">
        <f ca="1"/>
        <v>0</v>
      </c>
      <c r="FP61" s="1380">
        <f ca="1"/>
        <v>0</v>
      </c>
      <c r="FQ61" s="1380">
        <f ca="1"/>
        <v>0</v>
      </c>
      <c r="FR61" s="1380">
        <f ca="1"/>
        <v>0</v>
      </c>
      <c r="FS61" s="1380">
        <f ca="1"/>
        <v>0</v>
      </c>
      <c r="FT61" s="1380">
        <f ca="1"/>
        <v>0</v>
      </c>
      <c r="FU61" s="1380">
        <f ca="1"/>
        <v>0</v>
      </c>
      <c r="FV61" s="1380">
        <f ca="1"/>
        <v>0</v>
      </c>
      <c r="FW61" s="1380">
        <f ca="1"/>
        <v>0</v>
      </c>
      <c r="FX61" s="1380">
        <f ca="1"/>
        <v>0</v>
      </c>
      <c r="FY61" s="1380">
        <f ca="1"/>
        <v>0</v>
      </c>
      <c r="FZ61" s="1380">
        <f ca="1"/>
        <v>0</v>
      </c>
      <c r="GA61" s="1380">
        <f ca="1"/>
        <v>0</v>
      </c>
      <c r="GB61" s="1380">
        <f ca="1"/>
        <v>0</v>
      </c>
      <c r="GC61" s="1380">
        <f ca="1"/>
        <v>0</v>
      </c>
      <c r="GD61" s="1380">
        <f ca="1"/>
        <v>0</v>
      </c>
      <c r="GE61" s="1380">
        <f ca="1"/>
        <v>0</v>
      </c>
      <c r="GF61" s="1380">
        <f ca="1"/>
        <v>0</v>
      </c>
      <c r="GG61" s="1380">
        <f ca="1"/>
        <v>0</v>
      </c>
      <c r="GH61" s="1380">
        <f ca="1"/>
        <v>0</v>
      </c>
      <c r="GI61" s="1380">
        <f ca="1"/>
        <v>0</v>
      </c>
      <c r="GJ61" s="1380">
        <f ca="1"/>
        <v>0</v>
      </c>
      <c r="GK61" s="1380">
        <f ca="1"/>
        <v>0</v>
      </c>
      <c r="GL61" s="1380">
        <f ca="1"/>
        <v>0</v>
      </c>
      <c r="GM61" s="1380">
        <f ca="1"/>
        <v>0</v>
      </c>
      <c r="GN61" s="1380">
        <f ca="1"/>
        <v>0</v>
      </c>
      <c r="GO61" s="1380">
        <f ca="1"/>
        <v>0</v>
      </c>
      <c r="GP61" s="1380">
        <f ca="1"/>
        <v>0</v>
      </c>
      <c r="GQ61" s="1380">
        <f ca="1"/>
        <v>0</v>
      </c>
      <c r="GR61" s="1380">
        <f ca="1"/>
        <v>0</v>
      </c>
      <c r="GS61" s="1380">
        <f ca="1"/>
        <v>0</v>
      </c>
      <c r="GT61" s="1380">
        <f ca="1"/>
        <v>0</v>
      </c>
      <c r="GU61" s="1380">
        <f ca="1"/>
        <v>0</v>
      </c>
      <c r="GV61" s="1380">
        <f ca="1"/>
        <v>0</v>
      </c>
      <c r="GW61" s="1380">
        <f ca="1"/>
        <v>0</v>
      </c>
      <c r="GX61" s="1380">
        <f ca="1"/>
        <v>0</v>
      </c>
      <c r="GY61" s="1380">
        <f ca="1"/>
        <v>0</v>
      </c>
      <c r="GZ61" s="1380">
        <f ca="1"/>
        <v>0</v>
      </c>
      <c r="HA61" s="1380">
        <f ca="1"/>
        <v>0</v>
      </c>
      <c r="HB61" s="1380">
        <f ca="1"/>
        <v>0</v>
      </c>
      <c r="HC61" s="1380">
        <f ca="1"/>
        <v>0</v>
      </c>
      <c r="HD61" s="1380">
        <f ca="1"/>
        <v>0</v>
      </c>
      <c r="HE61" s="1380">
        <f ca="1"/>
        <v>0</v>
      </c>
      <c r="HF61" s="1380">
        <f ca="1"/>
        <v>0</v>
      </c>
      <c r="HG61" s="1380">
        <f ca="1"/>
        <v>0</v>
      </c>
      <c r="HH61" s="1380">
        <f ca="1"/>
        <v>0</v>
      </c>
      <c r="HI61" s="1380">
        <f ca="1"/>
        <v>0</v>
      </c>
      <c r="HJ61" s="1380">
        <f ca="1"/>
        <v>0</v>
      </c>
      <c r="HK61" s="1380">
        <f ca="1"/>
        <v>0</v>
      </c>
      <c r="HL61" s="1380">
        <f ca="1"/>
        <v>0</v>
      </c>
      <c r="HM61" s="1380">
        <f ca="1"/>
        <v>0</v>
      </c>
      <c r="HN61" s="1380">
        <f ca="1"/>
        <v>0</v>
      </c>
      <c r="HO61" s="1380">
        <f ca="1"/>
        <v>0</v>
      </c>
      <c r="HP61" s="1380">
        <f ca="1"/>
        <v>0</v>
      </c>
      <c r="HQ61" s="1380">
        <f ca="1"/>
        <v>0</v>
      </c>
      <c r="HR61" s="1380">
        <f ca="1"/>
        <v>0</v>
      </c>
      <c r="HS61" s="1380">
        <f ca="1"/>
        <v>0</v>
      </c>
      <c r="HT61" s="1380">
        <f ca="1"/>
        <v>0</v>
      </c>
      <c r="HU61" s="1380">
        <f ca="1"/>
        <v>0</v>
      </c>
      <c r="HV61" s="1380">
        <f ca="1"/>
        <v>0</v>
      </c>
      <c r="HW61" s="1380">
        <f ca="1"/>
        <v>0</v>
      </c>
      <c r="HX61" s="1380">
        <f ca="1"/>
        <v>0</v>
      </c>
      <c r="HY61" s="1380">
        <f ca="1"/>
        <v>0</v>
      </c>
      <c r="HZ61" s="1380">
        <f ca="1"/>
        <v>0</v>
      </c>
      <c r="IA61" s="1380">
        <f ca="1"/>
        <v>0</v>
      </c>
      <c r="IB61" s="1380">
        <f ca="1"/>
        <v>0</v>
      </c>
      <c r="IC61" s="1380">
        <f ca="1"/>
        <v>0</v>
      </c>
      <c r="ID61" s="1380">
        <f ca="1"/>
        <v>0</v>
      </c>
      <c r="IE61" s="1380">
        <f ca="1"/>
        <v>0</v>
      </c>
      <c r="IF61" s="1380">
        <f ca="1"/>
        <v>0</v>
      </c>
      <c r="IG61" s="1380">
        <f ca="1"/>
        <v>0</v>
      </c>
      <c r="IH61" s="1380">
        <f ca="1"/>
        <v>0</v>
      </c>
      <c r="II61" s="1380">
        <f ca="1"/>
        <v>0</v>
      </c>
      <c r="IJ61" s="1380">
        <f ca="1"/>
        <v>0</v>
      </c>
      <c r="IK61" s="1380">
        <f ca="1"/>
        <v>0</v>
      </c>
      <c r="IL61" s="1380">
        <f ca="1"/>
        <v>0</v>
      </c>
      <c r="IM61" s="1380">
        <f ca="1"/>
        <v>0</v>
      </c>
      <c r="IN61" s="1380">
        <f ca="1"/>
        <v>0</v>
      </c>
      <c r="IO61" s="1380">
        <f ca="1"/>
        <v>0</v>
      </c>
      <c r="IP61" s="1380">
        <f ca="1"/>
        <v>0</v>
      </c>
      <c r="IQ61" s="1380">
        <f ca="1"/>
        <v>0</v>
      </c>
      <c r="IR61" s="1380">
        <f ca="1"/>
        <v>0</v>
      </c>
      <c r="IS61" s="1380">
        <f ca="1"/>
        <v>0</v>
      </c>
      <c r="IT61" s="1380">
        <f ca="1"/>
        <v>0</v>
      </c>
      <c r="IU61" s="1380">
        <f ca="1"/>
        <v>0</v>
      </c>
      <c r="IV61" s="1380">
        <f ca="1"/>
        <v>0</v>
      </c>
      <c r="IW61" s="1380">
        <f ca="1"/>
        <v>0</v>
      </c>
      <c r="IX61" s="1380">
        <f ca="1"/>
        <v>0</v>
      </c>
      <c r="IY61" s="1380">
        <f ca="1"/>
        <v>0</v>
      </c>
      <c r="IZ61" s="1380">
        <f ca="1"/>
        <v>0</v>
      </c>
      <c r="JA61" s="1380">
        <f ca="1"/>
        <v>0</v>
      </c>
      <c r="JB61" s="1380">
        <f ca="1"/>
        <v>0</v>
      </c>
      <c r="JC61" s="1380">
        <f ca="1"/>
        <v>0</v>
      </c>
      <c r="JD61" s="1380">
        <f ca="1"/>
        <v>0</v>
      </c>
      <c r="JE61" s="1380">
        <f ca="1"/>
        <v>0</v>
      </c>
      <c r="JF61" s="1380">
        <f ca="1"/>
        <v>0</v>
      </c>
      <c r="JG61" s="1380">
        <f ca="1"/>
        <v>0</v>
      </c>
      <c r="JH61" s="1380">
        <f ca="1"/>
        <v>0</v>
      </c>
      <c r="JI61" s="1380">
        <f ca="1"/>
        <v>0</v>
      </c>
      <c r="JJ61" s="1378">
        <f ca="1"/>
        <v>0</v>
      </c>
      <c r="JK61" s="1379">
        <f ca="1"/>
        <v>0</v>
      </c>
      <c r="JL61" s="1379">
        <f ca="1"/>
        <v>0</v>
      </c>
      <c r="JM61" s="1379">
        <f ca="1"/>
        <v>0</v>
      </c>
      <c r="JN61" s="1379">
        <f ca="1"/>
        <v>0</v>
      </c>
      <c r="JO61" s="1379">
        <f ca="1"/>
        <v>0</v>
      </c>
      <c r="JP61" s="1379">
        <f ca="1"/>
        <v>0</v>
      </c>
      <c r="JQ61" s="1379">
        <f ca="1"/>
        <v>0</v>
      </c>
      <c r="JR61" s="1379">
        <f ca="1"/>
        <v>0</v>
      </c>
      <c r="JS61" s="1379">
        <f ca="1"/>
        <v>0</v>
      </c>
      <c r="JT61" s="1379">
        <f ca="1"/>
        <v>0</v>
      </c>
      <c r="JU61" s="1379">
        <f ca="1"/>
        <v>0</v>
      </c>
      <c r="JV61" s="1379">
        <f ca="1"/>
        <v>0</v>
      </c>
      <c r="JW61" s="1379">
        <f ca="1"/>
        <v>0</v>
      </c>
      <c r="JX61" s="1379">
        <f ca="1"/>
        <v>0</v>
      </c>
      <c r="JY61" s="1379">
        <f ca="1"/>
        <v>0</v>
      </c>
      <c r="JZ61" s="1379">
        <f ca="1"/>
        <v>0</v>
      </c>
      <c r="KA61" s="1379">
        <f ca="1"/>
        <v>0</v>
      </c>
      <c r="KB61" s="1379">
        <f ca="1"/>
        <v>0</v>
      </c>
      <c r="KC61" s="1379">
        <f ca="1"/>
        <v>0</v>
      </c>
      <c r="KD61" s="1379">
        <f ca="1"/>
        <v>0</v>
      </c>
      <c r="KE61" s="1379">
        <f ca="1"/>
        <v>0</v>
      </c>
      <c r="KF61" s="1379">
        <f ca="1"/>
        <v>0</v>
      </c>
      <c r="KG61" s="1379">
        <f ca="1"/>
        <v>0</v>
      </c>
      <c r="KH61" s="1379">
        <f ca="1"/>
        <v>0</v>
      </c>
      <c r="KI61" s="1379">
        <f ca="1"/>
        <v>0</v>
      </c>
      <c r="KJ61" s="1379">
        <f ca="1"/>
        <v>0</v>
      </c>
      <c r="KK61" s="1379">
        <f ca="1"/>
        <v>0</v>
      </c>
      <c r="KL61" s="1379">
        <f ca="1"/>
        <v>0</v>
      </c>
      <c r="KM61" s="1379">
        <f ca="1"/>
        <v>0</v>
      </c>
      <c r="KN61" s="1380">
        <f ca="1"/>
        <v>0</v>
      </c>
      <c r="KO61" s="1380">
        <f ca="1"/>
        <v>0</v>
      </c>
      <c r="KP61" s="1380">
        <f ca="1"/>
        <v>0</v>
      </c>
      <c r="KQ61" s="1380">
        <f ca="1"/>
        <v>0</v>
      </c>
      <c r="KR61" s="1380">
        <f ca="1"/>
        <v>0</v>
      </c>
      <c r="KS61" s="1380">
        <f ca="1"/>
        <v>0</v>
      </c>
      <c r="KT61" s="1380">
        <f ca="1"/>
        <v>0</v>
      </c>
      <c r="KU61" s="1380">
        <f ca="1"/>
        <v>0</v>
      </c>
      <c r="KV61" s="1380">
        <f ca="1"/>
        <v>0</v>
      </c>
      <c r="KW61" s="1380">
        <f ca="1"/>
        <v>0</v>
      </c>
      <c r="KX61" s="1380">
        <f ca="1"/>
        <v>0</v>
      </c>
      <c r="KY61" s="1380">
        <f ca="1"/>
        <v>0</v>
      </c>
      <c r="KZ61" s="1380">
        <f ca="1"/>
        <v>0</v>
      </c>
      <c r="LA61" s="1380">
        <f ca="1"/>
        <v>0</v>
      </c>
      <c r="LB61" s="1380">
        <f ca="1"/>
        <v>0</v>
      </c>
      <c r="LC61" s="1380">
        <f ca="1"/>
        <v>0</v>
      </c>
      <c r="LD61" s="1380">
        <f ca="1"/>
        <v>0</v>
      </c>
      <c r="LE61" s="1380">
        <f ca="1"/>
        <v>0</v>
      </c>
      <c r="LF61" s="1380">
        <f ca="1"/>
        <v>0</v>
      </c>
      <c r="LG61" s="1380">
        <f ca="1"/>
        <v>0</v>
      </c>
      <c r="LH61" s="1380">
        <f ca="1"/>
        <v>0</v>
      </c>
      <c r="LI61" s="1380">
        <f ca="1"/>
        <v>0</v>
      </c>
      <c r="LJ61" s="1380">
        <f ca="1"/>
        <v>0</v>
      </c>
      <c r="LK61" s="1380">
        <f ca="1"/>
        <v>0</v>
      </c>
      <c r="LL61" s="1380">
        <f ca="1"/>
        <v>0</v>
      </c>
      <c r="LM61" s="1380">
        <f ca="1"/>
        <v>0</v>
      </c>
      <c r="LN61" s="1380">
        <f ca="1"/>
        <v>0</v>
      </c>
      <c r="LO61" s="1380">
        <f ca="1"/>
        <v>0</v>
      </c>
      <c r="LP61" s="1380">
        <f ca="1"/>
        <v>0</v>
      </c>
      <c r="LQ61" s="1380">
        <f ca="1"/>
        <v>0</v>
      </c>
      <c r="LR61" s="1380">
        <f ca="1"/>
        <v>0</v>
      </c>
      <c r="LS61" s="1380">
        <f ca="1"/>
        <v>0</v>
      </c>
      <c r="LT61" s="1380">
        <f ca="1"/>
        <v>0</v>
      </c>
      <c r="LU61" s="1380">
        <f ca="1"/>
        <v>0</v>
      </c>
      <c r="LV61" s="1380">
        <f ca="1"/>
        <v>0</v>
      </c>
      <c r="LW61" s="1380">
        <f ca="1"/>
        <v>0</v>
      </c>
      <c r="LX61" s="1380">
        <f ca="1"/>
        <v>0</v>
      </c>
      <c r="LY61" s="1380">
        <f ca="1"/>
        <v>0</v>
      </c>
      <c r="LZ61" s="1380">
        <f ca="1"/>
        <v>0</v>
      </c>
      <c r="MA61" s="1380">
        <f ca="1"/>
        <v>0</v>
      </c>
      <c r="MB61" s="1380">
        <f ca="1"/>
        <v>0</v>
      </c>
      <c r="MC61" s="1380">
        <f ca="1"/>
        <v>0</v>
      </c>
      <c r="MD61" s="1380">
        <f ca="1"/>
        <v>0</v>
      </c>
      <c r="ME61" s="1380">
        <f ca="1"/>
        <v>0</v>
      </c>
      <c r="MF61" s="1380">
        <f ca="1"/>
        <v>0</v>
      </c>
      <c r="MG61" s="1380">
        <f ca="1"/>
        <v>0</v>
      </c>
      <c r="MH61" s="1380">
        <f ca="1"/>
        <v>0</v>
      </c>
      <c r="MI61" s="1380">
        <f ca="1"/>
        <v>0</v>
      </c>
      <c r="MJ61" s="1380">
        <f ca="1"/>
        <v>0</v>
      </c>
      <c r="MK61" s="1380">
        <f ca="1"/>
        <v>0</v>
      </c>
      <c r="ML61" s="1380">
        <f ca="1"/>
        <v>0</v>
      </c>
      <c r="MM61" s="1380">
        <f ca="1"/>
        <v>0</v>
      </c>
      <c r="MN61" s="1380">
        <f ca="1"/>
        <v>0</v>
      </c>
      <c r="MO61" s="1380">
        <f ca="1"/>
        <v>0</v>
      </c>
      <c r="MP61" s="1380">
        <f ca="1"/>
        <v>0</v>
      </c>
      <c r="MQ61" s="1380">
        <f ca="1"/>
        <v>0</v>
      </c>
      <c r="MR61" s="1380">
        <f ca="1"/>
        <v>0</v>
      </c>
      <c r="MS61" s="1380">
        <f ca="1"/>
        <v>0</v>
      </c>
      <c r="MT61" s="1380">
        <f ca="1"/>
        <v>0</v>
      </c>
      <c r="MU61" s="1380">
        <f ca="1"/>
        <v>0</v>
      </c>
      <c r="MV61" s="1380">
        <f ca="1"/>
        <v>0</v>
      </c>
      <c r="MW61" s="1380">
        <f ca="1"/>
        <v>0</v>
      </c>
      <c r="MX61" s="1380">
        <f ca="1"/>
        <v>0</v>
      </c>
      <c r="MY61" s="1380">
        <f ca="1"/>
        <v>0</v>
      </c>
      <c r="MZ61" s="1380">
        <f ca="1"/>
        <v>0</v>
      </c>
      <c r="NA61" s="1380">
        <f ca="1"/>
        <v>0</v>
      </c>
    </row>
    <row r="62" spans="1:365" s="114" customFormat="1" ht="22.5" customHeight="1">
      <c r="A62" s="506">
        <v>1</v>
      </c>
      <c r="B62"/>
      <c r="C62"/>
      <c r="D62" s="1375"/>
      <c r="E62"/>
      <c r="F62" s="1389"/>
      <c r="G62" s="1388"/>
      <c r="H62" s="1388"/>
      <c r="I62" s="1388"/>
      <c r="J62" s="1388"/>
      <c r="K62" s="1388"/>
      <c r="L62" s="1388"/>
      <c r="M62" s="1388"/>
      <c r="N62" s="1388"/>
      <c r="O62" s="1388"/>
      <c r="P62" s="1388"/>
      <c r="Q62" s="1388"/>
      <c r="R62" s="1388"/>
      <c r="S62" s="1388"/>
      <c r="T62" s="1388"/>
      <c r="U62" s="1388"/>
      <c r="V62" s="1388"/>
      <c r="W62" s="1388"/>
      <c r="X62" s="1388"/>
      <c r="Y62" s="1388"/>
      <c r="Z62" s="1388"/>
      <c r="AA62" s="1388"/>
      <c r="AB62" s="1388"/>
      <c r="AC62" s="1388"/>
      <c r="AD62" s="1388"/>
      <c r="AE62" s="1388"/>
      <c r="AF62" s="1388"/>
      <c r="AG62" s="1388"/>
      <c r="AH62" s="1388"/>
      <c r="AI62" s="1388"/>
      <c r="AJ62" s="1388"/>
      <c r="AK62" s="1388"/>
      <c r="AL62" s="1388"/>
      <c r="AM62" s="1388"/>
      <c r="AN62" s="1388"/>
      <c r="AO62" s="1388"/>
      <c r="AP62" s="1388"/>
      <c r="AQ62" s="1388"/>
      <c r="AR62" s="1388"/>
      <c r="AS62" s="1388"/>
      <c r="AT62" s="1388"/>
      <c r="AU62" s="1388"/>
      <c r="AV62" s="1388"/>
      <c r="AW62" s="1388"/>
      <c r="AX62" s="1388"/>
      <c r="AY62" s="1388"/>
      <c r="AZ62" s="1388"/>
      <c r="BA62" s="1388"/>
      <c r="BB62" s="1388"/>
      <c r="BC62" s="1388"/>
      <c r="BD62" s="1388"/>
      <c r="BE62" s="1388"/>
      <c r="BF62" s="1388"/>
      <c r="BG62" s="1388"/>
      <c r="BH62" s="1388"/>
      <c r="BI62" s="1388"/>
      <c r="BJ62" s="1388"/>
      <c r="BK62" s="1388"/>
      <c r="BL62" s="1388"/>
      <c r="BM62" s="1388"/>
      <c r="BN62" s="1388"/>
      <c r="BO62" s="1388"/>
      <c r="BP62" s="1388"/>
      <c r="BQ62" s="1388"/>
      <c r="BR62" s="1388"/>
      <c r="BS62" s="1388"/>
      <c r="BT62" s="1388"/>
      <c r="BU62" s="1388"/>
      <c r="BV62" s="1388"/>
      <c r="BW62" s="1388"/>
      <c r="BX62" s="1388"/>
      <c r="BY62" s="1388"/>
      <c r="BZ62" s="1388"/>
      <c r="CA62" s="1388"/>
      <c r="CB62" s="1388"/>
      <c r="CC62" s="1388"/>
      <c r="CD62" s="1388"/>
      <c r="CE62" s="1388"/>
      <c r="CF62" s="1388"/>
      <c r="CG62" s="1388"/>
      <c r="CH62" s="1388"/>
      <c r="CI62" s="1388"/>
      <c r="CJ62" s="1388"/>
      <c r="CK62" s="1388"/>
      <c r="CL62" s="1388"/>
      <c r="CM62" s="1388"/>
      <c r="CN62" s="1388"/>
      <c r="CO62" s="1388"/>
      <c r="CP62" s="1388"/>
      <c r="CQ62" s="1388"/>
      <c r="CR62" s="1388"/>
      <c r="CS62" s="1388"/>
      <c r="CT62" s="1388"/>
      <c r="CU62" s="1388"/>
      <c r="CV62" s="1388"/>
      <c r="CW62" s="1388"/>
      <c r="CX62" s="1388"/>
      <c r="CY62" s="1388"/>
      <c r="CZ62" s="1388"/>
      <c r="DA62" s="1388"/>
      <c r="DB62" s="1388"/>
      <c r="DC62" s="1388"/>
      <c r="DD62" s="1388"/>
      <c r="DE62" s="1388"/>
      <c r="DF62" s="1388"/>
      <c r="DG62" s="1388"/>
      <c r="DH62" s="1388"/>
      <c r="DI62" s="1388"/>
      <c r="DJ62" s="1388"/>
      <c r="DK62" s="1388"/>
      <c r="DL62" s="1388"/>
      <c r="DM62" s="1388"/>
      <c r="DN62" s="1388"/>
      <c r="DO62" s="1388"/>
      <c r="DP62" s="1388"/>
      <c r="DQ62" s="1388"/>
      <c r="DR62" s="1388"/>
      <c r="DS62" s="1388"/>
      <c r="DT62" s="1388"/>
      <c r="DU62" s="1388"/>
      <c r="DV62" s="1388"/>
      <c r="DW62" s="1388"/>
      <c r="DX62" s="1388"/>
      <c r="DY62" s="1388"/>
      <c r="DZ62" s="1388"/>
      <c r="EA62" s="1388"/>
      <c r="EB62" s="1388"/>
      <c r="EC62" s="1388"/>
      <c r="ED62" s="1388"/>
      <c r="EE62" s="1388"/>
      <c r="EF62" s="1388"/>
      <c r="EG62" s="1388"/>
      <c r="EH62" s="501"/>
      <c r="EI62" s="117"/>
      <c r="EJ62" s="117"/>
      <c r="EK62" s="117"/>
      <c r="EL62" s="117"/>
      <c r="EM62" s="117"/>
      <c r="EN62" s="117"/>
      <c r="EO62" s="117"/>
      <c r="EP62" s="117"/>
      <c r="EQ62" s="117"/>
      <c r="ER62" s="117"/>
      <c r="ES62" s="117"/>
      <c r="ET62" s="117"/>
      <c r="EU62" s="117"/>
      <c r="EV62" s="117"/>
      <c r="EW62" s="117"/>
      <c r="EX62" s="117"/>
      <c r="EY62" s="117"/>
      <c r="EZ62" s="117"/>
      <c r="FA62" s="117"/>
      <c r="FB62" s="117"/>
      <c r="FC62" s="117"/>
      <c r="FD62" s="117"/>
      <c r="FE62" s="117"/>
      <c r="FF62" s="117"/>
      <c r="FG62" s="117"/>
      <c r="FH62" s="117"/>
      <c r="FI62" s="117"/>
      <c r="FJ62" s="117"/>
      <c r="FK62" s="117"/>
      <c r="JJ62" s="501"/>
      <c r="JK62" s="117"/>
      <c r="JL62" s="117"/>
      <c r="JM62" s="117"/>
      <c r="JN62" s="117"/>
      <c r="JO62" s="117"/>
      <c r="JP62" s="117"/>
      <c r="JQ62" s="117"/>
      <c r="JR62" s="117"/>
      <c r="JS62" s="117"/>
      <c r="JT62" s="117"/>
      <c r="JU62" s="117"/>
      <c r="JV62" s="117"/>
      <c r="JW62" s="117"/>
      <c r="JX62" s="117"/>
      <c r="JY62" s="117"/>
      <c r="JZ62" s="117"/>
      <c r="KA62" s="117"/>
      <c r="KB62" s="117"/>
      <c r="KC62" s="117"/>
      <c r="KD62" s="117"/>
      <c r="KE62" s="117"/>
      <c r="KF62" s="117"/>
      <c r="KG62" s="117"/>
      <c r="KH62" s="117"/>
      <c r="KI62" s="117"/>
      <c r="KJ62" s="117"/>
      <c r="KK62" s="117"/>
      <c r="KL62" s="117"/>
      <c r="KM62" s="117"/>
    </row>
    <row r="63" spans="1:365" s="114" customFormat="1" ht="22.5" customHeight="1">
      <c r="A63" s="506">
        <f t="shared" si="1"/>
        <v>1</v>
      </c>
      <c r="B63"/>
      <c r="C63" s="447" t="s">
        <v>264</v>
      </c>
      <c r="D63" s="1391">
        <f ca="1">SUM(_xlfn.ANCHORARRAY(F63))</f>
        <v>176446196.45614529</v>
      </c>
      <c r="E63"/>
      <c r="F63" s="1390" cm="1">
        <f t="array" aca="1" ref="F63:NA63" ca="1">TRANSPOSE(_xlfn.ANCHORARRAY(mProject!BP9))</f>
        <v>-275582.42499999999</v>
      </c>
      <c r="G63" s="1406">
        <f ca="1"/>
        <v>-275582.42499999999</v>
      </c>
      <c r="H63" s="1406">
        <f ca="1"/>
        <v>-275582.42499999999</v>
      </c>
      <c r="I63" s="1406">
        <f ca="1"/>
        <v>-275582.42499999999</v>
      </c>
      <c r="J63" s="1406">
        <f ca="1"/>
        <v>-275582.42499999999</v>
      </c>
      <c r="K63" s="1406">
        <f ca="1"/>
        <v>-275582.42499999999</v>
      </c>
      <c r="L63" s="1406">
        <f ca="1"/>
        <v>-275582.42499999999</v>
      </c>
      <c r="M63" s="1406">
        <f ca="1"/>
        <v>-275582.42499999999</v>
      </c>
      <c r="N63" s="1406">
        <f ca="1"/>
        <v>-275582.42499999999</v>
      </c>
      <c r="O63" s="1406">
        <f ca="1"/>
        <v>-275582.42499999999</v>
      </c>
      <c r="P63" s="1406">
        <f ca="1"/>
        <v>-275582.42499999999</v>
      </c>
      <c r="Q63" s="1406">
        <f ca="1"/>
        <v>-275582.42499999999</v>
      </c>
      <c r="R63" s="1406">
        <f ca="1"/>
        <v>-106335582.425</v>
      </c>
      <c r="S63" s="1406">
        <f ca="1"/>
        <v>-285582.42499999999</v>
      </c>
      <c r="T63" s="1406">
        <f ca="1"/>
        <v>-285582.42499999999</v>
      </c>
      <c r="U63" s="1406">
        <f ca="1"/>
        <v>-285582.42499999999</v>
      </c>
      <c r="V63" s="1406">
        <f ca="1"/>
        <v>-285582.42499999999</v>
      </c>
      <c r="W63" s="1406">
        <f ca="1"/>
        <v>-285582.42499999999</v>
      </c>
      <c r="X63" s="1406">
        <f ca="1"/>
        <v>-285582.42499999999</v>
      </c>
      <c r="Y63" s="1406">
        <f ca="1"/>
        <v>-285582.42499999999</v>
      </c>
      <c r="Z63" s="1406">
        <f ca="1"/>
        <v>-285582.42499999999</v>
      </c>
      <c r="AA63" s="1406">
        <f ca="1"/>
        <v>-285582.42499999999</v>
      </c>
      <c r="AB63" s="1406">
        <f ca="1"/>
        <v>-285582.42499999999</v>
      </c>
      <c r="AC63" s="1406">
        <f ca="1"/>
        <v>-1239418.5016942744</v>
      </c>
      <c r="AD63" s="1406">
        <f ca="1"/>
        <v>-1239418.5016942744</v>
      </c>
      <c r="AE63" s="1406">
        <f ca="1"/>
        <v>28780894.742531989</v>
      </c>
      <c r="AF63" s="1406">
        <f ca="1"/>
        <v>-993142.74336094095</v>
      </c>
      <c r="AG63" s="1406">
        <f ca="1"/>
        <v>-993142.74336094095</v>
      </c>
      <c r="AH63" s="1406">
        <f ca="1"/>
        <v>-993142.74336094095</v>
      </c>
      <c r="AI63" s="1406">
        <f ca="1"/>
        <v>-993142.74336094095</v>
      </c>
      <c r="AJ63" s="1406">
        <f ca="1"/>
        <v>-993142.74336094095</v>
      </c>
      <c r="AK63" s="1406">
        <f ca="1"/>
        <v>-993142.74336094095</v>
      </c>
      <c r="AL63" s="1406">
        <f ca="1"/>
        <v>-993142.74336094095</v>
      </c>
      <c r="AM63" s="1406">
        <f ca="1"/>
        <v>-993142.74336094095</v>
      </c>
      <c r="AN63" s="1406">
        <f ca="1"/>
        <v>-993142.74336094095</v>
      </c>
      <c r="AO63" s="1406">
        <f ca="1"/>
        <v>-993142.74336094095</v>
      </c>
      <c r="AP63" s="1406">
        <f ca="1"/>
        <v>-993142.74336094095</v>
      </c>
      <c r="AQ63" s="1406">
        <f ca="1"/>
        <v>-993142.74336094095</v>
      </c>
      <c r="AR63" s="1406">
        <f ca="1"/>
        <v>-993142.74336094095</v>
      </c>
      <c r="AS63" s="1406">
        <f ca="1"/>
        <v>-993142.74336094095</v>
      </c>
      <c r="AT63" s="1406">
        <f ca="1"/>
        <v>-993142.74336094095</v>
      </c>
      <c r="AU63" s="1406">
        <f ca="1"/>
        <v>46750162.17051471</v>
      </c>
      <c r="AV63" s="1406">
        <f ca="1"/>
        <v>-522556.4506592371</v>
      </c>
      <c r="AW63" s="1406">
        <f ca="1"/>
        <v>-522556.4506592371</v>
      </c>
      <c r="AX63" s="1406">
        <f ca="1"/>
        <v>-522556.4506592371</v>
      </c>
      <c r="AY63" s="1406">
        <f ca="1"/>
        <v>-522556.4506592371</v>
      </c>
      <c r="AZ63" s="1406">
        <f ca="1"/>
        <v>-522556.4506592371</v>
      </c>
      <c r="BA63" s="1406">
        <f ca="1"/>
        <v>185261303.9018046</v>
      </c>
      <c r="BB63" s="1406">
        <f ca="1"/>
        <v>-141108.53878073423</v>
      </c>
      <c r="BC63" s="1406">
        <f ca="1"/>
        <v>-141108.53878073423</v>
      </c>
      <c r="BD63" s="1406">
        <f ca="1"/>
        <v>-141108.53878073423</v>
      </c>
      <c r="BE63" s="1406">
        <f ca="1"/>
        <v>-141108.53878073423</v>
      </c>
      <c r="BF63" s="1406">
        <f ca="1"/>
        <v>-141108.53878073423</v>
      </c>
      <c r="BG63" s="1406">
        <f ca="1"/>
        <v>-141108.53878073423</v>
      </c>
      <c r="BH63" s="1406">
        <f ca="1"/>
        <v>-141108.53878073423</v>
      </c>
      <c r="BI63" s="1406">
        <f ca="1"/>
        <v>-141108.53878073423</v>
      </c>
      <c r="BJ63" s="1406">
        <f ca="1"/>
        <v>-141108.53878073423</v>
      </c>
      <c r="BK63" s="1406">
        <f ca="1"/>
        <v>-141108.53878073423</v>
      </c>
      <c r="BL63" s="1406">
        <f ca="1"/>
        <v>-141108.53878073423</v>
      </c>
      <c r="BM63" s="1406">
        <f ca="1"/>
        <v>-363335.50923210382</v>
      </c>
      <c r="BN63" s="1406">
        <f ca="1"/>
        <v>-363335.50923210382</v>
      </c>
      <c r="BO63" s="1406">
        <f ca="1"/>
        <v>-363335.50923210382</v>
      </c>
      <c r="BP63" s="1406">
        <f ca="1"/>
        <v>-363335.50923210382</v>
      </c>
      <c r="BQ63" s="1406">
        <f ca="1"/>
        <v>-363335.50923210382</v>
      </c>
      <c r="BR63" s="1406">
        <f ca="1"/>
        <v>-363335.50923210382</v>
      </c>
      <c r="BS63" s="1406">
        <f ca="1"/>
        <v>-363335.50923210382</v>
      </c>
      <c r="BT63" s="1406">
        <f ca="1"/>
        <v>-363335.50923210382</v>
      </c>
      <c r="BU63" s="1406">
        <f ca="1"/>
        <v>-363335.50923210382</v>
      </c>
      <c r="BV63" s="1406">
        <f ca="1"/>
        <v>-363335.50923210382</v>
      </c>
      <c r="BW63" s="1406">
        <f ca="1"/>
        <v>-363335.50923210382</v>
      </c>
      <c r="BX63" s="1406">
        <f ca="1"/>
        <v>-363335.50923210382</v>
      </c>
      <c r="BY63" s="1406">
        <f ca="1"/>
        <v>6748015.4615521096</v>
      </c>
      <c r="BZ63" s="1406">
        <f ca="1"/>
        <v>4916108.0073779877</v>
      </c>
      <c r="CA63" s="1406">
        <f ca="1"/>
        <v>-256386.97045136962</v>
      </c>
      <c r="CB63" s="1406">
        <f ca="1"/>
        <v>-256386.97045136962</v>
      </c>
      <c r="CC63" s="1406">
        <f ca="1"/>
        <v>-256386.97045136962</v>
      </c>
      <c r="CD63" s="1406">
        <f ca="1"/>
        <v>-256386.97045136962</v>
      </c>
      <c r="CE63" s="1406">
        <f ca="1"/>
        <v>17037388.437862616</v>
      </c>
      <c r="CF63" s="1406">
        <f ca="1"/>
        <v>-33606.666666666664</v>
      </c>
      <c r="CG63" s="1406">
        <f ca="1"/>
        <v>-33606.666666666664</v>
      </c>
      <c r="CH63" s="1406">
        <f ca="1"/>
        <v>-33606.666666666664</v>
      </c>
      <c r="CI63" s="1406">
        <f ca="1"/>
        <v>-33606.666666666664</v>
      </c>
      <c r="CJ63" s="1406">
        <f ca="1"/>
        <v>-33606.666666666664</v>
      </c>
      <c r="CK63" s="1406">
        <f ca="1"/>
        <v>-573145.43263443338</v>
      </c>
      <c r="CL63" s="1406">
        <f ca="1"/>
        <v>-573145.43263443338</v>
      </c>
      <c r="CM63" s="1406">
        <f ca="1"/>
        <v>-573145.43263443338</v>
      </c>
      <c r="CN63" s="1406">
        <f ca="1"/>
        <v>-573145.43263443338</v>
      </c>
      <c r="CO63" s="1406">
        <f ca="1"/>
        <v>-573145.43263443338</v>
      </c>
      <c r="CP63" s="1406">
        <f ca="1"/>
        <v>-573145.43263443338</v>
      </c>
      <c r="CQ63" s="1406">
        <f ca="1"/>
        <v>-573145.43263443338</v>
      </c>
      <c r="CR63" s="1406">
        <f ca="1"/>
        <v>-573145.43263443338</v>
      </c>
      <c r="CS63" s="1406">
        <f ca="1"/>
        <v>-573145.43263443338</v>
      </c>
      <c r="CT63" s="1406">
        <f ca="1"/>
        <v>-573145.43263443338</v>
      </c>
      <c r="CU63" s="1406">
        <f ca="1"/>
        <v>-573145.43263443338</v>
      </c>
      <c r="CV63" s="1406">
        <f ca="1"/>
        <v>-573145.43263443338</v>
      </c>
      <c r="CW63" s="1406">
        <f ca="1"/>
        <v>33423026.360725433</v>
      </c>
      <c r="CX63" s="1406">
        <f ca="1"/>
        <v>0</v>
      </c>
      <c r="CY63" s="1406">
        <f ca="1"/>
        <v>0</v>
      </c>
      <c r="CZ63" s="1406">
        <f ca="1"/>
        <v>0</v>
      </c>
      <c r="DA63" s="1406">
        <f ca="1"/>
        <v>0</v>
      </c>
      <c r="DB63" s="1406">
        <f ca="1"/>
        <v>0</v>
      </c>
      <c r="DC63" s="1406">
        <f ca="1"/>
        <v>0</v>
      </c>
      <c r="DD63" s="1406">
        <f ca="1"/>
        <v>0</v>
      </c>
      <c r="DE63" s="1406">
        <f ca="1"/>
        <v>0</v>
      </c>
      <c r="DF63" s="1406">
        <f ca="1"/>
        <v>0</v>
      </c>
      <c r="DG63" s="1406">
        <f ca="1"/>
        <v>0</v>
      </c>
      <c r="DH63" s="1406">
        <f ca="1"/>
        <v>0</v>
      </c>
      <c r="DI63" s="1406">
        <f ca="1"/>
        <v>0</v>
      </c>
      <c r="DJ63" s="1406">
        <f ca="1"/>
        <v>0</v>
      </c>
      <c r="DK63" s="1406">
        <f ca="1"/>
        <v>0</v>
      </c>
      <c r="DL63" s="1406">
        <f ca="1"/>
        <v>0</v>
      </c>
      <c r="DM63" s="1406">
        <f ca="1"/>
        <v>0</v>
      </c>
      <c r="DN63" s="1406">
        <f ca="1"/>
        <v>0</v>
      </c>
      <c r="DO63" s="1406">
        <f ca="1"/>
        <v>0</v>
      </c>
      <c r="DP63" s="1406">
        <f ca="1"/>
        <v>0</v>
      </c>
      <c r="DQ63" s="1406">
        <f ca="1"/>
        <v>0</v>
      </c>
      <c r="DR63" s="1406">
        <f ca="1"/>
        <v>0</v>
      </c>
      <c r="DS63" s="1406">
        <f ca="1"/>
        <v>0</v>
      </c>
      <c r="DT63" s="1406">
        <f ca="1"/>
        <v>0</v>
      </c>
      <c r="DU63" s="1406">
        <f ca="1"/>
        <v>0</v>
      </c>
      <c r="DV63" s="1406">
        <f ca="1"/>
        <v>0</v>
      </c>
      <c r="DW63" s="1406">
        <f ca="1"/>
        <v>0</v>
      </c>
      <c r="DX63" s="1406">
        <f ca="1"/>
        <v>0</v>
      </c>
      <c r="DY63" s="1406">
        <f ca="1"/>
        <v>0</v>
      </c>
      <c r="DZ63" s="1406">
        <f ca="1"/>
        <v>0</v>
      </c>
      <c r="EA63" s="1406">
        <f ca="1"/>
        <v>0</v>
      </c>
      <c r="EB63" s="1406">
        <f ca="1"/>
        <v>0</v>
      </c>
      <c r="EC63" s="1406">
        <f ca="1"/>
        <v>0</v>
      </c>
      <c r="ED63" s="1406">
        <f ca="1"/>
        <v>0</v>
      </c>
      <c r="EE63" s="1406">
        <f ca="1"/>
        <v>0</v>
      </c>
      <c r="EF63" s="1406">
        <f ca="1"/>
        <v>0</v>
      </c>
      <c r="EG63" s="1406">
        <f ca="1"/>
        <v>0</v>
      </c>
      <c r="EH63" s="501">
        <f ca="1"/>
        <v>0</v>
      </c>
      <c r="EI63" s="117">
        <f ca="1"/>
        <v>0</v>
      </c>
      <c r="EJ63" s="117">
        <f ca="1"/>
        <v>0</v>
      </c>
      <c r="EK63" s="117">
        <f ca="1"/>
        <v>0</v>
      </c>
      <c r="EL63" s="117">
        <f ca="1"/>
        <v>0</v>
      </c>
      <c r="EM63" s="117">
        <f ca="1"/>
        <v>0</v>
      </c>
      <c r="EN63" s="117">
        <f ca="1"/>
        <v>0</v>
      </c>
      <c r="EO63" s="117">
        <f ca="1"/>
        <v>0</v>
      </c>
      <c r="EP63" s="117">
        <f ca="1"/>
        <v>0</v>
      </c>
      <c r="EQ63" s="117">
        <f ca="1"/>
        <v>0</v>
      </c>
      <c r="ER63" s="117">
        <f ca="1"/>
        <v>0</v>
      </c>
      <c r="ES63" s="117">
        <f ca="1"/>
        <v>0</v>
      </c>
      <c r="ET63" s="117">
        <f ca="1"/>
        <v>0</v>
      </c>
      <c r="EU63" s="117">
        <f ca="1"/>
        <v>0</v>
      </c>
      <c r="EV63" s="117">
        <f ca="1"/>
        <v>0</v>
      </c>
      <c r="EW63" s="117">
        <f ca="1"/>
        <v>0</v>
      </c>
      <c r="EX63" s="117">
        <f ca="1"/>
        <v>0</v>
      </c>
      <c r="EY63" s="117">
        <f ca="1"/>
        <v>0</v>
      </c>
      <c r="EZ63" s="117">
        <f ca="1"/>
        <v>0</v>
      </c>
      <c r="FA63" s="117">
        <f ca="1"/>
        <v>0</v>
      </c>
      <c r="FB63" s="117">
        <f ca="1"/>
        <v>0</v>
      </c>
      <c r="FC63" s="117">
        <f ca="1"/>
        <v>0</v>
      </c>
      <c r="FD63" s="117">
        <f ca="1"/>
        <v>0</v>
      </c>
      <c r="FE63" s="117">
        <f ca="1"/>
        <v>0</v>
      </c>
      <c r="FF63" s="117">
        <f ca="1"/>
        <v>0</v>
      </c>
      <c r="FG63" s="117">
        <f ca="1"/>
        <v>0</v>
      </c>
      <c r="FH63" s="117">
        <f ca="1"/>
        <v>0</v>
      </c>
      <c r="FI63" s="117">
        <f ca="1"/>
        <v>0</v>
      </c>
      <c r="FJ63" s="117">
        <f ca="1"/>
        <v>0</v>
      </c>
      <c r="FK63" s="117">
        <f ca="1"/>
        <v>0</v>
      </c>
      <c r="FL63" s="114">
        <f ca="1"/>
        <v>0</v>
      </c>
      <c r="FM63" s="114">
        <f ca="1"/>
        <v>0</v>
      </c>
      <c r="FN63" s="114">
        <f ca="1"/>
        <v>0</v>
      </c>
      <c r="FO63" s="114">
        <f ca="1"/>
        <v>0</v>
      </c>
      <c r="FP63" s="114">
        <f ca="1"/>
        <v>0</v>
      </c>
      <c r="FQ63" s="114">
        <f ca="1"/>
        <v>0</v>
      </c>
      <c r="FR63" s="114">
        <f ca="1"/>
        <v>0</v>
      </c>
      <c r="FS63" s="114">
        <f ca="1"/>
        <v>0</v>
      </c>
      <c r="FT63" s="114">
        <f ca="1"/>
        <v>0</v>
      </c>
      <c r="FU63" s="114">
        <f ca="1"/>
        <v>0</v>
      </c>
      <c r="FV63" s="114">
        <f ca="1"/>
        <v>0</v>
      </c>
      <c r="FW63" s="114">
        <f ca="1"/>
        <v>0</v>
      </c>
      <c r="FX63" s="114">
        <f ca="1"/>
        <v>0</v>
      </c>
      <c r="FY63" s="114">
        <f ca="1"/>
        <v>0</v>
      </c>
      <c r="FZ63" s="114">
        <f ca="1"/>
        <v>0</v>
      </c>
      <c r="GA63" s="114">
        <f ca="1"/>
        <v>0</v>
      </c>
      <c r="GB63" s="114">
        <f ca="1"/>
        <v>0</v>
      </c>
      <c r="GC63" s="114">
        <f ca="1"/>
        <v>0</v>
      </c>
      <c r="GD63" s="114">
        <f ca="1"/>
        <v>0</v>
      </c>
      <c r="GE63" s="114">
        <f ca="1"/>
        <v>0</v>
      </c>
      <c r="GF63" s="114">
        <f ca="1"/>
        <v>0</v>
      </c>
      <c r="GG63" s="114">
        <f ca="1"/>
        <v>0</v>
      </c>
      <c r="GH63" s="114">
        <f ca="1"/>
        <v>0</v>
      </c>
      <c r="GI63" s="114">
        <f ca="1"/>
        <v>0</v>
      </c>
      <c r="GJ63" s="114">
        <f ca="1"/>
        <v>0</v>
      </c>
      <c r="GK63" s="114">
        <f ca="1"/>
        <v>0</v>
      </c>
      <c r="GL63" s="114">
        <f ca="1"/>
        <v>0</v>
      </c>
      <c r="GM63" s="114">
        <f ca="1"/>
        <v>0</v>
      </c>
      <c r="GN63" s="114">
        <f ca="1"/>
        <v>0</v>
      </c>
      <c r="GO63" s="114">
        <f ca="1"/>
        <v>0</v>
      </c>
      <c r="GP63" s="114">
        <f ca="1"/>
        <v>0</v>
      </c>
      <c r="GQ63" s="114">
        <f ca="1"/>
        <v>0</v>
      </c>
      <c r="GR63" s="114">
        <f ca="1"/>
        <v>0</v>
      </c>
      <c r="GS63" s="114">
        <f ca="1"/>
        <v>0</v>
      </c>
      <c r="GT63" s="114">
        <f ca="1"/>
        <v>0</v>
      </c>
      <c r="GU63" s="114">
        <f ca="1"/>
        <v>0</v>
      </c>
      <c r="GV63" s="114">
        <f ca="1"/>
        <v>0</v>
      </c>
      <c r="GW63" s="114">
        <f ca="1"/>
        <v>0</v>
      </c>
      <c r="GX63" s="114">
        <f ca="1"/>
        <v>0</v>
      </c>
      <c r="GY63" s="114">
        <f ca="1"/>
        <v>0</v>
      </c>
      <c r="GZ63" s="114">
        <f ca="1"/>
        <v>0</v>
      </c>
      <c r="HA63" s="114">
        <f ca="1"/>
        <v>0</v>
      </c>
      <c r="HB63" s="114">
        <f ca="1"/>
        <v>0</v>
      </c>
      <c r="HC63" s="114">
        <f ca="1"/>
        <v>0</v>
      </c>
      <c r="HD63" s="114">
        <f ca="1"/>
        <v>0</v>
      </c>
      <c r="HE63" s="114">
        <f ca="1"/>
        <v>0</v>
      </c>
      <c r="HF63" s="114">
        <f ca="1"/>
        <v>0</v>
      </c>
      <c r="HG63" s="114">
        <f ca="1"/>
        <v>0</v>
      </c>
      <c r="HH63" s="114">
        <f ca="1"/>
        <v>0</v>
      </c>
      <c r="HI63" s="114">
        <f ca="1"/>
        <v>0</v>
      </c>
      <c r="HJ63" s="114">
        <f ca="1"/>
        <v>0</v>
      </c>
      <c r="HK63" s="114">
        <f ca="1"/>
        <v>0</v>
      </c>
      <c r="HL63" s="114">
        <f ca="1"/>
        <v>0</v>
      </c>
      <c r="HM63" s="114">
        <f ca="1"/>
        <v>0</v>
      </c>
      <c r="HN63" s="114">
        <f ca="1"/>
        <v>0</v>
      </c>
      <c r="HO63" s="114">
        <f ca="1"/>
        <v>0</v>
      </c>
      <c r="HP63" s="114">
        <f ca="1"/>
        <v>0</v>
      </c>
      <c r="HQ63" s="114">
        <f ca="1"/>
        <v>0</v>
      </c>
      <c r="HR63" s="114">
        <f ca="1"/>
        <v>0</v>
      </c>
      <c r="HS63" s="114">
        <f ca="1"/>
        <v>0</v>
      </c>
      <c r="HT63" s="114">
        <f ca="1"/>
        <v>0</v>
      </c>
      <c r="HU63" s="114">
        <f ca="1"/>
        <v>0</v>
      </c>
      <c r="HV63" s="114">
        <f ca="1"/>
        <v>0</v>
      </c>
      <c r="HW63" s="114">
        <f ca="1"/>
        <v>0</v>
      </c>
      <c r="HX63" s="114">
        <f ca="1"/>
        <v>0</v>
      </c>
      <c r="HY63" s="114">
        <f ca="1"/>
        <v>0</v>
      </c>
      <c r="HZ63" s="114">
        <f ca="1"/>
        <v>0</v>
      </c>
      <c r="IA63" s="114">
        <f ca="1"/>
        <v>0</v>
      </c>
      <c r="IB63" s="114">
        <f ca="1"/>
        <v>0</v>
      </c>
      <c r="IC63" s="114">
        <f ca="1"/>
        <v>0</v>
      </c>
      <c r="ID63" s="114">
        <f ca="1"/>
        <v>0</v>
      </c>
      <c r="IE63" s="114">
        <f ca="1"/>
        <v>0</v>
      </c>
      <c r="IF63" s="114">
        <f ca="1"/>
        <v>0</v>
      </c>
      <c r="IG63" s="114">
        <f ca="1"/>
        <v>0</v>
      </c>
      <c r="IH63" s="114">
        <f ca="1"/>
        <v>0</v>
      </c>
      <c r="II63" s="114">
        <f ca="1"/>
        <v>0</v>
      </c>
      <c r="IJ63" s="114">
        <f ca="1"/>
        <v>0</v>
      </c>
      <c r="IK63" s="114">
        <f ca="1"/>
        <v>0</v>
      </c>
      <c r="IL63" s="114">
        <f ca="1"/>
        <v>0</v>
      </c>
      <c r="IM63" s="114">
        <f ca="1"/>
        <v>0</v>
      </c>
      <c r="IN63" s="114">
        <f ca="1"/>
        <v>0</v>
      </c>
      <c r="IO63" s="114">
        <f ca="1"/>
        <v>0</v>
      </c>
      <c r="IP63" s="114">
        <f ca="1"/>
        <v>0</v>
      </c>
      <c r="IQ63" s="114">
        <f ca="1"/>
        <v>0</v>
      </c>
      <c r="IR63" s="114">
        <f ca="1"/>
        <v>0</v>
      </c>
      <c r="IS63" s="114">
        <f ca="1"/>
        <v>0</v>
      </c>
      <c r="IT63" s="114">
        <f ca="1"/>
        <v>0</v>
      </c>
      <c r="IU63" s="114">
        <f ca="1"/>
        <v>0</v>
      </c>
      <c r="IV63" s="114">
        <f ca="1"/>
        <v>0</v>
      </c>
      <c r="IW63" s="114">
        <f ca="1"/>
        <v>0</v>
      </c>
      <c r="IX63" s="114">
        <f ca="1"/>
        <v>0</v>
      </c>
      <c r="IY63" s="114">
        <f ca="1"/>
        <v>0</v>
      </c>
      <c r="IZ63" s="114">
        <f ca="1"/>
        <v>0</v>
      </c>
      <c r="JA63" s="114">
        <f ca="1"/>
        <v>0</v>
      </c>
      <c r="JB63" s="114">
        <f ca="1"/>
        <v>0</v>
      </c>
      <c r="JC63" s="114">
        <f ca="1"/>
        <v>0</v>
      </c>
      <c r="JD63" s="114">
        <f ca="1"/>
        <v>0</v>
      </c>
      <c r="JE63" s="114">
        <f ca="1"/>
        <v>0</v>
      </c>
      <c r="JF63" s="114">
        <f ca="1"/>
        <v>0</v>
      </c>
      <c r="JG63" s="114">
        <f ca="1"/>
        <v>0</v>
      </c>
      <c r="JH63" s="114">
        <f ca="1"/>
        <v>0</v>
      </c>
      <c r="JI63" s="114">
        <f ca="1"/>
        <v>0</v>
      </c>
      <c r="JJ63" s="501">
        <f ca="1"/>
        <v>0</v>
      </c>
      <c r="JK63" s="117">
        <f ca="1"/>
        <v>0</v>
      </c>
      <c r="JL63" s="117">
        <f ca="1"/>
        <v>0</v>
      </c>
      <c r="JM63" s="117">
        <f ca="1"/>
        <v>0</v>
      </c>
      <c r="JN63" s="117">
        <f ca="1"/>
        <v>0</v>
      </c>
      <c r="JO63" s="117">
        <f ca="1"/>
        <v>0</v>
      </c>
      <c r="JP63" s="117">
        <f ca="1"/>
        <v>0</v>
      </c>
      <c r="JQ63" s="117">
        <f ca="1"/>
        <v>0</v>
      </c>
      <c r="JR63" s="117">
        <f ca="1"/>
        <v>0</v>
      </c>
      <c r="JS63" s="117">
        <f ca="1"/>
        <v>0</v>
      </c>
      <c r="JT63" s="117">
        <f ca="1"/>
        <v>0</v>
      </c>
      <c r="JU63" s="117">
        <f ca="1"/>
        <v>0</v>
      </c>
      <c r="JV63" s="117">
        <f ca="1"/>
        <v>0</v>
      </c>
      <c r="JW63" s="117">
        <f ca="1"/>
        <v>0</v>
      </c>
      <c r="JX63" s="117">
        <f ca="1"/>
        <v>0</v>
      </c>
      <c r="JY63" s="117">
        <f ca="1"/>
        <v>0</v>
      </c>
      <c r="JZ63" s="117">
        <f ca="1"/>
        <v>0</v>
      </c>
      <c r="KA63" s="117">
        <f ca="1"/>
        <v>0</v>
      </c>
      <c r="KB63" s="117">
        <f ca="1"/>
        <v>0</v>
      </c>
      <c r="KC63" s="117">
        <f ca="1"/>
        <v>0</v>
      </c>
      <c r="KD63" s="117">
        <f ca="1"/>
        <v>0</v>
      </c>
      <c r="KE63" s="117">
        <f ca="1"/>
        <v>0</v>
      </c>
      <c r="KF63" s="117">
        <f ca="1"/>
        <v>0</v>
      </c>
      <c r="KG63" s="117">
        <f ca="1"/>
        <v>0</v>
      </c>
      <c r="KH63" s="117">
        <f ca="1"/>
        <v>0</v>
      </c>
      <c r="KI63" s="117">
        <f ca="1"/>
        <v>0</v>
      </c>
      <c r="KJ63" s="117">
        <f ca="1"/>
        <v>0</v>
      </c>
      <c r="KK63" s="117">
        <f ca="1"/>
        <v>0</v>
      </c>
      <c r="KL63" s="117">
        <f ca="1"/>
        <v>0</v>
      </c>
      <c r="KM63" s="117">
        <f ca="1"/>
        <v>0</v>
      </c>
      <c r="KN63" s="114">
        <f ca="1"/>
        <v>0</v>
      </c>
      <c r="KO63" s="114">
        <f ca="1"/>
        <v>0</v>
      </c>
      <c r="KP63" s="114">
        <f ca="1"/>
        <v>0</v>
      </c>
      <c r="KQ63" s="114">
        <f ca="1"/>
        <v>0</v>
      </c>
      <c r="KR63" s="114">
        <f ca="1"/>
        <v>0</v>
      </c>
      <c r="KS63" s="114">
        <f ca="1"/>
        <v>0</v>
      </c>
      <c r="KT63" s="114">
        <f ca="1"/>
        <v>0</v>
      </c>
      <c r="KU63" s="114">
        <f ca="1"/>
        <v>0</v>
      </c>
      <c r="KV63" s="114">
        <f ca="1"/>
        <v>0</v>
      </c>
      <c r="KW63" s="114">
        <f ca="1"/>
        <v>0</v>
      </c>
      <c r="KX63" s="114">
        <f ca="1"/>
        <v>0</v>
      </c>
      <c r="KY63" s="114">
        <f ca="1"/>
        <v>0</v>
      </c>
      <c r="KZ63" s="114">
        <f ca="1"/>
        <v>0</v>
      </c>
      <c r="LA63" s="114">
        <f ca="1"/>
        <v>0</v>
      </c>
      <c r="LB63" s="114">
        <f ca="1"/>
        <v>0</v>
      </c>
      <c r="LC63" s="114">
        <f ca="1"/>
        <v>0</v>
      </c>
      <c r="LD63" s="114">
        <f ca="1"/>
        <v>0</v>
      </c>
      <c r="LE63" s="114">
        <f ca="1"/>
        <v>0</v>
      </c>
      <c r="LF63" s="114">
        <f ca="1"/>
        <v>0</v>
      </c>
      <c r="LG63" s="114">
        <f ca="1"/>
        <v>0</v>
      </c>
      <c r="LH63" s="114">
        <f ca="1"/>
        <v>0</v>
      </c>
      <c r="LI63" s="114">
        <f ca="1"/>
        <v>0</v>
      </c>
      <c r="LJ63" s="114">
        <f ca="1"/>
        <v>0</v>
      </c>
      <c r="LK63" s="114">
        <f ca="1"/>
        <v>0</v>
      </c>
      <c r="LL63" s="114">
        <f ca="1"/>
        <v>0</v>
      </c>
      <c r="LM63" s="114">
        <f ca="1"/>
        <v>0</v>
      </c>
      <c r="LN63" s="114">
        <f ca="1"/>
        <v>0</v>
      </c>
      <c r="LO63" s="114">
        <f ca="1"/>
        <v>0</v>
      </c>
      <c r="LP63" s="114">
        <f ca="1"/>
        <v>0</v>
      </c>
      <c r="LQ63" s="114">
        <f ca="1"/>
        <v>0</v>
      </c>
      <c r="LR63" s="114">
        <f ca="1"/>
        <v>0</v>
      </c>
      <c r="LS63" s="114">
        <f ca="1"/>
        <v>0</v>
      </c>
      <c r="LT63" s="114">
        <f ca="1"/>
        <v>0</v>
      </c>
      <c r="LU63" s="114">
        <f ca="1"/>
        <v>0</v>
      </c>
      <c r="LV63" s="114">
        <f ca="1"/>
        <v>0</v>
      </c>
      <c r="LW63" s="114">
        <f ca="1"/>
        <v>0</v>
      </c>
      <c r="LX63" s="114">
        <f ca="1"/>
        <v>0</v>
      </c>
      <c r="LY63" s="114">
        <f ca="1"/>
        <v>0</v>
      </c>
      <c r="LZ63" s="114">
        <f ca="1"/>
        <v>0</v>
      </c>
      <c r="MA63" s="114">
        <f ca="1"/>
        <v>0</v>
      </c>
      <c r="MB63" s="114">
        <f ca="1"/>
        <v>0</v>
      </c>
      <c r="MC63" s="114">
        <f ca="1"/>
        <v>0</v>
      </c>
      <c r="MD63" s="114">
        <f ca="1"/>
        <v>0</v>
      </c>
      <c r="ME63" s="114">
        <f ca="1"/>
        <v>0</v>
      </c>
      <c r="MF63" s="114">
        <f ca="1"/>
        <v>0</v>
      </c>
      <c r="MG63" s="114">
        <f ca="1"/>
        <v>0</v>
      </c>
      <c r="MH63" s="114">
        <f ca="1"/>
        <v>0</v>
      </c>
      <c r="MI63" s="114">
        <f ca="1"/>
        <v>0</v>
      </c>
      <c r="MJ63" s="114">
        <f ca="1"/>
        <v>0</v>
      </c>
      <c r="MK63" s="114">
        <f ca="1"/>
        <v>0</v>
      </c>
      <c r="ML63" s="114">
        <f ca="1"/>
        <v>0</v>
      </c>
      <c r="MM63" s="114">
        <f ca="1"/>
        <v>0</v>
      </c>
      <c r="MN63" s="114">
        <f ca="1"/>
        <v>0</v>
      </c>
      <c r="MO63" s="114">
        <f ca="1"/>
        <v>0</v>
      </c>
      <c r="MP63" s="114">
        <f ca="1"/>
        <v>0</v>
      </c>
      <c r="MQ63" s="114">
        <f ca="1"/>
        <v>0</v>
      </c>
      <c r="MR63" s="114">
        <f ca="1"/>
        <v>0</v>
      </c>
      <c r="MS63" s="114">
        <f ca="1"/>
        <v>0</v>
      </c>
      <c r="MT63" s="114">
        <f ca="1"/>
        <v>0</v>
      </c>
      <c r="MU63" s="114">
        <f ca="1"/>
        <v>0</v>
      </c>
      <c r="MV63" s="114">
        <f ca="1"/>
        <v>0</v>
      </c>
      <c r="MW63" s="114">
        <f ca="1"/>
        <v>0</v>
      </c>
      <c r="MX63" s="114">
        <f ca="1"/>
        <v>0</v>
      </c>
      <c r="MY63" s="114">
        <f ca="1"/>
        <v>0</v>
      </c>
      <c r="MZ63" s="114">
        <f ca="1"/>
        <v>0</v>
      </c>
      <c r="NA63" s="114">
        <f ca="1"/>
        <v>0</v>
      </c>
    </row>
    <row r="64" spans="1:365" s="114" customFormat="1" ht="22.5" hidden="1" customHeight="1">
      <c r="A64"/>
      <c r="B64"/>
      <c r="C64"/>
      <c r="D64"/>
      <c r="E64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220"/>
      <c r="T64" s="220"/>
      <c r="U64" s="220"/>
      <c r="V64" s="220"/>
      <c r="W64" s="220"/>
      <c r="X64" s="220"/>
      <c r="Y64" s="220"/>
      <c r="Z64" s="220"/>
      <c r="AA64" s="220"/>
      <c r="AB64" s="220"/>
      <c r="AC64" s="220"/>
      <c r="AD64" s="220"/>
      <c r="AE64" s="220"/>
      <c r="AF64" s="220"/>
      <c r="AG64" s="220"/>
      <c r="AH64" s="220"/>
      <c r="AI64" s="220"/>
      <c r="AJ64" s="220"/>
      <c r="AK64" s="220"/>
      <c r="AL64" s="220"/>
      <c r="AM64" s="220"/>
      <c r="AN64" s="220"/>
      <c r="AO64" s="220"/>
      <c r="AP64" s="220"/>
      <c r="AQ64" s="220"/>
      <c r="AR64" s="220"/>
      <c r="AS64" s="220"/>
      <c r="AT64" s="220"/>
      <c r="AU64" s="220"/>
      <c r="AV64" s="220"/>
      <c r="AW64" s="220"/>
      <c r="AX64" s="220"/>
      <c r="AY64" s="220"/>
      <c r="AZ64" s="220"/>
      <c r="BA64" s="220"/>
      <c r="BB64" s="220"/>
      <c r="BC64" s="220"/>
      <c r="BD64" s="220"/>
      <c r="BE64" s="220"/>
      <c r="BF64" s="220"/>
      <c r="BG64" s="220"/>
      <c r="BH64" s="220"/>
      <c r="BI64" s="220"/>
      <c r="BJ64" s="220"/>
      <c r="BK64" s="220"/>
      <c r="BL64" s="220"/>
      <c r="BM64" s="220"/>
      <c r="BN64" s="220"/>
      <c r="BO64" s="220"/>
      <c r="BP64" s="220"/>
      <c r="BQ64" s="220"/>
      <c r="BR64" s="220"/>
      <c r="BS64" s="220"/>
      <c r="BT64" s="220"/>
      <c r="BU64" s="220"/>
      <c r="BV64" s="220"/>
      <c r="BW64" s="220"/>
      <c r="BX64" s="220"/>
      <c r="BY64" s="220"/>
      <c r="BZ64" s="220"/>
      <c r="CA64" s="220"/>
      <c r="CB64" s="220"/>
      <c r="CC64" s="220"/>
      <c r="CD64" s="220"/>
      <c r="CE64" s="220"/>
      <c r="CF64" s="220"/>
      <c r="CG64" s="220"/>
      <c r="CH64" s="220"/>
      <c r="CI64" s="220"/>
      <c r="CJ64" s="220"/>
      <c r="CK64" s="220"/>
      <c r="CL64" s="220"/>
      <c r="CM64" s="220"/>
      <c r="CN64" s="220"/>
      <c r="CO64" s="220"/>
      <c r="CP64" s="220"/>
      <c r="CQ64" s="220"/>
      <c r="CR64" s="220"/>
      <c r="CS64" s="220"/>
      <c r="CT64" s="220"/>
      <c r="CU64" s="220"/>
      <c r="CV64" s="220"/>
      <c r="CW64" s="220"/>
      <c r="CX64" s="220"/>
      <c r="CY64" s="220"/>
      <c r="CZ64" s="220"/>
      <c r="DA64" s="220"/>
      <c r="DB64" s="220"/>
      <c r="DC64" s="220"/>
      <c r="DD64" s="220"/>
      <c r="DE64" s="220"/>
      <c r="DF64" s="220"/>
      <c r="DG64" s="220"/>
      <c r="DH64" s="220"/>
      <c r="DI64" s="220"/>
      <c r="DJ64" s="220"/>
      <c r="DK64" s="220"/>
      <c r="DL64" s="220"/>
      <c r="DM64" s="220"/>
      <c r="DN64" s="220"/>
      <c r="DO64" s="220"/>
      <c r="DP64" s="220"/>
      <c r="DQ64" s="220"/>
      <c r="DR64" s="220"/>
      <c r="DS64" s="220"/>
      <c r="DT64" s="220"/>
      <c r="DU64" s="220"/>
      <c r="DV64" s="220"/>
      <c r="DW64" s="220"/>
      <c r="DX64" s="220"/>
      <c r="DY64" s="220"/>
      <c r="DZ64" s="220"/>
      <c r="EA64" s="220"/>
      <c r="EB64" s="220"/>
      <c r="EC64" s="220"/>
      <c r="ED64" s="220"/>
      <c r="EE64" s="220"/>
      <c r="EF64" s="220"/>
      <c r="EG64" s="220"/>
      <c r="EH64" s="501"/>
      <c r="EI64" s="117"/>
      <c r="EJ64" s="117"/>
      <c r="EK64" s="117"/>
      <c r="EL64" s="117"/>
      <c r="EM64" s="117"/>
      <c r="EN64" s="117"/>
      <c r="EO64" s="117"/>
      <c r="EP64" s="117"/>
      <c r="EQ64" s="117"/>
      <c r="ER64" s="117"/>
      <c r="ES64" s="117"/>
      <c r="ET64" s="117"/>
      <c r="EU64" s="117"/>
      <c r="EV64" s="117"/>
      <c r="EW64" s="117"/>
      <c r="EX64" s="117"/>
      <c r="EY64" s="117"/>
      <c r="EZ64" s="117"/>
      <c r="FA64" s="117"/>
      <c r="FB64" s="117"/>
      <c r="FC64" s="117"/>
      <c r="FD64" s="117"/>
      <c r="FE64" s="117"/>
      <c r="FF64" s="117"/>
      <c r="FG64" s="117"/>
      <c r="FH64" s="117"/>
      <c r="FI64" s="117"/>
      <c r="FJ64" s="117"/>
      <c r="FK64" s="117"/>
      <c r="JJ64" s="501"/>
      <c r="JK64" s="117"/>
      <c r="JL64" s="117"/>
      <c r="JM64" s="117"/>
      <c r="JN64" s="117"/>
      <c r="JO64" s="117"/>
      <c r="JP64" s="117"/>
      <c r="JQ64" s="117"/>
      <c r="JR64" s="117"/>
      <c r="JS64" s="117"/>
      <c r="JT64" s="117"/>
      <c r="JU64" s="117"/>
      <c r="JV64" s="117"/>
      <c r="JW64" s="117"/>
      <c r="JX64" s="117"/>
      <c r="JY64" s="117"/>
      <c r="JZ64" s="117"/>
      <c r="KA64" s="117"/>
      <c r="KB64" s="117"/>
      <c r="KC64" s="117"/>
      <c r="KD64" s="117"/>
      <c r="KE64" s="117"/>
      <c r="KF64" s="117"/>
      <c r="KG64" s="117"/>
      <c r="KH64" s="117"/>
      <c r="KI64" s="117"/>
      <c r="KJ64" s="117"/>
      <c r="KK64" s="117"/>
      <c r="KL64" s="117"/>
      <c r="KM64" s="117"/>
    </row>
    <row r="65" ht="22.5" hidden="1" customHeight="1"/>
    <row r="66" ht="22.5" hidden="1" customHeight="1"/>
    <row r="67" ht="22.5" hidden="1" customHeight="1"/>
    <row r="68" ht="22.5" hidden="1" customHeight="1"/>
    <row r="69" ht="22.5" hidden="1" customHeight="1"/>
    <row r="70" ht="22.5" hidden="1" customHeight="1"/>
    <row r="71" ht="22.5" hidden="1" customHeight="1"/>
    <row r="72" ht="22.5" hidden="1" customHeight="1"/>
    <row r="73" ht="22.5" hidden="1" customHeight="1"/>
    <row r="74" ht="22.5" hidden="1" customHeight="1"/>
    <row r="75" ht="22.5" hidden="1" customHeight="1"/>
    <row r="76" ht="22.5" hidden="1" customHeight="1"/>
    <row r="77" ht="22.5" hidden="1" customHeight="1"/>
    <row r="78" ht="22.5" hidden="1" customHeight="1"/>
    <row r="79" ht="22.5" hidden="1" customHeight="1"/>
    <row r="80" ht="22.5" hidden="1" customHeight="1"/>
    <row r="81" ht="22.5" hidden="1" customHeight="1"/>
    <row r="82" ht="22.5" hidden="1" customHeight="1"/>
    <row r="83" ht="22.5" hidden="1" customHeight="1"/>
    <row r="84" ht="22.5" hidden="1" customHeight="1"/>
    <row r="85" ht="22.5" hidden="1" customHeight="1"/>
    <row r="86" ht="22.5" hidden="1" customHeight="1"/>
    <row r="87" ht="22.5" hidden="1" customHeight="1"/>
    <row r="88" ht="22.5" hidden="1" customHeight="1"/>
    <row r="89" ht="22.5" hidden="1" customHeight="1"/>
    <row r="90" ht="22.5" hidden="1" customHeight="1"/>
    <row r="91" ht="22.5" hidden="1" customHeight="1"/>
    <row r="92" ht="22.5" hidden="1" customHeight="1"/>
    <row r="93" ht="22.5" hidden="1" customHeight="1"/>
    <row r="94" ht="22.5" hidden="1" customHeight="1"/>
    <row r="95" ht="22.5" hidden="1" customHeight="1"/>
    <row r="96" ht="12" hidden="1" customHeight="1"/>
    <row r="97" ht="22.5" hidden="1" customHeight="1"/>
    <row r="98" ht="22.5" hidden="1" customHeight="1"/>
    <row r="99" ht="22.5" hidden="1" customHeight="1"/>
    <row r="100" ht="22.5" hidden="1" customHeight="1"/>
    <row r="101" ht="22.5" hidden="1" customHeight="1"/>
    <row r="102" ht="22.5" hidden="1" customHeight="1"/>
    <row r="103" ht="22.5" hidden="1" customHeight="1"/>
    <row r="104" ht="22.5" hidden="1" customHeight="1"/>
    <row r="105" ht="22.5" hidden="1" customHeight="1"/>
    <row r="106" ht="22.5" hidden="1" customHeight="1"/>
    <row r="107" ht="22.5" hidden="1" customHeight="1"/>
    <row r="108" ht="22.5" hidden="1" customHeight="1"/>
    <row r="109" ht="22.5" hidden="1" customHeight="1"/>
    <row r="110" ht="22.5" hidden="1" customHeight="1"/>
    <row r="111" ht="22.5" hidden="1" customHeight="1"/>
    <row r="112" ht="22.5" hidden="1" customHeight="1"/>
    <row r="113" ht="22.5" hidden="1" customHeight="1"/>
    <row r="114" ht="22.5" hidden="1" customHeight="1"/>
    <row r="115" ht="22.5" hidden="1" customHeight="1"/>
    <row r="116" ht="22.5" hidden="1" customHeight="1"/>
    <row r="117" ht="22.5" hidden="1" customHeight="1"/>
    <row r="118" ht="22.5" hidden="1" customHeight="1"/>
    <row r="119" ht="22.5" hidden="1" customHeight="1"/>
    <row r="120" ht="22.5" hidden="1" customHeight="1"/>
    <row r="121" ht="22.5" hidden="1" customHeight="1"/>
    <row r="122" ht="22.5" hidden="1" customHeight="1"/>
    <row r="123" ht="22.5" hidden="1" customHeight="1"/>
    <row r="124" ht="22.5" hidden="1" customHeight="1"/>
    <row r="125" ht="22.5" hidden="1" customHeight="1"/>
    <row r="126" ht="22.5" hidden="1" customHeight="1"/>
    <row r="127" ht="22.5" hidden="1" customHeight="1"/>
    <row r="128" ht="22.5" hidden="1" customHeight="1"/>
    <row r="129" ht="22.5" hidden="1" customHeight="1"/>
    <row r="130" ht="22.5" hidden="1" customHeight="1"/>
    <row r="131" ht="22.5" hidden="1" customHeight="1"/>
    <row r="132" ht="22.5" hidden="1" customHeight="1"/>
    <row r="133" ht="22.5" hidden="1" customHeight="1"/>
    <row r="134" ht="22.5" hidden="1" customHeight="1"/>
    <row r="135" ht="22.5" hidden="1" customHeight="1"/>
    <row r="136" ht="22.5" hidden="1" customHeight="1"/>
    <row r="137" ht="22.5" hidden="1" customHeight="1"/>
    <row r="138" ht="22.5" hidden="1" customHeight="1"/>
    <row r="139" ht="22.5" hidden="1" customHeight="1"/>
    <row r="140" ht="22.5" hidden="1" customHeight="1"/>
    <row r="141" ht="22.5" hidden="1" customHeight="1"/>
    <row r="142" ht="22.5" hidden="1" customHeight="1"/>
    <row r="143" ht="22.5" hidden="1" customHeight="1"/>
    <row r="144" ht="22.5" hidden="1" customHeight="1"/>
    <row r="145" ht="22.5" hidden="1" customHeight="1"/>
    <row r="146" ht="22.5" hidden="1" customHeight="1"/>
    <row r="147" ht="22.5" hidden="1" customHeight="1"/>
    <row r="148" ht="22.5" hidden="1" customHeight="1"/>
    <row r="149" ht="22.5" hidden="1" customHeight="1"/>
    <row r="150" ht="22.5" hidden="1" customHeight="1"/>
    <row r="151" ht="22.5" hidden="1" customHeight="1"/>
    <row r="152" ht="22.5" hidden="1" customHeight="1"/>
    <row r="153" ht="22.5" hidden="1" customHeight="1"/>
    <row r="154" ht="22.5" hidden="1" customHeight="1"/>
    <row r="155" ht="22.5" hidden="1" customHeight="1"/>
    <row r="156" ht="22.5" hidden="1" customHeight="1"/>
    <row r="157" ht="22.5" hidden="1" customHeight="1"/>
    <row r="158" ht="22.5" hidden="1" customHeight="1"/>
    <row r="159" ht="22.5" hidden="1" customHeight="1"/>
    <row r="160" ht="22.5" hidden="1" customHeight="1"/>
    <row r="161" ht="22.5" hidden="1" customHeight="1"/>
    <row r="162" ht="22.5" hidden="1" customHeight="1"/>
    <row r="163" ht="22.5" hidden="1" customHeight="1"/>
    <row r="164" ht="22.5" hidden="1" customHeight="1"/>
    <row r="165" ht="22.5" hidden="1" customHeight="1"/>
    <row r="166" ht="22.5" hidden="1" customHeight="1"/>
    <row r="167" ht="22.5" hidden="1" customHeight="1"/>
    <row r="168" ht="22.5" hidden="1" customHeight="1"/>
    <row r="169" ht="22.5" hidden="1" customHeight="1"/>
    <row r="170" ht="22.5" hidden="1" customHeight="1"/>
    <row r="171" ht="22.5" hidden="1" customHeight="1"/>
    <row r="172" ht="22.5" hidden="1" customHeight="1"/>
    <row r="173" ht="22.5" hidden="1" customHeight="1"/>
    <row r="174" ht="22.5" hidden="1" customHeight="1"/>
    <row r="175" ht="22.5" hidden="1" customHeight="1"/>
    <row r="176" ht="22.5" hidden="1" customHeight="1"/>
    <row r="177" ht="22.5" hidden="1" customHeight="1"/>
    <row r="178" ht="22.5" hidden="1" customHeight="1"/>
    <row r="179" ht="22.5" hidden="1" customHeight="1"/>
    <row r="180" ht="22.5" hidden="1" customHeight="1"/>
    <row r="181" ht="22.5" hidden="1" customHeight="1"/>
    <row r="182" ht="26.25" hidden="1" customHeight="1"/>
    <row r="183" ht="30" hidden="1" customHeight="1"/>
    <row r="184" ht="26.25" hidden="1" customHeight="1"/>
    <row r="185" ht="22.5" hidden="1" customHeight="1"/>
    <row r="186" ht="22.5" hidden="1" customHeight="1"/>
    <row r="187" ht="22.5" hidden="1" customHeight="1"/>
    <row r="188" ht="22.5" hidden="1" customHeight="1"/>
    <row r="189" ht="22.5" hidden="1" customHeight="1"/>
    <row r="190" ht="22.5" hidden="1" customHeight="1"/>
    <row r="191" ht="22.5" hidden="1" customHeight="1"/>
    <row r="192" ht="22.5" hidden="1" customHeight="1"/>
    <row r="193" ht="22.5" hidden="1" customHeight="1"/>
    <row r="194" ht="22.5" hidden="1" customHeight="1"/>
    <row r="195" ht="22.5" hidden="1" customHeight="1"/>
    <row r="196" ht="22.5" hidden="1" customHeight="1"/>
    <row r="197" ht="26.25" hidden="1" customHeight="1"/>
    <row r="198" ht="22.5" hidden="1" customHeight="1"/>
    <row r="219" ht="22.5" hidden="1" customHeight="1"/>
    <row r="220" ht="22.5" hidden="1" customHeight="1" collapsed="1"/>
    <row r="235" ht="22.25" hidden="1" customHeight="1"/>
    <row r="237" ht="22.5" hidden="1" customHeight="1"/>
    <row r="242" ht="26.25" hidden="1" customHeight="1"/>
    <row r="243" ht="19.25" hidden="1" customHeight="1"/>
    <row r="244" ht="20.25" hidden="1" customHeight="1"/>
    <row r="245" ht="20.25" hidden="1" customHeight="1"/>
    <row r="246" ht="20.25" hidden="1" customHeight="1"/>
    <row r="247" ht="20.25" hidden="1" customHeight="1"/>
    <row r="248" ht="20.25" hidden="1" customHeight="1"/>
    <row r="249" ht="20.25" hidden="1" customHeight="1"/>
    <row r="250" ht="32.25" hidden="1" customHeight="1"/>
    <row r="254"/>
  </sheetData>
  <autoFilter ref="A18:A250" xr:uid="{3B6D20D1-B180-445B-ADEB-CEFC31B75FEC}">
    <filterColumn colId="0">
      <filters>
        <filter val="1"/>
      </filters>
    </filterColumn>
  </autoFilter>
  <conditionalFormatting sqref="XCV19:XFD21 EH22:XFD64 F2:CY17 CZ7:EG17 F46:EG63">
    <cfRule type="expression" dxfId="31" priority="19">
      <formula>F$7=0</formula>
    </cfRule>
  </conditionalFormatting>
  <conditionalFormatting sqref="CJ19:GC20 HL19:LE21 MN19:QG21 RP19:VI21 WR19:AAK21 ABT19:AFM21 AGV19:AKO21 ALX19:APQ21 AQZ19:AUS21 AWB19:AZU21 BBD19:BEW21 BGF19:BJY21 BLH19:BPA21 BQJ19:BUC21 BVL19:BZE21 CAN19:CEG21 CFP19:CJI21 CKR19:COK21 CPT19:CTM21 CUV19:CYO21 CZX19:DDQ21 DEZ19:DIS21 DKB19:DNU21 DPD19:DSW21 DUF19:DXY21 DZH19:EDA21 EEJ19:EIC21 EJL19:ENE21 EON19:ESG21 ETP19:EXI21 EYR19:FCK21 FDT19:FHM21 FIV19:FMO21 FNX19:FRQ21 FSZ19:FWS21 FYB19:GBU21 GDD19:GGW21 GIF19:GLY21 GNH19:GRA21 GSJ19:GWC21 GXL19:HBE21 HCN19:HGG21 HHP19:HLI21 HMR19:HQK21 HRT19:HVM21 HWV19:IAO21 IBX19:IFQ21 IGZ19:IKS21 IMB19:IPU21 IRD19:IUW21 IWF19:IZY21 JBH19:JFA21 JGJ19:JKC21 JLL19:JPE21 JQN19:JUG21 JVP19:JZI21 KAR19:KEK21 KFT19:KJM21 KKV19:KOO21 KPX19:KTQ21 KUZ19:KYS21 LAB19:LDU21 LFD19:LIW21 LKF19:LNY21 LPH19:LTA21 LUJ19:LYC21 LZL19:MDE21 MEN19:MIG21 MJP19:MNI21 MOR19:MSK21 MTT19:MXM21 MYV19:NCO21 NDX19:NHQ21 NIZ19:NMS21 NOB19:NRU21 NTD19:NWW21 NYF19:OBY21 ODH19:OHA21 OIJ19:OMC21 ONL19:ORE21 OSN19:OWG21 OXP19:PBI21 PCR19:PGK21 PHT19:PLM21 PMV19:PQO21 PRX19:PVQ21 PWZ19:QAS21 QCB19:QFU21 QHD19:QKW21 QMF19:QPY21 QRH19:QVA21 QWJ19:RAC21 RBL19:RFE21 RGN19:RKG21 RLP19:RPI21 RQR19:RUK21 RVT19:RZM21 SAV19:SEO21 SFX19:SJQ21 SKZ19:SOS21 SQB19:STU21 SVD19:SYW21 TAF19:TDY21 TFH19:TJA21 TKJ19:TOC21 TPL19:TTE21 TUN19:TYG21 TZP19:UDI21 UER19:UIK21 UJT19:UNM21 UOV19:USO21 UTX19:UXQ21 UYZ19:VCS21 VEB19:VHU21 VJD19:VMW21 VOF19:VRY21 VTH19:VXA21 VYJ19:WCC21 WDL19:WHE21 WIN19:WMG21 WNP19:WRI21 WSR19:WWK21 WXT19:XBM21 EH21:GC21">
    <cfRule type="expression" dxfId="30" priority="17">
      <formula>CJ$7=0</formula>
    </cfRule>
  </conditionalFormatting>
  <conditionalFormatting sqref="GD19:HK21 LF19:MM21 QH19:RO21 VJ19:WQ21 AAL19:ABS21 AFN19:AGU21 AKP19:ALW21 APR19:AQY21 AUT19:AWA21 AZV19:BBC21 BEX19:BGE21 BJZ19:BLG21 BPB19:BQI21 BUD19:BVK21 BZF19:CAM21 CEH19:CFO21 CJJ19:CKQ21 COL19:CPS21 CTN19:CUU21 CYP19:CZW21 DDR19:DEY21 DIT19:DKA21 DNV19:DPC21 DSX19:DUE21 DXZ19:DZG21 EDB19:EEI21 EID19:EJK21 ENF19:EOM21 ESH19:ETO21 EXJ19:EYQ21 FCL19:FDS21 FHN19:FIU21 FMP19:FNW21 FRR19:FSY21 FWT19:FYA21 GBV19:GDC21 GGX19:GIE21 GLZ19:GNG21 GRB19:GSI21 GWD19:GXK21 HBF19:HCM21 HGH19:HHO21 HLJ19:HMQ21 HQL19:HRS21 HVN19:HWU21 IAP19:IBW21 IFR19:IGY21 IKT19:IMA21 IPV19:IRC21 IUX19:IWE21 IZZ19:JBG21 JFB19:JGI21 JKD19:JLK21 JPF19:JQM21 JUH19:JVO21 JZJ19:KAQ21 KEL19:KFS21 KJN19:KKU21 KOP19:KPW21 KTR19:KUY21 KYT19:LAA21 LDV19:LFC21 LIX19:LKE21 LNZ19:LPG21 LTB19:LUI21 LYD19:LZK21 MDF19:MEM21 MIH19:MJO21 MNJ19:MOQ21 MSL19:MTS21 MXN19:MYU21 NCP19:NDW21 NHR19:NIY21 NMT19:NOA21 NRV19:NTC21 NWX19:NYE21 OBZ19:ODG21 OHB19:OII21 OMD19:ONK21 ORF19:OSM21 OWH19:OXO21 PBJ19:PCQ21 PGL19:PHS21 PLN19:PMU21 PQP19:PRW21 PVR19:PWY21 QAT19:QCA21 QFV19:QHC21 QKX19:QME21 QPZ19:QRG21 QVB19:QWI21 RAD19:RBK21 RFF19:RGM21 RKH19:RLO21 RPJ19:RQQ21 RUL19:RVS21 RZN19:SAU21 SEP19:SFW21 SJR19:SKY21 SOT19:SQA21 STV19:SVC21 SYX19:TAE21 TDZ19:TFG21 TJB19:TKI21 TOD19:TPK21 TTF19:TUM21 TYH19:TZO21 UDJ19:UEQ21 UIL19:UJS21 UNN19:UOU21 USP19:UTW21 UXR19:UYY21 VCT19:VEA21 VHV19:VJC21 VMX19:VOE21 VRZ19:VTG21 VXB19:VYI21 WCD19:WDK21 WHF19:WIM21 WMH19:WNO21 WRJ19:WSQ21 WWL19:WXS21 XBN19:XCU21">
    <cfRule type="expression" dxfId="29" priority="16">
      <formula>GD$7=0</formula>
    </cfRule>
  </conditionalFormatting>
  <conditionalFormatting sqref="G19:EG19">
    <cfRule type="expression" dxfId="28" priority="15">
      <formula>G$7=0</formula>
    </cfRule>
  </conditionalFormatting>
  <conditionalFormatting sqref="F19">
    <cfRule type="expression" dxfId="27" priority="14">
      <formula>F$7=0</formula>
    </cfRule>
  </conditionalFormatting>
  <conditionalFormatting sqref="F21:CY21">
    <cfRule type="expression" dxfId="26" priority="12">
      <formula>F$7=0</formula>
    </cfRule>
  </conditionalFormatting>
  <conditionalFormatting sqref="CZ21:EG21">
    <cfRule type="expression" dxfId="25" priority="11">
      <formula>CZ$7=0</formula>
    </cfRule>
  </conditionalFormatting>
  <conditionalFormatting sqref="F22:CY44">
    <cfRule type="expression" dxfId="24" priority="10">
      <formula>F$7=0</formula>
    </cfRule>
  </conditionalFormatting>
  <conditionalFormatting sqref="CZ22:EG44">
    <cfRule type="expression" dxfId="23" priority="9">
      <formula>CZ$7=0</formula>
    </cfRule>
  </conditionalFormatting>
  <conditionalFormatting sqref="F45:CY45">
    <cfRule type="expression" dxfId="22" priority="8">
      <formula>F$7=0</formula>
    </cfRule>
  </conditionalFormatting>
  <conditionalFormatting sqref="CZ45:EG45">
    <cfRule type="expression" dxfId="21" priority="7">
      <formula>CZ$7=0</formula>
    </cfRule>
  </conditionalFormatting>
  <pageMargins left="0.25" right="0.25" top="0.75" bottom="0.75" header="0.3" footer="0.3"/>
  <pageSetup scale="53" fitToWidth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6DEFC-16D7-D248-A1A9-DF8EB4FDBC6E}">
  <sheetPr codeName="Sheet2" filterMode="1">
    <tabColor rgb="FF0070C0"/>
    <pageSetUpPr fitToPage="1"/>
  </sheetPr>
  <dimension ref="A1:AD66"/>
  <sheetViews>
    <sheetView showGridLines="0" topLeftCell="B2" workbookViewId="0"/>
  </sheetViews>
  <sheetFormatPr baseColWidth="10" defaultColWidth="9" defaultRowHeight="14"/>
  <cols>
    <col min="1" max="1" width="7.33203125" hidden="1" customWidth="1"/>
    <col min="2" max="2" width="1.5" customWidth="1"/>
    <col min="3" max="3" width="48.33203125" customWidth="1"/>
    <col min="4" max="4" width="16.83203125" bestFit="1" customWidth="1"/>
    <col min="5" max="5" width="1" customWidth="1"/>
    <col min="6" max="16" width="12.5" customWidth="1"/>
    <col min="17" max="17" width="9" customWidth="1"/>
    <col min="18" max="18" width="6" hidden="1" customWidth="1"/>
    <col min="19" max="21" width="5.6640625" hidden="1" customWidth="1"/>
    <col min="22" max="30" width="9" hidden="1" customWidth="1"/>
    <col min="31" max="31" width="9" customWidth="1"/>
  </cols>
  <sheetData>
    <row r="1" spans="2:30" s="1440" customFormat="1" ht="15" hidden="1">
      <c r="B1" s="1438"/>
      <c r="C1" s="1439"/>
      <c r="D1" s="1438"/>
      <c r="E1" s="1438"/>
      <c r="F1" s="1438">
        <v>1</v>
      </c>
      <c r="G1" s="1438">
        <f>IF(F7=0,"",1)</f>
        <v>1</v>
      </c>
      <c r="H1" s="1438">
        <f t="shared" ref="H1:AD1" si="0">IF(G7=0,"",1)</f>
        <v>1</v>
      </c>
      <c r="I1" s="1438">
        <f t="shared" si="0"/>
        <v>1</v>
      </c>
      <c r="J1" s="1438">
        <f t="shared" si="0"/>
        <v>1</v>
      </c>
      <c r="K1" s="1438">
        <f t="shared" si="0"/>
        <v>1</v>
      </c>
      <c r="L1" s="1438">
        <f t="shared" si="0"/>
        <v>1</v>
      </c>
      <c r="M1" s="1438">
        <f t="shared" si="0"/>
        <v>1</v>
      </c>
      <c r="N1" s="1438">
        <f t="shared" si="0"/>
        <v>1</v>
      </c>
      <c r="O1" s="1438" t="str">
        <f t="shared" si="0"/>
        <v/>
      </c>
      <c r="P1" s="1438" t="str">
        <f t="shared" si="0"/>
        <v/>
      </c>
      <c r="Q1" s="1438" t="str">
        <f t="shared" si="0"/>
        <v/>
      </c>
      <c r="R1" s="1438" t="str">
        <f t="shared" si="0"/>
        <v/>
      </c>
      <c r="S1" s="1438" t="str">
        <f t="shared" si="0"/>
        <v/>
      </c>
      <c r="T1" s="1438" t="str">
        <f t="shared" si="0"/>
        <v/>
      </c>
      <c r="U1" s="1438" t="str">
        <f t="shared" si="0"/>
        <v/>
      </c>
      <c r="V1" s="1438" t="str">
        <f t="shared" si="0"/>
        <v/>
      </c>
      <c r="W1" s="1438" t="str">
        <f t="shared" si="0"/>
        <v/>
      </c>
      <c r="X1" s="1438" t="str">
        <f t="shared" si="0"/>
        <v/>
      </c>
      <c r="Y1" s="1438" t="str">
        <f t="shared" si="0"/>
        <v/>
      </c>
      <c r="Z1" s="1438" t="str">
        <f t="shared" si="0"/>
        <v/>
      </c>
      <c r="AA1" s="1438" t="str">
        <f t="shared" si="0"/>
        <v/>
      </c>
      <c r="AB1" s="1438" t="str">
        <f t="shared" si="0"/>
        <v/>
      </c>
      <c r="AC1" s="1438" t="str">
        <f t="shared" si="0"/>
        <v/>
      </c>
      <c r="AD1" s="1438" t="str">
        <f t="shared" si="0"/>
        <v/>
      </c>
    </row>
    <row r="2" spans="2:30" ht="20">
      <c r="B2" s="31" t="str">
        <f>i_Project.Name</f>
        <v>Peoria Lakes</v>
      </c>
      <c r="C2" s="9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</row>
    <row r="3" spans="2:30" ht="22.25" customHeight="1">
      <c r="B3" s="217" t="str">
        <f>i_Project.Location</f>
        <v>Peoria Lakes</v>
      </c>
      <c r="C3" s="9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</row>
    <row r="4" spans="2:30" ht="15">
      <c r="B4" s="163"/>
      <c r="C4" s="9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</row>
    <row r="5" spans="2:30" ht="16" thickBot="1">
      <c r="B5" s="160"/>
      <c r="C5" s="46"/>
      <c r="D5" s="160"/>
      <c r="F5" s="160"/>
      <c r="G5" s="160"/>
      <c r="H5" s="160"/>
      <c r="I5" s="160"/>
      <c r="J5" s="160"/>
      <c r="K5" s="160"/>
      <c r="L5" s="160"/>
      <c r="M5" s="160"/>
      <c r="N5" s="160"/>
      <c r="O5" s="160"/>
    </row>
    <row r="6" spans="2:30" ht="29.25" customHeight="1" thickTop="1" thickBot="1">
      <c r="B6" s="161"/>
      <c r="C6" s="11" t="s">
        <v>307</v>
      </c>
      <c r="D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</row>
    <row r="7" spans="2:30" ht="17" thickTop="1" thickBot="1">
      <c r="B7" s="161"/>
      <c r="C7" s="82"/>
      <c r="D7" s="715" t="s">
        <v>333</v>
      </c>
      <c r="F7" s="715" cm="1">
        <f t="array" ref="F7:M7">TRANSPOSE(_xlfn.ANCHORARRAY(ADMIN!V9))</f>
        <v>1</v>
      </c>
      <c r="G7" s="715">
        <v>2</v>
      </c>
      <c r="H7" s="715">
        <v>3</v>
      </c>
      <c r="I7" s="715">
        <v>4</v>
      </c>
      <c r="J7" s="715">
        <v>5</v>
      </c>
      <c r="K7" s="715">
        <v>6</v>
      </c>
      <c r="L7" s="715">
        <v>7</v>
      </c>
      <c r="M7" s="715">
        <v>8</v>
      </c>
      <c r="N7" s="715"/>
      <c r="O7" s="715"/>
      <c r="P7" s="715"/>
      <c r="Q7" s="715"/>
      <c r="R7" s="715"/>
      <c r="S7" s="715"/>
      <c r="T7" s="715"/>
      <c r="U7" s="715"/>
      <c r="V7" s="715"/>
      <c r="W7" s="715"/>
      <c r="X7" s="715"/>
      <c r="Y7" s="715"/>
      <c r="Z7" s="715"/>
      <c r="AA7" s="715"/>
      <c r="AB7" s="715"/>
      <c r="AC7" s="715"/>
      <c r="AD7" s="715"/>
    </row>
    <row r="8" spans="2:30" ht="18" thickTop="1" thickBot="1">
      <c r="B8" s="161"/>
      <c r="C8" s="505" t="s">
        <v>8</v>
      </c>
      <c r="D8" s="502" t="s">
        <v>1</v>
      </c>
      <c r="F8" s="502" cm="1">
        <f t="array" ref="F8:M8">TRANSPOSE(_xlfn.ANCHORARRAY(ADMIN!U9))</f>
        <v>2024</v>
      </c>
      <c r="G8" s="502">
        <v>2025</v>
      </c>
      <c r="H8" s="502">
        <v>2026</v>
      </c>
      <c r="I8" s="502">
        <v>2027</v>
      </c>
      <c r="J8" s="502">
        <v>2028</v>
      </c>
      <c r="K8" s="502">
        <v>2029</v>
      </c>
      <c r="L8" s="502">
        <v>2030</v>
      </c>
      <c r="M8" s="502">
        <v>2031</v>
      </c>
      <c r="N8" s="502"/>
      <c r="O8" s="502"/>
      <c r="P8" s="502"/>
      <c r="Q8" s="502"/>
      <c r="R8" s="502"/>
      <c r="S8" s="502"/>
      <c r="T8" s="502"/>
      <c r="U8" s="502"/>
      <c r="V8" s="502"/>
      <c r="W8" s="502"/>
      <c r="X8" s="502"/>
      <c r="Y8" s="502"/>
      <c r="Z8" s="502"/>
      <c r="AA8" s="502"/>
      <c r="AB8" s="502"/>
      <c r="AC8" s="502"/>
      <c r="AD8" s="502"/>
    </row>
    <row r="9" spans="2:30" ht="20" thickTop="1" thickBot="1">
      <c r="B9" s="161"/>
      <c r="C9" s="1409" t="str" cm="1">
        <f t="array" ref="C9:C16">'r.CFm'!C9:C16</f>
        <v>Project Revenue</v>
      </c>
      <c r="D9" s="1410"/>
      <c r="E9" s="1411"/>
      <c r="F9" s="1412"/>
      <c r="G9" s="1412"/>
      <c r="H9" s="1412"/>
      <c r="I9" s="1412"/>
      <c r="J9" s="1412"/>
      <c r="K9" s="1412"/>
      <c r="L9" s="1413"/>
      <c r="M9" s="1413"/>
      <c r="N9" s="1413"/>
      <c r="O9" s="1413"/>
      <c r="P9" s="1411"/>
      <c r="Q9" s="1411"/>
      <c r="R9" s="1411"/>
      <c r="S9" s="1411"/>
      <c r="T9" s="1411"/>
      <c r="U9" s="1411"/>
      <c r="V9" s="1411"/>
      <c r="W9" s="1411"/>
      <c r="X9" s="1411"/>
      <c r="Y9" s="1411"/>
      <c r="Z9" s="1411"/>
      <c r="AA9" s="1411"/>
      <c r="AB9" s="1411"/>
      <c r="AC9" s="1411"/>
      <c r="AD9" s="1411"/>
    </row>
    <row r="10" spans="2:30" ht="19.5" customHeight="1" thickTop="1" thickBot="1">
      <c r="B10" s="161"/>
      <c r="C10" s="1414" t="str">
        <v>Single Family Revenue</v>
      </c>
      <c r="D10" s="1415" cm="1">
        <f t="array" ref="D10:D16">'r.CFm'!D10:D16</f>
        <v>304583853.51286304</v>
      </c>
      <c r="E10" s="1411"/>
      <c r="F10" s="1416" cm="1">
        <f t="array" ref="F10:M10">SUMIF(_xlfn.ANCHORARRAY('r.CFm'!F$1),_xlfn.ANCHORARRAY(F$7),_xlfn.ANCHORARRAY('r.CFm'!F10))</f>
        <v>0</v>
      </c>
      <c r="G10" s="1416">
        <v>0</v>
      </c>
      <c r="H10" s="1416">
        <v>42012777.110280663</v>
      </c>
      <c r="I10" s="1416">
        <v>134905222.50682366</v>
      </c>
      <c r="J10" s="1416">
        <v>0</v>
      </c>
      <c r="K10" s="1416">
        <v>16086987.403644357</v>
      </c>
      <c r="L10" s="1416">
        <v>51085527.461876296</v>
      </c>
      <c r="M10" s="1416">
        <v>60493339.030238084</v>
      </c>
      <c r="N10" s="1416"/>
      <c r="O10" s="1416"/>
      <c r="P10" s="1416"/>
      <c r="Q10" s="1416"/>
      <c r="R10" s="1416"/>
      <c r="S10" s="1416"/>
      <c r="T10" s="1416"/>
      <c r="U10" s="1416"/>
      <c r="V10" s="1416"/>
      <c r="W10" s="1416"/>
      <c r="X10" s="1416"/>
      <c r="Y10" s="1416"/>
      <c r="Z10" s="1416"/>
      <c r="AA10" s="1416"/>
      <c r="AB10" s="1416"/>
      <c r="AC10" s="1416"/>
      <c r="AD10" s="1416"/>
    </row>
    <row r="11" spans="2:30" ht="18" thickTop="1" thickBot="1">
      <c r="B11" s="161"/>
      <c r="C11" s="1417" t="str">
        <v>Commercial / Multifamily Revenue</v>
      </c>
      <c r="D11" s="1415">
        <v>205139491.66679096</v>
      </c>
      <c r="E11" s="1411"/>
      <c r="F11" s="1418" cm="1">
        <f t="array" ref="F11:M11">SUMIF(_xlfn.ANCHORARRAY('r.CFm'!F$1),_xlfn.ANCHORARRAY(F$7),_xlfn.ANCHORARRAY('r.CFm'!F11))</f>
        <v>0</v>
      </c>
      <c r="G11" s="1418">
        <v>0</v>
      </c>
      <c r="H11" s="1418">
        <v>12085235.914868301</v>
      </c>
      <c r="I11" s="1418">
        <v>183089630.27569807</v>
      </c>
      <c r="J11" s="1418">
        <v>0</v>
      </c>
      <c r="K11" s="1418">
        <v>0</v>
      </c>
      <c r="L11" s="1418">
        <v>0</v>
      </c>
      <c r="M11" s="1418">
        <v>9964625.4762245957</v>
      </c>
      <c r="N11" s="1418"/>
      <c r="O11" s="1418"/>
      <c r="P11" s="1418"/>
      <c r="Q11" s="1418"/>
      <c r="R11" s="1418"/>
      <c r="S11" s="1418"/>
      <c r="T11" s="1418"/>
      <c r="U11" s="1418"/>
      <c r="V11" s="1418"/>
      <c r="W11" s="1418"/>
      <c r="X11" s="1418"/>
      <c r="Y11" s="1418"/>
      <c r="Z11" s="1418"/>
      <c r="AA11" s="1418"/>
      <c r="AB11" s="1418"/>
      <c r="AC11" s="1418"/>
      <c r="AD11" s="1418"/>
    </row>
    <row r="12" spans="2:30" ht="18" thickTop="1" thickBot="1">
      <c r="B12" s="161"/>
      <c r="C12" s="1419" t="str">
        <v>Less: Subd Cost</v>
      </c>
      <c r="D12" s="1420">
        <v>-167488649.64694551</v>
      </c>
      <c r="E12" s="1411"/>
      <c r="F12" s="1421" cm="1">
        <f t="array" ref="F12:M12">SUMIF(_xlfn.ANCHORARRAY('r.CFm'!F$1),_xlfn.ANCHORARRAY(F$7),_xlfn.ANCHORARRAY('r.CFm'!F12))</f>
        <v>0</v>
      </c>
      <c r="G12" s="1421">
        <v>0</v>
      </c>
      <c r="H12" s="1421">
        <v>-22756920.934735361</v>
      </c>
      <c r="I12" s="1421">
        <v>-73073662.191196144</v>
      </c>
      <c r="J12" s="1421">
        <v>0</v>
      </c>
      <c r="K12" s="1421">
        <v>-8713784.8436406944</v>
      </c>
      <c r="L12" s="1421">
        <v>-27671327.375182997</v>
      </c>
      <c r="M12" s="1421">
        <v>-35272954.302190296</v>
      </c>
      <c r="N12" s="1421"/>
      <c r="O12" s="1421"/>
      <c r="P12" s="1421"/>
      <c r="Q12" s="1421"/>
      <c r="R12" s="1421"/>
      <c r="S12" s="1421"/>
      <c r="T12" s="1421"/>
      <c r="U12" s="1421"/>
      <c r="V12" s="1421"/>
      <c r="W12" s="1421"/>
      <c r="X12" s="1421"/>
      <c r="Y12" s="1421"/>
      <c r="Z12" s="1421"/>
      <c r="AA12" s="1421"/>
      <c r="AB12" s="1421"/>
      <c r="AC12" s="1421"/>
      <c r="AD12" s="1421"/>
    </row>
    <row r="13" spans="2:30" ht="18" thickTop="1" thickBot="1">
      <c r="B13" s="161"/>
      <c r="C13" s="1422" t="str">
        <v>Gross Revenue</v>
      </c>
      <c r="D13" s="1415">
        <v>342234695.53270853</v>
      </c>
      <c r="E13" s="1411"/>
      <c r="F13" s="1416" cm="1">
        <f t="array" ref="F13:M13">SUMIF(_xlfn.ANCHORARRAY('r.CFm'!F$1),_xlfn.ANCHORARRAY(F$7),_xlfn.ANCHORARRAY('r.CFm'!F13))</f>
        <v>0</v>
      </c>
      <c r="G13" s="1416">
        <v>0</v>
      </c>
      <c r="H13" s="1416">
        <v>31341092.090413608</v>
      </c>
      <c r="I13" s="1416">
        <v>244921190.59132558</v>
      </c>
      <c r="J13" s="1416">
        <v>0</v>
      </c>
      <c r="K13" s="1416">
        <v>7373202.5600036625</v>
      </c>
      <c r="L13" s="1416">
        <v>23414200.086693302</v>
      </c>
      <c r="M13" s="1416">
        <v>35185010.204272382</v>
      </c>
      <c r="N13" s="1416"/>
      <c r="O13" s="1416"/>
      <c r="P13" s="1416"/>
      <c r="Q13" s="1416"/>
      <c r="R13" s="1416"/>
      <c r="S13" s="1416"/>
      <c r="T13" s="1416"/>
      <c r="U13" s="1416"/>
      <c r="V13" s="1416"/>
      <c r="W13" s="1416"/>
      <c r="X13" s="1416"/>
      <c r="Y13" s="1416"/>
      <c r="Z13" s="1416"/>
      <c r="AA13" s="1416"/>
      <c r="AB13" s="1416"/>
      <c r="AC13" s="1416"/>
      <c r="AD13" s="1416"/>
    </row>
    <row r="14" spans="2:30" ht="18" thickTop="1" thickBot="1">
      <c r="B14" s="161"/>
      <c r="C14" s="1419" t="str">
        <v>Less: Commissions</v>
      </c>
      <c r="D14" s="1415">
        <v>-10267040.865981257</v>
      </c>
      <c r="E14" s="1411"/>
      <c r="F14" s="1418" cm="1">
        <f t="array" ref="F14:M14">SUMIF(_xlfn.ANCHORARRAY('r.CFm'!F$1),_xlfn.ANCHORARRAY(F$7),_xlfn.ANCHORARRAY('r.CFm'!F14))</f>
        <v>0</v>
      </c>
      <c r="G14" s="1418">
        <v>0</v>
      </c>
      <c r="H14" s="1418">
        <v>-940232.76271240832</v>
      </c>
      <c r="I14" s="1418">
        <v>-7347635.7177397665</v>
      </c>
      <c r="J14" s="1418">
        <v>0</v>
      </c>
      <c r="K14" s="1418">
        <v>-221196.07680010988</v>
      </c>
      <c r="L14" s="1418">
        <v>-702426.00260079908</v>
      </c>
      <c r="M14" s="1418">
        <v>-1055550.3061281715</v>
      </c>
      <c r="N14" s="1418"/>
      <c r="O14" s="1418"/>
      <c r="P14" s="1418"/>
      <c r="Q14" s="1418"/>
      <c r="R14" s="1418"/>
      <c r="S14" s="1418"/>
      <c r="T14" s="1418"/>
      <c r="U14" s="1418"/>
      <c r="V14" s="1418"/>
      <c r="W14" s="1418"/>
      <c r="X14" s="1418"/>
      <c r="Y14" s="1418"/>
      <c r="Z14" s="1418"/>
      <c r="AA14" s="1418"/>
      <c r="AB14" s="1418"/>
      <c r="AC14" s="1418"/>
      <c r="AD14" s="1418"/>
    </row>
    <row r="15" spans="2:30" ht="18" thickTop="1" thickBot="1">
      <c r="B15" s="161"/>
      <c r="C15" s="1419" t="str">
        <v>Less: Cost of Sale</v>
      </c>
      <c r="D15" s="1420">
        <v>-3422346.9553270852</v>
      </c>
      <c r="E15" s="1411"/>
      <c r="F15" s="1421" cm="1">
        <f t="array" ref="F15:M15">SUMIF(_xlfn.ANCHORARRAY('r.CFm'!F$1),_xlfn.ANCHORARRAY(F$7),_xlfn.ANCHORARRAY('r.CFm'!F15))</f>
        <v>0</v>
      </c>
      <c r="G15" s="1421">
        <v>0</v>
      </c>
      <c r="H15" s="1421">
        <v>-313410.92090413609</v>
      </c>
      <c r="I15" s="1421">
        <v>-2449211.9059132556</v>
      </c>
      <c r="J15" s="1421">
        <v>0</v>
      </c>
      <c r="K15" s="1421">
        <v>-73732.025600036621</v>
      </c>
      <c r="L15" s="1421">
        <v>-234142.00086693306</v>
      </c>
      <c r="M15" s="1421">
        <v>-351850.1020427238</v>
      </c>
      <c r="N15" s="1421"/>
      <c r="O15" s="1421"/>
      <c r="P15" s="1421"/>
      <c r="Q15" s="1421"/>
      <c r="R15" s="1421"/>
      <c r="S15" s="1421"/>
      <c r="T15" s="1421"/>
      <c r="U15" s="1421"/>
      <c r="V15" s="1421"/>
      <c r="W15" s="1421"/>
      <c r="X15" s="1421"/>
      <c r="Y15" s="1421"/>
      <c r="Z15" s="1421"/>
      <c r="AA15" s="1421"/>
      <c r="AB15" s="1421"/>
      <c r="AC15" s="1421"/>
      <c r="AD15" s="1421"/>
    </row>
    <row r="16" spans="2:30" ht="18" thickTop="1" thickBot="1">
      <c r="B16" s="161"/>
      <c r="C16" s="1423" t="str">
        <v>Net Sale Revenue</v>
      </c>
      <c r="D16" s="1415">
        <v>328545307.71140021</v>
      </c>
      <c r="E16" s="1411"/>
      <c r="F16" s="1416" cm="1">
        <f t="array" ref="F16:M16">SUMIF(_xlfn.ANCHORARRAY('r.CFm'!F$1),_xlfn.ANCHORARRAY(F$7),_xlfn.ANCHORARRAY('r.CFm'!F16))</f>
        <v>0</v>
      </c>
      <c r="G16" s="1416">
        <v>0</v>
      </c>
      <c r="H16" s="1416">
        <v>30087448.406797066</v>
      </c>
      <c r="I16" s="1416">
        <v>235124342.96767253</v>
      </c>
      <c r="J16" s="1416">
        <v>0</v>
      </c>
      <c r="K16" s="1416">
        <v>7078274.4576035161</v>
      </c>
      <c r="L16" s="1416">
        <v>22477632.083225571</v>
      </c>
      <c r="M16" s="1416">
        <v>33777609.796101488</v>
      </c>
      <c r="N16" s="1416"/>
      <c r="O16" s="1416"/>
      <c r="P16" s="1416"/>
      <c r="Q16" s="1416"/>
      <c r="R16" s="1416"/>
      <c r="S16" s="1416"/>
      <c r="T16" s="1416"/>
      <c r="U16" s="1416"/>
      <c r="V16" s="1416"/>
      <c r="W16" s="1416"/>
      <c r="X16" s="1416"/>
      <c r="Y16" s="1416"/>
      <c r="Z16" s="1416"/>
      <c r="AA16" s="1416"/>
      <c r="AB16" s="1416"/>
      <c r="AC16" s="1416"/>
      <c r="AD16" s="1416"/>
    </row>
    <row r="17" spans="1:14" ht="11.75" customHeight="1" thickTop="1" thickBot="1">
      <c r="A17" s="162"/>
      <c r="B17" s="161"/>
      <c r="C17" s="1424"/>
      <c r="D17" s="1415"/>
      <c r="E17" s="1411"/>
      <c r="F17" s="1425"/>
      <c r="G17" s="1425"/>
      <c r="H17" s="1425"/>
      <c r="I17" s="1425"/>
      <c r="J17" s="1425"/>
      <c r="K17" s="1425"/>
      <c r="L17" s="1426"/>
      <c r="M17" s="1426"/>
      <c r="N17" s="1426"/>
    </row>
    <row r="18" spans="1:14" ht="20" thickTop="1" thickBot="1">
      <c r="A18" s="162"/>
      <c r="B18" s="161"/>
      <c r="C18" s="1409" t="str" cm="1">
        <f t="array" ref="C18:C61">'r.CFm'!C18:C61</f>
        <v>Project Costs</v>
      </c>
      <c r="D18" s="1415"/>
      <c r="E18" s="1411"/>
      <c r="F18" s="1418"/>
      <c r="G18" s="1418"/>
      <c r="H18" s="1418"/>
      <c r="I18" s="1418"/>
      <c r="J18" s="1418"/>
      <c r="K18" s="1418"/>
      <c r="L18" s="1418"/>
      <c r="M18" s="1418"/>
      <c r="N18" s="1418"/>
    </row>
    <row r="19" spans="1:14" ht="18" thickTop="1" thickBot="1">
      <c r="A19" s="162"/>
      <c r="B19" s="161"/>
      <c r="C19" s="1422" t="str">
        <v>Land</v>
      </c>
      <c r="D19" s="1427">
        <f>SUM(_xlfn.ANCHORARRAY(F19))</f>
        <v>105000000</v>
      </c>
      <c r="E19" s="1411"/>
      <c r="F19" s="1418" cm="1">
        <f t="array" ref="F19:M19">SUMIF(_xlfn.ANCHORARRAY('r.CFm'!F$1),_xlfn.ANCHORARRAY(F$7),_xlfn.ANCHORARRAY('r.CFm'!F19))</f>
        <v>0</v>
      </c>
      <c r="G19" s="1418">
        <v>105000000</v>
      </c>
      <c r="H19" s="1418">
        <v>0</v>
      </c>
      <c r="I19" s="1418">
        <v>0</v>
      </c>
      <c r="J19" s="1418">
        <v>0</v>
      </c>
      <c r="K19" s="1418">
        <v>0</v>
      </c>
      <c r="L19" s="1418">
        <v>0</v>
      </c>
      <c r="M19" s="1418">
        <v>0</v>
      </c>
      <c r="N19" s="1418"/>
    </row>
    <row r="20" spans="1:14" ht="21" customHeight="1" thickTop="1" thickBot="1">
      <c r="A20" s="162"/>
      <c r="B20" s="161"/>
      <c r="C20" s="1428" t="str">
        <v>Planning, Engineering &amp; Dev Cost</v>
      </c>
      <c r="D20" s="1429"/>
      <c r="E20" s="1411"/>
      <c r="F20" s="1429"/>
      <c r="G20" s="1429"/>
      <c r="H20" s="1429"/>
      <c r="I20" s="1429"/>
      <c r="J20" s="1429"/>
      <c r="K20" s="1429"/>
      <c r="L20" s="1429"/>
      <c r="M20" s="1429"/>
      <c r="N20" s="1429"/>
    </row>
    <row r="21" spans="1:14" ht="17" thickTop="1" thickBot="1">
      <c r="A21" s="162">
        <f>IF(C21=0,0,1)</f>
        <v>1</v>
      </c>
      <c r="B21" s="161"/>
      <c r="C21" s="1430">
        <v>1.1000000000000001</v>
      </c>
      <c r="D21" s="1427">
        <f>SUM(_xlfn.ANCHORARRAY(F21))</f>
        <v>6139560.6249999991</v>
      </c>
      <c r="E21" s="1411"/>
      <c r="F21" s="1418" cm="1">
        <f t="array" ref="F21:M21">SUMIF(_xlfn.ANCHORARRAY('r.CFm'!F$1),_xlfn.ANCHORARRAY(F$7),_xlfn.ANCHORARRAY('r.CFm'!F21))</f>
        <v>2946989.0999999996</v>
      </c>
      <c r="G21" s="1418">
        <v>2946989.0999999996</v>
      </c>
      <c r="H21" s="1418">
        <v>245582.42499999999</v>
      </c>
      <c r="I21" s="1418">
        <v>0</v>
      </c>
      <c r="J21" s="1418">
        <v>0</v>
      </c>
      <c r="K21" s="1418">
        <v>0</v>
      </c>
      <c r="L21" s="1418">
        <v>0</v>
      </c>
      <c r="M21" s="1418">
        <v>0</v>
      </c>
      <c r="N21" s="1418"/>
    </row>
    <row r="22" spans="1:14" ht="17" thickTop="1" thickBot="1">
      <c r="A22" s="162">
        <f t="shared" ref="A22:A45" si="1">IF(C22=0,0,1)</f>
        <v>1</v>
      </c>
      <c r="B22" s="161"/>
      <c r="C22" s="1430">
        <v>1.2</v>
      </c>
      <c r="D22" s="1415">
        <f>SUM(_xlfn.ANCHORARRAY(F22))</f>
        <v>8452913.2686306685</v>
      </c>
      <c r="E22" s="1411"/>
      <c r="F22" s="1418" cm="1">
        <f t="array" ref="F22:M22">SUMIF(_xlfn.ANCHORARRAY('r.CFm'!F$1),_xlfn.ANCHORARRAY(F$7),_xlfn.ANCHORARRAY('r.CFm'!F22))</f>
        <v>0</v>
      </c>
      <c r="G22" s="1418">
        <v>469606.2927017039</v>
      </c>
      <c r="H22" s="1418">
        <v>5635275.5124204457</v>
      </c>
      <c r="I22" s="1418">
        <v>2348031.4635085193</v>
      </c>
      <c r="J22" s="1418">
        <v>0</v>
      </c>
      <c r="K22" s="1418">
        <v>0</v>
      </c>
      <c r="L22" s="1418">
        <v>0</v>
      </c>
      <c r="M22" s="1418">
        <v>0</v>
      </c>
      <c r="N22" s="1418"/>
    </row>
    <row r="23" spans="1:14" ht="17" thickTop="1" thickBot="1">
      <c r="A23" s="162">
        <f t="shared" si="1"/>
        <v>1</v>
      </c>
      <c r="B23" s="161"/>
      <c r="C23" s="1430">
        <v>2.1</v>
      </c>
      <c r="D23" s="1415">
        <f t="shared" ref="D23:D46" si="2">SUM(_xlfn.ANCHORARRAY(F23))</f>
        <v>11621514.815821692</v>
      </c>
      <c r="E23" s="1411"/>
      <c r="F23" s="1418" cm="1">
        <f t="array" ref="F23:M23">SUMIF(_xlfn.ANCHORARRAY('r.CFm'!F$1),_xlfn.ANCHORARRAY(F$7),_xlfn.ANCHORARRAY('r.CFm'!F23))</f>
        <v>0</v>
      </c>
      <c r="G23" s="1418">
        <v>484229.78399257042</v>
      </c>
      <c r="H23" s="1418">
        <v>5810757.4079108462</v>
      </c>
      <c r="I23" s="1418">
        <v>5326527.6239182753</v>
      </c>
      <c r="J23" s="1418">
        <v>0</v>
      </c>
      <c r="K23" s="1418">
        <v>0</v>
      </c>
      <c r="L23" s="1418">
        <v>0</v>
      </c>
      <c r="M23" s="1418">
        <v>0</v>
      </c>
      <c r="N23" s="1418"/>
    </row>
    <row r="24" spans="1:14" ht="17" thickTop="1" thickBot="1">
      <c r="A24" s="162">
        <f t="shared" si="1"/>
        <v>1</v>
      </c>
      <c r="B24" s="161"/>
      <c r="C24" s="1430">
        <v>2.2000000000000002</v>
      </c>
      <c r="D24" s="1415">
        <f t="shared" si="2"/>
        <v>2547084.9307376207</v>
      </c>
      <c r="E24" s="1411"/>
      <c r="F24" s="1418" cm="1">
        <f t="array" ref="F24:M24">SUMIF(_xlfn.ANCHORARRAY('r.CFm'!F$1),_xlfn.ANCHORARRAY(F$7),_xlfn.ANCHORARRAY('r.CFm'!F24))</f>
        <v>0</v>
      </c>
      <c r="G24" s="1418">
        <v>0</v>
      </c>
      <c r="H24" s="1418">
        <v>0</v>
      </c>
      <c r="I24" s="1418">
        <v>106128.53878073423</v>
      </c>
      <c r="J24" s="1418">
        <v>1273542.4653688103</v>
      </c>
      <c r="K24" s="1418">
        <v>1167413.9265880762</v>
      </c>
      <c r="L24" s="1418">
        <v>0</v>
      </c>
      <c r="M24" s="1418">
        <v>0</v>
      </c>
      <c r="N24" s="1418"/>
    </row>
    <row r="25" spans="1:14" ht="17" thickTop="1" thickBot="1">
      <c r="A25" s="162">
        <f t="shared" si="1"/>
        <v>1</v>
      </c>
      <c r="B25" s="161"/>
      <c r="C25" s="1430">
        <v>3.1</v>
      </c>
      <c r="D25" s="1415">
        <f t="shared" si="2"/>
        <v>0</v>
      </c>
      <c r="E25" s="1411"/>
      <c r="F25" s="1418" cm="1">
        <f t="array" ref="F25:M25">SUMIF(_xlfn.ANCHORARRAY('r.CFm'!F$1),_xlfn.ANCHORARRAY(F$7),_xlfn.ANCHORARRAY('r.CFm'!F25))</f>
        <v>0</v>
      </c>
      <c r="G25" s="1418">
        <v>0</v>
      </c>
      <c r="H25" s="1418">
        <v>0</v>
      </c>
      <c r="I25" s="1418">
        <v>0</v>
      </c>
      <c r="J25" s="1418">
        <v>0</v>
      </c>
      <c r="K25" s="1418">
        <v>0</v>
      </c>
      <c r="L25" s="1418">
        <v>0</v>
      </c>
      <c r="M25" s="1418">
        <v>0</v>
      </c>
      <c r="N25" s="1418"/>
    </row>
    <row r="26" spans="1:14" ht="17" thickTop="1" thickBot="1">
      <c r="A26" s="162">
        <f t="shared" si="1"/>
        <v>1</v>
      </c>
      <c r="B26" s="161"/>
      <c r="C26" s="1430">
        <v>3.2</v>
      </c>
      <c r="D26" s="1415">
        <f t="shared" si="2"/>
        <v>0</v>
      </c>
      <c r="E26" s="1411"/>
      <c r="F26" s="1418" cm="1">
        <f t="array" ref="F26:M26">SUMIF(_xlfn.ANCHORARRAY('r.CFm'!F$1),_xlfn.ANCHORARRAY(F$7),_xlfn.ANCHORARRAY('r.CFm'!F26))</f>
        <v>0</v>
      </c>
      <c r="G26" s="1418">
        <v>0</v>
      </c>
      <c r="H26" s="1418">
        <v>0</v>
      </c>
      <c r="I26" s="1418">
        <v>0</v>
      </c>
      <c r="J26" s="1418">
        <v>0</v>
      </c>
      <c r="K26" s="1418">
        <v>0</v>
      </c>
      <c r="L26" s="1418">
        <v>0</v>
      </c>
      <c r="M26" s="1418">
        <v>0</v>
      </c>
      <c r="N26" s="1418"/>
    </row>
    <row r="27" spans="1:14" ht="17" thickTop="1" thickBot="1">
      <c r="A27" s="162">
        <f t="shared" si="1"/>
        <v>1</v>
      </c>
      <c r="B27" s="161"/>
      <c r="C27" s="1430">
        <v>4.0999999999999996</v>
      </c>
      <c r="D27" s="1415">
        <f t="shared" si="2"/>
        <v>4000085.4681246523</v>
      </c>
      <c r="E27" s="1411"/>
      <c r="F27" s="1418" cm="1">
        <f t="array" ref="F27:M27">SUMIF(_xlfn.ANCHORARRAY('r.CFm'!F$1),_xlfn.ANCHORARRAY(F$7),_xlfn.ANCHORARRAY('r.CFm'!F27))</f>
        <v>0</v>
      </c>
      <c r="G27" s="1418">
        <v>0</v>
      </c>
      <c r="H27" s="1418">
        <v>0</v>
      </c>
      <c r="I27" s="1418">
        <v>0</v>
      </c>
      <c r="J27" s="1418">
        <v>222226.97045136962</v>
      </c>
      <c r="K27" s="1418">
        <v>2666723.6454164349</v>
      </c>
      <c r="L27" s="1418">
        <v>1111134.852256848</v>
      </c>
      <c r="M27" s="1418">
        <v>0</v>
      </c>
      <c r="N27" s="1418"/>
    </row>
    <row r="28" spans="1:14" ht="17" thickTop="1" thickBot="1">
      <c r="A28" s="162">
        <f t="shared" si="1"/>
        <v>1</v>
      </c>
      <c r="B28" s="161"/>
      <c r="C28" s="1430">
        <v>4.2</v>
      </c>
      <c r="D28" s="1420">
        <f t="shared" si="2"/>
        <v>6474465.1916132011</v>
      </c>
      <c r="E28" s="1411"/>
      <c r="F28" s="1421" cm="1">
        <f t="array" ref="F28:M28">SUMIF(_xlfn.ANCHORARRAY('r.CFm'!F$1),_xlfn.ANCHORARRAY(F$7),_xlfn.ANCHORARRAY('r.CFm'!F28))</f>
        <v>0</v>
      </c>
      <c r="G28" s="1421">
        <v>0</v>
      </c>
      <c r="H28" s="1421">
        <v>0</v>
      </c>
      <c r="I28" s="1421">
        <v>0</v>
      </c>
      <c r="J28" s="1421">
        <v>0</v>
      </c>
      <c r="K28" s="1421">
        <v>0</v>
      </c>
      <c r="L28" s="1421">
        <v>539538.76596776675</v>
      </c>
      <c r="M28" s="1421">
        <v>5934926.4256454343</v>
      </c>
      <c r="N28" s="1421"/>
    </row>
    <row r="29" spans="1:14" s="499" customFormat="1" ht="17" hidden="1" thickTop="1" thickBot="1">
      <c r="A29" s="162">
        <f t="shared" si="1"/>
        <v>0</v>
      </c>
      <c r="B29" s="161"/>
      <c r="C29">
        <v>0</v>
      </c>
      <c r="D29" s="1407">
        <f t="shared" si="2"/>
        <v>0</v>
      </c>
      <c r="E29"/>
      <c r="F29" s="713" cm="1">
        <f t="array" ref="F29:M29">SUMIF(_xlfn.ANCHORARRAY('r.CFm'!F$1),_xlfn.ANCHORARRAY(F$7),_xlfn.ANCHORARRAY('r.CFm'!F29))</f>
        <v>0</v>
      </c>
      <c r="G29" s="713">
        <v>0</v>
      </c>
      <c r="H29" s="713">
        <v>0</v>
      </c>
      <c r="I29" s="713">
        <v>0</v>
      </c>
      <c r="J29" s="713">
        <v>0</v>
      </c>
      <c r="K29" s="713">
        <v>0</v>
      </c>
      <c r="L29" s="713">
        <v>0</v>
      </c>
      <c r="M29" s="713">
        <v>0</v>
      </c>
      <c r="N29" s="713"/>
    </row>
    <row r="30" spans="1:14" s="499" customFormat="1" ht="17" hidden="1" thickTop="1" thickBot="1">
      <c r="A30" s="162">
        <f t="shared" si="1"/>
        <v>0</v>
      </c>
      <c r="B30" s="161"/>
      <c r="C30">
        <v>0</v>
      </c>
      <c r="D30" s="1408">
        <f t="shared" si="2"/>
        <v>0</v>
      </c>
      <c r="E30"/>
      <c r="F30" s="714" cm="1">
        <f t="array" ref="F30:M30">SUMIF(_xlfn.ANCHORARRAY('r.CFm'!F$1),_xlfn.ANCHORARRAY(F$7),_xlfn.ANCHORARRAY('r.CFm'!F30))</f>
        <v>0</v>
      </c>
      <c r="G30" s="714">
        <v>0</v>
      </c>
      <c r="H30" s="714">
        <v>0</v>
      </c>
      <c r="I30" s="714">
        <v>0</v>
      </c>
      <c r="J30" s="714">
        <v>0</v>
      </c>
      <c r="K30" s="714">
        <v>0</v>
      </c>
      <c r="L30" s="714">
        <v>0</v>
      </c>
      <c r="M30" s="714">
        <v>0</v>
      </c>
      <c r="N30" s="714"/>
    </row>
    <row r="31" spans="1:14" s="499" customFormat="1" ht="17" hidden="1" thickTop="1" thickBot="1">
      <c r="A31" s="162">
        <f t="shared" si="1"/>
        <v>0</v>
      </c>
      <c r="B31" s="161"/>
      <c r="C31">
        <v>0</v>
      </c>
      <c r="D31" s="1407">
        <f t="shared" si="2"/>
        <v>0</v>
      </c>
      <c r="E31"/>
      <c r="F31" s="713" cm="1">
        <f t="array" ref="F31:M31">SUMIF(_xlfn.ANCHORARRAY('r.CFm'!F$1),_xlfn.ANCHORARRAY(F$7),_xlfn.ANCHORARRAY('r.CFm'!F31))</f>
        <v>0</v>
      </c>
      <c r="G31" s="713">
        <v>0</v>
      </c>
      <c r="H31" s="713">
        <v>0</v>
      </c>
      <c r="I31" s="713">
        <v>0</v>
      </c>
      <c r="J31" s="713">
        <v>0</v>
      </c>
      <c r="K31" s="713">
        <v>0</v>
      </c>
      <c r="L31" s="713">
        <v>0</v>
      </c>
      <c r="M31" s="713">
        <v>0</v>
      </c>
      <c r="N31" s="713"/>
    </row>
    <row r="32" spans="1:14" s="499" customFormat="1" ht="17" hidden="1" thickTop="1" thickBot="1">
      <c r="A32" s="162">
        <f t="shared" si="1"/>
        <v>0</v>
      </c>
      <c r="B32" s="161"/>
      <c r="C32">
        <v>0</v>
      </c>
      <c r="D32" s="1408">
        <f t="shared" si="2"/>
        <v>0</v>
      </c>
      <c r="E32"/>
      <c r="F32" s="714" cm="1">
        <f t="array" ref="F32:M32">SUMIF(_xlfn.ANCHORARRAY('r.CFm'!F$1),_xlfn.ANCHORARRAY(F$7),_xlfn.ANCHORARRAY('r.CFm'!F32))</f>
        <v>0</v>
      </c>
      <c r="G32" s="714">
        <v>0</v>
      </c>
      <c r="H32" s="714">
        <v>0</v>
      </c>
      <c r="I32" s="714">
        <v>0</v>
      </c>
      <c r="J32" s="714">
        <v>0</v>
      </c>
      <c r="K32" s="714">
        <v>0</v>
      </c>
      <c r="L32" s="714">
        <v>0</v>
      </c>
      <c r="M32" s="714">
        <v>0</v>
      </c>
      <c r="N32" s="714"/>
    </row>
    <row r="33" spans="1:14" s="499" customFormat="1" ht="17" hidden="1" thickTop="1" thickBot="1">
      <c r="A33" s="162">
        <f t="shared" si="1"/>
        <v>0</v>
      </c>
      <c r="B33" s="161"/>
      <c r="C33">
        <v>0</v>
      </c>
      <c r="D33" s="1407">
        <f t="shared" si="2"/>
        <v>0</v>
      </c>
      <c r="E33"/>
      <c r="F33" s="713" cm="1">
        <f t="array" ref="F33:M33">SUMIF(_xlfn.ANCHORARRAY('r.CFm'!F$1),_xlfn.ANCHORARRAY(F$7),_xlfn.ANCHORARRAY('r.CFm'!F33))</f>
        <v>0</v>
      </c>
      <c r="G33" s="713">
        <v>0</v>
      </c>
      <c r="H33" s="713">
        <v>0</v>
      </c>
      <c r="I33" s="713">
        <v>0</v>
      </c>
      <c r="J33" s="713">
        <v>0</v>
      </c>
      <c r="K33" s="713">
        <v>0</v>
      </c>
      <c r="L33" s="713">
        <v>0</v>
      </c>
      <c r="M33" s="713">
        <v>0</v>
      </c>
      <c r="N33" s="713"/>
    </row>
    <row r="34" spans="1:14" s="499" customFormat="1" ht="17" hidden="1" thickTop="1" thickBot="1">
      <c r="A34" s="162">
        <f t="shared" si="1"/>
        <v>0</v>
      </c>
      <c r="B34" s="161"/>
      <c r="C34">
        <v>0</v>
      </c>
      <c r="D34" s="1408">
        <f t="shared" si="2"/>
        <v>0</v>
      </c>
      <c r="E34"/>
      <c r="F34" s="714" cm="1">
        <f t="array" ref="F34:M34">SUMIF(_xlfn.ANCHORARRAY('r.CFm'!F$1),_xlfn.ANCHORARRAY(F$7),_xlfn.ANCHORARRAY('r.CFm'!F34))</f>
        <v>0</v>
      </c>
      <c r="G34" s="714">
        <v>0</v>
      </c>
      <c r="H34" s="714">
        <v>0</v>
      </c>
      <c r="I34" s="714">
        <v>0</v>
      </c>
      <c r="J34" s="714">
        <v>0</v>
      </c>
      <c r="K34" s="714">
        <v>0</v>
      </c>
      <c r="L34" s="714">
        <v>0</v>
      </c>
      <c r="M34" s="714">
        <v>0</v>
      </c>
      <c r="N34" s="714"/>
    </row>
    <row r="35" spans="1:14" s="499" customFormat="1" ht="17" hidden="1" thickTop="1" thickBot="1">
      <c r="A35" s="162">
        <f t="shared" si="1"/>
        <v>0</v>
      </c>
      <c r="B35" s="161"/>
      <c r="C35">
        <v>0</v>
      </c>
      <c r="D35" s="1407">
        <f t="shared" si="2"/>
        <v>0</v>
      </c>
      <c r="E35"/>
      <c r="F35" s="713" cm="1">
        <f t="array" ref="F35:M35">SUMIF(_xlfn.ANCHORARRAY('r.CFm'!F$1),_xlfn.ANCHORARRAY(F$7),_xlfn.ANCHORARRAY('r.CFm'!F35))</f>
        <v>0</v>
      </c>
      <c r="G35" s="713">
        <v>0</v>
      </c>
      <c r="H35" s="713">
        <v>0</v>
      </c>
      <c r="I35" s="713">
        <v>0</v>
      </c>
      <c r="J35" s="713">
        <v>0</v>
      </c>
      <c r="K35" s="713">
        <v>0</v>
      </c>
      <c r="L35" s="713">
        <v>0</v>
      </c>
      <c r="M35" s="713">
        <v>0</v>
      </c>
      <c r="N35" s="713"/>
    </row>
    <row r="36" spans="1:14" s="499" customFormat="1" ht="17" hidden="1" thickTop="1" thickBot="1">
      <c r="A36" s="162">
        <f t="shared" si="1"/>
        <v>0</v>
      </c>
      <c r="B36" s="161"/>
      <c r="C36">
        <v>0</v>
      </c>
      <c r="D36" s="1408">
        <f t="shared" si="2"/>
        <v>0</v>
      </c>
      <c r="E36"/>
      <c r="F36" s="714" cm="1">
        <f t="array" ref="F36:M36">SUMIF(_xlfn.ANCHORARRAY('r.CFm'!F$1),_xlfn.ANCHORARRAY(F$7),_xlfn.ANCHORARRAY('r.CFm'!F36))</f>
        <v>0</v>
      </c>
      <c r="G36" s="714">
        <v>0</v>
      </c>
      <c r="H36" s="714">
        <v>0</v>
      </c>
      <c r="I36" s="714">
        <v>0</v>
      </c>
      <c r="J36" s="714">
        <v>0</v>
      </c>
      <c r="K36" s="714">
        <v>0</v>
      </c>
      <c r="L36" s="714">
        <v>0</v>
      </c>
      <c r="M36" s="714">
        <v>0</v>
      </c>
      <c r="N36" s="714"/>
    </row>
    <row r="37" spans="1:14" s="499" customFormat="1" ht="17" hidden="1" thickTop="1" thickBot="1">
      <c r="A37" s="162">
        <f t="shared" si="1"/>
        <v>0</v>
      </c>
      <c r="B37" s="161"/>
      <c r="C37">
        <v>0</v>
      </c>
      <c r="D37" s="1407">
        <f t="shared" si="2"/>
        <v>0</v>
      </c>
      <c r="E37"/>
      <c r="F37" s="713" cm="1">
        <f t="array" ref="F37:M37">SUMIF(_xlfn.ANCHORARRAY('r.CFm'!F$1),_xlfn.ANCHORARRAY(F$7),_xlfn.ANCHORARRAY('r.CFm'!F37))</f>
        <v>0</v>
      </c>
      <c r="G37" s="713">
        <v>0</v>
      </c>
      <c r="H37" s="713">
        <v>0</v>
      </c>
      <c r="I37" s="713">
        <v>0</v>
      </c>
      <c r="J37" s="713">
        <v>0</v>
      </c>
      <c r="K37" s="713">
        <v>0</v>
      </c>
      <c r="L37" s="713">
        <v>0</v>
      </c>
      <c r="M37" s="713">
        <v>0</v>
      </c>
      <c r="N37" s="713"/>
    </row>
    <row r="38" spans="1:14" s="499" customFormat="1" ht="17" hidden="1" thickTop="1" thickBot="1">
      <c r="A38" s="162">
        <f t="shared" si="1"/>
        <v>0</v>
      </c>
      <c r="B38" s="161"/>
      <c r="C38">
        <v>0</v>
      </c>
      <c r="D38" s="1408">
        <f t="shared" si="2"/>
        <v>0</v>
      </c>
      <c r="E38"/>
      <c r="F38" s="714" cm="1">
        <f t="array" ref="F38:M38">SUMIF(_xlfn.ANCHORARRAY('r.CFm'!F$1),_xlfn.ANCHORARRAY(F$7),_xlfn.ANCHORARRAY('r.CFm'!F38))</f>
        <v>0</v>
      </c>
      <c r="G38" s="714">
        <v>0</v>
      </c>
      <c r="H38" s="714">
        <v>0</v>
      </c>
      <c r="I38" s="714">
        <v>0</v>
      </c>
      <c r="J38" s="714">
        <v>0</v>
      </c>
      <c r="K38" s="714">
        <v>0</v>
      </c>
      <c r="L38" s="714">
        <v>0</v>
      </c>
      <c r="M38" s="714">
        <v>0</v>
      </c>
      <c r="N38" s="714"/>
    </row>
    <row r="39" spans="1:14" s="499" customFormat="1" ht="17" hidden="1" thickTop="1" thickBot="1">
      <c r="A39" s="162">
        <f t="shared" si="1"/>
        <v>0</v>
      </c>
      <c r="B39" s="161"/>
      <c r="C39">
        <v>0</v>
      </c>
      <c r="D39" s="1407">
        <f t="shared" si="2"/>
        <v>0</v>
      </c>
      <c r="E39"/>
      <c r="F39" s="713" cm="1">
        <f t="array" ref="F39:M39">SUMIF(_xlfn.ANCHORARRAY('r.CFm'!F$1),_xlfn.ANCHORARRAY(F$7),_xlfn.ANCHORARRAY('r.CFm'!F39))</f>
        <v>0</v>
      </c>
      <c r="G39" s="713">
        <v>0</v>
      </c>
      <c r="H39" s="713">
        <v>0</v>
      </c>
      <c r="I39" s="713">
        <v>0</v>
      </c>
      <c r="J39" s="713">
        <v>0</v>
      </c>
      <c r="K39" s="713">
        <v>0</v>
      </c>
      <c r="L39" s="713">
        <v>0</v>
      </c>
      <c r="M39" s="713">
        <v>0</v>
      </c>
      <c r="N39" s="713"/>
    </row>
    <row r="40" spans="1:14" s="499" customFormat="1" ht="17" hidden="1" thickTop="1" thickBot="1">
      <c r="A40" s="162">
        <f t="shared" si="1"/>
        <v>0</v>
      </c>
      <c r="B40" s="161"/>
      <c r="C40">
        <v>0</v>
      </c>
      <c r="D40" s="1408">
        <f t="shared" si="2"/>
        <v>0</v>
      </c>
      <c r="E40"/>
      <c r="F40" s="714" cm="1">
        <f t="array" ref="F40:M40">SUMIF(_xlfn.ANCHORARRAY('r.CFm'!F$1),_xlfn.ANCHORARRAY(F$7),_xlfn.ANCHORARRAY('r.CFm'!F40))</f>
        <v>0</v>
      </c>
      <c r="G40" s="714">
        <v>0</v>
      </c>
      <c r="H40" s="714">
        <v>0</v>
      </c>
      <c r="I40" s="714">
        <v>0</v>
      </c>
      <c r="J40" s="714">
        <v>0</v>
      </c>
      <c r="K40" s="714">
        <v>0</v>
      </c>
      <c r="L40" s="714">
        <v>0</v>
      </c>
      <c r="M40" s="714">
        <v>0</v>
      </c>
      <c r="N40" s="714"/>
    </row>
    <row r="41" spans="1:14" s="499" customFormat="1" ht="17" hidden="1" thickTop="1" thickBot="1">
      <c r="A41" s="162">
        <f t="shared" si="1"/>
        <v>0</v>
      </c>
      <c r="B41" s="161"/>
      <c r="C41">
        <v>0</v>
      </c>
      <c r="D41" s="1407">
        <f t="shared" si="2"/>
        <v>0</v>
      </c>
      <c r="E41"/>
      <c r="F41" s="713" cm="1">
        <f t="array" ref="F41:M41">SUMIF(_xlfn.ANCHORARRAY('r.CFm'!F$1),_xlfn.ANCHORARRAY(F$7),_xlfn.ANCHORARRAY('r.CFm'!F41))</f>
        <v>0</v>
      </c>
      <c r="G41" s="713">
        <v>0</v>
      </c>
      <c r="H41" s="713">
        <v>0</v>
      </c>
      <c r="I41" s="713">
        <v>0</v>
      </c>
      <c r="J41" s="713">
        <v>0</v>
      </c>
      <c r="K41" s="713">
        <v>0</v>
      </c>
      <c r="L41" s="713">
        <v>0</v>
      </c>
      <c r="M41" s="713">
        <v>0</v>
      </c>
      <c r="N41" s="713"/>
    </row>
    <row r="42" spans="1:14" s="499" customFormat="1" ht="17" hidden="1" thickTop="1" thickBot="1">
      <c r="A42" s="162">
        <f t="shared" si="1"/>
        <v>0</v>
      </c>
      <c r="B42" s="161"/>
      <c r="C42">
        <v>0</v>
      </c>
      <c r="D42" s="1408">
        <f t="shared" si="2"/>
        <v>0</v>
      </c>
      <c r="E42"/>
      <c r="F42" s="714" cm="1">
        <f t="array" ref="F42:M42">SUMIF(_xlfn.ANCHORARRAY('r.CFm'!F$1),_xlfn.ANCHORARRAY(F$7),_xlfn.ANCHORARRAY('r.CFm'!F42))</f>
        <v>0</v>
      </c>
      <c r="G42" s="714">
        <v>0</v>
      </c>
      <c r="H42" s="714">
        <v>0</v>
      </c>
      <c r="I42" s="714">
        <v>0</v>
      </c>
      <c r="J42" s="714">
        <v>0</v>
      </c>
      <c r="K42" s="714">
        <v>0</v>
      </c>
      <c r="L42" s="714">
        <v>0</v>
      </c>
      <c r="M42" s="714">
        <v>0</v>
      </c>
      <c r="N42" s="714"/>
    </row>
    <row r="43" spans="1:14" s="499" customFormat="1" ht="17" hidden="1" thickTop="1" thickBot="1">
      <c r="A43" s="162">
        <f t="shared" si="1"/>
        <v>0</v>
      </c>
      <c r="B43" s="161"/>
      <c r="C43">
        <v>0</v>
      </c>
      <c r="D43" s="1407">
        <f t="shared" si="2"/>
        <v>0</v>
      </c>
      <c r="E43"/>
      <c r="F43" s="713" cm="1">
        <f t="array" ref="F43:M43">SUMIF(_xlfn.ANCHORARRAY('r.CFm'!F$1),_xlfn.ANCHORARRAY(F$7),_xlfn.ANCHORARRAY('r.CFm'!F43))</f>
        <v>0</v>
      </c>
      <c r="G43" s="713">
        <v>0</v>
      </c>
      <c r="H43" s="713">
        <v>0</v>
      </c>
      <c r="I43" s="713">
        <v>0</v>
      </c>
      <c r="J43" s="713">
        <v>0</v>
      </c>
      <c r="K43" s="713">
        <v>0</v>
      </c>
      <c r="L43" s="713">
        <v>0</v>
      </c>
      <c r="M43" s="713">
        <v>0</v>
      </c>
      <c r="N43" s="713"/>
    </row>
    <row r="44" spans="1:14" s="499" customFormat="1" ht="17" hidden="1" thickTop="1" thickBot="1">
      <c r="A44" s="162">
        <f t="shared" si="1"/>
        <v>0</v>
      </c>
      <c r="B44" s="161"/>
      <c r="C44">
        <v>0</v>
      </c>
      <c r="D44" s="1408">
        <f t="shared" si="2"/>
        <v>0</v>
      </c>
      <c r="E44"/>
      <c r="F44" s="714" cm="1">
        <f t="array" ref="F44:M44">SUMIF(_xlfn.ANCHORARRAY('r.CFm'!F$1),_xlfn.ANCHORARRAY(F$7),_xlfn.ANCHORARRAY('r.CFm'!F44))</f>
        <v>0</v>
      </c>
      <c r="G44" s="714">
        <v>0</v>
      </c>
      <c r="H44" s="714">
        <v>0</v>
      </c>
      <c r="I44" s="714">
        <v>0</v>
      </c>
      <c r="J44" s="714">
        <v>0</v>
      </c>
      <c r="K44" s="714">
        <v>0</v>
      </c>
      <c r="L44" s="714">
        <v>0</v>
      </c>
      <c r="M44" s="714">
        <v>0</v>
      </c>
      <c r="N44" s="714"/>
    </row>
    <row r="45" spans="1:14" s="499" customFormat="1" ht="17" hidden="1" thickTop="1" thickBot="1">
      <c r="A45" s="162">
        <f t="shared" si="1"/>
        <v>0</v>
      </c>
      <c r="B45" s="161"/>
      <c r="C45">
        <v>0</v>
      </c>
      <c r="D45" s="1407">
        <f t="shared" si="2"/>
        <v>0</v>
      </c>
      <c r="E45"/>
      <c r="F45" s="713" cm="1">
        <f t="array" ref="F45:M45">SUMIF(_xlfn.ANCHORARRAY('r.CFm'!F$1),_xlfn.ANCHORARRAY(F$7),_xlfn.ANCHORARRAY('r.CFm'!F45))</f>
        <v>0</v>
      </c>
      <c r="G45" s="713">
        <v>0</v>
      </c>
      <c r="H45" s="713">
        <v>0</v>
      </c>
      <c r="I45" s="713">
        <v>0</v>
      </c>
      <c r="J45" s="713">
        <v>0</v>
      </c>
      <c r="K45" s="713">
        <v>0</v>
      </c>
      <c r="L45" s="713">
        <v>0</v>
      </c>
      <c r="M45" s="713">
        <v>0</v>
      </c>
      <c r="N45" s="713"/>
    </row>
    <row r="46" spans="1:14" ht="17" thickTop="1" thickBot="1">
      <c r="A46" s="162"/>
      <c r="B46" s="161"/>
      <c r="C46" s="1431" t="str">
        <v>Total: Planning, Engineering &amp; Dev Cost</v>
      </c>
      <c r="D46" s="1415">
        <f t="shared" si="2"/>
        <v>39235624.299927838</v>
      </c>
      <c r="E46" s="1411"/>
      <c r="F46" s="1418" cm="1">
        <f t="array" ref="F46:M46">SUMIF(_xlfn.ANCHORARRAY('r.CFm'!F$1),_xlfn.ANCHORARRAY(F$7),_xlfn.ANCHORARRAY('r.CFm'!F46))</f>
        <v>2946989.0999999996</v>
      </c>
      <c r="G46" s="1418">
        <v>3900825.1766942739</v>
      </c>
      <c r="H46" s="1418">
        <v>11691615.345331291</v>
      </c>
      <c r="I46" s="1418">
        <v>7780687.6262075305</v>
      </c>
      <c r="J46" s="1418">
        <v>1495769.43582018</v>
      </c>
      <c r="K46" s="1418">
        <v>3834137.5720045115</v>
      </c>
      <c r="L46" s="1418">
        <v>1650673.6182246148</v>
      </c>
      <c r="M46" s="1418">
        <v>5934926.4256454343</v>
      </c>
      <c r="N46" s="1418"/>
    </row>
    <row r="47" spans="1:14" ht="22.25" customHeight="1" thickTop="1" thickBot="1">
      <c r="A47" s="162"/>
      <c r="B47" s="161"/>
      <c r="C47" s="1428" t="str">
        <v>Property Carry Cost</v>
      </c>
      <c r="D47" s="1455"/>
      <c r="E47" s="1411"/>
      <c r="F47" s="1418"/>
      <c r="G47" s="1418"/>
      <c r="H47" s="1418"/>
      <c r="I47" s="1418"/>
      <c r="J47" s="1418"/>
      <c r="K47" s="1418"/>
      <c r="L47" s="1418"/>
      <c r="M47" s="1418"/>
      <c r="N47" s="1418"/>
    </row>
    <row r="48" spans="1:14" ht="17" thickTop="1" thickBot="1">
      <c r="A48" s="162"/>
      <c r="B48" s="161"/>
      <c r="C48" s="1433" t="str">
        <v>Property Tax</v>
      </c>
      <c r="D48" s="1415">
        <f ca="1">SUM(_xlfn.ANCHORARRAY(F48))</f>
        <v>338212.5</v>
      </c>
      <c r="E48" s="1411"/>
      <c r="F48" s="1418" cm="1">
        <f t="array" aca="1" ref="F48:M48" ca="1">SUMIF(_xlfn.ANCHORARRAY('r.CFm'!F$1),_xlfn.ANCHORARRAY(F$7),_xlfn.ANCHORARRAY('r.CFm'!F48))</f>
        <v>0</v>
      </c>
      <c r="G48" s="1418">
        <f ca="1"/>
        <v>75000</v>
      </c>
      <c r="H48" s="1418">
        <f ca="1"/>
        <v>70233.333333333328</v>
      </c>
      <c r="I48" s="1418">
        <f ca="1"/>
        <v>63420.833333333321</v>
      </c>
      <c r="J48" s="1418">
        <f ca="1"/>
        <v>37350</v>
      </c>
      <c r="K48" s="1418">
        <f ca="1"/>
        <v>36925</v>
      </c>
      <c r="L48" s="1418">
        <f ca="1"/>
        <v>28779.166666666672</v>
      </c>
      <c r="M48" s="1418">
        <f ca="1"/>
        <v>26504.166666666668</v>
      </c>
      <c r="N48" s="1418"/>
    </row>
    <row r="49" spans="3:14" ht="16" thickTop="1" thickBot="1">
      <c r="C49" s="1433" t="str">
        <v>Insurance</v>
      </c>
      <c r="D49" s="1415">
        <f ca="1">SUM(_xlfn.ANCHORARRAY(F49))</f>
        <v>202927.5</v>
      </c>
      <c r="E49" s="1411"/>
      <c r="F49" s="1418" cm="1">
        <f t="array" aca="1" ref="F49:M49" ca="1">SUMIF(_xlfn.ANCHORARRAY('r.CFm'!F$1),_xlfn.ANCHORARRAY(F$7),_xlfn.ANCHORARRAY('r.CFm'!F49))</f>
        <v>0</v>
      </c>
      <c r="G49" s="1418">
        <f ca="1"/>
        <v>45000</v>
      </c>
      <c r="H49" s="1418">
        <f ca="1"/>
        <v>42140</v>
      </c>
      <c r="I49" s="1418">
        <f ca="1"/>
        <v>38052.5</v>
      </c>
      <c r="J49" s="1418">
        <f ca="1"/>
        <v>22410</v>
      </c>
      <c r="K49" s="1418">
        <f ca="1"/>
        <v>22155</v>
      </c>
      <c r="L49" s="1418">
        <f ca="1"/>
        <v>17267.5</v>
      </c>
      <c r="M49" s="1418">
        <f ca="1"/>
        <v>15902.5</v>
      </c>
      <c r="N49" s="1418"/>
    </row>
    <row r="50" spans="3:14" ht="16" thickTop="1" thickBot="1">
      <c r="C50" s="1433" t="str">
        <v>Other 1</v>
      </c>
      <c r="D50" s="1415">
        <f ca="1">SUM(_xlfn.ANCHORARRAY(F50))</f>
        <v>0</v>
      </c>
      <c r="E50" s="1411"/>
      <c r="F50" s="1418" cm="1">
        <f t="array" aca="1" ref="F50:M50" ca="1">SUMIF(_xlfn.ANCHORARRAY('r.CFm'!F$1),_xlfn.ANCHORARRAY(F$7),_xlfn.ANCHORARRAY('r.CFm'!F50))</f>
        <v>0</v>
      </c>
      <c r="G50" s="1434">
        <f ca="1"/>
        <v>0</v>
      </c>
      <c r="H50" s="1434">
        <f ca="1"/>
        <v>0</v>
      </c>
      <c r="I50" s="1434">
        <f ca="1"/>
        <v>0</v>
      </c>
      <c r="J50" s="1434">
        <f ca="1"/>
        <v>0</v>
      </c>
      <c r="K50" s="1434">
        <f ca="1"/>
        <v>0</v>
      </c>
      <c r="L50" s="1434">
        <f ca="1"/>
        <v>0</v>
      </c>
      <c r="M50" s="1434">
        <f ca="1"/>
        <v>0</v>
      </c>
      <c r="N50" s="1434"/>
    </row>
    <row r="51" spans="3:14" ht="16" thickTop="1" thickBot="1">
      <c r="C51" s="1433" t="str">
        <v>Other 2</v>
      </c>
      <c r="D51" s="1420">
        <f ca="1">SUM(_xlfn.ANCHORARRAY(F51))</f>
        <v>0</v>
      </c>
      <c r="E51" s="1411"/>
      <c r="F51" s="1421" cm="1">
        <f t="array" aca="1" ref="F51:M51" ca="1">SUMIF(_xlfn.ANCHORARRAY('r.CFm'!F$1),_xlfn.ANCHORARRAY(F$7),_xlfn.ANCHORARRAY('r.CFm'!F51))</f>
        <v>0</v>
      </c>
      <c r="G51" s="1421">
        <f ca="1"/>
        <v>0</v>
      </c>
      <c r="H51" s="1421">
        <f ca="1"/>
        <v>0</v>
      </c>
      <c r="I51" s="1421">
        <f ca="1"/>
        <v>0</v>
      </c>
      <c r="J51" s="1421">
        <f ca="1"/>
        <v>0</v>
      </c>
      <c r="K51" s="1421">
        <f ca="1"/>
        <v>0</v>
      </c>
      <c r="L51" s="1421">
        <f ca="1"/>
        <v>0</v>
      </c>
      <c r="M51" s="1421">
        <f ca="1"/>
        <v>0</v>
      </c>
      <c r="N51" s="1421"/>
    </row>
    <row r="52" spans="3:14" ht="18" thickTop="1" thickBot="1">
      <c r="C52" s="1435" t="str">
        <v>Total: Property Carry Cost</v>
      </c>
      <c r="D52" s="1415">
        <f ca="1">SUM(_xlfn.ANCHORARRAY(F52))</f>
        <v>541140.00000000012</v>
      </c>
      <c r="E52" s="1411"/>
      <c r="F52" s="1418" cm="1">
        <f t="array" aca="1" ref="F52:M52" ca="1">SUMIF(_xlfn.ANCHORARRAY('r.CFm'!F$1),_xlfn.ANCHORARRAY(F$7),_xlfn.ANCHORARRAY('r.CFm'!F52))</f>
        <v>0</v>
      </c>
      <c r="G52" s="1418">
        <f ca="1"/>
        <v>120000</v>
      </c>
      <c r="H52" s="1418">
        <f ca="1"/>
        <v>112373.33333333337</v>
      </c>
      <c r="I52" s="1418">
        <f ca="1"/>
        <v>101473.33333333337</v>
      </c>
      <c r="J52" s="1418">
        <f ca="1"/>
        <v>59760</v>
      </c>
      <c r="K52" s="1418">
        <f ca="1"/>
        <v>59080</v>
      </c>
      <c r="L52" s="1418">
        <f ca="1"/>
        <v>46046.666666666664</v>
      </c>
      <c r="M52" s="1418">
        <f ca="1"/>
        <v>42406.666666666672</v>
      </c>
      <c r="N52" s="1418"/>
    </row>
    <row r="53" spans="3:14" ht="21" customHeight="1" thickTop="1" thickBot="1">
      <c r="C53" s="1428" t="str">
        <v>Project Overhead</v>
      </c>
      <c r="D53" s="1455"/>
      <c r="E53" s="1411"/>
      <c r="F53" s="1418"/>
      <c r="G53" s="1418"/>
      <c r="H53" s="1418"/>
      <c r="I53" s="1418"/>
      <c r="J53" s="1418"/>
      <c r="K53" s="1418"/>
      <c r="L53" s="1418"/>
      <c r="M53" s="1418"/>
      <c r="N53" s="1418"/>
    </row>
    <row r="54" spans="3:14" ht="16" thickTop="1" thickBot="1">
      <c r="C54" s="1433" t="str">
        <v>Management Fees</v>
      </c>
      <c r="D54" s="1415">
        <f t="shared" ref="D54:D62" si="3">SUM(_xlfn.ANCHORARRAY(F54))</f>
        <v>2375000</v>
      </c>
      <c r="E54" s="1411"/>
      <c r="F54" s="1418" cm="1">
        <f t="array" ref="F54:M54">SUMIF(_xlfn.ANCHORARRAY('r.CFm'!F$1),_xlfn.ANCHORARRAY(F$7),_xlfn.ANCHORARRAY('r.CFm'!F54))</f>
        <v>300000</v>
      </c>
      <c r="G54" s="1418">
        <v>300000</v>
      </c>
      <c r="H54" s="1418">
        <v>300000</v>
      </c>
      <c r="I54" s="1418">
        <v>300000</v>
      </c>
      <c r="J54" s="1418">
        <v>300000</v>
      </c>
      <c r="K54" s="1418">
        <v>300000</v>
      </c>
      <c r="L54" s="1418">
        <v>300000</v>
      </c>
      <c r="M54" s="1418">
        <v>275000</v>
      </c>
      <c r="N54" s="1418"/>
    </row>
    <row r="55" spans="3:14" ht="16" thickTop="1" thickBot="1">
      <c r="C55" s="1433" t="str">
        <v>General &amp; Administrative</v>
      </c>
      <c r="D55" s="1415">
        <f t="shared" si="3"/>
        <v>395833.33333333326</v>
      </c>
      <c r="E55" s="1411"/>
      <c r="F55" s="1418" cm="1">
        <f t="array" ref="F55:M55">SUMIF(_xlfn.ANCHORARRAY('r.CFm'!F$1),_xlfn.ANCHORARRAY(F$7),_xlfn.ANCHORARRAY('r.CFm'!F55))</f>
        <v>49999.999999999993</v>
      </c>
      <c r="G55" s="1418">
        <v>49999.999999999993</v>
      </c>
      <c r="H55" s="1418">
        <v>49999.999999999993</v>
      </c>
      <c r="I55" s="1418">
        <v>49999.999999999993</v>
      </c>
      <c r="J55" s="1418">
        <v>49999.999999999993</v>
      </c>
      <c r="K55" s="1418">
        <v>49999.999999999993</v>
      </c>
      <c r="L55" s="1418">
        <v>49999.999999999993</v>
      </c>
      <c r="M55" s="1418">
        <v>45833.333333333328</v>
      </c>
      <c r="N55" s="1418"/>
    </row>
    <row r="56" spans="3:14" ht="16" thickTop="1" thickBot="1">
      <c r="C56" s="1433" t="str">
        <v>Legal &amp; Accounting</v>
      </c>
      <c r="D56" s="1415">
        <f t="shared" si="3"/>
        <v>79166.666666666672</v>
      </c>
      <c r="E56" s="1411"/>
      <c r="F56" s="1418" cm="1">
        <f t="array" ref="F56:M56">SUMIF(_xlfn.ANCHORARRAY('r.CFm'!F$1),_xlfn.ANCHORARRAY(F$7),_xlfn.ANCHORARRAY('r.CFm'!F56))</f>
        <v>10000</v>
      </c>
      <c r="G56" s="1418">
        <v>10000</v>
      </c>
      <c r="H56" s="1418">
        <v>10000</v>
      </c>
      <c r="I56" s="1418">
        <v>10000</v>
      </c>
      <c r="J56" s="1418">
        <v>10000</v>
      </c>
      <c r="K56" s="1418">
        <v>10000</v>
      </c>
      <c r="L56" s="1418">
        <v>10000</v>
      </c>
      <c r="M56" s="1418">
        <v>9166.6666666666661</v>
      </c>
      <c r="N56" s="1418"/>
    </row>
    <row r="57" spans="3:14" ht="16" thickTop="1" thickBot="1">
      <c r="C57" s="1433" t="str">
        <v>Other</v>
      </c>
      <c r="D57" s="1415">
        <f t="shared" si="3"/>
        <v>0</v>
      </c>
      <c r="E57" s="1411"/>
      <c r="F57" s="1418" cm="1">
        <f t="array" ref="F57:M57">SUMIF(_xlfn.ANCHORARRAY('r.CFm'!F$1),_xlfn.ANCHORARRAY(F$7),_xlfn.ANCHORARRAY('r.CFm'!F57))</f>
        <v>0</v>
      </c>
      <c r="G57" s="1418">
        <v>0</v>
      </c>
      <c r="H57" s="1418">
        <v>0</v>
      </c>
      <c r="I57" s="1418">
        <v>0</v>
      </c>
      <c r="J57" s="1418">
        <v>0</v>
      </c>
      <c r="K57" s="1418">
        <v>0</v>
      </c>
      <c r="L57" s="1418">
        <v>0</v>
      </c>
      <c r="M57" s="1418">
        <v>0</v>
      </c>
      <c r="N57" s="1418"/>
    </row>
    <row r="58" spans="3:14" ht="16" thickTop="1" thickBot="1">
      <c r="C58" s="1433" t="str">
        <v>Acqusition Fee to GP [Land]</v>
      </c>
      <c r="D58" s="1415">
        <f t="shared" si="3"/>
        <v>1050000</v>
      </c>
      <c r="E58" s="1411"/>
      <c r="F58" s="1418" cm="1">
        <f t="array" ref="F58:M58">SUMIF(_xlfn.ANCHORARRAY('r.CFm'!F$1),_xlfn.ANCHORARRAY(F$7),_xlfn.ANCHORARRAY('r.CFm'!F58))</f>
        <v>0</v>
      </c>
      <c r="G58" s="1418">
        <v>1050000</v>
      </c>
      <c r="H58" s="1418">
        <v>0</v>
      </c>
      <c r="I58" s="1418">
        <v>0</v>
      </c>
      <c r="J58" s="1418">
        <v>0</v>
      </c>
      <c r="K58" s="1418">
        <v>0</v>
      </c>
      <c r="L58" s="1418">
        <v>0</v>
      </c>
      <c r="M58" s="1418">
        <v>0</v>
      </c>
      <c r="N58" s="1418"/>
    </row>
    <row r="59" spans="3:14" ht="18" thickTop="1" thickBot="1">
      <c r="C59" s="1450" t="str">
        <v>Disposition Fee [Net Revenue]</v>
      </c>
      <c r="D59" s="1415">
        <f t="shared" si="3"/>
        <v>3422346.9553270857</v>
      </c>
      <c r="E59" s="1411"/>
      <c r="F59" s="1418" cm="1">
        <f t="array" ref="F59:M59">SUMIF(_xlfn.ANCHORARRAY('r.CFm'!F$1),_xlfn.ANCHORARRAY(F$7),_xlfn.ANCHORARRAY('r.CFm'!F59))</f>
        <v>0</v>
      </c>
      <c r="G59" s="1418">
        <v>0</v>
      </c>
      <c r="H59" s="1418">
        <v>313410.92090413609</v>
      </c>
      <c r="I59" s="1418">
        <v>2449211.9059132561</v>
      </c>
      <c r="J59" s="1418">
        <v>0</v>
      </c>
      <c r="K59" s="1418">
        <v>73732.025600036621</v>
      </c>
      <c r="L59" s="1418">
        <v>234142.00086693303</v>
      </c>
      <c r="M59" s="1418">
        <v>351850.10204272385</v>
      </c>
      <c r="N59" s="1418"/>
    </row>
    <row r="60" spans="3:14" ht="16" thickTop="1" thickBot="1">
      <c r="C60" s="1431" t="str">
        <v>Total Project Overhead</v>
      </c>
      <c r="D60" s="1420">
        <f t="shared" si="3"/>
        <v>7322346.9553270862</v>
      </c>
      <c r="E60" s="1411"/>
      <c r="F60" s="1436" cm="1">
        <f t="array" ref="F60:M60">SUMIF(_xlfn.ANCHORARRAY('r.CFm'!F$1),_xlfn.ANCHORARRAY(F$7),_xlfn.ANCHORARRAY('r.CFm'!F60))</f>
        <v>360000</v>
      </c>
      <c r="G60" s="1452">
        <v>1410000</v>
      </c>
      <c r="H60" s="1452">
        <v>673410.92090413603</v>
      </c>
      <c r="I60" s="1452">
        <v>2809211.9059132561</v>
      </c>
      <c r="J60" s="1452">
        <v>360000</v>
      </c>
      <c r="K60" s="1452">
        <v>433732.02560003661</v>
      </c>
      <c r="L60" s="1452">
        <v>594142.00086693303</v>
      </c>
      <c r="M60" s="1452">
        <v>681850.10204272391</v>
      </c>
      <c r="N60" s="1452"/>
    </row>
    <row r="61" spans="3:14" ht="19" customHeight="1" thickTop="1" thickBot="1">
      <c r="C61" s="1437" t="str">
        <v>Total Project Costs</v>
      </c>
      <c r="D61" s="1453">
        <f t="shared" ca="1" si="3"/>
        <v>152099111.25525489</v>
      </c>
      <c r="E61" s="191"/>
      <c r="F61" s="1454" cm="1">
        <f t="array" aca="1" ref="F61:M61" ca="1">SUMIF(_xlfn.ANCHORARRAY('r.CFm'!F$1),_xlfn.ANCHORARRAY(F$7),_xlfn.ANCHORARRAY('r.CFm'!F61))</f>
        <v>3306989.0999999992</v>
      </c>
      <c r="G61" s="1454">
        <f ca="1"/>
        <v>110430825.17669424</v>
      </c>
      <c r="H61" s="1454">
        <f ca="1"/>
        <v>12477399.59956876</v>
      </c>
      <c r="I61" s="1454">
        <f ca="1"/>
        <v>10691372.865454115</v>
      </c>
      <c r="J61" s="1454">
        <f ca="1"/>
        <v>1915529.43582018</v>
      </c>
      <c r="K61" s="1454">
        <f ca="1"/>
        <v>4326949.5976045486</v>
      </c>
      <c r="L61" s="1454">
        <f ca="1"/>
        <v>2290862.285758215</v>
      </c>
      <c r="M61" s="1454">
        <f ca="1"/>
        <v>6659183.1943548257</v>
      </c>
      <c r="N61" s="1454"/>
    </row>
    <row r="62" spans="3:14" ht="24" customHeight="1" thickTop="1" thickBot="1">
      <c r="C62" s="1409" t="str">
        <f>'r.CFm'!C63</f>
        <v>Project Net Income</v>
      </c>
      <c r="D62" s="1432">
        <f t="shared" ca="1" si="3"/>
        <v>176446196.45614529</v>
      </c>
      <c r="E62" s="1411"/>
      <c r="F62" s="1416" cm="1">
        <f t="array" aca="1" ref="F62:M62" ca="1">SUMIF(_xlfn.ANCHORARRAY('r.CFm'!F$1),_xlfn.ANCHORARRAY(F$7),_xlfn.ANCHORARRAY('r.CFm'!F63))</f>
        <v>-3306989.0999999992</v>
      </c>
      <c r="G62" s="1416">
        <f ca="1"/>
        <v>-110430825.17669424</v>
      </c>
      <c r="H62" s="1416">
        <f ca="1"/>
        <v>17610048.807228312</v>
      </c>
      <c r="I62" s="1416">
        <f ca="1"/>
        <v>224432970.10221842</v>
      </c>
      <c r="J62" s="1416">
        <f ca="1"/>
        <v>-1915529.43582018</v>
      </c>
      <c r="K62" s="1416">
        <f ca="1"/>
        <v>2751324.8599989675</v>
      </c>
      <c r="L62" s="1416">
        <f ca="1"/>
        <v>20186769.797467355</v>
      </c>
      <c r="M62" s="1416">
        <f ca="1"/>
        <v>27118426.601746663</v>
      </c>
      <c r="N62" s="1416"/>
    </row>
    <row r="63" spans="3:14" ht="16" thickTop="1" thickBot="1">
      <c r="C63" s="1411"/>
      <c r="D63" s="1415"/>
      <c r="E63" s="1411"/>
      <c r="F63" s="1418"/>
      <c r="G63" s="1418"/>
      <c r="H63" s="1418"/>
      <c r="I63" s="1418"/>
      <c r="J63" s="1418"/>
      <c r="K63" s="1418"/>
      <c r="L63" s="1418"/>
      <c r="M63" s="1418"/>
      <c r="N63" s="1418"/>
    </row>
    <row r="64" spans="3:14" ht="16" thickTop="1" thickBot="1">
      <c r="C64" s="1411"/>
      <c r="D64" s="1415"/>
      <c r="E64" s="1411"/>
      <c r="F64" s="1418"/>
      <c r="G64" s="1418"/>
      <c r="H64" s="1418"/>
      <c r="I64" s="1418"/>
      <c r="J64" s="1418"/>
      <c r="K64" s="1418"/>
      <c r="L64" s="1418"/>
      <c r="M64" s="1418"/>
      <c r="N64" s="1418"/>
    </row>
    <row r="65" spans="3:14" ht="16" thickTop="1" thickBot="1">
      <c r="C65" s="1411"/>
      <c r="D65" s="1415"/>
      <c r="E65" s="1411"/>
      <c r="F65" s="1418"/>
      <c r="G65" s="1418"/>
      <c r="H65" s="1418"/>
      <c r="I65" s="1418"/>
      <c r="J65" s="1418"/>
      <c r="K65" s="1418"/>
      <c r="L65" s="1418"/>
      <c r="M65" s="1418"/>
      <c r="N65" s="1418"/>
    </row>
    <row r="66" spans="3:14" ht="16" thickTop="1" thickBot="1">
      <c r="C66" s="1411"/>
      <c r="D66" s="1415"/>
      <c r="E66" s="1411"/>
      <c r="F66" s="1418"/>
      <c r="G66" s="1418"/>
      <c r="H66" s="1418"/>
      <c r="I66" s="1418"/>
      <c r="J66" s="1418"/>
      <c r="K66" s="1418"/>
      <c r="L66" s="1418"/>
      <c r="M66" s="1418"/>
      <c r="N66" s="1418"/>
    </row>
  </sheetData>
  <autoFilter ref="A21:A45" xr:uid="{F0C6DEFC-16D7-D248-A1A9-DF8EB4FDBC6E}">
    <filterColumn colId="0">
      <filters>
        <filter val="1"/>
      </filters>
    </filterColumn>
  </autoFilter>
  <conditionalFormatting sqref="F2:AD67">
    <cfRule type="expression" dxfId="20" priority="5">
      <formula>F$7=""</formula>
    </cfRule>
  </conditionalFormatting>
  <pageMargins left="0.25" right="0.25" top="0.75" bottom="0.75" header="0.3" footer="0.3"/>
  <pageSetup scale="53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FCB9B-20E8-F342-B4AA-9F92C4FDD5C2}">
  <sheetPr codeName="Sheet9">
    <tabColor rgb="FF0070C0"/>
    <pageSetUpPr fitToPage="1"/>
  </sheetPr>
  <dimension ref="A1:AZ53"/>
  <sheetViews>
    <sheetView showGridLines="0" topLeftCell="B13" workbookViewId="0">
      <selection activeCell="F13" sqref="F13"/>
    </sheetView>
  </sheetViews>
  <sheetFormatPr baseColWidth="10" defaultColWidth="0" defaultRowHeight="0" customHeight="1" zeroHeight="1"/>
  <cols>
    <col min="1" max="1" width="0" hidden="1" customWidth="1"/>
    <col min="2" max="2" width="2.6640625" customWidth="1"/>
    <col min="3" max="3" width="34.33203125" customWidth="1"/>
    <col min="4" max="4" width="13.33203125" bestFit="1" customWidth="1"/>
    <col min="5" max="5" width="10.33203125" bestFit="1" customWidth="1"/>
    <col min="6" max="13" width="14.6640625" customWidth="1"/>
    <col min="14" max="14" width="10" customWidth="1"/>
    <col min="15" max="17" width="13.33203125" bestFit="1" customWidth="1"/>
    <col min="18" max="19" width="14.1640625" customWidth="1"/>
    <col min="20" max="20" width="13.33203125" bestFit="1" customWidth="1"/>
    <col min="21" max="21" width="12" bestFit="1" customWidth="1"/>
    <col min="22" max="28" width="13.33203125" bestFit="1" customWidth="1"/>
    <col min="29" max="52" width="12.1640625" hidden="1" customWidth="1"/>
    <col min="53" max="16384" width="9" hidden="1"/>
  </cols>
  <sheetData>
    <row r="1" spans="2:52" ht="15" hidden="1">
      <c r="B1" s="163"/>
      <c r="C1" s="163"/>
      <c r="D1" s="163"/>
      <c r="E1" s="163"/>
      <c r="F1" s="162">
        <f t="shared" ref="F1:Y1" ca="1" si="0">IF(OR(F8=0,F46=0),0,1)</f>
        <v>1</v>
      </c>
      <c r="G1" s="162">
        <f t="shared" ca="1" si="0"/>
        <v>1</v>
      </c>
      <c r="H1" s="162">
        <f t="shared" ca="1" si="0"/>
        <v>1</v>
      </c>
      <c r="I1" s="162">
        <f t="shared" ca="1" si="0"/>
        <v>1</v>
      </c>
      <c r="J1" s="162">
        <f t="shared" ca="1" si="0"/>
        <v>1</v>
      </c>
      <c r="K1" s="162">
        <f t="shared" ca="1" si="0"/>
        <v>1</v>
      </c>
      <c r="L1" s="162">
        <f t="shared" ca="1" si="0"/>
        <v>1</v>
      </c>
      <c r="M1" s="162">
        <f t="shared" ca="1" si="0"/>
        <v>1</v>
      </c>
      <c r="N1" s="162">
        <f t="shared" ca="1" si="0"/>
        <v>0</v>
      </c>
      <c r="O1" s="162">
        <f t="shared" ca="1" si="0"/>
        <v>0</v>
      </c>
      <c r="P1" s="162">
        <f t="shared" ca="1" si="0"/>
        <v>0</v>
      </c>
      <c r="Q1" s="162">
        <f t="shared" ca="1" si="0"/>
        <v>0</v>
      </c>
      <c r="R1" s="162">
        <f t="shared" ca="1" si="0"/>
        <v>0</v>
      </c>
      <c r="S1" s="162">
        <f t="shared" ca="1" si="0"/>
        <v>0</v>
      </c>
      <c r="T1" s="162">
        <f t="shared" ca="1" si="0"/>
        <v>0</v>
      </c>
      <c r="U1" s="162">
        <f t="shared" ca="1" si="0"/>
        <v>0</v>
      </c>
      <c r="V1" s="162">
        <f t="shared" ca="1" si="0"/>
        <v>0</v>
      </c>
      <c r="W1" s="162">
        <f t="shared" ca="1" si="0"/>
        <v>0</v>
      </c>
      <c r="X1" s="162">
        <f t="shared" ca="1" si="0"/>
        <v>0</v>
      </c>
      <c r="Y1" s="162">
        <f t="shared" ca="1" si="0"/>
        <v>0</v>
      </c>
      <c r="Z1" s="162">
        <f t="shared" ref="Z1:AZ1" si="1">IF(Z8=0,0,1)</f>
        <v>0</v>
      </c>
      <c r="AA1" s="162">
        <f t="shared" si="1"/>
        <v>0</v>
      </c>
      <c r="AB1" s="162">
        <f t="shared" si="1"/>
        <v>0</v>
      </c>
      <c r="AC1" s="162">
        <f t="shared" si="1"/>
        <v>0</v>
      </c>
      <c r="AD1" s="162">
        <f t="shared" si="1"/>
        <v>0</v>
      </c>
      <c r="AE1" s="162">
        <f t="shared" si="1"/>
        <v>0</v>
      </c>
      <c r="AF1" s="162">
        <f t="shared" si="1"/>
        <v>0</v>
      </c>
      <c r="AG1" s="162">
        <f t="shared" si="1"/>
        <v>0</v>
      </c>
      <c r="AH1" s="162">
        <f t="shared" si="1"/>
        <v>0</v>
      </c>
      <c r="AI1" s="162">
        <f t="shared" si="1"/>
        <v>0</v>
      </c>
      <c r="AJ1" s="162">
        <f t="shared" si="1"/>
        <v>0</v>
      </c>
      <c r="AK1" s="162">
        <f t="shared" si="1"/>
        <v>0</v>
      </c>
      <c r="AL1" s="162">
        <f t="shared" si="1"/>
        <v>0</v>
      </c>
      <c r="AM1" s="162">
        <f t="shared" si="1"/>
        <v>0</v>
      </c>
      <c r="AN1" s="162">
        <f t="shared" si="1"/>
        <v>0</v>
      </c>
      <c r="AO1" s="162">
        <f t="shared" si="1"/>
        <v>0</v>
      </c>
      <c r="AP1" s="162">
        <f t="shared" si="1"/>
        <v>0</v>
      </c>
      <c r="AQ1" s="162">
        <f t="shared" si="1"/>
        <v>0</v>
      </c>
      <c r="AR1" s="162">
        <f t="shared" si="1"/>
        <v>0</v>
      </c>
      <c r="AS1" s="162">
        <f t="shared" si="1"/>
        <v>0</v>
      </c>
      <c r="AT1" s="162">
        <f t="shared" si="1"/>
        <v>0</v>
      </c>
      <c r="AU1" s="162">
        <f t="shared" si="1"/>
        <v>0</v>
      </c>
      <c r="AV1" s="162">
        <f t="shared" si="1"/>
        <v>0</v>
      </c>
      <c r="AW1" s="162">
        <f t="shared" si="1"/>
        <v>0</v>
      </c>
      <c r="AX1" s="162">
        <f t="shared" si="1"/>
        <v>0</v>
      </c>
      <c r="AY1" s="162">
        <f t="shared" si="1"/>
        <v>0</v>
      </c>
      <c r="AZ1" s="162">
        <f t="shared" si="1"/>
        <v>0</v>
      </c>
    </row>
    <row r="2" spans="2:52" ht="20">
      <c r="B2" s="31" t="str">
        <f>i_Project.Name</f>
        <v>Peoria Lakes</v>
      </c>
      <c r="C2" s="163"/>
      <c r="D2" s="163"/>
      <c r="E2" s="163"/>
      <c r="F2" s="163"/>
      <c r="G2" s="163"/>
      <c r="H2" s="163"/>
      <c r="I2" s="163"/>
      <c r="J2" s="163"/>
      <c r="K2" s="164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</row>
    <row r="3" spans="2:52" ht="15">
      <c r="B3" s="32" t="str">
        <f>i_Project.Location</f>
        <v>Peoria Lakes</v>
      </c>
      <c r="C3" s="163"/>
      <c r="D3" s="163"/>
      <c r="E3" s="163"/>
      <c r="F3" s="163"/>
      <c r="G3" s="163"/>
      <c r="H3" s="163"/>
      <c r="I3" s="163"/>
      <c r="J3" s="163"/>
      <c r="K3" s="164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</row>
    <row r="4" spans="2:52" ht="15">
      <c r="B4" s="32"/>
      <c r="C4" s="163"/>
      <c r="D4" s="163"/>
      <c r="E4" s="163"/>
      <c r="F4" s="163"/>
      <c r="G4" s="163"/>
      <c r="H4" s="163"/>
      <c r="I4" s="163"/>
      <c r="J4" s="163"/>
      <c r="K4" s="164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</row>
    <row r="5" spans="2:52" ht="16" thickBot="1"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</row>
    <row r="6" spans="2:52" ht="29.25" customHeight="1" thickTop="1" thickBot="1">
      <c r="B6" s="161"/>
      <c r="C6" s="1221" t="s">
        <v>486</v>
      </c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  <c r="AN6" s="464"/>
      <c r="AO6" s="464"/>
      <c r="AP6" s="464"/>
      <c r="AQ6" s="464"/>
      <c r="AR6" s="464"/>
      <c r="AS6" s="464"/>
      <c r="AT6" s="464"/>
      <c r="AU6" s="464"/>
      <c r="AV6" s="464"/>
      <c r="AW6" s="464"/>
      <c r="AX6" s="464"/>
      <c r="AY6" s="464"/>
      <c r="AZ6" s="464"/>
    </row>
    <row r="7" spans="2:52" ht="18" thickTop="1" thickBot="1">
      <c r="B7" s="161"/>
      <c r="C7" s="450"/>
      <c r="D7" s="450"/>
      <c r="E7" s="450"/>
      <c r="F7" s="451"/>
      <c r="G7" s="451"/>
      <c r="H7" s="451"/>
      <c r="I7" s="451"/>
      <c r="J7" s="451"/>
      <c r="K7" s="451"/>
      <c r="L7" s="451"/>
      <c r="M7" s="451"/>
      <c r="N7" s="451"/>
      <c r="O7" s="451"/>
      <c r="P7" s="451"/>
      <c r="Q7" s="449"/>
      <c r="R7" s="449"/>
      <c r="S7" s="449"/>
      <c r="T7" s="449"/>
      <c r="U7" s="449"/>
      <c r="V7" s="449"/>
      <c r="W7" s="449"/>
      <c r="X7" s="449"/>
      <c r="Y7" s="449"/>
      <c r="Z7" s="449"/>
      <c r="AA7" s="449"/>
      <c r="AB7" s="449"/>
      <c r="AC7" s="449"/>
      <c r="AD7" s="449"/>
      <c r="AE7" s="449"/>
      <c r="AF7" s="449"/>
      <c r="AG7" s="449"/>
      <c r="AH7" s="449"/>
      <c r="AI7" s="449"/>
      <c r="AJ7" s="449"/>
      <c r="AK7" s="449"/>
      <c r="AL7" s="449"/>
      <c r="AM7" s="449"/>
      <c r="AN7" s="449"/>
      <c r="AO7" s="449"/>
      <c r="AP7" s="449"/>
      <c r="AQ7" s="449"/>
      <c r="AR7" s="449"/>
      <c r="AS7" s="449"/>
      <c r="AT7" s="449"/>
      <c r="AU7" s="449"/>
      <c r="AV7" s="449"/>
      <c r="AW7" s="449"/>
      <c r="AX7" s="449"/>
      <c r="AY7" s="449"/>
      <c r="AZ7" s="449"/>
    </row>
    <row r="8" spans="2:52" ht="18" thickTop="1" thickBot="1">
      <c r="B8" s="161"/>
      <c r="C8" s="469" t="s">
        <v>240</v>
      </c>
      <c r="D8" s="474"/>
      <c r="E8" s="466"/>
      <c r="F8" s="470" t="str" cm="1">
        <f t="array" ref="F8:AG8">TRANSPOSE(DATABASE!D$16:D$43)</f>
        <v>1.1</v>
      </c>
      <c r="G8" s="470" t="str">
        <v>1.2</v>
      </c>
      <c r="H8" s="471" t="str">
        <v>2.1</v>
      </c>
      <c r="I8" s="470" t="str">
        <v>2.2</v>
      </c>
      <c r="J8" s="470" t="str">
        <v>3.1</v>
      </c>
      <c r="K8" s="470" t="str">
        <v>3.2</v>
      </c>
      <c r="L8" s="470" t="str">
        <v>4.1</v>
      </c>
      <c r="M8" s="470" t="str">
        <v>4.2</v>
      </c>
      <c r="N8" s="470">
        <v>0</v>
      </c>
      <c r="O8" s="470">
        <v>0</v>
      </c>
      <c r="P8" s="470">
        <v>0</v>
      </c>
      <c r="Q8" s="472">
        <v>0</v>
      </c>
      <c r="R8" s="472">
        <v>0</v>
      </c>
      <c r="S8" s="472">
        <v>0</v>
      </c>
      <c r="T8" s="472">
        <v>0</v>
      </c>
      <c r="U8" s="472">
        <v>0</v>
      </c>
      <c r="V8" s="472">
        <v>0</v>
      </c>
      <c r="W8" s="472">
        <v>0</v>
      </c>
      <c r="X8" s="472">
        <v>0</v>
      </c>
      <c r="Y8" s="472">
        <v>0</v>
      </c>
      <c r="Z8" s="472">
        <v>0</v>
      </c>
      <c r="AA8" s="472">
        <v>0</v>
      </c>
      <c r="AB8" s="472">
        <v>0</v>
      </c>
      <c r="AC8" s="472">
        <v>0</v>
      </c>
      <c r="AD8" s="472">
        <v>0</v>
      </c>
      <c r="AE8" s="472">
        <v>0</v>
      </c>
      <c r="AF8" s="472">
        <v>0</v>
      </c>
      <c r="AG8" s="472">
        <v>0</v>
      </c>
      <c r="AH8" s="472"/>
      <c r="AI8" s="472"/>
      <c r="AJ8" s="472"/>
      <c r="AK8" s="472"/>
      <c r="AL8" s="472"/>
      <c r="AM8" s="472"/>
      <c r="AN8" s="472"/>
      <c r="AO8" s="472"/>
      <c r="AP8" s="472"/>
      <c r="AQ8" s="472"/>
      <c r="AR8" s="472"/>
      <c r="AS8" s="472"/>
      <c r="AT8" s="472"/>
      <c r="AU8" s="472"/>
      <c r="AV8" s="472"/>
      <c r="AW8" s="472"/>
      <c r="AX8" s="472"/>
      <c r="AY8" s="472"/>
      <c r="AZ8" s="472"/>
    </row>
    <row r="9" spans="2:52" ht="18" thickTop="1" thickBot="1">
      <c r="B9" s="161"/>
      <c r="C9" s="467" t="s">
        <v>135</v>
      </c>
      <c r="D9" s="475">
        <f ca="1">SUM(_xlfn.ANCHORARRAY(F9))</f>
        <v>1090</v>
      </c>
      <c r="E9" s="466"/>
      <c r="F9" s="1076" cm="1">
        <f t="array" aca="1" ref="F9:AG9" ca="1">SUMIF(_xlfn.ANCHORARRAY(DATABASE!AH32),_xlfn.ANCHORARRAY(F8),_xlfn.ANCHORARRAY(DATABASE!$AI$32))</f>
        <v>104</v>
      </c>
      <c r="G9" s="1076">
        <f ca="1"/>
        <v>147</v>
      </c>
      <c r="H9" s="1076">
        <f ca="1"/>
        <v>260</v>
      </c>
      <c r="I9" s="1076">
        <f ca="1"/>
        <v>123</v>
      </c>
      <c r="J9" s="1076">
        <f ca="1"/>
        <v>137</v>
      </c>
      <c r="K9" s="1076">
        <f ca="1"/>
        <v>105</v>
      </c>
      <c r="L9" s="1076">
        <f ca="1"/>
        <v>83</v>
      </c>
      <c r="M9" s="1076">
        <f ca="1"/>
        <v>131</v>
      </c>
      <c r="N9" s="1076">
        <f ca="1"/>
        <v>0</v>
      </c>
      <c r="O9" s="1076">
        <f ca="1"/>
        <v>0</v>
      </c>
      <c r="P9" s="1076">
        <f ca="1"/>
        <v>0</v>
      </c>
      <c r="Q9" s="1076">
        <f ca="1"/>
        <v>0</v>
      </c>
      <c r="R9" s="1076">
        <f ca="1"/>
        <v>0</v>
      </c>
      <c r="S9" s="1076">
        <f ca="1"/>
        <v>0</v>
      </c>
      <c r="T9" s="1076">
        <f ca="1"/>
        <v>0</v>
      </c>
      <c r="U9" s="1076">
        <f ca="1"/>
        <v>0</v>
      </c>
      <c r="V9" s="1076">
        <f ca="1"/>
        <v>0</v>
      </c>
      <c r="W9" s="1076">
        <f ca="1"/>
        <v>0</v>
      </c>
      <c r="X9" s="1076">
        <f ca="1"/>
        <v>0</v>
      </c>
      <c r="Y9" s="1076">
        <f ca="1"/>
        <v>0</v>
      </c>
      <c r="Z9" s="1076">
        <f ca="1"/>
        <v>0</v>
      </c>
      <c r="AA9" s="1076">
        <f ca="1"/>
        <v>0</v>
      </c>
      <c r="AB9" s="1076">
        <f ca="1"/>
        <v>0</v>
      </c>
      <c r="AC9" s="468">
        <f ca="1"/>
        <v>0</v>
      </c>
      <c r="AD9" s="468">
        <f ca="1"/>
        <v>0</v>
      </c>
      <c r="AE9" s="468">
        <f ca="1"/>
        <v>0</v>
      </c>
      <c r="AF9" s="468">
        <f ca="1"/>
        <v>0</v>
      </c>
      <c r="AG9" s="468">
        <f ca="1"/>
        <v>0</v>
      </c>
      <c r="AH9" s="468"/>
      <c r="AI9" s="468"/>
      <c r="AJ9" s="468"/>
      <c r="AK9" s="468"/>
      <c r="AL9" s="468"/>
      <c r="AM9" s="468"/>
      <c r="AN9" s="468"/>
      <c r="AO9" s="468"/>
      <c r="AP9" s="468"/>
      <c r="AQ9" s="468"/>
      <c r="AR9" s="468"/>
      <c r="AS9" s="468"/>
      <c r="AT9" s="468"/>
      <c r="AU9" s="468"/>
      <c r="AV9" s="468"/>
      <c r="AW9" s="468"/>
      <c r="AX9" s="468"/>
      <c r="AY9" s="468"/>
      <c r="AZ9" s="468"/>
    </row>
    <row r="10" spans="2:52" ht="18" thickTop="1" thickBot="1">
      <c r="B10" s="161"/>
      <c r="C10" s="455" t="str">
        <f>iProject!F9</f>
        <v>Single Family Lots - Total</v>
      </c>
      <c r="D10" s="476">
        <f ca="1">SUM(_xlfn.ANCHORARRAY(F10))</f>
        <v>3416</v>
      </c>
      <c r="E10" s="466"/>
      <c r="F10" s="459" cm="1">
        <f t="array" aca="1" ref="F10:AG10" ca="1">SUMIF(_xlfn.ANCHORARRAY(DATABASE!$AH$32),_xlfn.ANCHORARRAY(F$8),_xlfn.ANCHORARRAY(DATABASE!$AJ$32))</f>
        <v>323</v>
      </c>
      <c r="G10" s="459">
        <f ca="1"/>
        <v>788</v>
      </c>
      <c r="H10" s="459">
        <f ca="1"/>
        <v>1570</v>
      </c>
      <c r="I10" s="459">
        <f ca="1"/>
        <v>187</v>
      </c>
      <c r="J10" s="459">
        <f ca="1"/>
        <v>0</v>
      </c>
      <c r="K10" s="459">
        <f ca="1"/>
        <v>0</v>
      </c>
      <c r="L10" s="459">
        <f ca="1"/>
        <v>261</v>
      </c>
      <c r="M10" s="459">
        <f ca="1"/>
        <v>287</v>
      </c>
      <c r="N10" s="459">
        <f ca="1"/>
        <v>0</v>
      </c>
      <c r="O10" s="459">
        <f ca="1"/>
        <v>0</v>
      </c>
      <c r="P10" s="459">
        <f ca="1"/>
        <v>0</v>
      </c>
      <c r="Q10" s="459">
        <f ca="1"/>
        <v>0</v>
      </c>
      <c r="R10" s="459">
        <f ca="1"/>
        <v>0</v>
      </c>
      <c r="S10" s="459">
        <f ca="1"/>
        <v>0</v>
      </c>
      <c r="T10" s="459">
        <f ca="1"/>
        <v>0</v>
      </c>
      <c r="U10" s="459">
        <f ca="1"/>
        <v>0</v>
      </c>
      <c r="V10" s="459">
        <f ca="1"/>
        <v>0</v>
      </c>
      <c r="W10" s="459">
        <f ca="1"/>
        <v>0</v>
      </c>
      <c r="X10" s="459">
        <f ca="1"/>
        <v>0</v>
      </c>
      <c r="Y10" s="459">
        <f ca="1"/>
        <v>0</v>
      </c>
      <c r="Z10" s="459">
        <f ca="1"/>
        <v>0</v>
      </c>
      <c r="AA10" s="459">
        <f ca="1"/>
        <v>0</v>
      </c>
      <c r="AB10" s="459">
        <f ca="1"/>
        <v>0</v>
      </c>
      <c r="AC10" s="459">
        <f ca="1"/>
        <v>0</v>
      </c>
      <c r="AD10" s="459">
        <f ca="1"/>
        <v>0</v>
      </c>
      <c r="AE10" s="459">
        <f ca="1"/>
        <v>0</v>
      </c>
      <c r="AF10" s="459">
        <f ca="1"/>
        <v>0</v>
      </c>
      <c r="AG10" s="459">
        <f ca="1"/>
        <v>0</v>
      </c>
      <c r="AH10" s="459"/>
      <c r="AI10" s="459"/>
      <c r="AJ10" s="459"/>
      <c r="AK10" s="459"/>
      <c r="AL10" s="459"/>
      <c r="AM10" s="459"/>
      <c r="AN10" s="459"/>
      <c r="AO10" s="459"/>
      <c r="AP10" s="459"/>
      <c r="AQ10" s="459"/>
      <c r="AR10" s="459"/>
      <c r="AS10" s="459"/>
      <c r="AT10" s="459"/>
      <c r="AU10" s="459"/>
      <c r="AV10" s="459"/>
      <c r="AW10" s="459"/>
      <c r="AX10" s="459"/>
      <c r="AY10" s="459"/>
      <c r="AZ10" s="459"/>
    </row>
    <row r="11" spans="2:52" ht="18" thickTop="1" thickBot="1">
      <c r="B11" s="461"/>
      <c r="C11" s="462" t="s">
        <v>272</v>
      </c>
      <c r="D11" s="476">
        <f ca="1">SUM(_xlfn.ANCHORARRAY(F11))</f>
        <v>111105</v>
      </c>
      <c r="E11" s="466"/>
      <c r="F11" s="463" cm="1">
        <f t="array" aca="1" ref="F11:AG11" ca="1">SUMIF(_xlfn.ANCHORARRAY(DATABASE!$AH$32),_xlfn.ANCHORARRAY(F$8),DATABASE!$T$32:T84)</f>
        <v>16405</v>
      </c>
      <c r="G11" s="463">
        <f ca="1"/>
        <v>21405</v>
      </c>
      <c r="H11" s="463">
        <f ca="1"/>
        <v>28775</v>
      </c>
      <c r="I11" s="463">
        <f ca="1"/>
        <v>9725</v>
      </c>
      <c r="J11" s="463">
        <f ca="1"/>
        <v>0</v>
      </c>
      <c r="K11" s="463">
        <f ca="1"/>
        <v>0</v>
      </c>
      <c r="L11" s="463">
        <f ca="1"/>
        <v>13445</v>
      </c>
      <c r="M11" s="463">
        <f ca="1"/>
        <v>21350</v>
      </c>
      <c r="N11" s="463">
        <f ca="1"/>
        <v>0</v>
      </c>
      <c r="O11" s="463">
        <f ca="1"/>
        <v>0</v>
      </c>
      <c r="P11" s="463">
        <f ca="1"/>
        <v>0</v>
      </c>
      <c r="Q11" s="463">
        <f ca="1"/>
        <v>0</v>
      </c>
      <c r="R11" s="463">
        <f ca="1"/>
        <v>0</v>
      </c>
      <c r="S11" s="463">
        <f ca="1"/>
        <v>0</v>
      </c>
      <c r="T11" s="463">
        <f ca="1"/>
        <v>0</v>
      </c>
      <c r="U11" s="463">
        <f ca="1"/>
        <v>0</v>
      </c>
      <c r="V11" s="463">
        <f ca="1"/>
        <v>0</v>
      </c>
      <c r="W11" s="463">
        <f ca="1"/>
        <v>0</v>
      </c>
      <c r="X11" s="463">
        <f ca="1"/>
        <v>0</v>
      </c>
      <c r="Y11" s="463">
        <f ca="1"/>
        <v>0</v>
      </c>
      <c r="Z11" s="463">
        <f ca="1"/>
        <v>0</v>
      </c>
      <c r="AA11" s="463">
        <f ca="1"/>
        <v>0</v>
      </c>
      <c r="AB11" s="463">
        <f ca="1"/>
        <v>0</v>
      </c>
      <c r="AC11" s="463">
        <f ca="1"/>
        <v>0</v>
      </c>
      <c r="AD11" s="463">
        <f ca="1"/>
        <v>0</v>
      </c>
      <c r="AE11" s="463">
        <f ca="1"/>
        <v>0</v>
      </c>
      <c r="AF11" s="463">
        <f ca="1"/>
        <v>0</v>
      </c>
      <c r="AG11" s="463">
        <f ca="1"/>
        <v>0</v>
      </c>
      <c r="AH11" s="463"/>
      <c r="AI11" s="463"/>
      <c r="AJ11" s="463"/>
      <c r="AK11" s="463"/>
      <c r="AL11" s="463"/>
      <c r="AM11" s="463"/>
      <c r="AN11" s="463"/>
      <c r="AO11" s="463"/>
      <c r="AP11" s="463"/>
      <c r="AQ11" s="463"/>
      <c r="AR11" s="463"/>
      <c r="AS11" s="463"/>
      <c r="AT11" s="463"/>
      <c r="AU11" s="463"/>
      <c r="AV11" s="463"/>
      <c r="AW11" s="463"/>
      <c r="AX11" s="463"/>
      <c r="AY11" s="463"/>
      <c r="AZ11" s="463"/>
    </row>
    <row r="12" spans="2:52" ht="18" thickTop="1" thickBot="1">
      <c r="B12" s="461"/>
      <c r="C12" s="462" t="s">
        <v>277</v>
      </c>
      <c r="D12" s="476">
        <f ca="1">D11/D9</f>
        <v>101.93119266055047</v>
      </c>
      <c r="E12" s="466"/>
      <c r="F12" s="463" cm="1">
        <f t="array" aca="1" ref="F12:AG12" ca="1">IFERROR(_xlfn.ANCHORARRAY(F11)/_xlfn.ANCHORARRAY(F9),0)</f>
        <v>157.74038461538461</v>
      </c>
      <c r="G12" s="463">
        <f ca="1"/>
        <v>145.61224489795919</v>
      </c>
      <c r="H12" s="463">
        <f ca="1"/>
        <v>110.67307692307692</v>
      </c>
      <c r="I12" s="463">
        <f ca="1"/>
        <v>79.065040650406502</v>
      </c>
      <c r="J12" s="463">
        <f ca="1"/>
        <v>0</v>
      </c>
      <c r="K12" s="463">
        <f ca="1"/>
        <v>0</v>
      </c>
      <c r="L12" s="463">
        <f ca="1"/>
        <v>161.98795180722891</v>
      </c>
      <c r="M12" s="463">
        <f ca="1"/>
        <v>162.97709923664121</v>
      </c>
      <c r="N12" s="463">
        <f ca="1"/>
        <v>0</v>
      </c>
      <c r="O12" s="463">
        <f ca="1"/>
        <v>0</v>
      </c>
      <c r="P12" s="463">
        <f ca="1"/>
        <v>0</v>
      </c>
      <c r="Q12" s="463">
        <f ca="1"/>
        <v>0</v>
      </c>
      <c r="R12" s="463">
        <f ca="1"/>
        <v>0</v>
      </c>
      <c r="S12" s="463">
        <f ca="1"/>
        <v>0</v>
      </c>
      <c r="T12" s="463">
        <f ca="1"/>
        <v>0</v>
      </c>
      <c r="U12" s="463">
        <f ca="1"/>
        <v>0</v>
      </c>
      <c r="V12" s="463">
        <f ca="1"/>
        <v>0</v>
      </c>
      <c r="W12" s="463">
        <f ca="1"/>
        <v>0</v>
      </c>
      <c r="X12" s="463">
        <f ca="1"/>
        <v>0</v>
      </c>
      <c r="Y12" s="463">
        <f ca="1"/>
        <v>0</v>
      </c>
      <c r="Z12" s="463">
        <f ca="1"/>
        <v>0</v>
      </c>
      <c r="AA12" s="463">
        <f ca="1"/>
        <v>0</v>
      </c>
      <c r="AB12" s="463">
        <f ca="1"/>
        <v>0</v>
      </c>
      <c r="AC12" s="463">
        <f ca="1"/>
        <v>0</v>
      </c>
      <c r="AD12" s="463">
        <f ca="1"/>
        <v>0</v>
      </c>
      <c r="AE12" s="463">
        <f ca="1"/>
        <v>0</v>
      </c>
      <c r="AF12" s="463">
        <f ca="1"/>
        <v>0</v>
      </c>
      <c r="AG12" s="463">
        <f ca="1"/>
        <v>0</v>
      </c>
      <c r="AH12" s="463"/>
      <c r="AI12" s="463"/>
      <c r="AJ12" s="463"/>
      <c r="AK12" s="463"/>
      <c r="AL12" s="463"/>
      <c r="AM12" s="463"/>
      <c r="AN12" s="463"/>
      <c r="AO12" s="463"/>
      <c r="AP12" s="463"/>
      <c r="AQ12" s="463"/>
      <c r="AR12" s="463"/>
      <c r="AS12" s="463"/>
      <c r="AT12" s="463"/>
      <c r="AU12" s="463"/>
      <c r="AV12" s="463"/>
      <c r="AW12" s="463"/>
      <c r="AX12" s="463"/>
      <c r="AY12" s="463"/>
      <c r="AZ12" s="463"/>
    </row>
    <row r="13" spans="2:52" ht="18" thickTop="1" thickBot="1">
      <c r="B13" s="461"/>
      <c r="C13" s="1222" t="s">
        <v>646</v>
      </c>
      <c r="D13" s="476" t="e">
        <f ca="1">SUM(_xlfn.ANCHORARRAY(F13))</f>
        <v>#VALUE!</v>
      </c>
      <c r="E13" s="466"/>
      <c r="F13" s="459" t="e" cm="1">
        <f t="array" aca="1" ref="F13:AG13" ca="1">SUMIFS(_xlfn.ANCHORARRAY(DATABASE!$AI$32),_xlfn.ANCHORARRAY(DATABASE!$AH$32),_xlfn.ANCHORARRAY(F$8),_xlfn.ANCHORARRAY(DATABASE!$AM$32),"C")</f>
        <v>#VALUE!</v>
      </c>
      <c r="G13" s="463" t="e">
        <f ca="1"/>
        <v>#VALUE!</v>
      </c>
      <c r="H13" s="463" t="e">
        <f ca="1"/>
        <v>#VALUE!</v>
      </c>
      <c r="I13" s="463" t="e">
        <f ca="1"/>
        <v>#VALUE!</v>
      </c>
      <c r="J13" s="463" t="e">
        <f ca="1"/>
        <v>#VALUE!</v>
      </c>
      <c r="K13" s="463" t="e">
        <f ca="1"/>
        <v>#VALUE!</v>
      </c>
      <c r="L13" s="463" t="e">
        <f ca="1"/>
        <v>#VALUE!</v>
      </c>
      <c r="M13" s="463" t="e">
        <f ca="1"/>
        <v>#VALUE!</v>
      </c>
      <c r="N13" s="463" t="e">
        <f ca="1"/>
        <v>#VALUE!</v>
      </c>
      <c r="O13" s="463" t="e">
        <f ca="1"/>
        <v>#VALUE!</v>
      </c>
      <c r="P13" s="463" t="e">
        <f ca="1"/>
        <v>#VALUE!</v>
      </c>
      <c r="Q13" s="463" t="e">
        <f ca="1"/>
        <v>#VALUE!</v>
      </c>
      <c r="R13" s="463" t="e">
        <f ca="1"/>
        <v>#VALUE!</v>
      </c>
      <c r="S13" s="463" t="e">
        <f ca="1"/>
        <v>#VALUE!</v>
      </c>
      <c r="T13" s="463" t="e">
        <f ca="1"/>
        <v>#VALUE!</v>
      </c>
      <c r="U13" s="463" t="e">
        <f ca="1"/>
        <v>#VALUE!</v>
      </c>
      <c r="V13" s="463" t="e">
        <f ca="1"/>
        <v>#VALUE!</v>
      </c>
      <c r="W13" s="463" t="e">
        <f ca="1"/>
        <v>#VALUE!</v>
      </c>
      <c r="X13" s="463" t="e">
        <f ca="1"/>
        <v>#VALUE!</v>
      </c>
      <c r="Y13" s="463" t="e">
        <f ca="1"/>
        <v>#VALUE!</v>
      </c>
      <c r="Z13" s="463" t="e">
        <f ca="1"/>
        <v>#VALUE!</v>
      </c>
      <c r="AA13" s="463" t="e">
        <f ca="1"/>
        <v>#VALUE!</v>
      </c>
      <c r="AB13" s="463" t="e">
        <f ca="1"/>
        <v>#VALUE!</v>
      </c>
      <c r="AC13" s="463" t="e">
        <f ca="1"/>
        <v>#VALUE!</v>
      </c>
      <c r="AD13" s="463" t="e">
        <f ca="1"/>
        <v>#VALUE!</v>
      </c>
      <c r="AE13" s="463" t="e">
        <f ca="1"/>
        <v>#VALUE!</v>
      </c>
      <c r="AF13" s="463" t="e">
        <f ca="1"/>
        <v>#VALUE!</v>
      </c>
      <c r="AG13" s="463" t="e">
        <f ca="1"/>
        <v>#VALUE!</v>
      </c>
      <c r="AH13" s="463"/>
      <c r="AI13" s="463"/>
      <c r="AJ13" s="463"/>
      <c r="AK13" s="463"/>
      <c r="AL13" s="463"/>
      <c r="AM13" s="463"/>
      <c r="AN13" s="463"/>
      <c r="AO13" s="463"/>
      <c r="AP13" s="463"/>
      <c r="AQ13" s="463"/>
      <c r="AR13" s="463"/>
      <c r="AS13" s="463"/>
      <c r="AT13" s="463"/>
      <c r="AU13" s="463"/>
      <c r="AV13" s="463"/>
      <c r="AW13" s="463"/>
      <c r="AX13" s="463"/>
      <c r="AY13" s="463"/>
      <c r="AZ13" s="463"/>
    </row>
    <row r="14" spans="2:52" ht="18" thickTop="1" thickBot="1">
      <c r="B14" s="461"/>
      <c r="C14" s="462"/>
      <c r="D14" s="476"/>
      <c r="E14" s="466"/>
      <c r="F14" s="463"/>
      <c r="G14" s="463"/>
      <c r="H14" s="463"/>
      <c r="I14" s="463"/>
      <c r="J14" s="463"/>
      <c r="K14" s="463"/>
      <c r="L14" s="463"/>
      <c r="M14" s="463"/>
      <c r="N14" s="463"/>
      <c r="O14" s="463"/>
      <c r="P14" s="463"/>
      <c r="Q14" s="463"/>
      <c r="R14" s="463"/>
      <c r="S14" s="463"/>
      <c r="T14" s="463"/>
      <c r="U14" s="463"/>
      <c r="V14" s="463"/>
      <c r="W14" s="463"/>
      <c r="X14" s="463"/>
      <c r="Y14" s="463"/>
      <c r="Z14" s="463"/>
      <c r="AA14" s="463"/>
      <c r="AB14" s="463"/>
      <c r="AC14" s="463"/>
      <c r="AD14" s="463"/>
      <c r="AE14" s="463"/>
      <c r="AF14" s="463"/>
      <c r="AG14" s="463"/>
      <c r="AH14" s="463"/>
      <c r="AI14" s="463"/>
      <c r="AJ14" s="463"/>
      <c r="AK14" s="463"/>
      <c r="AL14" s="463"/>
      <c r="AM14" s="463"/>
      <c r="AN14" s="463"/>
      <c r="AO14" s="463"/>
      <c r="AP14" s="463"/>
      <c r="AQ14" s="463"/>
      <c r="AR14" s="463"/>
      <c r="AS14" s="463"/>
      <c r="AT14" s="463"/>
      <c r="AU14" s="463"/>
      <c r="AV14" s="463"/>
      <c r="AW14" s="463"/>
      <c r="AX14" s="463"/>
      <c r="AY14" s="463"/>
      <c r="AZ14" s="463"/>
    </row>
    <row r="15" spans="2:52" ht="18" thickTop="1" thickBot="1">
      <c r="B15" s="161"/>
      <c r="C15" s="453" t="s">
        <v>285</v>
      </c>
      <c r="D15" s="476"/>
      <c r="E15" s="453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52"/>
      <c r="AA15" s="452"/>
      <c r="AB15" s="452"/>
      <c r="AC15" s="452"/>
      <c r="AD15" s="452"/>
      <c r="AE15" s="452"/>
      <c r="AF15" s="452"/>
      <c r="AG15" s="452"/>
      <c r="AH15" s="452"/>
      <c r="AI15" s="452"/>
      <c r="AJ15" s="452"/>
      <c r="AK15" s="452"/>
      <c r="AL15" s="452"/>
      <c r="AM15" s="452"/>
      <c r="AN15" s="452"/>
      <c r="AO15" s="452"/>
      <c r="AP15" s="452"/>
      <c r="AQ15" s="452"/>
      <c r="AR15" s="452"/>
      <c r="AS15" s="452"/>
      <c r="AT15" s="452"/>
      <c r="AU15" s="452"/>
      <c r="AV15" s="452"/>
      <c r="AW15" s="452"/>
      <c r="AX15" s="452"/>
      <c r="AY15" s="452"/>
      <c r="AZ15" s="452"/>
    </row>
    <row r="16" spans="2:52" ht="18" thickTop="1" thickBot="1">
      <c r="B16" s="161"/>
      <c r="C16" s="448" t="s">
        <v>279</v>
      </c>
      <c r="D16" s="476">
        <f t="shared" ref="D16:D22" ca="1" si="2">SUM(_xlfn.ANCHORARRAY(F16))</f>
        <v>304583853.5128631</v>
      </c>
      <c r="E16" s="161"/>
      <c r="F16" s="456" cm="1">
        <f t="array" aca="1" ref="F16:AG16" ca="1">SUMIF(_xlfn.ANCHORARRAY(DATABASE!AP$32),_xlfn.ANCHORARRAY(F$8),_xlfn.ANCHORARRAY(DATABASE!AS32))</f>
        <v>42012777.110280663</v>
      </c>
      <c r="G16" s="456">
        <f ca="1"/>
        <v>57051949.373806</v>
      </c>
      <c r="H16" s="456">
        <f ca="1"/>
        <v>77853273.133017689</v>
      </c>
      <c r="I16" s="456">
        <f ca="1"/>
        <v>27966401.706793118</v>
      </c>
      <c r="J16" s="456">
        <f ca="1"/>
        <v>0</v>
      </c>
      <c r="K16" s="456">
        <f ca="1"/>
        <v>0</v>
      </c>
      <c r="L16" s="456">
        <f ca="1"/>
        <v>39206113.158727534</v>
      </c>
      <c r="M16" s="456">
        <f ca="1"/>
        <v>60493339.030238084</v>
      </c>
      <c r="N16" s="456">
        <f ca="1"/>
        <v>0</v>
      </c>
      <c r="O16" s="456">
        <f ca="1"/>
        <v>0</v>
      </c>
      <c r="P16" s="456">
        <f ca="1"/>
        <v>0</v>
      </c>
      <c r="Q16" s="456">
        <f ca="1"/>
        <v>0</v>
      </c>
      <c r="R16" s="456">
        <f ca="1"/>
        <v>0</v>
      </c>
      <c r="S16" s="456">
        <f ca="1"/>
        <v>0</v>
      </c>
      <c r="T16" s="456">
        <f ca="1"/>
        <v>0</v>
      </c>
      <c r="U16" s="456">
        <f ca="1"/>
        <v>0</v>
      </c>
      <c r="V16" s="456">
        <f ca="1"/>
        <v>0</v>
      </c>
      <c r="W16" s="456">
        <f ca="1"/>
        <v>0</v>
      </c>
      <c r="X16" s="456">
        <f ca="1"/>
        <v>0</v>
      </c>
      <c r="Y16" s="456">
        <f ca="1"/>
        <v>0</v>
      </c>
      <c r="Z16" s="456">
        <f ca="1"/>
        <v>0</v>
      </c>
      <c r="AA16" s="456">
        <f ca="1"/>
        <v>0</v>
      </c>
      <c r="AB16" s="456">
        <f ca="1"/>
        <v>0</v>
      </c>
      <c r="AC16" s="456">
        <f ca="1"/>
        <v>0</v>
      </c>
      <c r="AD16" s="456">
        <f ca="1"/>
        <v>0</v>
      </c>
      <c r="AE16" s="456">
        <f ca="1"/>
        <v>0</v>
      </c>
      <c r="AF16" s="456">
        <f ca="1"/>
        <v>0</v>
      </c>
      <c r="AG16" s="456">
        <f ca="1"/>
        <v>0</v>
      </c>
      <c r="AH16" s="456"/>
      <c r="AI16" s="456"/>
      <c r="AJ16" s="456"/>
      <c r="AK16" s="456"/>
      <c r="AL16" s="456"/>
      <c r="AM16" s="456"/>
      <c r="AN16" s="456"/>
      <c r="AO16" s="456"/>
      <c r="AP16" s="456"/>
      <c r="AQ16" s="456"/>
      <c r="AR16" s="456"/>
      <c r="AS16" s="456"/>
      <c r="AT16" s="456"/>
      <c r="AU16" s="456"/>
      <c r="AV16" s="456"/>
      <c r="AW16" s="456"/>
      <c r="AX16" s="456"/>
      <c r="AY16" s="456"/>
      <c r="AZ16" s="456"/>
    </row>
    <row r="17" spans="3:33" ht="18" thickTop="1" thickBot="1">
      <c r="C17" s="483" t="s">
        <v>280</v>
      </c>
      <c r="D17" s="478">
        <f t="shared" ca="1" si="2"/>
        <v>205139491.66679096</v>
      </c>
      <c r="E17" s="161"/>
      <c r="F17" s="481" cm="1">
        <f t="array" aca="1" ref="F17:AG17" ca="1">SUMIF(_xlfn.ANCHORARRAY(DATABASE!AP$32),_xlfn.ANCHORARRAY(F$8),_xlfn.ANCHORARRAY(DATABASE!AT32))</f>
        <v>12085235.914868301</v>
      </c>
      <c r="G17" s="481">
        <f ca="1"/>
        <v>23611946.313679904</v>
      </c>
      <c r="H17" s="481">
        <f ca="1"/>
        <v>40640175.158489533</v>
      </c>
      <c r="I17" s="481">
        <f ca="1"/>
        <v>0</v>
      </c>
      <c r="J17" s="481">
        <f ca="1"/>
        <v>67275779.777204216</v>
      </c>
      <c r="K17" s="481">
        <f ca="1"/>
        <v>51561729.026324399</v>
      </c>
      <c r="L17" s="481">
        <f ca="1"/>
        <v>0</v>
      </c>
      <c r="M17" s="481">
        <f ca="1"/>
        <v>9964625.4762245957</v>
      </c>
      <c r="N17" s="481">
        <f ca="1"/>
        <v>0</v>
      </c>
      <c r="O17" s="481">
        <f ca="1"/>
        <v>0</v>
      </c>
      <c r="P17" s="481">
        <f ca="1"/>
        <v>0</v>
      </c>
      <c r="Q17" s="481">
        <f ca="1"/>
        <v>0</v>
      </c>
      <c r="R17" s="481">
        <f ca="1"/>
        <v>0</v>
      </c>
      <c r="S17" s="481">
        <f ca="1"/>
        <v>0</v>
      </c>
      <c r="T17" s="481">
        <f ca="1"/>
        <v>0</v>
      </c>
      <c r="U17" s="481">
        <f ca="1"/>
        <v>0</v>
      </c>
      <c r="V17" s="481">
        <f ca="1"/>
        <v>0</v>
      </c>
      <c r="W17" s="481">
        <f ca="1"/>
        <v>0</v>
      </c>
      <c r="X17" s="481">
        <f ca="1"/>
        <v>0</v>
      </c>
      <c r="Y17" s="481">
        <f ca="1"/>
        <v>0</v>
      </c>
      <c r="Z17" s="481">
        <f ca="1"/>
        <v>0</v>
      </c>
      <c r="AA17" s="481">
        <f ca="1"/>
        <v>0</v>
      </c>
      <c r="AB17" s="481">
        <f ca="1"/>
        <v>0</v>
      </c>
      <c r="AC17" s="481">
        <f ca="1"/>
        <v>0</v>
      </c>
      <c r="AD17" s="481">
        <f ca="1"/>
        <v>0</v>
      </c>
      <c r="AE17" s="481">
        <f ca="1"/>
        <v>0</v>
      </c>
      <c r="AF17" s="481">
        <f ca="1"/>
        <v>0</v>
      </c>
      <c r="AG17" s="481">
        <f ca="1"/>
        <v>0</v>
      </c>
    </row>
    <row r="18" spans="3:33" ht="18" thickTop="1" thickBot="1">
      <c r="C18" s="1077" t="s">
        <v>286</v>
      </c>
      <c r="D18" s="475">
        <f t="shared" ca="1" si="2"/>
        <v>509723345.179654</v>
      </c>
      <c r="E18" s="161"/>
      <c r="F18" s="460" cm="1">
        <f t="array" aca="1" ref="F18:AG18" ca="1">_xlfn.ANCHORARRAY(F16)+_xlfn.ANCHORARRAY(F17)</f>
        <v>54098013.025148965</v>
      </c>
      <c r="G18" s="460">
        <f ca="1"/>
        <v>80663895.687485904</v>
      </c>
      <c r="H18" s="460">
        <f ca="1"/>
        <v>118493448.29150721</v>
      </c>
      <c r="I18" s="460">
        <f ca="1"/>
        <v>27966401.706793118</v>
      </c>
      <c r="J18" s="460">
        <f ca="1"/>
        <v>67275779.777204216</v>
      </c>
      <c r="K18" s="460">
        <f ca="1"/>
        <v>51561729.026324399</v>
      </c>
      <c r="L18" s="460">
        <f ca="1"/>
        <v>39206113.158727534</v>
      </c>
      <c r="M18" s="460">
        <f ca="1"/>
        <v>70457964.506462678</v>
      </c>
      <c r="N18" s="460">
        <f ca="1"/>
        <v>0</v>
      </c>
      <c r="O18" s="460">
        <f ca="1"/>
        <v>0</v>
      </c>
      <c r="P18" s="460">
        <f ca="1"/>
        <v>0</v>
      </c>
      <c r="Q18" s="460">
        <f ca="1"/>
        <v>0</v>
      </c>
      <c r="R18" s="460">
        <f ca="1"/>
        <v>0</v>
      </c>
      <c r="S18" s="460">
        <f ca="1"/>
        <v>0</v>
      </c>
      <c r="T18" s="460">
        <f ca="1"/>
        <v>0</v>
      </c>
      <c r="U18" s="460">
        <f ca="1"/>
        <v>0</v>
      </c>
      <c r="V18" s="460">
        <f ca="1"/>
        <v>0</v>
      </c>
      <c r="W18" s="460">
        <f ca="1"/>
        <v>0</v>
      </c>
      <c r="X18" s="460">
        <f ca="1"/>
        <v>0</v>
      </c>
      <c r="Y18" s="460">
        <f ca="1"/>
        <v>0</v>
      </c>
      <c r="Z18" s="460">
        <f ca="1"/>
        <v>0</v>
      </c>
      <c r="AA18" s="460">
        <f ca="1"/>
        <v>0</v>
      </c>
      <c r="AB18" s="460">
        <f ca="1"/>
        <v>0</v>
      </c>
      <c r="AC18" s="460">
        <f ca="1"/>
        <v>0</v>
      </c>
      <c r="AD18" s="460">
        <f ca="1"/>
        <v>0</v>
      </c>
      <c r="AE18" s="460">
        <f ca="1"/>
        <v>0</v>
      </c>
      <c r="AF18" s="460">
        <f ca="1"/>
        <v>0</v>
      </c>
      <c r="AG18" s="460">
        <f ca="1"/>
        <v>0</v>
      </c>
    </row>
    <row r="19" spans="3:33" ht="18" thickTop="1" thickBot="1">
      <c r="C19" s="522" t="s">
        <v>269</v>
      </c>
      <c r="D19" s="1078">
        <f ca="1">SUM(_xlfn.ANCHORARRAY(F19))</f>
        <v>-167488649.64694551</v>
      </c>
      <c r="E19" s="453"/>
      <c r="F19" s="1082" cm="1">
        <f t="array" aca="1" ref="F19:AG19" ca="1">SUMIF(_xlfn.ANCHORARRAY(DATABASE!AH32),_xlfn.ANCHORARRAY(F8),DATABASE!X32:X84)</f>
        <v>-22756920.934735361</v>
      </c>
      <c r="G19" s="1082">
        <f ca="1"/>
        <v>-30903139.244144909</v>
      </c>
      <c r="H19" s="1082">
        <f ca="1"/>
        <v>-42170522.947051242</v>
      </c>
      <c r="I19" s="1082">
        <f ca="1"/>
        <v>-15148467.591179606</v>
      </c>
      <c r="J19" s="1082">
        <f ca="1"/>
        <v>0</v>
      </c>
      <c r="K19" s="1082">
        <f ca="1"/>
        <v>0</v>
      </c>
      <c r="L19" s="1082">
        <f ca="1"/>
        <v>-21236644.627644084</v>
      </c>
      <c r="M19" s="1082">
        <f ca="1"/>
        <v>-35272954.302190296</v>
      </c>
      <c r="N19" s="1082">
        <f ca="1"/>
        <v>0</v>
      </c>
      <c r="O19" s="1082">
        <f ca="1"/>
        <v>0</v>
      </c>
      <c r="P19" s="1082">
        <f ca="1"/>
        <v>0</v>
      </c>
      <c r="Q19" s="1082">
        <f ca="1"/>
        <v>0</v>
      </c>
      <c r="R19" s="1082">
        <f ca="1"/>
        <v>0</v>
      </c>
      <c r="S19" s="1082">
        <f ca="1"/>
        <v>0</v>
      </c>
      <c r="T19" s="1082">
        <f ca="1"/>
        <v>0</v>
      </c>
      <c r="U19" s="1082">
        <f ca="1"/>
        <v>0</v>
      </c>
      <c r="V19" s="1082">
        <f ca="1"/>
        <v>0</v>
      </c>
      <c r="W19" s="1082">
        <f ca="1"/>
        <v>0</v>
      </c>
      <c r="X19" s="1082">
        <f ca="1"/>
        <v>0</v>
      </c>
      <c r="Y19" s="1082">
        <f ca="1"/>
        <v>0</v>
      </c>
      <c r="Z19" s="1082">
        <f ca="1"/>
        <v>0</v>
      </c>
      <c r="AA19" s="1082">
        <f ca="1"/>
        <v>0</v>
      </c>
      <c r="AB19" s="1082">
        <f ca="1"/>
        <v>0</v>
      </c>
      <c r="AC19" s="452">
        <f ca="1"/>
        <v>0</v>
      </c>
      <c r="AD19" s="452">
        <f ca="1"/>
        <v>0</v>
      </c>
      <c r="AE19" s="452">
        <f ca="1"/>
        <v>0</v>
      </c>
      <c r="AF19" s="452">
        <f ca="1"/>
        <v>0</v>
      </c>
      <c r="AG19" s="452">
        <f ca="1"/>
        <v>0</v>
      </c>
    </row>
    <row r="20" spans="3:33" s="369" customFormat="1" ht="13.5" customHeight="1" thickTop="1" thickBot="1">
      <c r="C20" s="1079" t="s">
        <v>152</v>
      </c>
      <c r="D20" s="1080">
        <f ca="1">D18+D19</f>
        <v>342234695.53270853</v>
      </c>
      <c r="F20" s="452" cm="1">
        <f t="array" aca="1" ref="F20:AG20" ca="1">_xlfn.ANCHORARRAY(F18)+_xlfn.ANCHORARRAY(F19)</f>
        <v>31341092.090413604</v>
      </c>
      <c r="G20" s="452">
        <f ca="1"/>
        <v>49760756.443340994</v>
      </c>
      <c r="H20" s="452">
        <f ca="1"/>
        <v>76322925.344455972</v>
      </c>
      <c r="I20" s="452">
        <f ca="1"/>
        <v>12817934.115613513</v>
      </c>
      <c r="J20" s="452">
        <f ca="1"/>
        <v>67275779.777204216</v>
      </c>
      <c r="K20" s="452">
        <f ca="1"/>
        <v>51561729.026324399</v>
      </c>
      <c r="L20" s="452">
        <f ca="1"/>
        <v>17969468.53108345</v>
      </c>
      <c r="M20" s="452">
        <f ca="1"/>
        <v>35185010.204272382</v>
      </c>
      <c r="N20" s="452">
        <f ca="1"/>
        <v>0</v>
      </c>
      <c r="O20" s="452">
        <f ca="1"/>
        <v>0</v>
      </c>
      <c r="P20" s="452">
        <f ca="1"/>
        <v>0</v>
      </c>
      <c r="Q20" s="452">
        <f ca="1"/>
        <v>0</v>
      </c>
      <c r="R20" s="452">
        <f ca="1"/>
        <v>0</v>
      </c>
      <c r="S20" s="452">
        <f ca="1"/>
        <v>0</v>
      </c>
      <c r="T20" s="452">
        <f ca="1"/>
        <v>0</v>
      </c>
      <c r="U20" s="452">
        <f ca="1"/>
        <v>0</v>
      </c>
      <c r="V20" s="452">
        <f ca="1"/>
        <v>0</v>
      </c>
      <c r="W20" s="452">
        <f ca="1"/>
        <v>0</v>
      </c>
      <c r="X20" s="452">
        <f ca="1"/>
        <v>0</v>
      </c>
      <c r="Y20" s="452">
        <f ca="1"/>
        <v>0</v>
      </c>
      <c r="Z20" s="452">
        <f ca="1"/>
        <v>0</v>
      </c>
      <c r="AA20" s="452">
        <f ca="1"/>
        <v>0</v>
      </c>
      <c r="AB20" s="452">
        <f ca="1"/>
        <v>0</v>
      </c>
      <c r="AC20" s="369">
        <f ca="1"/>
        <v>0</v>
      </c>
      <c r="AD20" s="369">
        <f ca="1"/>
        <v>0</v>
      </c>
      <c r="AE20" s="369">
        <f ca="1"/>
        <v>0</v>
      </c>
      <c r="AF20" s="369">
        <f ca="1"/>
        <v>0</v>
      </c>
      <c r="AG20" s="369">
        <f ca="1"/>
        <v>0</v>
      </c>
    </row>
    <row r="21" spans="3:33" ht="18" thickTop="1" thickBot="1">
      <c r="C21" s="480" t="s">
        <v>259</v>
      </c>
      <c r="D21" s="476">
        <f t="shared" ca="1" si="2"/>
        <v>-10267040.865981257</v>
      </c>
      <c r="E21" s="455"/>
      <c r="F21" s="456" cm="1">
        <f t="array" aca="1" ref="F21:AG21" ca="1">SUMIF(_xlfn.ANCHORARRAY(DATABASE!AH$32),_xlfn.ANCHORARRAY(F$8),DATABASE!$Z$32:$Z$84)</f>
        <v>-940232.76271240832</v>
      </c>
      <c r="G21" s="456">
        <f ca="1"/>
        <v>-1492822.69330023</v>
      </c>
      <c r="H21" s="456">
        <f ca="1"/>
        <v>-2289687.7603336792</v>
      </c>
      <c r="I21" s="456">
        <f ca="1"/>
        <v>-384538.02346840536</v>
      </c>
      <c r="J21" s="456">
        <f ca="1"/>
        <v>-2018273.3933161264</v>
      </c>
      <c r="K21" s="456">
        <f ca="1"/>
        <v>-1546851.8707897319</v>
      </c>
      <c r="L21" s="456">
        <f ca="1"/>
        <v>-539084.05593250366</v>
      </c>
      <c r="M21" s="456">
        <f ca="1"/>
        <v>-1055550.3061281715</v>
      </c>
      <c r="N21" s="456">
        <f ca="1"/>
        <v>0</v>
      </c>
      <c r="O21" s="456">
        <f ca="1"/>
        <v>0</v>
      </c>
      <c r="P21" s="456">
        <f ca="1"/>
        <v>0</v>
      </c>
      <c r="Q21" s="456">
        <f ca="1"/>
        <v>0</v>
      </c>
      <c r="R21" s="456">
        <f ca="1"/>
        <v>0</v>
      </c>
      <c r="S21" s="456">
        <f ca="1"/>
        <v>0</v>
      </c>
      <c r="T21" s="456">
        <f ca="1"/>
        <v>0</v>
      </c>
      <c r="U21" s="456">
        <f ca="1"/>
        <v>0</v>
      </c>
      <c r="V21" s="456">
        <f ca="1"/>
        <v>0</v>
      </c>
      <c r="W21" s="456">
        <f ca="1"/>
        <v>0</v>
      </c>
      <c r="X21" s="456">
        <f ca="1"/>
        <v>0</v>
      </c>
      <c r="Y21" s="456">
        <f ca="1"/>
        <v>0</v>
      </c>
      <c r="Z21" s="456">
        <f ca="1"/>
        <v>0</v>
      </c>
      <c r="AA21" s="456">
        <f ca="1"/>
        <v>0</v>
      </c>
      <c r="AB21" s="456">
        <f ca="1"/>
        <v>0</v>
      </c>
      <c r="AC21" s="456">
        <f ca="1"/>
        <v>0</v>
      </c>
      <c r="AD21" s="456">
        <f ca="1"/>
        <v>0</v>
      </c>
      <c r="AE21" s="456">
        <f ca="1"/>
        <v>0</v>
      </c>
      <c r="AF21" s="456">
        <f ca="1"/>
        <v>0</v>
      </c>
      <c r="AG21" s="456">
        <f ca="1"/>
        <v>0</v>
      </c>
    </row>
    <row r="22" spans="3:33" ht="18" thickTop="1" thickBot="1">
      <c r="C22" s="486" t="s">
        <v>281</v>
      </c>
      <c r="D22" s="478">
        <f t="shared" ca="1" si="2"/>
        <v>-3422346.9553270852</v>
      </c>
      <c r="E22" s="455"/>
      <c r="F22" s="481" cm="1">
        <f t="array" aca="1" ref="F22:AG22" ca="1">SUMIF(_xlfn.ANCHORARRAY(DATABASE!AH$32),_xlfn.ANCHORARRAY(F$8),DATABASE!$AA$32:$AA$84)</f>
        <v>-313410.92090413609</v>
      </c>
      <c r="G22" s="481">
        <f ca="1"/>
        <v>-497607.56443340995</v>
      </c>
      <c r="H22" s="481">
        <f ca="1"/>
        <v>-763229.25344455964</v>
      </c>
      <c r="I22" s="481">
        <f ca="1"/>
        <v>-128179.34115613511</v>
      </c>
      <c r="J22" s="481">
        <f ca="1"/>
        <v>-672757.79777204222</v>
      </c>
      <c r="K22" s="481">
        <f ca="1"/>
        <v>-515617.29026324395</v>
      </c>
      <c r="L22" s="481">
        <f ca="1"/>
        <v>-179694.68531083455</v>
      </c>
      <c r="M22" s="481">
        <f ca="1"/>
        <v>-351850.1020427238</v>
      </c>
      <c r="N22" s="481">
        <f ca="1"/>
        <v>0</v>
      </c>
      <c r="O22" s="481">
        <f ca="1"/>
        <v>0</v>
      </c>
      <c r="P22" s="481">
        <f ca="1"/>
        <v>0</v>
      </c>
      <c r="Q22" s="481">
        <f ca="1"/>
        <v>0</v>
      </c>
      <c r="R22" s="481">
        <f ca="1"/>
        <v>0</v>
      </c>
      <c r="S22" s="481">
        <f ca="1"/>
        <v>0</v>
      </c>
      <c r="T22" s="481">
        <f ca="1"/>
        <v>0</v>
      </c>
      <c r="U22" s="481">
        <f ca="1"/>
        <v>0</v>
      </c>
      <c r="V22" s="481">
        <f ca="1"/>
        <v>0</v>
      </c>
      <c r="W22" s="481">
        <f ca="1"/>
        <v>0</v>
      </c>
      <c r="X22" s="481">
        <f ca="1"/>
        <v>0</v>
      </c>
      <c r="Y22" s="481">
        <f ca="1"/>
        <v>0</v>
      </c>
      <c r="Z22" s="481">
        <f ca="1"/>
        <v>0</v>
      </c>
      <c r="AA22" s="481">
        <f ca="1"/>
        <v>0</v>
      </c>
      <c r="AB22" s="481">
        <f ca="1"/>
        <v>0</v>
      </c>
      <c r="AC22" s="481">
        <f ca="1"/>
        <v>0</v>
      </c>
      <c r="AD22" s="481">
        <f ca="1"/>
        <v>0</v>
      </c>
      <c r="AE22" s="481">
        <f ca="1"/>
        <v>0</v>
      </c>
      <c r="AF22" s="481">
        <f ca="1"/>
        <v>0</v>
      </c>
      <c r="AG22" s="481">
        <f ca="1"/>
        <v>0</v>
      </c>
    </row>
    <row r="23" spans="3:33" ht="18" thickTop="1" thickBot="1">
      <c r="C23" s="482" t="s">
        <v>287</v>
      </c>
      <c r="D23" s="487">
        <f ca="1">D20+D21+D22</f>
        <v>328545307.71140015</v>
      </c>
      <c r="E23" s="458"/>
      <c r="F23" s="473" cm="1">
        <f t="array" aca="1" ref="F23:AG23" ca="1">_xlfn.ANCHORARRAY(F20)+_xlfn.ANCHORARRAY(F21)+_xlfn.ANCHORARRAY(F22)</f>
        <v>30087448.406797059</v>
      </c>
      <c r="G23" s="473">
        <f ca="1"/>
        <v>47770326.185607351</v>
      </c>
      <c r="H23" s="473">
        <f ca="1"/>
        <v>73270008.330677748</v>
      </c>
      <c r="I23" s="473">
        <f ca="1"/>
        <v>12305216.750988973</v>
      </c>
      <c r="J23" s="473">
        <f ca="1"/>
        <v>64584748.586116046</v>
      </c>
      <c r="K23" s="473">
        <f ca="1"/>
        <v>49499259.865271427</v>
      </c>
      <c r="L23" s="473">
        <f ca="1"/>
        <v>17250689.789840113</v>
      </c>
      <c r="M23" s="473">
        <f ca="1"/>
        <v>33777609.796101481</v>
      </c>
      <c r="N23" s="473">
        <f ca="1"/>
        <v>0</v>
      </c>
      <c r="O23" s="473">
        <f ca="1"/>
        <v>0</v>
      </c>
      <c r="P23" s="473">
        <f ca="1"/>
        <v>0</v>
      </c>
      <c r="Q23" s="473">
        <f ca="1"/>
        <v>0</v>
      </c>
      <c r="R23" s="473">
        <f ca="1"/>
        <v>0</v>
      </c>
      <c r="S23" s="473">
        <f ca="1"/>
        <v>0</v>
      </c>
      <c r="T23" s="473">
        <f ca="1"/>
        <v>0</v>
      </c>
      <c r="U23" s="473">
        <f ca="1"/>
        <v>0</v>
      </c>
      <c r="V23" s="473">
        <f ca="1"/>
        <v>0</v>
      </c>
      <c r="W23" s="473">
        <f ca="1"/>
        <v>0</v>
      </c>
      <c r="X23" s="473">
        <f ca="1"/>
        <v>0</v>
      </c>
      <c r="Y23" s="473">
        <f ca="1"/>
        <v>0</v>
      </c>
      <c r="Z23" s="473">
        <f ca="1"/>
        <v>0</v>
      </c>
      <c r="AA23" s="473">
        <f ca="1"/>
        <v>0</v>
      </c>
      <c r="AB23" s="473">
        <f ca="1"/>
        <v>0</v>
      </c>
      <c r="AC23" s="473">
        <f ca="1"/>
        <v>0</v>
      </c>
      <c r="AD23" s="473">
        <f ca="1"/>
        <v>0</v>
      </c>
      <c r="AE23" s="473">
        <f ca="1"/>
        <v>0</v>
      </c>
      <c r="AF23" s="473">
        <f ca="1"/>
        <v>0</v>
      </c>
      <c r="AG23" s="473">
        <f ca="1"/>
        <v>0</v>
      </c>
    </row>
    <row r="24" spans="3:33" ht="17" thickTop="1" thickBot="1">
      <c r="C24" s="161"/>
      <c r="D24" s="479"/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</row>
    <row r="25" spans="3:33" ht="18" thickTop="1" thickBot="1">
      <c r="C25" s="453" t="str">
        <f>iProject!F11</f>
        <v>Development Schedule</v>
      </c>
      <c r="D25" s="477"/>
      <c r="E25" s="453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/>
      <c r="AG25" s="454"/>
    </row>
    <row r="26" spans="3:33" ht="18" thickTop="1" thickBot="1">
      <c r="C26" s="455" t="str">
        <f>iProject!F12</f>
        <v>Start Month</v>
      </c>
      <c r="D26" s="476">
        <f>_xlfn.MINIFS(_xlfn.ANCHORARRAY(F26),_xlfn.ANCHORARRAY(F26), "&gt;0")</f>
        <v>1</v>
      </c>
      <c r="E26" s="466"/>
      <c r="F26" s="456" cm="1">
        <f t="array" ref="F26:AG26">TRANSPOSE(DATABASE!E$16:E$43)</f>
        <v>1</v>
      </c>
      <c r="G26" s="456">
        <v>24</v>
      </c>
      <c r="H26" s="456">
        <v>24</v>
      </c>
      <c r="I26" s="456">
        <v>48</v>
      </c>
      <c r="J26" s="456">
        <v>24</v>
      </c>
      <c r="K26" s="456">
        <v>24</v>
      </c>
      <c r="L26" s="456">
        <v>60</v>
      </c>
      <c r="M26" s="456">
        <v>84</v>
      </c>
      <c r="N26" s="456">
        <v>0</v>
      </c>
      <c r="O26" s="456">
        <v>0</v>
      </c>
      <c r="P26" s="456">
        <v>0</v>
      </c>
      <c r="Q26" s="456">
        <v>0</v>
      </c>
      <c r="R26" s="456">
        <v>0</v>
      </c>
      <c r="S26" s="456">
        <v>0</v>
      </c>
      <c r="T26" s="456">
        <v>0</v>
      </c>
      <c r="U26" s="456">
        <v>0</v>
      </c>
      <c r="V26" s="456">
        <v>0</v>
      </c>
      <c r="W26" s="456">
        <v>0</v>
      </c>
      <c r="X26" s="456">
        <v>0</v>
      </c>
      <c r="Y26" s="456">
        <v>0</v>
      </c>
      <c r="Z26" s="456">
        <v>0</v>
      </c>
      <c r="AA26" s="456">
        <v>0</v>
      </c>
      <c r="AB26" s="456">
        <v>0</v>
      </c>
      <c r="AC26" s="456">
        <v>0</v>
      </c>
      <c r="AD26" s="456">
        <v>0</v>
      </c>
      <c r="AE26" s="456">
        <v>0</v>
      </c>
      <c r="AF26" s="456">
        <v>0</v>
      </c>
      <c r="AG26" s="456">
        <v>0</v>
      </c>
    </row>
    <row r="27" spans="3:33" ht="18" thickTop="1" thickBot="1">
      <c r="C27" s="455" t="str">
        <f>iProject!F13</f>
        <v>Months to Complete</v>
      </c>
      <c r="D27" s="476">
        <f>D28-D26</f>
        <v>94</v>
      </c>
      <c r="E27" s="466"/>
      <c r="F27" s="456" cm="1">
        <f t="array" ref="F27:AG27">TRANSPOSE(DATABASE!F$16:F$43)</f>
        <v>25</v>
      </c>
      <c r="G27" s="456">
        <v>18</v>
      </c>
      <c r="H27" s="456">
        <v>24</v>
      </c>
      <c r="I27" s="456">
        <v>24</v>
      </c>
      <c r="J27" s="456">
        <v>24</v>
      </c>
      <c r="K27" s="456">
        <v>24</v>
      </c>
      <c r="L27" s="456">
        <v>18</v>
      </c>
      <c r="M27" s="456">
        <v>12</v>
      </c>
      <c r="N27" s="456">
        <v>0</v>
      </c>
      <c r="O27" s="456">
        <v>0</v>
      </c>
      <c r="P27" s="456">
        <v>0</v>
      </c>
      <c r="Q27" s="456">
        <v>0</v>
      </c>
      <c r="R27" s="456">
        <v>0</v>
      </c>
      <c r="S27" s="456">
        <v>0</v>
      </c>
      <c r="T27" s="456">
        <v>0</v>
      </c>
      <c r="U27" s="456">
        <v>0</v>
      </c>
      <c r="V27" s="456">
        <v>0</v>
      </c>
      <c r="W27" s="456">
        <v>0</v>
      </c>
      <c r="X27" s="456">
        <v>0</v>
      </c>
      <c r="Y27" s="456">
        <v>0</v>
      </c>
      <c r="Z27" s="456">
        <v>0</v>
      </c>
      <c r="AA27" s="456">
        <v>0</v>
      </c>
      <c r="AB27" s="456">
        <v>0</v>
      </c>
      <c r="AC27" s="456">
        <v>0</v>
      </c>
      <c r="AD27" s="456">
        <v>0</v>
      </c>
      <c r="AE27" s="456">
        <v>0</v>
      </c>
      <c r="AF27" s="456">
        <v>0</v>
      </c>
      <c r="AG27" s="456">
        <v>0</v>
      </c>
    </row>
    <row r="28" spans="3:33" ht="18" thickTop="1" thickBot="1">
      <c r="C28" s="455" t="str">
        <f>iProject!F14</f>
        <v>Thru Month</v>
      </c>
      <c r="D28" s="476">
        <f>MAX(_xlfn.ANCHORARRAY(F28))</f>
        <v>95</v>
      </c>
      <c r="E28" s="466"/>
      <c r="F28" s="456" cm="1">
        <f t="array" ref="F28:AG28">TRANSPOSE(DATABASE!G$16:G$43)</f>
        <v>25</v>
      </c>
      <c r="G28" s="456">
        <v>41</v>
      </c>
      <c r="H28" s="456">
        <v>47</v>
      </c>
      <c r="I28" s="456">
        <v>71</v>
      </c>
      <c r="J28" s="456">
        <v>47</v>
      </c>
      <c r="K28" s="456">
        <v>47</v>
      </c>
      <c r="L28" s="456">
        <v>77</v>
      </c>
      <c r="M28" s="456">
        <v>95</v>
      </c>
      <c r="N28" s="456">
        <v>0</v>
      </c>
      <c r="O28" s="456">
        <v>0</v>
      </c>
      <c r="P28" s="456">
        <v>0</v>
      </c>
      <c r="Q28" s="456">
        <v>0</v>
      </c>
      <c r="R28" s="456">
        <v>0</v>
      </c>
      <c r="S28" s="456">
        <v>0</v>
      </c>
      <c r="T28" s="456">
        <v>0</v>
      </c>
      <c r="U28" s="456">
        <v>0</v>
      </c>
      <c r="V28" s="456">
        <v>0</v>
      </c>
      <c r="W28" s="456">
        <v>0</v>
      </c>
      <c r="X28" s="456">
        <v>0</v>
      </c>
      <c r="Y28" s="456">
        <v>0</v>
      </c>
      <c r="Z28" s="456">
        <v>0</v>
      </c>
      <c r="AA28" s="456">
        <v>0</v>
      </c>
      <c r="AB28" s="456">
        <v>0</v>
      </c>
      <c r="AC28" s="456">
        <v>0</v>
      </c>
      <c r="AD28" s="456">
        <v>0</v>
      </c>
      <c r="AE28" s="456">
        <v>0</v>
      </c>
      <c r="AF28" s="456">
        <v>0</v>
      </c>
      <c r="AG28" s="456">
        <v>0</v>
      </c>
    </row>
    <row r="29" spans="3:33" ht="27" customHeight="1" thickTop="1" thickBot="1">
      <c r="C29" s="453" t="str">
        <f>iProject!F15</f>
        <v>Development Budget</v>
      </c>
      <c r="D29" s="477"/>
      <c r="E29" s="453"/>
      <c r="F29" s="456"/>
      <c r="G29" s="456"/>
      <c r="H29" s="456"/>
      <c r="I29" s="456"/>
      <c r="J29" s="456"/>
      <c r="K29" s="456"/>
      <c r="L29" s="456"/>
      <c r="M29" s="456"/>
      <c r="N29" s="456"/>
      <c r="O29" s="456"/>
      <c r="P29" s="456"/>
      <c r="Q29" s="456"/>
      <c r="R29" s="456"/>
      <c r="S29" s="456"/>
      <c r="T29" s="456"/>
      <c r="U29" s="456"/>
      <c r="V29" s="456"/>
      <c r="W29" s="456"/>
      <c r="X29" s="456"/>
      <c r="Y29" s="456"/>
      <c r="Z29" s="456"/>
      <c r="AA29" s="456"/>
      <c r="AB29" s="456"/>
      <c r="AC29" s="456"/>
      <c r="AD29" s="456"/>
      <c r="AE29" s="456"/>
      <c r="AF29" s="456"/>
      <c r="AG29" s="456"/>
    </row>
    <row r="30" spans="3:33" ht="18" thickTop="1" thickBot="1">
      <c r="C30" s="455" t="str">
        <f>iProject!F16</f>
        <v>Entitlements</v>
      </c>
      <c r="D30" s="476">
        <f t="shared" ref="D30:D37" si="3">SUM(_xlfn.ANCHORARRAY(F30))</f>
        <v>516000</v>
      </c>
      <c r="E30" s="455"/>
      <c r="F30" s="456" cm="1">
        <f t="array" ref="F30:AG30">TRANSPOSE(DATABASE!H$16:H$43)</f>
        <v>80750</v>
      </c>
      <c r="G30" s="456">
        <v>102000</v>
      </c>
      <c r="H30" s="456">
        <v>164750</v>
      </c>
      <c r="I30" s="456">
        <v>46750</v>
      </c>
      <c r="J30" s="456">
        <v>0</v>
      </c>
      <c r="K30" s="456">
        <v>0</v>
      </c>
      <c r="L30" s="456">
        <v>50000</v>
      </c>
      <c r="M30" s="456">
        <v>71750</v>
      </c>
      <c r="N30" s="456">
        <v>0</v>
      </c>
      <c r="O30" s="456">
        <v>0</v>
      </c>
      <c r="P30" s="456">
        <v>0</v>
      </c>
      <c r="Q30" s="456">
        <v>0</v>
      </c>
      <c r="R30" s="456">
        <v>0</v>
      </c>
      <c r="S30" s="456">
        <v>0</v>
      </c>
      <c r="T30" s="456">
        <v>0</v>
      </c>
      <c r="U30" s="456">
        <v>0</v>
      </c>
      <c r="V30" s="456">
        <v>0</v>
      </c>
      <c r="W30" s="456">
        <v>0</v>
      </c>
      <c r="X30" s="456">
        <v>0</v>
      </c>
      <c r="Y30" s="456">
        <v>0</v>
      </c>
      <c r="Z30" s="456">
        <v>0</v>
      </c>
      <c r="AA30" s="456">
        <v>0</v>
      </c>
      <c r="AB30" s="456">
        <v>0</v>
      </c>
      <c r="AC30" s="456">
        <v>0</v>
      </c>
      <c r="AD30" s="456">
        <v>0</v>
      </c>
      <c r="AE30" s="456">
        <v>0</v>
      </c>
      <c r="AF30" s="456">
        <v>0</v>
      </c>
      <c r="AG30" s="456">
        <v>0</v>
      </c>
    </row>
    <row r="31" spans="3:33" ht="18" thickTop="1" thickBot="1">
      <c r="C31" s="455" t="str">
        <f>iProject!F17</f>
        <v>Engineering</v>
      </c>
      <c r="D31" s="476">
        <f t="shared" si="3"/>
        <v>3581750</v>
      </c>
      <c r="E31" s="455"/>
      <c r="F31" s="456" cm="1">
        <f t="array" ref="F31:AG31">TRANSPOSE(DATABASE!I$16:I$43)</f>
        <v>565250</v>
      </c>
      <c r="G31" s="456">
        <v>714000</v>
      </c>
      <c r="H31" s="456">
        <v>1153250</v>
      </c>
      <c r="I31" s="456">
        <v>327250</v>
      </c>
      <c r="J31" s="456">
        <v>0</v>
      </c>
      <c r="K31" s="456">
        <v>0</v>
      </c>
      <c r="L31" s="456">
        <v>391500</v>
      </c>
      <c r="M31" s="456">
        <v>430500</v>
      </c>
      <c r="N31" s="456">
        <v>0</v>
      </c>
      <c r="O31" s="456">
        <v>0</v>
      </c>
      <c r="P31" s="456">
        <v>0</v>
      </c>
      <c r="Q31" s="456">
        <v>0</v>
      </c>
      <c r="R31" s="456">
        <v>0</v>
      </c>
      <c r="S31" s="456">
        <v>0</v>
      </c>
      <c r="T31" s="456">
        <v>0</v>
      </c>
      <c r="U31" s="456">
        <v>0</v>
      </c>
      <c r="V31" s="456">
        <v>0</v>
      </c>
      <c r="W31" s="456">
        <v>0</v>
      </c>
      <c r="X31" s="456">
        <v>0</v>
      </c>
      <c r="Y31" s="456">
        <v>0</v>
      </c>
      <c r="Z31" s="456">
        <v>0</v>
      </c>
      <c r="AA31" s="456">
        <v>0</v>
      </c>
      <c r="AB31" s="456">
        <v>0</v>
      </c>
      <c r="AC31" s="456">
        <v>0</v>
      </c>
      <c r="AD31" s="456">
        <v>0</v>
      </c>
      <c r="AE31" s="456">
        <v>0</v>
      </c>
      <c r="AF31" s="456">
        <v>0</v>
      </c>
      <c r="AG31" s="456">
        <v>0</v>
      </c>
    </row>
    <row r="32" spans="3:33" ht="18" thickTop="1" thickBot="1">
      <c r="C32" s="455" t="str">
        <f>iProject!F18</f>
        <v>Development &gt; Offsite</v>
      </c>
      <c r="D32" s="476">
        <f t="shared" si="3"/>
        <v>8958250</v>
      </c>
      <c r="E32" s="455"/>
      <c r="F32" s="456" cm="1">
        <f t="array" ref="F32:AG32">TRANSPOSE(DATABASE!J$16:J$43)</f>
        <v>1640500</v>
      </c>
      <c r="G32" s="456">
        <v>2140500</v>
      </c>
      <c r="H32" s="456">
        <v>2877500</v>
      </c>
      <c r="I32" s="456">
        <v>560000</v>
      </c>
      <c r="J32" s="456">
        <v>0</v>
      </c>
      <c r="K32" s="456">
        <v>0</v>
      </c>
      <c r="L32" s="456">
        <v>672250</v>
      </c>
      <c r="M32" s="456">
        <v>1067500</v>
      </c>
      <c r="N32" s="456">
        <v>0</v>
      </c>
      <c r="O32" s="456">
        <v>0</v>
      </c>
      <c r="P32" s="456">
        <v>0</v>
      </c>
      <c r="Q32" s="456">
        <v>0</v>
      </c>
      <c r="R32" s="456">
        <v>0</v>
      </c>
      <c r="S32" s="456">
        <v>0</v>
      </c>
      <c r="T32" s="456">
        <v>0</v>
      </c>
      <c r="U32" s="456">
        <v>0</v>
      </c>
      <c r="V32" s="456">
        <v>0</v>
      </c>
      <c r="W32" s="456">
        <v>0</v>
      </c>
      <c r="X32" s="456">
        <v>0</v>
      </c>
      <c r="Y32" s="456">
        <v>0</v>
      </c>
      <c r="Z32" s="456">
        <v>0</v>
      </c>
      <c r="AA32" s="456">
        <v>0</v>
      </c>
      <c r="AB32" s="456">
        <v>0</v>
      </c>
      <c r="AC32" s="456">
        <v>0</v>
      </c>
      <c r="AD32" s="456">
        <v>0</v>
      </c>
      <c r="AE32" s="456">
        <v>0</v>
      </c>
      <c r="AF32" s="456">
        <v>0</v>
      </c>
      <c r="AG32" s="456">
        <v>0</v>
      </c>
    </row>
    <row r="33" spans="3:33" ht="18" thickTop="1" thickBot="1">
      <c r="C33" s="455" t="str">
        <f>iProject!F19</f>
        <v>Development &gt; OnSite</v>
      </c>
      <c r="D33" s="476">
        <f t="shared" si="3"/>
        <v>19656250</v>
      </c>
      <c r="E33" s="455"/>
      <c r="F33" s="456" cm="1">
        <f t="array" ref="F33:AG33">TRANSPOSE(DATABASE!K$16:K$43)</f>
        <v>3281000</v>
      </c>
      <c r="G33" s="456">
        <v>4281000</v>
      </c>
      <c r="H33" s="456">
        <v>5755000</v>
      </c>
      <c r="I33" s="456">
        <v>1120000</v>
      </c>
      <c r="J33" s="456">
        <v>0</v>
      </c>
      <c r="K33" s="456">
        <v>0</v>
      </c>
      <c r="L33" s="456">
        <v>2016750</v>
      </c>
      <c r="M33" s="456">
        <v>3202500</v>
      </c>
      <c r="N33" s="456">
        <v>0</v>
      </c>
      <c r="O33" s="456">
        <v>0</v>
      </c>
      <c r="P33" s="456">
        <v>0</v>
      </c>
      <c r="Q33" s="456">
        <v>0</v>
      </c>
      <c r="R33" s="456">
        <v>0</v>
      </c>
      <c r="S33" s="456">
        <v>0</v>
      </c>
      <c r="T33" s="456">
        <v>0</v>
      </c>
      <c r="U33" s="456">
        <v>0</v>
      </c>
      <c r="V33" s="456">
        <v>0</v>
      </c>
      <c r="W33" s="456">
        <v>0</v>
      </c>
      <c r="X33" s="456">
        <v>0</v>
      </c>
      <c r="Y33" s="456">
        <v>0</v>
      </c>
      <c r="Z33" s="456">
        <v>0</v>
      </c>
      <c r="AA33" s="456">
        <v>0</v>
      </c>
      <c r="AB33" s="456">
        <v>0</v>
      </c>
      <c r="AC33" s="456">
        <v>0</v>
      </c>
      <c r="AD33" s="456">
        <v>0</v>
      </c>
      <c r="AE33" s="456">
        <v>0</v>
      </c>
      <c r="AF33" s="456">
        <v>0</v>
      </c>
      <c r="AG33" s="456">
        <v>0</v>
      </c>
    </row>
    <row r="34" spans="3:33" ht="18" thickTop="1" thickBot="1">
      <c r="C34" s="455" t="str">
        <f>iProject!F20</f>
        <v>Development &gt; Other</v>
      </c>
      <c r="D34" s="476">
        <f t="shared" si="3"/>
        <v>0</v>
      </c>
      <c r="E34" s="455"/>
      <c r="F34" s="456" cm="1">
        <f t="array" ref="F34:AG34">TRANSPOSE(DATABASE!L$16:L$43)</f>
        <v>0</v>
      </c>
      <c r="G34" s="456">
        <v>0</v>
      </c>
      <c r="H34" s="456">
        <v>0</v>
      </c>
      <c r="I34" s="456">
        <v>0</v>
      </c>
      <c r="J34" s="456">
        <v>0</v>
      </c>
      <c r="K34" s="456">
        <v>0</v>
      </c>
      <c r="L34" s="456">
        <v>0</v>
      </c>
      <c r="M34" s="456">
        <v>0</v>
      </c>
      <c r="N34" s="456">
        <v>0</v>
      </c>
      <c r="O34" s="456">
        <v>0</v>
      </c>
      <c r="P34" s="456">
        <v>0</v>
      </c>
      <c r="Q34" s="456">
        <v>0</v>
      </c>
      <c r="R34" s="456">
        <v>0</v>
      </c>
      <c r="S34" s="456">
        <v>0</v>
      </c>
      <c r="T34" s="456">
        <v>0</v>
      </c>
      <c r="U34" s="456">
        <v>0</v>
      </c>
      <c r="V34" s="456">
        <v>0</v>
      </c>
      <c r="W34" s="456">
        <v>0</v>
      </c>
      <c r="X34" s="456">
        <v>0</v>
      </c>
      <c r="Y34" s="456">
        <v>0</v>
      </c>
      <c r="Z34" s="456">
        <v>0</v>
      </c>
      <c r="AA34" s="456">
        <v>0</v>
      </c>
      <c r="AB34" s="456">
        <v>0</v>
      </c>
      <c r="AC34" s="456">
        <v>0</v>
      </c>
      <c r="AD34" s="456">
        <v>0</v>
      </c>
      <c r="AE34" s="456">
        <v>0</v>
      </c>
      <c r="AF34" s="456">
        <v>0</v>
      </c>
      <c r="AG34" s="456">
        <v>0</v>
      </c>
    </row>
    <row r="35" spans="3:33" ht="18" thickTop="1" thickBot="1">
      <c r="C35" s="455" t="str">
        <f>iProject!F21</f>
        <v>Contingency</v>
      </c>
      <c r="D35" s="1100">
        <f t="shared" si="3"/>
        <v>3271225</v>
      </c>
      <c r="E35" s="455"/>
      <c r="F35" s="456" cm="1">
        <f t="array" ref="F35:AG35">TRANSPOSE(DATABASE!M$16:M$43)</f>
        <v>556750</v>
      </c>
      <c r="G35" s="456">
        <v>723750</v>
      </c>
      <c r="H35" s="456">
        <v>995050</v>
      </c>
      <c r="I35" s="456">
        <v>205400</v>
      </c>
      <c r="J35" s="456">
        <v>0</v>
      </c>
      <c r="K35" s="456">
        <v>0</v>
      </c>
      <c r="L35" s="456">
        <v>313050</v>
      </c>
      <c r="M35" s="456">
        <v>477225</v>
      </c>
      <c r="N35" s="456">
        <v>0</v>
      </c>
      <c r="O35" s="456">
        <v>0</v>
      </c>
      <c r="P35" s="456">
        <v>0</v>
      </c>
      <c r="Q35" s="456">
        <v>0</v>
      </c>
      <c r="R35" s="456">
        <v>0</v>
      </c>
      <c r="S35" s="456">
        <v>0</v>
      </c>
      <c r="T35" s="456">
        <v>0</v>
      </c>
      <c r="U35" s="456">
        <v>0</v>
      </c>
      <c r="V35" s="456">
        <v>0</v>
      </c>
      <c r="W35" s="456">
        <v>0</v>
      </c>
      <c r="X35" s="456">
        <v>0</v>
      </c>
      <c r="Y35" s="456">
        <v>0</v>
      </c>
      <c r="Z35" s="456">
        <v>0</v>
      </c>
      <c r="AA35" s="456">
        <v>0</v>
      </c>
      <c r="AB35" s="456">
        <v>0</v>
      </c>
      <c r="AC35" s="456">
        <v>0</v>
      </c>
      <c r="AD35" s="456">
        <v>0</v>
      </c>
      <c r="AE35" s="456">
        <v>0</v>
      </c>
      <c r="AF35" s="456">
        <v>0</v>
      </c>
      <c r="AG35" s="456">
        <v>0</v>
      </c>
    </row>
    <row r="36" spans="3:33" ht="20.25" customHeight="1" thickTop="1" thickBot="1">
      <c r="C36" s="485" t="str">
        <f>iProject!F22</f>
        <v>Total Development Costs</v>
      </c>
      <c r="D36" s="478">
        <f t="shared" si="3"/>
        <v>35983475</v>
      </c>
      <c r="E36" s="455"/>
      <c r="F36" s="457" cm="1">
        <f t="array" ref="F36:AG36">TRANSPOSE(DATABASE!N$16:N$43)</f>
        <v>6124250</v>
      </c>
      <c r="G36" s="457">
        <v>7961250</v>
      </c>
      <c r="H36" s="457">
        <v>10945550</v>
      </c>
      <c r="I36" s="457">
        <v>2259400</v>
      </c>
      <c r="J36" s="457">
        <v>0</v>
      </c>
      <c r="K36" s="457">
        <v>0</v>
      </c>
      <c r="L36" s="457">
        <v>3443550</v>
      </c>
      <c r="M36" s="457">
        <v>5249475</v>
      </c>
      <c r="N36" s="457">
        <v>0</v>
      </c>
      <c r="O36" s="457">
        <v>0</v>
      </c>
      <c r="P36" s="457">
        <v>0</v>
      </c>
      <c r="Q36" s="457">
        <v>0</v>
      </c>
      <c r="R36" s="457">
        <v>0</v>
      </c>
      <c r="S36" s="457">
        <v>0</v>
      </c>
      <c r="T36" s="457">
        <v>0</v>
      </c>
      <c r="U36" s="457">
        <v>0</v>
      </c>
      <c r="V36" s="457">
        <v>0</v>
      </c>
      <c r="W36" s="457">
        <v>0</v>
      </c>
      <c r="X36" s="457">
        <v>0</v>
      </c>
      <c r="Y36" s="457">
        <v>0</v>
      </c>
      <c r="Z36" s="457">
        <v>0</v>
      </c>
      <c r="AA36" s="457">
        <v>0</v>
      </c>
      <c r="AB36" s="457">
        <v>0</v>
      </c>
      <c r="AC36" s="457">
        <v>0</v>
      </c>
      <c r="AD36" s="457">
        <v>0</v>
      </c>
      <c r="AE36" s="457">
        <v>0</v>
      </c>
      <c r="AF36" s="457">
        <v>0</v>
      </c>
      <c r="AG36" s="457">
        <v>0</v>
      </c>
    </row>
    <row r="37" spans="3:33" ht="24" customHeight="1" thickTop="1" thickBot="1">
      <c r="C37" s="484" t="str">
        <f>$C$29 &amp; ": Inflated"</f>
        <v>Development Budget: Inflated</v>
      </c>
      <c r="D37" s="487">
        <f t="shared" si="3"/>
        <v>39235624.299927838</v>
      </c>
      <c r="E37" s="1058"/>
      <c r="F37" s="473" cm="1">
        <f t="array" ref="F37:AG37">TRANSPOSE(DATABASE!O$16:O$43)</f>
        <v>6139560.625</v>
      </c>
      <c r="G37" s="473">
        <v>8452913.2686306704</v>
      </c>
      <c r="H37" s="473">
        <v>11621514.81582169</v>
      </c>
      <c r="I37" s="473">
        <v>2547084.9307376216</v>
      </c>
      <c r="J37" s="473">
        <v>0</v>
      </c>
      <c r="K37" s="473">
        <v>0</v>
      </c>
      <c r="L37" s="473">
        <v>4000085.4681246532</v>
      </c>
      <c r="M37" s="473">
        <v>6474465.1916132011</v>
      </c>
      <c r="N37" s="473">
        <v>0</v>
      </c>
      <c r="O37" s="473">
        <v>0</v>
      </c>
      <c r="P37" s="473">
        <v>0</v>
      </c>
      <c r="Q37" s="473">
        <v>0</v>
      </c>
      <c r="R37" s="473">
        <v>0</v>
      </c>
      <c r="S37" s="473">
        <v>0</v>
      </c>
      <c r="T37" s="473">
        <v>0</v>
      </c>
      <c r="U37" s="473">
        <v>0</v>
      </c>
      <c r="V37" s="473">
        <v>0</v>
      </c>
      <c r="W37" s="473">
        <v>0</v>
      </c>
      <c r="X37" s="473">
        <v>0</v>
      </c>
      <c r="Y37" s="473">
        <v>0</v>
      </c>
      <c r="Z37" s="473">
        <v>0</v>
      </c>
      <c r="AA37" s="473">
        <v>0</v>
      </c>
      <c r="AB37" s="473">
        <v>0</v>
      </c>
      <c r="AC37" s="473">
        <v>0</v>
      </c>
      <c r="AD37" s="473">
        <v>0</v>
      </c>
      <c r="AE37" s="473">
        <v>0</v>
      </c>
      <c r="AF37" s="473">
        <v>0</v>
      </c>
      <c r="AG37" s="473">
        <v>0</v>
      </c>
    </row>
    <row r="38" spans="3:33" ht="18" thickTop="1" thickBot="1">
      <c r="C38" s="455" t="str">
        <f>C29 &amp; ": / Lot"</f>
        <v>Development Budget: / Lot</v>
      </c>
      <c r="D38" s="476">
        <f ca="1">D37/D10</f>
        <v>11485.838495295035</v>
      </c>
      <c r="E38" s="455"/>
      <c r="F38" s="459" cm="1">
        <f t="array" aca="1" ref="F38:AG38" ca="1">IFERROR(_xlfn.ANCHORARRAY(F37)/_xlfn.ANCHORARRAY(F10),0)</f>
        <v>19007.927631578947</v>
      </c>
      <c r="G38" s="459">
        <f ca="1"/>
        <v>10727.047295216587</v>
      </c>
      <c r="H38" s="459">
        <f ca="1"/>
        <v>7402.2387361921592</v>
      </c>
      <c r="I38" s="459">
        <f ca="1"/>
        <v>13620.775030682469</v>
      </c>
      <c r="J38" s="459">
        <f ca="1"/>
        <v>0</v>
      </c>
      <c r="K38" s="459">
        <f ca="1"/>
        <v>0</v>
      </c>
      <c r="L38" s="459">
        <f ca="1"/>
        <v>15325.997962163423</v>
      </c>
      <c r="M38" s="459">
        <f ca="1"/>
        <v>22559.112165899656</v>
      </c>
      <c r="N38" s="459">
        <f ca="1"/>
        <v>0</v>
      </c>
      <c r="O38" s="459">
        <f ca="1"/>
        <v>0</v>
      </c>
      <c r="P38" s="459">
        <f ca="1"/>
        <v>0</v>
      </c>
      <c r="Q38" s="459">
        <f ca="1"/>
        <v>0</v>
      </c>
      <c r="R38" s="459">
        <f ca="1"/>
        <v>0</v>
      </c>
      <c r="S38" s="459">
        <f ca="1"/>
        <v>0</v>
      </c>
      <c r="T38" s="459">
        <f ca="1"/>
        <v>0</v>
      </c>
      <c r="U38" s="459">
        <f ca="1"/>
        <v>0</v>
      </c>
      <c r="V38" s="459">
        <f ca="1"/>
        <v>0</v>
      </c>
      <c r="W38" s="459">
        <f ca="1"/>
        <v>0</v>
      </c>
      <c r="X38" s="459">
        <f ca="1"/>
        <v>0</v>
      </c>
      <c r="Y38" s="459">
        <f ca="1"/>
        <v>0</v>
      </c>
      <c r="Z38" s="459">
        <f ca="1"/>
        <v>0</v>
      </c>
      <c r="AA38" s="459">
        <f ca="1"/>
        <v>0</v>
      </c>
      <c r="AB38" s="459">
        <f ca="1"/>
        <v>0</v>
      </c>
      <c r="AC38" s="459">
        <f ca="1"/>
        <v>0</v>
      </c>
      <c r="AD38" s="459">
        <f ca="1"/>
        <v>0</v>
      </c>
      <c r="AE38" s="459">
        <f ca="1"/>
        <v>0</v>
      </c>
      <c r="AF38" s="459">
        <f ca="1"/>
        <v>0</v>
      </c>
      <c r="AG38" s="459">
        <f ca="1"/>
        <v>0</v>
      </c>
    </row>
    <row r="39" spans="3:33" ht="18" thickTop="1" thickBot="1">
      <c r="C39" s="455" t="str">
        <f>$C$29 &amp; ": / FrFt"</f>
        <v>Development Budget: / FrFt</v>
      </c>
      <c r="D39" s="476">
        <f ca="1">D37/D11</f>
        <v>353.14004140162763</v>
      </c>
      <c r="E39" s="455"/>
      <c r="F39" s="456" cm="1">
        <f t="array" aca="1" ref="F39:AG39" ca="1">IFERROR(_xlfn.ANCHORARRAY(F37)/SUMIF(_xlfn.ANCHORARRAY(DATABASE!AH32),_xlfn.ANCHORARRAY(F8),DATABASE!$T$32:$T$84),0)</f>
        <v>374.24935233160619</v>
      </c>
      <c r="G39" s="456">
        <f ca="1"/>
        <v>394.90367991734036</v>
      </c>
      <c r="H39" s="456">
        <f ca="1"/>
        <v>403.8754062839858</v>
      </c>
      <c r="I39" s="456">
        <f ca="1"/>
        <v>261.91104686248036</v>
      </c>
      <c r="J39" s="456">
        <f ca="1"/>
        <v>0</v>
      </c>
      <c r="K39" s="456">
        <f ca="1"/>
        <v>0</v>
      </c>
      <c r="L39" s="456">
        <f ca="1"/>
        <v>297.51472429339185</v>
      </c>
      <c r="M39" s="456">
        <f ca="1"/>
        <v>303.25363895143801</v>
      </c>
      <c r="N39" s="456">
        <f ca="1"/>
        <v>0</v>
      </c>
      <c r="O39" s="456">
        <f ca="1"/>
        <v>0</v>
      </c>
      <c r="P39" s="456">
        <f ca="1"/>
        <v>0</v>
      </c>
      <c r="Q39" s="456">
        <f ca="1"/>
        <v>0</v>
      </c>
      <c r="R39" s="456">
        <f ca="1"/>
        <v>0</v>
      </c>
      <c r="S39" s="456">
        <f ca="1"/>
        <v>0</v>
      </c>
      <c r="T39" s="456">
        <f ca="1"/>
        <v>0</v>
      </c>
      <c r="U39" s="456">
        <f ca="1"/>
        <v>0</v>
      </c>
      <c r="V39" s="456">
        <f ca="1"/>
        <v>0</v>
      </c>
      <c r="W39" s="456">
        <f ca="1"/>
        <v>0</v>
      </c>
      <c r="X39" s="456">
        <f ca="1"/>
        <v>0</v>
      </c>
      <c r="Y39" s="456">
        <f ca="1"/>
        <v>0</v>
      </c>
      <c r="Z39" s="456">
        <f ca="1"/>
        <v>0</v>
      </c>
      <c r="AA39" s="456">
        <f ca="1"/>
        <v>0</v>
      </c>
      <c r="AB39" s="456">
        <f ca="1"/>
        <v>0</v>
      </c>
      <c r="AC39" s="456">
        <f ca="1"/>
        <v>0</v>
      </c>
      <c r="AD39" s="456">
        <f ca="1"/>
        <v>0</v>
      </c>
      <c r="AE39" s="456">
        <f ca="1"/>
        <v>0</v>
      </c>
      <c r="AF39" s="456">
        <f ca="1"/>
        <v>0</v>
      </c>
      <c r="AG39" s="456">
        <f ca="1"/>
        <v>0</v>
      </c>
    </row>
    <row r="40" spans="3:33" ht="18" thickTop="1" thickBot="1">
      <c r="C40" s="453"/>
      <c r="D40" s="476"/>
      <c r="E40" s="453"/>
      <c r="F40" s="456"/>
      <c r="G40" s="456"/>
      <c r="H40" s="456"/>
      <c r="I40" s="456"/>
      <c r="J40" s="456"/>
      <c r="K40" s="456"/>
      <c r="L40" s="456"/>
      <c r="M40" s="456"/>
      <c r="N40" s="456"/>
      <c r="O40" s="456"/>
      <c r="P40" s="456"/>
      <c r="Q40" s="456"/>
      <c r="R40" s="456"/>
      <c r="S40" s="456"/>
      <c r="T40" s="456"/>
      <c r="U40" s="456"/>
      <c r="V40" s="456"/>
      <c r="W40" s="456"/>
      <c r="X40" s="456"/>
      <c r="Y40" s="456"/>
      <c r="Z40" s="456"/>
      <c r="AA40" s="456"/>
      <c r="AB40" s="456"/>
      <c r="AC40" s="456"/>
      <c r="AD40" s="456"/>
      <c r="AE40" s="456"/>
      <c r="AF40" s="456"/>
      <c r="AG40" s="456"/>
    </row>
    <row r="41" spans="3:33" ht="18" thickTop="1" thickBot="1">
      <c r="C41" s="453" t="s">
        <v>273</v>
      </c>
      <c r="D41" s="487">
        <f ca="1">SUM(_xlfn.ANCHORARRAY(F41))</f>
        <v>-128253025.34701766</v>
      </c>
      <c r="E41" s="453"/>
      <c r="F41" s="452" cm="1">
        <f t="array" aca="1" ref="F41:AG41" ca="1">_xlfn.ANCHORARRAY(F19)+_xlfn.ANCHORARRAY(F37)</f>
        <v>-16617360.309735361</v>
      </c>
      <c r="G41" s="452">
        <f ca="1"/>
        <v>-22450225.975514241</v>
      </c>
      <c r="H41" s="452">
        <f ca="1"/>
        <v>-30549008.13122955</v>
      </c>
      <c r="I41" s="452">
        <f ca="1"/>
        <v>-12601382.660441983</v>
      </c>
      <c r="J41" s="452">
        <f ca="1"/>
        <v>0</v>
      </c>
      <c r="K41" s="452">
        <f ca="1"/>
        <v>0</v>
      </c>
      <c r="L41" s="452">
        <f ca="1"/>
        <v>-17236559.15951943</v>
      </c>
      <c r="M41" s="452">
        <f ca="1"/>
        <v>-28798489.110577095</v>
      </c>
      <c r="N41" s="452">
        <f ca="1"/>
        <v>0</v>
      </c>
      <c r="O41" s="452">
        <f ca="1"/>
        <v>0</v>
      </c>
      <c r="P41" s="452">
        <f ca="1"/>
        <v>0</v>
      </c>
      <c r="Q41" s="452">
        <f ca="1"/>
        <v>0</v>
      </c>
      <c r="R41" s="452">
        <f ca="1"/>
        <v>0</v>
      </c>
      <c r="S41" s="452">
        <f ca="1"/>
        <v>0</v>
      </c>
      <c r="T41" s="452">
        <f ca="1"/>
        <v>0</v>
      </c>
      <c r="U41" s="452">
        <f ca="1"/>
        <v>0</v>
      </c>
      <c r="V41" s="452">
        <f ca="1"/>
        <v>0</v>
      </c>
      <c r="W41" s="452">
        <f ca="1"/>
        <v>0</v>
      </c>
      <c r="X41" s="452">
        <f ca="1"/>
        <v>0</v>
      </c>
      <c r="Y41" s="452">
        <f ca="1"/>
        <v>0</v>
      </c>
      <c r="Z41" s="452">
        <f ca="1"/>
        <v>0</v>
      </c>
      <c r="AA41" s="452">
        <f ca="1"/>
        <v>0</v>
      </c>
      <c r="AB41" s="452">
        <f ca="1"/>
        <v>0</v>
      </c>
      <c r="AC41" s="452">
        <f ca="1"/>
        <v>0</v>
      </c>
      <c r="AD41" s="452">
        <f ca="1"/>
        <v>0</v>
      </c>
      <c r="AE41" s="452">
        <f ca="1"/>
        <v>0</v>
      </c>
      <c r="AF41" s="452">
        <f ca="1"/>
        <v>0</v>
      </c>
      <c r="AG41" s="452">
        <f ca="1"/>
        <v>0</v>
      </c>
    </row>
    <row r="42" spans="3:33" ht="18" thickTop="1" thickBot="1">
      <c r="C42" s="455" t="s">
        <v>274</v>
      </c>
      <c r="D42" s="476">
        <f ca="1">SUM(_xlfn.ANCHORARRAY(F42))</f>
        <v>-333165.73462576052</v>
      </c>
      <c r="E42" s="455"/>
      <c r="F42" s="456" cm="1">
        <f t="array" aca="1" ref="F42:AG42" ca="1">_xlfn.ANCHORARRAY(F53)+_xlfn.ANCHORARRAY(F38)</f>
        <v>-51446.935943453136</v>
      </c>
      <c r="G42" s="456">
        <f ca="1"/>
        <v>-28490.134486693198</v>
      </c>
      <c r="H42" s="456">
        <f ca="1"/>
        <v>-19457.966962566592</v>
      </c>
      <c r="I42" s="456">
        <f ca="1"/>
        <v>-67387.07305049189</v>
      </c>
      <c r="J42" s="456">
        <f ca="1"/>
        <v>0</v>
      </c>
      <c r="K42" s="456">
        <f ca="1"/>
        <v>0</v>
      </c>
      <c r="L42" s="456">
        <f ca="1"/>
        <v>-66040.456549882874</v>
      </c>
      <c r="M42" s="456">
        <f ca="1"/>
        <v>-100343.1676326728</v>
      </c>
      <c r="N42" s="456">
        <f ca="1"/>
        <v>0</v>
      </c>
      <c r="O42" s="456">
        <f ca="1"/>
        <v>0</v>
      </c>
      <c r="P42" s="456">
        <f ca="1"/>
        <v>0</v>
      </c>
      <c r="Q42" s="456">
        <f ca="1"/>
        <v>0</v>
      </c>
      <c r="R42" s="456">
        <f ca="1"/>
        <v>0</v>
      </c>
      <c r="S42" s="456">
        <f ca="1"/>
        <v>0</v>
      </c>
      <c r="T42" s="456">
        <f ca="1"/>
        <v>0</v>
      </c>
      <c r="U42" s="456">
        <f ca="1"/>
        <v>0</v>
      </c>
      <c r="V42" s="456">
        <f ca="1"/>
        <v>0</v>
      </c>
      <c r="W42" s="456">
        <f ca="1"/>
        <v>0</v>
      </c>
      <c r="X42" s="456">
        <f ca="1"/>
        <v>0</v>
      </c>
      <c r="Y42" s="456">
        <f ca="1"/>
        <v>0</v>
      </c>
      <c r="Z42" s="456">
        <f ca="1"/>
        <v>0</v>
      </c>
      <c r="AA42" s="456">
        <f ca="1"/>
        <v>0</v>
      </c>
      <c r="AB42" s="456">
        <f ca="1"/>
        <v>0</v>
      </c>
      <c r="AC42" s="456">
        <f ca="1"/>
        <v>0</v>
      </c>
      <c r="AD42" s="456">
        <f ca="1"/>
        <v>0</v>
      </c>
      <c r="AE42" s="456">
        <f ca="1"/>
        <v>0</v>
      </c>
      <c r="AF42" s="456">
        <f ca="1"/>
        <v>0</v>
      </c>
      <c r="AG42" s="456">
        <f ca="1"/>
        <v>0</v>
      </c>
    </row>
    <row r="43" spans="3:33" ht="18" thickTop="1" thickBot="1">
      <c r="C43" s="465" t="s">
        <v>275</v>
      </c>
      <c r="D43" s="476">
        <f ca="1">SUM(_xlfn.ANCHORARRAY(F43))</f>
        <v>-7050.0793080432531</v>
      </c>
      <c r="E43" s="465"/>
      <c r="F43" s="456" cm="1">
        <f t="array" aca="1" ref="F43:AG43" ca="1">_xlfn.ANCHORARRAY(F50)+_xlfn.ANCHORARRAY(F39)</f>
        <v>-1012.9448527726524</v>
      </c>
      <c r="G43" s="456">
        <f ca="1"/>
        <v>-1048.8309262094949</v>
      </c>
      <c r="H43" s="456">
        <f ca="1"/>
        <v>-1061.6510210679253</v>
      </c>
      <c r="I43" s="456">
        <f ca="1"/>
        <v>-1295.7719959323376</v>
      </c>
      <c r="J43" s="456">
        <f ca="1"/>
        <v>0</v>
      </c>
      <c r="K43" s="456">
        <f ca="1"/>
        <v>0</v>
      </c>
      <c r="L43" s="456">
        <f ca="1"/>
        <v>-1282.0051438839296</v>
      </c>
      <c r="M43" s="456">
        <f ca="1"/>
        <v>-1348.8753681769131</v>
      </c>
      <c r="N43" s="456">
        <f ca="1"/>
        <v>0</v>
      </c>
      <c r="O43" s="456">
        <f ca="1"/>
        <v>0</v>
      </c>
      <c r="P43" s="456">
        <f ca="1"/>
        <v>0</v>
      </c>
      <c r="Q43" s="456">
        <f ca="1"/>
        <v>0</v>
      </c>
      <c r="R43" s="456">
        <f ca="1"/>
        <v>0</v>
      </c>
      <c r="S43" s="456">
        <f ca="1"/>
        <v>0</v>
      </c>
      <c r="T43" s="456">
        <f ca="1"/>
        <v>0</v>
      </c>
      <c r="U43" s="456">
        <f ca="1"/>
        <v>0</v>
      </c>
      <c r="V43" s="456">
        <f ca="1"/>
        <v>0</v>
      </c>
      <c r="W43" s="456">
        <f ca="1"/>
        <v>0</v>
      </c>
      <c r="X43" s="456">
        <f ca="1"/>
        <v>0</v>
      </c>
      <c r="Y43" s="456">
        <f ca="1"/>
        <v>0</v>
      </c>
      <c r="Z43" s="456">
        <f ca="1"/>
        <v>0</v>
      </c>
      <c r="AA43" s="456">
        <f ca="1"/>
        <v>0</v>
      </c>
      <c r="AB43" s="456">
        <f ca="1"/>
        <v>0</v>
      </c>
      <c r="AC43" s="456">
        <f ca="1"/>
        <v>0</v>
      </c>
      <c r="AD43" s="456">
        <f ca="1"/>
        <v>0</v>
      </c>
      <c r="AE43" s="456">
        <f ca="1"/>
        <v>0</v>
      </c>
      <c r="AF43" s="456">
        <f ca="1"/>
        <v>0</v>
      </c>
      <c r="AG43" s="456">
        <f ca="1"/>
        <v>0</v>
      </c>
    </row>
    <row r="44" spans="3:33" ht="18" thickTop="1" thickBot="1">
      <c r="C44" s="465" t="s">
        <v>276</v>
      </c>
      <c r="D44" s="476">
        <f ca="1">D41/D9</f>
        <v>-117663.32600643822</v>
      </c>
      <c r="E44" s="465"/>
      <c r="F44" s="456" cm="1">
        <f t="array" aca="1" ref="F44:AG44" ca="1">IFERROR(_xlfn.ANCHORARRAY(F41)/_xlfn.ANCHORARRAY(F9),0)</f>
        <v>-159782.31067053232</v>
      </c>
      <c r="G44" s="456">
        <f ca="1"/>
        <v>-152722.62568377034</v>
      </c>
      <c r="H44" s="456">
        <f ca="1"/>
        <v>-117496.18512011366</v>
      </c>
      <c r="I44" s="456">
        <f ca="1"/>
        <v>-102450.26553204865</v>
      </c>
      <c r="J44" s="456">
        <f ca="1"/>
        <v>0</v>
      </c>
      <c r="K44" s="456">
        <f ca="1"/>
        <v>0</v>
      </c>
      <c r="L44" s="456">
        <f ca="1"/>
        <v>-207669.38746408952</v>
      </c>
      <c r="M44" s="456">
        <f ca="1"/>
        <v>-219835.79473722973</v>
      </c>
      <c r="N44" s="456">
        <f ca="1"/>
        <v>0</v>
      </c>
      <c r="O44" s="456">
        <f ca="1"/>
        <v>0</v>
      </c>
      <c r="P44" s="456">
        <f ca="1"/>
        <v>0</v>
      </c>
      <c r="Q44" s="456">
        <f ca="1"/>
        <v>0</v>
      </c>
      <c r="R44" s="456">
        <f ca="1"/>
        <v>0</v>
      </c>
      <c r="S44" s="456">
        <f ca="1"/>
        <v>0</v>
      </c>
      <c r="T44" s="456">
        <f ca="1"/>
        <v>0</v>
      </c>
      <c r="U44" s="456">
        <f ca="1"/>
        <v>0</v>
      </c>
      <c r="V44" s="456">
        <f ca="1"/>
        <v>0</v>
      </c>
      <c r="W44" s="456">
        <f ca="1"/>
        <v>0</v>
      </c>
      <c r="X44" s="456">
        <f ca="1"/>
        <v>0</v>
      </c>
      <c r="Y44" s="456">
        <f ca="1"/>
        <v>0</v>
      </c>
      <c r="Z44" s="456">
        <f ca="1"/>
        <v>0</v>
      </c>
      <c r="AA44" s="456">
        <f ca="1"/>
        <v>0</v>
      </c>
      <c r="AB44" s="456">
        <f ca="1"/>
        <v>0</v>
      </c>
      <c r="AC44" s="456">
        <f ca="1"/>
        <v>0</v>
      </c>
      <c r="AD44" s="456">
        <f ca="1"/>
        <v>0</v>
      </c>
      <c r="AE44" s="456">
        <f ca="1"/>
        <v>0</v>
      </c>
      <c r="AF44" s="456">
        <f ca="1"/>
        <v>0</v>
      </c>
      <c r="AG44" s="456">
        <f ca="1"/>
        <v>0</v>
      </c>
    </row>
    <row r="45" spans="3:33" ht="18" thickTop="1" thickBot="1">
      <c r="C45" s="449"/>
      <c r="D45" s="476"/>
      <c r="E45" s="449"/>
      <c r="F45" s="449"/>
      <c r="G45" s="449"/>
      <c r="H45" s="449"/>
      <c r="I45" s="449"/>
      <c r="J45" s="449"/>
      <c r="K45" s="449"/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  <c r="Y45" s="449"/>
      <c r="Z45" s="449"/>
      <c r="AA45" s="449"/>
      <c r="AB45" s="449"/>
      <c r="AC45" s="449"/>
      <c r="AD45" s="449"/>
      <c r="AE45" s="449"/>
      <c r="AF45" s="449"/>
      <c r="AG45" s="449"/>
    </row>
    <row r="46" spans="3:33" ht="18" thickTop="1" thickBot="1">
      <c r="C46" s="453" t="s">
        <v>15</v>
      </c>
      <c r="D46" s="487">
        <f ca="1">SUM(_xlfn.ANCHORARRAY(F46))</f>
        <v>456798333.05841786</v>
      </c>
      <c r="E46" s="453"/>
      <c r="F46" s="452" cm="1">
        <f t="array" aca="1" ref="F46:AG46" ca="1">_xlfn.ANCHORARRAY(F23)-_xlfn.ANCHORARRAY(F41)</f>
        <v>46704808.716532424</v>
      </c>
      <c r="G46" s="452">
        <f ca="1"/>
        <v>70220552.161121592</v>
      </c>
      <c r="H46" s="452">
        <f ca="1"/>
        <v>103819016.4619073</v>
      </c>
      <c r="I46" s="452">
        <f ca="1"/>
        <v>24906599.411430955</v>
      </c>
      <c r="J46" s="452">
        <f ca="1"/>
        <v>64584748.586116046</v>
      </c>
      <c r="K46" s="452">
        <f ca="1"/>
        <v>49499259.865271427</v>
      </c>
      <c r="L46" s="452">
        <f ca="1"/>
        <v>34487248.949359544</v>
      </c>
      <c r="M46" s="452">
        <f ca="1"/>
        <v>62576098.906678572</v>
      </c>
      <c r="N46" s="452">
        <f ca="1"/>
        <v>0</v>
      </c>
      <c r="O46" s="452">
        <f ca="1"/>
        <v>0</v>
      </c>
      <c r="P46" s="452">
        <f ca="1"/>
        <v>0</v>
      </c>
      <c r="Q46" s="452">
        <f ca="1"/>
        <v>0</v>
      </c>
      <c r="R46" s="452">
        <f ca="1"/>
        <v>0</v>
      </c>
      <c r="S46" s="452">
        <f ca="1"/>
        <v>0</v>
      </c>
      <c r="T46" s="452">
        <f ca="1"/>
        <v>0</v>
      </c>
      <c r="U46" s="452">
        <f ca="1"/>
        <v>0</v>
      </c>
      <c r="V46" s="452">
        <f ca="1"/>
        <v>0</v>
      </c>
      <c r="W46" s="452">
        <f ca="1"/>
        <v>0</v>
      </c>
      <c r="X46" s="452">
        <f ca="1"/>
        <v>0</v>
      </c>
      <c r="Y46" s="452">
        <f ca="1"/>
        <v>0</v>
      </c>
      <c r="Z46" s="452">
        <f ca="1"/>
        <v>0</v>
      </c>
      <c r="AA46" s="452">
        <f ca="1"/>
        <v>0</v>
      </c>
      <c r="AB46" s="452">
        <f ca="1"/>
        <v>0</v>
      </c>
      <c r="AC46" s="452">
        <f ca="1"/>
        <v>0</v>
      </c>
      <c r="AD46" s="452">
        <f ca="1"/>
        <v>0</v>
      </c>
      <c r="AE46" s="452">
        <f ca="1"/>
        <v>0</v>
      </c>
      <c r="AF46" s="452">
        <f ca="1"/>
        <v>0</v>
      </c>
      <c r="AG46" s="452">
        <f ca="1"/>
        <v>0</v>
      </c>
    </row>
    <row r="47" spans="3:33" ht="13.5" customHeight="1" thickTop="1"/>
    <row r="48" spans="3:33" ht="15" thickBot="1"/>
    <row r="49" spans="3:33" ht="18" thickTop="1" thickBot="1">
      <c r="C49" t="s">
        <v>562</v>
      </c>
      <c r="D49" s="487" cm="1">
        <f t="array" aca="1" ref="D49" ca="1">D16/c_FrontFeet</f>
        <v>2741.4054589160082</v>
      </c>
      <c r="F49" s="456" cm="1">
        <f t="array" aca="1" ref="F49:AG49" ca="1">IFERROR(_xlfn.ANCHORARRAY(F16)/_xlfn.ANCHORARRAY(F11),0)</f>
        <v>2560.9739171155538</v>
      </c>
      <c r="G49" s="456">
        <f ca="1"/>
        <v>2665.3561959264657</v>
      </c>
      <c r="H49" s="456">
        <f ca="1"/>
        <v>2705.5872504958361</v>
      </c>
      <c r="I49" s="456">
        <f ca="1"/>
        <v>2875.7225405442796</v>
      </c>
      <c r="J49" s="456">
        <f ca="1"/>
        <v>0</v>
      </c>
      <c r="K49" s="456">
        <f ca="1"/>
        <v>0</v>
      </c>
      <c r="L49" s="456">
        <f ca="1"/>
        <v>2916.0366797119773</v>
      </c>
      <c r="M49" s="456">
        <f ca="1"/>
        <v>2833.4116641797696</v>
      </c>
      <c r="N49" s="456">
        <f ca="1"/>
        <v>0</v>
      </c>
      <c r="O49" s="456">
        <f ca="1"/>
        <v>0</v>
      </c>
      <c r="P49" s="456">
        <f ca="1"/>
        <v>0</v>
      </c>
      <c r="Q49" s="456">
        <f ca="1"/>
        <v>0</v>
      </c>
      <c r="R49" s="456">
        <f ca="1"/>
        <v>0</v>
      </c>
      <c r="S49" s="456">
        <f ca="1"/>
        <v>0</v>
      </c>
      <c r="T49" s="456">
        <f ca="1"/>
        <v>0</v>
      </c>
      <c r="U49" s="456">
        <f ca="1"/>
        <v>0</v>
      </c>
      <c r="V49" s="456">
        <f ca="1"/>
        <v>0</v>
      </c>
      <c r="W49" s="456">
        <f ca="1"/>
        <v>0</v>
      </c>
      <c r="X49" s="456">
        <f ca="1"/>
        <v>0</v>
      </c>
      <c r="Y49" s="456">
        <f ca="1"/>
        <v>0</v>
      </c>
      <c r="Z49" s="456">
        <f ca="1"/>
        <v>0</v>
      </c>
      <c r="AA49" s="456">
        <f ca="1"/>
        <v>0</v>
      </c>
      <c r="AB49" s="456">
        <f ca="1"/>
        <v>0</v>
      </c>
      <c r="AC49">
        <f ca="1"/>
        <v>0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</row>
    <row r="50" spans="3:33" ht="18" thickTop="1" thickBot="1">
      <c r="C50" t="s">
        <v>271</v>
      </c>
      <c r="D50" s="478">
        <f ca="1">D19/D11</f>
        <v>-1507.480758264214</v>
      </c>
      <c r="F50" s="481" cm="1">
        <f t="array" aca="1" ref="F50:AG50" ca="1">IFERROR(_xlfn.ANCHORARRAY(F$19)/_xlfn.ANCHORARRAY(F11),0)</f>
        <v>-1387.1942051042586</v>
      </c>
      <c r="G50" s="481">
        <f ca="1"/>
        <v>-1443.7346061268354</v>
      </c>
      <c r="H50" s="481">
        <f ca="1"/>
        <v>-1465.526427351911</v>
      </c>
      <c r="I50" s="481">
        <f ca="1"/>
        <v>-1557.683042794818</v>
      </c>
      <c r="J50" s="481">
        <f ca="1"/>
        <v>0</v>
      </c>
      <c r="K50" s="481">
        <f ca="1"/>
        <v>0</v>
      </c>
      <c r="L50" s="481">
        <f ca="1"/>
        <v>-1579.5198681773213</v>
      </c>
      <c r="M50" s="481">
        <f ca="1"/>
        <v>-1652.1290071283511</v>
      </c>
      <c r="N50" s="481">
        <f ca="1"/>
        <v>0</v>
      </c>
      <c r="O50" s="481">
        <f ca="1"/>
        <v>0</v>
      </c>
      <c r="P50" s="481">
        <f ca="1"/>
        <v>0</v>
      </c>
      <c r="Q50" s="481">
        <f ca="1"/>
        <v>0</v>
      </c>
      <c r="R50" s="481">
        <f ca="1"/>
        <v>0</v>
      </c>
      <c r="S50" s="481">
        <f ca="1"/>
        <v>0</v>
      </c>
      <c r="T50" s="481">
        <f ca="1"/>
        <v>0</v>
      </c>
      <c r="U50" s="481">
        <f ca="1"/>
        <v>0</v>
      </c>
      <c r="V50" s="481">
        <f ca="1"/>
        <v>0</v>
      </c>
      <c r="W50" s="481">
        <f ca="1"/>
        <v>0</v>
      </c>
      <c r="X50" s="481">
        <f ca="1"/>
        <v>0</v>
      </c>
      <c r="Y50" s="481">
        <f ca="1"/>
        <v>0</v>
      </c>
      <c r="Z50" s="456">
        <f ca="1"/>
        <v>0</v>
      </c>
      <c r="AA50" s="456">
        <f ca="1"/>
        <v>0</v>
      </c>
      <c r="AB50" s="456">
        <f ca="1"/>
        <v>0</v>
      </c>
      <c r="AC50">
        <f ca="1"/>
        <v>0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</row>
    <row r="51" spans="3:33" ht="18" thickTop="1" thickBot="1">
      <c r="D51" s="487">
        <f ca="1">D49+D50</f>
        <v>1233.9247006517942</v>
      </c>
      <c r="F51" s="487" cm="1">
        <f t="array" aca="1" ref="F51:AG51" ca="1">_xlfn.ANCHORARRAY(F49)+_xlfn.ANCHORARRAY(F50)</f>
        <v>1173.7797120112953</v>
      </c>
      <c r="G51" s="460">
        <f ca="1"/>
        <v>1221.6215897996303</v>
      </c>
      <c r="H51" s="460">
        <f ca="1"/>
        <v>1240.0608231439251</v>
      </c>
      <c r="I51" s="460">
        <f ca="1"/>
        <v>1318.0394977494616</v>
      </c>
      <c r="J51" s="460">
        <f ca="1"/>
        <v>0</v>
      </c>
      <c r="K51" s="460">
        <f ca="1"/>
        <v>0</v>
      </c>
      <c r="L51" s="460">
        <f ca="1"/>
        <v>1336.516811534656</v>
      </c>
      <c r="M51" s="460">
        <f ca="1"/>
        <v>1181.2826570514185</v>
      </c>
      <c r="N51" s="460">
        <f ca="1"/>
        <v>0</v>
      </c>
      <c r="O51" s="460">
        <f ca="1"/>
        <v>0</v>
      </c>
      <c r="P51" s="460">
        <f ca="1"/>
        <v>0</v>
      </c>
      <c r="Q51" s="460">
        <f ca="1"/>
        <v>0</v>
      </c>
      <c r="R51" s="460">
        <f ca="1"/>
        <v>0</v>
      </c>
      <c r="S51" s="460">
        <f ca="1"/>
        <v>0</v>
      </c>
      <c r="T51" s="460">
        <f ca="1"/>
        <v>0</v>
      </c>
      <c r="U51" s="460">
        <f ca="1"/>
        <v>0</v>
      </c>
      <c r="V51" s="460">
        <f ca="1"/>
        <v>0</v>
      </c>
      <c r="W51" s="460">
        <f ca="1"/>
        <v>0</v>
      </c>
      <c r="X51" s="460">
        <f ca="1"/>
        <v>0</v>
      </c>
      <c r="Y51" s="460">
        <f ca="1"/>
        <v>0</v>
      </c>
      <c r="Z51" s="456">
        <f ca="1"/>
        <v>0</v>
      </c>
      <c r="AA51" s="456">
        <f ca="1"/>
        <v>0</v>
      </c>
      <c r="AB51" s="456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</row>
    <row r="52" spans="3:33" ht="16" thickTop="1" thickBot="1"/>
    <row r="53" spans="3:33" ht="18" thickTop="1" thickBot="1">
      <c r="C53" t="s">
        <v>270</v>
      </c>
      <c r="D53" s="487">
        <f ca="1">D19/D10</f>
        <v>-49030.635142548454</v>
      </c>
      <c r="F53" s="456" cm="1">
        <f t="array" aca="1" ref="F53:AG53" ca="1">IFERROR(_xlfn.ANCHORARRAY(F$19)/_xlfn.ANCHORARRAY(F10),0)</f>
        <v>-70454.863575032083</v>
      </c>
      <c r="G53" s="456">
        <f ca="1"/>
        <v>-39217.181781909785</v>
      </c>
      <c r="H53" s="456">
        <f ca="1"/>
        <v>-26860.205698758753</v>
      </c>
      <c r="I53" s="456">
        <f ca="1"/>
        <v>-81007.848081174365</v>
      </c>
      <c r="J53" s="456">
        <f ca="1"/>
        <v>0</v>
      </c>
      <c r="K53" s="456">
        <f ca="1"/>
        <v>0</v>
      </c>
      <c r="L53" s="456">
        <f ca="1"/>
        <v>-81366.454512046301</v>
      </c>
      <c r="M53" s="456">
        <f ca="1"/>
        <v>-122902.27979857246</v>
      </c>
      <c r="N53" s="456">
        <f ca="1"/>
        <v>0</v>
      </c>
      <c r="O53" s="456">
        <f ca="1"/>
        <v>0</v>
      </c>
      <c r="P53" s="456">
        <f ca="1"/>
        <v>0</v>
      </c>
      <c r="Q53" s="456">
        <f ca="1"/>
        <v>0</v>
      </c>
      <c r="R53" s="456">
        <f ca="1"/>
        <v>0</v>
      </c>
      <c r="S53" s="456">
        <f ca="1"/>
        <v>0</v>
      </c>
      <c r="T53" s="456">
        <f ca="1"/>
        <v>0</v>
      </c>
      <c r="U53" s="456">
        <f ca="1"/>
        <v>0</v>
      </c>
      <c r="V53" s="456">
        <f ca="1"/>
        <v>0</v>
      </c>
      <c r="W53" s="456">
        <f ca="1"/>
        <v>0</v>
      </c>
      <c r="X53" s="456">
        <f ca="1"/>
        <v>0</v>
      </c>
      <c r="Y53" s="456">
        <f ca="1"/>
        <v>0</v>
      </c>
      <c r="Z53" s="456">
        <f ca="1"/>
        <v>0</v>
      </c>
      <c r="AA53" s="456">
        <f ca="1"/>
        <v>0</v>
      </c>
      <c r="AB53" s="456">
        <f ca="1"/>
        <v>0</v>
      </c>
      <c r="AC53">
        <f ca="1"/>
        <v>0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</row>
  </sheetData>
  <conditionalFormatting sqref="F1:AZ19 F21:AZ46 F53:AB53 G51:AB51 F50:AB50">
    <cfRule type="expression" dxfId="19" priority="16">
      <formula>F$8=0</formula>
    </cfRule>
  </conditionalFormatting>
  <conditionalFormatting sqref="F20:AB20">
    <cfRule type="expression" dxfId="18" priority="3">
      <formula>F$8=0</formula>
    </cfRule>
  </conditionalFormatting>
  <conditionalFormatting sqref="F49:AB49">
    <cfRule type="expression" dxfId="17" priority="2">
      <formula>F$8=0</formula>
    </cfRule>
  </conditionalFormatting>
  <pageMargins left="0.25" right="0.25" top="0.75" bottom="0.75" header="0.3" footer="0.3"/>
  <pageSetup scale="63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D6015-1C4B-8A4F-BECA-90C5381F3AA8}">
  <sheetPr codeName="Sheet14">
    <tabColor rgb="FF0070C0"/>
  </sheetPr>
  <dimension ref="A1:OA40"/>
  <sheetViews>
    <sheetView showGridLines="0" topLeftCell="C2" workbookViewId="0">
      <selection activeCell="F8" sqref="F8"/>
    </sheetView>
  </sheetViews>
  <sheetFormatPr baseColWidth="10" defaultColWidth="0" defaultRowHeight="15" zeroHeight="1"/>
  <cols>
    <col min="1" max="1" width="7.33203125" style="160" hidden="1" customWidth="1"/>
    <col min="2" max="2" width="7" style="160" hidden="1" customWidth="1"/>
    <col min="3" max="3" width="4" style="160" customWidth="1"/>
    <col min="4" max="4" width="36.6640625" style="160" customWidth="1"/>
    <col min="5" max="5" width="17.6640625" style="160" customWidth="1"/>
    <col min="6" max="13" width="14.6640625" style="160" customWidth="1"/>
    <col min="14" max="15" width="14.6640625" style="160" hidden="1" customWidth="1"/>
    <col min="16" max="24" width="14.6640625" hidden="1" customWidth="1"/>
    <col min="25" max="25" width="13.6640625" hidden="1" customWidth="1"/>
    <col min="26" max="26" width="14.6640625" hidden="1" customWidth="1"/>
    <col min="27" max="51" width="9" hidden="1" customWidth="1"/>
    <col min="52" max="52" width="4" customWidth="1"/>
    <col min="53" max="391" width="9" hidden="1" customWidth="1"/>
  </cols>
  <sheetData>
    <row r="1" spans="3:52" hidden="1">
      <c r="C1" s="162"/>
      <c r="D1" s="162"/>
      <c r="E1" s="162"/>
      <c r="F1" s="162">
        <f ca="1">IF(F35=0,0,1)</f>
        <v>1</v>
      </c>
      <c r="G1" s="162">
        <f t="shared" ref="G1:AY1" ca="1" si="0">IF(G35=0,0,1)</f>
        <v>1</v>
      </c>
      <c r="H1" s="162">
        <f t="shared" ca="1" si="0"/>
        <v>1</v>
      </c>
      <c r="I1" s="162">
        <f t="shared" ca="1" si="0"/>
        <v>1</v>
      </c>
      <c r="J1" s="162">
        <f t="shared" ca="1" si="0"/>
        <v>1</v>
      </c>
      <c r="K1" s="162">
        <f t="shared" ca="1" si="0"/>
        <v>1</v>
      </c>
      <c r="L1" s="162">
        <f t="shared" ca="1" si="0"/>
        <v>1</v>
      </c>
      <c r="M1" s="162">
        <f t="shared" ca="1" si="0"/>
        <v>1</v>
      </c>
      <c r="N1" s="162">
        <f t="shared" si="0"/>
        <v>0</v>
      </c>
      <c r="O1" s="162">
        <f t="shared" si="0"/>
        <v>0</v>
      </c>
      <c r="P1" s="162">
        <f t="shared" si="0"/>
        <v>0</v>
      </c>
      <c r="Q1" s="162">
        <f t="shared" si="0"/>
        <v>0</v>
      </c>
      <c r="R1" s="162">
        <f t="shared" si="0"/>
        <v>0</v>
      </c>
      <c r="S1" s="162">
        <f t="shared" si="0"/>
        <v>0</v>
      </c>
      <c r="T1" s="162">
        <f t="shared" si="0"/>
        <v>0</v>
      </c>
      <c r="U1" s="162">
        <f t="shared" si="0"/>
        <v>0</v>
      </c>
      <c r="V1" s="162">
        <f t="shared" si="0"/>
        <v>0</v>
      </c>
      <c r="W1" s="162">
        <f t="shared" si="0"/>
        <v>0</v>
      </c>
      <c r="X1" s="162">
        <f t="shared" si="0"/>
        <v>0</v>
      </c>
      <c r="Y1" s="162">
        <f t="shared" si="0"/>
        <v>0</v>
      </c>
      <c r="Z1" s="162">
        <f t="shared" si="0"/>
        <v>0</v>
      </c>
      <c r="AA1" s="162">
        <f t="shared" si="0"/>
        <v>0</v>
      </c>
      <c r="AB1" s="162">
        <f t="shared" si="0"/>
        <v>0</v>
      </c>
      <c r="AC1" s="162">
        <f t="shared" si="0"/>
        <v>0</v>
      </c>
      <c r="AD1" s="162">
        <f t="shared" si="0"/>
        <v>0</v>
      </c>
      <c r="AE1" s="162">
        <f t="shared" si="0"/>
        <v>0</v>
      </c>
      <c r="AF1" s="162">
        <f t="shared" si="0"/>
        <v>0</v>
      </c>
      <c r="AG1" s="162">
        <f t="shared" si="0"/>
        <v>0</v>
      </c>
      <c r="AH1" s="162">
        <f t="shared" si="0"/>
        <v>0</v>
      </c>
      <c r="AI1" s="162">
        <f t="shared" si="0"/>
        <v>0</v>
      </c>
      <c r="AJ1" s="162">
        <f t="shared" si="0"/>
        <v>0</v>
      </c>
      <c r="AK1" s="162">
        <f t="shared" si="0"/>
        <v>0</v>
      </c>
      <c r="AL1" s="162">
        <f t="shared" si="0"/>
        <v>0</v>
      </c>
      <c r="AM1" s="162">
        <f t="shared" si="0"/>
        <v>0</v>
      </c>
      <c r="AN1" s="162">
        <f t="shared" si="0"/>
        <v>0</v>
      </c>
      <c r="AO1" s="162">
        <f t="shared" si="0"/>
        <v>0</v>
      </c>
      <c r="AP1" s="162">
        <f t="shared" si="0"/>
        <v>0</v>
      </c>
      <c r="AQ1" s="162">
        <f t="shared" si="0"/>
        <v>0</v>
      </c>
      <c r="AR1" s="162">
        <f t="shared" si="0"/>
        <v>0</v>
      </c>
      <c r="AS1" s="162">
        <f t="shared" si="0"/>
        <v>0</v>
      </c>
      <c r="AT1" s="162">
        <f t="shared" si="0"/>
        <v>0</v>
      </c>
      <c r="AU1" s="162">
        <f t="shared" si="0"/>
        <v>0</v>
      </c>
      <c r="AV1" s="162">
        <f t="shared" si="0"/>
        <v>0</v>
      </c>
      <c r="AW1" s="162">
        <f t="shared" si="0"/>
        <v>0</v>
      </c>
      <c r="AX1" s="162">
        <f t="shared" si="0"/>
        <v>0</v>
      </c>
      <c r="AY1" s="162">
        <f t="shared" si="0"/>
        <v>0</v>
      </c>
      <c r="AZ1" s="162">
        <v>1</v>
      </c>
    </row>
    <row r="2" spans="3:52" ht="30" customHeight="1">
      <c r="C2" s="31" t="str">
        <f>i_Project.Name</f>
        <v>Peoria Lakes</v>
      </c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</row>
    <row r="3" spans="3:52" ht="22.25" customHeight="1">
      <c r="C3" s="217" t="str">
        <f>i_Project.Location</f>
        <v>Peoria Lakes</v>
      </c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</row>
    <row r="4" spans="3:52"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</row>
    <row r="5" spans="3:52" ht="16" thickBot="1"/>
    <row r="6" spans="3:52" ht="20" thickTop="1" thickBot="1">
      <c r="C6" s="161"/>
      <c r="D6" s="697" t="s">
        <v>297</v>
      </c>
      <c r="E6" s="698"/>
      <c r="F6" s="699" t="str" cm="1">
        <f t="array" ref="F6:M6">TRANSPOSE(list_Phases)</f>
        <v>1.1</v>
      </c>
      <c r="G6" s="699" t="str">
        <v>1.2</v>
      </c>
      <c r="H6" s="699" t="str">
        <v>2.1</v>
      </c>
      <c r="I6" s="699" t="str">
        <v>2.2</v>
      </c>
      <c r="J6" s="699" t="str">
        <v>3.1</v>
      </c>
      <c r="K6" s="699" t="str">
        <v>3.2</v>
      </c>
      <c r="L6" s="699" t="str">
        <v>4.1</v>
      </c>
      <c r="M6" s="699" t="str">
        <v>4.2</v>
      </c>
      <c r="N6" s="699"/>
      <c r="O6" s="699"/>
      <c r="P6" s="699"/>
      <c r="Q6" s="699"/>
      <c r="R6" s="699"/>
      <c r="S6" s="699"/>
      <c r="T6" s="699"/>
      <c r="U6" s="699"/>
      <c r="V6" s="699"/>
      <c r="W6" s="699"/>
      <c r="X6" s="699"/>
      <c r="Y6" s="699"/>
      <c r="Z6" s="699"/>
      <c r="AA6" s="699"/>
      <c r="AB6" s="699"/>
      <c r="AC6" s="699"/>
      <c r="AD6" s="699"/>
      <c r="AE6" s="699"/>
      <c r="AF6" s="699"/>
      <c r="AG6" s="699"/>
      <c r="AH6" s="699"/>
      <c r="AI6" s="699"/>
      <c r="AJ6" s="699"/>
      <c r="AK6" s="699"/>
      <c r="AL6" s="699"/>
      <c r="AM6" s="699"/>
      <c r="AN6" s="699"/>
      <c r="AO6" s="699"/>
      <c r="AP6" s="699"/>
      <c r="AQ6" s="699"/>
      <c r="AR6" s="699"/>
      <c r="AS6" s="699"/>
      <c r="AT6" s="699"/>
      <c r="AU6" s="699"/>
      <c r="AV6" s="699"/>
      <c r="AW6" s="699"/>
      <c r="AX6" s="699"/>
      <c r="AY6" s="699"/>
    </row>
    <row r="7" spans="3:52" ht="18" thickTop="1" thickBot="1">
      <c r="C7" s="161"/>
      <c r="D7" s="687" t="s">
        <v>399</v>
      </c>
      <c r="E7" s="705">
        <f ca="1">SUM(_xlfn.ANCHORARRAY(F7))</f>
        <v>3416</v>
      </c>
      <c r="F7" s="703" cm="1">
        <f t="array" aca="1" ref="F7:M7" ca="1">SUMIF(_xlfn.ANCHORARRAY(DATABASE!$AH$32),_xlfn.ANCHORARRAY(F$6),_xlfn.ANCHORARRAY(DATABASE!$AJ$32))</f>
        <v>323</v>
      </c>
      <c r="G7" s="703">
        <f ca="1"/>
        <v>788</v>
      </c>
      <c r="H7" s="703">
        <f ca="1"/>
        <v>1570</v>
      </c>
      <c r="I7" s="703">
        <f ca="1"/>
        <v>187</v>
      </c>
      <c r="J7" s="703">
        <f ca="1"/>
        <v>0</v>
      </c>
      <c r="K7" s="703">
        <f ca="1"/>
        <v>0</v>
      </c>
      <c r="L7" s="703">
        <f ca="1"/>
        <v>261</v>
      </c>
      <c r="M7" s="703">
        <f ca="1"/>
        <v>287</v>
      </c>
      <c r="N7" s="703"/>
      <c r="O7" s="703"/>
      <c r="P7" s="703"/>
      <c r="Q7" s="703"/>
      <c r="R7" s="703"/>
      <c r="S7" s="703"/>
      <c r="T7" s="703"/>
      <c r="U7" s="703"/>
      <c r="V7" s="703"/>
      <c r="W7" s="703"/>
      <c r="X7" s="703"/>
      <c r="Y7" s="703"/>
      <c r="Z7" s="703"/>
      <c r="AA7" s="703"/>
      <c r="AB7" s="703"/>
      <c r="AC7" s="703"/>
      <c r="AD7" s="703"/>
      <c r="AE7" s="703"/>
      <c r="AF7" s="703"/>
      <c r="AG7" s="703"/>
      <c r="AH7" s="703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</row>
    <row r="8" spans="3:52" ht="18" thickTop="1" thickBot="1">
      <c r="C8" s="161"/>
      <c r="D8" s="687" t="s">
        <v>400</v>
      </c>
      <c r="E8" s="705" t="e">
        <f ca="1">SUM(_xlfn.ANCHORARRAY(F8))</f>
        <v>#VALUE!</v>
      </c>
      <c r="F8" s="703" t="e" cm="1">
        <f t="array" aca="1" ref="F8:M8" ca="1">SUMIFS(_xlfn.ANCHORARRAY(DATABASE!$AI$32),_xlfn.ANCHORARRAY(DATABASE!$AH$32),_xlfn.ANCHORARRAY(F$6),_xlfn.ANCHORARRAY(DATABASE!$AM$32),"C")</f>
        <v>#VALUE!</v>
      </c>
      <c r="G8" s="703" t="e">
        <f ca="1"/>
        <v>#VALUE!</v>
      </c>
      <c r="H8" s="703" t="e">
        <f ca="1"/>
        <v>#VALUE!</v>
      </c>
      <c r="I8" s="703" t="e">
        <f ca="1"/>
        <v>#VALUE!</v>
      </c>
      <c r="J8" s="703" t="e">
        <f ca="1"/>
        <v>#VALUE!</v>
      </c>
      <c r="K8" s="703" t="e">
        <f ca="1"/>
        <v>#VALUE!</v>
      </c>
      <c r="L8" s="703" t="e">
        <f ca="1"/>
        <v>#VALUE!</v>
      </c>
      <c r="M8" s="703" t="e">
        <f ca="1"/>
        <v>#VALUE!</v>
      </c>
      <c r="N8" s="703"/>
      <c r="O8" s="703"/>
      <c r="P8" s="703"/>
      <c r="Q8" s="703"/>
      <c r="R8" s="703"/>
      <c r="S8" s="703"/>
      <c r="T8" s="703"/>
      <c r="U8" s="703"/>
      <c r="V8" s="703"/>
      <c r="W8" s="703"/>
      <c r="X8" s="703"/>
      <c r="Y8" s="703"/>
      <c r="Z8" s="703"/>
      <c r="AA8" s="703"/>
      <c r="AB8" s="703"/>
      <c r="AC8" s="703"/>
      <c r="AD8" s="703"/>
      <c r="AE8" s="703"/>
      <c r="AF8" s="703"/>
      <c r="AG8" s="703"/>
      <c r="AH8" s="703"/>
      <c r="AI8" s="703"/>
      <c r="AJ8" s="703"/>
      <c r="AK8" s="703"/>
      <c r="AL8" s="703"/>
      <c r="AM8" s="703"/>
      <c r="AN8" s="703"/>
      <c r="AO8" s="703"/>
      <c r="AP8" s="703"/>
      <c r="AQ8" s="703"/>
      <c r="AR8" s="703"/>
      <c r="AS8" s="703"/>
      <c r="AT8" s="703"/>
      <c r="AU8" s="703"/>
      <c r="AV8" s="703"/>
      <c r="AW8" s="703"/>
      <c r="AX8" s="703"/>
      <c r="AY8" s="703"/>
    </row>
    <row r="9" spans="3:52" ht="18" thickTop="1" thickBot="1">
      <c r="C9" s="161"/>
      <c r="D9" s="687"/>
      <c r="E9" s="705"/>
      <c r="F9" s="537"/>
      <c r="G9" s="537"/>
      <c r="H9" s="537"/>
      <c r="I9" s="537"/>
      <c r="J9" s="537"/>
      <c r="K9" s="537"/>
      <c r="L9" s="537"/>
      <c r="M9" s="537"/>
      <c r="N9" s="537"/>
      <c r="O9" s="537"/>
      <c r="P9" s="537"/>
      <c r="Q9" s="537"/>
      <c r="R9" s="537"/>
      <c r="S9" s="537"/>
      <c r="T9" s="537"/>
      <c r="U9" s="537"/>
      <c r="Y9" s="537"/>
      <c r="Z9" s="537"/>
      <c r="AA9" s="537"/>
      <c r="AB9" s="537"/>
      <c r="AC9" s="537"/>
      <c r="AD9" s="537"/>
      <c r="AE9" s="537"/>
      <c r="AF9" s="537"/>
      <c r="AG9" s="537"/>
      <c r="AH9" s="537"/>
      <c r="AI9" s="537"/>
      <c r="AJ9" s="537"/>
      <c r="AK9" s="537"/>
      <c r="AL9" s="537"/>
      <c r="AM9" s="537"/>
      <c r="AN9" s="537"/>
      <c r="AO9" s="537"/>
      <c r="AP9" s="537"/>
      <c r="AQ9" s="537"/>
      <c r="AR9" s="537"/>
      <c r="AS9" s="537"/>
      <c r="AT9" s="537"/>
      <c r="AU9" s="537"/>
      <c r="AV9" s="537"/>
      <c r="AW9" s="537"/>
      <c r="AX9" s="537"/>
      <c r="AY9" s="537"/>
    </row>
    <row r="10" spans="3:52" ht="20" thickTop="1" thickBot="1">
      <c r="C10" s="161"/>
      <c r="D10" s="694" t="s">
        <v>407</v>
      </c>
      <c r="E10" s="710"/>
      <c r="F10" s="695"/>
      <c r="G10" s="695"/>
      <c r="H10" s="695"/>
      <c r="I10" s="695"/>
      <c r="J10" s="695"/>
      <c r="K10" s="695"/>
      <c r="L10" s="695"/>
      <c r="M10" s="695"/>
      <c r="N10" s="695"/>
      <c r="O10" s="695"/>
      <c r="P10" s="695"/>
      <c r="Q10" s="695"/>
      <c r="R10" s="695"/>
      <c r="S10" s="695"/>
      <c r="T10" s="695"/>
      <c r="U10" s="695"/>
      <c r="V10" s="695"/>
      <c r="W10" s="695"/>
      <c r="X10" s="695"/>
      <c r="Y10" s="695"/>
      <c r="Z10" s="695"/>
      <c r="AA10" s="695"/>
      <c r="AB10" s="695"/>
      <c r="AC10" s="695"/>
      <c r="AD10" s="695"/>
      <c r="AE10" s="695"/>
      <c r="AF10" s="695"/>
      <c r="AG10" s="695"/>
      <c r="AH10" s="695"/>
      <c r="AI10" s="695"/>
      <c r="AJ10" s="695"/>
      <c r="AK10" s="695"/>
      <c r="AL10" s="695"/>
      <c r="AM10" s="695"/>
      <c r="AN10" s="695"/>
      <c r="AO10" s="695"/>
      <c r="AP10" s="695"/>
      <c r="AQ10" s="695"/>
      <c r="AR10" s="695"/>
      <c r="AS10" s="695"/>
      <c r="AT10" s="695"/>
      <c r="AU10" s="695"/>
      <c r="AV10" s="695"/>
      <c r="AW10" s="695"/>
      <c r="AX10" s="695"/>
      <c r="AY10" s="695"/>
    </row>
    <row r="11" spans="3:52" ht="18" thickTop="1" thickBot="1">
      <c r="C11" s="161"/>
      <c r="D11" s="687" t="str" cm="1">
        <f t="array" ref="D11:D13">TRANSPOSE(DATABASE!E15:G15)</f>
        <v>Start Month</v>
      </c>
      <c r="E11" s="705" cm="1">
        <f t="array" aca="1" ref="E11" ca="1">MIN(IF(F7:AG7&lt;&gt;0,F7:AG7))</f>
        <v>187</v>
      </c>
      <c r="F11" s="703" cm="1">
        <f t="array" ref="F11:AG13">TRANSPOSE(DATABASE!E16:G43)</f>
        <v>1</v>
      </c>
      <c r="G11" s="703">
        <v>24</v>
      </c>
      <c r="H11" s="703">
        <v>24</v>
      </c>
      <c r="I11" s="703">
        <v>48</v>
      </c>
      <c r="J11" s="703">
        <v>24</v>
      </c>
      <c r="K11" s="703">
        <v>24</v>
      </c>
      <c r="L11" s="703">
        <v>60</v>
      </c>
      <c r="M11" s="703">
        <v>84</v>
      </c>
      <c r="N11" s="703">
        <v>0</v>
      </c>
      <c r="O11" s="703">
        <v>0</v>
      </c>
      <c r="P11" s="703">
        <v>0</v>
      </c>
      <c r="Q11" s="703">
        <v>0</v>
      </c>
      <c r="R11" s="703">
        <v>0</v>
      </c>
      <c r="S11" s="703">
        <v>0</v>
      </c>
      <c r="T11" s="703">
        <v>0</v>
      </c>
      <c r="U11" s="703">
        <v>0</v>
      </c>
      <c r="V11" s="703">
        <v>0</v>
      </c>
      <c r="W11" s="703">
        <v>0</v>
      </c>
      <c r="X11" s="703">
        <v>0</v>
      </c>
      <c r="Y11" s="703">
        <v>0</v>
      </c>
      <c r="Z11" s="703">
        <v>0</v>
      </c>
      <c r="AA11" s="703">
        <v>0</v>
      </c>
      <c r="AB11" s="703">
        <v>0</v>
      </c>
      <c r="AC11" s="703">
        <v>0</v>
      </c>
      <c r="AD11" s="703">
        <v>0</v>
      </c>
      <c r="AE11" s="703">
        <v>0</v>
      </c>
      <c r="AF11" s="703">
        <v>0</v>
      </c>
      <c r="AG11" s="703">
        <v>0</v>
      </c>
      <c r="AH11" s="703"/>
      <c r="AI11" s="703"/>
      <c r="AJ11" s="703"/>
      <c r="AK11" s="703"/>
      <c r="AL11" s="703"/>
      <c r="AM11" s="703"/>
      <c r="AN11" s="703"/>
      <c r="AO11" s="703"/>
      <c r="AP11" s="703"/>
      <c r="AQ11" s="703"/>
      <c r="AR11" s="703"/>
      <c r="AS11" s="703"/>
      <c r="AT11" s="703"/>
      <c r="AU11" s="703"/>
      <c r="AV11" s="703"/>
      <c r="AW11" s="703"/>
      <c r="AX11" s="703"/>
      <c r="AY11" s="703"/>
    </row>
    <row r="12" spans="3:52" ht="18" thickTop="1" thickBot="1">
      <c r="C12" s="161"/>
      <c r="D12" s="687" t="str">
        <v>Months to Complete</v>
      </c>
      <c r="E12" s="705">
        <f ca="1">E11-E13</f>
        <v>92</v>
      </c>
      <c r="F12" s="703">
        <v>25</v>
      </c>
      <c r="G12" s="703">
        <v>18</v>
      </c>
      <c r="H12" s="703">
        <v>24</v>
      </c>
      <c r="I12" s="703">
        <v>24</v>
      </c>
      <c r="J12" s="703">
        <v>24</v>
      </c>
      <c r="K12" s="703">
        <v>24</v>
      </c>
      <c r="L12" s="703">
        <v>18</v>
      </c>
      <c r="M12" s="703">
        <v>12</v>
      </c>
      <c r="N12" s="703">
        <v>0</v>
      </c>
      <c r="O12" s="703">
        <v>0</v>
      </c>
      <c r="P12" s="703">
        <v>0</v>
      </c>
      <c r="Q12" s="703">
        <v>0</v>
      </c>
      <c r="R12" s="703">
        <v>0</v>
      </c>
      <c r="S12" s="703">
        <v>0</v>
      </c>
      <c r="T12" s="703">
        <v>0</v>
      </c>
      <c r="U12" s="703">
        <v>0</v>
      </c>
      <c r="V12" s="703">
        <v>0</v>
      </c>
      <c r="W12" s="703">
        <v>0</v>
      </c>
      <c r="X12" s="703">
        <v>0</v>
      </c>
      <c r="Y12" s="703">
        <v>0</v>
      </c>
      <c r="Z12" s="703">
        <v>0</v>
      </c>
      <c r="AA12" s="703">
        <v>0</v>
      </c>
      <c r="AB12" s="703">
        <v>0</v>
      </c>
      <c r="AC12" s="703">
        <v>0</v>
      </c>
      <c r="AD12" s="703">
        <v>0</v>
      </c>
      <c r="AE12" s="703">
        <v>0</v>
      </c>
      <c r="AF12" s="703">
        <v>0</v>
      </c>
      <c r="AG12" s="703">
        <v>0</v>
      </c>
      <c r="AH12" s="703"/>
      <c r="AI12" s="703"/>
      <c r="AJ12" s="703"/>
      <c r="AK12" s="703"/>
      <c r="AL12" s="703"/>
      <c r="AM12" s="703"/>
      <c r="AN12" s="703"/>
      <c r="AO12" s="703"/>
      <c r="AP12" s="703"/>
      <c r="AQ12" s="703"/>
      <c r="AR12" s="703"/>
      <c r="AS12" s="703"/>
      <c r="AT12" s="703"/>
      <c r="AU12" s="703"/>
      <c r="AV12" s="703"/>
      <c r="AW12" s="703"/>
      <c r="AX12" s="703"/>
      <c r="AY12" s="703"/>
    </row>
    <row r="13" spans="3:52" ht="18" thickTop="1" thickBot="1">
      <c r="C13" s="161"/>
      <c r="D13" s="688" t="str">
        <v>Thru Month</v>
      </c>
      <c r="E13" s="705">
        <f>MAX(F13:Y13)</f>
        <v>95</v>
      </c>
      <c r="F13" s="704">
        <v>25</v>
      </c>
      <c r="G13" s="704">
        <v>41</v>
      </c>
      <c r="H13" s="704">
        <v>47</v>
      </c>
      <c r="I13" s="704">
        <v>71</v>
      </c>
      <c r="J13" s="704">
        <v>47</v>
      </c>
      <c r="K13" s="704">
        <v>47</v>
      </c>
      <c r="L13" s="704">
        <v>77</v>
      </c>
      <c r="M13" s="704">
        <v>95</v>
      </c>
      <c r="N13" s="704">
        <v>0</v>
      </c>
      <c r="O13" s="704">
        <v>0</v>
      </c>
      <c r="P13" s="704">
        <v>0</v>
      </c>
      <c r="Q13" s="704">
        <v>0</v>
      </c>
      <c r="R13" s="704">
        <v>0</v>
      </c>
      <c r="S13" s="704">
        <v>0</v>
      </c>
      <c r="T13" s="704">
        <v>0</v>
      </c>
      <c r="U13" s="704">
        <v>0</v>
      </c>
      <c r="V13" s="704">
        <v>0</v>
      </c>
      <c r="W13" s="704">
        <v>0</v>
      </c>
      <c r="X13" s="704">
        <v>0</v>
      </c>
      <c r="Y13" s="704">
        <v>0</v>
      </c>
      <c r="Z13" s="704">
        <v>0</v>
      </c>
      <c r="AA13" s="704">
        <v>0</v>
      </c>
      <c r="AB13" s="704">
        <v>0</v>
      </c>
      <c r="AC13" s="704">
        <v>0</v>
      </c>
      <c r="AD13" s="704">
        <v>0</v>
      </c>
      <c r="AE13" s="704">
        <v>0</v>
      </c>
      <c r="AF13" s="704">
        <v>0</v>
      </c>
      <c r="AG13" s="704">
        <v>0</v>
      </c>
      <c r="AH13" s="704"/>
      <c r="AI13" s="704"/>
      <c r="AJ13" s="704"/>
      <c r="AK13" s="704"/>
      <c r="AL13" s="704"/>
      <c r="AM13" s="704"/>
      <c r="AN13" s="704"/>
      <c r="AO13" s="704"/>
      <c r="AP13" s="704"/>
      <c r="AQ13" s="704"/>
      <c r="AR13" s="704"/>
      <c r="AS13" s="704"/>
      <c r="AT13" s="704"/>
      <c r="AU13" s="704"/>
      <c r="AV13" s="704"/>
      <c r="AW13" s="704"/>
      <c r="AX13" s="704"/>
      <c r="AY13" s="704"/>
    </row>
    <row r="14" spans="3:52" ht="18" thickTop="1" thickBot="1">
      <c r="C14" s="161"/>
      <c r="D14" s="685"/>
      <c r="E14" s="686"/>
      <c r="F14" s="696"/>
      <c r="G14" s="696"/>
      <c r="H14" s="696"/>
      <c r="I14" s="696"/>
      <c r="J14" s="696"/>
      <c r="K14" s="696"/>
      <c r="L14" s="696"/>
      <c r="M14" s="696"/>
      <c r="N14" s="696"/>
      <c r="O14" s="696"/>
      <c r="P14" s="696"/>
      <c r="Q14" s="696"/>
      <c r="R14" s="696"/>
      <c r="S14" s="696"/>
      <c r="T14" s="696"/>
      <c r="U14" s="696"/>
      <c r="V14" s="696"/>
      <c r="W14" s="696"/>
      <c r="X14" s="696"/>
      <c r="Y14" s="696"/>
      <c r="Z14" s="696"/>
      <c r="AA14" s="696"/>
      <c r="AB14" s="696"/>
      <c r="AC14" s="696"/>
      <c r="AD14" s="696"/>
      <c r="AE14" s="696"/>
      <c r="AF14" s="696"/>
      <c r="AG14" s="696"/>
      <c r="AH14" s="696"/>
      <c r="AI14" s="696"/>
      <c r="AJ14" s="696"/>
      <c r="AK14" s="696"/>
      <c r="AL14" s="696"/>
      <c r="AM14" s="696"/>
      <c r="AN14" s="696"/>
      <c r="AO14" s="696"/>
      <c r="AP14" s="696"/>
      <c r="AQ14" s="696"/>
      <c r="AR14" s="696"/>
      <c r="AS14" s="696"/>
      <c r="AT14" s="696"/>
      <c r="AU14" s="696"/>
      <c r="AV14" s="696"/>
      <c r="AW14" s="696"/>
      <c r="AX14" s="696"/>
      <c r="AY14" s="696"/>
    </row>
    <row r="15" spans="3:52" ht="20" thickTop="1" thickBot="1">
      <c r="C15" s="161"/>
      <c r="D15" s="694" t="s">
        <v>398</v>
      </c>
      <c r="E15" s="710"/>
      <c r="F15" s="695"/>
      <c r="G15" s="695"/>
      <c r="H15" s="695"/>
      <c r="I15" s="695"/>
      <c r="J15" s="695"/>
      <c r="K15" s="695"/>
      <c r="L15" s="695"/>
      <c r="M15" s="695"/>
      <c r="N15" s="695"/>
      <c r="O15" s="695"/>
      <c r="P15" s="695"/>
      <c r="Q15" s="695"/>
      <c r="R15" s="695"/>
      <c r="S15" s="695"/>
      <c r="T15" s="695"/>
      <c r="U15" s="695"/>
      <c r="V15" s="695"/>
      <c r="W15" s="695"/>
      <c r="X15" s="695"/>
      <c r="Y15" s="695"/>
      <c r="Z15" s="695"/>
      <c r="AA15" s="695"/>
      <c r="AB15" s="695"/>
      <c r="AC15" s="695"/>
      <c r="AD15" s="695"/>
      <c r="AE15" s="695"/>
      <c r="AF15" s="695"/>
      <c r="AG15" s="695"/>
      <c r="AH15" s="695"/>
      <c r="AI15" s="695"/>
      <c r="AJ15" s="695"/>
      <c r="AK15" s="695"/>
      <c r="AL15" s="695"/>
      <c r="AM15" s="695"/>
      <c r="AN15" s="695"/>
      <c r="AO15" s="695"/>
      <c r="AP15" s="695"/>
      <c r="AQ15" s="695"/>
      <c r="AR15" s="695"/>
      <c r="AS15" s="695"/>
      <c r="AT15" s="695"/>
      <c r="AU15" s="695"/>
      <c r="AV15" s="695"/>
      <c r="AW15" s="695"/>
      <c r="AX15" s="695"/>
      <c r="AY15" s="695"/>
    </row>
    <row r="16" spans="3:52" ht="18" thickTop="1" thickBot="1">
      <c r="C16" s="161"/>
      <c r="D16" s="689" t="str" cm="1">
        <f t="array" ref="D16:D23">TRANSPOSE(DATABASE!H15:O15)</f>
        <v>Entitlements</v>
      </c>
      <c r="E16" s="705">
        <f t="shared" ref="E16:E24" si="1">SUM(F16:Y16)</f>
        <v>516000</v>
      </c>
      <c r="F16" s="950" cm="1">
        <f t="array" ref="F16:AF23">TRANSPOSE(DATABASE!H16:O42)</f>
        <v>80750</v>
      </c>
      <c r="G16" s="950">
        <v>102000</v>
      </c>
      <c r="H16" s="950">
        <v>164750</v>
      </c>
      <c r="I16" s="950">
        <v>46750</v>
      </c>
      <c r="J16" s="950">
        <v>0</v>
      </c>
      <c r="K16" s="950">
        <v>0</v>
      </c>
      <c r="L16" s="950">
        <v>50000</v>
      </c>
      <c r="M16" s="950">
        <v>71750</v>
      </c>
      <c r="N16" s="950">
        <v>0</v>
      </c>
      <c r="O16" s="950">
        <v>0</v>
      </c>
      <c r="P16" s="950">
        <v>0</v>
      </c>
      <c r="Q16" s="950">
        <v>0</v>
      </c>
      <c r="R16" s="950">
        <v>0</v>
      </c>
      <c r="S16" s="950">
        <v>0</v>
      </c>
      <c r="T16" s="950">
        <v>0</v>
      </c>
      <c r="U16" s="950">
        <v>0</v>
      </c>
      <c r="V16" s="950">
        <v>0</v>
      </c>
      <c r="W16" s="950">
        <v>0</v>
      </c>
      <c r="X16" s="950">
        <v>0</v>
      </c>
      <c r="Y16" s="950">
        <v>0</v>
      </c>
      <c r="Z16" s="950">
        <v>0</v>
      </c>
      <c r="AA16" s="950">
        <v>0</v>
      </c>
      <c r="AB16" s="950">
        <v>0</v>
      </c>
      <c r="AC16" s="950">
        <v>0</v>
      </c>
      <c r="AD16" s="950">
        <v>0</v>
      </c>
      <c r="AE16" s="950">
        <v>0</v>
      </c>
      <c r="AF16" s="950">
        <v>0</v>
      </c>
      <c r="AG16" s="950"/>
      <c r="AH16" s="950"/>
      <c r="AI16" s="950"/>
      <c r="AJ16" s="950"/>
      <c r="AK16" s="950"/>
      <c r="AL16" s="950"/>
      <c r="AM16" s="950"/>
      <c r="AN16" s="950"/>
      <c r="AO16" s="950"/>
      <c r="AP16" s="950"/>
      <c r="AQ16" s="950"/>
      <c r="AR16" s="950"/>
      <c r="AS16" s="950"/>
      <c r="AT16" s="950"/>
      <c r="AU16" s="950"/>
      <c r="AV16" s="950"/>
      <c r="AW16" s="950"/>
      <c r="AX16" s="950"/>
      <c r="AY16" s="950"/>
    </row>
    <row r="17" spans="4:32" ht="18" thickTop="1" thickBot="1">
      <c r="D17" s="357" t="str">
        <v>Engineering</v>
      </c>
      <c r="E17" s="705">
        <f t="shared" si="1"/>
        <v>3581750</v>
      </c>
      <c r="F17" s="950">
        <v>565250</v>
      </c>
      <c r="G17" s="950">
        <v>714000</v>
      </c>
      <c r="H17" s="950">
        <v>1153250</v>
      </c>
      <c r="I17" s="950">
        <v>327250</v>
      </c>
      <c r="J17" s="950">
        <v>0</v>
      </c>
      <c r="K17" s="950">
        <v>0</v>
      </c>
      <c r="L17" s="950">
        <v>391500</v>
      </c>
      <c r="M17" s="950">
        <v>430500</v>
      </c>
      <c r="N17" s="950">
        <v>0</v>
      </c>
      <c r="O17" s="950">
        <v>0</v>
      </c>
      <c r="P17" s="950">
        <v>0</v>
      </c>
      <c r="Q17" s="950">
        <v>0</v>
      </c>
      <c r="R17" s="950">
        <v>0</v>
      </c>
      <c r="S17" s="950">
        <v>0</v>
      </c>
      <c r="T17" s="950">
        <v>0</v>
      </c>
      <c r="U17" s="950">
        <v>0</v>
      </c>
      <c r="V17" s="950">
        <v>0</v>
      </c>
      <c r="W17" s="950">
        <v>0</v>
      </c>
      <c r="X17" s="950">
        <v>0</v>
      </c>
      <c r="Y17" s="950">
        <v>0</v>
      </c>
      <c r="Z17" s="950">
        <v>0</v>
      </c>
      <c r="AA17" s="950">
        <v>0</v>
      </c>
      <c r="AB17" s="950">
        <v>0</v>
      </c>
      <c r="AC17" s="950">
        <v>0</v>
      </c>
      <c r="AD17" s="950">
        <v>0</v>
      </c>
      <c r="AE17" s="950">
        <v>0</v>
      </c>
      <c r="AF17" s="950">
        <v>0</v>
      </c>
    </row>
    <row r="18" spans="4:32" ht="18" thickTop="1" thickBot="1">
      <c r="D18" s="689" t="str">
        <v>Development &gt; Offsite</v>
      </c>
      <c r="E18" s="705">
        <f t="shared" si="1"/>
        <v>8958250</v>
      </c>
      <c r="F18" s="950">
        <v>1640500</v>
      </c>
      <c r="G18" s="950">
        <v>2140500</v>
      </c>
      <c r="H18" s="950">
        <v>2877500</v>
      </c>
      <c r="I18" s="950">
        <v>560000</v>
      </c>
      <c r="J18" s="950">
        <v>0</v>
      </c>
      <c r="K18" s="950">
        <v>0</v>
      </c>
      <c r="L18" s="950">
        <v>672250</v>
      </c>
      <c r="M18" s="950">
        <v>1067500</v>
      </c>
      <c r="N18" s="950">
        <v>0</v>
      </c>
      <c r="O18" s="950">
        <v>0</v>
      </c>
      <c r="P18" s="950">
        <v>0</v>
      </c>
      <c r="Q18" s="950">
        <v>0</v>
      </c>
      <c r="R18" s="950">
        <v>0</v>
      </c>
      <c r="S18" s="950">
        <v>0</v>
      </c>
      <c r="T18" s="950">
        <v>0</v>
      </c>
      <c r="U18" s="950">
        <v>0</v>
      </c>
      <c r="V18" s="950">
        <v>0</v>
      </c>
      <c r="W18" s="950">
        <v>0</v>
      </c>
      <c r="X18" s="950">
        <v>0</v>
      </c>
      <c r="Y18" s="950">
        <v>0</v>
      </c>
      <c r="Z18" s="950">
        <v>0</v>
      </c>
      <c r="AA18" s="950">
        <v>0</v>
      </c>
      <c r="AB18" s="950">
        <v>0</v>
      </c>
      <c r="AC18" s="950">
        <v>0</v>
      </c>
      <c r="AD18" s="950">
        <v>0</v>
      </c>
      <c r="AE18" s="950">
        <v>0</v>
      </c>
      <c r="AF18" s="950">
        <v>0</v>
      </c>
    </row>
    <row r="19" spans="4:32" ht="18" thickTop="1" thickBot="1">
      <c r="D19" s="689" t="str">
        <v>Development &gt; OnSite</v>
      </c>
      <c r="E19" s="705">
        <f t="shared" si="1"/>
        <v>19656250</v>
      </c>
      <c r="F19" s="950">
        <v>3281000</v>
      </c>
      <c r="G19" s="950">
        <v>4281000</v>
      </c>
      <c r="H19" s="950">
        <v>5755000</v>
      </c>
      <c r="I19" s="950">
        <v>1120000</v>
      </c>
      <c r="J19" s="950">
        <v>0</v>
      </c>
      <c r="K19" s="950">
        <v>0</v>
      </c>
      <c r="L19" s="950">
        <v>2016750</v>
      </c>
      <c r="M19" s="950">
        <v>3202500</v>
      </c>
      <c r="N19" s="950">
        <v>0</v>
      </c>
      <c r="O19" s="950">
        <v>0</v>
      </c>
      <c r="P19" s="950">
        <v>0</v>
      </c>
      <c r="Q19" s="950">
        <v>0</v>
      </c>
      <c r="R19" s="950">
        <v>0</v>
      </c>
      <c r="S19" s="950">
        <v>0</v>
      </c>
      <c r="T19" s="950">
        <v>0</v>
      </c>
      <c r="U19" s="950">
        <v>0</v>
      </c>
      <c r="V19" s="950">
        <v>0</v>
      </c>
      <c r="W19" s="950">
        <v>0</v>
      </c>
      <c r="X19" s="950">
        <v>0</v>
      </c>
      <c r="Y19" s="950">
        <v>0</v>
      </c>
      <c r="Z19" s="950">
        <v>0</v>
      </c>
      <c r="AA19" s="950">
        <v>0</v>
      </c>
      <c r="AB19" s="950">
        <v>0</v>
      </c>
      <c r="AC19" s="950">
        <v>0</v>
      </c>
      <c r="AD19" s="950">
        <v>0</v>
      </c>
      <c r="AE19" s="950">
        <v>0</v>
      </c>
      <c r="AF19" s="950">
        <v>0</v>
      </c>
    </row>
    <row r="20" spans="4:32" ht="18" thickTop="1" thickBot="1">
      <c r="D20" s="689" t="str">
        <v>Development &gt; Other</v>
      </c>
      <c r="E20" s="705">
        <f t="shared" si="1"/>
        <v>0</v>
      </c>
      <c r="F20" s="950">
        <v>0</v>
      </c>
      <c r="G20" s="950">
        <v>0</v>
      </c>
      <c r="H20" s="950">
        <v>0</v>
      </c>
      <c r="I20" s="950">
        <v>0</v>
      </c>
      <c r="J20" s="950">
        <v>0</v>
      </c>
      <c r="K20" s="950">
        <v>0</v>
      </c>
      <c r="L20" s="950">
        <v>0</v>
      </c>
      <c r="M20" s="950">
        <v>0</v>
      </c>
      <c r="N20" s="950">
        <v>0</v>
      </c>
      <c r="O20" s="950">
        <v>0</v>
      </c>
      <c r="P20" s="950">
        <v>0</v>
      </c>
      <c r="Q20" s="950">
        <v>0</v>
      </c>
      <c r="R20" s="950">
        <v>0</v>
      </c>
      <c r="S20" s="950">
        <v>0</v>
      </c>
      <c r="T20" s="950">
        <v>0</v>
      </c>
      <c r="U20" s="950">
        <v>0</v>
      </c>
      <c r="V20" s="950">
        <v>0</v>
      </c>
      <c r="W20" s="950">
        <v>0</v>
      </c>
      <c r="X20" s="950">
        <v>0</v>
      </c>
      <c r="Y20" s="950">
        <v>0</v>
      </c>
      <c r="Z20" s="950">
        <v>0</v>
      </c>
      <c r="AA20" s="950">
        <v>0</v>
      </c>
      <c r="AB20" s="950">
        <v>0</v>
      </c>
      <c r="AC20" s="950">
        <v>0</v>
      </c>
      <c r="AD20" s="950">
        <v>0</v>
      </c>
      <c r="AE20" s="950">
        <v>0</v>
      </c>
      <c r="AF20" s="950">
        <v>0</v>
      </c>
    </row>
    <row r="21" spans="4:32" ht="18" thickTop="1" thickBot="1">
      <c r="D21" s="690" t="str">
        <v>Contingency</v>
      </c>
      <c r="E21" s="706">
        <f t="shared" si="1"/>
        <v>3271225</v>
      </c>
      <c r="F21" s="951">
        <v>556750</v>
      </c>
      <c r="G21" s="951">
        <v>723750</v>
      </c>
      <c r="H21" s="951">
        <v>995050</v>
      </c>
      <c r="I21" s="951">
        <v>205400</v>
      </c>
      <c r="J21" s="951">
        <v>0</v>
      </c>
      <c r="K21" s="951">
        <v>0</v>
      </c>
      <c r="L21" s="951">
        <v>313050</v>
      </c>
      <c r="M21" s="951">
        <v>477225</v>
      </c>
      <c r="N21" s="951">
        <v>0</v>
      </c>
      <c r="O21" s="951">
        <v>0</v>
      </c>
      <c r="P21" s="951">
        <v>0</v>
      </c>
      <c r="Q21" s="951">
        <v>0</v>
      </c>
      <c r="R21" s="951">
        <v>0</v>
      </c>
      <c r="S21" s="951">
        <v>0</v>
      </c>
      <c r="T21" s="951">
        <v>0</v>
      </c>
      <c r="U21" s="951">
        <v>0</v>
      </c>
      <c r="V21" s="951">
        <v>0</v>
      </c>
      <c r="W21" s="951">
        <v>0</v>
      </c>
      <c r="X21" s="951">
        <v>0</v>
      </c>
      <c r="Y21" s="951">
        <v>0</v>
      </c>
      <c r="Z21" s="951">
        <v>0</v>
      </c>
      <c r="AA21" s="951">
        <v>0</v>
      </c>
      <c r="AB21" s="951">
        <v>0</v>
      </c>
      <c r="AC21" s="951">
        <v>0</v>
      </c>
      <c r="AD21" s="951">
        <v>0</v>
      </c>
      <c r="AE21" s="951">
        <v>0</v>
      </c>
      <c r="AF21" s="951">
        <v>0</v>
      </c>
    </row>
    <row r="22" spans="4:32" ht="18" thickTop="1" thickBot="1">
      <c r="D22" s="689" t="str">
        <v>Total Development Costs</v>
      </c>
      <c r="E22" s="705">
        <f t="shared" si="1"/>
        <v>35983475</v>
      </c>
      <c r="F22" s="952">
        <v>6124250</v>
      </c>
      <c r="G22" s="952">
        <v>7961250</v>
      </c>
      <c r="H22" s="952">
        <v>10945550</v>
      </c>
      <c r="I22" s="952">
        <v>2259400</v>
      </c>
      <c r="J22" s="952">
        <v>0</v>
      </c>
      <c r="K22" s="952">
        <v>0</v>
      </c>
      <c r="L22" s="952">
        <v>3443550</v>
      </c>
      <c r="M22" s="952">
        <v>5249475</v>
      </c>
      <c r="N22" s="952">
        <v>0</v>
      </c>
      <c r="O22" s="952">
        <v>0</v>
      </c>
      <c r="P22" s="952">
        <v>0</v>
      </c>
      <c r="Q22" s="952">
        <v>0</v>
      </c>
      <c r="R22" s="952">
        <v>0</v>
      </c>
      <c r="S22" s="952">
        <v>0</v>
      </c>
      <c r="T22" s="952">
        <v>0</v>
      </c>
      <c r="U22" s="952">
        <v>0</v>
      </c>
      <c r="V22" s="952">
        <v>0</v>
      </c>
      <c r="W22" s="952">
        <v>0</v>
      </c>
      <c r="X22" s="952">
        <v>0</v>
      </c>
      <c r="Y22" s="952">
        <v>0</v>
      </c>
      <c r="Z22" s="952">
        <v>0</v>
      </c>
      <c r="AA22" s="952">
        <v>0</v>
      </c>
      <c r="AB22" s="952">
        <v>0</v>
      </c>
      <c r="AC22" s="952">
        <v>0</v>
      </c>
      <c r="AD22" s="952">
        <v>0</v>
      </c>
      <c r="AE22" s="952">
        <v>0</v>
      </c>
      <c r="AF22" s="952">
        <v>0</v>
      </c>
    </row>
    <row r="23" spans="4:32" ht="18" thickTop="1" thickBot="1">
      <c r="D23" s="689" t="str">
        <v>Total Costs Inflated</v>
      </c>
      <c r="E23" s="705">
        <f t="shared" si="1"/>
        <v>39235624.299927838</v>
      </c>
      <c r="F23" s="953">
        <v>6139560.625</v>
      </c>
      <c r="G23" s="959">
        <v>8452913.2686306704</v>
      </c>
      <c r="H23" s="959">
        <v>11621514.81582169</v>
      </c>
      <c r="I23" s="959">
        <v>2547084.9307376216</v>
      </c>
      <c r="J23" s="959">
        <v>0</v>
      </c>
      <c r="K23" s="959">
        <v>0</v>
      </c>
      <c r="L23" s="959">
        <v>4000085.4681246532</v>
      </c>
      <c r="M23" s="959">
        <v>6474465.1916132011</v>
      </c>
      <c r="N23" s="959">
        <v>0</v>
      </c>
      <c r="O23" s="959">
        <v>0</v>
      </c>
      <c r="P23" s="959">
        <v>0</v>
      </c>
      <c r="Q23" s="959">
        <v>0</v>
      </c>
      <c r="R23" s="959">
        <v>0</v>
      </c>
      <c r="S23" s="959">
        <v>0</v>
      </c>
      <c r="T23" s="959">
        <v>0</v>
      </c>
      <c r="U23" s="959">
        <v>0</v>
      </c>
      <c r="V23" s="959">
        <v>0</v>
      </c>
      <c r="W23" s="959">
        <v>0</v>
      </c>
      <c r="X23" s="959">
        <v>0</v>
      </c>
      <c r="Y23" s="959">
        <v>0</v>
      </c>
      <c r="Z23" s="959">
        <v>0</v>
      </c>
      <c r="AA23" s="959">
        <v>0</v>
      </c>
      <c r="AB23" s="959">
        <v>0</v>
      </c>
      <c r="AC23" s="959">
        <v>0</v>
      </c>
      <c r="AD23" s="959">
        <v>0</v>
      </c>
      <c r="AE23" s="959">
        <v>0</v>
      </c>
      <c r="AF23" s="959">
        <v>0</v>
      </c>
    </row>
    <row r="24" spans="4:32" ht="18" thickTop="1" thickBot="1">
      <c r="D24" s="691" t="s">
        <v>396</v>
      </c>
      <c r="E24" s="706">
        <f t="shared" ca="1" si="1"/>
        <v>167488649.64694551</v>
      </c>
      <c r="F24" s="951" cm="1">
        <f t="array" aca="1" ref="F24:M24" ca="1">TRANSPOSE(_xlfn.ANCHORARRAY(DATABASE!P16))</f>
        <v>22756920.934735361</v>
      </c>
      <c r="G24" s="951">
        <f ca="1"/>
        <v>30903139.244144909</v>
      </c>
      <c r="H24" s="951">
        <f ca="1"/>
        <v>42170522.947051242</v>
      </c>
      <c r="I24" s="951">
        <f ca="1"/>
        <v>15148467.591179606</v>
      </c>
      <c r="J24" s="951">
        <f ca="1"/>
        <v>0</v>
      </c>
      <c r="K24" s="951">
        <f ca="1"/>
        <v>0</v>
      </c>
      <c r="L24" s="951">
        <f ca="1"/>
        <v>21236644.627644084</v>
      </c>
      <c r="M24" s="951">
        <f ca="1"/>
        <v>35272954.302190296</v>
      </c>
      <c r="N24" s="951"/>
      <c r="O24" s="951"/>
      <c r="P24" s="951"/>
      <c r="Q24" s="951"/>
      <c r="R24" s="951"/>
      <c r="S24" s="951"/>
      <c r="T24" s="951"/>
      <c r="U24" s="951"/>
      <c r="V24" s="951"/>
      <c r="W24" s="951"/>
      <c r="X24" s="951"/>
      <c r="Y24" s="951"/>
      <c r="Z24" s="951"/>
      <c r="AA24" s="951"/>
      <c r="AB24" s="951"/>
      <c r="AC24" s="951"/>
      <c r="AD24" s="951"/>
      <c r="AE24" s="951"/>
      <c r="AF24" s="951"/>
    </row>
    <row r="25" spans="4:32" ht="18" thickTop="1" thickBot="1">
      <c r="D25" s="693" t="s">
        <v>13</v>
      </c>
      <c r="E25" s="707">
        <f t="shared" ref="E25:Y25" ca="1" si="2">E23+E24</f>
        <v>206724273.94687334</v>
      </c>
      <c r="F25" s="954">
        <f t="shared" ca="1" si="2"/>
        <v>28896481.559735361</v>
      </c>
      <c r="G25" s="954">
        <f t="shared" ca="1" si="2"/>
        <v>39356052.512775578</v>
      </c>
      <c r="H25" s="954">
        <f t="shared" ca="1" si="2"/>
        <v>53792037.762872934</v>
      </c>
      <c r="I25" s="954">
        <f t="shared" ca="1" si="2"/>
        <v>17695552.521917228</v>
      </c>
      <c r="J25" s="954">
        <f t="shared" ca="1" si="2"/>
        <v>0</v>
      </c>
      <c r="K25" s="954">
        <f t="shared" ca="1" si="2"/>
        <v>0</v>
      </c>
      <c r="L25" s="954">
        <f t="shared" ca="1" si="2"/>
        <v>25236730.095768739</v>
      </c>
      <c r="M25" s="954">
        <f t="shared" ca="1" si="2"/>
        <v>41747419.493803501</v>
      </c>
      <c r="N25" s="954">
        <f t="shared" si="2"/>
        <v>0</v>
      </c>
      <c r="O25" s="954">
        <f t="shared" si="2"/>
        <v>0</v>
      </c>
      <c r="P25" s="954">
        <f t="shared" si="2"/>
        <v>0</v>
      </c>
      <c r="Q25" s="954">
        <f t="shared" si="2"/>
        <v>0</v>
      </c>
      <c r="R25" s="954">
        <f t="shared" si="2"/>
        <v>0</v>
      </c>
      <c r="S25" s="954">
        <f t="shared" si="2"/>
        <v>0</v>
      </c>
      <c r="T25" s="954">
        <f t="shared" si="2"/>
        <v>0</v>
      </c>
      <c r="U25" s="954">
        <f t="shared" si="2"/>
        <v>0</v>
      </c>
      <c r="V25" s="954">
        <f t="shared" si="2"/>
        <v>0</v>
      </c>
      <c r="W25" s="954">
        <f t="shared" si="2"/>
        <v>0</v>
      </c>
      <c r="X25" s="954">
        <f t="shared" si="2"/>
        <v>0</v>
      </c>
      <c r="Y25" s="954">
        <f t="shared" si="2"/>
        <v>0</v>
      </c>
      <c r="Z25" s="954"/>
      <c r="AA25" s="954"/>
      <c r="AB25" s="954"/>
      <c r="AC25" s="954"/>
      <c r="AD25" s="954"/>
      <c r="AE25" s="954"/>
      <c r="AF25" s="954"/>
    </row>
    <row r="26" spans="4:32" ht="18" thickTop="1" thickBot="1">
      <c r="E26" s="708"/>
      <c r="F26" s="780"/>
      <c r="G26" s="780"/>
      <c r="H26" s="780"/>
      <c r="I26" s="780"/>
      <c r="J26" s="780"/>
      <c r="K26" s="780"/>
      <c r="L26" s="780"/>
      <c r="M26" s="780"/>
      <c r="N26" s="780"/>
      <c r="O26" s="780"/>
      <c r="P26" s="780"/>
      <c r="Q26" s="780"/>
      <c r="R26" s="780"/>
      <c r="S26" s="780"/>
      <c r="T26" s="780"/>
      <c r="U26" s="780"/>
      <c r="V26" s="780"/>
      <c r="W26" s="780"/>
      <c r="X26" s="780"/>
      <c r="Y26" s="780"/>
      <c r="Z26" s="780"/>
      <c r="AA26" s="780"/>
      <c r="AB26" s="780"/>
      <c r="AC26" s="780"/>
      <c r="AD26" s="780"/>
      <c r="AE26" s="780"/>
      <c r="AF26" s="780"/>
    </row>
    <row r="27" spans="4:32" ht="18" thickTop="1" thickBot="1">
      <c r="E27" s="709"/>
      <c r="F27" s="780"/>
      <c r="G27" s="780"/>
      <c r="H27" s="780"/>
      <c r="I27" s="780"/>
      <c r="J27" s="780"/>
      <c r="K27" s="780"/>
      <c r="L27" s="780"/>
      <c r="M27" s="780"/>
      <c r="N27" s="780"/>
      <c r="O27" s="780"/>
      <c r="P27" s="780"/>
      <c r="Q27" s="780"/>
      <c r="R27" s="780"/>
      <c r="S27" s="780"/>
      <c r="T27" s="780"/>
      <c r="U27" s="780"/>
      <c r="V27" s="780"/>
      <c r="W27" s="780"/>
      <c r="X27" s="780"/>
      <c r="Y27" s="780"/>
      <c r="Z27" s="780"/>
      <c r="AA27" s="780"/>
      <c r="AB27" s="780"/>
      <c r="AC27" s="780"/>
      <c r="AD27" s="780"/>
      <c r="AE27" s="780"/>
      <c r="AF27" s="780"/>
    </row>
    <row r="28" spans="4:32" ht="18" thickTop="1" thickBot="1">
      <c r="D28" s="694" t="s">
        <v>401</v>
      </c>
      <c r="E28" s="710"/>
      <c r="F28" s="955"/>
      <c r="G28" s="955"/>
      <c r="H28" s="955"/>
      <c r="I28" s="955"/>
      <c r="J28" s="955"/>
      <c r="K28" s="955"/>
      <c r="L28" s="955"/>
      <c r="M28" s="955"/>
      <c r="N28" s="955"/>
      <c r="O28" s="955"/>
      <c r="P28" s="955"/>
      <c r="Q28" s="955"/>
      <c r="R28" s="955"/>
      <c r="S28" s="955"/>
      <c r="T28" s="955"/>
      <c r="U28" s="955"/>
      <c r="V28" s="955"/>
      <c r="W28" s="955"/>
      <c r="X28" s="955"/>
      <c r="Y28" s="955"/>
      <c r="Z28" s="955"/>
      <c r="AA28" s="955"/>
      <c r="AB28" s="955"/>
      <c r="AC28" s="955"/>
      <c r="AD28" s="955"/>
      <c r="AE28" s="955"/>
      <c r="AF28" s="955"/>
    </row>
    <row r="29" spans="4:32" ht="18" thickTop="1" thickBot="1">
      <c r="D29" s="689" t="s">
        <v>402</v>
      </c>
      <c r="E29" s="705">
        <f t="shared" ref="E29:E34" ca="1" si="3">SUM(F29:Y29)</f>
        <v>304583853.5128631</v>
      </c>
      <c r="F29" s="953" cm="1">
        <f t="array" aca="1" ref="F29:M29" ca="1">TRANSPOSE(_xlfn.ANCHORARRAY(DATABASE!AS$32))</f>
        <v>42012777.110280663</v>
      </c>
      <c r="G29" s="953">
        <f ca="1"/>
        <v>57051949.373806</v>
      </c>
      <c r="H29" s="953">
        <f ca="1"/>
        <v>77853273.133017689</v>
      </c>
      <c r="I29" s="953">
        <f ca="1"/>
        <v>27966401.706793118</v>
      </c>
      <c r="J29" s="953">
        <f ca="1"/>
        <v>0</v>
      </c>
      <c r="K29" s="953">
        <f ca="1"/>
        <v>0</v>
      </c>
      <c r="L29" s="953">
        <f ca="1"/>
        <v>39206113.158727534</v>
      </c>
      <c r="M29" s="953">
        <f ca="1"/>
        <v>60493339.030238084</v>
      </c>
      <c r="N29" s="953"/>
      <c r="O29" s="953"/>
      <c r="P29" s="953"/>
      <c r="Q29" s="953"/>
      <c r="R29" s="953"/>
      <c r="S29" s="953"/>
      <c r="T29" s="953"/>
      <c r="U29" s="953"/>
      <c r="V29" s="953"/>
      <c r="W29" s="953"/>
      <c r="X29" s="953"/>
      <c r="Y29" s="953"/>
      <c r="Z29" s="953"/>
      <c r="AA29" s="953"/>
      <c r="AB29" s="953"/>
      <c r="AC29" s="953"/>
      <c r="AD29" s="953"/>
      <c r="AE29" s="953"/>
      <c r="AF29" s="953"/>
    </row>
    <row r="30" spans="4:32" ht="18" thickTop="1" thickBot="1">
      <c r="D30" s="357" t="s">
        <v>403</v>
      </c>
      <c r="E30" s="705">
        <f t="shared" ca="1" si="3"/>
        <v>205139491.66679096</v>
      </c>
      <c r="F30" s="953" cm="1">
        <f t="array" aca="1" ref="F30:M30" ca="1">TRANSPOSE(_xlfn.ANCHORARRAY(DATABASE!AT$32))</f>
        <v>12085235.914868301</v>
      </c>
      <c r="G30" s="953">
        <f ca="1"/>
        <v>23611946.313679904</v>
      </c>
      <c r="H30" s="953">
        <f ca="1"/>
        <v>40640175.158489533</v>
      </c>
      <c r="I30" s="953">
        <f ca="1"/>
        <v>0</v>
      </c>
      <c r="J30" s="953">
        <f ca="1"/>
        <v>67275779.777204216</v>
      </c>
      <c r="K30" s="953">
        <f ca="1"/>
        <v>51561729.026324399</v>
      </c>
      <c r="L30" s="953">
        <f ca="1"/>
        <v>0</v>
      </c>
      <c r="M30" s="953">
        <f ca="1"/>
        <v>9964625.4762245957</v>
      </c>
      <c r="N30" s="953"/>
      <c r="O30" s="953"/>
      <c r="P30" s="953"/>
      <c r="Q30" s="953"/>
      <c r="R30" s="953"/>
      <c r="S30" s="953"/>
      <c r="T30" s="953"/>
      <c r="U30" s="953"/>
      <c r="V30" s="953"/>
      <c r="W30" s="953"/>
      <c r="X30" s="953"/>
      <c r="Y30" s="953"/>
      <c r="Z30" s="953"/>
      <c r="AA30" s="953"/>
      <c r="AB30" s="953"/>
      <c r="AC30" s="953"/>
      <c r="AD30" s="953"/>
      <c r="AE30" s="953"/>
      <c r="AF30" s="953"/>
    </row>
    <row r="31" spans="4:32" ht="18" thickTop="1" thickBot="1">
      <c r="D31" s="700" t="s">
        <v>404</v>
      </c>
      <c r="E31" s="706">
        <f t="shared" ca="1" si="3"/>
        <v>-167488649.64694551</v>
      </c>
      <c r="F31" s="951" cm="1">
        <f t="array" aca="1" ref="F31:M31" ca="1">TRANSPOSE(_xlfn.ANCHORARRAY(DATABASE!AV$32))</f>
        <v>-22756920.934735361</v>
      </c>
      <c r="G31" s="951">
        <f ca="1"/>
        <v>-30903139.244144909</v>
      </c>
      <c r="H31" s="951">
        <f ca="1"/>
        <v>-42170522.947051242</v>
      </c>
      <c r="I31" s="951">
        <f ca="1"/>
        <v>-15148467.591179606</v>
      </c>
      <c r="J31" s="951">
        <f ca="1"/>
        <v>0</v>
      </c>
      <c r="K31" s="951">
        <f ca="1"/>
        <v>0</v>
      </c>
      <c r="L31" s="951">
        <f ca="1"/>
        <v>-21236644.627644084</v>
      </c>
      <c r="M31" s="951">
        <f ca="1"/>
        <v>-35272954.302190296</v>
      </c>
      <c r="N31" s="951"/>
      <c r="O31" s="951"/>
      <c r="P31" s="951"/>
      <c r="Q31" s="951"/>
      <c r="R31" s="951"/>
      <c r="S31" s="951"/>
      <c r="T31" s="951"/>
      <c r="U31" s="951"/>
      <c r="V31" s="951"/>
      <c r="W31" s="951"/>
      <c r="X31" s="951"/>
      <c r="Y31" s="951"/>
      <c r="Z31" s="951"/>
      <c r="AA31" s="951"/>
      <c r="AB31" s="951"/>
      <c r="AC31" s="951"/>
      <c r="AD31" s="951"/>
      <c r="AE31" s="951"/>
      <c r="AF31" s="951"/>
    </row>
    <row r="32" spans="4:32" ht="18" thickTop="1" thickBot="1">
      <c r="D32" s="702" t="s">
        <v>98</v>
      </c>
      <c r="E32" s="711">
        <f t="shared" ca="1" si="3"/>
        <v>342234695.53270853</v>
      </c>
      <c r="F32" s="956" cm="1">
        <f t="array" aca="1" ref="F32:M32" ca="1">TRANSPOSE(_xlfn.ANCHORARRAY(DATABASE!AW$32))</f>
        <v>31341092.090413608</v>
      </c>
      <c r="G32" s="956">
        <f ca="1"/>
        <v>49760756.443340987</v>
      </c>
      <c r="H32" s="956">
        <f ca="1"/>
        <v>76322925.344455972</v>
      </c>
      <c r="I32" s="956">
        <f ca="1"/>
        <v>12817934.115613513</v>
      </c>
      <c r="J32" s="956">
        <f ca="1"/>
        <v>67275779.777204216</v>
      </c>
      <c r="K32" s="956">
        <f ca="1"/>
        <v>51561729.026324399</v>
      </c>
      <c r="L32" s="956">
        <f ca="1"/>
        <v>17969468.531083453</v>
      </c>
      <c r="M32" s="956">
        <f ca="1"/>
        <v>35185010.204272382</v>
      </c>
      <c r="N32" s="956"/>
      <c r="O32" s="956"/>
      <c r="P32" s="956"/>
      <c r="Q32" s="956"/>
      <c r="R32" s="956"/>
      <c r="S32" s="956"/>
      <c r="T32" s="956"/>
      <c r="U32" s="956"/>
      <c r="V32" s="956"/>
      <c r="W32" s="956"/>
      <c r="X32" s="956"/>
      <c r="Y32" s="956"/>
      <c r="Z32" s="956"/>
      <c r="AA32" s="956"/>
      <c r="AB32" s="956"/>
      <c r="AC32" s="956"/>
      <c r="AD32" s="956"/>
      <c r="AE32" s="956"/>
      <c r="AF32" s="956"/>
    </row>
    <row r="33" spans="4:13" ht="18" thickTop="1" thickBot="1">
      <c r="D33" s="692" t="s">
        <v>259</v>
      </c>
      <c r="E33" s="705">
        <f t="shared" ca="1" si="3"/>
        <v>-10267040.865981257</v>
      </c>
      <c r="F33" s="953" cm="1">
        <f t="array" aca="1" ref="F33:M33" ca="1">TRANSPOSE(_xlfn.ANCHORARRAY(DATABASE!AX$32))</f>
        <v>-940232.76271240832</v>
      </c>
      <c r="G33" s="953">
        <f ca="1"/>
        <v>-1492822.69330023</v>
      </c>
      <c r="H33" s="953">
        <f ca="1"/>
        <v>-2289687.7603336792</v>
      </c>
      <c r="I33" s="953">
        <f ca="1"/>
        <v>-384538.02346840536</v>
      </c>
      <c r="J33" s="953">
        <f ca="1"/>
        <v>-2018273.3933161264</v>
      </c>
      <c r="K33" s="953">
        <f ca="1"/>
        <v>-1546851.8707897319</v>
      </c>
      <c r="L33" s="953">
        <f ca="1"/>
        <v>-539084.05593250366</v>
      </c>
      <c r="M33" s="953">
        <f ca="1"/>
        <v>-1055550.3061281715</v>
      </c>
    </row>
    <row r="34" spans="4:13" ht="18" thickTop="1" thickBot="1">
      <c r="D34" s="691" t="s">
        <v>405</v>
      </c>
      <c r="E34" s="706">
        <f t="shared" ca="1" si="3"/>
        <v>-3422346.9553270852</v>
      </c>
      <c r="F34" s="951" cm="1">
        <f t="array" aca="1" ref="F34:M34" ca="1">TRANSPOSE(_xlfn.ANCHORARRAY(DATABASE!AY$32))</f>
        <v>-313410.92090413609</v>
      </c>
      <c r="G34" s="951">
        <f ca="1"/>
        <v>-497607.56443340995</v>
      </c>
      <c r="H34" s="951">
        <f ca="1"/>
        <v>-763229.25344455964</v>
      </c>
      <c r="I34" s="951">
        <f ca="1"/>
        <v>-128179.34115613511</v>
      </c>
      <c r="J34" s="951">
        <f ca="1"/>
        <v>-672757.79777204222</v>
      </c>
      <c r="K34" s="951">
        <f ca="1"/>
        <v>-515617.29026324395</v>
      </c>
      <c r="L34" s="951">
        <f ca="1"/>
        <v>-179694.68531083455</v>
      </c>
      <c r="M34" s="951">
        <f ca="1"/>
        <v>-351850.1020427238</v>
      </c>
    </row>
    <row r="35" spans="4:13" ht="18" thickTop="1" thickBot="1">
      <c r="D35" s="693" t="s">
        <v>406</v>
      </c>
      <c r="E35" s="707">
        <f ca="1">SUM(_xlfn.ANCHORARRAY(F35))</f>
        <v>328545307.71140021</v>
      </c>
      <c r="F35" s="954" cm="1">
        <f t="array" aca="1" ref="F35:M35" ca="1">TRANSPOSE(_xlfn.ANCHORARRAY(DATABASE!AZ$32))</f>
        <v>30087448.406797066</v>
      </c>
      <c r="G35" s="954">
        <f ca="1"/>
        <v>47770326.185607359</v>
      </c>
      <c r="H35" s="954">
        <f ca="1"/>
        <v>73270008.330677733</v>
      </c>
      <c r="I35" s="954">
        <f ca="1"/>
        <v>12305216.750988971</v>
      </c>
      <c r="J35" s="954">
        <f ca="1"/>
        <v>64584748.586116046</v>
      </c>
      <c r="K35" s="954">
        <f ca="1"/>
        <v>49499259.865271419</v>
      </c>
      <c r="L35" s="954">
        <f ca="1"/>
        <v>17250689.789840117</v>
      </c>
      <c r="M35" s="954">
        <f ca="1"/>
        <v>33777609.796101488</v>
      </c>
    </row>
    <row r="36" spans="4:13" ht="18" thickTop="1" thickBot="1">
      <c r="D36" s="568" t="s">
        <v>408</v>
      </c>
      <c r="E36" s="705">
        <f>-i.LandAcq!H21</f>
        <v>-105000000</v>
      </c>
      <c r="F36" s="780"/>
      <c r="G36" s="780"/>
      <c r="H36" s="780"/>
      <c r="I36" s="780"/>
      <c r="J36" s="780"/>
      <c r="K36" s="780"/>
      <c r="L36" s="780"/>
      <c r="M36" s="780"/>
    </row>
    <row r="37" spans="4:13" ht="18" thickTop="1" thickBot="1">
      <c r="D37" s="568" t="s">
        <v>485</v>
      </c>
      <c r="E37" s="705">
        <f>-E23</f>
        <v>-39235624.299927838</v>
      </c>
      <c r="F37" s="780"/>
      <c r="G37" s="780"/>
      <c r="H37" s="780"/>
      <c r="I37" s="780"/>
      <c r="J37" s="780"/>
      <c r="K37" s="780"/>
      <c r="L37" s="780"/>
      <c r="M37" s="780"/>
    </row>
    <row r="38" spans="4:13" ht="18" thickTop="1" thickBot="1">
      <c r="D38" s="568" t="s">
        <v>411</v>
      </c>
      <c r="E38" s="705">
        <f ca="1">-mProject!BD7</f>
        <v>-541140.00000000023</v>
      </c>
      <c r="F38" s="537"/>
      <c r="G38" s="537"/>
      <c r="H38" s="537"/>
      <c r="I38" s="537"/>
      <c r="J38" s="537"/>
      <c r="K38" s="537"/>
      <c r="L38" s="537"/>
      <c r="M38" s="537"/>
    </row>
    <row r="39" spans="4:13" ht="18" thickTop="1" thickBot="1">
      <c r="D39" s="568" t="s">
        <v>410</v>
      </c>
      <c r="E39" s="712">
        <f>-mProject!BL7</f>
        <v>-7322346.9553270852</v>
      </c>
      <c r="F39" s="537"/>
      <c r="G39" s="537"/>
      <c r="H39" s="537"/>
      <c r="I39" s="537"/>
      <c r="J39" s="537"/>
      <c r="K39" s="537"/>
      <c r="L39" s="537"/>
      <c r="M39" s="537"/>
    </row>
    <row r="40" spans="4:13" ht="16">
      <c r="D40" s="701" t="s">
        <v>409</v>
      </c>
      <c r="E40" s="711">
        <f ca="1">SUM(E35:E39)</f>
        <v>176446196.45614529</v>
      </c>
      <c r="F40" s="537"/>
      <c r="G40" s="537"/>
      <c r="H40" s="537"/>
      <c r="I40" s="537"/>
      <c r="J40" s="537"/>
      <c r="K40" s="537"/>
      <c r="L40" s="537"/>
      <c r="M40" s="537"/>
    </row>
  </sheetData>
  <conditionalFormatting sqref="F2:AY81">
    <cfRule type="expression" dxfId="16" priority="154">
      <formula>F$1=0</formula>
    </cfRule>
  </conditionalFormatting>
  <pageMargins left="0.7" right="0.7" top="0.75" bottom="0.75" header="0.3" footer="0.3"/>
  <pageSetup orientation="landscape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8B679-3012-0D49-8E68-6B47D56E646D}">
  <sheetPr codeName="Sheet17">
    <tabColor rgb="FF0070C0"/>
    <pageSetUpPr fitToPage="1"/>
  </sheetPr>
  <dimension ref="A1:HD31"/>
  <sheetViews>
    <sheetView showGridLines="0" topLeftCell="B3" workbookViewId="0">
      <selection activeCell="E10" sqref="E10"/>
    </sheetView>
  </sheetViews>
  <sheetFormatPr baseColWidth="10" defaultColWidth="0" defaultRowHeight="11.25" customHeight="1" zeroHeight="1"/>
  <cols>
    <col min="1" max="1" width="29.1640625" style="716" hidden="1" customWidth="1"/>
    <col min="2" max="2" width="2.5" style="716" customWidth="1"/>
    <col min="3" max="3" width="19.1640625" style="716" customWidth="1"/>
    <col min="4" max="4" width="6.6640625" style="716" bestFit="1" customWidth="1"/>
    <col min="5" max="5" width="16.33203125" style="734" customWidth="1"/>
    <col min="6" max="6" width="9.33203125" style="717" bestFit="1" customWidth="1"/>
    <col min="7" max="7" width="7.5" style="716" customWidth="1"/>
    <col min="8" max="8" width="4" style="741" customWidth="1"/>
    <col min="9" max="128" width="1.83203125" style="716" customWidth="1"/>
    <col min="129" max="129" width="5.33203125" style="716" customWidth="1"/>
    <col min="130" max="133" width="1.83203125" style="716" customWidth="1"/>
    <col min="134" max="134" width="2" style="716" customWidth="1"/>
    <col min="135" max="140" width="1.83203125" style="716" customWidth="1"/>
    <col min="141" max="191" width="1.83203125" style="716" hidden="1" customWidth="1"/>
    <col min="192" max="211" width="2.33203125" style="716" hidden="1" customWidth="1"/>
    <col min="212" max="365" width="8.83203125" style="716" hidden="1" customWidth="1"/>
    <col min="366" max="16384" width="8.83203125" style="716" hidden="1"/>
  </cols>
  <sheetData>
    <row r="1" spans="2:212" ht="14" hidden="1">
      <c r="B1" s="729"/>
      <c r="C1" s="727"/>
      <c r="D1" s="727"/>
      <c r="E1" s="731"/>
      <c r="F1" s="728"/>
      <c r="G1" s="727"/>
      <c r="H1" s="737"/>
      <c r="I1" s="735" cm="1">
        <f t="array" ref="I1:CZ1">TRANSPOSE(list_Dates.ALL)</f>
        <v>45292</v>
      </c>
      <c r="J1" s="735">
        <v>45323</v>
      </c>
      <c r="K1" s="735">
        <v>45352</v>
      </c>
      <c r="L1" s="735">
        <v>45383</v>
      </c>
      <c r="M1" s="735">
        <v>45413</v>
      </c>
      <c r="N1" s="735">
        <v>45444</v>
      </c>
      <c r="O1" s="735">
        <v>45474</v>
      </c>
      <c r="P1" s="735">
        <v>45505</v>
      </c>
      <c r="Q1" s="735">
        <v>45536</v>
      </c>
      <c r="R1" s="735">
        <v>45566</v>
      </c>
      <c r="S1" s="735">
        <v>45597</v>
      </c>
      <c r="T1" s="735">
        <v>45627</v>
      </c>
      <c r="U1" s="735">
        <v>45658</v>
      </c>
      <c r="V1" s="735">
        <v>45689</v>
      </c>
      <c r="W1" s="735">
        <v>45717</v>
      </c>
      <c r="X1" s="735">
        <v>45748</v>
      </c>
      <c r="Y1" s="735">
        <v>45778</v>
      </c>
      <c r="Z1" s="735">
        <v>45809</v>
      </c>
      <c r="AA1" s="735">
        <v>45839</v>
      </c>
      <c r="AB1" s="735">
        <v>45870</v>
      </c>
      <c r="AC1" s="735">
        <v>45901</v>
      </c>
      <c r="AD1" s="735">
        <v>45931</v>
      </c>
      <c r="AE1" s="735">
        <v>45962</v>
      </c>
      <c r="AF1" s="735">
        <v>45992</v>
      </c>
      <c r="AG1" s="735">
        <v>46023</v>
      </c>
      <c r="AH1" s="735">
        <v>46054</v>
      </c>
      <c r="AI1" s="735">
        <v>46082</v>
      </c>
      <c r="AJ1" s="735">
        <v>46113</v>
      </c>
      <c r="AK1" s="735">
        <v>46143</v>
      </c>
      <c r="AL1" s="735">
        <v>46174</v>
      </c>
      <c r="AM1" s="735">
        <v>46204</v>
      </c>
      <c r="AN1" s="735">
        <v>46235</v>
      </c>
      <c r="AO1" s="735">
        <v>46266</v>
      </c>
      <c r="AP1" s="735">
        <v>46296</v>
      </c>
      <c r="AQ1" s="735">
        <v>46327</v>
      </c>
      <c r="AR1" s="735">
        <v>46357</v>
      </c>
      <c r="AS1" s="735">
        <v>46388</v>
      </c>
      <c r="AT1" s="735">
        <v>46419</v>
      </c>
      <c r="AU1" s="735">
        <v>46447</v>
      </c>
      <c r="AV1" s="735">
        <v>46478</v>
      </c>
      <c r="AW1" s="735">
        <v>46508</v>
      </c>
      <c r="AX1" s="735">
        <v>46539</v>
      </c>
      <c r="AY1" s="735">
        <v>46569</v>
      </c>
      <c r="AZ1" s="735">
        <v>46600</v>
      </c>
      <c r="BA1" s="735">
        <v>46631</v>
      </c>
      <c r="BB1" s="735">
        <v>46661</v>
      </c>
      <c r="BC1" s="735">
        <v>46692</v>
      </c>
      <c r="BD1" s="735">
        <v>46722</v>
      </c>
      <c r="BE1" s="735">
        <v>46753</v>
      </c>
      <c r="BF1" s="735">
        <v>46784</v>
      </c>
      <c r="BG1" s="735">
        <v>46813</v>
      </c>
      <c r="BH1" s="735">
        <v>46844</v>
      </c>
      <c r="BI1" s="735">
        <v>46874</v>
      </c>
      <c r="BJ1" s="735">
        <v>46905</v>
      </c>
      <c r="BK1" s="735">
        <v>46935</v>
      </c>
      <c r="BL1" s="735">
        <v>46966</v>
      </c>
      <c r="BM1" s="735">
        <v>46997</v>
      </c>
      <c r="BN1" s="735">
        <v>47027</v>
      </c>
      <c r="BO1" s="735">
        <v>47058</v>
      </c>
      <c r="BP1" s="735">
        <v>47088</v>
      </c>
      <c r="BQ1" s="735">
        <v>47119</v>
      </c>
      <c r="BR1" s="735">
        <v>47150</v>
      </c>
      <c r="BS1" s="735">
        <v>47178</v>
      </c>
      <c r="BT1" s="735">
        <v>47209</v>
      </c>
      <c r="BU1" s="735">
        <v>47239</v>
      </c>
      <c r="BV1" s="735">
        <v>47270</v>
      </c>
      <c r="BW1" s="735">
        <v>47300</v>
      </c>
      <c r="BX1" s="735">
        <v>47331</v>
      </c>
      <c r="BY1" s="735">
        <v>47362</v>
      </c>
      <c r="BZ1" s="735">
        <v>47392</v>
      </c>
      <c r="CA1" s="735">
        <v>47423</v>
      </c>
      <c r="CB1" s="735">
        <v>47453</v>
      </c>
      <c r="CC1" s="735">
        <v>47484</v>
      </c>
      <c r="CD1" s="735">
        <v>47515</v>
      </c>
      <c r="CE1" s="735">
        <v>47543</v>
      </c>
      <c r="CF1" s="735">
        <v>47574</v>
      </c>
      <c r="CG1" s="735">
        <v>47604</v>
      </c>
      <c r="CH1" s="735">
        <v>47635</v>
      </c>
      <c r="CI1" s="735">
        <v>47665</v>
      </c>
      <c r="CJ1" s="735">
        <v>47696</v>
      </c>
      <c r="CK1" s="735">
        <v>47727</v>
      </c>
      <c r="CL1" s="735">
        <v>47757</v>
      </c>
      <c r="CM1" s="735">
        <v>47788</v>
      </c>
      <c r="CN1" s="735">
        <v>47818</v>
      </c>
      <c r="CO1" s="735">
        <v>47849</v>
      </c>
      <c r="CP1" s="735">
        <v>47880</v>
      </c>
      <c r="CQ1" s="735">
        <v>47908</v>
      </c>
      <c r="CR1" s="735">
        <v>47939</v>
      </c>
      <c r="CS1" s="735">
        <v>47969</v>
      </c>
      <c r="CT1" s="735">
        <v>48000</v>
      </c>
      <c r="CU1" s="735">
        <v>48030</v>
      </c>
      <c r="CV1" s="735">
        <v>48061</v>
      </c>
      <c r="CW1" s="735">
        <v>48092</v>
      </c>
      <c r="CX1" s="735">
        <v>48122</v>
      </c>
      <c r="CY1" s="735">
        <v>48153</v>
      </c>
      <c r="CZ1" s="735">
        <v>48183</v>
      </c>
      <c r="DA1" s="735"/>
      <c r="DB1" s="735"/>
      <c r="DC1" s="735"/>
      <c r="DD1" s="735"/>
      <c r="DE1" s="735"/>
      <c r="DF1" s="735"/>
      <c r="DG1" s="735"/>
      <c r="DH1" s="735"/>
      <c r="DI1" s="735"/>
      <c r="DJ1" s="735"/>
      <c r="DK1" s="735"/>
      <c r="DL1" s="735"/>
      <c r="DM1" s="735"/>
      <c r="DN1" s="735"/>
      <c r="DO1" s="735"/>
      <c r="DP1" s="735"/>
      <c r="DQ1" s="735"/>
      <c r="DR1" s="735"/>
      <c r="DS1" s="735"/>
      <c r="DT1" s="735"/>
      <c r="DU1" s="735"/>
      <c r="DV1" s="735"/>
      <c r="DW1" s="735"/>
      <c r="DX1" s="735"/>
      <c r="DY1" s="735"/>
      <c r="DZ1" s="735"/>
      <c r="EA1" s="735"/>
      <c r="EB1" s="735"/>
      <c r="EC1" s="735"/>
      <c r="ED1" s="735"/>
      <c r="EE1" s="735"/>
      <c r="EF1" s="735"/>
      <c r="EG1" s="727"/>
      <c r="EH1" s="727"/>
      <c r="EI1" s="727"/>
      <c r="EJ1" s="727"/>
      <c r="EK1" s="727"/>
      <c r="EL1" s="727"/>
      <c r="EM1" s="727"/>
      <c r="EN1" s="727"/>
      <c r="EO1" s="727"/>
      <c r="EP1" s="727"/>
      <c r="EQ1" s="727"/>
      <c r="ER1" s="727"/>
      <c r="ES1" s="727"/>
      <c r="ET1" s="727"/>
      <c r="EU1" s="727"/>
      <c r="EV1" s="727"/>
      <c r="EW1" s="727"/>
      <c r="EX1" s="727"/>
      <c r="EY1" s="727"/>
      <c r="EZ1" s="727"/>
      <c r="FA1" s="727"/>
      <c r="FB1" s="727"/>
      <c r="FC1" s="727"/>
      <c r="FD1" s="727"/>
      <c r="FE1" s="727"/>
      <c r="FF1" s="727"/>
      <c r="FG1" s="727"/>
      <c r="FH1" s="727"/>
      <c r="FI1" s="727"/>
      <c r="FJ1" s="727"/>
      <c r="FK1" s="727"/>
      <c r="FL1" s="727"/>
      <c r="FM1" s="727"/>
      <c r="FN1" s="727"/>
      <c r="FO1" s="727"/>
      <c r="FP1" s="727"/>
      <c r="FQ1" s="727"/>
      <c r="FR1" s="727"/>
      <c r="FS1" s="727"/>
      <c r="FT1" s="727"/>
      <c r="FU1" s="727"/>
      <c r="FV1" s="727"/>
      <c r="FW1" s="727"/>
      <c r="FX1" s="727"/>
      <c r="FY1" s="727"/>
      <c r="FZ1" s="727"/>
      <c r="GA1" s="727"/>
      <c r="GB1" s="727"/>
      <c r="GC1" s="727"/>
      <c r="GD1" s="727"/>
      <c r="GE1" s="727"/>
      <c r="GF1" s="727"/>
      <c r="GG1" s="727"/>
      <c r="GH1" s="727"/>
      <c r="GI1" s="727"/>
      <c r="GJ1" s="727"/>
      <c r="GK1" s="727"/>
      <c r="GL1" s="727"/>
      <c r="GM1" s="727"/>
      <c r="GN1" s="727"/>
      <c r="GO1" s="727"/>
      <c r="GP1" s="727"/>
      <c r="GQ1" s="727"/>
      <c r="GR1" s="727"/>
      <c r="GS1" s="727"/>
      <c r="GT1" s="727"/>
    </row>
    <row r="2" spans="2:212" ht="14" hidden="1">
      <c r="B2" s="729">
        <v>1</v>
      </c>
      <c r="C2" s="727">
        <v>1</v>
      </c>
      <c r="D2" s="727"/>
      <c r="E2" s="731">
        <v>1</v>
      </c>
      <c r="F2" s="728">
        <v>1</v>
      </c>
      <c r="G2" s="727">
        <v>1</v>
      </c>
      <c r="H2" s="737">
        <v>1</v>
      </c>
      <c r="I2" s="736" cm="1">
        <f t="array" ref="I2:CZ2">_xlfn.SEQUENCE(1,1+MAX(G10:G32))</f>
        <v>1</v>
      </c>
      <c r="J2" s="736">
        <v>2</v>
      </c>
      <c r="K2" s="736">
        <v>3</v>
      </c>
      <c r="L2" s="736">
        <v>4</v>
      </c>
      <c r="M2" s="736">
        <v>5</v>
      </c>
      <c r="N2" s="736">
        <v>6</v>
      </c>
      <c r="O2" s="736">
        <v>7</v>
      </c>
      <c r="P2" s="736">
        <v>8</v>
      </c>
      <c r="Q2" s="736">
        <v>9</v>
      </c>
      <c r="R2" s="736">
        <v>10</v>
      </c>
      <c r="S2" s="736">
        <v>11</v>
      </c>
      <c r="T2" s="736">
        <v>12</v>
      </c>
      <c r="U2" s="736">
        <v>13</v>
      </c>
      <c r="V2" s="736">
        <v>14</v>
      </c>
      <c r="W2" s="736">
        <v>15</v>
      </c>
      <c r="X2" s="736">
        <v>16</v>
      </c>
      <c r="Y2" s="736">
        <v>17</v>
      </c>
      <c r="Z2" s="736">
        <v>18</v>
      </c>
      <c r="AA2" s="736">
        <v>19</v>
      </c>
      <c r="AB2" s="736">
        <v>20</v>
      </c>
      <c r="AC2" s="736">
        <v>21</v>
      </c>
      <c r="AD2" s="736">
        <v>22</v>
      </c>
      <c r="AE2" s="736">
        <v>23</v>
      </c>
      <c r="AF2" s="736">
        <v>24</v>
      </c>
      <c r="AG2" s="736">
        <v>25</v>
      </c>
      <c r="AH2" s="736">
        <v>26</v>
      </c>
      <c r="AI2" s="736">
        <v>27</v>
      </c>
      <c r="AJ2" s="736">
        <v>28</v>
      </c>
      <c r="AK2" s="736">
        <v>29</v>
      </c>
      <c r="AL2" s="736">
        <v>30</v>
      </c>
      <c r="AM2" s="736">
        <v>31</v>
      </c>
      <c r="AN2" s="736">
        <v>32</v>
      </c>
      <c r="AO2" s="736">
        <v>33</v>
      </c>
      <c r="AP2" s="736">
        <v>34</v>
      </c>
      <c r="AQ2" s="736">
        <v>35</v>
      </c>
      <c r="AR2" s="736">
        <v>36</v>
      </c>
      <c r="AS2" s="736">
        <v>37</v>
      </c>
      <c r="AT2" s="736">
        <v>38</v>
      </c>
      <c r="AU2" s="736">
        <v>39</v>
      </c>
      <c r="AV2" s="736">
        <v>40</v>
      </c>
      <c r="AW2" s="736">
        <v>41</v>
      </c>
      <c r="AX2" s="736">
        <v>42</v>
      </c>
      <c r="AY2" s="736">
        <v>43</v>
      </c>
      <c r="AZ2" s="736">
        <v>44</v>
      </c>
      <c r="BA2" s="736">
        <v>45</v>
      </c>
      <c r="BB2" s="736">
        <v>46</v>
      </c>
      <c r="BC2" s="736">
        <v>47</v>
      </c>
      <c r="BD2" s="736">
        <v>48</v>
      </c>
      <c r="BE2" s="736">
        <v>49</v>
      </c>
      <c r="BF2" s="736">
        <v>50</v>
      </c>
      <c r="BG2" s="736">
        <v>51</v>
      </c>
      <c r="BH2" s="736">
        <v>52</v>
      </c>
      <c r="BI2" s="736">
        <v>53</v>
      </c>
      <c r="BJ2" s="736">
        <v>54</v>
      </c>
      <c r="BK2" s="736">
        <v>55</v>
      </c>
      <c r="BL2" s="736">
        <v>56</v>
      </c>
      <c r="BM2" s="736">
        <v>57</v>
      </c>
      <c r="BN2" s="736">
        <v>58</v>
      </c>
      <c r="BO2" s="736">
        <v>59</v>
      </c>
      <c r="BP2" s="736">
        <v>60</v>
      </c>
      <c r="BQ2" s="738">
        <v>61</v>
      </c>
      <c r="BR2" s="738">
        <v>62</v>
      </c>
      <c r="BS2" s="738">
        <v>63</v>
      </c>
      <c r="BT2" s="738">
        <v>64</v>
      </c>
      <c r="BU2" s="738">
        <v>65</v>
      </c>
      <c r="BV2" s="738">
        <v>66</v>
      </c>
      <c r="BW2" s="738">
        <v>67</v>
      </c>
      <c r="BX2" s="738">
        <v>68</v>
      </c>
      <c r="BY2" s="738">
        <v>69</v>
      </c>
      <c r="BZ2" s="738">
        <v>70</v>
      </c>
      <c r="CA2" s="738">
        <v>71</v>
      </c>
      <c r="CB2" s="738">
        <v>72</v>
      </c>
      <c r="CC2" s="738">
        <v>73</v>
      </c>
      <c r="CD2" s="738">
        <v>74</v>
      </c>
      <c r="CE2" s="738">
        <v>75</v>
      </c>
      <c r="CF2" s="738">
        <v>76</v>
      </c>
      <c r="CG2" s="738">
        <v>77</v>
      </c>
      <c r="CH2" s="738">
        <v>78</v>
      </c>
      <c r="CI2" s="738">
        <v>79</v>
      </c>
      <c r="CJ2" s="738">
        <v>80</v>
      </c>
      <c r="CK2" s="738">
        <v>81</v>
      </c>
      <c r="CL2" s="738">
        <v>82</v>
      </c>
      <c r="CM2" s="738">
        <v>83</v>
      </c>
      <c r="CN2" s="738">
        <v>84</v>
      </c>
      <c r="CO2" s="738">
        <v>85</v>
      </c>
      <c r="CP2" s="738">
        <v>86</v>
      </c>
      <c r="CQ2" s="738">
        <v>87</v>
      </c>
      <c r="CR2" s="738">
        <v>88</v>
      </c>
      <c r="CS2" s="738">
        <v>89</v>
      </c>
      <c r="CT2" s="738">
        <v>90</v>
      </c>
      <c r="CU2" s="738">
        <v>91</v>
      </c>
      <c r="CV2" s="738">
        <v>92</v>
      </c>
      <c r="CW2" s="738">
        <v>93</v>
      </c>
      <c r="CX2" s="738">
        <v>94</v>
      </c>
      <c r="CY2" s="738">
        <v>95</v>
      </c>
      <c r="CZ2" s="738">
        <v>96</v>
      </c>
      <c r="DA2" s="738"/>
      <c r="DB2" s="738"/>
      <c r="DC2" s="738"/>
      <c r="DD2" s="738"/>
      <c r="DE2" s="738"/>
      <c r="DF2" s="738"/>
      <c r="DG2" s="738"/>
      <c r="DH2" s="738"/>
      <c r="DI2" s="738"/>
      <c r="DJ2" s="738"/>
      <c r="DK2" s="738"/>
      <c r="DL2" s="738"/>
      <c r="DM2" s="738"/>
      <c r="DN2" s="738"/>
      <c r="DO2" s="738"/>
      <c r="DP2" s="738"/>
      <c r="DQ2" s="738"/>
      <c r="DR2" s="738"/>
      <c r="DS2" s="738"/>
      <c r="DT2" s="738"/>
      <c r="DU2" s="738"/>
      <c r="DV2" s="738"/>
      <c r="DW2" s="738"/>
      <c r="DX2" s="738"/>
      <c r="DY2" s="738"/>
      <c r="DZ2" s="738"/>
      <c r="EA2" s="738"/>
      <c r="EB2" s="738"/>
      <c r="EC2" s="738"/>
      <c r="ED2" s="738"/>
      <c r="EE2" s="738"/>
      <c r="EF2" s="738"/>
      <c r="EG2" s="727"/>
      <c r="EH2" s="727"/>
      <c r="EI2" s="727"/>
      <c r="EJ2" s="727"/>
      <c r="EK2" s="727"/>
      <c r="EL2" s="727"/>
      <c r="EM2" s="727"/>
      <c r="EN2" s="727"/>
      <c r="EO2" s="727"/>
      <c r="EP2" s="727"/>
      <c r="EQ2" s="727"/>
      <c r="ER2" s="727"/>
      <c r="ES2" s="727"/>
      <c r="ET2" s="727"/>
      <c r="EU2" s="727"/>
      <c r="EV2" s="727"/>
      <c r="EW2" s="727"/>
      <c r="EX2" s="727"/>
      <c r="EY2" s="727"/>
      <c r="EZ2" s="727"/>
      <c r="FA2" s="727"/>
      <c r="FB2" s="727"/>
      <c r="FC2" s="727"/>
      <c r="FD2" s="727"/>
      <c r="FE2" s="727"/>
      <c r="FF2" s="727"/>
      <c r="FG2" s="727"/>
      <c r="FH2" s="727"/>
      <c r="FI2" s="727"/>
      <c r="FJ2" s="727"/>
      <c r="FK2" s="727"/>
      <c r="FL2" s="727"/>
      <c r="FM2" s="727"/>
      <c r="FN2" s="727"/>
      <c r="FO2" s="727"/>
      <c r="FP2" s="727"/>
      <c r="FQ2" s="727"/>
      <c r="FR2" s="727"/>
      <c r="FS2" s="727"/>
      <c r="FT2" s="727"/>
      <c r="FU2" s="727"/>
      <c r="FV2" s="727"/>
      <c r="FW2" s="727"/>
      <c r="FX2" s="727"/>
      <c r="FY2" s="727"/>
      <c r="FZ2" s="727"/>
      <c r="GA2" s="727"/>
      <c r="GB2" s="727"/>
      <c r="GC2" s="727"/>
      <c r="GD2" s="727"/>
      <c r="GE2" s="727"/>
      <c r="GF2" s="727"/>
      <c r="GG2" s="727"/>
      <c r="GH2" s="727"/>
      <c r="GI2" s="727"/>
      <c r="GJ2" s="727"/>
      <c r="GK2" s="727"/>
      <c r="GL2" s="727"/>
      <c r="GM2" s="727"/>
      <c r="GN2" s="727"/>
      <c r="GO2" s="727"/>
      <c r="GP2" s="727"/>
      <c r="GQ2" s="727"/>
      <c r="GR2" s="727"/>
      <c r="GS2" s="727"/>
      <c r="GT2" s="727"/>
    </row>
    <row r="3" spans="2:212" s="169" customFormat="1" ht="20">
      <c r="B3" s="31" t="str">
        <f>i_Project.Name</f>
        <v>Peoria Lakes</v>
      </c>
      <c r="C3" s="32"/>
      <c r="D3" s="32"/>
      <c r="E3" s="732"/>
      <c r="H3" s="739"/>
    </row>
    <row r="4" spans="2:212" s="170" customFormat="1" ht="14">
      <c r="B4" s="32" t="str">
        <f>i_Project.Location</f>
        <v>Peoria Lakes</v>
      </c>
      <c r="C4" s="33"/>
      <c r="D4" s="33"/>
      <c r="E4" s="733"/>
      <c r="G4" s="171"/>
      <c r="H4" s="740"/>
      <c r="L4" s="171"/>
      <c r="M4" s="171"/>
    </row>
    <row r="5" spans="2:212" s="170" customFormat="1" ht="14" customHeight="1">
      <c r="B5" s="33"/>
      <c r="C5" s="33"/>
      <c r="D5" s="33"/>
      <c r="E5" s="733"/>
      <c r="G5" s="171"/>
      <c r="H5" s="740"/>
      <c r="L5" s="171"/>
      <c r="M5" s="171"/>
    </row>
    <row r="6" spans="2:212" ht="15" thickBot="1">
      <c r="B6" s="730"/>
      <c r="F6" s="716"/>
    </row>
    <row r="7" spans="2:212" ht="32.25" customHeight="1" thickTop="1" thickBot="1">
      <c r="B7" s="730"/>
      <c r="C7" s="750" t="s">
        <v>394</v>
      </c>
      <c r="D7" s="754"/>
      <c r="E7" s="751"/>
      <c r="F7" s="960"/>
      <c r="G7" s="752"/>
      <c r="H7" s="753"/>
      <c r="I7" s="1751">
        <f>YEAR(i_Date.Start)</f>
        <v>2024</v>
      </c>
      <c r="J7" s="1751"/>
      <c r="K7" s="1751"/>
      <c r="L7" s="1751"/>
      <c r="M7" s="1751"/>
      <c r="N7" s="1751"/>
      <c r="O7" s="1751"/>
      <c r="P7" s="1751"/>
      <c r="Q7" s="1751"/>
      <c r="R7" s="1751"/>
      <c r="S7" s="1751"/>
      <c r="T7" s="1751"/>
      <c r="U7" s="1751">
        <f>YEAR(U1)</f>
        <v>2025</v>
      </c>
      <c r="V7" s="1751"/>
      <c r="W7" s="1751"/>
      <c r="X7" s="1751"/>
      <c r="Y7" s="1751"/>
      <c r="Z7" s="1751"/>
      <c r="AA7" s="1751"/>
      <c r="AB7" s="1751"/>
      <c r="AC7" s="1751"/>
      <c r="AD7" s="1751"/>
      <c r="AE7" s="1751"/>
      <c r="AF7" s="1751"/>
      <c r="AG7" s="1751">
        <f>YEAR(AG1)</f>
        <v>2026</v>
      </c>
      <c r="AH7" s="1751"/>
      <c r="AI7" s="1751"/>
      <c r="AJ7" s="1751"/>
      <c r="AK7" s="1751"/>
      <c r="AL7" s="1751"/>
      <c r="AM7" s="1751"/>
      <c r="AN7" s="1751"/>
      <c r="AO7" s="1751"/>
      <c r="AP7" s="1751"/>
      <c r="AQ7" s="1751"/>
      <c r="AR7" s="1751"/>
      <c r="AS7" s="1751">
        <f>YEAR(AS1)</f>
        <v>2027</v>
      </c>
      <c r="AT7" s="1751"/>
      <c r="AU7" s="1751"/>
      <c r="AV7" s="1751"/>
      <c r="AW7" s="1751"/>
      <c r="AX7" s="1751"/>
      <c r="AY7" s="1751"/>
      <c r="AZ7" s="1751"/>
      <c r="BA7" s="1751"/>
      <c r="BB7" s="1751"/>
      <c r="BC7" s="1751"/>
      <c r="BD7" s="1751"/>
      <c r="BE7" s="1751">
        <f>YEAR(BE1)</f>
        <v>2028</v>
      </c>
      <c r="BF7" s="1751"/>
      <c r="BG7" s="1751"/>
      <c r="BH7" s="1751"/>
      <c r="BI7" s="1751"/>
      <c r="BJ7" s="1751"/>
      <c r="BK7" s="1751"/>
      <c r="BL7" s="1751"/>
      <c r="BM7" s="1751"/>
      <c r="BN7" s="1751"/>
      <c r="BO7" s="1751"/>
      <c r="BP7" s="1751"/>
      <c r="BQ7" s="1751">
        <f>YEAR(BQ1)</f>
        <v>2029</v>
      </c>
      <c r="BR7" s="1751"/>
      <c r="BS7" s="1751"/>
      <c r="BT7" s="1751"/>
      <c r="BU7" s="1751"/>
      <c r="BV7" s="1751"/>
      <c r="BW7" s="1751"/>
      <c r="BX7" s="1751"/>
      <c r="BY7" s="1751"/>
      <c r="BZ7" s="1751"/>
      <c r="CA7" s="1751"/>
      <c r="CB7" s="1751"/>
      <c r="CC7" s="1751">
        <f>YEAR(CC1)</f>
        <v>2030</v>
      </c>
      <c r="CD7" s="1751"/>
      <c r="CE7" s="1751"/>
      <c r="CF7" s="1751"/>
      <c r="CG7" s="1751"/>
      <c r="CH7" s="1751"/>
      <c r="CI7" s="1751"/>
      <c r="CJ7" s="1751"/>
      <c r="CK7" s="1751"/>
      <c r="CL7" s="1751"/>
      <c r="CM7" s="1751"/>
      <c r="CN7" s="1751"/>
      <c r="CO7" s="1751">
        <f>YEAR(CO1)</f>
        <v>2031</v>
      </c>
      <c r="CP7" s="1751"/>
      <c r="CQ7" s="1751"/>
      <c r="CR7" s="1751"/>
      <c r="CS7" s="1751"/>
      <c r="CT7" s="1751"/>
      <c r="CU7" s="1751"/>
      <c r="CV7" s="1751"/>
      <c r="CW7" s="1751"/>
      <c r="CX7" s="1751"/>
      <c r="CY7" s="1751"/>
      <c r="CZ7" s="1751"/>
      <c r="DA7" s="1751">
        <f>YEAR(DA1)</f>
        <v>1900</v>
      </c>
      <c r="DB7" s="1751"/>
      <c r="DC7" s="1751"/>
      <c r="DD7" s="1751"/>
      <c r="DE7" s="1751"/>
      <c r="DF7" s="1751"/>
      <c r="DG7" s="1751"/>
      <c r="DH7" s="1751"/>
      <c r="DI7" s="1751"/>
      <c r="DJ7" s="1751"/>
      <c r="DK7" s="1751"/>
      <c r="DL7" s="1751"/>
      <c r="DM7" s="1752">
        <f>YEAR(DM1)</f>
        <v>1900</v>
      </c>
      <c r="DN7" s="1753"/>
      <c r="DO7" s="1753"/>
      <c r="DP7" s="1753"/>
      <c r="DQ7" s="1753"/>
      <c r="DR7" s="1753"/>
      <c r="DS7" s="1753"/>
      <c r="DT7" s="1753"/>
      <c r="DU7" s="1753"/>
      <c r="DV7" s="1753"/>
      <c r="DW7" s="1753"/>
      <c r="DX7" s="1754"/>
      <c r="DY7" s="1751">
        <f>YEAR(DY1)</f>
        <v>1900</v>
      </c>
      <c r="DZ7" s="1751"/>
      <c r="EA7" s="1751"/>
      <c r="EB7" s="1751"/>
      <c r="EC7" s="1751"/>
      <c r="ED7" s="1751"/>
      <c r="EE7" s="1751"/>
      <c r="EF7" s="1751"/>
      <c r="EG7" s="1751"/>
      <c r="EH7" s="1751"/>
      <c r="EI7" s="1751"/>
      <c r="EJ7" s="1751"/>
      <c r="EK7" s="1751">
        <f>YEAR(EK1)</f>
        <v>1900</v>
      </c>
      <c r="EL7" s="1751"/>
      <c r="EM7" s="1751"/>
      <c r="EN7" s="1751"/>
      <c r="EO7" s="1751"/>
      <c r="EP7" s="1751"/>
      <c r="EQ7" s="1751"/>
      <c r="ER7" s="1751"/>
      <c r="ES7" s="1751"/>
      <c r="ET7" s="1751"/>
      <c r="EU7" s="1751"/>
      <c r="EV7" s="1751"/>
      <c r="EW7" s="1751">
        <f>YEAR(EW1)</f>
        <v>1900</v>
      </c>
      <c r="EX7" s="1751"/>
      <c r="EY7" s="1751"/>
      <c r="EZ7" s="1751"/>
      <c r="FA7" s="1751"/>
      <c r="FB7" s="1751"/>
      <c r="FC7" s="1751"/>
      <c r="FD7" s="1751"/>
      <c r="FE7" s="1751"/>
      <c r="FF7" s="1751"/>
      <c r="FG7" s="1751"/>
      <c r="FH7" s="1751"/>
      <c r="FI7" s="1751">
        <f>YEAR(FI1)</f>
        <v>1900</v>
      </c>
      <c r="FJ7" s="1751"/>
      <c r="FK7" s="1751"/>
      <c r="FL7" s="1751"/>
      <c r="FM7" s="1751"/>
      <c r="FN7" s="1751"/>
      <c r="FO7" s="1751"/>
      <c r="FP7" s="1751"/>
      <c r="FQ7" s="1751"/>
      <c r="FR7" s="1751"/>
      <c r="FS7" s="1751"/>
      <c r="FT7" s="1751"/>
      <c r="FU7" s="1751">
        <f>YEAR(FU1)</f>
        <v>1900</v>
      </c>
      <c r="FV7" s="1751"/>
      <c r="FW7" s="1751"/>
      <c r="FX7" s="1751"/>
      <c r="FY7" s="1751"/>
      <c r="FZ7" s="1751"/>
      <c r="GA7" s="1751"/>
      <c r="GB7" s="1751"/>
      <c r="GC7" s="1751"/>
      <c r="GD7" s="1751"/>
      <c r="GE7" s="1751"/>
      <c r="GF7" s="1751"/>
      <c r="GG7" s="1751">
        <f>YEAR(GG1)</f>
        <v>1900</v>
      </c>
      <c r="GH7" s="1751"/>
      <c r="GI7" s="1751"/>
      <c r="GJ7" s="1751"/>
      <c r="GK7" s="1751"/>
      <c r="GL7" s="1751"/>
      <c r="GM7" s="1751"/>
      <c r="GN7" s="1751"/>
      <c r="GO7" s="1751"/>
      <c r="GP7" s="1751"/>
      <c r="GQ7" s="1751"/>
      <c r="GR7" s="1751"/>
      <c r="GS7" s="1751">
        <f>YEAR(GS1)</f>
        <v>1900</v>
      </c>
      <c r="GT7" s="1751"/>
      <c r="GU7" s="1751"/>
      <c r="GV7" s="1751"/>
      <c r="GW7" s="1751"/>
      <c r="GX7" s="1751"/>
      <c r="GY7" s="1751"/>
      <c r="GZ7" s="1751"/>
      <c r="HA7" s="1751"/>
      <c r="HB7" s="1751"/>
      <c r="HC7" s="1751"/>
      <c r="HD7" s="1751"/>
    </row>
    <row r="8" spans="2:212" ht="33" customHeight="1" thickTop="1" thickBot="1">
      <c r="B8" s="730"/>
      <c r="C8" s="747" t="s">
        <v>240</v>
      </c>
      <c r="D8" s="747" t="s">
        <v>237</v>
      </c>
      <c r="E8" s="748" t="s">
        <v>413</v>
      </c>
      <c r="F8" s="749" t="s">
        <v>235</v>
      </c>
      <c r="G8" s="749" t="s">
        <v>412</v>
      </c>
      <c r="H8" s="962" t="s">
        <v>506</v>
      </c>
      <c r="I8" s="718" t="str">
        <f t="shared" ref="I8:BT8" si="0">LEFT(TEXT(I1,"Mmm"),1)</f>
        <v>J</v>
      </c>
      <c r="J8" s="718" t="str">
        <f t="shared" si="0"/>
        <v>F</v>
      </c>
      <c r="K8" s="718" t="str">
        <f t="shared" si="0"/>
        <v>M</v>
      </c>
      <c r="L8" s="718" t="str">
        <f t="shared" si="0"/>
        <v>A</v>
      </c>
      <c r="M8" s="718" t="str">
        <f t="shared" si="0"/>
        <v>M</v>
      </c>
      <c r="N8" s="718" t="str">
        <f t="shared" si="0"/>
        <v>J</v>
      </c>
      <c r="O8" s="718" t="str">
        <f t="shared" si="0"/>
        <v>J</v>
      </c>
      <c r="P8" s="718" t="str">
        <f t="shared" si="0"/>
        <v>A</v>
      </c>
      <c r="Q8" s="718" t="str">
        <f t="shared" si="0"/>
        <v>S</v>
      </c>
      <c r="R8" s="718" t="str">
        <f t="shared" si="0"/>
        <v>O</v>
      </c>
      <c r="S8" s="718" t="str">
        <f t="shared" si="0"/>
        <v>N</v>
      </c>
      <c r="T8" s="718" t="str">
        <f t="shared" si="0"/>
        <v>D</v>
      </c>
      <c r="U8" s="718" t="str">
        <f t="shared" si="0"/>
        <v>J</v>
      </c>
      <c r="V8" s="718" t="str">
        <f t="shared" si="0"/>
        <v>F</v>
      </c>
      <c r="W8" s="718" t="str">
        <f t="shared" si="0"/>
        <v>M</v>
      </c>
      <c r="X8" s="718" t="str">
        <f t="shared" si="0"/>
        <v>A</v>
      </c>
      <c r="Y8" s="718" t="str">
        <f t="shared" si="0"/>
        <v>M</v>
      </c>
      <c r="Z8" s="718" t="str">
        <f t="shared" si="0"/>
        <v>J</v>
      </c>
      <c r="AA8" s="718" t="str">
        <f t="shared" si="0"/>
        <v>J</v>
      </c>
      <c r="AB8" s="718" t="str">
        <f t="shared" si="0"/>
        <v>A</v>
      </c>
      <c r="AC8" s="718" t="str">
        <f t="shared" si="0"/>
        <v>S</v>
      </c>
      <c r="AD8" s="718" t="str">
        <f t="shared" si="0"/>
        <v>O</v>
      </c>
      <c r="AE8" s="718" t="str">
        <f t="shared" si="0"/>
        <v>N</v>
      </c>
      <c r="AF8" s="718" t="str">
        <f t="shared" si="0"/>
        <v>D</v>
      </c>
      <c r="AG8" s="718" t="str">
        <f t="shared" si="0"/>
        <v>J</v>
      </c>
      <c r="AH8" s="718" t="str">
        <f t="shared" si="0"/>
        <v>F</v>
      </c>
      <c r="AI8" s="718" t="str">
        <f t="shared" si="0"/>
        <v>M</v>
      </c>
      <c r="AJ8" s="718" t="str">
        <f t="shared" si="0"/>
        <v>A</v>
      </c>
      <c r="AK8" s="718" t="str">
        <f t="shared" si="0"/>
        <v>M</v>
      </c>
      <c r="AL8" s="718" t="str">
        <f t="shared" si="0"/>
        <v>J</v>
      </c>
      <c r="AM8" s="718" t="str">
        <f t="shared" si="0"/>
        <v>J</v>
      </c>
      <c r="AN8" s="718" t="str">
        <f t="shared" si="0"/>
        <v>A</v>
      </c>
      <c r="AO8" s="718" t="str">
        <f t="shared" si="0"/>
        <v>S</v>
      </c>
      <c r="AP8" s="718" t="str">
        <f t="shared" si="0"/>
        <v>O</v>
      </c>
      <c r="AQ8" s="718" t="str">
        <f t="shared" si="0"/>
        <v>N</v>
      </c>
      <c r="AR8" s="718" t="str">
        <f t="shared" si="0"/>
        <v>D</v>
      </c>
      <c r="AS8" s="718" t="str">
        <f t="shared" si="0"/>
        <v>J</v>
      </c>
      <c r="AT8" s="718" t="str">
        <f t="shared" si="0"/>
        <v>F</v>
      </c>
      <c r="AU8" s="718" t="str">
        <f t="shared" si="0"/>
        <v>M</v>
      </c>
      <c r="AV8" s="718" t="str">
        <f t="shared" si="0"/>
        <v>A</v>
      </c>
      <c r="AW8" s="718" t="str">
        <f t="shared" si="0"/>
        <v>M</v>
      </c>
      <c r="AX8" s="718" t="str">
        <f t="shared" si="0"/>
        <v>J</v>
      </c>
      <c r="AY8" s="718" t="str">
        <f t="shared" si="0"/>
        <v>J</v>
      </c>
      <c r="AZ8" s="718" t="str">
        <f t="shared" si="0"/>
        <v>A</v>
      </c>
      <c r="BA8" s="718" t="str">
        <f t="shared" si="0"/>
        <v>S</v>
      </c>
      <c r="BB8" s="718" t="str">
        <f t="shared" si="0"/>
        <v>O</v>
      </c>
      <c r="BC8" s="718" t="str">
        <f t="shared" si="0"/>
        <v>N</v>
      </c>
      <c r="BD8" s="718" t="str">
        <f t="shared" si="0"/>
        <v>D</v>
      </c>
      <c r="BE8" s="718" t="str">
        <f t="shared" si="0"/>
        <v>J</v>
      </c>
      <c r="BF8" s="718" t="str">
        <f t="shared" si="0"/>
        <v>F</v>
      </c>
      <c r="BG8" s="718" t="str">
        <f t="shared" si="0"/>
        <v>M</v>
      </c>
      <c r="BH8" s="718" t="str">
        <f t="shared" si="0"/>
        <v>A</v>
      </c>
      <c r="BI8" s="718" t="str">
        <f t="shared" si="0"/>
        <v>M</v>
      </c>
      <c r="BJ8" s="718" t="str">
        <f t="shared" si="0"/>
        <v>J</v>
      </c>
      <c r="BK8" s="718" t="str">
        <f t="shared" si="0"/>
        <v>J</v>
      </c>
      <c r="BL8" s="718" t="str">
        <f t="shared" si="0"/>
        <v>A</v>
      </c>
      <c r="BM8" s="718" t="str">
        <f t="shared" si="0"/>
        <v>S</v>
      </c>
      <c r="BN8" s="718" t="str">
        <f t="shared" si="0"/>
        <v>O</v>
      </c>
      <c r="BO8" s="718" t="str">
        <f t="shared" si="0"/>
        <v>N</v>
      </c>
      <c r="BP8" s="718" t="str">
        <f t="shared" si="0"/>
        <v>D</v>
      </c>
      <c r="BQ8" s="718" t="str">
        <f t="shared" si="0"/>
        <v>J</v>
      </c>
      <c r="BR8" s="718" t="str">
        <f t="shared" si="0"/>
        <v>F</v>
      </c>
      <c r="BS8" s="718" t="str">
        <f t="shared" si="0"/>
        <v>M</v>
      </c>
      <c r="BT8" s="718" t="str">
        <f t="shared" si="0"/>
        <v>A</v>
      </c>
      <c r="BU8" s="718" t="str">
        <f t="shared" ref="BU8:EF8" si="1">LEFT(TEXT(BU1,"Mmm"),1)</f>
        <v>M</v>
      </c>
      <c r="BV8" s="718" t="str">
        <f t="shared" si="1"/>
        <v>J</v>
      </c>
      <c r="BW8" s="718" t="str">
        <f t="shared" si="1"/>
        <v>J</v>
      </c>
      <c r="BX8" s="718" t="str">
        <f t="shared" si="1"/>
        <v>A</v>
      </c>
      <c r="BY8" s="718" t="str">
        <f t="shared" si="1"/>
        <v>S</v>
      </c>
      <c r="BZ8" s="718" t="str">
        <f t="shared" si="1"/>
        <v>O</v>
      </c>
      <c r="CA8" s="718" t="str">
        <f t="shared" si="1"/>
        <v>N</v>
      </c>
      <c r="CB8" s="718" t="str">
        <f t="shared" si="1"/>
        <v>D</v>
      </c>
      <c r="CC8" s="718" t="str">
        <f t="shared" si="1"/>
        <v>J</v>
      </c>
      <c r="CD8" s="718" t="str">
        <f t="shared" si="1"/>
        <v>F</v>
      </c>
      <c r="CE8" s="718" t="str">
        <f t="shared" si="1"/>
        <v>M</v>
      </c>
      <c r="CF8" s="718" t="str">
        <f t="shared" si="1"/>
        <v>A</v>
      </c>
      <c r="CG8" s="718" t="str">
        <f t="shared" si="1"/>
        <v>M</v>
      </c>
      <c r="CH8" s="718" t="str">
        <f t="shared" si="1"/>
        <v>J</v>
      </c>
      <c r="CI8" s="718" t="str">
        <f t="shared" si="1"/>
        <v>J</v>
      </c>
      <c r="CJ8" s="718" t="str">
        <f t="shared" si="1"/>
        <v>A</v>
      </c>
      <c r="CK8" s="718" t="str">
        <f t="shared" si="1"/>
        <v>S</v>
      </c>
      <c r="CL8" s="718" t="str">
        <f t="shared" si="1"/>
        <v>O</v>
      </c>
      <c r="CM8" s="718" t="str">
        <f t="shared" si="1"/>
        <v>N</v>
      </c>
      <c r="CN8" s="718" t="str">
        <f t="shared" si="1"/>
        <v>D</v>
      </c>
      <c r="CO8" s="718" t="str">
        <f t="shared" si="1"/>
        <v>J</v>
      </c>
      <c r="CP8" s="718" t="str">
        <f t="shared" si="1"/>
        <v>F</v>
      </c>
      <c r="CQ8" s="718" t="str">
        <f t="shared" si="1"/>
        <v>M</v>
      </c>
      <c r="CR8" s="718" t="str">
        <f t="shared" si="1"/>
        <v>A</v>
      </c>
      <c r="CS8" s="718" t="str">
        <f t="shared" si="1"/>
        <v>M</v>
      </c>
      <c r="CT8" s="718" t="str">
        <f t="shared" si="1"/>
        <v>J</v>
      </c>
      <c r="CU8" s="718" t="str">
        <f t="shared" si="1"/>
        <v>J</v>
      </c>
      <c r="CV8" s="718" t="str">
        <f t="shared" si="1"/>
        <v>A</v>
      </c>
      <c r="CW8" s="718" t="str">
        <f t="shared" si="1"/>
        <v>S</v>
      </c>
      <c r="CX8" s="718" t="str">
        <f t="shared" si="1"/>
        <v>O</v>
      </c>
      <c r="CY8" s="718" t="str">
        <f t="shared" si="1"/>
        <v>N</v>
      </c>
      <c r="CZ8" s="718" t="str">
        <f t="shared" si="1"/>
        <v>D</v>
      </c>
      <c r="DA8" s="718" t="str">
        <f t="shared" si="1"/>
        <v>J</v>
      </c>
      <c r="DB8" s="718" t="str">
        <f t="shared" si="1"/>
        <v>J</v>
      </c>
      <c r="DC8" s="718" t="str">
        <f t="shared" si="1"/>
        <v>J</v>
      </c>
      <c r="DD8" s="718" t="str">
        <f t="shared" si="1"/>
        <v>J</v>
      </c>
      <c r="DE8" s="718" t="str">
        <f t="shared" si="1"/>
        <v>J</v>
      </c>
      <c r="DF8" s="718" t="str">
        <f t="shared" si="1"/>
        <v>J</v>
      </c>
      <c r="DG8" s="718" t="str">
        <f t="shared" si="1"/>
        <v>J</v>
      </c>
      <c r="DH8" s="718" t="str">
        <f t="shared" si="1"/>
        <v>J</v>
      </c>
      <c r="DI8" s="718" t="str">
        <f t="shared" si="1"/>
        <v>J</v>
      </c>
      <c r="DJ8" s="718" t="str">
        <f t="shared" si="1"/>
        <v>J</v>
      </c>
      <c r="DK8" s="718" t="str">
        <f t="shared" si="1"/>
        <v>J</v>
      </c>
      <c r="DL8" s="718" t="str">
        <f t="shared" si="1"/>
        <v>J</v>
      </c>
      <c r="DM8" s="718" t="str">
        <f t="shared" si="1"/>
        <v>J</v>
      </c>
      <c r="DN8" s="718" t="str">
        <f t="shared" si="1"/>
        <v>J</v>
      </c>
      <c r="DO8" s="718" t="str">
        <f t="shared" si="1"/>
        <v>J</v>
      </c>
      <c r="DP8" s="718" t="str">
        <f t="shared" si="1"/>
        <v>J</v>
      </c>
      <c r="DQ8" s="718" t="str">
        <f t="shared" si="1"/>
        <v>J</v>
      </c>
      <c r="DR8" s="718" t="str">
        <f t="shared" si="1"/>
        <v>J</v>
      </c>
      <c r="DS8" s="718" t="str">
        <f t="shared" si="1"/>
        <v>J</v>
      </c>
      <c r="DT8" s="718" t="str">
        <f t="shared" si="1"/>
        <v>J</v>
      </c>
      <c r="DU8" s="718" t="str">
        <f t="shared" si="1"/>
        <v>J</v>
      </c>
      <c r="DV8" s="718" t="str">
        <f t="shared" si="1"/>
        <v>J</v>
      </c>
      <c r="DW8" s="718" t="str">
        <f t="shared" si="1"/>
        <v>J</v>
      </c>
      <c r="DX8" s="718" t="str">
        <f t="shared" si="1"/>
        <v>J</v>
      </c>
      <c r="DY8" s="718" t="str">
        <f t="shared" si="1"/>
        <v>J</v>
      </c>
      <c r="DZ8" s="718" t="str">
        <f t="shared" si="1"/>
        <v>J</v>
      </c>
      <c r="EA8" s="718" t="str">
        <f t="shared" si="1"/>
        <v>J</v>
      </c>
      <c r="EB8" s="718" t="str">
        <f t="shared" si="1"/>
        <v>J</v>
      </c>
      <c r="EC8" s="718" t="str">
        <f t="shared" si="1"/>
        <v>J</v>
      </c>
      <c r="ED8" s="718" t="str">
        <f t="shared" si="1"/>
        <v>J</v>
      </c>
      <c r="EE8" s="718" t="str">
        <f t="shared" si="1"/>
        <v>J</v>
      </c>
      <c r="EF8" s="718" t="str">
        <f t="shared" si="1"/>
        <v>J</v>
      </c>
      <c r="EG8" s="718" t="str">
        <f t="shared" ref="EG8:GR8" si="2">LEFT(TEXT(EG1,"Mmm"),1)</f>
        <v>J</v>
      </c>
      <c r="EH8" s="718" t="str">
        <f t="shared" si="2"/>
        <v>J</v>
      </c>
      <c r="EI8" s="718" t="str">
        <f t="shared" si="2"/>
        <v>J</v>
      </c>
      <c r="EJ8" s="718" t="str">
        <f t="shared" si="2"/>
        <v>J</v>
      </c>
      <c r="EK8" s="718" t="str">
        <f t="shared" si="2"/>
        <v>J</v>
      </c>
      <c r="EL8" s="718" t="str">
        <f t="shared" si="2"/>
        <v>J</v>
      </c>
      <c r="EM8" s="718" t="str">
        <f t="shared" si="2"/>
        <v>J</v>
      </c>
      <c r="EN8" s="718" t="str">
        <f t="shared" si="2"/>
        <v>J</v>
      </c>
      <c r="EO8" s="718" t="str">
        <f t="shared" si="2"/>
        <v>J</v>
      </c>
      <c r="EP8" s="718" t="str">
        <f t="shared" si="2"/>
        <v>J</v>
      </c>
      <c r="EQ8" s="718" t="str">
        <f t="shared" si="2"/>
        <v>J</v>
      </c>
      <c r="ER8" s="718" t="str">
        <f t="shared" si="2"/>
        <v>J</v>
      </c>
      <c r="ES8" s="718" t="str">
        <f t="shared" si="2"/>
        <v>J</v>
      </c>
      <c r="ET8" s="718" t="str">
        <f t="shared" si="2"/>
        <v>J</v>
      </c>
      <c r="EU8" s="718" t="str">
        <f t="shared" si="2"/>
        <v>J</v>
      </c>
      <c r="EV8" s="718" t="str">
        <f t="shared" si="2"/>
        <v>J</v>
      </c>
      <c r="EW8" s="718" t="str">
        <f t="shared" si="2"/>
        <v>J</v>
      </c>
      <c r="EX8" s="718" t="str">
        <f t="shared" si="2"/>
        <v>J</v>
      </c>
      <c r="EY8" s="718" t="str">
        <f t="shared" si="2"/>
        <v>J</v>
      </c>
      <c r="EZ8" s="718" t="str">
        <f t="shared" si="2"/>
        <v>J</v>
      </c>
      <c r="FA8" s="718" t="str">
        <f t="shared" si="2"/>
        <v>J</v>
      </c>
      <c r="FB8" s="718" t="str">
        <f t="shared" si="2"/>
        <v>J</v>
      </c>
      <c r="FC8" s="718" t="str">
        <f t="shared" si="2"/>
        <v>J</v>
      </c>
      <c r="FD8" s="718" t="str">
        <f t="shared" si="2"/>
        <v>J</v>
      </c>
      <c r="FE8" s="718" t="str">
        <f t="shared" si="2"/>
        <v>J</v>
      </c>
      <c r="FF8" s="718" t="str">
        <f t="shared" si="2"/>
        <v>J</v>
      </c>
      <c r="FG8" s="718" t="str">
        <f t="shared" si="2"/>
        <v>J</v>
      </c>
      <c r="FH8" s="718" t="str">
        <f t="shared" si="2"/>
        <v>J</v>
      </c>
      <c r="FI8" s="718" t="str">
        <f t="shared" si="2"/>
        <v>J</v>
      </c>
      <c r="FJ8" s="718" t="str">
        <f t="shared" si="2"/>
        <v>J</v>
      </c>
      <c r="FK8" s="718" t="str">
        <f t="shared" si="2"/>
        <v>J</v>
      </c>
      <c r="FL8" s="718" t="str">
        <f t="shared" si="2"/>
        <v>J</v>
      </c>
      <c r="FM8" s="718" t="str">
        <f t="shared" si="2"/>
        <v>J</v>
      </c>
      <c r="FN8" s="718" t="str">
        <f t="shared" si="2"/>
        <v>J</v>
      </c>
      <c r="FO8" s="718" t="str">
        <f t="shared" si="2"/>
        <v>J</v>
      </c>
      <c r="FP8" s="718" t="str">
        <f t="shared" si="2"/>
        <v>J</v>
      </c>
      <c r="FQ8" s="718" t="str">
        <f t="shared" si="2"/>
        <v>J</v>
      </c>
      <c r="FR8" s="718" t="str">
        <f t="shared" si="2"/>
        <v>J</v>
      </c>
      <c r="FS8" s="718" t="str">
        <f t="shared" si="2"/>
        <v>J</v>
      </c>
      <c r="FT8" s="718" t="str">
        <f t="shared" si="2"/>
        <v>J</v>
      </c>
      <c r="FU8" s="718" t="str">
        <f t="shared" si="2"/>
        <v>J</v>
      </c>
      <c r="FV8" s="718" t="str">
        <f t="shared" si="2"/>
        <v>J</v>
      </c>
      <c r="FW8" s="718" t="str">
        <f t="shared" si="2"/>
        <v>J</v>
      </c>
      <c r="FX8" s="718" t="str">
        <f t="shared" si="2"/>
        <v>J</v>
      </c>
      <c r="FY8" s="718" t="str">
        <f t="shared" si="2"/>
        <v>J</v>
      </c>
      <c r="FZ8" s="718" t="str">
        <f t="shared" si="2"/>
        <v>J</v>
      </c>
      <c r="GA8" s="718" t="str">
        <f t="shared" si="2"/>
        <v>J</v>
      </c>
      <c r="GB8" s="718" t="str">
        <f t="shared" si="2"/>
        <v>J</v>
      </c>
      <c r="GC8" s="718" t="str">
        <f t="shared" si="2"/>
        <v>J</v>
      </c>
      <c r="GD8" s="718" t="str">
        <f t="shared" si="2"/>
        <v>J</v>
      </c>
      <c r="GE8" s="718" t="str">
        <f t="shared" si="2"/>
        <v>J</v>
      </c>
      <c r="GF8" s="718" t="str">
        <f t="shared" si="2"/>
        <v>J</v>
      </c>
      <c r="GG8" s="718" t="str">
        <f t="shared" si="2"/>
        <v>J</v>
      </c>
      <c r="GH8" s="718" t="str">
        <f t="shared" si="2"/>
        <v>J</v>
      </c>
      <c r="GI8" s="718" t="str">
        <f t="shared" si="2"/>
        <v>J</v>
      </c>
      <c r="GJ8" s="718" t="str">
        <f t="shared" si="2"/>
        <v>J</v>
      </c>
      <c r="GK8" s="718" t="str">
        <f t="shared" si="2"/>
        <v>J</v>
      </c>
      <c r="GL8" s="718" t="str">
        <f t="shared" si="2"/>
        <v>J</v>
      </c>
      <c r="GM8" s="718" t="str">
        <f t="shared" si="2"/>
        <v>J</v>
      </c>
      <c r="GN8" s="718" t="str">
        <f t="shared" si="2"/>
        <v>J</v>
      </c>
      <c r="GO8" s="718" t="str">
        <f t="shared" si="2"/>
        <v>J</v>
      </c>
      <c r="GP8" s="718" t="str">
        <f t="shared" si="2"/>
        <v>J</v>
      </c>
      <c r="GQ8" s="718" t="str">
        <f t="shared" si="2"/>
        <v>J</v>
      </c>
      <c r="GR8" s="718" t="str">
        <f t="shared" si="2"/>
        <v>J</v>
      </c>
      <c r="GS8" s="718" t="str">
        <f t="shared" ref="GS8:HD8" si="3">LEFT(TEXT(GS1,"Mmm"),1)</f>
        <v>J</v>
      </c>
      <c r="GT8" s="718" t="str">
        <f t="shared" si="3"/>
        <v>J</v>
      </c>
      <c r="GU8" s="718" t="str">
        <f t="shared" si="3"/>
        <v>J</v>
      </c>
      <c r="GV8" s="718" t="str">
        <f t="shared" si="3"/>
        <v>J</v>
      </c>
      <c r="GW8" s="718" t="str">
        <f t="shared" si="3"/>
        <v>J</v>
      </c>
      <c r="GX8" s="718" t="str">
        <f t="shared" si="3"/>
        <v>J</v>
      </c>
      <c r="GY8" s="718" t="str">
        <f t="shared" si="3"/>
        <v>J</v>
      </c>
      <c r="GZ8" s="718" t="str">
        <f t="shared" si="3"/>
        <v>J</v>
      </c>
      <c r="HA8" s="718" t="str">
        <f t="shared" si="3"/>
        <v>J</v>
      </c>
      <c r="HB8" s="718" t="str">
        <f t="shared" si="3"/>
        <v>J</v>
      </c>
      <c r="HC8" s="718" t="str">
        <f t="shared" si="3"/>
        <v>J</v>
      </c>
      <c r="HD8" s="718" t="str">
        <f t="shared" si="3"/>
        <v>J</v>
      </c>
    </row>
    <row r="9" spans="2:212" s="723" customFormat="1" ht="15" thickBot="1">
      <c r="B9" s="730"/>
      <c r="C9" s="719"/>
      <c r="D9" s="719"/>
      <c r="E9" s="743"/>
      <c r="F9" s="720"/>
      <c r="G9" s="721"/>
      <c r="H9" s="742"/>
      <c r="I9" s="722"/>
      <c r="J9" s="722"/>
      <c r="K9" s="722"/>
      <c r="L9" s="722"/>
      <c r="M9" s="722"/>
      <c r="N9" s="722"/>
      <c r="O9" s="722"/>
      <c r="P9" s="722"/>
      <c r="Q9" s="722"/>
      <c r="R9" s="722"/>
      <c r="S9" s="722"/>
      <c r="T9" s="722"/>
      <c r="U9" s="722"/>
      <c r="V9" s="722"/>
      <c r="W9" s="722"/>
      <c r="X9" s="722"/>
      <c r="Y9" s="722"/>
      <c r="Z9" s="722"/>
      <c r="AA9" s="722"/>
      <c r="AB9" s="722"/>
      <c r="AC9" s="722"/>
      <c r="AD9" s="722"/>
      <c r="AE9" s="722"/>
      <c r="AF9" s="722"/>
      <c r="AG9" s="722"/>
      <c r="AH9" s="722"/>
      <c r="AI9" s="722"/>
      <c r="AJ9" s="722"/>
      <c r="AK9" s="722"/>
      <c r="AL9" s="722"/>
      <c r="AM9" s="722"/>
      <c r="AN9" s="722"/>
      <c r="AO9" s="722"/>
      <c r="AP9" s="722"/>
      <c r="AQ9" s="722"/>
      <c r="AR9" s="722"/>
      <c r="AS9" s="722"/>
      <c r="AT9" s="722"/>
      <c r="AU9" s="722"/>
      <c r="AV9" s="722"/>
      <c r="AW9" s="722"/>
      <c r="AX9" s="722"/>
      <c r="AY9" s="722"/>
      <c r="AZ9" s="722"/>
      <c r="BA9" s="722"/>
      <c r="BB9" s="722"/>
      <c r="BC9" s="722"/>
      <c r="BD9" s="722"/>
      <c r="BE9" s="722"/>
      <c r="BF9" s="722"/>
      <c r="BG9" s="722"/>
      <c r="BH9" s="722"/>
      <c r="BI9" s="722"/>
      <c r="BJ9" s="722"/>
      <c r="BK9" s="722"/>
      <c r="BL9" s="722"/>
      <c r="BM9" s="722"/>
      <c r="BN9" s="722"/>
      <c r="BO9" s="722"/>
      <c r="BP9" s="722"/>
      <c r="BQ9" s="722"/>
      <c r="BR9" s="722"/>
      <c r="BS9" s="722"/>
      <c r="BT9" s="722"/>
      <c r="BU9" s="722"/>
      <c r="BV9" s="722"/>
      <c r="BW9" s="722"/>
      <c r="BX9" s="722"/>
      <c r="BY9" s="722"/>
      <c r="BZ9" s="722"/>
      <c r="CA9" s="722"/>
      <c r="CB9" s="722"/>
      <c r="CC9" s="722"/>
      <c r="CD9" s="722"/>
      <c r="CE9" s="722"/>
      <c r="CF9" s="722"/>
      <c r="CG9" s="722"/>
      <c r="CH9" s="722"/>
      <c r="CI9" s="722"/>
      <c r="CJ9" s="722"/>
      <c r="CK9" s="722"/>
      <c r="CL9" s="722"/>
      <c r="CM9" s="722"/>
      <c r="CN9" s="722"/>
      <c r="CO9" s="722"/>
      <c r="CP9" s="722"/>
      <c r="CQ9" s="722"/>
      <c r="CR9" s="722"/>
      <c r="CS9" s="722"/>
      <c r="CT9" s="722"/>
      <c r="CU9" s="722"/>
      <c r="CV9" s="722"/>
      <c r="CW9" s="722"/>
      <c r="CX9" s="722"/>
      <c r="CY9" s="722"/>
      <c r="CZ9" s="722"/>
      <c r="DA9" s="722"/>
      <c r="DB9" s="722"/>
      <c r="DC9" s="722"/>
      <c r="DD9" s="722"/>
      <c r="DE9" s="722"/>
      <c r="DF9" s="722"/>
      <c r="DG9" s="722"/>
      <c r="DH9" s="722"/>
      <c r="DI9" s="722"/>
      <c r="DJ9" s="722"/>
      <c r="DK9" s="722"/>
      <c r="DL9" s="722"/>
      <c r="DM9" s="722"/>
      <c r="DN9" s="722"/>
      <c r="DO9" s="722"/>
      <c r="DP9" s="722"/>
      <c r="DQ9" s="722"/>
      <c r="DR9" s="722"/>
      <c r="DS9" s="722"/>
      <c r="DT9" s="722"/>
      <c r="DU9" s="722"/>
      <c r="DV9" s="722"/>
      <c r="DW9" s="722"/>
      <c r="DX9" s="722"/>
      <c r="DY9" s="722"/>
      <c r="DZ9" s="722"/>
      <c r="EA9" s="722"/>
      <c r="EB9" s="722"/>
      <c r="EC9" s="722"/>
      <c r="ED9" s="722"/>
      <c r="EE9" s="722"/>
      <c r="EF9" s="722"/>
      <c r="EG9" s="722"/>
      <c r="EH9" s="722"/>
      <c r="EI9" s="722"/>
      <c r="EJ9" s="722"/>
      <c r="EK9" s="722"/>
      <c r="EL9" s="722"/>
      <c r="EM9" s="722"/>
      <c r="EN9" s="722"/>
      <c r="EO9" s="722"/>
      <c r="EP9" s="722"/>
      <c r="EQ9" s="722"/>
      <c r="ER9" s="722"/>
      <c r="ES9" s="722"/>
      <c r="ET9" s="722"/>
      <c r="EU9" s="722"/>
      <c r="EV9" s="722"/>
      <c r="EW9" s="722"/>
      <c r="EX9" s="722"/>
      <c r="EY9" s="722"/>
      <c r="EZ9" s="722"/>
      <c r="FA9" s="722"/>
      <c r="FB9" s="722"/>
      <c r="FC9" s="722"/>
      <c r="FD9" s="722"/>
      <c r="FE9" s="722"/>
      <c r="FF9" s="722"/>
      <c r="FG9" s="722"/>
      <c r="FH9" s="722"/>
      <c r="FI9" s="722"/>
      <c r="FJ9" s="722"/>
      <c r="FK9" s="722"/>
      <c r="FL9" s="722"/>
      <c r="FM9" s="722"/>
      <c r="FN9" s="722"/>
      <c r="FO9" s="722"/>
      <c r="FP9" s="722"/>
      <c r="FQ9" s="722"/>
      <c r="FR9" s="722"/>
      <c r="FS9" s="722"/>
      <c r="FT9" s="722"/>
      <c r="FU9" s="722"/>
      <c r="FV9" s="722"/>
      <c r="FW9" s="722"/>
      <c r="FX9" s="722"/>
      <c r="FY9" s="722"/>
      <c r="FZ9" s="722"/>
      <c r="GA9" s="722"/>
      <c r="GB9" s="722"/>
      <c r="GC9" s="722"/>
      <c r="GD9" s="722"/>
      <c r="GE9" s="722"/>
      <c r="GF9" s="722"/>
      <c r="GG9" s="722"/>
      <c r="GH9" s="722"/>
      <c r="GI9" s="722"/>
      <c r="GJ9" s="722"/>
      <c r="GK9" s="722"/>
      <c r="GL9" s="722"/>
      <c r="GM9" s="722"/>
      <c r="GN9" s="722"/>
      <c r="GO9" s="722"/>
      <c r="GP9" s="722"/>
      <c r="GQ9" s="722"/>
      <c r="GR9" s="722"/>
      <c r="GS9" s="722"/>
      <c r="GT9" s="722"/>
      <c r="GU9" s="722"/>
      <c r="GV9" s="722"/>
      <c r="GW9" s="722"/>
      <c r="GX9" s="722"/>
      <c r="GY9" s="722"/>
      <c r="GZ9" s="722"/>
      <c r="HA9" s="722"/>
      <c r="HB9" s="722"/>
      <c r="HC9" s="722"/>
      <c r="HD9" s="722"/>
    </row>
    <row r="10" spans="2:212" s="723" customFormat="1" ht="21" customHeight="1" thickBot="1">
      <c r="B10" s="730"/>
      <c r="C10" s="724" cm="1">
        <f t="array" ref="C10:C17">VALUE(_xlfn.ANCHORARRAY(DATABASE!$D$16))</f>
        <v>1.1000000000000001</v>
      </c>
      <c r="D10" s="745" cm="1">
        <f t="array" aca="1" ref="D10:D17" ca="1">SUMIF(list_PhaseID,_xlfn.ANCHORARRAY(C10),tbl_Planning[Units])</f>
        <v>323</v>
      </c>
      <c r="E10" s="744" cm="1">
        <f t="array" ref="E10:E17">_xlfn.XLOOKUP(_xlfn.ANCHORARRAY($C10),VALUE(DATABASE!$D$16:$D$43),DATABASE!O16:O43)</f>
        <v>6139560.625</v>
      </c>
      <c r="F10" s="745" cm="1">
        <f t="array" ref="F10:F17">_xlfn.XLOOKUP(_xlfn.ANCHORARRAY($C10),VALUE(DATABASE!$D$16:$D$43),DATABASE!E16:E43)</f>
        <v>1</v>
      </c>
      <c r="G10" s="745" cm="1">
        <f t="array" ref="G10:G17">_xlfn.XLOOKUP(_xlfn.ANCHORARRAY($C10),VALUE(DATABASE!$D$16:$D$43),DATABASE!G16:G43)</f>
        <v>25</v>
      </c>
      <c r="H10" s="746" t="s">
        <v>416</v>
      </c>
      <c r="I10" s="722"/>
      <c r="J10" s="722"/>
      <c r="K10" s="722"/>
      <c r="L10" s="722"/>
      <c r="M10" s="722"/>
      <c r="N10" s="722"/>
      <c r="O10" s="722"/>
      <c r="P10" s="722"/>
      <c r="Q10" s="722"/>
      <c r="R10" s="722"/>
      <c r="S10" s="722"/>
      <c r="T10" s="722"/>
      <c r="U10" s="722"/>
      <c r="V10" s="722"/>
      <c r="W10" s="722"/>
      <c r="X10" s="722"/>
      <c r="Y10" s="722"/>
      <c r="Z10" s="722"/>
      <c r="AA10" s="722"/>
      <c r="AB10" s="722"/>
      <c r="AC10" s="722"/>
      <c r="AD10" s="722"/>
      <c r="AE10" s="722"/>
      <c r="AF10" s="722"/>
      <c r="AG10" s="722"/>
      <c r="AH10" s="722"/>
      <c r="AI10" s="722"/>
      <c r="AJ10" s="722"/>
      <c r="AK10" s="722"/>
      <c r="AL10" s="722"/>
      <c r="AM10" s="722"/>
      <c r="AN10" s="722"/>
      <c r="AO10" s="722"/>
      <c r="AP10" s="722"/>
      <c r="AQ10" s="722"/>
      <c r="AR10" s="722"/>
      <c r="AS10" s="722"/>
      <c r="AT10" s="722"/>
      <c r="AU10" s="722"/>
      <c r="AV10" s="722"/>
      <c r="AW10" s="722"/>
      <c r="AX10" s="722"/>
      <c r="AY10" s="722"/>
      <c r="AZ10" s="722"/>
      <c r="BA10" s="722"/>
      <c r="BB10" s="722"/>
      <c r="BC10" s="722"/>
      <c r="BD10" s="722"/>
      <c r="BE10" s="722"/>
      <c r="BF10" s="722"/>
      <c r="BG10" s="722"/>
      <c r="BH10" s="722"/>
      <c r="BI10" s="722"/>
      <c r="BJ10" s="722"/>
      <c r="BK10" s="722"/>
      <c r="BL10" s="722"/>
      <c r="BM10" s="722"/>
      <c r="BN10" s="722"/>
      <c r="BO10" s="722"/>
      <c r="BP10" s="722"/>
      <c r="BQ10" s="722"/>
      <c r="BR10" s="722"/>
      <c r="BS10" s="722"/>
      <c r="BT10" s="722"/>
      <c r="BU10" s="722"/>
      <c r="BV10" s="722"/>
      <c r="BW10" s="722"/>
      <c r="BX10" s="722"/>
      <c r="BY10" s="722"/>
      <c r="BZ10" s="722"/>
      <c r="CA10" s="722"/>
      <c r="CB10" s="722"/>
      <c r="CC10" s="722"/>
      <c r="CD10" s="722"/>
      <c r="CE10" s="722"/>
      <c r="CF10" s="722"/>
      <c r="CG10" s="722"/>
      <c r="CH10" s="722"/>
      <c r="CI10" s="722"/>
      <c r="CJ10" s="722"/>
      <c r="CK10" s="722"/>
      <c r="CL10" s="722"/>
      <c r="CM10" s="722"/>
      <c r="CN10" s="722"/>
      <c r="CO10" s="722"/>
      <c r="CP10" s="722"/>
      <c r="CQ10" s="722"/>
      <c r="CR10" s="722"/>
      <c r="CS10" s="722"/>
      <c r="CT10" s="722"/>
      <c r="CU10" s="722"/>
      <c r="CV10" s="722"/>
      <c r="CW10" s="722"/>
      <c r="CX10" s="722"/>
      <c r="CY10" s="722"/>
      <c r="CZ10" s="722"/>
      <c r="DA10" s="722"/>
      <c r="DB10" s="722"/>
      <c r="DC10" s="722"/>
      <c r="DD10" s="722"/>
      <c r="DE10" s="722"/>
      <c r="DF10" s="722"/>
      <c r="DG10" s="722"/>
      <c r="DH10" s="722"/>
      <c r="DI10" s="722"/>
      <c r="DJ10" s="722"/>
      <c r="DK10" s="722"/>
      <c r="DL10" s="722"/>
      <c r="DM10" s="722"/>
      <c r="DN10" s="722"/>
      <c r="DO10" s="722"/>
      <c r="DP10" s="722"/>
      <c r="DQ10" s="722"/>
      <c r="DR10" s="722"/>
      <c r="DS10" s="722"/>
      <c r="DT10" s="722"/>
      <c r="DU10" s="722"/>
      <c r="DV10" s="722"/>
      <c r="DW10" s="722"/>
      <c r="DX10" s="722"/>
      <c r="DY10" s="722"/>
      <c r="DZ10" s="722"/>
      <c r="EA10" s="722"/>
      <c r="EB10" s="722"/>
      <c r="EC10" s="722"/>
      <c r="ED10" s="722"/>
      <c r="EE10" s="722"/>
      <c r="EF10" s="722"/>
      <c r="EG10" s="722"/>
      <c r="EH10" s="722"/>
      <c r="EI10" s="722"/>
      <c r="EJ10" s="722"/>
      <c r="EK10" s="722"/>
      <c r="EL10" s="722"/>
      <c r="EM10" s="722"/>
      <c r="EN10" s="722"/>
      <c r="EO10" s="722"/>
      <c r="EP10" s="722"/>
      <c r="EQ10" s="722"/>
      <c r="ER10" s="722"/>
      <c r="ES10" s="722"/>
      <c r="ET10" s="722"/>
      <c r="EU10" s="722"/>
      <c r="EV10" s="722"/>
      <c r="EW10" s="722"/>
      <c r="EX10" s="722"/>
      <c r="EY10" s="722"/>
      <c r="EZ10" s="722"/>
      <c r="FA10" s="722"/>
      <c r="FB10" s="722"/>
      <c r="FC10" s="722"/>
      <c r="FD10" s="722"/>
      <c r="FE10" s="722"/>
      <c r="FF10" s="722"/>
      <c r="FG10" s="722"/>
      <c r="FH10" s="722"/>
      <c r="FI10" s="722"/>
      <c r="FJ10" s="722"/>
      <c r="FK10" s="722"/>
      <c r="FL10" s="722"/>
      <c r="FM10" s="722"/>
      <c r="FN10" s="722"/>
      <c r="FO10" s="722"/>
      <c r="FP10" s="722"/>
      <c r="FQ10" s="722"/>
      <c r="FR10" s="722"/>
      <c r="FS10" s="722"/>
      <c r="FT10" s="722"/>
      <c r="FU10" s="722"/>
      <c r="FV10" s="722"/>
      <c r="FW10" s="722"/>
      <c r="FX10" s="722"/>
      <c r="FY10" s="722"/>
      <c r="FZ10" s="722"/>
      <c r="GA10" s="722"/>
      <c r="GB10" s="722"/>
      <c r="GC10" s="722"/>
      <c r="GD10" s="722"/>
      <c r="GE10" s="722"/>
      <c r="GF10" s="722"/>
      <c r="GG10" s="722"/>
      <c r="GH10" s="722"/>
      <c r="GI10" s="722"/>
      <c r="GJ10" s="722"/>
      <c r="GK10" s="722"/>
      <c r="GL10" s="722"/>
      <c r="GM10" s="722"/>
      <c r="GN10" s="722"/>
      <c r="GO10" s="722"/>
      <c r="GP10" s="722"/>
      <c r="GQ10" s="722"/>
      <c r="GR10" s="722"/>
      <c r="GS10" s="722"/>
      <c r="GT10" s="722"/>
      <c r="GU10" s="722"/>
      <c r="GV10" s="722"/>
      <c r="GW10" s="722"/>
      <c r="GX10" s="722"/>
      <c r="GY10" s="722"/>
      <c r="GZ10" s="722"/>
      <c r="HA10" s="722"/>
      <c r="HB10" s="722"/>
      <c r="HC10" s="722"/>
      <c r="HD10" s="722"/>
    </row>
    <row r="11" spans="2:212" s="723" customFormat="1" ht="21" customHeight="1" thickBot="1">
      <c r="B11" s="730"/>
      <c r="C11" s="724">
        <v>1.2</v>
      </c>
      <c r="D11" s="745">
        <f ca="1"/>
        <v>788</v>
      </c>
      <c r="E11" s="744">
        <v>8452913.2686306704</v>
      </c>
      <c r="F11" s="745">
        <v>24</v>
      </c>
      <c r="G11" s="745">
        <v>41</v>
      </c>
      <c r="H11" s="746" t="s">
        <v>414</v>
      </c>
      <c r="I11" s="722"/>
      <c r="J11" s="722"/>
      <c r="K11" s="722"/>
      <c r="L11" s="722"/>
      <c r="M11" s="722"/>
      <c r="N11" s="722"/>
      <c r="O11" s="722"/>
      <c r="P11" s="722"/>
      <c r="Q11" s="722"/>
      <c r="R11" s="722"/>
      <c r="S11" s="722"/>
      <c r="T11" s="722"/>
      <c r="U11" s="722"/>
      <c r="V11" s="722"/>
      <c r="W11" s="722"/>
      <c r="X11" s="722"/>
      <c r="Y11" s="722"/>
      <c r="Z11" s="722"/>
      <c r="AA11" s="722"/>
      <c r="AB11" s="722"/>
      <c r="AC11" s="722"/>
      <c r="AD11" s="722"/>
      <c r="AE11" s="722"/>
      <c r="AF11" s="722"/>
      <c r="AG11" s="722"/>
      <c r="AH11" s="722"/>
      <c r="AI11" s="722"/>
      <c r="AJ11" s="722"/>
      <c r="AK11" s="722"/>
      <c r="AL11" s="722"/>
      <c r="AM11" s="722"/>
      <c r="AN11" s="722"/>
      <c r="AO11" s="722"/>
      <c r="AP11" s="722"/>
      <c r="AQ11" s="722"/>
      <c r="AR11" s="722"/>
      <c r="AS11" s="722"/>
      <c r="AT11" s="722"/>
      <c r="AU11" s="722"/>
      <c r="AV11" s="722"/>
      <c r="AW11" s="722"/>
      <c r="AX11" s="722"/>
      <c r="AY11" s="722"/>
      <c r="AZ11" s="722"/>
      <c r="BA11" s="722"/>
      <c r="BB11" s="722"/>
      <c r="BC11" s="722"/>
      <c r="BD11" s="722"/>
      <c r="BE11" s="722"/>
      <c r="BF11" s="722"/>
      <c r="BG11" s="722"/>
      <c r="BH11" s="722"/>
      <c r="BI11" s="722"/>
      <c r="BJ11" s="722"/>
      <c r="BK11" s="722"/>
      <c r="BL11" s="722"/>
      <c r="BM11" s="722"/>
      <c r="BN11" s="722"/>
      <c r="BO11" s="722"/>
      <c r="BP11" s="722"/>
      <c r="BQ11" s="722"/>
      <c r="BR11" s="722"/>
      <c r="BS11" s="722"/>
      <c r="BT11" s="722"/>
      <c r="BU11" s="722"/>
      <c r="BV11" s="722"/>
      <c r="BW11" s="722"/>
      <c r="BX11" s="722"/>
      <c r="BY11" s="722"/>
      <c r="BZ11" s="722"/>
      <c r="CA11" s="722"/>
      <c r="CB11" s="722"/>
      <c r="CC11" s="722"/>
      <c r="CD11" s="722"/>
      <c r="CE11" s="722"/>
      <c r="CF11" s="722"/>
      <c r="CG11" s="722"/>
      <c r="CH11" s="722"/>
      <c r="CI11" s="722"/>
      <c r="CJ11" s="722"/>
      <c r="CK11" s="722"/>
      <c r="CL11" s="722"/>
      <c r="CM11" s="722"/>
      <c r="CN11" s="722"/>
      <c r="CO11" s="722"/>
      <c r="CP11" s="722"/>
      <c r="CQ11" s="722"/>
      <c r="CR11" s="722"/>
      <c r="CS11" s="722"/>
      <c r="CT11" s="722"/>
      <c r="CU11" s="722"/>
      <c r="CV11" s="722"/>
      <c r="CW11" s="722"/>
      <c r="CX11" s="722"/>
      <c r="CY11" s="722"/>
      <c r="CZ11" s="722"/>
      <c r="DA11" s="722"/>
      <c r="DB11" s="722"/>
      <c r="DC11" s="722"/>
      <c r="DD11" s="722"/>
      <c r="DE11" s="722"/>
      <c r="DF11" s="722"/>
      <c r="DG11" s="722"/>
      <c r="DH11" s="722"/>
      <c r="DI11" s="722"/>
      <c r="DJ11" s="722"/>
      <c r="DK11" s="722"/>
      <c r="DL11" s="722"/>
      <c r="DM11" s="722"/>
      <c r="DN11" s="722"/>
      <c r="DO11" s="722"/>
      <c r="DP11" s="722"/>
      <c r="DQ11" s="722"/>
      <c r="DR11" s="722"/>
      <c r="DS11" s="722"/>
      <c r="DT11" s="722"/>
      <c r="DU11" s="722"/>
      <c r="DV11" s="722"/>
      <c r="DW11" s="722"/>
      <c r="DX11" s="722"/>
      <c r="DY11" s="722"/>
      <c r="DZ11" s="722"/>
      <c r="EA11" s="722"/>
      <c r="EB11" s="722"/>
      <c r="EC11" s="722"/>
      <c r="ED11" s="722"/>
      <c r="EE11" s="722"/>
      <c r="EF11" s="722"/>
      <c r="EG11" s="722"/>
      <c r="EH11" s="722"/>
      <c r="EI11" s="722"/>
      <c r="EJ11" s="722"/>
      <c r="EK11" s="722"/>
      <c r="EL11" s="722"/>
      <c r="EM11" s="722"/>
      <c r="EN11" s="722"/>
      <c r="EO11" s="722"/>
      <c r="EP11" s="722"/>
      <c r="EQ11" s="722"/>
      <c r="ER11" s="722"/>
      <c r="ES11" s="722"/>
      <c r="ET11" s="722"/>
      <c r="EU11" s="722"/>
      <c r="EV11" s="722"/>
      <c r="EW11" s="722"/>
      <c r="EX11" s="722"/>
      <c r="EY11" s="722"/>
      <c r="EZ11" s="722"/>
      <c r="FA11" s="722"/>
      <c r="FB11" s="722"/>
      <c r="FC11" s="722"/>
      <c r="FD11" s="722"/>
      <c r="FE11" s="722"/>
      <c r="FF11" s="722"/>
      <c r="FG11" s="722"/>
      <c r="FH11" s="722"/>
      <c r="FI11" s="722"/>
      <c r="FJ11" s="722"/>
      <c r="FK11" s="722"/>
      <c r="FL11" s="722"/>
      <c r="FM11" s="722"/>
      <c r="FN11" s="722"/>
      <c r="FO11" s="722"/>
      <c r="FP11" s="722"/>
      <c r="FQ11" s="722"/>
      <c r="FR11" s="722"/>
      <c r="FS11" s="722"/>
      <c r="FT11" s="722"/>
      <c r="FU11" s="722"/>
      <c r="FV11" s="722"/>
      <c r="FW11" s="722"/>
      <c r="FX11" s="722"/>
      <c r="FY11" s="722"/>
      <c r="FZ11" s="722"/>
      <c r="GA11" s="722"/>
      <c r="GB11" s="722"/>
      <c r="GC11" s="722"/>
      <c r="GD11" s="722"/>
      <c r="GE11" s="722"/>
      <c r="GF11" s="722"/>
      <c r="GG11" s="722"/>
      <c r="GH11" s="722"/>
      <c r="GI11" s="722"/>
      <c r="GJ11" s="722"/>
      <c r="GK11" s="722"/>
      <c r="GL11" s="722"/>
      <c r="GM11" s="722"/>
      <c r="GN11" s="722"/>
      <c r="GO11" s="722"/>
      <c r="GP11" s="722"/>
      <c r="GQ11" s="722"/>
      <c r="GR11" s="722"/>
      <c r="GS11" s="722"/>
      <c r="GT11" s="722"/>
      <c r="GU11" s="722"/>
      <c r="GV11" s="722"/>
      <c r="GW11" s="722"/>
      <c r="GX11" s="722"/>
      <c r="GY11" s="722"/>
      <c r="GZ11" s="722"/>
      <c r="HA11" s="722"/>
      <c r="HB11" s="722"/>
      <c r="HC11" s="722"/>
      <c r="HD11" s="722"/>
    </row>
    <row r="12" spans="2:212" s="723" customFormat="1" ht="21" customHeight="1" thickBot="1">
      <c r="B12" s="730"/>
      <c r="C12" s="724">
        <v>2.1</v>
      </c>
      <c r="D12" s="745">
        <f ca="1"/>
        <v>1570</v>
      </c>
      <c r="E12" s="744">
        <v>11621514.81582169</v>
      </c>
      <c r="F12" s="745">
        <v>24</v>
      </c>
      <c r="G12" s="745">
        <v>47</v>
      </c>
      <c r="H12" s="746" t="s">
        <v>143</v>
      </c>
      <c r="I12" s="722"/>
      <c r="J12" s="722"/>
      <c r="K12" s="722"/>
      <c r="L12" s="722"/>
      <c r="M12" s="725"/>
      <c r="N12" s="722"/>
      <c r="O12" s="722"/>
      <c r="P12" s="722"/>
      <c r="Q12" s="722"/>
      <c r="R12" s="722"/>
      <c r="S12" s="722"/>
      <c r="T12" s="722"/>
      <c r="U12" s="722"/>
      <c r="V12" s="722"/>
      <c r="W12" s="722"/>
      <c r="X12" s="722"/>
      <c r="Y12" s="722"/>
      <c r="Z12" s="722"/>
      <c r="AA12" s="722"/>
      <c r="AB12" s="722"/>
      <c r="AC12" s="722"/>
      <c r="AD12" s="722"/>
      <c r="AE12" s="722"/>
      <c r="AF12" s="722"/>
      <c r="AG12" s="722"/>
      <c r="AH12" s="722"/>
      <c r="AI12" s="722"/>
      <c r="AJ12" s="722"/>
      <c r="AK12" s="722"/>
      <c r="AL12" s="722"/>
      <c r="AM12" s="722"/>
      <c r="AN12" s="722"/>
      <c r="AO12" s="722"/>
      <c r="AP12" s="722"/>
      <c r="AQ12" s="722"/>
      <c r="AR12" s="722"/>
      <c r="AS12" s="722"/>
      <c r="AT12" s="722"/>
      <c r="AU12" s="722"/>
      <c r="AV12" s="722"/>
      <c r="AW12" s="722"/>
      <c r="AX12" s="722"/>
      <c r="AY12" s="722"/>
      <c r="AZ12" s="722"/>
      <c r="BA12" s="722"/>
      <c r="BB12" s="722"/>
      <c r="BC12" s="722"/>
      <c r="BD12" s="722"/>
      <c r="BE12" s="722"/>
      <c r="BF12" s="722"/>
      <c r="BG12" s="722"/>
      <c r="BH12" s="722"/>
      <c r="BI12" s="722"/>
      <c r="BJ12" s="722"/>
      <c r="BK12" s="722"/>
      <c r="BL12" s="722"/>
      <c r="BM12" s="722"/>
      <c r="BN12" s="722"/>
      <c r="BO12" s="722"/>
      <c r="BP12" s="722"/>
      <c r="BQ12" s="722"/>
      <c r="BR12" s="722"/>
      <c r="BS12" s="722"/>
      <c r="BT12" s="722"/>
      <c r="BU12" s="722"/>
      <c r="BV12" s="722"/>
      <c r="BW12" s="722"/>
      <c r="BX12" s="722"/>
      <c r="BY12" s="722"/>
      <c r="BZ12" s="722"/>
      <c r="CA12" s="722"/>
      <c r="CB12" s="722"/>
      <c r="CC12" s="722"/>
      <c r="CD12" s="722"/>
      <c r="CE12" s="722"/>
      <c r="CF12" s="722"/>
      <c r="CG12" s="722"/>
      <c r="CH12" s="722"/>
      <c r="CI12" s="722"/>
      <c r="CJ12" s="722"/>
      <c r="CK12" s="722"/>
      <c r="CL12" s="722"/>
      <c r="CM12" s="722"/>
      <c r="CN12" s="722"/>
      <c r="CO12" s="722"/>
      <c r="CP12" s="722"/>
      <c r="CQ12" s="722"/>
      <c r="CR12" s="722"/>
      <c r="CS12" s="722"/>
      <c r="CT12" s="722"/>
      <c r="CU12" s="722"/>
      <c r="CV12" s="722"/>
      <c r="CW12" s="722"/>
      <c r="CX12" s="722"/>
      <c r="CY12" s="722"/>
      <c r="CZ12" s="722"/>
      <c r="DA12" s="722"/>
      <c r="DB12" s="722"/>
      <c r="DC12" s="722"/>
      <c r="DD12" s="722"/>
      <c r="DE12" s="722"/>
      <c r="DF12" s="722"/>
      <c r="DG12" s="722"/>
      <c r="DH12" s="722"/>
      <c r="DI12" s="722"/>
      <c r="DJ12" s="722"/>
      <c r="DK12" s="722"/>
      <c r="DL12" s="722"/>
      <c r="DM12" s="722"/>
      <c r="DN12" s="722"/>
      <c r="DO12" s="722"/>
      <c r="DP12" s="722"/>
      <c r="DQ12" s="722"/>
      <c r="DR12" s="722"/>
      <c r="DS12" s="722"/>
      <c r="DT12" s="722"/>
      <c r="DU12" s="722"/>
      <c r="DV12" s="722"/>
      <c r="DW12" s="722"/>
      <c r="DX12" s="722"/>
      <c r="DY12" s="722"/>
      <c r="DZ12" s="722"/>
      <c r="EA12" s="722"/>
      <c r="EB12" s="722"/>
      <c r="EC12" s="722"/>
      <c r="ED12" s="722"/>
      <c r="EE12" s="722"/>
      <c r="EF12" s="722"/>
      <c r="EG12" s="722"/>
      <c r="EH12" s="722"/>
      <c r="EI12" s="722"/>
      <c r="EJ12" s="722"/>
      <c r="EK12" s="722"/>
      <c r="EL12" s="722"/>
      <c r="EM12" s="722"/>
      <c r="EN12" s="722"/>
      <c r="EO12" s="722"/>
      <c r="EP12" s="722"/>
      <c r="EQ12" s="722"/>
      <c r="ER12" s="722"/>
      <c r="ES12" s="722"/>
      <c r="ET12" s="722"/>
      <c r="EU12" s="722"/>
      <c r="EV12" s="722"/>
      <c r="EW12" s="722"/>
      <c r="EX12" s="722"/>
      <c r="EY12" s="722"/>
      <c r="EZ12" s="722"/>
      <c r="FA12" s="722"/>
      <c r="FB12" s="722"/>
      <c r="FC12" s="722"/>
      <c r="FD12" s="722"/>
      <c r="FE12" s="722"/>
      <c r="FF12" s="722"/>
      <c r="FG12" s="722"/>
      <c r="FH12" s="722"/>
      <c r="FI12" s="722"/>
      <c r="FJ12" s="722"/>
      <c r="FK12" s="722"/>
      <c r="FL12" s="722"/>
      <c r="FM12" s="722"/>
      <c r="FN12" s="722"/>
      <c r="FO12" s="722"/>
      <c r="FP12" s="722"/>
      <c r="FQ12" s="722"/>
      <c r="FR12" s="722"/>
      <c r="FS12" s="722"/>
      <c r="FT12" s="722"/>
      <c r="FU12" s="722"/>
      <c r="FV12" s="722"/>
      <c r="FW12" s="722"/>
      <c r="FX12" s="722"/>
      <c r="FY12" s="722"/>
      <c r="FZ12" s="722"/>
      <c r="GA12" s="722"/>
      <c r="GB12" s="722"/>
      <c r="GC12" s="722"/>
      <c r="GD12" s="722"/>
      <c r="GE12" s="722"/>
      <c r="GF12" s="722"/>
      <c r="GG12" s="722"/>
      <c r="GH12" s="722"/>
      <c r="GI12" s="722"/>
      <c r="GJ12" s="722"/>
      <c r="GK12" s="722"/>
      <c r="GL12" s="722"/>
      <c r="GM12" s="722"/>
      <c r="GN12" s="722"/>
      <c r="GO12" s="722"/>
      <c r="GP12" s="722"/>
      <c r="GQ12" s="722"/>
      <c r="GR12" s="722"/>
      <c r="GS12" s="722"/>
      <c r="GT12" s="722"/>
      <c r="GU12" s="722"/>
      <c r="GV12" s="722"/>
      <c r="GW12" s="722"/>
      <c r="GX12" s="722"/>
      <c r="GY12" s="722"/>
      <c r="GZ12" s="722"/>
      <c r="HA12" s="722"/>
      <c r="HB12" s="722"/>
      <c r="HC12" s="722"/>
      <c r="HD12" s="722"/>
    </row>
    <row r="13" spans="2:212" s="723" customFormat="1" ht="21" customHeight="1" thickBot="1">
      <c r="B13" s="730"/>
      <c r="C13" s="724">
        <v>2.2000000000000002</v>
      </c>
      <c r="D13" s="745">
        <f ca="1"/>
        <v>187</v>
      </c>
      <c r="E13" s="744">
        <v>2547084.9307376216</v>
      </c>
      <c r="F13" s="745">
        <v>48</v>
      </c>
      <c r="G13" s="745">
        <v>71</v>
      </c>
      <c r="H13" s="746" t="s">
        <v>415</v>
      </c>
      <c r="I13" s="722"/>
      <c r="J13" s="722"/>
      <c r="K13" s="722"/>
      <c r="L13" s="722"/>
      <c r="M13" s="722"/>
      <c r="N13" s="722"/>
      <c r="O13" s="722"/>
      <c r="P13" s="722"/>
      <c r="Q13" s="722"/>
      <c r="R13" s="722"/>
      <c r="S13" s="722"/>
      <c r="T13" s="722"/>
      <c r="U13" s="722"/>
      <c r="V13" s="722"/>
      <c r="W13" s="722"/>
      <c r="X13" s="722"/>
      <c r="Y13" s="722"/>
      <c r="Z13" s="722"/>
      <c r="AA13" s="722"/>
      <c r="AB13" s="722"/>
      <c r="AC13" s="722"/>
      <c r="AD13" s="722"/>
      <c r="AE13" s="722"/>
      <c r="AF13" s="722"/>
      <c r="AG13" s="722"/>
      <c r="AH13" s="722"/>
      <c r="AI13" s="722"/>
      <c r="AJ13" s="722"/>
      <c r="AK13" s="722"/>
      <c r="AL13" s="722"/>
      <c r="AM13" s="722"/>
      <c r="AN13" s="722"/>
      <c r="AO13" s="722"/>
      <c r="AP13" s="722"/>
      <c r="AQ13" s="722"/>
      <c r="AR13" s="722"/>
      <c r="AS13" s="722"/>
      <c r="AT13" s="722"/>
      <c r="AU13" s="722"/>
      <c r="AV13" s="722"/>
      <c r="AW13" s="722"/>
      <c r="AX13" s="722"/>
      <c r="AY13" s="722"/>
      <c r="AZ13" s="722"/>
      <c r="BA13" s="722"/>
      <c r="BB13" s="722"/>
      <c r="BC13" s="722"/>
      <c r="BD13" s="722"/>
      <c r="BE13" s="722"/>
      <c r="BF13" s="722"/>
      <c r="BG13" s="722"/>
      <c r="BH13" s="722"/>
      <c r="BI13" s="722"/>
      <c r="BJ13" s="722"/>
      <c r="BK13" s="722"/>
      <c r="BL13" s="722"/>
      <c r="BM13" s="722"/>
      <c r="BN13" s="722"/>
      <c r="BO13" s="722"/>
      <c r="BP13" s="722"/>
      <c r="BQ13" s="722"/>
      <c r="BR13" s="722"/>
      <c r="BS13" s="722"/>
      <c r="BT13" s="722"/>
      <c r="BU13" s="722"/>
      <c r="BV13" s="722"/>
      <c r="BW13" s="722"/>
      <c r="BX13" s="722"/>
      <c r="BY13" s="722"/>
      <c r="BZ13" s="722"/>
      <c r="CA13" s="722"/>
      <c r="CB13" s="722"/>
      <c r="CC13" s="722"/>
      <c r="CD13" s="722"/>
      <c r="CE13" s="722"/>
      <c r="CF13" s="722"/>
      <c r="CG13" s="722"/>
      <c r="CH13" s="722"/>
      <c r="CI13" s="722"/>
      <c r="CJ13" s="722"/>
      <c r="CK13" s="722"/>
      <c r="CL13" s="722"/>
      <c r="CM13" s="722"/>
      <c r="CN13" s="722"/>
      <c r="CO13" s="722"/>
      <c r="CP13" s="722"/>
      <c r="CQ13" s="722"/>
      <c r="CR13" s="722"/>
      <c r="CS13" s="722"/>
      <c r="CT13" s="722"/>
      <c r="CU13" s="722"/>
      <c r="CV13" s="722"/>
      <c r="CW13" s="722"/>
      <c r="CX13" s="722"/>
      <c r="CY13" s="722"/>
      <c r="CZ13" s="722"/>
      <c r="DA13" s="722"/>
      <c r="DB13" s="722"/>
      <c r="DC13" s="722"/>
      <c r="DD13" s="722"/>
      <c r="DE13" s="722"/>
      <c r="DF13" s="722"/>
      <c r="DG13" s="722"/>
      <c r="DH13" s="722"/>
      <c r="DI13" s="722"/>
      <c r="DJ13" s="722"/>
      <c r="DK13" s="722"/>
      <c r="DL13" s="722"/>
      <c r="DM13" s="722"/>
      <c r="DN13" s="722"/>
      <c r="DO13" s="722"/>
      <c r="DP13" s="722"/>
      <c r="DQ13" s="722"/>
      <c r="DR13" s="722"/>
      <c r="DS13" s="722"/>
      <c r="DT13" s="722"/>
      <c r="DU13" s="722"/>
      <c r="DV13" s="722"/>
      <c r="DW13" s="722"/>
      <c r="DX13" s="722"/>
      <c r="DY13" s="722"/>
      <c r="DZ13" s="722"/>
      <c r="EA13" s="722"/>
      <c r="EB13" s="722"/>
      <c r="EC13" s="722"/>
      <c r="ED13" s="722"/>
      <c r="EE13" s="722"/>
      <c r="EF13" s="722"/>
      <c r="EG13" s="722"/>
      <c r="EH13" s="722"/>
      <c r="EI13" s="722"/>
      <c r="EJ13" s="722"/>
      <c r="EK13" s="722"/>
      <c r="EL13" s="722"/>
      <c r="EM13" s="722"/>
      <c r="EN13" s="722"/>
      <c r="EO13" s="722"/>
      <c r="EP13" s="722"/>
      <c r="EQ13" s="722"/>
      <c r="ER13" s="722"/>
      <c r="ES13" s="722"/>
      <c r="ET13" s="722"/>
      <c r="EU13" s="722"/>
      <c r="EV13" s="722"/>
      <c r="EW13" s="722"/>
      <c r="EX13" s="722"/>
      <c r="EY13" s="722"/>
      <c r="EZ13" s="722"/>
      <c r="FA13" s="722"/>
      <c r="FB13" s="722"/>
      <c r="FC13" s="722"/>
      <c r="FD13" s="722"/>
      <c r="FE13" s="722"/>
      <c r="FF13" s="722"/>
      <c r="FG13" s="722"/>
      <c r="FH13" s="722"/>
      <c r="FI13" s="722"/>
      <c r="FJ13" s="722"/>
      <c r="FK13" s="722"/>
      <c r="FL13" s="722"/>
      <c r="FM13" s="722"/>
      <c r="FN13" s="722"/>
      <c r="FO13" s="722"/>
      <c r="FP13" s="722"/>
      <c r="FQ13" s="722"/>
      <c r="FR13" s="722"/>
      <c r="FS13" s="722"/>
      <c r="FT13" s="722"/>
      <c r="FU13" s="722"/>
      <c r="FV13" s="722"/>
      <c r="FW13" s="722"/>
      <c r="FX13" s="722"/>
      <c r="FY13" s="722"/>
      <c r="FZ13" s="722"/>
      <c r="GA13" s="722"/>
      <c r="GB13" s="722"/>
      <c r="GC13" s="722"/>
      <c r="GD13" s="722"/>
      <c r="GE13" s="722"/>
      <c r="GF13" s="722"/>
      <c r="GG13" s="722"/>
      <c r="GH13" s="722"/>
      <c r="GI13" s="722"/>
      <c r="GJ13" s="722"/>
      <c r="GK13" s="722"/>
      <c r="GL13" s="722"/>
      <c r="GM13" s="722"/>
      <c r="GN13" s="722"/>
      <c r="GO13" s="722"/>
      <c r="GP13" s="722"/>
      <c r="GQ13" s="722"/>
      <c r="GR13" s="722"/>
      <c r="GS13" s="722"/>
      <c r="GT13" s="722"/>
      <c r="GU13" s="722"/>
      <c r="GV13" s="722"/>
      <c r="GW13" s="722"/>
      <c r="GX13" s="722"/>
      <c r="GY13" s="722"/>
      <c r="GZ13" s="722"/>
      <c r="HA13" s="722"/>
      <c r="HB13" s="722"/>
      <c r="HC13" s="722"/>
      <c r="HD13" s="722"/>
    </row>
    <row r="14" spans="2:212" s="723" customFormat="1" ht="21" customHeight="1" thickBot="1">
      <c r="B14" s="730"/>
      <c r="C14" s="724">
        <v>3.1</v>
      </c>
      <c r="D14" s="745">
        <f ca="1"/>
        <v>0</v>
      </c>
      <c r="E14" s="744">
        <v>0</v>
      </c>
      <c r="F14" s="745">
        <v>24</v>
      </c>
      <c r="G14" s="745">
        <v>47</v>
      </c>
      <c r="H14" s="746" t="s">
        <v>418</v>
      </c>
      <c r="I14" s="722"/>
      <c r="J14" s="722"/>
      <c r="K14" s="722"/>
      <c r="L14" s="722"/>
      <c r="M14" s="722"/>
      <c r="N14" s="722"/>
      <c r="O14" s="722"/>
      <c r="P14" s="722"/>
      <c r="Q14" s="722"/>
      <c r="R14" s="722"/>
      <c r="S14" s="722"/>
      <c r="T14" s="722"/>
      <c r="U14" s="722"/>
      <c r="V14" s="722"/>
      <c r="W14" s="722"/>
      <c r="X14" s="722"/>
      <c r="Y14" s="722"/>
      <c r="Z14" s="722"/>
      <c r="AA14" s="722"/>
      <c r="AB14" s="722"/>
      <c r="AC14" s="722"/>
      <c r="AD14" s="722"/>
      <c r="AE14" s="722"/>
      <c r="AF14" s="722"/>
      <c r="AG14" s="722"/>
      <c r="AH14" s="722"/>
      <c r="AI14" s="722"/>
      <c r="AJ14" s="722"/>
      <c r="AK14" s="722"/>
      <c r="AL14" s="722"/>
      <c r="AM14" s="722"/>
      <c r="AN14" s="722"/>
      <c r="AO14" s="722"/>
      <c r="AP14" s="722"/>
      <c r="AQ14" s="722"/>
      <c r="AR14" s="722"/>
      <c r="AS14" s="722"/>
      <c r="AT14" s="722"/>
      <c r="AU14" s="722"/>
      <c r="AV14" s="722"/>
      <c r="AW14" s="722"/>
      <c r="AX14" s="722"/>
      <c r="AY14" s="722"/>
      <c r="AZ14" s="722"/>
      <c r="BA14" s="722"/>
      <c r="BB14" s="722"/>
      <c r="BC14" s="722"/>
      <c r="BD14" s="722"/>
      <c r="BE14" s="722"/>
      <c r="BF14" s="722"/>
      <c r="BG14" s="722"/>
      <c r="BH14" s="722"/>
      <c r="BI14" s="722"/>
      <c r="BJ14" s="722"/>
      <c r="BK14" s="722"/>
      <c r="BL14" s="722"/>
      <c r="BM14" s="722"/>
      <c r="BN14" s="722"/>
      <c r="BO14" s="722"/>
      <c r="BP14" s="722"/>
      <c r="BQ14" s="722"/>
      <c r="BR14" s="722"/>
      <c r="BS14" s="722"/>
      <c r="BT14" s="722"/>
      <c r="BU14" s="722"/>
      <c r="BV14" s="722"/>
      <c r="BW14" s="722"/>
      <c r="BX14" s="722"/>
      <c r="BY14" s="722"/>
      <c r="BZ14" s="722"/>
      <c r="CA14" s="722"/>
      <c r="CB14" s="722"/>
      <c r="CC14" s="722"/>
      <c r="CD14" s="722"/>
      <c r="CE14" s="722"/>
      <c r="CF14" s="722"/>
      <c r="CG14" s="722"/>
      <c r="CH14" s="722"/>
      <c r="CI14" s="722"/>
      <c r="CJ14" s="722"/>
      <c r="CK14" s="722"/>
      <c r="CL14" s="722"/>
      <c r="CM14" s="722"/>
      <c r="CN14" s="722"/>
      <c r="CO14" s="722"/>
      <c r="CP14" s="722"/>
      <c r="CQ14" s="722"/>
      <c r="CR14" s="722"/>
      <c r="CS14" s="722"/>
      <c r="CT14" s="722"/>
      <c r="CU14" s="722"/>
      <c r="CV14" s="722"/>
      <c r="CW14" s="722"/>
      <c r="CX14" s="722"/>
      <c r="CY14" s="722"/>
      <c r="CZ14" s="722"/>
      <c r="DA14" s="722"/>
      <c r="DB14" s="722"/>
      <c r="DC14" s="722"/>
      <c r="DD14" s="722"/>
      <c r="DE14" s="722"/>
      <c r="DF14" s="722"/>
      <c r="DG14" s="722"/>
      <c r="DH14" s="722"/>
      <c r="DI14" s="722"/>
      <c r="DJ14" s="722"/>
      <c r="DK14" s="722"/>
      <c r="DL14" s="722"/>
      <c r="DM14" s="722"/>
      <c r="DN14" s="722"/>
      <c r="DO14" s="722"/>
      <c r="DP14" s="722"/>
      <c r="DQ14" s="722"/>
      <c r="DR14" s="722"/>
      <c r="DS14" s="722"/>
      <c r="DT14" s="722"/>
      <c r="DU14" s="722"/>
      <c r="DV14" s="722"/>
      <c r="DW14" s="722"/>
      <c r="DX14" s="722"/>
      <c r="DY14" s="722"/>
      <c r="DZ14" s="722"/>
      <c r="EA14" s="722"/>
      <c r="EB14" s="722"/>
      <c r="EC14" s="722"/>
      <c r="ED14" s="722"/>
      <c r="EE14" s="722"/>
      <c r="EF14" s="722"/>
      <c r="EG14" s="722"/>
      <c r="EH14" s="722"/>
      <c r="EI14" s="722"/>
      <c r="EJ14" s="722"/>
      <c r="EK14" s="722"/>
      <c r="EL14" s="722"/>
      <c r="EM14" s="722"/>
      <c r="EN14" s="722"/>
      <c r="EO14" s="722"/>
      <c r="EP14" s="722"/>
      <c r="EQ14" s="722"/>
      <c r="ER14" s="722"/>
      <c r="ES14" s="722"/>
      <c r="ET14" s="722"/>
      <c r="EU14" s="722"/>
      <c r="EV14" s="722"/>
      <c r="EW14" s="722"/>
      <c r="EX14" s="722"/>
      <c r="EY14" s="722"/>
      <c r="EZ14" s="722"/>
      <c r="FA14" s="722"/>
      <c r="FB14" s="722"/>
      <c r="FC14" s="722"/>
      <c r="FD14" s="722"/>
      <c r="FE14" s="722"/>
      <c r="FF14" s="722"/>
      <c r="FG14" s="722"/>
      <c r="FH14" s="722"/>
      <c r="FI14" s="722"/>
      <c r="FJ14" s="722"/>
      <c r="FK14" s="722"/>
      <c r="FL14" s="722"/>
      <c r="FM14" s="722"/>
      <c r="FN14" s="722"/>
      <c r="FO14" s="722"/>
      <c r="FP14" s="722"/>
      <c r="FQ14" s="722"/>
      <c r="FR14" s="722"/>
      <c r="FS14" s="722"/>
      <c r="FT14" s="722"/>
      <c r="FU14" s="722"/>
      <c r="FV14" s="722"/>
      <c r="FW14" s="722"/>
      <c r="FX14" s="722"/>
      <c r="FY14" s="722"/>
      <c r="FZ14" s="722"/>
      <c r="GA14" s="722"/>
      <c r="GB14" s="722"/>
      <c r="GC14" s="722"/>
      <c r="GD14" s="722"/>
      <c r="GE14" s="722"/>
      <c r="GF14" s="722"/>
      <c r="GG14" s="722"/>
      <c r="GH14" s="722"/>
      <c r="GI14" s="722"/>
      <c r="GJ14" s="722"/>
      <c r="GK14" s="722"/>
      <c r="GL14" s="722"/>
      <c r="GM14" s="722"/>
      <c r="GN14" s="722"/>
      <c r="GO14" s="722"/>
      <c r="GP14" s="722"/>
      <c r="GQ14" s="722"/>
      <c r="GR14" s="722"/>
      <c r="GS14" s="722"/>
      <c r="GT14" s="722"/>
      <c r="GU14" s="722"/>
      <c r="GV14" s="722"/>
      <c r="GW14" s="722"/>
      <c r="GX14" s="722"/>
      <c r="GY14" s="722"/>
      <c r="GZ14" s="722"/>
      <c r="HA14" s="722"/>
      <c r="HB14" s="722"/>
      <c r="HC14" s="722"/>
      <c r="HD14" s="722"/>
    </row>
    <row r="15" spans="2:212" s="723" customFormat="1" ht="21" customHeight="1" thickBot="1">
      <c r="B15" s="730"/>
      <c r="C15" s="724">
        <v>3.2</v>
      </c>
      <c r="D15" s="745">
        <f ca="1"/>
        <v>0</v>
      </c>
      <c r="E15" s="744">
        <v>0</v>
      </c>
      <c r="F15" s="745">
        <v>24</v>
      </c>
      <c r="G15" s="745">
        <v>47</v>
      </c>
      <c r="H15" s="746" t="s">
        <v>16</v>
      </c>
      <c r="I15" s="722"/>
      <c r="J15" s="722"/>
      <c r="K15" s="722"/>
      <c r="L15" s="722"/>
      <c r="M15" s="722"/>
      <c r="N15" s="722"/>
      <c r="O15" s="722"/>
      <c r="P15" s="722"/>
      <c r="Q15" s="722"/>
      <c r="R15" s="722"/>
      <c r="S15" s="722"/>
      <c r="T15" s="722"/>
      <c r="U15" s="722"/>
      <c r="V15" s="722"/>
      <c r="W15" s="722"/>
      <c r="X15" s="722"/>
      <c r="Y15" s="722"/>
      <c r="Z15" s="722"/>
      <c r="AA15" s="722"/>
      <c r="AB15" s="722"/>
      <c r="AC15" s="722"/>
      <c r="AD15" s="722"/>
      <c r="AE15" s="722"/>
      <c r="AF15" s="722"/>
      <c r="AG15" s="722"/>
      <c r="AH15" s="722"/>
      <c r="AI15" s="722"/>
      <c r="AJ15" s="722"/>
      <c r="AK15" s="722"/>
      <c r="AL15" s="722"/>
      <c r="AM15" s="722"/>
      <c r="AN15" s="722"/>
      <c r="AO15" s="722"/>
      <c r="AP15" s="722"/>
      <c r="AQ15" s="722"/>
      <c r="AR15" s="722"/>
      <c r="AS15" s="722"/>
      <c r="AT15" s="722"/>
      <c r="AU15" s="722"/>
      <c r="AV15" s="722"/>
      <c r="AW15" s="722"/>
      <c r="AX15" s="722"/>
      <c r="AY15" s="722"/>
      <c r="AZ15" s="722"/>
      <c r="BA15" s="722"/>
      <c r="BB15" s="722"/>
      <c r="BC15" s="722"/>
      <c r="BD15" s="722"/>
      <c r="BE15" s="722"/>
      <c r="BF15" s="722"/>
      <c r="BG15" s="722"/>
      <c r="BH15" s="722"/>
      <c r="BI15" s="722"/>
      <c r="BJ15" s="722"/>
      <c r="BK15" s="722"/>
      <c r="BL15" s="722"/>
      <c r="BM15" s="722"/>
      <c r="BN15" s="722"/>
      <c r="BO15" s="722"/>
      <c r="BP15" s="722"/>
      <c r="BQ15" s="722"/>
      <c r="BR15" s="722"/>
      <c r="BS15" s="722"/>
      <c r="BT15" s="722"/>
      <c r="BU15" s="722"/>
      <c r="BV15" s="722"/>
      <c r="BW15" s="722"/>
      <c r="BX15" s="722"/>
      <c r="BY15" s="722"/>
      <c r="BZ15" s="722"/>
      <c r="CA15" s="722"/>
      <c r="CB15" s="722"/>
      <c r="CC15" s="722"/>
      <c r="CD15" s="722"/>
      <c r="CE15" s="722"/>
      <c r="CF15" s="722"/>
      <c r="CG15" s="722"/>
      <c r="CH15" s="722"/>
      <c r="CI15" s="722"/>
      <c r="CJ15" s="722"/>
      <c r="CK15" s="722"/>
      <c r="CL15" s="722"/>
      <c r="CM15" s="722"/>
      <c r="CN15" s="722"/>
      <c r="CO15" s="722"/>
      <c r="CP15" s="722"/>
      <c r="CQ15" s="722"/>
      <c r="CR15" s="722"/>
      <c r="CS15" s="722"/>
      <c r="CT15" s="722"/>
      <c r="CU15" s="722"/>
      <c r="CV15" s="722"/>
      <c r="CW15" s="722"/>
      <c r="CX15" s="722"/>
      <c r="CY15" s="722"/>
      <c r="CZ15" s="722"/>
      <c r="DA15" s="722"/>
      <c r="DB15" s="722"/>
      <c r="DC15" s="722"/>
      <c r="DD15" s="722"/>
      <c r="DE15" s="722"/>
      <c r="DF15" s="722"/>
      <c r="DG15" s="722"/>
      <c r="DH15" s="722"/>
      <c r="DI15" s="722"/>
      <c r="DJ15" s="722"/>
      <c r="DK15" s="722"/>
      <c r="DL15" s="722"/>
      <c r="DM15" s="722"/>
      <c r="DN15" s="722"/>
      <c r="DO15" s="722"/>
      <c r="DP15" s="722"/>
      <c r="DQ15" s="722"/>
      <c r="DR15" s="722"/>
      <c r="DS15" s="722"/>
      <c r="DT15" s="722"/>
      <c r="DU15" s="722"/>
      <c r="DV15" s="722"/>
      <c r="DW15" s="722"/>
      <c r="DX15" s="722"/>
      <c r="DY15" s="722"/>
      <c r="DZ15" s="722"/>
      <c r="EA15" s="722"/>
      <c r="EB15" s="722"/>
      <c r="EC15" s="722"/>
      <c r="ED15" s="722"/>
      <c r="EE15" s="722"/>
      <c r="EF15" s="722"/>
      <c r="EG15" s="722"/>
      <c r="EH15" s="722"/>
      <c r="EI15" s="722"/>
      <c r="EJ15" s="722"/>
      <c r="EK15" s="722"/>
      <c r="EL15" s="722"/>
      <c r="EM15" s="722"/>
      <c r="EN15" s="722"/>
      <c r="EO15" s="722"/>
      <c r="EP15" s="722"/>
      <c r="EQ15" s="722"/>
      <c r="ER15" s="722"/>
      <c r="ES15" s="722"/>
      <c r="ET15" s="722"/>
      <c r="EU15" s="722"/>
      <c r="EV15" s="722"/>
      <c r="EW15" s="722"/>
      <c r="EX15" s="722"/>
      <c r="EY15" s="722"/>
      <c r="EZ15" s="722"/>
      <c r="FA15" s="722"/>
      <c r="FB15" s="722"/>
      <c r="FC15" s="722"/>
      <c r="FD15" s="722"/>
      <c r="FE15" s="722"/>
      <c r="FF15" s="722"/>
      <c r="FG15" s="722"/>
      <c r="FH15" s="722"/>
      <c r="FI15" s="722"/>
      <c r="FJ15" s="722"/>
      <c r="FK15" s="722"/>
      <c r="FL15" s="722"/>
      <c r="FM15" s="722"/>
      <c r="FN15" s="722"/>
      <c r="FO15" s="722"/>
      <c r="FP15" s="722"/>
      <c r="FQ15" s="722"/>
      <c r="FR15" s="722"/>
      <c r="FS15" s="722"/>
      <c r="FT15" s="722"/>
      <c r="FU15" s="722"/>
      <c r="FV15" s="722"/>
      <c r="FW15" s="722"/>
      <c r="FX15" s="722"/>
      <c r="FY15" s="722"/>
      <c r="FZ15" s="722"/>
      <c r="GA15" s="722"/>
      <c r="GB15" s="722"/>
      <c r="GC15" s="722"/>
      <c r="GD15" s="722"/>
      <c r="GE15" s="722"/>
      <c r="GF15" s="722"/>
      <c r="GG15" s="722"/>
      <c r="GH15" s="722"/>
      <c r="GI15" s="722"/>
      <c r="GJ15" s="722"/>
      <c r="GK15" s="722"/>
      <c r="GL15" s="722"/>
      <c r="GM15" s="722"/>
      <c r="GN15" s="722"/>
      <c r="GO15" s="722"/>
      <c r="GP15" s="722"/>
      <c r="GQ15" s="722"/>
      <c r="GR15" s="722"/>
      <c r="GS15" s="722"/>
      <c r="GT15" s="722"/>
      <c r="GU15" s="722"/>
      <c r="GV15" s="722"/>
      <c r="GW15" s="722"/>
      <c r="GX15" s="722"/>
      <c r="GY15" s="722"/>
      <c r="GZ15" s="722"/>
      <c r="HA15" s="722"/>
      <c r="HB15" s="722"/>
      <c r="HC15" s="722"/>
      <c r="HD15" s="722"/>
    </row>
    <row r="16" spans="2:212" s="723" customFormat="1" ht="21" customHeight="1" thickBot="1">
      <c r="B16" s="730"/>
      <c r="C16" s="724">
        <v>4.0999999999999996</v>
      </c>
      <c r="D16" s="745">
        <f ca="1"/>
        <v>261</v>
      </c>
      <c r="E16" s="744">
        <v>4000085.4681246532</v>
      </c>
      <c r="F16" s="745">
        <v>60</v>
      </c>
      <c r="G16" s="745">
        <v>77</v>
      </c>
      <c r="H16" s="746" t="s">
        <v>417</v>
      </c>
      <c r="I16" s="722"/>
      <c r="J16" s="722"/>
      <c r="K16" s="722"/>
      <c r="L16" s="722"/>
      <c r="M16" s="722"/>
      <c r="N16" s="722"/>
      <c r="O16" s="722"/>
      <c r="P16" s="722"/>
      <c r="Q16" s="722"/>
      <c r="R16" s="722"/>
      <c r="S16" s="722"/>
      <c r="T16" s="726"/>
      <c r="U16" s="722"/>
      <c r="V16" s="722"/>
      <c r="W16" s="726"/>
      <c r="X16" s="722"/>
      <c r="Y16" s="722"/>
      <c r="Z16" s="722"/>
      <c r="AA16" s="722"/>
      <c r="AB16" s="722"/>
      <c r="AC16" s="722"/>
      <c r="AD16" s="722"/>
      <c r="AE16" s="722"/>
      <c r="AF16" s="722"/>
      <c r="AG16" s="722"/>
      <c r="AH16" s="722"/>
      <c r="AI16" s="722"/>
      <c r="AJ16" s="722"/>
      <c r="AK16" s="722"/>
      <c r="AL16" s="722"/>
      <c r="AM16" s="722"/>
      <c r="AN16" s="722"/>
      <c r="AO16" s="722"/>
      <c r="AP16" s="722"/>
      <c r="AQ16" s="722"/>
      <c r="AR16" s="722"/>
      <c r="AS16" s="722"/>
      <c r="AT16" s="722"/>
      <c r="AU16" s="722"/>
      <c r="AV16" s="722"/>
      <c r="AW16" s="722"/>
      <c r="AX16" s="722"/>
      <c r="AY16" s="722"/>
      <c r="AZ16" s="722"/>
      <c r="BA16" s="722"/>
      <c r="BB16" s="722"/>
      <c r="BC16" s="722"/>
      <c r="BD16" s="722"/>
      <c r="BE16" s="722"/>
      <c r="BF16" s="722"/>
      <c r="BG16" s="722"/>
      <c r="BH16" s="722"/>
      <c r="BI16" s="722"/>
      <c r="BJ16" s="722"/>
      <c r="BK16" s="722"/>
      <c r="BL16" s="722"/>
      <c r="BM16" s="722"/>
      <c r="BN16" s="722"/>
      <c r="BO16" s="722"/>
      <c r="BP16" s="722"/>
      <c r="BQ16" s="722"/>
      <c r="BR16" s="722"/>
      <c r="BS16" s="722"/>
      <c r="BT16" s="722"/>
      <c r="BU16" s="722"/>
      <c r="BV16" s="722"/>
      <c r="BW16" s="722"/>
      <c r="BX16" s="722"/>
      <c r="BY16" s="722"/>
      <c r="BZ16" s="722"/>
      <c r="CA16" s="722"/>
      <c r="CB16" s="722"/>
      <c r="CC16" s="722"/>
      <c r="CD16" s="722"/>
      <c r="CE16" s="722"/>
      <c r="CF16" s="722"/>
      <c r="CG16" s="722"/>
      <c r="CH16" s="722"/>
      <c r="CI16" s="722"/>
      <c r="CJ16" s="722"/>
      <c r="CK16" s="722"/>
      <c r="CL16" s="722"/>
      <c r="CM16" s="722"/>
      <c r="CN16" s="722"/>
      <c r="CO16" s="722"/>
      <c r="CP16" s="722"/>
      <c r="CQ16" s="722"/>
      <c r="CR16" s="722"/>
      <c r="CS16" s="722"/>
      <c r="CT16" s="722"/>
      <c r="CU16" s="722"/>
      <c r="CV16" s="722"/>
      <c r="CW16" s="722"/>
      <c r="CX16" s="722"/>
      <c r="CY16" s="722"/>
      <c r="CZ16" s="722"/>
      <c r="DA16" s="722"/>
      <c r="DB16" s="722"/>
      <c r="DC16" s="722"/>
      <c r="DD16" s="722"/>
      <c r="DE16" s="722"/>
      <c r="DF16" s="722"/>
      <c r="DG16" s="722"/>
      <c r="DH16" s="722"/>
      <c r="DI16" s="722"/>
      <c r="DJ16" s="722"/>
      <c r="DK16" s="722"/>
      <c r="DL16" s="722"/>
      <c r="DM16" s="722"/>
      <c r="DN16" s="722"/>
      <c r="DO16" s="722"/>
      <c r="DP16" s="722"/>
      <c r="DQ16" s="722"/>
      <c r="DR16" s="722"/>
      <c r="DS16" s="722"/>
      <c r="DT16" s="722"/>
      <c r="DU16" s="722"/>
      <c r="DV16" s="722"/>
      <c r="DW16" s="722"/>
      <c r="DX16" s="722"/>
      <c r="DY16" s="722"/>
      <c r="DZ16" s="722"/>
      <c r="EA16" s="722"/>
      <c r="EB16" s="722"/>
      <c r="EC16" s="722"/>
      <c r="ED16" s="722"/>
      <c r="EE16" s="722"/>
      <c r="EF16" s="722"/>
      <c r="EG16" s="722"/>
      <c r="EH16" s="722"/>
      <c r="EI16" s="722"/>
      <c r="EJ16" s="722"/>
      <c r="EK16" s="722"/>
      <c r="EL16" s="722"/>
      <c r="EM16" s="722"/>
      <c r="EN16" s="722"/>
      <c r="EO16" s="722"/>
      <c r="EP16" s="722"/>
      <c r="EQ16" s="722"/>
      <c r="ER16" s="722"/>
      <c r="ES16" s="722"/>
      <c r="ET16" s="722"/>
      <c r="EU16" s="722"/>
      <c r="EV16" s="722"/>
      <c r="EW16" s="722"/>
      <c r="EX16" s="722"/>
      <c r="EY16" s="722"/>
      <c r="EZ16" s="722"/>
      <c r="FA16" s="722"/>
      <c r="FB16" s="722"/>
      <c r="FC16" s="722"/>
      <c r="FD16" s="722"/>
      <c r="FE16" s="722"/>
      <c r="FF16" s="722"/>
      <c r="FG16" s="722"/>
      <c r="FH16" s="722"/>
      <c r="FI16" s="722"/>
      <c r="FJ16" s="722"/>
      <c r="FK16" s="722"/>
      <c r="FL16" s="722"/>
      <c r="FM16" s="722"/>
      <c r="FN16" s="722"/>
      <c r="FO16" s="722"/>
      <c r="FP16" s="722"/>
      <c r="FQ16" s="722"/>
      <c r="FR16" s="722"/>
      <c r="FS16" s="722"/>
      <c r="FT16" s="722"/>
      <c r="FU16" s="722"/>
      <c r="FV16" s="722"/>
      <c r="FW16" s="722"/>
      <c r="FX16" s="722"/>
      <c r="FY16" s="722"/>
      <c r="FZ16" s="722"/>
      <c r="GA16" s="722"/>
      <c r="GB16" s="722"/>
      <c r="GC16" s="722"/>
      <c r="GD16" s="722"/>
      <c r="GE16" s="722"/>
      <c r="GF16" s="722"/>
      <c r="GG16" s="722"/>
      <c r="GH16" s="722"/>
      <c r="GI16" s="722"/>
      <c r="GJ16" s="722"/>
      <c r="GK16" s="722"/>
      <c r="GL16" s="722"/>
      <c r="GM16" s="722"/>
      <c r="GN16" s="722"/>
      <c r="GO16" s="722"/>
      <c r="GP16" s="722"/>
      <c r="GQ16" s="722"/>
      <c r="GR16" s="722"/>
      <c r="GS16" s="722"/>
      <c r="GT16" s="722"/>
      <c r="GU16" s="722"/>
      <c r="GV16" s="722"/>
      <c r="GW16" s="722"/>
      <c r="GX16" s="722"/>
      <c r="GY16" s="722"/>
      <c r="GZ16" s="722"/>
      <c r="HA16" s="722"/>
      <c r="HB16" s="722"/>
      <c r="HC16" s="722"/>
      <c r="HD16" s="722"/>
    </row>
    <row r="17" spans="3:8" s="723" customFormat="1" ht="21" customHeight="1" thickBot="1">
      <c r="C17" s="724">
        <v>4.2</v>
      </c>
      <c r="D17" s="745">
        <f ca="1"/>
        <v>287</v>
      </c>
      <c r="E17" s="744">
        <v>6474465.1916132011</v>
      </c>
      <c r="F17" s="745">
        <v>84</v>
      </c>
      <c r="G17" s="745">
        <v>95</v>
      </c>
      <c r="H17" s="746" t="str">
        <f>H10</f>
        <v>B</v>
      </c>
    </row>
    <row r="18" spans="3:8" s="723" customFormat="1" ht="21" customHeight="1" thickBot="1">
      <c r="C18" s="724"/>
      <c r="D18" s="745"/>
      <c r="E18" s="744"/>
      <c r="F18" s="745"/>
      <c r="G18" s="745"/>
      <c r="H18" s="746" t="str">
        <f t="shared" ref="H18:H29" si="4">H11</f>
        <v>G</v>
      </c>
    </row>
    <row r="19" spans="3:8" s="723" customFormat="1" ht="21" customHeight="1" thickBot="1">
      <c r="C19" s="724"/>
      <c r="D19" s="745"/>
      <c r="E19" s="744"/>
      <c r="F19" s="745"/>
      <c r="G19" s="745"/>
      <c r="H19" s="746" t="str">
        <f t="shared" si="4"/>
        <v>R</v>
      </c>
    </row>
    <row r="20" spans="3:8" s="723" customFormat="1" ht="21" customHeight="1" thickBot="1">
      <c r="C20" s="724"/>
      <c r="D20" s="745"/>
      <c r="E20" s="744"/>
      <c r="F20" s="745"/>
      <c r="G20" s="745"/>
      <c r="H20" s="746" t="str">
        <f t="shared" si="4"/>
        <v>Y</v>
      </c>
    </row>
    <row r="21" spans="3:8" s="723" customFormat="1" ht="21" customHeight="1" thickBot="1">
      <c r="C21" s="724"/>
      <c r="D21" s="745"/>
      <c r="E21" s="744"/>
      <c r="F21" s="745"/>
      <c r="G21" s="745"/>
      <c r="H21" s="746" t="str">
        <f t="shared" si="4"/>
        <v>O</v>
      </c>
    </row>
    <row r="22" spans="3:8" s="723" customFormat="1" ht="21" customHeight="1" thickBot="1">
      <c r="C22" s="724"/>
      <c r="D22" s="745"/>
      <c r="E22" s="744"/>
      <c r="F22" s="745"/>
      <c r="G22" s="745"/>
      <c r="H22" s="746" t="str">
        <f t="shared" si="4"/>
        <v>P</v>
      </c>
    </row>
    <row r="23" spans="3:8" s="723" customFormat="1" ht="21" customHeight="1" thickBot="1">
      <c r="C23" s="724"/>
      <c r="D23" s="745"/>
      <c r="E23" s="744"/>
      <c r="F23" s="745"/>
      <c r="G23" s="745"/>
      <c r="H23" s="746" t="str">
        <f t="shared" si="4"/>
        <v>X</v>
      </c>
    </row>
    <row r="24" spans="3:8" s="723" customFormat="1" ht="21" customHeight="1" thickBot="1">
      <c r="C24" s="724"/>
      <c r="D24" s="745"/>
      <c r="E24" s="744"/>
      <c r="F24" s="745"/>
      <c r="G24" s="745"/>
      <c r="H24" s="746" t="str">
        <f t="shared" si="4"/>
        <v>B</v>
      </c>
    </row>
    <row r="25" spans="3:8" s="723" customFormat="1" ht="21" customHeight="1" thickBot="1">
      <c r="C25" s="724"/>
      <c r="D25" s="745"/>
      <c r="E25" s="744"/>
      <c r="F25" s="745"/>
      <c r="G25" s="745"/>
      <c r="H25" s="746" t="str">
        <f t="shared" si="4"/>
        <v>G</v>
      </c>
    </row>
    <row r="26" spans="3:8" s="723" customFormat="1" ht="21" customHeight="1" thickBot="1">
      <c r="C26" s="724"/>
      <c r="D26" s="745"/>
      <c r="E26" s="744"/>
      <c r="F26" s="745"/>
      <c r="G26" s="745"/>
      <c r="H26" s="746" t="str">
        <f t="shared" si="4"/>
        <v>R</v>
      </c>
    </row>
    <row r="27" spans="3:8" s="723" customFormat="1" ht="21" customHeight="1" thickBot="1">
      <c r="C27" s="724"/>
      <c r="D27" s="745"/>
      <c r="E27" s="744"/>
      <c r="F27" s="745"/>
      <c r="G27" s="745"/>
      <c r="H27" s="746" t="str">
        <f t="shared" si="4"/>
        <v>Y</v>
      </c>
    </row>
    <row r="28" spans="3:8" ht="21" customHeight="1" thickBot="1">
      <c r="C28" s="724"/>
      <c r="D28" s="745"/>
      <c r="E28" s="744"/>
      <c r="F28" s="745"/>
      <c r="G28" s="745"/>
      <c r="H28" s="746" t="str">
        <f t="shared" si="4"/>
        <v>O</v>
      </c>
    </row>
    <row r="29" spans="3:8" ht="21" customHeight="1" thickBot="1">
      <c r="C29" s="724"/>
      <c r="D29" s="745"/>
      <c r="E29" s="744"/>
      <c r="F29" s="745"/>
      <c r="G29" s="745"/>
      <c r="H29" s="746" t="str">
        <f t="shared" si="4"/>
        <v>P</v>
      </c>
    </row>
    <row r="30" spans="3:8" ht="21" customHeight="1" thickBot="1">
      <c r="C30" s="724"/>
      <c r="D30" s="745"/>
      <c r="E30" s="744"/>
      <c r="F30" s="745"/>
      <c r="G30" s="745"/>
      <c r="H30" s="746"/>
    </row>
    <row r="31" spans="3:8" ht="21" customHeight="1" thickBot="1">
      <c r="C31" s="1059" t="s">
        <v>1</v>
      </c>
      <c r="D31" s="745">
        <f ca="1">SUM(_xlfn.ANCHORARRAY(D10))</f>
        <v>3416</v>
      </c>
      <c r="E31" s="745">
        <f>SUM(_xlfn.ANCHORARRAY(E10))</f>
        <v>39235624.299927838</v>
      </c>
      <c r="F31" s="745"/>
      <c r="G31" s="745"/>
      <c r="H31" s="746"/>
    </row>
  </sheetData>
  <mergeCells count="17">
    <mergeCell ref="EK7:EV7"/>
    <mergeCell ref="I7:T7"/>
    <mergeCell ref="U7:AF7"/>
    <mergeCell ref="AG7:AR7"/>
    <mergeCell ref="BE7:BP7"/>
    <mergeCell ref="AS7:BD7"/>
    <mergeCell ref="BQ7:CB7"/>
    <mergeCell ref="CC7:CN7"/>
    <mergeCell ref="CO7:CZ7"/>
    <mergeCell ref="DA7:DL7"/>
    <mergeCell ref="DM7:DX7"/>
    <mergeCell ref="DY7:EJ7"/>
    <mergeCell ref="EW7:FH7"/>
    <mergeCell ref="FI7:FT7"/>
    <mergeCell ref="FU7:GF7"/>
    <mergeCell ref="GG7:GR7"/>
    <mergeCell ref="GS7:HD7"/>
  </mergeCells>
  <conditionalFormatting sqref="I9:HD32">
    <cfRule type="expression" dxfId="15" priority="134" stopIfTrue="1">
      <formula>NOT(AND($G9&gt;=I$2,$F9&lt;=I$2))</formula>
    </cfRule>
    <cfRule type="expression" dxfId="14" priority="135" stopIfTrue="1">
      <formula>ISBLANK($H9)</formula>
    </cfRule>
    <cfRule type="expression" dxfId="13" priority="136" stopIfTrue="1">
      <formula>($H9="X")</formula>
    </cfRule>
    <cfRule type="expression" dxfId="12" priority="137" stopIfTrue="1">
      <formula>($H9="Y")</formula>
    </cfRule>
    <cfRule type="expression" dxfId="11" priority="138" stopIfTrue="1">
      <formula>($H9="O")</formula>
    </cfRule>
    <cfRule type="expression" dxfId="10" priority="139" stopIfTrue="1">
      <formula>($H9="R")</formula>
    </cfRule>
    <cfRule type="expression" dxfId="9" priority="140" stopIfTrue="1">
      <formula>($H9="P")</formula>
    </cfRule>
    <cfRule type="expression" dxfId="8" priority="141" stopIfTrue="1">
      <formula>($H9="B")</formula>
    </cfRule>
    <cfRule type="expression" dxfId="7" priority="142" stopIfTrue="1">
      <formula>($H9="G")</formula>
    </cfRule>
  </conditionalFormatting>
  <conditionalFormatting sqref="H3:NA6 H8:NA40 H7:DM7 DY7:NA7">
    <cfRule type="expression" dxfId="6" priority="3" stopIfTrue="1">
      <formula>H$2=""</formula>
    </cfRule>
  </conditionalFormatting>
  <pageMargins left="0.35" right="0.35" top="0.35" bottom="0.5" header="0.3" footer="0.3"/>
  <pageSetup scale="39" fitToHeight="0" orientation="landscape" r:id="rId1"/>
  <headerFooter scaleWithDoc="0">
    <oddFooter>&amp;L&amp;"Arial,Regular"&amp;8&amp;K01+043https://www.vertex42.com/ExcelTemplates/construction-schedule.html&amp;R&amp;"Arial,Regular"&amp;8&amp;K01+043Construction Schedule Template © 2017 by Vertex42.com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B3C2-B70A-4C83-A222-ED1D08B2960C}">
  <sheetPr codeName="Sheet11" filterMode="1">
    <tabColor rgb="FF0070C0"/>
    <pageSetUpPr fitToPage="1"/>
  </sheetPr>
  <dimension ref="A1:AL68"/>
  <sheetViews>
    <sheetView showGridLines="0" topLeftCell="B2" workbookViewId="0">
      <selection activeCell="F44" sqref="F44"/>
    </sheetView>
  </sheetViews>
  <sheetFormatPr baseColWidth="10" defaultColWidth="9" defaultRowHeight="14" zeroHeight="1"/>
  <cols>
    <col min="1" max="1" width="5" hidden="1" customWidth="1"/>
    <col min="2" max="2" width="3.6640625" customWidth="1"/>
    <col min="3" max="3" width="9" customWidth="1"/>
    <col min="4" max="4" width="9.33203125" bestFit="1" customWidth="1"/>
    <col min="5" max="6" width="12.33203125" bestFit="1" customWidth="1"/>
    <col min="7" max="37" width="10.83203125" customWidth="1"/>
    <col min="38" max="38" width="8" bestFit="1" customWidth="1"/>
    <col min="39" max="41" width="9" customWidth="1"/>
  </cols>
  <sheetData>
    <row r="1" spans="1:38" ht="15" hidden="1">
      <c r="A1" s="199" t="s">
        <v>159</v>
      </c>
      <c r="B1" s="49"/>
      <c r="C1" s="49"/>
      <c r="D1" s="49"/>
      <c r="E1" s="49"/>
      <c r="F1" s="49"/>
      <c r="G1" s="49"/>
      <c r="H1" s="104"/>
      <c r="I1" s="104" cm="1">
        <f t="array" aca="1" ref="I1" ca="1">IF(SUM(G$39:$H39)&lt;c_Units.Total,1,0)</f>
        <v>1</v>
      </c>
      <c r="J1" s="104" cm="1">
        <f t="array" aca="1" ref="J1" ca="1">IF(SUM($H$39:H39)&lt;c_Units.Total,1,0)</f>
        <v>1</v>
      </c>
      <c r="K1" s="104" cm="1">
        <f t="array" aca="1" ref="K1" ca="1">IF(SUM($H$39:I39)&lt;c_Units.Total,1,0)</f>
        <v>1</v>
      </c>
      <c r="L1" s="104" cm="1">
        <f t="array" aca="1" ref="L1" ca="1">IF(SUM($H$39:J39)&lt;c_Units.Total,1,0)</f>
        <v>1</v>
      </c>
      <c r="M1" s="104" cm="1">
        <f t="array" aca="1" ref="M1" ca="1">IF(SUM($H$39:K39)&lt;c_Units.Total,1,0)</f>
        <v>1</v>
      </c>
      <c r="N1" s="104" cm="1">
        <f t="array" aca="1" ref="N1" ca="1">IF(SUM($H$39:L39)&lt;c_Units.Total,1,0)</f>
        <v>1</v>
      </c>
      <c r="O1" s="104" cm="1">
        <f t="array" aca="1" ref="O1" ca="1">IF(SUM($H$39:M39)&lt;c_Units.Total,1,0)</f>
        <v>1</v>
      </c>
      <c r="P1" s="104" cm="1">
        <f t="array" aca="1" ref="P1" ca="1">IF(SUM($H$39:N39)&lt;c_Units.Total,1,0)</f>
        <v>0</v>
      </c>
      <c r="Q1" s="104" cm="1">
        <f t="array" aca="1" ref="Q1" ca="1">IF(SUM($H$39:O39)&lt;c_Units.Total,1,0)</f>
        <v>0</v>
      </c>
      <c r="R1" s="104" cm="1">
        <f t="array" aca="1" ref="R1" ca="1">IF(SUM($H$39:P39)&lt;c_Units.Total,1,0)</f>
        <v>0</v>
      </c>
      <c r="S1" s="104" cm="1">
        <f t="array" aca="1" ref="S1" ca="1">IF(SUM($H$39:Q39)&lt;c_Units.Total,1,0)</f>
        <v>0</v>
      </c>
      <c r="T1" s="104" cm="1">
        <f t="array" aca="1" ref="T1" ca="1">IF(SUM($H$39:R39)&lt;c_Units.Total,1,0)</f>
        <v>0</v>
      </c>
      <c r="U1" s="104" cm="1">
        <f t="array" aca="1" ref="U1" ca="1">IF(SUM($H$39:S39)&lt;c_Units.Total,1,0)</f>
        <v>0</v>
      </c>
      <c r="V1" s="104" cm="1">
        <f t="array" aca="1" ref="V1" ca="1">IF(SUM($H$39:T39)&lt;c_Units.Total,1,0)</f>
        <v>0</v>
      </c>
      <c r="W1" s="104" cm="1">
        <f t="array" aca="1" ref="W1" ca="1">IF(SUM($H$39:U39)&lt;c_Units.Total,1,0)</f>
        <v>0</v>
      </c>
      <c r="X1" s="104" cm="1">
        <f t="array" aca="1" ref="X1" ca="1">IF(SUM($H$39:V39)&lt;c_Units.Total,1,0)</f>
        <v>0</v>
      </c>
      <c r="Y1" s="104" cm="1">
        <f t="array" aca="1" ref="Y1" ca="1">IF(SUM($H$39:W39)&lt;c_Units.Total,1,0)</f>
        <v>0</v>
      </c>
      <c r="Z1" s="104" cm="1">
        <f t="array" aca="1" ref="Z1" ca="1">IF(SUM($H$39:X39)&lt;c_Units.Total,1,0)</f>
        <v>0</v>
      </c>
      <c r="AA1" s="104" cm="1">
        <f t="array" aca="1" ref="AA1" ca="1">IF(SUM($H$39:Y39)&lt;c_Units.Total,1,0)</f>
        <v>0</v>
      </c>
      <c r="AB1" s="104" cm="1">
        <f t="array" aca="1" ref="AB1" ca="1">IF(SUM($H$39:Z39)&lt;c_Units.Total,1,0)</f>
        <v>0</v>
      </c>
      <c r="AC1" s="104" cm="1">
        <f t="array" aca="1" ref="AC1" ca="1">IF(SUM($H$39:AA39)&lt;c_Units.Total,1,0)</f>
        <v>0</v>
      </c>
      <c r="AD1" s="104" cm="1">
        <f t="array" aca="1" ref="AD1" ca="1">IF(SUM($H$39:AB39)&lt;c_Units.Total,1,0)</f>
        <v>0</v>
      </c>
      <c r="AE1" s="104" cm="1">
        <f t="array" aca="1" ref="AE1" ca="1">IF(SUM($H$39:AC39)&lt;c_Units.Total,1,0)</f>
        <v>0</v>
      </c>
      <c r="AF1" s="104" cm="1">
        <f t="array" aca="1" ref="AF1" ca="1">IF(SUM($H$39:AD39)&lt;c_Units.Total,1,0)</f>
        <v>0</v>
      </c>
      <c r="AG1" s="104" cm="1">
        <f t="array" aca="1" ref="AG1" ca="1">IF(SUM($H$39:AE39)&lt;c_Units.Total,1,0)</f>
        <v>0</v>
      </c>
      <c r="AH1" s="104" cm="1">
        <f t="array" aca="1" ref="AH1" ca="1">IF(SUM($H$39:AF39)&lt;c_Units.Total,1,0)</f>
        <v>0</v>
      </c>
      <c r="AI1" s="104" cm="1">
        <f t="array" aca="1" ref="AI1" ca="1">IF(SUM($H$39:AG39)&lt;c_Units.Total,1,0)</f>
        <v>0</v>
      </c>
      <c r="AJ1" s="104" cm="1">
        <f t="array" aca="1" ref="AJ1" ca="1">IF(SUM($H$39:AH39)&lt;c_Units.Total,1,0)</f>
        <v>0</v>
      </c>
      <c r="AK1" s="104" cm="1">
        <f t="array" aca="1" ref="AK1" ca="1">IF(SUM($H$39:AI39)&lt;c_Units.Total,1,0)</f>
        <v>0</v>
      </c>
      <c r="AL1" s="104" cm="1">
        <f t="array" aca="1" ref="AL1" ca="1">IF(SUM($H$39:AJ39)&lt;c_Units.Total,1,0)</f>
        <v>0</v>
      </c>
    </row>
    <row r="2" spans="1:38" ht="20">
      <c r="A2" s="39"/>
      <c r="B2" s="31" t="str">
        <f>i_Project.Name</f>
        <v>Peoria Lakes</v>
      </c>
      <c r="C2" s="32"/>
      <c r="D2" s="32"/>
      <c r="E2" s="29"/>
      <c r="F2" s="29"/>
      <c r="G2" s="75"/>
      <c r="H2" s="29"/>
      <c r="I2" s="74"/>
      <c r="J2" s="29"/>
      <c r="K2" s="29"/>
      <c r="L2" s="74"/>
      <c r="M2" s="76"/>
      <c r="N2" s="29"/>
      <c r="O2" s="77"/>
      <c r="P2" s="29"/>
      <c r="Q2" s="78"/>
      <c r="R2" s="13"/>
      <c r="S2" s="13"/>
      <c r="T2" s="13"/>
      <c r="U2" s="13"/>
      <c r="V2" s="13"/>
      <c r="W2" s="52"/>
      <c r="X2" s="52"/>
      <c r="Y2" s="52"/>
      <c r="Z2" s="73"/>
      <c r="AA2" s="52"/>
      <c r="AB2" s="52"/>
      <c r="AC2" s="42"/>
      <c r="AD2" s="54"/>
      <c r="AE2" s="42"/>
      <c r="AF2" s="55"/>
      <c r="AG2" s="56"/>
      <c r="AH2" s="43"/>
      <c r="AI2" s="43"/>
      <c r="AJ2" s="43"/>
      <c r="AK2" s="2"/>
      <c r="AL2" s="2"/>
    </row>
    <row r="3" spans="1:38" ht="16">
      <c r="A3" s="39"/>
      <c r="B3" s="79" t="str">
        <f>i_Project.Location</f>
        <v>Peoria Lakes</v>
      </c>
      <c r="C3" s="33"/>
      <c r="D3" s="33"/>
      <c r="E3" s="29"/>
      <c r="F3" s="29"/>
      <c r="G3" s="75"/>
      <c r="H3" s="29"/>
      <c r="I3" s="74"/>
      <c r="J3" s="29"/>
      <c r="K3" s="29"/>
      <c r="L3" s="74"/>
      <c r="M3" s="76"/>
      <c r="N3" s="29"/>
      <c r="O3" s="77"/>
      <c r="P3" s="29"/>
      <c r="Q3" s="78"/>
      <c r="R3" s="13"/>
      <c r="S3" s="13"/>
      <c r="T3" s="13"/>
      <c r="U3" s="13"/>
      <c r="V3" s="13"/>
      <c r="W3" s="52"/>
      <c r="X3" s="52"/>
      <c r="Y3" s="52"/>
      <c r="Z3" s="73"/>
      <c r="AA3" s="52"/>
      <c r="AB3" s="52"/>
      <c r="AC3" s="57"/>
      <c r="AD3" s="42"/>
      <c r="AE3" s="58"/>
      <c r="AF3" s="59"/>
      <c r="AG3" s="60"/>
      <c r="AH3" s="44"/>
      <c r="AI3" s="44"/>
      <c r="AJ3" s="44"/>
      <c r="AK3" s="2"/>
      <c r="AL3" s="2"/>
    </row>
    <row r="4" spans="1:38" ht="17" customHeight="1">
      <c r="A4" s="39"/>
      <c r="B4" s="33"/>
      <c r="C4" s="33"/>
      <c r="D4" s="33"/>
      <c r="E4" s="29"/>
      <c r="F4" s="29"/>
      <c r="G4" s="75"/>
      <c r="H4" s="29"/>
      <c r="I4" s="74"/>
      <c r="J4" s="29"/>
      <c r="K4" s="29"/>
      <c r="L4" s="74"/>
      <c r="M4" s="76"/>
      <c r="N4" s="29"/>
      <c r="O4" s="77"/>
      <c r="P4" s="29"/>
      <c r="Q4" s="78"/>
      <c r="R4" s="13"/>
      <c r="S4" s="13"/>
      <c r="T4" s="13"/>
      <c r="U4" s="13"/>
      <c r="V4" s="13"/>
      <c r="W4" s="52"/>
      <c r="X4" s="52"/>
      <c r="Y4" s="52"/>
      <c r="Z4" s="73"/>
      <c r="AA4" s="52"/>
      <c r="AB4" s="52"/>
      <c r="AC4" s="61"/>
      <c r="AD4" s="35"/>
      <c r="AE4" s="35"/>
      <c r="AF4" s="35"/>
      <c r="AG4" s="45"/>
      <c r="AH4" s="45"/>
      <c r="AI4" s="45"/>
      <c r="AJ4" s="45"/>
      <c r="AK4" s="2"/>
      <c r="AL4" s="2"/>
    </row>
    <row r="5" spans="1:38" ht="15">
      <c r="A5" s="34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53"/>
      <c r="AE5" s="53"/>
      <c r="AF5" s="53"/>
      <c r="AG5" s="53"/>
      <c r="AH5" s="53"/>
      <c r="AI5" s="53"/>
    </row>
    <row r="6" spans="1:38" s="140" customFormat="1" ht="25" customHeight="1">
      <c r="A6" s="34"/>
      <c r="B6" s="1472"/>
      <c r="C6" s="1473" t="s">
        <v>75</v>
      </c>
      <c r="D6" s="1474"/>
      <c r="E6" s="1474"/>
      <c r="F6" s="1474"/>
      <c r="G6" s="1474"/>
      <c r="H6" s="1474"/>
      <c r="I6" s="1474"/>
      <c r="J6" s="1474"/>
      <c r="K6" s="1474"/>
      <c r="L6" s="1474"/>
      <c r="M6" s="1474"/>
      <c r="N6" s="1474"/>
      <c r="O6" s="1474"/>
      <c r="P6" s="1474"/>
      <c r="Q6" s="1474"/>
      <c r="R6" s="1474"/>
      <c r="S6" s="1474"/>
      <c r="T6" s="1474"/>
      <c r="U6" s="1474"/>
      <c r="V6" s="1474"/>
      <c r="W6" s="1474"/>
      <c r="X6" s="1474"/>
      <c r="Y6" s="1474"/>
      <c r="Z6" s="1474"/>
      <c r="AA6" s="1474"/>
      <c r="AB6" s="1474"/>
      <c r="AC6" s="1474"/>
      <c r="AD6" s="1475"/>
      <c r="AE6" s="1475"/>
      <c r="AF6" s="1475"/>
      <c r="AG6" s="1475"/>
      <c r="AH6" s="1475"/>
      <c r="AI6" s="1475"/>
      <c r="AJ6" s="1476"/>
    </row>
    <row r="7" spans="1:38" ht="15">
      <c r="A7" s="34"/>
      <c r="B7" s="46"/>
      <c r="C7" s="6" t="s">
        <v>76</v>
      </c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53"/>
      <c r="AE7" s="53"/>
      <c r="AF7" s="53"/>
      <c r="AG7" s="53"/>
      <c r="AH7" s="53"/>
      <c r="AI7" s="53"/>
    </row>
    <row r="8" spans="1:38" ht="15">
      <c r="A8" s="34"/>
      <c r="B8" s="46"/>
      <c r="C8" s="6" t="s">
        <v>77</v>
      </c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53"/>
      <c r="AE8" s="53"/>
      <c r="AF8" s="53"/>
      <c r="AG8" s="53"/>
      <c r="AH8" s="53"/>
      <c r="AI8" s="53"/>
    </row>
    <row r="9" spans="1:38" ht="16" thickBot="1">
      <c r="A9" s="34"/>
      <c r="B9" s="46"/>
      <c r="C9" s="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53"/>
      <c r="AE9" s="53"/>
      <c r="AF9" s="53"/>
      <c r="AG9" s="53"/>
      <c r="AH9" s="53"/>
      <c r="AI9" s="53"/>
    </row>
    <row r="10" spans="1:38" ht="30" customHeight="1" thickTop="1" thickBot="1">
      <c r="A10" s="34"/>
      <c r="B10" s="47"/>
      <c r="C10" s="148"/>
      <c r="D10" s="105"/>
      <c r="E10" s="106"/>
      <c r="F10" s="1478" t="s">
        <v>80</v>
      </c>
      <c r="G10" s="283">
        <f t="shared" ref="G10:R10" ca="1" si="0">G45</f>
        <v>0</v>
      </c>
      <c r="H10" s="284">
        <f t="shared" ca="1" si="0"/>
        <v>0</v>
      </c>
      <c r="I10" s="284">
        <f t="shared" ca="1" si="0"/>
        <v>0</v>
      </c>
      <c r="J10" s="284">
        <f t="shared" ca="1" si="0"/>
        <v>1858</v>
      </c>
      <c r="K10" s="284">
        <f t="shared" ca="1" si="0"/>
        <v>1358</v>
      </c>
      <c r="L10" s="284">
        <f t="shared" ca="1" si="0"/>
        <v>1045</v>
      </c>
      <c r="M10" s="284">
        <f t="shared" ca="1" si="0"/>
        <v>806</v>
      </c>
      <c r="N10" s="284">
        <f t="shared" ca="1" si="0"/>
        <v>593</v>
      </c>
      <c r="O10" s="284">
        <f t="shared" ca="1" si="0"/>
        <v>93</v>
      </c>
      <c r="P10" s="284" t="str">
        <f t="shared" ca="1" si="0"/>
        <v/>
      </c>
      <c r="Q10" s="284" t="str">
        <f t="shared" ca="1" si="0"/>
        <v/>
      </c>
      <c r="R10" s="284" t="str">
        <f t="shared" ca="1" si="0"/>
        <v/>
      </c>
      <c r="S10" s="284" t="str">
        <f t="shared" ref="S10:AJ10" ca="1" si="1">S45</f>
        <v/>
      </c>
      <c r="T10" s="284" t="str">
        <f t="shared" ca="1" si="1"/>
        <v/>
      </c>
      <c r="U10" s="285" t="str">
        <f t="shared" ca="1" si="1"/>
        <v/>
      </c>
      <c r="V10" s="88" t="str">
        <f t="shared" ca="1" si="1"/>
        <v/>
      </c>
      <c r="W10" s="88" t="str">
        <f t="shared" ca="1" si="1"/>
        <v/>
      </c>
      <c r="X10" s="81" t="str">
        <f t="shared" ca="1" si="1"/>
        <v/>
      </c>
      <c r="Y10" s="81" t="str">
        <f t="shared" ca="1" si="1"/>
        <v/>
      </c>
      <c r="Z10" s="81" t="str">
        <f t="shared" ca="1" si="1"/>
        <v/>
      </c>
      <c r="AA10" s="81" t="str">
        <f t="shared" ca="1" si="1"/>
        <v/>
      </c>
      <c r="AB10" s="81" t="str">
        <f t="shared" ca="1" si="1"/>
        <v/>
      </c>
      <c r="AC10" s="81" t="str">
        <f t="shared" ca="1" si="1"/>
        <v/>
      </c>
      <c r="AD10" s="81" t="str">
        <f t="shared" ca="1" si="1"/>
        <v/>
      </c>
      <c r="AE10" s="81" t="str">
        <f t="shared" ca="1" si="1"/>
        <v/>
      </c>
      <c r="AF10" s="81" t="str">
        <f t="shared" ca="1" si="1"/>
        <v/>
      </c>
      <c r="AG10" s="81" t="str">
        <f t="shared" ca="1" si="1"/>
        <v/>
      </c>
      <c r="AH10" s="81" t="str">
        <f t="shared" ca="1" si="1"/>
        <v/>
      </c>
      <c r="AI10" s="81" t="str">
        <f t="shared" ca="1" si="1"/>
        <v/>
      </c>
      <c r="AJ10" s="81" t="str">
        <f t="shared" ca="1" si="1"/>
        <v/>
      </c>
    </row>
    <row r="11" spans="1:38" ht="8" customHeight="1" thickTop="1" thickBot="1">
      <c r="A11" s="34"/>
      <c r="B11" s="47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46"/>
      <c r="Y11" s="46"/>
      <c r="Z11" s="46"/>
      <c r="AA11" s="46"/>
      <c r="AB11" s="46"/>
      <c r="AC11" s="46"/>
      <c r="AD11" s="53"/>
      <c r="AE11" s="53"/>
      <c r="AF11" s="53"/>
      <c r="AG11" s="53"/>
      <c r="AH11" s="53"/>
      <c r="AI11" s="53"/>
    </row>
    <row r="12" spans="1:38" ht="14.25" customHeight="1" thickTop="1" thickBot="1">
      <c r="A12" s="34"/>
      <c r="B12" s="51"/>
      <c r="C12" s="82" t="s">
        <v>55</v>
      </c>
      <c r="D12" s="1755" t="s">
        <v>67</v>
      </c>
      <c r="E12" s="1756"/>
      <c r="F12" s="1479" t="s">
        <v>238</v>
      </c>
      <c r="G12" s="83" cm="1">
        <f t="array" ref="G12:N12">TRANSPOSE(_xlfn.UNIQUE(_xlfn.ANCHORARRAY(ADMIN!V9)))</f>
        <v>1</v>
      </c>
      <c r="H12" s="84">
        <v>2</v>
      </c>
      <c r="I12" s="84">
        <v>3</v>
      </c>
      <c r="J12" s="84">
        <v>4</v>
      </c>
      <c r="K12" s="84">
        <v>5</v>
      </c>
      <c r="L12" s="84">
        <v>6</v>
      </c>
      <c r="M12" s="84">
        <v>7</v>
      </c>
      <c r="N12" s="84">
        <v>8</v>
      </c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</row>
    <row r="13" spans="1:38" ht="14.25" customHeight="1" thickTop="1" thickBot="1">
      <c r="A13" s="34"/>
      <c r="B13" s="51"/>
      <c r="C13" s="85" t="s">
        <v>38</v>
      </c>
      <c r="D13" s="1480" t="s">
        <v>9</v>
      </c>
      <c r="E13" s="1480" t="s">
        <v>44</v>
      </c>
      <c r="F13" s="87" t="s">
        <v>17</v>
      </c>
      <c r="G13" s="87" cm="1">
        <f t="array" ref="G13:N13">TRANSPOSE(_xlfn.UNIQUE(_xlfn.ANCHORARRAY(ADMIN!U9)))</f>
        <v>2024</v>
      </c>
      <c r="H13" s="87">
        <v>2025</v>
      </c>
      <c r="I13" s="87">
        <v>2026</v>
      </c>
      <c r="J13" s="87">
        <v>2027</v>
      </c>
      <c r="K13" s="87">
        <v>2028</v>
      </c>
      <c r="L13" s="87">
        <v>2029</v>
      </c>
      <c r="M13" s="87">
        <v>2030</v>
      </c>
      <c r="N13" s="87">
        <v>2031</v>
      </c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</row>
    <row r="14" spans="1:38" ht="15.75" customHeight="1" thickTop="1" thickBot="1">
      <c r="A14" s="34">
        <f>IF(C14=0,0,1)</f>
        <v>1</v>
      </c>
      <c r="B14" s="48"/>
      <c r="C14" s="1466" t="str" cm="1">
        <f t="array" ref="C14:C21">list_Phases</f>
        <v>1.1</v>
      </c>
      <c r="D14" s="1467" cm="1">
        <f t="array" aca="1" ref="D14:D21" ca="1">COUNTIF(list_PhaseID,_xlfn.ANCHORARRAY(C14))</f>
        <v>4</v>
      </c>
      <c r="E14" s="1466" cm="1">
        <f t="array" aca="1" ref="E14:E21" ca="1">SUMIF(list_PhaseID,_xlfn.ANCHORARRAY(C14),tbl_Planning[Units])</f>
        <v>323</v>
      </c>
      <c r="F14" s="1468" cm="1">
        <f t="array" ref="F14:F21">_xlfn.XLOOKUP(list_Phases,DATABASE!$D$16:D43,DATABASE!G16:G43)</f>
        <v>25</v>
      </c>
      <c r="G14" s="280" cm="1">
        <f t="array" aca="1" ref="G14:N21" ca="1">IF(_xlfn.ANCHORARRAY(G12)=CEILING(_xlfn.ANCHORARRAY(F14)/12,1),_xlfn.ANCHORARRAY($E14),0)</f>
        <v>0</v>
      </c>
      <c r="H14" s="280">
        <f ca="1"/>
        <v>0</v>
      </c>
      <c r="I14" s="280">
        <f ca="1"/>
        <v>323</v>
      </c>
      <c r="J14" s="280">
        <f ca="1"/>
        <v>0</v>
      </c>
      <c r="K14" s="280">
        <f ca="1"/>
        <v>0</v>
      </c>
      <c r="L14" s="280">
        <f ca="1"/>
        <v>0</v>
      </c>
      <c r="M14" s="280">
        <f ca="1"/>
        <v>0</v>
      </c>
      <c r="N14" s="280">
        <f ca="1"/>
        <v>0</v>
      </c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280"/>
      <c r="AI14" s="280"/>
      <c r="AJ14" s="280"/>
      <c r="AK14" s="99"/>
      <c r="AL14" s="99"/>
    </row>
    <row r="15" spans="1:38" ht="15.75" customHeight="1" thickTop="1" thickBot="1">
      <c r="A15" s="34">
        <f t="shared" ref="A15:A37" si="2">IF(C15=0,0,1)</f>
        <v>1</v>
      </c>
      <c r="B15" s="51"/>
      <c r="C15" s="1466" t="str">
        <v>1.2</v>
      </c>
      <c r="D15" s="1466">
        <f ca="1"/>
        <v>6</v>
      </c>
      <c r="E15" s="1466">
        <f ca="1"/>
        <v>788</v>
      </c>
      <c r="F15" s="1469">
        <v>41</v>
      </c>
      <c r="G15" s="280">
        <f ca="1"/>
        <v>0</v>
      </c>
      <c r="H15" s="280">
        <f ca="1"/>
        <v>0</v>
      </c>
      <c r="I15" s="280">
        <f ca="1"/>
        <v>0</v>
      </c>
      <c r="J15" s="280">
        <f ca="1"/>
        <v>788</v>
      </c>
      <c r="K15" s="280">
        <f ca="1"/>
        <v>0</v>
      </c>
      <c r="L15" s="280">
        <f ca="1"/>
        <v>0</v>
      </c>
      <c r="M15" s="280">
        <f ca="1"/>
        <v>0</v>
      </c>
      <c r="N15" s="280">
        <f ca="1"/>
        <v>0</v>
      </c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280"/>
      <c r="AI15" s="280"/>
      <c r="AJ15" s="280"/>
      <c r="AK15" s="99"/>
      <c r="AL15" s="99"/>
    </row>
    <row r="16" spans="1:38" ht="15.75" customHeight="1" thickTop="1" thickBot="1">
      <c r="A16" s="34">
        <f t="shared" si="2"/>
        <v>1</v>
      </c>
      <c r="B16" s="51"/>
      <c r="C16" s="1466" t="str">
        <v>2.1</v>
      </c>
      <c r="D16" s="1466">
        <f ca="1"/>
        <v>12</v>
      </c>
      <c r="E16" s="1466">
        <f ca="1"/>
        <v>1570</v>
      </c>
      <c r="F16" s="1469">
        <v>47</v>
      </c>
      <c r="G16" s="280">
        <f ca="1"/>
        <v>0</v>
      </c>
      <c r="H16" s="280">
        <f ca="1"/>
        <v>0</v>
      </c>
      <c r="I16" s="280">
        <f ca="1"/>
        <v>0</v>
      </c>
      <c r="J16" s="280">
        <f ca="1"/>
        <v>1570</v>
      </c>
      <c r="K16" s="280">
        <f ca="1"/>
        <v>0</v>
      </c>
      <c r="L16" s="280">
        <f ca="1"/>
        <v>0</v>
      </c>
      <c r="M16" s="280">
        <f ca="1"/>
        <v>0</v>
      </c>
      <c r="N16" s="280">
        <f ca="1"/>
        <v>0</v>
      </c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280"/>
      <c r="AI16" s="280"/>
      <c r="AJ16" s="280"/>
      <c r="AK16" s="99"/>
      <c r="AL16" s="99"/>
    </row>
    <row r="17" spans="1:14" ht="15.75" customHeight="1" thickTop="1" thickBot="1">
      <c r="A17" s="34">
        <f t="shared" si="2"/>
        <v>1</v>
      </c>
      <c r="B17" s="51"/>
      <c r="C17" s="1466" t="str">
        <v>2.2</v>
      </c>
      <c r="D17" s="1466">
        <f ca="1"/>
        <v>4</v>
      </c>
      <c r="E17" s="1466">
        <f ca="1"/>
        <v>187</v>
      </c>
      <c r="F17" s="1469">
        <v>71</v>
      </c>
      <c r="G17" s="280">
        <f ca="1"/>
        <v>0</v>
      </c>
      <c r="H17" s="280">
        <f ca="1"/>
        <v>0</v>
      </c>
      <c r="I17" s="280">
        <f ca="1"/>
        <v>0</v>
      </c>
      <c r="J17" s="280">
        <f ca="1"/>
        <v>0</v>
      </c>
      <c r="K17" s="280">
        <f ca="1"/>
        <v>0</v>
      </c>
      <c r="L17" s="280">
        <f ca="1"/>
        <v>187</v>
      </c>
      <c r="M17" s="280">
        <f ca="1"/>
        <v>0</v>
      </c>
      <c r="N17" s="280">
        <f ca="1"/>
        <v>0</v>
      </c>
    </row>
    <row r="18" spans="1:14" ht="15.75" customHeight="1" thickTop="1" thickBot="1">
      <c r="A18" s="34">
        <f t="shared" si="2"/>
        <v>1</v>
      </c>
      <c r="B18" s="51"/>
      <c r="C18" s="1466" t="str">
        <v>3.1</v>
      </c>
      <c r="D18" s="1466">
        <f ca="1"/>
        <v>3</v>
      </c>
      <c r="E18" s="1466">
        <f ca="1"/>
        <v>0</v>
      </c>
      <c r="F18" s="1469">
        <v>47</v>
      </c>
      <c r="G18" s="280">
        <f ca="1"/>
        <v>0</v>
      </c>
      <c r="H18" s="280">
        <f ca="1"/>
        <v>0</v>
      </c>
      <c r="I18" s="280">
        <f ca="1"/>
        <v>0</v>
      </c>
      <c r="J18" s="280">
        <f ca="1"/>
        <v>0</v>
      </c>
      <c r="K18" s="280">
        <f ca="1"/>
        <v>0</v>
      </c>
      <c r="L18" s="280">
        <f ca="1"/>
        <v>0</v>
      </c>
      <c r="M18" s="280">
        <f ca="1"/>
        <v>0</v>
      </c>
      <c r="N18" s="280">
        <f ca="1"/>
        <v>0</v>
      </c>
    </row>
    <row r="19" spans="1:14" ht="15.75" customHeight="1" thickTop="1" thickBot="1">
      <c r="A19" s="34">
        <f t="shared" si="2"/>
        <v>1</v>
      </c>
      <c r="B19" s="51"/>
      <c r="C19" s="1466" t="str">
        <v>3.2</v>
      </c>
      <c r="D19" s="1466">
        <f ca="1"/>
        <v>2</v>
      </c>
      <c r="E19" s="1466">
        <f ca="1"/>
        <v>0</v>
      </c>
      <c r="F19" s="1469">
        <v>47</v>
      </c>
      <c r="G19" s="280">
        <f ca="1"/>
        <v>0</v>
      </c>
      <c r="H19" s="280">
        <f ca="1"/>
        <v>0</v>
      </c>
      <c r="I19" s="280">
        <f ca="1"/>
        <v>0</v>
      </c>
      <c r="J19" s="280">
        <f ca="1"/>
        <v>0</v>
      </c>
      <c r="K19" s="280">
        <f ca="1"/>
        <v>0</v>
      </c>
      <c r="L19" s="280">
        <f ca="1"/>
        <v>0</v>
      </c>
      <c r="M19" s="280">
        <f ca="1"/>
        <v>0</v>
      </c>
      <c r="N19" s="280">
        <f ca="1"/>
        <v>0</v>
      </c>
    </row>
    <row r="20" spans="1:14" ht="15.75" customHeight="1" thickTop="1" thickBot="1">
      <c r="A20" s="34">
        <f t="shared" si="2"/>
        <v>1</v>
      </c>
      <c r="B20" s="51"/>
      <c r="C20" s="1466" t="str">
        <v>4.1</v>
      </c>
      <c r="D20" s="1466">
        <f ca="1"/>
        <v>5</v>
      </c>
      <c r="E20" s="1466">
        <f ca="1"/>
        <v>261</v>
      </c>
      <c r="F20" s="1469">
        <v>77</v>
      </c>
      <c r="G20" s="280">
        <f ca="1"/>
        <v>0</v>
      </c>
      <c r="H20" s="280">
        <f ca="1"/>
        <v>0</v>
      </c>
      <c r="I20" s="280">
        <f ca="1"/>
        <v>0</v>
      </c>
      <c r="J20" s="280">
        <f ca="1"/>
        <v>0</v>
      </c>
      <c r="K20" s="280">
        <f ca="1"/>
        <v>0</v>
      </c>
      <c r="L20" s="280">
        <f ca="1"/>
        <v>0</v>
      </c>
      <c r="M20" s="280">
        <f ca="1"/>
        <v>261</v>
      </c>
      <c r="N20" s="280">
        <f ca="1"/>
        <v>0</v>
      </c>
    </row>
    <row r="21" spans="1:14" ht="15.75" customHeight="1" thickTop="1" thickBot="1">
      <c r="A21" s="34">
        <f t="shared" si="2"/>
        <v>1</v>
      </c>
      <c r="B21" s="51"/>
      <c r="C21" s="1466" t="str">
        <v>4.2</v>
      </c>
      <c r="D21" s="1466">
        <f ca="1"/>
        <v>6</v>
      </c>
      <c r="E21" s="1466">
        <f ca="1"/>
        <v>287</v>
      </c>
      <c r="F21" s="1469">
        <v>95</v>
      </c>
      <c r="G21" s="280">
        <f ca="1"/>
        <v>0</v>
      </c>
      <c r="H21" s="280">
        <f ca="1"/>
        <v>0</v>
      </c>
      <c r="I21" s="280">
        <f ca="1"/>
        <v>0</v>
      </c>
      <c r="J21" s="280">
        <f ca="1"/>
        <v>0</v>
      </c>
      <c r="K21" s="280">
        <f ca="1"/>
        <v>0</v>
      </c>
      <c r="L21" s="280">
        <f ca="1"/>
        <v>0</v>
      </c>
      <c r="M21" s="280">
        <f ca="1"/>
        <v>0</v>
      </c>
      <c r="N21" s="280">
        <f ca="1"/>
        <v>287</v>
      </c>
    </row>
    <row r="22" spans="1:14" ht="15.75" hidden="1" customHeight="1" thickTop="1" thickBot="1">
      <c r="A22" s="34">
        <f t="shared" si="2"/>
        <v>0</v>
      </c>
      <c r="B22" s="51"/>
      <c r="C22" s="1466"/>
      <c r="D22" s="1466"/>
      <c r="E22" s="1466"/>
      <c r="F22" s="1469"/>
      <c r="G22" s="280"/>
      <c r="H22" s="280"/>
      <c r="I22" s="280"/>
      <c r="J22" s="280"/>
      <c r="K22" s="280"/>
      <c r="L22" s="280"/>
      <c r="M22" s="280"/>
      <c r="N22" s="280"/>
    </row>
    <row r="23" spans="1:14" ht="15.75" hidden="1" customHeight="1" thickTop="1" thickBot="1">
      <c r="A23" s="34">
        <f t="shared" si="2"/>
        <v>0</v>
      </c>
      <c r="B23" s="51"/>
      <c r="C23" s="1466"/>
      <c r="D23" s="1466"/>
      <c r="E23" s="1466"/>
      <c r="F23" s="1469"/>
      <c r="G23" s="280"/>
      <c r="H23" s="280"/>
      <c r="I23" s="280"/>
      <c r="J23" s="280"/>
      <c r="K23" s="280"/>
      <c r="L23" s="280"/>
      <c r="M23" s="280"/>
      <c r="N23" s="280"/>
    </row>
    <row r="24" spans="1:14" ht="15.75" hidden="1" customHeight="1" thickTop="1" thickBot="1">
      <c r="A24" s="34">
        <f t="shared" si="2"/>
        <v>0</v>
      </c>
      <c r="B24" s="51"/>
      <c r="C24" s="1466"/>
      <c r="D24" s="1466"/>
      <c r="E24" s="1466"/>
      <c r="F24" s="1469"/>
      <c r="G24" s="280"/>
      <c r="H24" s="280"/>
      <c r="I24" s="280"/>
      <c r="J24" s="280"/>
      <c r="K24" s="280"/>
      <c r="L24" s="280"/>
      <c r="M24" s="280"/>
      <c r="N24" s="280"/>
    </row>
    <row r="25" spans="1:14" ht="15.75" hidden="1" customHeight="1" thickTop="1" thickBot="1">
      <c r="A25" s="34">
        <f t="shared" si="2"/>
        <v>0</v>
      </c>
      <c r="B25" s="51"/>
      <c r="C25" s="1466"/>
      <c r="D25" s="1466"/>
      <c r="E25" s="1466"/>
      <c r="F25" s="1469"/>
      <c r="G25" s="280"/>
      <c r="H25" s="280"/>
      <c r="I25" s="280"/>
      <c r="J25" s="280"/>
      <c r="K25" s="280"/>
      <c r="L25" s="280"/>
      <c r="M25" s="280"/>
      <c r="N25" s="280"/>
    </row>
    <row r="26" spans="1:14" ht="15.75" hidden="1" customHeight="1" thickTop="1" thickBot="1">
      <c r="A26" s="34">
        <f t="shared" si="2"/>
        <v>0</v>
      </c>
      <c r="B26" s="51"/>
      <c r="C26" s="1466"/>
      <c r="D26" s="1466"/>
      <c r="E26" s="1466"/>
      <c r="F26" s="1469"/>
      <c r="G26" s="280"/>
      <c r="H26" s="280"/>
      <c r="I26" s="280"/>
      <c r="J26" s="280"/>
      <c r="K26" s="280"/>
      <c r="L26" s="280"/>
      <c r="M26" s="280"/>
      <c r="N26" s="280"/>
    </row>
    <row r="27" spans="1:14" ht="15.75" hidden="1" customHeight="1" thickTop="1" thickBot="1">
      <c r="A27" s="34">
        <f t="shared" si="2"/>
        <v>0</v>
      </c>
      <c r="B27" s="51"/>
      <c r="C27" s="1466"/>
      <c r="D27" s="1466"/>
      <c r="E27" s="1466"/>
      <c r="F27" s="1469"/>
      <c r="G27" s="280"/>
      <c r="H27" s="280"/>
      <c r="I27" s="280"/>
      <c r="J27" s="280"/>
      <c r="K27" s="280"/>
      <c r="L27" s="280"/>
      <c r="M27" s="280"/>
      <c r="N27" s="280"/>
    </row>
    <row r="28" spans="1:14" ht="15.75" hidden="1" customHeight="1" thickTop="1" thickBot="1">
      <c r="A28" s="34">
        <f t="shared" si="2"/>
        <v>0</v>
      </c>
      <c r="B28" s="51"/>
      <c r="C28" s="1466"/>
      <c r="D28" s="1466"/>
      <c r="E28" s="1466"/>
      <c r="F28" s="1469"/>
      <c r="G28" s="280"/>
      <c r="H28" s="280"/>
      <c r="I28" s="280"/>
      <c r="J28" s="280"/>
      <c r="K28" s="280"/>
      <c r="L28" s="280"/>
      <c r="M28" s="280"/>
      <c r="N28" s="280"/>
    </row>
    <row r="29" spans="1:14" ht="15.75" hidden="1" customHeight="1" thickTop="1" thickBot="1">
      <c r="A29" s="34">
        <f t="shared" si="2"/>
        <v>0</v>
      </c>
      <c r="B29" s="47"/>
      <c r="C29" s="1466"/>
      <c r="D29" s="1466"/>
      <c r="E29" s="1466"/>
      <c r="F29" s="1469"/>
      <c r="G29" s="280"/>
      <c r="H29" s="280"/>
      <c r="I29" s="280"/>
      <c r="J29" s="280"/>
      <c r="K29" s="280"/>
      <c r="L29" s="280"/>
      <c r="M29" s="280"/>
      <c r="N29" s="280"/>
    </row>
    <row r="30" spans="1:14" ht="15.75" hidden="1" customHeight="1" thickTop="1" thickBot="1">
      <c r="A30" s="34">
        <f t="shared" si="2"/>
        <v>0</v>
      </c>
      <c r="B30" s="47"/>
      <c r="C30" s="1466"/>
      <c r="D30" s="1466"/>
      <c r="E30" s="1466"/>
      <c r="F30" s="1469"/>
      <c r="G30" s="280"/>
      <c r="H30" s="280"/>
      <c r="I30" s="280"/>
      <c r="J30" s="280"/>
      <c r="K30" s="280"/>
      <c r="L30" s="280"/>
      <c r="M30" s="280"/>
      <c r="N30" s="280"/>
    </row>
    <row r="31" spans="1:14" ht="15.75" hidden="1" customHeight="1" thickTop="1" thickBot="1">
      <c r="A31" s="34">
        <f t="shared" si="2"/>
        <v>0</v>
      </c>
      <c r="B31" s="47"/>
      <c r="C31" s="1466"/>
      <c r="D31" s="1466"/>
      <c r="E31" s="1466"/>
      <c r="F31" s="1469"/>
      <c r="G31" s="280"/>
      <c r="H31" s="280"/>
      <c r="I31" s="280"/>
      <c r="J31" s="280"/>
      <c r="K31" s="280"/>
      <c r="L31" s="280"/>
      <c r="M31" s="280"/>
      <c r="N31" s="280"/>
    </row>
    <row r="32" spans="1:14" ht="15.75" hidden="1" customHeight="1" thickTop="1" thickBot="1">
      <c r="A32" s="34">
        <f t="shared" si="2"/>
        <v>0</v>
      </c>
      <c r="B32" s="47"/>
      <c r="C32" s="1466"/>
      <c r="D32" s="1466"/>
      <c r="E32" s="1466"/>
      <c r="F32" s="1469"/>
      <c r="G32" s="280"/>
      <c r="H32" s="280"/>
      <c r="I32" s="280"/>
      <c r="J32" s="280"/>
      <c r="K32" s="280"/>
      <c r="L32" s="280"/>
      <c r="M32" s="280"/>
      <c r="N32" s="280"/>
    </row>
    <row r="33" spans="1:36" ht="15.5" hidden="1" customHeight="1" thickTop="1" thickBot="1">
      <c r="A33" s="34">
        <f t="shared" si="2"/>
        <v>0</v>
      </c>
      <c r="B33" s="47"/>
      <c r="C33" s="1466"/>
      <c r="D33" s="1466"/>
      <c r="E33" s="1466"/>
      <c r="F33" s="1469"/>
      <c r="G33" s="281"/>
      <c r="H33" s="281"/>
      <c r="I33" s="281"/>
      <c r="J33" s="281"/>
      <c r="K33" s="281"/>
      <c r="L33" s="281"/>
      <c r="M33" s="281"/>
      <c r="N33" s="281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  <c r="AF33" s="281"/>
      <c r="AG33" s="281"/>
      <c r="AH33" s="281"/>
      <c r="AI33" s="281"/>
      <c r="AJ33" s="281"/>
    </row>
    <row r="34" spans="1:36" ht="15" hidden="1" customHeight="1" thickTop="1" thickBot="1">
      <c r="A34" s="34">
        <f t="shared" si="2"/>
        <v>0</v>
      </c>
      <c r="B34" s="47"/>
      <c r="C34" s="1466"/>
      <c r="D34" s="1466"/>
      <c r="E34" s="1466"/>
      <c r="F34" s="1469"/>
      <c r="G34" s="282"/>
      <c r="H34" s="282"/>
      <c r="I34" s="282"/>
      <c r="J34" s="282"/>
      <c r="K34" s="282"/>
      <c r="L34" s="282"/>
      <c r="M34" s="282"/>
      <c r="N34" s="282"/>
      <c r="O34" s="282"/>
      <c r="P34" s="282"/>
      <c r="Q34" s="282"/>
      <c r="R34" s="282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  <c r="AH34" s="282"/>
      <c r="AI34" s="282"/>
      <c r="AJ34" s="282"/>
    </row>
    <row r="35" spans="1:36" ht="15" hidden="1" customHeight="1" thickTop="1" thickBot="1">
      <c r="A35" s="34">
        <f t="shared" si="2"/>
        <v>0</v>
      </c>
      <c r="B35" s="47"/>
      <c r="C35" s="1466"/>
      <c r="D35" s="1466"/>
      <c r="E35" s="1466"/>
      <c r="F35" s="1469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  <c r="S35" s="282"/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  <c r="AF35" s="282"/>
      <c r="AG35" s="282"/>
      <c r="AH35" s="282"/>
      <c r="AI35" s="282"/>
      <c r="AJ35" s="282"/>
    </row>
    <row r="36" spans="1:36" ht="13.5" hidden="1" customHeight="1" thickTop="1" thickBot="1">
      <c r="A36" s="34">
        <f t="shared" si="2"/>
        <v>0</v>
      </c>
      <c r="B36" s="47"/>
      <c r="C36" s="1466"/>
      <c r="D36" s="1466"/>
      <c r="E36" s="1466"/>
      <c r="F36" s="1469"/>
      <c r="G36" s="267"/>
      <c r="H36" s="267"/>
      <c r="I36" s="267"/>
      <c r="J36" s="267"/>
      <c r="K36" s="267"/>
      <c r="L36" s="267"/>
      <c r="M36" s="267"/>
      <c r="N36" s="267"/>
      <c r="O36" s="267"/>
      <c r="P36" s="267"/>
      <c r="Q36" s="267"/>
      <c r="R36" s="267"/>
      <c r="S36" s="267"/>
      <c r="T36" s="267"/>
      <c r="U36" s="267"/>
      <c r="V36" s="267"/>
      <c r="W36" s="267"/>
      <c r="X36" s="267"/>
      <c r="Y36" s="267"/>
      <c r="Z36" s="267"/>
      <c r="AA36" s="267"/>
      <c r="AB36" s="267"/>
      <c r="AC36" s="267"/>
      <c r="AD36" s="267"/>
      <c r="AE36" s="267"/>
      <c r="AF36" s="267"/>
      <c r="AG36" s="267"/>
      <c r="AH36" s="267"/>
      <c r="AI36" s="267"/>
      <c r="AJ36" s="267"/>
    </row>
    <row r="37" spans="1:36" ht="13.5" hidden="1" customHeight="1" thickTop="1" thickBot="1">
      <c r="A37" s="34">
        <f t="shared" si="2"/>
        <v>0</v>
      </c>
      <c r="B37" s="47"/>
      <c r="C37" s="1466"/>
      <c r="D37" s="1466"/>
      <c r="E37" s="1466"/>
      <c r="F37" s="1469"/>
      <c r="G37" s="267"/>
      <c r="H37" s="267"/>
      <c r="I37" s="267"/>
      <c r="J37" s="267"/>
      <c r="K37" s="267"/>
      <c r="L37" s="267"/>
      <c r="M37" s="267"/>
      <c r="N37" s="267"/>
      <c r="O37" s="267"/>
      <c r="P37" s="267"/>
      <c r="Q37" s="267"/>
      <c r="R37" s="267"/>
      <c r="S37" s="267"/>
      <c r="T37" s="267"/>
      <c r="U37" s="267"/>
      <c r="V37" s="267"/>
      <c r="W37" s="267"/>
      <c r="X37" s="267"/>
      <c r="Y37" s="267"/>
      <c r="Z37" s="267"/>
      <c r="AA37" s="267"/>
      <c r="AB37" s="267"/>
      <c r="AC37" s="267"/>
      <c r="AD37" s="267"/>
      <c r="AE37" s="267"/>
      <c r="AF37" s="267"/>
      <c r="AG37" s="267"/>
      <c r="AH37" s="267"/>
      <c r="AI37" s="267"/>
      <c r="AJ37" s="267"/>
    </row>
    <row r="38" spans="1:36" ht="13.5" customHeight="1" thickTop="1">
      <c r="A38" s="34">
        <v>1</v>
      </c>
      <c r="B38" s="47"/>
      <c r="C38" s="1470"/>
      <c r="D38" s="1470"/>
      <c r="E38" s="1470"/>
      <c r="F38" s="1471"/>
      <c r="G38" s="267"/>
      <c r="H38" s="267"/>
      <c r="I38" s="267"/>
      <c r="J38" s="267"/>
      <c r="K38" s="267"/>
      <c r="L38" s="267"/>
      <c r="M38" s="267"/>
      <c r="N38" s="267"/>
      <c r="O38" s="267"/>
      <c r="P38" s="267"/>
      <c r="Q38" s="267"/>
      <c r="R38" s="267"/>
      <c r="S38" s="267"/>
      <c r="T38" s="267"/>
      <c r="U38" s="267"/>
      <c r="V38" s="267"/>
      <c r="W38" s="267"/>
      <c r="X38" s="267"/>
      <c r="Y38" s="267"/>
      <c r="Z38" s="267"/>
      <c r="AA38" s="267"/>
      <c r="AB38" s="267"/>
      <c r="AC38" s="267"/>
      <c r="AD38" s="267"/>
      <c r="AE38" s="267"/>
      <c r="AF38" s="267"/>
      <c r="AG38" s="267"/>
      <c r="AH38" s="267"/>
      <c r="AI38" s="267"/>
      <c r="AJ38" s="267"/>
    </row>
    <row r="39" spans="1:36" ht="14" customHeight="1" thickBot="1">
      <c r="A39" s="34"/>
      <c r="B39" s="47"/>
      <c r="C39" s="102" t="s">
        <v>94</v>
      </c>
      <c r="D39" s="103"/>
      <c r="E39" s="108">
        <f ca="1">SUM(E14:E33)</f>
        <v>3416</v>
      </c>
      <c r="F39" s="101"/>
      <c r="G39" s="101">
        <f t="shared" ref="G39:R39" ca="1" si="3">SUM(G14:G33)</f>
        <v>0</v>
      </c>
      <c r="H39" s="101">
        <f t="shared" ca="1" si="3"/>
        <v>0</v>
      </c>
      <c r="I39" s="101">
        <f t="shared" ca="1" si="3"/>
        <v>323</v>
      </c>
      <c r="J39" s="101">
        <f t="shared" ca="1" si="3"/>
        <v>2358</v>
      </c>
      <c r="K39" s="101">
        <f t="shared" ca="1" si="3"/>
        <v>0</v>
      </c>
      <c r="L39" s="101">
        <f t="shared" ca="1" si="3"/>
        <v>187</v>
      </c>
      <c r="M39" s="101">
        <f t="shared" ca="1" si="3"/>
        <v>261</v>
      </c>
      <c r="N39" s="101">
        <f t="shared" ca="1" si="3"/>
        <v>287</v>
      </c>
      <c r="O39" s="101">
        <f t="shared" si="3"/>
        <v>0</v>
      </c>
      <c r="P39" s="101">
        <f t="shared" si="3"/>
        <v>0</v>
      </c>
      <c r="Q39" s="101">
        <f t="shared" si="3"/>
        <v>0</v>
      </c>
      <c r="R39" s="101">
        <f t="shared" si="3"/>
        <v>0</v>
      </c>
      <c r="S39" s="101">
        <f t="shared" ref="S39:AJ39" si="4">SUM(S14:S33)</f>
        <v>0</v>
      </c>
      <c r="T39" s="101">
        <f t="shared" si="4"/>
        <v>0</v>
      </c>
      <c r="U39" s="101">
        <f t="shared" si="4"/>
        <v>0</v>
      </c>
      <c r="V39" s="101">
        <f t="shared" si="4"/>
        <v>0</v>
      </c>
      <c r="W39" s="101">
        <f t="shared" si="4"/>
        <v>0</v>
      </c>
      <c r="X39" s="101">
        <f t="shared" si="4"/>
        <v>0</v>
      </c>
      <c r="Y39" s="101">
        <f t="shared" si="4"/>
        <v>0</v>
      </c>
      <c r="Z39" s="101">
        <f t="shared" si="4"/>
        <v>0</v>
      </c>
      <c r="AA39" s="101">
        <f t="shared" si="4"/>
        <v>0</v>
      </c>
      <c r="AB39" s="101">
        <f t="shared" si="4"/>
        <v>0</v>
      </c>
      <c r="AC39" s="101">
        <f t="shared" si="4"/>
        <v>0</v>
      </c>
      <c r="AD39" s="101">
        <f t="shared" si="4"/>
        <v>0</v>
      </c>
      <c r="AE39" s="101">
        <f t="shared" si="4"/>
        <v>0</v>
      </c>
      <c r="AF39" s="101">
        <f t="shared" si="4"/>
        <v>0</v>
      </c>
      <c r="AG39" s="101">
        <f t="shared" si="4"/>
        <v>0</v>
      </c>
      <c r="AH39" s="101">
        <f t="shared" si="4"/>
        <v>0</v>
      </c>
      <c r="AI39" s="101">
        <f t="shared" si="4"/>
        <v>0</v>
      </c>
      <c r="AJ39" s="101">
        <f t="shared" si="4"/>
        <v>0</v>
      </c>
    </row>
    <row r="40" spans="1:36" ht="10.5" customHeight="1">
      <c r="A40" s="34"/>
      <c r="B40" s="47"/>
      <c r="C40" s="47"/>
      <c r="E40" s="47"/>
      <c r="F40" s="64"/>
    </row>
    <row r="41" spans="1:36" ht="9.75" customHeight="1" thickBot="1"/>
    <row r="42" spans="1:36" ht="17" collapsed="1" thickTop="1">
      <c r="C42" s="286" t="s">
        <v>71</v>
      </c>
      <c r="D42" s="287"/>
      <c r="E42" s="288"/>
      <c r="F42" s="289"/>
      <c r="G42" s="290">
        <v>0</v>
      </c>
      <c r="H42" s="290">
        <f t="shared" ref="H42:S42" ca="1" si="5">G45</f>
        <v>0</v>
      </c>
      <c r="I42" s="290">
        <f t="shared" ca="1" si="5"/>
        <v>0</v>
      </c>
      <c r="J42" s="290">
        <f t="shared" ca="1" si="5"/>
        <v>0</v>
      </c>
      <c r="K42" s="290">
        <f t="shared" ca="1" si="5"/>
        <v>1858</v>
      </c>
      <c r="L42" s="290">
        <f t="shared" ca="1" si="5"/>
        <v>1358</v>
      </c>
      <c r="M42" s="290">
        <f t="shared" ca="1" si="5"/>
        <v>1045</v>
      </c>
      <c r="N42" s="290">
        <f t="shared" ca="1" si="5"/>
        <v>806</v>
      </c>
      <c r="O42" s="290">
        <f t="shared" ca="1" si="5"/>
        <v>593</v>
      </c>
      <c r="P42" s="290">
        <f t="shared" ca="1" si="5"/>
        <v>93</v>
      </c>
      <c r="Q42" s="290" t="str">
        <f t="shared" ca="1" si="5"/>
        <v/>
      </c>
      <c r="R42" s="290" t="str">
        <f t="shared" ca="1" si="5"/>
        <v/>
      </c>
      <c r="S42" s="290" t="str">
        <f t="shared" ca="1" si="5"/>
        <v/>
      </c>
      <c r="T42" s="290" t="str">
        <f t="shared" ref="T42:AA42" ca="1" si="6">S45</f>
        <v/>
      </c>
      <c r="U42" s="290" t="str">
        <f t="shared" ca="1" si="6"/>
        <v/>
      </c>
      <c r="V42" s="290" t="str">
        <f t="shared" ca="1" si="6"/>
        <v/>
      </c>
      <c r="W42" s="290" t="str">
        <f t="shared" ca="1" si="6"/>
        <v/>
      </c>
      <c r="X42" s="290" t="str">
        <f t="shared" ca="1" si="6"/>
        <v/>
      </c>
      <c r="Y42" s="290" t="str">
        <f t="shared" ca="1" si="6"/>
        <v/>
      </c>
      <c r="Z42" s="290" t="str">
        <f t="shared" ca="1" si="6"/>
        <v/>
      </c>
      <c r="AA42" s="290" t="str">
        <f t="shared" ca="1" si="6"/>
        <v/>
      </c>
      <c r="AB42" s="290" t="str">
        <f t="shared" ref="AB42:AJ42" ca="1" si="7">AA45</f>
        <v/>
      </c>
      <c r="AC42" s="290" t="str">
        <f t="shared" ca="1" si="7"/>
        <v/>
      </c>
      <c r="AD42" s="290" t="str">
        <f t="shared" ca="1" si="7"/>
        <v/>
      </c>
      <c r="AE42" s="290" t="str">
        <f t="shared" ca="1" si="7"/>
        <v/>
      </c>
      <c r="AF42" s="290" t="str">
        <f t="shared" ca="1" si="7"/>
        <v/>
      </c>
      <c r="AG42" s="290" t="str">
        <f t="shared" ca="1" si="7"/>
        <v/>
      </c>
      <c r="AH42" s="290" t="str">
        <f t="shared" ca="1" si="7"/>
        <v/>
      </c>
      <c r="AI42" s="290" t="str">
        <f t="shared" ca="1" si="7"/>
        <v/>
      </c>
      <c r="AJ42" s="290" t="str">
        <f t="shared" ca="1" si="7"/>
        <v/>
      </c>
    </row>
    <row r="43" spans="1:36" ht="25.25" customHeight="1" thickBot="1">
      <c r="C43" s="291" t="s">
        <v>69</v>
      </c>
      <c r="D43" s="292"/>
      <c r="E43" s="293"/>
      <c r="F43" s="279">
        <f ca="1">SUM(G43:AK43)</f>
        <v>3416</v>
      </c>
      <c r="G43" s="294">
        <f t="shared" ref="G43:AJ43" ca="1" si="8">SUM(G14:G37)</f>
        <v>0</v>
      </c>
      <c r="H43" s="294">
        <f t="shared" ca="1" si="8"/>
        <v>0</v>
      </c>
      <c r="I43" s="294">
        <f t="shared" ca="1" si="8"/>
        <v>323</v>
      </c>
      <c r="J43" s="294">
        <f t="shared" ca="1" si="8"/>
        <v>2358</v>
      </c>
      <c r="K43" s="294">
        <f t="shared" ca="1" si="8"/>
        <v>0</v>
      </c>
      <c r="L43" s="294">
        <f t="shared" ca="1" si="8"/>
        <v>187</v>
      </c>
      <c r="M43" s="294">
        <f t="shared" ca="1" si="8"/>
        <v>261</v>
      </c>
      <c r="N43" s="294">
        <f t="shared" ca="1" si="8"/>
        <v>287</v>
      </c>
      <c r="O43" s="294">
        <f t="shared" si="8"/>
        <v>0</v>
      </c>
      <c r="P43" s="294">
        <f t="shared" si="8"/>
        <v>0</v>
      </c>
      <c r="Q43" s="294">
        <f t="shared" si="8"/>
        <v>0</v>
      </c>
      <c r="R43" s="294">
        <f t="shared" si="8"/>
        <v>0</v>
      </c>
      <c r="S43" s="294">
        <f t="shared" si="8"/>
        <v>0</v>
      </c>
      <c r="T43" s="294">
        <f t="shared" si="8"/>
        <v>0</v>
      </c>
      <c r="U43" s="294">
        <f t="shared" si="8"/>
        <v>0</v>
      </c>
      <c r="V43" s="294">
        <f t="shared" si="8"/>
        <v>0</v>
      </c>
      <c r="W43" s="294">
        <f t="shared" si="8"/>
        <v>0</v>
      </c>
      <c r="X43" s="294">
        <f t="shared" si="8"/>
        <v>0</v>
      </c>
      <c r="Y43" s="294">
        <f t="shared" si="8"/>
        <v>0</v>
      </c>
      <c r="Z43" s="294">
        <f t="shared" si="8"/>
        <v>0</v>
      </c>
      <c r="AA43" s="294">
        <f t="shared" si="8"/>
        <v>0</v>
      </c>
      <c r="AB43" s="294">
        <f t="shared" si="8"/>
        <v>0</v>
      </c>
      <c r="AC43" s="294">
        <f t="shared" si="8"/>
        <v>0</v>
      </c>
      <c r="AD43" s="294">
        <f t="shared" si="8"/>
        <v>0</v>
      </c>
      <c r="AE43" s="294">
        <f t="shared" si="8"/>
        <v>0</v>
      </c>
      <c r="AF43" s="294">
        <f t="shared" si="8"/>
        <v>0</v>
      </c>
      <c r="AG43" s="294">
        <f t="shared" si="8"/>
        <v>0</v>
      </c>
      <c r="AH43" s="294">
        <f t="shared" si="8"/>
        <v>0</v>
      </c>
      <c r="AI43" s="294">
        <f t="shared" si="8"/>
        <v>0</v>
      </c>
      <c r="AJ43" s="294">
        <f t="shared" si="8"/>
        <v>0</v>
      </c>
    </row>
    <row r="44" spans="1:36" ht="25.25" customHeight="1" thickTop="1">
      <c r="C44" s="295" t="s">
        <v>72</v>
      </c>
      <c r="D44" s="287"/>
      <c r="E44" s="288"/>
      <c r="F44" s="289">
        <f>i_Demand.Annual</f>
        <v>500</v>
      </c>
      <c r="G44" s="290">
        <v>0</v>
      </c>
      <c r="H44" s="290">
        <f t="shared" ref="H44:R44" ca="1" si="9">IF(H42="","",MAX(-i_Demand.Annual,-(H42+H43)))</f>
        <v>0</v>
      </c>
      <c r="I44" s="290">
        <f t="shared" ca="1" si="9"/>
        <v>-323</v>
      </c>
      <c r="J44" s="290">
        <f t="shared" ca="1" si="9"/>
        <v>-500</v>
      </c>
      <c r="K44" s="290">
        <f t="shared" ca="1" si="9"/>
        <v>-500</v>
      </c>
      <c r="L44" s="290">
        <f t="shared" ca="1" si="9"/>
        <v>-500</v>
      </c>
      <c r="M44" s="290">
        <f t="shared" ca="1" si="9"/>
        <v>-500</v>
      </c>
      <c r="N44" s="290">
        <f t="shared" ca="1" si="9"/>
        <v>-500</v>
      </c>
      <c r="O44" s="290">
        <f t="shared" ca="1" si="9"/>
        <v>-500</v>
      </c>
      <c r="P44" s="290">
        <f t="shared" ca="1" si="9"/>
        <v>-93</v>
      </c>
      <c r="Q44" s="290" t="str">
        <f t="shared" ca="1" si="9"/>
        <v/>
      </c>
      <c r="R44" s="290" t="str">
        <f t="shared" ca="1" si="9"/>
        <v/>
      </c>
      <c r="S44" s="290" t="str">
        <f t="shared" ref="S44:AJ44" ca="1" si="10">IF(S42="","",MAX(-i_Demand.Annual,-(S42+S43)))</f>
        <v/>
      </c>
      <c r="T44" s="290" t="str">
        <f t="shared" ca="1" si="10"/>
        <v/>
      </c>
      <c r="U44" s="290" t="str">
        <f t="shared" ca="1" si="10"/>
        <v/>
      </c>
      <c r="V44" s="290" t="str">
        <f t="shared" ca="1" si="10"/>
        <v/>
      </c>
      <c r="W44" s="290" t="str">
        <f t="shared" ca="1" si="10"/>
        <v/>
      </c>
      <c r="X44" s="290" t="str">
        <f t="shared" ca="1" si="10"/>
        <v/>
      </c>
      <c r="Y44" s="290" t="str">
        <f t="shared" ca="1" si="10"/>
        <v/>
      </c>
      <c r="Z44" s="290" t="str">
        <f t="shared" ca="1" si="10"/>
        <v/>
      </c>
      <c r="AA44" s="290" t="str">
        <f t="shared" ca="1" si="10"/>
        <v/>
      </c>
      <c r="AB44" s="290" t="str">
        <f t="shared" ca="1" si="10"/>
        <v/>
      </c>
      <c r="AC44" s="290" t="str">
        <f t="shared" ca="1" si="10"/>
        <v/>
      </c>
      <c r="AD44" s="290" t="str">
        <f t="shared" ca="1" si="10"/>
        <v/>
      </c>
      <c r="AE44" s="290" t="str">
        <f t="shared" ca="1" si="10"/>
        <v/>
      </c>
      <c r="AF44" s="290" t="str">
        <f t="shared" ca="1" si="10"/>
        <v/>
      </c>
      <c r="AG44" s="290" t="str">
        <f t="shared" ca="1" si="10"/>
        <v/>
      </c>
      <c r="AH44" s="290" t="str">
        <f t="shared" ca="1" si="10"/>
        <v/>
      </c>
      <c r="AI44" s="290" t="str">
        <f t="shared" ca="1" si="10"/>
        <v/>
      </c>
      <c r="AJ44" s="290" t="str">
        <f t="shared" ca="1" si="10"/>
        <v/>
      </c>
    </row>
    <row r="45" spans="1:36" ht="17" thickBot="1">
      <c r="C45" s="296" t="s">
        <v>73</v>
      </c>
      <c r="D45" s="292"/>
      <c r="E45" s="293"/>
      <c r="F45" s="279"/>
      <c r="G45" s="294">
        <f ca="1">IF(G42+G43+G44&gt;0,G42+G43+G44,0)</f>
        <v>0</v>
      </c>
      <c r="H45" s="294">
        <f t="shared" ref="H45:AJ45" ca="1" si="11">IF(H46=$F$43,"",H42+H43+H44)</f>
        <v>0</v>
      </c>
      <c r="I45" s="294">
        <f t="shared" ca="1" si="11"/>
        <v>0</v>
      </c>
      <c r="J45" s="294">
        <f t="shared" ca="1" si="11"/>
        <v>1858</v>
      </c>
      <c r="K45" s="294">
        <f t="shared" ca="1" si="11"/>
        <v>1358</v>
      </c>
      <c r="L45" s="294">
        <f t="shared" ca="1" si="11"/>
        <v>1045</v>
      </c>
      <c r="M45" s="294">
        <f t="shared" ca="1" si="11"/>
        <v>806</v>
      </c>
      <c r="N45" s="294">
        <f t="shared" ca="1" si="11"/>
        <v>593</v>
      </c>
      <c r="O45" s="294">
        <f t="shared" ca="1" si="11"/>
        <v>93</v>
      </c>
      <c r="P45" s="294" t="str">
        <f t="shared" ca="1" si="11"/>
        <v/>
      </c>
      <c r="Q45" s="294" t="str">
        <f t="shared" ca="1" si="11"/>
        <v/>
      </c>
      <c r="R45" s="294" t="str">
        <f t="shared" ca="1" si="11"/>
        <v/>
      </c>
      <c r="S45" s="294" t="str">
        <f t="shared" ca="1" si="11"/>
        <v/>
      </c>
      <c r="T45" s="294" t="str">
        <f t="shared" ca="1" si="11"/>
        <v/>
      </c>
      <c r="U45" s="294" t="str">
        <f t="shared" ca="1" si="11"/>
        <v/>
      </c>
      <c r="V45" s="294" t="str">
        <f t="shared" ca="1" si="11"/>
        <v/>
      </c>
      <c r="W45" s="294" t="str">
        <f t="shared" ca="1" si="11"/>
        <v/>
      </c>
      <c r="X45" s="294" t="str">
        <f t="shared" ca="1" si="11"/>
        <v/>
      </c>
      <c r="Y45" s="294" t="str">
        <f t="shared" ca="1" si="11"/>
        <v/>
      </c>
      <c r="Z45" s="294" t="str">
        <f t="shared" ca="1" si="11"/>
        <v/>
      </c>
      <c r="AA45" s="294" t="str">
        <f t="shared" ca="1" si="11"/>
        <v/>
      </c>
      <c r="AB45" s="294" t="str">
        <f t="shared" ca="1" si="11"/>
        <v/>
      </c>
      <c r="AC45" s="294" t="str">
        <f t="shared" ca="1" si="11"/>
        <v/>
      </c>
      <c r="AD45" s="294" t="str">
        <f t="shared" ca="1" si="11"/>
        <v/>
      </c>
      <c r="AE45" s="294" t="str">
        <f t="shared" ca="1" si="11"/>
        <v/>
      </c>
      <c r="AF45" s="294" t="str">
        <f t="shared" ca="1" si="11"/>
        <v/>
      </c>
      <c r="AG45" s="294" t="str">
        <f t="shared" ca="1" si="11"/>
        <v/>
      </c>
      <c r="AH45" s="294" t="str">
        <f t="shared" ca="1" si="11"/>
        <v/>
      </c>
      <c r="AI45" s="294" t="str">
        <f t="shared" ca="1" si="11"/>
        <v/>
      </c>
      <c r="AJ45" s="294" t="str">
        <f t="shared" ca="1" si="11"/>
        <v/>
      </c>
    </row>
    <row r="46" spans="1:36" ht="17" thickTop="1">
      <c r="C46" s="99"/>
      <c r="D46" s="99"/>
      <c r="E46" s="99"/>
      <c r="F46" s="99"/>
      <c r="G46" s="297">
        <f>-SUM($G44:G44)</f>
        <v>0</v>
      </c>
      <c r="H46" s="297">
        <f ca="1">-SUM($G44:H44)</f>
        <v>0</v>
      </c>
      <c r="I46" s="297">
        <f ca="1">-SUM($G44:I44)</f>
        <v>323</v>
      </c>
      <c r="J46" s="297">
        <f ca="1">-SUM($G44:J44)</f>
        <v>823</v>
      </c>
      <c r="K46" s="297">
        <f ca="1">-SUM($G44:K44)</f>
        <v>1323</v>
      </c>
      <c r="L46" s="297">
        <f ca="1">-SUM($G44:L44)</f>
        <v>1823</v>
      </c>
      <c r="M46" s="297">
        <f ca="1">-SUM($G44:M44)</f>
        <v>2323</v>
      </c>
      <c r="N46" s="297">
        <f ca="1">-SUM($G44:N44)</f>
        <v>2823</v>
      </c>
      <c r="O46" s="297">
        <f ca="1">-SUM($G44:O44)</f>
        <v>3323</v>
      </c>
      <c r="P46" s="297">
        <f ca="1">-SUM($G44:P44)</f>
        <v>3416</v>
      </c>
      <c r="Q46" s="297">
        <f ca="1">-SUM($G44:Q44)</f>
        <v>3416</v>
      </c>
      <c r="R46" s="297">
        <f ca="1">-SUM($G44:R44)</f>
        <v>3416</v>
      </c>
      <c r="S46" s="297">
        <f ca="1">-SUM($G44:S44)</f>
        <v>3416</v>
      </c>
      <c r="T46" s="297">
        <f ca="1">-SUM($G44:T44)</f>
        <v>3416</v>
      </c>
      <c r="U46" s="297">
        <f ca="1">-SUM($G44:U44)</f>
        <v>3416</v>
      </c>
      <c r="V46" s="297">
        <f ca="1">-SUM($G44:V44)</f>
        <v>3416</v>
      </c>
      <c r="W46" s="297">
        <f ca="1">-SUM($G44:W44)</f>
        <v>3416</v>
      </c>
      <c r="X46" s="297">
        <f ca="1">-SUM($G44:X44)</f>
        <v>3416</v>
      </c>
      <c r="Y46" s="297">
        <f ca="1">-SUM($G44:Y44)</f>
        <v>3416</v>
      </c>
      <c r="Z46" s="297">
        <f ca="1">-SUM($G44:Z44)</f>
        <v>3416</v>
      </c>
      <c r="AA46" s="297">
        <f ca="1">-SUM($G44:AA44)</f>
        <v>3416</v>
      </c>
      <c r="AB46" s="297">
        <f ca="1">-SUM($G44:AB44)</f>
        <v>3416</v>
      </c>
      <c r="AC46" s="297">
        <f ca="1">-SUM($G44:AC44)</f>
        <v>3416</v>
      </c>
      <c r="AD46" s="297">
        <f ca="1">-SUM($G44:AD44)</f>
        <v>3416</v>
      </c>
      <c r="AE46" s="297">
        <f ca="1">-SUM($G44:AE44)</f>
        <v>3416</v>
      </c>
      <c r="AF46" s="297">
        <f ca="1">-SUM($G44:AF44)</f>
        <v>3416</v>
      </c>
      <c r="AG46" s="297">
        <f ca="1">-SUM($G44:AG44)</f>
        <v>3416</v>
      </c>
      <c r="AH46" s="297">
        <f ca="1">-SUM($G44:AH44)</f>
        <v>3416</v>
      </c>
      <c r="AI46" s="297">
        <f ca="1">-SUM($G44:AI44)</f>
        <v>3416</v>
      </c>
      <c r="AJ46" s="297">
        <f ca="1">-SUM($G44:AJ44)</f>
        <v>3416</v>
      </c>
    </row>
    <row r="47" spans="1:36"/>
    <row r="48" spans="1:36" ht="20" hidden="1" thickTop="1" thickBot="1">
      <c r="C48" s="302" t="s">
        <v>161</v>
      </c>
      <c r="D48" s="309"/>
      <c r="E48" s="309"/>
      <c r="F48" s="309"/>
      <c r="G48" s="310"/>
      <c r="H48" s="310"/>
      <c r="I48" s="310"/>
      <c r="J48" s="310"/>
      <c r="K48" s="310"/>
      <c r="L48" s="311"/>
      <c r="M48" s="312"/>
      <c r="N48" s="312"/>
      <c r="O48" s="312"/>
      <c r="P48" s="312"/>
      <c r="Q48" s="303"/>
      <c r="R48" s="303"/>
      <c r="S48" s="303"/>
      <c r="T48" s="303"/>
      <c r="U48" s="303"/>
      <c r="V48" s="303"/>
      <c r="W48" s="303"/>
      <c r="X48" s="303"/>
      <c r="Y48" s="303"/>
      <c r="Z48" s="303"/>
      <c r="AA48" s="303"/>
      <c r="AB48" s="303"/>
      <c r="AC48" s="303"/>
      <c r="AD48" s="303"/>
    </row>
    <row r="49" spans="3:30" ht="18" hidden="1" thickTop="1" thickBot="1">
      <c r="C49" s="304" t="str" cm="1">
        <f t="array" ref="C49:K52">TRANSPOSE(_xlfn._xlws.FILTER(DATABASE!$D$15:$G$43, DATABASE!$D$15:$D$43&lt;&gt;0, DATABASE!$D$15:$D$43&lt;&gt;""))</f>
        <v>Development Phase</v>
      </c>
      <c r="D49" s="315" t="str">
        <v>1.1</v>
      </c>
      <c r="E49" s="315" t="str">
        <v>1.2</v>
      </c>
      <c r="F49" s="315" t="str">
        <v>2.1</v>
      </c>
      <c r="G49" s="315" t="str">
        <v>2.2</v>
      </c>
      <c r="H49" s="315" t="str">
        <v>3.1</v>
      </c>
      <c r="I49" s="315" t="str">
        <v>3.2</v>
      </c>
      <c r="J49" s="315" t="str">
        <v>4.1</v>
      </c>
      <c r="K49" s="315" t="str">
        <v>4.2</v>
      </c>
      <c r="L49" s="315"/>
      <c r="M49" s="315"/>
      <c r="N49" s="315"/>
      <c r="O49" s="315"/>
      <c r="P49" s="315"/>
      <c r="Q49" s="315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</row>
    <row r="50" spans="3:30" ht="18" hidden="1" thickTop="1" thickBot="1">
      <c r="C50" s="305" t="str">
        <v>Start Month</v>
      </c>
      <c r="D50" s="279">
        <v>1</v>
      </c>
      <c r="E50" s="279">
        <v>24</v>
      </c>
      <c r="F50" s="279">
        <v>24</v>
      </c>
      <c r="G50" s="279">
        <v>48</v>
      </c>
      <c r="H50" s="279">
        <v>24</v>
      </c>
      <c r="I50" s="279">
        <v>24</v>
      </c>
      <c r="J50" s="279">
        <v>60</v>
      </c>
      <c r="K50" s="279">
        <v>84</v>
      </c>
      <c r="L50" s="279"/>
      <c r="M50" s="279"/>
      <c r="N50" s="279"/>
      <c r="O50" s="279"/>
      <c r="P50" s="279"/>
      <c r="Q50" s="279"/>
      <c r="R50" s="279"/>
      <c r="S50" s="279"/>
      <c r="T50" s="279"/>
      <c r="U50" s="279"/>
      <c r="V50" s="279"/>
      <c r="W50" s="279"/>
      <c r="X50" s="279"/>
      <c r="Y50" s="184"/>
      <c r="Z50" s="184"/>
      <c r="AA50" s="184"/>
      <c r="AB50" s="184"/>
      <c r="AC50" s="184"/>
      <c r="AD50" s="184"/>
    </row>
    <row r="51" spans="3:30" ht="18" hidden="1" thickTop="1" thickBot="1">
      <c r="C51" s="305" t="str">
        <v>Months to Complete</v>
      </c>
      <c r="D51" s="279">
        <v>25</v>
      </c>
      <c r="E51" s="279">
        <v>18</v>
      </c>
      <c r="F51" s="279">
        <v>24</v>
      </c>
      <c r="G51" s="279">
        <v>24</v>
      </c>
      <c r="H51" s="279">
        <v>24</v>
      </c>
      <c r="I51" s="279">
        <v>24</v>
      </c>
      <c r="J51" s="279">
        <v>18</v>
      </c>
      <c r="K51" s="279">
        <v>12</v>
      </c>
      <c r="L51" s="279"/>
      <c r="M51" s="279"/>
      <c r="N51" s="279"/>
      <c r="O51" s="279"/>
      <c r="P51" s="279"/>
      <c r="Q51" s="279"/>
      <c r="R51" s="279"/>
      <c r="S51" s="279"/>
      <c r="T51" s="279"/>
      <c r="U51" s="279"/>
      <c r="V51" s="279"/>
      <c r="W51" s="279"/>
      <c r="X51" s="279"/>
      <c r="Y51" s="184"/>
      <c r="Z51" s="184"/>
      <c r="AA51" s="184"/>
      <c r="AB51" s="184"/>
      <c r="AC51" s="184"/>
      <c r="AD51" s="184"/>
    </row>
    <row r="52" spans="3:30" ht="18" hidden="1" thickTop="1" thickBot="1">
      <c r="C52" s="305" t="str">
        <v>Thru Month</v>
      </c>
      <c r="D52" s="279">
        <v>25</v>
      </c>
      <c r="E52" s="279">
        <v>41</v>
      </c>
      <c r="F52" s="279">
        <v>47</v>
      </c>
      <c r="G52" s="279">
        <v>71</v>
      </c>
      <c r="H52" s="279">
        <v>47</v>
      </c>
      <c r="I52" s="279">
        <v>47</v>
      </c>
      <c r="J52" s="279">
        <v>77</v>
      </c>
      <c r="K52" s="279">
        <v>95</v>
      </c>
      <c r="L52" s="279"/>
      <c r="M52" s="279"/>
      <c r="N52" s="279"/>
      <c r="O52" s="279"/>
      <c r="P52" s="279"/>
      <c r="Q52" s="279"/>
      <c r="R52" s="279"/>
      <c r="S52" s="279"/>
      <c r="T52" s="279"/>
      <c r="U52" s="279"/>
      <c r="V52" s="279"/>
      <c r="W52" s="279"/>
      <c r="X52" s="279"/>
      <c r="Y52" s="184"/>
      <c r="Z52" s="184"/>
      <c r="AA52" s="184"/>
      <c r="AB52" s="184"/>
      <c r="AC52" s="184"/>
      <c r="AD52" s="184"/>
    </row>
    <row r="53" spans="3:30" ht="18" hidden="1" thickTop="1" thickBot="1">
      <c r="C53" s="314" t="s">
        <v>162</v>
      </c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</row>
    <row r="54" spans="3:30" ht="18" hidden="1" thickTop="1" thickBot="1">
      <c r="C54" s="305" t="str" cm="1">
        <f t="array" ref="C54:I61">TRANSPOSE(_xlfn._xlws.FILTER(DATABASE!$H$15:$O$43, DATABASE!$O$15:$O$43&lt;&gt;0, DATABASE!$O$15:$O$43&lt;&gt;""))</f>
        <v>Entitlements</v>
      </c>
      <c r="D54" s="316">
        <v>80750</v>
      </c>
      <c r="E54" s="316">
        <v>102000</v>
      </c>
      <c r="F54" s="316">
        <v>164750</v>
      </c>
      <c r="G54" s="316">
        <v>46750</v>
      </c>
      <c r="H54" s="316">
        <v>50000</v>
      </c>
      <c r="I54" s="316">
        <v>71750</v>
      </c>
      <c r="J54" s="316"/>
      <c r="K54" s="316"/>
      <c r="L54" s="316"/>
      <c r="M54" s="316"/>
      <c r="N54" s="316"/>
      <c r="O54" s="316"/>
      <c r="P54" s="316"/>
      <c r="Q54" s="316"/>
      <c r="R54" s="316"/>
      <c r="S54" s="316"/>
      <c r="T54" s="316"/>
      <c r="U54" s="316"/>
      <c r="V54" s="316"/>
      <c r="W54" s="316"/>
      <c r="X54" s="316"/>
      <c r="Y54" s="313"/>
      <c r="Z54" s="313"/>
      <c r="AA54" s="313"/>
      <c r="AB54" s="313"/>
      <c r="AC54" s="313"/>
      <c r="AD54" s="313"/>
    </row>
    <row r="55" spans="3:30" ht="18" hidden="1" thickTop="1" thickBot="1">
      <c r="C55" s="305" t="str">
        <v>Engineering</v>
      </c>
      <c r="D55" s="316">
        <v>565250</v>
      </c>
      <c r="E55" s="316">
        <v>714000</v>
      </c>
      <c r="F55" s="316">
        <v>1153250</v>
      </c>
      <c r="G55" s="316">
        <v>327250</v>
      </c>
      <c r="H55" s="316">
        <v>391500</v>
      </c>
      <c r="I55" s="316">
        <v>430500</v>
      </c>
      <c r="J55" s="316"/>
      <c r="K55" s="316"/>
      <c r="L55" s="316"/>
      <c r="M55" s="316"/>
      <c r="N55" s="316"/>
      <c r="O55" s="316"/>
      <c r="P55" s="316"/>
      <c r="Q55" s="316"/>
      <c r="R55" s="316"/>
      <c r="S55" s="316"/>
      <c r="T55" s="316"/>
      <c r="U55" s="316"/>
      <c r="V55" s="316"/>
      <c r="W55" s="316"/>
      <c r="X55" s="316"/>
      <c r="Y55" s="313"/>
      <c r="Z55" s="313"/>
      <c r="AA55" s="313"/>
      <c r="AB55" s="313"/>
      <c r="AC55" s="313"/>
      <c r="AD55" s="313"/>
    </row>
    <row r="56" spans="3:30" ht="18" hidden="1" thickTop="1" thickBot="1">
      <c r="C56" s="305" t="str">
        <v>Development &gt; Offsite</v>
      </c>
      <c r="D56" s="316">
        <v>1640500</v>
      </c>
      <c r="E56" s="316">
        <v>2140500</v>
      </c>
      <c r="F56" s="316">
        <v>2877500</v>
      </c>
      <c r="G56" s="316">
        <v>560000</v>
      </c>
      <c r="H56" s="316">
        <v>672250</v>
      </c>
      <c r="I56" s="316">
        <v>1067500</v>
      </c>
      <c r="J56" s="316"/>
      <c r="K56" s="316"/>
      <c r="L56" s="316"/>
      <c r="M56" s="316"/>
      <c r="N56" s="316"/>
      <c r="O56" s="316"/>
      <c r="P56" s="316"/>
      <c r="Q56" s="316"/>
      <c r="R56" s="316"/>
      <c r="S56" s="316"/>
      <c r="T56" s="316"/>
      <c r="U56" s="316"/>
      <c r="V56" s="316"/>
      <c r="W56" s="316"/>
      <c r="X56" s="316"/>
      <c r="Y56" s="313"/>
      <c r="Z56" s="313"/>
      <c r="AA56" s="313"/>
      <c r="AB56" s="313"/>
      <c r="AC56" s="313"/>
      <c r="AD56" s="313"/>
    </row>
    <row r="57" spans="3:30" ht="18" hidden="1" thickTop="1" thickBot="1">
      <c r="C57" s="305" t="str">
        <v>Development &gt; OnSite</v>
      </c>
      <c r="D57" s="316">
        <v>3281000</v>
      </c>
      <c r="E57" s="316">
        <v>4281000</v>
      </c>
      <c r="F57" s="316">
        <v>5755000</v>
      </c>
      <c r="G57" s="316">
        <v>1120000</v>
      </c>
      <c r="H57" s="316">
        <v>2016750</v>
      </c>
      <c r="I57" s="316">
        <v>3202500</v>
      </c>
      <c r="J57" s="316"/>
      <c r="K57" s="316"/>
      <c r="L57" s="316"/>
      <c r="M57" s="316"/>
      <c r="N57" s="316"/>
      <c r="O57" s="316"/>
      <c r="P57" s="316"/>
      <c r="Q57" s="316"/>
      <c r="R57" s="316"/>
      <c r="S57" s="316"/>
      <c r="T57" s="316"/>
      <c r="U57" s="316"/>
      <c r="V57" s="316"/>
      <c r="W57" s="316"/>
      <c r="X57" s="316"/>
      <c r="Y57" s="313"/>
      <c r="Z57" s="313"/>
      <c r="AA57" s="313"/>
      <c r="AB57" s="313"/>
      <c r="AC57" s="313"/>
      <c r="AD57" s="313"/>
    </row>
    <row r="58" spans="3:30" ht="18" hidden="1" thickTop="1" thickBot="1">
      <c r="C58" s="305" t="str">
        <v>Development &gt; Other</v>
      </c>
      <c r="D58" s="316">
        <v>0</v>
      </c>
      <c r="E58" s="316">
        <v>0</v>
      </c>
      <c r="F58" s="316">
        <v>0</v>
      </c>
      <c r="G58" s="316">
        <v>0</v>
      </c>
      <c r="H58" s="316">
        <v>0</v>
      </c>
      <c r="I58" s="316">
        <v>0</v>
      </c>
      <c r="J58" s="316"/>
      <c r="K58" s="316"/>
      <c r="L58" s="316"/>
      <c r="M58" s="316"/>
      <c r="N58" s="316"/>
      <c r="O58" s="316"/>
      <c r="P58" s="316"/>
      <c r="Q58" s="316"/>
      <c r="R58" s="316"/>
      <c r="S58" s="316"/>
      <c r="T58" s="316"/>
      <c r="U58" s="316"/>
      <c r="V58" s="316"/>
      <c r="W58" s="316"/>
      <c r="X58" s="316"/>
      <c r="Y58" s="313"/>
      <c r="Z58" s="313"/>
      <c r="AA58" s="313"/>
      <c r="AB58" s="313"/>
      <c r="AC58" s="313"/>
      <c r="AD58" s="313"/>
    </row>
    <row r="59" spans="3:30" ht="18" hidden="1" thickTop="1" thickBot="1">
      <c r="C59" s="305" t="str">
        <v>Contingency</v>
      </c>
      <c r="D59" s="316">
        <v>556750</v>
      </c>
      <c r="E59" s="316">
        <v>723750</v>
      </c>
      <c r="F59" s="316">
        <v>995050</v>
      </c>
      <c r="G59" s="316">
        <v>205400</v>
      </c>
      <c r="H59" s="316">
        <v>313050</v>
      </c>
      <c r="I59" s="316">
        <v>477225</v>
      </c>
      <c r="J59" s="316"/>
      <c r="K59" s="316"/>
      <c r="L59" s="316"/>
      <c r="M59" s="316"/>
      <c r="N59" s="316"/>
      <c r="O59" s="316"/>
      <c r="P59" s="316"/>
      <c r="Q59" s="316"/>
      <c r="R59" s="316"/>
      <c r="S59" s="316"/>
      <c r="T59" s="316"/>
      <c r="U59" s="316"/>
      <c r="V59" s="316"/>
      <c r="W59" s="316"/>
      <c r="X59" s="316"/>
      <c r="Y59" s="313"/>
      <c r="Z59" s="313"/>
      <c r="AA59" s="313"/>
      <c r="AB59" s="313"/>
      <c r="AC59" s="313"/>
      <c r="AD59" s="313"/>
    </row>
    <row r="60" spans="3:30" ht="18" hidden="1" thickTop="1" thickBot="1">
      <c r="C60" s="305" t="str">
        <v>Total Development Costs</v>
      </c>
      <c r="D60" s="316">
        <v>6124250</v>
      </c>
      <c r="E60" s="316">
        <v>7961250</v>
      </c>
      <c r="F60" s="316">
        <v>10945550</v>
      </c>
      <c r="G60" s="316">
        <v>2259400</v>
      </c>
      <c r="H60" s="316">
        <v>3443550</v>
      </c>
      <c r="I60" s="316">
        <v>5249475</v>
      </c>
      <c r="J60" s="316"/>
      <c r="K60" s="316"/>
      <c r="L60" s="316"/>
      <c r="M60" s="316"/>
      <c r="N60" s="316"/>
      <c r="O60" s="316"/>
      <c r="P60" s="316"/>
      <c r="Q60" s="316"/>
      <c r="R60" s="316"/>
      <c r="S60" s="316"/>
      <c r="T60" s="316"/>
      <c r="U60" s="316"/>
      <c r="V60" s="316"/>
      <c r="W60" s="316"/>
      <c r="X60" s="316"/>
      <c r="Y60" s="313"/>
      <c r="Z60" s="313"/>
      <c r="AA60" s="313"/>
      <c r="AB60" s="313"/>
      <c r="AC60" s="313"/>
      <c r="AD60" s="313"/>
    </row>
    <row r="61" spans="3:30" ht="18" hidden="1" thickTop="1" thickBot="1">
      <c r="C61" s="305" t="str">
        <v>Total Costs Inflated</v>
      </c>
      <c r="D61" s="316">
        <v>6139560.625</v>
      </c>
      <c r="E61" s="316">
        <v>8452913.2686306704</v>
      </c>
      <c r="F61" s="316">
        <v>11621514.81582169</v>
      </c>
      <c r="G61" s="316">
        <v>2547084.9307376216</v>
      </c>
      <c r="H61" s="316">
        <v>4000085.4681246532</v>
      </c>
      <c r="I61" s="316">
        <v>6474465.1916132011</v>
      </c>
      <c r="J61" s="316"/>
      <c r="K61" s="316"/>
      <c r="L61" s="316"/>
      <c r="M61" s="316"/>
      <c r="N61" s="316"/>
      <c r="O61" s="316"/>
      <c r="P61" s="316"/>
      <c r="Q61" s="316"/>
      <c r="R61" s="316"/>
      <c r="S61" s="316"/>
      <c r="T61" s="316"/>
      <c r="U61" s="316"/>
      <c r="V61" s="316"/>
      <c r="W61" s="316"/>
      <c r="X61" s="316"/>
      <c r="Y61" s="313"/>
      <c r="Z61" s="313"/>
      <c r="AA61" s="313"/>
      <c r="AB61" s="313"/>
      <c r="AC61" s="313"/>
      <c r="AD61" s="313"/>
    </row>
    <row r="62" spans="3:30" ht="18" hidden="1" thickTop="1" thickBot="1">
      <c r="C62" s="184"/>
      <c r="D62" s="301"/>
      <c r="E62" s="301"/>
      <c r="F62" s="301"/>
      <c r="G62" s="301"/>
      <c r="H62" s="301"/>
      <c r="I62" s="301"/>
      <c r="J62" s="301"/>
      <c r="K62" s="301"/>
      <c r="L62" s="301"/>
      <c r="M62" s="301"/>
      <c r="N62" s="301"/>
      <c r="O62" s="301"/>
      <c r="P62" s="30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</row>
    <row r="63" spans="3:30" ht="18" hidden="1" thickTop="1" thickBot="1">
      <c r="C63" s="304" t="s">
        <v>241</v>
      </c>
      <c r="D63" s="315"/>
      <c r="E63" s="315" t="str" cm="1">
        <f t="array" ref="E63:L63">TRANSPOSE(_xlfn._xlws.FILTER(DATABASE!$D$16:$D$43, DATABASE!$D$16:$D$43&lt;&gt;0, DATABASE!$D$16:$D$43&lt;&gt;""))</f>
        <v>1.1</v>
      </c>
      <c r="F63" s="315" t="str">
        <v>1.2</v>
      </c>
      <c r="G63" s="315" t="str">
        <v>2.1</v>
      </c>
      <c r="H63" s="315" t="str">
        <v>2.2</v>
      </c>
      <c r="I63" s="315" t="str">
        <v>3.1</v>
      </c>
      <c r="J63" s="315" t="str">
        <v>3.2</v>
      </c>
      <c r="K63" s="315" t="str">
        <v>4.1</v>
      </c>
      <c r="L63" s="315" t="str">
        <v>4.2</v>
      </c>
      <c r="M63" s="315"/>
      <c r="N63" s="315"/>
      <c r="O63" s="315"/>
      <c r="P63" s="315"/>
      <c r="Q63" s="315"/>
      <c r="R63" s="315"/>
      <c r="S63" s="315"/>
      <c r="T63" s="315"/>
      <c r="U63" s="315"/>
      <c r="V63" s="315"/>
      <c r="W63" s="315"/>
      <c r="X63" s="315"/>
      <c r="Y63" s="315"/>
      <c r="Z63" s="315"/>
      <c r="AA63" s="315"/>
      <c r="AB63" s="315"/>
      <c r="AC63" s="315"/>
      <c r="AD63" s="315"/>
    </row>
    <row r="64" spans="3:30" ht="18" hidden="1" thickTop="1" thickBot="1">
      <c r="C64" s="305" t="s">
        <v>243</v>
      </c>
      <c r="D64" s="279"/>
      <c r="E64" s="279" cm="1">
        <f t="array" aca="1" ref="E64:L64" ca="1">TRANSPOSE(_xlfn.ANCHORARRAY(DATABASE!AS32))</f>
        <v>42012777.110280663</v>
      </c>
      <c r="F64" s="279">
        <f ca="1"/>
        <v>57051949.373806</v>
      </c>
      <c r="G64" s="279">
        <f ca="1"/>
        <v>77853273.133017689</v>
      </c>
      <c r="H64" s="279">
        <f ca="1"/>
        <v>27966401.706793118</v>
      </c>
      <c r="I64" s="279">
        <f ca="1"/>
        <v>0</v>
      </c>
      <c r="J64" s="279">
        <f ca="1"/>
        <v>0</v>
      </c>
      <c r="K64" s="279">
        <f ca="1"/>
        <v>39206113.158727534</v>
      </c>
      <c r="L64" s="279">
        <f ca="1"/>
        <v>60493339.030238084</v>
      </c>
      <c r="M64" s="279"/>
      <c r="N64" s="279"/>
      <c r="O64" s="279"/>
      <c r="P64" s="279"/>
      <c r="Q64" s="279"/>
      <c r="R64" s="279"/>
      <c r="S64" s="279"/>
      <c r="T64" s="279"/>
      <c r="U64" s="279"/>
      <c r="V64" s="279"/>
      <c r="W64" s="279"/>
      <c r="X64" s="279"/>
      <c r="Y64" s="279"/>
      <c r="Z64" s="279"/>
      <c r="AA64" s="279"/>
      <c r="AB64" s="279"/>
      <c r="AC64" s="313"/>
      <c r="AD64" s="313"/>
    </row>
    <row r="65" spans="3:30" ht="18" hidden="1" thickTop="1" thickBot="1">
      <c r="C65" s="184"/>
      <c r="D65" s="279"/>
      <c r="E65" s="279">
        <f t="shared" ref="E65:AD65" ca="1" si="12">E64-E52</f>
        <v>42012736.110280663</v>
      </c>
      <c r="F65" s="279">
        <f t="shared" ca="1" si="12"/>
        <v>57051902.373806</v>
      </c>
      <c r="G65" s="279">
        <f t="shared" ca="1" si="12"/>
        <v>77853202.133017689</v>
      </c>
      <c r="H65" s="279">
        <f t="shared" ca="1" si="12"/>
        <v>27966354.706793118</v>
      </c>
      <c r="I65" s="279">
        <f t="shared" ca="1" si="12"/>
        <v>-47</v>
      </c>
      <c r="J65" s="279">
        <f t="shared" ca="1" si="12"/>
        <v>-77</v>
      </c>
      <c r="K65" s="279">
        <f t="shared" ca="1" si="12"/>
        <v>39206018.158727534</v>
      </c>
      <c r="L65" s="279">
        <f t="shared" ca="1" si="12"/>
        <v>60493339.030238084</v>
      </c>
      <c r="M65" s="279">
        <f t="shared" si="12"/>
        <v>0</v>
      </c>
      <c r="N65" s="279">
        <f t="shared" si="12"/>
        <v>0</v>
      </c>
      <c r="O65" s="279">
        <f t="shared" si="12"/>
        <v>0</v>
      </c>
      <c r="P65" s="279">
        <f t="shared" si="12"/>
        <v>0</v>
      </c>
      <c r="Q65" s="279">
        <f t="shared" si="12"/>
        <v>0</v>
      </c>
      <c r="R65" s="279">
        <f t="shared" si="12"/>
        <v>0</v>
      </c>
      <c r="S65" s="279">
        <f t="shared" si="12"/>
        <v>0</v>
      </c>
      <c r="T65" s="279">
        <f t="shared" si="12"/>
        <v>0</v>
      </c>
      <c r="U65" s="279">
        <f t="shared" si="12"/>
        <v>0</v>
      </c>
      <c r="V65" s="279">
        <f t="shared" si="12"/>
        <v>0</v>
      </c>
      <c r="W65" s="279">
        <f t="shared" si="12"/>
        <v>0</v>
      </c>
      <c r="X65" s="279">
        <f t="shared" si="12"/>
        <v>0</v>
      </c>
      <c r="Y65" s="279">
        <f t="shared" si="12"/>
        <v>0</v>
      </c>
      <c r="Z65" s="279">
        <f t="shared" si="12"/>
        <v>0</v>
      </c>
      <c r="AA65" s="279">
        <f t="shared" si="12"/>
        <v>0</v>
      </c>
      <c r="AB65" s="279">
        <f t="shared" si="12"/>
        <v>0</v>
      </c>
      <c r="AC65" s="279">
        <f t="shared" si="12"/>
        <v>0</v>
      </c>
      <c r="AD65" s="279">
        <f t="shared" si="12"/>
        <v>0</v>
      </c>
    </row>
    <row r="66" spans="3:30" s="140" customFormat="1" ht="18" hidden="1" thickTop="1" thickBot="1">
      <c r="C66" s="1278" t="s">
        <v>44</v>
      </c>
      <c r="D66" s="279"/>
      <c r="E66" s="279" cm="1">
        <f t="array" aca="1" ref="E66:L66" ca="1">SUMIF(_xlfn.ANCHORARRAY(DATABASE!AH32),_xlfn.ANCHORARRAY(E63),_xlfn.ANCHORARRAY(DATABASE!AJ32))</f>
        <v>323</v>
      </c>
      <c r="F66" s="279">
        <f ca="1"/>
        <v>788</v>
      </c>
      <c r="G66" s="279">
        <f ca="1"/>
        <v>1570</v>
      </c>
      <c r="H66" s="279">
        <f ca="1"/>
        <v>187</v>
      </c>
      <c r="I66" s="279">
        <f ca="1"/>
        <v>0</v>
      </c>
      <c r="J66" s="279">
        <f ca="1"/>
        <v>0</v>
      </c>
      <c r="K66" s="279">
        <f ca="1"/>
        <v>261</v>
      </c>
      <c r="L66" s="279">
        <f ca="1"/>
        <v>287</v>
      </c>
      <c r="M66" s="279"/>
      <c r="N66" s="279"/>
      <c r="O66" s="279"/>
      <c r="P66" s="279"/>
      <c r="Q66" s="279"/>
      <c r="R66" s="279"/>
      <c r="S66" s="279"/>
      <c r="T66" s="279"/>
      <c r="U66" s="279"/>
      <c r="V66" s="279"/>
      <c r="W66" s="279"/>
      <c r="X66" s="279"/>
      <c r="Y66" s="279"/>
      <c r="Z66" s="279"/>
      <c r="AA66" s="279"/>
      <c r="AB66" s="279"/>
      <c r="AC66" s="313"/>
      <c r="AD66" s="313"/>
    </row>
    <row r="67" spans="3:30" s="140" customFormat="1" ht="18" hidden="1" thickTop="1" thickBot="1">
      <c r="C67" s="1278" t="s">
        <v>242</v>
      </c>
      <c r="D67" s="279"/>
      <c r="E67" s="279" cm="1">
        <f t="array" aca="1" ref="E67:L67" ca="1">TRANSPOSE(_xlfn.ANCHORARRAY(DATABASE!AR32))</f>
        <v>4</v>
      </c>
      <c r="F67" s="279">
        <f ca="1"/>
        <v>6</v>
      </c>
      <c r="G67" s="279">
        <f ca="1"/>
        <v>12</v>
      </c>
      <c r="H67" s="279">
        <f ca="1"/>
        <v>4</v>
      </c>
      <c r="I67" s="279">
        <f ca="1"/>
        <v>3</v>
      </c>
      <c r="J67" s="279">
        <f ca="1"/>
        <v>2</v>
      </c>
      <c r="K67" s="279">
        <f ca="1"/>
        <v>5</v>
      </c>
      <c r="L67" s="279">
        <f ca="1"/>
        <v>6</v>
      </c>
      <c r="M67" s="279"/>
      <c r="N67" s="279"/>
      <c r="O67" s="279"/>
      <c r="P67" s="279"/>
      <c r="Q67" s="279"/>
      <c r="R67" s="279"/>
      <c r="S67" s="279"/>
      <c r="T67" s="279"/>
      <c r="U67" s="279"/>
      <c r="V67" s="279"/>
      <c r="W67" s="279"/>
      <c r="X67" s="279"/>
      <c r="Y67" s="279"/>
      <c r="Z67" s="279"/>
      <c r="AA67" s="279"/>
      <c r="AB67" s="279"/>
      <c r="AC67" s="313"/>
      <c r="AD67" s="313"/>
    </row>
    <row r="68" spans="3:30" s="140" customFormat="1" ht="18" hidden="1" thickTop="1" thickBot="1">
      <c r="C68" s="1278" t="s">
        <v>262</v>
      </c>
    </row>
  </sheetData>
  <autoFilter ref="A14:A38" xr:uid="{C48DB3C2-B70A-4C83-A222-ED1D08B2960C}">
    <filterColumn colId="0">
      <filters>
        <filter val="1"/>
      </filters>
    </filterColumn>
  </autoFilter>
  <mergeCells count="1">
    <mergeCell ref="D12:E12"/>
  </mergeCells>
  <conditionalFormatting sqref="G10:AJ1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D1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AK70">
    <cfRule type="expression" dxfId="5" priority="1">
      <formula>I$1=0</formula>
    </cfRule>
  </conditionalFormatting>
  <hyperlinks>
    <hyperlink ref="A1" location="Index" display="Back to Index" xr:uid="{E6DD6B47-5038-4302-B612-B5BDC26EC1BE}"/>
  </hyperlinks>
  <pageMargins left="0.25" right="0.25" top="0.75" bottom="0.75" header="0.3" footer="0.3"/>
  <pageSetup scale="31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324962C-C8AC-4096-A8FC-C3063E7BB61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D65:AD65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DA8B0-B604-B94F-92F0-90747BA25A76}">
  <sheetPr codeName="Sheet13">
    <tabColor rgb="FF0070C0"/>
    <pageSetUpPr fitToPage="1"/>
  </sheetPr>
  <dimension ref="B1:M110"/>
  <sheetViews>
    <sheetView showGridLines="0" topLeftCell="B2" workbookViewId="0"/>
  </sheetViews>
  <sheetFormatPr baseColWidth="10" defaultColWidth="9" defaultRowHeight="15" zeroHeight="1" outlineLevelRow="1"/>
  <cols>
    <col min="1" max="1" width="0" style="160" hidden="1" customWidth="1"/>
    <col min="2" max="2" width="2.6640625" style="160" customWidth="1"/>
    <col min="3" max="3" width="38.33203125" style="160" customWidth="1"/>
    <col min="4" max="4" width="26.83203125" style="160" customWidth="1"/>
    <col min="5" max="5" width="7.1640625" style="160" customWidth="1"/>
    <col min="6" max="6" width="2" style="160" customWidth="1"/>
    <col min="7" max="7" width="19.5" style="160" customWidth="1"/>
    <col min="8" max="8" width="18.6640625" style="537" bestFit="1" customWidth="1"/>
    <col min="9" max="11" width="15.5" style="537" customWidth="1"/>
    <col min="12" max="12" width="3" customWidth="1"/>
    <col min="13" max="13" width="11.1640625" customWidth="1"/>
    <col min="14" max="16384" width="9" style="160"/>
  </cols>
  <sheetData>
    <row r="1" spans="2:11" customFormat="1" ht="16" hidden="1" thickBot="1">
      <c r="B1" s="162"/>
      <c r="C1" s="162"/>
      <c r="D1" s="162"/>
      <c r="E1" s="162"/>
      <c r="F1" s="162">
        <v>1</v>
      </c>
      <c r="G1" s="162">
        <v>1</v>
      </c>
      <c r="H1" s="535">
        <f ca="1">IF('r.CF by Phase'!F25=0,0,1)</f>
        <v>1</v>
      </c>
      <c r="I1" s="535">
        <f ca="1">IF('r.CF by Phase'!G25=0,0,1)</f>
        <v>1</v>
      </c>
      <c r="J1" s="535">
        <f ca="1">IF('r.CF by Phase'!H25=0,0,1)</f>
        <v>1</v>
      </c>
      <c r="K1" s="535">
        <f ca="1">IF('r.CF by Phase'!I25=0,0,1)</f>
        <v>1</v>
      </c>
    </row>
    <row r="2" spans="2:11" customFormat="1" ht="21" thickTop="1">
      <c r="B2" s="493" t="str">
        <f>i_Project.Name</f>
        <v>Peoria Lakes</v>
      </c>
      <c r="C2" s="163"/>
      <c r="D2" s="163"/>
      <c r="E2" s="163"/>
      <c r="F2" s="163"/>
      <c r="G2" s="163"/>
      <c r="H2" s="163"/>
      <c r="I2" s="536"/>
      <c r="J2" s="536"/>
      <c r="K2" s="536"/>
    </row>
    <row r="3" spans="2:11" customFormat="1">
      <c r="B3" s="494" t="str">
        <f>i_Project.Location</f>
        <v>Peoria Lakes</v>
      </c>
      <c r="C3" s="163"/>
      <c r="D3" s="163"/>
      <c r="E3" s="163"/>
      <c r="F3" s="163"/>
      <c r="G3" s="163"/>
      <c r="H3" s="163"/>
      <c r="I3" s="536"/>
      <c r="J3" s="536"/>
      <c r="K3" s="536"/>
    </row>
    <row r="4" spans="2:11" customFormat="1" ht="16">
      <c r="B4" s="165"/>
      <c r="C4" s="163"/>
      <c r="D4" s="163"/>
      <c r="E4" s="163"/>
      <c r="F4" s="163"/>
      <c r="G4" s="163"/>
      <c r="H4" s="163"/>
      <c r="I4" s="536"/>
      <c r="J4" s="536"/>
      <c r="K4" s="536"/>
    </row>
    <row r="5" spans="2:11" customFormat="1">
      <c r="B5" s="163"/>
      <c r="C5" s="163"/>
      <c r="D5" s="163"/>
      <c r="E5" s="163"/>
      <c r="F5" s="163"/>
      <c r="G5" s="163"/>
      <c r="H5" s="163"/>
      <c r="I5" s="536"/>
      <c r="J5" s="536"/>
      <c r="K5" s="536"/>
    </row>
    <row r="6" spans="2:11" customFormat="1">
      <c r="B6" s="160"/>
      <c r="C6" s="160"/>
      <c r="D6" s="160"/>
      <c r="E6" s="160"/>
      <c r="F6" s="160"/>
      <c r="G6" s="160"/>
      <c r="H6" s="160"/>
      <c r="I6" s="537"/>
      <c r="J6" s="537"/>
      <c r="K6" s="537"/>
    </row>
    <row r="7" spans="2:11" customFormat="1" ht="14.25" customHeight="1" thickBot="1">
      <c r="B7" s="160"/>
      <c r="C7" s="519" t="s">
        <v>63</v>
      </c>
      <c r="D7" s="520"/>
      <c r="E7" s="160"/>
      <c r="F7" s="160"/>
      <c r="G7" s="160"/>
      <c r="H7" s="537"/>
      <c r="I7" s="537"/>
      <c r="J7" s="537"/>
      <c r="K7" s="537"/>
    </row>
    <row r="8" spans="2:11" customFormat="1" ht="19" thickTop="1" thickBot="1">
      <c r="B8" s="160"/>
      <c r="C8" s="669" t="s">
        <v>22</v>
      </c>
      <c r="D8" s="989" t="str">
        <f>i_Project.Name</f>
        <v>Peoria Lakes</v>
      </c>
      <c r="F8" s="160"/>
      <c r="G8" s="926" t="s">
        <v>379</v>
      </c>
      <c r="H8" s="929"/>
      <c r="I8" s="929"/>
      <c r="J8" s="929"/>
      <c r="K8" s="930"/>
    </row>
    <row r="9" spans="2:11" customFormat="1" ht="20.25" customHeight="1" thickTop="1" thickBot="1">
      <c r="B9" s="160"/>
      <c r="C9" s="669" t="s">
        <v>26</v>
      </c>
      <c r="D9" s="990" t="str">
        <f>i_Project.Descr</f>
        <v>Land</v>
      </c>
      <c r="F9" s="160"/>
      <c r="G9" s="793" t="s">
        <v>387</v>
      </c>
      <c r="H9" s="637"/>
      <c r="I9" s="638" t="s">
        <v>1</v>
      </c>
      <c r="J9" s="638" t="s">
        <v>363</v>
      </c>
      <c r="K9" s="638" t="s">
        <v>362</v>
      </c>
    </row>
    <row r="10" spans="2:11" customFormat="1" ht="20.25" customHeight="1" thickTop="1" thickBot="1">
      <c r="B10" s="160"/>
      <c r="C10" s="669" t="s">
        <v>28</v>
      </c>
      <c r="D10" s="989" t="str">
        <f>i_Project.Location</f>
        <v>Peoria Lakes</v>
      </c>
      <c r="E10" s="160"/>
      <c r="F10" s="160"/>
      <c r="G10" s="927" t="s">
        <v>338</v>
      </c>
      <c r="H10" s="928"/>
      <c r="I10" s="1001">
        <f>J10+K10</f>
        <v>1</v>
      </c>
      <c r="J10" s="1002">
        <f>i_equity.GPshare</f>
        <v>0.05</v>
      </c>
      <c r="K10" s="1002" cm="1">
        <f t="array" ref="K10">c_equity.LPshare</f>
        <v>0.95</v>
      </c>
    </row>
    <row r="11" spans="2:11" customFormat="1" ht="17" thickBot="1">
      <c r="B11" s="160"/>
      <c r="C11" s="669" t="s">
        <v>40</v>
      </c>
      <c r="D11" s="991">
        <f>i_Date.Start</f>
        <v>45292</v>
      </c>
      <c r="F11" s="160"/>
      <c r="G11" s="927" t="s">
        <v>340</v>
      </c>
      <c r="H11" s="928"/>
      <c r="I11" s="1003">
        <f ca="1">mWaterfall!J12</f>
        <v>146470702.62622407</v>
      </c>
      <c r="J11" s="1004">
        <f ca="1">mWaterfall!H12</f>
        <v>7323535.1313112043</v>
      </c>
      <c r="K11" s="1004">
        <f ca="1">mWaterfall!I12</f>
        <v>139147167.49491286</v>
      </c>
    </row>
    <row r="12" spans="2:11" customFormat="1" ht="17" thickBot="1">
      <c r="B12" s="160"/>
      <c r="C12" s="172"/>
      <c r="D12" s="323"/>
      <c r="E12" s="160"/>
      <c r="F12" s="160"/>
      <c r="G12" s="570"/>
      <c r="H12" s="571"/>
      <c r="I12" s="570"/>
      <c r="J12" s="571"/>
      <c r="K12" s="571"/>
    </row>
    <row r="13" spans="2:11" customFormat="1" ht="24" customHeight="1" thickTop="1">
      <c r="C13" s="519" t="s">
        <v>57</v>
      </c>
      <c r="D13" s="520"/>
      <c r="E13" s="160"/>
      <c r="F13" s="160"/>
      <c r="G13" s="931" t="s">
        <v>364</v>
      </c>
      <c r="H13" s="932"/>
      <c r="I13" s="933" t="s">
        <v>365</v>
      </c>
      <c r="J13" s="933" t="s">
        <v>363</v>
      </c>
      <c r="K13" s="933" t="s">
        <v>362</v>
      </c>
    </row>
    <row r="14" spans="2:11" customFormat="1" ht="16">
      <c r="B14" s="160"/>
      <c r="C14" s="669" t="s">
        <v>389</v>
      </c>
      <c r="D14" s="992">
        <v>65000</v>
      </c>
      <c r="F14" s="160"/>
      <c r="G14" s="935" t="s">
        <v>367</v>
      </c>
      <c r="H14" s="1007"/>
      <c r="I14" s="1008"/>
      <c r="J14" s="1006">
        <f>J10</f>
        <v>0.05</v>
      </c>
      <c r="K14" s="1006">
        <f>K10</f>
        <v>0.95</v>
      </c>
    </row>
    <row r="15" spans="2:11" customFormat="1" ht="16">
      <c r="B15" s="160"/>
      <c r="C15" s="669" t="s">
        <v>390</v>
      </c>
      <c r="D15" s="992" cm="1">
        <f t="array" ref="D15">D16/c_Acres.Total</f>
        <v>96330.275229357794</v>
      </c>
      <c r="E15" s="160"/>
      <c r="F15" s="160"/>
      <c r="G15" s="934" t="s">
        <v>368</v>
      </c>
      <c r="H15" s="1005">
        <f>i_rate.Pref</f>
        <v>0.08</v>
      </c>
      <c r="I15" s="1006">
        <v>0</v>
      </c>
      <c r="J15" s="1006" cm="1">
        <f t="array" ref="J15">1-(c_equity.LPshare*(1-I15))</f>
        <v>5.0000000000000044E-2</v>
      </c>
      <c r="K15" s="1006">
        <f>K14</f>
        <v>0.95</v>
      </c>
    </row>
    <row r="16" spans="2:11" customFormat="1" ht="16">
      <c r="B16" s="160"/>
      <c r="C16" s="670" t="s">
        <v>388</v>
      </c>
      <c r="D16" s="992">
        <f>mProject!X7</f>
        <v>105000000</v>
      </c>
      <c r="E16" s="160"/>
      <c r="F16" s="160"/>
      <c r="G16" s="934" t="s">
        <v>369</v>
      </c>
      <c r="H16" s="1005">
        <f>i_rate.Hurdle1</f>
        <v>0.1</v>
      </c>
      <c r="I16" s="1006">
        <f>i_Promote.Hurdle1</f>
        <v>0.1</v>
      </c>
      <c r="J16" s="1006" cm="1">
        <f t="array" ref="J16">1-(c_equity.LPshare*(1-I16))</f>
        <v>0.14500000000000002</v>
      </c>
      <c r="K16" s="1006">
        <f>1-J16</f>
        <v>0.85499999999999998</v>
      </c>
    </row>
    <row r="17" spans="3:11" customFormat="1" ht="16">
      <c r="C17" s="160"/>
      <c r="D17" s="993"/>
      <c r="E17" s="160"/>
      <c r="F17" s="160"/>
      <c r="G17" s="934" t="s">
        <v>370</v>
      </c>
      <c r="H17" s="1005">
        <f>i_rate.Hurdle2</f>
        <v>0.12</v>
      </c>
      <c r="I17" s="1006">
        <f>i_Promote.Hurdle2</f>
        <v>0.2</v>
      </c>
      <c r="J17" s="1006" cm="1">
        <f t="array" ref="J17">1-(c_equity.LPshare*(1-I17))</f>
        <v>0.24</v>
      </c>
      <c r="K17" s="1006">
        <f>1-J17</f>
        <v>0.76</v>
      </c>
    </row>
    <row r="18" spans="3:11" customFormat="1" ht="16">
      <c r="C18" s="669" t="s">
        <v>58</v>
      </c>
      <c r="D18" s="994">
        <v>2000</v>
      </c>
      <c r="E18" s="160"/>
      <c r="F18" s="160"/>
      <c r="G18" s="934" t="s">
        <v>371</v>
      </c>
      <c r="H18" s="1005">
        <f>i_rate.Hurdle3</f>
        <v>0.14000000000000001</v>
      </c>
      <c r="I18" s="1006">
        <f>i_Promote.Hurdle3</f>
        <v>0.3</v>
      </c>
      <c r="J18" s="1006" cm="1">
        <f t="array" ref="J18">1-(c_equity.LPshare*(1-I18))</f>
        <v>0.33500000000000008</v>
      </c>
      <c r="K18" s="1006">
        <f>1-J18</f>
        <v>0.66499999999999992</v>
      </c>
    </row>
    <row r="19" spans="3:11" customFormat="1" ht="16">
      <c r="C19" s="669" t="s">
        <v>62</v>
      </c>
      <c r="D19" s="994">
        <f>i_Cost.Subd</f>
        <v>1300</v>
      </c>
      <c r="E19" s="160"/>
      <c r="F19" s="160"/>
      <c r="G19" s="935" t="s">
        <v>355</v>
      </c>
      <c r="H19" s="1007"/>
      <c r="I19" s="1006">
        <f>i_residualGP</f>
        <v>0.5</v>
      </c>
      <c r="J19" s="1006" cm="1">
        <f t="array" ref="J19">1-(c_equity.LPshare*(1-I19))</f>
        <v>0.52500000000000002</v>
      </c>
      <c r="K19" s="1006">
        <f>1-J19</f>
        <v>0.47499999999999998</v>
      </c>
    </row>
    <row r="20" spans="3:11" customFormat="1" ht="16" thickBot="1">
      <c r="C20" s="160"/>
      <c r="D20" s="993"/>
      <c r="E20" s="160"/>
      <c r="F20" s="160"/>
      <c r="G20" s="802"/>
      <c r="H20" s="803"/>
      <c r="I20" s="803"/>
      <c r="J20" s="803"/>
      <c r="K20" s="803"/>
    </row>
    <row r="21" spans="3:11" customFormat="1" ht="18" thickTop="1" thickBot="1">
      <c r="C21" s="669" t="s">
        <v>59</v>
      </c>
      <c r="D21" s="995">
        <f>i_LandVal.NonRes</f>
        <v>10</v>
      </c>
      <c r="E21" s="160"/>
      <c r="F21" s="160"/>
      <c r="G21" s="936" t="s">
        <v>372</v>
      </c>
      <c r="H21" s="937"/>
      <c r="I21" s="806" t="s">
        <v>1</v>
      </c>
      <c r="J21" s="807" t="s">
        <v>363</v>
      </c>
      <c r="K21" s="807" t="s">
        <v>362</v>
      </c>
    </row>
    <row r="22" spans="3:11" customFormat="1" ht="17" thickTop="1">
      <c r="C22" s="669" t="s">
        <v>140</v>
      </c>
      <c r="D22" s="996">
        <v>50000</v>
      </c>
      <c r="E22" s="160"/>
      <c r="F22" s="160"/>
      <c r="G22" s="935" t="s">
        <v>367</v>
      </c>
      <c r="H22" s="938"/>
      <c r="I22" s="992">
        <f ca="1">mWaterfall!H23</f>
        <v>146470702.62622407</v>
      </c>
      <c r="J22" s="992">
        <f ca="1">mWaterfall!I23</f>
        <v>7323535.1313112043</v>
      </c>
      <c r="K22" s="992">
        <f ca="1">mWaterfall!J23</f>
        <v>139147167.49491286</v>
      </c>
    </row>
    <row r="23" spans="3:11" customFormat="1" ht="16">
      <c r="D23" s="997"/>
      <c r="E23" s="160"/>
      <c r="F23" s="160"/>
      <c r="G23" s="943" t="s">
        <v>368</v>
      </c>
      <c r="H23" s="938"/>
      <c r="I23" s="992">
        <f ca="1">mWaterfall!H24</f>
        <v>24734791.91843871</v>
      </c>
      <c r="J23" s="992">
        <f ca="1">mWaterfall!I24</f>
        <v>1236739.5959219323</v>
      </c>
      <c r="K23" s="992">
        <f ca="1">mWaterfall!J24</f>
        <v>23498052.322516877</v>
      </c>
    </row>
    <row r="24" spans="3:11" customFormat="1" ht="16">
      <c r="C24" s="669" t="s">
        <v>79</v>
      </c>
      <c r="D24" s="994">
        <v>200</v>
      </c>
      <c r="E24" s="160"/>
      <c r="F24" s="160"/>
      <c r="G24" s="944" t="s">
        <v>369</v>
      </c>
      <c r="H24" s="938"/>
      <c r="I24" s="992">
        <f ca="1">mWaterfall!H25</f>
        <v>7586764.8758593798</v>
      </c>
      <c r="J24" s="992">
        <f ca="1">mWaterfall!I25</f>
        <v>1100080.9069996071</v>
      </c>
      <c r="K24" s="992">
        <f ca="1">mWaterfall!J25</f>
        <v>6486683.9688597731</v>
      </c>
    </row>
    <row r="25" spans="3:11" customFormat="1" ht="16">
      <c r="C25" s="669" t="s">
        <v>78</v>
      </c>
      <c r="D25" s="994">
        <v>100</v>
      </c>
      <c r="E25" s="160"/>
      <c r="F25" s="160"/>
      <c r="G25" s="944" t="s">
        <v>370</v>
      </c>
      <c r="H25" s="938"/>
      <c r="I25" s="992">
        <f ca="1">mWaterfall!H26</f>
        <v>8869007.4321616776</v>
      </c>
      <c r="J25" s="992">
        <f ca="1">mWaterfall!I26</f>
        <v>2128561.783718803</v>
      </c>
      <c r="K25" s="992">
        <f ca="1">mWaterfall!J26</f>
        <v>6740445.6484428756</v>
      </c>
    </row>
    <row r="26" spans="3:11" customFormat="1" ht="16">
      <c r="C26" s="669" t="s">
        <v>116</v>
      </c>
      <c r="D26" s="998">
        <v>0.1</v>
      </c>
      <c r="E26" s="160"/>
      <c r="F26" s="160"/>
      <c r="G26" s="945" t="s">
        <v>371</v>
      </c>
      <c r="H26" s="939"/>
      <c r="I26" s="1009">
        <f ca="1">mWaterfall!H27</f>
        <v>10524292.001573382</v>
      </c>
      <c r="J26" s="1009">
        <f ca="1">mWaterfall!I27</f>
        <v>3525637.8205270832</v>
      </c>
      <c r="K26" s="1009">
        <f ca="1">mWaterfall!J27</f>
        <v>6998654.1810462987</v>
      </c>
    </row>
    <row r="27" spans="3:11" customFormat="1" ht="16">
      <c r="D27" s="997"/>
      <c r="E27" s="160"/>
      <c r="F27" s="160"/>
      <c r="G27" s="948" t="s">
        <v>355</v>
      </c>
      <c r="H27" s="949"/>
      <c r="I27" s="1010">
        <f ca="1">mWaterfall!H28</f>
        <v>124731340.22811219</v>
      </c>
      <c r="J27" s="1010">
        <f ca="1">mWaterfall!I28</f>
        <v>62365670.114056095</v>
      </c>
      <c r="K27" s="1010">
        <f ca="1">mWaterfall!J28</f>
        <v>62365670.114056095</v>
      </c>
    </row>
    <row r="28" spans="3:11" customFormat="1" ht="16">
      <c r="C28" s="669" t="s">
        <v>65</v>
      </c>
      <c r="D28" s="998">
        <v>0.03</v>
      </c>
      <c r="E28" s="160"/>
      <c r="F28" s="160"/>
      <c r="G28" s="946" t="s">
        <v>373</v>
      </c>
      <c r="H28" s="947"/>
      <c r="I28" s="1101">
        <f ca="1">mWaterfall!H29</f>
        <v>322916899.08236945</v>
      </c>
      <c r="J28" s="1101">
        <f ca="1">mWaterfall!I29</f>
        <v>77680225.352534726</v>
      </c>
      <c r="K28" s="1101">
        <f ca="1">mWaterfall!J29</f>
        <v>245236673.72983479</v>
      </c>
    </row>
    <row r="29" spans="3:11" customFormat="1" ht="16">
      <c r="C29" s="669" t="s">
        <v>2</v>
      </c>
      <c r="D29" s="998">
        <v>0.02</v>
      </c>
      <c r="E29" s="160"/>
      <c r="F29" s="160"/>
      <c r="G29" s="941" t="s">
        <v>374</v>
      </c>
      <c r="H29" s="942"/>
      <c r="I29" s="1011">
        <f ca="1">mWaterfall!H30</f>
        <v>1.0000000000000002</v>
      </c>
      <c r="J29" s="1012">
        <f ca="1">mWaterfall!I30</f>
        <v>0.24055794408183048</v>
      </c>
      <c r="K29" s="1012">
        <f ca="1">mWaterfall!J30</f>
        <v>0.75944205591816971</v>
      </c>
    </row>
    <row r="30" spans="3:11" customFormat="1" ht="16" thickBot="1">
      <c r="D30" s="997"/>
      <c r="E30" s="160"/>
      <c r="F30" s="160"/>
      <c r="G30" s="683"/>
      <c r="H30" s="940"/>
      <c r="I30" s="160"/>
      <c r="J30" s="160"/>
      <c r="K30" s="160"/>
    </row>
    <row r="31" spans="3:11" customFormat="1" ht="18" thickTop="1" thickBot="1">
      <c r="C31" s="669" t="s">
        <v>60</v>
      </c>
      <c r="D31" s="998">
        <f>i_Inflate.Price</f>
        <v>0.03</v>
      </c>
      <c r="E31" s="160"/>
      <c r="F31" s="160"/>
      <c r="G31" s="936" t="s">
        <v>331</v>
      </c>
      <c r="H31" s="937"/>
      <c r="I31" s="806" t="s">
        <v>333</v>
      </c>
      <c r="J31" s="807" t="s">
        <v>363</v>
      </c>
      <c r="K31" s="807" t="s">
        <v>362</v>
      </c>
    </row>
    <row r="32" spans="3:11" customFormat="1" ht="18" thickTop="1" thickBot="1">
      <c r="C32" s="669" t="s">
        <v>61</v>
      </c>
      <c r="D32" s="998">
        <f>i_Inflate.Cost</f>
        <v>0.03</v>
      </c>
      <c r="E32" s="160"/>
      <c r="F32" s="160"/>
      <c r="G32" s="935" t="s">
        <v>375</v>
      </c>
      <c r="H32" s="938"/>
      <c r="I32" s="992">
        <f ca="1">mWaterfall!H33</f>
        <v>146470702.62622407</v>
      </c>
      <c r="J32" s="992">
        <f ca="1">mWaterfall!I33</f>
        <v>7323535.1313112043</v>
      </c>
      <c r="K32" s="992">
        <f ca="1">mWaterfall!J33</f>
        <v>139147167.49491286</v>
      </c>
    </row>
    <row r="33" spans="3:11" s="684" customFormat="1" ht="18" thickTop="1" thickBot="1">
      <c r="C33"/>
      <c r="D33" s="997"/>
      <c r="E33" s="160"/>
      <c r="F33" s="160"/>
      <c r="G33" s="943" t="s">
        <v>488</v>
      </c>
      <c r="H33" s="938"/>
      <c r="I33" s="992">
        <f ca="1">mWaterfall!H33</f>
        <v>146470702.62622407</v>
      </c>
      <c r="J33" s="992">
        <f ca="1">mWaterfall!I33</f>
        <v>7323535.1313112043</v>
      </c>
      <c r="K33" s="992">
        <f ca="1">mWaterfall!J33</f>
        <v>139147167.49491286</v>
      </c>
    </row>
    <row r="34" spans="3:11" s="684" customFormat="1" ht="18" thickTop="1" thickBot="1">
      <c r="C34" s="669" t="s">
        <v>74</v>
      </c>
      <c r="D34" s="992">
        <f>i_Demand.Annual</f>
        <v>500</v>
      </c>
      <c r="E34" s="160"/>
      <c r="F34" s="160"/>
      <c r="G34" s="943" t="s">
        <v>376</v>
      </c>
      <c r="H34" s="938"/>
      <c r="I34" s="992">
        <f ca="1">mWaterfall!H34</f>
        <v>176446196.45614547</v>
      </c>
      <c r="J34" s="992">
        <f ca="1">mWaterfall!I34</f>
        <v>70356690.221223518</v>
      </c>
      <c r="K34" s="992">
        <f ca="1">mWaterfall!J34</f>
        <v>106089506.23492193</v>
      </c>
    </row>
    <row r="35" spans="3:11" s="684" customFormat="1" ht="18" thickTop="1" thickBot="1">
      <c r="C35"/>
      <c r="D35" s="997"/>
      <c r="E35" s="160"/>
      <c r="F35" s="160"/>
      <c r="G35" s="943" t="s">
        <v>373</v>
      </c>
      <c r="H35" s="938"/>
      <c r="I35" s="992">
        <f ca="1">mWaterfall!H35</f>
        <v>322916899.08236957</v>
      </c>
      <c r="J35" s="992">
        <f ca="1">mWaterfall!I35</f>
        <v>77680225.352534726</v>
      </c>
      <c r="K35" s="992">
        <f ca="1">mWaterfall!J35</f>
        <v>245236673.72983479</v>
      </c>
    </row>
    <row r="36" spans="3:11" s="684" customFormat="1" ht="18" thickTop="1" thickBot="1">
      <c r="C36" s="669" t="s">
        <v>392</v>
      </c>
      <c r="D36" s="999">
        <f>i.General!E39</f>
        <v>50</v>
      </c>
      <c r="E36" s="160"/>
      <c r="F36" s="160"/>
      <c r="G36" s="943" t="s">
        <v>489</v>
      </c>
      <c r="H36" s="938"/>
      <c r="I36" s="1013">
        <f ca="1">mWaterfall!H36</f>
        <v>0.36349046826362619</v>
      </c>
      <c r="J36" s="1013">
        <f ca="1">mWaterfall!I36</f>
        <v>1.2272779583930973</v>
      </c>
      <c r="K36" s="1013">
        <f ca="1">mWaterfall!J36</f>
        <v>0.26642361283302307</v>
      </c>
    </row>
    <row r="37" spans="3:11" s="684" customFormat="1" ht="18" thickTop="1" thickBot="1">
      <c r="C37" s="669" t="s">
        <v>391</v>
      </c>
      <c r="D37" s="999">
        <f>i.General!E40</f>
        <v>30</v>
      </c>
      <c r="E37" s="160"/>
      <c r="F37" s="160"/>
      <c r="G37" s="943" t="s">
        <v>378</v>
      </c>
      <c r="H37" s="938"/>
      <c r="I37" s="1014">
        <f ca="1">mWaterfall!H37</f>
        <v>3.2046518060776656</v>
      </c>
      <c r="J37" s="1014">
        <f ca="1">mWaterfall!I37</f>
        <v>11.606930117726748</v>
      </c>
      <c r="K37" s="1014">
        <f ca="1">mWaterfall!J37</f>
        <v>2.762426631780345</v>
      </c>
    </row>
    <row r="38" spans="3:11" s="684" customFormat="1" ht="18" thickTop="1" thickBot="1">
      <c r="C38" s="669" t="s">
        <v>95</v>
      </c>
      <c r="D38" s="992">
        <f>i.General!E41</f>
        <v>0</v>
      </c>
      <c r="E38" s="160"/>
      <c r="F38" s="160"/>
      <c r="G38" s="160"/>
      <c r="H38" s="160"/>
      <c r="I38" s="160"/>
      <c r="J38" s="160"/>
      <c r="K38" s="537"/>
    </row>
    <row r="39" spans="3:11" s="684" customFormat="1" ht="18" thickTop="1" thickBot="1">
      <c r="C39" s="669" t="s">
        <v>95</v>
      </c>
      <c r="D39" s="992">
        <f>i.General!E42</f>
        <v>0</v>
      </c>
      <c r="E39" s="160"/>
      <c r="F39" s="160"/>
      <c r="G39" s="160"/>
      <c r="H39" s="160"/>
      <c r="I39" s="160"/>
      <c r="J39" s="160"/>
      <c r="K39" s="537"/>
    </row>
    <row r="40" spans="3:11" customFormat="1" ht="16" thickTop="1">
      <c r="C40" s="160"/>
      <c r="D40" s="527"/>
      <c r="E40" s="160"/>
      <c r="F40" s="160"/>
      <c r="G40" s="160"/>
      <c r="H40" s="160"/>
      <c r="I40" s="160"/>
      <c r="J40" s="160"/>
      <c r="K40" s="537"/>
    </row>
    <row r="41" spans="3:11" customFormat="1" ht="16">
      <c r="C41" s="521" t="s">
        <v>233</v>
      </c>
      <c r="D41" s="678"/>
      <c r="E41" s="160"/>
      <c r="F41" s="160"/>
      <c r="G41" s="160"/>
      <c r="H41" s="537"/>
      <c r="I41" s="537"/>
      <c r="J41" s="537"/>
      <c r="K41" s="537"/>
    </row>
    <row r="42" spans="3:11" customFormat="1" ht="16">
      <c r="C42" s="669" t="s">
        <v>66</v>
      </c>
      <c r="D42" s="1000">
        <f>i.General!E34</f>
        <v>300000</v>
      </c>
      <c r="E42" s="160"/>
      <c r="F42" s="160"/>
      <c r="G42" s="160"/>
      <c r="H42" s="537"/>
      <c r="I42" s="537"/>
      <c r="J42" s="537"/>
      <c r="K42" s="537"/>
    </row>
    <row r="43" spans="3:11" customFormat="1" ht="16">
      <c r="C43" s="669" t="s">
        <v>12</v>
      </c>
      <c r="D43" s="1000">
        <f>i.General!E35</f>
        <v>50000</v>
      </c>
      <c r="E43" s="160"/>
      <c r="F43" s="160"/>
      <c r="G43" s="160"/>
      <c r="H43" s="537"/>
      <c r="I43" s="537"/>
      <c r="J43" s="537"/>
      <c r="K43" s="537"/>
    </row>
    <row r="44" spans="3:11" customFormat="1" ht="16">
      <c r="C44" s="669" t="s">
        <v>257</v>
      </c>
      <c r="D44" s="1000">
        <f>i.General!E36</f>
        <v>10000</v>
      </c>
      <c r="E44" s="160"/>
      <c r="F44" s="160"/>
      <c r="G44" s="160"/>
      <c r="H44" s="537"/>
      <c r="I44" s="537"/>
      <c r="J44" s="537"/>
      <c r="K44" s="537"/>
    </row>
    <row r="45" spans="3:11" customFormat="1" ht="16">
      <c r="C45" s="669" t="s">
        <v>95</v>
      </c>
      <c r="D45" s="1000">
        <f>i.General!E37</f>
        <v>0</v>
      </c>
      <c r="E45" s="160"/>
      <c r="F45" s="160"/>
      <c r="G45" s="160"/>
      <c r="H45" s="537"/>
      <c r="I45" s="537"/>
      <c r="J45" s="537"/>
      <c r="K45" s="537"/>
    </row>
    <row r="46" spans="3:11" customFormat="1" ht="16">
      <c r="C46" s="669" t="s">
        <v>393</v>
      </c>
      <c r="D46" s="998">
        <f>i.General!E44</f>
        <v>0.01</v>
      </c>
      <c r="E46" s="160"/>
      <c r="F46" s="160"/>
      <c r="G46" s="160"/>
      <c r="H46" s="537"/>
      <c r="I46" s="537"/>
      <c r="J46" s="537"/>
      <c r="K46" s="537"/>
    </row>
    <row r="68" customFormat="1" ht="14" outlineLevel="1"/>
    <row r="69" customFormat="1" ht="14" outlineLevel="1"/>
    <row r="70" customFormat="1" ht="14" outlineLevel="1"/>
    <row r="71" customFormat="1" ht="14" outlineLevel="1"/>
    <row r="72" customFormat="1" ht="14" outlineLevel="1"/>
    <row r="73" customFormat="1" ht="14" outlineLevel="1"/>
    <row r="74" customFormat="1" ht="14" outlineLevel="1"/>
    <row r="75" customFormat="1" ht="14" outlineLevel="1"/>
    <row r="76" customFormat="1" ht="14" outlineLevel="1"/>
    <row r="77" customFormat="1" ht="14" outlineLevel="1"/>
    <row r="78" customFormat="1" ht="14" outlineLevel="1"/>
    <row r="79" customFormat="1" ht="14" outlineLevel="1"/>
    <row r="80" customFormat="1" ht="14" outlineLevel="1"/>
    <row r="81" spans="3:3" customFormat="1" ht="14" outlineLevel="1"/>
    <row r="82" spans="3:3" customFormat="1" ht="14" outlineLevel="1"/>
    <row r="83" spans="3:3" customFormat="1" ht="14" outlineLevel="1"/>
    <row r="84" spans="3:3" customFormat="1" ht="14" outlineLevel="1"/>
    <row r="85" spans="3:3" customFormat="1" ht="14" outlineLevel="1"/>
    <row r="86" spans="3:3" customFormat="1" ht="14" outlineLevel="1"/>
    <row r="87" spans="3:3" customFormat="1" ht="14" outlineLevel="1"/>
    <row r="88" spans="3:3" customFormat="1" ht="14" outlineLevel="1"/>
    <row r="90" spans="3:3" customFormat="1">
      <c r="C90" s="552" t="s">
        <v>313</v>
      </c>
    </row>
    <row r="91" spans="3:3" customFormat="1" ht="14" outlineLevel="1"/>
    <row r="92" spans="3:3" customFormat="1" ht="14" outlineLevel="1"/>
    <row r="93" spans="3:3" customFormat="1" ht="14" outlineLevel="1"/>
    <row r="94" spans="3:3" customFormat="1" ht="14" outlineLevel="1"/>
    <row r="95" spans="3:3" customFormat="1" ht="14" outlineLevel="1"/>
    <row r="96" spans="3:3" customFormat="1" ht="14" outlineLevel="1"/>
    <row r="97" customFormat="1" ht="14" outlineLevel="1"/>
    <row r="98" customFormat="1" ht="14" outlineLevel="1"/>
    <row r="99" customFormat="1" ht="14" outlineLevel="1"/>
    <row r="100" customFormat="1" ht="14" outlineLevel="1"/>
    <row r="101" customFormat="1" ht="14" outlineLevel="1"/>
    <row r="102" customFormat="1" ht="14" outlineLevel="1"/>
    <row r="103" customFormat="1" ht="14" outlineLevel="1"/>
    <row r="104" customFormat="1" ht="14" outlineLevel="1"/>
    <row r="105" customFormat="1" ht="14" outlineLevel="1"/>
    <row r="106" customFormat="1" ht="14" outlineLevel="1"/>
    <row r="107" customFormat="1" ht="14" outlineLevel="1"/>
    <row r="108" customFormat="1" ht="14" outlineLevel="1"/>
    <row r="109" customFormat="1" ht="14" outlineLevel="1"/>
    <row r="110" customFormat="1" ht="14" outlineLevel="1"/>
  </sheetData>
  <conditionalFormatting sqref="I6:L6">
    <cfRule type="expression" dxfId="4" priority="125">
      <formula>#REF!=0</formula>
    </cfRule>
  </conditionalFormatting>
  <conditionalFormatting sqref="H38:J46">
    <cfRule type="expression" dxfId="3" priority="152">
      <formula>H$1=0</formula>
    </cfRule>
  </conditionalFormatting>
  <conditionalFormatting sqref="I6:L6">
    <cfRule type="expression" dxfId="2" priority="154">
      <formula>H$1=0</formula>
    </cfRule>
  </conditionalFormatting>
  <pageMargins left="0.25" right="0.25" top="0.75" bottom="0.75" header="0.3" footer="0.3"/>
  <pageSetup scale="10" orientation="landscape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D82E7-47A9-AB49-B1C6-81716A313691}">
  <sheetPr codeName="Sheet12">
    <tabColor rgb="FF0070C0"/>
  </sheetPr>
  <dimension ref="B1:BX112"/>
  <sheetViews>
    <sheetView showGridLines="0" topLeftCell="B2" workbookViewId="0"/>
  </sheetViews>
  <sheetFormatPr baseColWidth="10" defaultColWidth="9" defaultRowHeight="15" zeroHeight="1" outlineLevelRow="1"/>
  <cols>
    <col min="1" max="1" width="0" style="160" hidden="1" customWidth="1"/>
    <col min="2" max="2" width="2.6640625" style="160" customWidth="1"/>
    <col min="3" max="3" width="38.33203125" style="160" customWidth="1"/>
    <col min="4" max="4" width="29.33203125" style="160" customWidth="1"/>
    <col min="5" max="5" width="7.1640625" style="160" customWidth="1"/>
    <col min="6" max="6" width="27.33203125" style="160" customWidth="1"/>
    <col min="7" max="7" width="8.5" style="522" customWidth="1"/>
    <col min="8" max="8" width="7.83203125" style="537" bestFit="1" customWidth="1"/>
    <col min="9" max="12" width="9.33203125" style="537" bestFit="1" customWidth="1"/>
    <col min="13" max="13" width="10.33203125" style="537" bestFit="1" customWidth="1"/>
    <col min="14" max="14" width="9.33203125" style="537" bestFit="1" customWidth="1"/>
    <col min="15" max="15" width="7.83203125" style="537" bestFit="1" customWidth="1"/>
    <col min="16" max="16" width="3.6640625" style="537" bestFit="1" customWidth="1"/>
    <col min="17" max="19" width="10.33203125" style="537" bestFit="1" customWidth="1"/>
    <col min="20" max="21" width="3.6640625" style="537" bestFit="1" customWidth="1"/>
    <col min="22" max="22" width="4.6640625" style="537" bestFit="1" customWidth="1"/>
    <col min="23" max="23" width="7.83203125" style="537" bestFit="1" customWidth="1"/>
    <col min="24" max="24" width="9.33203125" style="537" bestFit="1" customWidth="1"/>
    <col min="25" max="25" width="10.33203125" style="537" bestFit="1" customWidth="1"/>
    <col min="26" max="27" width="9.33203125" style="537" bestFit="1" customWidth="1"/>
    <col min="28" max="32" width="1.33203125" style="308" bestFit="1" customWidth="1"/>
    <col min="33" max="33" width="1.6640625" style="308" bestFit="1" customWidth="1"/>
    <col min="34" max="34" width="1.33203125" style="308" bestFit="1" customWidth="1"/>
    <col min="35" max="35" width="1.33203125" style="160" bestFit="1" customWidth="1"/>
    <col min="36" max="37" width="12" customWidth="1"/>
    <col min="38" max="76" width="9" customWidth="1"/>
    <col min="77" max="16384" width="9" style="160"/>
  </cols>
  <sheetData>
    <row r="1" spans="2:35" ht="16" hidden="1" thickBot="1">
      <c r="B1" s="162"/>
      <c r="C1" s="162"/>
      <c r="D1" s="162"/>
      <c r="E1" s="162"/>
      <c r="F1" s="162"/>
      <c r="G1" s="528"/>
      <c r="H1" s="535" cm="1">
        <f t="array" ref="H1:O1">IF(_xlfn.ANCHORARRAY(H8)=0,0,1)</f>
        <v>1</v>
      </c>
      <c r="I1" s="535">
        <v>1</v>
      </c>
      <c r="J1" s="535">
        <v>1</v>
      </c>
      <c r="K1" s="535">
        <v>1</v>
      </c>
      <c r="L1" s="535">
        <v>1</v>
      </c>
      <c r="M1" s="535">
        <v>1</v>
      </c>
      <c r="N1" s="535">
        <v>1</v>
      </c>
      <c r="O1" s="535">
        <v>1</v>
      </c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5"/>
      <c r="AA1" s="535"/>
      <c r="AB1" s="306"/>
      <c r="AC1" s="306"/>
      <c r="AD1" s="306"/>
      <c r="AE1" s="306"/>
      <c r="AF1" s="306"/>
      <c r="AG1" s="306"/>
      <c r="AH1" s="306"/>
      <c r="AI1" s="162"/>
    </row>
    <row r="2" spans="2:35" ht="21" thickTop="1">
      <c r="B2" s="493" t="str">
        <f>i_Project.Name</f>
        <v>Peoria Lakes</v>
      </c>
      <c r="C2" s="163"/>
      <c r="D2" s="163"/>
      <c r="E2" s="163"/>
      <c r="F2" s="163"/>
      <c r="G2" s="529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  <c r="Z2" s="536"/>
      <c r="AA2" s="536"/>
      <c r="AB2" s="307"/>
      <c r="AC2" s="307"/>
      <c r="AD2" s="307"/>
      <c r="AE2" s="307"/>
      <c r="AF2" s="307"/>
      <c r="AG2" s="307"/>
      <c r="AH2" s="307"/>
      <c r="AI2" s="163"/>
    </row>
    <row r="3" spans="2:35">
      <c r="B3" s="494" t="str">
        <f>i_Project.Location</f>
        <v>Peoria Lakes</v>
      </c>
      <c r="C3" s="163"/>
      <c r="D3" s="163"/>
      <c r="E3" s="163"/>
      <c r="F3" s="163"/>
      <c r="G3" s="529"/>
      <c r="H3" s="536"/>
      <c r="I3" s="536"/>
      <c r="J3" s="536"/>
      <c r="K3" s="536"/>
      <c r="L3" s="536"/>
      <c r="M3" s="536"/>
      <c r="N3" s="536"/>
      <c r="O3" s="536"/>
      <c r="P3" s="536"/>
      <c r="Q3" s="536"/>
      <c r="R3" s="536"/>
      <c r="S3" s="536"/>
      <c r="T3" s="536"/>
      <c r="U3" s="536"/>
      <c r="V3" s="536"/>
      <c r="W3" s="536"/>
      <c r="X3" s="536"/>
      <c r="Y3" s="536"/>
      <c r="Z3" s="536"/>
      <c r="AA3" s="536"/>
      <c r="AB3" s="307"/>
      <c r="AC3" s="307"/>
      <c r="AD3" s="307"/>
      <c r="AE3" s="307"/>
      <c r="AF3" s="307"/>
      <c r="AG3" s="307"/>
      <c r="AH3" s="307"/>
      <c r="AI3" s="163"/>
    </row>
    <row r="4" spans="2:35" ht="16">
      <c r="B4" s="165"/>
      <c r="C4" s="163"/>
      <c r="D4" s="163"/>
      <c r="E4" s="163"/>
      <c r="F4" s="163"/>
      <c r="G4" s="529"/>
      <c r="H4" s="536"/>
      <c r="I4" s="536"/>
      <c r="J4" s="536"/>
      <c r="K4" s="536"/>
      <c r="L4" s="536"/>
      <c r="M4" s="536"/>
      <c r="N4" s="536"/>
      <c r="O4" s="536"/>
      <c r="P4" s="536"/>
      <c r="Q4" s="536"/>
      <c r="R4" s="536"/>
      <c r="S4" s="536"/>
      <c r="T4" s="536"/>
      <c r="U4" s="536"/>
      <c r="V4" s="536"/>
      <c r="W4" s="536"/>
      <c r="X4" s="536"/>
      <c r="Y4" s="536"/>
      <c r="Z4" s="536"/>
      <c r="AA4" s="536"/>
      <c r="AB4" s="307"/>
      <c r="AC4" s="307"/>
      <c r="AD4" s="307"/>
      <c r="AE4" s="307"/>
      <c r="AF4" s="307"/>
      <c r="AG4" s="307"/>
      <c r="AH4" s="307"/>
      <c r="AI4" s="163"/>
    </row>
    <row r="5" spans="2:35">
      <c r="B5" s="163"/>
      <c r="C5" s="163"/>
      <c r="D5" s="163"/>
      <c r="E5" s="163"/>
      <c r="F5" s="163"/>
      <c r="G5" s="529"/>
      <c r="H5" s="536"/>
      <c r="I5" s="536"/>
      <c r="J5" s="536"/>
      <c r="K5" s="536"/>
      <c r="L5" s="536"/>
      <c r="M5" s="536"/>
      <c r="N5" s="536"/>
      <c r="O5" s="536"/>
      <c r="P5" s="536"/>
      <c r="Q5" s="536"/>
      <c r="R5" s="536"/>
      <c r="S5" s="536"/>
      <c r="T5" s="536"/>
      <c r="U5" s="536"/>
      <c r="V5" s="536"/>
      <c r="W5" s="536"/>
      <c r="X5" s="536"/>
      <c r="Y5" s="536"/>
      <c r="Z5" s="536"/>
      <c r="AA5" s="536"/>
      <c r="AB5" s="307"/>
      <c r="AC5" s="307"/>
      <c r="AD5" s="307"/>
      <c r="AE5" s="307"/>
      <c r="AF5" s="307"/>
      <c r="AG5" s="307"/>
      <c r="AH5" s="307"/>
      <c r="AI5" s="163"/>
    </row>
    <row r="6" spans="2:35"/>
    <row r="7" spans="2:35" ht="16" thickBot="1"/>
    <row r="8" spans="2:35" ht="22.25" customHeight="1" thickTop="1" thickBot="1">
      <c r="C8" s="519" t="s">
        <v>63</v>
      </c>
      <c r="D8" s="520"/>
      <c r="F8" s="549" t="str">
        <f>'r.Project_by_Phase'!C8</f>
        <v>Development Phase</v>
      </c>
      <c r="G8" s="550"/>
      <c r="H8" s="546" t="str" cm="1">
        <f t="array" ref="H8:O8">_xlfn._xlws.FILTER(_xlfn.ANCHORARRAY('r.Project_by_Phase'!F8),_xlfn.ANCHORARRAY('r.Project_by_Phase'!F8)&lt;&gt;0)</f>
        <v>1.1</v>
      </c>
      <c r="I8" s="546" t="str">
        <v>1.2</v>
      </c>
      <c r="J8" s="547" t="str">
        <v>2.1</v>
      </c>
      <c r="K8" s="546" t="str">
        <v>2.2</v>
      </c>
      <c r="L8" s="546" t="str">
        <v>3.1</v>
      </c>
      <c r="M8" s="546" t="str">
        <v>3.2</v>
      </c>
      <c r="N8" s="546" t="str">
        <v>4.1</v>
      </c>
      <c r="O8" s="546" t="str">
        <v>4.2</v>
      </c>
      <c r="P8" s="546"/>
      <c r="Q8" s="546"/>
      <c r="R8" s="546"/>
      <c r="S8" s="548"/>
      <c r="T8" s="548"/>
      <c r="U8" s="548"/>
      <c r="V8" s="548"/>
      <c r="W8" s="548"/>
      <c r="X8" s="548"/>
      <c r="Y8" s="548"/>
      <c r="Z8" s="548"/>
      <c r="AA8" s="548"/>
      <c r="AB8" s="531"/>
      <c r="AC8" s="531"/>
      <c r="AD8" s="531"/>
      <c r="AE8" s="531"/>
      <c r="AF8" s="531"/>
      <c r="AG8" s="531"/>
      <c r="AH8" s="531"/>
      <c r="AI8" s="531"/>
    </row>
    <row r="9" spans="2:35" ht="18" thickTop="1" thickBot="1">
      <c r="C9" s="669" t="s">
        <v>22</v>
      </c>
      <c r="D9" s="679" t="str">
        <f>i_Project.Name</f>
        <v>Peoria Lakes</v>
      </c>
      <c r="E9"/>
      <c r="F9" s="545" t="s">
        <v>311</v>
      </c>
      <c r="AC9" s="459"/>
      <c r="AD9" s="459"/>
      <c r="AE9" s="459"/>
      <c r="AF9" s="459"/>
      <c r="AG9" s="459"/>
      <c r="AH9" s="459"/>
      <c r="AI9" s="459"/>
    </row>
    <row r="10" spans="2:35" ht="18" thickTop="1" thickBot="1">
      <c r="C10" s="669" t="s">
        <v>26</v>
      </c>
      <c r="D10" s="680" t="str">
        <f>i_Project.Descr</f>
        <v>Land</v>
      </c>
      <c r="E10"/>
      <c r="F10" s="534" t="str">
        <f>'r.Project_by_Phase'!C10</f>
        <v>Single Family Lots - Total</v>
      </c>
      <c r="G10" s="524">
        <f ca="1">'r.Project_by_Phase'!D10</f>
        <v>3416</v>
      </c>
      <c r="H10" s="538" cm="1">
        <f t="array" aca="1" ref="H10:O10" ca="1">SUMIF(_xlfn.ANCHORARRAY(DATABASE!$AH$32),_xlfn.ANCHORARRAY(H$8),_xlfn.ANCHORARRAY(DATABASE!$AJ$32))</f>
        <v>323</v>
      </c>
      <c r="I10" s="538">
        <f ca="1"/>
        <v>788</v>
      </c>
      <c r="J10" s="538">
        <f ca="1"/>
        <v>1570</v>
      </c>
      <c r="K10" s="538">
        <f ca="1"/>
        <v>187</v>
      </c>
      <c r="L10" s="538">
        <f ca="1"/>
        <v>0</v>
      </c>
      <c r="M10" s="538">
        <f ca="1"/>
        <v>0</v>
      </c>
      <c r="N10" s="538">
        <f ca="1"/>
        <v>261</v>
      </c>
      <c r="O10" s="538">
        <f ca="1"/>
        <v>287</v>
      </c>
      <c r="P10" s="538"/>
      <c r="Q10" s="538"/>
      <c r="R10" s="538"/>
      <c r="S10" s="538"/>
      <c r="T10" s="538"/>
      <c r="U10" s="538"/>
      <c r="V10" s="538"/>
      <c r="W10" s="538"/>
      <c r="X10" s="538"/>
      <c r="Y10" s="538"/>
      <c r="Z10" s="538"/>
      <c r="AA10" s="538"/>
      <c r="AB10" s="539"/>
      <c r="AC10" s="539"/>
      <c r="AD10" s="539"/>
      <c r="AE10" s="539"/>
      <c r="AF10" s="539"/>
      <c r="AG10" s="539"/>
      <c r="AH10" s="539"/>
      <c r="AI10" s="539"/>
    </row>
    <row r="11" spans="2:35" ht="18" thickTop="1" thickBot="1">
      <c r="C11" s="669" t="s">
        <v>28</v>
      </c>
      <c r="D11" s="679" t="str">
        <f>i_Project.Location</f>
        <v>Peoria Lakes</v>
      </c>
      <c r="F11" s="534" t="str">
        <f>'r.Project_by_Phase'!C12</f>
        <v>Front Feet / Acre</v>
      </c>
      <c r="G11" s="525"/>
      <c r="H11" s="540" cm="1">
        <f t="array" aca="1" ref="H11:AI11" ca="1">_xlfn.ANCHORARRAY('r.Project_by_Phase'!F12)</f>
        <v>157.74038461538461</v>
      </c>
      <c r="I11" s="540">
        <f ca="1"/>
        <v>145.61224489795919</v>
      </c>
      <c r="J11" s="540">
        <f ca="1"/>
        <v>110.67307692307692</v>
      </c>
      <c r="K11" s="540">
        <f ca="1"/>
        <v>79.065040650406502</v>
      </c>
      <c r="L11" s="540">
        <f ca="1"/>
        <v>0</v>
      </c>
      <c r="M11" s="540">
        <f ca="1"/>
        <v>0</v>
      </c>
      <c r="N11" s="540">
        <f ca="1"/>
        <v>161.98795180722891</v>
      </c>
      <c r="O11" s="540">
        <f ca="1"/>
        <v>162.97709923664121</v>
      </c>
      <c r="P11" s="540">
        <f ca="1"/>
        <v>0</v>
      </c>
      <c r="Q11" s="540">
        <f ca="1"/>
        <v>0</v>
      </c>
      <c r="R11" s="540">
        <f ca="1"/>
        <v>0</v>
      </c>
      <c r="S11" s="540">
        <f ca="1"/>
        <v>0</v>
      </c>
      <c r="T11" s="540">
        <f ca="1"/>
        <v>0</v>
      </c>
      <c r="U11" s="540">
        <f ca="1"/>
        <v>0</v>
      </c>
      <c r="V11" s="540">
        <f ca="1"/>
        <v>0</v>
      </c>
      <c r="W11" s="540">
        <f ca="1"/>
        <v>0</v>
      </c>
      <c r="X11" s="540">
        <f ca="1"/>
        <v>0</v>
      </c>
      <c r="Y11" s="540">
        <f ca="1"/>
        <v>0</v>
      </c>
      <c r="Z11" s="540">
        <f ca="1"/>
        <v>0</v>
      </c>
      <c r="AA11" s="540">
        <f ca="1"/>
        <v>0</v>
      </c>
      <c r="AB11" s="541">
        <f ca="1"/>
        <v>0</v>
      </c>
      <c r="AC11" s="541">
        <f ca="1"/>
        <v>0</v>
      </c>
      <c r="AD11" s="541">
        <f ca="1"/>
        <v>0</v>
      </c>
      <c r="AE11" s="541">
        <f ca="1"/>
        <v>0</v>
      </c>
      <c r="AF11" s="541">
        <f ca="1"/>
        <v>0</v>
      </c>
      <c r="AG11" s="541">
        <f ca="1"/>
        <v>0</v>
      </c>
      <c r="AH11" s="541">
        <f ca="1"/>
        <v>0</v>
      </c>
      <c r="AI11" s="541">
        <f ca="1"/>
        <v>0</v>
      </c>
    </row>
    <row r="12" spans="2:35" ht="18" thickTop="1" thickBot="1">
      <c r="C12" s="669" t="s">
        <v>40</v>
      </c>
      <c r="D12" s="681">
        <f>i_Date.Start</f>
        <v>45292</v>
      </c>
      <c r="E12"/>
      <c r="F12" s="532" t="str">
        <f>'r.Project_by_Phase'!C13</f>
        <v>Commercial / Other Acres</v>
      </c>
      <c r="G12" s="524" t="e">
        <f ca="1">'r.Project_by_Phase'!D13</f>
        <v>#VALUE!</v>
      </c>
      <c r="H12" s="540" t="e" cm="1">
        <f t="array" aca="1" ref="H12:O12" ca="1">SUMIFS(_xlfn.ANCHORARRAY(DATABASE!$AI$32),_xlfn.ANCHORARRAY(DATABASE!$AH$32),_xlfn.ANCHORARRAY(H$8),_xlfn.ANCHORARRAY(DATABASE!$AM$32),"C")</f>
        <v>#VALUE!</v>
      </c>
      <c r="I12" s="540" t="e">
        <f ca="1"/>
        <v>#VALUE!</v>
      </c>
      <c r="J12" s="540" t="e">
        <f ca="1"/>
        <v>#VALUE!</v>
      </c>
      <c r="K12" s="540" t="e">
        <f ca="1"/>
        <v>#VALUE!</v>
      </c>
      <c r="L12" s="540" t="e">
        <f ca="1"/>
        <v>#VALUE!</v>
      </c>
      <c r="M12" s="540" t="e">
        <f ca="1"/>
        <v>#VALUE!</v>
      </c>
      <c r="N12" s="540" t="e">
        <f ca="1"/>
        <v>#VALUE!</v>
      </c>
      <c r="O12" s="540" t="e">
        <f ca="1"/>
        <v>#VALUE!</v>
      </c>
      <c r="P12" s="540"/>
      <c r="Q12" s="540"/>
      <c r="R12" s="540"/>
      <c r="S12" s="540"/>
      <c r="T12" s="540"/>
      <c r="U12" s="540"/>
      <c r="V12" s="540"/>
      <c r="W12" s="540"/>
      <c r="X12" s="540"/>
      <c r="Y12" s="540"/>
      <c r="Z12" s="540"/>
      <c r="AA12" s="540"/>
      <c r="AB12" s="541"/>
      <c r="AC12" s="541"/>
      <c r="AD12" s="541"/>
      <c r="AE12" s="541"/>
      <c r="AF12" s="541"/>
      <c r="AG12" s="541"/>
      <c r="AH12" s="541"/>
      <c r="AI12" s="541"/>
    </row>
    <row r="13" spans="2:35" ht="18" thickTop="1" thickBot="1">
      <c r="C13" s="172"/>
      <c r="D13" s="323"/>
      <c r="F13" s="523"/>
      <c r="G13" s="28"/>
      <c r="H13" s="540"/>
      <c r="I13" s="540"/>
      <c r="J13" s="540"/>
      <c r="K13" s="540"/>
      <c r="L13" s="540"/>
      <c r="M13" s="540"/>
      <c r="N13" s="540"/>
      <c r="O13" s="540"/>
      <c r="P13" s="540"/>
      <c r="Q13" s="540"/>
      <c r="R13" s="540"/>
      <c r="S13" s="540"/>
      <c r="T13" s="540"/>
      <c r="U13" s="540"/>
      <c r="V13" s="540"/>
      <c r="W13" s="540"/>
      <c r="X13" s="540"/>
      <c r="Y13" s="540"/>
      <c r="Z13" s="540"/>
      <c r="AA13" s="540"/>
      <c r="AB13" s="541"/>
      <c r="AC13" s="541"/>
      <c r="AD13" s="541"/>
      <c r="AE13" s="541"/>
      <c r="AF13" s="541"/>
      <c r="AG13" s="541"/>
      <c r="AH13" s="541"/>
      <c r="AI13" s="541"/>
    </row>
    <row r="14" spans="2:35" customFormat="1" ht="19" thickTop="1" thickBot="1">
      <c r="C14" s="519" t="s">
        <v>57</v>
      </c>
      <c r="D14" s="520"/>
      <c r="E14" s="160"/>
      <c r="F14" s="533" t="str">
        <f>'r.Project_by_Phase'!C25</f>
        <v>Development Schedule</v>
      </c>
      <c r="G14" s="527"/>
      <c r="H14" s="540"/>
      <c r="I14" s="540"/>
      <c r="J14" s="540"/>
      <c r="K14" s="540"/>
      <c r="L14" s="540"/>
      <c r="M14" s="540"/>
      <c r="N14" s="540"/>
      <c r="O14" s="540"/>
      <c r="P14" s="540"/>
      <c r="Q14" s="540"/>
      <c r="R14" s="540"/>
      <c r="S14" s="540"/>
      <c r="T14" s="540"/>
      <c r="U14" s="540"/>
      <c r="V14" s="540"/>
      <c r="W14" s="540"/>
      <c r="X14" s="540"/>
      <c r="Y14" s="540"/>
      <c r="Z14" s="540"/>
      <c r="AA14" s="540"/>
      <c r="AB14" s="541"/>
      <c r="AC14" s="541"/>
      <c r="AD14" s="541"/>
      <c r="AE14" s="541"/>
      <c r="AF14" s="541"/>
      <c r="AG14" s="541"/>
      <c r="AH14" s="541"/>
      <c r="AI14" s="541"/>
    </row>
    <row r="15" spans="2:35" ht="18" thickTop="1" thickBot="1">
      <c r="C15"/>
      <c r="D15"/>
      <c r="E15"/>
      <c r="F15" s="534" t="str">
        <f>'r.Project_by_Phase'!C26</f>
        <v>Start Month</v>
      </c>
      <c r="G15" s="524">
        <f>'r.Project_by_Phase'!D26</f>
        <v>1</v>
      </c>
      <c r="H15" s="540" cm="1">
        <f t="array" ref="H15:AI15">_xlfn.ANCHORARRAY('r.Project_by_Phase'!F26)</f>
        <v>1</v>
      </c>
      <c r="I15" s="540">
        <v>24</v>
      </c>
      <c r="J15" s="540">
        <v>24</v>
      </c>
      <c r="K15" s="540">
        <v>48</v>
      </c>
      <c r="L15" s="540">
        <v>24</v>
      </c>
      <c r="M15" s="540">
        <v>24</v>
      </c>
      <c r="N15" s="540">
        <v>60</v>
      </c>
      <c r="O15" s="540">
        <v>84</v>
      </c>
      <c r="P15" s="540">
        <v>0</v>
      </c>
      <c r="Q15" s="540">
        <v>0</v>
      </c>
      <c r="R15" s="540">
        <v>0</v>
      </c>
      <c r="S15" s="540">
        <v>0</v>
      </c>
      <c r="T15" s="540">
        <v>0</v>
      </c>
      <c r="U15" s="540">
        <v>0</v>
      </c>
      <c r="V15" s="540">
        <v>0</v>
      </c>
      <c r="W15" s="540">
        <v>0</v>
      </c>
      <c r="X15" s="540">
        <v>0</v>
      </c>
      <c r="Y15" s="540">
        <v>0</v>
      </c>
      <c r="Z15" s="540">
        <v>0</v>
      </c>
      <c r="AA15" s="540">
        <v>0</v>
      </c>
      <c r="AB15" s="541">
        <v>0</v>
      </c>
      <c r="AC15" s="541">
        <v>0</v>
      </c>
      <c r="AD15" s="541">
        <v>0</v>
      </c>
      <c r="AE15" s="541">
        <v>0</v>
      </c>
      <c r="AF15" s="541">
        <v>0</v>
      </c>
      <c r="AG15" s="541">
        <v>0</v>
      </c>
      <c r="AH15" s="541">
        <v>0</v>
      </c>
      <c r="AI15" s="541">
        <v>0</v>
      </c>
    </row>
    <row r="16" spans="2:35" ht="18" thickTop="1" thickBot="1">
      <c r="C16" s="669" t="s">
        <v>389</v>
      </c>
      <c r="D16" s="671">
        <v>65000</v>
      </c>
      <c r="F16" s="534" t="str">
        <f>'r.Project_by_Phase'!C27</f>
        <v>Months to Complete</v>
      </c>
      <c r="G16" s="524">
        <f>'r.Project_by_Phase'!D27</f>
        <v>94</v>
      </c>
      <c r="H16" s="540" cm="1">
        <f t="array" ref="H16:AI16">_xlfn.ANCHORARRAY('r.Project_by_Phase'!F27)</f>
        <v>25</v>
      </c>
      <c r="I16" s="540">
        <v>18</v>
      </c>
      <c r="J16" s="540">
        <v>24</v>
      </c>
      <c r="K16" s="540">
        <v>24</v>
      </c>
      <c r="L16" s="540">
        <v>24</v>
      </c>
      <c r="M16" s="540">
        <v>24</v>
      </c>
      <c r="N16" s="540">
        <v>18</v>
      </c>
      <c r="O16" s="540">
        <v>12</v>
      </c>
      <c r="P16" s="540">
        <v>0</v>
      </c>
      <c r="Q16" s="540">
        <v>0</v>
      </c>
      <c r="R16" s="540">
        <v>0</v>
      </c>
      <c r="S16" s="540">
        <v>0</v>
      </c>
      <c r="T16" s="540">
        <v>0</v>
      </c>
      <c r="U16" s="540">
        <v>0</v>
      </c>
      <c r="V16" s="540">
        <v>0</v>
      </c>
      <c r="W16" s="540">
        <v>0</v>
      </c>
      <c r="X16" s="540">
        <v>0</v>
      </c>
      <c r="Y16" s="540">
        <v>0</v>
      </c>
      <c r="Z16" s="540">
        <v>0</v>
      </c>
      <c r="AA16" s="540">
        <v>0</v>
      </c>
      <c r="AB16" s="541">
        <v>0</v>
      </c>
      <c r="AC16" s="541">
        <v>0</v>
      </c>
      <c r="AD16" s="541">
        <v>0</v>
      </c>
      <c r="AE16" s="541">
        <v>0</v>
      </c>
      <c r="AF16" s="541">
        <v>0</v>
      </c>
      <c r="AG16" s="541">
        <v>0</v>
      </c>
      <c r="AH16" s="541">
        <v>0</v>
      </c>
      <c r="AI16" s="541">
        <v>0</v>
      </c>
    </row>
    <row r="17" spans="3:35" ht="18" thickTop="1" thickBot="1">
      <c r="C17" s="669" t="s">
        <v>390</v>
      </c>
      <c r="D17" s="671" cm="1">
        <f t="array" ref="D17">D18/c_Acres.Total</f>
        <v>96330.275229357794</v>
      </c>
      <c r="F17" s="534" t="str">
        <f>'r.Project_by_Phase'!C28</f>
        <v>Thru Month</v>
      </c>
      <c r="G17" s="524">
        <f>'r.Project_by_Phase'!D28</f>
        <v>95</v>
      </c>
      <c r="H17" s="540" cm="1">
        <f t="array" ref="H17:AI17">_xlfn.ANCHORARRAY('r.Project_by_Phase'!F28)</f>
        <v>25</v>
      </c>
      <c r="I17" s="540">
        <v>41</v>
      </c>
      <c r="J17" s="540">
        <v>47</v>
      </c>
      <c r="K17" s="540">
        <v>71</v>
      </c>
      <c r="L17" s="540">
        <v>47</v>
      </c>
      <c r="M17" s="540">
        <v>47</v>
      </c>
      <c r="N17" s="540">
        <v>77</v>
      </c>
      <c r="O17" s="540">
        <v>95</v>
      </c>
      <c r="P17" s="540">
        <v>0</v>
      </c>
      <c r="Q17" s="540">
        <v>0</v>
      </c>
      <c r="R17" s="540">
        <v>0</v>
      </c>
      <c r="S17" s="540">
        <v>0</v>
      </c>
      <c r="T17" s="540">
        <v>0</v>
      </c>
      <c r="U17" s="540">
        <v>0</v>
      </c>
      <c r="V17" s="540">
        <v>0</v>
      </c>
      <c r="W17" s="540">
        <v>0</v>
      </c>
      <c r="X17" s="540">
        <v>0</v>
      </c>
      <c r="Y17" s="540">
        <v>0</v>
      </c>
      <c r="Z17" s="540">
        <v>0</v>
      </c>
      <c r="AA17" s="540">
        <v>0</v>
      </c>
      <c r="AB17" s="541">
        <v>0</v>
      </c>
      <c r="AC17" s="541">
        <v>0</v>
      </c>
      <c r="AD17" s="541">
        <v>0</v>
      </c>
      <c r="AE17" s="541">
        <v>0</v>
      </c>
      <c r="AF17" s="541">
        <v>0</v>
      </c>
      <c r="AG17" s="541">
        <v>0</v>
      </c>
      <c r="AH17" s="541">
        <v>0</v>
      </c>
      <c r="AI17" s="541">
        <v>0</v>
      </c>
    </row>
    <row r="18" spans="3:35" ht="18" thickTop="1" thickBot="1">
      <c r="C18" s="670" t="s">
        <v>388</v>
      </c>
      <c r="D18" s="671">
        <f>mProject!X7</f>
        <v>105000000</v>
      </c>
      <c r="F18" s="530"/>
      <c r="G18" s="526"/>
      <c r="H18" s="542"/>
      <c r="I18" s="542"/>
      <c r="J18" s="542"/>
      <c r="K18" s="542"/>
      <c r="L18" s="542"/>
      <c r="M18" s="542"/>
      <c r="N18" s="542"/>
      <c r="O18" s="542"/>
      <c r="P18" s="542"/>
      <c r="Q18" s="542"/>
      <c r="R18" s="542"/>
      <c r="S18" s="542"/>
      <c r="T18" s="542"/>
      <c r="U18" s="542"/>
      <c r="V18" s="542"/>
      <c r="W18" s="542"/>
      <c r="X18" s="542"/>
      <c r="Y18" s="542"/>
      <c r="Z18" s="542"/>
      <c r="AA18" s="542"/>
      <c r="AB18" s="543"/>
      <c r="AC18" s="543"/>
      <c r="AD18" s="543"/>
      <c r="AE18" s="543"/>
      <c r="AF18" s="543"/>
      <c r="AG18" s="543"/>
      <c r="AH18" s="543"/>
      <c r="AI18" s="543"/>
    </row>
    <row r="19" spans="3:35" ht="18" thickTop="1" thickBot="1">
      <c r="D19" s="527"/>
      <c r="F19" s="533" t="s">
        <v>162</v>
      </c>
      <c r="G19" s="524"/>
      <c r="H19" s="542"/>
      <c r="I19" s="542"/>
      <c r="J19" s="542"/>
      <c r="K19" s="542"/>
      <c r="L19" s="542"/>
      <c r="M19" s="542"/>
      <c r="N19" s="542"/>
      <c r="O19" s="542"/>
      <c r="P19" s="542"/>
      <c r="Q19" s="542"/>
      <c r="R19" s="542"/>
      <c r="S19" s="542"/>
      <c r="T19" s="542"/>
      <c r="U19" s="542"/>
      <c r="V19" s="542"/>
      <c r="W19" s="542"/>
      <c r="X19" s="542"/>
      <c r="Y19" s="542"/>
      <c r="Z19" s="542"/>
      <c r="AA19" s="542"/>
      <c r="AB19" s="543"/>
      <c r="AC19" s="543"/>
      <c r="AD19" s="543"/>
      <c r="AE19" s="543"/>
      <c r="AF19" s="543"/>
      <c r="AG19" s="543"/>
      <c r="AH19" s="543"/>
      <c r="AI19" s="543"/>
    </row>
    <row r="20" spans="3:35" ht="18" thickTop="1" thickBot="1">
      <c r="C20" s="669" t="s">
        <v>58</v>
      </c>
      <c r="D20" s="672">
        <v>2000</v>
      </c>
      <c r="F20" s="534" t="s">
        <v>13</v>
      </c>
      <c r="G20" s="1068">
        <f>SUM(_xlfn.ANCHORARRAY(H20))</f>
        <v>39235624.299927838</v>
      </c>
      <c r="H20" s="542" cm="1">
        <f t="array" ref="H20:AI20">TRANSPOSE(DATABASE!O16:O43)</f>
        <v>6139560.625</v>
      </c>
      <c r="I20" s="542">
        <v>8452913.2686306704</v>
      </c>
      <c r="J20" s="542">
        <v>11621514.81582169</v>
      </c>
      <c r="K20" s="542">
        <v>2547084.9307376216</v>
      </c>
      <c r="L20" s="542">
        <v>0</v>
      </c>
      <c r="M20" s="542">
        <v>0</v>
      </c>
      <c r="N20" s="542">
        <v>4000085.4681246532</v>
      </c>
      <c r="O20" s="542">
        <v>6474465.1916132011</v>
      </c>
      <c r="P20" s="542">
        <v>0</v>
      </c>
      <c r="Q20" s="542">
        <v>0</v>
      </c>
      <c r="R20" s="542">
        <v>0</v>
      </c>
      <c r="S20" s="542">
        <v>0</v>
      </c>
      <c r="T20" s="542">
        <v>0</v>
      </c>
      <c r="U20" s="542">
        <v>0</v>
      </c>
      <c r="V20" s="542">
        <v>0</v>
      </c>
      <c r="W20" s="542">
        <v>0</v>
      </c>
      <c r="X20" s="542">
        <v>0</v>
      </c>
      <c r="Y20" s="542">
        <v>0</v>
      </c>
      <c r="Z20" s="542">
        <v>0</v>
      </c>
      <c r="AA20" s="542">
        <v>0</v>
      </c>
      <c r="AB20" s="543">
        <v>0</v>
      </c>
      <c r="AC20" s="543">
        <v>0</v>
      </c>
      <c r="AD20" s="543">
        <v>0</v>
      </c>
      <c r="AE20" s="543">
        <v>0</v>
      </c>
      <c r="AF20" s="543">
        <v>0</v>
      </c>
      <c r="AG20" s="544">
        <v>0</v>
      </c>
      <c r="AH20" s="543">
        <v>0</v>
      </c>
      <c r="AI20" s="543">
        <v>0</v>
      </c>
    </row>
    <row r="21" spans="3:35" ht="18" thickTop="1" thickBot="1">
      <c r="C21" s="669" t="s">
        <v>62</v>
      </c>
      <c r="D21" s="672">
        <f>i_Cost.Subd</f>
        <v>1300</v>
      </c>
      <c r="F21" s="532" t="s">
        <v>312</v>
      </c>
      <c r="G21" s="524"/>
      <c r="H21" s="542">
        <f t="shared" ref="H21:AI21" ca="1" si="0">IFERROR(H20/H10,0)</f>
        <v>19007.927631578947</v>
      </c>
      <c r="I21" s="542">
        <f t="shared" ca="1" si="0"/>
        <v>10727.047295216587</v>
      </c>
      <c r="J21" s="542">
        <f t="shared" ca="1" si="0"/>
        <v>7402.2387361921592</v>
      </c>
      <c r="K21" s="542">
        <f t="shared" ca="1" si="0"/>
        <v>13620.775030682469</v>
      </c>
      <c r="L21" s="542">
        <f t="shared" ca="1" si="0"/>
        <v>0</v>
      </c>
      <c r="M21" s="542">
        <f t="shared" ca="1" si="0"/>
        <v>0</v>
      </c>
      <c r="N21" s="542">
        <f t="shared" ca="1" si="0"/>
        <v>15325.997962163423</v>
      </c>
      <c r="O21" s="542">
        <f t="shared" ca="1" si="0"/>
        <v>22559.112165899656</v>
      </c>
      <c r="P21" s="542">
        <f t="shared" si="0"/>
        <v>0</v>
      </c>
      <c r="Q21" s="542">
        <f t="shared" si="0"/>
        <v>0</v>
      </c>
      <c r="R21" s="542">
        <f t="shared" si="0"/>
        <v>0</v>
      </c>
      <c r="S21" s="542">
        <f t="shared" si="0"/>
        <v>0</v>
      </c>
      <c r="T21" s="542">
        <f t="shared" si="0"/>
        <v>0</v>
      </c>
      <c r="U21" s="542">
        <f t="shared" si="0"/>
        <v>0</v>
      </c>
      <c r="V21" s="542">
        <f t="shared" si="0"/>
        <v>0</v>
      </c>
      <c r="W21" s="542">
        <f t="shared" si="0"/>
        <v>0</v>
      </c>
      <c r="X21" s="542">
        <f t="shared" si="0"/>
        <v>0</v>
      </c>
      <c r="Y21" s="542">
        <f t="shared" si="0"/>
        <v>0</v>
      </c>
      <c r="Z21" s="542">
        <f t="shared" si="0"/>
        <v>0</v>
      </c>
      <c r="AA21" s="542">
        <f t="shared" si="0"/>
        <v>0</v>
      </c>
      <c r="AB21" s="543">
        <f t="shared" si="0"/>
        <v>0</v>
      </c>
      <c r="AC21" s="543">
        <f t="shared" si="0"/>
        <v>0</v>
      </c>
      <c r="AD21" s="543">
        <f t="shared" si="0"/>
        <v>0</v>
      </c>
      <c r="AE21" s="543">
        <f t="shared" si="0"/>
        <v>0</v>
      </c>
      <c r="AF21" s="543">
        <f t="shared" si="0"/>
        <v>0</v>
      </c>
      <c r="AG21" s="544">
        <f t="shared" si="0"/>
        <v>0</v>
      </c>
      <c r="AH21" s="543">
        <f t="shared" si="0"/>
        <v>0</v>
      </c>
      <c r="AI21" s="543">
        <f t="shared" si="0"/>
        <v>0</v>
      </c>
    </row>
    <row r="22" spans="3:35" ht="18" thickTop="1" thickBot="1">
      <c r="D22" s="527"/>
      <c r="F22" s="532"/>
      <c r="G22" s="524"/>
      <c r="H22" s="542"/>
      <c r="I22" s="542"/>
      <c r="J22" s="542"/>
      <c r="K22" s="542"/>
      <c r="L22" s="542"/>
      <c r="M22" s="542"/>
      <c r="N22" s="542"/>
      <c r="O22" s="542"/>
      <c r="P22" s="542"/>
      <c r="Q22" s="542"/>
      <c r="R22" s="542"/>
      <c r="S22" s="542"/>
      <c r="T22" s="542"/>
      <c r="U22" s="542"/>
      <c r="V22" s="542"/>
      <c r="W22" s="542"/>
      <c r="X22" s="542"/>
      <c r="Y22" s="542"/>
      <c r="Z22" s="542"/>
      <c r="AA22" s="542"/>
      <c r="AB22" s="543"/>
      <c r="AC22" s="543"/>
      <c r="AD22" s="543"/>
      <c r="AE22" s="543"/>
      <c r="AF22" s="543"/>
      <c r="AG22" s="544"/>
      <c r="AH22" s="543"/>
      <c r="AI22" s="543"/>
    </row>
    <row r="23" spans="3:35" ht="18" thickTop="1" thickBot="1">
      <c r="C23" s="669" t="s">
        <v>59</v>
      </c>
      <c r="D23" s="673">
        <f>i_LandVal.NonRes</f>
        <v>10</v>
      </c>
      <c r="F23" s="532"/>
      <c r="G23" s="524"/>
      <c r="H23" s="542"/>
      <c r="I23" s="542"/>
      <c r="J23" s="542"/>
      <c r="K23" s="542"/>
      <c r="L23" s="542"/>
      <c r="M23" s="542"/>
      <c r="N23" s="542"/>
      <c r="O23" s="542"/>
      <c r="P23" s="542"/>
      <c r="Q23" s="542"/>
      <c r="R23" s="542"/>
      <c r="S23" s="542"/>
      <c r="T23" s="542"/>
      <c r="U23" s="542"/>
      <c r="V23" s="542"/>
      <c r="W23" s="542"/>
      <c r="X23" s="542"/>
      <c r="Y23" s="542"/>
      <c r="Z23" s="542"/>
      <c r="AA23" s="542"/>
      <c r="AB23" s="543"/>
      <c r="AC23" s="543"/>
      <c r="AD23" s="543"/>
      <c r="AE23" s="543"/>
      <c r="AF23" s="543"/>
      <c r="AG23" s="544"/>
      <c r="AH23" s="543"/>
      <c r="AI23" s="543"/>
    </row>
    <row r="24" spans="3:35" ht="18" thickTop="1" thickBot="1">
      <c r="C24" s="669" t="s">
        <v>140</v>
      </c>
      <c r="D24" s="674">
        <v>50000</v>
      </c>
      <c r="F24" s="532"/>
      <c r="G24" s="524"/>
      <c r="H24" s="542"/>
      <c r="I24" s="542"/>
      <c r="J24" s="542"/>
      <c r="K24" s="542"/>
      <c r="L24" s="542"/>
      <c r="M24" s="542"/>
      <c r="N24" s="542"/>
      <c r="O24" s="542"/>
      <c r="P24" s="542"/>
      <c r="Q24" s="542"/>
      <c r="R24" s="542"/>
      <c r="S24" s="542"/>
      <c r="T24" s="542"/>
      <c r="U24" s="542"/>
      <c r="V24" s="542"/>
      <c r="W24" s="542"/>
      <c r="X24" s="542"/>
      <c r="Y24" s="542"/>
      <c r="Z24" s="542"/>
      <c r="AA24" s="542"/>
      <c r="AB24" s="543"/>
      <c r="AC24" s="543"/>
      <c r="AD24" s="543"/>
      <c r="AE24" s="543"/>
      <c r="AF24" s="543"/>
      <c r="AG24" s="544"/>
      <c r="AH24" s="543"/>
      <c r="AI24" s="543"/>
    </row>
    <row r="25" spans="3:35" ht="18" thickTop="1" thickBot="1">
      <c r="C25"/>
      <c r="D25" s="28"/>
      <c r="AB25" s="546"/>
      <c r="AC25" s="546"/>
      <c r="AD25" s="546"/>
      <c r="AE25" s="546"/>
      <c r="AF25" s="546"/>
      <c r="AG25" s="544"/>
      <c r="AH25" s="543"/>
      <c r="AI25" s="543"/>
    </row>
    <row r="26" spans="3:35" ht="18" thickTop="1" thickBot="1">
      <c r="C26" s="669" t="s">
        <v>79</v>
      </c>
      <c r="D26" s="672">
        <v>200</v>
      </c>
      <c r="AB26" s="551"/>
      <c r="AC26" s="551"/>
      <c r="AD26" s="551"/>
      <c r="AE26" s="551"/>
      <c r="AF26" s="551"/>
      <c r="AG26" s="544"/>
      <c r="AH26" s="543"/>
      <c r="AI26" s="543"/>
    </row>
    <row r="27" spans="3:35" ht="18" thickTop="1" thickBot="1">
      <c r="C27" s="669" t="s">
        <v>78</v>
      </c>
      <c r="D27" s="672">
        <v>100</v>
      </c>
      <c r="AB27" s="463"/>
      <c r="AC27" s="463"/>
      <c r="AD27" s="463"/>
      <c r="AE27" s="463"/>
      <c r="AF27" s="463"/>
      <c r="AG27" s="463"/>
      <c r="AH27" s="463"/>
      <c r="AI27" s="463"/>
    </row>
    <row r="28" spans="3:35" ht="18" thickTop="1" thickBot="1">
      <c r="C28" s="669" t="s">
        <v>116</v>
      </c>
      <c r="D28" s="675">
        <v>0.1</v>
      </c>
      <c r="AB28" s="463"/>
      <c r="AC28" s="463"/>
      <c r="AD28" s="463"/>
      <c r="AE28" s="463"/>
      <c r="AF28" s="463"/>
      <c r="AG28" s="463"/>
      <c r="AH28" s="463"/>
      <c r="AI28" s="463"/>
    </row>
    <row r="29" spans="3:35" ht="17" thickTop="1" thickBot="1">
      <c r="C29"/>
      <c r="D29" s="28"/>
      <c r="AB29" s="463"/>
      <c r="AC29" s="463"/>
      <c r="AD29" s="463"/>
      <c r="AE29" s="463"/>
      <c r="AF29" s="463"/>
      <c r="AG29" s="463"/>
      <c r="AH29" s="463"/>
      <c r="AI29" s="463"/>
    </row>
    <row r="30" spans="3:35" ht="18" thickTop="1" thickBot="1">
      <c r="C30" s="669" t="s">
        <v>65</v>
      </c>
      <c r="D30" s="675">
        <v>0.03</v>
      </c>
      <c r="AB30" s="463"/>
      <c r="AC30" s="463"/>
      <c r="AD30" s="463"/>
      <c r="AE30" s="463"/>
      <c r="AF30" s="463"/>
      <c r="AG30" s="463"/>
      <c r="AH30" s="463"/>
      <c r="AI30" s="463"/>
    </row>
    <row r="31" spans="3:35" ht="18" thickTop="1" thickBot="1">
      <c r="C31" s="669" t="s">
        <v>2</v>
      </c>
      <c r="D31" s="675">
        <v>0.02</v>
      </c>
      <c r="AB31" s="463"/>
      <c r="AC31" s="463"/>
      <c r="AD31" s="463"/>
      <c r="AE31" s="463"/>
      <c r="AF31" s="463"/>
      <c r="AG31" s="463"/>
      <c r="AH31" s="463"/>
      <c r="AI31" s="463"/>
    </row>
    <row r="33" spans="3:4" ht="17" thickTop="1">
      <c r="C33" s="669" t="s">
        <v>60</v>
      </c>
      <c r="D33" s="675">
        <f>i_Inflate.Price</f>
        <v>0.03</v>
      </c>
    </row>
    <row r="34" spans="3:4" ht="18" thickTop="1" thickBot="1">
      <c r="C34" s="669" t="s">
        <v>61</v>
      </c>
      <c r="D34" s="675">
        <f>i_Inflate.Cost</f>
        <v>0.03</v>
      </c>
    </row>
    <row r="35" spans="3:4" ht="17" thickTop="1" thickBot="1">
      <c r="C35"/>
      <c r="D35" s="28"/>
    </row>
    <row r="36" spans="3:4" ht="18" thickTop="1" thickBot="1">
      <c r="C36" s="669" t="s">
        <v>74</v>
      </c>
      <c r="D36" s="671">
        <f>i_Demand.Annual</f>
        <v>500</v>
      </c>
    </row>
    <row r="37" spans="3:4" ht="18" thickTop="1" thickBot="1">
      <c r="C37" s="669" t="s">
        <v>120</v>
      </c>
      <c r="D37" s="676" t="e">
        <f>i_Inventory.Offset</f>
        <v>#REF!</v>
      </c>
    </row>
    <row r="38" spans="3:4" ht="17" thickTop="1" thickBot="1">
      <c r="C38"/>
      <c r="D38" s="28"/>
    </row>
    <row r="39" spans="3:4" ht="18" thickTop="1" thickBot="1">
      <c r="C39" s="669" t="s">
        <v>392</v>
      </c>
      <c r="D39" s="677">
        <f>i.General!E39</f>
        <v>50</v>
      </c>
    </row>
    <row r="40" spans="3:4" ht="18" thickTop="1" thickBot="1">
      <c r="C40" s="669" t="s">
        <v>391</v>
      </c>
      <c r="D40" s="677">
        <f>i.General!E40</f>
        <v>30</v>
      </c>
    </row>
    <row r="41" spans="3:4" ht="18" thickTop="1" thickBot="1">
      <c r="C41" s="669" t="s">
        <v>95</v>
      </c>
      <c r="D41" s="671">
        <f>i.General!E41</f>
        <v>0</v>
      </c>
    </row>
    <row r="42" spans="3:4" ht="18" thickTop="1" thickBot="1">
      <c r="C42" s="669" t="s">
        <v>95</v>
      </c>
      <c r="D42" s="671">
        <f>i.General!E42</f>
        <v>0</v>
      </c>
    </row>
    <row r="43" spans="3:4" ht="17" thickTop="1" thickBot="1">
      <c r="D43" s="527"/>
    </row>
    <row r="44" spans="3:4" ht="18" thickTop="1" thickBot="1">
      <c r="C44" s="521" t="s">
        <v>233</v>
      </c>
      <c r="D44" s="678"/>
    </row>
    <row r="45" spans="3:4" ht="18" thickTop="1" thickBot="1">
      <c r="C45" s="669" t="s">
        <v>66</v>
      </c>
      <c r="D45" s="682">
        <f>i.General!E34</f>
        <v>300000</v>
      </c>
    </row>
    <row r="46" spans="3:4" ht="18" thickTop="1" thickBot="1">
      <c r="C46" s="669" t="s">
        <v>12</v>
      </c>
      <c r="D46" s="682">
        <f>i.General!E35</f>
        <v>50000</v>
      </c>
    </row>
    <row r="47" spans="3:4" ht="18" thickTop="1" thickBot="1">
      <c r="C47" s="669" t="s">
        <v>257</v>
      </c>
      <c r="D47" s="682">
        <f>i.General!E36</f>
        <v>10000</v>
      </c>
    </row>
    <row r="48" spans="3:4" ht="18" thickTop="1" thickBot="1">
      <c r="C48" s="669" t="s">
        <v>95</v>
      </c>
      <c r="D48" s="682">
        <f>i.General!E37</f>
        <v>0</v>
      </c>
    </row>
    <row r="49" spans="3:4" ht="16">
      <c r="C49" s="669" t="s">
        <v>393</v>
      </c>
      <c r="D49" s="675">
        <f>i.General!E44</f>
        <v>0.01</v>
      </c>
    </row>
    <row r="70" outlineLevel="1"/>
    <row r="71" ht="17" outlineLevel="1" thickTop="1" thickBot="1"/>
    <row r="72" ht="17" outlineLevel="1" thickTop="1" thickBot="1"/>
    <row r="73" ht="17" outlineLevel="1" thickTop="1" thickBot="1"/>
    <row r="74" ht="17" outlineLevel="1" thickTop="1" thickBot="1"/>
    <row r="75" ht="17" outlineLevel="1" thickTop="1" thickBot="1"/>
    <row r="76" ht="17" outlineLevel="1" thickTop="1" thickBot="1"/>
    <row r="77" ht="17" outlineLevel="1" thickTop="1" thickBot="1"/>
    <row r="78" ht="17" outlineLevel="1" thickTop="1" thickBot="1"/>
    <row r="79" ht="17" outlineLevel="1" thickTop="1" thickBot="1"/>
    <row r="80" ht="17" outlineLevel="1" thickTop="1" thickBot="1"/>
    <row r="81" spans="3:3" ht="17" outlineLevel="1" thickTop="1" thickBot="1"/>
    <row r="82" spans="3:3" ht="17" outlineLevel="1" thickTop="1" thickBot="1"/>
    <row r="83" spans="3:3" ht="17" outlineLevel="1" thickTop="1" thickBot="1"/>
    <row r="84" spans="3:3" ht="17" outlineLevel="1" thickTop="1" thickBot="1"/>
    <row r="85" spans="3:3" ht="17" outlineLevel="1" thickTop="1" thickBot="1"/>
    <row r="86" spans="3:3" ht="17" outlineLevel="1" thickTop="1" thickBot="1"/>
    <row r="87" spans="3:3" ht="17" outlineLevel="1" thickTop="1" thickBot="1"/>
    <row r="88" spans="3:3" ht="17" outlineLevel="1" thickTop="1" thickBot="1"/>
    <row r="89" spans="3:3" ht="17" outlineLevel="1" thickTop="1" thickBot="1"/>
    <row r="90" spans="3:3" outlineLevel="1"/>
    <row r="93" spans="3:3" outlineLevel="1">
      <c r="C93" s="552" t="s">
        <v>313</v>
      </c>
    </row>
    <row r="94" spans="3:3" ht="17" outlineLevel="1" thickTop="1" thickBot="1"/>
    <row r="95" spans="3:3" ht="17" outlineLevel="1" thickTop="1" thickBot="1"/>
    <row r="96" spans="3:3" ht="17" outlineLevel="1" thickTop="1" thickBot="1"/>
    <row r="97" ht="17" outlineLevel="1" thickTop="1" thickBot="1"/>
    <row r="98" ht="17" outlineLevel="1" thickTop="1" thickBot="1"/>
    <row r="99" ht="17" outlineLevel="1" thickTop="1" thickBot="1"/>
    <row r="100" ht="17" outlineLevel="1" thickTop="1" thickBot="1"/>
    <row r="101" ht="17" outlineLevel="1" thickTop="1" thickBot="1"/>
    <row r="102" ht="17" outlineLevel="1" thickTop="1" thickBot="1"/>
    <row r="103" ht="17" outlineLevel="1" thickTop="1" thickBot="1"/>
    <row r="104" ht="17" outlineLevel="1" thickTop="1" thickBot="1"/>
    <row r="105" ht="17" outlineLevel="1" thickTop="1" thickBot="1"/>
    <row r="106" ht="17" outlineLevel="1" thickTop="1" thickBot="1"/>
    <row r="107" ht="17" outlineLevel="1" thickTop="1" thickBot="1"/>
    <row r="108" ht="17" outlineLevel="1" thickTop="1" thickBot="1"/>
    <row r="109" ht="17" outlineLevel="1" thickTop="1" thickBot="1"/>
    <row r="110" ht="17" outlineLevel="1" thickTop="1" thickBot="1"/>
    <row r="111" ht="17" outlineLevel="1" thickTop="1" thickBot="1"/>
    <row r="112" outlineLevel="1"/>
  </sheetData>
  <conditionalFormatting sqref="H21:AI21 H10:AI11">
    <cfRule type="expression" dxfId="1" priority="8" stopIfTrue="1">
      <formula>OR(H10=0,H10="")</formula>
    </cfRule>
  </conditionalFormatting>
  <conditionalFormatting sqref="H21:AI21">
    <cfRule type="colorScale" priority="13">
      <colorScale>
        <cfvo type="num" val="0"/>
        <cfvo type="percentile" val="1"/>
        <cfvo type="max"/>
        <color theme="0" tint="-4.9989318521683403E-2"/>
        <color rgb="FFA1FFA6"/>
        <color rgb="FFFFA1A8"/>
      </colorScale>
    </cfRule>
  </conditionalFormatting>
  <conditionalFormatting sqref="H10:AI11">
    <cfRule type="colorScale" priority="9">
      <colorScale>
        <cfvo type="num" val="0"/>
        <cfvo type="percentile" val="1"/>
        <cfvo type="max"/>
        <color theme="0" tint="-4.9989318521683403E-2"/>
        <color rgb="FFFFA1A8"/>
        <color rgb="FFABFFB1"/>
      </colorScale>
    </cfRule>
  </conditionalFormatting>
  <conditionalFormatting sqref="H17:AI17">
    <cfRule type="colorScale" priority="12">
      <colorScale>
        <cfvo type="num" val="0"/>
        <cfvo type="percentile" val="1"/>
        <cfvo type="max"/>
        <color theme="0" tint="-4.9989318521683403E-2"/>
        <color rgb="FFA1FFA6"/>
        <color rgb="FFFFA1A8"/>
      </colorScale>
    </cfRule>
  </conditionalFormatting>
  <conditionalFormatting sqref="H6:AI6 H50:O50 H52:O69 P50:AI69 I51:O51 H8:AI24 AB25:AI27 AD48:AI49">
    <cfRule type="expression" dxfId="0" priority="106">
      <formula>H$8=0</formula>
    </cfRule>
  </conditionalFormatting>
  <pageMargins left="0.7" right="0.7" top="0.75" bottom="0.75" header="0.3" footer="0.3"/>
  <pageSetup orientation="portrait" horizontalDpi="0" verticalDpi="0"/>
</worksheet>
</file>

<file path=customUI/customUI14.xml><?xml version="1.0" encoding="utf-8"?>
<customUI xmlns="http://schemas.microsoft.com/office/2009/07/customui">
  <ribbon>
    <tabs>
      <tab id="customTab" label="Master Plan" insertBeforeMso="TabHome">
        <group id="customGroup100" label="Global Inputs">
          <button id="customButton101" label="Project Data" size="large" onAction="NavButton_ProjectID" imageMso="ChartAreaChart"/>
        </group>
        <group id="customGroup200" label="Property Data and Operations">
          <button id="customButton201" label="Land Aquisition" size="large" onAction="NavButton_Acquisition" imageMso="ChartAreaChart"/>
          <button id="customButton202" label="Planning" size="large" onAction="NavButton_Planning" imageMso="DatasheetView"/>
          <button id="customButton203" label="Development + Sales" size="large" onAction="NavButton_Develop" imageMso="CreateTableInDesignView"/>
        </group>
        <group id="customGroup300" label="Finance">
          <button id="customButton301" label="Loans" size="large" onAction="NavButton_Loans" imageMso="AllCategories"/>
          <button id="customButton302" label="Bonds" size="large" onAction="NavButton_Bonds" imageMso="ArrangeByCategory"/>
        </group>
        <group id="customGrou400" label="Reports">
          <button id="customButton401" label="Toggle Reports" size="large" onAction="Reports_Hide" imageMso="ChartAreaChar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01c79de-d6ca-44ed-8bcb-697d21a50ad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46EACE72BF141912041392956A3F6" ma:contentTypeVersion="17" ma:contentTypeDescription="Create a new document." ma:contentTypeScope="" ma:versionID="5ecd5976ecaef0de1da23f0cffb74a2d">
  <xsd:schema xmlns:xsd="http://www.w3.org/2001/XMLSchema" xmlns:xs="http://www.w3.org/2001/XMLSchema" xmlns:p="http://schemas.microsoft.com/office/2006/metadata/properties" xmlns:ns3="476b2422-7e09-4a02-9822-bd0cbd231ef0" xmlns:ns4="a01c79de-d6ca-44ed-8bcb-697d21a50add" targetNamespace="http://schemas.microsoft.com/office/2006/metadata/properties" ma:root="true" ma:fieldsID="24459467afe41aad8215353f3d785613" ns3:_="" ns4:_="">
    <xsd:import namespace="476b2422-7e09-4a02-9822-bd0cbd231ef0"/>
    <xsd:import namespace="a01c79de-d6ca-44ed-8bcb-697d21a50ad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MediaServiceSearchProperties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6b2422-7e09-4a02-9822-bd0cbd231ef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1c79de-d6ca-44ed-8bcb-697d21a50a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3" nillable="true" ma:displayName="_activity" ma:hidden="true" ma:internalName="_activity">
      <xsd:simpleType>
        <xsd:restriction base="dms:Note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E7FEFE-B701-4716-91FA-7C946D05AC18}">
  <ds:schemaRefs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a01c79de-d6ca-44ed-8bcb-697d21a50add"/>
    <ds:schemaRef ds:uri="476b2422-7e09-4a02-9822-bd0cbd231ef0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F8C1557-0A1A-4D7E-BC9D-6F897E416D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6b2422-7e09-4a02-9822-bd0cbd231ef0"/>
    <ds:schemaRef ds:uri="a01c79de-d6ca-44ed-8bcb-697d21a50a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2AC4B21-9B81-43A3-AEF8-811B810FA8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82</vt:i4>
      </vt:variant>
    </vt:vector>
  </HeadingPairs>
  <TitlesOfParts>
    <vt:vector size="106" baseType="lpstr">
      <vt:lpstr>NOTES</vt:lpstr>
      <vt:lpstr>CHECKS</vt:lpstr>
      <vt:lpstr>i.General</vt:lpstr>
      <vt:lpstr>i.LandAcq</vt:lpstr>
      <vt:lpstr>i.Planning</vt:lpstr>
      <vt:lpstr>iProject</vt:lpstr>
      <vt:lpstr>iFinance</vt:lpstr>
      <vt:lpstr>ADMIN</vt:lpstr>
      <vt:lpstr>DATABASE</vt:lpstr>
      <vt:lpstr>mProject</vt:lpstr>
      <vt:lpstr>mFinance</vt:lpstr>
      <vt:lpstr>mAssets</vt:lpstr>
      <vt:lpstr>mWaterfall</vt:lpstr>
      <vt:lpstr>r.ParcelTable</vt:lpstr>
      <vt:lpstr>r.Sales</vt:lpstr>
      <vt:lpstr>r.Costs</vt:lpstr>
      <vt:lpstr>r.CFm</vt:lpstr>
      <vt:lpstr>r.CFa</vt:lpstr>
      <vt:lpstr>r.Project_by_Phase</vt:lpstr>
      <vt:lpstr>r.CF by Phase</vt:lpstr>
      <vt:lpstr>r.Gantt</vt:lpstr>
      <vt:lpstr>r.Demand</vt:lpstr>
      <vt:lpstr>r.Assumptions-Static</vt:lpstr>
      <vt:lpstr>r.Summary</vt:lpstr>
      <vt:lpstr>c_Date.Costs_Final</vt:lpstr>
      <vt:lpstr>c_Date.End</vt:lpstr>
      <vt:lpstr>c_Hurdle1.Share_GP</vt:lpstr>
      <vt:lpstr>c_Hurdle2.Share_GP</vt:lpstr>
      <vt:lpstr>c_Hurdle3.Share_GP</vt:lpstr>
      <vt:lpstr>c_Period.Cost_Final</vt:lpstr>
      <vt:lpstr>c_Period.Revenue_Final</vt:lpstr>
      <vt:lpstr>c_Periods.Final</vt:lpstr>
      <vt:lpstr>cv_budgetDev</vt:lpstr>
      <vt:lpstr>cv_budgetDev.Mkt</vt:lpstr>
      <vt:lpstr>cv_budgetTemp</vt:lpstr>
      <vt:lpstr>cv_Sale.Prices</vt:lpstr>
      <vt:lpstr>i_ActiveArea</vt:lpstr>
      <vt:lpstr>i_Cost.Commisions</vt:lpstr>
      <vt:lpstr>i_Cost.Conting</vt:lpstr>
      <vt:lpstr>i_Cost.Engineer</vt:lpstr>
      <vt:lpstr>i_Cost.Entitlemt</vt:lpstr>
      <vt:lpstr>i_cost.Offsite</vt:lpstr>
      <vt:lpstr>i_Cost.Onsite</vt:lpstr>
      <vt:lpstr>i_Cost.OtherCOS</vt:lpstr>
      <vt:lpstr>i_Cost.Subd</vt:lpstr>
      <vt:lpstr>i_Date.Start</vt:lpstr>
      <vt:lpstr>i_Demand.Annual</vt:lpstr>
      <vt:lpstr>i_equity.GPshare</vt:lpstr>
      <vt:lpstr>i_factorDUA</vt:lpstr>
      <vt:lpstr>i_Header.ModelDescr</vt:lpstr>
      <vt:lpstr>i_Header.ProjectName</vt:lpstr>
      <vt:lpstr>i_Inflate.Cost</vt:lpstr>
      <vt:lpstr>i_Inflate.Price</vt:lpstr>
      <vt:lpstr>i_LandVal.NonRes</vt:lpstr>
      <vt:lpstr>i_price.SFDlots</vt:lpstr>
      <vt:lpstr>i_Project.Acres</vt:lpstr>
      <vt:lpstr>i_Project.Descr</vt:lpstr>
      <vt:lpstr>i_Project.Location</vt:lpstr>
      <vt:lpstr>i_Project.Name</vt:lpstr>
      <vt:lpstr>i_Promote.Hurdle1</vt:lpstr>
      <vt:lpstr>i_Promote.Hurdle2</vt:lpstr>
      <vt:lpstr>i_Promote.Hurdle3</vt:lpstr>
      <vt:lpstr>i_rate.Hurdle1</vt:lpstr>
      <vt:lpstr>i_rate.Hurdle2</vt:lpstr>
      <vt:lpstr>i_rate.Hurdle3</vt:lpstr>
      <vt:lpstr>i_rate.Pref</vt:lpstr>
      <vt:lpstr>i_residualGP</vt:lpstr>
      <vt:lpstr>i_topRow.Heights</vt:lpstr>
      <vt:lpstr>inputRange_Bonds</vt:lpstr>
      <vt:lpstr>inputRange_DevelopSales</vt:lpstr>
      <vt:lpstr>inputRange_General</vt:lpstr>
      <vt:lpstr>inputRange_LandAcq</vt:lpstr>
      <vt:lpstr>inputRange_Loans</vt:lpstr>
      <vt:lpstr>inputRange_Planning</vt:lpstr>
      <vt:lpstr>iv_dates.DevCompletion</vt:lpstr>
      <vt:lpstr>iv_DevBudget</vt:lpstr>
      <vt:lpstr>iv_DevSchedule</vt:lpstr>
      <vt:lpstr>iv_Sale.Months</vt:lpstr>
      <vt:lpstr>iv_Sale.Years</vt:lpstr>
      <vt:lpstr>list_landuse.Type</vt:lpstr>
      <vt:lpstr>list_Measures</vt:lpstr>
      <vt:lpstr>list_Parcels</vt:lpstr>
      <vt:lpstr>periodEnd</vt:lpstr>
      <vt:lpstr>r.CFa!Print_Area</vt:lpstr>
      <vt:lpstr>r.CFm!Print_Area</vt:lpstr>
      <vt:lpstr>r.ParcelTable!Print_Area</vt:lpstr>
      <vt:lpstr>r.Project_by_Phase!Print_Area</vt:lpstr>
      <vt:lpstr>r.Sales!Print_Area</vt:lpstr>
      <vt:lpstr>r.CFm!Print_Titles</vt:lpstr>
      <vt:lpstr>rng_AcquisitionTbl</vt:lpstr>
      <vt:lpstr>rng_costDatabase</vt:lpstr>
      <vt:lpstr>rng_costHelper</vt:lpstr>
      <vt:lpstr>rng_Databases</vt:lpstr>
      <vt:lpstr>rng_General</vt:lpstr>
      <vt:lpstr>rng_ParcelTable</vt:lpstr>
      <vt:lpstr>rng_saleDatabase</vt:lpstr>
      <vt:lpstr>rng_saleHelper</vt:lpstr>
      <vt:lpstr>rpt_costDev</vt:lpstr>
      <vt:lpstr>rpt_LandSaleDatabase</vt:lpstr>
      <vt:lpstr>rpt_ParcelTable</vt:lpstr>
      <vt:lpstr>rpt_Rev3</vt:lpstr>
      <vt:lpstr>rpt_Sales</vt:lpstr>
      <vt:lpstr>tbl_ActiveAreaBudgetT</vt:lpstr>
      <vt:lpstr>tbl_ActiveAreaScheduleT</vt:lpstr>
      <vt:lpstr>tbl_ParcelSaleMonthT</vt:lpstr>
      <vt:lpstr>tbl_PriceOverrideT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based on BTR model</dc:subject>
  <dc:creator>Gregg Wolin</dc:creator>
  <cp:keywords/>
  <dc:description/>
  <cp:lastModifiedBy>Gregg Wolin</cp:lastModifiedBy>
  <cp:revision/>
  <cp:lastPrinted>2023-09-06T20:20:12Z</cp:lastPrinted>
  <dcterms:created xsi:type="dcterms:W3CDTF">2022-07-08T14:45:13Z</dcterms:created>
  <dcterms:modified xsi:type="dcterms:W3CDTF">2025-09-11T20:46:36Z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0x010100D4F46EACE72BF141912041392956A3F6</vt:lpwstr>
  </property>
</Properties>
</file>