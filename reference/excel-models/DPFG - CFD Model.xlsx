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5Models/2Excel/2Worksheets/Land/CFD/"/>
    </mc:Choice>
  </mc:AlternateContent>
  <xr:revisionPtr revIDLastSave="0" documentId="8_{C3A63439-65B0-472A-BD1F-064A8AC4EB0C}" xr6:coauthVersionLast="47" xr6:coauthVersionMax="47" xr10:uidLastSave="{00000000-0000-0000-0000-000000000000}"/>
  <bookViews>
    <workbookView xWindow="3456" yWindow="0" windowWidth="23292" windowHeight="17304" tabRatio="881"/>
  </bookViews>
  <sheets>
    <sheet name="Source Use" sheetId="24" r:id="rId1"/>
    <sheet name="Land Use" sheetId="1" state="hidden" r:id="rId2"/>
    <sheet name="AV" sheetId="4" r:id="rId3"/>
  </sheets>
  <externalReferences>
    <externalReference r:id="rId4"/>
    <externalReference r:id="rId5"/>
    <externalReference r:id="rId6"/>
    <externalReference r:id="rId7"/>
  </externalReferences>
  <definedNames>
    <definedName name="AvgHomePrice">[3]Residential!$H$52</definedName>
    <definedName name="bondcapacity">#REF!</definedName>
    <definedName name="CFDCity">'Land Use'!#REF!</definedName>
    <definedName name="CFDName" localSheetId="0">'[4]Land Use'!$D$5</definedName>
    <definedName name="CFDName">'Land Use'!#REF!</definedName>
    <definedName name="CommunityList">#REF!</definedName>
    <definedName name="CommunityListCity">#REF!</definedName>
    <definedName name="CommunityListTax" localSheetId="0">'[4]Taxes Comps'!#REF!</definedName>
    <definedName name="CommunityListTax">#REF!</definedName>
    <definedName name="CompTaxes">#REF!</definedName>
    <definedName name="Construction">#REF!</definedName>
    <definedName name="Developer" localSheetId="0">'[4]Land Use'!$D$4</definedName>
    <definedName name="Developer">'Land Use'!#REF!</definedName>
    <definedName name="ExhibitList">#REF!</definedName>
    <definedName name="k">'[2]Land Use'!$D$5</definedName>
    <definedName name="LandUseCopy">'Land Use'!$F$9:$K$23</definedName>
    <definedName name="OandM">#REF!</definedName>
    <definedName name="Phase">#REF!</definedName>
    <definedName name="PhaseAll">#REF!</definedName>
    <definedName name="_xlnm.Print_Area" localSheetId="1">'Land Use'!$A$1:$X$25</definedName>
    <definedName name="_xlnm.Print_Area" localSheetId="0">'Source Use'!$C$2:$N$58</definedName>
    <definedName name="Project">'Land Use'!#REF!</definedName>
    <definedName name="Providers">#REF!</definedName>
    <definedName name="SortStart">#REF!</definedName>
    <definedName name="Taxes">#REF!</definedName>
    <definedName name="Total_DU">[1]SA!$D$14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8" i="24" l="1"/>
  <c r="P43" i="4"/>
  <c r="G58" i="4"/>
  <c r="L104" i="4"/>
  <c r="L101" i="4"/>
  <c r="G25" i="4"/>
  <c r="M13" i="4"/>
  <c r="M14" i="4"/>
  <c r="J13" i="4"/>
  <c r="J14" i="4"/>
  <c r="H13" i="4"/>
  <c r="H14" i="4"/>
  <c r="F11" i="4"/>
  <c r="G11" i="4"/>
  <c r="H11" i="4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E36" i="4"/>
  <c r="E37" i="4"/>
  <c r="I64" i="24"/>
  <c r="J64" i="24"/>
  <c r="K64" i="24"/>
  <c r="L64" i="24" s="1"/>
  <c r="M64" i="24" s="1"/>
  <c r="N64" i="24" s="1"/>
  <c r="O64" i="24" s="1"/>
  <c r="P64" i="24" s="1"/>
  <c r="Q64" i="24" s="1"/>
  <c r="R64" i="24" s="1"/>
  <c r="S64" i="24" s="1"/>
  <c r="T64" i="24" s="1"/>
  <c r="U64" i="24" s="1"/>
  <c r="V64" i="24" s="1"/>
  <c r="W64" i="24" s="1"/>
  <c r="X64" i="24" s="1"/>
  <c r="C56" i="24"/>
  <c r="C58" i="24"/>
  <c r="C52" i="24"/>
  <c r="I97" i="4"/>
  <c r="J84" i="24"/>
  <c r="K84" i="24"/>
  <c r="J83" i="24"/>
  <c r="J82" i="24"/>
  <c r="J81" i="24"/>
  <c r="K81" i="24"/>
  <c r="J80" i="24"/>
  <c r="F81" i="24"/>
  <c r="F82" i="24"/>
  <c r="K82" i="24"/>
  <c r="F83" i="24"/>
  <c r="F84" i="24"/>
  <c r="F80" i="24"/>
  <c r="F85" i="24"/>
  <c r="E81" i="24"/>
  <c r="E82" i="24"/>
  <c r="E83" i="24"/>
  <c r="E84" i="24"/>
  <c r="E80" i="24"/>
  <c r="S55" i="1"/>
  <c r="N64" i="1"/>
  <c r="N57" i="1"/>
  <c r="N66" i="1"/>
  <c r="F7" i="24"/>
  <c r="H37" i="24"/>
  <c r="I37" i="24"/>
  <c r="J37" i="24"/>
  <c r="K37" i="24" s="1"/>
  <c r="L37" i="24" s="1"/>
  <c r="M37" i="24" s="1"/>
  <c r="N37" i="24" s="1"/>
  <c r="O37" i="24" s="1"/>
  <c r="P37" i="24" s="1"/>
  <c r="Q37" i="24" s="1"/>
  <c r="R37" i="24" s="1"/>
  <c r="S37" i="24" s="1"/>
  <c r="T37" i="24" s="1"/>
  <c r="U37" i="24" s="1"/>
  <c r="V37" i="24" s="1"/>
  <c r="W37" i="24" s="1"/>
  <c r="X37" i="24" s="1"/>
  <c r="D26" i="24"/>
  <c r="F41" i="24"/>
  <c r="H41" i="24"/>
  <c r="F42" i="24"/>
  <c r="F44" i="24"/>
  <c r="H42" i="24"/>
  <c r="I42" i="24"/>
  <c r="J42" i="24"/>
  <c r="K42" i="24"/>
  <c r="L42" i="24"/>
  <c r="M42" i="24"/>
  <c r="N42" i="24"/>
  <c r="O42" i="24"/>
  <c r="P42" i="24"/>
  <c r="Q42" i="24"/>
  <c r="R42" i="24"/>
  <c r="S42" i="24"/>
  <c r="T42" i="24"/>
  <c r="U42" i="24"/>
  <c r="V42" i="24"/>
  <c r="W42" i="24"/>
  <c r="X42" i="24"/>
  <c r="D71" i="24"/>
  <c r="F6" i="4"/>
  <c r="F7" i="4"/>
  <c r="G7" i="4"/>
  <c r="E11" i="4"/>
  <c r="E12" i="4"/>
  <c r="E15" i="4"/>
  <c r="T12" i="4"/>
  <c r="T15" i="4"/>
  <c r="U12" i="4"/>
  <c r="U15" i="4"/>
  <c r="G13" i="4"/>
  <c r="G14" i="4"/>
  <c r="G38" i="4" s="1"/>
  <c r="I13" i="4"/>
  <c r="I14" i="4"/>
  <c r="K13" i="4"/>
  <c r="K14" i="4"/>
  <c r="L13" i="4"/>
  <c r="L14" i="4"/>
  <c r="N13" i="4"/>
  <c r="N14" i="4"/>
  <c r="O13" i="4"/>
  <c r="O14" i="4"/>
  <c r="P13" i="4"/>
  <c r="Q13" i="4"/>
  <c r="Q14" i="4"/>
  <c r="Q38" i="4" s="1"/>
  <c r="R13" i="4"/>
  <c r="R14" i="4"/>
  <c r="S13" i="4"/>
  <c r="T13" i="4"/>
  <c r="T14" i="4"/>
  <c r="T38" i="4" s="1"/>
  <c r="U13" i="4"/>
  <c r="U14" i="4"/>
  <c r="U38" i="4" s="1"/>
  <c r="E19" i="4"/>
  <c r="F19" i="4"/>
  <c r="G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F20" i="4"/>
  <c r="F36" i="4"/>
  <c r="G20" i="4"/>
  <c r="G23" i="4"/>
  <c r="H20" i="4"/>
  <c r="H23" i="4"/>
  <c r="I20" i="4"/>
  <c r="J20" i="4"/>
  <c r="J23" i="4"/>
  <c r="K20" i="4"/>
  <c r="K23" i="4"/>
  <c r="L20" i="4"/>
  <c r="M20" i="4"/>
  <c r="M23" i="4"/>
  <c r="N44" i="4" s="1"/>
  <c r="N20" i="4"/>
  <c r="N23" i="4"/>
  <c r="O20" i="4"/>
  <c r="O23" i="4"/>
  <c r="P20" i="4"/>
  <c r="P23" i="4"/>
  <c r="P39" i="4"/>
  <c r="Q20" i="4"/>
  <c r="Q23" i="4"/>
  <c r="R20" i="4"/>
  <c r="R23" i="4"/>
  <c r="R44" i="4" s="1"/>
  <c r="S20" i="4"/>
  <c r="S23" i="4"/>
  <c r="T20" i="4"/>
  <c r="T23" i="4" s="1"/>
  <c r="U20" i="4"/>
  <c r="U23" i="4"/>
  <c r="F21" i="4"/>
  <c r="F37" i="4"/>
  <c r="G21" i="4"/>
  <c r="G37" i="4"/>
  <c r="H21" i="4"/>
  <c r="H22" i="4"/>
  <c r="I21" i="4"/>
  <c r="I22" i="4"/>
  <c r="J21" i="4"/>
  <c r="J22" i="4"/>
  <c r="K21" i="4"/>
  <c r="K22" i="4"/>
  <c r="L21" i="4"/>
  <c r="M21" i="4"/>
  <c r="N21" i="4"/>
  <c r="N22" i="4"/>
  <c r="N38" i="4"/>
  <c r="O21" i="4"/>
  <c r="O22" i="4"/>
  <c r="P21" i="4"/>
  <c r="P22" i="4"/>
  <c r="P38" i="4"/>
  <c r="Q21" i="4"/>
  <c r="Q22" i="4"/>
  <c r="R21" i="4"/>
  <c r="R22" i="4"/>
  <c r="R38" i="4"/>
  <c r="S21" i="4"/>
  <c r="S22" i="4"/>
  <c r="T21" i="4"/>
  <c r="T22" i="4"/>
  <c r="U21" i="4"/>
  <c r="U22" i="4"/>
  <c r="E22" i="4"/>
  <c r="G22" i="4"/>
  <c r="E23" i="4"/>
  <c r="E44" i="4"/>
  <c r="E58" i="4"/>
  <c r="E60" i="4" s="1"/>
  <c r="E70" i="4" s="1"/>
  <c r="E83" i="4" s="1"/>
  <c r="E84" i="4" s="1"/>
  <c r="F12" i="24" s="1"/>
  <c r="E27" i="4"/>
  <c r="F27" i="4"/>
  <c r="G27" i="4"/>
  <c r="N28" i="4"/>
  <c r="N31" i="4"/>
  <c r="N39" i="4" s="1"/>
  <c r="O28" i="4"/>
  <c r="O31" i="4"/>
  <c r="O39" i="4" s="1"/>
  <c r="P28" i="4"/>
  <c r="P31" i="4"/>
  <c r="Q28" i="4"/>
  <c r="Q31" i="4" s="1"/>
  <c r="R28" i="4"/>
  <c r="R31" i="4"/>
  <c r="S28" i="4"/>
  <c r="S31" i="4"/>
  <c r="T28" i="4"/>
  <c r="T31" i="4"/>
  <c r="T45" i="4"/>
  <c r="U28" i="4"/>
  <c r="U31" i="4"/>
  <c r="E29" i="4"/>
  <c r="F29" i="4"/>
  <c r="G29" i="4"/>
  <c r="N29" i="4"/>
  <c r="N30" i="4"/>
  <c r="O29" i="4"/>
  <c r="O30" i="4" s="1"/>
  <c r="O38" i="4" s="1"/>
  <c r="P29" i="4"/>
  <c r="P30" i="4"/>
  <c r="Q29" i="4"/>
  <c r="Q30" i="4"/>
  <c r="R29" i="4"/>
  <c r="S29" i="4"/>
  <c r="S30" i="4"/>
  <c r="T29" i="4"/>
  <c r="T30" i="4"/>
  <c r="U29" i="4"/>
  <c r="U30" i="4"/>
  <c r="E30" i="4"/>
  <c r="F30" i="4"/>
  <c r="G30" i="4"/>
  <c r="R30" i="4"/>
  <c r="E31" i="4"/>
  <c r="E45" i="4"/>
  <c r="F31" i="4"/>
  <c r="F45" i="4"/>
  <c r="G31" i="4"/>
  <c r="G45" i="4"/>
  <c r="E34" i="4"/>
  <c r="E35" i="4"/>
  <c r="E48" i="4" s="1"/>
  <c r="E56" i="4" s="1"/>
  <c r="G34" i="4"/>
  <c r="N34" i="4"/>
  <c r="O34" i="4"/>
  <c r="R38" i="24"/>
  <c r="P34" i="4"/>
  <c r="Q34" i="4"/>
  <c r="T38" i="24" s="1"/>
  <c r="R34" i="4"/>
  <c r="U38" i="24"/>
  <c r="S34" i="4"/>
  <c r="V38" i="24"/>
  <c r="T34" i="4"/>
  <c r="W38" i="24"/>
  <c r="U34" i="4"/>
  <c r="X38" i="24"/>
  <c r="O37" i="4"/>
  <c r="C93" i="4"/>
  <c r="I114" i="4"/>
  <c r="K114" i="4"/>
  <c r="L114" i="4" s="1"/>
  <c r="I120" i="4"/>
  <c r="K120" i="4"/>
  <c r="L120" i="4"/>
  <c r="U119" i="4"/>
  <c r="I126" i="4"/>
  <c r="K126" i="4"/>
  <c r="L126" i="4"/>
  <c r="D131" i="4"/>
  <c r="E59" i="4"/>
  <c r="D138" i="4"/>
  <c r="E140" i="4"/>
  <c r="W15" i="1"/>
  <c r="W20" i="1"/>
  <c r="W16" i="1"/>
  <c r="W17" i="1"/>
  <c r="W18" i="1"/>
  <c r="W19" i="1"/>
  <c r="I20" i="1"/>
  <c r="J20" i="1"/>
  <c r="K20" i="1"/>
  <c r="L20" i="1"/>
  <c r="Q20" i="1"/>
  <c r="R20" i="1"/>
  <c r="S20" i="1"/>
  <c r="T20" i="1"/>
  <c r="U20" i="1"/>
  <c r="V20" i="1"/>
  <c r="I31" i="1"/>
  <c r="G33" i="1"/>
  <c r="J37" i="1"/>
  <c r="J42" i="1" s="1"/>
  <c r="J38" i="1"/>
  <c r="J39" i="1"/>
  <c r="J40" i="1"/>
  <c r="J41" i="1"/>
  <c r="H43" i="1"/>
  <c r="T37" i="4"/>
  <c r="P14" i="4"/>
  <c r="U37" i="4"/>
  <c r="Q37" i="4"/>
  <c r="E71" i="24"/>
  <c r="G7" i="24"/>
  <c r="F71" i="24"/>
  <c r="S37" i="4"/>
  <c r="S14" i="4"/>
  <c r="S38" i="4" s="1"/>
  <c r="T36" i="4"/>
  <c r="P37" i="4"/>
  <c r="N12" i="4"/>
  <c r="N15" i="4"/>
  <c r="N36" i="4"/>
  <c r="O12" i="4"/>
  <c r="O15" i="4"/>
  <c r="P12" i="4"/>
  <c r="P15" i="4"/>
  <c r="O36" i="4"/>
  <c r="Q12" i="4"/>
  <c r="Q15" i="4"/>
  <c r="Q43" i="4" s="1"/>
  <c r="R12" i="4"/>
  <c r="R15" i="4" s="1"/>
  <c r="Q36" i="4"/>
  <c r="S12" i="4"/>
  <c r="S15" i="4"/>
  <c r="S39" i="4" s="1"/>
  <c r="R36" i="4"/>
  <c r="S36" i="4"/>
  <c r="R37" i="4"/>
  <c r="N37" i="4"/>
  <c r="U36" i="4"/>
  <c r="H39" i="24"/>
  <c r="I39" i="24"/>
  <c r="J39" i="24"/>
  <c r="K39" i="24"/>
  <c r="L39" i="24" s="1"/>
  <c r="M39" i="24" s="1"/>
  <c r="N39" i="24" s="1"/>
  <c r="O39" i="24" s="1"/>
  <c r="P39" i="24" s="1"/>
  <c r="Q39" i="24" s="1"/>
  <c r="R39" i="24" s="1"/>
  <c r="S39" i="24" s="1"/>
  <c r="P36" i="4"/>
  <c r="K80" i="24"/>
  <c r="K83" i="24"/>
  <c r="Q11" i="24"/>
  <c r="O11" i="24"/>
  <c r="V11" i="24"/>
  <c r="I11" i="24"/>
  <c r="T11" i="24"/>
  <c r="K11" i="24"/>
  <c r="L11" i="24"/>
  <c r="U11" i="24"/>
  <c r="F11" i="24"/>
  <c r="S11" i="24"/>
  <c r="G11" i="24"/>
  <c r="N11" i="24"/>
  <c r="J11" i="24"/>
  <c r="M11" i="24"/>
  <c r="H11" i="24"/>
  <c r="E11" i="24" s="1"/>
  <c r="P11" i="24"/>
  <c r="R11" i="24"/>
  <c r="U45" i="4"/>
  <c r="F12" i="4"/>
  <c r="F15" i="4"/>
  <c r="F25" i="4" s="1"/>
  <c r="F34" i="4"/>
  <c r="F13" i="4"/>
  <c r="F14" i="4"/>
  <c r="H7" i="24"/>
  <c r="H7" i="4"/>
  <c r="U43" i="4"/>
  <c r="U125" i="4"/>
  <c r="E43" i="4"/>
  <c r="E39" i="4"/>
  <c r="E46" i="4" s="1"/>
  <c r="E13" i="4"/>
  <c r="E14" i="4" s="1"/>
  <c r="E38" i="4" s="1"/>
  <c r="G6" i="4"/>
  <c r="I7" i="24"/>
  <c r="I7" i="4"/>
  <c r="H6" i="4"/>
  <c r="G12" i="4"/>
  <c r="G15" i="4"/>
  <c r="G39" i="4" s="1"/>
  <c r="G36" i="4"/>
  <c r="J7" i="4"/>
  <c r="K7" i="4" s="1"/>
  <c r="J7" i="24"/>
  <c r="H12" i="4"/>
  <c r="I6" i="4"/>
  <c r="I12" i="4" s="1"/>
  <c r="I15" i="4" s="1"/>
  <c r="J6" i="4"/>
  <c r="H15" i="4"/>
  <c r="H25" i="4" s="1"/>
  <c r="G43" i="4"/>
  <c r="H43" i="4"/>
  <c r="H65" i="24"/>
  <c r="S38" i="24"/>
  <c r="F22" i="4"/>
  <c r="F38" i="4"/>
  <c r="I65" i="24"/>
  <c r="H66" i="24"/>
  <c r="H71" i="24" s="1"/>
  <c r="F16" i="24" s="1"/>
  <c r="H67" i="24"/>
  <c r="H68" i="24"/>
  <c r="H69" i="24"/>
  <c r="H70" i="24"/>
  <c r="I70" i="24"/>
  <c r="I69" i="24"/>
  <c r="I71" i="24" s="1"/>
  <c r="G16" i="24" s="1"/>
  <c r="I68" i="24"/>
  <c r="I67" i="24"/>
  <c r="I66" i="24"/>
  <c r="J65" i="24"/>
  <c r="J70" i="24" s="1"/>
  <c r="J69" i="24"/>
  <c r="J68" i="24"/>
  <c r="I23" i="4"/>
  <c r="F23" i="4"/>
  <c r="L22" i="4"/>
  <c r="L23" i="4"/>
  <c r="E40" i="4"/>
  <c r="P44" i="4"/>
  <c r="K44" i="4"/>
  <c r="H44" i="4"/>
  <c r="F35" i="4"/>
  <c r="F48" i="4"/>
  <c r="F56" i="4" s="1"/>
  <c r="L44" i="4"/>
  <c r="M22" i="4"/>
  <c r="J44" i="4"/>
  <c r="I44" i="4"/>
  <c r="F44" i="4"/>
  <c r="F39" i="4"/>
  <c r="F46" i="4" s="1"/>
  <c r="F51" i="4" s="1"/>
  <c r="S44" i="4"/>
  <c r="Q44" i="4"/>
  <c r="G44" i="4"/>
  <c r="H43" i="24"/>
  <c r="I43" i="24" s="1"/>
  <c r="I41" i="24"/>
  <c r="J41" i="24"/>
  <c r="K41" i="24"/>
  <c r="L41" i="24"/>
  <c r="M41" i="24" s="1"/>
  <c r="R43" i="4" l="1"/>
  <c r="R39" i="4"/>
  <c r="T43" i="4"/>
  <c r="T58" i="4" s="1"/>
  <c r="S43" i="4"/>
  <c r="Q58" i="4"/>
  <c r="I44" i="24"/>
  <c r="G17" i="24" s="1"/>
  <c r="J43" i="24"/>
  <c r="J44" i="24" s="1"/>
  <c r="H17" i="24" s="1"/>
  <c r="Q39" i="4"/>
  <c r="Q45" i="4"/>
  <c r="S45" i="4"/>
  <c r="R45" i="4"/>
  <c r="U44" i="4"/>
  <c r="U58" i="4" s="1"/>
  <c r="E47" i="4"/>
  <c r="E51" i="4"/>
  <c r="T39" i="24"/>
  <c r="U39" i="24" s="1"/>
  <c r="V39" i="24" s="1"/>
  <c r="W39" i="24" s="1"/>
  <c r="X39" i="24" s="1"/>
  <c r="T44" i="4"/>
  <c r="T39" i="4"/>
  <c r="P46" i="4"/>
  <c r="G18" i="24"/>
  <c r="I43" i="4"/>
  <c r="I25" i="4"/>
  <c r="L130" i="4"/>
  <c r="U113" i="4"/>
  <c r="N41" i="24"/>
  <c r="K43" i="24"/>
  <c r="K44" i="24" s="1"/>
  <c r="I17" i="24" s="1"/>
  <c r="L7" i="4"/>
  <c r="L7" i="24"/>
  <c r="G46" i="4"/>
  <c r="G51" i="4" s="1"/>
  <c r="G40" i="4"/>
  <c r="S46" i="4"/>
  <c r="O44" i="4"/>
  <c r="F40" i="4"/>
  <c r="U39" i="4"/>
  <c r="K65" i="24"/>
  <c r="K6" i="4"/>
  <c r="P45" i="4"/>
  <c r="P58" i="4" s="1"/>
  <c r="G35" i="4"/>
  <c r="J66" i="24"/>
  <c r="J12" i="4"/>
  <c r="J15" i="4" s="1"/>
  <c r="H44" i="24"/>
  <c r="F17" i="24" s="1"/>
  <c r="M44" i="4"/>
  <c r="J67" i="24"/>
  <c r="F43" i="4"/>
  <c r="F58" i="4" s="1"/>
  <c r="L43" i="24"/>
  <c r="L44" i="24" s="1"/>
  <c r="J17" i="24" s="1"/>
  <c r="E61" i="4"/>
  <c r="K7" i="24"/>
  <c r="J25" i="4" l="1"/>
  <c r="J43" i="4"/>
  <c r="J71" i="24"/>
  <c r="H16" i="24" s="1"/>
  <c r="F18" i="24"/>
  <c r="G48" i="4"/>
  <c r="G56" i="4" s="1"/>
  <c r="M7" i="4"/>
  <c r="M7" i="24"/>
  <c r="Q46" i="4"/>
  <c r="F47" i="4"/>
  <c r="E55" i="4"/>
  <c r="E64" i="4" s="1"/>
  <c r="L6" i="4"/>
  <c r="K12" i="4"/>
  <c r="K15" i="4" s="1"/>
  <c r="L65" i="24"/>
  <c r="K69" i="24"/>
  <c r="K70" i="24"/>
  <c r="K68" i="24"/>
  <c r="K66" i="24"/>
  <c r="K67" i="24"/>
  <c r="M43" i="24"/>
  <c r="M44" i="24" s="1"/>
  <c r="K17" i="24" s="1"/>
  <c r="U46" i="4"/>
  <c r="U51" i="4" s="1"/>
  <c r="S58" i="4"/>
  <c r="H26" i="4"/>
  <c r="K26" i="4"/>
  <c r="J26" i="4"/>
  <c r="I26" i="4"/>
  <c r="L26" i="4"/>
  <c r="T46" i="4"/>
  <c r="T51" i="4" s="1"/>
  <c r="M26" i="4"/>
  <c r="R46" i="4"/>
  <c r="E69" i="4"/>
  <c r="E71" i="4"/>
  <c r="O41" i="24"/>
  <c r="R58" i="4"/>
  <c r="N7" i="4" l="1"/>
  <c r="N7" i="24"/>
  <c r="M28" i="4"/>
  <c r="M31" i="4" s="1"/>
  <c r="M34" i="4"/>
  <c r="M29" i="4"/>
  <c r="M30" i="4" s="1"/>
  <c r="M38" i="4" s="1"/>
  <c r="M37" i="4"/>
  <c r="K71" i="24"/>
  <c r="I16" i="24" s="1"/>
  <c r="I18" i="24" s="1"/>
  <c r="H18" i="24"/>
  <c r="F10" i="24"/>
  <c r="E74" i="4"/>
  <c r="E82" i="4" s="1"/>
  <c r="E72" i="4"/>
  <c r="K25" i="4"/>
  <c r="K39" i="4"/>
  <c r="K43" i="4"/>
  <c r="N43" i="24"/>
  <c r="N44" i="24" s="1"/>
  <c r="L17" i="24" s="1"/>
  <c r="J28" i="4"/>
  <c r="J36" i="4" s="1"/>
  <c r="J31" i="4"/>
  <c r="J29" i="4"/>
  <c r="J30" i="4" s="1"/>
  <c r="J38" i="4" s="1"/>
  <c r="J34" i="4"/>
  <c r="M6" i="4"/>
  <c r="L12" i="4"/>
  <c r="L15" i="4" s="1"/>
  <c r="L69" i="24"/>
  <c r="L68" i="24"/>
  <c r="L67" i="24"/>
  <c r="L66" i="24"/>
  <c r="M65" i="24"/>
  <c r="L70" i="24"/>
  <c r="P41" i="24"/>
  <c r="O43" i="24"/>
  <c r="O44" i="24" s="1"/>
  <c r="M17" i="24" s="1"/>
  <c r="K28" i="4"/>
  <c r="K36" i="4" s="1"/>
  <c r="K31" i="4"/>
  <c r="K29" i="4"/>
  <c r="K37" i="4" s="1"/>
  <c r="K30" i="4"/>
  <c r="K38" i="4" s="1"/>
  <c r="K34" i="4"/>
  <c r="E66" i="4"/>
  <c r="L34" i="4"/>
  <c r="L28" i="4"/>
  <c r="L31" i="4"/>
  <c r="L29" i="4"/>
  <c r="L37" i="4" s="1"/>
  <c r="L30" i="4"/>
  <c r="L38" i="4" s="1"/>
  <c r="I29" i="4"/>
  <c r="I30" i="4"/>
  <c r="I38" i="4" s="1"/>
  <c r="I34" i="4"/>
  <c r="I28" i="4"/>
  <c r="I36" i="4" s="1"/>
  <c r="I31" i="4"/>
  <c r="I37" i="4"/>
  <c r="H34" i="4"/>
  <c r="H35" i="4" s="1"/>
  <c r="H36" i="4"/>
  <c r="H28" i="4"/>
  <c r="H29" i="4"/>
  <c r="D97" i="4"/>
  <c r="H31" i="4"/>
  <c r="H30" i="4"/>
  <c r="H38" i="4" s="1"/>
  <c r="H37" i="4"/>
  <c r="H27" i="4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F55" i="4"/>
  <c r="F64" i="4" s="1"/>
  <c r="G47" i="4"/>
  <c r="M45" i="4" l="1"/>
  <c r="O45" i="4"/>
  <c r="N45" i="4"/>
  <c r="J37" i="4"/>
  <c r="H45" i="4"/>
  <c r="H58" i="4" s="1"/>
  <c r="H39" i="4"/>
  <c r="J45" i="4"/>
  <c r="J58" i="4" s="1"/>
  <c r="J39" i="4"/>
  <c r="E86" i="4"/>
  <c r="E87" i="4" s="1"/>
  <c r="F86" i="4"/>
  <c r="G86" i="4"/>
  <c r="E76" i="4"/>
  <c r="E77" i="4"/>
  <c r="I35" i="4"/>
  <c r="J35" i="4"/>
  <c r="F13" i="24"/>
  <c r="H86" i="4"/>
  <c r="H48" i="4"/>
  <c r="H56" i="4" s="1"/>
  <c r="I45" i="4"/>
  <c r="I58" i="4" s="1"/>
  <c r="I39" i="4"/>
  <c r="L43" i="4"/>
  <c r="L39" i="4"/>
  <c r="G55" i="4"/>
  <c r="G64" i="4" s="1"/>
  <c r="K45" i="4"/>
  <c r="K58" i="4" s="1"/>
  <c r="L45" i="4"/>
  <c r="L36" i="4"/>
  <c r="M66" i="24"/>
  <c r="N65" i="24"/>
  <c r="M69" i="24"/>
  <c r="M68" i="24"/>
  <c r="M70" i="24"/>
  <c r="M67" i="24"/>
  <c r="M12" i="4"/>
  <c r="N6" i="4"/>
  <c r="O7" i="24"/>
  <c r="O7" i="4"/>
  <c r="Q41" i="24"/>
  <c r="P43" i="24"/>
  <c r="P44" i="24" s="1"/>
  <c r="N17" i="24" s="1"/>
  <c r="L71" i="24"/>
  <c r="J16" i="24" s="1"/>
  <c r="E80" i="4" l="1"/>
  <c r="E78" i="4"/>
  <c r="G65" i="4"/>
  <c r="G87" i="4"/>
  <c r="G59" i="4"/>
  <c r="O6" i="4"/>
  <c r="L58" i="4"/>
  <c r="F65" i="4"/>
  <c r="F66" i="4" s="1"/>
  <c r="F87" i="4"/>
  <c r="F59" i="4"/>
  <c r="J48" i="4"/>
  <c r="J56" i="4" s="1"/>
  <c r="J86" i="4"/>
  <c r="J18" i="24"/>
  <c r="R41" i="24"/>
  <c r="Q43" i="24"/>
  <c r="Q44" i="24" s="1"/>
  <c r="O17" i="24" s="1"/>
  <c r="P7" i="4"/>
  <c r="P7" i="24"/>
  <c r="L46" i="4"/>
  <c r="L51" i="4" s="1"/>
  <c r="M15" i="4"/>
  <c r="M36" i="4"/>
  <c r="K35" i="4"/>
  <c r="F20" i="24"/>
  <c r="F22" i="24" s="1"/>
  <c r="I48" i="4"/>
  <c r="I56" i="4" s="1"/>
  <c r="I86" i="4"/>
  <c r="G66" i="4"/>
  <c r="I46" i="4"/>
  <c r="I51" i="4" s="1"/>
  <c r="I40" i="4"/>
  <c r="J40" i="4"/>
  <c r="K40" i="4" s="1"/>
  <c r="L40" i="4" s="1"/>
  <c r="J46" i="4"/>
  <c r="J51" i="4" s="1"/>
  <c r="H46" i="4"/>
  <c r="H40" i="4"/>
  <c r="H65" i="4"/>
  <c r="H87" i="4"/>
  <c r="H59" i="4"/>
  <c r="H60" i="4"/>
  <c r="H70" i="4" s="1"/>
  <c r="H83" i="4" s="1"/>
  <c r="H84" i="4" s="1"/>
  <c r="I12" i="24" s="1"/>
  <c r="I10" i="24" s="1"/>
  <c r="I13" i="24" s="1"/>
  <c r="I20" i="24" s="1"/>
  <c r="K46" i="4"/>
  <c r="K51" i="4" s="1"/>
  <c r="N67" i="24"/>
  <c r="O65" i="24"/>
  <c r="N70" i="24"/>
  <c r="N69" i="24"/>
  <c r="N68" i="24"/>
  <c r="N66" i="24"/>
  <c r="N71" i="24" s="1"/>
  <c r="L16" i="24" s="1"/>
  <c r="L18" i="24" s="1"/>
  <c r="M71" i="24"/>
  <c r="K16" i="24" s="1"/>
  <c r="K18" i="24" s="1"/>
  <c r="R43" i="24" l="1"/>
  <c r="R44" i="24" s="1"/>
  <c r="P17" i="24" s="1"/>
  <c r="S41" i="24"/>
  <c r="F77" i="4"/>
  <c r="F76" i="4"/>
  <c r="O68" i="24"/>
  <c r="O70" i="24"/>
  <c r="O67" i="24"/>
  <c r="O66" i="24"/>
  <c r="O69" i="24"/>
  <c r="P65" i="24"/>
  <c r="G76" i="4"/>
  <c r="G77" i="4"/>
  <c r="I87" i="4"/>
  <c r="I59" i="4"/>
  <c r="I65" i="4"/>
  <c r="F61" i="4"/>
  <c r="F60" i="4"/>
  <c r="F70" i="4" s="1"/>
  <c r="F83" i="4" s="1"/>
  <c r="H51" i="4"/>
  <c r="H47" i="4"/>
  <c r="K86" i="4"/>
  <c r="K48" i="4"/>
  <c r="K56" i="4" s="1"/>
  <c r="L35" i="4"/>
  <c r="N43" i="4"/>
  <c r="N58" i="4" s="1"/>
  <c r="M43" i="4"/>
  <c r="M58" i="4" s="1"/>
  <c r="O43" i="4"/>
  <c r="O58" i="4" s="1"/>
  <c r="M39" i="4"/>
  <c r="J59" i="4"/>
  <c r="J87" i="4"/>
  <c r="J65" i="4"/>
  <c r="P6" i="4"/>
  <c r="G60" i="4"/>
  <c r="G70" i="4" s="1"/>
  <c r="G83" i="4" s="1"/>
  <c r="G84" i="4" s="1"/>
  <c r="H12" i="24" s="1"/>
  <c r="H10" i="24" s="1"/>
  <c r="H13" i="24" s="1"/>
  <c r="H20" i="24" s="1"/>
  <c r="G61" i="4"/>
  <c r="Q7" i="24"/>
  <c r="Q7" i="4"/>
  <c r="G80" i="4" l="1"/>
  <c r="G78" i="4"/>
  <c r="M40" i="4"/>
  <c r="N40" i="4" s="1"/>
  <c r="O40" i="4" s="1"/>
  <c r="P40" i="4" s="1"/>
  <c r="Q40" i="4" s="1"/>
  <c r="R40" i="4" s="1"/>
  <c r="S40" i="4" s="1"/>
  <c r="T40" i="4" s="1"/>
  <c r="U40" i="4" s="1"/>
  <c r="M46" i="4"/>
  <c r="M51" i="4" s="1"/>
  <c r="O46" i="4"/>
  <c r="O51" i="4" s="1"/>
  <c r="N46" i="4"/>
  <c r="N51" i="4" s="1"/>
  <c r="R7" i="4"/>
  <c r="R7" i="24"/>
  <c r="I60" i="4"/>
  <c r="I70" i="4" s="1"/>
  <c r="I83" i="4" s="1"/>
  <c r="I84" i="4" s="1"/>
  <c r="J12" i="24" s="1"/>
  <c r="J10" i="24" s="1"/>
  <c r="J13" i="24" s="1"/>
  <c r="J20" i="24" s="1"/>
  <c r="J60" i="4"/>
  <c r="J70" i="4" s="1"/>
  <c r="J83" i="4" s="1"/>
  <c r="J84" i="4" s="1"/>
  <c r="K12" i="24" s="1"/>
  <c r="K10" i="24" s="1"/>
  <c r="K13" i="24" s="1"/>
  <c r="K20" i="24" s="1"/>
  <c r="P70" i="24"/>
  <c r="P67" i="24"/>
  <c r="P68" i="24"/>
  <c r="P69" i="24"/>
  <c r="P66" i="24"/>
  <c r="Q65" i="24"/>
  <c r="G71" i="4"/>
  <c r="G69" i="4"/>
  <c r="H61" i="4"/>
  <c r="I61" i="4" s="1"/>
  <c r="L48" i="4"/>
  <c r="L56" i="4" s="1"/>
  <c r="L86" i="4"/>
  <c r="M35" i="4"/>
  <c r="T41" i="24"/>
  <c r="S43" i="24"/>
  <c r="S44" i="24" s="1"/>
  <c r="Q17" i="24" s="1"/>
  <c r="O71" i="24"/>
  <c r="M16" i="24" s="1"/>
  <c r="I47" i="4"/>
  <c r="H55" i="4"/>
  <c r="H64" i="4" s="1"/>
  <c r="M103" i="4"/>
  <c r="F84" i="4"/>
  <c r="F78" i="4"/>
  <c r="F80" i="4"/>
  <c r="K59" i="4"/>
  <c r="K87" i="4"/>
  <c r="K65" i="4"/>
  <c r="Q6" i="4"/>
  <c r="P51" i="4"/>
  <c r="F71" i="4"/>
  <c r="F69" i="4"/>
  <c r="I69" i="4" l="1"/>
  <c r="I71" i="4"/>
  <c r="J61" i="4"/>
  <c r="G74" i="4"/>
  <c r="G82" i="4" s="1"/>
  <c r="G72" i="4"/>
  <c r="S7" i="4"/>
  <c r="S7" i="24"/>
  <c r="L87" i="4"/>
  <c r="L59" i="4"/>
  <c r="L65" i="4"/>
  <c r="R6" i="4"/>
  <c r="Q51" i="4"/>
  <c r="K60" i="4"/>
  <c r="K70" i="4" s="1"/>
  <c r="K83" i="4" s="1"/>
  <c r="K84" i="4" s="1"/>
  <c r="L12" i="24" s="1"/>
  <c r="L10" i="24" s="1"/>
  <c r="L13" i="24" s="1"/>
  <c r="L20" i="24" s="1"/>
  <c r="K61" i="4"/>
  <c r="H71" i="4"/>
  <c r="H69" i="4"/>
  <c r="F74" i="4"/>
  <c r="F82" i="4" s="1"/>
  <c r="F72" i="4"/>
  <c r="M101" i="4"/>
  <c r="G12" i="24"/>
  <c r="P71" i="24"/>
  <c r="N16" i="24" s="1"/>
  <c r="N18" i="24" s="1"/>
  <c r="N35" i="4"/>
  <c r="M48" i="4"/>
  <c r="M56" i="4" s="1"/>
  <c r="M86" i="4"/>
  <c r="H66" i="4"/>
  <c r="I55" i="4"/>
  <c r="I64" i="4" s="1"/>
  <c r="I66" i="4" s="1"/>
  <c r="J47" i="4"/>
  <c r="T43" i="24"/>
  <c r="T44" i="24" s="1"/>
  <c r="R17" i="24" s="1"/>
  <c r="U41" i="24"/>
  <c r="Q67" i="24"/>
  <c r="R65" i="24"/>
  <c r="Q69" i="24"/>
  <c r="Q68" i="24"/>
  <c r="Q66" i="24"/>
  <c r="Q70" i="24"/>
  <c r="M18" i="24"/>
  <c r="H72" i="4" l="1"/>
  <c r="H74" i="4"/>
  <c r="H82" i="4" s="1"/>
  <c r="I72" i="4"/>
  <c r="I74" i="4"/>
  <c r="I82" i="4" s="1"/>
  <c r="V41" i="24"/>
  <c r="U43" i="24"/>
  <c r="U44" i="24" s="1"/>
  <c r="S17" i="24" s="1"/>
  <c r="I76" i="4"/>
  <c r="I77" i="4"/>
  <c r="J55" i="4"/>
  <c r="J64" i="4" s="1"/>
  <c r="J66" i="4" s="1"/>
  <c r="K47" i="4"/>
  <c r="S6" i="4"/>
  <c r="R51" i="4"/>
  <c r="H77" i="4"/>
  <c r="H76" i="4"/>
  <c r="K69" i="4"/>
  <c r="K71" i="4"/>
  <c r="L60" i="4"/>
  <c r="L70" i="4" s="1"/>
  <c r="L83" i="4" s="1"/>
  <c r="L84" i="4" s="1"/>
  <c r="M12" i="24" s="1"/>
  <c r="M10" i="24" s="1"/>
  <c r="M13" i="24" s="1"/>
  <c r="M20" i="24" s="1"/>
  <c r="L61" i="4"/>
  <c r="M87" i="4"/>
  <c r="M59" i="4"/>
  <c r="M65" i="4"/>
  <c r="N86" i="4"/>
  <c r="N48" i="4"/>
  <c r="N56" i="4" s="1"/>
  <c r="O35" i="4"/>
  <c r="R67" i="24"/>
  <c r="R66" i="24"/>
  <c r="S65" i="24"/>
  <c r="R70" i="24"/>
  <c r="R69" i="24"/>
  <c r="R68" i="24"/>
  <c r="Q71" i="24"/>
  <c r="O16" i="24" s="1"/>
  <c r="O18" i="24" s="1"/>
  <c r="G10" i="24"/>
  <c r="T7" i="24"/>
  <c r="T7" i="4"/>
  <c r="J69" i="4"/>
  <c r="J71" i="4"/>
  <c r="H78" i="4" l="1"/>
  <c r="H80" i="4"/>
  <c r="S69" i="24"/>
  <c r="S68" i="24"/>
  <c r="S67" i="24"/>
  <c r="S66" i="24"/>
  <c r="S70" i="24"/>
  <c r="T65" i="24"/>
  <c r="S51" i="4"/>
  <c r="J74" i="4"/>
  <c r="J82" i="4" s="1"/>
  <c r="J72" i="4"/>
  <c r="J77" i="4"/>
  <c r="J76" i="4"/>
  <c r="L47" i="4"/>
  <c r="K55" i="4"/>
  <c r="K64" i="4" s="1"/>
  <c r="U7" i="24"/>
  <c r="U7" i="4"/>
  <c r="V7" i="24" s="1"/>
  <c r="N87" i="4"/>
  <c r="N59" i="4"/>
  <c r="N65" i="4"/>
  <c r="O48" i="4"/>
  <c r="O56" i="4" s="1"/>
  <c r="O86" i="4"/>
  <c r="P35" i="4"/>
  <c r="I80" i="4"/>
  <c r="I78" i="4"/>
  <c r="M61" i="4"/>
  <c r="M60" i="4"/>
  <c r="M70" i="4" s="1"/>
  <c r="M83" i="4" s="1"/>
  <c r="M84" i="4" s="1"/>
  <c r="N12" i="24" s="1"/>
  <c r="N10" i="24" s="1"/>
  <c r="N13" i="24" s="1"/>
  <c r="N20" i="24" s="1"/>
  <c r="R71" i="24"/>
  <c r="P16" i="24" s="1"/>
  <c r="P18" i="24" s="1"/>
  <c r="V43" i="24"/>
  <c r="V44" i="24" s="1"/>
  <c r="T17" i="24" s="1"/>
  <c r="W41" i="24"/>
  <c r="G13" i="24"/>
  <c r="L69" i="4"/>
  <c r="L71" i="4"/>
  <c r="K74" i="4"/>
  <c r="K82" i="4" s="1"/>
  <c r="K72" i="4"/>
  <c r="J78" i="4" l="1"/>
  <c r="J80" i="4"/>
  <c r="K66" i="4"/>
  <c r="P86" i="4"/>
  <c r="P48" i="4"/>
  <c r="P56" i="4" s="1"/>
  <c r="Q35" i="4"/>
  <c r="T70" i="24"/>
  <c r="T69" i="24"/>
  <c r="T67" i="24"/>
  <c r="T68" i="24"/>
  <c r="T66" i="24"/>
  <c r="T71" i="24" s="1"/>
  <c r="R16" i="24" s="1"/>
  <c r="R18" i="24" s="1"/>
  <c r="U65" i="24"/>
  <c r="L55" i="4"/>
  <c r="L64" i="4" s="1"/>
  <c r="L66" i="4" s="1"/>
  <c r="M47" i="4"/>
  <c r="O87" i="4"/>
  <c r="O59" i="4"/>
  <c r="O65" i="4"/>
  <c r="S71" i="24"/>
  <c r="Q16" i="24" s="1"/>
  <c r="Q18" i="24" s="1"/>
  <c r="L74" i="4"/>
  <c r="L82" i="4" s="1"/>
  <c r="L72" i="4"/>
  <c r="N60" i="4"/>
  <c r="N70" i="4" s="1"/>
  <c r="N83" i="4" s="1"/>
  <c r="N84" i="4" s="1"/>
  <c r="O12" i="24" s="1"/>
  <c r="O10" i="24" s="1"/>
  <c r="O13" i="24" s="1"/>
  <c r="O20" i="24" s="1"/>
  <c r="N61" i="4"/>
  <c r="X41" i="24"/>
  <c r="W43" i="24"/>
  <c r="W44" i="24" s="1"/>
  <c r="U17" i="24" s="1"/>
  <c r="M71" i="4"/>
  <c r="M69" i="4"/>
  <c r="G20" i="24"/>
  <c r="G22" i="24" s="1"/>
  <c r="H22" i="24" s="1"/>
  <c r="I22" i="24" s="1"/>
  <c r="M72" i="4" l="1"/>
  <c r="M74" i="4"/>
  <c r="M82" i="4" s="1"/>
  <c r="L76" i="4"/>
  <c r="L77" i="4"/>
  <c r="X43" i="24"/>
  <c r="X44" i="24" s="1"/>
  <c r="V17" i="24" s="1"/>
  <c r="E17" i="24" s="1"/>
  <c r="R35" i="4"/>
  <c r="Q86" i="4"/>
  <c r="Q48" i="4"/>
  <c r="Q56" i="4" s="1"/>
  <c r="N47" i="4"/>
  <c r="M55" i="4"/>
  <c r="M64" i="4" s="1"/>
  <c r="M66" i="4" s="1"/>
  <c r="P87" i="4"/>
  <c r="P59" i="4"/>
  <c r="P65" i="4"/>
  <c r="N71" i="4"/>
  <c r="N69" i="4"/>
  <c r="K76" i="4"/>
  <c r="K77" i="4"/>
  <c r="O61" i="4"/>
  <c r="O60" i="4"/>
  <c r="O70" i="4" s="1"/>
  <c r="O83" i="4" s="1"/>
  <c r="O84" i="4" s="1"/>
  <c r="P12" i="24" s="1"/>
  <c r="P10" i="24" s="1"/>
  <c r="U66" i="24"/>
  <c r="V65" i="24"/>
  <c r="U70" i="24"/>
  <c r="U69" i="24"/>
  <c r="U67" i="24"/>
  <c r="U68" i="24"/>
  <c r="M76" i="4" l="1"/>
  <c r="M77" i="4"/>
  <c r="O47" i="4"/>
  <c r="N55" i="4"/>
  <c r="N64" i="4" s="1"/>
  <c r="N66" i="4" s="1"/>
  <c r="Q59" i="4"/>
  <c r="Q87" i="4"/>
  <c r="Q65" i="4"/>
  <c r="P60" i="4"/>
  <c r="P70" i="4" s="1"/>
  <c r="P83" i="4" s="1"/>
  <c r="P84" i="4" s="1"/>
  <c r="Q12" i="24" s="1"/>
  <c r="Q10" i="24" s="1"/>
  <c r="Q13" i="24" s="1"/>
  <c r="Q20" i="24" s="1"/>
  <c r="P61" i="4"/>
  <c r="U71" i="24"/>
  <c r="S16" i="24" s="1"/>
  <c r="S18" i="24" s="1"/>
  <c r="R86" i="4"/>
  <c r="S35" i="4"/>
  <c r="R48" i="4"/>
  <c r="R56" i="4" s="1"/>
  <c r="O69" i="4"/>
  <c r="O71" i="4"/>
  <c r="L78" i="4"/>
  <c r="L80" i="4"/>
  <c r="K80" i="4"/>
  <c r="K78" i="4"/>
  <c r="P13" i="24"/>
  <c r="W65" i="24"/>
  <c r="V70" i="24"/>
  <c r="V69" i="24"/>
  <c r="V68" i="24"/>
  <c r="V67" i="24"/>
  <c r="V66" i="24"/>
  <c r="V71" i="24" s="1"/>
  <c r="T16" i="24" s="1"/>
  <c r="T18" i="24" s="1"/>
  <c r="N74" i="4"/>
  <c r="N82" i="4" s="1"/>
  <c r="N72" i="4"/>
  <c r="O74" i="4" l="1"/>
  <c r="O82" i="4" s="1"/>
  <c r="O72" i="4"/>
  <c r="S48" i="4"/>
  <c r="S56" i="4" s="1"/>
  <c r="S86" i="4"/>
  <c r="T35" i="4"/>
  <c r="R59" i="4"/>
  <c r="R87" i="4"/>
  <c r="R65" i="4"/>
  <c r="P69" i="4"/>
  <c r="P71" i="4"/>
  <c r="W69" i="24"/>
  <c r="W66" i="24"/>
  <c r="W68" i="24"/>
  <c r="W67" i="24"/>
  <c r="W70" i="24"/>
  <c r="X65" i="24"/>
  <c r="Q60" i="4"/>
  <c r="Q70" i="4" s="1"/>
  <c r="Q83" i="4" s="1"/>
  <c r="Q84" i="4" s="1"/>
  <c r="R12" i="24" s="1"/>
  <c r="R10" i="24" s="1"/>
  <c r="R13" i="24" s="1"/>
  <c r="R20" i="24" s="1"/>
  <c r="Q61" i="4"/>
  <c r="P20" i="24"/>
  <c r="N77" i="4"/>
  <c r="N76" i="4"/>
  <c r="P47" i="4"/>
  <c r="O55" i="4"/>
  <c r="O64" i="4" s="1"/>
  <c r="O66" i="4" s="1"/>
  <c r="M80" i="4"/>
  <c r="M78" i="4"/>
  <c r="W71" i="24" l="1"/>
  <c r="U16" i="24" s="1"/>
  <c r="U18" i="24" s="1"/>
  <c r="P55" i="4"/>
  <c r="P64" i="4" s="1"/>
  <c r="P66" i="4" s="1"/>
  <c r="Q47" i="4"/>
  <c r="P72" i="4"/>
  <c r="P74" i="4"/>
  <c r="P82" i="4" s="1"/>
  <c r="N80" i="4"/>
  <c r="N78" i="4"/>
  <c r="R61" i="4"/>
  <c r="R60" i="4"/>
  <c r="R70" i="4" s="1"/>
  <c r="R83" i="4" s="1"/>
  <c r="R84" i="4" s="1"/>
  <c r="S12" i="24" s="1"/>
  <c r="S10" i="24" s="1"/>
  <c r="S13" i="24" s="1"/>
  <c r="S20" i="24" s="1"/>
  <c r="Q69" i="4"/>
  <c r="Q71" i="4"/>
  <c r="T48" i="4"/>
  <c r="T56" i="4" s="1"/>
  <c r="T86" i="4"/>
  <c r="U35" i="4"/>
  <c r="S87" i="4"/>
  <c r="S59" i="4"/>
  <c r="S65" i="4"/>
  <c r="O77" i="4"/>
  <c r="O76" i="4"/>
  <c r="X67" i="24"/>
  <c r="G67" i="24" s="1"/>
  <c r="X66" i="24"/>
  <c r="X70" i="24"/>
  <c r="G70" i="24" s="1"/>
  <c r="X69" i="24"/>
  <c r="G69" i="24" s="1"/>
  <c r="X68" i="24"/>
  <c r="G68" i="24" s="1"/>
  <c r="Q72" i="4" l="1"/>
  <c r="Q74" i="4"/>
  <c r="Q82" i="4" s="1"/>
  <c r="R71" i="4"/>
  <c r="R69" i="4"/>
  <c r="U48" i="4"/>
  <c r="U56" i="4" s="1"/>
  <c r="U86" i="4"/>
  <c r="X71" i="24"/>
  <c r="V16" i="24" s="1"/>
  <c r="G66" i="24"/>
  <c r="G71" i="24" s="1"/>
  <c r="T87" i="4"/>
  <c r="T59" i="4"/>
  <c r="T65" i="4"/>
  <c r="O80" i="4"/>
  <c r="O78" i="4"/>
  <c r="Q55" i="4"/>
  <c r="Q64" i="4" s="1"/>
  <c r="Q66" i="4" s="1"/>
  <c r="R47" i="4"/>
  <c r="P76" i="4"/>
  <c r="P77" i="4"/>
  <c r="S60" i="4"/>
  <c r="S70" i="4" s="1"/>
  <c r="S83" i="4" s="1"/>
  <c r="S84" i="4" s="1"/>
  <c r="T12" i="24" s="1"/>
  <c r="T10" i="24" s="1"/>
  <c r="T13" i="24" s="1"/>
  <c r="T20" i="24" s="1"/>
  <c r="S61" i="4"/>
  <c r="P78" i="4" l="1"/>
  <c r="P80" i="4"/>
  <c r="V18" i="24"/>
  <c r="E16" i="24"/>
  <c r="U65" i="4"/>
  <c r="U59" i="4"/>
  <c r="U87" i="4"/>
  <c r="T60" i="4"/>
  <c r="T70" i="4" s="1"/>
  <c r="T83" i="4" s="1"/>
  <c r="T84" i="4" s="1"/>
  <c r="U12" i="24" s="1"/>
  <c r="U10" i="24" s="1"/>
  <c r="U13" i="24" s="1"/>
  <c r="U20" i="24" s="1"/>
  <c r="T61" i="4"/>
  <c r="R74" i="4"/>
  <c r="R82" i="4" s="1"/>
  <c r="R72" i="4"/>
  <c r="Q76" i="4"/>
  <c r="Q77" i="4"/>
  <c r="S69" i="4"/>
  <c r="S71" i="4"/>
  <c r="R55" i="4"/>
  <c r="R64" i="4" s="1"/>
  <c r="R66" i="4" s="1"/>
  <c r="S47" i="4"/>
  <c r="S74" i="4" l="1"/>
  <c r="S82" i="4" s="1"/>
  <c r="S72" i="4"/>
  <c r="U61" i="4"/>
  <c r="U60" i="4"/>
  <c r="U70" i="4" s="1"/>
  <c r="U83" i="4" s="1"/>
  <c r="U84" i="4" s="1"/>
  <c r="V12" i="24" s="1"/>
  <c r="E12" i="24" s="1"/>
  <c r="E18" i="24"/>
  <c r="R76" i="4"/>
  <c r="R77" i="4"/>
  <c r="T71" i="4"/>
  <c r="T69" i="4"/>
  <c r="Q80" i="4"/>
  <c r="Q78" i="4"/>
  <c r="S55" i="4"/>
  <c r="S64" i="4" s="1"/>
  <c r="S66" i="4" s="1"/>
  <c r="T47" i="4"/>
  <c r="T55" i="4" l="1"/>
  <c r="T64" i="4" s="1"/>
  <c r="T66" i="4" s="1"/>
  <c r="U47" i="4"/>
  <c r="U55" i="4" s="1"/>
  <c r="U64" i="4" s="1"/>
  <c r="R78" i="4"/>
  <c r="R80" i="4"/>
  <c r="T72" i="4"/>
  <c r="T74" i="4"/>
  <c r="T82" i="4" s="1"/>
  <c r="V10" i="24"/>
  <c r="S76" i="4"/>
  <c r="S77" i="4"/>
  <c r="U69" i="4"/>
  <c r="U71" i="4"/>
  <c r="S78" i="4" l="1"/>
  <c r="S80" i="4"/>
  <c r="V13" i="24"/>
  <c r="E10" i="24"/>
  <c r="U74" i="4"/>
  <c r="U82" i="4" s="1"/>
  <c r="U72" i="4"/>
  <c r="U66" i="4"/>
  <c r="B64" i="4"/>
  <c r="T77" i="4"/>
  <c r="T76" i="4"/>
  <c r="U76" i="4" l="1"/>
  <c r="U77" i="4"/>
  <c r="T80" i="4"/>
  <c r="T78" i="4"/>
  <c r="V20" i="24"/>
  <c r="E13" i="24"/>
  <c r="E20" i="24" s="1"/>
  <c r="P22" i="24" s="1"/>
  <c r="U80" i="4" l="1"/>
  <c r="U78" i="4"/>
</calcChain>
</file>

<file path=xl/comments1.xml><?xml version="1.0" encoding="utf-8"?>
<comments xmlns="http://schemas.openxmlformats.org/spreadsheetml/2006/main">
  <authors>
    <author>Gregg Wolin</author>
  </authors>
  <commentList>
    <comment ref="F51" authorId="0" shapeId="0">
      <text>
        <r>
          <rPr>
            <b/>
            <sz val="9"/>
            <color indexed="81"/>
            <rFont val="Tahoma"/>
            <family val="2"/>
          </rPr>
          <t xml:space="preserve">This row doesn’t have any dependent cells
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This number has been inflated twice. Is that correct?</t>
        </r>
      </text>
    </comment>
  </commentList>
</comments>
</file>

<file path=xl/sharedStrings.xml><?xml version="1.0" encoding="utf-8"?>
<sst xmlns="http://schemas.openxmlformats.org/spreadsheetml/2006/main" count="455" uniqueCount="266">
  <si>
    <t>Description</t>
  </si>
  <si>
    <t>Acres</t>
  </si>
  <si>
    <t xml:space="preserve">        Total</t>
  </si>
  <si>
    <t>Land Use Plan</t>
  </si>
  <si>
    <t>Estimated Public Infrastructure Phasing Timetable</t>
  </si>
  <si>
    <t>Phase I</t>
  </si>
  <si>
    <t>Units</t>
  </si>
  <si>
    <t>Costs</t>
  </si>
  <si>
    <t>Total</t>
  </si>
  <si>
    <t>Totals</t>
  </si>
  <si>
    <t>Footnote:</t>
  </si>
  <si>
    <t>Footnotes</t>
  </si>
  <si>
    <t>Start</t>
  </si>
  <si>
    <t>Completion</t>
  </si>
  <si>
    <t>Eligible</t>
  </si>
  <si>
    <t>Costs (2)</t>
  </si>
  <si>
    <t xml:space="preserve"> </t>
  </si>
  <si>
    <t>Source:</t>
  </si>
  <si>
    <t>Date</t>
  </si>
  <si>
    <t>O&amp;M</t>
  </si>
  <si>
    <t>Total Absorption</t>
  </si>
  <si>
    <t>Absorption</t>
  </si>
  <si>
    <t>Average Unit Price</t>
  </si>
  <si>
    <t>Total AV</t>
  </si>
  <si>
    <t>Year</t>
  </si>
  <si>
    <t>O&amp;M Funds</t>
  </si>
  <si>
    <t>Debt Service</t>
  </si>
  <si>
    <t>FCV Ratio</t>
  </si>
  <si>
    <t>Tax Rate for Debt Service</t>
  </si>
  <si>
    <t>Term</t>
  </si>
  <si>
    <t>Rate</t>
  </si>
  <si>
    <t>Tax Rolled</t>
  </si>
  <si>
    <t>Year 1</t>
  </si>
  <si>
    <t>Year 2</t>
  </si>
  <si>
    <t>Year 3</t>
  </si>
  <si>
    <t>Total PMT</t>
  </si>
  <si>
    <t>Annual</t>
  </si>
  <si>
    <t>Footnotes:</t>
  </si>
  <si>
    <t>Sources and Uses of Funds</t>
  </si>
  <si>
    <t>Public Infrastructure Construction</t>
  </si>
  <si>
    <t>Sources of Funds</t>
  </si>
  <si>
    <t xml:space="preserve">          Total Sources</t>
  </si>
  <si>
    <t>Uses of Funds</t>
  </si>
  <si>
    <t xml:space="preserve">          Total Uses</t>
  </si>
  <si>
    <t>Net Cash Flow</t>
  </si>
  <si>
    <t>Assessment bonds are anticipated to be issued in conjunction with the construction of a phase.</t>
  </si>
  <si>
    <t>that general obligation bonds will be issued over time as the secondary assessed valuation of the district increases</t>
  </si>
  <si>
    <t>with the construction of homes and commercial buildings.</t>
  </si>
  <si>
    <t>SA Issue</t>
  </si>
  <si>
    <t>Cumulative</t>
  </si>
  <si>
    <t>Issues</t>
  </si>
  <si>
    <r>
      <t>Equity / Cash Flow / Loans</t>
    </r>
    <r>
      <rPr>
        <sz val="9"/>
        <rFont val="Times New Roman"/>
        <family val="1"/>
      </rPr>
      <t xml:space="preserve"> (1)</t>
    </r>
  </si>
  <si>
    <r>
      <t xml:space="preserve">CFD Funds GO (Net) </t>
    </r>
    <r>
      <rPr>
        <sz val="9"/>
        <rFont val="Times New Roman"/>
        <family val="1"/>
      </rPr>
      <t>(3</t>
    </r>
    <r>
      <rPr>
        <sz val="12"/>
        <rFont val="Times New Roman"/>
        <family val="1"/>
      </rPr>
      <t>)</t>
    </r>
  </si>
  <si>
    <r>
      <t xml:space="preserve">CFD Funds SA (Net) </t>
    </r>
    <r>
      <rPr>
        <sz val="9"/>
        <rFont val="Times New Roman"/>
        <family val="1"/>
      </rPr>
      <t>(2)</t>
    </r>
  </si>
  <si>
    <t>SA Amount</t>
  </si>
  <si>
    <t>SA Interest</t>
  </si>
  <si>
    <t>SA Terms</t>
  </si>
  <si>
    <t>All improvements will be funded  with internal funds,  project cash flow and/or third party and/or related party loans.</t>
  </si>
  <si>
    <t>Represents the net construction proceeds related to the issuance of general obligation bonds.  It is anticipated</t>
  </si>
  <si>
    <t>AV</t>
  </si>
  <si>
    <t>Absorption / Mo</t>
  </si>
  <si>
    <t>Phase II</t>
  </si>
  <si>
    <t>Phase III</t>
  </si>
  <si>
    <t>Phase V</t>
  </si>
  <si>
    <t>Phase IV</t>
  </si>
  <si>
    <t>Single Family</t>
  </si>
  <si>
    <t>Single Family Sales</t>
  </si>
  <si>
    <t>Multi Family Sales</t>
  </si>
  <si>
    <t>Multi Family</t>
  </si>
  <si>
    <t>Total Sales</t>
  </si>
  <si>
    <t>Residential AV Ratio</t>
  </si>
  <si>
    <t>Assessed Value</t>
  </si>
  <si>
    <t>Uninflated</t>
  </si>
  <si>
    <t>Uninflated Sales</t>
  </si>
  <si>
    <t>Inflated</t>
  </si>
  <si>
    <t>Public Improvements</t>
  </si>
  <si>
    <r>
      <t xml:space="preserve">Assessment Bond Debt Service </t>
    </r>
    <r>
      <rPr>
        <sz val="9"/>
        <rFont val="Times New Roman"/>
        <family val="1"/>
      </rPr>
      <t>(4)</t>
    </r>
  </si>
  <si>
    <t>Cumulative Units on Tax Roll (1)</t>
  </si>
  <si>
    <t>Existing Undeveloped AV (2)</t>
  </si>
  <si>
    <t>Potential Bonding Capacity (3)</t>
  </si>
  <si>
    <t>FAR</t>
  </si>
  <si>
    <t>Sq Ft</t>
  </si>
  <si>
    <t>Commercial</t>
  </si>
  <si>
    <t>Price/Ft.</t>
  </si>
  <si>
    <t>Avg. Home Price</t>
  </si>
  <si>
    <t>EDUs/Acre</t>
  </si>
  <si>
    <t>Absorption - EDUs</t>
  </si>
  <si>
    <t>Average EDU Price</t>
  </si>
  <si>
    <t>Commercial Sales</t>
  </si>
  <si>
    <t>Estimated Assessed Valuation Build-Up</t>
  </si>
  <si>
    <t>Assumes the following:  25% of homes sales will be placed on the County tax rolls in the year in which they are constructed and sold, 50% will be placed on the tax rolls in the following year, and the remaining 25% will be placed on the tax rolls in year three.</t>
  </si>
  <si>
    <t>Commercial AV Ratio</t>
  </si>
  <si>
    <t>Added to Tax Roll</t>
  </si>
  <si>
    <t>Single Family Value</t>
  </si>
  <si>
    <t>Multi Family Value</t>
  </si>
  <si>
    <t>Commercial Value</t>
  </si>
  <si>
    <t>Total Value</t>
  </si>
  <si>
    <t>Cumulative Total Value</t>
  </si>
  <si>
    <t>Added to Tax Roll - Inflated</t>
  </si>
  <si>
    <t>Total Payment</t>
  </si>
  <si>
    <t>Delinquency Factor</t>
  </si>
  <si>
    <t>Represents 95% of the total amount for debt service to account for potential delinquency.</t>
  </si>
  <si>
    <t>Total Cumulative AV</t>
  </si>
  <si>
    <t>Reduction of Beginning Land</t>
  </si>
  <si>
    <t>The Villages of Tortolita Community Facilities District</t>
  </si>
  <si>
    <t xml:space="preserve">Industrial </t>
  </si>
  <si>
    <t>Medium Density Residential</t>
  </si>
  <si>
    <t>Medium-High Density Residential</t>
  </si>
  <si>
    <t>21716001A</t>
  </si>
  <si>
    <t>21708004A</t>
  </si>
  <si>
    <t>21708004B</t>
  </si>
  <si>
    <t>21707001A</t>
  </si>
  <si>
    <t>21707004B</t>
  </si>
  <si>
    <t>21707003A</t>
  </si>
  <si>
    <t>21707003B</t>
  </si>
  <si>
    <t>21707004D</t>
  </si>
  <si>
    <t>21707001B</t>
  </si>
  <si>
    <t>21707004C</t>
  </si>
  <si>
    <t>21706001D</t>
  </si>
  <si>
    <t>21706001C</t>
  </si>
  <si>
    <t>21725001A</t>
  </si>
  <si>
    <t>(2) Estimate</t>
  </si>
  <si>
    <t>(1) Includes low, medium, medium-high, high density and mixed use products.</t>
  </si>
  <si>
    <t>410-25-001</t>
  </si>
  <si>
    <t>410-25-002</t>
  </si>
  <si>
    <t>Village</t>
  </si>
  <si>
    <t>Land Use</t>
  </si>
  <si>
    <t xml:space="preserve"> Acres</t>
  </si>
  <si>
    <t>MLDR</t>
  </si>
  <si>
    <t>MDR</t>
  </si>
  <si>
    <t>II</t>
  </si>
  <si>
    <t>MHDR</t>
  </si>
  <si>
    <t>Mixed Use</t>
  </si>
  <si>
    <t>V</t>
  </si>
  <si>
    <t>Industrial</t>
  </si>
  <si>
    <t>Currently included in the CFD Application</t>
  </si>
  <si>
    <t>Acres ties to District legal description acreage</t>
  </si>
  <si>
    <t>Notes:</t>
  </si>
  <si>
    <t>Source: Pima/Pinal County Assessor</t>
  </si>
  <si>
    <t>Medium-Low Density Residential</t>
  </si>
  <si>
    <t>I, III, IV</t>
  </si>
  <si>
    <t>II, IV</t>
  </si>
  <si>
    <t>Provided by Gary Jones on 10/09/06.</t>
  </si>
  <si>
    <t>Village I</t>
  </si>
  <si>
    <t>Village II</t>
  </si>
  <si>
    <t>Village III</t>
  </si>
  <si>
    <t>Village IV</t>
  </si>
  <si>
    <t>Q3 2008</t>
  </si>
  <si>
    <t>Q1 2009</t>
  </si>
  <si>
    <t>Q1 2011</t>
  </si>
  <si>
    <t>Q3 2015</t>
  </si>
  <si>
    <t>Q1 2013</t>
  </si>
  <si>
    <t>Q1 2014</t>
  </si>
  <si>
    <t>Acres tie to District legal description acreage of 1780.44</t>
  </si>
  <si>
    <t>Number</t>
  </si>
  <si>
    <t>Cost per</t>
  </si>
  <si>
    <t>TOTAL</t>
  </si>
  <si>
    <t>Cumulative SA Issue</t>
  </si>
  <si>
    <t>410-25-003 A</t>
  </si>
  <si>
    <t>410-25-003 B</t>
  </si>
  <si>
    <t>Grand Total Both Counties</t>
  </si>
  <si>
    <t>Total Pinal</t>
  </si>
  <si>
    <t>Total Pima</t>
  </si>
  <si>
    <t>Village II Commercial</t>
  </si>
  <si>
    <t>Village IV Commercial</t>
  </si>
  <si>
    <t>1 year from start of construction</t>
  </si>
  <si>
    <t>Q1 2010</t>
  </si>
  <si>
    <t>Q3 2016</t>
  </si>
  <si>
    <t>construction time</t>
  </si>
  <si>
    <t>Q1 2015</t>
  </si>
  <si>
    <t>Q1 2012</t>
  </si>
  <si>
    <t># quarters</t>
  </si>
  <si>
    <t>*we phased this commercial in over 6 years starting in 2010</t>
  </si>
  <si>
    <t>*we phased this industrial in over 2 years starting in 2012</t>
  </si>
  <si>
    <t># EDUs per Year</t>
  </si>
  <si>
    <t># EDUs per year</t>
  </si>
  <si>
    <t>Village V Industrial</t>
  </si>
  <si>
    <t>TOTAL EDU</t>
  </si>
  <si>
    <t># of Years</t>
  </si>
  <si>
    <r>
      <t xml:space="preserve">Source: </t>
    </r>
    <r>
      <rPr>
        <sz val="6.8"/>
        <rFont val="Times New Roman"/>
        <family val="1"/>
      </rPr>
      <t>Applicant</t>
    </r>
  </si>
  <si>
    <t>Potential Cumulative Bonding Capacity (4)</t>
  </si>
  <si>
    <t>Potential Annual Bonding Capacity (4)</t>
  </si>
  <si>
    <t>Cumulative Proceeds</t>
  </si>
  <si>
    <t>Annual Proceeds</t>
  </si>
  <si>
    <t>Cumulative Debt Service (3)</t>
  </si>
  <si>
    <t>Annual Debt Service (3)</t>
  </si>
  <si>
    <t>Included in CFD</t>
  </si>
  <si>
    <t>The Villages of Tortolita</t>
  </si>
  <si>
    <t>Community Facilities District</t>
  </si>
  <si>
    <t>`</t>
  </si>
  <si>
    <t xml:space="preserve">Phase </t>
  </si>
  <si>
    <t>Excluded From CFD</t>
  </si>
  <si>
    <t>Project Total</t>
  </si>
  <si>
    <t>Land Use To Be Uncluded In District</t>
  </si>
  <si>
    <t>Assuming 12 months of capitalized interest.</t>
  </si>
  <si>
    <t>Commercial Acreage to EDU Conversion Area Below</t>
  </si>
  <si>
    <t>Assumptions</t>
  </si>
  <si>
    <t>Units (1)</t>
  </si>
  <si>
    <t xml:space="preserve">The Villages of Tortolita </t>
  </si>
  <si>
    <r>
      <t xml:space="preserve">Source: </t>
    </r>
    <r>
      <rPr>
        <sz val="10"/>
        <rFont val="Times New Roman"/>
        <family val="1"/>
      </rPr>
      <t>Applicant</t>
    </r>
  </si>
  <si>
    <r>
      <t xml:space="preserve">Residential Units </t>
    </r>
    <r>
      <rPr>
        <b/>
        <sz val="10"/>
        <color indexed="8"/>
        <rFont val="Times New Roman"/>
        <family val="1"/>
      </rPr>
      <t>(1)</t>
    </r>
  </si>
  <si>
    <t xml:space="preserve">(1)  Unit counts are approximate and provided by the Applicant. </t>
  </si>
  <si>
    <r>
      <t xml:space="preserve">Residential Units </t>
    </r>
    <r>
      <rPr>
        <b/>
        <sz val="10"/>
        <rFont val="Times New Roman"/>
        <family val="1"/>
      </rPr>
      <t>(1)</t>
    </r>
  </si>
  <si>
    <r>
      <t xml:space="preserve">MF Units </t>
    </r>
    <r>
      <rPr>
        <b/>
        <sz val="10"/>
        <rFont val="Times New Roman"/>
        <family val="1"/>
      </rPr>
      <t>(1)</t>
    </r>
  </si>
  <si>
    <t>21706001F</t>
  </si>
  <si>
    <t>21706001G</t>
  </si>
  <si>
    <t>21706001H</t>
  </si>
  <si>
    <t>21708004C</t>
  </si>
  <si>
    <t>21708004D</t>
  </si>
  <si>
    <t>OLD PARCELS</t>
  </si>
  <si>
    <t xml:space="preserve">Parcels </t>
  </si>
  <si>
    <t>Pinal Assessors Report Dated: 4/4/19</t>
  </si>
  <si>
    <t>Pima Assessors Report Dated: 2/22/19</t>
  </si>
  <si>
    <t>21706001C  (TMR INVESTORS LLC)</t>
  </si>
  <si>
    <t>21706001F  (TMR INVESTORS LLC)</t>
  </si>
  <si>
    <t>21706001G (TMR INVESTORS LLC)</t>
  </si>
  <si>
    <t>21706001H (TMR INVESTORS LLC)</t>
  </si>
  <si>
    <t>21707001A (TMR INVESTORS LLC)</t>
  </si>
  <si>
    <t>217070020  (TMR INVESTORS LLC)</t>
  </si>
  <si>
    <t>217080030  (TMR INVESTORS LLC)</t>
  </si>
  <si>
    <t>21708004C  (TMR INVESTORS LLC)</t>
  </si>
  <si>
    <t>21708004D  (TMR INVESTORS LLC)</t>
  </si>
  <si>
    <t>217080060  (TMR INVESTORS LLC)</t>
  </si>
  <si>
    <t>21716001A (TMR INVESTORS LLC)</t>
  </si>
  <si>
    <t>217170010  (TMR INVESTORS LLC)</t>
  </si>
  <si>
    <t>21725001A (TMR INVESTORS LLC)</t>
  </si>
  <si>
    <t>217270030  (TMR INVESTORS LLC)</t>
  </si>
  <si>
    <t>410250010 (TMR INVESTORS LLC)</t>
  </si>
  <si>
    <t>410250020 (TMR INVESTORS LLC)</t>
  </si>
  <si>
    <t>21707003C</t>
  </si>
  <si>
    <t>21707003C  (TMR INVESTORS LLC)</t>
  </si>
  <si>
    <t>Parcel Number</t>
  </si>
  <si>
    <t>Owner</t>
  </si>
  <si>
    <t>TMR INVESTORS LLC</t>
  </si>
  <si>
    <t xml:space="preserve">County </t>
  </si>
  <si>
    <t>Pima</t>
  </si>
  <si>
    <t xml:space="preserve">Pinal </t>
  </si>
  <si>
    <t>Sale 1</t>
  </si>
  <si>
    <t>Sale 2</t>
  </si>
  <si>
    <t xml:space="preserve">Sale 3 </t>
  </si>
  <si>
    <t>Sale 4</t>
  </si>
  <si>
    <t>Sale 5</t>
  </si>
  <si>
    <t>Years</t>
  </si>
  <si>
    <t>(3) One Year Delay after Start Date</t>
  </si>
  <si>
    <r>
      <t xml:space="preserve">Year </t>
    </r>
    <r>
      <rPr>
        <b/>
        <u/>
        <vertAlign val="superscript"/>
        <sz val="12"/>
        <color indexed="8"/>
        <rFont val="Times New Roman"/>
        <family val="1"/>
      </rPr>
      <t>(3)</t>
    </r>
  </si>
  <si>
    <t>GO COI Breakdown</t>
  </si>
  <si>
    <t>Underwriters Fee</t>
  </si>
  <si>
    <t>Cost of Issuance</t>
  </si>
  <si>
    <t>Reserve Fund</t>
  </si>
  <si>
    <t>Available Proceeds</t>
  </si>
  <si>
    <t>SA COI Breakdown</t>
  </si>
  <si>
    <t>Capialized Interest (% int rate * years)</t>
  </si>
  <si>
    <t>Principal Beg Balance</t>
  </si>
  <si>
    <t>Capitalized Interest</t>
  </si>
  <si>
    <t>Absorption (Builder Sales)</t>
  </si>
  <si>
    <t>Lot Sales</t>
  </si>
  <si>
    <t>Tax Roll AV Inflation Rate</t>
  </si>
  <si>
    <t>Price Inflation Rate</t>
  </si>
  <si>
    <t>Cost Inflation Rate</t>
  </si>
  <si>
    <t xml:space="preserve">Uninflated </t>
  </si>
  <si>
    <t>Applicant</t>
  </si>
  <si>
    <t>Potential Annual Bonding</t>
  </si>
  <si>
    <t xml:space="preserve">PV of </t>
  </si>
  <si>
    <t>total AV * tax rate</t>
  </si>
  <si>
    <t>INFLATED</t>
  </si>
  <si>
    <t>INFLATED -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</si>
</sst>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.0_);_(* \(#,##0.0\);_(* &quot;-&quot;?_);_(@_)"/>
    <numFmt numFmtId="167" formatCode="_(* #,##0_);_(* \(#,##0\);_(* &quot;-&quot;??_);_(@_)"/>
    <numFmt numFmtId="168" formatCode="&quot;$&quot;#,##0.00"/>
    <numFmt numFmtId="171" formatCode="\(0\)"/>
    <numFmt numFmtId="176" formatCode="_(&quot;$&quot;* #,##0_);_(&quot;$&quot;* \(#,##0\);_(&quot;$&quot;* &quot;-&quot;??_);_(@_)"/>
    <numFmt numFmtId="186" formatCode="_(&quot;$&quot;* #,##0.00_);_(&quot;$&quot;* \(#,##0.00\);_(&quot;$&quot;* &quot;-&quot;_);_(@_)"/>
    <numFmt numFmtId="192" formatCode="#,##0;[Red]#,##0"/>
    <numFmt numFmtId="195" formatCode="mmm\ yy"/>
    <numFmt numFmtId="196" formatCode="_(* #,##0.0_);_(* \(#,##0.0\);_(* &quot;-&quot;_);_(@_)"/>
    <numFmt numFmtId="197" formatCode="0%;;\-"/>
    <numFmt numFmtId="198" formatCode="0.0%"/>
    <numFmt numFmtId="202" formatCode="0.0"/>
    <numFmt numFmtId="214" formatCode="&quot;Q1&quot;\ ###0"/>
    <numFmt numFmtId="217" formatCode="#,##0\ &quot;Years&quot;"/>
  </numFmts>
  <fonts count="6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u val="doubleAccounting"/>
      <sz val="12"/>
      <color indexed="8"/>
      <name val="Times New Roman"/>
      <family val="1"/>
    </font>
    <font>
      <b/>
      <u val="singleAccounting"/>
      <sz val="12"/>
      <color indexed="8"/>
      <name val="Times New Roman"/>
      <family val="1"/>
    </font>
    <font>
      <sz val="12"/>
      <color indexed="12"/>
      <name val="Times New Roman"/>
      <family val="1"/>
    </font>
    <font>
      <u val="singleAccounting"/>
      <sz val="12"/>
      <color indexed="12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b/>
      <u/>
      <sz val="8"/>
      <name val="Times New Roman"/>
      <family val="1"/>
    </font>
    <font>
      <sz val="8"/>
      <name val="Times New Roman"/>
      <family val="1"/>
    </font>
    <font>
      <b/>
      <u/>
      <sz val="10"/>
      <name val="Times New Roman"/>
      <family val="1"/>
    </font>
    <font>
      <b/>
      <u val="singleAccounting"/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Arial"/>
      <family val="2"/>
    </font>
    <font>
      <u val="singleAccounting"/>
      <sz val="12"/>
      <name val="Times New Roman"/>
      <family val="1"/>
    </font>
    <font>
      <b/>
      <u val="double"/>
      <sz val="12"/>
      <name val="Times New Roman"/>
      <family val="1"/>
    </font>
    <font>
      <b/>
      <u val="doubleAccounting"/>
      <sz val="12"/>
      <name val="Times New Roman"/>
      <family val="1"/>
    </font>
    <font>
      <sz val="9"/>
      <name val="Times New Roman"/>
      <family val="1"/>
    </font>
    <font>
      <u val="double"/>
      <sz val="12"/>
      <name val="Times New Roman"/>
      <family val="1"/>
    </font>
    <font>
      <u val="doubleAccounting"/>
      <sz val="12"/>
      <name val="Times New Roman"/>
      <family val="1"/>
    </font>
    <font>
      <sz val="12"/>
      <color indexed="9"/>
      <name val="Times New Roman"/>
      <family val="1"/>
    </font>
    <font>
      <b/>
      <sz val="16"/>
      <name val="Times New Roman"/>
      <family val="1"/>
    </font>
    <font>
      <sz val="24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sz val="18"/>
      <name val="Arial"/>
      <family val="2"/>
    </font>
    <font>
      <b/>
      <i/>
      <sz val="12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b/>
      <u val="singleAccounting"/>
      <sz val="10"/>
      <name val="Arial"/>
      <family val="2"/>
    </font>
    <font>
      <u/>
      <sz val="10"/>
      <name val="Arial"/>
      <family val="2"/>
    </font>
    <font>
      <u val="singleAccounting"/>
      <sz val="12"/>
      <name val="Arial"/>
      <family val="2"/>
    </font>
    <font>
      <sz val="12"/>
      <color indexed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0"/>
      <color indexed="12"/>
      <name val="Arial"/>
      <family val="2"/>
    </font>
    <font>
      <b/>
      <u val="singleAccounting"/>
      <sz val="12"/>
      <color indexed="8"/>
      <name val="Arial"/>
      <family val="2"/>
    </font>
    <font>
      <sz val="10"/>
      <color indexed="8"/>
      <name val="Arial"/>
      <family val="2"/>
    </font>
    <font>
      <sz val="6.8"/>
      <name val="Times New Roman"/>
      <family val="1"/>
    </font>
    <font>
      <b/>
      <sz val="10"/>
      <color indexed="8"/>
      <name val="Times New Roman"/>
      <family val="1"/>
    </font>
    <font>
      <i/>
      <sz val="10"/>
      <name val="Arial"/>
      <family val="2"/>
    </font>
    <font>
      <b/>
      <u/>
      <sz val="12"/>
      <color indexed="8"/>
      <name val="Times New Roman"/>
      <family val="1"/>
    </font>
    <font>
      <b/>
      <u/>
      <vertAlign val="superscript"/>
      <sz val="12"/>
      <color indexed="8"/>
      <name val="Times New Roman"/>
      <family val="1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u val="singleAccounting"/>
      <sz val="14"/>
      <name val="Times New Roman"/>
      <family val="1"/>
    </font>
    <font>
      <b/>
      <sz val="14"/>
      <name val="Arial"/>
      <family val="2"/>
    </font>
    <font>
      <sz val="12"/>
      <color rgb="FF3C00E4"/>
      <name val="Times New Roman"/>
      <family val="1"/>
    </font>
    <font>
      <sz val="12"/>
      <color rgb="FFFF0000"/>
      <name val="Times New Roman"/>
      <family val="1"/>
    </font>
    <font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sz val="12"/>
      <color theme="0"/>
      <name val="Times New Roman"/>
      <family val="1"/>
    </font>
    <font>
      <u val="singleAccounting"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9">
    <xf numFmtId="0" fontId="0" fillId="0" borderId="0" xfId="0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5" fillId="0" borderId="0" xfId="0" applyFont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3" fontId="9" fillId="0" borderId="0" xfId="0" applyNumberFormat="1" applyFont="1" applyAlignment="1">
      <alignment horizontal="right" vertical="top"/>
    </xf>
    <xf numFmtId="41" fontId="9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justify" vertical="top"/>
    </xf>
    <xf numFmtId="43" fontId="10" fillId="0" borderId="0" xfId="0" applyNumberFormat="1" applyFont="1" applyAlignment="1">
      <alignment horizontal="right" vertical="top"/>
    </xf>
    <xf numFmtId="0" fontId="11" fillId="0" borderId="1" xfId="0" applyFont="1" applyBorder="1" applyAlignment="1"/>
    <xf numFmtId="0" fontId="6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12" fillId="0" borderId="0" xfId="0" applyFont="1"/>
    <xf numFmtId="0" fontId="8" fillId="0" borderId="0" xfId="0" applyFont="1" applyAlignment="1">
      <alignment horizontal="centerContinuous" vertical="top"/>
    </xf>
    <xf numFmtId="42" fontId="4" fillId="0" borderId="0" xfId="0" applyNumberFormat="1" applyFont="1" applyAlignment="1">
      <alignment horizontal="right" vertical="top"/>
    </xf>
    <xf numFmtId="0" fontId="14" fillId="0" borderId="0" xfId="0" applyFont="1"/>
    <xf numFmtId="0" fontId="16" fillId="0" borderId="0" xfId="0" applyFont="1" applyAlignment="1"/>
    <xf numFmtId="0" fontId="9" fillId="0" borderId="0" xfId="0" applyFont="1" applyAlignment="1">
      <alignment horizontal="left" vertical="top" indent="1"/>
    </xf>
    <xf numFmtId="0" fontId="5" fillId="0" borderId="0" xfId="0" applyFont="1" applyBorder="1" applyAlignment="1"/>
    <xf numFmtId="0" fontId="19" fillId="0" borderId="0" xfId="0" applyFont="1" applyAlignme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1" fillId="0" borderId="0" xfId="0" applyFont="1"/>
    <xf numFmtId="0" fontId="6" fillId="0" borderId="1" xfId="0" applyFont="1" applyBorder="1" applyAlignment="1"/>
    <xf numFmtId="0" fontId="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 applyBorder="1" applyAlignment="1"/>
    <xf numFmtId="0" fontId="5" fillId="0" borderId="0" xfId="0" applyFont="1" applyBorder="1" applyAlignment="1">
      <alignment horizontal="left" indent="1"/>
    </xf>
    <xf numFmtId="0" fontId="19" fillId="0" borderId="0" xfId="0" applyFont="1" applyAlignment="1">
      <alignment horizontal="center"/>
    </xf>
    <xf numFmtId="42" fontId="5" fillId="0" borderId="0" xfId="0" applyNumberFormat="1" applyFont="1" applyAlignment="1"/>
    <xf numFmtId="0" fontId="16" fillId="0" borderId="1" xfId="0" applyFont="1" applyBorder="1" applyAlignment="1"/>
    <xf numFmtId="0" fontId="6" fillId="0" borderId="0" xfId="0" applyFont="1"/>
    <xf numFmtId="0" fontId="5" fillId="0" borderId="0" xfId="0" applyFont="1"/>
    <xf numFmtId="41" fontId="5" fillId="0" borderId="0" xfId="0" applyNumberFormat="1" applyFont="1"/>
    <xf numFmtId="0" fontId="9" fillId="0" borderId="0" xfId="0" applyFont="1"/>
    <xf numFmtId="0" fontId="28" fillId="0" borderId="0" xfId="0" applyFont="1"/>
    <xf numFmtId="41" fontId="28" fillId="0" borderId="0" xfId="0" applyNumberFormat="1" applyFont="1"/>
    <xf numFmtId="41" fontId="9" fillId="0" borderId="0" xfId="0" applyNumberFormat="1" applyFont="1"/>
    <xf numFmtId="41" fontId="22" fillId="0" borderId="0" xfId="0" applyNumberFormat="1" applyFont="1"/>
    <xf numFmtId="42" fontId="5" fillId="0" borderId="0" xfId="0" applyNumberFormat="1" applyFont="1"/>
    <xf numFmtId="42" fontId="22" fillId="0" borderId="0" xfId="0" applyNumberFormat="1" applyFont="1"/>
    <xf numFmtId="44" fontId="9" fillId="0" borderId="0" xfId="0" applyNumberFormat="1" applyFont="1"/>
    <xf numFmtId="0" fontId="5" fillId="0" borderId="0" xfId="0" applyFont="1" applyAlignment="1">
      <alignment horizontal="right"/>
    </xf>
    <xf numFmtId="9" fontId="5" fillId="0" borderId="0" xfId="5" applyFont="1"/>
    <xf numFmtId="9" fontId="5" fillId="0" borderId="0" xfId="0" applyNumberFormat="1" applyFont="1"/>
    <xf numFmtId="43" fontId="5" fillId="0" borderId="0" xfId="1" applyFont="1"/>
    <xf numFmtId="49" fontId="5" fillId="0" borderId="0" xfId="0" applyNumberFormat="1" applyFont="1"/>
    <xf numFmtId="0" fontId="0" fillId="0" borderId="0" xfId="0" applyAlignment="1"/>
    <xf numFmtId="0" fontId="5" fillId="0" borderId="0" xfId="0" applyFont="1" applyBorder="1"/>
    <xf numFmtId="0" fontId="0" fillId="0" borderId="0" xfId="0" applyBorder="1"/>
    <xf numFmtId="0" fontId="0" fillId="0" borderId="0" xfId="0" applyBorder="1" applyAlignment="1"/>
    <xf numFmtId="0" fontId="19" fillId="0" borderId="0" xfId="0" applyFont="1"/>
    <xf numFmtId="0" fontId="1" fillId="0" borderId="0" xfId="0" applyFont="1"/>
    <xf numFmtId="41" fontId="7" fillId="0" borderId="0" xfId="0" applyNumberFormat="1" applyFont="1" applyAlignment="1">
      <alignment horizontal="center" vertical="top"/>
    </xf>
    <xf numFmtId="0" fontId="30" fillId="0" borderId="0" xfId="0" applyFont="1" applyAlignment="1">
      <alignment horizontal="centerContinuous" vertical="center"/>
    </xf>
    <xf numFmtId="0" fontId="30" fillId="0" borderId="0" xfId="0" applyFont="1"/>
    <xf numFmtId="0" fontId="32" fillId="0" borderId="0" xfId="0" applyFont="1" applyAlignment="1">
      <alignment horizontal="centerContinuous" vertical="center"/>
    </xf>
    <xf numFmtId="0" fontId="33" fillId="0" borderId="0" xfId="0" applyFont="1"/>
    <xf numFmtId="0" fontId="34" fillId="0" borderId="0" xfId="0" applyFont="1"/>
    <xf numFmtId="1" fontId="5" fillId="0" borderId="0" xfId="3" applyNumberFormat="1" applyFont="1"/>
    <xf numFmtId="1" fontId="5" fillId="0" borderId="0" xfId="0" applyNumberFormat="1" applyFont="1"/>
    <xf numFmtId="164" fontId="5" fillId="0" borderId="0" xfId="0" applyNumberFormat="1" applyFont="1"/>
    <xf numFmtId="5" fontId="5" fillId="0" borderId="0" xfId="0" applyNumberFormat="1" applyFont="1" applyAlignment="1">
      <alignment horizontal="right" vertical="justify"/>
    </xf>
    <xf numFmtId="0" fontId="0" fillId="0" borderId="0" xfId="0" applyAlignment="1">
      <alignment vertical="justify"/>
    </xf>
    <xf numFmtId="164" fontId="20" fillId="0" borderId="0" xfId="0" applyNumberFormat="1" applyFont="1"/>
    <xf numFmtId="0" fontId="6" fillId="0" borderId="0" xfId="0" applyFont="1" applyBorder="1"/>
    <xf numFmtId="164" fontId="23" fillId="0" borderId="0" xfId="0" applyNumberFormat="1" applyFont="1"/>
    <xf numFmtId="164" fontId="6" fillId="0" borderId="0" xfId="0" applyNumberFormat="1" applyFont="1"/>
    <xf numFmtId="6" fontId="23" fillId="0" borderId="0" xfId="0" applyNumberFormat="1" applyFont="1" applyAlignment="1">
      <alignment vertical="justify"/>
    </xf>
    <xf numFmtId="0" fontId="35" fillId="0" borderId="0" xfId="0" applyFont="1" applyAlignment="1">
      <alignment vertical="justify"/>
    </xf>
    <xf numFmtId="6" fontId="26" fillId="0" borderId="0" xfId="0" applyNumberFormat="1" applyFont="1"/>
    <xf numFmtId="0" fontId="25" fillId="0" borderId="0" xfId="0" applyFont="1"/>
    <xf numFmtId="41" fontId="26" fillId="0" borderId="0" xfId="0" applyNumberFormat="1" applyFont="1"/>
    <xf numFmtId="41" fontId="24" fillId="0" borderId="0" xfId="0" applyNumberFormat="1" applyFont="1"/>
    <xf numFmtId="41" fontId="5" fillId="0" borderId="0" xfId="0" applyNumberFormat="1" applyFont="1" applyAlignment="1">
      <alignment horizontal="left"/>
    </xf>
    <xf numFmtId="41" fontId="22" fillId="0" borderId="0" xfId="0" applyNumberFormat="1" applyFont="1" applyAlignment="1">
      <alignment horizontal="left"/>
    </xf>
    <xf numFmtId="41" fontId="24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42" fontId="5" fillId="0" borderId="0" xfId="0" applyNumberFormat="1" applyFont="1" applyAlignment="1">
      <alignment horizontal="left" vertical="justify"/>
    </xf>
    <xf numFmtId="41" fontId="20" fillId="0" borderId="0" xfId="0" applyNumberFormat="1" applyFont="1" applyAlignment="1">
      <alignment horizontal="left"/>
    </xf>
    <xf numFmtId="42" fontId="24" fillId="0" borderId="0" xfId="0" applyNumberFormat="1" applyFont="1" applyAlignment="1">
      <alignment horizontal="left"/>
    </xf>
    <xf numFmtId="41" fontId="6" fillId="0" borderId="0" xfId="0" applyNumberFormat="1" applyFont="1" applyAlignment="1">
      <alignment horizontal="left"/>
    </xf>
    <xf numFmtId="6" fontId="13" fillId="0" borderId="0" xfId="0" applyNumberFormat="1" applyFont="1"/>
    <xf numFmtId="0" fontId="15" fillId="0" borderId="0" xfId="0" applyNumberFormat="1" applyFont="1" applyBorder="1" applyAlignment="1"/>
    <xf numFmtId="0" fontId="6" fillId="0" borderId="0" xfId="0" applyFont="1" applyBorder="1" applyAlignment="1">
      <alignment horizontal="center"/>
    </xf>
    <xf numFmtId="0" fontId="29" fillId="0" borderId="0" xfId="0" applyFont="1" applyBorder="1" applyAlignment="1">
      <alignment horizontal="centerContinuous"/>
    </xf>
    <xf numFmtId="41" fontId="9" fillId="2" borderId="0" xfId="1" applyNumberFormat="1" applyFont="1" applyFill="1"/>
    <xf numFmtId="0" fontId="18" fillId="0" borderId="0" xfId="0" applyFont="1"/>
    <xf numFmtId="0" fontId="1" fillId="0" borderId="0" xfId="0" applyFont="1" applyBorder="1"/>
    <xf numFmtId="0" fontId="5" fillId="0" borderId="0" xfId="0" applyFont="1" applyAlignment="1">
      <alignment horizontal="left" indent="2"/>
    </xf>
    <xf numFmtId="0" fontId="9" fillId="0" borderId="0" xfId="0" applyFont="1" applyAlignment="1">
      <alignment wrapText="1"/>
    </xf>
    <xf numFmtId="171" fontId="9" fillId="0" borderId="0" xfId="0" applyNumberFormat="1" applyFont="1" applyAlignment="1">
      <alignment vertical="top"/>
    </xf>
    <xf numFmtId="0" fontId="9" fillId="0" borderId="0" xfId="0" applyFont="1" applyAlignment="1">
      <alignment horizontal="left" indent="1"/>
    </xf>
    <xf numFmtId="42" fontId="10" fillId="0" borderId="0" xfId="0" applyNumberFormat="1" applyFont="1"/>
    <xf numFmtId="0" fontId="0" fillId="0" borderId="2" xfId="0" applyBorder="1"/>
    <xf numFmtId="0" fontId="40" fillId="0" borderId="0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9" fontId="0" fillId="0" borderId="0" xfId="5" applyFont="1" applyBorder="1" applyAlignment="1">
      <alignment horizontal="center"/>
    </xf>
    <xf numFmtId="41" fontId="0" fillId="0" borderId="0" xfId="1" applyNumberFormat="1" applyFont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center"/>
    </xf>
    <xf numFmtId="164" fontId="12" fillId="0" borderId="0" xfId="0" applyNumberFormat="1" applyFont="1" applyBorder="1"/>
    <xf numFmtId="1" fontId="0" fillId="0" borderId="0" xfId="0" applyNumberFormat="1" applyBorder="1"/>
    <xf numFmtId="1" fontId="0" fillId="0" borderId="2" xfId="0" applyNumberFormat="1" applyBorder="1"/>
    <xf numFmtId="0" fontId="0" fillId="0" borderId="0" xfId="0" applyFill="1"/>
    <xf numFmtId="41" fontId="41" fillId="0" borderId="0" xfId="0" applyNumberFormat="1" applyFont="1"/>
    <xf numFmtId="0" fontId="5" fillId="0" borderId="0" xfId="0" applyFont="1" applyFill="1"/>
    <xf numFmtId="42" fontId="22" fillId="0" borderId="0" xfId="0" applyNumberFormat="1" applyFont="1" applyFill="1"/>
    <xf numFmtId="0" fontId="0" fillId="0" borderId="0" xfId="0" applyFill="1" applyAlignment="1"/>
    <xf numFmtId="41" fontId="5" fillId="0" borderId="0" xfId="0" applyNumberFormat="1" applyFont="1" applyFill="1"/>
    <xf numFmtId="9" fontId="5" fillId="0" borderId="0" xfId="5" applyNumberFormat="1" applyFont="1"/>
    <xf numFmtId="0" fontId="5" fillId="0" borderId="0" xfId="0" applyFont="1" applyFill="1" applyAlignment="1">
      <alignment horizontal="left" indent="1"/>
    </xf>
    <xf numFmtId="42" fontId="20" fillId="0" borderId="0" xfId="0" applyNumberFormat="1" applyFont="1"/>
    <xf numFmtId="0" fontId="5" fillId="0" borderId="0" xfId="0" applyFont="1" applyFill="1" applyBorder="1"/>
    <xf numFmtId="42" fontId="22" fillId="0" borderId="0" xfId="0" applyNumberFormat="1" applyFont="1" applyFill="1" applyBorder="1"/>
    <xf numFmtId="42" fontId="12" fillId="0" borderId="0" xfId="0" applyNumberFormat="1" applyFont="1" applyBorder="1"/>
    <xf numFmtId="43" fontId="5" fillId="0" borderId="0" xfId="0" applyNumberFormat="1" applyFont="1" applyAlignment="1"/>
    <xf numFmtId="0" fontId="44" fillId="0" borderId="0" xfId="0" applyFont="1" applyAlignment="1">
      <alignment horizontal="left"/>
    </xf>
    <xf numFmtId="44" fontId="1" fillId="0" borderId="0" xfId="3"/>
    <xf numFmtId="44" fontId="0" fillId="0" borderId="0" xfId="0" applyNumberFormat="1"/>
    <xf numFmtId="42" fontId="0" fillId="0" borderId="0" xfId="0" applyNumberFormat="1"/>
    <xf numFmtId="0" fontId="5" fillId="0" borderId="0" xfId="0" applyFont="1" applyAlignment="1">
      <alignment wrapText="1"/>
    </xf>
    <xf numFmtId="0" fontId="46" fillId="0" borderId="0" xfId="0" applyFont="1"/>
    <xf numFmtId="42" fontId="7" fillId="0" borderId="5" xfId="0" applyNumberFormat="1" applyFont="1" applyBorder="1" applyAlignment="1">
      <alignment horizontal="right" vertical="top"/>
    </xf>
    <xf numFmtId="0" fontId="0" fillId="0" borderId="0" xfId="0" applyBorder="1" applyAlignment="1">
      <alignment horizontal="left"/>
    </xf>
    <xf numFmtId="0" fontId="38" fillId="0" borderId="0" xfId="0" applyFont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/>
    <xf numFmtId="0" fontId="1" fillId="0" borderId="0" xfId="0" applyFont="1" applyAlignment="1"/>
    <xf numFmtId="0" fontId="0" fillId="0" borderId="6" xfId="0" applyBorder="1" applyAlignment="1">
      <alignment horizontal="left"/>
    </xf>
    <xf numFmtId="0" fontId="5" fillId="0" borderId="0" xfId="0" applyFont="1" applyBorder="1" applyAlignment="1">
      <alignment horizontal="center"/>
    </xf>
    <xf numFmtId="43" fontId="7" fillId="0" borderId="0" xfId="0" applyNumberFormat="1" applyFont="1" applyBorder="1" applyAlignment="1">
      <alignment horizontal="right" vertical="top"/>
    </xf>
    <xf numFmtId="43" fontId="5" fillId="0" borderId="0" xfId="0" applyNumberFormat="1" applyFont="1" applyBorder="1" applyAlignment="1">
      <alignment horizontal="right"/>
    </xf>
    <xf numFmtId="6" fontId="26" fillId="0" borderId="0" xfId="0" applyNumberFormat="1" applyFont="1" applyFill="1"/>
    <xf numFmtId="42" fontId="27" fillId="0" borderId="0" xfId="0" applyNumberFormat="1" applyFont="1"/>
    <xf numFmtId="0" fontId="16" fillId="0" borderId="0" xfId="0" applyFont="1" applyBorder="1" applyAlignment="1"/>
    <xf numFmtId="0" fontId="21" fillId="0" borderId="0" xfId="0" applyFont="1" applyBorder="1"/>
    <xf numFmtId="192" fontId="0" fillId="0" borderId="0" xfId="0" applyNumberFormat="1" applyBorder="1"/>
    <xf numFmtId="42" fontId="0" fillId="0" borderId="6" xfId="0" applyNumberFormat="1" applyBorder="1"/>
    <xf numFmtId="42" fontId="0" fillId="0" borderId="0" xfId="0" applyNumberFormat="1" applyBorder="1"/>
    <xf numFmtId="42" fontId="1" fillId="0" borderId="0" xfId="3" applyNumberFormat="1"/>
    <xf numFmtId="0" fontId="0" fillId="3" borderId="6" xfId="0" applyFill="1" applyBorder="1" applyAlignment="1">
      <alignment horizontal="left"/>
    </xf>
    <xf numFmtId="42" fontId="0" fillId="3" borderId="6" xfId="0" applyNumberFormat="1" applyFill="1" applyBorder="1"/>
    <xf numFmtId="0" fontId="47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43" fillId="0" borderId="0" xfId="0" applyFont="1" applyBorder="1"/>
    <xf numFmtId="9" fontId="12" fillId="4" borderId="0" xfId="0" applyNumberFormat="1" applyFont="1" applyFill="1" applyBorder="1"/>
    <xf numFmtId="196" fontId="47" fillId="4" borderId="0" xfId="0" applyNumberFormat="1" applyFont="1" applyFill="1" applyBorder="1"/>
    <xf numFmtId="186" fontId="47" fillId="4" borderId="0" xfId="0" applyNumberFormat="1" applyFont="1" applyFill="1" applyBorder="1"/>
    <xf numFmtId="42" fontId="49" fillId="0" borderId="0" xfId="0" applyNumberFormat="1" applyFont="1" applyFill="1" applyBorder="1"/>
    <xf numFmtId="42" fontId="47" fillId="4" borderId="0" xfId="0" applyNumberFormat="1" applyFont="1" applyFill="1" applyBorder="1"/>
    <xf numFmtId="197" fontId="47" fillId="4" borderId="0" xfId="0" applyNumberFormat="1" applyFont="1" applyFill="1" applyBorder="1"/>
    <xf numFmtId="41" fontId="49" fillId="0" borderId="0" xfId="0" applyNumberFormat="1" applyFont="1" applyBorder="1"/>
    <xf numFmtId="43" fontId="43" fillId="0" borderId="0" xfId="0" applyNumberFormat="1" applyFont="1" applyBorder="1"/>
    <xf numFmtId="0" fontId="38" fillId="0" borderId="0" xfId="0" applyFont="1" applyBorder="1" applyAlignment="1">
      <alignment horizontal="centerContinuous"/>
    </xf>
    <xf numFmtId="0" fontId="38" fillId="0" borderId="0" xfId="0" applyFont="1" applyBorder="1" applyAlignment="1">
      <alignment horizontal="right"/>
    </xf>
    <xf numFmtId="0" fontId="47" fillId="4" borderId="0" xfId="0" applyFont="1" applyFill="1" applyBorder="1" applyAlignment="1">
      <alignment horizontal="left" indent="1"/>
    </xf>
    <xf numFmtId="42" fontId="43" fillId="0" borderId="0" xfId="0" applyNumberFormat="1" applyFont="1" applyBorder="1"/>
    <xf numFmtId="0" fontId="3" fillId="0" borderId="0" xfId="0" applyFont="1" applyBorder="1" applyAlignment="1">
      <alignment horizontal="left" vertical="top"/>
    </xf>
    <xf numFmtId="41" fontId="0" fillId="0" borderId="7" xfId="0" applyNumberFormat="1" applyBorder="1" applyAlignment="1">
      <alignment horizontal="left"/>
    </xf>
    <xf numFmtId="0" fontId="38" fillId="0" borderId="0" xfId="0" applyFont="1" applyBorder="1" applyAlignment="1">
      <alignment horizontal="left"/>
    </xf>
    <xf numFmtId="1" fontId="38" fillId="0" borderId="0" xfId="0" applyNumberFormat="1" applyFont="1" applyBorder="1" applyAlignment="1">
      <alignment horizontal="left"/>
    </xf>
    <xf numFmtId="0" fontId="47" fillId="0" borderId="0" xfId="0" applyFont="1" applyBorder="1" applyAlignment="1">
      <alignment horizontal="center"/>
    </xf>
    <xf numFmtId="0" fontId="5" fillId="0" borderId="1" xfId="0" applyFont="1" applyBorder="1"/>
    <xf numFmtId="44" fontId="1" fillId="0" borderId="0" xfId="0" applyNumberFormat="1" applyFont="1" applyFill="1"/>
    <xf numFmtId="0" fontId="5" fillId="0" borderId="0" xfId="0" applyFont="1" applyAlignment="1">
      <alignment horizontal="left" vertical="top"/>
    </xf>
    <xf numFmtId="0" fontId="6" fillId="5" borderId="0" xfId="0" applyFont="1" applyFill="1"/>
    <xf numFmtId="0" fontId="5" fillId="5" borderId="0" xfId="0" applyFont="1" applyFill="1"/>
    <xf numFmtId="0" fontId="28" fillId="5" borderId="0" xfId="0" applyFont="1" applyFill="1"/>
    <xf numFmtId="0" fontId="5" fillId="5" borderId="0" xfId="0" applyFont="1" applyFill="1" applyAlignment="1">
      <alignment horizontal="left" indent="1"/>
    </xf>
    <xf numFmtId="41" fontId="5" fillId="0" borderId="0" xfId="0" applyNumberFormat="1" applyFont="1" applyAlignment="1">
      <alignment horizontal="right" vertical="top"/>
    </xf>
    <xf numFmtId="41" fontId="24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left" vertical="top"/>
    </xf>
    <xf numFmtId="41" fontId="5" fillId="0" borderId="0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horizontal="justify" vertical="top"/>
    </xf>
    <xf numFmtId="0" fontId="6" fillId="0" borderId="5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0" fontId="6" fillId="0" borderId="5" xfId="0" applyFont="1" applyBorder="1" applyAlignment="1">
      <alignment horizontal="left" indent="1"/>
    </xf>
    <xf numFmtId="0" fontId="6" fillId="0" borderId="10" xfId="0" applyFont="1" applyBorder="1" applyAlignment="1"/>
    <xf numFmtId="43" fontId="5" fillId="0" borderId="11" xfId="0" applyNumberFormat="1" applyFont="1" applyBorder="1" applyAlignment="1"/>
    <xf numFmtId="43" fontId="5" fillId="0" borderId="11" xfId="0" applyNumberFormat="1" applyFont="1" applyFill="1" applyBorder="1" applyAlignment="1"/>
    <xf numFmtId="43" fontId="6" fillId="0" borderId="8" xfId="0" applyNumberFormat="1" applyFont="1" applyBorder="1" applyAlignment="1"/>
    <xf numFmtId="167" fontId="5" fillId="0" borderId="11" xfId="0" applyNumberFormat="1" applyFont="1" applyBorder="1" applyAlignment="1"/>
    <xf numFmtId="167" fontId="6" fillId="0" borderId="8" xfId="0" applyNumberFormat="1" applyFont="1" applyBorder="1" applyAlignment="1"/>
    <xf numFmtId="167" fontId="5" fillId="0" borderId="12" xfId="0" applyNumberFormat="1" applyFont="1" applyBorder="1" applyAlignment="1"/>
    <xf numFmtId="1" fontId="8" fillId="0" borderId="0" xfId="0" applyNumberFormat="1" applyFont="1" applyAlignment="1">
      <alignment horizontal="right" vertical="top"/>
    </xf>
    <xf numFmtId="41" fontId="10" fillId="0" borderId="0" xfId="0" applyNumberFormat="1" applyFont="1" applyAlignment="1">
      <alignment horizontal="right" vertical="top"/>
    </xf>
    <xf numFmtId="0" fontId="5" fillId="0" borderId="3" xfId="0" applyFont="1" applyBorder="1" applyAlignment="1">
      <alignment horizontal="left" vertical="top"/>
    </xf>
    <xf numFmtId="41" fontId="5" fillId="0" borderId="3" xfId="0" applyNumberFormat="1" applyFont="1" applyBorder="1" applyAlignment="1">
      <alignment horizontal="right" vertical="top"/>
    </xf>
    <xf numFmtId="41" fontId="5" fillId="0" borderId="3" xfId="0" applyNumberFormat="1" applyFont="1" applyFill="1" applyBorder="1" applyAlignment="1">
      <alignment horizontal="right" vertical="top"/>
    </xf>
    <xf numFmtId="0" fontId="3" fillId="0" borderId="3" xfId="0" applyFont="1" applyBorder="1" applyAlignment="1">
      <alignment horizontal="centerContinuous" vertical="top"/>
    </xf>
    <xf numFmtId="43" fontId="5" fillId="0" borderId="11" xfId="0" applyNumberFormat="1" applyFont="1" applyFill="1" applyBorder="1" applyAlignment="1">
      <alignment horizontal="right" vertical="top"/>
    </xf>
    <xf numFmtId="43" fontId="5" fillId="0" borderId="13" xfId="0" applyNumberFormat="1" applyFont="1" applyFill="1" applyBorder="1" applyAlignment="1">
      <alignment horizontal="right" vertical="top"/>
    </xf>
    <xf numFmtId="43" fontId="24" fillId="0" borderId="14" xfId="0" applyNumberFormat="1" applyFont="1" applyBorder="1" applyAlignment="1">
      <alignment horizontal="right" vertical="top"/>
    </xf>
    <xf numFmtId="0" fontId="5" fillId="0" borderId="15" xfId="0" applyFont="1" applyBorder="1" applyAlignment="1"/>
    <xf numFmtId="0" fontId="5" fillId="0" borderId="16" xfId="0" applyFont="1" applyBorder="1" applyAlignment="1"/>
    <xf numFmtId="0" fontId="5" fillId="0" borderId="15" xfId="0" applyFont="1" applyBorder="1" applyAlignment="1">
      <alignment horizontal="centerContinuous"/>
    </xf>
    <xf numFmtId="43" fontId="5" fillId="0" borderId="11" xfId="0" applyNumberFormat="1" applyFont="1" applyBorder="1" applyAlignment="1">
      <alignment horizontal="right" vertical="top"/>
    </xf>
    <xf numFmtId="43" fontId="5" fillId="0" borderId="13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25" fillId="0" borderId="0" xfId="0" applyFont="1" applyFill="1"/>
    <xf numFmtId="0" fontId="5" fillId="0" borderId="1" xfId="0" applyFont="1" applyBorder="1" applyAlignment="1"/>
    <xf numFmtId="0" fontId="17" fillId="0" borderId="0" xfId="0" applyFont="1" applyAlignment="1">
      <alignment horizontal="left"/>
    </xf>
    <xf numFmtId="6" fontId="36" fillId="0" borderId="0" xfId="0" applyNumberFormat="1" applyFont="1"/>
    <xf numFmtId="171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171" fontId="25" fillId="0" borderId="0" xfId="0" applyNumberFormat="1" applyFont="1" applyFill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1" fontId="47" fillId="0" borderId="0" xfId="0" applyNumberFormat="1" applyFont="1" applyBorder="1" applyAlignment="1">
      <alignment horizontal="center" vertical="top"/>
    </xf>
    <xf numFmtId="0" fontId="40" fillId="0" borderId="0" xfId="0" applyFont="1" applyBorder="1"/>
    <xf numFmtId="0" fontId="40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21" xfId="0" applyBorder="1"/>
    <xf numFmtId="0" fontId="43" fillId="0" borderId="0" xfId="0" applyFont="1" applyFill="1" applyBorder="1"/>
    <xf numFmtId="0" fontId="0" fillId="0" borderId="0" xfId="0" applyFill="1" applyBorder="1"/>
    <xf numFmtId="0" fontId="0" fillId="0" borderId="20" xfId="0" applyFill="1" applyBorder="1"/>
    <xf numFmtId="0" fontId="0" fillId="0" borderId="19" xfId="0" applyFill="1" applyBorder="1"/>
    <xf numFmtId="195" fontId="48" fillId="0" borderId="19" xfId="0" applyNumberFormat="1" applyFont="1" applyBorder="1" applyAlignment="1">
      <alignment horizontal="centerContinuous"/>
    </xf>
    <xf numFmtId="0" fontId="43" fillId="0" borderId="19" xfId="0" applyFont="1" applyBorder="1"/>
    <xf numFmtId="0" fontId="39" fillId="0" borderId="22" xfId="0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37" fillId="0" borderId="25" xfId="0" applyFont="1" applyBorder="1"/>
    <xf numFmtId="0" fontId="5" fillId="0" borderId="17" xfId="0" applyFont="1" applyBorder="1"/>
    <xf numFmtId="0" fontId="5" fillId="0" borderId="19" xfId="0" applyFont="1" applyBorder="1"/>
    <xf numFmtId="41" fontId="9" fillId="4" borderId="0" xfId="0" applyNumberFormat="1" applyFont="1" applyFill="1" applyBorder="1"/>
    <xf numFmtId="9" fontId="9" fillId="0" borderId="0" xfId="0" applyNumberFormat="1" applyFont="1" applyBorder="1"/>
    <xf numFmtId="9" fontId="1" fillId="0" borderId="20" xfId="0" applyNumberFormat="1" applyFont="1" applyBorder="1"/>
    <xf numFmtId="198" fontId="9" fillId="0" borderId="0" xfId="0" applyNumberFormat="1" applyFont="1" applyBorder="1"/>
    <xf numFmtId="168" fontId="9" fillId="0" borderId="0" xfId="3" applyNumberFormat="1" applyFont="1" applyBorder="1"/>
    <xf numFmtId="0" fontId="6" fillId="0" borderId="19" xfId="0" applyFont="1" applyBorder="1"/>
    <xf numFmtId="0" fontId="5" fillId="0" borderId="19" xfId="0" applyFont="1" applyBorder="1" applyAlignment="1">
      <alignment horizontal="left" indent="1"/>
    </xf>
    <xf numFmtId="0" fontId="42" fillId="0" borderId="0" xfId="0" applyFont="1" applyBorder="1" applyAlignment="1"/>
    <xf numFmtId="10" fontId="42" fillId="0" borderId="0" xfId="0" applyNumberFormat="1" applyFont="1" applyBorder="1" applyAlignment="1"/>
    <xf numFmtId="9" fontId="42" fillId="0" borderId="0" xfId="0" applyNumberFormat="1" applyFont="1" applyBorder="1" applyAlignment="1"/>
    <xf numFmtId="0" fontId="0" fillId="0" borderId="22" xfId="0" applyBorder="1"/>
    <xf numFmtId="0" fontId="5" fillId="0" borderId="23" xfId="0" applyFont="1" applyBorder="1"/>
    <xf numFmtId="168" fontId="9" fillId="0" borderId="23" xfId="3" applyNumberFormat="1" applyFont="1" applyBorder="1"/>
    <xf numFmtId="0" fontId="19" fillId="0" borderId="25" xfId="0" applyFont="1" applyBorder="1"/>
    <xf numFmtId="42" fontId="9" fillId="0" borderId="0" xfId="0" applyNumberFormat="1" applyFont="1" applyFill="1"/>
    <xf numFmtId="10" fontId="9" fillId="0" borderId="0" xfId="0" applyNumberFormat="1" applyFont="1"/>
    <xf numFmtId="165" fontId="9" fillId="0" borderId="0" xfId="0" applyNumberFormat="1" applyFont="1"/>
    <xf numFmtId="44" fontId="5" fillId="0" borderId="0" xfId="3" applyFont="1"/>
    <xf numFmtId="44" fontId="5" fillId="0" borderId="0" xfId="0" applyNumberFormat="1" applyFont="1"/>
    <xf numFmtId="42" fontId="18" fillId="0" borderId="0" xfId="0" applyNumberFormat="1" applyFont="1" applyAlignment="1">
      <alignment horizontal="right"/>
    </xf>
    <xf numFmtId="0" fontId="5" fillId="0" borderId="11" xfId="0" applyFont="1" applyBorder="1" applyAlignment="1"/>
    <xf numFmtId="43" fontId="12" fillId="0" borderId="19" xfId="0" applyNumberFormat="1" applyFont="1" applyBorder="1" applyAlignment="1">
      <alignment horizontal="center"/>
    </xf>
    <xf numFmtId="0" fontId="31" fillId="0" borderId="0" xfId="0" applyFont="1" applyAlignment="1">
      <alignment horizontal="left" vertical="center"/>
    </xf>
    <xf numFmtId="171" fontId="5" fillId="0" borderId="0" xfId="0" applyNumberFormat="1" applyFont="1" applyAlignment="1">
      <alignment vertical="top"/>
    </xf>
    <xf numFmtId="41" fontId="5" fillId="2" borderId="0" xfId="1" applyNumberFormat="1" applyFont="1" applyFill="1"/>
    <xf numFmtId="41" fontId="22" fillId="0" borderId="0" xfId="0" applyNumberFormat="1" applyFont="1" applyFill="1"/>
    <xf numFmtId="0" fontId="3" fillId="0" borderId="3" xfId="0" applyFont="1" applyBorder="1" applyAlignment="1">
      <alignment horizontal="centerContinuous"/>
    </xf>
    <xf numFmtId="0" fontId="3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1" fontId="59" fillId="2" borderId="0" xfId="1" applyNumberFormat="1" applyFont="1" applyFill="1"/>
    <xf numFmtId="0" fontId="21" fillId="0" borderId="0" xfId="0" applyFon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21" fillId="0" borderId="6" xfId="0" applyFont="1" applyBorder="1" applyAlignment="1">
      <alignment horizontal="left"/>
    </xf>
    <xf numFmtId="0" fontId="35" fillId="0" borderId="0" xfId="0" applyFont="1"/>
    <xf numFmtId="0" fontId="6" fillId="0" borderId="8" xfId="0" applyFont="1" applyBorder="1" applyAlignment="1">
      <alignment horizontal="center" wrapText="1"/>
    </xf>
    <xf numFmtId="0" fontId="21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42" fontId="35" fillId="0" borderId="5" xfId="0" applyNumberFormat="1" applyFont="1" applyBorder="1"/>
    <xf numFmtId="0" fontId="52" fillId="0" borderId="0" xfId="0" applyFont="1"/>
    <xf numFmtId="0" fontId="6" fillId="0" borderId="26" xfId="0" applyFont="1" applyBorder="1" applyAlignment="1">
      <alignment horizontal="center"/>
    </xf>
    <xf numFmtId="0" fontId="21" fillId="0" borderId="0" xfId="0" applyFont="1" applyFill="1" applyAlignment="1">
      <alignment horizontal="left"/>
    </xf>
    <xf numFmtId="0" fontId="21" fillId="0" borderId="6" xfId="0" applyFont="1" applyFill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/>
    <xf numFmtId="202" fontId="5" fillId="0" borderId="0" xfId="0" applyNumberFormat="1" applyFont="1" applyAlignment="1"/>
    <xf numFmtId="4" fontId="6" fillId="0" borderId="5" xfId="0" applyNumberFormat="1" applyFont="1" applyBorder="1" applyAlignment="1"/>
    <xf numFmtId="176" fontId="60" fillId="0" borderId="0" xfId="0" applyNumberFormat="1" applyFont="1" applyAlignment="1">
      <alignment vertical="top"/>
    </xf>
    <xf numFmtId="176" fontId="4" fillId="0" borderId="0" xfId="0" applyNumberFormat="1" applyFont="1" applyAlignment="1">
      <alignment vertical="top"/>
    </xf>
    <xf numFmtId="176" fontId="0" fillId="0" borderId="0" xfId="0" applyNumberFormat="1"/>
    <xf numFmtId="176" fontId="60" fillId="0" borderId="0" xfId="0" applyNumberFormat="1" applyFont="1" applyAlignment="1">
      <alignment horizontal="right" vertical="top"/>
    </xf>
    <xf numFmtId="176" fontId="60" fillId="0" borderId="0" xfId="0" applyNumberFormat="1" applyFont="1"/>
    <xf numFmtId="176" fontId="5" fillId="0" borderId="0" xfId="0" applyNumberFormat="1" applyFont="1"/>
    <xf numFmtId="42" fontId="5" fillId="0" borderId="3" xfId="0" applyNumberFormat="1" applyFont="1" applyBorder="1" applyAlignment="1"/>
    <xf numFmtId="42" fontId="61" fillId="0" borderId="0" xfId="0" applyNumberFormat="1" applyFont="1" applyFill="1" applyAlignment="1">
      <alignment horizontal="right" vertical="top"/>
    </xf>
    <xf numFmtId="0" fontId="5" fillId="0" borderId="0" xfId="0" applyFont="1" applyAlignment="1">
      <alignment horizontal="center" vertical="top"/>
    </xf>
    <xf numFmtId="42" fontId="5" fillId="0" borderId="0" xfId="0" applyNumberFormat="1" applyFont="1" applyFill="1" applyAlignment="1">
      <alignment vertical="top"/>
    </xf>
    <xf numFmtId="42" fontId="22" fillId="0" borderId="0" xfId="0" applyNumberFormat="1" applyFont="1" applyFill="1" applyAlignment="1">
      <alignment vertical="top"/>
    </xf>
    <xf numFmtId="42" fontId="27" fillId="0" borderId="0" xfId="0" applyNumberFormat="1" applyFont="1" applyFill="1" applyAlignment="1">
      <alignment horizontal="right" vertical="top"/>
    </xf>
    <xf numFmtId="176" fontId="27" fillId="0" borderId="0" xfId="0" applyNumberFormat="1" applyFont="1" applyFill="1" applyAlignment="1">
      <alignment horizontal="right" vertical="top"/>
    </xf>
    <xf numFmtId="176" fontId="27" fillId="0" borderId="0" xfId="0" applyNumberFormat="1" applyFont="1" applyFill="1"/>
    <xf numFmtId="43" fontId="60" fillId="0" borderId="0" xfId="0" applyNumberFormat="1" applyFont="1" applyFill="1" applyAlignment="1">
      <alignment horizontal="right" vertical="top"/>
    </xf>
    <xf numFmtId="176" fontId="60" fillId="0" borderId="0" xfId="0" applyNumberFormat="1" applyFont="1" applyFill="1" applyAlignment="1">
      <alignment horizontal="right" vertical="top"/>
    </xf>
    <xf numFmtId="0" fontId="6" fillId="0" borderId="1" xfId="0" applyFont="1" applyFill="1" applyBorder="1" applyAlignment="1"/>
    <xf numFmtId="0" fontId="5" fillId="0" borderId="0" xfId="0" applyFont="1" applyFill="1" applyAlignment="1"/>
    <xf numFmtId="0" fontId="3" fillId="0" borderId="0" xfId="0" applyFont="1" applyFill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53" fillId="0" borderId="0" xfId="0" applyFont="1" applyFill="1" applyAlignment="1">
      <alignment horizontal="center" vertical="top"/>
    </xf>
    <xf numFmtId="214" fontId="9" fillId="0" borderId="0" xfId="0" applyNumberFormat="1" applyFont="1" applyFill="1" applyAlignment="1">
      <alignment horizontal="center" vertical="top"/>
    </xf>
    <xf numFmtId="41" fontId="5" fillId="0" borderId="0" xfId="0" applyNumberFormat="1" applyFont="1" applyFill="1" applyAlignment="1">
      <alignment horizontal="center" vertical="top"/>
    </xf>
    <xf numFmtId="42" fontId="5" fillId="0" borderId="0" xfId="0" applyNumberFormat="1" applyFont="1" applyFill="1"/>
    <xf numFmtId="41" fontId="9" fillId="0" borderId="0" xfId="0" applyNumberFormat="1" applyFont="1" applyFill="1" applyAlignment="1">
      <alignment horizontal="center" vertical="top"/>
    </xf>
    <xf numFmtId="0" fontId="9" fillId="0" borderId="0" xfId="0" applyFont="1" applyFill="1" applyAlignment="1">
      <alignment horizontal="center"/>
    </xf>
    <xf numFmtId="42" fontId="5" fillId="0" borderId="0" xfId="0" applyNumberFormat="1" applyFont="1" applyAlignment="1">
      <alignment horizontal="left"/>
    </xf>
    <xf numFmtId="0" fontId="46" fillId="0" borderId="23" xfId="0" applyFont="1" applyBorder="1"/>
    <xf numFmtId="9" fontId="9" fillId="0" borderId="0" xfId="0" applyNumberFormat="1" applyFont="1"/>
    <xf numFmtId="9" fontId="9" fillId="0" borderId="3" xfId="0" applyNumberFormat="1" applyFont="1" applyBorder="1"/>
    <xf numFmtId="43" fontId="5" fillId="0" borderId="3" xfId="1" applyFont="1" applyBorder="1"/>
    <xf numFmtId="0" fontId="5" fillId="0" borderId="3" xfId="0" applyFont="1" applyBorder="1"/>
    <xf numFmtId="41" fontId="5" fillId="0" borderId="0" xfId="0" applyNumberFormat="1" applyFont="1" applyAlignment="1"/>
    <xf numFmtId="0" fontId="62" fillId="0" borderId="0" xfId="0" applyFont="1" applyAlignment="1">
      <alignment horizontal="center"/>
    </xf>
    <xf numFmtId="37" fontId="5" fillId="0" borderId="0" xfId="0" applyNumberFormat="1" applyFont="1" applyAlignment="1">
      <alignment horizontal="center"/>
    </xf>
    <xf numFmtId="0" fontId="61" fillId="0" borderId="0" xfId="0" applyFont="1"/>
    <xf numFmtId="217" fontId="9" fillId="0" borderId="0" xfId="0" applyNumberFormat="1" applyFont="1"/>
    <xf numFmtId="198" fontId="5" fillId="0" borderId="0" xfId="0" applyNumberFormat="1" applyFont="1"/>
    <xf numFmtId="9" fontId="9" fillId="4" borderId="0" xfId="0" applyNumberFormat="1" applyFont="1" applyFill="1" applyBorder="1"/>
    <xf numFmtId="0" fontId="63" fillId="0" borderId="0" xfId="0" applyFont="1"/>
    <xf numFmtId="0" fontId="0" fillId="6" borderId="0" xfId="0" applyFill="1"/>
    <xf numFmtId="42" fontId="35" fillId="6" borderId="5" xfId="0" applyNumberFormat="1" applyFont="1" applyFill="1" applyBorder="1"/>
    <xf numFmtId="168" fontId="9" fillId="6" borderId="0" xfId="3" applyNumberFormat="1" applyFont="1" applyFill="1" applyBorder="1"/>
    <xf numFmtId="9" fontId="9" fillId="6" borderId="0" xfId="0" applyNumberFormat="1" applyFont="1" applyFill="1" applyBorder="1"/>
    <xf numFmtId="41" fontId="59" fillId="6" borderId="0" xfId="1" applyNumberFormat="1" applyFont="1" applyFill="1"/>
    <xf numFmtId="198" fontId="22" fillId="0" borderId="0" xfId="5" applyNumberFormat="1" applyFont="1"/>
    <xf numFmtId="0" fontId="5" fillId="7" borderId="0" xfId="0" applyFont="1" applyFill="1"/>
    <xf numFmtId="42" fontId="22" fillId="7" borderId="0" xfId="0" applyNumberFormat="1" applyFont="1" applyFill="1"/>
    <xf numFmtId="0" fontId="0" fillId="7" borderId="0" xfId="0" applyFill="1"/>
    <xf numFmtId="0" fontId="0" fillId="7" borderId="0" xfId="0" applyFill="1" applyAlignment="1"/>
    <xf numFmtId="42" fontId="5" fillId="7" borderId="0" xfId="0" applyNumberFormat="1" applyFont="1" applyFill="1"/>
    <xf numFmtId="0" fontId="9" fillId="7" borderId="0" xfId="0" applyFont="1" applyFill="1"/>
    <xf numFmtId="44" fontId="9" fillId="7" borderId="0" xfId="0" applyNumberFormat="1" applyFont="1" applyFill="1"/>
    <xf numFmtId="0" fontId="5" fillId="0" borderId="0" xfId="0" applyFont="1" applyFill="1" applyAlignment="1">
      <alignment horizontal="right"/>
    </xf>
    <xf numFmtId="0" fontId="56" fillId="8" borderId="0" xfId="0" applyFont="1" applyFill="1"/>
    <xf numFmtId="0" fontId="56" fillId="8" borderId="0" xfId="0" applyFont="1" applyFill="1" applyBorder="1"/>
    <xf numFmtId="42" fontId="57" fillId="8" borderId="0" xfId="0" applyNumberFormat="1" applyFont="1" applyFill="1"/>
    <xf numFmtId="0" fontId="58" fillId="8" borderId="0" xfId="0" applyFont="1" applyFill="1"/>
    <xf numFmtId="0" fontId="58" fillId="8" borderId="0" xfId="0" applyFont="1" applyFill="1" applyAlignment="1"/>
    <xf numFmtId="0" fontId="60" fillId="0" borderId="0" xfId="0" applyFont="1" applyFill="1"/>
    <xf numFmtId="42" fontId="64" fillId="0" borderId="0" xfId="0" applyNumberFormat="1" applyFont="1" applyFill="1"/>
    <xf numFmtId="41" fontId="61" fillId="9" borderId="0" xfId="0" applyNumberFormat="1" applyFont="1" applyFill="1" applyAlignment="1"/>
    <xf numFmtId="0" fontId="6" fillId="0" borderId="2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indent="9"/>
    </xf>
    <xf numFmtId="0" fontId="8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1" fillId="0" borderId="0" xfId="0" applyFont="1" applyAlignment="1">
      <alignment horizontal="center"/>
    </xf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8" fillId="0" borderId="30" xfId="0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31" fillId="0" borderId="0" xfId="0" applyFont="1" applyBorder="1" applyAlignment="1">
      <alignment horizontal="center"/>
    </xf>
  </cellXfs>
  <cellStyles count="6">
    <cellStyle name="Comma" xfId="1" builtinId="3"/>
    <cellStyle name="Comma 5" xfId="2"/>
    <cellStyle name="Currency" xfId="3" builtinId="4"/>
    <cellStyle name="Currency 5" xfId="4"/>
    <cellStyle name="Normal" xfId="0" builtinId="0"/>
    <cellStyle name="Percent" xfId="5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x38656-h\shareddocs\Documents%20and%20Settings\Jason%20King\Desktop\TR%20Cash%20Flow%207-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unchdfaaz-my.sharepoint.com/BRable/Butcher/Shared%20Folder/INCA/Marana/Michael%20DePrimio/Omega/Verona/CFD%20Apps%20Verona/Latest%20and%20Greatest/VERONA%20APPLICATION%20TABLES%20-%2012_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unchdfaaz-my.sharepoint.com/Documents%20and%20Settings/ryan%20pettit/My%20Documents/Models/Bond%20Sizing%20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unchdfaaz-my.sharepoint.com/Documents%20and%20Settings/ryan%20pettit/Local%20Settings/Temporary%20Internet%20Files/OLKD8/Copy%20of%20Tortolita%20App%20Tables_10_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unity DB"/>
      <sheetName val="Cash Flow"/>
      <sheetName val="Summary"/>
      <sheetName val="BS-Sizing Summary"/>
      <sheetName val="BS-Sizing Comps"/>
      <sheetName val="BS-Sizing EDUs"/>
      <sheetName val="BS-Sizing Detail"/>
      <sheetName val="DevFeesLife"/>
      <sheetName val="DevFees"/>
      <sheetName val="RIMS - Narrative"/>
      <sheetName val="FI-Narrative"/>
      <sheetName val="FI-TaxGen"/>
      <sheetName val="FI-EconImpact"/>
      <sheetName val="Assumptions"/>
      <sheetName val="RE Taxes"/>
      <sheetName val="Bond Flow"/>
      <sheetName val="SA"/>
      <sheetName val="GO"/>
      <sheetName val="Land"/>
      <sheetName val="Private"/>
      <sheetName val="Residential"/>
      <sheetName val="Lots"/>
      <sheetName val="Homes"/>
      <sheetName val="Commercial"/>
      <sheetName val="Comm"/>
      <sheetName val="Infrastructure"/>
      <sheetName val="Bond Issue Summary"/>
      <sheetName val="Cash Flow Graph"/>
      <sheetName val="Source Use 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4">
          <cell r="D14">
            <v>6860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es Comps"/>
      <sheetName val="Exhibit Sheets"/>
      <sheetName val="Land Use"/>
      <sheetName val="Taxes"/>
      <sheetName val="Source Use"/>
      <sheetName val="AV"/>
      <sheetName val="Capacity"/>
      <sheetName val="O&amp;M"/>
      <sheetName val="Utilities"/>
      <sheetName val="Phase Sum"/>
      <sheetName val="Phasing"/>
      <sheetName val="Phase Det"/>
      <sheetName val="Total Costs 12 20"/>
      <sheetName val="Total Costs"/>
    </sheetNames>
    <sheetDataSet>
      <sheetData sheetId="0"/>
      <sheetData sheetId="1"/>
      <sheetData sheetId="2">
        <row r="5">
          <cell r="D5" t="str">
            <v>Verona Community Facilities District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Summary"/>
      <sheetName val="BS-Sizing Summary"/>
      <sheetName val="BS-Sizing Comps"/>
      <sheetName val="Bond Issue Summary"/>
      <sheetName val="Cash Flow Graph"/>
      <sheetName val="Assumptions"/>
      <sheetName val="Residential"/>
      <sheetName val="Lots"/>
      <sheetName val="Homes"/>
      <sheetName val="Comm"/>
      <sheetName val="Commercial"/>
      <sheetName val="Land"/>
      <sheetName val="Infrastructure"/>
      <sheetName val="RE Taxes"/>
      <sheetName val="SA"/>
      <sheetName val="GO"/>
      <sheetName val="Bond Flow"/>
      <sheetName val="Community 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2">
          <cell r="H5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e Binder Exhibits"/>
      <sheetName val="Taxes Comps"/>
      <sheetName val="Exhibit Sheets"/>
      <sheetName val="Land Use"/>
      <sheetName val="Taxes"/>
      <sheetName val="Source Use"/>
      <sheetName val="Capacity"/>
      <sheetName val="O&amp;M"/>
      <sheetName val="AV"/>
      <sheetName val="Utilities"/>
      <sheetName val="Phase Sum"/>
      <sheetName val="Consolidated Costs"/>
      <sheetName val="Phasing for APP"/>
      <sheetName val="Purchasers"/>
      <sheetName val="Source Use SUM"/>
      <sheetName val="Phasing"/>
      <sheetName val="Const - Est vs Elg"/>
      <sheetName val="Construction"/>
      <sheetName val="Flip Costs Phase 1 &amp; 2"/>
      <sheetName val="Consolidated Costs (2)"/>
      <sheetName val="AV (2)"/>
      <sheetName val="Phasing for APP (2)"/>
    </sheetNames>
    <sheetDataSet>
      <sheetData sheetId="0" refreshError="1"/>
      <sheetData sheetId="1"/>
      <sheetData sheetId="2"/>
      <sheetData sheetId="3">
        <row r="4">
          <cell r="D4" t="str">
            <v>Applicant</v>
          </cell>
        </row>
        <row r="5">
          <cell r="D5" t="str">
            <v>The Villages of Tortolita Community Facilities District</v>
          </cell>
        </row>
      </sheetData>
      <sheetData sheetId="4"/>
      <sheetData sheetId="5" refreshError="1"/>
      <sheetData sheetId="6"/>
      <sheetData sheetId="7"/>
      <sheetData sheetId="8">
        <row r="10">
          <cell r="E10">
            <v>0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indexed="50"/>
    <pageSetUpPr fitToPage="1"/>
  </sheetPr>
  <dimension ref="A1:Y87"/>
  <sheetViews>
    <sheetView showGridLines="0" tabSelected="1" topLeftCell="A10" zoomScale="85" zoomScaleNormal="85" zoomScaleSheetLayoutView="70" workbookViewId="0">
      <selection activeCell="K18" sqref="K18"/>
    </sheetView>
  </sheetViews>
  <sheetFormatPr defaultRowHeight="13.2" x14ac:dyDescent="0.25"/>
  <cols>
    <col min="2" max="2" width="3.6640625" customWidth="1"/>
    <col min="3" max="3" width="7.33203125" customWidth="1"/>
    <col min="4" max="4" width="34.6640625" customWidth="1"/>
    <col min="5" max="14" width="17.33203125" customWidth="1"/>
    <col min="15" max="15" width="19.5546875" customWidth="1"/>
    <col min="16" max="16" width="17.33203125" bestFit="1" customWidth="1"/>
    <col min="17" max="17" width="16.44140625" customWidth="1"/>
    <col min="18" max="19" width="16.109375" bestFit="1" customWidth="1"/>
    <col min="20" max="20" width="17.5546875" bestFit="1" customWidth="1"/>
    <col min="21" max="21" width="14.6640625" customWidth="1"/>
    <col min="22" max="22" width="17.44140625" bestFit="1" customWidth="1"/>
    <col min="23" max="23" width="14.33203125" customWidth="1"/>
    <col min="24" max="24" width="12.88671875" bestFit="1" customWidth="1"/>
    <col min="25" max="25" width="4.33203125" customWidth="1"/>
    <col min="26" max="26" width="18.33203125" bestFit="1" customWidth="1"/>
  </cols>
  <sheetData>
    <row r="1" spans="3:23" s="62" customFormat="1" ht="3.45" customHeight="1" x14ac:dyDescent="0.5">
      <c r="C1" s="61"/>
      <c r="D1" s="61"/>
      <c r="E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3:23" s="64" customFormat="1" ht="22.8" x14ac:dyDescent="0.4">
      <c r="C2" s="63"/>
      <c r="D2" s="263" t="s">
        <v>104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3:23" s="64" customFormat="1" ht="22.8" x14ac:dyDescent="0.4">
      <c r="C3" s="63"/>
      <c r="D3" s="263" t="s">
        <v>38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</row>
    <row r="4" spans="3:23" s="64" customFormat="1" ht="22.8" x14ac:dyDescent="0.4">
      <c r="C4" s="63"/>
      <c r="D4" s="263" t="s">
        <v>39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3:23" ht="28.5" customHeight="1" x14ac:dyDescent="0.3">
      <c r="C5" s="39"/>
      <c r="D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3:23" ht="15.6" x14ac:dyDescent="0.3">
      <c r="C6" s="39"/>
      <c r="D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3:23" ht="15.6" x14ac:dyDescent="0.3">
      <c r="C7" s="35"/>
      <c r="D7" s="35"/>
      <c r="E7" s="30" t="s">
        <v>9</v>
      </c>
      <c r="F7" s="30">
        <f>AV!E7</f>
        <v>2020</v>
      </c>
      <c r="G7" s="30">
        <f>AV!F7</f>
        <v>2021</v>
      </c>
      <c r="H7" s="30">
        <f>AV!G7</f>
        <v>2022</v>
      </c>
      <c r="I7" s="30">
        <f>AV!H7</f>
        <v>2023</v>
      </c>
      <c r="J7" s="30">
        <f>AV!I7</f>
        <v>2024</v>
      </c>
      <c r="K7" s="30">
        <f>AV!J7</f>
        <v>2025</v>
      </c>
      <c r="L7" s="30">
        <f>AV!K7</f>
        <v>2026</v>
      </c>
      <c r="M7" s="30">
        <f>AV!L7</f>
        <v>2027</v>
      </c>
      <c r="N7" s="30">
        <f>AV!M7</f>
        <v>2028</v>
      </c>
      <c r="O7" s="30">
        <f>AV!N7</f>
        <v>2029</v>
      </c>
      <c r="P7" s="30">
        <f>AV!O7</f>
        <v>2030</v>
      </c>
      <c r="Q7" s="30">
        <f>AV!P7</f>
        <v>2031</v>
      </c>
      <c r="R7" s="30">
        <f>AV!Q7</f>
        <v>2032</v>
      </c>
      <c r="S7" s="30">
        <f>AV!R7</f>
        <v>2033</v>
      </c>
      <c r="T7" s="30">
        <f>AV!S7</f>
        <v>2034</v>
      </c>
      <c r="U7" s="30">
        <f>AV!T7</f>
        <v>2035</v>
      </c>
      <c r="V7" s="30">
        <f>AV!U7</f>
        <v>2036</v>
      </c>
      <c r="W7" s="30"/>
    </row>
    <row r="8" spans="3:23" ht="3.9" customHeight="1" x14ac:dyDescent="0.45">
      <c r="C8" s="39"/>
      <c r="D8" s="39"/>
      <c r="E8" s="82" t="s">
        <v>16</v>
      </c>
      <c r="F8" s="82" t="s">
        <v>16</v>
      </c>
      <c r="G8" s="82" t="s">
        <v>16</v>
      </c>
      <c r="H8" s="82" t="s">
        <v>16</v>
      </c>
      <c r="I8" s="82" t="s">
        <v>16</v>
      </c>
      <c r="J8" s="82" t="s">
        <v>16</v>
      </c>
      <c r="K8" s="82" t="s">
        <v>16</v>
      </c>
      <c r="L8" s="82" t="s">
        <v>16</v>
      </c>
      <c r="M8" s="82" t="s">
        <v>16</v>
      </c>
      <c r="N8" s="82" t="s">
        <v>16</v>
      </c>
      <c r="O8" s="82" t="s">
        <v>16</v>
      </c>
      <c r="P8" s="82" t="s">
        <v>16</v>
      </c>
      <c r="Q8" s="82" t="s">
        <v>16</v>
      </c>
      <c r="R8" s="82" t="s">
        <v>16</v>
      </c>
      <c r="S8" s="82" t="s">
        <v>16</v>
      </c>
      <c r="T8" s="82" t="s">
        <v>16</v>
      </c>
      <c r="U8" s="82" t="s">
        <v>16</v>
      </c>
      <c r="V8" s="82" t="s">
        <v>16</v>
      </c>
      <c r="W8" s="82"/>
    </row>
    <row r="9" spans="3:23" ht="16.2" x14ac:dyDescent="0.35">
      <c r="C9" s="39"/>
      <c r="D9" s="65" t="s">
        <v>40</v>
      </c>
      <c r="E9" s="67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 spans="3:23" s="70" customFormat="1" ht="15.6" x14ac:dyDescent="0.3">
      <c r="C10" s="69"/>
      <c r="D10" s="25" t="s">
        <v>51</v>
      </c>
      <c r="E10" s="86">
        <f>SUM(F10:V10)</f>
        <v>28209554.480038293</v>
      </c>
      <c r="F10" s="86">
        <f t="shared" ref="F10:O10" si="0">F18-SUM(F11:F12)</f>
        <v>19405022.467087556</v>
      </c>
      <c r="G10" s="86">
        <f t="shared" si="0"/>
        <v>-255962.69029736111</v>
      </c>
      <c r="H10" s="86">
        <f t="shared" si="0"/>
        <v>953001.72101535066</v>
      </c>
      <c r="I10" s="86">
        <f t="shared" si="0"/>
        <v>-258688.65600880049</v>
      </c>
      <c r="J10" s="86">
        <f t="shared" si="0"/>
        <v>2296574.6650460977</v>
      </c>
      <c r="K10" s="86">
        <f t="shared" si="0"/>
        <v>1554908.2782618036</v>
      </c>
      <c r="L10" s="86">
        <f t="shared" si="0"/>
        <v>604352.37793996907</v>
      </c>
      <c r="M10" s="86">
        <f t="shared" si="0"/>
        <v>2938316.1744861635</v>
      </c>
      <c r="N10" s="86">
        <f t="shared" si="0"/>
        <v>1379315.9143584869</v>
      </c>
      <c r="O10" s="86">
        <f t="shared" si="0"/>
        <v>-324088.54475724255</v>
      </c>
      <c r="P10" s="86">
        <f t="shared" ref="P10:U10" si="1">P18-SUM(P11:P12)</f>
        <v>-83197.227093721667</v>
      </c>
      <c r="Q10" s="86">
        <f t="shared" si="1"/>
        <v>0</v>
      </c>
      <c r="R10" s="86">
        <f t="shared" si="1"/>
        <v>0</v>
      </c>
      <c r="S10" s="86">
        <f t="shared" si="1"/>
        <v>0</v>
      </c>
      <c r="T10" s="86">
        <f t="shared" si="1"/>
        <v>0</v>
      </c>
      <c r="U10" s="86">
        <f t="shared" si="1"/>
        <v>0</v>
      </c>
      <c r="V10" s="86">
        <f>V18-SUM(V11:V12)</f>
        <v>0</v>
      </c>
      <c r="W10" s="86"/>
    </row>
    <row r="11" spans="3:23" ht="15.6" x14ac:dyDescent="0.3">
      <c r="C11" s="68"/>
      <c r="D11" s="25" t="s">
        <v>53</v>
      </c>
      <c r="E11" s="86">
        <f>SUM(F11:V11)</f>
        <v>4694300</v>
      </c>
      <c r="F11" s="81">
        <f t="shared" ref="F11:V11" si="2">$C$58*$F$34*H40</f>
        <v>2143050</v>
      </c>
      <c r="G11" s="81">
        <f t="shared" si="2"/>
        <v>0</v>
      </c>
      <c r="H11" s="81">
        <f t="shared" si="2"/>
        <v>0</v>
      </c>
      <c r="I11" s="81">
        <f t="shared" si="2"/>
        <v>1377675</v>
      </c>
      <c r="J11" s="81">
        <f t="shared" si="2"/>
        <v>0</v>
      </c>
      <c r="K11" s="81">
        <f t="shared" si="2"/>
        <v>1173575</v>
      </c>
      <c r="L11" s="81">
        <f t="shared" si="2"/>
        <v>0</v>
      </c>
      <c r="M11" s="81">
        <f t="shared" si="2"/>
        <v>0</v>
      </c>
      <c r="N11" s="81">
        <f t="shared" si="2"/>
        <v>0</v>
      </c>
      <c r="O11" s="81">
        <f t="shared" si="2"/>
        <v>0</v>
      </c>
      <c r="P11" s="81">
        <f t="shared" si="2"/>
        <v>0</v>
      </c>
      <c r="Q11" s="81">
        <f t="shared" si="2"/>
        <v>0</v>
      </c>
      <c r="R11" s="81">
        <f t="shared" si="2"/>
        <v>0</v>
      </c>
      <c r="S11" s="81">
        <f t="shared" si="2"/>
        <v>0</v>
      </c>
      <c r="T11" s="81">
        <f t="shared" si="2"/>
        <v>0</v>
      </c>
      <c r="U11" s="81">
        <f t="shared" si="2"/>
        <v>0</v>
      </c>
      <c r="V11" s="81">
        <f t="shared" si="2"/>
        <v>0</v>
      </c>
      <c r="W11" s="81"/>
    </row>
    <row r="12" spans="3:23" s="59" customFormat="1" ht="20.25" customHeight="1" x14ac:dyDescent="0.45">
      <c r="C12" s="71"/>
      <c r="D12" s="25" t="s">
        <v>52</v>
      </c>
      <c r="E12" s="82">
        <f>SUM(F12:V12)</f>
        <v>9687862.1304403935</v>
      </c>
      <c r="F12" s="82">
        <f>AV!E$84</f>
        <v>0</v>
      </c>
      <c r="G12" s="82">
        <f>AV!F$84</f>
        <v>463540.4344249132</v>
      </c>
      <c r="H12" s="82">
        <f>AV!G$84</f>
        <v>1328477.9137846495</v>
      </c>
      <c r="I12" s="82">
        <f>AV!H$84</f>
        <v>1469791.1123467996</v>
      </c>
      <c r="J12" s="82">
        <f>AV!I$84</f>
        <v>1187493.0177351807</v>
      </c>
      <c r="K12" s="82">
        <f>AV!J$84</f>
        <v>1338135.4867054187</v>
      </c>
      <c r="L12" s="82">
        <f>AV!K$84</f>
        <v>1488993.4527960243</v>
      </c>
      <c r="M12" s="82">
        <f>AV!L$84</f>
        <v>1248375.4869858231</v>
      </c>
      <c r="N12" s="82">
        <f>AV!M$84</f>
        <v>755769.4538106207</v>
      </c>
      <c r="O12" s="82">
        <f>AV!N$84</f>
        <v>324088.54475724255</v>
      </c>
      <c r="P12" s="82">
        <f>AV!O$84</f>
        <v>83197.227093721667</v>
      </c>
      <c r="Q12" s="82">
        <f>AV!P$84</f>
        <v>0</v>
      </c>
      <c r="R12" s="82">
        <f>AV!Q$84</f>
        <v>0</v>
      </c>
      <c r="S12" s="82">
        <f>AV!R$84</f>
        <v>0</v>
      </c>
      <c r="T12" s="82">
        <f>AV!S$84</f>
        <v>0</v>
      </c>
      <c r="U12" s="82">
        <f>AV!T$84</f>
        <v>0</v>
      </c>
      <c r="V12" s="82">
        <f>AV!U$84</f>
        <v>0</v>
      </c>
      <c r="W12" s="82"/>
    </row>
    <row r="13" spans="3:23" ht="17.399999999999999" x14ac:dyDescent="0.45">
      <c r="C13" s="73"/>
      <c r="D13" s="72" t="s">
        <v>41</v>
      </c>
      <c r="E13" s="83">
        <f>SUM(F13:V13)</f>
        <v>42591716.610478699</v>
      </c>
      <c r="F13" s="83">
        <f t="shared" ref="F13:O13" si="3">SUM(F10:F12)</f>
        <v>21548072.467087556</v>
      </c>
      <c r="G13" s="83">
        <f t="shared" si="3"/>
        <v>207577.74412755208</v>
      </c>
      <c r="H13" s="83">
        <f t="shared" si="3"/>
        <v>2281479.6348000001</v>
      </c>
      <c r="I13" s="83">
        <f t="shared" si="3"/>
        <v>2588777.4563379991</v>
      </c>
      <c r="J13" s="83">
        <f t="shared" si="3"/>
        <v>3484067.6827812782</v>
      </c>
      <c r="K13" s="83">
        <f t="shared" si="3"/>
        <v>4066618.7649672222</v>
      </c>
      <c r="L13" s="83">
        <f t="shared" si="3"/>
        <v>2093345.8307359933</v>
      </c>
      <c r="M13" s="83">
        <f t="shared" si="3"/>
        <v>4186691.6614719867</v>
      </c>
      <c r="N13" s="83">
        <f t="shared" si="3"/>
        <v>2135085.3681691075</v>
      </c>
      <c r="O13" s="83">
        <f t="shared" si="3"/>
        <v>0</v>
      </c>
      <c r="P13" s="83">
        <f t="shared" ref="P13:U13" si="4">SUM(P10:P12)</f>
        <v>0</v>
      </c>
      <c r="Q13" s="83">
        <f t="shared" si="4"/>
        <v>0</v>
      </c>
      <c r="R13" s="83">
        <f t="shared" si="4"/>
        <v>0</v>
      </c>
      <c r="S13" s="83">
        <f t="shared" si="4"/>
        <v>0</v>
      </c>
      <c r="T13" s="83">
        <f t="shared" si="4"/>
        <v>0</v>
      </c>
      <c r="U13" s="83">
        <f t="shared" si="4"/>
        <v>0</v>
      </c>
      <c r="V13" s="83">
        <f>SUM(V10:V12)</f>
        <v>0</v>
      </c>
      <c r="W13" s="83"/>
    </row>
    <row r="14" spans="3:23" ht="15.6" x14ac:dyDescent="0.3">
      <c r="C14" s="74"/>
      <c r="D14" s="38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</row>
    <row r="15" spans="3:23" ht="16.2" x14ac:dyDescent="0.35">
      <c r="C15" s="68"/>
      <c r="D15" s="65" t="s">
        <v>42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</row>
    <row r="16" spans="3:23" s="28" customFormat="1" ht="15.6" x14ac:dyDescent="0.3">
      <c r="C16" s="68"/>
      <c r="D16" s="25" t="s">
        <v>75</v>
      </c>
      <c r="E16" s="315">
        <f>SUM(F16:V16)</f>
        <v>31730298.936992504</v>
      </c>
      <c r="F16" s="86">
        <f t="shared" ref="F16:U16" si="5">H71</f>
        <v>21141033</v>
      </c>
      <c r="G16" s="86">
        <f t="shared" si="5"/>
        <v>0</v>
      </c>
      <c r="H16" s="86">
        <f t="shared" si="5"/>
        <v>2281479.6348000001</v>
      </c>
      <c r="I16" s="86">
        <f t="shared" si="5"/>
        <v>2327109.227496</v>
      </c>
      <c r="J16" s="86">
        <f t="shared" si="5"/>
        <v>2960731.22509728</v>
      </c>
      <c r="K16" s="86">
        <f t="shared" si="5"/>
        <v>3019945.8495992254</v>
      </c>
      <c r="L16" s="86">
        <f t="shared" si="5"/>
        <v>0</v>
      </c>
      <c r="M16" s="86">
        <f t="shared" si="5"/>
        <v>0</v>
      </c>
      <c r="N16" s="86">
        <f t="shared" si="5"/>
        <v>0</v>
      </c>
      <c r="O16" s="86">
        <f t="shared" si="5"/>
        <v>0</v>
      </c>
      <c r="P16" s="86">
        <f t="shared" si="5"/>
        <v>0</v>
      </c>
      <c r="Q16" s="86">
        <f t="shared" si="5"/>
        <v>0</v>
      </c>
      <c r="R16" s="86">
        <f t="shared" si="5"/>
        <v>0</v>
      </c>
      <c r="S16" s="86">
        <f t="shared" si="5"/>
        <v>0</v>
      </c>
      <c r="T16" s="86">
        <f t="shared" si="5"/>
        <v>0</v>
      </c>
      <c r="U16" s="86">
        <f t="shared" si="5"/>
        <v>0</v>
      </c>
      <c r="V16" s="86">
        <f>X71</f>
        <v>0</v>
      </c>
      <c r="W16" s="86"/>
    </row>
    <row r="17" spans="3:23" ht="15.6" x14ac:dyDescent="0.3">
      <c r="C17" s="71"/>
      <c r="D17" s="25" t="s">
        <v>76</v>
      </c>
      <c r="E17" s="87">
        <f>SUM(F17:V17)</f>
        <v>10861417.673486188</v>
      </c>
      <c r="F17" s="87">
        <f t="shared" ref="F17:U17" si="6">H44</f>
        <v>407039.46708755422</v>
      </c>
      <c r="G17" s="87">
        <f t="shared" si="6"/>
        <v>207577.74412755208</v>
      </c>
      <c r="H17" s="87">
        <f t="shared" si="6"/>
        <v>0</v>
      </c>
      <c r="I17" s="87">
        <f t="shared" si="6"/>
        <v>261668.22884199917</v>
      </c>
      <c r="J17" s="87">
        <f t="shared" si="6"/>
        <v>523336.45768399833</v>
      </c>
      <c r="K17" s="87">
        <f t="shared" si="6"/>
        <v>1046672.9153679967</v>
      </c>
      <c r="L17" s="87">
        <f t="shared" si="6"/>
        <v>2093345.8307359933</v>
      </c>
      <c r="M17" s="87">
        <f t="shared" si="6"/>
        <v>4186691.6614719867</v>
      </c>
      <c r="N17" s="87">
        <f t="shared" si="6"/>
        <v>2135085.3681691075</v>
      </c>
      <c r="O17" s="87">
        <f t="shared" si="6"/>
        <v>0</v>
      </c>
      <c r="P17" s="87">
        <f t="shared" si="6"/>
        <v>0</v>
      </c>
      <c r="Q17" s="87">
        <f t="shared" si="6"/>
        <v>0</v>
      </c>
      <c r="R17" s="87">
        <f t="shared" si="6"/>
        <v>0</v>
      </c>
      <c r="S17" s="87">
        <f t="shared" si="6"/>
        <v>0</v>
      </c>
      <c r="T17" s="87">
        <f t="shared" si="6"/>
        <v>0</v>
      </c>
      <c r="U17" s="87">
        <f t="shared" si="6"/>
        <v>0</v>
      </c>
      <c r="V17" s="87">
        <f>X44</f>
        <v>0</v>
      </c>
      <c r="W17" s="87"/>
    </row>
    <row r="18" spans="3:23" ht="17.399999999999999" x14ac:dyDescent="0.45">
      <c r="C18" s="73"/>
      <c r="D18" s="38" t="s">
        <v>43</v>
      </c>
      <c r="E18" s="88">
        <f>SUM(F18:V18)</f>
        <v>42591716.610478699</v>
      </c>
      <c r="F18" s="88">
        <f t="shared" ref="F18:O18" si="7">SUM(F16:F17)</f>
        <v>21548072.467087556</v>
      </c>
      <c r="G18" s="88">
        <f t="shared" si="7"/>
        <v>207577.74412755208</v>
      </c>
      <c r="H18" s="88">
        <f t="shared" si="7"/>
        <v>2281479.6348000001</v>
      </c>
      <c r="I18" s="88">
        <f t="shared" si="7"/>
        <v>2588777.4563379991</v>
      </c>
      <c r="J18" s="88">
        <f t="shared" si="7"/>
        <v>3484067.6827812782</v>
      </c>
      <c r="K18" s="88">
        <f t="shared" si="7"/>
        <v>4066618.7649672222</v>
      </c>
      <c r="L18" s="88">
        <f t="shared" si="7"/>
        <v>2093345.8307359933</v>
      </c>
      <c r="M18" s="88">
        <f t="shared" si="7"/>
        <v>4186691.6614719867</v>
      </c>
      <c r="N18" s="88">
        <f t="shared" si="7"/>
        <v>2135085.3681691075</v>
      </c>
      <c r="O18" s="88">
        <f t="shared" si="7"/>
        <v>0</v>
      </c>
      <c r="P18" s="88">
        <f t="shared" ref="P18:U18" si="8">SUM(P16:P17)</f>
        <v>0</v>
      </c>
      <c r="Q18" s="88">
        <f t="shared" si="8"/>
        <v>0</v>
      </c>
      <c r="R18" s="88">
        <f t="shared" si="8"/>
        <v>0</v>
      </c>
      <c r="S18" s="88">
        <f t="shared" si="8"/>
        <v>0</v>
      </c>
      <c r="T18" s="88">
        <f t="shared" si="8"/>
        <v>0</v>
      </c>
      <c r="U18" s="88">
        <f t="shared" si="8"/>
        <v>0</v>
      </c>
      <c r="V18" s="88">
        <f>SUM(V16:V17)</f>
        <v>0</v>
      </c>
      <c r="W18" s="88"/>
    </row>
    <row r="19" spans="3:23" ht="15.6" x14ac:dyDescent="0.3">
      <c r="C19" s="74"/>
      <c r="D19" s="38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</row>
    <row r="20" spans="3:23" s="76" customFormat="1" ht="19.5" customHeight="1" x14ac:dyDescent="0.45">
      <c r="C20" s="75"/>
      <c r="D20" s="38" t="s">
        <v>44</v>
      </c>
      <c r="E20" s="88">
        <f>ROUND(E13-E18,-1)</f>
        <v>0</v>
      </c>
      <c r="F20" s="88">
        <f t="shared" ref="F20:O20" si="9">ROUND(F13-F18,-1)</f>
        <v>0</v>
      </c>
      <c r="G20" s="88">
        <f t="shared" si="9"/>
        <v>0</v>
      </c>
      <c r="H20" s="88">
        <f t="shared" si="9"/>
        <v>0</v>
      </c>
      <c r="I20" s="88">
        <f t="shared" si="9"/>
        <v>0</v>
      </c>
      <c r="J20" s="88">
        <f t="shared" si="9"/>
        <v>0</v>
      </c>
      <c r="K20" s="88">
        <f t="shared" si="9"/>
        <v>0</v>
      </c>
      <c r="L20" s="88">
        <f t="shared" si="9"/>
        <v>0</v>
      </c>
      <c r="M20" s="88">
        <f t="shared" si="9"/>
        <v>0</v>
      </c>
      <c r="N20" s="88">
        <f t="shared" si="9"/>
        <v>0</v>
      </c>
      <c r="O20" s="88">
        <f t="shared" si="9"/>
        <v>0</v>
      </c>
      <c r="P20" s="88">
        <f t="shared" ref="P20:U20" si="10">ROUND(P13-P18,-1)</f>
        <v>0</v>
      </c>
      <c r="Q20" s="88">
        <f t="shared" si="10"/>
        <v>0</v>
      </c>
      <c r="R20" s="88">
        <f t="shared" si="10"/>
        <v>0</v>
      </c>
      <c r="S20" s="88">
        <f t="shared" si="10"/>
        <v>0</v>
      </c>
      <c r="T20" s="88">
        <f t="shared" si="10"/>
        <v>0</v>
      </c>
      <c r="U20" s="88">
        <f t="shared" si="10"/>
        <v>0</v>
      </c>
      <c r="V20" s="88">
        <f>ROUND(V13-V18,-1)</f>
        <v>0</v>
      </c>
      <c r="W20" s="88"/>
    </row>
    <row r="21" spans="3:23" ht="15.6" x14ac:dyDescent="0.3">
      <c r="C21" s="77"/>
      <c r="D21" s="77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3:23" ht="17.399999999999999" hidden="1" x14ac:dyDescent="0.45">
      <c r="C22" s="77"/>
      <c r="D22" s="77"/>
      <c r="F22" s="80">
        <f>(C22+F20)</f>
        <v>0</v>
      </c>
      <c r="G22" s="80">
        <f>(F22+G20)</f>
        <v>0</v>
      </c>
      <c r="H22" s="80">
        <f>(G22+H20)</f>
        <v>0</v>
      </c>
      <c r="I22" s="80">
        <f>(H22+I20)</f>
        <v>0</v>
      </c>
      <c r="J22" s="80"/>
      <c r="K22" s="80"/>
      <c r="L22" s="80"/>
      <c r="M22" s="80"/>
      <c r="N22" s="80"/>
      <c r="O22" s="80"/>
      <c r="P22" s="80">
        <f>(E20)</f>
        <v>0</v>
      </c>
    </row>
    <row r="23" spans="3:23" ht="15.6" x14ac:dyDescent="0.3">
      <c r="C23" s="90"/>
      <c r="D23" s="215" t="s">
        <v>199</v>
      </c>
      <c r="G23" s="77"/>
      <c r="H23" s="77"/>
      <c r="I23" s="77"/>
      <c r="J23" s="77"/>
      <c r="K23" s="77"/>
      <c r="L23" s="77"/>
      <c r="M23" s="142"/>
      <c r="N23" s="77"/>
      <c r="O23" s="77"/>
      <c r="P23" s="77"/>
    </row>
    <row r="24" spans="3:23" ht="11.85" customHeight="1" x14ac:dyDescent="0.3">
      <c r="D24" s="214" t="s">
        <v>11</v>
      </c>
      <c r="G24" s="39"/>
      <c r="H24" s="68"/>
      <c r="I24" s="68"/>
      <c r="J24" s="68"/>
      <c r="K24" s="68"/>
      <c r="L24" s="68"/>
      <c r="M24" s="68"/>
      <c r="N24" s="68"/>
      <c r="O24" s="68"/>
      <c r="P24" s="68"/>
    </row>
    <row r="25" spans="3:23" ht="15.6" x14ac:dyDescent="0.3">
      <c r="C25" s="216">
        <v>1</v>
      </c>
      <c r="D25" s="78" t="s">
        <v>57</v>
      </c>
      <c r="G25" s="78"/>
      <c r="H25" s="68"/>
      <c r="I25" s="68"/>
      <c r="J25" s="68"/>
      <c r="K25" s="68"/>
      <c r="L25" s="68"/>
      <c r="M25" s="68"/>
      <c r="N25" s="68"/>
      <c r="O25" s="68"/>
      <c r="P25" s="68"/>
    </row>
    <row r="26" spans="3:23" x14ac:dyDescent="0.25">
      <c r="C26" s="216">
        <v>2</v>
      </c>
      <c r="D26" s="78" t="str">
        <f>"Represent the net construction proceeds assuming an average "&amp;TEXT($F$34,"$0,0")&amp;" special assessment lien per lot."</f>
        <v>Represent the net construction proceeds assuming an average $6,500 special assessment lien per lot.</v>
      </c>
      <c r="G26" s="78"/>
    </row>
    <row r="27" spans="3:23" x14ac:dyDescent="0.25">
      <c r="C27" s="217"/>
      <c r="D27" s="78" t="s">
        <v>45</v>
      </c>
      <c r="G27" s="78"/>
    </row>
    <row r="28" spans="3:23" x14ac:dyDescent="0.25">
      <c r="C28" s="216">
        <v>3</v>
      </c>
      <c r="D28" s="78" t="s">
        <v>58</v>
      </c>
      <c r="G28" s="78"/>
    </row>
    <row r="29" spans="3:23" x14ac:dyDescent="0.25">
      <c r="C29" s="217"/>
      <c r="D29" s="78" t="s">
        <v>46</v>
      </c>
      <c r="G29" s="78"/>
    </row>
    <row r="30" spans="3:23" x14ac:dyDescent="0.25">
      <c r="C30" s="217"/>
      <c r="D30" s="78" t="s">
        <v>47</v>
      </c>
      <c r="G30" s="78"/>
    </row>
    <row r="31" spans="3:23" x14ac:dyDescent="0.25">
      <c r="C31" s="218">
        <v>4</v>
      </c>
      <c r="D31" s="212" t="s">
        <v>194</v>
      </c>
      <c r="G31" s="212"/>
    </row>
    <row r="32" spans="3:23" ht="9" customHeight="1" x14ac:dyDescent="0.3">
      <c r="C32" s="131"/>
      <c r="D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</row>
    <row r="33" spans="1:24" ht="18" thickBot="1" x14ac:dyDescent="0.35">
      <c r="A33" s="236"/>
      <c r="B33" s="236"/>
      <c r="C33" s="236"/>
      <c r="D33" s="316"/>
      <c r="E33" s="316"/>
      <c r="F33" s="316"/>
      <c r="G33" s="23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236"/>
    </row>
    <row r="34" spans="1:24" ht="15.6" x14ac:dyDescent="0.3">
      <c r="A34" s="39"/>
      <c r="B34" s="39"/>
      <c r="C34" s="39"/>
      <c r="D34" s="39" t="s">
        <v>54</v>
      </c>
      <c r="E34" s="39"/>
      <c r="F34" s="255">
        <v>6500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spans="1:24" ht="15.6" x14ac:dyDescent="0.3">
      <c r="A35" s="39"/>
      <c r="B35" s="39"/>
      <c r="C35" s="39"/>
      <c r="D35" s="39" t="s">
        <v>55</v>
      </c>
      <c r="E35" s="39"/>
      <c r="F35" s="256">
        <v>5.5E-2</v>
      </c>
      <c r="G35" s="4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24" ht="15.6" x14ac:dyDescent="0.3">
      <c r="A36" s="39"/>
      <c r="B36" s="39"/>
      <c r="C36" s="39"/>
      <c r="D36" s="39" t="s">
        <v>253</v>
      </c>
      <c r="E36" s="39"/>
      <c r="F36" s="325">
        <v>1</v>
      </c>
      <c r="G36" s="4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spans="1:24" ht="15.6" x14ac:dyDescent="0.3">
      <c r="A37" s="39"/>
      <c r="B37" s="39"/>
      <c r="C37" s="39"/>
      <c r="D37" s="39" t="s">
        <v>56</v>
      </c>
      <c r="E37" s="39"/>
      <c r="F37" s="257">
        <v>25</v>
      </c>
      <c r="G37" s="30"/>
      <c r="H37" s="24">
        <f>F7</f>
        <v>2020</v>
      </c>
      <c r="I37" s="24">
        <f t="shared" ref="I37:W37" si="11">H37+1</f>
        <v>2021</v>
      </c>
      <c r="J37" s="24">
        <f t="shared" si="11"/>
        <v>2022</v>
      </c>
      <c r="K37" s="24">
        <f t="shared" si="11"/>
        <v>2023</v>
      </c>
      <c r="L37" s="24">
        <f t="shared" si="11"/>
        <v>2024</v>
      </c>
      <c r="M37" s="24">
        <f t="shared" si="11"/>
        <v>2025</v>
      </c>
      <c r="N37" s="24">
        <f t="shared" si="11"/>
        <v>2026</v>
      </c>
      <c r="O37" s="24">
        <f t="shared" si="11"/>
        <v>2027</v>
      </c>
      <c r="P37" s="24">
        <f t="shared" si="11"/>
        <v>2028</v>
      </c>
      <c r="Q37" s="24">
        <f t="shared" si="11"/>
        <v>2029</v>
      </c>
      <c r="R37" s="24">
        <f t="shared" si="11"/>
        <v>2030</v>
      </c>
      <c r="S37" s="24">
        <f t="shared" si="11"/>
        <v>2031</v>
      </c>
      <c r="T37" s="24">
        <f t="shared" si="11"/>
        <v>2032</v>
      </c>
      <c r="U37" s="24">
        <f t="shared" si="11"/>
        <v>2033</v>
      </c>
      <c r="V37" s="24">
        <f t="shared" si="11"/>
        <v>2034</v>
      </c>
      <c r="W37" s="24">
        <f t="shared" si="11"/>
        <v>2035</v>
      </c>
      <c r="X37" s="24">
        <f>W37+1</f>
        <v>2036</v>
      </c>
    </row>
    <row r="38" spans="1:24" ht="15.6" x14ac:dyDescent="0.3">
      <c r="A38" s="39"/>
      <c r="B38" s="39"/>
      <c r="C38" s="39"/>
      <c r="D38" s="324" t="s">
        <v>255</v>
      </c>
      <c r="E38" s="39"/>
      <c r="F38" s="40">
        <v>0</v>
      </c>
      <c r="G38" s="323"/>
      <c r="H38" s="350"/>
      <c r="I38" s="350">
        <v>420</v>
      </c>
      <c r="J38" s="350">
        <v>0</v>
      </c>
      <c r="K38" s="350"/>
      <c r="L38" s="350">
        <v>0</v>
      </c>
      <c r="M38" s="350">
        <v>230</v>
      </c>
      <c r="N38" s="350">
        <v>0</v>
      </c>
      <c r="O38" s="350">
        <v>0</v>
      </c>
      <c r="P38" s="350">
        <v>270</v>
      </c>
      <c r="Q38" s="350">
        <f>AV!N34</f>
        <v>0</v>
      </c>
      <c r="R38" s="350">
        <f>AV!O34</f>
        <v>0</v>
      </c>
      <c r="S38" s="350">
        <f>AV!P34</f>
        <v>0</v>
      </c>
      <c r="T38" s="350">
        <f>AV!Q34</f>
        <v>0</v>
      </c>
      <c r="U38" s="350">
        <f>AV!R34</f>
        <v>0</v>
      </c>
      <c r="V38" s="350">
        <f>AV!S34</f>
        <v>0</v>
      </c>
      <c r="W38" s="350">
        <f>AV!T34</f>
        <v>0</v>
      </c>
      <c r="X38" s="350">
        <f>AV!U34</f>
        <v>0</v>
      </c>
    </row>
    <row r="39" spans="1:24" s="59" customFormat="1" ht="15.6" x14ac:dyDescent="0.3">
      <c r="A39" s="39"/>
      <c r="B39" s="39"/>
      <c r="C39" s="39"/>
      <c r="D39" s="39" t="s">
        <v>49</v>
      </c>
      <c r="E39" s="39"/>
      <c r="F39" s="118">
        <v>0</v>
      </c>
      <c r="G39" s="40"/>
      <c r="H39" s="321">
        <f>F$39+H$38</f>
        <v>0</v>
      </c>
      <c r="I39" s="321">
        <f t="shared" ref="I39:W39" si="12">H$39+I$38</f>
        <v>420</v>
      </c>
      <c r="J39" s="321">
        <f t="shared" si="12"/>
        <v>420</v>
      </c>
      <c r="K39" s="321">
        <f t="shared" si="12"/>
        <v>420</v>
      </c>
      <c r="L39" s="321">
        <f t="shared" si="12"/>
        <v>420</v>
      </c>
      <c r="M39" s="321">
        <f t="shared" si="12"/>
        <v>650</v>
      </c>
      <c r="N39" s="321">
        <f t="shared" si="12"/>
        <v>650</v>
      </c>
      <c r="O39" s="321">
        <f t="shared" si="12"/>
        <v>650</v>
      </c>
      <c r="P39" s="321">
        <f t="shared" si="12"/>
        <v>920</v>
      </c>
      <c r="Q39" s="321">
        <f t="shared" si="12"/>
        <v>920</v>
      </c>
      <c r="R39" s="321">
        <f t="shared" si="12"/>
        <v>920</v>
      </c>
      <c r="S39" s="321">
        <f t="shared" si="12"/>
        <v>920</v>
      </c>
      <c r="T39" s="321">
        <f t="shared" si="12"/>
        <v>920</v>
      </c>
      <c r="U39" s="321">
        <f t="shared" si="12"/>
        <v>920</v>
      </c>
      <c r="V39" s="321">
        <f t="shared" si="12"/>
        <v>920</v>
      </c>
      <c r="W39" s="321">
        <f t="shared" si="12"/>
        <v>920</v>
      </c>
      <c r="X39" s="321">
        <f>W$39+X$38</f>
        <v>920</v>
      </c>
    </row>
    <row r="40" spans="1:24" ht="15.6" x14ac:dyDescent="0.3">
      <c r="A40" s="39"/>
      <c r="B40" s="39"/>
      <c r="C40" s="39"/>
      <c r="D40" s="324" t="s">
        <v>48</v>
      </c>
      <c r="E40" s="39"/>
      <c r="F40" s="44">
        <v>0</v>
      </c>
      <c r="G40" s="323"/>
      <c r="H40" s="350">
        <v>420</v>
      </c>
      <c r="I40" s="350">
        <v>0</v>
      </c>
      <c r="J40" s="350">
        <v>0</v>
      </c>
      <c r="K40" s="350">
        <v>270</v>
      </c>
      <c r="L40" s="350">
        <v>0</v>
      </c>
      <c r="M40" s="350">
        <v>230</v>
      </c>
      <c r="N40" s="350">
        <v>0</v>
      </c>
      <c r="O40" s="350">
        <v>0</v>
      </c>
      <c r="P40" s="350">
        <v>0</v>
      </c>
      <c r="Q40" s="350">
        <v>0</v>
      </c>
      <c r="R40" s="350">
        <v>0</v>
      </c>
      <c r="S40" s="350">
        <v>0</v>
      </c>
      <c r="T40" s="350">
        <v>0</v>
      </c>
      <c r="U40" s="350">
        <v>0</v>
      </c>
      <c r="V40" s="350">
        <v>0</v>
      </c>
      <c r="W40" s="350">
        <v>0</v>
      </c>
      <c r="X40" s="350">
        <v>0</v>
      </c>
    </row>
    <row r="41" spans="1:24" ht="15.6" x14ac:dyDescent="0.3">
      <c r="A41" s="39"/>
      <c r="B41" s="39"/>
      <c r="C41" s="39"/>
      <c r="D41" s="39" t="s">
        <v>157</v>
      </c>
      <c r="E41" s="39"/>
      <c r="F41" s="40">
        <f>F40</f>
        <v>0</v>
      </c>
      <c r="G41" s="39"/>
      <c r="H41" s="321">
        <f>F41+H40</f>
        <v>420</v>
      </c>
      <c r="I41" s="321">
        <f t="shared" ref="I41:X41" si="13">H41+I40</f>
        <v>420</v>
      </c>
      <c r="J41" s="321">
        <f t="shared" si="13"/>
        <v>420</v>
      </c>
      <c r="K41" s="321">
        <f t="shared" si="13"/>
        <v>690</v>
      </c>
      <c r="L41" s="321">
        <f t="shared" si="13"/>
        <v>690</v>
      </c>
      <c r="M41" s="321">
        <f t="shared" si="13"/>
        <v>920</v>
      </c>
      <c r="N41" s="321">
        <f t="shared" si="13"/>
        <v>920</v>
      </c>
      <c r="O41" s="321">
        <f t="shared" si="13"/>
        <v>920</v>
      </c>
      <c r="P41" s="321">
        <f t="shared" si="13"/>
        <v>920</v>
      </c>
      <c r="Q41" s="321">
        <f t="shared" si="13"/>
        <v>920</v>
      </c>
      <c r="R41" s="321">
        <f t="shared" si="13"/>
        <v>920</v>
      </c>
      <c r="S41" s="321">
        <f t="shared" si="13"/>
        <v>920</v>
      </c>
      <c r="T41" s="321">
        <f t="shared" si="13"/>
        <v>920</v>
      </c>
      <c r="U41" s="321">
        <f t="shared" si="13"/>
        <v>920</v>
      </c>
      <c r="V41" s="321">
        <f t="shared" si="13"/>
        <v>920</v>
      </c>
      <c r="W41" s="321">
        <f t="shared" si="13"/>
        <v>920</v>
      </c>
      <c r="X41" s="321">
        <f t="shared" si="13"/>
        <v>920</v>
      </c>
    </row>
    <row r="42" spans="1:24" ht="15.6" x14ac:dyDescent="0.3">
      <c r="A42" s="39"/>
      <c r="B42" s="39"/>
      <c r="C42" s="39"/>
      <c r="D42" s="39" t="s">
        <v>50</v>
      </c>
      <c r="E42" s="39"/>
      <c r="F42" s="40">
        <f>F40*$F$34</f>
        <v>0</v>
      </c>
      <c r="G42" s="39"/>
      <c r="H42" s="321">
        <f t="shared" ref="H42:W42" si="14">H40*$F$34</f>
        <v>2730000</v>
      </c>
      <c r="I42" s="321">
        <f t="shared" si="14"/>
        <v>0</v>
      </c>
      <c r="J42" s="321">
        <f t="shared" si="14"/>
        <v>0</v>
      </c>
      <c r="K42" s="321">
        <f t="shared" si="14"/>
        <v>1755000</v>
      </c>
      <c r="L42" s="321">
        <f t="shared" si="14"/>
        <v>0</v>
      </c>
      <c r="M42" s="321">
        <f t="shared" si="14"/>
        <v>1495000</v>
      </c>
      <c r="N42" s="321">
        <f t="shared" si="14"/>
        <v>0</v>
      </c>
      <c r="O42" s="321">
        <f t="shared" si="14"/>
        <v>0</v>
      </c>
      <c r="P42" s="321">
        <f t="shared" si="14"/>
        <v>0</v>
      </c>
      <c r="Q42" s="321">
        <f t="shared" si="14"/>
        <v>0</v>
      </c>
      <c r="R42" s="321">
        <f t="shared" si="14"/>
        <v>0</v>
      </c>
      <c r="S42" s="321">
        <f t="shared" si="14"/>
        <v>0</v>
      </c>
      <c r="T42" s="321">
        <f t="shared" si="14"/>
        <v>0</v>
      </c>
      <c r="U42" s="321">
        <f t="shared" si="14"/>
        <v>0</v>
      </c>
      <c r="V42" s="321">
        <f t="shared" si="14"/>
        <v>0</v>
      </c>
      <c r="W42" s="321">
        <f t="shared" si="14"/>
        <v>0</v>
      </c>
      <c r="X42" s="321">
        <f>X40*$F$34</f>
        <v>0</v>
      </c>
    </row>
    <row r="43" spans="1:24" ht="15.6" x14ac:dyDescent="0.3">
      <c r="A43" s="39"/>
      <c r="B43" s="39"/>
      <c r="C43" s="39"/>
      <c r="D43" s="39" t="s">
        <v>252</v>
      </c>
      <c r="E43" s="39"/>
      <c r="F43" s="40"/>
      <c r="G43" s="39"/>
      <c r="H43" s="321">
        <f>(IF(H41=0,0,IF(H39&gt;H41,0,IF(AND(H38&gt;0,H40&gt;0),SUM(G43,(H42-H42*(H38/H40))),IF(H38&gt;0,MAX($G$43:G43,SUM(G$42:$H42))-MAX($G$43:G43,SUM(G$42:$H42))*(H39/H41),SUM(G43,H42))))))+(IF(H41=0,0,IF(H39&gt;H41,0,IF(AND(H38&gt;0,H40&gt;0),SUM(G43,(H42-H42*(H38/H40))),IF(H38&gt;0,MAX($G$43:G43,SUM(G$42:$H42))-MAX($G$43:G43,SUM(G$42:$H42))*(H39/H41),SUM(G43,H42))))))</f>
        <v>5460000</v>
      </c>
      <c r="I43" s="321">
        <f>(IF(I41=0,0,IF(I39&gt;I41,0,IF(AND(I38&gt;0,I40&gt;0),SUM(H43,(I42-I42*(I38/I40))),IF(I38&gt;0,MAX($G$43:H43,SUM(H$42:$H42))-MAX($G$43:H43,SUM(H$42:$H42))*(I39/I41),SUM(H43,I42))))))+(IF(I41=0,0,IF(I39&gt;I41,0,IF(AND(I38&gt;0,I40&gt;0),SUM(H43,(I42-I42*(I38/I40))),IF(I38&gt;0,MAX($G$43:H43,SUM(H$42:$H42))-MAX($G$43:H43,SUM(H$42:$H42))*(I39/I41),SUM(H43,I42))))))</f>
        <v>0</v>
      </c>
      <c r="J43" s="321">
        <f>(IF(J41=0,0,IF(J39&gt;J41,0,IF(AND(J38&gt;0,J40&gt;0),SUM(I43,(J42-J42*(J38/J40))),IF(J38&gt;0,MAX($G$43:I43,SUM($H$42:I42))-MAX($G$43:I43,SUM($H$42:I42))*(J39/J41),SUM(I43,J42))))))+(IF(J41=0,0,IF(J39&gt;J41,0,IF(AND(J38&gt;0,J40&gt;0),SUM(I43,(J42-J42*(J38/J40))),IF(J38&gt;0,MAX($G$43:I43,SUM($H$42:I42))-MAX($G$43:I43,SUM($H$42:I42))*(J39/J41),SUM(I43,J42))))))</f>
        <v>0</v>
      </c>
      <c r="K43" s="321">
        <f>(IF(K41=0,0,IF(K39&gt;K41,0,IF(AND(K38&gt;0,K40&gt;0),SUM(J43,(K42-K42*(K38/K40))),IF(K38&gt;0,MAX($G$43:J43,SUM($H$42:J42))-MAX($G$43:J43,SUM($H$42:J42))*(K39/K41),SUM(J43,K42))))))+(IF(K41=0,0,IF(K39&gt;K41,0,IF(AND(K38&gt;0,K40&gt;0),SUM(J43,(K42-K42*(K38/K40))),IF(K38&gt;0,MAX($G$43:J43,SUM($H$42:J42))-MAX($G$43:J43,SUM($H$42:J42))*(K39/K41),SUM(J43,K42))))))</f>
        <v>3510000</v>
      </c>
      <c r="L43" s="321">
        <f>(IF(L41=0,0,IF(L39&gt;L41,0,IF(AND(L38&gt;0,L40&gt;0),SUM(K43,(L42-L42*(L38/L40))),IF(L38&gt;0,MAX($G$43:K43,SUM($H$42:K42))-MAX($G$43:K43,SUM($H$42:K42))*(L39/L41),SUM(K43,L42))))))+(IF(L41=0,0,IF(L39&gt;L41,0,IF(AND(L38&gt;0,L40&gt;0),SUM(K43,(L42-L42*(L38/L40))),IF(L38&gt;0,MAX($G$43:K43,SUM($H$42:K42))-MAX($G$43:K43,SUM($H$42:K42))*(L39/L41),SUM(K43,L42))))))</f>
        <v>7020000</v>
      </c>
      <c r="M43" s="321">
        <f>(IF(M41=0,0,IF(M39&gt;M41,0,IF(AND(M38&gt;0,M40&gt;0),SUM(L43,(M42-M42*(M38/M40))),IF(M38&gt;0,MAX($G$43:L43,SUM($H$42:L42))-MAX($G$43:L43,SUM($H$42:L42))*(M39/M41),SUM(L43,M42))))))+(IF(M41=0,0,IF(M39&gt;M41,0,IF(AND(M38&gt;0,M40&gt;0),SUM(L43,(M42-M42*(M38/M40))),IF(M38&gt;0,MAX($G$43:L43,SUM($H$42:L42))-MAX($G$43:L43,SUM($H$42:L42))*(M39/M41),SUM(L43,M42))))))</f>
        <v>14040000</v>
      </c>
      <c r="N43" s="321">
        <f>(IF(N41=0,0,IF(N39&gt;N41,0,IF(AND(N38&gt;0,N40&gt;0),SUM(M43,(N42-N42*(N38/N40))),IF(N38&gt;0,MAX($G$43:M43,SUM($H$42:M42))-MAX($G$43:M43,SUM($H$42:M42))*(N39/N41),SUM(M43,N42))))))+(IF(N41=0,0,IF(N39&gt;N41,0,IF(AND(N38&gt;0,N40&gt;0),SUM(M43,(N42-N42*(N38/N40))),IF(N38&gt;0,MAX($G$43:M43,SUM($H$42:M42))-MAX($G$43:M43,SUM($H$42:M42))*(N39/N41),SUM(M43,N42))))))</f>
        <v>28080000</v>
      </c>
      <c r="O43" s="321">
        <f>(IF(O41=0,0,IF(O39&gt;O41,0,IF(AND(O38&gt;0,O40&gt;0),SUM(N43,(O42-O42*(O38/O40))),IF(O38&gt;0,MAX($G$43:N43,SUM($H$42:N42))-MAX($G$43:N43,SUM($H$42:N42))*(O39/O41),SUM(N43,O42))))))+(IF(O41=0,0,IF(O39&gt;O41,0,IF(AND(O38&gt;0,O40&gt;0),SUM(N43,(O42-O42*(O38/O40))),IF(O38&gt;0,MAX($G$43:N43,SUM($H$42:N42))-MAX($G$43:N43,SUM($H$42:N42))*(O39/O41),SUM(N43,O42))))))</f>
        <v>56160000</v>
      </c>
      <c r="P43" s="321">
        <f>(IF(P41=0,0,IF(P39&gt;P41,0,IF(AND(P38&gt;0,P40&gt;0),SUM(O43,(P42-P42*(P38/P40))),IF(P38&gt;0,MAX($G$43:O43,SUM($H$42:O42))-MAX($G$43:O43,SUM($H$42:O42))*(P39/P41),SUM(O43,P42))))))+(IF(P41=0,0,IF(P39&gt;P41,0,IF(AND(P38&gt;0,P40&gt;0),SUM(O43,(P42-P42*(P38/P40))),IF(P38&gt;0,MAX($G$43:O43,SUM($H$42:O42))-MAX($G$43:O43,SUM($H$42:O42))*(P39/P41),SUM(O43,P42))))))</f>
        <v>0</v>
      </c>
      <c r="Q43" s="321">
        <f>(IF(Q41=0,0,IF(Q39&gt;Q41,0,IF(AND(Q38&gt;0,Q40&gt;0),SUM(P43,(Q42-Q42*(Q38/Q40))),IF(Q38&gt;0,MAX($G$43:P43,SUM($H$42:P42))-MAX($G$43:P43,SUM($H$42:P42))*(Q39/Q41),SUM(P43,Q42))))))+(IF(Q41=0,0,IF(Q39&gt;Q41,0,IF(AND(Q38&gt;0,Q40&gt;0),SUM(P43,(Q42-Q42*(Q38/Q40))),IF(Q38&gt;0,MAX($G$43:P43,SUM($H$42:P42))-MAX($G$43:P43,SUM($H$42:P42))*(Q39/Q41),SUM(P43,Q42))))))</f>
        <v>0</v>
      </c>
      <c r="R43" s="321">
        <f>(IF(R41=0,0,IF(R39&gt;R41,0,IF(AND(R38&gt;0,R40&gt;0),SUM(Q43,(R42-R42*(R38/R40))),IF(R38&gt;0,MAX($G$43:Q43,SUM($H$42:Q42))-MAX($G$43:Q43,SUM($H$42:Q42))*(R39/R41),SUM(Q43,R42))))))+(IF(R41=0,0,IF(R39&gt;R41,0,IF(AND(R38&gt;0,R40&gt;0),SUM(Q43,(R42-R42*(R38/R40))),IF(R38&gt;0,MAX($G$43:Q43,SUM($H$42:Q42))-MAX($G$43:Q43,SUM($H$42:Q42))*(R39/R41),SUM(Q43,R42))))))</f>
        <v>0</v>
      </c>
      <c r="S43" s="321">
        <f>(IF(S41=0,0,IF(S39&gt;S41,0,IF(AND(S38&gt;0,S40&gt;0),SUM(R43,(S42-S42*(S38/S40))),IF(S38&gt;0,MAX($G$43:R43,SUM($H$42:R42))-MAX($G$43:R43,SUM($H$42:R42))*(S39/S41),SUM(R43,S42))))))+(IF(S41=0,0,IF(S39&gt;S41,0,IF(AND(S38&gt;0,S40&gt;0),SUM(R43,(S42-S42*(S38/S40))),IF(S38&gt;0,MAX($G$43:R43,SUM($H$42:R42))-MAX($G$43:R43,SUM($H$42:R42))*(S39/S41),SUM(R43,S42))))))</f>
        <v>0</v>
      </c>
      <c r="T43" s="321">
        <f>(IF(T41=0,0,IF(T39&gt;T41,0,IF(AND(T38&gt;0,T40&gt;0),SUM(S43,(T42-T42*(T38/T40))),IF(T38&gt;0,MAX($G$43:S43,SUM($H$42:S42))-MAX($G$43:S43,SUM($H$42:S42))*(T39/T41),SUM(S43,T42))))))+(IF(T41=0,0,IF(T39&gt;T41,0,IF(AND(T38&gt;0,T40&gt;0),SUM(S43,(T42-T42*(T38/T40))),IF(T38&gt;0,MAX($G$43:S43,SUM($H$42:S42))-MAX($G$43:S43,SUM($H$42:S42))*(T39/T41),SUM(S43,T42))))))</f>
        <v>0</v>
      </c>
      <c r="U43" s="321">
        <f>(IF(U41=0,0,IF(U39&gt;U41,0,IF(AND(U38&gt;0,U40&gt;0),SUM(T43,(U42-U42*(U38/U40))),IF(U38&gt;0,MAX($G$43:T43,SUM($H$42:T42))-MAX($G$43:T43,SUM($H$42:T42))*(U39/U41),SUM(T43,U42))))))+(IF(U41=0,0,IF(U39&gt;U41,0,IF(AND(U38&gt;0,U40&gt;0),SUM(T43,(U42-U42*(U38/U40))),IF(U38&gt;0,MAX($G$43:T43,SUM($H$42:T42))-MAX($G$43:T43,SUM($H$42:T42))*(U39/U41),SUM(T43,U42))))))</f>
        <v>0</v>
      </c>
      <c r="V43" s="321">
        <f>(IF(V41=0,0,IF(V39&gt;V41,0,IF(AND(V38&gt;0,V40&gt;0),SUM(U43,(V42-V42*(V38/V40))),IF(V38&gt;0,MAX($G$43:U43,SUM($H$42:U42))-MAX($G$43:U43,SUM($H$42:U42))*(V39/V41),SUM(U43,V42))))))+(IF(V41=0,0,IF(V39&gt;V41,0,IF(AND(V38&gt;0,V40&gt;0),SUM(U43,(V42-V42*(V38/V40))),IF(V38&gt;0,MAX($G$43:U43,SUM($H$42:U42))-MAX($G$43:U43,SUM($H$42:U42))*(V39/V41),SUM(U43,V42))))))</f>
        <v>0</v>
      </c>
      <c r="W43" s="321">
        <f>(IF(W41=0,0,IF(W39&gt;W41,0,IF(AND(W38&gt;0,W40&gt;0),SUM(V43,(W42-W42*(W38/W40))),IF(W38&gt;0,MAX($G$43:V43,SUM($H$42:V42))-MAX($G$43:V43,SUM($H$42:V42))*(W39/W41),SUM(V43,W42))))))+(IF(W41=0,0,IF(W39&gt;W41,0,IF(AND(W38&gt;0,W40&gt;0),SUM(V43,(W42-W42*(W38/W40))),IF(W38&gt;0,MAX($G$43:V43,SUM($H$42:V42))-MAX($G$43:V43,SUM($H$42:V42))*(W39/W41),SUM(V43,W42))))))</f>
        <v>0</v>
      </c>
      <c r="X43" s="321">
        <f>(IF(X41=0,0,IF(X39&gt;X41,0,IF(AND(X38&gt;0,X40&gt;0),SUM(W43,(X42-X42*(X38/X40))),IF(X38&gt;0,MAX($G$43:W43,SUM($H$42:W42))-MAX($G$43:W43,SUM($H$42:W42))*(X39/X41),SUM(W43,X42))))))+(IF(X41=0,0,IF(X39&gt;X41,0,IF(AND(X38&gt;0,X40&gt;0),SUM(W43,(X42-X42*(X38/X40))),IF(X38&gt;0,MAX($G$43:W43,SUM($H$42:W42))-MAX($G$43:W43,SUM($H$42:W42))*(X39/X41),SUM(W43,X42))))))</f>
        <v>0</v>
      </c>
    </row>
    <row r="44" spans="1:24" ht="15.6" x14ac:dyDescent="0.3">
      <c r="A44" s="39"/>
      <c r="B44" s="39"/>
      <c r="C44" s="322"/>
      <c r="D44" s="39" t="s">
        <v>26</v>
      </c>
      <c r="E44" s="39"/>
      <c r="F44" s="40">
        <f>PMT($F$35,$F$37,-F42)</f>
        <v>0</v>
      </c>
      <c r="G44" s="39"/>
      <c r="H44" s="321">
        <f>IF(H43=0,PMT($F$35,$F$37,-G43)*50%,PMT($F$35,$F$37,-H43))</f>
        <v>407039.46708755422</v>
      </c>
      <c r="I44" s="321">
        <f>IF(I43=0,PMT($F$35,$F$37-$F$36,-H43)*50%,PMT($F$35,$F$37,-I43))</f>
        <v>207577.74412755208</v>
      </c>
      <c r="J44" s="321">
        <f t="shared" ref="J44:X44" si="15">IF(J43=0,PMT($F$35,$F$37-$F$36,-I43)*50%,PMT($F$35,$F$37,-J43))</f>
        <v>0</v>
      </c>
      <c r="K44" s="321">
        <f t="shared" si="15"/>
        <v>261668.22884199917</v>
      </c>
      <c r="L44" s="321">
        <f t="shared" si="15"/>
        <v>523336.45768399833</v>
      </c>
      <c r="M44" s="321">
        <f t="shared" si="15"/>
        <v>1046672.9153679967</v>
      </c>
      <c r="N44" s="321">
        <f t="shared" si="15"/>
        <v>2093345.8307359933</v>
      </c>
      <c r="O44" s="321">
        <f t="shared" si="15"/>
        <v>4186691.6614719867</v>
      </c>
      <c r="P44" s="321">
        <f t="shared" si="15"/>
        <v>2135085.3681691075</v>
      </c>
      <c r="Q44" s="321">
        <f t="shared" si="15"/>
        <v>0</v>
      </c>
      <c r="R44" s="321">
        <f t="shared" si="15"/>
        <v>0</v>
      </c>
      <c r="S44" s="321">
        <f t="shared" si="15"/>
        <v>0</v>
      </c>
      <c r="T44" s="321">
        <f t="shared" si="15"/>
        <v>0</v>
      </c>
      <c r="U44" s="321">
        <f t="shared" si="15"/>
        <v>0</v>
      </c>
      <c r="V44" s="321">
        <f t="shared" si="15"/>
        <v>0</v>
      </c>
      <c r="W44" s="321">
        <f t="shared" si="15"/>
        <v>0</v>
      </c>
      <c r="X44" s="321">
        <f t="shared" si="15"/>
        <v>0</v>
      </c>
    </row>
    <row r="45" spans="1:24" ht="15.6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1:24" ht="15.6" x14ac:dyDescent="0.3">
      <c r="A46" s="39"/>
      <c r="F46" s="40"/>
      <c r="G46" s="39"/>
      <c r="H46" s="40"/>
      <c r="I46" s="39"/>
      <c r="J46" s="39"/>
      <c r="K46" s="40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spans="1:24" ht="15.6" x14ac:dyDescent="0.3">
      <c r="A47" s="39"/>
      <c r="C47" s="38" t="s">
        <v>245</v>
      </c>
      <c r="D47" s="39"/>
      <c r="E47" s="39"/>
      <c r="F47" s="39"/>
      <c r="G47" s="39"/>
      <c r="H47" s="39"/>
      <c r="I47" s="39"/>
      <c r="J47" s="39"/>
      <c r="K47" s="40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spans="1:24" ht="15.6" x14ac:dyDescent="0.3">
      <c r="A48" s="39"/>
      <c r="B48" s="39"/>
      <c r="C48" s="317">
        <v>0.02</v>
      </c>
      <c r="D48" s="39" t="s">
        <v>246</v>
      </c>
      <c r="E48" s="39"/>
      <c r="F48" s="52"/>
      <c r="G48" s="39"/>
      <c r="H48" s="39"/>
      <c r="I48" s="39"/>
      <c r="J48" s="39"/>
      <c r="K48" s="40"/>
      <c r="L48" s="40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spans="1:24" ht="15.6" x14ac:dyDescent="0.3">
      <c r="A49" s="39"/>
      <c r="B49" s="39"/>
      <c r="C49" s="317">
        <v>0.04</v>
      </c>
      <c r="D49" s="39" t="s">
        <v>247</v>
      </c>
      <c r="F49" s="52"/>
      <c r="G49" s="39"/>
      <c r="H49" s="40"/>
      <c r="I49" s="40"/>
      <c r="J49" s="39"/>
      <c r="K49" s="40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spans="1:24" ht="15.6" x14ac:dyDescent="0.3">
      <c r="A50" s="39"/>
      <c r="B50" s="39"/>
      <c r="C50" s="317">
        <v>0</v>
      </c>
      <c r="D50" s="39" t="s">
        <v>251</v>
      </c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spans="1:24" ht="15.6" x14ac:dyDescent="0.3">
      <c r="A51" s="39"/>
      <c r="B51" s="39"/>
      <c r="C51" s="318">
        <v>0</v>
      </c>
      <c r="D51" s="319" t="s">
        <v>248</v>
      </c>
      <c r="E51" s="104"/>
      <c r="G51" s="39"/>
      <c r="H51" s="52"/>
      <c r="I51" s="52"/>
      <c r="J51" s="52"/>
      <c r="K51" s="52"/>
      <c r="L51" s="52"/>
      <c r="M51" s="52"/>
      <c r="N51" s="52"/>
      <c r="O51" s="52"/>
      <c r="P51" s="52"/>
      <c r="Q51" s="39"/>
      <c r="R51" s="39"/>
      <c r="S51" s="39"/>
      <c r="T51" s="39"/>
      <c r="U51" s="39"/>
      <c r="V51" s="39"/>
      <c r="W51" s="39"/>
      <c r="X51" s="39"/>
    </row>
    <row r="52" spans="1:24" s="131" customFormat="1" ht="17.399999999999999" x14ac:dyDescent="0.3">
      <c r="A52" s="39"/>
      <c r="B52" s="39"/>
      <c r="C52" s="51">
        <f>1-SUM(C48:C51)</f>
        <v>0.94</v>
      </c>
      <c r="D52" s="52" t="s">
        <v>249</v>
      </c>
      <c r="E52"/>
      <c r="G52" s="39"/>
      <c r="H52" s="39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9"/>
      <c r="X52" s="39"/>
    </row>
    <row r="53" spans="1:24" s="59" customFormat="1" ht="17.399999999999999" x14ac:dyDescent="0.3">
      <c r="A53" s="39"/>
      <c r="C53" s="38" t="s">
        <v>250</v>
      </c>
      <c r="D53" s="39"/>
      <c r="E53" s="131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spans="1:24" ht="15.6" x14ac:dyDescent="0.3">
      <c r="A54" s="39"/>
      <c r="B54" s="39"/>
      <c r="C54" s="317">
        <v>0.02</v>
      </c>
      <c r="D54" s="39" t="s">
        <v>246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spans="1:24" s="59" customFormat="1" ht="15.6" x14ac:dyDescent="0.3">
      <c r="A55" s="39"/>
      <c r="B55" s="39"/>
      <c r="C55" s="317">
        <v>0.04</v>
      </c>
      <c r="D55" s="39" t="s">
        <v>247</v>
      </c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spans="1:24" s="59" customFormat="1" ht="15.6" x14ac:dyDescent="0.3">
      <c r="A56" s="39"/>
      <c r="B56" s="39"/>
      <c r="C56" s="326">
        <f>F36*F35</f>
        <v>5.5E-2</v>
      </c>
      <c r="D56" s="39" t="s">
        <v>251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spans="1:24" s="59" customFormat="1" ht="15.6" x14ac:dyDescent="0.3">
      <c r="A57" s="39"/>
      <c r="B57" s="39"/>
      <c r="C57" s="318">
        <v>0.1</v>
      </c>
      <c r="D57" s="319" t="s">
        <v>248</v>
      </c>
      <c r="E57" s="320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spans="1:24" s="59" customFormat="1" ht="15.6" x14ac:dyDescent="0.3">
      <c r="A58" s="39"/>
      <c r="B58" s="39"/>
      <c r="C58" s="51">
        <f>1-SUM(C54:C57)</f>
        <v>0.78500000000000003</v>
      </c>
      <c r="D58" s="52" t="s">
        <v>249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spans="1:24" s="59" customFormat="1" ht="15.6" x14ac:dyDescent="0.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spans="1:24" ht="15.6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 ht="15.6" x14ac:dyDescent="0.3">
      <c r="A61" s="39"/>
      <c r="B61" s="1" t="s">
        <v>104</v>
      </c>
      <c r="C61" s="1"/>
      <c r="D61" s="1"/>
      <c r="E61" s="1"/>
      <c r="F61" s="2"/>
      <c r="G61" s="39"/>
      <c r="H61" s="2"/>
      <c r="I61" s="2"/>
      <c r="J61" s="2"/>
      <c r="K61" s="2"/>
      <c r="L61" s="2"/>
      <c r="M61" s="2"/>
      <c r="N61" s="2"/>
      <c r="O61" s="2"/>
      <c r="P61" s="2"/>
      <c r="Q61" s="39"/>
      <c r="R61" s="39"/>
      <c r="S61" s="39"/>
      <c r="T61" s="39"/>
      <c r="U61" s="39"/>
      <c r="V61" s="39"/>
      <c r="W61" s="39"/>
      <c r="X61" s="39"/>
    </row>
    <row r="62" spans="1:24" ht="16.2" thickBot="1" x14ac:dyDescent="0.35">
      <c r="A62" s="39"/>
      <c r="B62" s="3" t="s">
        <v>4</v>
      </c>
      <c r="C62" s="3"/>
      <c r="D62" s="3"/>
      <c r="E62" s="3"/>
      <c r="F62" s="4"/>
      <c r="G62" s="173"/>
      <c r="H62" s="4"/>
      <c r="I62" s="4"/>
      <c r="J62" s="4"/>
      <c r="K62" s="4"/>
      <c r="L62" s="4"/>
      <c r="M62" s="4"/>
      <c r="N62" s="4"/>
      <c r="O62" s="4"/>
      <c r="P62" s="4"/>
      <c r="Q62" s="173"/>
      <c r="R62" s="173"/>
      <c r="S62" s="173"/>
      <c r="T62" s="173"/>
      <c r="U62" s="173"/>
      <c r="V62" s="173"/>
      <c r="W62" s="173"/>
      <c r="X62" s="173"/>
    </row>
    <row r="63" spans="1:24" ht="16.2" thickTop="1" x14ac:dyDescent="0.3">
      <c r="A63" s="39"/>
      <c r="B63" s="15"/>
      <c r="C63" s="15"/>
      <c r="D63" s="15"/>
      <c r="E63" s="15"/>
      <c r="F63" s="16"/>
      <c r="G63" s="39"/>
      <c r="H63" s="16"/>
      <c r="I63" s="16"/>
      <c r="J63" s="16"/>
      <c r="K63" s="16"/>
      <c r="L63" s="16"/>
      <c r="M63" s="16"/>
      <c r="N63" s="16"/>
      <c r="O63" s="16"/>
      <c r="P63" s="5"/>
      <c r="Q63" s="39"/>
      <c r="R63" s="39"/>
      <c r="S63" s="39"/>
      <c r="T63" s="39"/>
      <c r="U63" s="39"/>
      <c r="V63" s="39"/>
      <c r="W63" s="39"/>
      <c r="X63" s="39"/>
    </row>
    <row r="64" spans="1:24" ht="15.6" x14ac:dyDescent="0.3">
      <c r="A64" s="39"/>
      <c r="B64" s="6"/>
      <c r="C64" s="6"/>
      <c r="D64" s="6"/>
      <c r="E64" s="6"/>
      <c r="F64" s="7" t="s">
        <v>259</v>
      </c>
      <c r="G64" s="39"/>
      <c r="H64" s="328">
        <v>0</v>
      </c>
      <c r="I64" s="328">
        <f>H64+1</f>
        <v>1</v>
      </c>
      <c r="J64" s="328">
        <f t="shared" ref="J64:X64" si="16">I64+1</f>
        <v>2</v>
      </c>
      <c r="K64" s="328">
        <f t="shared" si="16"/>
        <v>3</v>
      </c>
      <c r="L64" s="328">
        <f t="shared" si="16"/>
        <v>4</v>
      </c>
      <c r="M64" s="328">
        <f t="shared" si="16"/>
        <v>5</v>
      </c>
      <c r="N64" s="328">
        <f t="shared" si="16"/>
        <v>6</v>
      </c>
      <c r="O64" s="328">
        <f t="shared" si="16"/>
        <v>7</v>
      </c>
      <c r="P64" s="328">
        <f t="shared" si="16"/>
        <v>8</v>
      </c>
      <c r="Q64" s="328">
        <f t="shared" si="16"/>
        <v>9</v>
      </c>
      <c r="R64" s="328">
        <f t="shared" si="16"/>
        <v>10</v>
      </c>
      <c r="S64" s="328">
        <f t="shared" si="16"/>
        <v>11</v>
      </c>
      <c r="T64" s="328">
        <f t="shared" si="16"/>
        <v>12</v>
      </c>
      <c r="U64" s="328">
        <f t="shared" si="16"/>
        <v>13</v>
      </c>
      <c r="V64" s="328">
        <f t="shared" si="16"/>
        <v>14</v>
      </c>
      <c r="W64" s="328">
        <f t="shared" si="16"/>
        <v>15</v>
      </c>
      <c r="X64" s="328">
        <f t="shared" si="16"/>
        <v>16</v>
      </c>
    </row>
    <row r="65" spans="1:25" ht="19.2" x14ac:dyDescent="0.6">
      <c r="A65" s="39"/>
      <c r="B65" s="18" t="s">
        <v>0</v>
      </c>
      <c r="C65" s="18"/>
      <c r="D65" s="18" t="s">
        <v>1</v>
      </c>
      <c r="E65" s="18" t="s">
        <v>197</v>
      </c>
      <c r="F65" s="8" t="s">
        <v>7</v>
      </c>
      <c r="G65" s="260" t="s">
        <v>156</v>
      </c>
      <c r="H65" s="196">
        <f>H37</f>
        <v>2020</v>
      </c>
      <c r="I65" s="196">
        <f>H65+1</f>
        <v>2021</v>
      </c>
      <c r="J65" s="196">
        <f t="shared" ref="J65:O65" si="17">I65+1</f>
        <v>2022</v>
      </c>
      <c r="K65" s="196">
        <f t="shared" si="17"/>
        <v>2023</v>
      </c>
      <c r="L65" s="196">
        <f t="shared" si="17"/>
        <v>2024</v>
      </c>
      <c r="M65" s="196">
        <f t="shared" si="17"/>
        <v>2025</v>
      </c>
      <c r="N65" s="196">
        <f t="shared" si="17"/>
        <v>2026</v>
      </c>
      <c r="O65" s="196">
        <f t="shared" si="17"/>
        <v>2027</v>
      </c>
      <c r="P65" s="196">
        <f t="shared" ref="P65:U65" si="18">O65+1</f>
        <v>2028</v>
      </c>
      <c r="Q65" s="196">
        <f t="shared" si="18"/>
        <v>2029</v>
      </c>
      <c r="R65" s="196">
        <f t="shared" si="18"/>
        <v>2030</v>
      </c>
      <c r="S65" s="196">
        <f t="shared" si="18"/>
        <v>2031</v>
      </c>
      <c r="T65" s="196">
        <f t="shared" si="18"/>
        <v>2032</v>
      </c>
      <c r="U65" s="196">
        <f t="shared" si="18"/>
        <v>2033</v>
      </c>
      <c r="V65" s="196">
        <f>U65+1</f>
        <v>2034</v>
      </c>
      <c r="W65" s="196">
        <f>V65+1</f>
        <v>2035</v>
      </c>
      <c r="X65" s="196">
        <f>W65+1</f>
        <v>2036</v>
      </c>
    </row>
    <row r="66" spans="1:25" ht="15.6" x14ac:dyDescent="0.3">
      <c r="A66" s="39"/>
      <c r="B66" s="9" t="s">
        <v>237</v>
      </c>
      <c r="C66" s="9"/>
      <c r="D66" s="10"/>
      <c r="E66" s="11">
        <v>420</v>
      </c>
      <c r="F66" s="296">
        <v>21141033</v>
      </c>
      <c r="G66" s="36">
        <f>SUM(H66:Y66)</f>
        <v>21141033</v>
      </c>
      <c r="H66" s="298">
        <f>IF(AND($H80&lt;=H$65,$I80&gt;=H$65),$K80*(1+AV!$D$101)^'Source Use'!H$64,0)</f>
        <v>21141033</v>
      </c>
      <c r="I66" s="298">
        <f>IF(AND($H80&lt;=I$65,$I80&gt;=I$65),$K80*(1+AV!$D$101)^'Source Use'!I$64,0)</f>
        <v>0</v>
      </c>
      <c r="J66" s="298">
        <f>IF(AND($H80&lt;=J$65,$I80&gt;=J$65),$K80*(1+AV!$D$101)^'Source Use'!J$64,0)</f>
        <v>0</v>
      </c>
      <c r="K66" s="298">
        <f>IF(AND($H80&lt;=K$65,$I80&gt;=K$65),$K80*(1+AV!$D$101)^'Source Use'!K$64,0)</f>
        <v>0</v>
      </c>
      <c r="L66" s="298">
        <f>IF(AND($H80&lt;=L$65,$I80&gt;=L$65),$K80*(1+AV!$D$101)^'Source Use'!L$64,0)</f>
        <v>0</v>
      </c>
      <c r="M66" s="298">
        <f>IF(AND($H80&lt;=M$65,$I80&gt;=M$65),$K80*(1+AV!$D$101)^'Source Use'!M$64,0)</f>
        <v>0</v>
      </c>
      <c r="N66" s="298">
        <f>IF(AND($H80&lt;=N$65,$I80&gt;=N$65),$K80*(1+AV!$D$101)^'Source Use'!N$64,0)</f>
        <v>0</v>
      </c>
      <c r="O66" s="298">
        <f>IF(AND($H80&lt;=O$65,$I80&gt;=O$65),$K80*(1+AV!$D$101)^'Source Use'!O$64,0)</f>
        <v>0</v>
      </c>
      <c r="P66" s="298">
        <f>IF(AND($H80&lt;=P$65,$I80&gt;=P$65),$K80*(1+AV!$D$101)^'Source Use'!P$64,0)</f>
        <v>0</v>
      </c>
      <c r="Q66" s="298">
        <f>IF(AND($H80&lt;=Q$65,$I80&gt;=Q$65),$K80*(1+AV!$D$101)^'Source Use'!Q$64,0)</f>
        <v>0</v>
      </c>
      <c r="R66" s="298">
        <f>IF(AND($H80&lt;=R$65,$I80&gt;=R$65),$K80*(1+AV!$D$101)^'Source Use'!R$64,0)</f>
        <v>0</v>
      </c>
      <c r="S66" s="298">
        <f>IF(AND($H80&lt;=S$65,$I80&gt;=S$65),$K80*(1+AV!$D$101)^'Source Use'!S$64,0)</f>
        <v>0</v>
      </c>
      <c r="T66" s="298">
        <f>IF(AND($H80&lt;=T$65,$I80&gt;=T$65),$K80*(1+AV!$D$101)^'Source Use'!T$64,0)</f>
        <v>0</v>
      </c>
      <c r="U66" s="298">
        <f>IF(AND($H80&lt;=U$65,$I80&gt;=U$65),$K80*(1+AV!$D$101)^'Source Use'!U$64,0)</f>
        <v>0</v>
      </c>
      <c r="V66" s="298">
        <f>IF(AND($H80&lt;=V$65,$I80&gt;=V$65),$K80*(1+AV!$D$101)^'Source Use'!V$64,0)</f>
        <v>0</v>
      </c>
      <c r="W66" s="298">
        <f>IF(AND($H80&lt;=W$65,$I80&gt;=W$65),$K80*(1+AV!$D$101)^'Source Use'!W$64,0)</f>
        <v>0</v>
      </c>
      <c r="X66" s="298">
        <f>IF(AND($H80&lt;=X$65,$I80&gt;=X$65),$K80*(1+AV!$D$101)^'Source Use'!X$64,0)</f>
        <v>0</v>
      </c>
      <c r="Y66" s="291"/>
    </row>
    <row r="67" spans="1:25" ht="15.6" x14ac:dyDescent="0.3">
      <c r="A67" s="39"/>
      <c r="B67" s="9" t="s">
        <v>238</v>
      </c>
      <c r="C67" s="9"/>
      <c r="D67" s="10">
        <v>0</v>
      </c>
      <c r="E67" s="11">
        <v>270</v>
      </c>
      <c r="F67" s="296">
        <v>4385774</v>
      </c>
      <c r="G67" s="36">
        <f>SUM(H67:Y67)</f>
        <v>4608588.8622960001</v>
      </c>
      <c r="H67" s="298">
        <f>IF(AND($H81&lt;=H$65,$I81&gt;=H$65),$K81*(1+AV!$D$101)^'Source Use'!H$64,0)</f>
        <v>0</v>
      </c>
      <c r="I67" s="298">
        <f>IF(AND($H81&lt;=I$65,$I81&gt;=I$65),$K81*(1+AV!$D$101)^'Source Use'!I$64,0)</f>
        <v>0</v>
      </c>
      <c r="J67" s="298">
        <f>IF(AND($H81&lt;=J$65,$I81&gt;=J$65),$K81*(1+AV!$D$101)^'Source Use'!J$64,0)</f>
        <v>2281479.6348000001</v>
      </c>
      <c r="K67" s="298">
        <f>IF(AND($H81&lt;=K$65,$I81&gt;=K$65),$K81*(1+AV!$D$101)^'Source Use'!K$64,0)</f>
        <v>2327109.227496</v>
      </c>
      <c r="L67" s="298">
        <f>IF(AND($H81&lt;=L$65,$I81&gt;=L$65),$K81*(1+AV!$D$101)^'Source Use'!L$64,0)</f>
        <v>0</v>
      </c>
      <c r="M67" s="298">
        <f>IF(AND($H81&lt;=M$65,$I81&gt;=M$65),$K81*(1+AV!$D$101)^'Source Use'!M$64,0)</f>
        <v>0</v>
      </c>
      <c r="N67" s="298">
        <f>IF(AND($H81&lt;=N$65,$I81&gt;=N$65),$K81*(1+AV!$D$101)^'Source Use'!N$64,0)</f>
        <v>0</v>
      </c>
      <c r="O67" s="298">
        <f>IF(AND($H81&lt;=O$65,$I81&gt;=O$65),$K81*(1+AV!$D$101)^'Source Use'!O$64,0)</f>
        <v>0</v>
      </c>
      <c r="P67" s="298">
        <f>IF(AND($H81&lt;=P$65,$I81&gt;=P$65),$K81*(1+AV!$D$101)^'Source Use'!P$64,0)</f>
        <v>0</v>
      </c>
      <c r="Q67" s="298">
        <f>IF(AND($H81&lt;=Q$65,$I81&gt;=Q$65),$K81*(1+AV!$D$101)^'Source Use'!Q$64,0)</f>
        <v>0</v>
      </c>
      <c r="R67" s="298">
        <f>IF(AND($H81&lt;=R$65,$I81&gt;=R$65),$K81*(1+AV!$D$101)^'Source Use'!R$64,0)</f>
        <v>0</v>
      </c>
      <c r="S67" s="298">
        <f>IF(AND($H81&lt;=S$65,$I81&gt;=S$65),$K81*(1+AV!$D$101)^'Source Use'!S$64,0)</f>
        <v>0</v>
      </c>
      <c r="T67" s="298">
        <f>IF(AND($H81&lt;=T$65,$I81&gt;=T$65),$K81*(1+AV!$D$101)^'Source Use'!T$64,0)</f>
        <v>0</v>
      </c>
      <c r="U67" s="298">
        <f>IF(AND($H81&lt;=U$65,$I81&gt;=U$65),$K81*(1+AV!$D$101)^'Source Use'!U$64,0)</f>
        <v>0</v>
      </c>
      <c r="V67" s="298">
        <f>IF(AND($H81&lt;=V$65,$I81&gt;=V$65),$K81*(1+AV!$D$101)^'Source Use'!V$64,0)</f>
        <v>0</v>
      </c>
      <c r="W67" s="298">
        <f>IF(AND($H81&lt;=W$65,$I81&gt;=W$65),$K81*(1+AV!$D$101)^'Source Use'!W$64,0)</f>
        <v>0</v>
      </c>
      <c r="X67" s="298">
        <f>IF(AND($H81&lt;=X$65,$I81&gt;=X$65),$K81*(1+AV!$D$101)^'Source Use'!X$64,0)</f>
        <v>0</v>
      </c>
      <c r="Y67" s="298"/>
    </row>
    <row r="68" spans="1:25" ht="15.6" x14ac:dyDescent="0.3">
      <c r="A68" s="39"/>
      <c r="B68" s="9" t="s">
        <v>239</v>
      </c>
      <c r="C68" s="9"/>
      <c r="D68" s="10">
        <v>0</v>
      </c>
      <c r="E68" s="11">
        <v>230</v>
      </c>
      <c r="F68" s="296">
        <v>5470516</v>
      </c>
      <c r="G68" s="36">
        <f>SUM(H68:Y68)</f>
        <v>5980677.0746965054</v>
      </c>
      <c r="H68" s="298">
        <f>IF(AND($H82&lt;=H$65,$I82&gt;=H$65),$K82*(1+AV!$D$101)^'Source Use'!H$64,0)</f>
        <v>0</v>
      </c>
      <c r="I68" s="298">
        <f>IF(AND($H82&lt;=I$65,$I82&gt;=I$65),$K82*(1+AV!$D$101)^'Source Use'!I$64,0)</f>
        <v>0</v>
      </c>
      <c r="J68" s="298">
        <f>IF(AND($H82&lt;=J$65,$I82&gt;=J$65),$K82*(1+AV!$D$101)^'Source Use'!J$64,0)</f>
        <v>0</v>
      </c>
      <c r="K68" s="298">
        <f>IF(AND($H82&lt;=K$65,$I82&gt;=K$65),$K82*(1+AV!$D$101)^'Source Use'!K$64,0)</f>
        <v>0</v>
      </c>
      <c r="L68" s="298">
        <f>IF(AND($H82&lt;=L$65,$I82&gt;=L$65),$K82*(1+AV!$D$101)^'Source Use'!L$64,0)</f>
        <v>2960731.22509728</v>
      </c>
      <c r="M68" s="298">
        <f>IF(AND($H82&lt;=M$65,$I82&gt;=M$65),$K82*(1+AV!$D$101)^'Source Use'!M$64,0)</f>
        <v>3019945.8495992254</v>
      </c>
      <c r="N68" s="298">
        <f>IF(AND($H82&lt;=N$65,$I82&gt;=N$65),$K82*(1+AV!$D$101)^'Source Use'!N$64,0)</f>
        <v>0</v>
      </c>
      <c r="O68" s="298">
        <f>IF(AND($H82&lt;=O$65,$I82&gt;=O$65),$K82*(1+AV!$D$101)^'Source Use'!O$64,0)</f>
        <v>0</v>
      </c>
      <c r="P68" s="298">
        <f>IF(AND($H82&lt;=P$65,$I82&gt;=P$65),$K82*(1+AV!$D$101)^'Source Use'!P$64,0)</f>
        <v>0</v>
      </c>
      <c r="Q68" s="298">
        <f>IF(AND($H82&lt;=Q$65,$I82&gt;=Q$65),$K82*(1+AV!$D$101)^'Source Use'!Q$64,0)</f>
        <v>0</v>
      </c>
      <c r="R68" s="298">
        <f>IF(AND($H82&lt;=R$65,$I82&gt;=R$65),$K82*(1+AV!$D$101)^'Source Use'!R$64,0)</f>
        <v>0</v>
      </c>
      <c r="S68" s="298">
        <f>IF(AND($H82&lt;=S$65,$I82&gt;=S$65),$K82*(1+AV!$D$101)^'Source Use'!S$64,0)</f>
        <v>0</v>
      </c>
      <c r="T68" s="298">
        <f>IF(AND($H82&lt;=T$65,$I82&gt;=T$65),$K82*(1+AV!$D$101)^'Source Use'!T$64,0)</f>
        <v>0</v>
      </c>
      <c r="U68" s="298">
        <f>IF(AND($H82&lt;=U$65,$I82&gt;=U$65),$K82*(1+AV!$D$101)^'Source Use'!U$64,0)</f>
        <v>0</v>
      </c>
      <c r="V68" s="298">
        <f>IF(AND($H82&lt;=V$65,$I82&gt;=V$65),$K82*(1+AV!$D$101)^'Source Use'!V$64,0)</f>
        <v>0</v>
      </c>
      <c r="W68" s="298">
        <f>IF(AND($H82&lt;=W$65,$I82&gt;=W$65),$K82*(1+AV!$D$101)^'Source Use'!W$64,0)</f>
        <v>0</v>
      </c>
      <c r="X68" s="298">
        <f>IF(AND($H82&lt;=X$65,$I82&gt;=X$65),$K82*(1+AV!$D$101)^'Source Use'!X$64,0)</f>
        <v>0</v>
      </c>
      <c r="Y68" s="298"/>
    </row>
    <row r="69" spans="1:25" ht="15.6" x14ac:dyDescent="0.3">
      <c r="A69" s="39"/>
      <c r="B69" s="9" t="s">
        <v>240</v>
      </c>
      <c r="C69" s="9"/>
      <c r="D69" s="10">
        <v>0</v>
      </c>
      <c r="E69" s="11">
        <v>0</v>
      </c>
      <c r="F69" s="296"/>
      <c r="G69" s="36">
        <f>SUM(H69:Y69)</f>
        <v>0</v>
      </c>
      <c r="H69" s="298">
        <f>IF(AND($H83&lt;=H$65,$I83&gt;=H$65),$K83*(1+AV!$D$101)^'Source Use'!H$64,0)</f>
        <v>0</v>
      </c>
      <c r="I69" s="298">
        <f>IF(AND($H83&lt;=I$65,$I83&gt;=I$65),$K83*(1+AV!$D$101)^'Source Use'!I$64,0)</f>
        <v>0</v>
      </c>
      <c r="J69" s="298">
        <f>IF(AND($H83&lt;=J$65,$I83&gt;=J$65),$K83*(1+AV!$D$101)^'Source Use'!J$64,0)</f>
        <v>0</v>
      </c>
      <c r="K69" s="298">
        <f>IF(AND($H83&lt;=K$65,$I83&gt;=K$65),$K83*(1+AV!$D$101)^'Source Use'!K$64,0)</f>
        <v>0</v>
      </c>
      <c r="L69" s="298">
        <f>IF(AND($H83&lt;=L$65,$I83&gt;=L$65),$K83*(1+AV!$D$101)^'Source Use'!L$64,0)</f>
        <v>0</v>
      </c>
      <c r="M69" s="298">
        <f>IF(AND($H83&lt;=M$65,$I83&gt;=M$65),$K83*(1+AV!$D$101)^'Source Use'!M$64,0)</f>
        <v>0</v>
      </c>
      <c r="N69" s="298">
        <f>IF(AND($H83&lt;=N$65,$I83&gt;=N$65),$K83*(1+AV!$D$101)^'Source Use'!N$64,0)</f>
        <v>0</v>
      </c>
      <c r="O69" s="298">
        <f>IF(AND($H83&lt;=O$65,$I83&gt;=O$65),$K83*(1+AV!$D$101)^'Source Use'!O$64,0)</f>
        <v>0</v>
      </c>
      <c r="P69" s="298">
        <f>IF(AND($H83&lt;=P$65,$I83&gt;=P$65),$K83*(1+AV!$D$101)^'Source Use'!P$64,0)</f>
        <v>0</v>
      </c>
      <c r="Q69" s="298">
        <f>IF(AND($H83&lt;=Q$65,$I83&gt;=Q$65),$K83*(1+AV!$D$101)^'Source Use'!Q$64,0)</f>
        <v>0</v>
      </c>
      <c r="R69" s="298">
        <f>IF(AND($H83&lt;=R$65,$I83&gt;=R$65),$K83*(1+AV!$D$101)^'Source Use'!R$64,0)</f>
        <v>0</v>
      </c>
      <c r="S69" s="298">
        <f>IF(AND($H83&lt;=S$65,$I83&gt;=S$65),$K83*(1+AV!$D$101)^'Source Use'!S$64,0)</f>
        <v>0</v>
      </c>
      <c r="T69" s="298">
        <f>IF(AND($H83&lt;=T$65,$I83&gt;=T$65),$K83*(1+AV!$D$101)^'Source Use'!T$64,0)</f>
        <v>0</v>
      </c>
      <c r="U69" s="298">
        <f>IF(AND($H83&lt;=U$65,$I83&gt;=U$65),$K83*(1+AV!$D$101)^'Source Use'!U$64,0)</f>
        <v>0</v>
      </c>
      <c r="V69" s="298">
        <f>IF(AND($H83&lt;=V$65,$I83&gt;=V$65),$K83*(1+AV!$D$101)^'Source Use'!V$64,0)</f>
        <v>0</v>
      </c>
      <c r="W69" s="298">
        <f>IF(AND($H83&lt;=W$65,$I83&gt;=W$65),$K83*(1+AV!$D$101)^'Source Use'!W$64,0)</f>
        <v>0</v>
      </c>
      <c r="X69" s="298">
        <f>IF(AND($H83&lt;=X$65,$I83&gt;=X$65),$K83*(1+AV!$D$101)^'Source Use'!X$64,0)</f>
        <v>0</v>
      </c>
      <c r="Y69" s="291"/>
    </row>
    <row r="70" spans="1:25" ht="17.399999999999999" x14ac:dyDescent="0.3">
      <c r="A70" s="39"/>
      <c r="B70" s="9" t="s">
        <v>241</v>
      </c>
      <c r="C70" s="9"/>
      <c r="D70" s="13">
        <v>0</v>
      </c>
      <c r="E70" s="197">
        <v>0</v>
      </c>
      <c r="F70" s="296"/>
      <c r="G70" s="295">
        <f>SUM(H70:Y70)</f>
        <v>0</v>
      </c>
      <c r="H70" s="299">
        <f>IF(AND($H84&lt;=H$65,$I84&gt;=H$65),$K84*(1+AV!$D$101)^'Source Use'!H$64,0)</f>
        <v>0</v>
      </c>
      <c r="I70" s="299">
        <f>IF(AND($H84&lt;=I$65,$I84&gt;=I$65),$K84*(1+AV!$D$101)^'Source Use'!I$64,0)</f>
        <v>0</v>
      </c>
      <c r="J70" s="299">
        <f>IF(AND($H84&lt;=J$65,$I84&gt;=J$65),$K84*(1+AV!$D$101)^'Source Use'!J$64,0)</f>
        <v>0</v>
      </c>
      <c r="K70" s="299">
        <f>IF(AND($H84&lt;=K$65,$I84&gt;=K$65),$K84*(1+AV!$D$101)^'Source Use'!K$64,0)</f>
        <v>0</v>
      </c>
      <c r="L70" s="299">
        <f>IF(AND($H84&lt;=L$65,$I84&gt;=L$65),$K84*(1+AV!$D$101)^'Source Use'!L$64,0)</f>
        <v>0</v>
      </c>
      <c r="M70" s="299">
        <f>IF(AND($H84&lt;=M$65,$I84&gt;=M$65),$K84*(1+AV!$D$101)^'Source Use'!M$64,0)</f>
        <v>0</v>
      </c>
      <c r="N70" s="299">
        <f>IF(AND($H84&lt;=N$65,$I84&gt;=N$65),$K84*(1+AV!$D$101)^'Source Use'!N$64,0)</f>
        <v>0</v>
      </c>
      <c r="O70" s="299">
        <f>IF(AND($H84&lt;=O$65,$I84&gt;=O$65),$K84*(1+AV!$D$101)^'Source Use'!O$64,0)</f>
        <v>0</v>
      </c>
      <c r="P70" s="299">
        <f>IF(AND($H84&lt;=P$65,$I84&gt;=P$65),$K84*(1+AV!$D$101)^'Source Use'!P$64,0)</f>
        <v>0</v>
      </c>
      <c r="Q70" s="299">
        <f>IF(AND($H84&lt;=Q$65,$I84&gt;=Q$65),$K84*(1+AV!$D$101)^'Source Use'!Q$64,0)</f>
        <v>0</v>
      </c>
      <c r="R70" s="299">
        <f>IF(AND($H84&lt;=R$65,$I84&gt;=R$65),$K84*(1+AV!$D$101)^'Source Use'!R$64,0)</f>
        <v>0</v>
      </c>
      <c r="S70" s="299">
        <f>IF(AND($H84&lt;=S$65,$I84&gt;=S$65),$K84*(1+AV!$D$101)^'Source Use'!S$64,0)</f>
        <v>0</v>
      </c>
      <c r="T70" s="299">
        <f>IF(AND($H84&lt;=T$65,$I84&gt;=T$65),$K84*(1+AV!$D$101)^'Source Use'!T$64,0)</f>
        <v>0</v>
      </c>
      <c r="U70" s="299">
        <f>IF(AND($H84&lt;=U$65,$I84&gt;=U$65),$K84*(1+AV!$D$101)^'Source Use'!U$64,0)</f>
        <v>0</v>
      </c>
      <c r="V70" s="299">
        <f>IF(AND($H84&lt;=V$65,$I84&gt;=V$65),$K84*(1+AV!$D$101)^'Source Use'!V$64,0)</f>
        <v>0</v>
      </c>
      <c r="W70" s="299">
        <f>IF(AND($H84&lt;=W$65,$I84&gt;=W$65),$K84*(1+AV!$D$101)^'Source Use'!W$64,0)</f>
        <v>0</v>
      </c>
      <c r="X70" s="299">
        <f>IF(AND($H84&lt;=X$65,$I84&gt;=X$65),$K84*(1+AV!$D$101)^'Source Use'!X$64,0)</f>
        <v>0</v>
      </c>
      <c r="Y70" s="291"/>
    </row>
    <row r="71" spans="1:25" ht="18" thickBot="1" x14ac:dyDescent="0.5">
      <c r="A71" s="39"/>
      <c r="B71" s="22" t="s">
        <v>9</v>
      </c>
      <c r="C71" s="22"/>
      <c r="D71" s="60">
        <f t="shared" ref="D71:O71" si="19">SUM(D66:D70)</f>
        <v>0</v>
      </c>
      <c r="E71" s="60">
        <f t="shared" si="19"/>
        <v>920</v>
      </c>
      <c r="F71" s="132">
        <f>SUM(F66:F70)</f>
        <v>30997323</v>
      </c>
      <c r="G71" s="143">
        <f>SUM(G66:G70)</f>
        <v>31730298.936992504</v>
      </c>
      <c r="H71" s="300">
        <f t="shared" si="19"/>
        <v>21141033</v>
      </c>
      <c r="I71" s="301">
        <f t="shared" si="19"/>
        <v>0</v>
      </c>
      <c r="J71" s="301">
        <f>SUM(J66:J70)</f>
        <v>2281479.6348000001</v>
      </c>
      <c r="K71" s="301">
        <f t="shared" si="19"/>
        <v>2327109.227496</v>
      </c>
      <c r="L71" s="301">
        <f t="shared" si="19"/>
        <v>2960731.22509728</v>
      </c>
      <c r="M71" s="301">
        <f t="shared" si="19"/>
        <v>3019945.8495992254</v>
      </c>
      <c r="N71" s="302">
        <f t="shared" si="19"/>
        <v>0</v>
      </c>
      <c r="O71" s="302">
        <f t="shared" si="19"/>
        <v>0</v>
      </c>
      <c r="P71" s="302">
        <f t="shared" ref="P71:V71" si="20">SUM(P66:P70)</f>
        <v>0</v>
      </c>
      <c r="Q71" s="302">
        <f t="shared" si="20"/>
        <v>0</v>
      </c>
      <c r="R71" s="302">
        <f t="shared" si="20"/>
        <v>0</v>
      </c>
      <c r="S71" s="302">
        <f t="shared" si="20"/>
        <v>0</v>
      </c>
      <c r="T71" s="302">
        <f t="shared" si="20"/>
        <v>0</v>
      </c>
      <c r="U71" s="302">
        <f t="shared" si="20"/>
        <v>0</v>
      </c>
      <c r="V71" s="302">
        <f t="shared" si="20"/>
        <v>0</v>
      </c>
      <c r="W71" s="302">
        <f>SUM(W66:W70)</f>
        <v>0</v>
      </c>
      <c r="X71" s="302">
        <f>SUM(X66:X70)</f>
        <v>0</v>
      </c>
      <c r="Y71" s="291"/>
    </row>
    <row r="72" spans="1:25" ht="16.2" thickTop="1" x14ac:dyDescent="0.3">
      <c r="A72" s="39"/>
      <c r="B72" s="5"/>
      <c r="C72" s="12"/>
      <c r="D72" s="12"/>
      <c r="E72" s="10"/>
      <c r="F72" s="10"/>
      <c r="G72" s="39"/>
      <c r="H72" s="303"/>
      <c r="I72" s="304"/>
      <c r="J72" s="304"/>
      <c r="K72" s="304"/>
      <c r="L72" s="304"/>
      <c r="M72" s="292"/>
      <c r="N72" s="293"/>
      <c r="O72" s="293"/>
      <c r="P72" s="293"/>
      <c r="Q72" s="293"/>
      <c r="R72" s="293"/>
      <c r="S72" s="293"/>
      <c r="T72" s="289"/>
      <c r="U72" s="290"/>
      <c r="V72" s="290"/>
      <c r="W72" s="290"/>
      <c r="X72" s="294"/>
      <c r="Y72" s="291"/>
    </row>
    <row r="73" spans="1:25" ht="16.2" thickBot="1" x14ac:dyDescent="0.35">
      <c r="A73" s="39"/>
      <c r="B73" s="29" t="s">
        <v>17</v>
      </c>
      <c r="C73" s="213" t="s">
        <v>260</v>
      </c>
      <c r="D73" s="213"/>
      <c r="E73" s="29"/>
      <c r="F73" s="29"/>
      <c r="G73" s="29"/>
      <c r="H73" s="305"/>
      <c r="I73" s="305"/>
      <c r="J73" s="305"/>
      <c r="K73" s="305"/>
      <c r="L73" s="305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5" ht="16.2" thickTop="1" x14ac:dyDescent="0.3">
      <c r="A74" s="39"/>
      <c r="B74" s="5"/>
      <c r="C74" s="5"/>
      <c r="D74" s="5"/>
      <c r="E74" s="5"/>
      <c r="F74" s="5"/>
      <c r="G74" s="39"/>
      <c r="H74" s="306"/>
      <c r="I74" s="306"/>
      <c r="J74" s="306"/>
      <c r="K74" s="306"/>
      <c r="L74" s="306"/>
      <c r="M74" s="5"/>
      <c r="N74" s="5"/>
      <c r="O74" s="5"/>
      <c r="P74" s="5"/>
      <c r="Q74" s="39"/>
      <c r="R74" s="39"/>
      <c r="S74" s="39"/>
      <c r="T74" s="39"/>
      <c r="U74" s="39"/>
      <c r="V74" s="39"/>
      <c r="W74" s="39"/>
      <c r="X74" s="39"/>
    </row>
    <row r="75" spans="1:25" ht="15.6" x14ac:dyDescent="0.3">
      <c r="A75" s="39"/>
      <c r="B75" s="24" t="s">
        <v>10</v>
      </c>
      <c r="C75" s="24"/>
      <c r="D75" s="5"/>
      <c r="E75" s="5"/>
      <c r="F75" s="5"/>
      <c r="G75" s="39"/>
      <c r="H75" s="306"/>
      <c r="I75" s="306"/>
      <c r="J75" s="306"/>
      <c r="K75" s="306"/>
      <c r="L75" s="306"/>
      <c r="M75" s="5"/>
      <c r="N75" s="5"/>
      <c r="O75" s="5"/>
      <c r="P75" s="5"/>
      <c r="Q75" s="39"/>
      <c r="R75" s="39"/>
      <c r="S75" s="39"/>
      <c r="T75" s="39"/>
      <c r="U75" s="39"/>
      <c r="V75" s="39"/>
      <c r="W75" s="39"/>
      <c r="X75" s="39"/>
    </row>
    <row r="76" spans="1:25" ht="15.6" x14ac:dyDescent="0.3">
      <c r="A76" s="39"/>
      <c r="B76" s="5" t="s">
        <v>122</v>
      </c>
      <c r="C76" s="5"/>
      <c r="D76" s="5"/>
      <c r="E76" s="5"/>
      <c r="F76" s="5"/>
      <c r="G76" s="39"/>
      <c r="H76" s="306"/>
      <c r="I76" s="306"/>
      <c r="J76" s="306"/>
      <c r="K76" s="306"/>
      <c r="L76" s="306"/>
      <c r="M76" s="5"/>
      <c r="N76" s="5"/>
      <c r="O76" s="5"/>
      <c r="P76" s="5"/>
      <c r="Q76" s="39"/>
      <c r="R76" s="39"/>
      <c r="S76" s="39"/>
      <c r="T76" s="39"/>
      <c r="U76" s="39"/>
      <c r="V76" s="39"/>
      <c r="W76" s="39"/>
      <c r="X76" s="39"/>
    </row>
    <row r="77" spans="1:25" ht="15.6" x14ac:dyDescent="0.3">
      <c r="A77" s="39"/>
      <c r="B77" s="5" t="s">
        <v>121</v>
      </c>
      <c r="C77" s="5"/>
      <c r="D77" s="5"/>
      <c r="E77" s="5"/>
      <c r="F77" s="5"/>
      <c r="G77" s="39"/>
      <c r="H77" s="306"/>
      <c r="I77" s="306"/>
      <c r="J77" s="306"/>
      <c r="K77" s="306"/>
      <c r="L77" s="306"/>
      <c r="M77" s="5"/>
      <c r="N77" s="5"/>
      <c r="O77" s="5"/>
      <c r="P77" s="5"/>
      <c r="Q77" s="39"/>
      <c r="R77" s="39"/>
      <c r="S77" s="39"/>
      <c r="T77" s="39"/>
      <c r="U77" s="39"/>
      <c r="V77" s="39"/>
      <c r="W77" s="39"/>
      <c r="X77" s="39"/>
    </row>
    <row r="78" spans="1:25" ht="15.6" x14ac:dyDescent="0.3">
      <c r="A78" s="39"/>
      <c r="B78" s="5" t="s">
        <v>243</v>
      </c>
      <c r="C78" s="39"/>
      <c r="D78" s="39"/>
      <c r="E78" s="39"/>
      <c r="F78" s="7" t="s">
        <v>14</v>
      </c>
      <c r="G78" s="39"/>
      <c r="H78" s="307" t="s">
        <v>12</v>
      </c>
      <c r="I78" s="307" t="s">
        <v>13</v>
      </c>
      <c r="J78" s="307" t="s">
        <v>154</v>
      </c>
      <c r="K78" s="307" t="s">
        <v>155</v>
      </c>
      <c r="L78" s="115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spans="1:25" ht="19.2" x14ac:dyDescent="0.3">
      <c r="A79" s="39"/>
      <c r="B79" s="39"/>
      <c r="C79" s="39"/>
      <c r="D79" s="39"/>
      <c r="E79" s="39"/>
      <c r="F79" s="8" t="s">
        <v>15</v>
      </c>
      <c r="G79" s="39"/>
      <c r="H79" s="308" t="s">
        <v>18</v>
      </c>
      <c r="I79" s="308" t="s">
        <v>18</v>
      </c>
      <c r="J79" s="308" t="s">
        <v>242</v>
      </c>
      <c r="K79" s="309" t="s">
        <v>244</v>
      </c>
      <c r="L79" s="115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spans="1:25" ht="15.6" x14ac:dyDescent="0.3">
      <c r="A80" s="39"/>
      <c r="B80" s="39"/>
      <c r="C80" s="39"/>
      <c r="D80" s="39"/>
      <c r="E80" s="297" t="str">
        <f>(B66)</f>
        <v>Sale 1</v>
      </c>
      <c r="F80" s="19">
        <f>(F66)</f>
        <v>21141033</v>
      </c>
      <c r="G80" s="39"/>
      <c r="H80" s="310">
        <v>2020</v>
      </c>
      <c r="I80" s="310">
        <v>2020</v>
      </c>
      <c r="J80" s="311">
        <f>I80-H80+1</f>
        <v>1</v>
      </c>
      <c r="K80" s="312">
        <f>F80/J80</f>
        <v>21141033</v>
      </c>
      <c r="L80" s="115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spans="1:24" ht="15.6" x14ac:dyDescent="0.3">
      <c r="A81" s="39"/>
      <c r="B81" s="39"/>
      <c r="C81" s="39"/>
      <c r="D81" s="39"/>
      <c r="E81" s="297" t="str">
        <f>(B67)</f>
        <v>Sale 2</v>
      </c>
      <c r="F81" s="19">
        <f>(F67)</f>
        <v>4385774</v>
      </c>
      <c r="G81" s="39"/>
      <c r="H81" s="310">
        <v>2022</v>
      </c>
      <c r="I81" s="310">
        <v>2023</v>
      </c>
      <c r="J81" s="311">
        <f>I81-H81+1</f>
        <v>2</v>
      </c>
      <c r="K81" s="312">
        <f>F81/J81</f>
        <v>2192887</v>
      </c>
      <c r="L81" s="115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spans="1:24" ht="15.6" x14ac:dyDescent="0.3">
      <c r="A82" s="39"/>
      <c r="B82" s="39"/>
      <c r="C82" s="39"/>
      <c r="D82" s="39"/>
      <c r="E82" s="297" t="str">
        <f>(B68)</f>
        <v xml:space="preserve">Sale 3 </v>
      </c>
      <c r="F82" s="19">
        <f>(F68)</f>
        <v>5470516</v>
      </c>
      <c r="G82" s="39"/>
      <c r="H82" s="310">
        <v>2024</v>
      </c>
      <c r="I82" s="310">
        <v>2025</v>
      </c>
      <c r="J82" s="311">
        <f>I82-H82+1</f>
        <v>2</v>
      </c>
      <c r="K82" s="312">
        <f>F82/J82</f>
        <v>2735258</v>
      </c>
      <c r="L82" s="115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spans="1:24" ht="15.6" x14ac:dyDescent="0.3">
      <c r="A83" s="39"/>
      <c r="B83" s="39"/>
      <c r="C83" s="39"/>
      <c r="D83" s="39"/>
      <c r="E83" s="297" t="str">
        <f>(B69)</f>
        <v>Sale 4</v>
      </c>
      <c r="F83" s="19">
        <f>(F69)</f>
        <v>0</v>
      </c>
      <c r="G83" s="39"/>
      <c r="H83" s="310">
        <v>2029</v>
      </c>
      <c r="I83" s="310">
        <v>2031</v>
      </c>
      <c r="J83" s="311">
        <f>I83-H83+1</f>
        <v>3</v>
      </c>
      <c r="K83" s="312">
        <f>F83/J83</f>
        <v>0</v>
      </c>
      <c r="L83" s="115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spans="1:24" ht="15.6" x14ac:dyDescent="0.3">
      <c r="A84" s="39"/>
      <c r="B84" s="39"/>
      <c r="C84" s="39"/>
      <c r="D84" s="39"/>
      <c r="E84" s="297" t="str">
        <f>(B70)</f>
        <v>Sale 5</v>
      </c>
      <c r="F84" s="19">
        <f>(F70)</f>
        <v>0</v>
      </c>
      <c r="G84" s="39"/>
      <c r="H84" s="310">
        <v>2031</v>
      </c>
      <c r="I84" s="310">
        <v>2035</v>
      </c>
      <c r="J84" s="311">
        <f>I84-H84+1</f>
        <v>5</v>
      </c>
      <c r="K84" s="312">
        <f>F84/J84</f>
        <v>0</v>
      </c>
      <c r="L84" s="115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spans="1:24" ht="18" thickBot="1" x14ac:dyDescent="0.35">
      <c r="A85" s="39"/>
      <c r="B85" s="39"/>
      <c r="C85" s="39"/>
      <c r="D85" s="39"/>
      <c r="E85" s="39"/>
      <c r="F85" s="132">
        <f>SUM(F80:F84)</f>
        <v>30997323</v>
      </c>
      <c r="G85" s="39"/>
      <c r="H85" s="313"/>
      <c r="I85" s="314"/>
      <c r="J85" s="115"/>
      <c r="K85" s="115"/>
      <c r="L85" s="115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spans="1:24" ht="16.2" thickTop="1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spans="1:24" x14ac:dyDescent="0.25">
      <c r="H87" s="129"/>
    </row>
  </sheetData>
  <phoneticPr fontId="2" type="noConversion"/>
  <printOptions horizontalCentered="1"/>
  <pageMargins left="0.25" right="0.25" top="0.75" bottom="0.75" header="0.3" footer="0.3"/>
  <pageSetup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50"/>
  </sheetPr>
  <dimension ref="A3:W69"/>
  <sheetViews>
    <sheetView showGridLines="0" view="pageBreakPreview" topLeftCell="E1" zoomScale="90" zoomScaleNormal="85" zoomScaleSheetLayoutView="90" workbookViewId="0">
      <selection activeCell="U73" sqref="U73"/>
    </sheetView>
  </sheetViews>
  <sheetFormatPr defaultColWidth="9.109375" defaultRowHeight="15.6" x14ac:dyDescent="0.3"/>
  <cols>
    <col min="1" max="1" width="1.6640625" style="5" hidden="1" customWidth="1"/>
    <col min="2" max="2" width="8.109375" style="5" hidden="1" customWidth="1"/>
    <col min="3" max="3" width="12.5546875" style="5" hidden="1" customWidth="1"/>
    <col min="4" max="4" width="33.6640625" style="5" hidden="1" customWidth="1"/>
    <col min="5" max="6" width="1.6640625" style="5" customWidth="1"/>
    <col min="7" max="7" width="15.6640625" style="5" customWidth="1"/>
    <col min="8" max="8" width="26.33203125" style="5" customWidth="1"/>
    <col min="9" max="9" width="10.5546875" style="5" bestFit="1" customWidth="1"/>
    <col min="10" max="10" width="11.88671875" style="5" customWidth="1"/>
    <col min="11" max="11" width="10.5546875" style="5" bestFit="1" customWidth="1"/>
    <col min="12" max="12" width="12" style="5" customWidth="1"/>
    <col min="13" max="13" width="40.44140625" style="5" customWidth="1"/>
    <col min="14" max="14" width="14.44140625" style="5" customWidth="1"/>
    <col min="15" max="15" width="9.88671875" style="5" customWidth="1"/>
    <col min="16" max="16" width="12.88671875" style="5" customWidth="1"/>
    <col min="17" max="17" width="10.88671875" style="5" customWidth="1"/>
    <col min="18" max="18" width="12.6640625" style="5" customWidth="1"/>
    <col min="19" max="19" width="9.44140625" style="5" customWidth="1"/>
    <col min="20" max="20" width="10.5546875" style="5" customWidth="1"/>
    <col min="21" max="21" width="12.44140625" style="5" customWidth="1"/>
    <col min="22" max="22" width="9" style="5" customWidth="1"/>
    <col min="23" max="23" width="13.44140625" style="5" customWidth="1"/>
    <col min="24" max="27" width="9.109375" style="5"/>
    <col min="28" max="28" width="39.44140625" style="5" bestFit="1" customWidth="1"/>
    <col min="29" max="29" width="9.5546875" style="5" bestFit="1" customWidth="1"/>
    <col min="30" max="16384" width="9.109375" style="5"/>
  </cols>
  <sheetData>
    <row r="3" spans="1:23" x14ac:dyDescent="0.3">
      <c r="A3" s="20"/>
    </row>
    <row r="4" spans="1:23" x14ac:dyDescent="0.3">
      <c r="A4" s="20"/>
    </row>
    <row r="5" spans="1:23" x14ac:dyDescent="0.3">
      <c r="A5" s="20"/>
    </row>
    <row r="6" spans="1:23" x14ac:dyDescent="0.3">
      <c r="A6" s="20"/>
      <c r="C6" s="17"/>
      <c r="D6" s="17"/>
      <c r="E6" s="17"/>
    </row>
    <row r="8" spans="1:23" x14ac:dyDescent="0.3">
      <c r="G8" s="352" t="s">
        <v>187</v>
      </c>
      <c r="H8" s="352"/>
      <c r="I8" s="352"/>
      <c r="J8" s="352"/>
      <c r="K8" s="352"/>
      <c r="L8" s="352"/>
      <c r="O8" s="352" t="s">
        <v>187</v>
      </c>
      <c r="P8" s="352"/>
      <c r="Q8" s="352"/>
      <c r="R8" s="352"/>
      <c r="S8" s="352"/>
      <c r="T8" s="352"/>
      <c r="U8" s="352"/>
      <c r="V8" s="352"/>
      <c r="W8" s="352"/>
    </row>
    <row r="9" spans="1:23" x14ac:dyDescent="0.3">
      <c r="G9" s="352" t="s">
        <v>188</v>
      </c>
      <c r="H9" s="352"/>
      <c r="I9" s="352"/>
      <c r="J9" s="352"/>
      <c r="K9" s="352"/>
      <c r="L9" s="352"/>
      <c r="O9" s="352" t="s">
        <v>188</v>
      </c>
      <c r="P9" s="352"/>
      <c r="Q9" s="352"/>
      <c r="R9" s="352"/>
      <c r="S9" s="352"/>
      <c r="T9" s="352"/>
      <c r="U9" s="352"/>
      <c r="V9" s="352"/>
      <c r="W9" s="352"/>
    </row>
    <row r="10" spans="1:23" x14ac:dyDescent="0.3">
      <c r="G10" s="352" t="s">
        <v>3</v>
      </c>
      <c r="H10" s="352"/>
      <c r="I10" s="352"/>
      <c r="J10" s="352"/>
      <c r="K10" s="352"/>
      <c r="L10" s="352"/>
      <c r="O10" s="352" t="s">
        <v>193</v>
      </c>
      <c r="P10" s="352"/>
      <c r="Q10" s="352"/>
      <c r="R10" s="352"/>
      <c r="S10" s="352"/>
      <c r="T10" s="352"/>
      <c r="U10" s="352"/>
      <c r="V10" s="352"/>
      <c r="W10" s="352"/>
    </row>
    <row r="11" spans="1:23" ht="16.2" thickBot="1" x14ac:dyDescent="0.35">
      <c r="G11" s="358"/>
      <c r="H11" s="358"/>
      <c r="I11" s="358"/>
      <c r="J11" s="358"/>
      <c r="K11" s="358"/>
      <c r="L11" s="358"/>
      <c r="O11" s="355"/>
      <c r="P11" s="355"/>
      <c r="Q11" s="355"/>
      <c r="R11" s="355"/>
      <c r="S11" s="355"/>
      <c r="T11" s="355"/>
      <c r="U11" s="355"/>
      <c r="V11" s="26"/>
    </row>
    <row r="12" spans="1:23" ht="3" customHeight="1" thickTop="1" x14ac:dyDescent="0.3">
      <c r="G12" s="15"/>
      <c r="H12" s="15"/>
      <c r="I12" s="207"/>
      <c r="J12" s="16"/>
      <c r="K12" s="205"/>
      <c r="L12" s="206"/>
    </row>
    <row r="13" spans="1:23" ht="16.5" customHeight="1" x14ac:dyDescent="0.3">
      <c r="G13" s="168"/>
      <c r="H13" s="168"/>
      <c r="I13" s="361" t="s">
        <v>192</v>
      </c>
      <c r="J13" s="362"/>
      <c r="K13" s="356" t="s">
        <v>186</v>
      </c>
      <c r="L13" s="357"/>
      <c r="O13" s="351" t="s">
        <v>0</v>
      </c>
      <c r="P13" s="351"/>
      <c r="Q13" s="353" t="s">
        <v>186</v>
      </c>
      <c r="R13" s="351"/>
      <c r="S13" s="354"/>
      <c r="T13" s="353" t="s">
        <v>191</v>
      </c>
      <c r="U13" s="351"/>
      <c r="V13" s="354"/>
      <c r="W13" s="187" t="s">
        <v>192</v>
      </c>
    </row>
    <row r="14" spans="1:23" ht="32.25" customHeight="1" thickBot="1" x14ac:dyDescent="0.35">
      <c r="G14" s="267" t="s">
        <v>0</v>
      </c>
      <c r="H14" s="201"/>
      <c r="I14" s="268" t="s">
        <v>1</v>
      </c>
      <c r="J14" s="210" t="s">
        <v>200</v>
      </c>
      <c r="K14" s="268" t="s">
        <v>1</v>
      </c>
      <c r="L14" s="210" t="s">
        <v>200</v>
      </c>
      <c r="O14" s="185" t="s">
        <v>190</v>
      </c>
      <c r="P14" s="186" t="s">
        <v>125</v>
      </c>
      <c r="Q14" s="269" t="s">
        <v>1</v>
      </c>
      <c r="R14" s="211" t="s">
        <v>202</v>
      </c>
      <c r="S14" s="276" t="s">
        <v>203</v>
      </c>
      <c r="T14" s="269" t="s">
        <v>1</v>
      </c>
      <c r="U14" s="211" t="s">
        <v>202</v>
      </c>
      <c r="V14" s="276" t="s">
        <v>203</v>
      </c>
      <c r="W14" s="269" t="s">
        <v>1</v>
      </c>
    </row>
    <row r="15" spans="1:23" ht="16.5" customHeight="1" thickTop="1" x14ac:dyDescent="0.3">
      <c r="G15" s="175" t="s">
        <v>139</v>
      </c>
      <c r="H15" s="175"/>
      <c r="I15" s="208">
        <v>422.68</v>
      </c>
      <c r="J15" s="180">
        <v>1214</v>
      </c>
      <c r="K15" s="202">
        <v>257.60000000000002</v>
      </c>
      <c r="L15" s="183">
        <v>740</v>
      </c>
      <c r="O15" s="5" t="s">
        <v>5</v>
      </c>
      <c r="P15" s="261" t="s">
        <v>146</v>
      </c>
      <c r="Q15" s="190">
        <v>536.75</v>
      </c>
      <c r="R15" s="193">
        <v>1405</v>
      </c>
      <c r="S15" s="193">
        <v>217</v>
      </c>
      <c r="T15" s="190">
        <v>0</v>
      </c>
      <c r="U15" s="195">
        <v>0</v>
      </c>
      <c r="V15" s="193">
        <v>0</v>
      </c>
      <c r="W15" s="191">
        <f>SUM(Q15,T15)</f>
        <v>536.75</v>
      </c>
    </row>
    <row r="16" spans="1:23" ht="16.5" customHeight="1" x14ac:dyDescent="0.3">
      <c r="G16" s="175" t="s">
        <v>106</v>
      </c>
      <c r="H16" s="175"/>
      <c r="I16" s="208">
        <v>789.69</v>
      </c>
      <c r="J16" s="180">
        <v>3054</v>
      </c>
      <c r="K16" s="202">
        <v>708.45</v>
      </c>
      <c r="L16" s="183">
        <v>2740</v>
      </c>
      <c r="N16" s="125"/>
      <c r="O16" s="5" t="s">
        <v>61</v>
      </c>
      <c r="P16" s="261" t="s">
        <v>145</v>
      </c>
      <c r="Q16" s="190">
        <v>190.89</v>
      </c>
      <c r="R16" s="193">
        <v>642</v>
      </c>
      <c r="S16" s="193">
        <v>0</v>
      </c>
      <c r="T16" s="190">
        <v>200.08</v>
      </c>
      <c r="U16" s="195">
        <v>673</v>
      </c>
      <c r="V16" s="193">
        <v>0</v>
      </c>
      <c r="W16" s="191">
        <f>SUM(Q16,T16)</f>
        <v>390.97</v>
      </c>
    </row>
    <row r="17" spans="6:23" ht="16.5" customHeight="1" x14ac:dyDescent="0.3">
      <c r="G17" s="175" t="s">
        <v>107</v>
      </c>
      <c r="H17" s="175"/>
      <c r="I17" s="208">
        <v>62.96</v>
      </c>
      <c r="J17" s="180">
        <v>452</v>
      </c>
      <c r="K17" s="202">
        <v>62.96</v>
      </c>
      <c r="L17" s="183">
        <v>404</v>
      </c>
      <c r="O17" s="5" t="s">
        <v>62</v>
      </c>
      <c r="P17" s="261" t="s">
        <v>144</v>
      </c>
      <c r="Q17" s="190">
        <v>320.10000000000002</v>
      </c>
      <c r="R17" s="193">
        <v>0</v>
      </c>
      <c r="S17" s="193">
        <v>2015</v>
      </c>
      <c r="T17" s="190">
        <v>0</v>
      </c>
      <c r="U17" s="195">
        <v>0</v>
      </c>
      <c r="V17" s="193">
        <v>0</v>
      </c>
      <c r="W17" s="191">
        <f>SUM(Q17,T17)</f>
        <v>320.10000000000002</v>
      </c>
    </row>
    <row r="18" spans="6:23" ht="16.5" customHeight="1" x14ac:dyDescent="0.3">
      <c r="G18" s="175" t="s">
        <v>132</v>
      </c>
      <c r="H18" s="175"/>
      <c r="I18" s="208">
        <v>411.94</v>
      </c>
      <c r="J18" s="180">
        <v>1780</v>
      </c>
      <c r="K18" s="202">
        <v>411.94</v>
      </c>
      <c r="L18" s="183">
        <v>1780</v>
      </c>
      <c r="O18" s="5" t="s">
        <v>64</v>
      </c>
      <c r="P18" s="261" t="s">
        <v>143</v>
      </c>
      <c r="Q18" s="190">
        <v>393.21</v>
      </c>
      <c r="R18" s="193">
        <v>1385</v>
      </c>
      <c r="S18" s="193">
        <v>0</v>
      </c>
      <c r="T18" s="190">
        <v>46.24</v>
      </c>
      <c r="U18" s="195">
        <v>163</v>
      </c>
      <c r="V18" s="193">
        <v>0</v>
      </c>
      <c r="W18" s="191">
        <f>SUM(Q18,T18)</f>
        <v>439.45</v>
      </c>
    </row>
    <row r="19" spans="6:23" ht="16.5" customHeight="1" x14ac:dyDescent="0.3">
      <c r="G19" s="198" t="s">
        <v>105</v>
      </c>
      <c r="H19" s="198"/>
      <c r="I19" s="209">
        <v>93.17</v>
      </c>
      <c r="J19" s="199">
        <v>0</v>
      </c>
      <c r="K19" s="203">
        <v>78.84</v>
      </c>
      <c r="L19" s="200">
        <v>0</v>
      </c>
      <c r="O19" s="5" t="s">
        <v>63</v>
      </c>
      <c r="P19" s="261" t="s">
        <v>134</v>
      </c>
      <c r="Q19" s="190">
        <v>78.87</v>
      </c>
      <c r="R19" s="193">
        <v>0</v>
      </c>
      <c r="S19" s="193">
        <v>0</v>
      </c>
      <c r="T19" s="190">
        <v>14.3</v>
      </c>
      <c r="U19" s="195">
        <v>0</v>
      </c>
      <c r="V19" s="193">
        <v>0</v>
      </c>
      <c r="W19" s="191">
        <f>SUM(Q19,T19)</f>
        <v>93.17</v>
      </c>
    </row>
    <row r="20" spans="6:23" ht="15" customHeight="1" thickBot="1" x14ac:dyDescent="0.35">
      <c r="G20" s="182" t="s">
        <v>2</v>
      </c>
      <c r="H20" s="184"/>
      <c r="I20" s="204">
        <f>SUM(I15:I19)</f>
        <v>1780.4400000000003</v>
      </c>
      <c r="J20" s="181">
        <f>SUM(J15:J19)</f>
        <v>6500</v>
      </c>
      <c r="K20" s="204">
        <f>SUM(K15:K19)</f>
        <v>1519.79</v>
      </c>
      <c r="L20" s="181">
        <f>SUM(L15:L19)</f>
        <v>5664</v>
      </c>
      <c r="O20" s="188" t="s">
        <v>8</v>
      </c>
      <c r="P20" s="189"/>
      <c r="Q20" s="192">
        <f t="shared" ref="Q20:V20" si="0">SUM(Q15:Q19)</f>
        <v>1519.8200000000002</v>
      </c>
      <c r="R20" s="194">
        <f t="shared" si="0"/>
        <v>3432</v>
      </c>
      <c r="S20" s="194">
        <f t="shared" si="0"/>
        <v>2232</v>
      </c>
      <c r="T20" s="192">
        <f t="shared" si="0"/>
        <v>260.62</v>
      </c>
      <c r="U20" s="194">
        <f t="shared" si="0"/>
        <v>836</v>
      </c>
      <c r="V20" s="194">
        <f t="shared" si="0"/>
        <v>0</v>
      </c>
      <c r="W20" s="192">
        <f>SUM(W15:W19)</f>
        <v>1780.4400000000003</v>
      </c>
    </row>
    <row r="21" spans="6:23" ht="4.5" customHeight="1" thickTop="1" x14ac:dyDescent="0.3"/>
    <row r="22" spans="6:23" ht="12.75" customHeight="1" x14ac:dyDescent="0.3">
      <c r="F22" s="23"/>
      <c r="G22" s="33" t="s">
        <v>179</v>
      </c>
      <c r="H22" s="144"/>
      <c r="I22" s="144"/>
      <c r="J22" s="33"/>
      <c r="O22" s="33" t="s">
        <v>179</v>
      </c>
    </row>
    <row r="23" spans="6:23" ht="9.75" customHeight="1" x14ac:dyDescent="0.3">
      <c r="G23" s="91" t="s">
        <v>10</v>
      </c>
      <c r="O23" s="91" t="s">
        <v>10</v>
      </c>
    </row>
    <row r="24" spans="6:23" ht="11.25" customHeight="1" x14ac:dyDescent="0.3">
      <c r="G24" s="21" t="s">
        <v>201</v>
      </c>
      <c r="O24" s="21" t="s">
        <v>201</v>
      </c>
    </row>
    <row r="25" spans="6:23" ht="9.75" customHeight="1" x14ac:dyDescent="0.3">
      <c r="G25" s="21"/>
    </row>
    <row r="26" spans="6:23" ht="12.75" customHeight="1" x14ac:dyDescent="0.3"/>
    <row r="27" spans="6:23" ht="12.75" hidden="1" customHeight="1" x14ac:dyDescent="0.3">
      <c r="G27" s="5" t="s">
        <v>137</v>
      </c>
    </row>
    <row r="28" spans="6:23" ht="12.75" hidden="1" customHeight="1" x14ac:dyDescent="0.3">
      <c r="G28" s="5" t="s">
        <v>135</v>
      </c>
    </row>
    <row r="29" spans="6:23" ht="12.75" hidden="1" customHeight="1" x14ac:dyDescent="0.3">
      <c r="G29" s="5" t="s">
        <v>136</v>
      </c>
    </row>
    <row r="30" spans="6:23" ht="12.75" hidden="1" customHeight="1" x14ac:dyDescent="0.3"/>
    <row r="31" spans="6:23" hidden="1" x14ac:dyDescent="0.3">
      <c r="I31" s="125">
        <f>SUM(I15:I19)</f>
        <v>1780.4400000000003</v>
      </c>
      <c r="R31" s="5" t="s">
        <v>16</v>
      </c>
    </row>
    <row r="32" spans="6:23" hidden="1" x14ac:dyDescent="0.3">
      <c r="I32" s="125"/>
    </row>
    <row r="33" spans="7:21" hidden="1" x14ac:dyDescent="0.3">
      <c r="G33" s="1" t="e">
        <f>CFDName</f>
        <v>#REF!</v>
      </c>
      <c r="H33" s="1"/>
      <c r="I33" s="2"/>
      <c r="J33" s="2"/>
      <c r="U33" s="5" t="s">
        <v>189</v>
      </c>
    </row>
    <row r="34" spans="7:21" ht="16.2" hidden="1" thickBot="1" x14ac:dyDescent="0.35">
      <c r="G34" s="3" t="s">
        <v>3</v>
      </c>
      <c r="H34" s="3"/>
      <c r="I34" s="4"/>
      <c r="J34" s="4"/>
    </row>
    <row r="35" spans="7:21" ht="16.2" hidden="1" thickTop="1" x14ac:dyDescent="0.3">
      <c r="G35" s="15"/>
      <c r="H35" s="15"/>
      <c r="I35" s="16"/>
      <c r="J35" s="16"/>
    </row>
    <row r="36" spans="7:21" ht="19.2" hidden="1" x14ac:dyDescent="0.6">
      <c r="G36" s="18" t="s">
        <v>125</v>
      </c>
      <c r="H36" s="360" t="s">
        <v>126</v>
      </c>
      <c r="I36" s="360"/>
      <c r="J36" s="8" t="s">
        <v>127</v>
      </c>
      <c r="M36" s="95" t="s">
        <v>210</v>
      </c>
      <c r="N36" s="31" t="s">
        <v>59</v>
      </c>
    </row>
    <row r="37" spans="7:21" ht="31.2" hidden="1" x14ac:dyDescent="0.3">
      <c r="G37" s="34" t="s">
        <v>140</v>
      </c>
      <c r="H37" s="359" t="s">
        <v>128</v>
      </c>
      <c r="I37" s="359"/>
      <c r="J37" s="141">
        <f>I15</f>
        <v>422.68</v>
      </c>
      <c r="M37" s="275" t="s">
        <v>212</v>
      </c>
      <c r="N37"/>
      <c r="P37" s="285" t="s">
        <v>231</v>
      </c>
      <c r="Q37" s="286" t="s">
        <v>232</v>
      </c>
      <c r="R37" s="286"/>
      <c r="S37" s="281" t="s">
        <v>1</v>
      </c>
      <c r="T37" s="5" t="s">
        <v>234</v>
      </c>
    </row>
    <row r="38" spans="7:21" hidden="1" x14ac:dyDescent="0.3">
      <c r="G38" s="34" t="s">
        <v>140</v>
      </c>
      <c r="H38" s="359" t="s">
        <v>129</v>
      </c>
      <c r="I38" s="359"/>
      <c r="J38" s="141">
        <f>I16</f>
        <v>789.69</v>
      </c>
      <c r="M38" s="274" t="s">
        <v>213</v>
      </c>
      <c r="N38" s="147">
        <v>10488</v>
      </c>
      <c r="P38" s="27" t="s">
        <v>119</v>
      </c>
      <c r="Q38" s="5" t="s">
        <v>233</v>
      </c>
      <c r="S38" s="5">
        <v>42.46</v>
      </c>
      <c r="T38" s="5" t="s">
        <v>235</v>
      </c>
      <c r="U38" s="5">
        <v>39.159999999999997</v>
      </c>
    </row>
    <row r="39" spans="7:21" hidden="1" x14ac:dyDescent="0.3">
      <c r="G39" s="34" t="s">
        <v>130</v>
      </c>
      <c r="H39" s="359" t="s">
        <v>131</v>
      </c>
      <c r="I39" s="359"/>
      <c r="J39" s="141">
        <f>I17</f>
        <v>62.96</v>
      </c>
      <c r="M39" s="274" t="s">
        <v>214</v>
      </c>
      <c r="N39" s="147">
        <v>75</v>
      </c>
      <c r="P39" s="27" t="s">
        <v>204</v>
      </c>
      <c r="Q39" s="5" t="s">
        <v>233</v>
      </c>
      <c r="S39" s="5">
        <v>6.69</v>
      </c>
      <c r="T39" s="5" t="s">
        <v>235</v>
      </c>
      <c r="U39" s="5">
        <v>6.82</v>
      </c>
    </row>
    <row r="40" spans="7:21" hidden="1" x14ac:dyDescent="0.3">
      <c r="G40" s="34" t="s">
        <v>141</v>
      </c>
      <c r="H40" s="359" t="s">
        <v>132</v>
      </c>
      <c r="I40" s="359"/>
      <c r="J40" s="141">
        <f>I18</f>
        <v>411.94</v>
      </c>
      <c r="M40" s="274" t="s">
        <v>215</v>
      </c>
      <c r="N40" s="147">
        <v>83</v>
      </c>
      <c r="P40" s="27" t="s">
        <v>205</v>
      </c>
      <c r="Q40" s="5" t="s">
        <v>233</v>
      </c>
      <c r="S40" s="5">
        <v>55.64</v>
      </c>
      <c r="T40" s="5" t="s">
        <v>235</v>
      </c>
      <c r="U40" s="5">
        <v>64.48</v>
      </c>
    </row>
    <row r="41" spans="7:21" hidden="1" x14ac:dyDescent="0.3">
      <c r="G41" s="34" t="s">
        <v>133</v>
      </c>
      <c r="H41" s="359" t="s">
        <v>134</v>
      </c>
      <c r="I41" s="359"/>
      <c r="J41" s="141">
        <f>I19</f>
        <v>93.17</v>
      </c>
      <c r="M41" s="274" t="s">
        <v>216</v>
      </c>
      <c r="N41" s="147">
        <v>75</v>
      </c>
      <c r="P41" s="27" t="s">
        <v>206</v>
      </c>
      <c r="Q41" s="5" t="s">
        <v>233</v>
      </c>
      <c r="S41" s="5">
        <v>40.83</v>
      </c>
      <c r="T41" s="5" t="s">
        <v>235</v>
      </c>
      <c r="U41" s="5">
        <v>39.020000000000003</v>
      </c>
    </row>
    <row r="42" spans="7:21" ht="17.399999999999999" hidden="1" x14ac:dyDescent="0.3">
      <c r="G42" s="92" t="s">
        <v>8</v>
      </c>
      <c r="H42" s="139"/>
      <c r="I42" s="23"/>
      <c r="J42" s="140">
        <f>SUM(J37:J41)</f>
        <v>1780.4400000000003</v>
      </c>
      <c r="M42" s="274" t="s">
        <v>217</v>
      </c>
      <c r="N42" s="147">
        <v>14051</v>
      </c>
      <c r="P42" s="27" t="s">
        <v>111</v>
      </c>
      <c r="Q42" s="5" t="s">
        <v>233</v>
      </c>
      <c r="S42" s="5">
        <v>59.12</v>
      </c>
      <c r="T42" s="5" t="s">
        <v>235</v>
      </c>
      <c r="U42" s="5">
        <v>56.8</v>
      </c>
    </row>
    <row r="43" spans="7:21" ht="16.2" hidden="1" thickBot="1" x14ac:dyDescent="0.35">
      <c r="G43" s="14" t="s">
        <v>17</v>
      </c>
      <c r="H43" s="37" t="e">
        <f>Developer</f>
        <v>#REF!</v>
      </c>
      <c r="I43" s="37"/>
      <c r="J43" s="14"/>
      <c r="M43" s="283" t="s">
        <v>218</v>
      </c>
      <c r="N43" s="147">
        <v>75</v>
      </c>
      <c r="P43" s="284">
        <v>217070020</v>
      </c>
      <c r="Q43" s="5" t="s">
        <v>233</v>
      </c>
      <c r="S43" s="5">
        <v>18.510000000000002</v>
      </c>
      <c r="T43" s="5" t="s">
        <v>235</v>
      </c>
      <c r="U43" s="5">
        <v>20.48</v>
      </c>
    </row>
    <row r="44" spans="7:21" ht="16.2" hidden="1" thickTop="1" x14ac:dyDescent="0.3">
      <c r="M44" s="274" t="s">
        <v>230</v>
      </c>
      <c r="N44" s="147">
        <v>7397</v>
      </c>
      <c r="P44" s="27" t="s">
        <v>229</v>
      </c>
      <c r="Q44" s="5" t="s">
        <v>233</v>
      </c>
      <c r="S44" s="5">
        <v>18.72</v>
      </c>
      <c r="T44" s="5" t="s">
        <v>235</v>
      </c>
      <c r="U44" s="5">
        <v>19.97</v>
      </c>
    </row>
    <row r="45" spans="7:21" hidden="1" x14ac:dyDescent="0.3">
      <c r="G45" s="5" t="s">
        <v>137</v>
      </c>
      <c r="M45" s="274" t="s">
        <v>219</v>
      </c>
      <c r="N45" s="147">
        <v>83</v>
      </c>
      <c r="P45" s="27">
        <v>217080030</v>
      </c>
      <c r="Q45" s="5" t="s">
        <v>233</v>
      </c>
      <c r="S45" s="287">
        <v>77.66</v>
      </c>
      <c r="T45" s="5" t="s">
        <v>235</v>
      </c>
      <c r="U45" s="5">
        <v>77.66</v>
      </c>
    </row>
    <row r="46" spans="7:21" hidden="1" x14ac:dyDescent="0.3">
      <c r="G46" s="27" t="s">
        <v>142</v>
      </c>
      <c r="H46" s="27"/>
      <c r="I46" s="27"/>
      <c r="J46" s="27"/>
      <c r="M46" s="274" t="s">
        <v>220</v>
      </c>
      <c r="N46" s="147">
        <v>89</v>
      </c>
      <c r="P46" s="27" t="s">
        <v>207</v>
      </c>
      <c r="Q46" s="5" t="s">
        <v>233</v>
      </c>
      <c r="S46" s="5">
        <v>59.28</v>
      </c>
      <c r="T46" s="5" t="s">
        <v>235</v>
      </c>
      <c r="U46" s="5">
        <v>60.59</v>
      </c>
    </row>
    <row r="47" spans="7:21" hidden="1" x14ac:dyDescent="0.3">
      <c r="G47" s="27" t="s">
        <v>153</v>
      </c>
      <c r="H47" s="27"/>
      <c r="I47" s="27"/>
      <c r="J47" s="27"/>
      <c r="M47" s="274" t="s">
        <v>221</v>
      </c>
      <c r="N47" s="147">
        <v>99</v>
      </c>
      <c r="P47" s="27" t="s">
        <v>208</v>
      </c>
      <c r="Q47" s="5" t="s">
        <v>233</v>
      </c>
      <c r="S47" s="5">
        <v>120.07</v>
      </c>
      <c r="T47" s="5" t="s">
        <v>235</v>
      </c>
      <c r="U47" s="5">
        <v>117.26</v>
      </c>
    </row>
    <row r="48" spans="7:21" hidden="1" x14ac:dyDescent="0.3">
      <c r="G48" s="27"/>
      <c r="H48" s="27"/>
      <c r="I48" s="27"/>
      <c r="J48" s="27"/>
      <c r="M48" s="274" t="s">
        <v>222</v>
      </c>
      <c r="N48" s="147">
        <v>95</v>
      </c>
      <c r="P48" s="27">
        <v>217080060</v>
      </c>
      <c r="Q48" s="5" t="s">
        <v>233</v>
      </c>
      <c r="S48" s="5">
        <v>95.11</v>
      </c>
      <c r="T48" s="5" t="s">
        <v>235</v>
      </c>
      <c r="U48" s="5">
        <v>98.98</v>
      </c>
    </row>
    <row r="49" spans="13:21" hidden="1" x14ac:dyDescent="0.3">
      <c r="M49" s="274" t="s">
        <v>223</v>
      </c>
      <c r="N49" s="147">
        <v>529</v>
      </c>
      <c r="P49" s="27" t="s">
        <v>108</v>
      </c>
      <c r="Q49" s="5" t="s">
        <v>233</v>
      </c>
      <c r="S49" s="5">
        <v>507.95</v>
      </c>
      <c r="T49" s="5" t="s">
        <v>235</v>
      </c>
      <c r="U49" s="5">
        <v>507.59</v>
      </c>
    </row>
    <row r="50" spans="13:21" hidden="1" x14ac:dyDescent="0.3">
      <c r="M50" s="274" t="s">
        <v>224</v>
      </c>
      <c r="N50" s="147">
        <v>83</v>
      </c>
      <c r="P50" s="27">
        <v>217170010</v>
      </c>
      <c r="Q50" s="5" t="s">
        <v>233</v>
      </c>
      <c r="S50" s="5">
        <v>64.73</v>
      </c>
      <c r="T50" s="5" t="s">
        <v>235</v>
      </c>
      <c r="U50" s="5">
        <v>61.5</v>
      </c>
    </row>
    <row r="51" spans="13:21" hidden="1" x14ac:dyDescent="0.3">
      <c r="M51" s="274" t="s">
        <v>225</v>
      </c>
      <c r="N51" s="147">
        <v>75</v>
      </c>
      <c r="P51" s="27" t="s">
        <v>120</v>
      </c>
      <c r="Q51" s="5" t="s">
        <v>233</v>
      </c>
      <c r="S51" s="5">
        <v>24.82</v>
      </c>
      <c r="T51" s="5" t="s">
        <v>235</v>
      </c>
      <c r="U51" s="5">
        <v>25.55</v>
      </c>
    </row>
    <row r="52" spans="13:21" hidden="1" x14ac:dyDescent="0.3">
      <c r="M52" s="274" t="s">
        <v>226</v>
      </c>
      <c r="N52" s="147">
        <v>75</v>
      </c>
      <c r="P52" s="27">
        <v>217270030</v>
      </c>
      <c r="Q52" s="5" t="s">
        <v>233</v>
      </c>
      <c r="S52" s="5">
        <v>5.6</v>
      </c>
      <c r="T52" s="5" t="s">
        <v>235</v>
      </c>
      <c r="U52" s="5">
        <v>5.56</v>
      </c>
    </row>
    <row r="53" spans="13:21" hidden="1" x14ac:dyDescent="0.3">
      <c r="M53" s="138"/>
      <c r="N53" s="147"/>
      <c r="P53" s="27">
        <v>410250010</v>
      </c>
      <c r="Q53" s="5" t="s">
        <v>233</v>
      </c>
      <c r="S53" s="5">
        <v>362.6</v>
      </c>
      <c r="T53" s="5" t="s">
        <v>236</v>
      </c>
    </row>
    <row r="54" spans="13:21" hidden="1" x14ac:dyDescent="0.3">
      <c r="M54" s="138"/>
      <c r="N54" s="147"/>
      <c r="P54" s="27">
        <v>410250020</v>
      </c>
      <c r="Q54" s="5" t="s">
        <v>233</v>
      </c>
      <c r="S54" s="5">
        <v>32.090000000000003</v>
      </c>
      <c r="T54" s="5" t="s">
        <v>236</v>
      </c>
    </row>
    <row r="55" spans="13:21" ht="16.2" hidden="1" thickBot="1" x14ac:dyDescent="0.35">
      <c r="M55" s="138"/>
      <c r="N55" s="147"/>
      <c r="P55" s="188" t="s">
        <v>8</v>
      </c>
      <c r="Q55" s="185"/>
      <c r="R55" s="185"/>
      <c r="S55" s="288">
        <f>SUM(S38:S54)</f>
        <v>1591.8799999999999</v>
      </c>
    </row>
    <row r="56" spans="13:21" ht="16.2" hidden="1" thickTop="1" x14ac:dyDescent="0.3">
      <c r="M56" s="138"/>
      <c r="N56" s="147"/>
    </row>
    <row r="57" spans="13:21" hidden="1" x14ac:dyDescent="0.3">
      <c r="M57" s="133" t="s">
        <v>162</v>
      </c>
      <c r="N57" s="148">
        <f>SUM(N38:N56)</f>
        <v>33372</v>
      </c>
    </row>
    <row r="58" spans="13:21" ht="60.75" hidden="1" customHeight="1" x14ac:dyDescent="0.3">
      <c r="M58"/>
      <c r="N58" s="129"/>
    </row>
    <row r="59" spans="13:21" hidden="1" x14ac:dyDescent="0.3">
      <c r="M59" s="275" t="s">
        <v>211</v>
      </c>
      <c r="N59" s="129"/>
    </row>
    <row r="60" spans="13:21" hidden="1" x14ac:dyDescent="0.3">
      <c r="M60" s="274" t="s">
        <v>227</v>
      </c>
      <c r="N60" s="147">
        <v>595</v>
      </c>
    </row>
    <row r="61" spans="13:21" hidden="1" x14ac:dyDescent="0.3">
      <c r="M61" s="274" t="s">
        <v>228</v>
      </c>
      <c r="N61" s="147">
        <v>53</v>
      </c>
    </row>
    <row r="62" spans="13:21" hidden="1" x14ac:dyDescent="0.3">
      <c r="M62" s="150"/>
      <c r="N62" s="151">
        <v>0</v>
      </c>
    </row>
    <row r="63" spans="13:21" hidden="1" x14ac:dyDescent="0.3">
      <c r="M63" s="150"/>
      <c r="N63" s="151">
        <v>0</v>
      </c>
    </row>
    <row r="64" spans="13:21" hidden="1" x14ac:dyDescent="0.3">
      <c r="M64" s="277" t="s">
        <v>161</v>
      </c>
      <c r="N64" s="149">
        <f>SUM(N60:N63)</f>
        <v>648</v>
      </c>
    </row>
    <row r="65" spans="13:14" hidden="1" x14ac:dyDescent="0.3">
      <c r="M65" s="126"/>
      <c r="N65" s="127"/>
    </row>
    <row r="66" spans="13:14" ht="16.2" hidden="1" thickBot="1" x14ac:dyDescent="0.35">
      <c r="M66" s="278" t="s">
        <v>160</v>
      </c>
      <c r="N66" s="279">
        <f>SUM(N57+N64)</f>
        <v>34020</v>
      </c>
    </row>
    <row r="67" spans="13:14" ht="16.2" hidden="1" thickTop="1" x14ac:dyDescent="0.3"/>
    <row r="68" spans="13:14" hidden="1" x14ac:dyDescent="0.3"/>
    <row r="69" spans="13:14" hidden="1" x14ac:dyDescent="0.3"/>
  </sheetData>
  <mergeCells count="19">
    <mergeCell ref="H41:I41"/>
    <mergeCell ref="H36:I36"/>
    <mergeCell ref="H37:I37"/>
    <mergeCell ref="H38:I38"/>
    <mergeCell ref="H39:I39"/>
    <mergeCell ref="I13:J13"/>
    <mergeCell ref="K13:L13"/>
    <mergeCell ref="G11:L11"/>
    <mergeCell ref="G10:L10"/>
    <mergeCell ref="G9:L9"/>
    <mergeCell ref="G8:L8"/>
    <mergeCell ref="H40:I40"/>
    <mergeCell ref="O13:P13"/>
    <mergeCell ref="O10:W10"/>
    <mergeCell ref="O9:W9"/>
    <mergeCell ref="O8:W8"/>
    <mergeCell ref="Q13:S13"/>
    <mergeCell ref="T13:V13"/>
    <mergeCell ref="O11:U11"/>
  </mergeCells>
  <phoneticPr fontId="2" type="noConversion"/>
  <pageMargins left="0.75" right="0.75" top="1" bottom="1" header="0.5" footer="0.5"/>
  <pageSetup scale="41" orientation="landscape" r:id="rId1"/>
  <headerFooter alignWithMargins="0"/>
  <colBreaks count="1" manualBreakCount="1">
    <brk id="13" max="2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indexed="50"/>
    <pageSetUpPr fitToPage="1"/>
  </sheetPr>
  <dimension ref="A1:AH174"/>
  <sheetViews>
    <sheetView showGridLines="0" zoomScale="75" zoomScaleNormal="75" zoomScaleSheetLayoutView="85" zoomScalePageLayoutView="40" workbookViewId="0">
      <pane xSplit="3" ySplit="8" topLeftCell="Q9" activePane="bottomRight" state="frozen"/>
      <selection pane="topRight" activeCell="D1" sqref="D1"/>
      <selection pane="bottomLeft" activeCell="A9" sqref="A9"/>
      <selection pane="bottomRight" activeCell="J61" sqref="J61"/>
    </sheetView>
  </sheetViews>
  <sheetFormatPr defaultRowHeight="13.2" outlineLevelRow="1" x14ac:dyDescent="0.25"/>
  <cols>
    <col min="1" max="1" width="12.5546875" customWidth="1"/>
    <col min="2" max="2" width="14.88671875" bestFit="1" customWidth="1"/>
    <col min="3" max="3" width="31.88671875" customWidth="1"/>
    <col min="4" max="4" width="14" bestFit="1" customWidth="1"/>
    <col min="5" max="5" width="17" customWidth="1"/>
    <col min="6" max="6" width="18.88671875" customWidth="1"/>
    <col min="7" max="7" width="18.109375" bestFit="1" customWidth="1"/>
    <col min="8" max="9" width="18.6640625" bestFit="1" customWidth="1"/>
    <col min="10" max="10" width="18.109375" bestFit="1" customWidth="1"/>
    <col min="11" max="11" width="19.5546875" bestFit="1" customWidth="1"/>
    <col min="12" max="12" width="19.33203125" bestFit="1" customWidth="1"/>
    <col min="13" max="13" width="15.109375" bestFit="1" customWidth="1"/>
    <col min="14" max="14" width="20.44140625" bestFit="1" customWidth="1"/>
    <col min="15" max="16" width="19.88671875" bestFit="1" customWidth="1"/>
    <col min="17" max="17" width="20.44140625" customWidth="1"/>
    <col min="18" max="19" width="20.109375" bestFit="1" customWidth="1"/>
    <col min="20" max="21" width="17" customWidth="1"/>
    <col min="22" max="22" width="7.44140625" customWidth="1"/>
    <col min="23" max="23" width="17.5546875" bestFit="1" customWidth="1"/>
    <col min="24" max="25" width="20.6640625" customWidth="1"/>
    <col min="26" max="26" width="16.44140625" customWidth="1"/>
    <col min="27" max="27" width="20.6640625" customWidth="1"/>
    <col min="28" max="28" width="9.109375" style="54" customWidth="1"/>
    <col min="29" max="29" width="1.88671875" style="54" customWidth="1"/>
    <col min="30" max="30" width="10.44140625" style="54" customWidth="1"/>
    <col min="31" max="32" width="24.5546875" style="54" customWidth="1"/>
  </cols>
  <sheetData>
    <row r="1" spans="2:34" ht="15.6" x14ac:dyDescent="0.3">
      <c r="B1" s="38"/>
      <c r="C1" s="39"/>
      <c r="D1" s="39"/>
      <c r="E1" s="39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39"/>
      <c r="S1" s="39"/>
      <c r="T1" s="41"/>
    </row>
    <row r="2" spans="2:34" ht="27.45" customHeight="1" x14ac:dyDescent="0.4">
      <c r="B2" s="363" t="s">
        <v>198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</row>
    <row r="3" spans="2:34" ht="22.8" x14ac:dyDescent="0.4">
      <c r="B3" s="363" t="s">
        <v>188</v>
      </c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</row>
    <row r="4" spans="2:34" ht="22.8" x14ac:dyDescent="0.4">
      <c r="B4" s="368" t="s">
        <v>89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</row>
    <row r="5" spans="2:34" ht="20.399999999999999" x14ac:dyDescent="0.35">
      <c r="B5" s="38"/>
      <c r="C5" s="93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39"/>
      <c r="S5" s="145"/>
      <c r="T5" s="28"/>
      <c r="U5" s="28"/>
    </row>
    <row r="6" spans="2:34" ht="15.6" x14ac:dyDescent="0.3">
      <c r="B6" s="39"/>
      <c r="C6" s="39"/>
      <c r="D6" s="39"/>
      <c r="E6" s="42">
        <v>0</v>
      </c>
      <c r="F6" s="43">
        <f>E6+1</f>
        <v>1</v>
      </c>
      <c r="G6" s="43">
        <f>F6+1</f>
        <v>2</v>
      </c>
      <c r="H6" s="43">
        <f>G6+1</f>
        <v>3</v>
      </c>
      <c r="I6" s="43">
        <f>H6+1</f>
        <v>4</v>
      </c>
      <c r="J6" s="43">
        <f>I6+1</f>
        <v>5</v>
      </c>
      <c r="K6" s="43">
        <f t="shared" ref="K6:Q6" si="0">J6+1</f>
        <v>6</v>
      </c>
      <c r="L6" s="43">
        <f t="shared" si="0"/>
        <v>7</v>
      </c>
      <c r="M6" s="43">
        <f t="shared" si="0"/>
        <v>8</v>
      </c>
      <c r="N6" s="43">
        <f t="shared" si="0"/>
        <v>9</v>
      </c>
      <c r="O6" s="43">
        <f t="shared" si="0"/>
        <v>10</v>
      </c>
      <c r="P6" s="43">
        <f t="shared" si="0"/>
        <v>11</v>
      </c>
      <c r="Q6" s="43">
        <f t="shared" si="0"/>
        <v>12</v>
      </c>
      <c r="R6" s="43">
        <f>Q6+1</f>
        <v>13</v>
      </c>
      <c r="S6" s="43">
        <f>R6+1</f>
        <v>14</v>
      </c>
    </row>
    <row r="7" spans="2:34" s="56" customFormat="1" ht="15.6" x14ac:dyDescent="0.3">
      <c r="B7" s="55"/>
      <c r="C7" s="55" t="s">
        <v>24</v>
      </c>
      <c r="D7" s="55"/>
      <c r="E7" s="92">
        <v>2020</v>
      </c>
      <c r="F7" s="92">
        <f>1+E7</f>
        <v>2021</v>
      </c>
      <c r="G7" s="92">
        <f t="shared" ref="G7:Q7" si="1">1+F7</f>
        <v>2022</v>
      </c>
      <c r="H7" s="92">
        <f t="shared" si="1"/>
        <v>2023</v>
      </c>
      <c r="I7" s="92">
        <f t="shared" si="1"/>
        <v>2024</v>
      </c>
      <c r="J7" s="92">
        <f t="shared" si="1"/>
        <v>2025</v>
      </c>
      <c r="K7" s="92">
        <f t="shared" si="1"/>
        <v>2026</v>
      </c>
      <c r="L7" s="92">
        <f t="shared" si="1"/>
        <v>2027</v>
      </c>
      <c r="M7" s="92">
        <f t="shared" si="1"/>
        <v>2028</v>
      </c>
      <c r="N7" s="92">
        <f t="shared" si="1"/>
        <v>2029</v>
      </c>
      <c r="O7" s="92">
        <f t="shared" si="1"/>
        <v>2030</v>
      </c>
      <c r="P7" s="92">
        <f t="shared" si="1"/>
        <v>2031</v>
      </c>
      <c r="Q7" s="92">
        <f t="shared" si="1"/>
        <v>2032</v>
      </c>
      <c r="R7" s="92">
        <f>1+Q7</f>
        <v>2033</v>
      </c>
      <c r="S7" s="92">
        <f>1+R7</f>
        <v>2034</v>
      </c>
      <c r="T7" s="92">
        <f>1+S7</f>
        <v>2035</v>
      </c>
      <c r="U7" s="92">
        <f>1+T7</f>
        <v>2036</v>
      </c>
      <c r="AB7" s="57"/>
      <c r="AC7" s="57"/>
      <c r="AD7" s="57"/>
      <c r="AE7" s="57"/>
      <c r="AF7" s="57"/>
    </row>
    <row r="8" spans="2:34" s="56" customFormat="1" ht="5.0999999999999996" customHeight="1" x14ac:dyDescent="0.45">
      <c r="B8" s="55"/>
      <c r="C8" s="55"/>
      <c r="D8" s="55"/>
      <c r="E8" s="82" t="s">
        <v>16</v>
      </c>
      <c r="F8" s="82" t="s">
        <v>16</v>
      </c>
      <c r="G8" s="82" t="s">
        <v>16</v>
      </c>
      <c r="H8" s="82" t="s">
        <v>16</v>
      </c>
      <c r="I8" s="82" t="s">
        <v>16</v>
      </c>
      <c r="J8" s="82" t="s">
        <v>16</v>
      </c>
      <c r="K8" s="82" t="s">
        <v>16</v>
      </c>
      <c r="L8" s="82" t="s">
        <v>16</v>
      </c>
      <c r="M8" s="82" t="s">
        <v>16</v>
      </c>
      <c r="N8" s="82" t="s">
        <v>16</v>
      </c>
      <c r="O8" s="82" t="s">
        <v>16</v>
      </c>
      <c r="P8" s="82" t="s">
        <v>16</v>
      </c>
      <c r="Q8" s="82" t="s">
        <v>16</v>
      </c>
      <c r="R8" s="82" t="s">
        <v>16</v>
      </c>
      <c r="S8" s="82" t="s">
        <v>16</v>
      </c>
      <c r="T8" s="82" t="s">
        <v>16</v>
      </c>
      <c r="U8" s="82" t="s">
        <v>16</v>
      </c>
      <c r="AB8" s="57"/>
      <c r="AC8" s="57"/>
      <c r="AD8" s="57"/>
      <c r="AE8" s="57"/>
      <c r="AF8" s="57"/>
    </row>
    <row r="9" spans="2:34" s="56" customFormat="1" ht="17.399999999999999" x14ac:dyDescent="0.45">
      <c r="B9" s="55"/>
      <c r="C9" s="72" t="s">
        <v>65</v>
      </c>
      <c r="D9" s="55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145"/>
      <c r="T9" s="145"/>
      <c r="AB9" s="57"/>
      <c r="AC9" s="57"/>
      <c r="AD9" s="57"/>
      <c r="AE9" s="57"/>
      <c r="AF9" s="57"/>
    </row>
    <row r="10" spans="2:34" ht="15.6" x14ac:dyDescent="0.3">
      <c r="B10" s="39"/>
      <c r="C10" s="25" t="s">
        <v>254</v>
      </c>
      <c r="D10" s="39"/>
      <c r="E10" s="333">
        <v>0</v>
      </c>
      <c r="F10" s="333">
        <v>192</v>
      </c>
      <c r="G10" s="333">
        <v>163</v>
      </c>
      <c r="H10" s="333">
        <v>81</v>
      </c>
      <c r="I10" s="333">
        <v>148</v>
      </c>
      <c r="J10" s="333">
        <v>144</v>
      </c>
      <c r="K10" s="333">
        <v>134</v>
      </c>
      <c r="L10" s="333">
        <v>58</v>
      </c>
      <c r="M10" s="333">
        <v>30</v>
      </c>
      <c r="N10" s="270"/>
      <c r="O10" s="270"/>
      <c r="P10" s="270"/>
      <c r="Q10" s="270"/>
      <c r="R10" s="270"/>
      <c r="S10" s="270"/>
      <c r="T10" s="270"/>
      <c r="U10" s="94"/>
    </row>
    <row r="11" spans="2:34" ht="15.6" x14ac:dyDescent="0.3">
      <c r="B11" s="39"/>
      <c r="C11" s="97" t="s">
        <v>49</v>
      </c>
      <c r="D11" s="39"/>
      <c r="E11" s="40">
        <f t="shared" ref="E11:U11" si="2">+E10+D11</f>
        <v>0</v>
      </c>
      <c r="F11" s="40">
        <f t="shared" si="2"/>
        <v>192</v>
      </c>
      <c r="G11" s="40">
        <f t="shared" si="2"/>
        <v>355</v>
      </c>
      <c r="H11" s="40">
        <f t="shared" si="2"/>
        <v>436</v>
      </c>
      <c r="I11" s="40">
        <f t="shared" si="2"/>
        <v>584</v>
      </c>
      <c r="J11" s="40">
        <f t="shared" si="2"/>
        <v>728</v>
      </c>
      <c r="K11" s="40">
        <f t="shared" si="2"/>
        <v>862</v>
      </c>
      <c r="L11" s="40">
        <f t="shared" si="2"/>
        <v>920</v>
      </c>
      <c r="M11" s="40">
        <f t="shared" si="2"/>
        <v>950</v>
      </c>
      <c r="N11" s="40">
        <f t="shared" si="2"/>
        <v>950</v>
      </c>
      <c r="O11" s="40">
        <f t="shared" si="2"/>
        <v>950</v>
      </c>
      <c r="P11" s="40">
        <f t="shared" si="2"/>
        <v>950</v>
      </c>
      <c r="Q11" s="40">
        <f t="shared" si="2"/>
        <v>950</v>
      </c>
      <c r="R11" s="40">
        <f t="shared" si="2"/>
        <v>950</v>
      </c>
      <c r="S11" s="40">
        <f t="shared" si="2"/>
        <v>950</v>
      </c>
      <c r="T11" s="40">
        <f t="shared" si="2"/>
        <v>950</v>
      </c>
      <c r="U11" s="40">
        <f t="shared" si="2"/>
        <v>950</v>
      </c>
    </row>
    <row r="12" spans="2:34" ht="17.399999999999999" x14ac:dyDescent="0.45">
      <c r="B12" s="39"/>
      <c r="C12" s="25" t="s">
        <v>22</v>
      </c>
      <c r="D12" s="39"/>
      <c r="E12" s="47">
        <f>IF(E10=0,0,$G$105*(1+$D$99)^E6)</f>
        <v>0</v>
      </c>
      <c r="F12" s="47">
        <f>IF(F10=0,0,$G$105*(1+$D$99)^F6)</f>
        <v>300900</v>
      </c>
      <c r="G12" s="47">
        <f>IF(G10=0,0,$G$105*(1+$D$99)^G6)</f>
        <v>306918</v>
      </c>
      <c r="H12" s="47">
        <f t="shared" ref="H12:U12" si="3">IF(H10=0,0,$G$105*(1+$D$99)^H6)</f>
        <v>313056.36</v>
      </c>
      <c r="I12" s="47">
        <f t="shared" si="3"/>
        <v>319317.48719999997</v>
      </c>
      <c r="J12" s="47">
        <f t="shared" si="3"/>
        <v>325703.83694399998</v>
      </c>
      <c r="K12" s="47">
        <f t="shared" si="3"/>
        <v>332217.91368288</v>
      </c>
      <c r="L12" s="47">
        <f t="shared" si="3"/>
        <v>338862.27195653756</v>
      </c>
      <c r="M12" s="47">
        <f t="shared" si="3"/>
        <v>345639.51739566831</v>
      </c>
      <c r="N12" s="47">
        <f t="shared" si="3"/>
        <v>0</v>
      </c>
      <c r="O12" s="47">
        <f t="shared" si="3"/>
        <v>0</v>
      </c>
      <c r="P12" s="47">
        <f t="shared" si="3"/>
        <v>0</v>
      </c>
      <c r="Q12" s="47">
        <f t="shared" si="3"/>
        <v>0</v>
      </c>
      <c r="R12" s="47">
        <f t="shared" si="3"/>
        <v>0</v>
      </c>
      <c r="S12" s="47">
        <f t="shared" si="3"/>
        <v>0</v>
      </c>
      <c r="T12" s="47">
        <f t="shared" si="3"/>
        <v>0</v>
      </c>
      <c r="U12" s="47">
        <f t="shared" si="3"/>
        <v>0</v>
      </c>
    </row>
    <row r="13" spans="2:34" ht="18" customHeight="1" x14ac:dyDescent="0.45">
      <c r="B13" s="39"/>
      <c r="C13" s="97" t="s">
        <v>72</v>
      </c>
      <c r="D13" s="39"/>
      <c r="E13" s="47">
        <f>$E$12</f>
        <v>0</v>
      </c>
      <c r="F13" s="47">
        <f>IF(F10=0,0,$G$105)</f>
        <v>295000</v>
      </c>
      <c r="G13" s="47">
        <f>IF(G10=0,0,$G$105)</f>
        <v>295000</v>
      </c>
      <c r="H13" s="47">
        <f t="shared" ref="H13:U13" si="4">IF(H10=0,0,$G$105)</f>
        <v>295000</v>
      </c>
      <c r="I13" s="47">
        <f t="shared" si="4"/>
        <v>295000</v>
      </c>
      <c r="J13" s="47">
        <f t="shared" si="4"/>
        <v>295000</v>
      </c>
      <c r="K13" s="47">
        <f t="shared" si="4"/>
        <v>295000</v>
      </c>
      <c r="L13" s="47">
        <f t="shared" si="4"/>
        <v>295000</v>
      </c>
      <c r="M13" s="47">
        <f t="shared" si="4"/>
        <v>295000</v>
      </c>
      <c r="N13" s="47">
        <f t="shared" si="4"/>
        <v>0</v>
      </c>
      <c r="O13" s="47">
        <f t="shared" si="4"/>
        <v>0</v>
      </c>
      <c r="P13" s="47">
        <f t="shared" si="4"/>
        <v>0</v>
      </c>
      <c r="Q13" s="47">
        <f t="shared" si="4"/>
        <v>0</v>
      </c>
      <c r="R13" s="47">
        <f t="shared" si="4"/>
        <v>0</v>
      </c>
      <c r="S13" s="47">
        <f t="shared" si="4"/>
        <v>0</v>
      </c>
      <c r="T13" s="47">
        <f t="shared" si="4"/>
        <v>0</v>
      </c>
      <c r="U13" s="47">
        <f t="shared" si="4"/>
        <v>0</v>
      </c>
    </row>
    <row r="14" spans="2:34" ht="18" customHeight="1" x14ac:dyDescent="0.45">
      <c r="B14" s="39"/>
      <c r="C14" s="25" t="s">
        <v>73</v>
      </c>
      <c r="D14" s="39"/>
      <c r="E14" s="47">
        <f t="shared" ref="E14:U14" si="5">E13*E10</f>
        <v>0</v>
      </c>
      <c r="F14" s="47">
        <f t="shared" si="5"/>
        <v>56640000</v>
      </c>
      <c r="G14" s="47">
        <f t="shared" si="5"/>
        <v>48085000</v>
      </c>
      <c r="H14" s="47">
        <f t="shared" si="5"/>
        <v>23895000</v>
      </c>
      <c r="I14" s="47">
        <f t="shared" si="5"/>
        <v>43660000</v>
      </c>
      <c r="J14" s="47">
        <f t="shared" si="5"/>
        <v>42480000</v>
      </c>
      <c r="K14" s="47">
        <f t="shared" si="5"/>
        <v>39530000</v>
      </c>
      <c r="L14" s="47">
        <f t="shared" si="5"/>
        <v>17110000</v>
      </c>
      <c r="M14" s="47">
        <f t="shared" si="5"/>
        <v>8850000</v>
      </c>
      <c r="N14" s="47">
        <f t="shared" si="5"/>
        <v>0</v>
      </c>
      <c r="O14" s="47">
        <f t="shared" si="5"/>
        <v>0</v>
      </c>
      <c r="P14" s="47">
        <f t="shared" si="5"/>
        <v>0</v>
      </c>
      <c r="Q14" s="47">
        <f t="shared" si="5"/>
        <v>0</v>
      </c>
      <c r="R14" s="47">
        <f t="shared" si="5"/>
        <v>0</v>
      </c>
      <c r="S14" s="47">
        <f t="shared" si="5"/>
        <v>0</v>
      </c>
      <c r="T14" s="47">
        <f t="shared" si="5"/>
        <v>0</v>
      </c>
      <c r="U14" s="47">
        <f t="shared" si="5"/>
        <v>0</v>
      </c>
    </row>
    <row r="15" spans="2:34" ht="17.399999999999999" x14ac:dyDescent="0.45">
      <c r="B15" s="39" t="s">
        <v>264</v>
      </c>
      <c r="C15" s="25" t="s">
        <v>66</v>
      </c>
      <c r="D15" s="39"/>
      <c r="E15" s="47">
        <f t="shared" ref="E15:U15" si="6">E10*E12</f>
        <v>0</v>
      </c>
      <c r="F15" s="47">
        <f t="shared" si="6"/>
        <v>57772800</v>
      </c>
      <c r="G15" s="47">
        <f t="shared" si="6"/>
        <v>50027634</v>
      </c>
      <c r="H15" s="47">
        <f t="shared" si="6"/>
        <v>25357565.16</v>
      </c>
      <c r="I15" s="47">
        <f t="shared" si="6"/>
        <v>47258988.105599999</v>
      </c>
      <c r="J15" s="47">
        <f t="shared" si="6"/>
        <v>46901352.519935995</v>
      </c>
      <c r="K15" s="47">
        <f t="shared" si="6"/>
        <v>44517200.433505923</v>
      </c>
      <c r="L15" s="47">
        <f t="shared" si="6"/>
        <v>19654011.773479179</v>
      </c>
      <c r="M15" s="47">
        <f t="shared" si="6"/>
        <v>10369185.521870049</v>
      </c>
      <c r="N15" s="47">
        <f t="shared" si="6"/>
        <v>0</v>
      </c>
      <c r="O15" s="47">
        <f t="shared" si="6"/>
        <v>0</v>
      </c>
      <c r="P15" s="47">
        <f t="shared" si="6"/>
        <v>0</v>
      </c>
      <c r="Q15" s="47">
        <f t="shared" si="6"/>
        <v>0</v>
      </c>
      <c r="R15" s="47">
        <f t="shared" si="6"/>
        <v>0</v>
      </c>
      <c r="S15" s="47">
        <f t="shared" si="6"/>
        <v>0</v>
      </c>
      <c r="T15" s="47">
        <f t="shared" si="6"/>
        <v>0</v>
      </c>
      <c r="U15" s="47">
        <f t="shared" si="6"/>
        <v>0</v>
      </c>
    </row>
    <row r="16" spans="2:34" ht="17.399999999999999" x14ac:dyDescent="0.45">
      <c r="B16" s="39"/>
      <c r="C16" s="39"/>
      <c r="D16" s="39"/>
      <c r="E16" s="45"/>
      <c r="F16" s="45">
        <v>57257365.448828414</v>
      </c>
      <c r="G16" s="45">
        <v>49555580.746322379</v>
      </c>
      <c r="H16" s="45">
        <v>25080765.529745273</v>
      </c>
      <c r="I16" s="45">
        <v>46851187.779587835</v>
      </c>
      <c r="J16" s="45">
        <v>46516524.876456894</v>
      </c>
      <c r="K16" s="45">
        <v>44088067.436428994</v>
      </c>
      <c r="L16" s="45">
        <v>19497095.924551811</v>
      </c>
      <c r="M16" s="45">
        <v>10268469.127019912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>
        <v>0</v>
      </c>
      <c r="AH16">
        <v>0</v>
      </c>
    </row>
    <row r="17" spans="2:32" ht="18" hidden="1" customHeight="1" outlineLevel="1" x14ac:dyDescent="0.45">
      <c r="B17" s="39"/>
      <c r="C17" s="72" t="s">
        <v>68</v>
      </c>
      <c r="D17" s="39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spans="2:32" ht="15.75" hidden="1" customHeight="1" outlineLevel="1" x14ac:dyDescent="0.3">
      <c r="B18" s="39"/>
      <c r="C18" s="25" t="s">
        <v>21</v>
      </c>
      <c r="D18" s="39"/>
      <c r="E18" s="265">
        <v>0</v>
      </c>
      <c r="F18" s="265">
        <v>0</v>
      </c>
      <c r="G18" s="265">
        <v>0</v>
      </c>
      <c r="H18" s="265">
        <v>0</v>
      </c>
      <c r="I18" s="265">
        <v>0</v>
      </c>
      <c r="J18" s="265">
        <v>0</v>
      </c>
      <c r="K18" s="265">
        <v>0</v>
      </c>
      <c r="L18" s="265">
        <v>0</v>
      </c>
      <c r="M18" s="265">
        <v>0</v>
      </c>
      <c r="N18" s="265">
        <v>0</v>
      </c>
      <c r="O18" s="265">
        <v>0</v>
      </c>
      <c r="P18" s="265">
        <v>0</v>
      </c>
      <c r="Q18" s="265">
        <v>0</v>
      </c>
      <c r="R18" s="265">
        <v>0</v>
      </c>
      <c r="S18" s="265">
        <v>0</v>
      </c>
      <c r="T18" s="265">
        <v>0</v>
      </c>
      <c r="U18" s="94">
        <v>0</v>
      </c>
    </row>
    <row r="19" spans="2:32" ht="15.75" hidden="1" customHeight="1" outlineLevel="1" x14ac:dyDescent="0.3">
      <c r="B19" s="39"/>
      <c r="C19" s="97" t="s">
        <v>49</v>
      </c>
      <c r="D19" s="39"/>
      <c r="E19" s="40">
        <f t="shared" ref="E19:U19" si="7">+E18+D19</f>
        <v>0</v>
      </c>
      <c r="F19" s="40">
        <f t="shared" si="7"/>
        <v>0</v>
      </c>
      <c r="G19" s="40">
        <f t="shared" si="7"/>
        <v>0</v>
      </c>
      <c r="H19" s="40">
        <f t="shared" si="7"/>
        <v>0</v>
      </c>
      <c r="I19" s="40">
        <f t="shared" si="7"/>
        <v>0</v>
      </c>
      <c r="J19" s="40">
        <f t="shared" si="7"/>
        <v>0</v>
      </c>
      <c r="K19" s="40">
        <f t="shared" si="7"/>
        <v>0</v>
      </c>
      <c r="L19" s="40">
        <f t="shared" si="7"/>
        <v>0</v>
      </c>
      <c r="M19" s="40">
        <f t="shared" si="7"/>
        <v>0</v>
      </c>
      <c r="N19" s="40">
        <f t="shared" si="7"/>
        <v>0</v>
      </c>
      <c r="O19" s="40">
        <f t="shared" si="7"/>
        <v>0</v>
      </c>
      <c r="P19" s="40">
        <f t="shared" si="7"/>
        <v>0</v>
      </c>
      <c r="Q19" s="40">
        <f t="shared" si="7"/>
        <v>0</v>
      </c>
      <c r="R19" s="40">
        <f t="shared" si="7"/>
        <v>0</v>
      </c>
      <c r="S19" s="40">
        <f t="shared" si="7"/>
        <v>0</v>
      </c>
      <c r="T19" s="40">
        <f t="shared" si="7"/>
        <v>0</v>
      </c>
      <c r="U19" s="40">
        <f t="shared" si="7"/>
        <v>0</v>
      </c>
    </row>
    <row r="20" spans="2:32" ht="18" hidden="1" customHeight="1" outlineLevel="1" x14ac:dyDescent="0.45">
      <c r="B20" s="39"/>
      <c r="C20" s="25" t="s">
        <v>22</v>
      </c>
      <c r="D20" s="39"/>
      <c r="E20" s="47">
        <v>0</v>
      </c>
      <c r="F20" s="47">
        <f t="shared" ref="F20:U20" si="8">IF(F18=0,0,$E$20*(1+$D$99)^F6)</f>
        <v>0</v>
      </c>
      <c r="G20" s="47">
        <f t="shared" si="8"/>
        <v>0</v>
      </c>
      <c r="H20" s="47">
        <f t="shared" si="8"/>
        <v>0</v>
      </c>
      <c r="I20" s="47">
        <f t="shared" si="8"/>
        <v>0</v>
      </c>
      <c r="J20" s="47">
        <f t="shared" si="8"/>
        <v>0</v>
      </c>
      <c r="K20" s="47">
        <f t="shared" si="8"/>
        <v>0</v>
      </c>
      <c r="L20" s="47">
        <f t="shared" si="8"/>
        <v>0</v>
      </c>
      <c r="M20" s="47">
        <f t="shared" si="8"/>
        <v>0</v>
      </c>
      <c r="N20" s="47">
        <f t="shared" si="8"/>
        <v>0</v>
      </c>
      <c r="O20" s="47">
        <f t="shared" si="8"/>
        <v>0</v>
      </c>
      <c r="P20" s="47">
        <f t="shared" si="8"/>
        <v>0</v>
      </c>
      <c r="Q20" s="47">
        <f t="shared" si="8"/>
        <v>0</v>
      </c>
      <c r="R20" s="47">
        <f t="shared" si="8"/>
        <v>0</v>
      </c>
      <c r="S20" s="47">
        <f t="shared" si="8"/>
        <v>0</v>
      </c>
      <c r="T20" s="47">
        <f t="shared" si="8"/>
        <v>0</v>
      </c>
      <c r="U20" s="47">
        <f t="shared" si="8"/>
        <v>0</v>
      </c>
    </row>
    <row r="21" spans="2:32" ht="18" hidden="1" customHeight="1" outlineLevel="1" x14ac:dyDescent="0.45">
      <c r="B21" s="39"/>
      <c r="C21" s="25" t="s">
        <v>72</v>
      </c>
      <c r="D21" s="39"/>
      <c r="E21" s="47">
        <v>0</v>
      </c>
      <c r="F21" s="47">
        <f t="shared" ref="F21:U21" si="9">IF(F18=0,0,$E$20)</f>
        <v>0</v>
      </c>
      <c r="G21" s="47">
        <f t="shared" si="9"/>
        <v>0</v>
      </c>
      <c r="H21" s="47">
        <f t="shared" si="9"/>
        <v>0</v>
      </c>
      <c r="I21" s="47">
        <f t="shared" si="9"/>
        <v>0</v>
      </c>
      <c r="J21" s="47">
        <f t="shared" si="9"/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7">
        <f t="shared" si="9"/>
        <v>0</v>
      </c>
    </row>
    <row r="22" spans="2:32" ht="18" hidden="1" customHeight="1" outlineLevel="1" x14ac:dyDescent="0.45">
      <c r="B22" s="39"/>
      <c r="C22" s="25" t="s">
        <v>73</v>
      </c>
      <c r="D22" s="39"/>
      <c r="E22" s="47">
        <f t="shared" ref="E22:U22" si="10">E21*E18</f>
        <v>0</v>
      </c>
      <c r="F22" s="47">
        <f t="shared" si="10"/>
        <v>0</v>
      </c>
      <c r="G22" s="47">
        <f t="shared" si="10"/>
        <v>0</v>
      </c>
      <c r="H22" s="47">
        <f t="shared" si="10"/>
        <v>0</v>
      </c>
      <c r="I22" s="47">
        <f t="shared" si="10"/>
        <v>0</v>
      </c>
      <c r="J22" s="47">
        <f t="shared" si="10"/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7">
        <f t="shared" si="10"/>
        <v>0</v>
      </c>
    </row>
    <row r="23" spans="2:32" ht="18" hidden="1" customHeight="1" outlineLevel="1" x14ac:dyDescent="0.45">
      <c r="B23" s="39"/>
      <c r="C23" s="25" t="s">
        <v>67</v>
      </c>
      <c r="D23" s="39"/>
      <c r="E23" s="47">
        <f t="shared" ref="E23:U23" si="11">E18*E20</f>
        <v>0</v>
      </c>
      <c r="F23" s="47">
        <f t="shared" si="11"/>
        <v>0</v>
      </c>
      <c r="G23" s="47">
        <f t="shared" si="11"/>
        <v>0</v>
      </c>
      <c r="H23" s="47">
        <f t="shared" si="11"/>
        <v>0</v>
      </c>
      <c r="I23" s="47">
        <f t="shared" si="11"/>
        <v>0</v>
      </c>
      <c r="J23" s="47">
        <f t="shared" si="11"/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7">
        <f t="shared" si="11"/>
        <v>0</v>
      </c>
    </row>
    <row r="24" spans="2:32" ht="18" hidden="1" customHeight="1" outlineLevel="1" x14ac:dyDescent="0.45">
      <c r="B24" s="39"/>
      <c r="C24" s="25"/>
      <c r="D24" s="39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2:32" ht="17.399999999999999" collapsed="1" x14ac:dyDescent="0.45">
      <c r="B25" s="39"/>
      <c r="C25" s="32" t="s">
        <v>82</v>
      </c>
      <c r="D25" s="39"/>
      <c r="E25" s="47"/>
      <c r="F25" s="334">
        <f t="shared" ref="F25:K25" si="12">1-(F16/F15)</f>
        <v>8.9217512596166948E-3</v>
      </c>
      <c r="G25" s="334">
        <f t="shared" si="12"/>
        <v>9.4358500679369017E-3</v>
      </c>
      <c r="H25" s="334">
        <f t="shared" si="12"/>
        <v>1.091585996164024E-2</v>
      </c>
      <c r="I25" s="334">
        <f t="shared" si="12"/>
        <v>8.6290532734415448E-3</v>
      </c>
      <c r="J25" s="334">
        <f t="shared" si="12"/>
        <v>8.2050436246060565E-3</v>
      </c>
      <c r="K25" s="334">
        <f t="shared" si="12"/>
        <v>9.6397121314470979E-3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2:32" s="113" customFormat="1" ht="17.399999999999999" x14ac:dyDescent="0.45">
      <c r="B26" s="115"/>
      <c r="C26" s="120" t="s">
        <v>86</v>
      </c>
      <c r="D26" s="115"/>
      <c r="E26" s="266">
        <v>0</v>
      </c>
      <c r="F26" s="266">
        <v>0</v>
      </c>
      <c r="G26" s="266">
        <v>0</v>
      </c>
      <c r="H26" s="266">
        <f>U113+U119</f>
        <v>0</v>
      </c>
      <c r="I26" s="266">
        <f>U113+U119</f>
        <v>0</v>
      </c>
      <c r="J26" s="266">
        <f>U113+U119+U125</f>
        <v>0</v>
      </c>
      <c r="K26" s="266">
        <f>U113+U119+U125</f>
        <v>0</v>
      </c>
      <c r="L26" s="266">
        <f>U113+U119</f>
        <v>0</v>
      </c>
      <c r="M26" s="266">
        <f>L130-L26-K26-J26-I26-H26</f>
        <v>0</v>
      </c>
      <c r="N26" s="266">
        <v>0</v>
      </c>
      <c r="O26" s="266">
        <v>0</v>
      </c>
      <c r="P26" s="266">
        <v>0</v>
      </c>
      <c r="Q26" s="266">
        <v>0</v>
      </c>
      <c r="R26" s="266">
        <v>0</v>
      </c>
      <c r="S26" s="266">
        <v>0</v>
      </c>
      <c r="T26" s="266">
        <v>0</v>
      </c>
      <c r="U26" s="266">
        <v>0</v>
      </c>
      <c r="V26" s="135"/>
      <c r="AB26" s="117"/>
      <c r="AC26" s="117"/>
      <c r="AD26" s="117"/>
      <c r="AE26" s="117"/>
      <c r="AF26" s="117"/>
    </row>
    <row r="27" spans="2:32" ht="17.399999999999999" x14ac:dyDescent="0.45">
      <c r="B27" s="39"/>
      <c r="C27" s="97" t="s">
        <v>49</v>
      </c>
      <c r="E27" s="114">
        <f>E26</f>
        <v>0</v>
      </c>
      <c r="F27" s="45">
        <f>E27+F26</f>
        <v>0</v>
      </c>
      <c r="G27" s="45">
        <f>F27+G26</f>
        <v>0</v>
      </c>
      <c r="H27" s="45">
        <f>G27+H26</f>
        <v>0</v>
      </c>
      <c r="I27" s="45">
        <f t="shared" ref="I27:U27" si="13">H27+I26</f>
        <v>0</v>
      </c>
      <c r="J27" s="45">
        <f t="shared" si="13"/>
        <v>0</v>
      </c>
      <c r="K27" s="45">
        <f t="shared" si="13"/>
        <v>0</v>
      </c>
      <c r="L27" s="45">
        <f t="shared" si="13"/>
        <v>0</v>
      </c>
      <c r="M27" s="45">
        <f t="shared" si="13"/>
        <v>0</v>
      </c>
      <c r="N27" s="45">
        <f t="shared" si="13"/>
        <v>0</v>
      </c>
      <c r="O27" s="45">
        <f t="shared" si="13"/>
        <v>0</v>
      </c>
      <c r="P27" s="45">
        <f t="shared" si="13"/>
        <v>0</v>
      </c>
      <c r="Q27" s="45">
        <f t="shared" si="13"/>
        <v>0</v>
      </c>
      <c r="R27" s="45">
        <f t="shared" si="13"/>
        <v>0</v>
      </c>
      <c r="S27" s="45">
        <f t="shared" si="13"/>
        <v>0</v>
      </c>
      <c r="T27" s="45">
        <f t="shared" si="13"/>
        <v>0</v>
      </c>
      <c r="U27" s="45">
        <f t="shared" si="13"/>
        <v>0</v>
      </c>
    </row>
    <row r="28" spans="2:32" ht="17.399999999999999" x14ac:dyDescent="0.45">
      <c r="B28" s="39"/>
      <c r="C28" s="25" t="s">
        <v>87</v>
      </c>
      <c r="D28" s="39"/>
      <c r="E28" s="47">
        <v>0</v>
      </c>
      <c r="F28" s="47">
        <v>0</v>
      </c>
      <c r="G28" s="47">
        <v>0</v>
      </c>
      <c r="H28" s="47">
        <f>IF(H26=0,0,$G$105*(1+$D$99)^H6)</f>
        <v>0</v>
      </c>
      <c r="I28" s="47">
        <f t="shared" ref="I28:U28" si="14">IF(I26=0,0,$G$105*(1+$D$99)^I6)</f>
        <v>0</v>
      </c>
      <c r="J28" s="47">
        <f t="shared" si="14"/>
        <v>0</v>
      </c>
      <c r="K28" s="47">
        <f t="shared" si="14"/>
        <v>0</v>
      </c>
      <c r="L28" s="47">
        <f t="shared" si="14"/>
        <v>0</v>
      </c>
      <c r="M28" s="47">
        <f t="shared" si="14"/>
        <v>0</v>
      </c>
      <c r="N28" s="47">
        <f t="shared" si="14"/>
        <v>0</v>
      </c>
      <c r="O28" s="47">
        <f t="shared" si="14"/>
        <v>0</v>
      </c>
      <c r="P28" s="47">
        <f t="shared" si="14"/>
        <v>0</v>
      </c>
      <c r="Q28" s="47">
        <f t="shared" si="14"/>
        <v>0</v>
      </c>
      <c r="R28" s="47">
        <f t="shared" si="14"/>
        <v>0</v>
      </c>
      <c r="S28" s="47">
        <f t="shared" si="14"/>
        <v>0</v>
      </c>
      <c r="T28" s="47">
        <f t="shared" si="14"/>
        <v>0</v>
      </c>
      <c r="U28" s="47">
        <f t="shared" si="14"/>
        <v>0</v>
      </c>
    </row>
    <row r="29" spans="2:32" ht="18" customHeight="1" x14ac:dyDescent="0.45">
      <c r="B29" s="39"/>
      <c r="C29" s="25" t="s">
        <v>72</v>
      </c>
      <c r="D29" s="39"/>
      <c r="E29" s="47">
        <f>E28</f>
        <v>0</v>
      </c>
      <c r="F29" s="47">
        <f>IF(F26=0,0,$G$105)</f>
        <v>0</v>
      </c>
      <c r="G29" s="47">
        <f>IF(G26=0,0,$G$105)</f>
        <v>0</v>
      </c>
      <c r="H29" s="47">
        <f>IF(H26=0,0,$G$105)</f>
        <v>0</v>
      </c>
      <c r="I29" s="47">
        <f t="shared" ref="I29:U29" si="15">IF(I26=0,0,$G$105)</f>
        <v>0</v>
      </c>
      <c r="J29" s="47">
        <f t="shared" si="15"/>
        <v>0</v>
      </c>
      <c r="K29" s="47">
        <f t="shared" si="15"/>
        <v>0</v>
      </c>
      <c r="L29" s="47">
        <f t="shared" si="15"/>
        <v>0</v>
      </c>
      <c r="M29" s="47">
        <f t="shared" si="15"/>
        <v>0</v>
      </c>
      <c r="N29" s="47">
        <f t="shared" si="15"/>
        <v>0</v>
      </c>
      <c r="O29" s="47">
        <f t="shared" si="15"/>
        <v>0</v>
      </c>
      <c r="P29" s="47">
        <f t="shared" si="15"/>
        <v>0</v>
      </c>
      <c r="Q29" s="47">
        <f t="shared" si="15"/>
        <v>0</v>
      </c>
      <c r="R29" s="47">
        <f t="shared" si="15"/>
        <v>0</v>
      </c>
      <c r="S29" s="47">
        <f t="shared" si="15"/>
        <v>0</v>
      </c>
      <c r="T29" s="47">
        <f t="shared" si="15"/>
        <v>0</v>
      </c>
      <c r="U29" s="47">
        <f t="shared" si="15"/>
        <v>0</v>
      </c>
    </row>
    <row r="30" spans="2:32" ht="18" customHeight="1" x14ac:dyDescent="0.45">
      <c r="B30" s="39"/>
      <c r="C30" s="25" t="s">
        <v>73</v>
      </c>
      <c r="D30" s="39"/>
      <c r="E30" s="47">
        <f>E26*E28</f>
        <v>0</v>
      </c>
      <c r="F30" s="47">
        <f>F26*F29</f>
        <v>0</v>
      </c>
      <c r="G30" s="47">
        <f>G26*G29</f>
        <v>0</v>
      </c>
      <c r="H30" s="47">
        <f t="shared" ref="H30:U30" si="16">H26*H29</f>
        <v>0</v>
      </c>
      <c r="I30" s="47">
        <f t="shared" si="16"/>
        <v>0</v>
      </c>
      <c r="J30" s="47">
        <f t="shared" si="16"/>
        <v>0</v>
      </c>
      <c r="K30" s="47">
        <f t="shared" si="16"/>
        <v>0</v>
      </c>
      <c r="L30" s="47">
        <f t="shared" si="16"/>
        <v>0</v>
      </c>
      <c r="M30" s="47">
        <f t="shared" si="16"/>
        <v>0</v>
      </c>
      <c r="N30" s="47">
        <f t="shared" si="16"/>
        <v>0</v>
      </c>
      <c r="O30" s="47">
        <f t="shared" si="16"/>
        <v>0</v>
      </c>
      <c r="P30" s="47">
        <f t="shared" si="16"/>
        <v>0</v>
      </c>
      <c r="Q30" s="47">
        <f t="shared" si="16"/>
        <v>0</v>
      </c>
      <c r="R30" s="47">
        <f t="shared" si="16"/>
        <v>0</v>
      </c>
      <c r="S30" s="47">
        <f t="shared" si="16"/>
        <v>0</v>
      </c>
      <c r="T30" s="47">
        <f t="shared" si="16"/>
        <v>0</v>
      </c>
      <c r="U30" s="47">
        <f t="shared" si="16"/>
        <v>0</v>
      </c>
    </row>
    <row r="31" spans="2:32" ht="17.399999999999999" x14ac:dyDescent="0.45">
      <c r="B31" s="39" t="s">
        <v>264</v>
      </c>
      <c r="C31" s="25" t="s">
        <v>88</v>
      </c>
      <c r="D31" s="39"/>
      <c r="E31" s="47">
        <f t="shared" ref="E31:R31" si="17">E26*E28</f>
        <v>0</v>
      </c>
      <c r="F31" s="47">
        <f t="shared" si="17"/>
        <v>0</v>
      </c>
      <c r="G31" s="47">
        <f t="shared" si="17"/>
        <v>0</v>
      </c>
      <c r="H31" s="47">
        <f t="shared" si="17"/>
        <v>0</v>
      </c>
      <c r="I31" s="47">
        <f t="shared" si="17"/>
        <v>0</v>
      </c>
      <c r="J31" s="47">
        <f t="shared" si="17"/>
        <v>0</v>
      </c>
      <c r="K31" s="47">
        <f t="shared" si="17"/>
        <v>0</v>
      </c>
      <c r="L31" s="47">
        <f t="shared" si="17"/>
        <v>0</v>
      </c>
      <c r="M31" s="47">
        <f t="shared" si="17"/>
        <v>0</v>
      </c>
      <c r="N31" s="47">
        <f t="shared" si="17"/>
        <v>0</v>
      </c>
      <c r="O31" s="47">
        <f t="shared" si="17"/>
        <v>0</v>
      </c>
      <c r="P31" s="47">
        <f t="shared" si="17"/>
        <v>0</v>
      </c>
      <c r="Q31" s="47">
        <f t="shared" si="17"/>
        <v>0</v>
      </c>
      <c r="R31" s="47">
        <f t="shared" si="17"/>
        <v>0</v>
      </c>
      <c r="S31" s="47">
        <f>S26*S28</f>
        <v>0</v>
      </c>
      <c r="T31" s="47">
        <f>T26*T28</f>
        <v>0</v>
      </c>
      <c r="U31" s="47">
        <f>U26*U28</f>
        <v>0</v>
      </c>
    </row>
    <row r="32" spans="2:32" ht="17.399999999999999" x14ac:dyDescent="0.45">
      <c r="B32" s="39"/>
      <c r="C32" s="100"/>
      <c r="D32" s="39"/>
      <c r="E32" s="101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32" ht="17.399999999999999" x14ac:dyDescent="0.45">
      <c r="B33" s="39"/>
      <c r="C33" s="72" t="s">
        <v>8</v>
      </c>
      <c r="D33" s="39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1:32" ht="15.6" x14ac:dyDescent="0.3">
      <c r="B34" s="39"/>
      <c r="C34" s="25" t="s">
        <v>21</v>
      </c>
      <c r="D34" s="39"/>
      <c r="E34" s="40">
        <f t="shared" ref="E34:U34" si="18">+E10+E18+E26</f>
        <v>0</v>
      </c>
      <c r="F34" s="40">
        <f t="shared" si="18"/>
        <v>192</v>
      </c>
      <c r="G34" s="40">
        <f t="shared" si="18"/>
        <v>163</v>
      </c>
      <c r="H34" s="40">
        <f t="shared" si="18"/>
        <v>81</v>
      </c>
      <c r="I34" s="40">
        <f t="shared" si="18"/>
        <v>148</v>
      </c>
      <c r="J34" s="40">
        <f t="shared" si="18"/>
        <v>144</v>
      </c>
      <c r="K34" s="40">
        <f t="shared" si="18"/>
        <v>134</v>
      </c>
      <c r="L34" s="40">
        <f t="shared" si="18"/>
        <v>58</v>
      </c>
      <c r="M34" s="40">
        <f t="shared" si="18"/>
        <v>30</v>
      </c>
      <c r="N34" s="40">
        <f t="shared" si="18"/>
        <v>0</v>
      </c>
      <c r="O34" s="40">
        <f t="shared" si="18"/>
        <v>0</v>
      </c>
      <c r="P34" s="40">
        <f t="shared" si="18"/>
        <v>0</v>
      </c>
      <c r="Q34" s="40">
        <f t="shared" si="18"/>
        <v>0</v>
      </c>
      <c r="R34" s="40">
        <f t="shared" si="18"/>
        <v>0</v>
      </c>
      <c r="S34" s="40">
        <f t="shared" si="18"/>
        <v>0</v>
      </c>
      <c r="T34" s="40">
        <f t="shared" si="18"/>
        <v>0</v>
      </c>
      <c r="U34" s="40">
        <f t="shared" si="18"/>
        <v>0</v>
      </c>
    </row>
    <row r="35" spans="1:32" ht="15.6" x14ac:dyDescent="0.3">
      <c r="B35" s="39"/>
      <c r="C35" s="97" t="s">
        <v>49</v>
      </c>
      <c r="D35" s="39"/>
      <c r="E35" s="40">
        <f>+E34</f>
        <v>0</v>
      </c>
      <c r="F35" s="40">
        <f t="shared" ref="F35:U35" si="19">+F34+E35</f>
        <v>192</v>
      </c>
      <c r="G35" s="40">
        <f t="shared" si="19"/>
        <v>355</v>
      </c>
      <c r="H35" s="40">
        <f t="shared" si="19"/>
        <v>436</v>
      </c>
      <c r="I35" s="40">
        <f t="shared" si="19"/>
        <v>584</v>
      </c>
      <c r="J35" s="40">
        <f t="shared" si="19"/>
        <v>728</v>
      </c>
      <c r="K35" s="40">
        <f t="shared" si="19"/>
        <v>862</v>
      </c>
      <c r="L35" s="40">
        <f t="shared" si="19"/>
        <v>920</v>
      </c>
      <c r="M35" s="40">
        <f t="shared" si="19"/>
        <v>950</v>
      </c>
      <c r="N35" s="40">
        <f t="shared" si="19"/>
        <v>950</v>
      </c>
      <c r="O35" s="40">
        <f t="shared" si="19"/>
        <v>950</v>
      </c>
      <c r="P35" s="40">
        <f t="shared" si="19"/>
        <v>950</v>
      </c>
      <c r="Q35" s="40">
        <f t="shared" si="19"/>
        <v>950</v>
      </c>
      <c r="R35" s="40">
        <f t="shared" si="19"/>
        <v>950</v>
      </c>
      <c r="S35" s="40">
        <f t="shared" si="19"/>
        <v>950</v>
      </c>
      <c r="T35" s="40">
        <f t="shared" si="19"/>
        <v>950</v>
      </c>
      <c r="U35" s="40">
        <f t="shared" si="19"/>
        <v>950</v>
      </c>
    </row>
    <row r="36" spans="1:32" ht="17.399999999999999" x14ac:dyDescent="0.45">
      <c r="B36" s="39"/>
      <c r="C36" s="25" t="s">
        <v>22</v>
      </c>
      <c r="D36" s="39"/>
      <c r="E36" s="47">
        <f t="shared" ref="E36:U36" si="20">IF(E10+E18+E26=0,0,(E10*E12+E18*E20+E26*E28)/(E10+E18+E26))</f>
        <v>0</v>
      </c>
      <c r="F36" s="47">
        <f t="shared" si="20"/>
        <v>300900</v>
      </c>
      <c r="G36" s="47">
        <f t="shared" si="20"/>
        <v>306918</v>
      </c>
      <c r="H36" s="47">
        <f t="shared" si="20"/>
        <v>313056.36</v>
      </c>
      <c r="I36" s="47">
        <f t="shared" si="20"/>
        <v>319317.48719999997</v>
      </c>
      <c r="J36" s="47">
        <f t="shared" si="20"/>
        <v>325703.83694399998</v>
      </c>
      <c r="K36" s="47">
        <f t="shared" si="20"/>
        <v>332217.91368288</v>
      </c>
      <c r="L36" s="47">
        <f t="shared" si="20"/>
        <v>338862.27195653756</v>
      </c>
      <c r="M36" s="47">
        <f t="shared" si="20"/>
        <v>345639.51739566831</v>
      </c>
      <c r="N36" s="47">
        <f t="shared" si="20"/>
        <v>0</v>
      </c>
      <c r="O36" s="47">
        <f t="shared" si="20"/>
        <v>0</v>
      </c>
      <c r="P36" s="47">
        <f t="shared" si="20"/>
        <v>0</v>
      </c>
      <c r="Q36" s="47">
        <f t="shared" si="20"/>
        <v>0</v>
      </c>
      <c r="R36" s="47">
        <f t="shared" si="20"/>
        <v>0</v>
      </c>
      <c r="S36" s="47">
        <f t="shared" si="20"/>
        <v>0</v>
      </c>
      <c r="T36" s="47">
        <f t="shared" si="20"/>
        <v>0</v>
      </c>
      <c r="U36" s="47">
        <f t="shared" si="20"/>
        <v>0</v>
      </c>
    </row>
    <row r="37" spans="1:32" ht="18" customHeight="1" x14ac:dyDescent="0.45">
      <c r="B37" s="39"/>
      <c r="C37" s="25" t="s">
        <v>72</v>
      </c>
      <c r="D37" s="39"/>
      <c r="E37" s="47">
        <f>$E$36</f>
        <v>0</v>
      </c>
      <c r="F37" s="47">
        <f t="shared" ref="F37:U37" si="21">IF(F10+F18+F26=0,0,(F10*F13+F18*F21+F26*F29)/(F10+F18+F26))</f>
        <v>295000</v>
      </c>
      <c r="G37" s="47">
        <f t="shared" si="21"/>
        <v>295000</v>
      </c>
      <c r="H37" s="47">
        <f t="shared" si="21"/>
        <v>295000</v>
      </c>
      <c r="I37" s="47">
        <f t="shared" si="21"/>
        <v>295000</v>
      </c>
      <c r="J37" s="47">
        <f t="shared" si="21"/>
        <v>295000</v>
      </c>
      <c r="K37" s="47">
        <f t="shared" si="21"/>
        <v>295000</v>
      </c>
      <c r="L37" s="47">
        <f t="shared" si="21"/>
        <v>295000</v>
      </c>
      <c r="M37" s="47">
        <f t="shared" si="21"/>
        <v>295000</v>
      </c>
      <c r="N37" s="47">
        <f t="shared" si="21"/>
        <v>0</v>
      </c>
      <c r="O37" s="47">
        <f t="shared" si="21"/>
        <v>0</v>
      </c>
      <c r="P37" s="47">
        <f t="shared" si="21"/>
        <v>0</v>
      </c>
      <c r="Q37" s="47">
        <f t="shared" si="21"/>
        <v>0</v>
      </c>
      <c r="R37" s="47">
        <f t="shared" si="21"/>
        <v>0</v>
      </c>
      <c r="S37" s="47">
        <f t="shared" si="21"/>
        <v>0</v>
      </c>
      <c r="T37" s="47">
        <f t="shared" si="21"/>
        <v>0</v>
      </c>
      <c r="U37" s="47">
        <f t="shared" si="21"/>
        <v>0</v>
      </c>
    </row>
    <row r="38" spans="1:32" ht="18" customHeight="1" x14ac:dyDescent="0.45">
      <c r="B38" s="39"/>
      <c r="C38" s="25" t="s">
        <v>73</v>
      </c>
      <c r="D38" s="39"/>
      <c r="E38" s="47">
        <f>+E14+E22+E30</f>
        <v>0</v>
      </c>
      <c r="F38" s="47">
        <f>+F14+F22+F30</f>
        <v>56640000</v>
      </c>
      <c r="G38" s="47">
        <f>+G14+G22+G30</f>
        <v>48085000</v>
      </c>
      <c r="H38" s="47">
        <f>+H14+H22+H30</f>
        <v>23895000</v>
      </c>
      <c r="I38" s="47">
        <f>+I14+I22+I30</f>
        <v>43660000</v>
      </c>
      <c r="J38" s="47">
        <f t="shared" ref="J38:U39" si="22">+J14+J22+J30</f>
        <v>42480000</v>
      </c>
      <c r="K38" s="47">
        <f t="shared" si="22"/>
        <v>39530000</v>
      </c>
      <c r="L38" s="47">
        <f t="shared" si="22"/>
        <v>17110000</v>
      </c>
      <c r="M38" s="47">
        <f t="shared" si="22"/>
        <v>8850000</v>
      </c>
      <c r="N38" s="47">
        <f t="shared" si="22"/>
        <v>0</v>
      </c>
      <c r="O38" s="47">
        <f t="shared" si="22"/>
        <v>0</v>
      </c>
      <c r="P38" s="47">
        <f t="shared" si="22"/>
        <v>0</v>
      </c>
      <c r="Q38" s="47">
        <f t="shared" si="22"/>
        <v>0</v>
      </c>
      <c r="R38" s="47">
        <f t="shared" si="22"/>
        <v>0</v>
      </c>
      <c r="S38" s="47">
        <f t="shared" si="22"/>
        <v>0</v>
      </c>
      <c r="T38" s="47">
        <f t="shared" si="22"/>
        <v>0</v>
      </c>
      <c r="U38" s="47">
        <f t="shared" si="22"/>
        <v>0</v>
      </c>
    </row>
    <row r="39" spans="1:32" s="337" customFormat="1" ht="17.399999999999999" x14ac:dyDescent="0.45">
      <c r="A39" s="113"/>
      <c r="B39" s="115" t="s">
        <v>264</v>
      </c>
      <c r="C39" s="120" t="s">
        <v>69</v>
      </c>
      <c r="D39" s="115"/>
      <c r="E39" s="336">
        <f>+E15+E23+E31</f>
        <v>0</v>
      </c>
      <c r="F39" s="336">
        <f t="shared" ref="F39:R39" si="23">+F15+F23+F31</f>
        <v>57772800</v>
      </c>
      <c r="G39" s="336">
        <f t="shared" si="23"/>
        <v>50027634</v>
      </c>
      <c r="H39" s="336">
        <f t="shared" si="23"/>
        <v>25357565.16</v>
      </c>
      <c r="I39" s="336">
        <f t="shared" si="23"/>
        <v>47258988.105599999</v>
      </c>
      <c r="J39" s="336">
        <f t="shared" si="23"/>
        <v>46901352.519935995</v>
      </c>
      <c r="K39" s="336">
        <f t="shared" si="23"/>
        <v>44517200.433505923</v>
      </c>
      <c r="L39" s="336">
        <f t="shared" si="23"/>
        <v>19654011.773479179</v>
      </c>
      <c r="M39" s="336">
        <f t="shared" si="23"/>
        <v>10369185.521870049</v>
      </c>
      <c r="N39" s="336">
        <f t="shared" si="23"/>
        <v>0</v>
      </c>
      <c r="O39" s="336">
        <f t="shared" si="23"/>
        <v>0</v>
      </c>
      <c r="P39" s="336">
        <f t="shared" si="23"/>
        <v>0</v>
      </c>
      <c r="Q39" s="336">
        <f t="shared" si="23"/>
        <v>0</v>
      </c>
      <c r="R39" s="336">
        <f t="shared" si="23"/>
        <v>0</v>
      </c>
      <c r="S39" s="336">
        <f t="shared" si="22"/>
        <v>0</v>
      </c>
      <c r="T39" s="336">
        <f t="shared" si="22"/>
        <v>0</v>
      </c>
      <c r="U39" s="336">
        <f t="shared" si="22"/>
        <v>0</v>
      </c>
      <c r="AB39" s="338"/>
      <c r="AC39" s="338"/>
      <c r="AD39" s="338"/>
      <c r="AE39" s="338"/>
      <c r="AF39" s="338"/>
    </row>
    <row r="40" spans="1:32" ht="17.399999999999999" x14ac:dyDescent="0.45">
      <c r="B40" s="39"/>
      <c r="C40" s="25" t="s">
        <v>49</v>
      </c>
      <c r="D40" s="39"/>
      <c r="E40" s="47">
        <f>+E39+D40</f>
        <v>0</v>
      </c>
      <c r="F40" s="47">
        <f>+F39+E40</f>
        <v>57772800</v>
      </c>
      <c r="G40" s="47">
        <f t="shared" ref="G40:U40" si="24">+G39+F40</f>
        <v>107800434</v>
      </c>
      <c r="H40" s="47">
        <f t="shared" si="24"/>
        <v>133157999.16</v>
      </c>
      <c r="I40" s="47">
        <f t="shared" si="24"/>
        <v>180416987.2656</v>
      </c>
      <c r="J40" s="47">
        <f t="shared" si="24"/>
        <v>227318339.78553599</v>
      </c>
      <c r="K40" s="47">
        <f t="shared" si="24"/>
        <v>271835540.21904194</v>
      </c>
      <c r="L40" s="47">
        <f t="shared" si="24"/>
        <v>291489551.99252111</v>
      </c>
      <c r="M40" s="47">
        <f t="shared" si="24"/>
        <v>301858737.51439118</v>
      </c>
      <c r="N40" s="47">
        <f t="shared" si="24"/>
        <v>301858737.51439118</v>
      </c>
      <c r="O40" s="47">
        <f t="shared" si="24"/>
        <v>301858737.51439118</v>
      </c>
      <c r="P40" s="47">
        <f t="shared" si="24"/>
        <v>301858737.51439118</v>
      </c>
      <c r="Q40" s="47">
        <f t="shared" si="24"/>
        <v>301858737.51439118</v>
      </c>
      <c r="R40" s="47">
        <f t="shared" si="24"/>
        <v>301858737.51439118</v>
      </c>
      <c r="S40" s="47">
        <f t="shared" si="24"/>
        <v>301858737.51439118</v>
      </c>
      <c r="T40" s="47">
        <f t="shared" si="24"/>
        <v>301858737.51439118</v>
      </c>
      <c r="U40" s="47">
        <f t="shared" si="24"/>
        <v>301858737.51439118</v>
      </c>
    </row>
    <row r="41" spans="1:32" ht="17.399999999999999" x14ac:dyDescent="0.45">
      <c r="B41" s="39"/>
      <c r="C41" s="25"/>
      <c r="D41" s="39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 spans="1:32" ht="17.399999999999999" x14ac:dyDescent="0.45">
      <c r="B42" s="39"/>
      <c r="C42" s="38" t="s">
        <v>92</v>
      </c>
      <c r="D42" s="39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 spans="1:32" ht="17.399999999999999" x14ac:dyDescent="0.45">
      <c r="B43" s="115" t="s">
        <v>264</v>
      </c>
      <c r="C43" s="120" t="s">
        <v>93</v>
      </c>
      <c r="D43" s="39"/>
      <c r="E43" s="47">
        <f>E15*$D$103+D15*$D$104</f>
        <v>0</v>
      </c>
      <c r="F43" s="45">
        <f t="shared" ref="F43:U43" si="25">F15*$D$103+E15*$D$104+D15*$D$105</f>
        <v>14443200</v>
      </c>
      <c r="G43" s="45">
        <f t="shared" si="25"/>
        <v>41393308.5</v>
      </c>
      <c r="H43" s="45">
        <f t="shared" si="25"/>
        <v>45796408.289999999</v>
      </c>
      <c r="I43" s="45">
        <f t="shared" si="25"/>
        <v>37000438.106399998</v>
      </c>
      <c r="J43" s="45">
        <f t="shared" si="25"/>
        <v>41694223.472783998</v>
      </c>
      <c r="K43" s="45">
        <f t="shared" si="25"/>
        <v>46394723.394744478</v>
      </c>
      <c r="L43" s="45">
        <f t="shared" si="25"/>
        <v>38897441.290106758</v>
      </c>
      <c r="M43" s="45">
        <f t="shared" si="25"/>
        <v>23548602.375583582</v>
      </c>
      <c r="N43" s="45">
        <f t="shared" si="25"/>
        <v>10098095.704304818</v>
      </c>
      <c r="O43" s="45">
        <f t="shared" si="25"/>
        <v>2592296.3804675122</v>
      </c>
      <c r="P43" s="45">
        <f t="shared" si="25"/>
        <v>0</v>
      </c>
      <c r="Q43" s="45">
        <f t="shared" si="25"/>
        <v>0</v>
      </c>
      <c r="R43" s="45">
        <f t="shared" si="25"/>
        <v>0</v>
      </c>
      <c r="S43" s="45">
        <f t="shared" si="25"/>
        <v>0</v>
      </c>
      <c r="T43" s="45">
        <f t="shared" si="25"/>
        <v>0</v>
      </c>
      <c r="U43" s="45">
        <f t="shared" si="25"/>
        <v>0</v>
      </c>
    </row>
    <row r="44" spans="1:32" ht="18" customHeight="1" x14ac:dyDescent="0.45">
      <c r="B44" s="39"/>
      <c r="C44" s="120" t="s">
        <v>94</v>
      </c>
      <c r="D44" s="39"/>
      <c r="E44" s="47">
        <f>E23*$D$103+D23*D104</f>
        <v>0</v>
      </c>
      <c r="F44" s="45">
        <f t="shared" ref="F44:U44" si="26">F23*$D$103+E23*$D$104+D23*$D$105</f>
        <v>0</v>
      </c>
      <c r="G44" s="45">
        <f t="shared" si="26"/>
        <v>0</v>
      </c>
      <c r="H44" s="45">
        <f t="shared" si="26"/>
        <v>0</v>
      </c>
      <c r="I44" s="45">
        <f t="shared" si="26"/>
        <v>0</v>
      </c>
      <c r="J44" s="45">
        <f t="shared" si="26"/>
        <v>0</v>
      </c>
      <c r="K44" s="45">
        <f t="shared" si="26"/>
        <v>0</v>
      </c>
      <c r="L44" s="45">
        <f t="shared" si="26"/>
        <v>0</v>
      </c>
      <c r="M44" s="45">
        <f t="shared" si="26"/>
        <v>0</v>
      </c>
      <c r="N44" s="45">
        <f t="shared" si="26"/>
        <v>0</v>
      </c>
      <c r="O44" s="45">
        <f t="shared" si="26"/>
        <v>0</v>
      </c>
      <c r="P44" s="45">
        <f t="shared" si="26"/>
        <v>0</v>
      </c>
      <c r="Q44" s="45">
        <f t="shared" si="26"/>
        <v>0</v>
      </c>
      <c r="R44" s="45">
        <f t="shared" si="26"/>
        <v>0</v>
      </c>
      <c r="S44" s="45">
        <f t="shared" si="26"/>
        <v>0</v>
      </c>
      <c r="T44" s="45">
        <f t="shared" si="26"/>
        <v>0</v>
      </c>
      <c r="U44" s="45">
        <f t="shared" si="26"/>
        <v>0</v>
      </c>
    </row>
    <row r="45" spans="1:32" ht="17.399999999999999" x14ac:dyDescent="0.45">
      <c r="B45" s="39"/>
      <c r="C45" s="120" t="s">
        <v>95</v>
      </c>
      <c r="D45" s="39"/>
      <c r="E45" s="45">
        <f>E31*$D$103+D31*$D$104</f>
        <v>0</v>
      </c>
      <c r="F45" s="45">
        <f t="shared" ref="F45:U45" si="27">F31*$D$103+E31*$D$104+D31*$D$105</f>
        <v>0</v>
      </c>
      <c r="G45" s="45">
        <f t="shared" si="27"/>
        <v>0</v>
      </c>
      <c r="H45" s="45">
        <f t="shared" si="27"/>
        <v>0</v>
      </c>
      <c r="I45" s="45">
        <f t="shared" si="27"/>
        <v>0</v>
      </c>
      <c r="J45" s="45">
        <f t="shared" si="27"/>
        <v>0</v>
      </c>
      <c r="K45" s="45">
        <f t="shared" si="27"/>
        <v>0</v>
      </c>
      <c r="L45" s="45">
        <f t="shared" si="27"/>
        <v>0</v>
      </c>
      <c r="M45" s="45">
        <f t="shared" si="27"/>
        <v>0</v>
      </c>
      <c r="N45" s="45">
        <f t="shared" si="27"/>
        <v>0</v>
      </c>
      <c r="O45" s="45">
        <f t="shared" si="27"/>
        <v>0</v>
      </c>
      <c r="P45" s="45">
        <f t="shared" si="27"/>
        <v>0</v>
      </c>
      <c r="Q45" s="45">
        <f t="shared" si="27"/>
        <v>0</v>
      </c>
      <c r="R45" s="45">
        <f t="shared" si="27"/>
        <v>0</v>
      </c>
      <c r="S45" s="45">
        <f t="shared" si="27"/>
        <v>0</v>
      </c>
      <c r="T45" s="45">
        <f t="shared" si="27"/>
        <v>0</v>
      </c>
      <c r="U45" s="45">
        <f t="shared" si="27"/>
        <v>0</v>
      </c>
    </row>
    <row r="46" spans="1:32" ht="17.399999999999999" x14ac:dyDescent="0.45">
      <c r="B46" s="46"/>
      <c r="C46" s="25" t="s">
        <v>96</v>
      </c>
      <c r="D46" s="39"/>
      <c r="E46" s="47">
        <f>(E39*$D$103+D39*$D$104)</f>
        <v>0</v>
      </c>
      <c r="F46" s="47">
        <f t="shared" ref="F46:U46" si="28">(F39*$D$103+E39*$D$104+D39*$D$105)</f>
        <v>14443200</v>
      </c>
      <c r="G46" s="47">
        <f t="shared" si="28"/>
        <v>41393308.5</v>
      </c>
      <c r="H46" s="47">
        <f t="shared" si="28"/>
        <v>45796408.289999999</v>
      </c>
      <c r="I46" s="47">
        <f t="shared" si="28"/>
        <v>37000438.106399998</v>
      </c>
      <c r="J46" s="47">
        <f t="shared" si="28"/>
        <v>41694223.472783998</v>
      </c>
      <c r="K46" s="47">
        <f t="shared" si="28"/>
        <v>46394723.394744478</v>
      </c>
      <c r="L46" s="47">
        <f t="shared" si="28"/>
        <v>38897441.290106758</v>
      </c>
      <c r="M46" s="47">
        <f t="shared" si="28"/>
        <v>23548602.375583582</v>
      </c>
      <c r="N46" s="47">
        <f t="shared" si="28"/>
        <v>10098095.704304818</v>
      </c>
      <c r="O46" s="47">
        <f t="shared" si="28"/>
        <v>2592296.3804675122</v>
      </c>
      <c r="P46" s="47">
        <f t="shared" si="28"/>
        <v>0</v>
      </c>
      <c r="Q46" s="47">
        <f t="shared" si="28"/>
        <v>0</v>
      </c>
      <c r="R46" s="47">
        <f t="shared" si="28"/>
        <v>0</v>
      </c>
      <c r="S46" s="47">
        <f t="shared" si="28"/>
        <v>0</v>
      </c>
      <c r="T46" s="47">
        <f t="shared" si="28"/>
        <v>0</v>
      </c>
      <c r="U46" s="47">
        <f t="shared" si="28"/>
        <v>0</v>
      </c>
    </row>
    <row r="47" spans="1:32" s="337" customFormat="1" ht="17.399999999999999" x14ac:dyDescent="0.45">
      <c r="A47" s="113"/>
      <c r="B47" s="312"/>
      <c r="C47" s="120" t="s">
        <v>97</v>
      </c>
      <c r="D47" s="115"/>
      <c r="E47" s="336">
        <f>+E46</f>
        <v>0</v>
      </c>
      <c r="F47" s="336">
        <f>+E47+F46</f>
        <v>14443200</v>
      </c>
      <c r="G47" s="336">
        <f t="shared" ref="G47:U47" si="29">+F47+G46</f>
        <v>55836508.5</v>
      </c>
      <c r="H47" s="336">
        <f t="shared" si="29"/>
        <v>101632916.78999999</v>
      </c>
      <c r="I47" s="336">
        <f t="shared" si="29"/>
        <v>138633354.89639997</v>
      </c>
      <c r="J47" s="336">
        <f t="shared" si="29"/>
        <v>180327578.36918396</v>
      </c>
      <c r="K47" s="336">
        <f t="shared" si="29"/>
        <v>226722301.76392844</v>
      </c>
      <c r="L47" s="336">
        <f t="shared" si="29"/>
        <v>265619743.05403519</v>
      </c>
      <c r="M47" s="336">
        <f t="shared" si="29"/>
        <v>289168345.42961878</v>
      </c>
      <c r="N47" s="336">
        <f t="shared" si="29"/>
        <v>299266441.13392359</v>
      </c>
      <c r="O47" s="336">
        <f t="shared" si="29"/>
        <v>301858737.51439112</v>
      </c>
      <c r="P47" s="336">
        <f t="shared" si="29"/>
        <v>301858737.51439112</v>
      </c>
      <c r="Q47" s="336">
        <f t="shared" si="29"/>
        <v>301858737.51439112</v>
      </c>
      <c r="R47" s="336">
        <f t="shared" si="29"/>
        <v>301858737.51439112</v>
      </c>
      <c r="S47" s="336">
        <f t="shared" si="29"/>
        <v>301858737.51439112</v>
      </c>
      <c r="T47" s="336">
        <f t="shared" si="29"/>
        <v>301858737.51439112</v>
      </c>
      <c r="U47" s="336">
        <f t="shared" si="29"/>
        <v>301858737.51439112</v>
      </c>
      <c r="AB47" s="338"/>
      <c r="AC47" s="338"/>
      <c r="AD47" s="338"/>
      <c r="AE47" s="338"/>
      <c r="AF47" s="338"/>
    </row>
    <row r="48" spans="1:32" ht="17.399999999999999" x14ac:dyDescent="0.45">
      <c r="B48" s="46"/>
      <c r="C48" s="25" t="s">
        <v>77</v>
      </c>
      <c r="D48" s="39"/>
      <c r="E48" s="45">
        <f>E35*$D$103+D35*$D$104</f>
        <v>0</v>
      </c>
      <c r="F48" s="45">
        <f>F35*$D$103+E35*$D$104</f>
        <v>48</v>
      </c>
      <c r="G48" s="45">
        <f>G35*$D$103+F35*$D$104+E35*$D$105</f>
        <v>184.75</v>
      </c>
      <c r="H48" s="45">
        <f t="shared" ref="H48:U48" si="30">H35*$D$103+G35*$D$104+F35*$D$105</f>
        <v>334.5</v>
      </c>
      <c r="I48" s="45">
        <f t="shared" si="30"/>
        <v>452.75</v>
      </c>
      <c r="J48" s="45">
        <f t="shared" si="30"/>
        <v>583</v>
      </c>
      <c r="K48" s="45">
        <f t="shared" si="30"/>
        <v>725.5</v>
      </c>
      <c r="L48" s="45">
        <f t="shared" si="30"/>
        <v>843</v>
      </c>
      <c r="M48" s="45">
        <f t="shared" si="30"/>
        <v>913</v>
      </c>
      <c r="N48" s="45">
        <f t="shared" si="30"/>
        <v>942.5</v>
      </c>
      <c r="O48" s="45">
        <f t="shared" si="30"/>
        <v>950</v>
      </c>
      <c r="P48" s="45">
        <f t="shared" si="30"/>
        <v>950</v>
      </c>
      <c r="Q48" s="45">
        <f t="shared" si="30"/>
        <v>950</v>
      </c>
      <c r="R48" s="45">
        <f t="shared" si="30"/>
        <v>950</v>
      </c>
      <c r="S48" s="45">
        <f t="shared" si="30"/>
        <v>950</v>
      </c>
      <c r="T48" s="45">
        <f t="shared" si="30"/>
        <v>950</v>
      </c>
      <c r="U48" s="45">
        <f t="shared" si="30"/>
        <v>950</v>
      </c>
    </row>
    <row r="49" spans="2:32" ht="17.399999999999999" hidden="1" outlineLevel="1" x14ac:dyDescent="0.45">
      <c r="B49" s="39"/>
      <c r="C49" s="39"/>
      <c r="D49" s="39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2:32" ht="17.399999999999999" hidden="1" outlineLevel="1" x14ac:dyDescent="0.45">
      <c r="B50" s="39"/>
      <c r="C50" s="38" t="s">
        <v>98</v>
      </c>
      <c r="D50" s="39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spans="2:32" ht="17.399999999999999" hidden="1" outlineLevel="1" x14ac:dyDescent="0.45">
      <c r="B51" s="39"/>
      <c r="C51" s="120" t="s">
        <v>93</v>
      </c>
      <c r="D51" s="39"/>
      <c r="E51" s="47">
        <f>E46*(1+$D$99)^E6</f>
        <v>0</v>
      </c>
      <c r="F51" s="47">
        <f>F46*(1+$D$99)^F6</f>
        <v>14732064</v>
      </c>
      <c r="G51" s="47">
        <f>G46*(1+$D$99)^G6</f>
        <v>43065598.163400002</v>
      </c>
      <c r="H51" s="47">
        <f>H46*(1+$D$99)^H6</f>
        <v>48599514.848614313</v>
      </c>
      <c r="I51" s="47">
        <f>I46*(1+$D$99)^I6</f>
        <v>40050464.140456855</v>
      </c>
      <c r="J51" s="47">
        <f>J46*(1+$D$99)^J$6</f>
        <v>46033791.740631647</v>
      </c>
      <c r="K51" s="47">
        <f t="shared" ref="K51:U51" si="31">K46*(1+$D$99)^K6</f>
        <v>52247993.939309545</v>
      </c>
      <c r="L51" s="47">
        <f t="shared" si="31"/>
        <v>44680933.318174943</v>
      </c>
      <c r="M51" s="47">
        <f t="shared" si="31"/>
        <v>27590940.882844739</v>
      </c>
      <c r="N51" s="47">
        <f t="shared" si="31"/>
        <v>12068159.133451568</v>
      </c>
      <c r="O51" s="47">
        <f t="shared" si="31"/>
        <v>3159994.8227625033</v>
      </c>
      <c r="P51" s="47">
        <f t="shared" si="31"/>
        <v>0</v>
      </c>
      <c r="Q51" s="47">
        <f t="shared" si="31"/>
        <v>0</v>
      </c>
      <c r="R51" s="47">
        <f t="shared" si="31"/>
        <v>0</v>
      </c>
      <c r="S51" s="47">
        <f t="shared" si="31"/>
        <v>0</v>
      </c>
      <c r="T51" s="47">
        <f t="shared" si="31"/>
        <v>0</v>
      </c>
      <c r="U51" s="47">
        <f t="shared" si="31"/>
        <v>0</v>
      </c>
    </row>
    <row r="52" spans="2:32" ht="17.399999999999999" hidden="1" outlineLevel="1" x14ac:dyDescent="0.45">
      <c r="B52" s="39"/>
      <c r="C52" s="120" t="s">
        <v>94</v>
      </c>
      <c r="D52" s="39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</row>
    <row r="53" spans="2:32" ht="17.399999999999999" hidden="1" outlineLevel="1" x14ac:dyDescent="0.45">
      <c r="B53" s="39"/>
      <c r="C53" s="120" t="s">
        <v>95</v>
      </c>
      <c r="D53" s="39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</row>
    <row r="54" spans="2:32" ht="17.399999999999999" hidden="1" outlineLevel="1" x14ac:dyDescent="0.45">
      <c r="B54" s="39"/>
      <c r="C54" s="25" t="s">
        <v>96</v>
      </c>
      <c r="D54" s="39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</row>
    <row r="55" spans="2:32" ht="17.399999999999999" hidden="1" outlineLevel="1" x14ac:dyDescent="0.45">
      <c r="B55" s="342" t="s">
        <v>265</v>
      </c>
      <c r="C55" s="25" t="s">
        <v>97</v>
      </c>
      <c r="D55" s="39"/>
      <c r="E55" s="47">
        <f t="shared" ref="E55:U55" si="32">E47*(1+$D$99)^E$6</f>
        <v>0</v>
      </c>
      <c r="F55" s="47">
        <f>F47*(1+$D$99)^F$6</f>
        <v>14732064</v>
      </c>
      <c r="G55" s="47">
        <f t="shared" si="32"/>
        <v>58092303.443400003</v>
      </c>
      <c r="H55" s="47">
        <f t="shared" si="32"/>
        <v>107853664.3608823</v>
      </c>
      <c r="I55" s="47">
        <f t="shared" si="32"/>
        <v>150061201.78855678</v>
      </c>
      <c r="J55" s="47">
        <f t="shared" si="32"/>
        <v>199096217.56495959</v>
      </c>
      <c r="K55" s="47">
        <f t="shared" si="32"/>
        <v>255326135.85556832</v>
      </c>
      <c r="L55" s="47">
        <f t="shared" si="32"/>
        <v>305113591.89085454</v>
      </c>
      <c r="M55" s="47">
        <f t="shared" si="32"/>
        <v>338806804.61151642</v>
      </c>
      <c r="N55" s="47">
        <f t="shared" si="32"/>
        <v>357651099.83719832</v>
      </c>
      <c r="O55" s="47">
        <f t="shared" si="32"/>
        <v>367964116.65670484</v>
      </c>
      <c r="P55" s="47">
        <f t="shared" si="32"/>
        <v>375323398.98983884</v>
      </c>
      <c r="Q55" s="47">
        <f t="shared" si="32"/>
        <v>382829866.96963573</v>
      </c>
      <c r="R55" s="47">
        <f t="shared" si="32"/>
        <v>390486464.30902839</v>
      </c>
      <c r="S55" s="47">
        <f t="shared" si="32"/>
        <v>398296193.595209</v>
      </c>
      <c r="T55" s="47">
        <f t="shared" si="32"/>
        <v>301858737.51439112</v>
      </c>
      <c r="U55" s="47">
        <f t="shared" si="32"/>
        <v>301858737.51439112</v>
      </c>
    </row>
    <row r="56" spans="2:32" ht="17.399999999999999" hidden="1" outlineLevel="1" x14ac:dyDescent="0.45">
      <c r="B56" s="46"/>
      <c r="C56" s="25" t="s">
        <v>77</v>
      </c>
      <c r="D56" s="39"/>
      <c r="E56" s="45">
        <f>E48</f>
        <v>0</v>
      </c>
      <c r="F56" s="45">
        <f t="shared" ref="F56:R56" si="33">F48</f>
        <v>48</v>
      </c>
      <c r="G56" s="45">
        <f t="shared" si="33"/>
        <v>184.75</v>
      </c>
      <c r="H56" s="45">
        <f t="shared" si="33"/>
        <v>334.5</v>
      </c>
      <c r="I56" s="45">
        <f t="shared" si="33"/>
        <v>452.75</v>
      </c>
      <c r="J56" s="45">
        <f t="shared" si="33"/>
        <v>583</v>
      </c>
      <c r="K56" s="45">
        <f t="shared" si="33"/>
        <v>725.5</v>
      </c>
      <c r="L56" s="45">
        <f t="shared" si="33"/>
        <v>843</v>
      </c>
      <c r="M56" s="45">
        <f t="shared" si="33"/>
        <v>913</v>
      </c>
      <c r="N56" s="45">
        <f t="shared" si="33"/>
        <v>942.5</v>
      </c>
      <c r="O56" s="45">
        <f t="shared" si="33"/>
        <v>950</v>
      </c>
      <c r="P56" s="45">
        <f t="shared" si="33"/>
        <v>950</v>
      </c>
      <c r="Q56" s="45">
        <f t="shared" si="33"/>
        <v>950</v>
      </c>
      <c r="R56" s="45">
        <f t="shared" si="33"/>
        <v>950</v>
      </c>
      <c r="S56" s="45">
        <f>S48</f>
        <v>950</v>
      </c>
      <c r="T56" s="45">
        <f>T48</f>
        <v>950</v>
      </c>
      <c r="U56" s="45">
        <f>U48</f>
        <v>950</v>
      </c>
    </row>
    <row r="57" spans="2:32" ht="17.399999999999999" collapsed="1" x14ac:dyDescent="0.45">
      <c r="B57" s="39"/>
      <c r="C57" s="39"/>
      <c r="D57" s="39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2:32" s="135" customFormat="1" ht="15.6" x14ac:dyDescent="0.3">
      <c r="B58" s="115"/>
      <c r="C58" s="115" t="s">
        <v>71</v>
      </c>
      <c r="D58" s="115"/>
      <c r="E58" s="118">
        <f>(((E43+E44)*$G$97*$G$98)+(E45*$G$97*$G$99))*(1+$D$100)^E6</f>
        <v>0</v>
      </c>
      <c r="F58" s="118">
        <f>(((F43+F44)*$G$97*$G$98)+(F45*$G$97*$G$99))</f>
        <v>866592</v>
      </c>
      <c r="G58" s="118">
        <f t="shared" ref="G58:U58" si="34">(((G43+G44)*$G$97*$G$98)+(G45*$G$97*$G$99))</f>
        <v>2483598.5099999998</v>
      </c>
      <c r="H58" s="118">
        <f t="shared" si="34"/>
        <v>2747784.4974000002</v>
      </c>
      <c r="I58" s="118">
        <f t="shared" si="34"/>
        <v>2220026.286384</v>
      </c>
      <c r="J58" s="118">
        <f t="shared" si="34"/>
        <v>2501653.4083670396</v>
      </c>
      <c r="K58" s="118">
        <f t="shared" si="34"/>
        <v>2783683.4036846687</v>
      </c>
      <c r="L58" s="118">
        <f t="shared" si="34"/>
        <v>2333846.4774064054</v>
      </c>
      <c r="M58" s="118">
        <f t="shared" si="34"/>
        <v>1412916.142535015</v>
      </c>
      <c r="N58" s="118">
        <f t="shared" si="34"/>
        <v>605885.74225828913</v>
      </c>
      <c r="O58" s="118">
        <f>(((O43+O44)*$G$97*$G$98)+(O45*$G$97*$G$99))</f>
        <v>155537.78282805075</v>
      </c>
      <c r="P58" s="118">
        <f t="shared" si="34"/>
        <v>0</v>
      </c>
      <c r="Q58" s="118">
        <f t="shared" si="34"/>
        <v>0</v>
      </c>
      <c r="R58" s="118">
        <f t="shared" si="34"/>
        <v>0</v>
      </c>
      <c r="S58" s="118">
        <f t="shared" si="34"/>
        <v>0</v>
      </c>
      <c r="T58" s="118">
        <f t="shared" si="34"/>
        <v>0</v>
      </c>
      <c r="U58" s="118">
        <f t="shared" si="34"/>
        <v>0</v>
      </c>
      <c r="AB58" s="136"/>
      <c r="AC58" s="136"/>
      <c r="AD58" s="136"/>
      <c r="AE58" s="136"/>
      <c r="AF58" s="136"/>
    </row>
    <row r="59" spans="2:32" s="135" customFormat="1" ht="17.399999999999999" x14ac:dyDescent="0.45">
      <c r="B59" s="115"/>
      <c r="C59" s="115" t="s">
        <v>78</v>
      </c>
      <c r="D59" s="115"/>
      <c r="E59" s="116">
        <f>D140*(1+$D$100)^E6</f>
        <v>0</v>
      </c>
      <c r="F59" s="116">
        <f t="shared" ref="F59:U59" si="35">($E$59-($E$59*F86))*(1+$D$100)^F6</f>
        <v>0</v>
      </c>
      <c r="G59" s="116">
        <f t="shared" si="35"/>
        <v>0</v>
      </c>
      <c r="H59" s="116">
        <f t="shared" si="35"/>
        <v>0</v>
      </c>
      <c r="I59" s="116">
        <f t="shared" si="35"/>
        <v>0</v>
      </c>
      <c r="J59" s="116">
        <f t="shared" si="35"/>
        <v>0</v>
      </c>
      <c r="K59" s="116">
        <f t="shared" si="35"/>
        <v>0</v>
      </c>
      <c r="L59" s="116">
        <f t="shared" si="35"/>
        <v>0</v>
      </c>
      <c r="M59" s="116">
        <f t="shared" si="35"/>
        <v>0</v>
      </c>
      <c r="N59" s="116">
        <f t="shared" si="35"/>
        <v>0</v>
      </c>
      <c r="O59" s="116">
        <f t="shared" si="35"/>
        <v>0</v>
      </c>
      <c r="P59" s="116">
        <f t="shared" si="35"/>
        <v>0</v>
      </c>
      <c r="Q59" s="116">
        <f t="shared" si="35"/>
        <v>0</v>
      </c>
      <c r="R59" s="116">
        <f t="shared" si="35"/>
        <v>0</v>
      </c>
      <c r="S59" s="116">
        <f t="shared" si="35"/>
        <v>0</v>
      </c>
      <c r="T59" s="116">
        <f t="shared" si="35"/>
        <v>0</v>
      </c>
      <c r="U59" s="116">
        <f t="shared" si="35"/>
        <v>0</v>
      </c>
      <c r="AB59" s="136"/>
      <c r="AC59" s="136"/>
      <c r="AD59" s="136"/>
      <c r="AE59" s="136"/>
      <c r="AF59" s="136"/>
    </row>
    <row r="60" spans="2:32" s="135" customFormat="1" ht="17.399999999999999" x14ac:dyDescent="0.45">
      <c r="B60" s="115"/>
      <c r="C60" s="115" t="s">
        <v>23</v>
      </c>
      <c r="D60" s="115"/>
      <c r="E60" s="116">
        <f>SUM(E58:E59)</f>
        <v>0</v>
      </c>
      <c r="F60" s="116">
        <f t="shared" ref="F60:U60" si="36">SUM(F58:F59)</f>
        <v>866592</v>
      </c>
      <c r="G60" s="116">
        <f t="shared" si="36"/>
        <v>2483598.5099999998</v>
      </c>
      <c r="H60" s="116">
        <f t="shared" si="36"/>
        <v>2747784.4974000002</v>
      </c>
      <c r="I60" s="116">
        <f t="shared" si="36"/>
        <v>2220026.286384</v>
      </c>
      <c r="J60" s="116">
        <f t="shared" si="36"/>
        <v>2501653.4083670396</v>
      </c>
      <c r="K60" s="116">
        <f t="shared" si="36"/>
        <v>2783683.4036846687</v>
      </c>
      <c r="L60" s="116">
        <f t="shared" si="36"/>
        <v>2333846.4774064054</v>
      </c>
      <c r="M60" s="116">
        <f t="shared" si="36"/>
        <v>1412916.142535015</v>
      </c>
      <c r="N60" s="116">
        <f t="shared" si="36"/>
        <v>605885.74225828913</v>
      </c>
      <c r="O60" s="116">
        <f t="shared" si="36"/>
        <v>155537.78282805075</v>
      </c>
      <c r="P60" s="116">
        <f t="shared" si="36"/>
        <v>0</v>
      </c>
      <c r="Q60" s="116">
        <f t="shared" si="36"/>
        <v>0</v>
      </c>
      <c r="R60" s="116">
        <f t="shared" si="36"/>
        <v>0</v>
      </c>
      <c r="S60" s="116">
        <f t="shared" si="36"/>
        <v>0</v>
      </c>
      <c r="T60" s="116">
        <f t="shared" si="36"/>
        <v>0</v>
      </c>
      <c r="U60" s="116">
        <f t="shared" si="36"/>
        <v>0</v>
      </c>
      <c r="W60" s="116"/>
      <c r="X60" s="174"/>
      <c r="Y60" s="174"/>
      <c r="AB60" s="136"/>
      <c r="AC60" s="136"/>
      <c r="AD60" s="136"/>
      <c r="AE60" s="136"/>
      <c r="AF60" s="136"/>
    </row>
    <row r="61" spans="2:32" s="135" customFormat="1" ht="17.399999999999999" x14ac:dyDescent="0.45">
      <c r="B61" s="115"/>
      <c r="C61" s="348" t="s">
        <v>102</v>
      </c>
      <c r="D61" s="348"/>
      <c r="E61" s="349">
        <f>E58+E59+D61-D59</f>
        <v>0</v>
      </c>
      <c r="F61" s="349">
        <f>(F58+F59+E61-E59)*(1+$D$100)</f>
        <v>883923.84</v>
      </c>
      <c r="G61" s="349">
        <f t="shared" ref="G61:U61" si="37">(G58+G59+F61-F59)*(1+$D$100)</f>
        <v>3434872.7969999998</v>
      </c>
      <c r="H61" s="349">
        <f t="shared" si="37"/>
        <v>6306310.4402879998</v>
      </c>
      <c r="I61" s="349">
        <f t="shared" si="37"/>
        <v>8696863.4612054396</v>
      </c>
      <c r="J61" s="349">
        <f t="shared" si="37"/>
        <v>11422487.206963928</v>
      </c>
      <c r="K61" s="349">
        <f t="shared" si="37"/>
        <v>14490294.022861568</v>
      </c>
      <c r="L61" s="349">
        <f t="shared" si="37"/>
        <v>17160623.310273334</v>
      </c>
      <c r="M61" s="349">
        <f t="shared" si="37"/>
        <v>18945010.241864517</v>
      </c>
      <c r="N61" s="349">
        <f t="shared" si="37"/>
        <v>19941913.903805263</v>
      </c>
      <c r="O61" s="349">
        <f t="shared" si="37"/>
        <v>20499400.720365983</v>
      </c>
      <c r="P61" s="349">
        <f t="shared" si="37"/>
        <v>20909388.734773304</v>
      </c>
      <c r="Q61" s="349">
        <f t="shared" si="37"/>
        <v>21327576.509468772</v>
      </c>
      <c r="R61" s="349">
        <f t="shared" si="37"/>
        <v>21754128.039658148</v>
      </c>
      <c r="S61" s="349">
        <f t="shared" si="37"/>
        <v>22189210.600451313</v>
      </c>
      <c r="T61" s="349">
        <f t="shared" si="37"/>
        <v>22632994.812460341</v>
      </c>
      <c r="U61" s="349">
        <f t="shared" si="37"/>
        <v>23085654.708709549</v>
      </c>
      <c r="W61" s="116"/>
      <c r="X61" s="174"/>
      <c r="Y61" s="174"/>
      <c r="Z61" s="174"/>
      <c r="AB61" s="136"/>
      <c r="AC61" s="136"/>
      <c r="AD61" s="136"/>
      <c r="AE61" s="136"/>
      <c r="AF61" s="136"/>
    </row>
    <row r="62" spans="2:32" s="135" customFormat="1" ht="17.399999999999999" x14ac:dyDescent="0.45">
      <c r="B62" s="115"/>
      <c r="C62" s="122"/>
      <c r="D62" s="122"/>
      <c r="E62" s="123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23"/>
      <c r="T62" s="123"/>
      <c r="U62" s="123"/>
      <c r="Y62" s="174"/>
      <c r="AB62" s="136"/>
      <c r="AC62" s="136"/>
      <c r="AD62" s="136"/>
      <c r="AE62" s="136"/>
      <c r="AF62" s="136"/>
    </row>
    <row r="63" spans="2:32" ht="17.399999999999999" hidden="1" outlineLevel="1" x14ac:dyDescent="0.45">
      <c r="B63" s="39"/>
      <c r="C63" s="176" t="s">
        <v>74</v>
      </c>
      <c r="D63" s="39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</row>
    <row r="64" spans="2:32" ht="15.6" hidden="1" outlineLevel="1" x14ac:dyDescent="0.3">
      <c r="B64" s="40">
        <f>MAX(E64:U64)</f>
        <v>23897771.615712542</v>
      </c>
      <c r="C64" s="177" t="s">
        <v>71</v>
      </c>
      <c r="D64" s="39"/>
      <c r="E64" s="40">
        <f>E55*$G$98*$G$97</f>
        <v>0</v>
      </c>
      <c r="F64" s="40">
        <f t="shared" ref="F64:R64" si="38">F55*$G$98*$G$97</f>
        <v>883923.84000000008</v>
      </c>
      <c r="G64" s="40">
        <f t="shared" si="38"/>
        <v>3485538.2066040002</v>
      </c>
      <c r="H64" s="40">
        <f t="shared" si="38"/>
        <v>6471219.8616529377</v>
      </c>
      <c r="I64" s="40">
        <f t="shared" si="38"/>
        <v>9003672.1073134076</v>
      </c>
      <c r="J64" s="40">
        <f t="shared" si="38"/>
        <v>11945773.053897576</v>
      </c>
      <c r="K64" s="40">
        <f t="shared" si="38"/>
        <v>15319568.151334099</v>
      </c>
      <c r="L64" s="40">
        <f t="shared" si="38"/>
        <v>18306815.513451271</v>
      </c>
      <c r="M64" s="40">
        <f t="shared" si="38"/>
        <v>20328408.276690986</v>
      </c>
      <c r="N64" s="40">
        <f t="shared" si="38"/>
        <v>21459065.990231898</v>
      </c>
      <c r="O64" s="40">
        <f t="shared" si="38"/>
        <v>22077846.999402288</v>
      </c>
      <c r="P64" s="40">
        <f t="shared" si="38"/>
        <v>22519403.939390332</v>
      </c>
      <c r="Q64" s="40">
        <f t="shared" si="38"/>
        <v>22969792.018178143</v>
      </c>
      <c r="R64" s="40">
        <f t="shared" si="38"/>
        <v>23429187.858541701</v>
      </c>
      <c r="S64" s="40">
        <f>S55*$G$98*$G$97</f>
        <v>23897771.615712542</v>
      </c>
      <c r="T64" s="40">
        <f>T55*$G$98*$G$97</f>
        <v>18111524.250863466</v>
      </c>
      <c r="U64" s="40">
        <f>U55*$G$98*$G$97</f>
        <v>18111524.250863466</v>
      </c>
    </row>
    <row r="65" spans="2:32" ht="17.399999999999999" hidden="1" outlineLevel="1" x14ac:dyDescent="0.45">
      <c r="B65" s="39"/>
      <c r="C65" s="177" t="s">
        <v>78</v>
      </c>
      <c r="D65" s="39"/>
      <c r="E65" s="116">
        <v>2496</v>
      </c>
      <c r="F65" s="47">
        <f t="shared" ref="F65:U65" si="39">$E$65*(1+$D$99)^F$6-($E$65*(1+$D$99)^F$6*F$86)</f>
        <v>2031.3761684210526</v>
      </c>
      <c r="G65" s="47">
        <f t="shared" si="39"/>
        <v>1626.4408926315789</v>
      </c>
      <c r="H65" s="47">
        <f t="shared" si="39"/>
        <v>1433.1267751073685</v>
      </c>
      <c r="I65" s="47">
        <f t="shared" si="39"/>
        <v>1040.8849954923794</v>
      </c>
      <c r="J65" s="47">
        <f t="shared" si="39"/>
        <v>643.98360212921898</v>
      </c>
      <c r="K65" s="47">
        <f t="shared" si="39"/>
        <v>260.37823480684119</v>
      </c>
      <c r="L65" s="47">
        <f t="shared" si="39"/>
        <v>90.540613466924697</v>
      </c>
      <c r="M65" s="47">
        <f t="shared" si="39"/>
        <v>0</v>
      </c>
      <c r="N65" s="47">
        <f t="shared" si="39"/>
        <v>0</v>
      </c>
      <c r="O65" s="47">
        <f t="shared" si="39"/>
        <v>0</v>
      </c>
      <c r="P65" s="47">
        <f t="shared" si="39"/>
        <v>0</v>
      </c>
      <c r="Q65" s="47">
        <f t="shared" si="39"/>
        <v>0</v>
      </c>
      <c r="R65" s="47">
        <f t="shared" si="39"/>
        <v>0</v>
      </c>
      <c r="S65" s="47">
        <f t="shared" si="39"/>
        <v>0</v>
      </c>
      <c r="T65" s="47">
        <f t="shared" si="39"/>
        <v>0</v>
      </c>
      <c r="U65" s="47">
        <f t="shared" si="39"/>
        <v>0</v>
      </c>
    </row>
    <row r="66" spans="2:32" ht="17.399999999999999" hidden="1" outlineLevel="1" x14ac:dyDescent="0.45">
      <c r="B66" s="40"/>
      <c r="C66" s="179" t="s">
        <v>23</v>
      </c>
      <c r="D66" s="41"/>
      <c r="E66" s="47">
        <f t="shared" ref="E66:U66" si="40">SUM(E64:E65)</f>
        <v>2496</v>
      </c>
      <c r="F66" s="47">
        <f>SUM(F64:F65)</f>
        <v>885955.21616842109</v>
      </c>
      <c r="G66" s="47">
        <f t="shared" si="40"/>
        <v>3487164.6474966318</v>
      </c>
      <c r="H66" s="47">
        <f t="shared" si="40"/>
        <v>6472652.9884280451</v>
      </c>
      <c r="I66" s="47">
        <f t="shared" si="40"/>
        <v>9004712.9923088998</v>
      </c>
      <c r="J66" s="47">
        <f t="shared" si="40"/>
        <v>11946417.037499705</v>
      </c>
      <c r="K66" s="47">
        <f t="shared" si="40"/>
        <v>15319828.529568907</v>
      </c>
      <c r="L66" s="47">
        <f t="shared" si="40"/>
        <v>18306906.054064739</v>
      </c>
      <c r="M66" s="47">
        <f t="shared" si="40"/>
        <v>20328408.276690986</v>
      </c>
      <c r="N66" s="47">
        <f t="shared" si="40"/>
        <v>21459065.990231898</v>
      </c>
      <c r="O66" s="47">
        <f t="shared" si="40"/>
        <v>22077846.999402288</v>
      </c>
      <c r="P66" s="47">
        <f t="shared" si="40"/>
        <v>22519403.939390332</v>
      </c>
      <c r="Q66" s="47">
        <f t="shared" si="40"/>
        <v>22969792.018178143</v>
      </c>
      <c r="R66" s="47">
        <f t="shared" si="40"/>
        <v>23429187.858541701</v>
      </c>
      <c r="S66" s="47">
        <f t="shared" si="40"/>
        <v>23897771.615712542</v>
      </c>
      <c r="T66" s="47">
        <f t="shared" si="40"/>
        <v>18111524.250863466</v>
      </c>
      <c r="U66" s="47">
        <f t="shared" si="40"/>
        <v>18111524.250863466</v>
      </c>
    </row>
    <row r="67" spans="2:32" ht="15.6" hidden="1" outlineLevel="1" x14ac:dyDescent="0.3">
      <c r="B67" s="39"/>
      <c r="C67" s="39"/>
      <c r="D67" s="41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</row>
    <row r="68" spans="2:32" ht="15.6" collapsed="1" x14ac:dyDescent="0.3">
      <c r="B68" s="39"/>
      <c r="C68" s="38"/>
      <c r="D68" s="41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</row>
    <row r="69" spans="2:32" s="337" customFormat="1" ht="15.6" x14ac:dyDescent="0.3">
      <c r="B69" s="335"/>
      <c r="C69" s="335" t="s">
        <v>184</v>
      </c>
      <c r="D69" s="340"/>
      <c r="E69" s="339">
        <f>(E61/100*$G$100)*$G$104</f>
        <v>0</v>
      </c>
      <c r="F69" s="339">
        <f>(F61/100*$G$100)*$G$104</f>
        <v>35688.425040000002</v>
      </c>
      <c r="G69" s="339">
        <f>(G61/100*$G$100)*$G$104</f>
        <v>138682.989178875</v>
      </c>
      <c r="H69" s="339">
        <f>(H61/100*$G$100)*$G$104</f>
        <v>254617.28402662795</v>
      </c>
      <c r="I69" s="339">
        <f>(I61/100*$G$100)*$G$104</f>
        <v>351135.86224616959</v>
      </c>
      <c r="J69" s="339">
        <f t="shared" ref="J69:U69" si="41">(J61/100*$G$100)*$G$104</f>
        <v>461182.92098116863</v>
      </c>
      <c r="K69" s="339">
        <f t="shared" si="41"/>
        <v>585045.62117303582</v>
      </c>
      <c r="L69" s="339">
        <f t="shared" si="41"/>
        <v>692860.16615228588</v>
      </c>
      <c r="M69" s="339">
        <f t="shared" si="41"/>
        <v>764904.78851527988</v>
      </c>
      <c r="N69" s="339">
        <f t="shared" si="41"/>
        <v>805154.77386613749</v>
      </c>
      <c r="O69" s="339">
        <f t="shared" si="41"/>
        <v>827663.30408477655</v>
      </c>
      <c r="P69" s="339">
        <f t="shared" si="41"/>
        <v>844216.57016647211</v>
      </c>
      <c r="Q69" s="339">
        <f t="shared" si="41"/>
        <v>861100.90156980162</v>
      </c>
      <c r="R69" s="339">
        <f t="shared" si="41"/>
        <v>878322.9196011977</v>
      </c>
      <c r="S69" s="339">
        <f t="shared" si="41"/>
        <v>895889.37799322174</v>
      </c>
      <c r="T69" s="339">
        <f t="shared" si="41"/>
        <v>913807.1655530862</v>
      </c>
      <c r="U69" s="339">
        <f t="shared" si="41"/>
        <v>932083.3088641481</v>
      </c>
      <c r="AB69" s="338"/>
      <c r="AC69" s="338"/>
      <c r="AD69" s="338"/>
      <c r="AE69" s="338"/>
      <c r="AF69" s="338"/>
    </row>
    <row r="70" spans="2:32" ht="21.75" customHeight="1" x14ac:dyDescent="0.45">
      <c r="B70" s="39"/>
      <c r="C70" s="115" t="s">
        <v>185</v>
      </c>
      <c r="D70" s="41"/>
      <c r="E70" s="116">
        <f>(E60/100*$G$100)*$G$104</f>
        <v>0</v>
      </c>
      <c r="F70" s="116">
        <f>(F60/100*$G$100)*$G$104</f>
        <v>34988.652000000002</v>
      </c>
      <c r="G70" s="116">
        <f>(G60/100*$G$100)*$G$104</f>
        <v>100275.28984124999</v>
      </c>
      <c r="H70" s="116">
        <f t="shared" ref="H70:U70" si="42">(H60/100*$G$100)*$G$104</f>
        <v>110941.799082525</v>
      </c>
      <c r="I70" s="116">
        <f t="shared" si="42"/>
        <v>89633.561312753984</v>
      </c>
      <c r="J70" s="116">
        <f t="shared" si="42"/>
        <v>101004.25636281923</v>
      </c>
      <c r="K70" s="116">
        <f t="shared" si="42"/>
        <v>112391.21742376851</v>
      </c>
      <c r="L70" s="116">
        <f t="shared" si="42"/>
        <v>94229.051525283619</v>
      </c>
      <c r="M70" s="116">
        <f t="shared" si="42"/>
        <v>57046.489254851229</v>
      </c>
      <c r="N70" s="116">
        <f t="shared" si="42"/>
        <v>24462.636843678425</v>
      </c>
      <c r="O70" s="116">
        <f t="shared" si="42"/>
        <v>6279.8379816825491</v>
      </c>
      <c r="P70" s="116">
        <f t="shared" si="42"/>
        <v>0</v>
      </c>
      <c r="Q70" s="116">
        <f t="shared" si="42"/>
        <v>0</v>
      </c>
      <c r="R70" s="116">
        <f t="shared" si="42"/>
        <v>0</v>
      </c>
      <c r="S70" s="116">
        <f t="shared" si="42"/>
        <v>0</v>
      </c>
      <c r="T70" s="116">
        <f t="shared" si="42"/>
        <v>0</v>
      </c>
      <c r="U70" s="116">
        <f t="shared" si="42"/>
        <v>0</v>
      </c>
    </row>
    <row r="71" spans="2:32" ht="15.6" x14ac:dyDescent="0.3">
      <c r="B71" s="39"/>
      <c r="C71" s="115" t="s">
        <v>25</v>
      </c>
      <c r="D71" s="41"/>
      <c r="E71" s="121">
        <f>E61/100*$G$101</f>
        <v>0</v>
      </c>
      <c r="F71" s="121">
        <f t="shared" ref="F71:U71" si="43">F61/100*$G$101</f>
        <v>2651.7715199999998</v>
      </c>
      <c r="G71" s="121">
        <f t="shared" si="43"/>
        <v>10304.618391</v>
      </c>
      <c r="H71" s="121">
        <f t="shared" si="43"/>
        <v>18918.931320863998</v>
      </c>
      <c r="I71" s="121">
        <f t="shared" si="43"/>
        <v>26090.590383616316</v>
      </c>
      <c r="J71" s="121">
        <f t="shared" si="43"/>
        <v>34267.461620891787</v>
      </c>
      <c r="K71" s="121">
        <f t="shared" si="43"/>
        <v>43470.882068584702</v>
      </c>
      <c r="L71" s="121">
        <f t="shared" si="43"/>
        <v>51481.869930820008</v>
      </c>
      <c r="M71" s="121">
        <f t="shared" si="43"/>
        <v>56835.030725593548</v>
      </c>
      <c r="N71" s="121">
        <f t="shared" si="43"/>
        <v>59825.741711415787</v>
      </c>
      <c r="O71" s="121">
        <f>O61/100*$G$101</f>
        <v>61498.202161097943</v>
      </c>
      <c r="P71" s="121">
        <f t="shared" si="43"/>
        <v>62728.16620431991</v>
      </c>
      <c r="Q71" s="121">
        <f t="shared" si="43"/>
        <v>63982.729528406315</v>
      </c>
      <c r="R71" s="121">
        <f t="shared" si="43"/>
        <v>65262.384118974442</v>
      </c>
      <c r="S71" s="121">
        <f t="shared" si="43"/>
        <v>66567.631801353942</v>
      </c>
      <c r="T71" s="121">
        <f t="shared" si="43"/>
        <v>67898.984437381019</v>
      </c>
      <c r="U71" s="121">
        <f t="shared" si="43"/>
        <v>69256.964126128645</v>
      </c>
    </row>
    <row r="72" spans="2:32" ht="15.6" x14ac:dyDescent="0.3">
      <c r="B72" s="39"/>
      <c r="C72" s="115" t="s">
        <v>99</v>
      </c>
      <c r="D72" s="41"/>
      <c r="E72" s="46">
        <f>SUM(E69+E71)</f>
        <v>0</v>
      </c>
      <c r="F72" s="46">
        <f t="shared" ref="F72:U72" si="44">SUM(F69+F71)</f>
        <v>38340.196560000004</v>
      </c>
      <c r="G72" s="46">
        <f t="shared" si="44"/>
        <v>148987.60756987499</v>
      </c>
      <c r="H72" s="46">
        <f t="shared" si="44"/>
        <v>273536.21534749196</v>
      </c>
      <c r="I72" s="46">
        <f t="shared" si="44"/>
        <v>377226.45262978593</v>
      </c>
      <c r="J72" s="46">
        <f t="shared" si="44"/>
        <v>495450.38260206045</v>
      </c>
      <c r="K72" s="46">
        <f t="shared" si="44"/>
        <v>628516.50324162049</v>
      </c>
      <c r="L72" s="46">
        <f t="shared" si="44"/>
        <v>744342.03608310584</v>
      </c>
      <c r="M72" s="46">
        <f t="shared" si="44"/>
        <v>821739.81924087345</v>
      </c>
      <c r="N72" s="46">
        <f t="shared" si="44"/>
        <v>864980.51557755331</v>
      </c>
      <c r="O72" s="46">
        <f t="shared" si="44"/>
        <v>889161.50624587445</v>
      </c>
      <c r="P72" s="46">
        <f t="shared" si="44"/>
        <v>906944.73637079203</v>
      </c>
      <c r="Q72" s="46">
        <f t="shared" si="44"/>
        <v>925083.6310982079</v>
      </c>
      <c r="R72" s="46">
        <f t="shared" si="44"/>
        <v>943585.30372017215</v>
      </c>
      <c r="S72" s="46">
        <f t="shared" si="44"/>
        <v>962457.00979457563</v>
      </c>
      <c r="T72" s="46">
        <f t="shared" si="44"/>
        <v>981706.14999046724</v>
      </c>
      <c r="U72" s="46">
        <f t="shared" si="44"/>
        <v>1001340.2729902768</v>
      </c>
      <c r="Y72" s="128"/>
    </row>
    <row r="73" spans="2:32" ht="15.6" x14ac:dyDescent="0.3">
      <c r="B73" s="39"/>
      <c r="C73" s="115"/>
      <c r="D73" s="41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</row>
    <row r="74" spans="2:32" s="337" customFormat="1" ht="17.399999999999999" x14ac:dyDescent="0.45">
      <c r="B74" s="335"/>
      <c r="C74" s="335" t="s">
        <v>180</v>
      </c>
      <c r="D74" s="340"/>
      <c r="E74" s="336">
        <f t="shared" ref="E74:U74" si="45">-PV($G$103,$G$102,E69)</f>
        <v>0</v>
      </c>
      <c r="F74" s="336">
        <f t="shared" si="45"/>
        <v>502990.6841632037</v>
      </c>
      <c r="G74" s="336">
        <f t="shared" si="45"/>
        <v>1954590.361740449</v>
      </c>
      <c r="H74" s="336">
        <f t="shared" si="45"/>
        <v>3588561.8866281677</v>
      </c>
      <c r="I74" s="336">
        <f t="shared" si="45"/>
        <v>4948889.3776478423</v>
      </c>
      <c r="J74" s="336">
        <f t="shared" si="45"/>
        <v>6499886.5231151907</v>
      </c>
      <c r="K74" s="336">
        <f t="shared" si="45"/>
        <v>8245600.5534199877</v>
      </c>
      <c r="L74" s="336">
        <f t="shared" si="45"/>
        <v>9765132.7737708781</v>
      </c>
      <c r="M74" s="336">
        <f t="shared" si="45"/>
        <v>10780525.687636543</v>
      </c>
      <c r="N74" s="336">
        <f t="shared" si="45"/>
        <v>11347806.749955645</v>
      </c>
      <c r="O74" s="336">
        <f t="shared" si="45"/>
        <v>11665040.727120286</v>
      </c>
      <c r="P74" s="336">
        <f t="shared" si="45"/>
        <v>11898341.541662693</v>
      </c>
      <c r="Q74" s="336">
        <f t="shared" si="45"/>
        <v>12136308.372495947</v>
      </c>
      <c r="R74" s="336">
        <f t="shared" si="45"/>
        <v>12379034.539945869</v>
      </c>
      <c r="S74" s="336">
        <f t="shared" si="45"/>
        <v>12626615.230744785</v>
      </c>
      <c r="T74" s="336">
        <f t="shared" si="45"/>
        <v>12879147.535359681</v>
      </c>
      <c r="U74" s="336">
        <f t="shared" si="45"/>
        <v>13136730.486066878</v>
      </c>
      <c r="AB74" s="338"/>
      <c r="AC74" s="338"/>
      <c r="AD74" s="338"/>
      <c r="AE74" s="338"/>
      <c r="AF74" s="338"/>
    </row>
    <row r="75" spans="2:32" ht="19.5" hidden="1" customHeight="1" outlineLevel="1" x14ac:dyDescent="0.3">
      <c r="B75" s="39"/>
      <c r="C75" s="176" t="s">
        <v>74</v>
      </c>
      <c r="D75" s="41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</row>
    <row r="76" spans="2:32" s="337" customFormat="1" ht="15" hidden="1" customHeight="1" outlineLevel="1" x14ac:dyDescent="0.3">
      <c r="B76" s="335"/>
      <c r="C76" s="335" t="s">
        <v>26</v>
      </c>
      <c r="D76" s="341"/>
      <c r="E76" s="339">
        <f t="shared" ref="E76:U76" si="46">E66/100*$G$100</f>
        <v>106.08</v>
      </c>
      <c r="F76" s="339">
        <f t="shared" si="46"/>
        <v>37653.096687157893</v>
      </c>
      <c r="G76" s="339">
        <f>G66/100*$G$100</f>
        <v>148204.49751860686</v>
      </c>
      <c r="H76" s="339">
        <f t="shared" si="46"/>
        <v>275087.75200819189</v>
      </c>
      <c r="I76" s="339">
        <f t="shared" si="46"/>
        <v>382700.30217312824</v>
      </c>
      <c r="J76" s="339">
        <f t="shared" si="46"/>
        <v>507722.72409373743</v>
      </c>
      <c r="K76" s="339">
        <f t="shared" si="46"/>
        <v>651092.71250667854</v>
      </c>
      <c r="L76" s="339">
        <f t="shared" si="46"/>
        <v>778043.50729775138</v>
      </c>
      <c r="M76" s="339">
        <f t="shared" si="46"/>
        <v>863957.35175936692</v>
      </c>
      <c r="N76" s="339">
        <f t="shared" si="46"/>
        <v>912010.30458485556</v>
      </c>
      <c r="O76" s="339">
        <f t="shared" si="46"/>
        <v>938308.4974745973</v>
      </c>
      <c r="P76" s="339">
        <f t="shared" si="46"/>
        <v>957074.66742408904</v>
      </c>
      <c r="Q76" s="339">
        <f t="shared" si="46"/>
        <v>976216.16077257111</v>
      </c>
      <c r="R76" s="339">
        <f t="shared" si="46"/>
        <v>995740.4839880222</v>
      </c>
      <c r="S76" s="339">
        <f t="shared" si="46"/>
        <v>1015655.293667783</v>
      </c>
      <c r="T76" s="339">
        <f t="shared" si="46"/>
        <v>769739.78066169727</v>
      </c>
      <c r="U76" s="339">
        <f t="shared" si="46"/>
        <v>769739.78066169727</v>
      </c>
      <c r="AB76" s="338"/>
      <c r="AC76" s="338"/>
      <c r="AD76" s="338"/>
      <c r="AE76" s="338"/>
      <c r="AF76" s="338"/>
    </row>
    <row r="77" spans="2:32" ht="15.6" hidden="1" outlineLevel="1" x14ac:dyDescent="0.3">
      <c r="B77" s="39"/>
      <c r="C77" s="177" t="s">
        <v>25</v>
      </c>
      <c r="D77" s="48"/>
      <c r="E77" s="46">
        <f t="shared" ref="E77:U77" si="47">E66/100*$G$101</f>
        <v>7.4879999999999995</v>
      </c>
      <c r="F77" s="46">
        <f t="shared" si="47"/>
        <v>2657.8656485052629</v>
      </c>
      <c r="G77" s="46">
        <f t="shared" si="47"/>
        <v>10461.493942489897</v>
      </c>
      <c r="H77" s="46">
        <f t="shared" si="47"/>
        <v>19417.958965284135</v>
      </c>
      <c r="I77" s="46">
        <f t="shared" si="47"/>
        <v>27014.138976926701</v>
      </c>
      <c r="J77" s="46">
        <f t="shared" si="47"/>
        <v>35839.251112499114</v>
      </c>
      <c r="K77" s="46">
        <f t="shared" si="47"/>
        <v>45959.485588706717</v>
      </c>
      <c r="L77" s="46">
        <f t="shared" si="47"/>
        <v>54920.718162194215</v>
      </c>
      <c r="M77" s="46">
        <f t="shared" si="47"/>
        <v>60985.224830072955</v>
      </c>
      <c r="N77" s="46">
        <f t="shared" si="47"/>
        <v>64377.197970695684</v>
      </c>
      <c r="O77" s="46">
        <f t="shared" si="47"/>
        <v>66233.540998206867</v>
      </c>
      <c r="P77" s="46">
        <f t="shared" si="47"/>
        <v>67558.211818170996</v>
      </c>
      <c r="Q77" s="46">
        <f t="shared" si="47"/>
        <v>68909.376054534427</v>
      </c>
      <c r="R77" s="46">
        <f t="shared" si="47"/>
        <v>70287.563575625099</v>
      </c>
      <c r="S77" s="46">
        <f t="shared" si="47"/>
        <v>71693.314847137619</v>
      </c>
      <c r="T77" s="46">
        <f t="shared" si="47"/>
        <v>54334.5727525904</v>
      </c>
      <c r="U77" s="46">
        <f t="shared" si="47"/>
        <v>54334.5727525904</v>
      </c>
    </row>
    <row r="78" spans="2:32" ht="15.6" hidden="1" outlineLevel="1" x14ac:dyDescent="0.3">
      <c r="B78" s="39"/>
      <c r="C78" s="178" t="s">
        <v>35</v>
      </c>
      <c r="D78" s="48"/>
      <c r="E78" s="46">
        <f>SUM(E76:E77)</f>
        <v>113.568</v>
      </c>
      <c r="F78" s="46">
        <f t="shared" ref="F78:U78" si="48">SUM(F76:F77)</f>
        <v>40310.962335663156</v>
      </c>
      <c r="G78" s="46">
        <f t="shared" si="48"/>
        <v>158665.99146109677</v>
      </c>
      <c r="H78" s="46">
        <f t="shared" si="48"/>
        <v>294505.710973476</v>
      </c>
      <c r="I78" s="46">
        <f t="shared" si="48"/>
        <v>409714.44115005492</v>
      </c>
      <c r="J78" s="46">
        <f t="shared" si="48"/>
        <v>543561.97520623659</v>
      </c>
      <c r="K78" s="46">
        <f t="shared" si="48"/>
        <v>697052.19809538522</v>
      </c>
      <c r="L78" s="46">
        <f t="shared" si="48"/>
        <v>832964.22545994562</v>
      </c>
      <c r="M78" s="46">
        <f t="shared" si="48"/>
        <v>924942.57658943988</v>
      </c>
      <c r="N78" s="46">
        <f t="shared" si="48"/>
        <v>976387.50255555124</v>
      </c>
      <c r="O78" s="46">
        <f t="shared" si="48"/>
        <v>1004542.0384728041</v>
      </c>
      <c r="P78" s="46">
        <f t="shared" si="48"/>
        <v>1024632.87924226</v>
      </c>
      <c r="Q78" s="46">
        <f t="shared" si="48"/>
        <v>1045125.5368271056</v>
      </c>
      <c r="R78" s="46">
        <f t="shared" si="48"/>
        <v>1066028.0475636474</v>
      </c>
      <c r="S78" s="46">
        <f t="shared" si="48"/>
        <v>1087348.6085149206</v>
      </c>
      <c r="T78" s="46">
        <f t="shared" si="48"/>
        <v>824074.35341428767</v>
      </c>
      <c r="U78" s="46">
        <f t="shared" si="48"/>
        <v>824074.35341428767</v>
      </c>
    </row>
    <row r="79" spans="2:32" ht="15.6" hidden="1" outlineLevel="1" x14ac:dyDescent="0.3">
      <c r="B79" s="39"/>
      <c r="C79" s="177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</row>
    <row r="80" spans="2:32" ht="17.399999999999999" hidden="1" outlineLevel="1" x14ac:dyDescent="0.45">
      <c r="B80" s="39"/>
      <c r="C80" s="177" t="s">
        <v>79</v>
      </c>
      <c r="D80" s="39"/>
      <c r="E80" s="47">
        <f t="shared" ref="E80:U80" si="49">-PV($G$103,$G$102,E76)</f>
        <v>1495.0856395660278</v>
      </c>
      <c r="F80" s="47">
        <f t="shared" si="49"/>
        <v>530680.65744872694</v>
      </c>
      <c r="G80" s="47">
        <f t="shared" si="49"/>
        <v>2088785.9724657631</v>
      </c>
      <c r="H80" s="47">
        <f t="shared" si="49"/>
        <v>3877071.527601324</v>
      </c>
      <c r="I80" s="47">
        <f t="shared" si="49"/>
        <v>5393756.8442366468</v>
      </c>
      <c r="J80" s="47">
        <f t="shared" si="49"/>
        <v>7155815.9282983728</v>
      </c>
      <c r="K80" s="47">
        <f t="shared" si="49"/>
        <v>9176464.5974248443</v>
      </c>
      <c r="L80" s="47">
        <f t="shared" si="49"/>
        <v>10965702.061825547</v>
      </c>
      <c r="M80" s="47">
        <f t="shared" si="49"/>
        <v>12176567.023123348</v>
      </c>
      <c r="N80" s="47">
        <f t="shared" si="49"/>
        <v>12853822.67648055</v>
      </c>
      <c r="O80" s="47">
        <f t="shared" si="49"/>
        <v>13224467.949255724</v>
      </c>
      <c r="P80" s="47">
        <f t="shared" si="49"/>
        <v>13488957.308240835</v>
      </c>
      <c r="Q80" s="47">
        <f t="shared" si="49"/>
        <v>13758736.454405656</v>
      </c>
      <c r="R80" s="47">
        <f t="shared" si="49"/>
        <v>14033911.183493763</v>
      </c>
      <c r="S80" s="47">
        <f t="shared" si="49"/>
        <v>14314589.407163642</v>
      </c>
      <c r="T80" s="47">
        <f t="shared" si="49"/>
        <v>10848669.798925413</v>
      </c>
      <c r="U80" s="47">
        <f t="shared" si="49"/>
        <v>10848669.798925413</v>
      </c>
    </row>
    <row r="81" spans="2:32" ht="15.6" hidden="1" outlineLevel="1" x14ac:dyDescent="0.3">
      <c r="B81" s="39"/>
      <c r="C81" s="39"/>
      <c r="D81" s="39"/>
      <c r="E81" s="39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</row>
    <row r="82" spans="2:32" ht="17.399999999999999" collapsed="1" x14ac:dyDescent="0.45">
      <c r="B82" s="39"/>
      <c r="C82" s="122" t="s">
        <v>182</v>
      </c>
      <c r="D82" s="55"/>
      <c r="E82" s="47">
        <f>E74*$I$97</f>
        <v>0</v>
      </c>
      <c r="F82" s="47">
        <f t="shared" ref="F82:U82" si="50">F74*$I$97</f>
        <v>472811.24311341147</v>
      </c>
      <c r="G82" s="47">
        <f t="shared" si="50"/>
        <v>1837314.9400360219</v>
      </c>
      <c r="H82" s="47">
        <f t="shared" si="50"/>
        <v>3373248.1734304773</v>
      </c>
      <c r="I82" s="47">
        <f t="shared" si="50"/>
        <v>4651956.0149889719</v>
      </c>
      <c r="J82" s="47">
        <f t="shared" si="50"/>
        <v>6109893.3317282787</v>
      </c>
      <c r="K82" s="47">
        <f t="shared" si="50"/>
        <v>7750864.5202147877</v>
      </c>
      <c r="L82" s="47">
        <f t="shared" si="50"/>
        <v>9179224.8073446248</v>
      </c>
      <c r="M82" s="47">
        <f t="shared" si="50"/>
        <v>10133694.14637835</v>
      </c>
      <c r="N82" s="47">
        <f t="shared" si="50"/>
        <v>10666938.344958305</v>
      </c>
      <c r="O82" s="47">
        <f t="shared" si="50"/>
        <v>10965138.283493068</v>
      </c>
      <c r="P82" s="47">
        <f t="shared" si="50"/>
        <v>11184441.04916293</v>
      </c>
      <c r="Q82" s="47">
        <f t="shared" si="50"/>
        <v>11408129.870146191</v>
      </c>
      <c r="R82" s="47">
        <f t="shared" si="50"/>
        <v>11636292.467549115</v>
      </c>
      <c r="S82" s="47">
        <f t="shared" si="50"/>
        <v>11869018.316900097</v>
      </c>
      <c r="T82" s="47">
        <f t="shared" si="50"/>
        <v>12106398.683238098</v>
      </c>
      <c r="U82" s="47">
        <f t="shared" si="50"/>
        <v>12348526.656902865</v>
      </c>
    </row>
    <row r="83" spans="2:32" ht="17.399999999999999" x14ac:dyDescent="0.45">
      <c r="B83" s="39"/>
      <c r="C83" s="115" t="s">
        <v>181</v>
      </c>
      <c r="D83" s="55"/>
      <c r="E83" s="47">
        <f t="shared" ref="E83:U83" si="51">PV($G$103,$G$102,-E$70)</f>
        <v>0</v>
      </c>
      <c r="F83" s="47">
        <f t="shared" si="51"/>
        <v>493128.12172863109</v>
      </c>
      <c r="G83" s="47">
        <f t="shared" si="51"/>
        <v>1413274.3763666484</v>
      </c>
      <c r="H83" s="47">
        <f t="shared" si="51"/>
        <v>1563607.5663263826</v>
      </c>
      <c r="I83" s="47">
        <f t="shared" si="51"/>
        <v>1263290.4443991284</v>
      </c>
      <c r="J83" s="47">
        <f t="shared" si="51"/>
        <v>1423548.3901121477</v>
      </c>
      <c r="K83" s="47">
        <f t="shared" si="51"/>
        <v>1584035.588080877</v>
      </c>
      <c r="L83" s="47">
        <f t="shared" si="51"/>
        <v>1328059.0287083227</v>
      </c>
      <c r="M83" s="47">
        <f t="shared" si="51"/>
        <v>804010.05724534125</v>
      </c>
      <c r="N83" s="47">
        <f t="shared" si="51"/>
        <v>344775.04761408782</v>
      </c>
      <c r="O83" s="47">
        <f t="shared" si="51"/>
        <v>88507.688397576247</v>
      </c>
      <c r="P83" s="47">
        <f t="shared" si="51"/>
        <v>0</v>
      </c>
      <c r="Q83" s="47">
        <f t="shared" si="51"/>
        <v>0</v>
      </c>
      <c r="R83" s="47">
        <f t="shared" si="51"/>
        <v>0</v>
      </c>
      <c r="S83" s="47">
        <f t="shared" si="51"/>
        <v>0</v>
      </c>
      <c r="T83" s="47">
        <f t="shared" si="51"/>
        <v>0</v>
      </c>
      <c r="U83" s="47">
        <f t="shared" si="51"/>
        <v>0</v>
      </c>
    </row>
    <row r="84" spans="2:32" s="346" customFormat="1" ht="21" x14ac:dyDescent="0.6">
      <c r="B84" s="343"/>
      <c r="C84" s="343" t="s">
        <v>183</v>
      </c>
      <c r="D84" s="344"/>
      <c r="E84" s="345">
        <f t="shared" ref="E84:U84" si="52">E$83*$I$97</f>
        <v>0</v>
      </c>
      <c r="F84" s="345">
        <f t="shared" si="52"/>
        <v>463540.4344249132</v>
      </c>
      <c r="G84" s="345">
        <f t="shared" si="52"/>
        <v>1328477.9137846495</v>
      </c>
      <c r="H84" s="345">
        <f t="shared" si="52"/>
        <v>1469791.1123467996</v>
      </c>
      <c r="I84" s="345">
        <f t="shared" si="52"/>
        <v>1187493.0177351807</v>
      </c>
      <c r="J84" s="345">
        <f t="shared" si="52"/>
        <v>1338135.4867054187</v>
      </c>
      <c r="K84" s="345">
        <f t="shared" si="52"/>
        <v>1488993.4527960243</v>
      </c>
      <c r="L84" s="345">
        <f t="shared" si="52"/>
        <v>1248375.4869858231</v>
      </c>
      <c r="M84" s="345">
        <f t="shared" si="52"/>
        <v>755769.4538106207</v>
      </c>
      <c r="N84" s="345">
        <f t="shared" si="52"/>
        <v>324088.54475724255</v>
      </c>
      <c r="O84" s="345">
        <f t="shared" si="52"/>
        <v>83197.227093721667</v>
      </c>
      <c r="P84" s="345">
        <f t="shared" si="52"/>
        <v>0</v>
      </c>
      <c r="Q84" s="345">
        <f t="shared" si="52"/>
        <v>0</v>
      </c>
      <c r="R84" s="345">
        <f t="shared" si="52"/>
        <v>0</v>
      </c>
      <c r="S84" s="345">
        <f t="shared" si="52"/>
        <v>0</v>
      </c>
      <c r="T84" s="345">
        <f t="shared" si="52"/>
        <v>0</v>
      </c>
      <c r="U84" s="345">
        <f t="shared" si="52"/>
        <v>0</v>
      </c>
      <c r="AB84" s="347"/>
      <c r="AC84" s="347"/>
      <c r="AD84" s="347"/>
      <c r="AE84" s="347"/>
      <c r="AF84" s="347"/>
    </row>
    <row r="85" spans="2:32" ht="17.399999999999999" x14ac:dyDescent="0.45">
      <c r="B85" s="39"/>
      <c r="C85" s="55"/>
      <c r="D85" s="55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</row>
    <row r="86" spans="2:32" ht="15.6" x14ac:dyDescent="0.3">
      <c r="B86" s="39"/>
      <c r="C86" s="39" t="s">
        <v>103</v>
      </c>
      <c r="D86" s="49" t="s">
        <v>49</v>
      </c>
      <c r="E86" s="50">
        <f>(1-(-E35/$D$97))-1</f>
        <v>0</v>
      </c>
      <c r="F86" s="50">
        <f t="shared" ref="F86:Q86" si="53">(1-(-F35/$D$97))-1</f>
        <v>0.20210526315789479</v>
      </c>
      <c r="G86" s="50">
        <f t="shared" si="53"/>
        <v>0.37368421052631584</v>
      </c>
      <c r="H86" s="50">
        <f t="shared" si="53"/>
        <v>0.45894736842105255</v>
      </c>
      <c r="I86" s="50">
        <f t="shared" si="53"/>
        <v>0.61473684210526303</v>
      </c>
      <c r="J86" s="50">
        <f t="shared" si="53"/>
        <v>0.76631578947368428</v>
      </c>
      <c r="K86" s="50">
        <f t="shared" si="53"/>
        <v>0.9073684210526316</v>
      </c>
      <c r="L86" s="50">
        <f t="shared" si="53"/>
        <v>0.96842105263157885</v>
      </c>
      <c r="M86" s="50">
        <f t="shared" si="53"/>
        <v>1</v>
      </c>
      <c r="N86" s="50">
        <f t="shared" si="53"/>
        <v>1</v>
      </c>
      <c r="O86" s="50">
        <f t="shared" si="53"/>
        <v>1</v>
      </c>
      <c r="P86" s="50">
        <f t="shared" si="53"/>
        <v>1</v>
      </c>
      <c r="Q86" s="50">
        <f t="shared" si="53"/>
        <v>1</v>
      </c>
      <c r="R86" s="119">
        <f>(1-(-R35/$D$97))-1</f>
        <v>1</v>
      </c>
      <c r="S86" s="119">
        <f>(1-(-S35/$D$97))-1</f>
        <v>1</v>
      </c>
      <c r="T86" s="119">
        <f>(1-(-T35/$D$97))-1</f>
        <v>1</v>
      </c>
      <c r="U86" s="119">
        <f>(1-(-U35/$D$97))-1</f>
        <v>1</v>
      </c>
    </row>
    <row r="87" spans="2:32" ht="15.6" x14ac:dyDescent="0.3">
      <c r="B87" s="39"/>
      <c r="C87" s="39"/>
      <c r="D87" s="49" t="s">
        <v>36</v>
      </c>
      <c r="E87" s="51">
        <f>E86</f>
        <v>0</v>
      </c>
      <c r="F87" s="51">
        <f t="shared" ref="F87:U87" si="54">MAX(0,F86-E86)</f>
        <v>0.20210526315789479</v>
      </c>
      <c r="G87" s="51">
        <f t="shared" si="54"/>
        <v>0.17157894736842105</v>
      </c>
      <c r="H87" s="51">
        <f t="shared" si="54"/>
        <v>8.5263157894736707E-2</v>
      </c>
      <c r="I87" s="51">
        <f t="shared" si="54"/>
        <v>0.15578947368421048</v>
      </c>
      <c r="J87" s="51">
        <f t="shared" si="54"/>
        <v>0.15157894736842126</v>
      </c>
      <c r="K87" s="51">
        <f t="shared" si="54"/>
        <v>0.14105263157894732</v>
      </c>
      <c r="L87" s="51">
        <f t="shared" si="54"/>
        <v>6.1052631578947247E-2</v>
      </c>
      <c r="M87" s="51">
        <f t="shared" si="54"/>
        <v>3.1578947368421151E-2</v>
      </c>
      <c r="N87" s="51">
        <f t="shared" si="54"/>
        <v>0</v>
      </c>
      <c r="O87" s="51">
        <f t="shared" si="54"/>
        <v>0</v>
      </c>
      <c r="P87" s="51">
        <f t="shared" si="54"/>
        <v>0</v>
      </c>
      <c r="Q87" s="51">
        <f t="shared" si="54"/>
        <v>0</v>
      </c>
      <c r="R87" s="51">
        <f t="shared" si="54"/>
        <v>0</v>
      </c>
      <c r="S87" s="51">
        <f t="shared" si="54"/>
        <v>0</v>
      </c>
      <c r="T87" s="51">
        <f t="shared" si="54"/>
        <v>0</v>
      </c>
      <c r="U87" s="51">
        <f t="shared" si="54"/>
        <v>0</v>
      </c>
    </row>
    <row r="88" spans="2:32" ht="15.6" x14ac:dyDescent="0.3">
      <c r="B88" s="39"/>
      <c r="C88" s="39"/>
      <c r="D88" s="39"/>
      <c r="E88" s="46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39"/>
      <c r="T88" s="39"/>
    </row>
    <row r="89" spans="2:32" ht="15.6" x14ac:dyDescent="0.3">
      <c r="B89" s="58" t="s">
        <v>37</v>
      </c>
      <c r="C89" s="39"/>
      <c r="D89" s="39"/>
      <c r="E89" s="39"/>
      <c r="F89" s="52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39"/>
      <c r="T89" s="39"/>
    </row>
    <row r="90" spans="2:32" ht="33" customHeight="1" x14ac:dyDescent="0.3">
      <c r="B90" s="264">
        <v>1</v>
      </c>
      <c r="C90" s="367" t="s">
        <v>90</v>
      </c>
      <c r="D90" s="367"/>
      <c r="E90" s="367"/>
      <c r="F90" s="367"/>
      <c r="G90" s="367"/>
      <c r="H90" s="367"/>
      <c r="I90" s="367"/>
      <c r="J90" s="367"/>
      <c r="K90" s="39"/>
      <c r="L90" s="39"/>
      <c r="M90" s="39"/>
      <c r="N90" s="39"/>
      <c r="O90" s="39"/>
      <c r="P90" s="39"/>
      <c r="Q90" s="39"/>
      <c r="R90" s="39"/>
      <c r="S90" s="39"/>
      <c r="T90" s="39"/>
    </row>
    <row r="91" spans="2:32" ht="14.25" customHeight="1" x14ac:dyDescent="0.3">
      <c r="B91" s="264">
        <v>2</v>
      </c>
      <c r="C91" s="39" t="s">
        <v>138</v>
      </c>
      <c r="D91" s="130"/>
      <c r="E91" s="130"/>
      <c r="F91" s="13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</row>
    <row r="92" spans="2:32" ht="16.5" customHeight="1" x14ac:dyDescent="0.3">
      <c r="B92" s="264">
        <v>3</v>
      </c>
      <c r="C92" s="39" t="s">
        <v>101</v>
      </c>
      <c r="D92" s="39"/>
      <c r="E92" s="39"/>
      <c r="F92" s="52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</row>
    <row r="93" spans="2:32" ht="16.5" customHeight="1" x14ac:dyDescent="0.3">
      <c r="B93" s="264">
        <v>4</v>
      </c>
      <c r="C93" s="39" t="str">
        <f>"Assumes the following:  "&amp;$G$102&amp;" year amortization period, "&amp;TEXT(G103,"0.00%")&amp;" interest rate.  The number represents the cumulative bonding capacity for the year indicated."</f>
        <v>Assumes the following:  25 year amortization period, 5.00% interest rate.  The number represents the cumulative bonding capacity for the year indicated.</v>
      </c>
      <c r="D93" s="130"/>
      <c r="E93" s="130"/>
      <c r="F93" s="13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</row>
    <row r="94" spans="2:32" ht="12.75" customHeight="1" thickBot="1" x14ac:dyDescent="0.35">
      <c r="B94" s="99"/>
      <c r="C94" s="39"/>
      <c r="D94" s="98"/>
      <c r="E94" s="98"/>
      <c r="F94" s="98"/>
      <c r="G94" s="39"/>
      <c r="H94" s="39"/>
      <c r="I94" s="39"/>
      <c r="J94" s="39"/>
      <c r="K94" s="39"/>
      <c r="M94" s="39"/>
      <c r="N94" s="39"/>
      <c r="O94" s="39"/>
      <c r="P94" s="39"/>
      <c r="Q94" s="39"/>
      <c r="R94" s="39"/>
      <c r="S94" s="39"/>
    </row>
    <row r="95" spans="2:32" ht="15.6" x14ac:dyDescent="0.3">
      <c r="B95" s="53"/>
      <c r="C95" s="254" t="s">
        <v>196</v>
      </c>
      <c r="D95" s="239"/>
      <c r="E95" s="219"/>
      <c r="F95" s="219"/>
      <c r="G95" s="219"/>
      <c r="H95" s="219"/>
      <c r="I95" s="220"/>
      <c r="O95" s="39"/>
      <c r="P95" s="39"/>
      <c r="Q95" s="39"/>
      <c r="R95" s="39"/>
      <c r="S95" s="39"/>
    </row>
    <row r="96" spans="2:32" ht="15.6" x14ac:dyDescent="0.3">
      <c r="B96" s="53"/>
      <c r="C96" s="240"/>
      <c r="D96" s="55"/>
      <c r="E96" s="56"/>
      <c r="F96" s="56"/>
      <c r="G96" s="56"/>
      <c r="H96" s="56"/>
      <c r="I96" s="222"/>
      <c r="O96" s="39"/>
      <c r="P96" s="39"/>
      <c r="Q96" s="39"/>
      <c r="R96" s="39"/>
      <c r="S96" s="39"/>
    </row>
    <row r="97" spans="1:32" s="59" customFormat="1" ht="15.6" x14ac:dyDescent="0.3">
      <c r="C97" s="240" t="s">
        <v>20</v>
      </c>
      <c r="D97" s="241">
        <f>SUM(E10:U10,E26:U26)</f>
        <v>950</v>
      </c>
      <c r="E97" s="96"/>
      <c r="F97" s="55" t="s">
        <v>27</v>
      </c>
      <c r="G97" s="242">
        <v>0.6</v>
      </c>
      <c r="H97" s="96"/>
      <c r="I97" s="243">
        <f>'Source Use'!C52</f>
        <v>0.94</v>
      </c>
      <c r="AF97" s="137"/>
    </row>
    <row r="98" spans="1:32" ht="15.6" x14ac:dyDescent="0.3">
      <c r="C98" s="240" t="s">
        <v>60</v>
      </c>
      <c r="D98" s="241">
        <v>0</v>
      </c>
      <c r="E98" s="56"/>
      <c r="F98" s="55" t="s">
        <v>70</v>
      </c>
      <c r="G98" s="242">
        <v>0.1</v>
      </c>
      <c r="H98" s="56"/>
      <c r="I98" s="222"/>
    </row>
    <row r="99" spans="1:32" ht="15.6" x14ac:dyDescent="0.3">
      <c r="C99" s="240" t="s">
        <v>257</v>
      </c>
      <c r="D99" s="332">
        <v>0.02</v>
      </c>
      <c r="E99" s="56"/>
      <c r="F99" s="55" t="s">
        <v>91</v>
      </c>
      <c r="G99" s="244">
        <v>0.18</v>
      </c>
      <c r="H99" s="56"/>
      <c r="I99" s="222"/>
    </row>
    <row r="100" spans="1:32" ht="15.6" x14ac:dyDescent="0.3">
      <c r="C100" s="240" t="s">
        <v>256</v>
      </c>
      <c r="D100" s="327">
        <v>0.02</v>
      </c>
      <c r="E100" s="56"/>
      <c r="F100" s="55" t="s">
        <v>28</v>
      </c>
      <c r="G100" s="245">
        <v>4.25</v>
      </c>
      <c r="H100" s="56"/>
      <c r="I100" s="222"/>
    </row>
    <row r="101" spans="1:32" ht="15.6" x14ac:dyDescent="0.3">
      <c r="C101" s="240" t="s">
        <v>258</v>
      </c>
      <c r="D101" s="327">
        <v>0.02</v>
      </c>
      <c r="E101" s="56"/>
      <c r="F101" s="55" t="s">
        <v>19</v>
      </c>
      <c r="G101" s="245">
        <v>0.3</v>
      </c>
      <c r="H101" s="56"/>
      <c r="I101" s="222"/>
      <c r="L101" s="39" t="str">
        <f>C84</f>
        <v>Annual Proceeds</v>
      </c>
      <c r="M101" s="129">
        <f>F84</f>
        <v>463540.4344249132</v>
      </c>
    </row>
    <row r="102" spans="1:32" ht="15.6" x14ac:dyDescent="0.3">
      <c r="C102" s="246" t="s">
        <v>31</v>
      </c>
      <c r="D102" s="56"/>
      <c r="E102" s="56"/>
      <c r="F102" s="55" t="s">
        <v>29</v>
      </c>
      <c r="G102" s="248">
        <v>25</v>
      </c>
      <c r="H102" s="56"/>
      <c r="I102" s="222"/>
    </row>
    <row r="103" spans="1:32" ht="15.6" x14ac:dyDescent="0.3">
      <c r="C103" s="247" t="s">
        <v>32</v>
      </c>
      <c r="D103" s="242">
        <v>0.25</v>
      </c>
      <c r="E103" s="56"/>
      <c r="F103" s="55" t="s">
        <v>30</v>
      </c>
      <c r="G103" s="249">
        <v>0.05</v>
      </c>
      <c r="H103" s="56"/>
      <c r="I103" s="222"/>
      <c r="L103" t="s">
        <v>261</v>
      </c>
      <c r="M103" s="129">
        <f>F83</f>
        <v>493128.12172863109</v>
      </c>
      <c r="N103" t="s">
        <v>262</v>
      </c>
    </row>
    <row r="104" spans="1:32" ht="15.6" x14ac:dyDescent="0.3">
      <c r="C104" s="247" t="s">
        <v>33</v>
      </c>
      <c r="D104" s="242">
        <v>0.5</v>
      </c>
      <c r="E104" s="56"/>
      <c r="F104" s="55" t="s">
        <v>100</v>
      </c>
      <c r="G104" s="250">
        <v>0.95</v>
      </c>
      <c r="H104" s="56"/>
      <c r="I104" s="222"/>
      <c r="L104" t="str">
        <f>C70</f>
        <v>Annual Debt Service (3)</v>
      </c>
      <c r="M104" t="s">
        <v>263</v>
      </c>
    </row>
    <row r="105" spans="1:32" ht="15.6" x14ac:dyDescent="0.3">
      <c r="C105" s="247" t="s">
        <v>34</v>
      </c>
      <c r="D105" s="242">
        <v>0.25</v>
      </c>
      <c r="E105" s="56"/>
      <c r="F105" s="55" t="s">
        <v>84</v>
      </c>
      <c r="G105" s="331">
        <v>295000</v>
      </c>
      <c r="H105" s="56"/>
      <c r="I105" s="222"/>
    </row>
    <row r="106" spans="1:32" ht="16.2" thickBot="1" x14ac:dyDescent="0.35">
      <c r="C106" s="251"/>
      <c r="D106" s="236"/>
      <c r="E106" s="236"/>
      <c r="F106" s="252"/>
      <c r="G106" s="253"/>
      <c r="H106" s="236"/>
      <c r="I106" s="237"/>
    </row>
    <row r="107" spans="1:32" ht="13.8" thickBot="1" x14ac:dyDescent="0.3"/>
    <row r="108" spans="1:32" ht="15.6" x14ac:dyDescent="0.3">
      <c r="C108" s="39"/>
      <c r="D108" s="39"/>
      <c r="F108" s="238" t="s">
        <v>195</v>
      </c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20"/>
    </row>
    <row r="109" spans="1:32" ht="15.6" x14ac:dyDescent="0.3">
      <c r="C109" s="39"/>
      <c r="D109" s="26"/>
      <c r="F109" s="221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222"/>
    </row>
    <row r="110" spans="1:32" ht="19.2" x14ac:dyDescent="0.6">
      <c r="A110" s="280" t="s">
        <v>209</v>
      </c>
      <c r="C110" s="95" t="s">
        <v>210</v>
      </c>
      <c r="D110" s="31" t="s">
        <v>59</v>
      </c>
      <c r="F110" s="221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222"/>
    </row>
    <row r="111" spans="1:32" x14ac:dyDescent="0.25">
      <c r="C111" s="275" t="s">
        <v>212</v>
      </c>
      <c r="F111" s="364" t="s">
        <v>163</v>
      </c>
      <c r="G111" s="365"/>
      <c r="H111" s="365"/>
      <c r="I111" s="365"/>
      <c r="J111" s="365"/>
      <c r="K111" s="365"/>
      <c r="L111" s="365"/>
      <c r="M111" s="365"/>
      <c r="N111" s="366"/>
      <c r="O111" s="56"/>
      <c r="P111" s="56"/>
      <c r="Q111" s="96"/>
      <c r="R111" s="56"/>
      <c r="S111" s="56"/>
      <c r="T111" s="56"/>
      <c r="U111" s="56"/>
      <c r="V111" s="56"/>
      <c r="W111" s="222"/>
    </row>
    <row r="112" spans="1:32" ht="13.8" thickBot="1" x14ac:dyDescent="0.3">
      <c r="A112" s="272" t="s">
        <v>119</v>
      </c>
      <c r="B112" s="28"/>
      <c r="C112" s="274" t="s">
        <v>213</v>
      </c>
      <c r="D112" s="147">
        <v>10488</v>
      </c>
      <c r="E112">
        <v>80</v>
      </c>
      <c r="F112" s="221"/>
      <c r="G112" s="56"/>
      <c r="H112" s="56"/>
      <c r="I112" s="56"/>
      <c r="J112" s="56"/>
      <c r="K112" s="56"/>
      <c r="L112" s="56"/>
      <c r="M112" s="56"/>
      <c r="N112" s="102"/>
      <c r="O112" s="223" t="s">
        <v>148</v>
      </c>
      <c r="P112" s="172" t="s">
        <v>150</v>
      </c>
      <c r="Q112" s="96" t="s">
        <v>168</v>
      </c>
      <c r="R112" s="224"/>
      <c r="S112" s="133" t="s">
        <v>171</v>
      </c>
      <c r="T112" s="56" t="s">
        <v>178</v>
      </c>
      <c r="U112" s="133" t="s">
        <v>174</v>
      </c>
      <c r="V112" s="56"/>
      <c r="W112" s="222"/>
    </row>
    <row r="113" spans="1:32" ht="13.8" thickBot="1" x14ac:dyDescent="0.3">
      <c r="A113" s="272" t="s">
        <v>118</v>
      </c>
      <c r="B113" s="28"/>
      <c r="C113" s="274" t="s">
        <v>214</v>
      </c>
      <c r="D113" s="147">
        <v>75</v>
      </c>
      <c r="E113">
        <v>83</v>
      </c>
      <c r="F113" s="225" t="s">
        <v>1</v>
      </c>
      <c r="G113" s="108" t="s">
        <v>83</v>
      </c>
      <c r="H113" s="103" t="s">
        <v>80</v>
      </c>
      <c r="I113" s="103" t="s">
        <v>81</v>
      </c>
      <c r="J113" s="108" t="s">
        <v>84</v>
      </c>
      <c r="K113" s="108" t="s">
        <v>85</v>
      </c>
      <c r="L113" s="108" t="s">
        <v>6</v>
      </c>
      <c r="M113" s="108"/>
      <c r="N113" s="109"/>
      <c r="O113" s="152" t="s">
        <v>166</v>
      </c>
      <c r="P113" s="152" t="s">
        <v>167</v>
      </c>
      <c r="Q113" s="153" t="s">
        <v>165</v>
      </c>
      <c r="R113" s="224"/>
      <c r="S113" s="133">
        <v>27</v>
      </c>
      <c r="T113" s="133">
        <v>6</v>
      </c>
      <c r="U113" s="169">
        <f>L114/T113</f>
        <v>0</v>
      </c>
      <c r="V113" s="56"/>
      <c r="W113" s="222"/>
    </row>
    <row r="114" spans="1:32" x14ac:dyDescent="0.25">
      <c r="A114" s="272">
        <v>217060020</v>
      </c>
      <c r="B114" s="28"/>
      <c r="C114" s="274" t="s">
        <v>215</v>
      </c>
      <c r="D114" s="147">
        <v>83</v>
      </c>
      <c r="E114">
        <v>7040</v>
      </c>
      <c r="F114" s="226">
        <v>0</v>
      </c>
      <c r="G114" s="110">
        <v>250</v>
      </c>
      <c r="H114" s="106">
        <v>0.25</v>
      </c>
      <c r="I114" s="107">
        <f>F114*43560*H114</f>
        <v>0</v>
      </c>
      <c r="J114" s="124">
        <v>260000</v>
      </c>
      <c r="K114" s="56">
        <f>43560*H114*G114/J114</f>
        <v>10.471153846153847</v>
      </c>
      <c r="L114" s="111">
        <f>K114*F114</f>
        <v>0</v>
      </c>
      <c r="M114" s="107"/>
      <c r="N114" s="112"/>
      <c r="O114" s="155"/>
      <c r="P114" s="155"/>
      <c r="Q114" s="56"/>
      <c r="R114" s="56"/>
      <c r="S114" s="133"/>
      <c r="T114" s="133" t="s">
        <v>172</v>
      </c>
      <c r="U114" s="133"/>
      <c r="V114" s="56"/>
      <c r="W114" s="222"/>
    </row>
    <row r="115" spans="1:32" x14ac:dyDescent="0.25">
      <c r="A115" s="272" t="s">
        <v>111</v>
      </c>
      <c r="B115" s="28"/>
      <c r="C115" s="274" t="s">
        <v>216</v>
      </c>
      <c r="D115" s="147">
        <v>75</v>
      </c>
      <c r="E115">
        <v>80</v>
      </c>
      <c r="F115" s="227"/>
      <c r="G115" s="104"/>
      <c r="H115" s="104"/>
      <c r="I115" s="104"/>
      <c r="J115" s="104"/>
      <c r="K115" s="104"/>
      <c r="L115" s="104"/>
      <c r="M115" s="104"/>
      <c r="N115" s="105"/>
      <c r="O115" s="155"/>
      <c r="P115" s="155"/>
      <c r="Q115" s="56"/>
      <c r="R115" s="56"/>
      <c r="S115" s="133"/>
      <c r="T115" s="133"/>
      <c r="U115" s="133"/>
      <c r="V115" s="56"/>
      <c r="W115" s="222"/>
    </row>
    <row r="116" spans="1:32" x14ac:dyDescent="0.25">
      <c r="A116" s="272" t="s">
        <v>116</v>
      </c>
      <c r="B116" s="28"/>
      <c r="C116" s="274" t="s">
        <v>217</v>
      </c>
      <c r="D116" s="147">
        <v>14051</v>
      </c>
      <c r="E116">
        <v>3903</v>
      </c>
      <c r="F116" s="221"/>
      <c r="G116" s="56"/>
      <c r="H116" s="56"/>
      <c r="I116" s="56"/>
      <c r="J116" s="56"/>
      <c r="K116" s="56"/>
      <c r="L116" s="56"/>
      <c r="M116" s="56"/>
      <c r="N116" s="56"/>
      <c r="O116" s="155"/>
      <c r="P116" s="155"/>
      <c r="Q116" s="56"/>
      <c r="R116" s="56"/>
      <c r="S116" s="133"/>
      <c r="T116" s="133"/>
      <c r="U116" s="133"/>
      <c r="V116" s="56"/>
      <c r="W116" s="222"/>
    </row>
    <row r="117" spans="1:32" s="113" customFormat="1" x14ac:dyDescent="0.25">
      <c r="A117" s="273">
        <v>217070020</v>
      </c>
      <c r="B117" s="271"/>
      <c r="C117" s="283" t="s">
        <v>218</v>
      </c>
      <c r="D117" s="147">
        <v>75</v>
      </c>
      <c r="E117" s="113">
        <v>80</v>
      </c>
      <c r="F117" s="364" t="s">
        <v>164</v>
      </c>
      <c r="G117" s="365"/>
      <c r="H117" s="365"/>
      <c r="I117" s="365"/>
      <c r="J117" s="365"/>
      <c r="K117" s="365"/>
      <c r="L117" s="365"/>
      <c r="M117" s="365"/>
      <c r="N117" s="366"/>
      <c r="O117" s="155"/>
      <c r="P117" s="228"/>
      <c r="Q117" s="229"/>
      <c r="R117" s="229"/>
      <c r="S117" s="154"/>
      <c r="T117" s="154"/>
      <c r="U117" s="154"/>
      <c r="V117" s="229"/>
      <c r="W117" s="230"/>
      <c r="AB117" s="117"/>
      <c r="AC117" s="117"/>
      <c r="AD117" s="117"/>
      <c r="AE117" s="117"/>
      <c r="AF117" s="117"/>
    </row>
    <row r="118" spans="1:32" s="113" customFormat="1" ht="13.8" thickBot="1" x14ac:dyDescent="0.3">
      <c r="A118" s="282" t="s">
        <v>113</v>
      </c>
      <c r="B118" s="271"/>
      <c r="C118" s="274" t="s">
        <v>230</v>
      </c>
      <c r="D118" s="147">
        <v>7397</v>
      </c>
      <c r="E118" s="113">
        <v>2496</v>
      </c>
      <c r="F118" s="221"/>
      <c r="G118" s="56"/>
      <c r="H118" s="56"/>
      <c r="I118" s="56"/>
      <c r="J118" s="56"/>
      <c r="K118" s="56"/>
      <c r="L118" s="56"/>
      <c r="M118" s="56"/>
      <c r="N118" s="102"/>
      <c r="O118" s="223" t="s">
        <v>147</v>
      </c>
      <c r="P118" s="223" t="s">
        <v>152</v>
      </c>
      <c r="Q118" s="96" t="s">
        <v>168</v>
      </c>
      <c r="R118" s="229"/>
      <c r="S118" s="154" t="s">
        <v>171</v>
      </c>
      <c r="T118" s="154" t="s">
        <v>178</v>
      </c>
      <c r="U118" s="154" t="s">
        <v>175</v>
      </c>
      <c r="V118" s="229"/>
      <c r="W118" s="230"/>
      <c r="AB118" s="117"/>
      <c r="AC118" s="117"/>
      <c r="AD118" s="117"/>
      <c r="AE118" s="117"/>
      <c r="AF118" s="117"/>
    </row>
    <row r="119" spans="1:32" s="113" customFormat="1" ht="13.8" thickBot="1" x14ac:dyDescent="0.3">
      <c r="A119" s="273" t="s">
        <v>114</v>
      </c>
      <c r="B119" s="271"/>
      <c r="C119" s="274" t="s">
        <v>219</v>
      </c>
      <c r="D119" s="147">
        <v>83</v>
      </c>
      <c r="E119" s="113">
        <v>2406</v>
      </c>
      <c r="F119" s="225" t="s">
        <v>1</v>
      </c>
      <c r="G119" s="108" t="s">
        <v>83</v>
      </c>
      <c r="H119" s="103" t="s">
        <v>80</v>
      </c>
      <c r="I119" s="103" t="s">
        <v>81</v>
      </c>
      <c r="J119" s="108" t="s">
        <v>84</v>
      </c>
      <c r="K119" s="108" t="s">
        <v>85</v>
      </c>
      <c r="L119" s="108" t="s">
        <v>6</v>
      </c>
      <c r="M119" s="108"/>
      <c r="N119" s="109"/>
      <c r="O119" s="152" t="s">
        <v>166</v>
      </c>
      <c r="P119" s="152" t="s">
        <v>169</v>
      </c>
      <c r="Q119" s="153" t="s">
        <v>165</v>
      </c>
      <c r="R119" s="229"/>
      <c r="S119" s="154">
        <v>23</v>
      </c>
      <c r="T119" s="133">
        <v>6</v>
      </c>
      <c r="U119" s="169">
        <f>L120/T119</f>
        <v>0</v>
      </c>
      <c r="V119" s="229"/>
      <c r="W119" s="230"/>
      <c r="AB119" s="117"/>
      <c r="AC119" s="117"/>
      <c r="AD119" s="117"/>
      <c r="AE119" s="117"/>
      <c r="AF119" s="117"/>
    </row>
    <row r="120" spans="1:32" s="113" customFormat="1" x14ac:dyDescent="0.25">
      <c r="A120" s="273" t="s">
        <v>112</v>
      </c>
      <c r="B120" s="271"/>
      <c r="C120" s="274" t="s">
        <v>220</v>
      </c>
      <c r="D120" s="147">
        <v>89</v>
      </c>
      <c r="E120" s="113">
        <v>80</v>
      </c>
      <c r="F120" s="226">
        <v>0</v>
      </c>
      <c r="G120" s="110">
        <v>250</v>
      </c>
      <c r="H120" s="106">
        <v>0.25</v>
      </c>
      <c r="I120" s="107">
        <f>F120*43560*H120</f>
        <v>0</v>
      </c>
      <c r="J120" s="124">
        <v>260000</v>
      </c>
      <c r="K120" s="56">
        <f>43560*H120*G120/J120</f>
        <v>10.471153846153847</v>
      </c>
      <c r="L120" s="111">
        <f>K120*F120</f>
        <v>0</v>
      </c>
      <c r="M120" s="107"/>
      <c r="N120" s="112"/>
      <c r="O120" s="152"/>
      <c r="P120" s="152"/>
      <c r="Q120" s="229"/>
      <c r="R120" s="229"/>
      <c r="S120" s="154"/>
      <c r="T120" s="154" t="s">
        <v>172</v>
      </c>
      <c r="U120" s="154"/>
      <c r="V120" s="229"/>
      <c r="W120" s="230"/>
      <c r="AB120" s="117"/>
      <c r="AC120" s="117"/>
      <c r="AD120" s="117"/>
      <c r="AE120" s="117"/>
      <c r="AF120" s="117"/>
    </row>
    <row r="121" spans="1:32" s="113" customFormat="1" x14ac:dyDescent="0.25">
      <c r="A121" s="273" t="s">
        <v>117</v>
      </c>
      <c r="B121" s="271"/>
      <c r="C121" s="274" t="s">
        <v>221</v>
      </c>
      <c r="D121" s="147">
        <v>99</v>
      </c>
      <c r="E121" s="113">
        <v>6253</v>
      </c>
      <c r="F121" s="227"/>
      <c r="G121" s="104"/>
      <c r="H121" s="104"/>
      <c r="I121" s="104"/>
      <c r="J121" s="104"/>
      <c r="K121" s="104"/>
      <c r="L121" s="104"/>
      <c r="M121" s="104"/>
      <c r="N121" s="105"/>
      <c r="O121" s="152"/>
      <c r="P121" s="152"/>
      <c r="Q121" s="229"/>
      <c r="R121" s="229"/>
      <c r="S121" s="154"/>
      <c r="T121" s="154"/>
      <c r="U121" s="154"/>
      <c r="V121" s="229"/>
      <c r="W121" s="230"/>
      <c r="AB121" s="117"/>
      <c r="AC121" s="117"/>
      <c r="AD121" s="117"/>
      <c r="AE121" s="117"/>
      <c r="AF121" s="117"/>
    </row>
    <row r="122" spans="1:32" s="113" customFormat="1" x14ac:dyDescent="0.25">
      <c r="A122" s="273" t="s">
        <v>115</v>
      </c>
      <c r="B122" s="271"/>
      <c r="C122" s="274" t="s">
        <v>222</v>
      </c>
      <c r="D122" s="147">
        <v>95</v>
      </c>
      <c r="E122" s="113">
        <v>80</v>
      </c>
      <c r="F122" s="231"/>
      <c r="G122" s="133"/>
      <c r="H122" s="146"/>
      <c r="I122" s="229"/>
      <c r="J122" s="229"/>
      <c r="K122" s="229"/>
      <c r="L122" s="229"/>
      <c r="M122" s="229"/>
      <c r="N122" s="229"/>
      <c r="O122" s="152"/>
      <c r="P122" s="152"/>
      <c r="Q122" s="229"/>
      <c r="R122" s="229"/>
      <c r="S122" s="154"/>
      <c r="T122" s="154"/>
      <c r="U122" s="154"/>
      <c r="V122" s="229"/>
      <c r="W122" s="230"/>
      <c r="AB122" s="117"/>
      <c r="AC122" s="117"/>
      <c r="AD122" s="117"/>
      <c r="AE122" s="117"/>
      <c r="AF122" s="117"/>
    </row>
    <row r="123" spans="1:32" x14ac:dyDescent="0.25">
      <c r="A123" s="272">
        <v>217080010</v>
      </c>
      <c r="B123" s="28"/>
      <c r="C123" s="274" t="s">
        <v>223</v>
      </c>
      <c r="D123" s="147">
        <v>529</v>
      </c>
      <c r="E123">
        <v>31681</v>
      </c>
      <c r="F123" s="364" t="s">
        <v>176</v>
      </c>
      <c r="G123" s="365"/>
      <c r="H123" s="365"/>
      <c r="I123" s="365"/>
      <c r="J123" s="365"/>
      <c r="K123" s="365"/>
      <c r="L123" s="365"/>
      <c r="M123" s="365"/>
      <c r="N123" s="366"/>
      <c r="O123" s="172"/>
      <c r="P123" s="172"/>
      <c r="Q123" s="56"/>
      <c r="R123" s="56"/>
      <c r="S123" s="133"/>
      <c r="T123" s="133"/>
      <c r="U123" s="133"/>
      <c r="V123" s="56"/>
      <c r="W123" s="222"/>
    </row>
    <row r="124" spans="1:32" ht="13.8" thickBot="1" x14ac:dyDescent="0.3">
      <c r="A124" s="272">
        <v>217080020</v>
      </c>
      <c r="B124" s="28"/>
      <c r="C124" s="274" t="s">
        <v>224</v>
      </c>
      <c r="D124" s="147">
        <v>83</v>
      </c>
      <c r="E124">
        <v>3519</v>
      </c>
      <c r="F124" s="221"/>
      <c r="G124" s="56"/>
      <c r="H124" s="56"/>
      <c r="I124" s="56"/>
      <c r="J124" s="56"/>
      <c r="K124" s="56"/>
      <c r="L124" s="56"/>
      <c r="M124" s="56"/>
      <c r="N124" s="102"/>
      <c r="O124" s="223" t="s">
        <v>149</v>
      </c>
      <c r="P124" s="223" t="s">
        <v>151</v>
      </c>
      <c r="Q124" s="96" t="s">
        <v>168</v>
      </c>
      <c r="R124" s="56"/>
      <c r="S124" s="133" t="s">
        <v>171</v>
      </c>
      <c r="T124" s="133" t="s">
        <v>178</v>
      </c>
      <c r="U124" s="133" t="s">
        <v>174</v>
      </c>
      <c r="V124" s="56"/>
      <c r="W124" s="222"/>
    </row>
    <row r="125" spans="1:32" ht="13.8" thickBot="1" x14ac:dyDescent="0.3">
      <c r="A125" s="272">
        <v>217080030</v>
      </c>
      <c r="B125" s="28"/>
      <c r="C125" s="274" t="s">
        <v>225</v>
      </c>
      <c r="D125" s="147">
        <v>75</v>
      </c>
      <c r="E125">
        <v>80</v>
      </c>
      <c r="F125" s="225" t="s">
        <v>1</v>
      </c>
      <c r="G125" s="108" t="s">
        <v>83</v>
      </c>
      <c r="H125" s="103" t="s">
        <v>80</v>
      </c>
      <c r="I125" s="103" t="s">
        <v>81</v>
      </c>
      <c r="J125" s="108" t="s">
        <v>84</v>
      </c>
      <c r="K125" s="108" t="s">
        <v>85</v>
      </c>
      <c r="L125" s="108" t="s">
        <v>6</v>
      </c>
      <c r="M125" s="108"/>
      <c r="N125" s="109"/>
      <c r="O125" s="152" t="s">
        <v>170</v>
      </c>
      <c r="P125" s="152" t="s">
        <v>152</v>
      </c>
      <c r="Q125" s="153" t="s">
        <v>165</v>
      </c>
      <c r="R125" s="56"/>
      <c r="S125" s="133">
        <v>9</v>
      </c>
      <c r="T125" s="133">
        <v>2</v>
      </c>
      <c r="U125" s="169">
        <f>L126/T125</f>
        <v>0</v>
      </c>
      <c r="V125" s="56"/>
      <c r="W125" s="222"/>
    </row>
    <row r="126" spans="1:32" x14ac:dyDescent="0.25">
      <c r="A126" s="272" t="s">
        <v>109</v>
      </c>
      <c r="B126" s="28"/>
      <c r="C126" s="274" t="s">
        <v>226</v>
      </c>
      <c r="D126" s="147">
        <v>75</v>
      </c>
      <c r="E126">
        <v>80</v>
      </c>
      <c r="F126" s="262">
        <v>0</v>
      </c>
      <c r="G126" s="110">
        <v>100</v>
      </c>
      <c r="H126" s="106">
        <v>0.25</v>
      </c>
      <c r="I126" s="107">
        <f>F126*43560*H126</f>
        <v>0</v>
      </c>
      <c r="J126" s="124">
        <v>260000</v>
      </c>
      <c r="K126" s="56">
        <f>43560*H126*G126/J126</f>
        <v>4.1884615384615387</v>
      </c>
      <c r="L126" s="111">
        <f>K126*F126</f>
        <v>0</v>
      </c>
      <c r="M126" s="107"/>
      <c r="N126" s="112"/>
      <c r="O126" s="172"/>
      <c r="P126" s="172"/>
      <c r="Q126" s="56"/>
      <c r="R126" s="56"/>
      <c r="S126" s="133"/>
      <c r="T126" s="56" t="s">
        <v>173</v>
      </c>
      <c r="U126" s="56"/>
      <c r="V126" s="56"/>
      <c r="W126" s="222"/>
    </row>
    <row r="127" spans="1:32" x14ac:dyDescent="0.25">
      <c r="A127" s="272" t="s">
        <v>110</v>
      </c>
      <c r="B127" s="28"/>
      <c r="C127" s="138"/>
      <c r="D127" s="147"/>
      <c r="E127">
        <v>96</v>
      </c>
      <c r="F127" s="227"/>
      <c r="G127" s="104"/>
      <c r="H127" s="104"/>
      <c r="I127" s="104"/>
      <c r="J127" s="104"/>
      <c r="K127" s="104"/>
      <c r="L127" s="104"/>
      <c r="M127" s="104"/>
      <c r="N127" s="105"/>
      <c r="O127" s="172"/>
      <c r="P127" s="172"/>
      <c r="Q127" s="56"/>
      <c r="R127" s="56"/>
      <c r="S127" s="56"/>
      <c r="T127" s="56"/>
      <c r="U127" s="56"/>
      <c r="V127" s="56"/>
      <c r="W127" s="222"/>
    </row>
    <row r="128" spans="1:32" x14ac:dyDescent="0.25">
      <c r="A128" s="272">
        <v>217080060</v>
      </c>
      <c r="B128" s="28"/>
      <c r="C128" s="138"/>
      <c r="D128" s="147"/>
      <c r="E128">
        <v>91</v>
      </c>
      <c r="F128" s="221"/>
      <c r="G128" s="133"/>
      <c r="H128" s="14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222"/>
    </row>
    <row r="129" spans="1:23" x14ac:dyDescent="0.25">
      <c r="A129" s="272" t="s">
        <v>108</v>
      </c>
      <c r="B129" s="28"/>
      <c r="C129" s="138"/>
      <c r="D129" s="147"/>
      <c r="E129">
        <v>15367</v>
      </c>
      <c r="F129" s="221"/>
      <c r="G129" s="133"/>
      <c r="H129" s="14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222"/>
    </row>
    <row r="130" spans="1:23" ht="19.2" x14ac:dyDescent="0.6">
      <c r="A130" s="272">
        <v>217170010</v>
      </c>
      <c r="B130" s="28"/>
      <c r="C130" s="138"/>
      <c r="D130" s="147"/>
      <c r="E130">
        <v>80</v>
      </c>
      <c r="F130" s="232"/>
      <c r="G130" s="164"/>
      <c r="H130" s="164"/>
      <c r="I130" s="164"/>
      <c r="J130" s="164"/>
      <c r="K130" s="170" t="s">
        <v>177</v>
      </c>
      <c r="L130" s="171">
        <f>L114+L120+L126</f>
        <v>0</v>
      </c>
      <c r="M130" s="170"/>
      <c r="N130" s="170"/>
      <c r="O130" s="170"/>
      <c r="P130" s="170"/>
      <c r="Q130" s="164"/>
      <c r="R130" s="164"/>
      <c r="S130" s="164"/>
      <c r="T130" s="164"/>
      <c r="U130" s="56"/>
      <c r="V130" s="56"/>
      <c r="W130" s="222"/>
    </row>
    <row r="131" spans="1:23" x14ac:dyDescent="0.25">
      <c r="C131" s="133" t="s">
        <v>162</v>
      </c>
      <c r="D131" s="148">
        <f>SUM(D112:D130)</f>
        <v>33372</v>
      </c>
      <c r="E131">
        <v>31827</v>
      </c>
      <c r="F131" s="233"/>
      <c r="G131" s="155"/>
      <c r="H131" s="155"/>
      <c r="I131" s="155"/>
      <c r="J131" s="155"/>
      <c r="K131" s="134"/>
      <c r="L131" s="134"/>
      <c r="M131" s="134"/>
      <c r="N131" s="155"/>
      <c r="O131" s="155"/>
      <c r="P131" s="155"/>
      <c r="Q131" s="155"/>
      <c r="R131" s="155"/>
      <c r="S131" s="134"/>
      <c r="T131" s="165"/>
      <c r="U131" s="56"/>
      <c r="V131" s="56"/>
      <c r="W131" s="222"/>
    </row>
    <row r="132" spans="1:23" ht="12.75" customHeight="1" x14ac:dyDescent="0.25">
      <c r="D132" s="129"/>
      <c r="F132" s="233"/>
      <c r="G132" s="155"/>
      <c r="H132" s="134"/>
      <c r="I132" s="134"/>
      <c r="J132" s="134"/>
      <c r="K132" s="134"/>
      <c r="L132" s="155"/>
      <c r="M132" s="155"/>
      <c r="N132" s="134"/>
      <c r="O132" s="156"/>
      <c r="P132" s="155"/>
      <c r="Q132" s="155"/>
      <c r="R132" s="155"/>
      <c r="S132" s="134"/>
      <c r="T132" s="165"/>
      <c r="U132" s="56"/>
      <c r="V132" s="56"/>
      <c r="W132" s="222"/>
    </row>
    <row r="133" spans="1:23" ht="17.399999999999999" thickBot="1" x14ac:dyDescent="0.6">
      <c r="C133" s="275" t="s">
        <v>211</v>
      </c>
      <c r="D133" s="129"/>
      <c r="F133" s="234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6"/>
      <c r="V133" s="236"/>
      <c r="W133" s="237"/>
    </row>
    <row r="134" spans="1:23" x14ac:dyDescent="0.25">
      <c r="A134" t="s">
        <v>123</v>
      </c>
      <c r="B134" s="28"/>
      <c r="C134" s="274" t="s">
        <v>227</v>
      </c>
      <c r="D134" s="147">
        <v>595</v>
      </c>
      <c r="E134">
        <v>75520</v>
      </c>
      <c r="F134" s="166"/>
      <c r="G134" s="157"/>
      <c r="H134" s="158"/>
      <c r="I134" s="159"/>
      <c r="J134" s="159"/>
      <c r="K134" s="160"/>
      <c r="L134" s="161"/>
      <c r="M134" s="162"/>
      <c r="N134" s="159"/>
      <c r="O134" s="159"/>
      <c r="P134" s="159"/>
      <c r="Q134" s="163"/>
      <c r="R134" s="162"/>
      <c r="S134" s="162"/>
      <c r="T134" s="167"/>
    </row>
    <row r="135" spans="1:23" x14ac:dyDescent="0.25">
      <c r="A135" t="s">
        <v>124</v>
      </c>
      <c r="B135" s="28"/>
      <c r="C135" s="274" t="s">
        <v>228</v>
      </c>
      <c r="D135" s="147">
        <v>53</v>
      </c>
      <c r="E135">
        <v>10526</v>
      </c>
      <c r="G135" s="133"/>
      <c r="H135" s="146"/>
    </row>
    <row r="136" spans="1:23" x14ac:dyDescent="0.25">
      <c r="A136" t="s">
        <v>158</v>
      </c>
      <c r="C136" s="150"/>
      <c r="D136" s="151">
        <v>0</v>
      </c>
      <c r="E136">
        <v>848</v>
      </c>
      <c r="G136" s="133"/>
      <c r="H136" s="146"/>
    </row>
    <row r="137" spans="1:23" x14ac:dyDescent="0.25">
      <c r="A137" t="s">
        <v>159</v>
      </c>
      <c r="C137" s="150"/>
      <c r="D137" s="151">
        <v>0</v>
      </c>
      <c r="E137">
        <v>15098</v>
      </c>
      <c r="G137" s="133"/>
      <c r="H137" s="146"/>
    </row>
    <row r="138" spans="1:23" x14ac:dyDescent="0.25">
      <c r="C138" s="277" t="s">
        <v>161</v>
      </c>
      <c r="D138" s="149">
        <f>SUM(D134:D137)</f>
        <v>648</v>
      </c>
      <c r="G138" s="133"/>
      <c r="H138" s="146"/>
    </row>
    <row r="139" spans="1:23" ht="15" x14ac:dyDescent="0.25">
      <c r="C139" s="126"/>
      <c r="D139" s="127"/>
      <c r="G139" s="133"/>
      <c r="H139" s="146"/>
    </row>
    <row r="140" spans="1:23" ht="16.2" thickBot="1" x14ac:dyDescent="0.35">
      <c r="A140" s="329">
        <v>34020</v>
      </c>
      <c r="C140" s="278" t="s">
        <v>160</v>
      </c>
      <c r="D140" s="330">
        <v>0</v>
      </c>
      <c r="E140">
        <f>SUM(E112:E130)+SUM(E134:E137)</f>
        <v>175567</v>
      </c>
      <c r="F140" s="128"/>
    </row>
    <row r="141" spans="1:23" ht="13.8" thickTop="1" x14ac:dyDescent="0.25">
      <c r="D141" s="127"/>
    </row>
    <row r="142" spans="1:23" x14ac:dyDescent="0.25">
      <c r="D142" s="127"/>
    </row>
    <row r="143" spans="1:23" x14ac:dyDescent="0.25">
      <c r="D143" s="127"/>
    </row>
    <row r="147" spans="28:31" x14ac:dyDescent="0.25">
      <c r="AB147"/>
      <c r="AC147"/>
      <c r="AD147"/>
      <c r="AE147"/>
    </row>
    <row r="148" spans="28:31" x14ac:dyDescent="0.25">
      <c r="AB148"/>
      <c r="AC148"/>
      <c r="AD148"/>
      <c r="AE148"/>
    </row>
    <row r="149" spans="28:31" x14ac:dyDescent="0.25">
      <c r="AB149"/>
      <c r="AC149"/>
      <c r="AD149"/>
      <c r="AE149"/>
    </row>
    <row r="150" spans="28:31" x14ac:dyDescent="0.25">
      <c r="AB150"/>
      <c r="AC150"/>
      <c r="AD150"/>
      <c r="AE150"/>
    </row>
    <row r="151" spans="28:31" x14ac:dyDescent="0.25">
      <c r="AB151"/>
      <c r="AC151"/>
      <c r="AD151"/>
      <c r="AE151"/>
    </row>
    <row r="152" spans="28:31" x14ac:dyDescent="0.25">
      <c r="AB152"/>
      <c r="AC152"/>
      <c r="AD152"/>
      <c r="AE152"/>
    </row>
    <row r="153" spans="28:31" x14ac:dyDescent="0.25">
      <c r="AB153"/>
      <c r="AC153"/>
      <c r="AD153"/>
      <c r="AE153"/>
    </row>
    <row r="154" spans="28:31" x14ac:dyDescent="0.25">
      <c r="AB154"/>
      <c r="AC154"/>
      <c r="AD154"/>
      <c r="AE154"/>
    </row>
    <row r="155" spans="28:31" x14ac:dyDescent="0.25">
      <c r="AB155"/>
      <c r="AC155"/>
      <c r="AD155"/>
      <c r="AE155"/>
    </row>
    <row r="156" spans="28:31" x14ac:dyDescent="0.25">
      <c r="AB156"/>
      <c r="AC156"/>
      <c r="AD156"/>
      <c r="AE156"/>
    </row>
    <row r="157" spans="28:31" x14ac:dyDescent="0.25">
      <c r="AB157"/>
      <c r="AC157"/>
      <c r="AD157"/>
      <c r="AE157"/>
    </row>
    <row r="158" spans="28:31" x14ac:dyDescent="0.25">
      <c r="AB158"/>
      <c r="AC158"/>
      <c r="AD158"/>
      <c r="AE158"/>
    </row>
    <row r="159" spans="28:31" x14ac:dyDescent="0.25">
      <c r="AB159"/>
      <c r="AC159"/>
      <c r="AD159"/>
      <c r="AE159"/>
    </row>
    <row r="160" spans="28:31" x14ac:dyDescent="0.25">
      <c r="AB160"/>
      <c r="AC160"/>
      <c r="AD160"/>
      <c r="AE160"/>
    </row>
    <row r="161" spans="28:31" x14ac:dyDescent="0.25">
      <c r="AB161"/>
      <c r="AC161"/>
      <c r="AD161"/>
      <c r="AE161"/>
    </row>
    <row r="162" spans="28:31" x14ac:dyDescent="0.25">
      <c r="AB162"/>
      <c r="AC162"/>
      <c r="AD162"/>
      <c r="AE162"/>
    </row>
    <row r="163" spans="28:31" x14ac:dyDescent="0.25">
      <c r="AB163"/>
      <c r="AC163"/>
      <c r="AD163"/>
      <c r="AE163"/>
    </row>
    <row r="164" spans="28:31" x14ac:dyDescent="0.25">
      <c r="AB164"/>
      <c r="AC164"/>
      <c r="AD164"/>
      <c r="AE164"/>
    </row>
    <row r="165" spans="28:31" x14ac:dyDescent="0.25">
      <c r="AB165"/>
      <c r="AC165"/>
      <c r="AD165"/>
      <c r="AE165"/>
    </row>
    <row r="166" spans="28:31" x14ac:dyDescent="0.25">
      <c r="AB166"/>
      <c r="AC166"/>
      <c r="AD166"/>
      <c r="AE166"/>
    </row>
    <row r="167" spans="28:31" x14ac:dyDescent="0.25">
      <c r="AB167"/>
      <c r="AC167"/>
      <c r="AD167"/>
      <c r="AE167"/>
    </row>
    <row r="168" spans="28:31" x14ac:dyDescent="0.25">
      <c r="AB168"/>
      <c r="AC168"/>
      <c r="AD168"/>
      <c r="AE168"/>
    </row>
    <row r="169" spans="28:31" x14ac:dyDescent="0.25">
      <c r="AB169"/>
      <c r="AC169"/>
      <c r="AD169"/>
      <c r="AE169"/>
    </row>
    <row r="170" spans="28:31" x14ac:dyDescent="0.25">
      <c r="AB170"/>
      <c r="AC170"/>
      <c r="AD170"/>
      <c r="AE170"/>
    </row>
    <row r="171" spans="28:31" x14ac:dyDescent="0.25">
      <c r="AB171"/>
      <c r="AC171"/>
      <c r="AD171"/>
      <c r="AE171"/>
    </row>
    <row r="172" spans="28:31" x14ac:dyDescent="0.25">
      <c r="AB172"/>
      <c r="AC172"/>
      <c r="AD172"/>
      <c r="AE172"/>
    </row>
    <row r="173" spans="28:31" x14ac:dyDescent="0.25">
      <c r="AB173"/>
      <c r="AC173"/>
      <c r="AD173"/>
      <c r="AE173"/>
    </row>
    <row r="174" spans="28:31" x14ac:dyDescent="0.25">
      <c r="AB174"/>
      <c r="AC174"/>
      <c r="AD174"/>
      <c r="AE174"/>
    </row>
  </sheetData>
  <mergeCells count="7">
    <mergeCell ref="B2:T2"/>
    <mergeCell ref="F117:N117"/>
    <mergeCell ref="F123:N123"/>
    <mergeCell ref="F111:N111"/>
    <mergeCell ref="C90:J90"/>
    <mergeCell ref="B4:T4"/>
    <mergeCell ref="B3:T3"/>
  </mergeCells>
  <phoneticPr fontId="2" type="noConversion"/>
  <pageMargins left="0.25" right="0.25" top="0.75" bottom="0.75" header="0.3" footer="0.3"/>
  <pageSetup scale="23" orientation="landscape" r:id="rId1"/>
  <headerFooter alignWithMargins="0"/>
  <rowBreaks count="1" manualBreakCount="1">
    <brk id="26" max="16383" man="1"/>
  </rowBreaks>
  <colBreaks count="2" manualBreakCount="2">
    <brk id="12" max="1048575" man="1"/>
    <brk id="1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Source Use</vt:lpstr>
      <vt:lpstr>Land Use</vt:lpstr>
      <vt:lpstr>AV</vt:lpstr>
      <vt:lpstr>LandUseCopy</vt:lpstr>
      <vt:lpstr>'Land Use'!Print_Area</vt:lpstr>
      <vt:lpstr>'Source Use'!Print_Area</vt:lpstr>
    </vt:vector>
  </TitlesOfParts>
  <Company>DP&amp;FG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Fabian</dc:creator>
  <cp:lastModifiedBy>Gregg Wolin</cp:lastModifiedBy>
  <cp:lastPrinted>2019-08-06T16:27:36Z</cp:lastPrinted>
  <dcterms:created xsi:type="dcterms:W3CDTF">2004-12-10T22:14:31Z</dcterms:created>
  <dcterms:modified xsi:type="dcterms:W3CDTF">2021-08-18T21:19:57Z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820bdaa4-8aae-489a-9b45-65825216c4a1</vt:lpwstr>
  </property>
</Properties>
</file>