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5150east/landscape/uploads/"/>
    </mc:Choice>
  </mc:AlternateContent>
  <xr:revisionPtr revIDLastSave="0" documentId="13_ncr:1_{DA10B17D-5B95-CE4B-BC41-8720D3108BB8}" xr6:coauthVersionLast="47" xr6:coauthVersionMax="47" xr10:uidLastSave="{00000000-0000-0000-0000-000000000000}"/>
  <bookViews>
    <workbookView xWindow="10040" yWindow="1520" windowWidth="34800" windowHeight="26760" xr2:uid="{A38052AD-A21E-CC40-8045-700556598B94}"/>
  </bookViews>
  <sheets>
    <sheet name="Benchmark Unit Costs (rev)" sheetId="3" r:id="rId1"/>
    <sheet name="Benchmark Unit Costs" sheetId="1" state="hidden" r:id="rId2"/>
  </sheets>
  <externalReferences>
    <externalReference r:id="rId3"/>
  </externalReferences>
  <definedNames>
    <definedName name="_xlcn.WorksheetConnection_T9A2C161" hidden="1">#REF!</definedName>
    <definedName name="headr_projDescr">[1]ADMIN!$D$13</definedName>
    <definedName name="headr_projectName">IF([1]ADMIN!XEX1&gt;0,"Q"&amp;ROUNDUP(MONTH([1]ADMIN!XEV1)/3,0)&amp;"-"&amp;YEAR([1]ADMIN!XEV1)-2000,"")</definedName>
    <definedName name="i_dateStart">[1]ADMIN!$D$16</definedName>
    <definedName name="i_durationMax">[1]ADMIN!$D$17</definedName>
    <definedName name="i_projectDescr">[1]ADMIN!$D$8</definedName>
    <definedName name="i_projectName">[1]ADMIN!$D$7</definedName>
    <definedName name="list_datesMo">EDATE(i_dateStart,_xlfn.SEQUENCE(i_durationMax,1,0))</definedName>
    <definedName name="list_datesQtr">IF(_xlfn.ANCHORARRAY([1]ADMIN!XFB1)&gt;0,"Q"&amp;ROUNDUP(MONTH(_xlfn.ANCHORARRAY([1]ADMIN!XFD1))/3,0)&amp;"-"&amp;YEAR(_xlfn.ANCHORARRAY([1]ADMIN!XFD1))-2000,0)</definedName>
    <definedName name="list_datesYr">YEAR(EDATE(i_dateStart,_xlfn.SEQUENCE(i_durationMax,1,0)))</definedName>
    <definedName name="list_MonthNames">TEXT(_xlfn.SEQUENCE(12,,1,1)&amp;"/1", "MMM")</definedName>
    <definedName name="list_periodsMo">_xlfn.SEQUENCE(i_durationMax)</definedName>
    <definedName name="list_periodsQtr">ROUNDUP(_xlfn.SEQUENCE(MAX(list_periodsMo),,1,1)/3,0)</definedName>
    <definedName name="list_periodsYr">_xlfn._xlws.FILTER([1]ADMIN!$H$9:$H$374,[1]ADMIN!$H$9:$H$374&lt;&gt;0)</definedName>
    <definedName name="list_years">_xlfn.UNIQUE(list_datesYr)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3" l="1"/>
  <c r="O11" i="3" s="1"/>
  <c r="O12" i="3" s="1"/>
  <c r="O13" i="3" s="1"/>
  <c r="O14" i="3" s="1"/>
  <c r="O15" i="3" s="1"/>
  <c r="J17" i="3"/>
  <c r="L4" i="3" s="1"/>
  <c r="L5" i="3" s="1"/>
  <c r="Q182" i="3"/>
  <c r="Q175" i="3"/>
  <c r="R175" i="3" s="1"/>
  <c r="P176" i="3"/>
  <c r="P177" i="3" s="1"/>
  <c r="E131" i="3"/>
  <c r="C183" i="3"/>
  <c r="C195" i="3"/>
  <c r="C182" i="3"/>
  <c r="C181" i="3"/>
  <c r="C18" i="3"/>
  <c r="C34" i="3"/>
  <c r="C12" i="3"/>
  <c r="C13" i="3"/>
  <c r="C14" i="3"/>
  <c r="E53" i="3"/>
  <c r="C58" i="3"/>
  <c r="C46" i="3"/>
  <c r="C256" i="3"/>
  <c r="C257" i="3"/>
  <c r="C260" i="3"/>
  <c r="C265" i="3"/>
  <c r="C353" i="3"/>
  <c r="C234" i="3"/>
  <c r="E300" i="3"/>
  <c r="E295" i="3"/>
  <c r="E294" i="3"/>
  <c r="E293" i="3"/>
  <c r="C70" i="3"/>
  <c r="A89" i="1" a="1"/>
  <c r="A89" i="1" s="1"/>
  <c r="F1" i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L7" i="3" l="1"/>
  <c r="L10" i="3"/>
  <c r="L9" i="3"/>
  <c r="L8" i="3"/>
  <c r="Q177" i="3"/>
  <c r="R177" i="3" s="1"/>
  <c r="P178" i="3"/>
  <c r="Q178" i="3" s="1"/>
  <c r="R178" i="3" s="1"/>
  <c r="Q176" i="3"/>
  <c r="R176" i="3" s="1"/>
  <c r="C241" i="3"/>
  <c r="L11" i="3" l="1"/>
  <c r="E4" i="3"/>
  <c r="E3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<sst xmlns="http://schemas.openxmlformats.org/spreadsheetml/2006/main" count="1726" uniqueCount="397">
  <si>
    <t>Category</t>
  </si>
  <si>
    <t>Item</t>
  </si>
  <si>
    <t>UOM</t>
  </si>
  <si>
    <t>Price</t>
  </si>
  <si>
    <t>Quan</t>
  </si>
  <si>
    <t>Sewer</t>
  </si>
  <si>
    <t>Global Water Tax True-Up</t>
  </si>
  <si>
    <t>%</t>
  </si>
  <si>
    <t>Water</t>
  </si>
  <si>
    <t>Permits</t>
  </si>
  <si>
    <t xml:space="preserve">Permits </t>
  </si>
  <si>
    <t>Bonds</t>
  </si>
  <si>
    <t>Civil Bond</t>
  </si>
  <si>
    <t>Civil Warrant Bond</t>
  </si>
  <si>
    <t>Insurance</t>
  </si>
  <si>
    <t>GC/Insurance</t>
  </si>
  <si>
    <t>General Contractor</t>
  </si>
  <si>
    <t>GC/CM</t>
  </si>
  <si>
    <t>Sales Tax</t>
  </si>
  <si>
    <t>Sales Tax (Est.) Need to Verify Tax Rate</t>
  </si>
  <si>
    <t>Grading</t>
  </si>
  <si>
    <t>Monthly Rental of Fence (per LF per mo)</t>
  </si>
  <si>
    <t>Grade out Temp Basin</t>
  </si>
  <si>
    <t>CY</t>
  </si>
  <si>
    <t>Over excavation</t>
  </si>
  <si>
    <t>Street Rough Grading</t>
  </si>
  <si>
    <t>Rip Rap at Box Culvert Outlet</t>
  </si>
  <si>
    <t>Project Completion Import/Export</t>
  </si>
  <si>
    <t>Project completion lot spin</t>
  </si>
  <si>
    <t>Days</t>
  </si>
  <si>
    <t>Course Aggregate Stabilized Construction Entrance (SWPP)</t>
  </si>
  <si>
    <t>EA</t>
  </si>
  <si>
    <t>Misc. Site Clean-Up and Street Sweeping</t>
  </si>
  <si>
    <t>Off-Site Mobilizations</t>
  </si>
  <si>
    <t>5' Manhole -W/Frame and Cover Mag 420</t>
  </si>
  <si>
    <t>16" Gate Valve w/ Valve Box &amp; Cover</t>
  </si>
  <si>
    <t>16" x 8" Tee</t>
  </si>
  <si>
    <t>16" x 6" T</t>
  </si>
  <si>
    <t>Fire Hydrant Complete</t>
  </si>
  <si>
    <t>16" x 2" Tapping Sleeve, Valve, and Service</t>
  </si>
  <si>
    <t xml:space="preserve">Potable Curb Stop (Blow Off) </t>
  </si>
  <si>
    <t>Mobilization</t>
  </si>
  <si>
    <t>Concrete</t>
  </si>
  <si>
    <t>Curb Transitions</t>
  </si>
  <si>
    <t>Paving</t>
  </si>
  <si>
    <t>Survey Markers</t>
  </si>
  <si>
    <t>Sewer Manhole &amp; Cover Frame Adj. - MAG 422</t>
  </si>
  <si>
    <t>Water Valve &amp; Sewer Cleanout Frame &amp; Cover Adj. - MAG 391-1</t>
  </si>
  <si>
    <t>Adjust Fire Hydrant</t>
  </si>
  <si>
    <t>Deposits</t>
  </si>
  <si>
    <t xml:space="preserve">Hydrant Meter Deposit </t>
  </si>
  <si>
    <t>Dry Utilities</t>
  </si>
  <si>
    <t>Unknown</t>
  </si>
  <si>
    <t xml:space="preserve">EA </t>
  </si>
  <si>
    <t>Sidewalk Ramp</t>
  </si>
  <si>
    <t>Prepare/Restore Curb</t>
  </si>
  <si>
    <t>LF</t>
  </si>
  <si>
    <t>Backfill Median &amp; Median Curb</t>
  </si>
  <si>
    <t>Silt Fence</t>
  </si>
  <si>
    <t>Install Temporary Fence</t>
  </si>
  <si>
    <t>Privacy Screen Fence</t>
  </si>
  <si>
    <t>12" PVC C-900</t>
  </si>
  <si>
    <t>Additional Needed Sewer Hydrovac 1st Time</t>
  </si>
  <si>
    <t>Concrete Encasement</t>
  </si>
  <si>
    <t xml:space="preserve">16" Class 350 </t>
  </si>
  <si>
    <t>Storm Drain</t>
  </si>
  <si>
    <t>6" Curb &amp; Gutter MAG 220-1 Type A</t>
  </si>
  <si>
    <t>Single Curb MAG 222 Type "A"</t>
  </si>
  <si>
    <t>Mountable Curb</t>
  </si>
  <si>
    <t>Box Culvert</t>
  </si>
  <si>
    <t>Thickened Edge</t>
  </si>
  <si>
    <t>2' Saw Cut, and Remove of Existing Pavement @</t>
  </si>
  <si>
    <t>LS</t>
  </si>
  <si>
    <t>Clear &amp; Grub &amp; Haul-Off</t>
  </si>
  <si>
    <t>Demo, Remove, Haul-Off Existing MSIDD</t>
  </si>
  <si>
    <t>Demo Unknown Condition (TBD)</t>
  </si>
  <si>
    <t>SWPP &amp; BMP Refreshing/Repair Budget/Staging area prep</t>
  </si>
  <si>
    <t>Hydrant  Backflow &amp; Preventer</t>
  </si>
  <si>
    <t>Relocate Hydrant Meter &amp; Backflow</t>
  </si>
  <si>
    <t>Weed Control</t>
  </si>
  <si>
    <t>Traffic Control and Permit</t>
  </si>
  <si>
    <t>Rain Event Pump Rental &amp; Gas</t>
  </si>
  <si>
    <t>Hydro Vac, Testing, Camera Test, Including Camering the services to the cap</t>
  </si>
  <si>
    <t>Remove Cap and Make Connection</t>
  </si>
  <si>
    <t>Vertical Realignment</t>
  </si>
  <si>
    <t>Construct Inlet Headwall</t>
  </si>
  <si>
    <t>Construct Outlet Headwall</t>
  </si>
  <si>
    <t>Mobilization - Off-Site</t>
  </si>
  <si>
    <t xml:space="preserve">Signing &amp; Striping </t>
  </si>
  <si>
    <t>Other Cost</t>
  </si>
  <si>
    <t>Pot Hole Existing Utilities</t>
  </si>
  <si>
    <t>Staking</t>
  </si>
  <si>
    <t>Construction Staking</t>
  </si>
  <si>
    <t xml:space="preserve">Additional field staking </t>
  </si>
  <si>
    <t>Testing</t>
  </si>
  <si>
    <t>Soils Testing</t>
  </si>
  <si>
    <t>Soils Testing Allowance</t>
  </si>
  <si>
    <t>Dust Permit &amp; Inspection Fees</t>
  </si>
  <si>
    <t>Construction Water</t>
  </si>
  <si>
    <t>Warranty</t>
  </si>
  <si>
    <t>R&amp;R at acceptance &amp; 1 Year</t>
  </si>
  <si>
    <t>Printing</t>
  </si>
  <si>
    <t>Prepare/Restore Sidewalk Grade</t>
  </si>
  <si>
    <t>SF</t>
  </si>
  <si>
    <t>Construct Shared Use Path</t>
  </si>
  <si>
    <t>Prepare Street Subgrade</t>
  </si>
  <si>
    <t>SY</t>
  </si>
  <si>
    <t>5" AC on 9" ABD</t>
  </si>
  <si>
    <t>Crack Fill &amp; Seal Type 3 Slurry</t>
  </si>
  <si>
    <t>MO</t>
  </si>
  <si>
    <t>Quantity</t>
  </si>
  <si>
    <t>Hydrant  Backflow &amp; Preventer (to be left onsite after grading, becomes property of owner after grading)</t>
  </si>
  <si>
    <t>Other</t>
  </si>
  <si>
    <t>Pump Purchase and Set-Up</t>
  </si>
  <si>
    <t>Knochel Brothers</t>
  </si>
  <si>
    <t xml:space="preserve">Generator Rental </t>
  </si>
  <si>
    <t>Mo</t>
  </si>
  <si>
    <t>Fuel &amp; Maintenance for Generator (Allowance)</t>
  </si>
  <si>
    <t>Pond and Pump</t>
  </si>
  <si>
    <t>Clear &amp; Grub</t>
  </si>
  <si>
    <t>Remove Concrete Lined Ditch</t>
  </si>
  <si>
    <t>Pre-Wet for Grading</t>
  </si>
  <si>
    <t>Grading Over-excavation</t>
  </si>
  <si>
    <t>Grading Cut to Fill</t>
  </si>
  <si>
    <t>Fine Grading</t>
  </si>
  <si>
    <t>Grading Import/Export  Onsite</t>
  </si>
  <si>
    <t>Maxwell  IV Dry Wells Complete, testing, registration, spoils haul off, full  depth needed, etc.…</t>
  </si>
  <si>
    <t xml:space="preserve">Organic Filter Barrier </t>
  </si>
  <si>
    <t>Designated Washout Area</t>
  </si>
  <si>
    <t>Remove Wash Out Area</t>
  </si>
  <si>
    <t>Inlet Protection</t>
  </si>
  <si>
    <t xml:space="preserve">Silt Fence </t>
  </si>
  <si>
    <t>Stabilized Construction Entrance</t>
  </si>
  <si>
    <t>Erosion Control Mats</t>
  </si>
  <si>
    <t xml:space="preserve">SWPP &amp; BMP Refreshing/Repair Budget </t>
  </si>
  <si>
    <t>Remove SWPP @ Project Completion</t>
  </si>
  <si>
    <t xml:space="preserve">Purchase &amp; Install Hydrant Backflow &amp; Preventer </t>
  </si>
  <si>
    <t>Project completion lot spin, re-spin lots to final touch up,  reestablish lots to +/- .1' of finish pad grade, touch up basins</t>
  </si>
  <si>
    <t>Final Clean-up</t>
  </si>
  <si>
    <t xml:space="preserve">Temporary Fence Set-Up </t>
  </si>
  <si>
    <t>Reset Fence, Wind Damage/Repair</t>
  </si>
  <si>
    <t>Temporary Fence Monthly Rental</t>
  </si>
  <si>
    <t xml:space="preserve">Weed Control </t>
  </si>
  <si>
    <t>Off-Site Mobilization</t>
  </si>
  <si>
    <t>0.7' - 1.4' Retaining Wall's</t>
  </si>
  <si>
    <t>1.4' - 2.1' Retaining Wall's</t>
  </si>
  <si>
    <t>2.1' - 2.8' Retaining Wall's</t>
  </si>
  <si>
    <t>2.8' - 3.5' Retaining Wall's</t>
  </si>
  <si>
    <t>3.5' - 4.2' Retaining Wall's</t>
  </si>
  <si>
    <t>4.2' - 4.9' Retaining Wall's</t>
  </si>
  <si>
    <t>4.9' - 5.6' Retaining Wall's</t>
  </si>
  <si>
    <t>5.6' - 6.0' Retaining Wall's</t>
  </si>
  <si>
    <t>Assumed #'s above contain Waterproof (Watchdog), weep holes, and drainage rock, etc...</t>
  </si>
  <si>
    <t>All Retaining Wall's backfill and compaction</t>
  </si>
  <si>
    <t>Primer and 2 Coats of Paint</t>
  </si>
  <si>
    <t>Theme Wall on Footing</t>
  </si>
  <si>
    <t>Theme Wall on Retaining Wall</t>
  </si>
  <si>
    <t>Theme Column on Footing</t>
  </si>
  <si>
    <t>Secondary Theme Wall on Footing</t>
  </si>
  <si>
    <t>Secondary Theme Wall on Retaining Wall</t>
  </si>
  <si>
    <t>Secondary Theme Column on Footing</t>
  </si>
  <si>
    <t>Full Height View Fence</t>
  </si>
  <si>
    <t>Full Height View on Retaining Wall</t>
  </si>
  <si>
    <t>Corner Accent Column</t>
  </si>
  <si>
    <t>End of Wall Column</t>
  </si>
  <si>
    <t>Accent Wall Panel</t>
  </si>
  <si>
    <t>View Fence Column</t>
  </si>
  <si>
    <t>Partial View Fence on Footings</t>
  </si>
  <si>
    <t xml:space="preserve">Partial View Fence on Retaining Wall </t>
  </si>
  <si>
    <t xml:space="preserve">Entry Monument Sign Wall A </t>
  </si>
  <si>
    <t>Park Monument Sign Wall</t>
  </si>
  <si>
    <t>Entry Monument Signage Lettering, Turn Key, i.e.. Lighting, permitting, etc.…</t>
  </si>
  <si>
    <t>Park Signage Lettering, Turn Key, i.e.. Lighting, permitting, etc.…</t>
  </si>
  <si>
    <t xml:space="preserve">Dust Control </t>
  </si>
  <si>
    <t>Engineering</t>
  </si>
  <si>
    <t>Bore underexisting siphon, inc. casing/sleeve</t>
  </si>
  <si>
    <t>8" P.V.C. CDR-26</t>
  </si>
  <si>
    <t>Hydro Vac, Testing, Camera Test, Including Camering the services  to the cap</t>
  </si>
  <si>
    <t>4' Sewer Manhole w/ 24" Cover  - Mag 420-1 &amp; 420-2</t>
  </si>
  <si>
    <t>5' Dia Polymer Concrete Manhole  w/ 30" Cover -  Mag 420-1 &amp; 420-2</t>
  </si>
  <si>
    <t xml:space="preserve">Remove Plug and Connect New Sewer Line </t>
  </si>
  <si>
    <t>Second Hydro Vac, Testing, Camera Test, Including Camering the services  to the cap</t>
  </si>
  <si>
    <t>Sewer Marker Restore Allocation</t>
  </si>
  <si>
    <t xml:space="preserve">8" PVC SDR 35 Sewer Line </t>
  </si>
  <si>
    <t xml:space="preserve">4" PVC Sewer Service, extend 2" beyond PUE per Detail JU-4400 </t>
  </si>
  <si>
    <t>16" DIP Cap</t>
  </si>
  <si>
    <t xml:space="preserve">16" DIP Class 350 </t>
  </si>
  <si>
    <t>Bore undersyphon Inc. Case/Sleeve</t>
  </si>
  <si>
    <t>16" x 16" DIP Tee</t>
  </si>
  <si>
    <t>16" Butterfly  Valve w/ Valve Box &amp; Cover</t>
  </si>
  <si>
    <t>Air Release Valve and 1.5" Type "K" Copper Transmission Line GWR 200 &amp; 370</t>
  </si>
  <si>
    <t>8" DIP Cap</t>
  </si>
  <si>
    <t>16" - 11.25' Bend</t>
  </si>
  <si>
    <t>8" Gate Valve, Box &amp; Cover per Mag 301, 391-1 "C" &amp; DWU302</t>
  </si>
  <si>
    <t>8" DIP  AWWA C- 150200 Waterline per Mag spec 750.2. Trenching per DTL DWU606, W3</t>
  </si>
  <si>
    <t>8" x 8" Tee w/ Thrust Blocks &amp; Med A Lug Restraints per Mag DTLS 380, 303-1 &amp; 303-2</t>
  </si>
  <si>
    <t>8" x 11.25 Bend w/ Thrust Blocks &amp; Med A Lug Restraints per Mag DTLS 380, 303-1 &amp; 303-2</t>
  </si>
  <si>
    <t>8" x 22.5" Bend w/ Thrust Blocks &amp; Med A Lug Restraints per Mag DTLS 380, 303-1 &amp; 303-2</t>
  </si>
  <si>
    <t>8" x 45" Bend w/ Thrust Blocks &amp; Med A Lug Restraints per Mag DTLS 380, 303-1 &amp; 303-2</t>
  </si>
  <si>
    <t>8" x 90" Bend w/ Thrust Blocks &amp; Med A Lug Restraints per Mag DTLS 380, 303-1 &amp; 303-2</t>
  </si>
  <si>
    <t>8" DIP CAP</t>
  </si>
  <si>
    <t>8" VERTICAL REALIGNMENT PER GWR DTL 370</t>
  </si>
  <si>
    <t xml:space="preserve">1" Meter Box With 1" Water Service </t>
  </si>
  <si>
    <t>1.5" Landscape Meter Box With 1.5" Water Service Inc. Backflow</t>
  </si>
  <si>
    <t>6" Fire Hydrant Complete- per Mad DTLS 360 &amp; 362</t>
  </si>
  <si>
    <t>Pressure Test, Chlorinate, Pass Inspection</t>
  </si>
  <si>
    <t>Quadruple Barrel Box Culvert</t>
  </si>
  <si>
    <t>Reinforced Concrete Box Culvert Inlet Wings ADOT SD 6.08</t>
  </si>
  <si>
    <t>Reinforced Concrete Box Culvert Outlet Wings ADOT SD 6.08</t>
  </si>
  <si>
    <t>Safety Handrail MAG 145</t>
  </si>
  <si>
    <t>Excavation of Box Culvert</t>
  </si>
  <si>
    <t>Backfill of Box Culvert</t>
  </si>
  <si>
    <t>ABC Materials for Backfill</t>
  </si>
  <si>
    <t>Catch Basin Mag 533-1 L=6'</t>
  </si>
  <si>
    <t>18" RGRCP Class IV</t>
  </si>
  <si>
    <t>Headwall Mag 201-1</t>
  </si>
  <si>
    <t>24" RGRCP Class IV</t>
  </si>
  <si>
    <t>Short - 96" x 48" Tripple Barrel Box Culvert Per SD 6.04-1 &amp; 6.04-2</t>
  </si>
  <si>
    <t>Triple Barrel Culvert Outlet Wings Per ADOT SD 6.08</t>
  </si>
  <si>
    <t>Triple Barrel Culvert Inlet Wings Per ADOT SD 6.08</t>
  </si>
  <si>
    <t>Type I Rip-Rap - Buried</t>
  </si>
  <si>
    <t>Type I Rip-Rap - Exposed</t>
  </si>
  <si>
    <t>Type II Rip-Rap</t>
  </si>
  <si>
    <t>Type III Rip-Rap - Buried</t>
  </si>
  <si>
    <t>Type III Rip-Rap - Exposed</t>
  </si>
  <si>
    <t>Type IV Rip-Rap</t>
  </si>
  <si>
    <t>96" x 48" Tripple Barrel Box Culvert Per SD 6.04-1 &amp; 6.04-2</t>
  </si>
  <si>
    <t>18" RGRCP Class V</t>
  </si>
  <si>
    <t>Catch Basin Mag 537-2</t>
  </si>
  <si>
    <t>18" "U" Type Headwall MAG 501-1</t>
  </si>
  <si>
    <t>Unknown Off-Site Conduit Work</t>
  </si>
  <si>
    <t>Transformer Pad Mount Prep</t>
  </si>
  <si>
    <t>Off-Site Street Lights</t>
  </si>
  <si>
    <t>Feeder Dry Ut. Trench</t>
  </si>
  <si>
    <t>Primary/Secondary Dry Ut. Trench</t>
  </si>
  <si>
    <t>3" DB 120 Conduit</t>
  </si>
  <si>
    <t>2.5" DB120 Conduit</t>
  </si>
  <si>
    <t>Bore</t>
  </si>
  <si>
    <t>Splice Pits</t>
  </si>
  <si>
    <t>Switching Cabinet</t>
  </si>
  <si>
    <t>Fusing Cabinet</t>
  </si>
  <si>
    <t>Pull Boxes</t>
  </si>
  <si>
    <t>Above Ground J Box</t>
  </si>
  <si>
    <t>SES/Lot Stub/Cap</t>
  </si>
  <si>
    <t>Street Lights and related equipment</t>
  </si>
  <si>
    <t xml:space="preserve"> Metered Electric Pedestal 100 AMP, 120/240V</t>
  </si>
  <si>
    <t>Power Feed to Irrigation Controller &amp; make all 120V Connections</t>
  </si>
  <si>
    <t>Curb Ramp MAG 237-2</t>
  </si>
  <si>
    <t>6' Sidewalk MAG 350</t>
  </si>
  <si>
    <t>R&amp;R Allocation</t>
  </si>
  <si>
    <t>Driveway Entrance Mag 250-1</t>
  </si>
  <si>
    <t>Scupper MAG 206-1, 206-2, 206-3</t>
  </si>
  <si>
    <t>Curb Access Ramp per Mag DTL 238-1</t>
  </si>
  <si>
    <t>Single Curb Ramp MAG 237-2</t>
  </si>
  <si>
    <t>Dual Access Ramp per Mag DTL 237-2</t>
  </si>
  <si>
    <t>5' Concrete Sidewalk - Mag DTL 230</t>
  </si>
  <si>
    <t>4" Roll Curb &amp; Gutter - Mag DTL 220-1 Type "C"</t>
  </si>
  <si>
    <t>6" Vert. Curb &amp; Gutter - Mag DTL 220-1 Type  "A"</t>
  </si>
  <si>
    <t>6' Concrete Valley Gutter &amp; Apron -Mag DTL 240</t>
  </si>
  <si>
    <t>Curb Termination MAG 222</t>
  </si>
  <si>
    <t>Parkway Grading</t>
  </si>
  <si>
    <t>Concrete Pad for CBU Installation per DTL on P3</t>
  </si>
  <si>
    <t xml:space="preserve">8" Thick Grouted Rip Rap </t>
  </si>
  <si>
    <t>2' Saw Cut, and Remove of Existing Pavement @ Tie-In</t>
  </si>
  <si>
    <t xml:space="preserve">Prepare Street Subgrade </t>
  </si>
  <si>
    <t xml:space="preserve">Prepare/Restore Sidewalk Grade </t>
  </si>
  <si>
    <t>5" AC on 7" ABC</t>
  </si>
  <si>
    <t>Thickened Edge MAG 201 "B"</t>
  </si>
  <si>
    <t xml:space="preserve">6" ABC Emergency Access Road </t>
  </si>
  <si>
    <t>Install Barricade w/ OW4-2 Object Marker - Mag DTL 130 "A"</t>
  </si>
  <si>
    <t xml:space="preserve">5" AC/9" ABC Pavement </t>
  </si>
  <si>
    <t xml:space="preserve">4" AC/6" ABC Pavement </t>
  </si>
  <si>
    <t>Survey Monuments - Mag DTL 120-I "B"</t>
  </si>
  <si>
    <t>Adjust Sewer Manhole &amp; Cover Frame to Grade - MAG DTL 422</t>
  </si>
  <si>
    <t>Adjust Cleanout or Water Valve Frame &amp; Cover to Grade- Mag DTL  422</t>
  </si>
  <si>
    <t>Sign Post &amp; Base per Mag  DTL 1314 Street Name Sign (2 ea. per Post)</t>
  </si>
  <si>
    <t>Fire Hydrant Marker per Mag 122</t>
  </si>
  <si>
    <t>Brick Driveway and Connection to Asphalt MAG 225</t>
  </si>
  <si>
    <t xml:space="preserve">Saw Cut and Remove Existing Pavement </t>
  </si>
  <si>
    <t>Paving Termination - Mag DTL 201 "A"</t>
  </si>
  <si>
    <t>Remove &amp; Dispose of Barricade</t>
  </si>
  <si>
    <t>30"x30" R1-1 Stop Signs on Post per MUTCO</t>
  </si>
  <si>
    <t>Post Wet &amp; Dry Utility Install Grade Clean-Up/ Street/Curb Subgrade Prep</t>
  </si>
  <si>
    <t>Mexican Bird of Paradise - 15 Gallon</t>
  </si>
  <si>
    <t>Desert Willow - 15 Gallon</t>
  </si>
  <si>
    <t>Fruitless Olive - 24" Box</t>
  </si>
  <si>
    <t>Southern Live Oak - 24" Box</t>
  </si>
  <si>
    <t>Laceback Elm - 24" Box</t>
  </si>
  <si>
    <t>Red Bird of Paradise - 5 Gallon</t>
  </si>
  <si>
    <t>Little John - 5 Gallon</t>
  </si>
  <si>
    <t>Purple Hopseed - 5 Gallon</t>
  </si>
  <si>
    <t>Thunder Cloud Texas Sage - 5 Gallon</t>
  </si>
  <si>
    <t>Pink Muhly Grass - 5 Gallon</t>
  </si>
  <si>
    <t>Wild Petunia - 5 Gallon</t>
  </si>
  <si>
    <t>Sunrrise Yellow Bells - 5 Gallon</t>
  </si>
  <si>
    <t>Low Boy Bank Catclaw - 1 Gallon</t>
  </si>
  <si>
    <t>Trailing Lantana - 1 Gallon</t>
  </si>
  <si>
    <t>New Gold Lantana - 1 Gallon</t>
  </si>
  <si>
    <t xml:space="preserve"> Bermuda Grass </t>
  </si>
  <si>
    <t xml:space="preserve">Water Settled Landscape Rock Trail </t>
  </si>
  <si>
    <t>Decomposed Granite 3/4" Minus 2" Deep</t>
  </si>
  <si>
    <t>Decomposed Granite 3/4" Minus 1" Deep</t>
  </si>
  <si>
    <t>Concrete Header at Ends of Site Walls</t>
  </si>
  <si>
    <t>4" x 6" Concrete Header</t>
  </si>
  <si>
    <t>6" x 18' Concrete Header @ Cornhold and Booce Ball Courts</t>
  </si>
  <si>
    <t xml:space="preserve">All PVC Landscape Irrigation Sleeving - Including all street sleeve with raiser marker </t>
  </si>
  <si>
    <t>Extra Sleeving 3 - 4" At every crossing</t>
  </si>
  <si>
    <t>Irrigation System  - Complete</t>
  </si>
  <si>
    <t>90 Day Maintenance Period</t>
  </si>
  <si>
    <t>Mailboxes W/ Structure &amp; Trash Can</t>
  </si>
  <si>
    <t>4'5" Concrete Bench Pad - 4" Thick on Grade</t>
  </si>
  <si>
    <t xml:space="preserve">ADA Ramp </t>
  </si>
  <si>
    <t>Concrete Ramada Pad - 4" Thick</t>
  </si>
  <si>
    <t>Concrete Turn Down - 8" x 18"</t>
  </si>
  <si>
    <t>Concrete Turn Down at Bocce Court - 6" x 14"</t>
  </si>
  <si>
    <t xml:space="preserve">Concrete Walk 4" </t>
  </si>
  <si>
    <t>Artifical Turf at Corn Hole</t>
  </si>
  <si>
    <t xml:space="preserve">Bocce Court - 4" Min Crushed Oyster Shell Court Surface </t>
  </si>
  <si>
    <t>16'x24" Orlando Model Ramada</t>
  </si>
  <si>
    <t>16'x16" Ramada</t>
  </si>
  <si>
    <t>Tot Lot - Exerplay #220515B South</t>
  </si>
  <si>
    <t>Tot Lot - Exerplay #220515A North</t>
  </si>
  <si>
    <t>Benches - Wabash Valley 6' #W11115C</t>
  </si>
  <si>
    <t xml:space="preserve">Bike Rack </t>
  </si>
  <si>
    <t>Cornhole Boards</t>
  </si>
  <si>
    <t>BBQ - Wabash Valley 20" - In Ground</t>
  </si>
  <si>
    <t>Picnic Tables - Wabash Valley #SG207D</t>
  </si>
  <si>
    <t>Trash Receptacle - Wabash Valley #GV100G</t>
  </si>
  <si>
    <t>Engineered Wood Fiber</t>
  </si>
  <si>
    <t>Arbor Guards</t>
  </si>
  <si>
    <t>Root Barrier</t>
  </si>
  <si>
    <t xml:space="preserve">Site Electric </t>
  </si>
  <si>
    <t>Dust Control</t>
  </si>
  <si>
    <t>Finish Rake</t>
  </si>
  <si>
    <t>Traffic Control</t>
  </si>
  <si>
    <t>Dust Permit</t>
  </si>
  <si>
    <t>Street Sweeping</t>
  </si>
  <si>
    <t>Civil Improvement Bonds</t>
  </si>
  <si>
    <t>Warranty Bonds</t>
  </si>
  <si>
    <t>Structural Engineering Design Cost</t>
  </si>
  <si>
    <t>SWPP Book and Sign</t>
  </si>
  <si>
    <t>SWPP Compliance Consultant</t>
  </si>
  <si>
    <t>Southwest Gas LXA</t>
  </si>
  <si>
    <t>Electric Company LXA</t>
  </si>
  <si>
    <t>Power Design</t>
  </si>
  <si>
    <t>Irrigation Water Meters</t>
  </si>
  <si>
    <t>Source</t>
  </si>
  <si>
    <t>Walls</t>
  </si>
  <si>
    <t>Landscape</t>
  </si>
  <si>
    <t>Deposit</t>
  </si>
  <si>
    <t>Gothic</t>
  </si>
  <si>
    <r>
      <t xml:space="preserve">8" PVC SDR </t>
    </r>
    <r>
      <rPr>
        <b/>
        <sz val="13"/>
        <color theme="1"/>
        <rFont val="Calibri"/>
        <family val="2"/>
        <scheme val="minor"/>
      </rPr>
      <t>35</t>
    </r>
    <r>
      <rPr>
        <sz val="13"/>
        <color theme="1"/>
        <rFont val="Calibri"/>
        <family val="2"/>
        <scheme val="minor"/>
      </rPr>
      <t xml:space="preserve"> Sewer Line </t>
    </r>
  </si>
  <si>
    <r>
      <t xml:space="preserve">8" PVC SDR </t>
    </r>
    <r>
      <rPr>
        <b/>
        <sz val="13"/>
        <color theme="1"/>
        <rFont val="Calibri"/>
        <family val="2"/>
        <scheme val="minor"/>
      </rPr>
      <t>26</t>
    </r>
    <r>
      <rPr>
        <sz val="13"/>
        <color theme="1"/>
        <rFont val="Calibri"/>
        <family val="2"/>
        <scheme val="minor"/>
      </rPr>
      <t xml:space="preserve"> Sewer Line </t>
    </r>
  </si>
  <si>
    <t>AC</t>
  </si>
  <si>
    <t>Field Staking</t>
  </si>
  <si>
    <t>Copper Nail</t>
  </si>
  <si>
    <t>GC / Constr Mgt</t>
  </si>
  <si>
    <t>Parcel ID</t>
  </si>
  <si>
    <t>Use</t>
  </si>
  <si>
    <t>SFD</t>
  </si>
  <si>
    <t>Prodcut</t>
  </si>
  <si>
    <t>Multi</t>
  </si>
  <si>
    <t>Acres</t>
  </si>
  <si>
    <t>Units</t>
  </si>
  <si>
    <t>Closing 1</t>
  </si>
  <si>
    <t>50x115</t>
  </si>
  <si>
    <t>Sale Date</t>
  </si>
  <si>
    <t>Val / Unit</t>
  </si>
  <si>
    <t>Gross Val</t>
  </si>
  <si>
    <t>Net Procceds</t>
  </si>
  <si>
    <t>Closing 2</t>
  </si>
  <si>
    <t>Closing 3</t>
  </si>
  <si>
    <t>Closing 4</t>
  </si>
  <si>
    <t xml:space="preserve"> + Add Closing</t>
  </si>
  <si>
    <t>Gross Parcel Price</t>
  </si>
  <si>
    <t>$1,500 / FF</t>
  </si>
  <si>
    <t>Less: Improvement Offset</t>
  </si>
  <si>
    <t>$1,000 / FF</t>
  </si>
  <si>
    <t>Gross Sale Proceeds</t>
  </si>
  <si>
    <t>Less: Transaction Costs</t>
  </si>
  <si>
    <t>Commissions</t>
  </si>
  <si>
    <t>Closing Costs</t>
  </si>
  <si>
    <t>Title Insurance</t>
  </si>
  <si>
    <t>Legal</t>
  </si>
  <si>
    <t>Net Sale Proceeds</t>
  </si>
  <si>
    <t>$477.50 / FF</t>
  </si>
  <si>
    <t>Inflated Value / Unit</t>
  </si>
  <si>
    <t xml:space="preserve">Default value = benchmark </t>
  </si>
  <si>
    <t>populate from sale table, editable here.  Changes are reflected in price and improvmenet offset calcs (inflation)</t>
  </si>
  <si>
    <t>populate from benchmarks with available override</t>
  </si>
  <si>
    <t>Thurs</t>
  </si>
  <si>
    <t>Fri</t>
  </si>
  <si>
    <t>Sat</t>
  </si>
  <si>
    <t>Sun</t>
  </si>
  <si>
    <t>Mon</t>
  </si>
  <si>
    <t>Tues</t>
  </si>
  <si>
    <t>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</si>
</sst>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#,##0_);\(#,##0\);_(&quot;-&quot;_)"/>
    <numFmt numFmtId="166" formatCode="0.000%"/>
    <numFmt numFmtId="167" formatCode="_(&quot;$&quot;* #,##0_);_(&quot;$&quot;* \(#,##0\);_(&quot;$&quot;* &quot;-&quot;??_);_(@_)"/>
  </numFmts>
  <fonts count="14" x14ac:knownFonts="1">
    <font>
      <sz val="11"/>
      <color theme="1"/>
      <name val="Univers"/>
      <family val="2"/>
    </font>
    <font>
      <sz val="11"/>
      <color theme="1"/>
      <name val="Univers"/>
      <family val="2"/>
    </font>
    <font>
      <sz val="13"/>
      <color theme="1"/>
      <name val="Univers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1"/>
      <color theme="1"/>
      <name val="Univers"/>
    </font>
    <font>
      <sz val="11"/>
      <color rgb="FF0432FF"/>
      <name val="Univers"/>
      <family val="2"/>
    </font>
    <font>
      <sz val="12"/>
      <color theme="1"/>
      <name val="Univers"/>
      <family val="2"/>
    </font>
    <font>
      <b/>
      <sz val="12"/>
      <color theme="1"/>
      <name val="Univers"/>
    </font>
    <font>
      <b/>
      <sz val="11"/>
      <color rgb="FF0432FF"/>
      <name val="Univers"/>
    </font>
    <font>
      <sz val="12"/>
      <color theme="1"/>
      <name val="Univers"/>
    </font>
    <font>
      <sz val="11"/>
      <color theme="1"/>
      <name val="Univers"/>
    </font>
    <font>
      <sz val="8"/>
      <name val="Univer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9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3" fontId="3" fillId="0" borderId="0" xfId="0" applyNumberFormat="1" applyFont="1" applyAlignment="1">
      <alignment horizontal="right" wrapText="1"/>
    </xf>
    <xf numFmtId="2" fontId="3" fillId="0" borderId="0" xfId="0" applyNumberFormat="1" applyFont="1" applyAlignment="1">
      <alignment horizontal="left" wrapText="1"/>
    </xf>
    <xf numFmtId="3" fontId="5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center" wrapText="1"/>
    </xf>
    <xf numFmtId="3" fontId="3" fillId="0" borderId="0" xfId="1" applyNumberFormat="1" applyFont="1" applyFill="1" applyBorder="1" applyAlignment="1">
      <alignment horizontal="right" wrapText="1"/>
    </xf>
    <xf numFmtId="9" fontId="3" fillId="0" borderId="0" xfId="2" applyFont="1" applyFill="1" applyBorder="1" applyAlignment="1">
      <alignment horizontal="center" wrapText="1"/>
    </xf>
    <xf numFmtId="3" fontId="3" fillId="0" borderId="0" xfId="2" applyNumberFormat="1" applyFont="1" applyFill="1" applyBorder="1" applyAlignment="1">
      <alignment horizontal="right" wrapText="1"/>
    </xf>
    <xf numFmtId="43" fontId="3" fillId="0" borderId="0" xfId="1" applyFont="1" applyFill="1" applyBorder="1" applyAlignment="1">
      <alignment horizontal="center" wrapText="1"/>
    </xf>
    <xf numFmtId="43" fontId="5" fillId="0" borderId="0" xfId="1" applyFont="1" applyFill="1" applyBorder="1" applyAlignment="1">
      <alignment horizontal="center" wrapText="1"/>
    </xf>
    <xf numFmtId="9" fontId="3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left" indent="1"/>
    </xf>
    <xf numFmtId="0" fontId="6" fillId="0" borderId="0" xfId="0" applyFont="1"/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7" fontId="0" fillId="0" borderId="0" xfId="3" applyNumberFormat="1" applyFont="1" applyAlignment="1">
      <alignment horizontal="right"/>
    </xf>
    <xf numFmtId="0" fontId="6" fillId="0" borderId="0" xfId="0" applyFont="1" applyAlignment="1">
      <alignment horizontal="center" wrapText="1"/>
    </xf>
    <xf numFmtId="167" fontId="0" fillId="0" borderId="0" xfId="0" applyNumberFormat="1" applyAlignment="1">
      <alignment horizontal="right"/>
    </xf>
    <xf numFmtId="6" fontId="0" fillId="0" borderId="0" xfId="0" applyNumberFormat="1" applyAlignment="1">
      <alignment horizontal="right"/>
    </xf>
    <xf numFmtId="0" fontId="7" fillId="0" borderId="0" xfId="0" applyFont="1" applyAlignment="1">
      <alignment horizontal="right"/>
    </xf>
    <xf numFmtId="6" fontId="0" fillId="0" borderId="0" xfId="0" applyNumberFormat="1"/>
    <xf numFmtId="6" fontId="8" fillId="0" borderId="0" xfId="0" applyNumberFormat="1" applyFont="1" applyAlignment="1">
      <alignment horizontal="right"/>
    </xf>
    <xf numFmtId="0" fontId="8" fillId="0" borderId="0" xfId="0" applyFont="1" applyAlignment="1">
      <alignment horizontal="left" indent="1"/>
    </xf>
    <xf numFmtId="0" fontId="9" fillId="0" borderId="0" xfId="0" applyFont="1"/>
    <xf numFmtId="0" fontId="10" fillId="0" borderId="0" xfId="0" applyFont="1" applyAlignment="1">
      <alignment horizontal="right"/>
    </xf>
    <xf numFmtId="8" fontId="0" fillId="0" borderId="0" xfId="0" applyNumberFormat="1"/>
    <xf numFmtId="0" fontId="10" fillId="0" borderId="0" xfId="0" applyFont="1"/>
    <xf numFmtId="6" fontId="9" fillId="0" borderId="0" xfId="0" applyNumberFormat="1" applyFont="1"/>
    <xf numFmtId="164" fontId="10" fillId="0" borderId="0" xfId="2" applyNumberFormat="1" applyFont="1" applyBorder="1" applyAlignment="1">
      <alignment horizontal="right"/>
    </xf>
    <xf numFmtId="6" fontId="8" fillId="0" borderId="0" xfId="0" applyNumberFormat="1" applyFont="1"/>
    <xf numFmtId="0" fontId="11" fillId="0" borderId="5" xfId="0" applyFont="1" applyBorder="1" applyAlignment="1">
      <alignment horizontal="left"/>
    </xf>
    <xf numFmtId="0" fontId="10" fillId="0" borderId="5" xfId="0" applyFont="1" applyBorder="1" applyAlignment="1">
      <alignment horizontal="right"/>
    </xf>
    <xf numFmtId="6" fontId="11" fillId="0" borderId="5" xfId="0" applyNumberFormat="1" applyFont="1" applyBorder="1"/>
    <xf numFmtId="0" fontId="11" fillId="0" borderId="5" xfId="0" applyFont="1" applyBorder="1" applyAlignment="1">
      <alignment horizontal="left" indent="1"/>
    </xf>
    <xf numFmtId="0" fontId="12" fillId="0" borderId="0" xfId="0" applyFont="1" applyAlignment="1">
      <alignment horizontal="right"/>
    </xf>
    <xf numFmtId="9" fontId="10" fillId="0" borderId="5" xfId="2" applyFont="1" applyBorder="1" applyAlignment="1">
      <alignment horizontal="right"/>
    </xf>
    <xf numFmtId="9" fontId="0" fillId="0" borderId="0" xfId="2" applyFont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29308</xdr:colOff>
      <xdr:row>1</xdr:row>
      <xdr:rowOff>254000</xdr:rowOff>
    </xdr:from>
    <xdr:to>
      <xdr:col>12</xdr:col>
      <xdr:colOff>889000</xdr:colOff>
      <xdr:row>2</xdr:row>
      <xdr:rowOff>175846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A76BC14-ED6D-0017-EABB-96D279AC5197}"/>
            </a:ext>
          </a:extLst>
        </xdr:cNvPr>
        <xdr:cNvCxnSpPr/>
      </xdr:nvCxnSpPr>
      <xdr:spPr>
        <a:xfrm flipV="1">
          <a:off x="19284462" y="576385"/>
          <a:ext cx="2002692" cy="2442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29308</xdr:colOff>
      <xdr:row>2</xdr:row>
      <xdr:rowOff>273539</xdr:rowOff>
    </xdr:from>
    <xdr:to>
      <xdr:col>12</xdr:col>
      <xdr:colOff>869461</xdr:colOff>
      <xdr:row>3</xdr:row>
      <xdr:rowOff>234460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ABA6AE9-B18C-0540-A5A2-992F845DC95B}"/>
            </a:ext>
          </a:extLst>
        </xdr:cNvPr>
        <xdr:cNvCxnSpPr/>
      </xdr:nvCxnSpPr>
      <xdr:spPr>
        <a:xfrm flipV="1">
          <a:off x="19284462" y="918308"/>
          <a:ext cx="1983153" cy="2833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234461</xdr:colOff>
      <xdr:row>3</xdr:row>
      <xdr:rowOff>312615</xdr:rowOff>
    </xdr:from>
    <xdr:to>
      <xdr:col>12</xdr:col>
      <xdr:colOff>879231</xdr:colOff>
      <xdr:row>7</xdr:row>
      <xdr:rowOff>195384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42E0C53-9781-834A-8B75-5BD1AC661FA1}"/>
            </a:ext>
          </a:extLst>
        </xdr:cNvPr>
        <xdr:cNvCxnSpPr/>
      </xdr:nvCxnSpPr>
      <xdr:spPr>
        <a:xfrm flipV="1">
          <a:off x="18502923" y="1279769"/>
          <a:ext cx="2774462" cy="11723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78154</xdr:colOff>
      <xdr:row>0</xdr:row>
      <xdr:rowOff>254000</xdr:rowOff>
    </xdr:from>
    <xdr:to>
      <xdr:col>12</xdr:col>
      <xdr:colOff>859692</xdr:colOff>
      <xdr:row>1</xdr:row>
      <xdr:rowOff>195384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9F06AD8-C719-814A-BB29-1B4C535F3E69}"/>
            </a:ext>
          </a:extLst>
        </xdr:cNvPr>
        <xdr:cNvCxnSpPr/>
      </xdr:nvCxnSpPr>
      <xdr:spPr>
        <a:xfrm flipV="1">
          <a:off x="19333308" y="254000"/>
          <a:ext cx="1924538" cy="2637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BM Inflation"/>
      <sheetName val="BM UnitCosts"/>
    </sheetNames>
    <sheetDataSet>
      <sheetData sheetId="0">
        <row r="7">
          <cell r="D7" t="str">
            <v>VTS</v>
          </cell>
        </row>
        <row r="8">
          <cell r="D8" t="str">
            <v>Mezz Loan</v>
          </cell>
        </row>
        <row r="9">
          <cell r="H9">
            <v>1</v>
          </cell>
        </row>
        <row r="10">
          <cell r="H10">
            <v>1</v>
          </cell>
        </row>
        <row r="11">
          <cell r="H11">
            <v>1</v>
          </cell>
        </row>
        <row r="12">
          <cell r="H12">
            <v>1</v>
          </cell>
        </row>
        <row r="13">
          <cell r="D13" t="str">
            <v>Mezz Loan</v>
          </cell>
          <cell r="H13">
            <v>1</v>
          </cell>
        </row>
        <row r="14">
          <cell r="H14">
            <v>1</v>
          </cell>
        </row>
        <row r="15">
          <cell r="H15">
            <v>1</v>
          </cell>
        </row>
        <row r="16">
          <cell r="D16">
            <v>45748</v>
          </cell>
          <cell r="H16">
            <v>1</v>
          </cell>
        </row>
        <row r="17">
          <cell r="D17">
            <v>360</v>
          </cell>
          <cell r="H17">
            <v>1</v>
          </cell>
        </row>
        <row r="18">
          <cell r="H18">
            <v>1</v>
          </cell>
        </row>
        <row r="19">
          <cell r="H19">
            <v>1</v>
          </cell>
        </row>
        <row r="20">
          <cell r="H20">
            <v>1</v>
          </cell>
        </row>
        <row r="21">
          <cell r="H21">
            <v>2</v>
          </cell>
        </row>
        <row r="22">
          <cell r="H22">
            <v>2</v>
          </cell>
        </row>
        <row r="23">
          <cell r="H23">
            <v>2</v>
          </cell>
        </row>
        <row r="24">
          <cell r="H24">
            <v>2</v>
          </cell>
        </row>
        <row r="25">
          <cell r="H25">
            <v>2</v>
          </cell>
        </row>
        <row r="26">
          <cell r="H26">
            <v>2</v>
          </cell>
        </row>
        <row r="27">
          <cell r="H27">
            <v>2</v>
          </cell>
        </row>
        <row r="28">
          <cell r="H28">
            <v>2</v>
          </cell>
        </row>
        <row r="29">
          <cell r="H29">
            <v>2</v>
          </cell>
        </row>
        <row r="30">
          <cell r="H30">
            <v>2</v>
          </cell>
        </row>
        <row r="31">
          <cell r="H31">
            <v>2</v>
          </cell>
        </row>
        <row r="32">
          <cell r="H32">
            <v>2</v>
          </cell>
        </row>
        <row r="33">
          <cell r="H33">
            <v>3</v>
          </cell>
        </row>
        <row r="34">
          <cell r="H34">
            <v>3</v>
          </cell>
        </row>
        <row r="35">
          <cell r="H35">
            <v>3</v>
          </cell>
        </row>
        <row r="36">
          <cell r="H36">
            <v>3</v>
          </cell>
        </row>
        <row r="37">
          <cell r="H37">
            <v>3</v>
          </cell>
        </row>
        <row r="38">
          <cell r="H38">
            <v>3</v>
          </cell>
        </row>
        <row r="39">
          <cell r="H39">
            <v>3</v>
          </cell>
        </row>
        <row r="40">
          <cell r="H40">
            <v>3</v>
          </cell>
        </row>
        <row r="41">
          <cell r="H41">
            <v>3</v>
          </cell>
        </row>
        <row r="42">
          <cell r="H42">
            <v>3</v>
          </cell>
        </row>
        <row r="43">
          <cell r="H43">
            <v>3</v>
          </cell>
        </row>
        <row r="44">
          <cell r="H44">
            <v>3</v>
          </cell>
        </row>
        <row r="45">
          <cell r="H45">
            <v>4</v>
          </cell>
        </row>
        <row r="46">
          <cell r="H46">
            <v>4</v>
          </cell>
        </row>
        <row r="47">
          <cell r="H47">
            <v>4</v>
          </cell>
        </row>
        <row r="48">
          <cell r="H48">
            <v>4</v>
          </cell>
        </row>
        <row r="49">
          <cell r="H49">
            <v>4</v>
          </cell>
        </row>
        <row r="50">
          <cell r="H50">
            <v>4</v>
          </cell>
        </row>
        <row r="51">
          <cell r="H51">
            <v>4</v>
          </cell>
        </row>
        <row r="52">
          <cell r="H52">
            <v>4</v>
          </cell>
        </row>
        <row r="53">
          <cell r="H53">
            <v>4</v>
          </cell>
        </row>
        <row r="54">
          <cell r="H54">
            <v>4</v>
          </cell>
        </row>
        <row r="55">
          <cell r="H55">
            <v>4</v>
          </cell>
        </row>
        <row r="56">
          <cell r="H56">
            <v>4</v>
          </cell>
        </row>
        <row r="57">
          <cell r="H57">
            <v>5</v>
          </cell>
        </row>
        <row r="58">
          <cell r="H58">
            <v>5</v>
          </cell>
        </row>
        <row r="59">
          <cell r="H59">
            <v>5</v>
          </cell>
        </row>
        <row r="60">
          <cell r="H60">
            <v>5</v>
          </cell>
        </row>
        <row r="61">
          <cell r="H61">
            <v>5</v>
          </cell>
        </row>
        <row r="62">
          <cell r="H62">
            <v>5</v>
          </cell>
        </row>
        <row r="63">
          <cell r="H63">
            <v>5</v>
          </cell>
        </row>
        <row r="64">
          <cell r="H64">
            <v>5</v>
          </cell>
        </row>
        <row r="65">
          <cell r="H65">
            <v>5</v>
          </cell>
        </row>
        <row r="66">
          <cell r="H66">
            <v>5</v>
          </cell>
        </row>
        <row r="67">
          <cell r="H67">
            <v>5</v>
          </cell>
        </row>
        <row r="68">
          <cell r="H68">
            <v>5</v>
          </cell>
        </row>
        <row r="69">
          <cell r="H69">
            <v>6</v>
          </cell>
        </row>
        <row r="70">
          <cell r="H70">
            <v>6</v>
          </cell>
        </row>
        <row r="71">
          <cell r="H71">
            <v>6</v>
          </cell>
        </row>
        <row r="72">
          <cell r="H72">
            <v>6</v>
          </cell>
        </row>
        <row r="73">
          <cell r="H73">
            <v>6</v>
          </cell>
        </row>
        <row r="74">
          <cell r="H74">
            <v>6</v>
          </cell>
        </row>
        <row r="75">
          <cell r="H75">
            <v>6</v>
          </cell>
        </row>
        <row r="76">
          <cell r="H76">
            <v>6</v>
          </cell>
        </row>
        <row r="77">
          <cell r="H77">
            <v>6</v>
          </cell>
        </row>
        <row r="78">
          <cell r="H78">
            <v>6</v>
          </cell>
        </row>
        <row r="79">
          <cell r="H79">
            <v>6</v>
          </cell>
        </row>
        <row r="80">
          <cell r="H80">
            <v>6</v>
          </cell>
        </row>
        <row r="81">
          <cell r="H81">
            <v>7</v>
          </cell>
        </row>
        <row r="82">
          <cell r="H82">
            <v>7</v>
          </cell>
        </row>
        <row r="83">
          <cell r="H83">
            <v>7</v>
          </cell>
        </row>
        <row r="84">
          <cell r="H84">
            <v>7</v>
          </cell>
        </row>
        <row r="85">
          <cell r="H85">
            <v>7</v>
          </cell>
        </row>
        <row r="86">
          <cell r="H86">
            <v>7</v>
          </cell>
        </row>
        <row r="87">
          <cell r="H87">
            <v>7</v>
          </cell>
        </row>
        <row r="88">
          <cell r="H88">
            <v>7</v>
          </cell>
        </row>
        <row r="89">
          <cell r="H89">
            <v>7</v>
          </cell>
        </row>
        <row r="90">
          <cell r="H90">
            <v>7</v>
          </cell>
        </row>
        <row r="91">
          <cell r="H91">
            <v>7</v>
          </cell>
        </row>
        <row r="92">
          <cell r="H92">
            <v>7</v>
          </cell>
        </row>
        <row r="93">
          <cell r="H93">
            <v>8</v>
          </cell>
        </row>
        <row r="94">
          <cell r="H94">
            <v>8</v>
          </cell>
        </row>
        <row r="95">
          <cell r="H95">
            <v>8</v>
          </cell>
        </row>
        <row r="96">
          <cell r="H96">
            <v>8</v>
          </cell>
        </row>
        <row r="97">
          <cell r="H97">
            <v>8</v>
          </cell>
        </row>
        <row r="98">
          <cell r="H98">
            <v>8</v>
          </cell>
        </row>
        <row r="99">
          <cell r="H99">
            <v>8</v>
          </cell>
        </row>
        <row r="100">
          <cell r="H100">
            <v>8</v>
          </cell>
        </row>
        <row r="101">
          <cell r="H101">
            <v>8</v>
          </cell>
        </row>
        <row r="102">
          <cell r="H102">
            <v>8</v>
          </cell>
        </row>
        <row r="103">
          <cell r="H103">
            <v>8</v>
          </cell>
        </row>
        <row r="104">
          <cell r="H104">
            <v>8</v>
          </cell>
        </row>
        <row r="105">
          <cell r="H105">
            <v>9</v>
          </cell>
        </row>
        <row r="106">
          <cell r="H106">
            <v>9</v>
          </cell>
        </row>
        <row r="107">
          <cell r="H107">
            <v>9</v>
          </cell>
        </row>
        <row r="108">
          <cell r="H108">
            <v>9</v>
          </cell>
        </row>
        <row r="109">
          <cell r="H109">
            <v>9</v>
          </cell>
        </row>
        <row r="110">
          <cell r="H110">
            <v>9</v>
          </cell>
        </row>
        <row r="111">
          <cell r="H111">
            <v>9</v>
          </cell>
        </row>
        <row r="112">
          <cell r="H112">
            <v>9</v>
          </cell>
        </row>
        <row r="113">
          <cell r="H113">
            <v>9</v>
          </cell>
        </row>
        <row r="114">
          <cell r="H114">
            <v>9</v>
          </cell>
        </row>
        <row r="115">
          <cell r="H115">
            <v>9</v>
          </cell>
        </row>
        <row r="116">
          <cell r="H116">
            <v>9</v>
          </cell>
        </row>
        <row r="117">
          <cell r="H117">
            <v>10</v>
          </cell>
        </row>
        <row r="118">
          <cell r="H118">
            <v>10</v>
          </cell>
        </row>
        <row r="119">
          <cell r="H119">
            <v>10</v>
          </cell>
        </row>
        <row r="120">
          <cell r="H120">
            <v>10</v>
          </cell>
        </row>
        <row r="121">
          <cell r="H121">
            <v>10</v>
          </cell>
        </row>
        <row r="122">
          <cell r="H122">
            <v>10</v>
          </cell>
        </row>
        <row r="123">
          <cell r="H123">
            <v>10</v>
          </cell>
        </row>
        <row r="124">
          <cell r="H124">
            <v>10</v>
          </cell>
        </row>
        <row r="125">
          <cell r="H125">
            <v>10</v>
          </cell>
        </row>
        <row r="126">
          <cell r="H126">
            <v>10</v>
          </cell>
        </row>
        <row r="127">
          <cell r="H127">
            <v>10</v>
          </cell>
        </row>
        <row r="128">
          <cell r="H128">
            <v>10</v>
          </cell>
        </row>
        <row r="129">
          <cell r="H129">
            <v>11</v>
          </cell>
        </row>
        <row r="130">
          <cell r="H130">
            <v>11</v>
          </cell>
        </row>
        <row r="131">
          <cell r="H131">
            <v>11</v>
          </cell>
        </row>
        <row r="132">
          <cell r="H132">
            <v>11</v>
          </cell>
        </row>
        <row r="133">
          <cell r="H133">
            <v>11</v>
          </cell>
        </row>
        <row r="134">
          <cell r="H134">
            <v>11</v>
          </cell>
        </row>
        <row r="135">
          <cell r="H135">
            <v>11</v>
          </cell>
        </row>
        <row r="136">
          <cell r="H136">
            <v>11</v>
          </cell>
        </row>
        <row r="137">
          <cell r="H137">
            <v>11</v>
          </cell>
        </row>
        <row r="138">
          <cell r="H138">
            <v>11</v>
          </cell>
        </row>
        <row r="139">
          <cell r="H139">
            <v>11</v>
          </cell>
        </row>
        <row r="140">
          <cell r="H140">
            <v>11</v>
          </cell>
        </row>
        <row r="141">
          <cell r="H141">
            <v>12</v>
          </cell>
        </row>
        <row r="142">
          <cell r="H142">
            <v>12</v>
          </cell>
        </row>
        <row r="143">
          <cell r="H143">
            <v>12</v>
          </cell>
        </row>
        <row r="144">
          <cell r="H144">
            <v>12</v>
          </cell>
        </row>
        <row r="145">
          <cell r="H145">
            <v>12</v>
          </cell>
        </row>
        <row r="146">
          <cell r="H146">
            <v>12</v>
          </cell>
        </row>
        <row r="147">
          <cell r="H147">
            <v>12</v>
          </cell>
        </row>
        <row r="148">
          <cell r="H148">
            <v>12</v>
          </cell>
        </row>
        <row r="149">
          <cell r="H149">
            <v>12</v>
          </cell>
        </row>
        <row r="150">
          <cell r="H150">
            <v>12</v>
          </cell>
        </row>
        <row r="151">
          <cell r="H151">
            <v>12</v>
          </cell>
        </row>
        <row r="152">
          <cell r="H152">
            <v>12</v>
          </cell>
        </row>
        <row r="153">
          <cell r="H153">
            <v>13</v>
          </cell>
        </row>
        <row r="154">
          <cell r="H154">
            <v>13</v>
          </cell>
        </row>
        <row r="155">
          <cell r="H155">
            <v>13</v>
          </cell>
        </row>
        <row r="156">
          <cell r="H156">
            <v>13</v>
          </cell>
        </row>
        <row r="157">
          <cell r="H157">
            <v>13</v>
          </cell>
        </row>
        <row r="158">
          <cell r="H158">
            <v>13</v>
          </cell>
        </row>
        <row r="159">
          <cell r="H159">
            <v>13</v>
          </cell>
        </row>
        <row r="160">
          <cell r="H160">
            <v>13</v>
          </cell>
        </row>
        <row r="161">
          <cell r="H161">
            <v>13</v>
          </cell>
        </row>
        <row r="162">
          <cell r="H162">
            <v>13</v>
          </cell>
        </row>
        <row r="163">
          <cell r="H163">
            <v>13</v>
          </cell>
        </row>
        <row r="164">
          <cell r="H164">
            <v>13</v>
          </cell>
        </row>
        <row r="165">
          <cell r="H165">
            <v>14</v>
          </cell>
        </row>
        <row r="166">
          <cell r="H166">
            <v>14</v>
          </cell>
        </row>
        <row r="167">
          <cell r="H167">
            <v>14</v>
          </cell>
        </row>
        <row r="168">
          <cell r="H168">
            <v>14</v>
          </cell>
        </row>
        <row r="169">
          <cell r="H169">
            <v>14</v>
          </cell>
        </row>
        <row r="170">
          <cell r="H170">
            <v>14</v>
          </cell>
        </row>
        <row r="171">
          <cell r="H171">
            <v>14</v>
          </cell>
        </row>
        <row r="172">
          <cell r="H172">
            <v>14</v>
          </cell>
        </row>
        <row r="173">
          <cell r="H173">
            <v>14</v>
          </cell>
        </row>
        <row r="174">
          <cell r="H174">
            <v>14</v>
          </cell>
        </row>
        <row r="175">
          <cell r="H175">
            <v>14</v>
          </cell>
        </row>
        <row r="176">
          <cell r="H176">
            <v>14</v>
          </cell>
        </row>
        <row r="177">
          <cell r="H177">
            <v>15</v>
          </cell>
        </row>
        <row r="178">
          <cell r="H178">
            <v>15</v>
          </cell>
        </row>
        <row r="179">
          <cell r="H179">
            <v>15</v>
          </cell>
        </row>
        <row r="180">
          <cell r="H180">
            <v>15</v>
          </cell>
        </row>
        <row r="181">
          <cell r="H181">
            <v>15</v>
          </cell>
        </row>
        <row r="182">
          <cell r="H182">
            <v>15</v>
          </cell>
        </row>
        <row r="183">
          <cell r="H183">
            <v>15</v>
          </cell>
        </row>
        <row r="184">
          <cell r="H184">
            <v>15</v>
          </cell>
        </row>
        <row r="185">
          <cell r="H185">
            <v>15</v>
          </cell>
        </row>
        <row r="186">
          <cell r="H186">
            <v>15</v>
          </cell>
        </row>
        <row r="187">
          <cell r="H187">
            <v>15</v>
          </cell>
        </row>
        <row r="188">
          <cell r="H188">
            <v>15</v>
          </cell>
        </row>
        <row r="189">
          <cell r="H189">
            <v>16</v>
          </cell>
        </row>
        <row r="190">
          <cell r="H190">
            <v>16</v>
          </cell>
        </row>
        <row r="191">
          <cell r="H191">
            <v>16</v>
          </cell>
        </row>
        <row r="192">
          <cell r="H192">
            <v>16</v>
          </cell>
        </row>
        <row r="193">
          <cell r="H193">
            <v>16</v>
          </cell>
        </row>
        <row r="194">
          <cell r="H194">
            <v>16</v>
          </cell>
        </row>
        <row r="195">
          <cell r="H195">
            <v>16</v>
          </cell>
        </row>
        <row r="196">
          <cell r="H196">
            <v>16</v>
          </cell>
        </row>
        <row r="197">
          <cell r="H197">
            <v>16</v>
          </cell>
        </row>
        <row r="198">
          <cell r="H198">
            <v>16</v>
          </cell>
        </row>
        <row r="199">
          <cell r="H199">
            <v>16</v>
          </cell>
        </row>
        <row r="200">
          <cell r="H200">
            <v>16</v>
          </cell>
        </row>
        <row r="201">
          <cell r="H201">
            <v>17</v>
          </cell>
        </row>
        <row r="202">
          <cell r="H202">
            <v>17</v>
          </cell>
        </row>
        <row r="203">
          <cell r="H203">
            <v>17</v>
          </cell>
        </row>
        <row r="204">
          <cell r="H204">
            <v>17</v>
          </cell>
        </row>
        <row r="205">
          <cell r="H205">
            <v>17</v>
          </cell>
        </row>
        <row r="206">
          <cell r="H206">
            <v>17</v>
          </cell>
        </row>
        <row r="207">
          <cell r="H207">
            <v>17</v>
          </cell>
        </row>
        <row r="208">
          <cell r="H208">
            <v>17</v>
          </cell>
        </row>
        <row r="209">
          <cell r="H209">
            <v>17</v>
          </cell>
        </row>
        <row r="210">
          <cell r="H210">
            <v>17</v>
          </cell>
        </row>
        <row r="211">
          <cell r="H211">
            <v>17</v>
          </cell>
        </row>
        <row r="212">
          <cell r="H212">
            <v>17</v>
          </cell>
        </row>
        <row r="213">
          <cell r="H213">
            <v>18</v>
          </cell>
        </row>
        <row r="214">
          <cell r="H214">
            <v>18</v>
          </cell>
        </row>
        <row r="215">
          <cell r="H215">
            <v>18</v>
          </cell>
        </row>
        <row r="216">
          <cell r="H216">
            <v>18</v>
          </cell>
        </row>
        <row r="217">
          <cell r="H217">
            <v>18</v>
          </cell>
        </row>
        <row r="218">
          <cell r="H218">
            <v>18</v>
          </cell>
        </row>
        <row r="219">
          <cell r="H219">
            <v>18</v>
          </cell>
        </row>
        <row r="220">
          <cell r="H220">
            <v>18</v>
          </cell>
        </row>
        <row r="221">
          <cell r="H221">
            <v>18</v>
          </cell>
        </row>
        <row r="222">
          <cell r="H222">
            <v>18</v>
          </cell>
        </row>
        <row r="223">
          <cell r="H223">
            <v>18</v>
          </cell>
        </row>
        <row r="224">
          <cell r="H224">
            <v>18</v>
          </cell>
        </row>
        <row r="225">
          <cell r="H225">
            <v>19</v>
          </cell>
        </row>
        <row r="226">
          <cell r="H226">
            <v>19</v>
          </cell>
        </row>
        <row r="227">
          <cell r="H227">
            <v>19</v>
          </cell>
        </row>
        <row r="228">
          <cell r="H228">
            <v>19</v>
          </cell>
        </row>
        <row r="229">
          <cell r="H229">
            <v>19</v>
          </cell>
        </row>
        <row r="230">
          <cell r="H230">
            <v>19</v>
          </cell>
        </row>
        <row r="231">
          <cell r="H231">
            <v>19</v>
          </cell>
        </row>
        <row r="232">
          <cell r="H232">
            <v>19</v>
          </cell>
        </row>
        <row r="233">
          <cell r="H233">
            <v>19</v>
          </cell>
        </row>
        <row r="234">
          <cell r="H234">
            <v>19</v>
          </cell>
        </row>
        <row r="235">
          <cell r="H235">
            <v>19</v>
          </cell>
        </row>
        <row r="236">
          <cell r="H236">
            <v>19</v>
          </cell>
        </row>
        <row r="237">
          <cell r="H237">
            <v>20</v>
          </cell>
        </row>
        <row r="238">
          <cell r="H238">
            <v>20</v>
          </cell>
        </row>
        <row r="239">
          <cell r="H239">
            <v>20</v>
          </cell>
        </row>
        <row r="240">
          <cell r="H240">
            <v>20</v>
          </cell>
        </row>
        <row r="241">
          <cell r="H241">
            <v>20</v>
          </cell>
        </row>
        <row r="242">
          <cell r="H242">
            <v>20</v>
          </cell>
        </row>
        <row r="243">
          <cell r="H243">
            <v>20</v>
          </cell>
        </row>
        <row r="244">
          <cell r="H244">
            <v>20</v>
          </cell>
        </row>
        <row r="245">
          <cell r="H245">
            <v>20</v>
          </cell>
        </row>
        <row r="246">
          <cell r="H246">
            <v>20</v>
          </cell>
        </row>
        <row r="247">
          <cell r="H247">
            <v>20</v>
          </cell>
        </row>
        <row r="248">
          <cell r="H248">
            <v>20</v>
          </cell>
        </row>
        <row r="249">
          <cell r="H249">
            <v>21</v>
          </cell>
        </row>
        <row r="250">
          <cell r="H250">
            <v>21</v>
          </cell>
        </row>
        <row r="251">
          <cell r="H251">
            <v>21</v>
          </cell>
        </row>
        <row r="252">
          <cell r="H252">
            <v>21</v>
          </cell>
        </row>
        <row r="253">
          <cell r="H253">
            <v>21</v>
          </cell>
        </row>
        <row r="254">
          <cell r="H254">
            <v>21</v>
          </cell>
        </row>
        <row r="255">
          <cell r="H255">
            <v>21</v>
          </cell>
        </row>
        <row r="256">
          <cell r="H256">
            <v>21</v>
          </cell>
        </row>
        <row r="257">
          <cell r="H257">
            <v>21</v>
          </cell>
        </row>
        <row r="258">
          <cell r="H258">
            <v>21</v>
          </cell>
        </row>
        <row r="259">
          <cell r="H259">
            <v>21</v>
          </cell>
        </row>
        <row r="260">
          <cell r="H260">
            <v>21</v>
          </cell>
        </row>
        <row r="261">
          <cell r="H261">
            <v>22</v>
          </cell>
        </row>
        <row r="262">
          <cell r="H262">
            <v>22</v>
          </cell>
        </row>
        <row r="263">
          <cell r="H263">
            <v>22</v>
          </cell>
        </row>
        <row r="264">
          <cell r="H264">
            <v>22</v>
          </cell>
        </row>
        <row r="265">
          <cell r="H265">
            <v>22</v>
          </cell>
        </row>
        <row r="266">
          <cell r="H266">
            <v>22</v>
          </cell>
        </row>
        <row r="267">
          <cell r="H267">
            <v>22</v>
          </cell>
        </row>
        <row r="268">
          <cell r="H268">
            <v>22</v>
          </cell>
        </row>
        <row r="269">
          <cell r="H269">
            <v>22</v>
          </cell>
        </row>
        <row r="270">
          <cell r="H270">
            <v>22</v>
          </cell>
        </row>
        <row r="271">
          <cell r="H271">
            <v>22</v>
          </cell>
        </row>
        <row r="272">
          <cell r="H272">
            <v>22</v>
          </cell>
        </row>
        <row r="273">
          <cell r="H273">
            <v>23</v>
          </cell>
        </row>
        <row r="274">
          <cell r="H274">
            <v>23</v>
          </cell>
        </row>
        <row r="275">
          <cell r="H275">
            <v>23</v>
          </cell>
        </row>
        <row r="276">
          <cell r="H276">
            <v>23</v>
          </cell>
        </row>
        <row r="277">
          <cell r="H277">
            <v>23</v>
          </cell>
        </row>
        <row r="278">
          <cell r="H278">
            <v>23</v>
          </cell>
        </row>
        <row r="279">
          <cell r="H279">
            <v>23</v>
          </cell>
        </row>
        <row r="280">
          <cell r="H280">
            <v>23</v>
          </cell>
        </row>
        <row r="281">
          <cell r="H281">
            <v>23</v>
          </cell>
        </row>
        <row r="282">
          <cell r="H282">
            <v>23</v>
          </cell>
        </row>
        <row r="283">
          <cell r="H283">
            <v>23</v>
          </cell>
        </row>
        <row r="284">
          <cell r="H284">
            <v>23</v>
          </cell>
        </row>
        <row r="285">
          <cell r="H285">
            <v>24</v>
          </cell>
        </row>
        <row r="286">
          <cell r="H286">
            <v>24</v>
          </cell>
        </row>
        <row r="287">
          <cell r="H287">
            <v>24</v>
          </cell>
        </row>
        <row r="288">
          <cell r="H288">
            <v>24</v>
          </cell>
        </row>
        <row r="289">
          <cell r="H289">
            <v>24</v>
          </cell>
        </row>
        <row r="290">
          <cell r="H290">
            <v>24</v>
          </cell>
        </row>
        <row r="291">
          <cell r="H291">
            <v>24</v>
          </cell>
        </row>
        <row r="292">
          <cell r="H292">
            <v>24</v>
          </cell>
        </row>
        <row r="293">
          <cell r="H293">
            <v>24</v>
          </cell>
        </row>
        <row r="294">
          <cell r="H294">
            <v>24</v>
          </cell>
        </row>
        <row r="295">
          <cell r="H295">
            <v>24</v>
          </cell>
        </row>
        <row r="296">
          <cell r="H296">
            <v>24</v>
          </cell>
        </row>
        <row r="297">
          <cell r="H297">
            <v>25</v>
          </cell>
        </row>
        <row r="298">
          <cell r="H298">
            <v>25</v>
          </cell>
        </row>
        <row r="299">
          <cell r="H299">
            <v>25</v>
          </cell>
        </row>
        <row r="300">
          <cell r="H300">
            <v>25</v>
          </cell>
        </row>
        <row r="301">
          <cell r="H301">
            <v>25</v>
          </cell>
        </row>
        <row r="302">
          <cell r="H302">
            <v>25</v>
          </cell>
        </row>
        <row r="303">
          <cell r="H303">
            <v>25</v>
          </cell>
        </row>
        <row r="304">
          <cell r="H304">
            <v>25</v>
          </cell>
        </row>
        <row r="305">
          <cell r="H305">
            <v>25</v>
          </cell>
        </row>
        <row r="306">
          <cell r="H306">
            <v>25</v>
          </cell>
        </row>
        <row r="307">
          <cell r="H307">
            <v>25</v>
          </cell>
        </row>
        <row r="308">
          <cell r="H308">
            <v>25</v>
          </cell>
        </row>
        <row r="309">
          <cell r="H309">
            <v>26</v>
          </cell>
        </row>
        <row r="310">
          <cell r="H310">
            <v>26</v>
          </cell>
        </row>
        <row r="311">
          <cell r="H311">
            <v>26</v>
          </cell>
        </row>
        <row r="312">
          <cell r="H312">
            <v>26</v>
          </cell>
        </row>
        <row r="313">
          <cell r="H313">
            <v>26</v>
          </cell>
        </row>
        <row r="314">
          <cell r="H314">
            <v>26</v>
          </cell>
        </row>
        <row r="315">
          <cell r="H315">
            <v>26</v>
          </cell>
        </row>
        <row r="316">
          <cell r="H316">
            <v>26</v>
          </cell>
        </row>
        <row r="317">
          <cell r="H317">
            <v>26</v>
          </cell>
        </row>
        <row r="318">
          <cell r="H318">
            <v>26</v>
          </cell>
        </row>
        <row r="319">
          <cell r="H319">
            <v>26</v>
          </cell>
        </row>
        <row r="320">
          <cell r="H320">
            <v>26</v>
          </cell>
        </row>
        <row r="321">
          <cell r="H321">
            <v>27</v>
          </cell>
        </row>
        <row r="322">
          <cell r="H322">
            <v>27</v>
          </cell>
        </row>
        <row r="323">
          <cell r="H323">
            <v>27</v>
          </cell>
        </row>
        <row r="324">
          <cell r="H324">
            <v>27</v>
          </cell>
        </row>
        <row r="325">
          <cell r="H325">
            <v>27</v>
          </cell>
        </row>
        <row r="326">
          <cell r="H326">
            <v>27</v>
          </cell>
        </row>
        <row r="327">
          <cell r="H327">
            <v>27</v>
          </cell>
        </row>
        <row r="328">
          <cell r="H328">
            <v>27</v>
          </cell>
        </row>
        <row r="329">
          <cell r="H329">
            <v>27</v>
          </cell>
        </row>
        <row r="330">
          <cell r="H330">
            <v>27</v>
          </cell>
        </row>
        <row r="331">
          <cell r="H331">
            <v>27</v>
          </cell>
        </row>
        <row r="332">
          <cell r="H332">
            <v>27</v>
          </cell>
        </row>
        <row r="333">
          <cell r="H333">
            <v>28</v>
          </cell>
        </row>
        <row r="334">
          <cell r="H334">
            <v>28</v>
          </cell>
        </row>
        <row r="335">
          <cell r="H335">
            <v>28</v>
          </cell>
        </row>
        <row r="336">
          <cell r="H336">
            <v>28</v>
          </cell>
        </row>
        <row r="337">
          <cell r="H337">
            <v>28</v>
          </cell>
        </row>
        <row r="338">
          <cell r="H338">
            <v>28</v>
          </cell>
        </row>
        <row r="339">
          <cell r="H339">
            <v>28</v>
          </cell>
        </row>
        <row r="340">
          <cell r="H340">
            <v>28</v>
          </cell>
        </row>
        <row r="341">
          <cell r="H341">
            <v>28</v>
          </cell>
        </row>
        <row r="342">
          <cell r="H342">
            <v>28</v>
          </cell>
        </row>
        <row r="343">
          <cell r="H343">
            <v>28</v>
          </cell>
        </row>
        <row r="344">
          <cell r="H344">
            <v>28</v>
          </cell>
        </row>
        <row r="345">
          <cell r="H345">
            <v>29</v>
          </cell>
        </row>
        <row r="346">
          <cell r="H346">
            <v>29</v>
          </cell>
        </row>
        <row r="347">
          <cell r="H347">
            <v>29</v>
          </cell>
        </row>
        <row r="348">
          <cell r="H348">
            <v>29</v>
          </cell>
        </row>
        <row r="349">
          <cell r="H349">
            <v>29</v>
          </cell>
        </row>
        <row r="350">
          <cell r="H350">
            <v>29</v>
          </cell>
        </row>
        <row r="351">
          <cell r="H351">
            <v>29</v>
          </cell>
        </row>
        <row r="352">
          <cell r="H352">
            <v>29</v>
          </cell>
        </row>
        <row r="353">
          <cell r="H353">
            <v>29</v>
          </cell>
        </row>
        <row r="354">
          <cell r="H354">
            <v>29</v>
          </cell>
        </row>
        <row r="355">
          <cell r="H355">
            <v>29</v>
          </cell>
        </row>
        <row r="356">
          <cell r="H356">
            <v>29</v>
          </cell>
        </row>
        <row r="357">
          <cell r="H357">
            <v>30</v>
          </cell>
        </row>
        <row r="358">
          <cell r="H358">
            <v>30</v>
          </cell>
        </row>
        <row r="359">
          <cell r="H359">
            <v>30</v>
          </cell>
        </row>
        <row r="360">
          <cell r="H360">
            <v>30</v>
          </cell>
        </row>
        <row r="361">
          <cell r="H361">
            <v>30</v>
          </cell>
        </row>
        <row r="362">
          <cell r="H362">
            <v>30</v>
          </cell>
        </row>
        <row r="363">
          <cell r="H363">
            <v>30</v>
          </cell>
        </row>
        <row r="364">
          <cell r="H364">
            <v>30</v>
          </cell>
        </row>
        <row r="365">
          <cell r="H365">
            <v>30</v>
          </cell>
        </row>
        <row r="366">
          <cell r="H366">
            <v>30</v>
          </cell>
        </row>
        <row r="367">
          <cell r="H367">
            <v>30</v>
          </cell>
        </row>
        <row r="368">
          <cell r="H368">
            <v>30</v>
          </cell>
        </row>
        <row r="369">
          <cell r="H369">
            <v>0</v>
          </cell>
        </row>
        <row r="370">
          <cell r="H370">
            <v>0</v>
          </cell>
        </row>
        <row r="371">
          <cell r="H371">
            <v>0</v>
          </cell>
        </row>
        <row r="372">
          <cell r="H372">
            <v>0</v>
          </cell>
        </row>
        <row r="373">
          <cell r="H373">
            <v>0</v>
          </cell>
        </row>
        <row r="374">
          <cell r="H374">
            <v>0</v>
          </cell>
        </row>
      </sheetData>
      <sheetData sheetId="1"/>
      <sheetData sheetId="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Arrow Down with solid fill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F403C-4799-6647-8587-FE6F3B16DFF8}" name="Table1" displayName="Table1" ref="A1:F355" totalsRowShown="0">
  <autoFilter ref="A1:F355" xr:uid="{357F403C-4799-6647-8587-FE6F3B16DFF8}"/>
  <sortState xmlns:xlrd2="http://schemas.microsoft.com/office/spreadsheetml/2017/richdata2" ref="A2:F355">
    <sortCondition ref="A1:A355"/>
  </sortState>
  <tableColumns count="6">
    <tableColumn id="1" xr3:uid="{D8B58287-7B78-534E-AF9F-777DDF4B491B}" name="Category" dataDxfId="5"/>
    <tableColumn id="2" xr3:uid="{FFBC651F-BD1B-2F47-AA64-C757D1C9CE97}" name="Item" dataDxfId="4"/>
    <tableColumn id="3" xr3:uid="{371D46F9-2E59-4B46-A382-E125A6F50AC2}" name="Quantity" dataDxfId="3" dataCellStyle="Comma"/>
    <tableColumn id="4" xr3:uid="{E134E7CC-A3B7-6948-BB8E-1EB30F8E27CC}" name="UOM" dataDxfId="2"/>
    <tableColumn id="5" xr3:uid="{C3F5A81B-6A30-4B49-9B96-38914C77F02A}" name="Price" dataDxfId="1"/>
    <tableColumn id="6" xr3:uid="{DA6B4FE7-30CC-FA43-B44A-B009C2996A4C}" name="Sour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F88B-0F50-8342-A830-D72F1606A0E1}">
  <sheetPr>
    <tabColor rgb="FF7CE38B"/>
  </sheetPr>
  <dimension ref="A1:EB369"/>
  <sheetViews>
    <sheetView showGridLines="0" tabSelected="1" topLeftCell="I1" zoomScale="130" zoomScaleNormal="130" workbookViewId="0">
      <selection activeCell="P12" sqref="P12"/>
    </sheetView>
  </sheetViews>
  <sheetFormatPr baseColWidth="10" defaultColWidth="0" defaultRowHeight="25" customHeight="1" x14ac:dyDescent="0.2"/>
  <cols>
    <col min="1" max="1" width="16.6640625" style="15" customWidth="1"/>
    <col min="2" max="2" width="102.5" style="15" customWidth="1"/>
    <col min="3" max="3" width="16" style="16" customWidth="1"/>
    <col min="4" max="4" width="15.6640625" style="13" bestFit="1" customWidth="1"/>
    <col min="5" max="5" width="10.5" style="17" bestFit="1" customWidth="1"/>
    <col min="6" max="6" width="23.6640625" style="13" bestFit="1" customWidth="1"/>
    <col min="7" max="7" width="9" style="14" customWidth="1"/>
    <col min="8" max="9" width="9" customWidth="1"/>
    <col min="10" max="10" width="27.6640625" bestFit="1" customWidth="1"/>
    <col min="11" max="11" width="13" customWidth="1"/>
    <col min="12" max="12" width="15" bestFit="1" customWidth="1"/>
    <col min="13" max="20" width="12.5" customWidth="1"/>
    <col min="21" max="40" width="18.5" customWidth="1"/>
    <col min="41" max="116" width="1.5" customWidth="1"/>
    <col min="117" max="132" width="0" hidden="1" customWidth="1"/>
    <col min="133" max="16384" width="9" hidden="1"/>
  </cols>
  <sheetData>
    <row r="1" spans="1:116" ht="25" customHeight="1" x14ac:dyDescent="0.2">
      <c r="A1" s="15" t="s">
        <v>0</v>
      </c>
      <c r="B1" s="15" t="s">
        <v>1</v>
      </c>
      <c r="C1" s="16" t="s">
        <v>110</v>
      </c>
      <c r="D1" s="13" t="s">
        <v>2</v>
      </c>
      <c r="E1" s="17" t="s">
        <v>3</v>
      </c>
      <c r="F1" s="13" t="s">
        <v>346</v>
      </c>
      <c r="G1" s="13"/>
      <c r="H1" s="10"/>
      <c r="I1" s="10"/>
      <c r="J1" s="10"/>
      <c r="K1" s="10"/>
      <c r="L1" s="10"/>
      <c r="M1" s="10"/>
      <c r="N1" s="30" t="s">
        <v>388</v>
      </c>
      <c r="O1" s="10"/>
      <c r="P1" s="10"/>
      <c r="Q1" s="10"/>
      <c r="R1" s="10"/>
      <c r="S1" s="10"/>
      <c r="T1" s="10"/>
      <c r="U1" s="10"/>
      <c r="V1" s="10"/>
      <c r="W1" s="10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</row>
    <row r="2" spans="1:116" ht="25" customHeight="1" x14ac:dyDescent="0.2">
      <c r="A2" s="18" t="s">
        <v>11</v>
      </c>
      <c r="B2" s="18" t="s">
        <v>12</v>
      </c>
      <c r="C2" s="25">
        <v>0.02</v>
      </c>
      <c r="D2" s="19" t="s">
        <v>7</v>
      </c>
      <c r="E2" s="26"/>
      <c r="F2" s="23" t="s">
        <v>355</v>
      </c>
      <c r="J2" s="45" t="s">
        <v>366</v>
      </c>
      <c r="K2" s="31">
        <v>46808</v>
      </c>
      <c r="N2" t="s">
        <v>386</v>
      </c>
      <c r="T2" s="10"/>
      <c r="U2" s="10"/>
      <c r="V2" s="10"/>
      <c r="W2" s="10"/>
    </row>
    <row r="3" spans="1:116" ht="25" customHeight="1" x14ac:dyDescent="0.2">
      <c r="A3" s="18" t="s">
        <v>11</v>
      </c>
      <c r="B3" s="18" t="s">
        <v>337</v>
      </c>
      <c r="C3" s="25">
        <v>0.02</v>
      </c>
      <c r="D3" s="19" t="s">
        <v>7</v>
      </c>
      <c r="E3" s="26" t="str">
        <f>E1</f>
        <v>Price</v>
      </c>
      <c r="F3" s="23" t="s">
        <v>355</v>
      </c>
      <c r="J3" s="45" t="s">
        <v>374</v>
      </c>
      <c r="K3" s="46" t="s">
        <v>375</v>
      </c>
      <c r="L3" s="43">
        <v>40000000</v>
      </c>
      <c r="N3" t="s">
        <v>387</v>
      </c>
    </row>
    <row r="4" spans="1:116" ht="25" customHeight="1" x14ac:dyDescent="0.2">
      <c r="A4" s="18" t="s">
        <v>11</v>
      </c>
      <c r="B4" s="18" t="s">
        <v>337</v>
      </c>
      <c r="C4" s="25">
        <v>0.02</v>
      </c>
      <c r="D4" s="19" t="s">
        <v>7</v>
      </c>
      <c r="E4" s="26" t="e">
        <f>#REF!</f>
        <v>#REF!</v>
      </c>
      <c r="F4" s="23" t="s">
        <v>355</v>
      </c>
      <c r="J4" s="52" t="s">
        <v>376</v>
      </c>
      <c r="K4" s="53" t="s">
        <v>377</v>
      </c>
      <c r="L4" s="54">
        <f>J17*-1000</f>
        <v>-26666666.666666668</v>
      </c>
      <c r="N4" t="s">
        <v>389</v>
      </c>
    </row>
    <row r="5" spans="1:116" ht="25" customHeight="1" x14ac:dyDescent="0.2">
      <c r="A5" s="18" t="s">
        <v>11</v>
      </c>
      <c r="B5" s="18" t="s">
        <v>13</v>
      </c>
      <c r="C5" s="25">
        <v>0.02</v>
      </c>
      <c r="D5" s="19" t="s">
        <v>7</v>
      </c>
      <c r="E5" s="26"/>
      <c r="F5" s="23" t="s">
        <v>355</v>
      </c>
      <c r="J5" s="45" t="s">
        <v>378</v>
      </c>
      <c r="K5" s="48"/>
      <c r="L5" s="49">
        <f>SUM(L3:L4)</f>
        <v>13333333.333333332</v>
      </c>
    </row>
    <row r="6" spans="1:116" ht="25" customHeight="1" x14ac:dyDescent="0.2">
      <c r="A6" s="18" t="s">
        <v>11</v>
      </c>
      <c r="B6" s="18" t="s">
        <v>338</v>
      </c>
      <c r="C6" s="25">
        <v>0.02</v>
      </c>
      <c r="D6" s="19" t="s">
        <v>7</v>
      </c>
      <c r="E6" s="26"/>
      <c r="F6" s="23" t="s">
        <v>355</v>
      </c>
      <c r="J6" s="44" t="s">
        <v>379</v>
      </c>
    </row>
    <row r="7" spans="1:116" ht="25" customHeight="1" x14ac:dyDescent="0.2">
      <c r="A7" s="18" t="s">
        <v>11</v>
      </c>
      <c r="B7" s="18" t="s">
        <v>338</v>
      </c>
      <c r="C7" s="25">
        <v>0.02</v>
      </c>
      <c r="D7" s="19" t="s">
        <v>7</v>
      </c>
      <c r="E7" s="26"/>
      <c r="F7" s="23" t="s">
        <v>355</v>
      </c>
      <c r="J7" s="44" t="s">
        <v>383</v>
      </c>
      <c r="K7" s="50">
        <v>5.0000000000000001E-3</v>
      </c>
      <c r="L7" s="51">
        <f>K7*-L5</f>
        <v>-66666.666666666657</v>
      </c>
    </row>
    <row r="8" spans="1:116" ht="25" customHeight="1" x14ac:dyDescent="0.2">
      <c r="A8" s="18" t="s">
        <v>42</v>
      </c>
      <c r="B8" s="18" t="s">
        <v>256</v>
      </c>
      <c r="C8" s="28">
        <v>64</v>
      </c>
      <c r="D8" s="19" t="s">
        <v>56</v>
      </c>
      <c r="E8" s="22">
        <v>18.5</v>
      </c>
      <c r="F8" s="23" t="s">
        <v>355</v>
      </c>
      <c r="J8" s="44" t="s">
        <v>380</v>
      </c>
      <c r="K8" s="50">
        <v>0.03</v>
      </c>
      <c r="L8" s="51">
        <f>L5*-K8</f>
        <v>-399999.99999999994</v>
      </c>
    </row>
    <row r="9" spans="1:116" ht="25" customHeight="1" x14ac:dyDescent="0.2">
      <c r="A9" s="18" t="s">
        <v>42</v>
      </c>
      <c r="B9" s="18" t="s">
        <v>256</v>
      </c>
      <c r="C9" s="27">
        <v>13330</v>
      </c>
      <c r="D9" s="19" t="s">
        <v>56</v>
      </c>
      <c r="E9" s="20">
        <v>18.5</v>
      </c>
      <c r="F9" s="23" t="s">
        <v>355</v>
      </c>
      <c r="J9" s="44" t="s">
        <v>381</v>
      </c>
      <c r="K9" s="50">
        <v>5.0000000000000001E-3</v>
      </c>
      <c r="L9" s="51">
        <f>K9*-L$5</f>
        <v>-66666.666666666657</v>
      </c>
      <c r="O9" s="58">
        <v>0.13</v>
      </c>
      <c r="P9" t="s">
        <v>390</v>
      </c>
    </row>
    <row r="10" spans="1:116" ht="25" customHeight="1" x14ac:dyDescent="0.2">
      <c r="A10" s="18" t="s">
        <v>42</v>
      </c>
      <c r="B10" s="18" t="s">
        <v>255</v>
      </c>
      <c r="C10" s="28">
        <v>4169</v>
      </c>
      <c r="D10" s="19" t="s">
        <v>103</v>
      </c>
      <c r="E10" s="22">
        <v>5.25</v>
      </c>
      <c r="F10" s="23" t="s">
        <v>355</v>
      </c>
      <c r="J10" s="55" t="s">
        <v>382</v>
      </c>
      <c r="K10" s="57">
        <v>5.0000000000000001E-3</v>
      </c>
      <c r="L10" s="54">
        <f>K10*-L$5</f>
        <v>-66666.666666666657</v>
      </c>
      <c r="O10" s="58">
        <f>O9+0.14</f>
        <v>0.27</v>
      </c>
      <c r="P10" t="s">
        <v>391</v>
      </c>
    </row>
    <row r="11" spans="1:116" ht="25" customHeight="1" x14ac:dyDescent="0.2">
      <c r="A11" s="18" t="s">
        <v>42</v>
      </c>
      <c r="B11" s="18" t="s">
        <v>255</v>
      </c>
      <c r="C11" s="27">
        <v>18921</v>
      </c>
      <c r="D11" s="19" t="s">
        <v>103</v>
      </c>
      <c r="E11" s="20">
        <v>5.25</v>
      </c>
      <c r="F11" s="23" t="s">
        <v>355</v>
      </c>
      <c r="J11" s="45" t="s">
        <v>384</v>
      </c>
      <c r="K11" s="56" t="s">
        <v>385</v>
      </c>
      <c r="L11" s="49">
        <f>SUM(L5:L10)</f>
        <v>12733333.333333334</v>
      </c>
      <c r="O11" s="58">
        <f t="shared" ref="O11:O16" si="0">O10+0.14</f>
        <v>0.41000000000000003</v>
      </c>
      <c r="P11" t="s">
        <v>392</v>
      </c>
    </row>
    <row r="12" spans="1:116" ht="25" customHeight="1" x14ac:dyDescent="0.2">
      <c r="A12" s="18" t="s">
        <v>42</v>
      </c>
      <c r="B12" s="18" t="s">
        <v>258</v>
      </c>
      <c r="C12" s="27">
        <f>330*9</f>
        <v>2970</v>
      </c>
      <c r="D12" s="19" t="s">
        <v>103</v>
      </c>
      <c r="E12" s="20">
        <v>16.8</v>
      </c>
      <c r="F12" s="23" t="s">
        <v>355</v>
      </c>
      <c r="L12" s="42"/>
      <c r="O12" s="58">
        <f t="shared" si="0"/>
        <v>0.55000000000000004</v>
      </c>
      <c r="P12" t="s">
        <v>393</v>
      </c>
    </row>
    <row r="13" spans="1:116" ht="25" customHeight="1" x14ac:dyDescent="0.2">
      <c r="A13" s="18" t="s">
        <v>42</v>
      </c>
      <c r="B13" s="18" t="s">
        <v>258</v>
      </c>
      <c r="C13" s="28">
        <f>520*9</f>
        <v>4680</v>
      </c>
      <c r="D13" s="19" t="s">
        <v>103</v>
      </c>
      <c r="E13" s="22">
        <v>16.8</v>
      </c>
      <c r="F13" s="23" t="s">
        <v>355</v>
      </c>
      <c r="L13" s="42"/>
      <c r="O13" s="58">
        <f t="shared" si="0"/>
        <v>0.69000000000000006</v>
      </c>
      <c r="P13" t="s">
        <v>394</v>
      </c>
    </row>
    <row r="14" spans="1:116" ht="25" customHeight="1" x14ac:dyDescent="0.2">
      <c r="A14" s="18" t="s">
        <v>42</v>
      </c>
      <c r="B14" s="18" t="s">
        <v>248</v>
      </c>
      <c r="C14" s="28">
        <f>1292*6</f>
        <v>7752</v>
      </c>
      <c r="D14" s="19" t="s">
        <v>103</v>
      </c>
      <c r="E14" s="22">
        <v>6.8</v>
      </c>
      <c r="F14" s="23" t="s">
        <v>355</v>
      </c>
      <c r="L14" s="42"/>
      <c r="O14" s="58">
        <f t="shared" si="0"/>
        <v>0.83000000000000007</v>
      </c>
      <c r="P14" t="s">
        <v>395</v>
      </c>
    </row>
    <row r="15" spans="1:116" ht="25" customHeight="1" x14ac:dyDescent="0.2">
      <c r="A15" s="18" t="s">
        <v>42</v>
      </c>
      <c r="B15" s="18" t="s">
        <v>66</v>
      </c>
      <c r="C15" s="28">
        <v>2609</v>
      </c>
      <c r="D15" s="19" t="s">
        <v>56</v>
      </c>
      <c r="E15" s="22">
        <v>26.85</v>
      </c>
      <c r="F15" s="23" t="s">
        <v>355</v>
      </c>
      <c r="L15" s="42"/>
      <c r="O15" s="58">
        <f t="shared" si="0"/>
        <v>0.97000000000000008</v>
      </c>
      <c r="P15" t="s">
        <v>396</v>
      </c>
    </row>
    <row r="16" spans="1:116" ht="25" customHeight="1" x14ac:dyDescent="0.2">
      <c r="A16" s="18" t="s">
        <v>42</v>
      </c>
      <c r="B16" s="18" t="s">
        <v>257</v>
      </c>
      <c r="C16" s="28">
        <v>4589</v>
      </c>
      <c r="D16" s="19" t="s">
        <v>56</v>
      </c>
      <c r="E16" s="22">
        <v>20.75</v>
      </c>
      <c r="F16" s="23" t="s">
        <v>355</v>
      </c>
      <c r="O16" s="58"/>
    </row>
    <row r="17" spans="1:10" ht="25" customHeight="1" x14ac:dyDescent="0.2">
      <c r="A17" s="18" t="s">
        <v>42</v>
      </c>
      <c r="B17" s="18" t="s">
        <v>257</v>
      </c>
      <c r="C17" s="27">
        <v>6808</v>
      </c>
      <c r="D17" s="19" t="s">
        <v>56</v>
      </c>
      <c r="E17" s="20">
        <v>20.75</v>
      </c>
      <c r="F17" s="23" t="s">
        <v>355</v>
      </c>
      <c r="J17" s="47">
        <f>L3/1500</f>
        <v>26666.666666666668</v>
      </c>
    </row>
    <row r="18" spans="1:10" ht="25" customHeight="1" x14ac:dyDescent="0.2">
      <c r="A18" s="18" t="s">
        <v>42</v>
      </c>
      <c r="B18" s="18" t="s">
        <v>262</v>
      </c>
      <c r="C18" s="27">
        <f>23*10</f>
        <v>230</v>
      </c>
      <c r="D18" s="19" t="s">
        <v>23</v>
      </c>
      <c r="E18" s="20">
        <v>96</v>
      </c>
      <c r="F18" s="23" t="s">
        <v>355</v>
      </c>
    </row>
    <row r="19" spans="1:10" ht="25" customHeight="1" x14ac:dyDescent="0.2">
      <c r="A19" s="18" t="s">
        <v>42</v>
      </c>
      <c r="B19" s="18" t="s">
        <v>261</v>
      </c>
      <c r="C19" s="27">
        <v>8</v>
      </c>
      <c r="D19" s="19" t="s">
        <v>31</v>
      </c>
      <c r="E19" s="20">
        <v>850</v>
      </c>
      <c r="F19" s="23" t="s">
        <v>355</v>
      </c>
    </row>
    <row r="20" spans="1:10" ht="25" customHeight="1" x14ac:dyDescent="0.2">
      <c r="A20" s="18" t="s">
        <v>42</v>
      </c>
      <c r="B20" s="18" t="s">
        <v>252</v>
      </c>
      <c r="C20" s="28">
        <v>8</v>
      </c>
      <c r="D20" s="19" t="s">
        <v>31</v>
      </c>
      <c r="E20" s="22">
        <v>2065</v>
      </c>
      <c r="F20" s="23" t="s">
        <v>355</v>
      </c>
    </row>
    <row r="21" spans="1:10" ht="25" customHeight="1" x14ac:dyDescent="0.2">
      <c r="A21" s="18" t="s">
        <v>42</v>
      </c>
      <c r="B21" s="18" t="s">
        <v>252</v>
      </c>
      <c r="C21" s="27">
        <v>15</v>
      </c>
      <c r="D21" s="19" t="s">
        <v>31</v>
      </c>
      <c r="E21" s="20">
        <v>2065</v>
      </c>
      <c r="F21" s="23" t="s">
        <v>355</v>
      </c>
    </row>
    <row r="22" spans="1:10" ht="25" customHeight="1" x14ac:dyDescent="0.2">
      <c r="A22" s="18" t="s">
        <v>42</v>
      </c>
      <c r="B22" s="18" t="s">
        <v>247</v>
      </c>
      <c r="C22" s="28">
        <v>4</v>
      </c>
      <c r="D22" s="19" t="s">
        <v>53</v>
      </c>
      <c r="E22" s="22">
        <v>1860</v>
      </c>
      <c r="F22" s="23" t="s">
        <v>355</v>
      </c>
    </row>
    <row r="23" spans="1:10" ht="25" customHeight="1" x14ac:dyDescent="0.2">
      <c r="A23" s="18" t="s">
        <v>42</v>
      </c>
      <c r="B23" s="18" t="s">
        <v>259</v>
      </c>
      <c r="C23" s="28">
        <v>0</v>
      </c>
      <c r="D23" s="19" t="s">
        <v>31</v>
      </c>
      <c r="E23" s="22">
        <v>125</v>
      </c>
      <c r="F23" s="23" t="s">
        <v>355</v>
      </c>
    </row>
    <row r="24" spans="1:10" ht="25" customHeight="1" x14ac:dyDescent="0.2">
      <c r="A24" s="18" t="s">
        <v>42</v>
      </c>
      <c r="B24" s="18" t="s">
        <v>43</v>
      </c>
      <c r="C24" s="28">
        <v>4</v>
      </c>
      <c r="D24" s="19" t="s">
        <v>31</v>
      </c>
      <c r="E24" s="22">
        <v>95</v>
      </c>
      <c r="F24" s="23" t="s">
        <v>355</v>
      </c>
    </row>
    <row r="25" spans="1:10" ht="25" customHeight="1" x14ac:dyDescent="0.2">
      <c r="A25" s="18" t="s">
        <v>42</v>
      </c>
      <c r="B25" s="18" t="s">
        <v>250</v>
      </c>
      <c r="C25" s="28">
        <v>0</v>
      </c>
      <c r="D25" s="19" t="s">
        <v>31</v>
      </c>
      <c r="E25" s="22">
        <v>2400</v>
      </c>
      <c r="F25" s="23" t="s">
        <v>355</v>
      </c>
    </row>
    <row r="26" spans="1:10" ht="25" customHeight="1" x14ac:dyDescent="0.2">
      <c r="A26" s="18" t="s">
        <v>42</v>
      </c>
      <c r="B26" s="18" t="s">
        <v>250</v>
      </c>
      <c r="C26" s="27">
        <v>5</v>
      </c>
      <c r="D26" s="19" t="s">
        <v>31</v>
      </c>
      <c r="E26" s="20">
        <v>2400</v>
      </c>
      <c r="F26" s="23" t="s">
        <v>355</v>
      </c>
    </row>
    <row r="27" spans="1:10" ht="25" customHeight="1" x14ac:dyDescent="0.2">
      <c r="A27" s="18" t="s">
        <v>42</v>
      </c>
      <c r="B27" s="18" t="s">
        <v>254</v>
      </c>
      <c r="C27" s="27">
        <v>5</v>
      </c>
      <c r="D27" s="19" t="s">
        <v>31</v>
      </c>
      <c r="E27" s="20">
        <v>3965</v>
      </c>
      <c r="F27" s="23" t="s">
        <v>355</v>
      </c>
    </row>
    <row r="28" spans="1:10" ht="25" customHeight="1" x14ac:dyDescent="0.2">
      <c r="A28" s="18" t="s">
        <v>42</v>
      </c>
      <c r="B28" s="18" t="s">
        <v>254</v>
      </c>
      <c r="C28" s="28">
        <v>8</v>
      </c>
      <c r="D28" s="19" t="s">
        <v>31</v>
      </c>
      <c r="E28" s="22">
        <v>3965</v>
      </c>
      <c r="F28" s="23" t="s">
        <v>355</v>
      </c>
    </row>
    <row r="29" spans="1:10" ht="25" customHeight="1" x14ac:dyDescent="0.2">
      <c r="A29" s="18" t="s">
        <v>42</v>
      </c>
      <c r="B29" s="18" t="s">
        <v>41</v>
      </c>
      <c r="C29" s="27">
        <v>1</v>
      </c>
      <c r="D29" s="19" t="s">
        <v>72</v>
      </c>
      <c r="E29" s="20">
        <v>5000</v>
      </c>
      <c r="F29" s="23" t="s">
        <v>355</v>
      </c>
    </row>
    <row r="30" spans="1:10" ht="25" customHeight="1" x14ac:dyDescent="0.2">
      <c r="A30" s="18" t="s">
        <v>42</v>
      </c>
      <c r="B30" s="18" t="s">
        <v>41</v>
      </c>
      <c r="C30" s="27">
        <v>1</v>
      </c>
      <c r="D30" s="19" t="s">
        <v>72</v>
      </c>
      <c r="E30" s="20">
        <v>5000</v>
      </c>
      <c r="F30" s="23" t="s">
        <v>355</v>
      </c>
    </row>
    <row r="31" spans="1:10" ht="25" customHeight="1" x14ac:dyDescent="0.2">
      <c r="A31" s="18" t="s">
        <v>42</v>
      </c>
      <c r="B31" s="18" t="s">
        <v>87</v>
      </c>
      <c r="C31" s="28">
        <v>1</v>
      </c>
      <c r="D31" s="19" t="s">
        <v>72</v>
      </c>
      <c r="E31" s="22">
        <v>5225</v>
      </c>
      <c r="F31" s="23" t="s">
        <v>355</v>
      </c>
    </row>
    <row r="32" spans="1:10" ht="25" customHeight="1" x14ac:dyDescent="0.2">
      <c r="A32" s="18" t="s">
        <v>42</v>
      </c>
      <c r="B32" s="18" t="s">
        <v>68</v>
      </c>
      <c r="C32" s="28">
        <v>90</v>
      </c>
      <c r="D32" s="19" t="s">
        <v>56</v>
      </c>
      <c r="E32" s="22">
        <v>38</v>
      </c>
      <c r="F32" s="23" t="s">
        <v>355</v>
      </c>
    </row>
    <row r="33" spans="1:6" ht="25" customHeight="1" x14ac:dyDescent="0.2">
      <c r="A33" s="18" t="s">
        <v>42</v>
      </c>
      <c r="B33" s="18" t="s">
        <v>260</v>
      </c>
      <c r="C33" s="27">
        <v>4589</v>
      </c>
      <c r="D33" s="19" t="s">
        <v>56</v>
      </c>
      <c r="E33" s="20">
        <v>1.75</v>
      </c>
      <c r="F33" s="23" t="s">
        <v>355</v>
      </c>
    </row>
    <row r="34" spans="1:6" ht="25" customHeight="1" x14ac:dyDescent="0.2">
      <c r="A34" s="18" t="s">
        <v>42</v>
      </c>
      <c r="B34" s="18" t="s">
        <v>260</v>
      </c>
      <c r="C34" s="27">
        <f>C30+C31</f>
        <v>2</v>
      </c>
      <c r="D34" s="19" t="s">
        <v>56</v>
      </c>
      <c r="E34" s="20">
        <v>1.75</v>
      </c>
      <c r="F34" s="23" t="s">
        <v>355</v>
      </c>
    </row>
    <row r="35" spans="1:6" ht="25" customHeight="1" x14ac:dyDescent="0.2">
      <c r="A35" s="18" t="s">
        <v>42</v>
      </c>
      <c r="B35" s="18" t="s">
        <v>249</v>
      </c>
      <c r="C35" s="27">
        <v>1</v>
      </c>
      <c r="D35" s="19" t="s">
        <v>72</v>
      </c>
      <c r="E35" s="20">
        <v>25000</v>
      </c>
      <c r="F35" s="23" t="s">
        <v>355</v>
      </c>
    </row>
    <row r="36" spans="1:6" ht="25" customHeight="1" x14ac:dyDescent="0.2">
      <c r="A36" s="18" t="s">
        <v>42</v>
      </c>
      <c r="B36" s="18" t="s">
        <v>249</v>
      </c>
      <c r="C36" s="27">
        <v>1</v>
      </c>
      <c r="D36" s="19" t="s">
        <v>72</v>
      </c>
      <c r="E36" s="20">
        <v>25000</v>
      </c>
      <c r="F36" s="23" t="s">
        <v>355</v>
      </c>
    </row>
    <row r="37" spans="1:6" ht="25" customHeight="1" x14ac:dyDescent="0.2">
      <c r="A37" s="18" t="s">
        <v>42</v>
      </c>
      <c r="B37" s="18" t="s">
        <v>249</v>
      </c>
      <c r="C37" s="27">
        <v>283</v>
      </c>
      <c r="D37" s="19" t="s">
        <v>31</v>
      </c>
      <c r="E37" s="20">
        <v>250</v>
      </c>
      <c r="F37" s="23" t="s">
        <v>355</v>
      </c>
    </row>
    <row r="38" spans="1:6" ht="25" customHeight="1" x14ac:dyDescent="0.2">
      <c r="A38" s="18" t="s">
        <v>42</v>
      </c>
      <c r="B38" s="18" t="s">
        <v>251</v>
      </c>
      <c r="C38" s="28">
        <v>10</v>
      </c>
      <c r="D38" s="19" t="s">
        <v>31</v>
      </c>
      <c r="E38" s="22">
        <v>4651</v>
      </c>
      <c r="F38" s="23" t="s">
        <v>355</v>
      </c>
    </row>
    <row r="39" spans="1:6" ht="25" customHeight="1" x14ac:dyDescent="0.2">
      <c r="A39" s="18" t="s">
        <v>42</v>
      </c>
      <c r="B39" s="18" t="s">
        <v>251</v>
      </c>
      <c r="C39" s="27">
        <v>13</v>
      </c>
      <c r="D39" s="19" t="s">
        <v>31</v>
      </c>
      <c r="E39" s="20">
        <v>4651</v>
      </c>
      <c r="F39" s="23" t="s">
        <v>355</v>
      </c>
    </row>
    <row r="40" spans="1:6" ht="25" customHeight="1" x14ac:dyDescent="0.2">
      <c r="A40" s="18" t="s">
        <v>42</v>
      </c>
      <c r="B40" s="18" t="s">
        <v>67</v>
      </c>
      <c r="C40" s="28">
        <v>2480</v>
      </c>
      <c r="D40" s="19" t="s">
        <v>56</v>
      </c>
      <c r="E40" s="22">
        <v>22.85</v>
      </c>
      <c r="F40" s="23" t="s">
        <v>355</v>
      </c>
    </row>
    <row r="41" spans="1:6" ht="25" customHeight="1" x14ac:dyDescent="0.2">
      <c r="A41" s="18" t="s">
        <v>42</v>
      </c>
      <c r="B41" s="18" t="s">
        <v>253</v>
      </c>
      <c r="C41" s="27">
        <v>5</v>
      </c>
      <c r="D41" s="19" t="s">
        <v>56</v>
      </c>
      <c r="E41" s="20">
        <v>2630</v>
      </c>
      <c r="F41" s="23" t="s">
        <v>355</v>
      </c>
    </row>
    <row r="42" spans="1:6" ht="25" customHeight="1" x14ac:dyDescent="0.2">
      <c r="A42" s="18" t="s">
        <v>42</v>
      </c>
      <c r="B42" s="18" t="s">
        <v>253</v>
      </c>
      <c r="C42" s="28">
        <v>8</v>
      </c>
      <c r="D42" s="19" t="s">
        <v>56</v>
      </c>
      <c r="E42" s="22">
        <v>2630</v>
      </c>
      <c r="F42" s="23" t="s">
        <v>355</v>
      </c>
    </row>
    <row r="43" spans="1:6" ht="25" customHeight="1" x14ac:dyDescent="0.2">
      <c r="A43" s="18" t="s">
        <v>349</v>
      </c>
      <c r="B43" s="18" t="s">
        <v>50</v>
      </c>
      <c r="C43" s="27">
        <v>1</v>
      </c>
      <c r="D43" s="19" t="s">
        <v>31</v>
      </c>
      <c r="E43" s="20">
        <v>2265</v>
      </c>
      <c r="F43" s="23" t="s">
        <v>355</v>
      </c>
    </row>
    <row r="44" spans="1:6" ht="25" customHeight="1" x14ac:dyDescent="0.2">
      <c r="A44" s="18" t="s">
        <v>51</v>
      </c>
      <c r="B44" s="18" t="s">
        <v>245</v>
      </c>
      <c r="C44" s="27">
        <v>7</v>
      </c>
      <c r="D44" s="19" t="s">
        <v>31</v>
      </c>
      <c r="E44" s="20">
        <v>1925</v>
      </c>
      <c r="F44" s="23" t="s">
        <v>355</v>
      </c>
    </row>
    <row r="45" spans="1:6" ht="25" customHeight="1" x14ac:dyDescent="0.2">
      <c r="A45" s="18" t="s">
        <v>51</v>
      </c>
      <c r="B45" s="18" t="s">
        <v>236</v>
      </c>
      <c r="C45" s="27">
        <v>31406</v>
      </c>
      <c r="D45" s="19" t="s">
        <v>72</v>
      </c>
      <c r="E45" s="20">
        <v>4.4800000000000004</v>
      </c>
      <c r="F45" s="23" t="s">
        <v>355</v>
      </c>
    </row>
    <row r="46" spans="1:6" ht="25" customHeight="1" x14ac:dyDescent="0.2">
      <c r="A46" s="18" t="s">
        <v>51</v>
      </c>
      <c r="B46" s="18" t="s">
        <v>235</v>
      </c>
      <c r="C46" s="27">
        <f>7180+2704+2704+2704</f>
        <v>15292</v>
      </c>
      <c r="D46" s="19" t="s">
        <v>31</v>
      </c>
      <c r="E46" s="20">
        <v>6.89</v>
      </c>
      <c r="F46" s="23" t="s">
        <v>355</v>
      </c>
    </row>
    <row r="47" spans="1:6" ht="25" customHeight="1" x14ac:dyDescent="0.2">
      <c r="A47" s="18" t="s">
        <v>51</v>
      </c>
      <c r="B47" s="18" t="s">
        <v>242</v>
      </c>
      <c r="C47" s="27">
        <v>44</v>
      </c>
      <c r="D47" s="19" t="s">
        <v>56</v>
      </c>
      <c r="E47" s="20">
        <v>775</v>
      </c>
      <c r="F47" s="23" t="s">
        <v>355</v>
      </c>
    </row>
    <row r="48" spans="1:6" ht="25" customHeight="1" x14ac:dyDescent="0.2">
      <c r="A48" s="18" t="s">
        <v>51</v>
      </c>
      <c r="B48" s="18" t="s">
        <v>237</v>
      </c>
      <c r="C48" s="27">
        <v>0</v>
      </c>
      <c r="D48" s="19" t="s">
        <v>72</v>
      </c>
      <c r="E48" s="20">
        <v>15502</v>
      </c>
      <c r="F48" s="23" t="s">
        <v>355</v>
      </c>
    </row>
    <row r="49" spans="1:6" ht="25" customHeight="1" x14ac:dyDescent="0.2">
      <c r="A49" s="18" t="s">
        <v>51</v>
      </c>
      <c r="B49" s="18" t="s">
        <v>343</v>
      </c>
      <c r="C49" s="27">
        <v>283</v>
      </c>
      <c r="D49" s="19" t="s">
        <v>31</v>
      </c>
      <c r="E49" s="20">
        <v>2800</v>
      </c>
      <c r="F49" s="23" t="s">
        <v>355</v>
      </c>
    </row>
    <row r="50" spans="1:6" ht="25" customHeight="1" x14ac:dyDescent="0.2">
      <c r="A50" s="18" t="s">
        <v>51</v>
      </c>
      <c r="B50" s="18" t="s">
        <v>233</v>
      </c>
      <c r="C50" s="27">
        <v>2704</v>
      </c>
      <c r="D50" s="19" t="s">
        <v>56</v>
      </c>
      <c r="E50" s="20">
        <v>12.5</v>
      </c>
      <c r="F50" s="23" t="s">
        <v>355</v>
      </c>
    </row>
    <row r="51" spans="1:6" ht="25" customHeight="1" x14ac:dyDescent="0.2">
      <c r="A51" s="18" t="s">
        <v>51</v>
      </c>
      <c r="B51" s="18" t="s">
        <v>240</v>
      </c>
      <c r="C51" s="27">
        <v>1</v>
      </c>
      <c r="D51" s="19" t="s">
        <v>31</v>
      </c>
      <c r="E51" s="20">
        <v>1500</v>
      </c>
      <c r="F51" s="23" t="s">
        <v>355</v>
      </c>
    </row>
    <row r="52" spans="1:6" ht="25" customHeight="1" x14ac:dyDescent="0.2">
      <c r="A52" s="18" t="s">
        <v>51</v>
      </c>
      <c r="B52" s="18" t="s">
        <v>41</v>
      </c>
      <c r="C52" s="28">
        <v>1</v>
      </c>
      <c r="D52" s="19" t="s">
        <v>72</v>
      </c>
      <c r="E52" s="22">
        <v>7500</v>
      </c>
      <c r="F52" s="23" t="s">
        <v>355</v>
      </c>
    </row>
    <row r="53" spans="1:6" ht="25" customHeight="1" x14ac:dyDescent="0.2">
      <c r="A53" s="18" t="s">
        <v>51</v>
      </c>
      <c r="B53" s="18" t="s">
        <v>41</v>
      </c>
      <c r="C53" s="27">
        <v>1</v>
      </c>
      <c r="D53" s="19" t="s">
        <v>72</v>
      </c>
      <c r="E53" s="20">
        <f>5500*4</f>
        <v>22000</v>
      </c>
      <c r="F53" s="23" t="s">
        <v>355</v>
      </c>
    </row>
    <row r="54" spans="1:6" ht="25" customHeight="1" x14ac:dyDescent="0.2">
      <c r="A54" s="18" t="s">
        <v>51</v>
      </c>
      <c r="B54" s="18" t="s">
        <v>232</v>
      </c>
      <c r="C54" s="28">
        <v>6</v>
      </c>
      <c r="D54" s="19" t="s">
        <v>31</v>
      </c>
      <c r="E54" s="22">
        <v>4500</v>
      </c>
      <c r="F54" s="23" t="s">
        <v>355</v>
      </c>
    </row>
    <row r="55" spans="1:6" ht="25" customHeight="1" x14ac:dyDescent="0.2">
      <c r="A55" s="18" t="s">
        <v>51</v>
      </c>
      <c r="B55" s="18" t="s">
        <v>344</v>
      </c>
      <c r="C55" s="27">
        <v>1</v>
      </c>
      <c r="D55" s="19" t="s">
        <v>72</v>
      </c>
      <c r="E55" s="20">
        <v>9000</v>
      </c>
      <c r="F55" s="23" t="s">
        <v>355</v>
      </c>
    </row>
    <row r="56" spans="1:6" ht="25" customHeight="1" x14ac:dyDescent="0.2">
      <c r="A56" s="18" t="s">
        <v>51</v>
      </c>
      <c r="B56" s="18" t="s">
        <v>246</v>
      </c>
      <c r="C56" s="27">
        <v>7</v>
      </c>
      <c r="D56" s="19" t="s">
        <v>31</v>
      </c>
      <c r="E56" s="20">
        <v>2500</v>
      </c>
      <c r="F56" s="23" t="s">
        <v>355</v>
      </c>
    </row>
    <row r="57" spans="1:6" ht="25" customHeight="1" x14ac:dyDescent="0.2">
      <c r="A57" s="18" t="s">
        <v>51</v>
      </c>
      <c r="B57" s="18" t="s">
        <v>234</v>
      </c>
      <c r="C57" s="27">
        <v>10500</v>
      </c>
      <c r="D57" s="19" t="s">
        <v>56</v>
      </c>
      <c r="E57" s="20">
        <v>10</v>
      </c>
      <c r="F57" s="23" t="s">
        <v>355</v>
      </c>
    </row>
    <row r="58" spans="1:6" ht="25" customHeight="1" x14ac:dyDescent="0.2">
      <c r="A58" s="18" t="s">
        <v>51</v>
      </c>
      <c r="B58" s="18" t="s">
        <v>241</v>
      </c>
      <c r="C58" s="27">
        <f>283*0.15</f>
        <v>42.449999999999996</v>
      </c>
      <c r="D58" s="19" t="s">
        <v>31</v>
      </c>
      <c r="E58" s="20">
        <v>775</v>
      </c>
      <c r="F58" s="23" t="s">
        <v>355</v>
      </c>
    </row>
    <row r="59" spans="1:6" ht="25" customHeight="1" x14ac:dyDescent="0.2">
      <c r="A59" s="18" t="s">
        <v>51</v>
      </c>
      <c r="B59" s="18" t="s">
        <v>243</v>
      </c>
      <c r="C59" s="27">
        <v>283</v>
      </c>
      <c r="D59" s="19" t="s">
        <v>31</v>
      </c>
      <c r="E59" s="20">
        <v>150</v>
      </c>
      <c r="F59" s="23" t="s">
        <v>355</v>
      </c>
    </row>
    <row r="60" spans="1:6" ht="25" customHeight="1" x14ac:dyDescent="0.2">
      <c r="A60" s="18" t="s">
        <v>51</v>
      </c>
      <c r="B60" s="18" t="s">
        <v>342</v>
      </c>
      <c r="C60" s="27">
        <v>283</v>
      </c>
      <c r="D60" s="19" t="s">
        <v>31</v>
      </c>
      <c r="E60" s="20">
        <v>1200</v>
      </c>
      <c r="F60" s="23" t="s">
        <v>355</v>
      </c>
    </row>
    <row r="61" spans="1:6" ht="25" customHeight="1" x14ac:dyDescent="0.2">
      <c r="A61" s="18" t="s">
        <v>51</v>
      </c>
      <c r="B61" s="18" t="s">
        <v>238</v>
      </c>
      <c r="C61" s="27">
        <v>2</v>
      </c>
      <c r="D61" s="19" t="s">
        <v>31</v>
      </c>
      <c r="E61" s="20">
        <v>2883</v>
      </c>
      <c r="F61" s="23" t="s">
        <v>355</v>
      </c>
    </row>
    <row r="62" spans="1:6" ht="25" customHeight="1" x14ac:dyDescent="0.2">
      <c r="A62" s="18" t="s">
        <v>51</v>
      </c>
      <c r="B62" s="18" t="s">
        <v>244</v>
      </c>
      <c r="C62" s="27">
        <v>20</v>
      </c>
      <c r="D62" s="19" t="s">
        <v>31</v>
      </c>
      <c r="E62" s="20">
        <v>3950</v>
      </c>
      <c r="F62" s="23" t="s">
        <v>355</v>
      </c>
    </row>
    <row r="63" spans="1:6" ht="25" customHeight="1" x14ac:dyDescent="0.2">
      <c r="A63" s="18" t="s">
        <v>51</v>
      </c>
      <c r="B63" s="18" t="s">
        <v>239</v>
      </c>
      <c r="C63" s="27">
        <v>7</v>
      </c>
      <c r="D63" s="19" t="s">
        <v>31</v>
      </c>
      <c r="E63" s="20">
        <v>1500</v>
      </c>
      <c r="F63" s="23" t="s">
        <v>355</v>
      </c>
    </row>
    <row r="64" spans="1:6" ht="25" customHeight="1" x14ac:dyDescent="0.2">
      <c r="A64" s="18" t="s">
        <v>51</v>
      </c>
      <c r="B64" s="18" t="s">
        <v>231</v>
      </c>
      <c r="C64" s="28">
        <v>1</v>
      </c>
      <c r="D64" s="19" t="s">
        <v>31</v>
      </c>
      <c r="E64" s="22">
        <v>2420</v>
      </c>
      <c r="F64" s="23" t="s">
        <v>355</v>
      </c>
    </row>
    <row r="65" spans="1:6" ht="25" customHeight="1" x14ac:dyDescent="0.2">
      <c r="A65" s="18" t="s">
        <v>51</v>
      </c>
      <c r="B65" s="18" t="s">
        <v>231</v>
      </c>
      <c r="C65" s="27">
        <v>32</v>
      </c>
      <c r="D65" s="19" t="s">
        <v>31</v>
      </c>
      <c r="E65" s="20">
        <v>1295</v>
      </c>
      <c r="F65" s="23" t="s">
        <v>355</v>
      </c>
    </row>
    <row r="66" spans="1:6" ht="25" customHeight="1" x14ac:dyDescent="0.2">
      <c r="A66" s="18" t="s">
        <v>51</v>
      </c>
      <c r="B66" s="18" t="s">
        <v>230</v>
      </c>
      <c r="C66" s="28">
        <v>1</v>
      </c>
      <c r="D66" s="19" t="s">
        <v>72</v>
      </c>
      <c r="E66" s="22">
        <v>45000</v>
      </c>
      <c r="F66" s="23" t="s">
        <v>355</v>
      </c>
    </row>
    <row r="67" spans="1:6" ht="25" customHeight="1" x14ac:dyDescent="0.2">
      <c r="A67" s="18" t="s">
        <v>16</v>
      </c>
      <c r="B67" s="18" t="s">
        <v>356</v>
      </c>
      <c r="C67" s="29">
        <v>0.05</v>
      </c>
      <c r="D67" s="19" t="s">
        <v>7</v>
      </c>
      <c r="E67" s="20"/>
      <c r="F67" s="23" t="s">
        <v>355</v>
      </c>
    </row>
    <row r="68" spans="1:6" ht="25" customHeight="1" x14ac:dyDescent="0.2">
      <c r="A68" s="18" t="s">
        <v>20</v>
      </c>
      <c r="B68" s="18" t="s">
        <v>119</v>
      </c>
      <c r="C68" s="27">
        <v>87.3</v>
      </c>
      <c r="D68" s="19" t="s">
        <v>353</v>
      </c>
      <c r="E68" s="20">
        <v>865</v>
      </c>
      <c r="F68" s="19" t="s">
        <v>114</v>
      </c>
    </row>
    <row r="69" spans="1:6" ht="25" customHeight="1" x14ac:dyDescent="0.2">
      <c r="A69" s="18" t="s">
        <v>20</v>
      </c>
      <c r="B69" s="18" t="s">
        <v>128</v>
      </c>
      <c r="C69" s="27">
        <v>2</v>
      </c>
      <c r="D69" s="19" t="s">
        <v>31</v>
      </c>
      <c r="E69" s="20">
        <v>2500</v>
      </c>
      <c r="F69" s="23" t="s">
        <v>355</v>
      </c>
    </row>
    <row r="70" spans="1:6" ht="25" customHeight="1" x14ac:dyDescent="0.2">
      <c r="A70" s="18" t="s">
        <v>20</v>
      </c>
      <c r="B70" s="18" t="s">
        <v>133</v>
      </c>
      <c r="C70" s="27">
        <f>700*200</f>
        <v>140000</v>
      </c>
      <c r="D70" s="19" t="s">
        <v>103</v>
      </c>
      <c r="E70" s="20">
        <v>1.25</v>
      </c>
      <c r="F70" s="23" t="s">
        <v>355</v>
      </c>
    </row>
    <row r="71" spans="1:6" ht="25" customHeight="1" x14ac:dyDescent="0.2">
      <c r="A71" s="18" t="s">
        <v>20</v>
      </c>
      <c r="B71" s="18" t="s">
        <v>138</v>
      </c>
      <c r="C71" s="27">
        <v>1</v>
      </c>
      <c r="D71" s="19" t="s">
        <v>72</v>
      </c>
      <c r="E71" s="20">
        <v>25000</v>
      </c>
      <c r="F71" s="23" t="s">
        <v>355</v>
      </c>
    </row>
    <row r="72" spans="1:6" ht="25" customHeight="1" x14ac:dyDescent="0.2">
      <c r="A72" s="18" t="s">
        <v>20</v>
      </c>
      <c r="B72" s="18" t="s">
        <v>124</v>
      </c>
      <c r="C72" s="27">
        <v>422303</v>
      </c>
      <c r="D72" s="19" t="s">
        <v>106</v>
      </c>
      <c r="E72" s="20">
        <v>0.9</v>
      </c>
      <c r="F72" s="19" t="s">
        <v>114</v>
      </c>
    </row>
    <row r="73" spans="1:6" ht="25" customHeight="1" x14ac:dyDescent="0.2">
      <c r="A73" s="18" t="s">
        <v>20</v>
      </c>
      <c r="B73" s="18" t="s">
        <v>117</v>
      </c>
      <c r="C73" s="27">
        <v>1</v>
      </c>
      <c r="D73" s="19" t="s">
        <v>72</v>
      </c>
      <c r="E73" s="20">
        <v>90000</v>
      </c>
      <c r="F73" s="19" t="s">
        <v>114</v>
      </c>
    </row>
    <row r="74" spans="1:6" ht="25" customHeight="1" x14ac:dyDescent="0.2">
      <c r="A74" s="18" t="s">
        <v>20</v>
      </c>
      <c r="B74" s="18" t="s">
        <v>115</v>
      </c>
      <c r="C74" s="27">
        <v>12</v>
      </c>
      <c r="D74" s="19" t="s">
        <v>116</v>
      </c>
      <c r="E74" s="20">
        <v>7600</v>
      </c>
      <c r="F74" s="19" t="s">
        <v>114</v>
      </c>
    </row>
    <row r="75" spans="1:6" ht="25" customHeight="1" x14ac:dyDescent="0.2">
      <c r="A75" s="18" t="s">
        <v>20</v>
      </c>
      <c r="B75" s="18" t="s">
        <v>123</v>
      </c>
      <c r="C75" s="27">
        <v>193472</v>
      </c>
      <c r="D75" s="19" t="s">
        <v>23</v>
      </c>
      <c r="E75" s="20">
        <v>3.3</v>
      </c>
      <c r="F75" s="19" t="s">
        <v>114</v>
      </c>
    </row>
    <row r="76" spans="1:6" ht="25" customHeight="1" x14ac:dyDescent="0.2">
      <c r="A76" s="18" t="s">
        <v>20</v>
      </c>
      <c r="B76" s="18" t="s">
        <v>125</v>
      </c>
      <c r="C76" s="27">
        <v>83165</v>
      </c>
      <c r="D76" s="19" t="s">
        <v>23</v>
      </c>
      <c r="E76" s="20">
        <v>2.75</v>
      </c>
      <c r="F76" s="23" t="s">
        <v>355</v>
      </c>
    </row>
    <row r="77" spans="1:6" ht="25" customHeight="1" x14ac:dyDescent="0.2">
      <c r="A77" s="18" t="s">
        <v>20</v>
      </c>
      <c r="B77" s="18" t="s">
        <v>122</v>
      </c>
      <c r="C77" s="27">
        <v>59303</v>
      </c>
      <c r="D77" s="19" t="s">
        <v>23</v>
      </c>
      <c r="E77" s="20">
        <v>3.1</v>
      </c>
      <c r="F77" s="19" t="s">
        <v>114</v>
      </c>
    </row>
    <row r="78" spans="1:6" ht="25" customHeight="1" x14ac:dyDescent="0.2">
      <c r="A78" s="18" t="s">
        <v>20</v>
      </c>
      <c r="B78" s="18" t="s">
        <v>111</v>
      </c>
      <c r="C78" s="27">
        <v>2</v>
      </c>
      <c r="D78" s="19" t="s">
        <v>31</v>
      </c>
      <c r="E78" s="20">
        <v>4800</v>
      </c>
      <c r="F78" s="23" t="s">
        <v>355</v>
      </c>
    </row>
    <row r="79" spans="1:6" ht="25" customHeight="1" x14ac:dyDescent="0.2">
      <c r="A79" s="18" t="s">
        <v>20</v>
      </c>
      <c r="B79" s="18" t="s">
        <v>130</v>
      </c>
      <c r="C79" s="27">
        <v>25</v>
      </c>
      <c r="D79" s="19" t="s">
        <v>31</v>
      </c>
      <c r="E79" s="20">
        <v>500</v>
      </c>
      <c r="F79" s="23" t="s">
        <v>355</v>
      </c>
    </row>
    <row r="80" spans="1:6" ht="25" customHeight="1" x14ac:dyDescent="0.2">
      <c r="A80" s="18" t="s">
        <v>20</v>
      </c>
      <c r="B80" s="18" t="s">
        <v>126</v>
      </c>
      <c r="C80" s="27">
        <v>44</v>
      </c>
      <c r="D80" s="19" t="s">
        <v>31</v>
      </c>
      <c r="E80" s="20">
        <v>28200</v>
      </c>
      <c r="F80" s="23" t="s">
        <v>355</v>
      </c>
    </row>
    <row r="81" spans="1:6" ht="25" customHeight="1" x14ac:dyDescent="0.2">
      <c r="A81" s="18" t="s">
        <v>20</v>
      </c>
      <c r="B81" s="18" t="s">
        <v>32</v>
      </c>
      <c r="C81" s="27">
        <v>10</v>
      </c>
      <c r="D81" s="19" t="s">
        <v>31</v>
      </c>
      <c r="E81" s="20">
        <v>750</v>
      </c>
      <c r="F81" s="23" t="s">
        <v>355</v>
      </c>
    </row>
    <row r="82" spans="1:6" ht="25" customHeight="1" x14ac:dyDescent="0.2">
      <c r="A82" s="18" t="s">
        <v>20</v>
      </c>
      <c r="B82" s="18" t="s">
        <v>143</v>
      </c>
      <c r="C82" s="27">
        <v>3</v>
      </c>
      <c r="D82" s="19" t="s">
        <v>31</v>
      </c>
      <c r="E82" s="20">
        <v>5000</v>
      </c>
      <c r="F82" s="23" t="s">
        <v>355</v>
      </c>
    </row>
    <row r="83" spans="1:6" ht="25" customHeight="1" x14ac:dyDescent="0.2">
      <c r="A83" s="18" t="s">
        <v>20</v>
      </c>
      <c r="B83" s="18" t="s">
        <v>127</v>
      </c>
      <c r="C83" s="27">
        <v>11284</v>
      </c>
      <c r="D83" s="19" t="s">
        <v>56</v>
      </c>
      <c r="E83" s="20">
        <v>4.5</v>
      </c>
      <c r="F83" s="23" t="s">
        <v>355</v>
      </c>
    </row>
    <row r="84" spans="1:6" ht="25" customHeight="1" x14ac:dyDescent="0.2">
      <c r="A84" s="18" t="s">
        <v>20</v>
      </c>
      <c r="B84" s="18" t="s">
        <v>118</v>
      </c>
      <c r="C84" s="27">
        <v>1</v>
      </c>
      <c r="D84" s="19" t="s">
        <v>72</v>
      </c>
      <c r="E84" s="20">
        <v>60000</v>
      </c>
      <c r="F84" s="19" t="s">
        <v>114</v>
      </c>
    </row>
    <row r="85" spans="1:6" ht="25" customHeight="1" x14ac:dyDescent="0.2">
      <c r="A85" s="18" t="s">
        <v>20</v>
      </c>
      <c r="B85" s="18" t="s">
        <v>121</v>
      </c>
      <c r="C85" s="27">
        <v>87.3</v>
      </c>
      <c r="D85" s="19" t="s">
        <v>353</v>
      </c>
      <c r="E85" s="20">
        <v>1400</v>
      </c>
      <c r="F85" s="19" t="s">
        <v>114</v>
      </c>
    </row>
    <row r="86" spans="1:6" ht="25" customHeight="1" x14ac:dyDescent="0.2">
      <c r="A86" s="18" t="s">
        <v>20</v>
      </c>
      <c r="B86" s="18" t="s">
        <v>137</v>
      </c>
      <c r="C86" s="27">
        <v>283</v>
      </c>
      <c r="D86" s="19" t="s">
        <v>31</v>
      </c>
      <c r="E86" s="20">
        <v>450</v>
      </c>
      <c r="F86" s="23" t="s">
        <v>355</v>
      </c>
    </row>
    <row r="87" spans="1:6" ht="25" customHeight="1" x14ac:dyDescent="0.2">
      <c r="A87" s="18" t="s">
        <v>20</v>
      </c>
      <c r="B87" s="18" t="s">
        <v>113</v>
      </c>
      <c r="C87" s="27">
        <v>1</v>
      </c>
      <c r="D87" s="19" t="s">
        <v>72</v>
      </c>
      <c r="E87" s="20">
        <v>103100</v>
      </c>
      <c r="F87" s="19" t="s">
        <v>114</v>
      </c>
    </row>
    <row r="88" spans="1:6" ht="25" customHeight="1" x14ac:dyDescent="0.2">
      <c r="A88" s="18" t="s">
        <v>20</v>
      </c>
      <c r="B88" s="18" t="s">
        <v>136</v>
      </c>
      <c r="C88" s="27">
        <v>2</v>
      </c>
      <c r="D88" s="19" t="s">
        <v>72</v>
      </c>
      <c r="E88" s="20">
        <v>3800</v>
      </c>
      <c r="F88" s="23" t="s">
        <v>355</v>
      </c>
    </row>
    <row r="89" spans="1:6" ht="25" customHeight="1" x14ac:dyDescent="0.2">
      <c r="A89" s="18" t="s">
        <v>20</v>
      </c>
      <c r="B89" s="18" t="s">
        <v>81</v>
      </c>
      <c r="C89" s="27">
        <v>1</v>
      </c>
      <c r="D89" s="19" t="s">
        <v>72</v>
      </c>
      <c r="E89" s="20">
        <v>10000</v>
      </c>
      <c r="F89" s="23" t="s">
        <v>355</v>
      </c>
    </row>
    <row r="90" spans="1:6" ht="25" customHeight="1" x14ac:dyDescent="0.2">
      <c r="A90" s="18" t="s">
        <v>20</v>
      </c>
      <c r="B90" s="18" t="s">
        <v>78</v>
      </c>
      <c r="C90" s="27">
        <v>2</v>
      </c>
      <c r="D90" s="19" t="s">
        <v>72</v>
      </c>
      <c r="E90" s="20">
        <v>750</v>
      </c>
      <c r="F90" s="23" t="s">
        <v>355</v>
      </c>
    </row>
    <row r="91" spans="1:6" ht="25" customHeight="1" x14ac:dyDescent="0.2">
      <c r="A91" s="18" t="s">
        <v>20</v>
      </c>
      <c r="B91" s="18" t="s">
        <v>120</v>
      </c>
      <c r="C91" s="27">
        <v>2455</v>
      </c>
      <c r="D91" s="19" t="s">
        <v>56</v>
      </c>
      <c r="E91" s="20">
        <v>6.5</v>
      </c>
      <c r="F91" s="19" t="s">
        <v>114</v>
      </c>
    </row>
    <row r="92" spans="1:6" ht="25" customHeight="1" x14ac:dyDescent="0.2">
      <c r="A92" s="18" t="s">
        <v>20</v>
      </c>
      <c r="B92" s="18" t="s">
        <v>135</v>
      </c>
      <c r="C92" s="27">
        <v>1</v>
      </c>
      <c r="D92" s="19" t="s">
        <v>72</v>
      </c>
      <c r="E92" s="20">
        <v>7500</v>
      </c>
      <c r="F92" s="23" t="s">
        <v>355</v>
      </c>
    </row>
    <row r="93" spans="1:6" ht="25" customHeight="1" x14ac:dyDescent="0.2">
      <c r="A93" s="18" t="s">
        <v>20</v>
      </c>
      <c r="B93" s="18" t="s">
        <v>129</v>
      </c>
      <c r="C93" s="27">
        <v>1</v>
      </c>
      <c r="D93" s="19" t="s">
        <v>72</v>
      </c>
      <c r="E93" s="20">
        <v>5000</v>
      </c>
      <c r="F93" s="23" t="s">
        <v>355</v>
      </c>
    </row>
    <row r="94" spans="1:6" ht="25" customHeight="1" x14ac:dyDescent="0.2">
      <c r="A94" s="18" t="s">
        <v>20</v>
      </c>
      <c r="B94" s="18" t="s">
        <v>140</v>
      </c>
      <c r="C94" s="27"/>
      <c r="D94" s="19" t="s">
        <v>31</v>
      </c>
      <c r="E94" s="20">
        <v>750</v>
      </c>
      <c r="F94" s="23" t="s">
        <v>355</v>
      </c>
    </row>
    <row r="95" spans="1:6" ht="25" customHeight="1" x14ac:dyDescent="0.2">
      <c r="A95" s="18" t="s">
        <v>20</v>
      </c>
      <c r="B95" s="18" t="s">
        <v>131</v>
      </c>
      <c r="C95" s="27">
        <v>279</v>
      </c>
      <c r="D95" s="19" t="s">
        <v>56</v>
      </c>
      <c r="E95" s="20">
        <v>6.5</v>
      </c>
      <c r="F95" s="23" t="s">
        <v>355</v>
      </c>
    </row>
    <row r="96" spans="1:6" ht="25" customHeight="1" x14ac:dyDescent="0.2">
      <c r="A96" s="18" t="s">
        <v>20</v>
      </c>
      <c r="B96" s="18" t="s">
        <v>132</v>
      </c>
      <c r="C96" s="27">
        <v>3</v>
      </c>
      <c r="D96" s="19" t="s">
        <v>72</v>
      </c>
      <c r="E96" s="20">
        <v>4800</v>
      </c>
      <c r="F96" s="23" t="s">
        <v>355</v>
      </c>
    </row>
    <row r="97" spans="1:6" ht="25" customHeight="1" x14ac:dyDescent="0.2">
      <c r="A97" s="18" t="s">
        <v>20</v>
      </c>
      <c r="B97" s="18" t="s">
        <v>134</v>
      </c>
      <c r="C97" s="27">
        <v>1</v>
      </c>
      <c r="D97" s="19" t="s">
        <v>72</v>
      </c>
      <c r="E97" s="20">
        <v>15000</v>
      </c>
      <c r="F97" s="23" t="s">
        <v>355</v>
      </c>
    </row>
    <row r="98" spans="1:6" ht="25" customHeight="1" x14ac:dyDescent="0.2">
      <c r="A98" s="18" t="s">
        <v>20</v>
      </c>
      <c r="B98" s="18" t="s">
        <v>141</v>
      </c>
      <c r="C98" s="27"/>
      <c r="D98" s="19" t="s">
        <v>109</v>
      </c>
      <c r="E98" s="20">
        <v>1800</v>
      </c>
      <c r="F98" s="23" t="s">
        <v>355</v>
      </c>
    </row>
    <row r="99" spans="1:6" ht="25" customHeight="1" x14ac:dyDescent="0.2">
      <c r="A99" s="18" t="s">
        <v>20</v>
      </c>
      <c r="B99" s="18" t="s">
        <v>139</v>
      </c>
      <c r="C99" s="27"/>
      <c r="D99" s="19" t="s">
        <v>56</v>
      </c>
      <c r="E99" s="20">
        <v>3.69</v>
      </c>
      <c r="F99" s="23" t="s">
        <v>355</v>
      </c>
    </row>
    <row r="100" spans="1:6" ht="25" customHeight="1" x14ac:dyDescent="0.2">
      <c r="A100" s="18" t="s">
        <v>20</v>
      </c>
      <c r="B100" s="18" t="s">
        <v>142</v>
      </c>
      <c r="C100" s="27">
        <v>1</v>
      </c>
      <c r="D100" s="19" t="s">
        <v>72</v>
      </c>
      <c r="E100" s="20">
        <v>25000</v>
      </c>
      <c r="F100" s="23" t="s">
        <v>355</v>
      </c>
    </row>
    <row r="101" spans="1:6" ht="25" customHeight="1" x14ac:dyDescent="0.2">
      <c r="A101" s="18" t="s">
        <v>348</v>
      </c>
      <c r="B101" s="18" t="s">
        <v>298</v>
      </c>
      <c r="C101" s="27">
        <v>133545</v>
      </c>
      <c r="D101" s="19" t="s">
        <v>103</v>
      </c>
      <c r="E101" s="20">
        <v>0.35700000000000004</v>
      </c>
      <c r="F101" s="19" t="s">
        <v>350</v>
      </c>
    </row>
    <row r="102" spans="1:6" ht="25" customHeight="1" x14ac:dyDescent="0.2">
      <c r="A102" s="18" t="s">
        <v>348</v>
      </c>
      <c r="B102" s="18" t="s">
        <v>319</v>
      </c>
      <c r="C102" s="27">
        <v>2</v>
      </c>
      <c r="D102" s="19" t="s">
        <v>31</v>
      </c>
      <c r="E102" s="20">
        <v>28313.0085</v>
      </c>
      <c r="F102" s="19" t="s">
        <v>350</v>
      </c>
    </row>
    <row r="103" spans="1:6" ht="25" customHeight="1" x14ac:dyDescent="0.2">
      <c r="A103" s="18" t="s">
        <v>348</v>
      </c>
      <c r="B103" s="18" t="s">
        <v>318</v>
      </c>
      <c r="C103" s="27">
        <v>1</v>
      </c>
      <c r="D103" s="19" t="s">
        <v>31</v>
      </c>
      <c r="E103" s="20">
        <v>40303.704000000005</v>
      </c>
      <c r="F103" s="19" t="s">
        <v>350</v>
      </c>
    </row>
    <row r="104" spans="1:6" ht="25" customHeight="1" x14ac:dyDescent="0.2">
      <c r="A104" s="18" t="s">
        <v>348</v>
      </c>
      <c r="B104" s="18" t="s">
        <v>310</v>
      </c>
      <c r="C104" s="27">
        <v>15</v>
      </c>
      <c r="D104" s="19" t="s">
        <v>31</v>
      </c>
      <c r="E104" s="20">
        <v>432.36899999999997</v>
      </c>
      <c r="F104" s="19" t="s">
        <v>350</v>
      </c>
    </row>
    <row r="105" spans="1:6" ht="25" customHeight="1" x14ac:dyDescent="0.2">
      <c r="A105" s="18" t="s">
        <v>348</v>
      </c>
      <c r="B105" s="18" t="s">
        <v>303</v>
      </c>
      <c r="C105" s="27">
        <v>2864</v>
      </c>
      <c r="D105" s="19" t="s">
        <v>56</v>
      </c>
      <c r="E105" s="20">
        <v>8.7780000000000005</v>
      </c>
      <c r="F105" s="19" t="s">
        <v>350</v>
      </c>
    </row>
    <row r="106" spans="1:6" ht="25" customHeight="1" x14ac:dyDescent="0.2">
      <c r="A106" s="18" t="s">
        <v>348</v>
      </c>
      <c r="B106" s="18" t="s">
        <v>304</v>
      </c>
      <c r="C106" s="27">
        <v>2000</v>
      </c>
      <c r="D106" s="19" t="s">
        <v>56</v>
      </c>
      <c r="E106" s="20">
        <v>15.739500000000001</v>
      </c>
      <c r="F106" s="19" t="s">
        <v>350</v>
      </c>
    </row>
    <row r="107" spans="1:6" ht="25" customHeight="1" x14ac:dyDescent="0.2">
      <c r="A107" s="18" t="s">
        <v>348</v>
      </c>
      <c r="B107" s="18" t="s">
        <v>308</v>
      </c>
      <c r="C107" s="27">
        <v>3</v>
      </c>
      <c r="D107" s="19" t="s">
        <v>72</v>
      </c>
      <c r="E107" s="20">
        <v>12255.631500000001</v>
      </c>
      <c r="F107" s="19" t="s">
        <v>350</v>
      </c>
    </row>
    <row r="108" spans="1:6" ht="25" customHeight="1" x14ac:dyDescent="0.2">
      <c r="A108" s="18" t="s">
        <v>348</v>
      </c>
      <c r="B108" s="18" t="s">
        <v>311</v>
      </c>
      <c r="C108" s="27">
        <v>2</v>
      </c>
      <c r="D108" s="19" t="s">
        <v>31</v>
      </c>
      <c r="E108" s="20">
        <v>6291.6734999999999</v>
      </c>
      <c r="F108" s="19" t="s">
        <v>350</v>
      </c>
    </row>
    <row r="109" spans="1:6" ht="25" customHeight="1" x14ac:dyDescent="0.2">
      <c r="A109" s="18" t="s">
        <v>348</v>
      </c>
      <c r="B109" s="18" t="s">
        <v>305</v>
      </c>
      <c r="C109" s="27">
        <v>1</v>
      </c>
      <c r="D109" s="19" t="s">
        <v>72</v>
      </c>
      <c r="E109" s="20">
        <v>47250</v>
      </c>
      <c r="F109" s="19" t="s">
        <v>350</v>
      </c>
    </row>
    <row r="110" spans="1:6" ht="25" customHeight="1" x14ac:dyDescent="0.2">
      <c r="A110" s="18" t="s">
        <v>348</v>
      </c>
      <c r="B110" s="18" t="s">
        <v>329</v>
      </c>
      <c r="C110" s="27">
        <v>330.72</v>
      </c>
      <c r="D110" s="19" t="s">
        <v>31</v>
      </c>
      <c r="E110" s="20">
        <v>6.0690000000000008</v>
      </c>
      <c r="F110" s="19" t="s">
        <v>350</v>
      </c>
    </row>
    <row r="111" spans="1:6" ht="25" customHeight="1" x14ac:dyDescent="0.2">
      <c r="A111" s="18" t="s">
        <v>348</v>
      </c>
      <c r="B111" s="18" t="s">
        <v>316</v>
      </c>
      <c r="C111" s="27">
        <v>760</v>
      </c>
      <c r="D111" s="19" t="s">
        <v>103</v>
      </c>
      <c r="E111" s="20">
        <v>9.145500000000002</v>
      </c>
      <c r="F111" s="19" t="s">
        <v>350</v>
      </c>
    </row>
    <row r="112" spans="1:6" ht="25" customHeight="1" x14ac:dyDescent="0.2">
      <c r="A112" s="18" t="s">
        <v>348</v>
      </c>
      <c r="B112" s="18" t="s">
        <v>325</v>
      </c>
      <c r="C112" s="27">
        <v>5</v>
      </c>
      <c r="D112" s="19" t="s">
        <v>31</v>
      </c>
      <c r="E112" s="20">
        <v>1348.0950000000003</v>
      </c>
      <c r="F112" s="19" t="s">
        <v>350</v>
      </c>
    </row>
    <row r="113" spans="1:6" ht="25" customHeight="1" x14ac:dyDescent="0.2">
      <c r="A113" s="18" t="s">
        <v>348</v>
      </c>
      <c r="B113" s="18" t="s">
        <v>322</v>
      </c>
      <c r="C113" s="27">
        <v>30</v>
      </c>
      <c r="D113" s="19" t="s">
        <v>31</v>
      </c>
      <c r="E113" s="20">
        <v>2359.8120000000004</v>
      </c>
      <c r="F113" s="19" t="s">
        <v>350</v>
      </c>
    </row>
    <row r="114" spans="1:6" ht="25" customHeight="1" x14ac:dyDescent="0.2">
      <c r="A114" s="18" t="s">
        <v>348</v>
      </c>
      <c r="B114" s="18" t="s">
        <v>323</v>
      </c>
      <c r="C114" s="27">
        <v>3</v>
      </c>
      <c r="D114" s="19" t="s">
        <v>31</v>
      </c>
      <c r="E114" s="20">
        <v>963.79500000000007</v>
      </c>
      <c r="F114" s="19" t="s">
        <v>350</v>
      </c>
    </row>
    <row r="115" spans="1:6" ht="25" customHeight="1" x14ac:dyDescent="0.2">
      <c r="A115" s="18" t="s">
        <v>348</v>
      </c>
      <c r="B115" s="18" t="s">
        <v>317</v>
      </c>
      <c r="C115" s="27">
        <v>624</v>
      </c>
      <c r="D115" s="19" t="s">
        <v>103</v>
      </c>
      <c r="E115" s="20">
        <v>28.539000000000001</v>
      </c>
      <c r="F115" s="19" t="s">
        <v>350</v>
      </c>
    </row>
    <row r="116" spans="1:6" ht="25" customHeight="1" x14ac:dyDescent="0.2">
      <c r="A116" s="18" t="s">
        <v>348</v>
      </c>
      <c r="B116" s="18" t="s">
        <v>302</v>
      </c>
      <c r="C116" s="27">
        <v>1923</v>
      </c>
      <c r="D116" s="19" t="s">
        <v>56</v>
      </c>
      <c r="E116" s="20">
        <v>14.741999999999999</v>
      </c>
      <c r="F116" s="19" t="s">
        <v>350</v>
      </c>
    </row>
    <row r="117" spans="1:6" ht="25" customHeight="1" x14ac:dyDescent="0.2">
      <c r="A117" s="18" t="s">
        <v>348</v>
      </c>
      <c r="B117" s="18" t="s">
        <v>312</v>
      </c>
      <c r="C117" s="27">
        <v>1546</v>
      </c>
      <c r="D117" s="19" t="s">
        <v>103</v>
      </c>
      <c r="E117" s="20">
        <v>12.306000000000001</v>
      </c>
      <c r="F117" s="19" t="s">
        <v>350</v>
      </c>
    </row>
    <row r="118" spans="1:6" ht="25" customHeight="1" x14ac:dyDescent="0.2">
      <c r="A118" s="18" t="s">
        <v>348</v>
      </c>
      <c r="B118" s="18" t="s">
        <v>313</v>
      </c>
      <c r="C118" s="27">
        <v>264</v>
      </c>
      <c r="D118" s="19" t="s">
        <v>56</v>
      </c>
      <c r="E118" s="20">
        <v>49.224000000000004</v>
      </c>
      <c r="F118" s="19" t="s">
        <v>350</v>
      </c>
    </row>
    <row r="119" spans="1:6" ht="25" customHeight="1" x14ac:dyDescent="0.2">
      <c r="A119" s="18" t="s">
        <v>348</v>
      </c>
      <c r="B119" s="18" t="s">
        <v>314</v>
      </c>
      <c r="C119" s="27">
        <v>217</v>
      </c>
      <c r="D119" s="19" t="s">
        <v>56</v>
      </c>
      <c r="E119" s="20">
        <v>46.630499999999998</v>
      </c>
      <c r="F119" s="19" t="s">
        <v>350</v>
      </c>
    </row>
    <row r="120" spans="1:6" ht="25" customHeight="1" x14ac:dyDescent="0.2">
      <c r="A120" s="18" t="s">
        <v>348</v>
      </c>
      <c r="B120" s="18" t="s">
        <v>315</v>
      </c>
      <c r="C120" s="27">
        <v>19825</v>
      </c>
      <c r="D120" s="19" t="s">
        <v>103</v>
      </c>
      <c r="E120" s="20">
        <v>8.4209999999999994</v>
      </c>
      <c r="F120" s="19" t="s">
        <v>350</v>
      </c>
    </row>
    <row r="121" spans="1:6" ht="25" customHeight="1" x14ac:dyDescent="0.2">
      <c r="A121" s="18" t="s">
        <v>348</v>
      </c>
      <c r="B121" s="18" t="s">
        <v>324</v>
      </c>
      <c r="C121" s="27">
        <v>4</v>
      </c>
      <c r="D121" s="19" t="s">
        <v>31</v>
      </c>
      <c r="E121" s="20">
        <v>1826.5485000000001</v>
      </c>
      <c r="F121" s="19" t="s">
        <v>350</v>
      </c>
    </row>
    <row r="122" spans="1:6" ht="25" customHeight="1" x14ac:dyDescent="0.2">
      <c r="A122" s="18" t="s">
        <v>348</v>
      </c>
      <c r="B122" s="18" t="s">
        <v>301</v>
      </c>
      <c r="C122" s="27">
        <v>245746</v>
      </c>
      <c r="D122" s="19" t="s">
        <v>103</v>
      </c>
      <c r="E122" s="20">
        <v>0.71400000000000008</v>
      </c>
      <c r="F122" s="19" t="s">
        <v>350</v>
      </c>
    </row>
    <row r="123" spans="1:6" ht="25" customHeight="1" x14ac:dyDescent="0.2">
      <c r="A123" s="18" t="s">
        <v>348</v>
      </c>
      <c r="B123" s="18" t="s">
        <v>300</v>
      </c>
      <c r="C123" s="27">
        <v>938926</v>
      </c>
      <c r="D123" s="19" t="s">
        <v>103</v>
      </c>
      <c r="E123" s="20">
        <v>0.71400000000000008</v>
      </c>
      <c r="F123" s="19" t="s">
        <v>350</v>
      </c>
    </row>
    <row r="124" spans="1:6" ht="25" customHeight="1" x14ac:dyDescent="0.2">
      <c r="A124" s="18" t="s">
        <v>348</v>
      </c>
      <c r="B124" s="18" t="s">
        <v>284</v>
      </c>
      <c r="C124" s="27">
        <v>159</v>
      </c>
      <c r="D124" s="19" t="s">
        <v>31</v>
      </c>
      <c r="E124" s="20">
        <v>126.2205</v>
      </c>
      <c r="F124" s="19" t="s">
        <v>350</v>
      </c>
    </row>
    <row r="125" spans="1:6" ht="25" customHeight="1" x14ac:dyDescent="0.2">
      <c r="A125" s="18" t="s">
        <v>348</v>
      </c>
      <c r="B125" s="18" t="s">
        <v>332</v>
      </c>
      <c r="C125" s="27">
        <v>1122485</v>
      </c>
      <c r="D125" s="19" t="s">
        <v>103</v>
      </c>
      <c r="E125" s="20">
        <v>1.0500000000000001E-2</v>
      </c>
      <c r="F125" s="19" t="s">
        <v>350</v>
      </c>
    </row>
    <row r="126" spans="1:6" ht="25" customHeight="1" x14ac:dyDescent="0.2">
      <c r="A126" s="18" t="s">
        <v>348</v>
      </c>
      <c r="B126" s="18" t="s">
        <v>328</v>
      </c>
      <c r="C126" s="27">
        <v>2824</v>
      </c>
      <c r="D126" s="19" t="s">
        <v>103</v>
      </c>
      <c r="E126" s="20">
        <v>4.0949999999999998</v>
      </c>
      <c r="F126" s="19" t="s">
        <v>350</v>
      </c>
    </row>
    <row r="127" spans="1:6" ht="25" customHeight="1" x14ac:dyDescent="0.2">
      <c r="A127" s="18" t="s">
        <v>348</v>
      </c>
      <c r="B127" s="18" t="s">
        <v>306</v>
      </c>
      <c r="C127" s="27">
        <v>1</v>
      </c>
      <c r="D127" s="19" t="s">
        <v>72</v>
      </c>
      <c r="E127" s="20">
        <v>26250</v>
      </c>
      <c r="F127" s="19" t="s">
        <v>350</v>
      </c>
    </row>
    <row r="128" spans="1:6" ht="25" customHeight="1" x14ac:dyDescent="0.2">
      <c r="A128" s="18" t="s">
        <v>348</v>
      </c>
      <c r="B128" s="18" t="s">
        <v>333</v>
      </c>
      <c r="C128" s="27">
        <v>988330</v>
      </c>
      <c r="D128" s="19" t="s">
        <v>103</v>
      </c>
      <c r="E128" s="20">
        <v>6.3E-2</v>
      </c>
      <c r="F128" s="19" t="s">
        <v>350</v>
      </c>
    </row>
    <row r="129" spans="1:6" ht="25" customHeight="1" x14ac:dyDescent="0.2">
      <c r="A129" s="18" t="s">
        <v>348</v>
      </c>
      <c r="B129" s="18" t="s">
        <v>285</v>
      </c>
      <c r="C129" s="27">
        <v>43</v>
      </c>
      <c r="D129" s="19" t="s">
        <v>31</v>
      </c>
      <c r="E129" s="20">
        <v>274.17600000000004</v>
      </c>
      <c r="F129" s="19" t="s">
        <v>350</v>
      </c>
    </row>
    <row r="130" spans="1:6" ht="25" customHeight="1" x14ac:dyDescent="0.2">
      <c r="A130" s="18" t="s">
        <v>348</v>
      </c>
      <c r="B130" s="18" t="s">
        <v>307</v>
      </c>
      <c r="C130" s="27">
        <v>1</v>
      </c>
      <c r="D130" s="19" t="s">
        <v>31</v>
      </c>
      <c r="E130" s="20">
        <v>665217.52500000002</v>
      </c>
      <c r="F130" s="19" t="s">
        <v>350</v>
      </c>
    </row>
    <row r="131" spans="1:6" ht="25" customHeight="1" x14ac:dyDescent="0.2">
      <c r="A131" s="18" t="s">
        <v>348</v>
      </c>
      <c r="B131" s="18" t="s">
        <v>345</v>
      </c>
      <c r="C131" s="27">
        <v>7</v>
      </c>
      <c r="D131" s="19" t="s">
        <v>31</v>
      </c>
      <c r="E131" s="20">
        <f>3195+10650</f>
        <v>13845</v>
      </c>
      <c r="F131" s="23" t="s">
        <v>355</v>
      </c>
    </row>
    <row r="132" spans="1:6" ht="25" customHeight="1" x14ac:dyDescent="0.2">
      <c r="A132" s="18" t="s">
        <v>348</v>
      </c>
      <c r="B132" s="18" t="s">
        <v>287</v>
      </c>
      <c r="C132" s="27">
        <v>463</v>
      </c>
      <c r="D132" s="19" t="s">
        <v>31</v>
      </c>
      <c r="E132" s="20">
        <v>274.17600000000004</v>
      </c>
      <c r="F132" s="19" t="s">
        <v>350</v>
      </c>
    </row>
    <row r="133" spans="1:6" ht="25" customHeight="1" x14ac:dyDescent="0.2">
      <c r="A133" s="18" t="s">
        <v>348</v>
      </c>
      <c r="B133" s="18" t="s">
        <v>289</v>
      </c>
      <c r="C133" s="27">
        <v>326</v>
      </c>
      <c r="D133" s="19" t="s">
        <v>31</v>
      </c>
      <c r="E133" s="20">
        <v>21.987000000000002</v>
      </c>
      <c r="F133" s="19" t="s">
        <v>350</v>
      </c>
    </row>
    <row r="134" spans="1:6" ht="25" customHeight="1" x14ac:dyDescent="0.2">
      <c r="A134" s="18" t="s">
        <v>348</v>
      </c>
      <c r="B134" s="18" t="s">
        <v>295</v>
      </c>
      <c r="C134" s="27">
        <v>45</v>
      </c>
      <c r="D134" s="19" t="s">
        <v>31</v>
      </c>
      <c r="E134" s="20">
        <v>10.2585</v>
      </c>
      <c r="F134" s="19" t="s">
        <v>350</v>
      </c>
    </row>
    <row r="135" spans="1:6" ht="25" customHeight="1" x14ac:dyDescent="0.2">
      <c r="A135" s="18" t="s">
        <v>348</v>
      </c>
      <c r="B135" s="18" t="s">
        <v>309</v>
      </c>
      <c r="C135" s="27">
        <v>16</v>
      </c>
      <c r="D135" s="19" t="s">
        <v>31</v>
      </c>
      <c r="E135" s="20">
        <v>3990</v>
      </c>
      <c r="F135" s="19" t="s">
        <v>350</v>
      </c>
    </row>
    <row r="136" spans="1:6" ht="25" customHeight="1" x14ac:dyDescent="0.2">
      <c r="A136" s="18" t="s">
        <v>348</v>
      </c>
      <c r="B136" s="18" t="s">
        <v>283</v>
      </c>
      <c r="C136" s="27">
        <v>83</v>
      </c>
      <c r="D136" s="19" t="s">
        <v>31</v>
      </c>
      <c r="E136" s="20">
        <v>126.2205</v>
      </c>
      <c r="F136" s="19" t="s">
        <v>350</v>
      </c>
    </row>
    <row r="137" spans="1:6" ht="25" customHeight="1" x14ac:dyDescent="0.2">
      <c r="A137" s="18" t="s">
        <v>348</v>
      </c>
      <c r="B137" s="18" t="s">
        <v>41</v>
      </c>
      <c r="C137" s="27">
        <v>1</v>
      </c>
      <c r="D137" s="19" t="s">
        <v>72</v>
      </c>
      <c r="E137" s="20">
        <v>17850</v>
      </c>
      <c r="F137" s="19" t="s">
        <v>350</v>
      </c>
    </row>
    <row r="138" spans="1:6" ht="25" customHeight="1" x14ac:dyDescent="0.2">
      <c r="A138" s="18" t="s">
        <v>348</v>
      </c>
      <c r="B138" s="18" t="s">
        <v>297</v>
      </c>
      <c r="C138" s="27">
        <v>1183</v>
      </c>
      <c r="D138" s="19" t="s">
        <v>31</v>
      </c>
      <c r="E138" s="20">
        <v>10.2585</v>
      </c>
      <c r="F138" s="19" t="s">
        <v>350</v>
      </c>
    </row>
    <row r="139" spans="1:6" ht="25" customHeight="1" x14ac:dyDescent="0.2">
      <c r="A139" s="18" t="s">
        <v>348</v>
      </c>
      <c r="B139" s="18" t="s">
        <v>260</v>
      </c>
      <c r="C139" s="27">
        <v>1</v>
      </c>
      <c r="D139" s="19" t="s">
        <v>72</v>
      </c>
      <c r="E139" s="20">
        <v>26250</v>
      </c>
      <c r="F139" s="19" t="s">
        <v>350</v>
      </c>
    </row>
    <row r="140" spans="1:6" ht="25" customHeight="1" x14ac:dyDescent="0.2">
      <c r="A140" s="18" t="s">
        <v>348</v>
      </c>
      <c r="B140" s="18" t="s">
        <v>326</v>
      </c>
      <c r="C140" s="27">
        <v>8</v>
      </c>
      <c r="D140" s="19" t="s">
        <v>31</v>
      </c>
      <c r="E140" s="20">
        <v>2412.9315000000001</v>
      </c>
      <c r="F140" s="19" t="s">
        <v>350</v>
      </c>
    </row>
    <row r="141" spans="1:6" ht="25" customHeight="1" x14ac:dyDescent="0.2">
      <c r="A141" s="18" t="s">
        <v>348</v>
      </c>
      <c r="B141" s="18" t="s">
        <v>292</v>
      </c>
      <c r="C141" s="27">
        <v>446</v>
      </c>
      <c r="D141" s="19" t="s">
        <v>31</v>
      </c>
      <c r="E141" s="20">
        <v>21.987000000000002</v>
      </c>
      <c r="F141" s="19" t="s">
        <v>350</v>
      </c>
    </row>
    <row r="142" spans="1:6" ht="25" customHeight="1" x14ac:dyDescent="0.2">
      <c r="A142" s="18" t="s">
        <v>348</v>
      </c>
      <c r="B142" s="18" t="s">
        <v>290</v>
      </c>
      <c r="C142" s="27">
        <v>205</v>
      </c>
      <c r="D142" s="19" t="s">
        <v>31</v>
      </c>
      <c r="E142" s="20">
        <v>21.987000000000002</v>
      </c>
      <c r="F142" s="19" t="s">
        <v>350</v>
      </c>
    </row>
    <row r="143" spans="1:6" ht="25" customHeight="1" x14ac:dyDescent="0.2">
      <c r="A143" s="18" t="s">
        <v>348</v>
      </c>
      <c r="B143" s="18" t="s">
        <v>288</v>
      </c>
      <c r="C143" s="27">
        <v>541</v>
      </c>
      <c r="D143" s="19" t="s">
        <v>31</v>
      </c>
      <c r="E143" s="20">
        <v>21.987000000000002</v>
      </c>
      <c r="F143" s="19" t="s">
        <v>350</v>
      </c>
    </row>
    <row r="144" spans="1:6" ht="25" customHeight="1" x14ac:dyDescent="0.2">
      <c r="A144" s="18" t="s">
        <v>348</v>
      </c>
      <c r="B144" s="18" t="s">
        <v>330</v>
      </c>
      <c r="C144" s="27">
        <v>56.18</v>
      </c>
      <c r="D144" s="19" t="s">
        <v>31</v>
      </c>
      <c r="E144" s="20">
        <v>41.0655</v>
      </c>
      <c r="F144" s="19" t="s">
        <v>350</v>
      </c>
    </row>
    <row r="145" spans="1:6" ht="25" customHeight="1" x14ac:dyDescent="0.2">
      <c r="A145" s="18" t="s">
        <v>348</v>
      </c>
      <c r="B145" s="18" t="s">
        <v>331</v>
      </c>
      <c r="C145" s="27">
        <v>1</v>
      </c>
      <c r="D145" s="19" t="s">
        <v>72</v>
      </c>
      <c r="E145" s="20">
        <v>78750</v>
      </c>
      <c r="F145" s="19" t="s">
        <v>350</v>
      </c>
    </row>
    <row r="146" spans="1:6" ht="25" customHeight="1" x14ac:dyDescent="0.2">
      <c r="A146" s="18" t="s">
        <v>348</v>
      </c>
      <c r="B146" s="18" t="s">
        <v>286</v>
      </c>
      <c r="C146" s="27">
        <v>254</v>
      </c>
      <c r="D146" s="19" t="s">
        <v>31</v>
      </c>
      <c r="E146" s="20">
        <v>274.17600000000004</v>
      </c>
      <c r="F146" s="19" t="s">
        <v>350</v>
      </c>
    </row>
    <row r="147" spans="1:6" ht="25" customHeight="1" x14ac:dyDescent="0.2">
      <c r="A147" s="18" t="s">
        <v>348</v>
      </c>
      <c r="B147" s="18" t="s">
        <v>294</v>
      </c>
      <c r="C147" s="27">
        <v>90</v>
      </c>
      <c r="D147" s="19" t="s">
        <v>31</v>
      </c>
      <c r="E147" s="20">
        <v>21.987000000000002</v>
      </c>
      <c r="F147" s="19" t="s">
        <v>350</v>
      </c>
    </row>
    <row r="148" spans="1:6" ht="25" customHeight="1" x14ac:dyDescent="0.2">
      <c r="A148" s="18" t="s">
        <v>348</v>
      </c>
      <c r="B148" s="18" t="s">
        <v>291</v>
      </c>
      <c r="C148" s="27">
        <v>850</v>
      </c>
      <c r="D148" s="19" t="s">
        <v>31</v>
      </c>
      <c r="E148" s="20">
        <v>21.987000000000002</v>
      </c>
      <c r="F148" s="19" t="s">
        <v>350</v>
      </c>
    </row>
    <row r="149" spans="1:6" ht="25" customHeight="1" x14ac:dyDescent="0.2">
      <c r="A149" s="18" t="s">
        <v>348</v>
      </c>
      <c r="B149" s="18" t="s">
        <v>321</v>
      </c>
      <c r="C149" s="27">
        <v>1</v>
      </c>
      <c r="D149" s="19"/>
      <c r="E149" s="20">
        <v>61764.013500000008</v>
      </c>
      <c r="F149" s="19" t="s">
        <v>350</v>
      </c>
    </row>
    <row r="150" spans="1:6" ht="25" customHeight="1" x14ac:dyDescent="0.2">
      <c r="A150" s="18" t="s">
        <v>348</v>
      </c>
      <c r="B150" s="18" t="s">
        <v>320</v>
      </c>
      <c r="C150" s="27">
        <v>1</v>
      </c>
      <c r="D150" s="19" t="s">
        <v>31</v>
      </c>
      <c r="E150" s="20">
        <v>53629.1175</v>
      </c>
      <c r="F150" s="19" t="s">
        <v>350</v>
      </c>
    </row>
    <row r="151" spans="1:6" ht="25" customHeight="1" x14ac:dyDescent="0.2">
      <c r="A151" s="18" t="s">
        <v>348</v>
      </c>
      <c r="B151" s="18" t="s">
        <v>296</v>
      </c>
      <c r="C151" s="27">
        <v>614</v>
      </c>
      <c r="D151" s="19" t="s">
        <v>31</v>
      </c>
      <c r="E151" s="20">
        <v>10.2585</v>
      </c>
      <c r="F151" s="19" t="s">
        <v>350</v>
      </c>
    </row>
    <row r="152" spans="1:6" ht="25" customHeight="1" x14ac:dyDescent="0.2">
      <c r="A152" s="18" t="s">
        <v>348</v>
      </c>
      <c r="B152" s="18" t="s">
        <v>327</v>
      </c>
      <c r="C152" s="27">
        <v>4</v>
      </c>
      <c r="D152" s="19" t="s">
        <v>31</v>
      </c>
      <c r="E152" s="20">
        <v>1807.5435</v>
      </c>
      <c r="F152" s="19" t="s">
        <v>350</v>
      </c>
    </row>
    <row r="153" spans="1:6" ht="25" customHeight="1" x14ac:dyDescent="0.2">
      <c r="A153" s="18" t="s">
        <v>348</v>
      </c>
      <c r="B153" s="18" t="s">
        <v>299</v>
      </c>
      <c r="C153" s="27">
        <v>22192</v>
      </c>
      <c r="D153" s="19" t="s">
        <v>103</v>
      </c>
      <c r="E153" s="20">
        <v>3.3180000000000005</v>
      </c>
      <c r="F153" s="19" t="s">
        <v>350</v>
      </c>
    </row>
    <row r="154" spans="1:6" ht="25" customHeight="1" x14ac:dyDescent="0.2">
      <c r="A154" s="18" t="s">
        <v>348</v>
      </c>
      <c r="B154" s="18" t="s">
        <v>293</v>
      </c>
      <c r="C154" s="27">
        <v>536</v>
      </c>
      <c r="D154" s="19" t="s">
        <v>31</v>
      </c>
      <c r="E154" s="20">
        <v>21.987000000000002</v>
      </c>
      <c r="F154" s="19" t="s">
        <v>350</v>
      </c>
    </row>
    <row r="155" spans="1:6" ht="25" customHeight="1" x14ac:dyDescent="0.2">
      <c r="A155" s="18" t="s">
        <v>112</v>
      </c>
      <c r="B155" s="18" t="s">
        <v>98</v>
      </c>
      <c r="C155" s="27">
        <v>1</v>
      </c>
      <c r="D155" s="19" t="s">
        <v>72</v>
      </c>
      <c r="E155" s="20">
        <v>50000</v>
      </c>
      <c r="F155" s="23" t="s">
        <v>355</v>
      </c>
    </row>
    <row r="156" spans="1:6" ht="25" customHeight="1" x14ac:dyDescent="0.2">
      <c r="A156" s="18" t="s">
        <v>112</v>
      </c>
      <c r="B156" s="18" t="s">
        <v>98</v>
      </c>
      <c r="C156" s="27">
        <v>1</v>
      </c>
      <c r="D156" s="19" t="s">
        <v>72</v>
      </c>
      <c r="E156" s="20">
        <v>45000</v>
      </c>
      <c r="F156" s="23" t="s">
        <v>355</v>
      </c>
    </row>
    <row r="157" spans="1:6" ht="25" customHeight="1" x14ac:dyDescent="0.2">
      <c r="A157" s="18" t="s">
        <v>112</v>
      </c>
      <c r="B157" s="18" t="s">
        <v>98</v>
      </c>
      <c r="C157" s="27">
        <v>283</v>
      </c>
      <c r="D157" s="19" t="s">
        <v>31</v>
      </c>
      <c r="E157" s="20">
        <v>375</v>
      </c>
      <c r="F157" s="23" t="s">
        <v>355</v>
      </c>
    </row>
    <row r="158" spans="1:6" ht="25" customHeight="1" x14ac:dyDescent="0.2">
      <c r="A158" s="18" t="s">
        <v>112</v>
      </c>
      <c r="B158" s="18" t="s">
        <v>335</v>
      </c>
      <c r="C158" s="27">
        <v>1</v>
      </c>
      <c r="D158" s="19" t="s">
        <v>72</v>
      </c>
      <c r="E158" s="20">
        <v>12000</v>
      </c>
      <c r="F158" s="23" t="s">
        <v>355</v>
      </c>
    </row>
    <row r="159" spans="1:6" ht="25" customHeight="1" x14ac:dyDescent="0.2">
      <c r="A159" s="18" t="s">
        <v>112</v>
      </c>
      <c r="B159" s="18" t="s">
        <v>90</v>
      </c>
      <c r="C159" s="27">
        <v>1</v>
      </c>
      <c r="D159" s="19" t="s">
        <v>72</v>
      </c>
      <c r="E159" s="20">
        <v>10000</v>
      </c>
      <c r="F159" s="23" t="s">
        <v>355</v>
      </c>
    </row>
    <row r="160" spans="1:6" ht="25" customHeight="1" x14ac:dyDescent="0.2">
      <c r="A160" s="18" t="s">
        <v>112</v>
      </c>
      <c r="B160" s="18" t="s">
        <v>101</v>
      </c>
      <c r="C160" s="27">
        <v>1</v>
      </c>
      <c r="D160" s="19" t="s">
        <v>72</v>
      </c>
      <c r="E160" s="20">
        <v>5000</v>
      </c>
      <c r="F160" s="23" t="s">
        <v>355</v>
      </c>
    </row>
    <row r="161" spans="1:19" ht="25" customHeight="1" x14ac:dyDescent="0.2">
      <c r="A161" s="18" t="s">
        <v>112</v>
      </c>
      <c r="B161" s="18" t="s">
        <v>101</v>
      </c>
      <c r="C161" s="27">
        <v>1</v>
      </c>
      <c r="D161" s="19" t="s">
        <v>72</v>
      </c>
      <c r="E161" s="20">
        <v>2500</v>
      </c>
      <c r="F161" s="23" t="s">
        <v>355</v>
      </c>
    </row>
    <row r="162" spans="1:19" ht="25" customHeight="1" x14ac:dyDescent="0.2">
      <c r="A162" s="18" t="s">
        <v>112</v>
      </c>
      <c r="B162" s="18" t="s">
        <v>101</v>
      </c>
      <c r="C162" s="27">
        <v>1</v>
      </c>
      <c r="D162" s="19" t="s">
        <v>72</v>
      </c>
      <c r="E162" s="20">
        <v>2500</v>
      </c>
      <c r="F162" s="23" t="s">
        <v>355</v>
      </c>
    </row>
    <row r="163" spans="1:19" ht="25" customHeight="1" x14ac:dyDescent="0.2">
      <c r="A163" s="18" t="s">
        <v>112</v>
      </c>
      <c r="B163" s="18" t="s">
        <v>336</v>
      </c>
      <c r="C163" s="27">
        <v>1</v>
      </c>
      <c r="D163" s="19" t="s">
        <v>72</v>
      </c>
      <c r="E163" s="20">
        <v>7500</v>
      </c>
      <c r="F163" s="23" t="s">
        <v>355</v>
      </c>
    </row>
    <row r="164" spans="1:19" ht="25" customHeight="1" x14ac:dyDescent="0.2">
      <c r="A164" s="18" t="s">
        <v>112</v>
      </c>
      <c r="B164" s="18" t="s">
        <v>336</v>
      </c>
      <c r="C164" s="27">
        <v>1</v>
      </c>
      <c r="D164" s="19" t="s">
        <v>72</v>
      </c>
      <c r="E164" s="20">
        <v>2500</v>
      </c>
      <c r="F164" s="23" t="s">
        <v>355</v>
      </c>
    </row>
    <row r="165" spans="1:19" ht="25" customHeight="1" x14ac:dyDescent="0.2">
      <c r="A165" s="18" t="s">
        <v>112</v>
      </c>
      <c r="B165" s="18" t="s">
        <v>339</v>
      </c>
      <c r="C165" s="27">
        <v>1</v>
      </c>
      <c r="D165" s="19" t="s">
        <v>72</v>
      </c>
      <c r="E165" s="20">
        <v>2500</v>
      </c>
      <c r="F165" s="23" t="s">
        <v>355</v>
      </c>
    </row>
    <row r="166" spans="1:19" ht="25" customHeight="1" x14ac:dyDescent="0.2">
      <c r="A166" s="18" t="s">
        <v>112</v>
      </c>
      <c r="B166" s="18" t="s">
        <v>334</v>
      </c>
      <c r="C166" s="27">
        <v>1</v>
      </c>
      <c r="D166" s="19" t="s">
        <v>72</v>
      </c>
      <c r="E166" s="20">
        <v>2500</v>
      </c>
      <c r="F166" s="23" t="s">
        <v>355</v>
      </c>
    </row>
    <row r="167" spans="1:19" ht="25" customHeight="1" x14ac:dyDescent="0.2">
      <c r="A167" s="18" t="s">
        <v>112</v>
      </c>
      <c r="B167" s="18" t="s">
        <v>334</v>
      </c>
      <c r="C167" s="27">
        <v>1</v>
      </c>
      <c r="D167" s="19" t="s">
        <v>72</v>
      </c>
      <c r="E167" s="20">
        <v>2500</v>
      </c>
      <c r="F167" s="23" t="s">
        <v>355</v>
      </c>
    </row>
    <row r="168" spans="1:19" ht="25" customHeight="1" x14ac:dyDescent="0.2">
      <c r="A168" s="18" t="s">
        <v>44</v>
      </c>
      <c r="B168" s="18" t="s">
        <v>263</v>
      </c>
      <c r="C168" s="27">
        <v>30</v>
      </c>
      <c r="D168" s="19" t="s">
        <v>72</v>
      </c>
      <c r="E168" s="20">
        <v>8.5</v>
      </c>
      <c r="F168" s="23" t="s">
        <v>355</v>
      </c>
    </row>
    <row r="169" spans="1:19" ht="25" customHeight="1" x14ac:dyDescent="0.2">
      <c r="A169" s="18" t="s">
        <v>44</v>
      </c>
      <c r="B169" s="18" t="s">
        <v>281</v>
      </c>
      <c r="C169" s="27">
        <v>0</v>
      </c>
      <c r="D169" s="19" t="s">
        <v>31</v>
      </c>
      <c r="E169" s="20">
        <v>380</v>
      </c>
      <c r="F169" s="23" t="s">
        <v>355</v>
      </c>
    </row>
    <row r="170" spans="1:19" ht="25" customHeight="1" x14ac:dyDescent="0.2">
      <c r="A170" s="18" t="s">
        <v>44</v>
      </c>
      <c r="B170" s="18" t="s">
        <v>271</v>
      </c>
      <c r="C170" s="27">
        <v>458</v>
      </c>
      <c r="D170" s="19" t="s">
        <v>106</v>
      </c>
      <c r="E170" s="24">
        <v>48</v>
      </c>
      <c r="F170" s="23" t="s">
        <v>355</v>
      </c>
    </row>
    <row r="171" spans="1:19" ht="25" customHeight="1" x14ac:dyDescent="0.2">
      <c r="A171" s="18" t="s">
        <v>44</v>
      </c>
      <c r="B171" s="18" t="s">
        <v>271</v>
      </c>
      <c r="C171" s="27">
        <v>32465</v>
      </c>
      <c r="D171" s="19" t="s">
        <v>106</v>
      </c>
      <c r="E171" s="20">
        <v>48</v>
      </c>
      <c r="F171" s="23" t="s">
        <v>355</v>
      </c>
    </row>
    <row r="172" spans="1:19" ht="25" customHeight="1" x14ac:dyDescent="0.2">
      <c r="A172" s="18" t="s">
        <v>44</v>
      </c>
      <c r="B172" s="18" t="s">
        <v>266</v>
      </c>
      <c r="C172" s="27">
        <v>6500</v>
      </c>
      <c r="D172" s="19" t="s">
        <v>106</v>
      </c>
      <c r="E172" s="20">
        <v>68</v>
      </c>
      <c r="F172" s="23" t="s">
        <v>355</v>
      </c>
    </row>
    <row r="173" spans="1:19" ht="31" customHeight="1" x14ac:dyDescent="0.2">
      <c r="A173" s="18" t="s">
        <v>44</v>
      </c>
      <c r="B173" s="18" t="s">
        <v>270</v>
      </c>
      <c r="C173" s="27">
        <v>164</v>
      </c>
      <c r="D173" s="19" t="s">
        <v>106</v>
      </c>
      <c r="E173" s="20">
        <v>58</v>
      </c>
      <c r="F173" s="23" t="s">
        <v>355</v>
      </c>
      <c r="J173" s="33" t="s">
        <v>357</v>
      </c>
      <c r="K173" s="34" t="s">
        <v>358</v>
      </c>
      <c r="L173" s="34" t="s">
        <v>360</v>
      </c>
      <c r="M173" s="34" t="s">
        <v>362</v>
      </c>
      <c r="N173" s="34" t="s">
        <v>363</v>
      </c>
      <c r="O173" s="34" t="s">
        <v>366</v>
      </c>
      <c r="P173" s="38" t="s">
        <v>367</v>
      </c>
      <c r="Q173" s="38" t="s">
        <v>368</v>
      </c>
      <c r="R173" s="38" t="s">
        <v>369</v>
      </c>
    </row>
    <row r="174" spans="1:19" ht="25" customHeight="1" x14ac:dyDescent="0.2">
      <c r="A174" s="18" t="s">
        <v>44</v>
      </c>
      <c r="B174" s="18" t="s">
        <v>270</v>
      </c>
      <c r="C174" s="27">
        <v>9896</v>
      </c>
      <c r="D174" s="19" t="s">
        <v>106</v>
      </c>
      <c r="E174" s="20">
        <v>58</v>
      </c>
      <c r="F174" s="23" t="s">
        <v>355</v>
      </c>
      <c r="J174" s="30">
        <v>1.1020000000000001</v>
      </c>
      <c r="K174" s="10" t="s">
        <v>359</v>
      </c>
      <c r="L174" s="10" t="s">
        <v>361</v>
      </c>
      <c r="M174" s="10">
        <v>30</v>
      </c>
      <c r="N174" s="10">
        <v>200</v>
      </c>
      <c r="O174" s="10" t="e" vm="1">
        <v>#VALUE!</v>
      </c>
      <c r="P174" s="10" t="e" vm="1">
        <v>#VALUE!</v>
      </c>
      <c r="Q174" s="10" t="e" vm="1">
        <v>#VALUE!</v>
      </c>
      <c r="R174" s="10" t="e" vm="1">
        <v>#VALUE!</v>
      </c>
      <c r="S174" s="36"/>
    </row>
    <row r="175" spans="1:19" ht="25" customHeight="1" x14ac:dyDescent="0.2">
      <c r="A175" s="18" t="s">
        <v>44</v>
      </c>
      <c r="B175" s="18" t="s">
        <v>268</v>
      </c>
      <c r="C175" s="27">
        <v>251</v>
      </c>
      <c r="D175" s="19" t="s">
        <v>106</v>
      </c>
      <c r="E175" s="20">
        <v>24</v>
      </c>
      <c r="F175" s="23" t="s">
        <v>355</v>
      </c>
      <c r="J175" s="32" t="s">
        <v>364</v>
      </c>
      <c r="K175" s="10" t="s">
        <v>359</v>
      </c>
      <c r="L175" s="10" t="s">
        <v>365</v>
      </c>
      <c r="M175" s="10">
        <v>20</v>
      </c>
      <c r="N175" s="10">
        <v>50</v>
      </c>
      <c r="O175" s="35">
        <v>46022</v>
      </c>
      <c r="P175" s="40">
        <v>2000</v>
      </c>
      <c r="Q175" s="37">
        <f>N175*P175*50</f>
        <v>5000000</v>
      </c>
      <c r="R175" s="39">
        <f>Q175*0.96</f>
        <v>4800000</v>
      </c>
      <c r="S175" s="36"/>
    </row>
    <row r="176" spans="1:19" ht="25" customHeight="1" x14ac:dyDescent="0.2">
      <c r="A176" s="18" t="s">
        <v>44</v>
      </c>
      <c r="B176" s="18" t="s">
        <v>274</v>
      </c>
      <c r="C176" s="27">
        <v>28</v>
      </c>
      <c r="D176" s="19" t="s">
        <v>31</v>
      </c>
      <c r="E176" s="20">
        <v>750</v>
      </c>
      <c r="F176" s="23" t="s">
        <v>355</v>
      </c>
      <c r="J176" s="32" t="s">
        <v>370</v>
      </c>
      <c r="K176" s="10" t="s">
        <v>359</v>
      </c>
      <c r="L176" s="10" t="s">
        <v>365</v>
      </c>
      <c r="M176" s="10">
        <v>20</v>
      </c>
      <c r="N176" s="10">
        <v>50</v>
      </c>
      <c r="O176" s="35">
        <v>46387</v>
      </c>
      <c r="P176" s="40">
        <f>P175*1.04</f>
        <v>2080</v>
      </c>
      <c r="Q176" s="37">
        <f>N176*P176*50</f>
        <v>5200000</v>
      </c>
      <c r="R176" s="39">
        <f>Q176*0.96</f>
        <v>4992000</v>
      </c>
      <c r="S176" s="41" t="s">
        <v>373</v>
      </c>
    </row>
    <row r="177" spans="1:18" ht="25" customHeight="1" x14ac:dyDescent="0.2">
      <c r="A177" s="18" t="s">
        <v>44</v>
      </c>
      <c r="B177" s="18" t="s">
        <v>274</v>
      </c>
      <c r="C177" s="27">
        <v>28</v>
      </c>
      <c r="D177" s="19" t="s">
        <v>31</v>
      </c>
      <c r="E177" s="20">
        <v>750</v>
      </c>
      <c r="F177" s="23" t="s">
        <v>355</v>
      </c>
      <c r="J177" s="32" t="s">
        <v>371</v>
      </c>
      <c r="K177" s="10" t="s">
        <v>359</v>
      </c>
      <c r="L177" s="10" t="s">
        <v>365</v>
      </c>
      <c r="M177" s="10">
        <v>20</v>
      </c>
      <c r="N177" s="10">
        <v>50</v>
      </c>
      <c r="O177" s="35">
        <v>46752</v>
      </c>
      <c r="P177" s="40">
        <f>P176*1.04</f>
        <v>2163.2000000000003</v>
      </c>
      <c r="Q177" s="37">
        <f>N177*P177*50</f>
        <v>5408000.0000000009</v>
      </c>
      <c r="R177" s="39">
        <f>Q177*0.96</f>
        <v>5191680.0000000009</v>
      </c>
    </row>
    <row r="178" spans="1:18" ht="25" customHeight="1" x14ac:dyDescent="0.2">
      <c r="A178" s="18" t="s">
        <v>44</v>
      </c>
      <c r="B178" s="18" t="s">
        <v>48</v>
      </c>
      <c r="C178" s="27">
        <v>1</v>
      </c>
      <c r="D178" s="19" t="s">
        <v>31</v>
      </c>
      <c r="E178" s="20">
        <v>750</v>
      </c>
      <c r="F178" s="23" t="s">
        <v>355</v>
      </c>
      <c r="J178" s="32" t="s">
        <v>372</v>
      </c>
      <c r="K178" s="10" t="s">
        <v>359</v>
      </c>
      <c r="L178" s="10" t="s">
        <v>365</v>
      </c>
      <c r="M178" s="10">
        <v>20</v>
      </c>
      <c r="N178" s="10">
        <v>50</v>
      </c>
      <c r="O178" s="35">
        <v>47118</v>
      </c>
      <c r="P178" s="40">
        <f>P177*1.04</f>
        <v>2249.7280000000005</v>
      </c>
      <c r="Q178" s="37">
        <f>N178*P178*50</f>
        <v>5624320.0000000009</v>
      </c>
      <c r="R178" s="39">
        <f>Q178*0.96</f>
        <v>5399347.2000000011</v>
      </c>
    </row>
    <row r="179" spans="1:18" ht="25" customHeight="1" x14ac:dyDescent="0.2">
      <c r="A179" s="18" t="s">
        <v>44</v>
      </c>
      <c r="B179" s="18" t="s">
        <v>273</v>
      </c>
      <c r="C179" s="27">
        <v>9</v>
      </c>
      <c r="D179" s="19" t="s">
        <v>31</v>
      </c>
      <c r="E179" s="20">
        <v>750</v>
      </c>
      <c r="F179" s="23" t="s">
        <v>355</v>
      </c>
    </row>
    <row r="180" spans="1:18" ht="25" customHeight="1" x14ac:dyDescent="0.2">
      <c r="A180" s="18" t="s">
        <v>44</v>
      </c>
      <c r="B180" s="18" t="s">
        <v>273</v>
      </c>
      <c r="C180" s="27">
        <v>9</v>
      </c>
      <c r="D180" s="19" t="s">
        <v>31</v>
      </c>
      <c r="E180" s="20">
        <v>750</v>
      </c>
      <c r="F180" s="23" t="s">
        <v>355</v>
      </c>
    </row>
    <row r="181" spans="1:18" ht="25" customHeight="1" x14ac:dyDescent="0.2">
      <c r="A181" s="18" t="s">
        <v>44</v>
      </c>
      <c r="B181" s="18" t="s">
        <v>57</v>
      </c>
      <c r="C181" s="27">
        <f>1373+1339</f>
        <v>2712</v>
      </c>
      <c r="D181" s="19" t="s">
        <v>56</v>
      </c>
      <c r="E181" s="20">
        <v>2.5</v>
      </c>
      <c r="F181" s="23" t="s">
        <v>355</v>
      </c>
    </row>
    <row r="182" spans="1:18" ht="25" customHeight="1" x14ac:dyDescent="0.2">
      <c r="A182" s="18" t="s">
        <v>44</v>
      </c>
      <c r="B182" s="18" t="s">
        <v>57</v>
      </c>
      <c r="C182" s="27">
        <f>1373+1339</f>
        <v>2712</v>
      </c>
      <c r="D182" s="19" t="s">
        <v>56</v>
      </c>
      <c r="E182" s="20">
        <v>2.5</v>
      </c>
      <c r="F182" s="23" t="s">
        <v>355</v>
      </c>
      <c r="O182">
        <v>50.94</v>
      </c>
      <c r="P182">
        <v>18.5</v>
      </c>
      <c r="Q182">
        <f>P182*O182*43560</f>
        <v>41050508.399999999</v>
      </c>
    </row>
    <row r="183" spans="1:18" ht="25" customHeight="1" x14ac:dyDescent="0.2">
      <c r="A183" s="18" t="s">
        <v>44</v>
      </c>
      <c r="B183" s="18" t="s">
        <v>277</v>
      </c>
      <c r="C183" s="27">
        <f>135*33</f>
        <v>4455</v>
      </c>
      <c r="D183" s="19" t="s">
        <v>103</v>
      </c>
      <c r="E183" s="20">
        <v>24</v>
      </c>
      <c r="F183" s="23" t="s">
        <v>355</v>
      </c>
    </row>
    <row r="184" spans="1:18" ht="25" customHeight="1" x14ac:dyDescent="0.2">
      <c r="A184" s="18" t="s">
        <v>44</v>
      </c>
      <c r="B184" s="18" t="s">
        <v>108</v>
      </c>
      <c r="C184" s="27">
        <v>6500</v>
      </c>
      <c r="D184" s="19" t="s">
        <v>106</v>
      </c>
      <c r="E184" s="20">
        <v>5.86</v>
      </c>
      <c r="F184" s="23" t="s">
        <v>355</v>
      </c>
    </row>
    <row r="185" spans="1:18" ht="25" customHeight="1" x14ac:dyDescent="0.2">
      <c r="A185" s="18" t="s">
        <v>44</v>
      </c>
      <c r="B185" s="18" t="s">
        <v>276</v>
      </c>
      <c r="C185" s="27">
        <v>4</v>
      </c>
      <c r="D185" s="19" t="s">
        <v>31</v>
      </c>
      <c r="E185" s="20">
        <v>60</v>
      </c>
      <c r="F185" s="23" t="s">
        <v>355</v>
      </c>
    </row>
    <row r="186" spans="1:18" ht="25" customHeight="1" x14ac:dyDescent="0.2">
      <c r="A186" s="18" t="s">
        <v>44</v>
      </c>
      <c r="B186" s="18" t="s">
        <v>276</v>
      </c>
      <c r="C186" s="27">
        <v>35</v>
      </c>
      <c r="D186" s="19" t="s">
        <v>31</v>
      </c>
      <c r="E186" s="20">
        <v>60</v>
      </c>
      <c r="F186" s="23" t="s">
        <v>355</v>
      </c>
    </row>
    <row r="187" spans="1:18" ht="25" customHeight="1" x14ac:dyDescent="0.2">
      <c r="A187" s="18" t="s">
        <v>44</v>
      </c>
      <c r="B187" s="18" t="s">
        <v>269</v>
      </c>
      <c r="C187" s="27">
        <v>0</v>
      </c>
      <c r="D187" s="19" t="s">
        <v>56</v>
      </c>
      <c r="E187" s="20">
        <v>105</v>
      </c>
      <c r="F187" s="23" t="s">
        <v>355</v>
      </c>
    </row>
    <row r="188" spans="1:18" ht="25" customHeight="1" x14ac:dyDescent="0.2">
      <c r="A188" s="18" t="s">
        <v>44</v>
      </c>
      <c r="B188" s="18" t="s">
        <v>269</v>
      </c>
      <c r="C188" s="27">
        <v>20</v>
      </c>
      <c r="D188" s="19" t="s">
        <v>31</v>
      </c>
      <c r="E188" s="20">
        <v>750</v>
      </c>
      <c r="F188" s="23" t="s">
        <v>355</v>
      </c>
    </row>
    <row r="189" spans="1:18" ht="25" customHeight="1" x14ac:dyDescent="0.2">
      <c r="A189" s="18" t="s">
        <v>44</v>
      </c>
      <c r="B189" s="18" t="s">
        <v>41</v>
      </c>
      <c r="C189" s="27">
        <v>1</v>
      </c>
      <c r="D189" s="19" t="s">
        <v>72</v>
      </c>
      <c r="E189" s="20">
        <v>12500</v>
      </c>
      <c r="F189" s="23" t="s">
        <v>355</v>
      </c>
    </row>
    <row r="190" spans="1:18" ht="25" customHeight="1" x14ac:dyDescent="0.2">
      <c r="A190" s="18" t="s">
        <v>44</v>
      </c>
      <c r="B190" s="18" t="s">
        <v>87</v>
      </c>
      <c r="C190" s="27">
        <v>1</v>
      </c>
      <c r="D190" s="19" t="s">
        <v>72</v>
      </c>
      <c r="E190" s="20">
        <v>12500</v>
      </c>
      <c r="F190" s="23" t="s">
        <v>355</v>
      </c>
    </row>
    <row r="191" spans="1:18" ht="25" customHeight="1" x14ac:dyDescent="0.2">
      <c r="A191" s="18" t="s">
        <v>44</v>
      </c>
      <c r="B191" s="18" t="s">
        <v>279</v>
      </c>
      <c r="C191" s="27">
        <v>30</v>
      </c>
      <c r="D191" s="19" t="s">
        <v>56</v>
      </c>
      <c r="E191" s="20">
        <v>8</v>
      </c>
      <c r="F191" s="23" t="s">
        <v>355</v>
      </c>
    </row>
    <row r="192" spans="1:18" ht="25" customHeight="1" x14ac:dyDescent="0.2">
      <c r="A192" s="18" t="s">
        <v>44</v>
      </c>
      <c r="B192" s="18" t="s">
        <v>282</v>
      </c>
      <c r="C192" s="27">
        <v>4</v>
      </c>
      <c r="D192" s="19" t="s">
        <v>31</v>
      </c>
      <c r="E192" s="20">
        <v>75000</v>
      </c>
      <c r="F192" s="23" t="s">
        <v>355</v>
      </c>
    </row>
    <row r="193" spans="1:6" ht="25" customHeight="1" x14ac:dyDescent="0.2">
      <c r="A193" s="18" t="s">
        <v>44</v>
      </c>
      <c r="B193" s="18" t="s">
        <v>264</v>
      </c>
      <c r="C193" s="27">
        <v>7585</v>
      </c>
      <c r="D193" s="19" t="s">
        <v>106</v>
      </c>
      <c r="E193" s="20">
        <v>2.95</v>
      </c>
      <c r="F193" s="23" t="s">
        <v>355</v>
      </c>
    </row>
    <row r="194" spans="1:6" ht="25" customHeight="1" x14ac:dyDescent="0.2">
      <c r="A194" s="18" t="s">
        <v>44</v>
      </c>
      <c r="B194" s="18" t="s">
        <v>264</v>
      </c>
      <c r="C194" s="27">
        <v>10354</v>
      </c>
      <c r="D194" s="19" t="s">
        <v>106</v>
      </c>
      <c r="E194" s="20">
        <v>2.95</v>
      </c>
      <c r="F194" s="23" t="s">
        <v>355</v>
      </c>
    </row>
    <row r="195" spans="1:6" ht="25" customHeight="1" x14ac:dyDescent="0.2">
      <c r="A195" s="18" t="s">
        <v>44</v>
      </c>
      <c r="B195" s="18" t="s">
        <v>264</v>
      </c>
      <c r="C195" s="27">
        <f>164+32465</f>
        <v>32629</v>
      </c>
      <c r="D195" s="19" t="s">
        <v>106</v>
      </c>
      <c r="E195" s="20">
        <v>2.95</v>
      </c>
      <c r="F195" s="23" t="s">
        <v>355</v>
      </c>
    </row>
    <row r="196" spans="1:6" ht="25" customHeight="1" x14ac:dyDescent="0.2">
      <c r="A196" s="18" t="s">
        <v>44</v>
      </c>
      <c r="B196" s="18" t="s">
        <v>55</v>
      </c>
      <c r="C196" s="27">
        <v>5089</v>
      </c>
      <c r="D196" s="19" t="s">
        <v>56</v>
      </c>
      <c r="E196" s="20">
        <v>9.2899999999999991</v>
      </c>
      <c r="F196" s="23" t="s">
        <v>355</v>
      </c>
    </row>
    <row r="197" spans="1:6" ht="25" customHeight="1" x14ac:dyDescent="0.2">
      <c r="A197" s="18" t="s">
        <v>44</v>
      </c>
      <c r="B197" s="18" t="s">
        <v>55</v>
      </c>
      <c r="C197" s="27">
        <v>5089</v>
      </c>
      <c r="D197" s="19" t="s">
        <v>56</v>
      </c>
      <c r="E197" s="20">
        <v>9.2899999999999991</v>
      </c>
      <c r="F197" s="23" t="s">
        <v>355</v>
      </c>
    </row>
    <row r="198" spans="1:6" ht="25" customHeight="1" x14ac:dyDescent="0.2">
      <c r="A198" s="18" t="s">
        <v>44</v>
      </c>
      <c r="B198" s="18" t="s">
        <v>55</v>
      </c>
      <c r="C198" s="27">
        <v>20138</v>
      </c>
      <c r="D198" s="19" t="s">
        <v>56</v>
      </c>
      <c r="E198" s="20">
        <v>9.2899999999999991</v>
      </c>
      <c r="F198" s="23" t="s">
        <v>355</v>
      </c>
    </row>
    <row r="199" spans="1:6" ht="25" customHeight="1" x14ac:dyDescent="0.2">
      <c r="A199" s="18" t="s">
        <v>44</v>
      </c>
      <c r="B199" s="18" t="s">
        <v>265</v>
      </c>
      <c r="C199" s="27">
        <v>4169</v>
      </c>
      <c r="D199" s="19" t="s">
        <v>103</v>
      </c>
      <c r="E199" s="20">
        <v>1.9</v>
      </c>
      <c r="F199" s="23" t="s">
        <v>355</v>
      </c>
    </row>
    <row r="200" spans="1:6" ht="25" customHeight="1" x14ac:dyDescent="0.2">
      <c r="A200" s="18" t="s">
        <v>44</v>
      </c>
      <c r="B200" s="18" t="s">
        <v>265</v>
      </c>
      <c r="C200" s="27">
        <v>7752</v>
      </c>
      <c r="D200" s="19" t="s">
        <v>103</v>
      </c>
      <c r="E200" s="20">
        <v>1.9</v>
      </c>
      <c r="F200" s="23" t="s">
        <v>355</v>
      </c>
    </row>
    <row r="201" spans="1:6" ht="25" customHeight="1" x14ac:dyDescent="0.2">
      <c r="A201" s="18" t="s">
        <v>44</v>
      </c>
      <c r="B201" s="18" t="s">
        <v>265</v>
      </c>
      <c r="C201" s="27">
        <v>18921</v>
      </c>
      <c r="D201" s="19" t="s">
        <v>103</v>
      </c>
      <c r="E201" s="20">
        <v>1.9</v>
      </c>
      <c r="F201" s="23" t="s">
        <v>355</v>
      </c>
    </row>
    <row r="202" spans="1:6" ht="25" customHeight="1" x14ac:dyDescent="0.2">
      <c r="A202" s="18" t="s">
        <v>44</v>
      </c>
      <c r="B202" s="18" t="s">
        <v>280</v>
      </c>
      <c r="C202" s="27">
        <v>30</v>
      </c>
      <c r="D202" s="19" t="s">
        <v>31</v>
      </c>
      <c r="E202" s="20">
        <v>8</v>
      </c>
      <c r="F202" s="23" t="s">
        <v>355</v>
      </c>
    </row>
    <row r="203" spans="1:6" ht="25" customHeight="1" x14ac:dyDescent="0.2">
      <c r="A203" s="18" t="s">
        <v>44</v>
      </c>
      <c r="B203" s="18" t="s">
        <v>278</v>
      </c>
      <c r="C203" s="27">
        <v>30</v>
      </c>
      <c r="D203" s="19" t="s">
        <v>56</v>
      </c>
      <c r="E203" s="20">
        <v>90</v>
      </c>
      <c r="F203" s="23" t="s">
        <v>355</v>
      </c>
    </row>
    <row r="204" spans="1:6" ht="25" customHeight="1" x14ac:dyDescent="0.2">
      <c r="A204" s="18" t="s">
        <v>44</v>
      </c>
      <c r="B204" s="18" t="s">
        <v>46</v>
      </c>
      <c r="C204" s="27">
        <v>4</v>
      </c>
      <c r="D204" s="19" t="s">
        <v>31</v>
      </c>
      <c r="E204" s="20">
        <v>750</v>
      </c>
      <c r="F204" s="23" t="s">
        <v>355</v>
      </c>
    </row>
    <row r="205" spans="1:6" ht="25" customHeight="1" x14ac:dyDescent="0.2">
      <c r="A205" s="18" t="s">
        <v>44</v>
      </c>
      <c r="B205" s="18" t="s">
        <v>275</v>
      </c>
      <c r="C205" s="27">
        <v>0</v>
      </c>
      <c r="D205" s="19" t="s">
        <v>31</v>
      </c>
      <c r="E205" s="20">
        <v>315</v>
      </c>
      <c r="F205" s="23" t="s">
        <v>355</v>
      </c>
    </row>
    <row r="206" spans="1:6" ht="25" customHeight="1" x14ac:dyDescent="0.2">
      <c r="A206" s="18" t="s">
        <v>44</v>
      </c>
      <c r="B206" s="18" t="s">
        <v>275</v>
      </c>
      <c r="C206" s="27"/>
      <c r="D206" s="19" t="s">
        <v>31</v>
      </c>
      <c r="E206" s="20">
        <v>315</v>
      </c>
      <c r="F206" s="23" t="s">
        <v>355</v>
      </c>
    </row>
    <row r="207" spans="1:6" ht="25" customHeight="1" x14ac:dyDescent="0.2">
      <c r="A207" s="18" t="s">
        <v>44</v>
      </c>
      <c r="B207" s="18" t="s">
        <v>88</v>
      </c>
      <c r="C207" s="27">
        <v>1</v>
      </c>
      <c r="D207" s="19" t="s">
        <v>72</v>
      </c>
      <c r="E207" s="20">
        <v>12500</v>
      </c>
      <c r="F207" s="23" t="s">
        <v>355</v>
      </c>
    </row>
    <row r="208" spans="1:6" ht="25" customHeight="1" x14ac:dyDescent="0.2">
      <c r="A208" s="18" t="s">
        <v>44</v>
      </c>
      <c r="B208" s="18" t="s">
        <v>88</v>
      </c>
      <c r="C208" s="27">
        <v>1</v>
      </c>
      <c r="D208" s="19" t="s">
        <v>72</v>
      </c>
      <c r="E208" s="20">
        <v>10000</v>
      </c>
      <c r="F208" s="23" t="s">
        <v>355</v>
      </c>
    </row>
    <row r="209" spans="1:6" ht="25" customHeight="1" x14ac:dyDescent="0.2">
      <c r="A209" s="18" t="s">
        <v>44</v>
      </c>
      <c r="B209" s="18" t="s">
        <v>88</v>
      </c>
      <c r="C209" s="27">
        <v>1</v>
      </c>
      <c r="D209" s="19" t="s">
        <v>72</v>
      </c>
      <c r="E209" s="20">
        <v>15000</v>
      </c>
      <c r="F209" s="23" t="s">
        <v>355</v>
      </c>
    </row>
    <row r="210" spans="1:6" ht="25" customHeight="1" x14ac:dyDescent="0.2">
      <c r="A210" s="18" t="s">
        <v>44</v>
      </c>
      <c r="B210" s="18" t="s">
        <v>25</v>
      </c>
      <c r="C210" s="27">
        <v>10000</v>
      </c>
      <c r="D210" s="19" t="s">
        <v>23</v>
      </c>
      <c r="E210" s="20">
        <v>5.5</v>
      </c>
      <c r="F210" s="23" t="s">
        <v>355</v>
      </c>
    </row>
    <row r="211" spans="1:6" ht="25" customHeight="1" x14ac:dyDescent="0.2">
      <c r="A211" s="18" t="s">
        <v>44</v>
      </c>
      <c r="B211" s="18" t="s">
        <v>25</v>
      </c>
      <c r="C211" s="27">
        <v>10000</v>
      </c>
      <c r="D211" s="19" t="s">
        <v>23</v>
      </c>
      <c r="E211" s="20">
        <v>5.5</v>
      </c>
      <c r="F211" s="23" t="s">
        <v>355</v>
      </c>
    </row>
    <row r="212" spans="1:6" ht="25" customHeight="1" x14ac:dyDescent="0.2">
      <c r="A212" s="18" t="s">
        <v>44</v>
      </c>
      <c r="B212" s="18" t="s">
        <v>25</v>
      </c>
      <c r="C212" s="27">
        <v>10000</v>
      </c>
      <c r="D212" s="19" t="s">
        <v>23</v>
      </c>
      <c r="E212" s="20">
        <v>5.5</v>
      </c>
      <c r="F212" s="23" t="s">
        <v>355</v>
      </c>
    </row>
    <row r="213" spans="1:6" ht="25" customHeight="1" x14ac:dyDescent="0.2">
      <c r="A213" s="18" t="s">
        <v>44</v>
      </c>
      <c r="B213" s="18" t="s">
        <v>45</v>
      </c>
      <c r="C213" s="27">
        <v>5</v>
      </c>
      <c r="D213" s="19" t="s">
        <v>31</v>
      </c>
      <c r="E213" s="20">
        <v>275</v>
      </c>
      <c r="F213" s="23" t="s">
        <v>355</v>
      </c>
    </row>
    <row r="214" spans="1:6" ht="25" customHeight="1" x14ac:dyDescent="0.2">
      <c r="A214" s="18" t="s">
        <v>44</v>
      </c>
      <c r="B214" s="18" t="s">
        <v>272</v>
      </c>
      <c r="C214" s="27">
        <v>18</v>
      </c>
      <c r="D214" s="19" t="s">
        <v>31</v>
      </c>
      <c r="E214" s="20">
        <v>240</v>
      </c>
      <c r="F214" s="23" t="s">
        <v>355</v>
      </c>
    </row>
    <row r="215" spans="1:6" ht="25" customHeight="1" x14ac:dyDescent="0.2">
      <c r="A215" s="18" t="s">
        <v>44</v>
      </c>
      <c r="B215" s="18" t="s">
        <v>272</v>
      </c>
      <c r="C215" s="27">
        <v>27</v>
      </c>
      <c r="D215" s="19" t="s">
        <v>31</v>
      </c>
      <c r="E215" s="20">
        <v>240</v>
      </c>
      <c r="F215" s="23" t="s">
        <v>355</v>
      </c>
    </row>
    <row r="216" spans="1:6" ht="25" customHeight="1" x14ac:dyDescent="0.2">
      <c r="A216" s="18" t="s">
        <v>44</v>
      </c>
      <c r="B216" s="18" t="s">
        <v>267</v>
      </c>
      <c r="C216" s="27">
        <v>68</v>
      </c>
      <c r="D216" s="19" t="s">
        <v>56</v>
      </c>
      <c r="E216" s="20">
        <v>36</v>
      </c>
      <c r="F216" s="23" t="s">
        <v>355</v>
      </c>
    </row>
    <row r="217" spans="1:6" ht="25" customHeight="1" x14ac:dyDescent="0.2">
      <c r="A217" s="18" t="s">
        <v>44</v>
      </c>
      <c r="B217" s="18" t="s">
        <v>47</v>
      </c>
      <c r="C217" s="27">
        <v>3</v>
      </c>
      <c r="D217" s="19" t="s">
        <v>31</v>
      </c>
      <c r="E217" s="20">
        <v>750</v>
      </c>
      <c r="F217" s="23" t="s">
        <v>355</v>
      </c>
    </row>
    <row r="218" spans="1:6" ht="25" customHeight="1" x14ac:dyDescent="0.2">
      <c r="A218" s="18" t="s">
        <v>9</v>
      </c>
      <c r="B218" s="18" t="s">
        <v>335</v>
      </c>
      <c r="C218" s="27">
        <v>1</v>
      </c>
      <c r="D218" s="19" t="s">
        <v>72</v>
      </c>
      <c r="E218" s="20">
        <v>12000</v>
      </c>
      <c r="F218" s="23" t="s">
        <v>355</v>
      </c>
    </row>
    <row r="219" spans="1:6" ht="25" customHeight="1" x14ac:dyDescent="0.2">
      <c r="A219" s="18" t="s">
        <v>9</v>
      </c>
      <c r="B219" s="18" t="s">
        <v>97</v>
      </c>
      <c r="C219" s="27">
        <v>1</v>
      </c>
      <c r="D219" s="19" t="s">
        <v>72</v>
      </c>
      <c r="E219" s="20">
        <v>12000</v>
      </c>
      <c r="F219" s="23" t="s">
        <v>355</v>
      </c>
    </row>
    <row r="220" spans="1:6" ht="25" customHeight="1" x14ac:dyDescent="0.2">
      <c r="A220" s="21" t="s">
        <v>5</v>
      </c>
      <c r="B220" s="18" t="s">
        <v>61</v>
      </c>
      <c r="C220" s="27">
        <v>1309</v>
      </c>
      <c r="D220" s="19" t="s">
        <v>56</v>
      </c>
      <c r="E220" s="20">
        <v>90</v>
      </c>
      <c r="F220" s="23" t="s">
        <v>355</v>
      </c>
    </row>
    <row r="221" spans="1:6" ht="25" customHeight="1" x14ac:dyDescent="0.2">
      <c r="A221" s="21" t="s">
        <v>5</v>
      </c>
      <c r="B221" s="18" t="s">
        <v>178</v>
      </c>
      <c r="C221" s="27">
        <v>4</v>
      </c>
      <c r="D221" s="19" t="s">
        <v>31</v>
      </c>
      <c r="E221" s="20">
        <v>9200</v>
      </c>
      <c r="F221" s="23" t="s">
        <v>355</v>
      </c>
    </row>
    <row r="222" spans="1:6" ht="25" customHeight="1" x14ac:dyDescent="0.2">
      <c r="A222" s="18" t="s">
        <v>5</v>
      </c>
      <c r="B222" s="18" t="s">
        <v>178</v>
      </c>
      <c r="C222" s="27">
        <v>24</v>
      </c>
      <c r="D222" s="19" t="s">
        <v>31</v>
      </c>
      <c r="E222" s="20">
        <v>9200</v>
      </c>
      <c r="F222" s="23" t="s">
        <v>355</v>
      </c>
    </row>
    <row r="223" spans="1:6" ht="25" customHeight="1" x14ac:dyDescent="0.2">
      <c r="A223" s="18" t="s">
        <v>5</v>
      </c>
      <c r="B223" s="18" t="s">
        <v>184</v>
      </c>
      <c r="C223" s="27">
        <v>286</v>
      </c>
      <c r="D223" s="19" t="s">
        <v>31</v>
      </c>
      <c r="E223" s="20">
        <v>1100</v>
      </c>
      <c r="F223" s="23" t="s">
        <v>355</v>
      </c>
    </row>
    <row r="224" spans="1:6" ht="25" customHeight="1" x14ac:dyDescent="0.2">
      <c r="A224" s="21" t="s">
        <v>5</v>
      </c>
      <c r="B224" s="18" t="s">
        <v>179</v>
      </c>
      <c r="C224" s="27">
        <v>5</v>
      </c>
      <c r="D224" s="19" t="s">
        <v>31</v>
      </c>
      <c r="E224" s="20">
        <v>10200</v>
      </c>
      <c r="F224" s="23" t="s">
        <v>355</v>
      </c>
    </row>
    <row r="225" spans="1:6" ht="25" customHeight="1" x14ac:dyDescent="0.2">
      <c r="A225" s="18" t="s">
        <v>5</v>
      </c>
      <c r="B225" s="18" t="s">
        <v>179</v>
      </c>
      <c r="C225" s="27">
        <v>7</v>
      </c>
      <c r="D225" s="19" t="s">
        <v>31</v>
      </c>
      <c r="E225" s="20">
        <v>10200</v>
      </c>
      <c r="F225" s="23" t="s">
        <v>355</v>
      </c>
    </row>
    <row r="226" spans="1:6" ht="25" customHeight="1" x14ac:dyDescent="0.2">
      <c r="A226" s="21" t="s">
        <v>5</v>
      </c>
      <c r="B226" s="18" t="s">
        <v>34</v>
      </c>
      <c r="C226" s="27">
        <v>5</v>
      </c>
      <c r="D226" s="19" t="s">
        <v>31</v>
      </c>
      <c r="E226" s="20">
        <v>10200</v>
      </c>
      <c r="F226" s="23" t="s">
        <v>355</v>
      </c>
    </row>
    <row r="227" spans="1:6" ht="25" customHeight="1" x14ac:dyDescent="0.2">
      <c r="A227" s="21" t="s">
        <v>5</v>
      </c>
      <c r="B227" s="18" t="s">
        <v>176</v>
      </c>
      <c r="C227" s="27">
        <v>237</v>
      </c>
      <c r="D227" s="19" t="s">
        <v>56</v>
      </c>
      <c r="E227" s="20">
        <v>70</v>
      </c>
      <c r="F227" s="23" t="s">
        <v>355</v>
      </c>
    </row>
    <row r="228" spans="1:6" ht="25" customHeight="1" x14ac:dyDescent="0.2">
      <c r="A228" s="21" t="s">
        <v>5</v>
      </c>
      <c r="B228" s="18" t="s">
        <v>352</v>
      </c>
      <c r="C228" s="27">
        <v>405</v>
      </c>
      <c r="D228" s="19" t="s">
        <v>56</v>
      </c>
      <c r="E228" s="20">
        <v>54</v>
      </c>
      <c r="F228" s="23" t="s">
        <v>355</v>
      </c>
    </row>
    <row r="229" spans="1:6" ht="25" customHeight="1" x14ac:dyDescent="0.2">
      <c r="A229" s="21" t="s">
        <v>5</v>
      </c>
      <c r="B229" s="18" t="s">
        <v>351</v>
      </c>
      <c r="C229" s="27">
        <v>2025</v>
      </c>
      <c r="D229" s="19" t="s">
        <v>56</v>
      </c>
      <c r="E229" s="20">
        <v>54</v>
      </c>
      <c r="F229" s="23" t="s">
        <v>355</v>
      </c>
    </row>
    <row r="230" spans="1:6" ht="25" customHeight="1" x14ac:dyDescent="0.2">
      <c r="A230" s="18" t="s">
        <v>5</v>
      </c>
      <c r="B230" s="18" t="s">
        <v>183</v>
      </c>
      <c r="C230" s="27">
        <v>8855</v>
      </c>
      <c r="D230" s="19" t="s">
        <v>56</v>
      </c>
      <c r="E230" s="20">
        <v>54</v>
      </c>
      <c r="F230" s="23" t="s">
        <v>355</v>
      </c>
    </row>
    <row r="231" spans="1:6" ht="25" customHeight="1" x14ac:dyDescent="0.2">
      <c r="A231" s="21" t="s">
        <v>5</v>
      </c>
      <c r="B231" s="18" t="s">
        <v>62</v>
      </c>
      <c r="C231" s="27">
        <v>1309</v>
      </c>
      <c r="D231" s="19" t="s">
        <v>56</v>
      </c>
      <c r="E231" s="20">
        <v>4</v>
      </c>
      <c r="F231" s="23" t="s">
        <v>355</v>
      </c>
    </row>
    <row r="232" spans="1:6" ht="25" customHeight="1" x14ac:dyDescent="0.2">
      <c r="A232" s="21" t="s">
        <v>5</v>
      </c>
      <c r="B232" s="18" t="s">
        <v>175</v>
      </c>
      <c r="C232" s="27">
        <v>1</v>
      </c>
      <c r="D232" s="19" t="s">
        <v>72</v>
      </c>
      <c r="E232" s="20">
        <v>25000</v>
      </c>
      <c r="F232" s="23" t="s">
        <v>355</v>
      </c>
    </row>
    <row r="233" spans="1:6" ht="25" customHeight="1" x14ac:dyDescent="0.2">
      <c r="A233" s="21" t="s">
        <v>5</v>
      </c>
      <c r="B233" s="18" t="s">
        <v>6</v>
      </c>
      <c r="C233" s="25">
        <v>0.185</v>
      </c>
      <c r="D233" s="19" t="s">
        <v>7</v>
      </c>
      <c r="E233" s="20"/>
      <c r="F233" s="23" t="s">
        <v>355</v>
      </c>
    </row>
    <row r="234" spans="1:6" ht="25" customHeight="1" x14ac:dyDescent="0.2">
      <c r="A234" s="21" t="s">
        <v>5</v>
      </c>
      <c r="B234" s="18" t="s">
        <v>177</v>
      </c>
      <c r="C234" s="27">
        <f>C229+C230</f>
        <v>10880</v>
      </c>
      <c r="D234" s="19" t="s">
        <v>56</v>
      </c>
      <c r="E234" s="20">
        <v>7.5</v>
      </c>
      <c r="F234" s="23" t="s">
        <v>355</v>
      </c>
    </row>
    <row r="235" spans="1:6" ht="25" customHeight="1" x14ac:dyDescent="0.2">
      <c r="A235" s="21" t="s">
        <v>5</v>
      </c>
      <c r="B235" s="18" t="s">
        <v>177</v>
      </c>
      <c r="C235" s="27">
        <v>1309</v>
      </c>
      <c r="D235" s="19" t="s">
        <v>72</v>
      </c>
      <c r="E235" s="20">
        <v>7.5</v>
      </c>
      <c r="F235" s="23" t="s">
        <v>355</v>
      </c>
    </row>
    <row r="236" spans="1:6" ht="25" customHeight="1" x14ac:dyDescent="0.2">
      <c r="A236" s="18" t="s">
        <v>5</v>
      </c>
      <c r="B236" s="18" t="s">
        <v>177</v>
      </c>
      <c r="C236" s="27">
        <v>8855</v>
      </c>
      <c r="D236" s="19" t="s">
        <v>56</v>
      </c>
      <c r="E236" s="20">
        <v>7.5</v>
      </c>
      <c r="F236" s="23" t="s">
        <v>355</v>
      </c>
    </row>
    <row r="237" spans="1:6" ht="25" customHeight="1" x14ac:dyDescent="0.2">
      <c r="A237" s="21" t="s">
        <v>5</v>
      </c>
      <c r="B237" s="18" t="s">
        <v>41</v>
      </c>
      <c r="C237" s="27">
        <v>1</v>
      </c>
      <c r="D237" s="19" t="s">
        <v>72</v>
      </c>
      <c r="E237" s="20">
        <v>5000</v>
      </c>
      <c r="F237" s="23" t="s">
        <v>355</v>
      </c>
    </row>
    <row r="238" spans="1:6" ht="25" customHeight="1" x14ac:dyDescent="0.2">
      <c r="A238" s="21" t="s">
        <v>5</v>
      </c>
      <c r="B238" s="18" t="s">
        <v>41</v>
      </c>
      <c r="C238" s="27">
        <v>1</v>
      </c>
      <c r="D238" s="19" t="s">
        <v>72</v>
      </c>
      <c r="E238" s="20">
        <v>10000</v>
      </c>
      <c r="F238" s="23" t="s">
        <v>355</v>
      </c>
    </row>
    <row r="239" spans="1:6" ht="25" customHeight="1" x14ac:dyDescent="0.2">
      <c r="A239" s="18" t="s">
        <v>5</v>
      </c>
      <c r="B239" s="18" t="s">
        <v>41</v>
      </c>
      <c r="C239" s="27">
        <v>1</v>
      </c>
      <c r="D239" s="19" t="s">
        <v>72</v>
      </c>
      <c r="E239" s="20">
        <v>10000</v>
      </c>
      <c r="F239" s="23" t="s">
        <v>355</v>
      </c>
    </row>
    <row r="240" spans="1:6" ht="25" customHeight="1" x14ac:dyDescent="0.2">
      <c r="A240" s="21" t="s">
        <v>5</v>
      </c>
      <c r="B240" s="18" t="s">
        <v>180</v>
      </c>
      <c r="C240" s="27">
        <v>1</v>
      </c>
      <c r="D240" s="19" t="s">
        <v>31</v>
      </c>
      <c r="E240" s="20">
        <v>325</v>
      </c>
      <c r="F240" s="23" t="s">
        <v>355</v>
      </c>
    </row>
    <row r="241" spans="1:6" ht="25" customHeight="1" x14ac:dyDescent="0.2">
      <c r="A241" s="21" t="s">
        <v>5</v>
      </c>
      <c r="B241" s="18" t="s">
        <v>181</v>
      </c>
      <c r="C241" s="27">
        <f>C240</f>
        <v>1</v>
      </c>
      <c r="D241" s="19" t="s">
        <v>56</v>
      </c>
      <c r="E241" s="20">
        <v>4</v>
      </c>
      <c r="F241" s="23" t="s">
        <v>355</v>
      </c>
    </row>
    <row r="242" spans="1:6" ht="25" customHeight="1" x14ac:dyDescent="0.2">
      <c r="A242" s="18" t="s">
        <v>5</v>
      </c>
      <c r="B242" s="18" t="s">
        <v>181</v>
      </c>
      <c r="C242" s="27">
        <v>8855</v>
      </c>
      <c r="D242" s="19" t="s">
        <v>56</v>
      </c>
      <c r="E242" s="20">
        <v>4</v>
      </c>
      <c r="F242" s="23" t="s">
        <v>355</v>
      </c>
    </row>
    <row r="243" spans="1:6" ht="25" customHeight="1" x14ac:dyDescent="0.2">
      <c r="A243" s="21" t="s">
        <v>5</v>
      </c>
      <c r="B243" s="18" t="s">
        <v>182</v>
      </c>
      <c r="C243" s="27">
        <v>0</v>
      </c>
      <c r="D243" s="19" t="s">
        <v>72</v>
      </c>
      <c r="E243" s="20">
        <v>10000</v>
      </c>
      <c r="F243" s="23" t="s">
        <v>355</v>
      </c>
    </row>
    <row r="244" spans="1:6" ht="25" customHeight="1" x14ac:dyDescent="0.2">
      <c r="A244" s="18" t="s">
        <v>5</v>
      </c>
      <c r="B244" s="18" t="s">
        <v>182</v>
      </c>
      <c r="C244" s="27">
        <v>286</v>
      </c>
      <c r="D244" s="19" t="s">
        <v>31</v>
      </c>
      <c r="E244" s="20">
        <v>75</v>
      </c>
      <c r="F244" s="23" t="s">
        <v>355</v>
      </c>
    </row>
    <row r="245" spans="1:6" ht="25" customHeight="1" x14ac:dyDescent="0.2">
      <c r="A245" s="18" t="s">
        <v>91</v>
      </c>
      <c r="B245" s="18" t="s">
        <v>92</v>
      </c>
      <c r="C245" s="27">
        <v>1</v>
      </c>
      <c r="D245" s="19" t="s">
        <v>72</v>
      </c>
      <c r="E245" s="20">
        <v>55000</v>
      </c>
      <c r="F245" s="23" t="s">
        <v>355</v>
      </c>
    </row>
    <row r="246" spans="1:6" ht="25" customHeight="1" x14ac:dyDescent="0.2">
      <c r="A246" s="18" t="s">
        <v>91</v>
      </c>
      <c r="B246" s="18" t="s">
        <v>92</v>
      </c>
      <c r="C246" s="27">
        <v>1</v>
      </c>
      <c r="D246" s="19" t="s">
        <v>72</v>
      </c>
      <c r="E246" s="20">
        <v>35000</v>
      </c>
      <c r="F246" s="23" t="s">
        <v>355</v>
      </c>
    </row>
    <row r="247" spans="1:6" ht="25" customHeight="1" x14ac:dyDescent="0.2">
      <c r="A247" s="18" t="s">
        <v>91</v>
      </c>
      <c r="B247" s="18" t="s">
        <v>92</v>
      </c>
      <c r="C247" s="27">
        <v>283</v>
      </c>
      <c r="D247" s="19" t="s">
        <v>31</v>
      </c>
      <c r="E247" s="20">
        <v>750</v>
      </c>
      <c r="F247" s="23" t="s">
        <v>355</v>
      </c>
    </row>
    <row r="248" spans="1:6" ht="25" customHeight="1" x14ac:dyDescent="0.2">
      <c r="A248" s="18" t="s">
        <v>91</v>
      </c>
      <c r="B248" s="18" t="s">
        <v>354</v>
      </c>
      <c r="C248" s="27">
        <v>1</v>
      </c>
      <c r="D248" s="19" t="s">
        <v>72</v>
      </c>
      <c r="E248" s="20">
        <v>15000</v>
      </c>
      <c r="F248" s="23" t="s">
        <v>355</v>
      </c>
    </row>
    <row r="249" spans="1:6" ht="25" customHeight="1" x14ac:dyDescent="0.2">
      <c r="A249" s="18" t="s">
        <v>91</v>
      </c>
      <c r="B249" s="18" t="s">
        <v>354</v>
      </c>
      <c r="C249" s="27">
        <v>1</v>
      </c>
      <c r="D249" s="19" t="s">
        <v>72</v>
      </c>
      <c r="E249" s="20">
        <v>15000</v>
      </c>
      <c r="F249" s="23" t="s">
        <v>355</v>
      </c>
    </row>
    <row r="250" spans="1:6" ht="25" customHeight="1" x14ac:dyDescent="0.2">
      <c r="A250" s="18" t="s">
        <v>91</v>
      </c>
      <c r="B250" s="18" t="s">
        <v>354</v>
      </c>
      <c r="C250" s="27">
        <v>1</v>
      </c>
      <c r="D250" s="19" t="s">
        <v>72</v>
      </c>
      <c r="E250" s="20">
        <v>10000</v>
      </c>
      <c r="F250" s="23" t="s">
        <v>355</v>
      </c>
    </row>
    <row r="251" spans="1:6" ht="25" customHeight="1" x14ac:dyDescent="0.2">
      <c r="A251" s="18" t="s">
        <v>65</v>
      </c>
      <c r="B251" s="18" t="s">
        <v>229</v>
      </c>
      <c r="C251" s="28">
        <v>2</v>
      </c>
      <c r="D251" s="19" t="s">
        <v>31</v>
      </c>
      <c r="E251" s="22">
        <v>4800</v>
      </c>
      <c r="F251" s="23" t="s">
        <v>355</v>
      </c>
    </row>
    <row r="252" spans="1:6" ht="25" customHeight="1" x14ac:dyDescent="0.2">
      <c r="A252" s="18" t="s">
        <v>65</v>
      </c>
      <c r="B252" s="18" t="s">
        <v>214</v>
      </c>
      <c r="C252" s="28">
        <v>57</v>
      </c>
      <c r="D252" s="19" t="s">
        <v>56</v>
      </c>
      <c r="E252" s="22">
        <v>106</v>
      </c>
      <c r="F252" s="23" t="s">
        <v>355</v>
      </c>
    </row>
    <row r="253" spans="1:6" ht="25" customHeight="1" x14ac:dyDescent="0.2">
      <c r="A253" s="18" t="s">
        <v>65</v>
      </c>
      <c r="B253" s="18" t="s">
        <v>227</v>
      </c>
      <c r="C253" s="28">
        <v>199</v>
      </c>
      <c r="D253" s="19" t="s">
        <v>56</v>
      </c>
      <c r="E253" s="22">
        <v>120</v>
      </c>
      <c r="F253" s="23" t="s">
        <v>355</v>
      </c>
    </row>
    <row r="254" spans="1:6" ht="25" customHeight="1" x14ac:dyDescent="0.2">
      <c r="A254" s="18" t="s">
        <v>65</v>
      </c>
      <c r="B254" s="18" t="s">
        <v>216</v>
      </c>
      <c r="C254" s="28">
        <v>30</v>
      </c>
      <c r="D254" s="19" t="s">
        <v>56</v>
      </c>
      <c r="E254" s="22">
        <v>122</v>
      </c>
      <c r="F254" s="23" t="s">
        <v>355</v>
      </c>
    </row>
    <row r="255" spans="1:6" ht="25" customHeight="1" x14ac:dyDescent="0.2">
      <c r="A255" s="18" t="s">
        <v>65</v>
      </c>
      <c r="B255" s="18" t="s">
        <v>226</v>
      </c>
      <c r="C255" s="27">
        <v>89</v>
      </c>
      <c r="D255" s="19" t="s">
        <v>56</v>
      </c>
      <c r="E255" s="20">
        <v>2500</v>
      </c>
      <c r="F255" s="23" t="s">
        <v>355</v>
      </c>
    </row>
    <row r="256" spans="1:6" ht="25" customHeight="1" x14ac:dyDescent="0.2">
      <c r="A256" s="18" t="s">
        <v>65</v>
      </c>
      <c r="B256" s="18" t="s">
        <v>212</v>
      </c>
      <c r="C256" s="28">
        <f>4*174</f>
        <v>696</v>
      </c>
      <c r="D256" s="19" t="s">
        <v>56</v>
      </c>
      <c r="E256" s="22">
        <v>51.910999999999994</v>
      </c>
      <c r="F256" s="23" t="s">
        <v>355</v>
      </c>
    </row>
    <row r="257" spans="1:6" ht="25" customHeight="1" x14ac:dyDescent="0.2">
      <c r="A257" s="18" t="s">
        <v>65</v>
      </c>
      <c r="B257" s="18" t="s">
        <v>211</v>
      </c>
      <c r="C257" s="28">
        <f>4*174</f>
        <v>696</v>
      </c>
      <c r="D257" s="19" t="s">
        <v>56</v>
      </c>
      <c r="E257" s="22">
        <v>93.575499999999991</v>
      </c>
      <c r="F257" s="23" t="s">
        <v>355</v>
      </c>
    </row>
    <row r="258" spans="1:6" ht="25" customHeight="1" x14ac:dyDescent="0.2">
      <c r="A258" s="18" t="s">
        <v>65</v>
      </c>
      <c r="B258" s="18" t="s">
        <v>213</v>
      </c>
      <c r="C258" s="28">
        <v>2</v>
      </c>
      <c r="D258" s="19" t="s">
        <v>31</v>
      </c>
      <c r="E258" s="22">
        <v>4800</v>
      </c>
      <c r="F258" s="23" t="s">
        <v>355</v>
      </c>
    </row>
    <row r="259" spans="1:6" ht="25" customHeight="1" x14ac:dyDescent="0.2">
      <c r="A259" s="18" t="s">
        <v>65</v>
      </c>
      <c r="B259" s="18" t="s">
        <v>228</v>
      </c>
      <c r="C259" s="28">
        <v>2</v>
      </c>
      <c r="D259" s="19" t="s">
        <v>31</v>
      </c>
      <c r="E259" s="22">
        <v>10285</v>
      </c>
      <c r="F259" s="23" t="s">
        <v>355</v>
      </c>
    </row>
    <row r="260" spans="1:6" ht="25" customHeight="1" x14ac:dyDescent="0.2">
      <c r="A260" s="18" t="s">
        <v>65</v>
      </c>
      <c r="B260" s="18" t="s">
        <v>210</v>
      </c>
      <c r="C260" s="28">
        <f>4*174</f>
        <v>696</v>
      </c>
      <c r="D260" s="19" t="s">
        <v>56</v>
      </c>
      <c r="E260" s="22">
        <v>140.43799999999999</v>
      </c>
      <c r="F260" s="23" t="s">
        <v>355</v>
      </c>
    </row>
    <row r="261" spans="1:6" ht="25" customHeight="1" x14ac:dyDescent="0.2">
      <c r="A261" s="18" t="s">
        <v>65</v>
      </c>
      <c r="B261" s="18" t="s">
        <v>215</v>
      </c>
      <c r="C261" s="28">
        <v>1</v>
      </c>
      <c r="D261" s="19" t="s">
        <v>31</v>
      </c>
      <c r="E261" s="22">
        <v>12000</v>
      </c>
      <c r="F261" s="23" t="s">
        <v>355</v>
      </c>
    </row>
    <row r="262" spans="1:6" ht="25" customHeight="1" x14ac:dyDescent="0.2">
      <c r="A262" s="18" t="s">
        <v>65</v>
      </c>
      <c r="B262" s="18" t="s">
        <v>41</v>
      </c>
      <c r="C262" s="27">
        <v>1</v>
      </c>
      <c r="D262" s="19" t="s">
        <v>72</v>
      </c>
      <c r="E262" s="20">
        <v>12500</v>
      </c>
      <c r="F262" s="23" t="s">
        <v>355</v>
      </c>
    </row>
    <row r="263" spans="1:6" ht="25" customHeight="1" x14ac:dyDescent="0.2">
      <c r="A263" s="18" t="s">
        <v>65</v>
      </c>
      <c r="B263" s="18" t="s">
        <v>41</v>
      </c>
      <c r="C263" s="27">
        <v>1</v>
      </c>
      <c r="D263" s="19" t="s">
        <v>72</v>
      </c>
      <c r="E263" s="20">
        <v>12500</v>
      </c>
      <c r="F263" s="23" t="s">
        <v>355</v>
      </c>
    </row>
    <row r="264" spans="1:6" ht="25" customHeight="1" x14ac:dyDescent="0.2">
      <c r="A264" s="18" t="s">
        <v>65</v>
      </c>
      <c r="B264" s="18" t="s">
        <v>41</v>
      </c>
      <c r="C264" s="27">
        <v>1</v>
      </c>
      <c r="D264" s="19" t="s">
        <v>72</v>
      </c>
      <c r="E264" s="20">
        <v>12500</v>
      </c>
      <c r="F264" s="23" t="s">
        <v>355</v>
      </c>
    </row>
    <row r="265" spans="1:6" ht="25" customHeight="1" x14ac:dyDescent="0.2">
      <c r="A265" s="18" t="s">
        <v>65</v>
      </c>
      <c r="B265" s="18" t="s">
        <v>206</v>
      </c>
      <c r="C265" s="28">
        <f>4*174</f>
        <v>696</v>
      </c>
      <c r="D265" s="19" t="s">
        <v>56</v>
      </c>
      <c r="E265" s="22">
        <v>1084.0819999999999</v>
      </c>
      <c r="F265" s="23" t="s">
        <v>355</v>
      </c>
    </row>
    <row r="266" spans="1:6" ht="25" customHeight="1" x14ac:dyDescent="0.2">
      <c r="A266" s="18" t="s">
        <v>65</v>
      </c>
      <c r="B266" s="18" t="s">
        <v>207</v>
      </c>
      <c r="C266" s="28">
        <v>89</v>
      </c>
      <c r="D266" s="19" t="s">
        <v>56</v>
      </c>
      <c r="E266" s="22">
        <v>750</v>
      </c>
      <c r="F266" s="23" t="s">
        <v>355</v>
      </c>
    </row>
    <row r="267" spans="1:6" ht="25" customHeight="1" x14ac:dyDescent="0.2">
      <c r="A267" s="18" t="s">
        <v>65</v>
      </c>
      <c r="B267" s="18" t="s">
        <v>208</v>
      </c>
      <c r="C267" s="28">
        <v>89</v>
      </c>
      <c r="D267" s="19" t="s">
        <v>56</v>
      </c>
      <c r="E267" s="22">
        <v>750</v>
      </c>
      <c r="F267" s="23" t="s">
        <v>355</v>
      </c>
    </row>
    <row r="268" spans="1:6" ht="25" customHeight="1" x14ac:dyDescent="0.2">
      <c r="A268" s="18" t="s">
        <v>65</v>
      </c>
      <c r="B268" s="18" t="s">
        <v>209</v>
      </c>
      <c r="C268" s="28">
        <v>182</v>
      </c>
      <c r="D268" s="19" t="s">
        <v>56</v>
      </c>
      <c r="E268" s="22">
        <v>250</v>
      </c>
      <c r="F268" s="23" t="s">
        <v>355</v>
      </c>
    </row>
    <row r="269" spans="1:6" ht="25" customHeight="1" x14ac:dyDescent="0.2">
      <c r="A269" s="18" t="s">
        <v>65</v>
      </c>
      <c r="B269" s="18" t="s">
        <v>217</v>
      </c>
      <c r="C269" s="27">
        <v>24</v>
      </c>
      <c r="D269" s="19" t="s">
        <v>56</v>
      </c>
      <c r="E269" s="20">
        <v>2500</v>
      </c>
      <c r="F269" s="23" t="s">
        <v>355</v>
      </c>
    </row>
    <row r="270" spans="1:6" ht="25" customHeight="1" x14ac:dyDescent="0.2">
      <c r="A270" s="18" t="s">
        <v>65</v>
      </c>
      <c r="B270" s="18" t="s">
        <v>340</v>
      </c>
      <c r="C270" s="27">
        <v>1</v>
      </c>
      <c r="D270" s="19" t="s">
        <v>72</v>
      </c>
      <c r="E270" s="20">
        <v>7500</v>
      </c>
      <c r="F270" s="23" t="s">
        <v>355</v>
      </c>
    </row>
    <row r="271" spans="1:6" ht="25" customHeight="1" x14ac:dyDescent="0.2">
      <c r="A271" s="18" t="s">
        <v>65</v>
      </c>
      <c r="B271" s="18" t="s">
        <v>341</v>
      </c>
      <c r="C271" s="27">
        <v>18</v>
      </c>
      <c r="D271" s="19" t="s">
        <v>109</v>
      </c>
      <c r="E271" s="20">
        <v>450</v>
      </c>
      <c r="F271" s="23" t="s">
        <v>355</v>
      </c>
    </row>
    <row r="272" spans="1:6" ht="25" customHeight="1" x14ac:dyDescent="0.2">
      <c r="A272" s="18" t="s">
        <v>65</v>
      </c>
      <c r="B272" s="18" t="s">
        <v>219</v>
      </c>
      <c r="C272" s="27">
        <v>1</v>
      </c>
      <c r="D272" s="19" t="s">
        <v>31</v>
      </c>
      <c r="E272" s="20">
        <v>20000</v>
      </c>
      <c r="F272" s="23" t="s">
        <v>355</v>
      </c>
    </row>
    <row r="273" spans="1:37" ht="25" customHeight="1" x14ac:dyDescent="0.2">
      <c r="A273" s="18" t="s">
        <v>65</v>
      </c>
      <c r="B273" s="18" t="s">
        <v>219</v>
      </c>
      <c r="C273" s="27">
        <v>1</v>
      </c>
      <c r="D273" s="19" t="s">
        <v>31</v>
      </c>
      <c r="E273" s="20">
        <v>20000</v>
      </c>
      <c r="F273" s="23" t="s">
        <v>355</v>
      </c>
    </row>
    <row r="274" spans="1:37" ht="25" customHeight="1" x14ac:dyDescent="0.2">
      <c r="A274" s="18" t="s">
        <v>65</v>
      </c>
      <c r="B274" s="18" t="s">
        <v>218</v>
      </c>
      <c r="C274" s="27">
        <v>1</v>
      </c>
      <c r="D274" s="19" t="s">
        <v>31</v>
      </c>
      <c r="E274" s="20">
        <v>20000</v>
      </c>
      <c r="F274" s="23" t="s">
        <v>355</v>
      </c>
    </row>
    <row r="275" spans="1:37" ht="25" customHeight="1" x14ac:dyDescent="0.2">
      <c r="A275" s="18" t="s">
        <v>65</v>
      </c>
      <c r="B275" s="18" t="s">
        <v>218</v>
      </c>
      <c r="C275" s="27">
        <v>1</v>
      </c>
      <c r="D275" s="19" t="s">
        <v>31</v>
      </c>
      <c r="E275" s="20">
        <v>20000</v>
      </c>
      <c r="F275" s="23" t="s">
        <v>355</v>
      </c>
    </row>
    <row r="276" spans="1:37" ht="25" customHeight="1" x14ac:dyDescent="0.2">
      <c r="A276" s="18" t="s">
        <v>65</v>
      </c>
      <c r="B276" s="18" t="s">
        <v>220</v>
      </c>
      <c r="C276" s="27">
        <v>1174</v>
      </c>
      <c r="D276" s="19" t="s">
        <v>106</v>
      </c>
      <c r="E276" s="20">
        <v>35</v>
      </c>
      <c r="F276" s="23" t="s">
        <v>355</v>
      </c>
    </row>
    <row r="277" spans="1:37" ht="25" customHeight="1" thickBot="1" x14ac:dyDescent="0.25">
      <c r="A277" s="18" t="s">
        <v>65</v>
      </c>
      <c r="B277" s="18" t="s">
        <v>221</v>
      </c>
      <c r="C277" s="27">
        <v>6436</v>
      </c>
      <c r="D277" s="19" t="s">
        <v>106</v>
      </c>
      <c r="E277" s="20">
        <v>35</v>
      </c>
      <c r="F277" s="23" t="s">
        <v>355</v>
      </c>
      <c r="I277" s="11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</row>
    <row r="278" spans="1:37" ht="25" customHeight="1" thickTop="1" thickBot="1" x14ac:dyDescent="0.25">
      <c r="A278" s="18" t="s">
        <v>65</v>
      </c>
      <c r="B278" s="18" t="s">
        <v>222</v>
      </c>
      <c r="C278" s="27">
        <v>134</v>
      </c>
      <c r="D278" s="19" t="s">
        <v>106</v>
      </c>
      <c r="E278" s="20">
        <v>35</v>
      </c>
      <c r="F278" s="23" t="s">
        <v>355</v>
      </c>
      <c r="I278" s="12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</row>
    <row r="279" spans="1:37" ht="25" customHeight="1" thickTop="1" thickBot="1" x14ac:dyDescent="0.25">
      <c r="A279" s="18" t="s">
        <v>65</v>
      </c>
      <c r="B279" s="18" t="s">
        <v>223</v>
      </c>
      <c r="C279" s="27">
        <v>385</v>
      </c>
      <c r="D279" s="19" t="s">
        <v>106</v>
      </c>
      <c r="E279" s="20">
        <v>75</v>
      </c>
      <c r="F279" s="23" t="s">
        <v>355</v>
      </c>
      <c r="I279" s="12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</row>
    <row r="280" spans="1:37" ht="25" customHeight="1" thickTop="1" thickBot="1" x14ac:dyDescent="0.25">
      <c r="A280" s="18" t="s">
        <v>65</v>
      </c>
      <c r="B280" s="18" t="s">
        <v>224</v>
      </c>
      <c r="C280" s="27">
        <v>2879</v>
      </c>
      <c r="D280" s="19" t="s">
        <v>106</v>
      </c>
      <c r="E280" s="20">
        <v>75</v>
      </c>
      <c r="F280" s="23" t="s">
        <v>355</v>
      </c>
      <c r="I280" s="12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</row>
    <row r="281" spans="1:37" ht="25" customHeight="1" thickTop="1" thickBot="1" x14ac:dyDescent="0.25">
      <c r="A281" s="18" t="s">
        <v>65</v>
      </c>
      <c r="B281" s="18" t="s">
        <v>225</v>
      </c>
      <c r="C281" s="27">
        <v>863</v>
      </c>
      <c r="D281" s="19" t="s">
        <v>106</v>
      </c>
      <c r="E281" s="20">
        <v>125</v>
      </c>
      <c r="F281" s="23" t="s">
        <v>355</v>
      </c>
      <c r="I281" s="12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</row>
    <row r="282" spans="1:37" ht="25" customHeight="1" thickTop="1" thickBot="1" x14ac:dyDescent="0.25">
      <c r="A282" s="18" t="s">
        <v>94</v>
      </c>
      <c r="B282" s="18" t="s">
        <v>95</v>
      </c>
      <c r="C282" s="27">
        <v>1</v>
      </c>
      <c r="D282" s="19" t="s">
        <v>72</v>
      </c>
      <c r="E282" s="20">
        <v>7500</v>
      </c>
      <c r="F282" s="23" t="s">
        <v>355</v>
      </c>
      <c r="I282" s="12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</row>
    <row r="283" spans="1:37" ht="25" customHeight="1" thickTop="1" thickBot="1" x14ac:dyDescent="0.25">
      <c r="A283" s="18" t="s">
        <v>94</v>
      </c>
      <c r="B283" s="18" t="s">
        <v>95</v>
      </c>
      <c r="C283" s="27">
        <v>1</v>
      </c>
      <c r="D283" s="19" t="s">
        <v>72</v>
      </c>
      <c r="E283" s="20">
        <v>25000</v>
      </c>
      <c r="F283" s="23" t="s">
        <v>355</v>
      </c>
      <c r="I283" s="12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</row>
    <row r="284" spans="1:37" ht="25" customHeight="1" thickTop="1" thickBot="1" x14ac:dyDescent="0.25">
      <c r="A284" s="18" t="s">
        <v>94</v>
      </c>
      <c r="B284" s="18" t="s">
        <v>95</v>
      </c>
      <c r="C284" s="27">
        <v>1</v>
      </c>
      <c r="D284" s="19" t="s">
        <v>72</v>
      </c>
      <c r="E284" s="20">
        <v>20000</v>
      </c>
      <c r="F284" s="23" t="s">
        <v>355</v>
      </c>
      <c r="I284" s="12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</row>
    <row r="285" spans="1:37" ht="25" customHeight="1" thickTop="1" thickBot="1" x14ac:dyDescent="0.25">
      <c r="A285" s="18" t="s">
        <v>94</v>
      </c>
      <c r="B285" s="18" t="s">
        <v>95</v>
      </c>
      <c r="C285" s="27">
        <v>1</v>
      </c>
      <c r="D285" s="19" t="s">
        <v>72</v>
      </c>
      <c r="E285" s="20">
        <v>5000</v>
      </c>
      <c r="F285" s="23" t="s">
        <v>355</v>
      </c>
      <c r="I285" s="12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</row>
    <row r="286" spans="1:37" ht="25" customHeight="1" thickTop="1" thickBot="1" x14ac:dyDescent="0.25">
      <c r="A286" s="18" t="s">
        <v>94</v>
      </c>
      <c r="B286" s="18" t="s">
        <v>95</v>
      </c>
      <c r="C286" s="27">
        <v>1</v>
      </c>
      <c r="D286" s="19" t="s">
        <v>72</v>
      </c>
      <c r="E286" s="20">
        <v>5000</v>
      </c>
      <c r="F286" s="23" t="s">
        <v>355</v>
      </c>
      <c r="I286" s="12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</row>
    <row r="287" spans="1:37" ht="25" customHeight="1" thickTop="1" thickBot="1" x14ac:dyDescent="0.25">
      <c r="A287" s="18" t="s">
        <v>94</v>
      </c>
      <c r="B287" s="18" t="s">
        <v>95</v>
      </c>
      <c r="C287" s="27">
        <v>283</v>
      </c>
      <c r="D287" s="19" t="s">
        <v>31</v>
      </c>
      <c r="E287" s="20">
        <v>275</v>
      </c>
      <c r="F287" s="23" t="s">
        <v>355</v>
      </c>
      <c r="I287" s="12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</row>
    <row r="288" spans="1:37" ht="25" customHeight="1" thickTop="1" thickBot="1" x14ac:dyDescent="0.25">
      <c r="A288" s="18" t="s">
        <v>347</v>
      </c>
      <c r="B288" s="18" t="s">
        <v>144</v>
      </c>
      <c r="C288" s="27">
        <v>0</v>
      </c>
      <c r="D288" s="19" t="s">
        <v>56</v>
      </c>
      <c r="E288" s="20">
        <v>40.625</v>
      </c>
      <c r="F288" s="23" t="s">
        <v>355</v>
      </c>
      <c r="I288" s="12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</row>
    <row r="289" spans="1:37" ht="25" customHeight="1" thickTop="1" thickBot="1" x14ac:dyDescent="0.25">
      <c r="A289" s="18" t="s">
        <v>347</v>
      </c>
      <c r="B289" s="18" t="s">
        <v>145</v>
      </c>
      <c r="C289" s="27">
        <v>0</v>
      </c>
      <c r="D289" s="19" t="s">
        <v>56</v>
      </c>
      <c r="E289" s="20">
        <v>56</v>
      </c>
      <c r="F289" s="23" t="s">
        <v>355</v>
      </c>
      <c r="I289" s="12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</row>
    <row r="290" spans="1:37" ht="25" customHeight="1" thickTop="1" thickBot="1" x14ac:dyDescent="0.25">
      <c r="A290" s="18" t="s">
        <v>347</v>
      </c>
      <c r="B290" s="18" t="s">
        <v>146</v>
      </c>
      <c r="C290" s="27">
        <v>1115</v>
      </c>
      <c r="D290" s="19" t="s">
        <v>56</v>
      </c>
      <c r="E290" s="20">
        <v>63.5</v>
      </c>
      <c r="F290" s="23" t="s">
        <v>355</v>
      </c>
      <c r="I290" s="12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</row>
    <row r="291" spans="1:37" ht="25" customHeight="1" thickTop="1" thickBot="1" x14ac:dyDescent="0.25">
      <c r="A291" s="18" t="s">
        <v>347</v>
      </c>
      <c r="B291" s="18" t="s">
        <v>147</v>
      </c>
      <c r="C291" s="27">
        <v>0</v>
      </c>
      <c r="D291" s="19" t="s">
        <v>56</v>
      </c>
      <c r="E291" s="20">
        <v>70.8</v>
      </c>
      <c r="F291" s="23" t="s">
        <v>355</v>
      </c>
      <c r="I291" s="12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</row>
    <row r="292" spans="1:37" ht="25" customHeight="1" thickTop="1" thickBot="1" x14ac:dyDescent="0.25">
      <c r="A292" s="18" t="s">
        <v>347</v>
      </c>
      <c r="B292" s="18" t="s">
        <v>148</v>
      </c>
      <c r="C292" s="27">
        <v>0</v>
      </c>
      <c r="D292" s="19" t="s">
        <v>56</v>
      </c>
      <c r="E292" s="20">
        <v>78.3</v>
      </c>
      <c r="F292" s="23" t="s">
        <v>355</v>
      </c>
      <c r="I292" s="12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</row>
    <row r="293" spans="1:37" ht="25" customHeight="1" thickTop="1" thickBot="1" x14ac:dyDescent="0.25">
      <c r="A293" s="18" t="s">
        <v>347</v>
      </c>
      <c r="B293" s="18" t="s">
        <v>149</v>
      </c>
      <c r="C293" s="27">
        <v>0</v>
      </c>
      <c r="D293" s="19" t="s">
        <v>56</v>
      </c>
      <c r="E293" s="20">
        <f>78.325+8</f>
        <v>86.325000000000003</v>
      </c>
      <c r="F293" s="23" t="s">
        <v>355</v>
      </c>
      <c r="I293" s="12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</row>
    <row r="294" spans="1:37" ht="25" customHeight="1" thickTop="1" thickBot="1" x14ac:dyDescent="0.25">
      <c r="A294" s="18" t="s">
        <v>347</v>
      </c>
      <c r="B294" s="18" t="s">
        <v>150</v>
      </c>
      <c r="C294" s="27">
        <v>0</v>
      </c>
      <c r="D294" s="19" t="s">
        <v>56</v>
      </c>
      <c r="E294" s="20">
        <f>128.895+8</f>
        <v>136.89500000000001</v>
      </c>
      <c r="F294" s="23" t="s">
        <v>355</v>
      </c>
      <c r="I294" s="12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</row>
    <row r="295" spans="1:37" ht="25" customHeight="1" thickTop="1" thickBot="1" x14ac:dyDescent="0.25">
      <c r="A295" s="18" t="s">
        <v>347</v>
      </c>
      <c r="B295" s="18" t="s">
        <v>151</v>
      </c>
      <c r="C295" s="27">
        <v>0</v>
      </c>
      <c r="D295" s="19" t="s">
        <v>56</v>
      </c>
      <c r="E295" s="20">
        <f>150.475+8</f>
        <v>158.47499999999999</v>
      </c>
      <c r="F295" s="23" t="s">
        <v>355</v>
      </c>
      <c r="I295" s="12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</row>
    <row r="296" spans="1:37" ht="25" customHeight="1" thickTop="1" thickBot="1" x14ac:dyDescent="0.25">
      <c r="A296" s="18" t="s">
        <v>347</v>
      </c>
      <c r="B296" s="18" t="s">
        <v>165</v>
      </c>
      <c r="C296" s="27">
        <v>0</v>
      </c>
      <c r="D296" s="19" t="s">
        <v>31</v>
      </c>
      <c r="E296" s="20">
        <v>0</v>
      </c>
      <c r="F296" s="23" t="s">
        <v>355</v>
      </c>
      <c r="I296" s="12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</row>
    <row r="297" spans="1:37" ht="25" customHeight="1" thickTop="1" thickBot="1" x14ac:dyDescent="0.25">
      <c r="A297" s="18" t="s">
        <v>347</v>
      </c>
      <c r="B297" s="18" t="s">
        <v>153</v>
      </c>
      <c r="C297" s="27">
        <v>0</v>
      </c>
      <c r="D297" s="19" t="s">
        <v>72</v>
      </c>
      <c r="E297" s="20">
        <v>45000</v>
      </c>
      <c r="F297" s="23" t="s">
        <v>355</v>
      </c>
      <c r="I297" s="12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</row>
    <row r="298" spans="1:37" ht="25" customHeight="1" thickTop="1" thickBot="1" x14ac:dyDescent="0.25">
      <c r="A298" s="18" t="s">
        <v>347</v>
      </c>
      <c r="B298" s="18" t="s">
        <v>152</v>
      </c>
      <c r="C298" s="27">
        <v>0</v>
      </c>
      <c r="D298" s="19" t="s">
        <v>56</v>
      </c>
      <c r="E298" s="20">
        <v>15000</v>
      </c>
      <c r="F298" s="23" t="s">
        <v>355</v>
      </c>
      <c r="I298" s="12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</row>
    <row r="299" spans="1:37" ht="25" customHeight="1" thickTop="1" thickBot="1" x14ac:dyDescent="0.25">
      <c r="A299" s="18" t="s">
        <v>347</v>
      </c>
      <c r="B299" s="18" t="s">
        <v>163</v>
      </c>
      <c r="C299" s="27">
        <v>0</v>
      </c>
      <c r="D299" s="19" t="s">
        <v>31</v>
      </c>
      <c r="E299" s="20">
        <v>0</v>
      </c>
      <c r="F299" s="23" t="s">
        <v>355</v>
      </c>
      <c r="I299" s="12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</row>
    <row r="300" spans="1:37" ht="25" customHeight="1" thickTop="1" thickBot="1" x14ac:dyDescent="0.25">
      <c r="A300" s="18" t="s">
        <v>347</v>
      </c>
      <c r="B300" s="18" t="s">
        <v>173</v>
      </c>
      <c r="C300" s="27">
        <v>1</v>
      </c>
      <c r="D300" s="19" t="s">
        <v>72</v>
      </c>
      <c r="E300" s="20">
        <f>5500*4</f>
        <v>22000</v>
      </c>
      <c r="F300" s="23" t="s">
        <v>355</v>
      </c>
      <c r="I300" s="12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</row>
    <row r="301" spans="1:37" ht="25" customHeight="1" thickTop="1" thickBot="1" x14ac:dyDescent="0.25">
      <c r="A301" s="18" t="s">
        <v>347</v>
      </c>
      <c r="B301" s="18" t="s">
        <v>164</v>
      </c>
      <c r="C301" s="27">
        <v>0</v>
      </c>
      <c r="D301" s="19" t="s">
        <v>31</v>
      </c>
      <c r="E301" s="20">
        <v>725</v>
      </c>
      <c r="F301" s="23" t="s">
        <v>355</v>
      </c>
      <c r="I301" s="12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</row>
    <row r="302" spans="1:37" ht="25" customHeight="1" thickTop="1" thickBot="1" x14ac:dyDescent="0.25">
      <c r="A302" s="18" t="s">
        <v>347</v>
      </c>
      <c r="B302" s="18" t="s">
        <v>174</v>
      </c>
      <c r="C302" s="27">
        <v>1</v>
      </c>
      <c r="D302" s="19" t="s">
        <v>72</v>
      </c>
      <c r="E302" s="20">
        <v>2500</v>
      </c>
      <c r="F302" s="23" t="s">
        <v>355</v>
      </c>
      <c r="I302" s="12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</row>
    <row r="303" spans="1:37" ht="25" customHeight="1" thickTop="1" thickBot="1" x14ac:dyDescent="0.25">
      <c r="A303" s="18" t="s">
        <v>347</v>
      </c>
      <c r="B303" s="18" t="s">
        <v>169</v>
      </c>
      <c r="C303" s="27">
        <v>1</v>
      </c>
      <c r="D303" s="19" t="s">
        <v>31</v>
      </c>
      <c r="E303" s="20">
        <v>15000</v>
      </c>
      <c r="F303" s="23" t="s">
        <v>355</v>
      </c>
      <c r="I303" s="12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</row>
    <row r="304" spans="1:37" ht="25" customHeight="1" thickTop="1" thickBot="1" x14ac:dyDescent="0.25">
      <c r="A304" s="18" t="s">
        <v>347</v>
      </c>
      <c r="B304" s="18" t="s">
        <v>171</v>
      </c>
      <c r="C304" s="27">
        <v>1</v>
      </c>
      <c r="D304" s="19" t="s">
        <v>31</v>
      </c>
      <c r="E304" s="20">
        <v>6500</v>
      </c>
      <c r="F304" s="23" t="s">
        <v>355</v>
      </c>
      <c r="I304" s="12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</row>
    <row r="305" spans="1:37" ht="25" customHeight="1" thickTop="1" thickBot="1" x14ac:dyDescent="0.25">
      <c r="A305" s="18" t="s">
        <v>347</v>
      </c>
      <c r="B305" s="18" t="s">
        <v>161</v>
      </c>
      <c r="C305" s="27">
        <v>0</v>
      </c>
      <c r="D305" s="19" t="s">
        <v>56</v>
      </c>
      <c r="E305" s="20">
        <v>48</v>
      </c>
      <c r="F305" s="23" t="s">
        <v>355</v>
      </c>
      <c r="I305" s="12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</row>
    <row r="306" spans="1:37" ht="25" customHeight="1" thickTop="1" thickBot="1" x14ac:dyDescent="0.25">
      <c r="A306" s="18" t="s">
        <v>347</v>
      </c>
      <c r="B306" s="18" t="s">
        <v>162</v>
      </c>
      <c r="C306" s="27">
        <v>0</v>
      </c>
      <c r="D306" s="19" t="s">
        <v>56</v>
      </c>
      <c r="E306" s="20">
        <v>41.5</v>
      </c>
      <c r="F306" s="23" t="s">
        <v>355</v>
      </c>
      <c r="I306" s="12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</row>
    <row r="307" spans="1:37" ht="25" customHeight="1" thickTop="1" thickBot="1" x14ac:dyDescent="0.25">
      <c r="A307" s="18" t="s">
        <v>347</v>
      </c>
      <c r="B307" s="18" t="s">
        <v>41</v>
      </c>
      <c r="C307" s="27">
        <v>1</v>
      </c>
      <c r="D307" s="19" t="s">
        <v>72</v>
      </c>
      <c r="E307" s="20">
        <v>3500</v>
      </c>
      <c r="F307" s="23" t="s">
        <v>355</v>
      </c>
      <c r="I307" s="12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</row>
    <row r="308" spans="1:37" ht="25" customHeight="1" thickTop="1" thickBot="1" x14ac:dyDescent="0.25">
      <c r="A308" s="18" t="s">
        <v>347</v>
      </c>
      <c r="B308" s="18" t="s">
        <v>170</v>
      </c>
      <c r="C308" s="27">
        <v>3</v>
      </c>
      <c r="D308" s="19" t="s">
        <v>31</v>
      </c>
      <c r="E308" s="20">
        <v>7500</v>
      </c>
      <c r="F308" s="23" t="s">
        <v>355</v>
      </c>
      <c r="I308" s="12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</row>
    <row r="309" spans="1:37" ht="25" customHeight="1" thickTop="1" thickBot="1" x14ac:dyDescent="0.25">
      <c r="A309" s="18" t="s">
        <v>347</v>
      </c>
      <c r="B309" s="18" t="s">
        <v>172</v>
      </c>
      <c r="C309" s="27">
        <v>3</v>
      </c>
      <c r="D309" s="19" t="s">
        <v>31</v>
      </c>
      <c r="E309" s="20">
        <v>7500</v>
      </c>
      <c r="F309" s="23" t="s">
        <v>355</v>
      </c>
      <c r="I309" s="12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</row>
    <row r="310" spans="1:37" ht="25" customHeight="1" thickTop="1" thickBot="1" x14ac:dyDescent="0.25">
      <c r="A310" s="18" t="s">
        <v>347</v>
      </c>
      <c r="B310" s="18" t="s">
        <v>167</v>
      </c>
      <c r="C310" s="27">
        <v>0</v>
      </c>
      <c r="D310" s="19" t="s">
        <v>56</v>
      </c>
      <c r="E310" s="20">
        <v>105.67</v>
      </c>
      <c r="F310" s="23" t="s">
        <v>355</v>
      </c>
      <c r="I310" s="12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</row>
    <row r="311" spans="1:37" ht="25" customHeight="1" thickTop="1" thickBot="1" x14ac:dyDescent="0.25">
      <c r="A311" s="18" t="s">
        <v>347</v>
      </c>
      <c r="B311" s="18" t="s">
        <v>168</v>
      </c>
      <c r="C311" s="27">
        <v>0</v>
      </c>
      <c r="D311" s="19" t="s">
        <v>56</v>
      </c>
      <c r="E311" s="20">
        <v>42</v>
      </c>
      <c r="F311" s="23" t="s">
        <v>355</v>
      </c>
      <c r="I311" s="12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</row>
    <row r="312" spans="1:37" ht="25" customHeight="1" thickTop="1" thickBot="1" x14ac:dyDescent="0.25">
      <c r="A312" s="18" t="s">
        <v>347</v>
      </c>
      <c r="B312" s="18" t="s">
        <v>154</v>
      </c>
      <c r="C312" s="27">
        <v>0</v>
      </c>
      <c r="D312" s="19" t="s">
        <v>56</v>
      </c>
      <c r="E312" s="20">
        <v>0.57999999999999996</v>
      </c>
      <c r="F312" s="23" t="s">
        <v>355</v>
      </c>
      <c r="I312" s="12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</row>
    <row r="313" spans="1:37" ht="25" customHeight="1" thickTop="1" thickBot="1" x14ac:dyDescent="0.25">
      <c r="A313" s="18" t="s">
        <v>347</v>
      </c>
      <c r="B313" s="18" t="s">
        <v>160</v>
      </c>
      <c r="C313" s="27">
        <v>124</v>
      </c>
      <c r="D313" s="19" t="s">
        <v>31</v>
      </c>
      <c r="E313" s="20">
        <v>683.55</v>
      </c>
      <c r="F313" s="23" t="s">
        <v>355</v>
      </c>
      <c r="I313" s="12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</row>
    <row r="314" spans="1:37" ht="25" customHeight="1" thickTop="1" thickBot="1" x14ac:dyDescent="0.25">
      <c r="A314" s="18" t="s">
        <v>347</v>
      </c>
      <c r="B314" s="18" t="s">
        <v>158</v>
      </c>
      <c r="C314" s="27">
        <v>5442</v>
      </c>
      <c r="D314" s="19" t="s">
        <v>56</v>
      </c>
      <c r="E314" s="20">
        <v>66</v>
      </c>
      <c r="F314" s="23" t="s">
        <v>355</v>
      </c>
      <c r="I314" s="12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</row>
    <row r="315" spans="1:37" ht="25" customHeight="1" thickTop="1" thickBot="1" x14ac:dyDescent="0.25">
      <c r="A315" s="18" t="s">
        <v>347</v>
      </c>
      <c r="B315" s="18" t="s">
        <v>159</v>
      </c>
      <c r="C315" s="27">
        <v>0</v>
      </c>
      <c r="D315" s="19" t="s">
        <v>56</v>
      </c>
      <c r="E315" s="20">
        <v>54</v>
      </c>
      <c r="F315" s="23" t="s">
        <v>355</v>
      </c>
      <c r="I315" s="12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</row>
    <row r="316" spans="1:37" ht="25" customHeight="1" thickTop="1" thickBot="1" x14ac:dyDescent="0.25">
      <c r="A316" s="18" t="s">
        <v>347</v>
      </c>
      <c r="B316" s="18" t="s">
        <v>157</v>
      </c>
      <c r="C316" s="27">
        <v>107</v>
      </c>
      <c r="D316" s="19" t="s">
        <v>31</v>
      </c>
      <c r="E316" s="20">
        <v>850</v>
      </c>
      <c r="F316" s="23" t="s">
        <v>355</v>
      </c>
      <c r="I316" s="12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</row>
    <row r="317" spans="1:37" ht="25" customHeight="1" thickTop="1" thickBot="1" x14ac:dyDescent="0.25">
      <c r="A317" s="18" t="s">
        <v>347</v>
      </c>
      <c r="B317" s="18" t="s">
        <v>155</v>
      </c>
      <c r="C317" s="27">
        <v>5949</v>
      </c>
      <c r="D317" s="19" t="s">
        <v>56</v>
      </c>
      <c r="E317" s="20">
        <v>76.66</v>
      </c>
      <c r="F317" s="23" t="s">
        <v>355</v>
      </c>
      <c r="I317" s="12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</row>
    <row r="318" spans="1:37" ht="25" customHeight="1" thickTop="1" thickBot="1" x14ac:dyDescent="0.25">
      <c r="A318" s="18" t="s">
        <v>347</v>
      </c>
      <c r="B318" s="18" t="s">
        <v>156</v>
      </c>
      <c r="C318" s="27">
        <v>0</v>
      </c>
      <c r="D318" s="19" t="s">
        <v>56</v>
      </c>
      <c r="E318" s="20">
        <v>64</v>
      </c>
      <c r="F318" s="23" t="s">
        <v>355</v>
      </c>
      <c r="I318" s="12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</row>
    <row r="319" spans="1:37" ht="25" customHeight="1" thickTop="1" thickBot="1" x14ac:dyDescent="0.25">
      <c r="A319" s="18" t="s">
        <v>347</v>
      </c>
      <c r="B319" s="18" t="s">
        <v>166</v>
      </c>
      <c r="C319" s="27">
        <v>0</v>
      </c>
      <c r="D319" s="19" t="s">
        <v>56</v>
      </c>
      <c r="E319" s="20">
        <v>725</v>
      </c>
      <c r="F319" s="23" t="s">
        <v>355</v>
      </c>
      <c r="I319" s="12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</row>
    <row r="320" spans="1:37" ht="25" customHeight="1" thickTop="1" thickBot="1" x14ac:dyDescent="0.25">
      <c r="A320" s="18" t="s">
        <v>99</v>
      </c>
      <c r="B320" s="18" t="s">
        <v>100</v>
      </c>
      <c r="C320" s="27">
        <v>283</v>
      </c>
      <c r="D320" s="19" t="s">
        <v>31</v>
      </c>
      <c r="E320" s="20">
        <v>150</v>
      </c>
      <c r="F320" s="23" t="s">
        <v>355</v>
      </c>
      <c r="I320" s="12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</row>
    <row r="321" spans="1:37" ht="25" customHeight="1" thickTop="1" thickBot="1" x14ac:dyDescent="0.25">
      <c r="A321" s="18" t="s">
        <v>8</v>
      </c>
      <c r="B321" s="18" t="s">
        <v>203</v>
      </c>
      <c r="C321" s="27">
        <v>2</v>
      </c>
      <c r="D321" s="19" t="s">
        <v>31</v>
      </c>
      <c r="E321" s="20">
        <v>2800</v>
      </c>
      <c r="F321" s="23" t="s">
        <v>355</v>
      </c>
      <c r="I321" s="12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</row>
    <row r="322" spans="1:37" ht="25" customHeight="1" thickTop="1" thickBot="1" x14ac:dyDescent="0.25">
      <c r="A322" s="18" t="s">
        <v>8</v>
      </c>
      <c r="B322" s="18" t="s">
        <v>202</v>
      </c>
      <c r="C322" s="27">
        <v>286</v>
      </c>
      <c r="D322" s="19" t="s">
        <v>31</v>
      </c>
      <c r="E322" s="20">
        <v>1550</v>
      </c>
      <c r="F322" s="23" t="s">
        <v>355</v>
      </c>
      <c r="I322" s="12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</row>
    <row r="323" spans="1:37" ht="25" customHeight="1" thickTop="1" thickBot="1" x14ac:dyDescent="0.25">
      <c r="A323" s="18" t="s">
        <v>8</v>
      </c>
      <c r="B323" s="18" t="s">
        <v>192</v>
      </c>
      <c r="C323" s="27">
        <v>11</v>
      </c>
      <c r="D323" s="19" t="s">
        <v>31</v>
      </c>
      <c r="E323" s="20">
        <v>2500</v>
      </c>
      <c r="F323" s="23" t="s">
        <v>355</v>
      </c>
      <c r="I323" s="12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</row>
    <row r="324" spans="1:37" ht="25" customHeight="1" thickTop="1" thickBot="1" x14ac:dyDescent="0.25">
      <c r="A324" s="18" t="s">
        <v>8</v>
      </c>
      <c r="B324" s="18" t="s">
        <v>189</v>
      </c>
      <c r="C324" s="27">
        <v>2</v>
      </c>
      <c r="D324" s="19" t="s">
        <v>31</v>
      </c>
      <c r="E324" s="20">
        <v>6500</v>
      </c>
      <c r="F324" s="23" t="s">
        <v>355</v>
      </c>
      <c r="I324" s="12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</row>
    <row r="325" spans="1:37" ht="25" customHeight="1" thickTop="1" thickBot="1" x14ac:dyDescent="0.25">
      <c r="A325" s="18" t="s">
        <v>8</v>
      </c>
      <c r="B325" s="18" t="s">
        <v>185</v>
      </c>
      <c r="C325" s="27">
        <v>1</v>
      </c>
      <c r="D325" s="19" t="s">
        <v>31</v>
      </c>
      <c r="E325" s="20">
        <v>1200</v>
      </c>
      <c r="F325" s="23" t="s">
        <v>355</v>
      </c>
      <c r="I325" s="12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</row>
    <row r="326" spans="1:37" ht="25" customHeight="1" thickTop="1" thickBot="1" x14ac:dyDescent="0.25">
      <c r="A326" s="18" t="s">
        <v>8</v>
      </c>
      <c r="B326" s="18" t="s">
        <v>185</v>
      </c>
      <c r="C326" s="27">
        <v>1</v>
      </c>
      <c r="D326" s="19" t="s">
        <v>31</v>
      </c>
      <c r="E326" s="20">
        <v>1200</v>
      </c>
      <c r="F326" s="23" t="s">
        <v>355</v>
      </c>
      <c r="I326" s="12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</row>
    <row r="327" spans="1:37" ht="25" customHeight="1" thickTop="1" thickBot="1" x14ac:dyDescent="0.25">
      <c r="A327" s="18" t="s">
        <v>8</v>
      </c>
      <c r="B327" s="18" t="s">
        <v>186</v>
      </c>
      <c r="C327" s="27">
        <v>1340</v>
      </c>
      <c r="D327" s="19" t="s">
        <v>56</v>
      </c>
      <c r="E327" s="20">
        <v>130</v>
      </c>
      <c r="F327" s="23" t="s">
        <v>355</v>
      </c>
      <c r="I327" s="12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</row>
    <row r="328" spans="1:37" ht="25" customHeight="1" thickTop="1" thickBot="1" x14ac:dyDescent="0.25">
      <c r="A328" s="18" t="s">
        <v>8</v>
      </c>
      <c r="B328" s="18" t="s">
        <v>186</v>
      </c>
      <c r="C328" s="27">
        <v>2704</v>
      </c>
      <c r="D328" s="19" t="s">
        <v>56</v>
      </c>
      <c r="E328" s="20">
        <v>130</v>
      </c>
      <c r="F328" s="23" t="s">
        <v>355</v>
      </c>
      <c r="I328" s="12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</row>
    <row r="329" spans="1:37" ht="25" customHeight="1" thickTop="1" thickBot="1" x14ac:dyDescent="0.25">
      <c r="A329" s="18" t="s">
        <v>8</v>
      </c>
      <c r="B329" s="18" t="s">
        <v>35</v>
      </c>
      <c r="C329" s="27">
        <v>1</v>
      </c>
      <c r="D329" s="19" t="s">
        <v>31</v>
      </c>
      <c r="E329" s="20">
        <v>8250</v>
      </c>
      <c r="F329" s="23" t="s">
        <v>355</v>
      </c>
      <c r="I329" s="12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</row>
    <row r="330" spans="1:37" ht="25" customHeight="1" thickTop="1" thickBot="1" x14ac:dyDescent="0.25">
      <c r="A330" s="18" t="s">
        <v>8</v>
      </c>
      <c r="B330" s="18" t="s">
        <v>35</v>
      </c>
      <c r="C330" s="27">
        <v>19</v>
      </c>
      <c r="D330" s="19" t="s">
        <v>31</v>
      </c>
      <c r="E330" s="20">
        <v>1200</v>
      </c>
      <c r="F330" s="23" t="s">
        <v>355</v>
      </c>
      <c r="I330" s="12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</row>
    <row r="331" spans="1:37" ht="25" customHeight="1" thickTop="1" thickBot="1" x14ac:dyDescent="0.25">
      <c r="A331" s="18" t="s">
        <v>8</v>
      </c>
      <c r="B331" s="18" t="s">
        <v>188</v>
      </c>
      <c r="C331" s="27">
        <v>1</v>
      </c>
      <c r="D331" s="19" t="s">
        <v>31</v>
      </c>
      <c r="E331" s="20">
        <v>1850</v>
      </c>
      <c r="F331" s="23" t="s">
        <v>355</v>
      </c>
      <c r="I331" s="12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</row>
    <row r="332" spans="1:37" ht="25" customHeight="1" thickTop="1" thickBot="1" x14ac:dyDescent="0.25">
      <c r="A332" s="18" t="s">
        <v>8</v>
      </c>
      <c r="B332" s="18" t="s">
        <v>36</v>
      </c>
      <c r="C332" s="27">
        <v>8</v>
      </c>
      <c r="D332" s="19" t="s">
        <v>31</v>
      </c>
      <c r="E332" s="20">
        <v>750</v>
      </c>
      <c r="F332" s="23" t="s">
        <v>355</v>
      </c>
      <c r="I332" s="12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</row>
    <row r="333" spans="1:37" ht="25" customHeight="1" thickTop="1" thickBot="1" x14ac:dyDescent="0.25">
      <c r="A333" s="18" t="s">
        <v>8</v>
      </c>
      <c r="B333" s="18" t="s">
        <v>204</v>
      </c>
      <c r="C333" s="27">
        <v>35</v>
      </c>
      <c r="D333" s="19" t="s">
        <v>31</v>
      </c>
      <c r="E333" s="20">
        <v>7500</v>
      </c>
      <c r="F333" s="23" t="s">
        <v>355</v>
      </c>
      <c r="I333" s="12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</row>
    <row r="334" spans="1:37" ht="25" customHeight="1" thickTop="1" thickBot="1" x14ac:dyDescent="0.25">
      <c r="A334" s="18" t="s">
        <v>8</v>
      </c>
      <c r="B334" s="18" t="s">
        <v>194</v>
      </c>
      <c r="C334" s="27">
        <v>10740</v>
      </c>
      <c r="D334" s="19" t="s">
        <v>56</v>
      </c>
      <c r="E334" s="20">
        <v>92</v>
      </c>
      <c r="F334" s="23" t="s">
        <v>355</v>
      </c>
      <c r="I334" s="12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</row>
    <row r="335" spans="1:37" ht="25" customHeight="1" thickTop="1" thickBot="1" x14ac:dyDescent="0.25">
      <c r="A335" s="18" t="s">
        <v>8</v>
      </c>
      <c r="B335" s="18" t="s">
        <v>200</v>
      </c>
      <c r="C335" s="27">
        <v>1</v>
      </c>
      <c r="D335" s="19" t="s">
        <v>31</v>
      </c>
      <c r="E335" s="20">
        <v>750</v>
      </c>
      <c r="F335" s="23" t="s">
        <v>355</v>
      </c>
      <c r="I335" s="12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</row>
    <row r="336" spans="1:37" ht="25" customHeight="1" thickTop="1" thickBot="1" x14ac:dyDescent="0.25">
      <c r="A336" s="18" t="s">
        <v>8</v>
      </c>
      <c r="B336" s="18" t="s">
        <v>191</v>
      </c>
      <c r="C336" s="27">
        <v>4</v>
      </c>
      <c r="D336" s="19" t="s">
        <v>31</v>
      </c>
      <c r="E336" s="20">
        <v>500</v>
      </c>
      <c r="F336" s="23" t="s">
        <v>355</v>
      </c>
      <c r="I336" s="12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</row>
    <row r="337" spans="1:37" ht="25" customHeight="1" thickTop="1" thickBot="1" x14ac:dyDescent="0.25">
      <c r="A337" s="18" t="s">
        <v>8</v>
      </c>
      <c r="B337" s="18" t="s">
        <v>193</v>
      </c>
      <c r="C337" s="27">
        <v>9</v>
      </c>
      <c r="D337" s="19" t="s">
        <v>31</v>
      </c>
      <c r="E337" s="20">
        <v>2400</v>
      </c>
      <c r="F337" s="23" t="s">
        <v>355</v>
      </c>
      <c r="I337" s="12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</row>
    <row r="338" spans="1:37" ht="25" customHeight="1" thickTop="1" thickBot="1" x14ac:dyDescent="0.25">
      <c r="A338" s="18" t="s">
        <v>8</v>
      </c>
      <c r="B338" s="18" t="s">
        <v>193</v>
      </c>
      <c r="C338" s="27">
        <v>28</v>
      </c>
      <c r="D338" s="19" t="s">
        <v>31</v>
      </c>
      <c r="E338" s="20">
        <v>2400</v>
      </c>
      <c r="F338" s="23" t="s">
        <v>355</v>
      </c>
      <c r="I338" s="12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</row>
    <row r="339" spans="1:37" ht="25" customHeight="1" thickTop="1" thickBot="1" x14ac:dyDescent="0.25">
      <c r="A339" s="18" t="s">
        <v>8</v>
      </c>
      <c r="B339" s="18" t="s">
        <v>201</v>
      </c>
      <c r="C339" s="27">
        <v>2</v>
      </c>
      <c r="D339" s="19" t="s">
        <v>31</v>
      </c>
      <c r="E339" s="20">
        <v>7500</v>
      </c>
      <c r="F339" s="23" t="s">
        <v>355</v>
      </c>
      <c r="I339" s="12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</row>
    <row r="340" spans="1:37" ht="25" customHeight="1" thickTop="1" thickBot="1" x14ac:dyDescent="0.25">
      <c r="A340" s="18" t="s">
        <v>8</v>
      </c>
      <c r="B340" s="18" t="s">
        <v>196</v>
      </c>
      <c r="C340" s="27">
        <v>4</v>
      </c>
      <c r="D340" s="19" t="s">
        <v>31</v>
      </c>
      <c r="E340" s="20">
        <v>670</v>
      </c>
      <c r="F340" s="23" t="s">
        <v>355</v>
      </c>
      <c r="I340" s="12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</row>
    <row r="341" spans="1:37" ht="25" customHeight="1" thickTop="1" thickBot="1" x14ac:dyDescent="0.25">
      <c r="A341" s="18" t="s">
        <v>8</v>
      </c>
      <c r="B341" s="18" t="s">
        <v>197</v>
      </c>
      <c r="C341" s="27"/>
      <c r="D341" s="19" t="s">
        <v>31</v>
      </c>
      <c r="E341" s="20">
        <v>670</v>
      </c>
      <c r="F341" s="23" t="s">
        <v>355</v>
      </c>
      <c r="I341" s="12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</row>
    <row r="342" spans="1:37" ht="25" customHeight="1" thickTop="1" thickBot="1" x14ac:dyDescent="0.25">
      <c r="A342" s="18" t="s">
        <v>8</v>
      </c>
      <c r="B342" s="18" t="s">
        <v>198</v>
      </c>
      <c r="C342" s="27">
        <v>24</v>
      </c>
      <c r="D342" s="19" t="s">
        <v>31</v>
      </c>
      <c r="E342" s="20">
        <v>670</v>
      </c>
      <c r="F342" s="23" t="s">
        <v>355</v>
      </c>
      <c r="I342" s="12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</row>
    <row r="343" spans="1:37" ht="25" customHeight="1" thickTop="1" thickBot="1" x14ac:dyDescent="0.25">
      <c r="A343" s="18" t="s">
        <v>8</v>
      </c>
      <c r="B343" s="18" t="s">
        <v>195</v>
      </c>
      <c r="C343" s="27">
        <v>5</v>
      </c>
      <c r="D343" s="19" t="s">
        <v>31</v>
      </c>
      <c r="E343" s="20">
        <v>670</v>
      </c>
      <c r="F343" s="23" t="s">
        <v>355</v>
      </c>
      <c r="I343" s="12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</row>
    <row r="344" spans="1:37" ht="25" customHeight="1" thickTop="1" thickBot="1" x14ac:dyDescent="0.25">
      <c r="A344" s="18" t="s">
        <v>8</v>
      </c>
      <c r="B344" s="18" t="s">
        <v>199</v>
      </c>
      <c r="C344" s="27"/>
      <c r="D344" s="19" t="s">
        <v>31</v>
      </c>
      <c r="E344" s="20">
        <v>670</v>
      </c>
      <c r="F344" s="23" t="s">
        <v>355</v>
      </c>
      <c r="I344" s="12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</row>
    <row r="345" spans="1:37" ht="25" customHeight="1" thickTop="1" thickBot="1" x14ac:dyDescent="0.25">
      <c r="A345" s="18" t="s">
        <v>8</v>
      </c>
      <c r="B345" s="18" t="s">
        <v>190</v>
      </c>
      <c r="C345" s="27">
        <v>3</v>
      </c>
      <c r="D345" s="19" t="s">
        <v>31</v>
      </c>
      <c r="E345" s="20">
        <v>4800</v>
      </c>
      <c r="F345" s="23" t="s">
        <v>355</v>
      </c>
      <c r="I345" s="12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</row>
    <row r="346" spans="1:37" ht="25" customHeight="1" thickTop="1" thickBot="1" x14ac:dyDescent="0.25">
      <c r="A346" s="18" t="s">
        <v>8</v>
      </c>
      <c r="B346" s="18" t="s">
        <v>190</v>
      </c>
      <c r="C346" s="27">
        <v>3</v>
      </c>
      <c r="D346" s="19" t="s">
        <v>31</v>
      </c>
      <c r="E346" s="20">
        <v>4800</v>
      </c>
      <c r="F346" s="23" t="s">
        <v>355</v>
      </c>
      <c r="I346" s="12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</row>
    <row r="347" spans="1:37" ht="25" customHeight="1" thickTop="1" thickBot="1" x14ac:dyDescent="0.25">
      <c r="A347" s="18" t="s">
        <v>8</v>
      </c>
      <c r="B347" s="18" t="s">
        <v>187</v>
      </c>
      <c r="C347" s="27">
        <v>1</v>
      </c>
      <c r="D347" s="19" t="s">
        <v>72</v>
      </c>
      <c r="E347" s="20">
        <v>25000</v>
      </c>
      <c r="F347" s="23" t="s">
        <v>355</v>
      </c>
      <c r="I347" s="12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</row>
    <row r="348" spans="1:37" ht="25" customHeight="1" thickTop="1" thickBot="1" x14ac:dyDescent="0.25">
      <c r="A348" s="18" t="s">
        <v>8</v>
      </c>
      <c r="B348" s="18" t="s">
        <v>38</v>
      </c>
      <c r="C348" s="27">
        <v>1</v>
      </c>
      <c r="D348" s="19" t="s">
        <v>31</v>
      </c>
      <c r="E348" s="20">
        <v>7500</v>
      </c>
      <c r="F348" s="23" t="s">
        <v>355</v>
      </c>
      <c r="I348" s="12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</row>
    <row r="349" spans="1:37" ht="25" customHeight="1" thickTop="1" thickBot="1" x14ac:dyDescent="0.25">
      <c r="A349" s="18" t="s">
        <v>8</v>
      </c>
      <c r="B349" s="18" t="s">
        <v>38</v>
      </c>
      <c r="C349" s="27">
        <v>4</v>
      </c>
      <c r="D349" s="19" t="s">
        <v>31</v>
      </c>
      <c r="E349" s="20">
        <v>7500</v>
      </c>
      <c r="F349" s="23" t="s">
        <v>355</v>
      </c>
      <c r="I349" s="12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</row>
    <row r="350" spans="1:37" ht="25" customHeight="1" thickTop="1" thickBot="1" x14ac:dyDescent="0.25">
      <c r="A350" s="18" t="s">
        <v>8</v>
      </c>
      <c r="B350" s="18" t="s">
        <v>41</v>
      </c>
      <c r="C350" s="27">
        <v>1</v>
      </c>
      <c r="D350" s="19" t="s">
        <v>31</v>
      </c>
      <c r="E350" s="20">
        <v>8000</v>
      </c>
      <c r="F350" s="23" t="s">
        <v>355</v>
      </c>
      <c r="I350" s="12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</row>
    <row r="351" spans="1:37" ht="25" customHeight="1" thickTop="1" thickBot="1" x14ac:dyDescent="0.25">
      <c r="A351" s="18" t="s">
        <v>8</v>
      </c>
      <c r="B351" s="18" t="s">
        <v>41</v>
      </c>
      <c r="C351" s="27">
        <v>1</v>
      </c>
      <c r="D351" s="19" t="s">
        <v>31</v>
      </c>
      <c r="E351" s="20">
        <v>8000</v>
      </c>
      <c r="F351" s="23" t="s">
        <v>355</v>
      </c>
      <c r="I351" s="12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</row>
    <row r="352" spans="1:37" ht="25" customHeight="1" thickTop="1" thickBot="1" x14ac:dyDescent="0.25">
      <c r="A352" s="18" t="s">
        <v>8</v>
      </c>
      <c r="B352" s="18" t="s">
        <v>41</v>
      </c>
      <c r="C352" s="27">
        <v>1</v>
      </c>
      <c r="D352" s="19" t="s">
        <v>31</v>
      </c>
      <c r="E352" s="20">
        <v>7500</v>
      </c>
      <c r="F352" s="23" t="s">
        <v>355</v>
      </c>
      <c r="I352" s="12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</row>
    <row r="353" spans="1:37" ht="25" customHeight="1" thickTop="1" thickBot="1" x14ac:dyDescent="0.25">
      <c r="A353" s="18" t="s">
        <v>8</v>
      </c>
      <c r="B353" s="18" t="s">
        <v>205</v>
      </c>
      <c r="C353" s="27">
        <f>C341</f>
        <v>0</v>
      </c>
      <c r="D353" s="19" t="s">
        <v>72</v>
      </c>
      <c r="E353" s="20">
        <v>3</v>
      </c>
      <c r="F353" s="23" t="s">
        <v>355</v>
      </c>
      <c r="I353" s="12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</row>
    <row r="354" spans="1:37" ht="25" customHeight="1" thickTop="1" thickBot="1" x14ac:dyDescent="0.25">
      <c r="A354" s="18" t="s">
        <v>8</v>
      </c>
      <c r="B354" s="18" t="s">
        <v>83</v>
      </c>
      <c r="C354" s="27">
        <v>1</v>
      </c>
      <c r="D354" s="19" t="s">
        <v>72</v>
      </c>
      <c r="E354" s="20">
        <v>2500</v>
      </c>
      <c r="F354" s="23" t="s">
        <v>355</v>
      </c>
      <c r="I354" s="12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</row>
    <row r="355" spans="1:37" ht="25" customHeight="1" thickTop="1" thickBot="1" x14ac:dyDescent="0.25">
      <c r="A355" s="18" t="s">
        <v>8</v>
      </c>
      <c r="B355" s="18" t="s">
        <v>84</v>
      </c>
      <c r="C355" s="27">
        <v>1</v>
      </c>
      <c r="D355" s="19" t="s">
        <v>72</v>
      </c>
      <c r="E355" s="20">
        <v>16000</v>
      </c>
      <c r="F355" s="23" t="s">
        <v>355</v>
      </c>
      <c r="I355" s="12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</row>
    <row r="356" spans="1:37" ht="25" customHeight="1" thickTop="1" thickBot="1" x14ac:dyDescent="0.25">
      <c r="I356" s="12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</row>
    <row r="357" spans="1:37" ht="25" customHeight="1" thickTop="1" thickBot="1" x14ac:dyDescent="0.25">
      <c r="I357" s="12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</row>
    <row r="358" spans="1:37" ht="25" customHeight="1" thickTop="1" thickBot="1" x14ac:dyDescent="0.25">
      <c r="I358" s="12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</row>
    <row r="359" spans="1:37" ht="25" customHeight="1" thickTop="1" thickBot="1" x14ac:dyDescent="0.25">
      <c r="I359" s="12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</row>
    <row r="360" spans="1:37" ht="25" customHeight="1" thickTop="1" thickBot="1" x14ac:dyDescent="0.25">
      <c r="I360" s="12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</row>
    <row r="361" spans="1:37" ht="25" customHeight="1" thickTop="1" thickBot="1" x14ac:dyDescent="0.25">
      <c r="I361" s="12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</row>
    <row r="362" spans="1:37" ht="25" customHeight="1" thickTop="1" thickBot="1" x14ac:dyDescent="0.25">
      <c r="I362" s="12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</row>
    <row r="363" spans="1:37" ht="25" customHeight="1" thickTop="1" thickBot="1" x14ac:dyDescent="0.25">
      <c r="I363" s="12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</row>
    <row r="364" spans="1:37" ht="25" customHeight="1" thickTop="1" thickBot="1" x14ac:dyDescent="0.25">
      <c r="I364" s="12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</row>
    <row r="365" spans="1:37" ht="25" customHeight="1" thickTop="1" thickBot="1" x14ac:dyDescent="0.25">
      <c r="I365" s="12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</row>
    <row r="366" spans="1:37" ht="25" customHeight="1" thickTop="1" thickBot="1" x14ac:dyDescent="0.25">
      <c r="I366" s="12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</row>
    <row r="367" spans="1:37" ht="25" customHeight="1" thickTop="1" thickBot="1" x14ac:dyDescent="0.25">
      <c r="I367" s="12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</row>
    <row r="368" spans="1:37" ht="25" customHeight="1" thickTop="1" thickBot="1" x14ac:dyDescent="0.25">
      <c r="I368" s="12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</row>
    <row r="369" ht="25" customHeight="1" thickTop="1" x14ac:dyDescent="0.2"/>
  </sheetData>
  <phoneticPr fontId="13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A37D-885E-4440-B77A-DB9FD168BDEA}">
  <sheetPr>
    <tabColor rgb="FF7CE38B"/>
  </sheetPr>
  <dimension ref="A1:DZ488"/>
  <sheetViews>
    <sheetView topLeftCell="A2" workbookViewId="0"/>
  </sheetViews>
  <sheetFormatPr baseColWidth="10" defaultColWidth="0" defaultRowHeight="0" customHeight="1" zeroHeight="1" x14ac:dyDescent="0.2"/>
  <cols>
    <col min="1" max="1" width="13.83203125" customWidth="1"/>
    <col min="2" max="2" width="35.1640625" customWidth="1"/>
    <col min="3" max="3" width="35.1640625" style="1" customWidth="1"/>
    <col min="4" max="4" width="9" style="1" customWidth="1"/>
    <col min="5" max="5" width="11.6640625" style="1" customWidth="1"/>
    <col min="6" max="6" width="17.5" customWidth="1"/>
    <col min="7" max="13" width="9" customWidth="1"/>
    <col min="14" max="118" width="1.5" customWidth="1"/>
    <col min="119" max="130" width="0" hidden="1" customWidth="1"/>
    <col min="131" max="16384" width="9" hidden="1"/>
  </cols>
  <sheetData>
    <row r="1" spans="1:118" ht="14" hidden="1" x14ac:dyDescent="0.2">
      <c r="F1" s="2" t="e">
        <f>#REF!+1</f>
        <v>#REF!</v>
      </c>
      <c r="G1" s="2" t="e">
        <f t="shared" ref="G1:BR1" si="0">F1+1</f>
        <v>#REF!</v>
      </c>
      <c r="H1" s="2" t="e">
        <f t="shared" si="0"/>
        <v>#REF!</v>
      </c>
      <c r="I1" s="2" t="e">
        <f t="shared" si="0"/>
        <v>#REF!</v>
      </c>
      <c r="J1" s="2" t="e">
        <f t="shared" si="0"/>
        <v>#REF!</v>
      </c>
      <c r="K1" s="2" t="e">
        <f t="shared" si="0"/>
        <v>#REF!</v>
      </c>
      <c r="L1" s="2" t="e">
        <f t="shared" si="0"/>
        <v>#REF!</v>
      </c>
      <c r="M1" s="2" t="e">
        <f t="shared" si="0"/>
        <v>#REF!</v>
      </c>
      <c r="N1" s="2" t="e">
        <f t="shared" si="0"/>
        <v>#REF!</v>
      </c>
      <c r="O1" s="2" t="e">
        <f t="shared" si="0"/>
        <v>#REF!</v>
      </c>
      <c r="P1" s="2" t="e">
        <f t="shared" si="0"/>
        <v>#REF!</v>
      </c>
      <c r="Q1" s="2" t="e">
        <f t="shared" si="0"/>
        <v>#REF!</v>
      </c>
      <c r="R1" s="2" t="e">
        <f t="shared" si="0"/>
        <v>#REF!</v>
      </c>
      <c r="S1" s="2" t="e">
        <f t="shared" si="0"/>
        <v>#REF!</v>
      </c>
      <c r="T1" s="2" t="e">
        <f t="shared" si="0"/>
        <v>#REF!</v>
      </c>
      <c r="U1" s="2" t="e">
        <f t="shared" si="0"/>
        <v>#REF!</v>
      </c>
      <c r="V1" s="2" t="e">
        <f t="shared" si="0"/>
        <v>#REF!</v>
      </c>
      <c r="W1" s="2" t="e">
        <f t="shared" si="0"/>
        <v>#REF!</v>
      </c>
      <c r="X1" s="2" t="e">
        <f t="shared" si="0"/>
        <v>#REF!</v>
      </c>
      <c r="Y1" s="2" t="e">
        <f t="shared" si="0"/>
        <v>#REF!</v>
      </c>
      <c r="Z1" s="2" t="e">
        <f t="shared" si="0"/>
        <v>#REF!</v>
      </c>
      <c r="AA1" s="2" t="e">
        <f t="shared" si="0"/>
        <v>#REF!</v>
      </c>
      <c r="AB1" s="2" t="e">
        <f t="shared" si="0"/>
        <v>#REF!</v>
      </c>
      <c r="AC1" s="2" t="e">
        <f t="shared" si="0"/>
        <v>#REF!</v>
      </c>
      <c r="AD1" s="2" t="e">
        <f t="shared" si="0"/>
        <v>#REF!</v>
      </c>
      <c r="AE1" s="2" t="e">
        <f t="shared" si="0"/>
        <v>#REF!</v>
      </c>
      <c r="AF1" s="2" t="e">
        <f t="shared" si="0"/>
        <v>#REF!</v>
      </c>
      <c r="AG1" s="2" t="e">
        <f t="shared" si="0"/>
        <v>#REF!</v>
      </c>
      <c r="AH1" s="2" t="e">
        <f t="shared" si="0"/>
        <v>#REF!</v>
      </c>
      <c r="AI1" s="2" t="e">
        <f t="shared" si="0"/>
        <v>#REF!</v>
      </c>
      <c r="AJ1" s="2" t="e">
        <f t="shared" si="0"/>
        <v>#REF!</v>
      </c>
      <c r="AK1" s="2" t="e">
        <f t="shared" si="0"/>
        <v>#REF!</v>
      </c>
      <c r="AL1" s="2" t="e">
        <f t="shared" si="0"/>
        <v>#REF!</v>
      </c>
      <c r="AM1" s="2" t="e">
        <f t="shared" si="0"/>
        <v>#REF!</v>
      </c>
      <c r="AN1" s="2" t="e">
        <f t="shared" si="0"/>
        <v>#REF!</v>
      </c>
      <c r="AO1" s="2" t="e">
        <f t="shared" si="0"/>
        <v>#REF!</v>
      </c>
      <c r="AP1" s="2" t="e">
        <f t="shared" si="0"/>
        <v>#REF!</v>
      </c>
      <c r="AQ1" s="2" t="e">
        <f t="shared" si="0"/>
        <v>#REF!</v>
      </c>
      <c r="AR1" s="2" t="e">
        <f t="shared" si="0"/>
        <v>#REF!</v>
      </c>
      <c r="AS1" s="2" t="e">
        <f t="shared" si="0"/>
        <v>#REF!</v>
      </c>
      <c r="AT1" s="2" t="e">
        <f t="shared" si="0"/>
        <v>#REF!</v>
      </c>
      <c r="AU1" s="2" t="e">
        <f t="shared" si="0"/>
        <v>#REF!</v>
      </c>
      <c r="AV1" s="2" t="e">
        <f t="shared" si="0"/>
        <v>#REF!</v>
      </c>
      <c r="AW1" s="2" t="e">
        <f t="shared" si="0"/>
        <v>#REF!</v>
      </c>
      <c r="AX1" s="2" t="e">
        <f t="shared" si="0"/>
        <v>#REF!</v>
      </c>
      <c r="AY1" s="2" t="e">
        <f t="shared" si="0"/>
        <v>#REF!</v>
      </c>
      <c r="AZ1" s="2" t="e">
        <f t="shared" si="0"/>
        <v>#REF!</v>
      </c>
      <c r="BA1" s="2" t="e">
        <f t="shared" si="0"/>
        <v>#REF!</v>
      </c>
      <c r="BB1" s="2" t="e">
        <f t="shared" si="0"/>
        <v>#REF!</v>
      </c>
      <c r="BC1" s="2" t="e">
        <f t="shared" si="0"/>
        <v>#REF!</v>
      </c>
      <c r="BD1" s="2" t="e">
        <f t="shared" si="0"/>
        <v>#REF!</v>
      </c>
      <c r="BE1" s="2" t="e">
        <f t="shared" si="0"/>
        <v>#REF!</v>
      </c>
      <c r="BF1" s="2" t="e">
        <f t="shared" si="0"/>
        <v>#REF!</v>
      </c>
      <c r="BG1" s="2" t="e">
        <f t="shared" si="0"/>
        <v>#REF!</v>
      </c>
      <c r="BH1" s="2" t="e">
        <f t="shared" si="0"/>
        <v>#REF!</v>
      </c>
      <c r="BI1" s="2" t="e">
        <f t="shared" si="0"/>
        <v>#REF!</v>
      </c>
      <c r="BJ1" s="2" t="e">
        <f t="shared" si="0"/>
        <v>#REF!</v>
      </c>
      <c r="BK1" s="2" t="e">
        <f t="shared" si="0"/>
        <v>#REF!</v>
      </c>
      <c r="BL1" s="2" t="e">
        <f t="shared" si="0"/>
        <v>#REF!</v>
      </c>
      <c r="BM1" s="2" t="e">
        <f t="shared" si="0"/>
        <v>#REF!</v>
      </c>
      <c r="BN1" s="2" t="e">
        <f t="shared" si="0"/>
        <v>#REF!</v>
      </c>
      <c r="BO1" s="2" t="e">
        <f t="shared" si="0"/>
        <v>#REF!</v>
      </c>
      <c r="BP1" s="2" t="e">
        <f t="shared" si="0"/>
        <v>#REF!</v>
      </c>
      <c r="BQ1" s="2" t="e">
        <f t="shared" si="0"/>
        <v>#REF!</v>
      </c>
      <c r="BR1" s="2" t="e">
        <f t="shared" si="0"/>
        <v>#REF!</v>
      </c>
      <c r="BS1" s="2" t="e">
        <f t="shared" ref="BS1:DN1" si="1">BR1+1</f>
        <v>#REF!</v>
      </c>
      <c r="BT1" s="2" t="e">
        <f t="shared" si="1"/>
        <v>#REF!</v>
      </c>
      <c r="BU1" s="2" t="e">
        <f t="shared" si="1"/>
        <v>#REF!</v>
      </c>
      <c r="BV1" s="2" t="e">
        <f t="shared" si="1"/>
        <v>#REF!</v>
      </c>
      <c r="BW1" s="2" t="e">
        <f t="shared" si="1"/>
        <v>#REF!</v>
      </c>
      <c r="BX1" s="2" t="e">
        <f t="shared" si="1"/>
        <v>#REF!</v>
      </c>
      <c r="BY1" s="2" t="e">
        <f t="shared" si="1"/>
        <v>#REF!</v>
      </c>
      <c r="BZ1" s="2" t="e">
        <f t="shared" si="1"/>
        <v>#REF!</v>
      </c>
      <c r="CA1" s="2" t="e">
        <f t="shared" si="1"/>
        <v>#REF!</v>
      </c>
      <c r="CB1" s="2" t="e">
        <f t="shared" si="1"/>
        <v>#REF!</v>
      </c>
      <c r="CC1" s="2" t="e">
        <f t="shared" si="1"/>
        <v>#REF!</v>
      </c>
      <c r="CD1" s="2" t="e">
        <f t="shared" si="1"/>
        <v>#REF!</v>
      </c>
      <c r="CE1" s="2" t="e">
        <f t="shared" si="1"/>
        <v>#REF!</v>
      </c>
      <c r="CF1" s="2" t="e">
        <f t="shared" si="1"/>
        <v>#REF!</v>
      </c>
      <c r="CG1" s="2" t="e">
        <f t="shared" si="1"/>
        <v>#REF!</v>
      </c>
      <c r="CH1" s="2" t="e">
        <f t="shared" si="1"/>
        <v>#REF!</v>
      </c>
      <c r="CI1" s="2" t="e">
        <f t="shared" si="1"/>
        <v>#REF!</v>
      </c>
      <c r="CJ1" s="2" t="e">
        <f t="shared" si="1"/>
        <v>#REF!</v>
      </c>
      <c r="CK1" s="2" t="e">
        <f t="shared" si="1"/>
        <v>#REF!</v>
      </c>
      <c r="CL1" s="2" t="e">
        <f t="shared" si="1"/>
        <v>#REF!</v>
      </c>
      <c r="CM1" s="2" t="e">
        <f t="shared" si="1"/>
        <v>#REF!</v>
      </c>
      <c r="CN1" s="2" t="e">
        <f t="shared" si="1"/>
        <v>#REF!</v>
      </c>
      <c r="CO1" s="2" t="e">
        <f t="shared" si="1"/>
        <v>#REF!</v>
      </c>
      <c r="CP1" s="2" t="e">
        <f t="shared" si="1"/>
        <v>#REF!</v>
      </c>
      <c r="CQ1" s="2" t="e">
        <f t="shared" si="1"/>
        <v>#REF!</v>
      </c>
      <c r="CR1" s="2" t="e">
        <f t="shared" si="1"/>
        <v>#REF!</v>
      </c>
      <c r="CS1" s="2" t="e">
        <f t="shared" si="1"/>
        <v>#REF!</v>
      </c>
      <c r="CT1" s="2" t="e">
        <f t="shared" si="1"/>
        <v>#REF!</v>
      </c>
      <c r="CU1" s="2" t="e">
        <f t="shared" si="1"/>
        <v>#REF!</v>
      </c>
      <c r="CV1" s="2" t="e">
        <f t="shared" si="1"/>
        <v>#REF!</v>
      </c>
      <c r="CW1" s="2" t="e">
        <f t="shared" si="1"/>
        <v>#REF!</v>
      </c>
      <c r="CX1" s="2" t="e">
        <f t="shared" si="1"/>
        <v>#REF!</v>
      </c>
      <c r="CY1" s="2" t="e">
        <f t="shared" si="1"/>
        <v>#REF!</v>
      </c>
      <c r="CZ1" s="2" t="e">
        <f t="shared" si="1"/>
        <v>#REF!</v>
      </c>
      <c r="DA1" s="2" t="e">
        <f t="shared" si="1"/>
        <v>#REF!</v>
      </c>
      <c r="DB1" s="2" t="e">
        <f t="shared" si="1"/>
        <v>#REF!</v>
      </c>
      <c r="DC1" s="2" t="e">
        <f t="shared" si="1"/>
        <v>#REF!</v>
      </c>
      <c r="DD1" s="2" t="e">
        <f t="shared" si="1"/>
        <v>#REF!</v>
      </c>
      <c r="DE1" s="2" t="e">
        <f t="shared" si="1"/>
        <v>#REF!</v>
      </c>
      <c r="DF1" s="2" t="e">
        <f t="shared" si="1"/>
        <v>#REF!</v>
      </c>
      <c r="DG1" s="2" t="e">
        <f t="shared" si="1"/>
        <v>#REF!</v>
      </c>
      <c r="DH1" s="2" t="e">
        <f t="shared" si="1"/>
        <v>#REF!</v>
      </c>
      <c r="DI1" s="2" t="e">
        <f t="shared" si="1"/>
        <v>#REF!</v>
      </c>
      <c r="DJ1" s="2" t="e">
        <f t="shared" si="1"/>
        <v>#REF!</v>
      </c>
      <c r="DK1" s="2" t="e">
        <f t="shared" si="1"/>
        <v>#REF!</v>
      </c>
      <c r="DL1" s="2" t="e">
        <f t="shared" si="1"/>
        <v>#REF!</v>
      </c>
      <c r="DM1" s="2" t="e">
        <f t="shared" si="1"/>
        <v>#REF!</v>
      </c>
      <c r="DN1" s="2" t="e">
        <f t="shared" si="1"/>
        <v>#REF!</v>
      </c>
    </row>
    <row r="2" spans="1:118" ht="20.25" customHeight="1" x14ac:dyDescent="0.2">
      <c r="A2" t="s">
        <v>0</v>
      </c>
      <c r="B2" t="s">
        <v>1</v>
      </c>
      <c r="C2" s="1" t="s">
        <v>3</v>
      </c>
      <c r="D2" s="1" t="s">
        <v>2</v>
      </c>
      <c r="E2" s="1" t="s">
        <v>4</v>
      </c>
    </row>
    <row r="3" spans="1:118" ht="20.25" customHeight="1" x14ac:dyDescent="0.2">
      <c r="A3" t="s">
        <v>11</v>
      </c>
      <c r="B3" t="s">
        <v>12</v>
      </c>
      <c r="C3" s="5">
        <v>0.02</v>
      </c>
      <c r="D3" s="1" t="s">
        <v>7</v>
      </c>
      <c r="E3" s="4">
        <v>0</v>
      </c>
    </row>
    <row r="4" spans="1:118" ht="18" customHeight="1" x14ac:dyDescent="0.2">
      <c r="A4" t="s">
        <v>11</v>
      </c>
      <c r="B4" t="s">
        <v>13</v>
      </c>
      <c r="C4" s="5">
        <v>0.02</v>
      </c>
      <c r="D4" s="1" t="s">
        <v>7</v>
      </c>
      <c r="E4" s="4">
        <v>0</v>
      </c>
    </row>
    <row r="5" spans="1:118" ht="18" customHeight="1" x14ac:dyDescent="0.2">
      <c r="A5" t="s">
        <v>42</v>
      </c>
      <c r="B5" t="s">
        <v>43</v>
      </c>
      <c r="C5" s="7">
        <v>10</v>
      </c>
      <c r="D5" s="1" t="s">
        <v>31</v>
      </c>
      <c r="E5" s="4">
        <v>95</v>
      </c>
    </row>
    <row r="6" spans="1:118" ht="18" customHeight="1" x14ac:dyDescent="0.2">
      <c r="A6" t="s">
        <v>42</v>
      </c>
      <c r="B6" t="s">
        <v>54</v>
      </c>
      <c r="C6" s="7">
        <v>4</v>
      </c>
      <c r="D6" s="1" t="s">
        <v>53</v>
      </c>
      <c r="E6" s="4">
        <v>1860</v>
      </c>
    </row>
    <row r="7" spans="1:118" ht="18" customHeight="1" x14ac:dyDescent="0.2">
      <c r="A7" t="s">
        <v>42</v>
      </c>
      <c r="B7" t="s">
        <v>66</v>
      </c>
      <c r="C7" s="7">
        <v>1339</v>
      </c>
      <c r="D7" s="1" t="s">
        <v>56</v>
      </c>
      <c r="E7" s="4">
        <v>26.85</v>
      </c>
    </row>
    <row r="8" spans="1:118" ht="18" customHeight="1" x14ac:dyDescent="0.2">
      <c r="A8" t="s">
        <v>42</v>
      </c>
      <c r="B8" t="s">
        <v>67</v>
      </c>
      <c r="C8" s="7">
        <v>1373</v>
      </c>
      <c r="D8" s="1" t="s">
        <v>56</v>
      </c>
      <c r="E8" s="4">
        <v>22.85</v>
      </c>
    </row>
    <row r="9" spans="1:118" ht="18" customHeight="1" x14ac:dyDescent="0.2">
      <c r="A9" t="s">
        <v>42</v>
      </c>
      <c r="B9" t="s">
        <v>68</v>
      </c>
      <c r="C9" s="7">
        <v>20</v>
      </c>
      <c r="D9" s="1" t="s">
        <v>56</v>
      </c>
      <c r="E9" s="4">
        <v>38</v>
      </c>
    </row>
    <row r="10" spans="1:118" ht="18" customHeight="1" x14ac:dyDescent="0.2">
      <c r="A10" t="s">
        <v>42</v>
      </c>
      <c r="B10" t="s">
        <v>69</v>
      </c>
      <c r="C10" s="7">
        <v>692</v>
      </c>
      <c r="D10" s="1" t="s">
        <v>56</v>
      </c>
      <c r="E10" s="4">
        <v>1100</v>
      </c>
    </row>
    <row r="11" spans="1:118" ht="18" customHeight="1" x14ac:dyDescent="0.2">
      <c r="A11" t="s">
        <v>42</v>
      </c>
      <c r="B11" t="s">
        <v>85</v>
      </c>
      <c r="C11" s="7">
        <v>1</v>
      </c>
      <c r="D11" s="1" t="s">
        <v>72</v>
      </c>
      <c r="E11" s="4">
        <v>0</v>
      </c>
    </row>
    <row r="12" spans="1:118" ht="18" customHeight="1" x14ac:dyDescent="0.2">
      <c r="A12" t="s">
        <v>42</v>
      </c>
      <c r="B12" t="s">
        <v>86</v>
      </c>
      <c r="C12" s="7">
        <v>1</v>
      </c>
      <c r="D12" s="1" t="s">
        <v>72</v>
      </c>
      <c r="E12" s="4">
        <v>0</v>
      </c>
    </row>
    <row r="13" spans="1:118" ht="18" customHeight="1" x14ac:dyDescent="0.2">
      <c r="A13" t="s">
        <v>42</v>
      </c>
      <c r="B13" t="s">
        <v>87</v>
      </c>
      <c r="C13" s="3">
        <v>1</v>
      </c>
      <c r="D13" s="1" t="s">
        <v>72</v>
      </c>
      <c r="E13" s="4">
        <v>5225</v>
      </c>
    </row>
    <row r="14" spans="1:118" ht="18" customHeight="1" x14ac:dyDescent="0.2">
      <c r="A14" t="s">
        <v>49</v>
      </c>
      <c r="B14" t="s">
        <v>50</v>
      </c>
      <c r="C14" s="7">
        <v>1</v>
      </c>
      <c r="D14" s="1" t="s">
        <v>31</v>
      </c>
      <c r="E14" s="4">
        <v>2265</v>
      </c>
    </row>
    <row r="15" spans="1:118" ht="18" customHeight="1" x14ac:dyDescent="0.2">
      <c r="A15" t="s">
        <v>51</v>
      </c>
      <c r="B15" t="s">
        <v>52</v>
      </c>
      <c r="C15" s="7">
        <v>0</v>
      </c>
      <c r="D15" s="1" t="s">
        <v>53</v>
      </c>
      <c r="E15" s="4">
        <v>0</v>
      </c>
    </row>
    <row r="16" spans="1:118" ht="18" customHeight="1" x14ac:dyDescent="0.2">
      <c r="A16" t="s">
        <v>51</v>
      </c>
      <c r="B16" t="s">
        <v>41</v>
      </c>
      <c r="C16" s="7">
        <v>0</v>
      </c>
      <c r="D16" s="1" t="s">
        <v>72</v>
      </c>
      <c r="E16" s="4">
        <v>0</v>
      </c>
    </row>
    <row r="17" spans="1:5" ht="18" customHeight="1" x14ac:dyDescent="0.2">
      <c r="A17" t="s">
        <v>16</v>
      </c>
      <c r="B17" t="s">
        <v>17</v>
      </c>
      <c r="C17" s="5">
        <v>0.05</v>
      </c>
      <c r="D17" s="1" t="s">
        <v>7</v>
      </c>
      <c r="E17" s="4">
        <v>0</v>
      </c>
    </row>
    <row r="18" spans="1:5" ht="18" customHeight="1" x14ac:dyDescent="0.2">
      <c r="A18" t="s">
        <v>20</v>
      </c>
      <c r="B18" t="s">
        <v>21</v>
      </c>
      <c r="C18" s="4">
        <v>330</v>
      </c>
      <c r="D18" s="4" t="s">
        <v>109</v>
      </c>
      <c r="E18" s="4">
        <v>6</v>
      </c>
    </row>
    <row r="19" spans="1:5" ht="18" customHeight="1" x14ac:dyDescent="0.2">
      <c r="A19" t="s">
        <v>20</v>
      </c>
      <c r="B19" t="s">
        <v>22</v>
      </c>
      <c r="C19" s="4">
        <v>5.75</v>
      </c>
      <c r="D19" s="4" t="s">
        <v>23</v>
      </c>
      <c r="E19" s="4">
        <v>3500</v>
      </c>
    </row>
    <row r="20" spans="1:5" ht="18" customHeight="1" x14ac:dyDescent="0.2">
      <c r="A20" t="s">
        <v>20</v>
      </c>
      <c r="B20" t="s">
        <v>24</v>
      </c>
      <c r="C20" s="4">
        <v>3.47</v>
      </c>
      <c r="D20" s="4" t="s">
        <v>23</v>
      </c>
      <c r="E20" s="4">
        <v>3792</v>
      </c>
    </row>
    <row r="21" spans="1:5" ht="18" customHeight="1" x14ac:dyDescent="0.2">
      <c r="A21" t="s">
        <v>20</v>
      </c>
      <c r="B21" t="s">
        <v>25</v>
      </c>
      <c r="C21" s="4">
        <v>12000</v>
      </c>
      <c r="D21" s="4" t="s">
        <v>23</v>
      </c>
      <c r="E21" s="4">
        <v>5.5</v>
      </c>
    </row>
    <row r="22" spans="1:5" ht="18" customHeight="1" x14ac:dyDescent="0.2">
      <c r="A22" t="s">
        <v>20</v>
      </c>
      <c r="B22" t="s">
        <v>26</v>
      </c>
      <c r="C22" s="4">
        <v>500</v>
      </c>
      <c r="D22" s="4" t="s">
        <v>23</v>
      </c>
      <c r="E22" s="4">
        <v>125</v>
      </c>
    </row>
    <row r="23" spans="1:5" ht="18" customHeight="1" x14ac:dyDescent="0.2">
      <c r="A23" t="s">
        <v>20</v>
      </c>
      <c r="B23" t="s">
        <v>27</v>
      </c>
      <c r="C23" s="4">
        <v>2500</v>
      </c>
      <c r="D23" s="4" t="s">
        <v>23</v>
      </c>
      <c r="E23" s="4">
        <v>22</v>
      </c>
    </row>
    <row r="24" spans="1:5" ht="18" customHeight="1" x14ac:dyDescent="0.2">
      <c r="A24" t="s">
        <v>20</v>
      </c>
      <c r="B24" t="s">
        <v>28</v>
      </c>
      <c r="C24" s="4">
        <v>2</v>
      </c>
      <c r="D24" s="4" t="s">
        <v>29</v>
      </c>
      <c r="E24" s="4">
        <v>5000</v>
      </c>
    </row>
    <row r="25" spans="1:5" ht="18" customHeight="1" x14ac:dyDescent="0.2">
      <c r="A25" t="s">
        <v>20</v>
      </c>
      <c r="B25" t="s">
        <v>30</v>
      </c>
      <c r="C25" s="4">
        <v>2</v>
      </c>
      <c r="D25" s="4" t="s">
        <v>31</v>
      </c>
      <c r="E25" s="4">
        <v>2800</v>
      </c>
    </row>
    <row r="26" spans="1:5" ht="18" customHeight="1" x14ac:dyDescent="0.2">
      <c r="A26" t="s">
        <v>20</v>
      </c>
      <c r="B26" t="s">
        <v>32</v>
      </c>
      <c r="C26" s="4">
        <v>10</v>
      </c>
      <c r="D26" s="4" t="s">
        <v>31</v>
      </c>
      <c r="E26" s="4">
        <v>750</v>
      </c>
    </row>
    <row r="27" spans="1:5" ht="18" customHeight="1" x14ac:dyDescent="0.2">
      <c r="A27" t="s">
        <v>20</v>
      </c>
      <c r="B27" t="s">
        <v>33</v>
      </c>
      <c r="C27" s="4">
        <v>5</v>
      </c>
      <c r="D27" s="4" t="s">
        <v>31</v>
      </c>
      <c r="E27" s="4">
        <v>5000</v>
      </c>
    </row>
    <row r="28" spans="1:5" ht="18" customHeight="1" x14ac:dyDescent="0.2">
      <c r="A28" t="s">
        <v>20</v>
      </c>
      <c r="B28" t="s">
        <v>55</v>
      </c>
      <c r="C28" s="4">
        <v>2712</v>
      </c>
      <c r="D28" s="4" t="s">
        <v>56</v>
      </c>
      <c r="E28" s="4">
        <v>9.2899999999999991</v>
      </c>
    </row>
    <row r="29" spans="1:5" ht="18" customHeight="1" x14ac:dyDescent="0.2">
      <c r="A29" t="s">
        <v>20</v>
      </c>
      <c r="B29" t="s">
        <v>57</v>
      </c>
      <c r="C29" s="4">
        <v>2712</v>
      </c>
      <c r="D29" s="4" t="s">
        <v>56</v>
      </c>
      <c r="E29" s="4">
        <v>2.5</v>
      </c>
    </row>
    <row r="30" spans="1:5" ht="18" customHeight="1" x14ac:dyDescent="0.2">
      <c r="A30" t="s">
        <v>20</v>
      </c>
      <c r="B30" t="s">
        <v>58</v>
      </c>
      <c r="C30" s="4">
        <v>6000</v>
      </c>
      <c r="D30" s="4" t="s">
        <v>56</v>
      </c>
      <c r="E30" s="4">
        <v>5</v>
      </c>
    </row>
    <row r="31" spans="1:5" ht="18" customHeight="1" x14ac:dyDescent="0.2">
      <c r="A31" t="s">
        <v>20</v>
      </c>
      <c r="B31" t="s">
        <v>59</v>
      </c>
      <c r="C31" s="4">
        <v>1500</v>
      </c>
      <c r="D31" s="4" t="s">
        <v>56</v>
      </c>
      <c r="E31" s="4">
        <v>2.4500000000000002</v>
      </c>
    </row>
    <row r="32" spans="1:5" ht="18" customHeight="1" x14ac:dyDescent="0.2">
      <c r="A32" t="s">
        <v>20</v>
      </c>
      <c r="B32" t="s">
        <v>60</v>
      </c>
      <c r="C32" s="4">
        <v>0</v>
      </c>
      <c r="D32" s="4" t="s">
        <v>56</v>
      </c>
      <c r="E32" s="4">
        <v>1.75</v>
      </c>
    </row>
    <row r="33" spans="1:5" ht="18" customHeight="1" x14ac:dyDescent="0.2">
      <c r="A33" t="s">
        <v>20</v>
      </c>
      <c r="B33" t="s">
        <v>71</v>
      </c>
      <c r="C33" s="4">
        <v>1</v>
      </c>
      <c r="D33" s="4" t="s">
        <v>72</v>
      </c>
      <c r="E33" s="4">
        <v>5000</v>
      </c>
    </row>
    <row r="34" spans="1:5" ht="18" customHeight="1" x14ac:dyDescent="0.2">
      <c r="A34" t="s">
        <v>20</v>
      </c>
      <c r="B34" t="s">
        <v>73</v>
      </c>
      <c r="C34" s="4">
        <v>3</v>
      </c>
      <c r="D34" s="4" t="s">
        <v>72</v>
      </c>
      <c r="E34" s="4">
        <v>2000</v>
      </c>
    </row>
    <row r="35" spans="1:5" ht="18" customHeight="1" x14ac:dyDescent="0.2">
      <c r="A35" t="s">
        <v>20</v>
      </c>
      <c r="B35" t="s">
        <v>74</v>
      </c>
      <c r="C35" s="4">
        <v>1</v>
      </c>
      <c r="D35" s="4" t="s">
        <v>72</v>
      </c>
      <c r="E35" s="4">
        <v>45000</v>
      </c>
    </row>
    <row r="36" spans="1:5" ht="14" x14ac:dyDescent="0.2">
      <c r="A36" t="s">
        <v>20</v>
      </c>
      <c r="B36" t="s">
        <v>75</v>
      </c>
      <c r="C36" s="4"/>
      <c r="D36" s="4" t="s">
        <v>72</v>
      </c>
      <c r="E36" s="4">
        <v>15000</v>
      </c>
    </row>
    <row r="37" spans="1:5" ht="14" x14ac:dyDescent="0.2">
      <c r="A37" t="s">
        <v>20</v>
      </c>
      <c r="B37" t="s">
        <v>76</v>
      </c>
      <c r="C37" s="4">
        <v>1</v>
      </c>
      <c r="D37" s="4" t="s">
        <v>72</v>
      </c>
      <c r="E37" s="4">
        <v>5000</v>
      </c>
    </row>
    <row r="38" spans="1:5" ht="14" x14ac:dyDescent="0.2">
      <c r="A38" t="s">
        <v>20</v>
      </c>
      <c r="B38" t="s">
        <v>77</v>
      </c>
      <c r="C38" s="4">
        <v>2</v>
      </c>
      <c r="D38" s="4" t="s">
        <v>72</v>
      </c>
      <c r="E38" s="4">
        <v>2850</v>
      </c>
    </row>
    <row r="39" spans="1:5" ht="14" x14ac:dyDescent="0.2">
      <c r="A39" t="s">
        <v>20</v>
      </c>
      <c r="B39" t="s">
        <v>78</v>
      </c>
      <c r="C39" s="4">
        <v>1</v>
      </c>
      <c r="D39" s="4" t="s">
        <v>72</v>
      </c>
      <c r="E39" s="4">
        <v>750</v>
      </c>
    </row>
    <row r="40" spans="1:5" ht="14" x14ac:dyDescent="0.2">
      <c r="A40" t="s">
        <v>20</v>
      </c>
      <c r="B40" t="s">
        <v>79</v>
      </c>
      <c r="C40" s="4">
        <v>1</v>
      </c>
      <c r="D40" s="4" t="s">
        <v>72</v>
      </c>
      <c r="E40" s="4">
        <v>1200</v>
      </c>
    </row>
    <row r="41" spans="1:5" ht="14" x14ac:dyDescent="0.2">
      <c r="A41" t="s">
        <v>20</v>
      </c>
      <c r="B41" t="s">
        <v>80</v>
      </c>
      <c r="C41" s="4">
        <v>1</v>
      </c>
      <c r="D41" s="4" t="s">
        <v>72</v>
      </c>
      <c r="E41" s="4">
        <v>40000</v>
      </c>
    </row>
    <row r="42" spans="1:5" ht="14" x14ac:dyDescent="0.2">
      <c r="A42" t="s">
        <v>20</v>
      </c>
      <c r="B42" t="s">
        <v>81</v>
      </c>
      <c r="C42" s="4">
        <v>1</v>
      </c>
      <c r="D42" s="4" t="s">
        <v>72</v>
      </c>
      <c r="E42" s="4">
        <v>10000</v>
      </c>
    </row>
    <row r="43" spans="1:5" ht="14" x14ac:dyDescent="0.2">
      <c r="A43" t="s">
        <v>20</v>
      </c>
      <c r="B43" t="s">
        <v>102</v>
      </c>
      <c r="C43" s="4">
        <v>17626</v>
      </c>
      <c r="D43" s="4" t="s">
        <v>103</v>
      </c>
      <c r="E43" s="4">
        <v>1.9</v>
      </c>
    </row>
    <row r="44" spans="1:5" ht="14" x14ac:dyDescent="0.2">
      <c r="A44" t="s">
        <v>20</v>
      </c>
      <c r="B44" t="s">
        <v>104</v>
      </c>
      <c r="C44" s="4">
        <v>17626</v>
      </c>
      <c r="D44" s="4" t="s">
        <v>103</v>
      </c>
      <c r="E44" s="4">
        <v>2.5</v>
      </c>
    </row>
    <row r="45" spans="1:5" ht="14" x14ac:dyDescent="0.2">
      <c r="A45" t="s">
        <v>20</v>
      </c>
      <c r="B45" t="s">
        <v>105</v>
      </c>
      <c r="C45" s="4">
        <v>7585</v>
      </c>
      <c r="D45" s="4" t="s">
        <v>106</v>
      </c>
      <c r="E45" s="4">
        <v>2.95</v>
      </c>
    </row>
    <row r="46" spans="1:5" ht="14" x14ac:dyDescent="0.2">
      <c r="A46" t="s">
        <v>14</v>
      </c>
      <c r="B46" t="s">
        <v>15</v>
      </c>
      <c r="C46" s="5">
        <v>0.02</v>
      </c>
      <c r="D46" s="1" t="s">
        <v>7</v>
      </c>
      <c r="E46" s="4">
        <v>0</v>
      </c>
    </row>
    <row r="47" spans="1:5" ht="14" x14ac:dyDescent="0.2">
      <c r="A47" t="s">
        <v>89</v>
      </c>
      <c r="B47" t="s">
        <v>90</v>
      </c>
      <c r="C47" s="7">
        <v>1</v>
      </c>
      <c r="D47" s="1" t="s">
        <v>72</v>
      </c>
      <c r="E47" s="4">
        <v>10000</v>
      </c>
    </row>
    <row r="48" spans="1:5" ht="14" x14ac:dyDescent="0.2">
      <c r="A48" t="s">
        <v>89</v>
      </c>
      <c r="B48" t="s">
        <v>98</v>
      </c>
      <c r="C48" s="7">
        <v>1</v>
      </c>
      <c r="D48" s="1" t="s">
        <v>72</v>
      </c>
      <c r="E48" s="4">
        <v>50000</v>
      </c>
    </row>
    <row r="49" spans="1:5" ht="14" x14ac:dyDescent="0.2">
      <c r="A49" t="s">
        <v>89</v>
      </c>
      <c r="B49" t="s">
        <v>101</v>
      </c>
      <c r="C49" s="7">
        <v>1</v>
      </c>
      <c r="D49" s="1" t="s">
        <v>72</v>
      </c>
      <c r="E49" s="4">
        <v>5000</v>
      </c>
    </row>
    <row r="50" spans="1:5" ht="14" x14ac:dyDescent="0.2">
      <c r="A50" t="s">
        <v>44</v>
      </c>
      <c r="B50" t="s">
        <v>45</v>
      </c>
      <c r="C50" s="7">
        <v>5</v>
      </c>
      <c r="D50" s="1" t="s">
        <v>31</v>
      </c>
      <c r="E50" s="4">
        <v>275</v>
      </c>
    </row>
    <row r="51" spans="1:5" ht="14" x14ac:dyDescent="0.2">
      <c r="A51" t="s">
        <v>44</v>
      </c>
      <c r="B51" t="s">
        <v>46</v>
      </c>
      <c r="C51" s="7">
        <v>4</v>
      </c>
      <c r="D51" s="1" t="s">
        <v>31</v>
      </c>
      <c r="E51" s="4">
        <v>750</v>
      </c>
    </row>
    <row r="52" spans="1:5" ht="14" x14ac:dyDescent="0.2">
      <c r="A52" t="s">
        <v>44</v>
      </c>
      <c r="B52" t="s">
        <v>47</v>
      </c>
      <c r="C52" s="7">
        <v>3</v>
      </c>
      <c r="D52" s="1" t="s">
        <v>31</v>
      </c>
      <c r="E52" s="4">
        <v>750</v>
      </c>
    </row>
    <row r="53" spans="1:5" ht="14" x14ac:dyDescent="0.2">
      <c r="A53" t="s">
        <v>44</v>
      </c>
      <c r="B53" t="s">
        <v>48</v>
      </c>
      <c r="C53" s="7">
        <v>3</v>
      </c>
      <c r="D53" s="1" t="s">
        <v>31</v>
      </c>
      <c r="E53" s="4">
        <v>750</v>
      </c>
    </row>
    <row r="54" spans="1:5" ht="14" x14ac:dyDescent="0.2">
      <c r="A54" t="s">
        <v>44</v>
      </c>
      <c r="B54" t="s">
        <v>70</v>
      </c>
      <c r="C54" s="7">
        <v>25</v>
      </c>
      <c r="D54" s="1" t="s">
        <v>56</v>
      </c>
      <c r="E54" s="4">
        <v>36</v>
      </c>
    </row>
    <row r="55" spans="1:5" ht="14" x14ac:dyDescent="0.2">
      <c r="A55" t="s">
        <v>44</v>
      </c>
      <c r="B55" t="s">
        <v>88</v>
      </c>
      <c r="C55" s="7">
        <v>1</v>
      </c>
      <c r="D55" s="1" t="s">
        <v>72</v>
      </c>
      <c r="E55" s="4">
        <v>2500</v>
      </c>
    </row>
    <row r="56" spans="1:5" ht="14" x14ac:dyDescent="0.2">
      <c r="A56" t="s">
        <v>44</v>
      </c>
      <c r="B56" t="s">
        <v>87</v>
      </c>
      <c r="C56" s="3">
        <v>1</v>
      </c>
      <c r="D56" s="1" t="s">
        <v>72</v>
      </c>
      <c r="E56" s="4">
        <v>5000</v>
      </c>
    </row>
    <row r="57" spans="1:5" ht="14" x14ac:dyDescent="0.2">
      <c r="A57" t="s">
        <v>44</v>
      </c>
      <c r="B57" t="s">
        <v>107</v>
      </c>
      <c r="C57" s="7">
        <v>3726</v>
      </c>
      <c r="D57" s="1" t="s">
        <v>106</v>
      </c>
      <c r="E57" s="4">
        <v>68</v>
      </c>
    </row>
    <row r="58" spans="1:5" ht="14" x14ac:dyDescent="0.2">
      <c r="A58" t="s">
        <v>44</v>
      </c>
      <c r="B58" t="s">
        <v>108</v>
      </c>
      <c r="C58" s="7">
        <v>3726</v>
      </c>
      <c r="D58" s="1" t="s">
        <v>106</v>
      </c>
      <c r="E58" s="4">
        <v>5.86</v>
      </c>
    </row>
    <row r="59" spans="1:5" ht="14" x14ac:dyDescent="0.2">
      <c r="A59" t="s">
        <v>9</v>
      </c>
      <c r="B59" t="s">
        <v>10</v>
      </c>
      <c r="C59" s="5">
        <v>0.04</v>
      </c>
      <c r="D59" s="1" t="s">
        <v>7</v>
      </c>
      <c r="E59" s="4">
        <v>0</v>
      </c>
    </row>
    <row r="60" spans="1:5" ht="14" x14ac:dyDescent="0.2">
      <c r="A60" t="s">
        <v>9</v>
      </c>
      <c r="B60" t="s">
        <v>97</v>
      </c>
      <c r="C60" s="7">
        <v>1</v>
      </c>
      <c r="D60" s="1" t="s">
        <v>72</v>
      </c>
      <c r="E60" s="4">
        <v>15000</v>
      </c>
    </row>
    <row r="61" spans="1:5" ht="14" x14ac:dyDescent="0.2">
      <c r="A61" t="s">
        <v>18</v>
      </c>
      <c r="B61" t="s">
        <v>19</v>
      </c>
      <c r="C61" s="6">
        <v>4.095E-2</v>
      </c>
      <c r="D61" s="1" t="s">
        <v>7</v>
      </c>
      <c r="E61" s="4">
        <v>0</v>
      </c>
    </row>
    <row r="62" spans="1:5" ht="14" x14ac:dyDescent="0.2">
      <c r="A62" t="s">
        <v>5</v>
      </c>
      <c r="B62" t="s">
        <v>6</v>
      </c>
      <c r="C62" s="3">
        <v>0.185</v>
      </c>
      <c r="D62" s="1" t="s">
        <v>7</v>
      </c>
      <c r="E62" s="4">
        <v>0</v>
      </c>
    </row>
    <row r="63" spans="1:5" ht="14" x14ac:dyDescent="0.2">
      <c r="A63" t="s">
        <v>5</v>
      </c>
      <c r="B63" t="s">
        <v>34</v>
      </c>
      <c r="C63" s="4">
        <v>9620</v>
      </c>
      <c r="D63" s="1" t="s">
        <v>31</v>
      </c>
      <c r="E63" s="1">
        <v>4</v>
      </c>
    </row>
    <row r="64" spans="1:5" ht="14" x14ac:dyDescent="0.2">
      <c r="A64" t="s">
        <v>5</v>
      </c>
      <c r="B64" t="s">
        <v>61</v>
      </c>
      <c r="C64" s="1">
        <v>1309</v>
      </c>
      <c r="D64" s="1" t="s">
        <v>56</v>
      </c>
      <c r="E64" s="4">
        <v>120</v>
      </c>
    </row>
    <row r="65" spans="1:5" ht="14" x14ac:dyDescent="0.2">
      <c r="A65" t="s">
        <v>5</v>
      </c>
      <c r="B65" t="s">
        <v>62</v>
      </c>
      <c r="C65" s="1">
        <v>1309</v>
      </c>
      <c r="D65" s="1" t="s">
        <v>56</v>
      </c>
      <c r="E65" s="4">
        <v>1.75</v>
      </c>
    </row>
    <row r="66" spans="1:5" ht="14" x14ac:dyDescent="0.2">
      <c r="A66" t="s">
        <v>5</v>
      </c>
      <c r="B66" t="s">
        <v>63</v>
      </c>
      <c r="C66" s="1">
        <v>250</v>
      </c>
      <c r="D66" s="1" t="s">
        <v>56</v>
      </c>
      <c r="E66" s="4">
        <v>10</v>
      </c>
    </row>
    <row r="67" spans="1:5" ht="14" x14ac:dyDescent="0.2">
      <c r="A67" t="s">
        <v>5</v>
      </c>
      <c r="B67" t="s">
        <v>82</v>
      </c>
      <c r="C67" s="4">
        <v>12000</v>
      </c>
      <c r="D67" s="1" t="s">
        <v>72</v>
      </c>
      <c r="E67" s="1">
        <v>1</v>
      </c>
    </row>
    <row r="68" spans="1:5" ht="14" x14ac:dyDescent="0.2">
      <c r="A68" t="s">
        <v>5</v>
      </c>
      <c r="B68" t="s">
        <v>41</v>
      </c>
      <c r="C68" s="4">
        <v>5000</v>
      </c>
      <c r="D68" s="1" t="s">
        <v>72</v>
      </c>
      <c r="E68" s="1">
        <v>1</v>
      </c>
    </row>
    <row r="69" spans="1:5" ht="14" x14ac:dyDescent="0.2">
      <c r="A69" t="s">
        <v>91</v>
      </c>
      <c r="B69" t="s">
        <v>92</v>
      </c>
      <c r="C69" s="4">
        <v>60000</v>
      </c>
      <c r="D69" s="1" t="s">
        <v>72</v>
      </c>
      <c r="E69" s="7">
        <v>1</v>
      </c>
    </row>
    <row r="70" spans="1:5" ht="14" x14ac:dyDescent="0.2">
      <c r="A70" t="s">
        <v>91</v>
      </c>
      <c r="B70" t="s">
        <v>93</v>
      </c>
      <c r="C70" s="4">
        <v>20000</v>
      </c>
      <c r="D70" s="1" t="s">
        <v>72</v>
      </c>
      <c r="E70" s="7">
        <v>1</v>
      </c>
    </row>
    <row r="71" spans="1:5" ht="14" x14ac:dyDescent="0.2">
      <c r="A71" t="s">
        <v>65</v>
      </c>
      <c r="B71" t="s">
        <v>52</v>
      </c>
      <c r="C71" s="4">
        <v>65</v>
      </c>
      <c r="D71" s="1" t="s">
        <v>56</v>
      </c>
      <c r="E71" s="7">
        <v>0</v>
      </c>
    </row>
    <row r="72" spans="1:5" ht="14" x14ac:dyDescent="0.2">
      <c r="A72" t="s">
        <v>65</v>
      </c>
      <c r="B72" t="s">
        <v>41</v>
      </c>
      <c r="C72" s="4">
        <v>5000</v>
      </c>
      <c r="D72" s="1" t="s">
        <v>72</v>
      </c>
      <c r="E72" s="7">
        <v>0</v>
      </c>
    </row>
    <row r="73" spans="1:5" ht="14" x14ac:dyDescent="0.2">
      <c r="A73" t="s">
        <v>94</v>
      </c>
      <c r="B73" t="s">
        <v>95</v>
      </c>
      <c r="C73" s="4">
        <v>25000</v>
      </c>
      <c r="D73" s="1" t="s">
        <v>72</v>
      </c>
      <c r="E73" s="7">
        <v>1</v>
      </c>
    </row>
    <row r="74" spans="1:5" ht="14" x14ac:dyDescent="0.2">
      <c r="A74" t="s">
        <v>94</v>
      </c>
      <c r="B74" t="s">
        <v>96</v>
      </c>
      <c r="C74" s="4">
        <v>5000</v>
      </c>
      <c r="D74" s="1" t="s">
        <v>72</v>
      </c>
      <c r="E74" s="7">
        <v>1</v>
      </c>
    </row>
    <row r="75" spans="1:5" ht="14" x14ac:dyDescent="0.2">
      <c r="A75" t="s">
        <v>99</v>
      </c>
      <c r="B75" t="s">
        <v>100</v>
      </c>
      <c r="C75" s="4">
        <v>20000</v>
      </c>
      <c r="D75" s="1" t="s">
        <v>72</v>
      </c>
      <c r="E75" s="7">
        <v>1</v>
      </c>
    </row>
    <row r="76" spans="1:5" ht="14" x14ac:dyDescent="0.2">
      <c r="A76" t="s">
        <v>8</v>
      </c>
      <c r="B76" t="s">
        <v>6</v>
      </c>
      <c r="C76" s="3">
        <v>0.185</v>
      </c>
      <c r="D76" s="1" t="s">
        <v>7</v>
      </c>
      <c r="E76" s="4">
        <v>0</v>
      </c>
    </row>
    <row r="77" spans="1:5" ht="14" x14ac:dyDescent="0.2">
      <c r="A77" t="s">
        <v>8</v>
      </c>
      <c r="B77" t="s">
        <v>35</v>
      </c>
      <c r="C77" s="1">
        <v>4</v>
      </c>
      <c r="D77" s="1" t="s">
        <v>31</v>
      </c>
      <c r="E77" s="4">
        <v>3900</v>
      </c>
    </row>
    <row r="78" spans="1:5" ht="14" x14ac:dyDescent="0.2">
      <c r="A78" t="s">
        <v>8</v>
      </c>
      <c r="B78" t="s">
        <v>36</v>
      </c>
      <c r="C78" s="4">
        <v>750</v>
      </c>
      <c r="D78" s="1" t="s">
        <v>31</v>
      </c>
      <c r="E78" s="1">
        <v>1</v>
      </c>
    </row>
    <row r="79" spans="1:5" ht="14" x14ac:dyDescent="0.2">
      <c r="A79" t="s">
        <v>8</v>
      </c>
      <c r="B79" t="s">
        <v>37</v>
      </c>
      <c r="C79" s="4">
        <v>25000</v>
      </c>
      <c r="D79" s="1" t="s">
        <v>31</v>
      </c>
      <c r="E79" s="1">
        <v>1</v>
      </c>
    </row>
    <row r="80" spans="1:5" ht="14" x14ac:dyDescent="0.2">
      <c r="A80" t="s">
        <v>8</v>
      </c>
      <c r="B80" t="s">
        <v>38</v>
      </c>
      <c r="C80" s="4">
        <v>6500</v>
      </c>
      <c r="D80" s="1" t="s">
        <v>31</v>
      </c>
      <c r="E80" s="1">
        <v>1</v>
      </c>
    </row>
    <row r="81" spans="1:5" ht="14" x14ac:dyDescent="0.2">
      <c r="A81" t="s">
        <v>8</v>
      </c>
      <c r="B81" t="s">
        <v>39</v>
      </c>
      <c r="C81" s="4">
        <v>12500</v>
      </c>
      <c r="D81" s="1" t="s">
        <v>31</v>
      </c>
      <c r="E81" s="1">
        <v>1</v>
      </c>
    </row>
    <row r="82" spans="1:5" ht="14" x14ac:dyDescent="0.2">
      <c r="A82" t="s">
        <v>8</v>
      </c>
      <c r="B82" t="s">
        <v>40</v>
      </c>
      <c r="C82" s="4">
        <v>4800</v>
      </c>
      <c r="D82" s="1" t="s">
        <v>31</v>
      </c>
      <c r="E82" s="1">
        <v>1</v>
      </c>
    </row>
    <row r="83" spans="1:5" ht="14" x14ac:dyDescent="0.2">
      <c r="A83" t="s">
        <v>8</v>
      </c>
      <c r="B83" t="s">
        <v>41</v>
      </c>
      <c r="C83" s="4">
        <v>8000</v>
      </c>
      <c r="D83" s="1" t="s">
        <v>31</v>
      </c>
      <c r="E83" s="1">
        <v>1</v>
      </c>
    </row>
    <row r="84" spans="1:5" ht="14" x14ac:dyDescent="0.2">
      <c r="A84" t="s">
        <v>8</v>
      </c>
      <c r="B84" t="s">
        <v>64</v>
      </c>
      <c r="C84" s="1">
        <v>1333</v>
      </c>
      <c r="D84" s="1" t="s">
        <v>56</v>
      </c>
      <c r="E84" s="4">
        <v>130</v>
      </c>
    </row>
    <row r="85" spans="1:5" ht="14" x14ac:dyDescent="0.2">
      <c r="A85" t="s">
        <v>8</v>
      </c>
      <c r="B85" t="s">
        <v>83</v>
      </c>
      <c r="C85" s="1">
        <v>1</v>
      </c>
      <c r="D85" s="1" t="s">
        <v>72</v>
      </c>
      <c r="E85" s="4">
        <v>2500</v>
      </c>
    </row>
    <row r="86" spans="1:5" ht="14" x14ac:dyDescent="0.2">
      <c r="A86" t="s">
        <v>8</v>
      </c>
      <c r="B86" t="s">
        <v>84</v>
      </c>
      <c r="C86" s="1">
        <v>1</v>
      </c>
      <c r="D86" s="1" t="s">
        <v>72</v>
      </c>
      <c r="E86" s="4">
        <v>8500</v>
      </c>
    </row>
    <row r="87" spans="1:5" ht="14" x14ac:dyDescent="0.2">
      <c r="C87" s="4"/>
      <c r="D87" s="4"/>
      <c r="E87" s="4"/>
    </row>
    <row r="88" spans="1:5" ht="14" x14ac:dyDescent="0.2"/>
    <row r="89" spans="1:5" ht="14" x14ac:dyDescent="0.2">
      <c r="A89" t="str" cm="1">
        <f t="array" ref="A89:A105">_xlfn.UNIQUE(A3:A86)</f>
        <v>Bonds</v>
      </c>
    </row>
    <row r="90" spans="1:5" ht="14" x14ac:dyDescent="0.2">
      <c r="A90" t="str">
        <v>Concrete</v>
      </c>
    </row>
    <row r="91" spans="1:5" ht="14" x14ac:dyDescent="0.2">
      <c r="A91" t="str">
        <v>Deposits</v>
      </c>
    </row>
    <row r="92" spans="1:5" ht="14" x14ac:dyDescent="0.2">
      <c r="A92" t="str">
        <v>Dry Utilities</v>
      </c>
    </row>
    <row r="93" spans="1:5" ht="14" x14ac:dyDescent="0.2">
      <c r="A93" t="str">
        <v>General Contractor</v>
      </c>
    </row>
    <row r="94" spans="1:5" ht="14" x14ac:dyDescent="0.2">
      <c r="A94" t="str">
        <v>Grading</v>
      </c>
    </row>
    <row r="95" spans="1:5" ht="14" x14ac:dyDescent="0.2">
      <c r="A95" t="str">
        <v>Insurance</v>
      </c>
    </row>
    <row r="96" spans="1:5" ht="14" x14ac:dyDescent="0.2">
      <c r="A96" t="str">
        <v>Other Cost</v>
      </c>
    </row>
    <row r="97" spans="1:1" ht="14" x14ac:dyDescent="0.2">
      <c r="A97" t="str">
        <v>Paving</v>
      </c>
    </row>
    <row r="98" spans="1:1" ht="14" x14ac:dyDescent="0.2">
      <c r="A98" t="str">
        <v>Permits</v>
      </c>
    </row>
    <row r="99" spans="1:1" ht="14" x14ac:dyDescent="0.2">
      <c r="A99" t="str">
        <v>Sales Tax</v>
      </c>
    </row>
    <row r="100" spans="1:1" ht="14" x14ac:dyDescent="0.2">
      <c r="A100" t="str">
        <v>Sewer</v>
      </c>
    </row>
    <row r="101" spans="1:1" ht="14" x14ac:dyDescent="0.2">
      <c r="A101" t="str">
        <v>Staking</v>
      </c>
    </row>
    <row r="102" spans="1:1" ht="14" x14ac:dyDescent="0.2">
      <c r="A102" t="str">
        <v>Storm Drain</v>
      </c>
    </row>
    <row r="103" spans="1:1" ht="14" x14ac:dyDescent="0.2">
      <c r="A103" t="str">
        <v>Testing</v>
      </c>
    </row>
    <row r="104" spans="1:1" ht="14" x14ac:dyDescent="0.2">
      <c r="A104" t="str">
        <v>Warranty</v>
      </c>
    </row>
    <row r="105" spans="1:1" ht="14" x14ac:dyDescent="0.2">
      <c r="A105" t="str">
        <v>Water</v>
      </c>
    </row>
    <row r="106" spans="1:1" ht="14" x14ac:dyDescent="0.2"/>
    <row r="107" spans="1:1" ht="14" x14ac:dyDescent="0.2"/>
    <row r="108" spans="1:1" ht="14" x14ac:dyDescent="0.2"/>
    <row r="109" spans="1:1" ht="14" x14ac:dyDescent="0.2"/>
    <row r="110" spans="1:1" ht="14" x14ac:dyDescent="0.2"/>
    <row r="111" spans="1:1" ht="14" x14ac:dyDescent="0.2"/>
    <row r="112" spans="1:1" ht="14" x14ac:dyDescent="0.2"/>
    <row r="113" ht="14" x14ac:dyDescent="0.2"/>
    <row r="114" ht="14" x14ac:dyDescent="0.2"/>
    <row r="115" ht="14" x14ac:dyDescent="0.2"/>
    <row r="116" ht="14" x14ac:dyDescent="0.2"/>
    <row r="117" ht="14" x14ac:dyDescent="0.2"/>
    <row r="118" ht="14" x14ac:dyDescent="0.2"/>
    <row r="119" ht="14" x14ac:dyDescent="0.2"/>
    <row r="120" ht="14" x14ac:dyDescent="0.2"/>
    <row r="121" ht="14" x14ac:dyDescent="0.2"/>
    <row r="122" ht="14" x14ac:dyDescent="0.2"/>
    <row r="123" ht="14" x14ac:dyDescent="0.2"/>
    <row r="124" ht="14" x14ac:dyDescent="0.2"/>
    <row r="125" ht="14" x14ac:dyDescent="0.2"/>
    <row r="126" ht="14" x14ac:dyDescent="0.2"/>
    <row r="127" ht="14" x14ac:dyDescent="0.2"/>
    <row r="128" ht="14" x14ac:dyDescent="0.2"/>
    <row r="129" ht="14" x14ac:dyDescent="0.2"/>
    <row r="130" ht="14" x14ac:dyDescent="0.2"/>
    <row r="131" ht="14" x14ac:dyDescent="0.2"/>
    <row r="132" ht="14" x14ac:dyDescent="0.2"/>
    <row r="133" ht="14" x14ac:dyDescent="0.2"/>
    <row r="134" ht="14" x14ac:dyDescent="0.2"/>
    <row r="135" ht="14" x14ac:dyDescent="0.2"/>
    <row r="136" ht="14" x14ac:dyDescent="0.2"/>
    <row r="137" ht="14" x14ac:dyDescent="0.2"/>
    <row r="138" ht="14" x14ac:dyDescent="0.2"/>
    <row r="139" ht="14" x14ac:dyDescent="0.2"/>
    <row r="140" ht="14" x14ac:dyDescent="0.2"/>
    <row r="141" ht="14" x14ac:dyDescent="0.2"/>
    <row r="142" ht="14" x14ac:dyDescent="0.2"/>
    <row r="143" ht="14" x14ac:dyDescent="0.2"/>
    <row r="144" ht="14" x14ac:dyDescent="0.2"/>
    <row r="145" ht="14" x14ac:dyDescent="0.2"/>
    <row r="146" ht="14" x14ac:dyDescent="0.2"/>
    <row r="147" ht="14" x14ac:dyDescent="0.2"/>
    <row r="148" ht="14" x14ac:dyDescent="0.2"/>
    <row r="149" ht="14" x14ac:dyDescent="0.2"/>
    <row r="150" ht="14" x14ac:dyDescent="0.2"/>
    <row r="151" ht="14" x14ac:dyDescent="0.2"/>
    <row r="152" ht="14" x14ac:dyDescent="0.2"/>
    <row r="153" ht="14" x14ac:dyDescent="0.2"/>
    <row r="154" ht="14" x14ac:dyDescent="0.2"/>
    <row r="155" ht="14" x14ac:dyDescent="0.2"/>
    <row r="156" ht="14" x14ac:dyDescent="0.2"/>
    <row r="157" ht="14" x14ac:dyDescent="0.2"/>
    <row r="158" ht="14" x14ac:dyDescent="0.2"/>
    <row r="159" ht="14" x14ac:dyDescent="0.2"/>
    <row r="160" ht="14" x14ac:dyDescent="0.2"/>
    <row r="161" ht="14" x14ac:dyDescent="0.2"/>
    <row r="162" ht="14" x14ac:dyDescent="0.2"/>
    <row r="163" ht="14" x14ac:dyDescent="0.2"/>
    <row r="164" ht="14" x14ac:dyDescent="0.2"/>
    <row r="165" ht="14" x14ac:dyDescent="0.2"/>
    <row r="166" ht="14" x14ac:dyDescent="0.2"/>
    <row r="167" ht="14" x14ac:dyDescent="0.2"/>
    <row r="168" ht="14" x14ac:dyDescent="0.2"/>
    <row r="169" ht="14" x14ac:dyDescent="0.2"/>
    <row r="170" ht="14" x14ac:dyDescent="0.2"/>
    <row r="171" ht="14" x14ac:dyDescent="0.2"/>
    <row r="172" ht="14" x14ac:dyDescent="0.2"/>
    <row r="173" ht="14" x14ac:dyDescent="0.2"/>
    <row r="174" ht="14" x14ac:dyDescent="0.2"/>
    <row r="175" ht="14" x14ac:dyDescent="0.2"/>
    <row r="176" ht="14" x14ac:dyDescent="0.2"/>
    <row r="177" ht="14" x14ac:dyDescent="0.2"/>
    <row r="178" ht="14" x14ac:dyDescent="0.2"/>
    <row r="179" ht="14" x14ac:dyDescent="0.2"/>
    <row r="180" ht="14" x14ac:dyDescent="0.2"/>
    <row r="181" ht="14" x14ac:dyDescent="0.2"/>
    <row r="182" ht="14" x14ac:dyDescent="0.2"/>
    <row r="183" ht="14" x14ac:dyDescent="0.2"/>
    <row r="184" ht="14" x14ac:dyDescent="0.2"/>
    <row r="185" ht="14" x14ac:dyDescent="0.2"/>
    <row r="186" ht="14" x14ac:dyDescent="0.2"/>
    <row r="187" ht="14" x14ac:dyDescent="0.2"/>
    <row r="188" ht="14" x14ac:dyDescent="0.2"/>
    <row r="189" ht="14" x14ac:dyDescent="0.2"/>
    <row r="190" ht="14" x14ac:dyDescent="0.2"/>
    <row r="191" ht="14" x14ac:dyDescent="0.2"/>
    <row r="192" ht="14" x14ac:dyDescent="0.2"/>
    <row r="193" ht="14" x14ac:dyDescent="0.2"/>
    <row r="194" ht="14" x14ac:dyDescent="0.2"/>
    <row r="195" ht="14" x14ac:dyDescent="0.2"/>
    <row r="196" ht="14" x14ac:dyDescent="0.2"/>
    <row r="197" ht="14" x14ac:dyDescent="0.2"/>
    <row r="198" ht="14" x14ac:dyDescent="0.2"/>
    <row r="199" ht="14" x14ac:dyDescent="0.2"/>
    <row r="200" ht="14" x14ac:dyDescent="0.2"/>
    <row r="201" ht="14" x14ac:dyDescent="0.2"/>
    <row r="202" ht="14" x14ac:dyDescent="0.2"/>
    <row r="203" ht="14" x14ac:dyDescent="0.2"/>
    <row r="204" ht="14" x14ac:dyDescent="0.2"/>
    <row r="205" ht="14" x14ac:dyDescent="0.2"/>
    <row r="206" ht="14" x14ac:dyDescent="0.2"/>
    <row r="207" ht="14" x14ac:dyDescent="0.2"/>
    <row r="208" ht="14" x14ac:dyDescent="0.2"/>
    <row r="209" ht="14" x14ac:dyDescent="0.2"/>
    <row r="210" ht="14" x14ac:dyDescent="0.2"/>
    <row r="211" ht="14" x14ac:dyDescent="0.2"/>
    <row r="212" ht="14" x14ac:dyDescent="0.2"/>
    <row r="213" ht="14" x14ac:dyDescent="0.2"/>
    <row r="214" ht="14" x14ac:dyDescent="0.2"/>
    <row r="215" ht="14" x14ac:dyDescent="0.2"/>
    <row r="216" ht="14" x14ac:dyDescent="0.2"/>
    <row r="217" ht="14" x14ac:dyDescent="0.2"/>
    <row r="218" ht="14" x14ac:dyDescent="0.2"/>
    <row r="219" ht="14" x14ac:dyDescent="0.2"/>
    <row r="220" ht="14" x14ac:dyDescent="0.2"/>
    <row r="221" ht="14" x14ac:dyDescent="0.2"/>
    <row r="222" ht="14" x14ac:dyDescent="0.2"/>
    <row r="223" ht="14" x14ac:dyDescent="0.2"/>
    <row r="224" ht="14" x14ac:dyDescent="0.2"/>
    <row r="225" ht="14" x14ac:dyDescent="0.2"/>
    <row r="226" ht="14" x14ac:dyDescent="0.2"/>
    <row r="227" ht="14" x14ac:dyDescent="0.2"/>
    <row r="228" ht="14" x14ac:dyDescent="0.2"/>
    <row r="229" ht="14" x14ac:dyDescent="0.2"/>
    <row r="230" ht="14" x14ac:dyDescent="0.2"/>
    <row r="231" ht="14" x14ac:dyDescent="0.2"/>
    <row r="232" ht="14" x14ac:dyDescent="0.2"/>
    <row r="233" ht="14" x14ac:dyDescent="0.2"/>
    <row r="234" ht="14" x14ac:dyDescent="0.2"/>
    <row r="235" ht="14" x14ac:dyDescent="0.2"/>
    <row r="236" ht="14" x14ac:dyDescent="0.2"/>
    <row r="237" ht="14" x14ac:dyDescent="0.2"/>
    <row r="238" ht="14" x14ac:dyDescent="0.2"/>
    <row r="239" ht="14" x14ac:dyDescent="0.2"/>
    <row r="240" ht="14" x14ac:dyDescent="0.2"/>
    <row r="241" ht="14" x14ac:dyDescent="0.2"/>
    <row r="242" ht="14" x14ac:dyDescent="0.2"/>
    <row r="243" ht="14" x14ac:dyDescent="0.2"/>
    <row r="244" ht="14" x14ac:dyDescent="0.2"/>
    <row r="245" ht="14" x14ac:dyDescent="0.2"/>
    <row r="246" ht="14" x14ac:dyDescent="0.2"/>
    <row r="247" ht="14" x14ac:dyDescent="0.2"/>
    <row r="248" ht="14" x14ac:dyDescent="0.2"/>
    <row r="249" ht="14" x14ac:dyDescent="0.2"/>
    <row r="250" ht="14" x14ac:dyDescent="0.2"/>
    <row r="251" ht="14" x14ac:dyDescent="0.2"/>
    <row r="252" ht="14" x14ac:dyDescent="0.2"/>
    <row r="253" ht="14" x14ac:dyDescent="0.2"/>
    <row r="254" ht="14" x14ac:dyDescent="0.2"/>
    <row r="255" ht="14" x14ac:dyDescent="0.2"/>
    <row r="256" ht="14" x14ac:dyDescent="0.2"/>
    <row r="257" ht="14" x14ac:dyDescent="0.2"/>
    <row r="258" ht="14" x14ac:dyDescent="0.2"/>
    <row r="259" ht="14" x14ac:dyDescent="0.2"/>
    <row r="260" ht="14" x14ac:dyDescent="0.2"/>
    <row r="261" ht="14" x14ac:dyDescent="0.2"/>
    <row r="262" ht="14" x14ac:dyDescent="0.2"/>
    <row r="263" ht="14" x14ac:dyDescent="0.2"/>
    <row r="264" ht="14" x14ac:dyDescent="0.2"/>
    <row r="265" ht="14" x14ac:dyDescent="0.2"/>
    <row r="266" ht="14" x14ac:dyDescent="0.2"/>
    <row r="267" ht="14" x14ac:dyDescent="0.2"/>
    <row r="268" ht="14" x14ac:dyDescent="0.2"/>
    <row r="269" ht="14" x14ac:dyDescent="0.2"/>
    <row r="270" ht="14" x14ac:dyDescent="0.2"/>
    <row r="271" ht="14" x14ac:dyDescent="0.2"/>
    <row r="272" ht="14" x14ac:dyDescent="0.2"/>
    <row r="273" ht="14" x14ac:dyDescent="0.2"/>
    <row r="274" ht="14" x14ac:dyDescent="0.2"/>
    <row r="275" ht="14" x14ac:dyDescent="0.2"/>
    <row r="276" ht="14" x14ac:dyDescent="0.2"/>
    <row r="277" ht="14" x14ac:dyDescent="0.2"/>
    <row r="278" ht="14" x14ac:dyDescent="0.2"/>
    <row r="279" ht="14" x14ac:dyDescent="0.2"/>
    <row r="280" ht="14" x14ac:dyDescent="0.2"/>
    <row r="281" ht="14" x14ac:dyDescent="0.2"/>
    <row r="282" ht="14" x14ac:dyDescent="0.2"/>
    <row r="283" ht="14" x14ac:dyDescent="0.2"/>
    <row r="284" ht="14" x14ac:dyDescent="0.2"/>
    <row r="285" ht="14" x14ac:dyDescent="0.2"/>
    <row r="286" ht="14" x14ac:dyDescent="0.2"/>
    <row r="287" ht="14" x14ac:dyDescent="0.2"/>
    <row r="288" ht="14" x14ac:dyDescent="0.2"/>
    <row r="289" ht="14" x14ac:dyDescent="0.2"/>
    <row r="290" ht="14" x14ac:dyDescent="0.2"/>
    <row r="291" ht="14" x14ac:dyDescent="0.2"/>
    <row r="292" ht="14" x14ac:dyDescent="0.2"/>
    <row r="293" ht="14" x14ac:dyDescent="0.2"/>
    <row r="294" ht="14" x14ac:dyDescent="0.2"/>
    <row r="295" ht="14" x14ac:dyDescent="0.2"/>
    <row r="296" ht="14" x14ac:dyDescent="0.2"/>
    <row r="297" ht="14" x14ac:dyDescent="0.2"/>
    <row r="298" ht="14" x14ac:dyDescent="0.2"/>
    <row r="299" ht="14" x14ac:dyDescent="0.2"/>
    <row r="300" ht="14" x14ac:dyDescent="0.2"/>
    <row r="301" ht="14" x14ac:dyDescent="0.2"/>
    <row r="302" ht="14" x14ac:dyDescent="0.2"/>
    <row r="303" ht="14" x14ac:dyDescent="0.2"/>
    <row r="304" ht="14" x14ac:dyDescent="0.2"/>
    <row r="305" ht="14" x14ac:dyDescent="0.2"/>
    <row r="306" ht="14" x14ac:dyDescent="0.2"/>
    <row r="307" ht="14" x14ac:dyDescent="0.2"/>
    <row r="308" ht="14" x14ac:dyDescent="0.2"/>
    <row r="309" ht="14" x14ac:dyDescent="0.2"/>
    <row r="310" ht="14" x14ac:dyDescent="0.2"/>
    <row r="311" ht="14" x14ac:dyDescent="0.2"/>
    <row r="312" ht="14" x14ac:dyDescent="0.2"/>
    <row r="313" ht="14" x14ac:dyDescent="0.2"/>
    <row r="314" ht="14" x14ac:dyDescent="0.2"/>
    <row r="315" ht="14" x14ac:dyDescent="0.2"/>
    <row r="316" ht="14" x14ac:dyDescent="0.2"/>
    <row r="317" ht="14" x14ac:dyDescent="0.2"/>
    <row r="318" ht="14" x14ac:dyDescent="0.2"/>
    <row r="319" ht="14" x14ac:dyDescent="0.2"/>
    <row r="320" ht="14" x14ac:dyDescent="0.2"/>
    <row r="321" ht="14" x14ac:dyDescent="0.2"/>
    <row r="322" ht="14" x14ac:dyDescent="0.2"/>
    <row r="323" ht="14" x14ac:dyDescent="0.2"/>
    <row r="324" ht="14" x14ac:dyDescent="0.2"/>
    <row r="325" ht="14" x14ac:dyDescent="0.2"/>
    <row r="326" ht="14" x14ac:dyDescent="0.2"/>
    <row r="327" ht="14" x14ac:dyDescent="0.2"/>
    <row r="328" ht="14" x14ac:dyDescent="0.2"/>
    <row r="329" ht="14" x14ac:dyDescent="0.2"/>
    <row r="330" ht="14" x14ac:dyDescent="0.2"/>
    <row r="331" ht="14" x14ac:dyDescent="0.2"/>
    <row r="332" ht="14" x14ac:dyDescent="0.2"/>
    <row r="333" ht="14" x14ac:dyDescent="0.2"/>
    <row r="334" ht="14" x14ac:dyDescent="0.2"/>
    <row r="335" ht="14" x14ac:dyDescent="0.2"/>
    <row r="336" ht="14" x14ac:dyDescent="0.2"/>
    <row r="337" ht="14" x14ac:dyDescent="0.2"/>
    <row r="338" ht="14" x14ac:dyDescent="0.2"/>
    <row r="339" ht="14" x14ac:dyDescent="0.2"/>
    <row r="340" ht="14" x14ac:dyDescent="0.2"/>
    <row r="341" ht="14" x14ac:dyDescent="0.2"/>
    <row r="342" ht="14" x14ac:dyDescent="0.2"/>
    <row r="343" ht="14" x14ac:dyDescent="0.2"/>
    <row r="344" ht="14" x14ac:dyDescent="0.2"/>
    <row r="345" ht="14" x14ac:dyDescent="0.2"/>
    <row r="346" ht="14" x14ac:dyDescent="0.2"/>
    <row r="347" ht="14" x14ac:dyDescent="0.2"/>
    <row r="348" ht="14" x14ac:dyDescent="0.2"/>
    <row r="349" ht="14" x14ac:dyDescent="0.2"/>
    <row r="350" ht="14" x14ac:dyDescent="0.2"/>
    <row r="351" ht="14" x14ac:dyDescent="0.2"/>
    <row r="352" ht="14" x14ac:dyDescent="0.2"/>
    <row r="353" ht="14" x14ac:dyDescent="0.2"/>
    <row r="354" ht="14" x14ac:dyDescent="0.2"/>
    <row r="355" ht="14" x14ac:dyDescent="0.2"/>
    <row r="356" ht="14" x14ac:dyDescent="0.2"/>
    <row r="357" ht="14" x14ac:dyDescent="0.2"/>
    <row r="358" ht="14" x14ac:dyDescent="0.2"/>
    <row r="359" ht="14" x14ac:dyDescent="0.2"/>
    <row r="360" ht="14" x14ac:dyDescent="0.2"/>
    <row r="361" ht="14" x14ac:dyDescent="0.2"/>
    <row r="362" ht="14" x14ac:dyDescent="0.2"/>
    <row r="363" ht="14" x14ac:dyDescent="0.2"/>
    <row r="364" ht="14" x14ac:dyDescent="0.2"/>
    <row r="365" ht="14" x14ac:dyDescent="0.2"/>
    <row r="366" ht="14" x14ac:dyDescent="0.2"/>
    <row r="367" ht="14" x14ac:dyDescent="0.2"/>
    <row r="368" ht="14" x14ac:dyDescent="0.2"/>
    <row r="369" spans="6:39" ht="14" x14ac:dyDescent="0.2"/>
    <row r="370" spans="6:39" ht="14" x14ac:dyDescent="0.2"/>
    <row r="371" spans="6:39" ht="14" x14ac:dyDescent="0.2"/>
    <row r="372" spans="6:39" ht="14" x14ac:dyDescent="0.2"/>
    <row r="373" spans="6:39" ht="14" x14ac:dyDescent="0.2"/>
    <row r="374" spans="6:39" ht="14" x14ac:dyDescent="0.2"/>
    <row r="375" spans="6:39" ht="15" hidden="1" thickBot="1" x14ac:dyDescent="0.25"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</row>
    <row r="376" spans="6:39" ht="16" hidden="1" thickTop="1" thickBot="1" x14ac:dyDescent="0.25"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</row>
    <row r="377" spans="6:39" ht="16" hidden="1" thickTop="1" thickBot="1" x14ac:dyDescent="0.25"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</row>
    <row r="378" spans="6:39" ht="16" hidden="1" thickTop="1" thickBot="1" x14ac:dyDescent="0.25"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</row>
    <row r="379" spans="6:39" ht="16" hidden="1" thickTop="1" thickBot="1" x14ac:dyDescent="0.25"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</row>
    <row r="380" spans="6:39" ht="16" hidden="1" thickTop="1" thickBot="1" x14ac:dyDescent="0.25"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</row>
    <row r="381" spans="6:39" ht="16" hidden="1" thickTop="1" thickBot="1" x14ac:dyDescent="0.25"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</row>
    <row r="382" spans="6:39" ht="16" hidden="1" thickTop="1" thickBot="1" x14ac:dyDescent="0.25"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</row>
    <row r="383" spans="6:39" ht="16" hidden="1" thickTop="1" thickBot="1" x14ac:dyDescent="0.25"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</row>
    <row r="384" spans="6:39" ht="16" hidden="1" thickTop="1" thickBot="1" x14ac:dyDescent="0.25"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</row>
    <row r="385" spans="6:39" ht="16" hidden="1" thickTop="1" thickBot="1" x14ac:dyDescent="0.25"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</row>
    <row r="386" spans="6:39" ht="16" hidden="1" thickTop="1" thickBot="1" x14ac:dyDescent="0.25"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</row>
    <row r="387" spans="6:39" ht="16" hidden="1" thickTop="1" thickBot="1" x14ac:dyDescent="0.25"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</row>
    <row r="388" spans="6:39" ht="16" hidden="1" thickTop="1" thickBot="1" x14ac:dyDescent="0.25"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</row>
    <row r="389" spans="6:39" ht="16" hidden="1" thickTop="1" thickBot="1" x14ac:dyDescent="0.25"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</row>
    <row r="390" spans="6:39" ht="16" hidden="1" thickTop="1" thickBot="1" x14ac:dyDescent="0.25"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</row>
    <row r="391" spans="6:39" ht="16" hidden="1" thickTop="1" thickBot="1" x14ac:dyDescent="0.25"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</row>
    <row r="392" spans="6:39" ht="16" hidden="1" thickTop="1" thickBot="1" x14ac:dyDescent="0.25"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</row>
    <row r="393" spans="6:39" ht="16" hidden="1" thickTop="1" thickBot="1" x14ac:dyDescent="0.25"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</row>
    <row r="394" spans="6:39" ht="16" hidden="1" thickTop="1" thickBot="1" x14ac:dyDescent="0.25"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</row>
    <row r="395" spans="6:39" ht="16" hidden="1" thickTop="1" thickBot="1" x14ac:dyDescent="0.25"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</row>
    <row r="396" spans="6:39" ht="16" hidden="1" thickTop="1" thickBot="1" x14ac:dyDescent="0.25"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</row>
    <row r="397" spans="6:39" ht="16" hidden="1" thickTop="1" thickBot="1" x14ac:dyDescent="0.25"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</row>
    <row r="398" spans="6:39" ht="16" hidden="1" thickTop="1" thickBot="1" x14ac:dyDescent="0.25"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</row>
    <row r="399" spans="6:39" ht="16" hidden="1" thickTop="1" thickBot="1" x14ac:dyDescent="0.25"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</row>
    <row r="400" spans="6:39" ht="16" hidden="1" thickTop="1" thickBot="1" x14ac:dyDescent="0.25"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</row>
    <row r="401" spans="6:39" ht="16" hidden="1" thickTop="1" thickBot="1" x14ac:dyDescent="0.25"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</row>
    <row r="402" spans="6:39" ht="16" hidden="1" thickTop="1" thickBot="1" x14ac:dyDescent="0.25"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</row>
    <row r="403" spans="6:39" ht="16" hidden="1" thickTop="1" thickBot="1" x14ac:dyDescent="0.25"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</row>
    <row r="404" spans="6:39" ht="16" hidden="1" thickTop="1" thickBot="1" x14ac:dyDescent="0.25"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</row>
    <row r="405" spans="6:39" ht="16" hidden="1" thickTop="1" thickBot="1" x14ac:dyDescent="0.25"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</row>
    <row r="406" spans="6:39" ht="16" hidden="1" thickTop="1" thickBot="1" x14ac:dyDescent="0.25"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</row>
    <row r="407" spans="6:39" ht="16" hidden="1" thickTop="1" thickBot="1" x14ac:dyDescent="0.25"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</row>
    <row r="408" spans="6:39" ht="16" hidden="1" thickTop="1" thickBot="1" x14ac:dyDescent="0.25"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</row>
    <row r="409" spans="6:39" ht="16" hidden="1" thickTop="1" thickBot="1" x14ac:dyDescent="0.25"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</row>
    <row r="410" spans="6:39" ht="16" hidden="1" thickTop="1" thickBot="1" x14ac:dyDescent="0.25"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</row>
    <row r="411" spans="6:39" ht="16" hidden="1" thickTop="1" thickBot="1" x14ac:dyDescent="0.25"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</row>
    <row r="412" spans="6:39" ht="16" hidden="1" thickTop="1" thickBot="1" x14ac:dyDescent="0.25"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</row>
    <row r="413" spans="6:39" ht="16" hidden="1" thickTop="1" thickBot="1" x14ac:dyDescent="0.25"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</row>
    <row r="414" spans="6:39" ht="16" hidden="1" thickTop="1" thickBot="1" x14ac:dyDescent="0.25"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</row>
    <row r="415" spans="6:39" ht="16" hidden="1" thickTop="1" thickBot="1" x14ac:dyDescent="0.25"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</row>
    <row r="416" spans="6:39" ht="16" hidden="1" thickTop="1" thickBot="1" x14ac:dyDescent="0.25"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</row>
    <row r="417" spans="6:39" ht="16" hidden="1" thickTop="1" thickBot="1" x14ac:dyDescent="0.25"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</row>
    <row r="418" spans="6:39" ht="16" hidden="1" thickTop="1" thickBot="1" x14ac:dyDescent="0.25"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</row>
    <row r="419" spans="6:39" ht="16" hidden="1" thickTop="1" thickBot="1" x14ac:dyDescent="0.25"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</row>
    <row r="420" spans="6:39" ht="16" hidden="1" thickTop="1" thickBot="1" x14ac:dyDescent="0.25"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</row>
    <row r="421" spans="6:39" ht="16" hidden="1" thickTop="1" thickBot="1" x14ac:dyDescent="0.25"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</row>
    <row r="422" spans="6:39" ht="16" hidden="1" thickTop="1" thickBot="1" x14ac:dyDescent="0.25"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</row>
    <row r="423" spans="6:39" ht="16" hidden="1" thickTop="1" thickBot="1" x14ac:dyDescent="0.25"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</row>
    <row r="424" spans="6:39" ht="16" hidden="1" thickTop="1" thickBot="1" x14ac:dyDescent="0.25"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</row>
    <row r="425" spans="6:39" ht="16" hidden="1" thickTop="1" thickBot="1" x14ac:dyDescent="0.25"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</row>
    <row r="426" spans="6:39" ht="16" hidden="1" thickTop="1" thickBot="1" x14ac:dyDescent="0.25"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</row>
    <row r="427" spans="6:39" ht="16" hidden="1" thickTop="1" thickBot="1" x14ac:dyDescent="0.25"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</row>
    <row r="428" spans="6:39" ht="16" hidden="1" thickTop="1" thickBot="1" x14ac:dyDescent="0.25"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</row>
    <row r="429" spans="6:39" ht="16" hidden="1" thickTop="1" thickBot="1" x14ac:dyDescent="0.25"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</row>
    <row r="430" spans="6:39" ht="16" hidden="1" thickTop="1" thickBot="1" x14ac:dyDescent="0.25"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</row>
    <row r="431" spans="6:39" ht="16" hidden="1" thickTop="1" thickBot="1" x14ac:dyDescent="0.25"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</row>
    <row r="432" spans="6:39" ht="16" hidden="1" thickTop="1" thickBot="1" x14ac:dyDescent="0.25"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</row>
    <row r="433" spans="6:39" ht="16" hidden="1" thickTop="1" thickBot="1" x14ac:dyDescent="0.25"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</row>
    <row r="434" spans="6:39" ht="16" hidden="1" thickTop="1" thickBot="1" x14ac:dyDescent="0.25"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</row>
    <row r="435" spans="6:39" ht="16" hidden="1" thickTop="1" thickBot="1" x14ac:dyDescent="0.25"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</row>
    <row r="436" spans="6:39" ht="16" hidden="1" thickTop="1" thickBot="1" x14ac:dyDescent="0.25"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</row>
    <row r="437" spans="6:39" ht="16" hidden="1" thickTop="1" thickBot="1" x14ac:dyDescent="0.25"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</row>
    <row r="438" spans="6:39" ht="16" hidden="1" thickTop="1" thickBot="1" x14ac:dyDescent="0.25"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</row>
    <row r="439" spans="6:39" ht="16" hidden="1" thickTop="1" thickBot="1" x14ac:dyDescent="0.25"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</row>
    <row r="440" spans="6:39" ht="16" hidden="1" thickTop="1" thickBot="1" x14ac:dyDescent="0.25"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</row>
    <row r="441" spans="6:39" ht="16" hidden="1" thickTop="1" thickBot="1" x14ac:dyDescent="0.25"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</row>
    <row r="442" spans="6:39" ht="16" hidden="1" thickTop="1" thickBot="1" x14ac:dyDescent="0.25"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</row>
    <row r="443" spans="6:39" ht="16" hidden="1" thickTop="1" thickBot="1" x14ac:dyDescent="0.25"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</row>
    <row r="444" spans="6:39" ht="16" hidden="1" thickTop="1" thickBot="1" x14ac:dyDescent="0.25"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</row>
    <row r="445" spans="6:39" ht="16" hidden="1" thickTop="1" thickBot="1" x14ac:dyDescent="0.25"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</row>
    <row r="446" spans="6:39" ht="16" hidden="1" thickTop="1" thickBot="1" x14ac:dyDescent="0.25"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</row>
    <row r="447" spans="6:39" ht="16" hidden="1" thickTop="1" thickBot="1" x14ac:dyDescent="0.25"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</row>
    <row r="448" spans="6:39" ht="16" hidden="1" thickTop="1" thickBot="1" x14ac:dyDescent="0.25"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</row>
    <row r="449" spans="6:39" ht="16" hidden="1" thickTop="1" thickBot="1" x14ac:dyDescent="0.25"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</row>
    <row r="450" spans="6:39" ht="16" hidden="1" thickTop="1" thickBot="1" x14ac:dyDescent="0.25"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</row>
    <row r="451" spans="6:39" ht="16" hidden="1" thickTop="1" thickBot="1" x14ac:dyDescent="0.25"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</row>
    <row r="452" spans="6:39" ht="16" hidden="1" thickTop="1" thickBot="1" x14ac:dyDescent="0.25"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</row>
    <row r="453" spans="6:39" ht="16" hidden="1" thickTop="1" thickBot="1" x14ac:dyDescent="0.25"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</row>
    <row r="454" spans="6:39" ht="16" hidden="1" thickTop="1" thickBot="1" x14ac:dyDescent="0.25"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</row>
    <row r="455" spans="6:39" ht="16" hidden="1" thickTop="1" thickBot="1" x14ac:dyDescent="0.25"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</row>
    <row r="456" spans="6:39" ht="16" hidden="1" thickTop="1" thickBot="1" x14ac:dyDescent="0.25"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</row>
    <row r="457" spans="6:39" ht="16" hidden="1" thickTop="1" thickBot="1" x14ac:dyDescent="0.25"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</row>
    <row r="458" spans="6:39" ht="16" hidden="1" thickTop="1" thickBot="1" x14ac:dyDescent="0.25"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</row>
    <row r="459" spans="6:39" ht="16" hidden="1" thickTop="1" thickBot="1" x14ac:dyDescent="0.25"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</row>
    <row r="460" spans="6:39" ht="16" hidden="1" thickTop="1" thickBot="1" x14ac:dyDescent="0.25"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</row>
    <row r="461" spans="6:39" ht="16" hidden="1" thickTop="1" thickBot="1" x14ac:dyDescent="0.25"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</row>
    <row r="462" spans="6:39" ht="16" hidden="1" thickTop="1" thickBot="1" x14ac:dyDescent="0.25"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</row>
    <row r="463" spans="6:39" ht="16" hidden="1" thickTop="1" thickBot="1" x14ac:dyDescent="0.25"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</row>
    <row r="464" spans="6:39" ht="16" hidden="1" thickTop="1" thickBot="1" x14ac:dyDescent="0.25"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</row>
    <row r="465" spans="6:39" ht="16" hidden="1" thickTop="1" thickBot="1" x14ac:dyDescent="0.25"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</row>
    <row r="466" spans="6:39" ht="16" hidden="1" thickTop="1" thickBot="1" x14ac:dyDescent="0.25"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</row>
    <row r="467" spans="6:39" ht="16" hidden="1" thickTop="1" thickBot="1" x14ac:dyDescent="0.25"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</row>
    <row r="468" spans="6:39" ht="16" hidden="1" thickTop="1" thickBot="1" x14ac:dyDescent="0.25"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</row>
    <row r="469" spans="6:39" ht="16" hidden="1" thickTop="1" thickBot="1" x14ac:dyDescent="0.25"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</row>
    <row r="470" spans="6:39" ht="16" hidden="1" thickTop="1" thickBot="1" x14ac:dyDescent="0.25"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</row>
    <row r="471" spans="6:39" ht="16" hidden="1" thickTop="1" thickBot="1" x14ac:dyDescent="0.25"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</row>
    <row r="472" spans="6:39" ht="16" hidden="1" thickTop="1" thickBot="1" x14ac:dyDescent="0.25"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</row>
    <row r="473" spans="6:39" ht="16" hidden="1" thickTop="1" thickBot="1" x14ac:dyDescent="0.25"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</row>
    <row r="474" spans="6:39" ht="14" hidden="1" x14ac:dyDescent="0.2"/>
    <row r="475" spans="6:39" ht="14" hidden="1" x14ac:dyDescent="0.2"/>
    <row r="476" spans="6:39" ht="14" hidden="1" x14ac:dyDescent="0.2"/>
    <row r="477" spans="6:39" ht="14" hidden="1" x14ac:dyDescent="0.2"/>
    <row r="478" spans="6:39" ht="14" hidden="1" x14ac:dyDescent="0.2"/>
    <row r="479" spans="6:39" ht="14" hidden="1" x14ac:dyDescent="0.2"/>
    <row r="481" ht="14" x14ac:dyDescent="0.2"/>
    <row r="482" ht="14" x14ac:dyDescent="0.2"/>
    <row r="483" ht="14" x14ac:dyDescent="0.2"/>
    <row r="484" ht="14" x14ac:dyDescent="0.2"/>
    <row r="485" ht="14" x14ac:dyDescent="0.2"/>
    <row r="486" ht="14" x14ac:dyDescent="0.2"/>
    <row r="487" ht="14" x14ac:dyDescent="0.2"/>
    <row r="488" ht="14" x14ac:dyDescent="0.2"/>
  </sheetData>
  <sortState xmlns:xlrd2="http://schemas.microsoft.com/office/spreadsheetml/2017/richdata2" ref="A3:E86">
    <sortCondition ref="A3:A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 Unit Costs (rev)</vt:lpstr>
      <vt:lpstr>Benchmark Unit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Wolin</dc:creator>
  <cp:lastModifiedBy>Gregg Wolin</cp:lastModifiedBy>
  <dcterms:created xsi:type="dcterms:W3CDTF">2025-11-04T23:58:45Z</dcterms:created>
  <dcterms:modified xsi:type="dcterms:W3CDTF">2025-11-16T23:58:31Z</dcterms:modified>
</cp:coreProperties>
</file>