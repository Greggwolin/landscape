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5150east/landscape/"/>
    </mc:Choice>
  </mc:AlternateContent>
  <xr:revisionPtr revIDLastSave="0" documentId="8_{4F06C59A-24F8-1648-B51E-ADAF1FCCD1D1}" xr6:coauthVersionLast="47" xr6:coauthVersionMax="47" xr10:uidLastSave="{00000000-0000-0000-0000-000000000000}"/>
  <bookViews>
    <workbookView xWindow="36860" yWindow="8660" windowWidth="21080" windowHeight="19860" xr2:uid="{48663933-9FC3-4DAF-A137-55C3184A040B}"/>
  </bookViews>
  <sheets>
    <sheet name="MF" sheetId="3" r:id="rId1"/>
  </sheets>
  <definedNames>
    <definedName name="headr_projDescr">#REF!</definedName>
    <definedName name="headr_projectName">IF(#REF!&gt;0,"Q"&amp;ROUNDUP(MONTH(#REF!)/3,0)&amp;"-"&amp;YEAR(#REF!)-2000,"")</definedName>
    <definedName name="i_dateStart">#REF!</definedName>
    <definedName name="i_durationMax">#REF!</definedName>
    <definedName name="i_projectDescr">#REF!</definedName>
    <definedName name="i_projectLocation">#REF!</definedName>
    <definedName name="i_projectName">#REF!</definedName>
    <definedName name="list_datesMo">EDATE(i_dateStart,_xlfn.SEQUENCE(i_durationMax,1,0))</definedName>
    <definedName name="list_datesQtr">IF(_xlfn.ANCHORARRAY(#REF!)&gt;0,"Q"&amp;ROUNDUP(MONTH(_xlfn.ANCHORARRAY(#REF!))/3,0)&amp;"-"&amp;YEAR(_xlfn.ANCHORARRAY(#REF!))-2000,0)</definedName>
    <definedName name="list_datesYr">YEAR(EDATE(i_dateStart,_xlfn.SEQUENCE(i_durationMax,1,0)))</definedName>
    <definedName name="list_MonthNames">TEXT(_xlfn.SEQUENCE(12,,1,1)&amp;"/1", "MMM")</definedName>
    <definedName name="list_periodsMo">_xlfn.SEQUENCE(i_durationMax)</definedName>
    <definedName name="list_periodsQtr">ROUNDUP(_xlfn.SEQUENCE(MAX(list_periodsMo),,1,1)/3,0)</definedName>
    <definedName name="list_periodsYr">_xlfn._xlws.FILTER(#REF!,#REF!&lt;&gt;0)</definedName>
    <definedName name="list_years">_xlfn.UNIQUE(list_datesYr)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8" i="3" l="1"/>
  <c r="H38" i="3" s="1"/>
  <c r="H40" i="3" s="1"/>
  <c r="E38" i="3"/>
  <c r="E40" i="3" s="1"/>
  <c r="D38" i="3"/>
  <c r="D40" i="3" s="1"/>
  <c r="H33" i="3"/>
  <c r="F33" i="3"/>
  <c r="H32" i="3"/>
  <c r="F32" i="3"/>
  <c r="H31" i="3"/>
  <c r="F31" i="3"/>
  <c r="H26" i="3"/>
  <c r="F26" i="3"/>
  <c r="H25" i="3"/>
  <c r="F25" i="3"/>
  <c r="H24" i="3"/>
  <c r="F24" i="3"/>
  <c r="H19" i="3"/>
  <c r="H18" i="3"/>
  <c r="G16" i="3"/>
  <c r="F16" i="3"/>
  <c r="E16" i="3"/>
  <c r="H15" i="3"/>
  <c r="H14" i="3"/>
  <c r="H13" i="3"/>
  <c r="H12" i="3"/>
  <c r="H11" i="3"/>
  <c r="H10" i="3"/>
  <c r="H16" i="3" l="1"/>
  <c r="H21" i="3" s="1"/>
  <c r="H28" i="3" s="1"/>
  <c r="F38" i="3"/>
  <c r="F40" i="3" s="1"/>
  <c r="G40" i="3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</calcChain>
</file>

<file path=xl/sharedStrings.xml><?xml version="1.0" encoding="utf-8"?>
<sst xmlns="http://schemas.openxmlformats.org/spreadsheetml/2006/main" count="42" uniqueCount="31">
  <si>
    <t>Rental Rates</t>
  </si>
  <si>
    <t>Landscape</t>
  </si>
  <si>
    <t>Plan</t>
  </si>
  <si>
    <t>SF</t>
  </si>
  <si>
    <t>Units</t>
  </si>
  <si>
    <t>Current</t>
  </si>
  <si>
    <t>Proforma</t>
  </si>
  <si>
    <t>1BR/1.75BA+Den</t>
  </si>
  <si>
    <t>1BR/1BA</t>
  </si>
  <si>
    <t>2BR/1.75BA</t>
  </si>
  <si>
    <t>2BR/1BA</t>
  </si>
  <si>
    <t>Studio</t>
  </si>
  <si>
    <t>Potential Rental Income</t>
  </si>
  <si>
    <t xml:space="preserve">Less: Physical Vacancy </t>
  </si>
  <si>
    <t>Less: Manager Unit</t>
  </si>
  <si>
    <t>&lt; Other User-input items&gt;</t>
  </si>
  <si>
    <t>Net Rental Income</t>
  </si>
  <si>
    <t>Other Income</t>
  </si>
  <si>
    <t>Actual T-12</t>
  </si>
  <si>
    <t>$/Unit</t>
  </si>
  <si>
    <t>RUBS</t>
  </si>
  <si>
    <t>Laundry</t>
  </si>
  <si>
    <t>Late Charges</t>
  </si>
  <si>
    <t>Effective Gross Income</t>
  </si>
  <si>
    <t>Expenses</t>
  </si>
  <si>
    <t>Total</t>
  </si>
  <si>
    <t>Taxes</t>
  </si>
  <si>
    <t>Repairs &amp; Maint</t>
  </si>
  <si>
    <t>Utilities</t>
  </si>
  <si>
    <t>Operating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</si>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</sst>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3" formatCode="_(* #,##0.00_);_(* \(#,##0.00\);_(* &quot;-&quot;??_);_(@_)"/>
    <numFmt numFmtId="164" formatCode="_(#,##0_);\(#,##0\);_(&quot;-&quot;_)"/>
    <numFmt numFmtId="166" formatCode="0%;;&quot;-&quot;"/>
    <numFmt numFmtId="167" formatCode="m/d/yy_;;&quot;-&quot;"/>
    <numFmt numFmtId="169" formatCode="mmm\-yy_;"/>
    <numFmt numFmtId="170" formatCode="###0_);\(###0\);&quot;-&quot;"/>
    <numFmt numFmtId="171" formatCode="_(&quot;$&quot;#,##0_);\(&quot;$&quot;#,##0\);_(&quot;-&quot;_)"/>
    <numFmt numFmtId="172" formatCode="0.0%"/>
    <numFmt numFmtId="173" formatCode="_(* #,##0_);_(* \(#,##0\);_(* &quot;-&quot;??_);_(@_)"/>
  </numFmts>
  <fonts count="22" x14ac:knownFonts="1">
    <font>
      <sz val="11"/>
      <color theme="1"/>
      <name val="Univers"/>
      <family val="2"/>
    </font>
    <font>
      <sz val="11"/>
      <color theme="0"/>
      <name val="Univers"/>
      <family val="2"/>
    </font>
    <font>
      <sz val="11"/>
      <name val="Univers"/>
      <family val="2"/>
    </font>
    <font>
      <sz val="11"/>
      <color rgb="FF0000FF"/>
      <name val="Univers"/>
      <family val="2"/>
    </font>
    <font>
      <sz val="11"/>
      <color rgb="FF006100"/>
      <name val="Univers"/>
      <family val="2"/>
    </font>
    <font>
      <sz val="11"/>
      <color rgb="FF9C0006"/>
      <name val="Univers"/>
      <family val="2"/>
    </font>
    <font>
      <sz val="11"/>
      <color rgb="FF9C5700"/>
      <name val="Univers"/>
      <family val="2"/>
    </font>
    <font>
      <b/>
      <sz val="11"/>
      <color rgb="FFFA7D00"/>
      <name val="Univers"/>
      <family val="2"/>
    </font>
    <font>
      <b/>
      <sz val="11"/>
      <color theme="0"/>
      <name val="Univers"/>
      <family val="2"/>
    </font>
    <font>
      <sz val="12"/>
      <color rgb="FFFF0000"/>
      <name val="Aptos"/>
      <family val="2"/>
    </font>
    <font>
      <sz val="11"/>
      <color theme="1"/>
      <name val="Univers"/>
      <family val="2"/>
    </font>
    <font>
      <sz val="10"/>
      <name val="Helvetica"/>
      <family val="2"/>
    </font>
    <font>
      <b/>
      <sz val="10"/>
      <name val="Helvetica"/>
      <family val="2"/>
    </font>
    <font>
      <sz val="10"/>
      <color rgb="FF475569"/>
      <name val="Helvetica"/>
      <family val="2"/>
    </font>
    <font>
      <sz val="10"/>
      <color rgb="FF111827"/>
      <name val="Helvetica"/>
      <family val="2"/>
    </font>
    <font>
      <sz val="10"/>
      <color rgb="FF374151"/>
      <name val="Helvetica"/>
      <family val="2"/>
    </font>
    <font>
      <b/>
      <sz val="10"/>
      <color rgb="FF0432FF"/>
      <name val="Helvetica"/>
      <family val="2"/>
    </font>
    <font>
      <b/>
      <sz val="10"/>
      <color rgb="FF111827"/>
      <name val="Helvetica"/>
      <family val="2"/>
    </font>
    <font>
      <sz val="10"/>
      <color theme="1"/>
      <name val="Helvetica"/>
      <family val="2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b/>
      <sz val="11"/>
      <color rgb="FF000000"/>
      <name val="Aptos Display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0F0F0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E1E1E1"/>
      </left>
      <right style="thick">
        <color rgb="FFE1E1E1"/>
      </right>
      <top style="thin">
        <color theme="2" tint="-0.499984740745262"/>
      </top>
      <bottom style="thick">
        <color rgb="FFE1E1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164" fontId="2" fillId="10" borderId="1">
      <alignment horizontal="left" vertical="top" indent="1" shrinkToFit="1"/>
    </xf>
    <xf numFmtId="164" fontId="2" fillId="4" borderId="2">
      <alignment horizontal="left" vertical="center"/>
    </xf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3" applyNumberFormat="0" applyAlignment="0" applyProtection="0"/>
    <xf numFmtId="0" fontId="8" fillId="9" borderId="4" applyNumberFormat="0" applyAlignment="0" applyProtection="0"/>
    <xf numFmtId="166" fontId="3" fillId="11" borderId="0">
      <alignment horizontal="right" vertical="top" indent="1" shrinkToFit="1"/>
    </xf>
    <xf numFmtId="0" fontId="3" fillId="11" borderId="0">
      <alignment horizontal="left" vertical="top" indent="1" shrinkToFi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1" fontId="3" fillId="11" borderId="1" applyProtection="0">
      <alignment horizontal="right" vertical="top" indent="1" shrinkToFit="1"/>
    </xf>
    <xf numFmtId="170" fontId="3" fillId="11" borderId="1">
      <alignment horizontal="right" vertical="top" indent="1" shrinkToFit="1"/>
    </xf>
    <xf numFmtId="167" fontId="3" fillId="11" borderId="1">
      <alignment horizontal="right" vertical="center" indent="1"/>
    </xf>
    <xf numFmtId="169" fontId="3" fillId="11" borderId="1">
      <alignment horizontal="right" vertical="center" indent="1"/>
    </xf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5" xfId="0" applyBorder="1"/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3" fillId="0" borderId="6" xfId="0" applyFont="1" applyBorder="1"/>
    <xf numFmtId="0" fontId="13" fillId="0" borderId="6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4" fillId="0" borderId="0" xfId="0" applyFont="1" applyAlignment="1">
      <alignment horizontal="left" indent="1"/>
    </xf>
    <xf numFmtId="3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6" fontId="15" fillId="0" borderId="0" xfId="0" applyNumberFormat="1" applyFont="1" applyAlignment="1">
      <alignment horizontal="right"/>
    </xf>
    <xf numFmtId="6" fontId="16" fillId="0" borderId="0" xfId="0" applyNumberFormat="1" applyFont="1" applyAlignment="1">
      <alignment horizontal="right"/>
    </xf>
    <xf numFmtId="0" fontId="14" fillId="0" borderId="6" xfId="0" applyFont="1" applyBorder="1" applyAlignment="1">
      <alignment horizontal="left" indent="1"/>
    </xf>
    <xf numFmtId="0" fontId="15" fillId="0" borderId="6" xfId="0" applyFont="1" applyBorder="1" applyAlignment="1">
      <alignment horizontal="right"/>
    </xf>
    <xf numFmtId="6" fontId="15" fillId="0" borderId="6" xfId="0" applyNumberFormat="1" applyFont="1" applyBorder="1" applyAlignment="1">
      <alignment horizontal="right"/>
    </xf>
    <xf numFmtId="6" fontId="16" fillId="0" borderId="6" xfId="0" applyNumberFormat="1" applyFont="1" applyBorder="1" applyAlignment="1">
      <alignment horizontal="right"/>
    </xf>
    <xf numFmtId="0" fontId="17" fillId="0" borderId="0" xfId="0" applyFont="1" applyAlignment="1">
      <alignment horizontal="left" indent="2"/>
    </xf>
    <xf numFmtId="6" fontId="11" fillId="0" borderId="0" xfId="0" applyNumberFormat="1" applyFont="1"/>
    <xf numFmtId="6" fontId="12" fillId="0" borderId="0" xfId="0" applyNumberFormat="1" applyFont="1"/>
    <xf numFmtId="172" fontId="18" fillId="0" borderId="0" xfId="0" applyNumberFormat="1" applyFont="1"/>
    <xf numFmtId="172" fontId="16" fillId="0" borderId="0" xfId="0" applyNumberFormat="1" applyFont="1"/>
    <xf numFmtId="6" fontId="18" fillId="0" borderId="0" xfId="0" applyNumberFormat="1" applyFont="1"/>
    <xf numFmtId="0" fontId="13" fillId="0" borderId="6" xfId="0" applyFont="1" applyBorder="1" applyAlignment="1">
      <alignment horizontal="left"/>
    </xf>
    <xf numFmtId="6" fontId="15" fillId="0" borderId="0" xfId="0" applyNumberFormat="1" applyFont="1" applyAlignment="1">
      <alignment horizontal="left" indent="1"/>
    </xf>
    <xf numFmtId="0" fontId="11" fillId="0" borderId="0" xfId="0" applyFont="1" applyAlignment="1">
      <alignment horizontal="left" indent="1"/>
    </xf>
    <xf numFmtId="173" fontId="19" fillId="12" borderId="0" xfId="17" applyNumberFormat="1" applyFont="1" applyFill="1" applyBorder="1" applyAlignment="1">
      <alignment horizontal="right" vertical="center" indent="1"/>
    </xf>
    <xf numFmtId="0" fontId="0" fillId="0" borderId="0" xfId="0" applyAlignment="1">
      <alignment horizontal="left" indent="1"/>
    </xf>
    <xf numFmtId="173" fontId="20" fillId="12" borderId="0" xfId="17" applyNumberFormat="1" applyFont="1" applyFill="1" applyBorder="1" applyAlignment="1">
      <alignment horizontal="right" vertical="center" indent="1"/>
    </xf>
    <xf numFmtId="173" fontId="21" fillId="12" borderId="0" xfId="17" applyNumberFormat="1" applyFont="1" applyFill="1" applyBorder="1" applyAlignment="1">
      <alignment horizontal="right" vertical="center" indent="1"/>
    </xf>
  </cellXfs>
  <cellStyles count="18">
    <cellStyle name="Bad" xfId="4" builtinId="27" hidden="1"/>
    <cellStyle name="Calculation" xfId="6" builtinId="22" hidden="1"/>
    <cellStyle name="Check Cell" xfId="7" builtinId="23" hidden="1"/>
    <cellStyle name="Comma" xfId="17" builtinId="3"/>
    <cellStyle name="Followed Hyperlink" xfId="11" builtinId="9" customBuiltin="1"/>
    <cellStyle name="Good" xfId="3" builtinId="26" hidden="1"/>
    <cellStyle name="Hyperlink" xfId="10" builtinId="8" customBuiltin="1"/>
    <cellStyle name="Input Date mmm-yr" xfId="16" xr:uid="{9D2E88B4-C890-AA44-8607-8AC6BAF0B38C}"/>
    <cellStyle name="Input m/d/y" xfId="15" xr:uid="{F65084D3-AE49-2B4E-838B-9BB835414C53}"/>
    <cellStyle name="Input Number" xfId="13" xr:uid="{4156CF33-409C-3C46-8A47-20AE6E294113}"/>
    <cellStyle name="Input Text" xfId="9" xr:uid="{44E96E4C-3AE0-7141-8D90-71922CEA0980}"/>
    <cellStyle name="Input Year" xfId="14" xr:uid="{2527BA92-52DC-BD4E-A4A3-9830E991CD37}"/>
    <cellStyle name="Label: Input" xfId="1" xr:uid="{4FE3C1FC-201A-4288-A1BB-074B80405F9B}"/>
    <cellStyle name="Neutral" xfId="5" builtinId="28" hidden="1"/>
    <cellStyle name="Normal" xfId="0" builtinId="0"/>
    <cellStyle name="Style 1" xfId="8" xr:uid="{96B6189A-A4F0-8C47-BCA0-2EFE2ADF6254}"/>
    <cellStyle name="Total: Bottom" xfId="2" xr:uid="{7A302A34-1980-4763-A2F0-2877CA778871}"/>
    <cellStyle name="Warning Text" xfId="12" builtinId="11" hidden="1"/>
  </cellStyles>
  <dxfs count="0"/>
  <tableStyles count="0" defaultTableStyle="TableStyleMedium2" defaultPivotStyle="PivotStyleLight16"/>
  <colors>
    <mruColors>
      <color rgb="FF0000FF"/>
      <color rgb="FFFFCCFF"/>
      <color rgb="FFFFB8A7"/>
      <color rgb="FFFFFFCD"/>
      <color rgb="FF77BDFB"/>
      <color rgb="FFFFF0E1"/>
      <color rgb="FFFFF0FF"/>
      <color rgb="FFFFE6FF"/>
      <color rgb="FFF0F0F0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2E85-275C-4255-9D94-EA91A56D5874}">
  <sheetPr codeName="Sheet1">
    <tabColor rgb="FF7CE38B"/>
  </sheetPr>
  <dimension ref="A1:DZ505"/>
  <sheetViews>
    <sheetView showGridLines="0" tabSelected="1" topLeftCell="B2" workbookViewId="0">
      <selection activeCell="C12" sqref="C12"/>
    </sheetView>
  </sheetViews>
  <sheetFormatPr baseColWidth="10" defaultColWidth="0" defaultRowHeight="14" zeroHeight="1" x14ac:dyDescent="0.2"/>
  <cols>
    <col min="1" max="1" width="3.5" hidden="1" customWidth="1"/>
    <col min="2" max="2" width="4.1640625" customWidth="1"/>
    <col min="3" max="3" width="23.83203125" bestFit="1" customWidth="1"/>
    <col min="4" max="5" width="10.1640625" bestFit="1" customWidth="1"/>
    <col min="6" max="6" width="8.1640625" bestFit="1" customWidth="1"/>
    <col min="7" max="7" width="8.6640625" bestFit="1" customWidth="1"/>
    <col min="8" max="8" width="10.6640625" bestFit="1" customWidth="1"/>
    <col min="9" max="12" width="9" customWidth="1"/>
    <col min="13" max="13" width="17.5" customWidth="1"/>
    <col min="14" max="20" width="9" customWidth="1"/>
    <col min="21" max="125" width="1.5" customWidth="1"/>
    <col min="126" max="126" width="0" hidden="1" customWidth="1"/>
    <col min="131" max="16384" width="9" hidden="1"/>
  </cols>
  <sheetData>
    <row r="1" spans="1:125" hidden="1" x14ac:dyDescent="0.2">
      <c r="A1" s="3"/>
      <c r="B1" s="4" t="e">
        <f>#REF!+1</f>
        <v>#REF!</v>
      </c>
      <c r="C1" s="4" t="e">
        <f t="shared" ref="C1:BK1" si="0">B1+1</f>
        <v>#REF!</v>
      </c>
      <c r="D1" s="4" t="e">
        <f t="shared" si="0"/>
        <v>#REF!</v>
      </c>
      <c r="E1" s="4" t="e">
        <f t="shared" si="0"/>
        <v>#REF!</v>
      </c>
      <c r="F1" s="4" t="e">
        <f t="shared" si="0"/>
        <v>#REF!</v>
      </c>
      <c r="G1" s="4" t="e">
        <f t="shared" si="0"/>
        <v>#REF!</v>
      </c>
      <c r="H1" s="4" t="e">
        <f t="shared" si="0"/>
        <v>#REF!</v>
      </c>
      <c r="I1" s="4" t="e">
        <f t="shared" si="0"/>
        <v>#REF!</v>
      </c>
      <c r="J1" s="4" t="e">
        <f t="shared" si="0"/>
        <v>#REF!</v>
      </c>
      <c r="K1" s="4" t="e">
        <f t="shared" si="0"/>
        <v>#REF!</v>
      </c>
      <c r="L1" s="4" t="e">
        <f t="shared" si="0"/>
        <v>#REF!</v>
      </c>
      <c r="M1" s="4" t="e">
        <f t="shared" si="0"/>
        <v>#REF!</v>
      </c>
      <c r="N1" s="4" t="e">
        <f t="shared" si="0"/>
        <v>#REF!</v>
      </c>
      <c r="O1" s="4" t="e">
        <f t="shared" si="0"/>
        <v>#REF!</v>
      </c>
      <c r="P1" s="4" t="e">
        <f t="shared" si="0"/>
        <v>#REF!</v>
      </c>
      <c r="Q1" s="4" t="e">
        <f t="shared" si="0"/>
        <v>#REF!</v>
      </c>
      <c r="R1" s="4" t="e">
        <f t="shared" si="0"/>
        <v>#REF!</v>
      </c>
      <c r="S1" s="4" t="e">
        <f t="shared" si="0"/>
        <v>#REF!</v>
      </c>
      <c r="T1" s="4" t="e">
        <f t="shared" si="0"/>
        <v>#REF!</v>
      </c>
      <c r="U1" s="4" t="e">
        <f t="shared" si="0"/>
        <v>#REF!</v>
      </c>
      <c r="V1" s="4" t="e">
        <f t="shared" si="0"/>
        <v>#REF!</v>
      </c>
      <c r="W1" s="4" t="e">
        <f t="shared" si="0"/>
        <v>#REF!</v>
      </c>
      <c r="X1" s="4" t="e">
        <f t="shared" si="0"/>
        <v>#REF!</v>
      </c>
      <c r="Y1" s="4" t="e">
        <f t="shared" si="0"/>
        <v>#REF!</v>
      </c>
      <c r="Z1" s="4" t="e">
        <f t="shared" si="0"/>
        <v>#REF!</v>
      </c>
      <c r="AA1" s="4" t="e">
        <f t="shared" si="0"/>
        <v>#REF!</v>
      </c>
      <c r="AB1" s="4" t="e">
        <f t="shared" si="0"/>
        <v>#REF!</v>
      </c>
      <c r="AC1" s="4" t="e">
        <f t="shared" si="0"/>
        <v>#REF!</v>
      </c>
      <c r="AD1" s="4" t="e">
        <f t="shared" si="0"/>
        <v>#REF!</v>
      </c>
      <c r="AE1" s="4" t="e">
        <f t="shared" si="0"/>
        <v>#REF!</v>
      </c>
      <c r="AF1" s="4" t="e">
        <f t="shared" si="0"/>
        <v>#REF!</v>
      </c>
      <c r="AG1" s="4" t="e">
        <f t="shared" si="0"/>
        <v>#REF!</v>
      </c>
      <c r="AH1" s="4" t="e">
        <f t="shared" si="0"/>
        <v>#REF!</v>
      </c>
      <c r="AI1" s="4" t="e">
        <f t="shared" si="0"/>
        <v>#REF!</v>
      </c>
      <c r="AJ1" s="4" t="e">
        <f t="shared" si="0"/>
        <v>#REF!</v>
      </c>
      <c r="AK1" s="4" t="e">
        <f t="shared" si="0"/>
        <v>#REF!</v>
      </c>
      <c r="AL1" s="4" t="e">
        <f t="shared" si="0"/>
        <v>#REF!</v>
      </c>
      <c r="AM1" s="4" t="e">
        <f t="shared" si="0"/>
        <v>#REF!</v>
      </c>
      <c r="AN1" s="4" t="e">
        <f t="shared" si="0"/>
        <v>#REF!</v>
      </c>
      <c r="AO1" s="4" t="e">
        <f t="shared" si="0"/>
        <v>#REF!</v>
      </c>
      <c r="AP1" s="4" t="e">
        <f t="shared" si="0"/>
        <v>#REF!</v>
      </c>
      <c r="AQ1" s="4" t="e">
        <f t="shared" si="0"/>
        <v>#REF!</v>
      </c>
      <c r="AR1" s="4" t="e">
        <f t="shared" si="0"/>
        <v>#REF!</v>
      </c>
      <c r="AS1" s="4" t="e">
        <f t="shared" si="0"/>
        <v>#REF!</v>
      </c>
      <c r="AT1" s="4" t="e">
        <f t="shared" si="0"/>
        <v>#REF!</v>
      </c>
      <c r="AU1" s="4" t="e">
        <f t="shared" si="0"/>
        <v>#REF!</v>
      </c>
      <c r="AV1" s="4" t="e">
        <f t="shared" si="0"/>
        <v>#REF!</v>
      </c>
      <c r="AW1" s="4" t="e">
        <f t="shared" si="0"/>
        <v>#REF!</v>
      </c>
      <c r="AX1" s="4" t="e">
        <f t="shared" si="0"/>
        <v>#REF!</v>
      </c>
      <c r="AY1" s="4" t="e">
        <f t="shared" si="0"/>
        <v>#REF!</v>
      </c>
      <c r="AZ1" s="4" t="e">
        <f t="shared" si="0"/>
        <v>#REF!</v>
      </c>
      <c r="BA1" s="4" t="e">
        <f t="shared" si="0"/>
        <v>#REF!</v>
      </c>
      <c r="BB1" s="4" t="e">
        <f t="shared" si="0"/>
        <v>#REF!</v>
      </c>
      <c r="BC1" s="4" t="e">
        <f t="shared" si="0"/>
        <v>#REF!</v>
      </c>
      <c r="BD1" s="4" t="e">
        <f t="shared" si="0"/>
        <v>#REF!</v>
      </c>
      <c r="BE1" s="4" t="e">
        <f t="shared" si="0"/>
        <v>#REF!</v>
      </c>
      <c r="BF1" s="4" t="e">
        <f t="shared" si="0"/>
        <v>#REF!</v>
      </c>
      <c r="BG1" s="4" t="e">
        <f t="shared" si="0"/>
        <v>#REF!</v>
      </c>
      <c r="BH1" s="4" t="e">
        <f t="shared" si="0"/>
        <v>#REF!</v>
      </c>
      <c r="BI1" s="4" t="e">
        <f t="shared" si="0"/>
        <v>#REF!</v>
      </c>
      <c r="BJ1" s="4" t="e">
        <f t="shared" si="0"/>
        <v>#REF!</v>
      </c>
      <c r="BK1" s="4" t="e">
        <f t="shared" si="0"/>
        <v>#REF!</v>
      </c>
      <c r="BL1" s="4" t="e">
        <f t="shared" ref="BL1:DU1" si="1">BK1+1</f>
        <v>#REF!</v>
      </c>
      <c r="BM1" s="4" t="e">
        <f t="shared" si="1"/>
        <v>#REF!</v>
      </c>
      <c r="BN1" s="4" t="e">
        <f t="shared" si="1"/>
        <v>#REF!</v>
      </c>
      <c r="BO1" s="4" t="e">
        <f t="shared" si="1"/>
        <v>#REF!</v>
      </c>
      <c r="BP1" s="4" t="e">
        <f t="shared" si="1"/>
        <v>#REF!</v>
      </c>
      <c r="BQ1" s="4" t="e">
        <f t="shared" si="1"/>
        <v>#REF!</v>
      </c>
      <c r="BR1" s="4" t="e">
        <f t="shared" si="1"/>
        <v>#REF!</v>
      </c>
      <c r="BS1" s="4" t="e">
        <f t="shared" si="1"/>
        <v>#REF!</v>
      </c>
      <c r="BT1" s="4" t="e">
        <f t="shared" si="1"/>
        <v>#REF!</v>
      </c>
      <c r="BU1" s="4" t="e">
        <f t="shared" si="1"/>
        <v>#REF!</v>
      </c>
      <c r="BV1" s="4" t="e">
        <f t="shared" si="1"/>
        <v>#REF!</v>
      </c>
      <c r="BW1" s="4" t="e">
        <f t="shared" si="1"/>
        <v>#REF!</v>
      </c>
      <c r="BX1" s="4" t="e">
        <f t="shared" si="1"/>
        <v>#REF!</v>
      </c>
      <c r="BY1" s="4" t="e">
        <f t="shared" si="1"/>
        <v>#REF!</v>
      </c>
      <c r="BZ1" s="4" t="e">
        <f t="shared" si="1"/>
        <v>#REF!</v>
      </c>
      <c r="CA1" s="4" t="e">
        <f t="shared" si="1"/>
        <v>#REF!</v>
      </c>
      <c r="CB1" s="4" t="e">
        <f t="shared" si="1"/>
        <v>#REF!</v>
      </c>
      <c r="CC1" s="4" t="e">
        <f t="shared" si="1"/>
        <v>#REF!</v>
      </c>
      <c r="CD1" s="4" t="e">
        <f t="shared" si="1"/>
        <v>#REF!</v>
      </c>
      <c r="CE1" s="4" t="e">
        <f t="shared" si="1"/>
        <v>#REF!</v>
      </c>
      <c r="CF1" s="4" t="e">
        <f t="shared" si="1"/>
        <v>#REF!</v>
      </c>
      <c r="CG1" s="4" t="e">
        <f t="shared" si="1"/>
        <v>#REF!</v>
      </c>
      <c r="CH1" s="4" t="e">
        <f t="shared" si="1"/>
        <v>#REF!</v>
      </c>
      <c r="CI1" s="4" t="e">
        <f t="shared" si="1"/>
        <v>#REF!</v>
      </c>
      <c r="CJ1" s="4" t="e">
        <f t="shared" si="1"/>
        <v>#REF!</v>
      </c>
      <c r="CK1" s="4" t="e">
        <f t="shared" si="1"/>
        <v>#REF!</v>
      </c>
      <c r="CL1" s="4" t="e">
        <f t="shared" si="1"/>
        <v>#REF!</v>
      </c>
      <c r="CM1" s="4" t="e">
        <f t="shared" si="1"/>
        <v>#REF!</v>
      </c>
      <c r="CN1" s="4" t="e">
        <f t="shared" si="1"/>
        <v>#REF!</v>
      </c>
      <c r="CO1" s="4" t="e">
        <f t="shared" si="1"/>
        <v>#REF!</v>
      </c>
      <c r="CP1" s="4" t="e">
        <f t="shared" si="1"/>
        <v>#REF!</v>
      </c>
      <c r="CQ1" s="4" t="e">
        <f t="shared" si="1"/>
        <v>#REF!</v>
      </c>
      <c r="CR1" s="4" t="e">
        <f t="shared" si="1"/>
        <v>#REF!</v>
      </c>
      <c r="CS1" s="4" t="e">
        <f t="shared" si="1"/>
        <v>#REF!</v>
      </c>
      <c r="CT1" s="4" t="e">
        <f t="shared" si="1"/>
        <v>#REF!</v>
      </c>
      <c r="CU1" s="4" t="e">
        <f t="shared" si="1"/>
        <v>#REF!</v>
      </c>
      <c r="CV1" s="4" t="e">
        <f t="shared" si="1"/>
        <v>#REF!</v>
      </c>
      <c r="CW1" s="4" t="e">
        <f t="shared" si="1"/>
        <v>#REF!</v>
      </c>
      <c r="CX1" s="4" t="e">
        <f t="shared" si="1"/>
        <v>#REF!</v>
      </c>
      <c r="CY1" s="4" t="e">
        <f t="shared" si="1"/>
        <v>#REF!</v>
      </c>
      <c r="CZ1" s="4" t="e">
        <f t="shared" si="1"/>
        <v>#REF!</v>
      </c>
      <c r="DA1" s="4" t="e">
        <f t="shared" si="1"/>
        <v>#REF!</v>
      </c>
      <c r="DB1" s="4" t="e">
        <f t="shared" si="1"/>
        <v>#REF!</v>
      </c>
      <c r="DC1" s="4" t="e">
        <f t="shared" si="1"/>
        <v>#REF!</v>
      </c>
      <c r="DD1" s="4" t="e">
        <f t="shared" si="1"/>
        <v>#REF!</v>
      </c>
      <c r="DE1" s="4" t="e">
        <f t="shared" si="1"/>
        <v>#REF!</v>
      </c>
      <c r="DF1" s="4" t="e">
        <f t="shared" si="1"/>
        <v>#REF!</v>
      </c>
      <c r="DG1" s="4" t="e">
        <f t="shared" si="1"/>
        <v>#REF!</v>
      </c>
      <c r="DH1" s="4" t="e">
        <f t="shared" si="1"/>
        <v>#REF!</v>
      </c>
      <c r="DI1" s="4" t="e">
        <f t="shared" si="1"/>
        <v>#REF!</v>
      </c>
      <c r="DJ1" s="4" t="e">
        <f t="shared" si="1"/>
        <v>#REF!</v>
      </c>
      <c r="DK1" s="4" t="e">
        <f t="shared" si="1"/>
        <v>#REF!</v>
      </c>
      <c r="DL1" s="4" t="e">
        <f t="shared" si="1"/>
        <v>#REF!</v>
      </c>
      <c r="DM1" s="4" t="e">
        <f t="shared" si="1"/>
        <v>#REF!</v>
      </c>
      <c r="DN1" s="4" t="e">
        <f t="shared" si="1"/>
        <v>#REF!</v>
      </c>
      <c r="DO1" s="4" t="e">
        <f t="shared" si="1"/>
        <v>#REF!</v>
      </c>
      <c r="DP1" s="4" t="e">
        <f t="shared" si="1"/>
        <v>#REF!</v>
      </c>
      <c r="DQ1" s="4" t="e">
        <f t="shared" si="1"/>
        <v>#REF!</v>
      </c>
      <c r="DR1" s="4" t="e">
        <f t="shared" si="1"/>
        <v>#REF!</v>
      </c>
      <c r="DS1" s="4" t="e">
        <f t="shared" si="1"/>
        <v>#REF!</v>
      </c>
      <c r="DT1" s="4" t="e">
        <f t="shared" si="1"/>
        <v>#REF!</v>
      </c>
      <c r="DU1" s="4" t="e">
        <f t="shared" si="1"/>
        <v>#REF!</v>
      </c>
    </row>
    <row r="2" spans="1:125" x14ac:dyDescent="0.2">
      <c r="A2" s="3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125" x14ac:dyDescent="0.2">
      <c r="A3" s="3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125" ht="21.75" customHeight="1" x14ac:dyDescent="0.2">
      <c r="A4" s="3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125" x14ac:dyDescent="0.2"/>
    <row r="6" spans="1:125" ht="21.75" customHeight="1" x14ac:dyDescent="0.2"/>
    <row r="7" spans="1:125" ht="20.25" customHeight="1" x14ac:dyDescent="0.2">
      <c r="C7" s="7"/>
      <c r="D7" s="7"/>
      <c r="E7" s="7"/>
      <c r="F7" s="7"/>
      <c r="G7" s="7"/>
    </row>
    <row r="8" spans="1:125" ht="20.25" customHeight="1" x14ac:dyDescent="0.2">
      <c r="C8" s="7"/>
      <c r="D8" s="7"/>
      <c r="E8" s="7"/>
      <c r="F8" s="8" t="s">
        <v>0</v>
      </c>
      <c r="G8" s="8"/>
      <c r="H8" s="9" t="s">
        <v>1</v>
      </c>
    </row>
    <row r="9" spans="1:125" ht="20.25" customHeight="1" x14ac:dyDescent="0.2">
      <c r="C9" s="10" t="s">
        <v>2</v>
      </c>
      <c r="D9" s="11" t="s">
        <v>3</v>
      </c>
      <c r="E9" s="11" t="s">
        <v>4</v>
      </c>
      <c r="F9" s="11" t="s">
        <v>5</v>
      </c>
      <c r="G9" s="12" t="s">
        <v>6</v>
      </c>
      <c r="H9" s="11" t="s">
        <v>6</v>
      </c>
    </row>
    <row r="10" spans="1:125" ht="20.25" customHeight="1" x14ac:dyDescent="0.2">
      <c r="C10" s="13" t="s">
        <v>7</v>
      </c>
      <c r="D10" s="14">
        <v>1071</v>
      </c>
      <c r="E10" s="15">
        <v>17</v>
      </c>
      <c r="F10" s="16">
        <v>2975</v>
      </c>
      <c r="G10" s="17">
        <v>3000</v>
      </c>
      <c r="H10" s="16">
        <f>G10*E10*12</f>
        <v>612000</v>
      </c>
    </row>
    <row r="11" spans="1:125" ht="18" customHeight="1" x14ac:dyDescent="0.2">
      <c r="C11" s="13" t="s">
        <v>8</v>
      </c>
      <c r="D11" s="15">
        <v>813</v>
      </c>
      <c r="E11" s="15">
        <v>34</v>
      </c>
      <c r="F11" s="16">
        <v>2800</v>
      </c>
      <c r="G11" s="17">
        <v>2850</v>
      </c>
      <c r="H11" s="16">
        <f t="shared" ref="H11:H15" si="2">G11*E11*12</f>
        <v>1162800</v>
      </c>
    </row>
    <row r="12" spans="1:125" ht="18" customHeight="1" x14ac:dyDescent="0.2">
      <c r="C12" s="13" t="s">
        <v>10</v>
      </c>
      <c r="D12" s="14">
        <v>1010</v>
      </c>
      <c r="E12" s="15">
        <v>9</v>
      </c>
      <c r="F12" s="16">
        <v>2925</v>
      </c>
      <c r="G12" s="17">
        <v>3000</v>
      </c>
      <c r="H12" s="16">
        <f t="shared" si="2"/>
        <v>324000</v>
      </c>
    </row>
    <row r="13" spans="1:125" ht="18" customHeight="1" x14ac:dyDescent="0.2">
      <c r="C13" s="13" t="s">
        <v>9</v>
      </c>
      <c r="D13" s="14">
        <v>1137</v>
      </c>
      <c r="E13" s="15">
        <v>22</v>
      </c>
      <c r="F13" s="16">
        <v>3100</v>
      </c>
      <c r="G13" s="17">
        <v>3150</v>
      </c>
      <c r="H13" s="16">
        <f t="shared" si="2"/>
        <v>831600</v>
      </c>
    </row>
    <row r="14" spans="1:125" ht="18" customHeight="1" x14ac:dyDescent="0.2">
      <c r="C14" s="13" t="s">
        <v>10</v>
      </c>
      <c r="D14" s="15">
        <v>926</v>
      </c>
      <c r="E14" s="15">
        <v>1</v>
      </c>
      <c r="F14" s="16">
        <v>2900</v>
      </c>
      <c r="G14" s="17">
        <v>3000</v>
      </c>
      <c r="H14" s="16">
        <f t="shared" si="2"/>
        <v>36000</v>
      </c>
    </row>
    <row r="15" spans="1:125" ht="18" customHeight="1" x14ac:dyDescent="0.2">
      <c r="C15" s="18" t="s">
        <v>11</v>
      </c>
      <c r="D15" s="19">
        <v>496</v>
      </c>
      <c r="E15" s="19">
        <v>6</v>
      </c>
      <c r="F15" s="20">
        <v>2100</v>
      </c>
      <c r="G15" s="21">
        <v>2250</v>
      </c>
      <c r="H15" s="20">
        <f t="shared" si="2"/>
        <v>162000</v>
      </c>
    </row>
    <row r="16" spans="1:125" ht="18" customHeight="1" x14ac:dyDescent="0.2">
      <c r="C16" s="22" t="s">
        <v>12</v>
      </c>
      <c r="D16" s="7"/>
      <c r="E16" s="7">
        <f>SUM(E10:E15)</f>
        <v>89</v>
      </c>
      <c r="F16" s="23">
        <f>SUMPRODUCT($Z10:$Z15,F10:F15)</f>
        <v>0</v>
      </c>
      <c r="G16" s="23">
        <f>SUMPRODUCT($Z10:$Z15,G10:G15)</f>
        <v>0</v>
      </c>
      <c r="H16" s="24">
        <f>SUM(H10:H15)</f>
        <v>3128400</v>
      </c>
    </row>
    <row r="17" spans="3:8" ht="18" customHeight="1" x14ac:dyDescent="0.2">
      <c r="C17" s="7"/>
      <c r="D17" s="7"/>
      <c r="E17" s="7"/>
      <c r="F17" s="7"/>
      <c r="G17" s="7"/>
      <c r="H17" s="7"/>
    </row>
    <row r="18" spans="3:8" ht="18" customHeight="1" x14ac:dyDescent="0.2">
      <c r="C18" s="13" t="s">
        <v>13</v>
      </c>
      <c r="D18" s="7"/>
      <c r="F18" s="25">
        <v>0.03</v>
      </c>
      <c r="G18" s="26">
        <v>0.03</v>
      </c>
      <c r="H18" s="27">
        <f>-G18*$AC$49</f>
        <v>0</v>
      </c>
    </row>
    <row r="19" spans="3:8" ht="18" customHeight="1" x14ac:dyDescent="0.2">
      <c r="C19" s="13" t="s">
        <v>14</v>
      </c>
      <c r="D19" s="7"/>
      <c r="F19" s="25">
        <v>1.4E-2</v>
      </c>
      <c r="G19" s="26">
        <v>1.4E-2</v>
      </c>
      <c r="H19" s="27">
        <f>-G19*$AC$49</f>
        <v>0</v>
      </c>
    </row>
    <row r="20" spans="3:8" ht="18" customHeight="1" x14ac:dyDescent="0.2">
      <c r="C20" s="18" t="s">
        <v>15</v>
      </c>
      <c r="D20" s="19"/>
      <c r="E20" s="19"/>
      <c r="F20" s="20"/>
      <c r="G20" s="21"/>
      <c r="H20" s="20">
        <v>0</v>
      </c>
    </row>
    <row r="21" spans="3:8" ht="18" customHeight="1" x14ac:dyDescent="0.2">
      <c r="C21" s="22" t="s">
        <v>16</v>
      </c>
      <c r="D21" s="7"/>
      <c r="E21" s="7"/>
      <c r="F21" s="23"/>
      <c r="G21" s="23"/>
      <c r="H21" s="24">
        <f>SUM(H16:H20)</f>
        <v>3128400</v>
      </c>
    </row>
    <row r="22" spans="3:8" ht="18" customHeight="1" x14ac:dyDescent="0.2"/>
    <row r="23" spans="3:8" ht="18" customHeight="1" x14ac:dyDescent="0.2">
      <c r="C23" s="28" t="s">
        <v>17</v>
      </c>
      <c r="D23" s="11" t="s">
        <v>18</v>
      </c>
      <c r="E23" s="11" t="s">
        <v>5</v>
      </c>
      <c r="F23" s="11" t="s">
        <v>19</v>
      </c>
      <c r="G23" s="12" t="s">
        <v>6</v>
      </c>
      <c r="H23" s="11" t="s">
        <v>6</v>
      </c>
    </row>
    <row r="24" spans="3:8" ht="18" customHeight="1" x14ac:dyDescent="0.2">
      <c r="C24" s="29" t="s">
        <v>20</v>
      </c>
      <c r="D24" s="16">
        <v>0</v>
      </c>
      <c r="E24" s="16">
        <v>144539</v>
      </c>
      <c r="F24" s="16">
        <f>E24/89</f>
        <v>1624.0337078651685</v>
      </c>
      <c r="G24" s="17">
        <v>150</v>
      </c>
      <c r="H24" s="16">
        <f>G24*12*89</f>
        <v>160200</v>
      </c>
    </row>
    <row r="25" spans="3:8" ht="18" customHeight="1" x14ac:dyDescent="0.2">
      <c r="C25" s="30" t="s">
        <v>21</v>
      </c>
      <c r="D25" s="31">
        <v>16608</v>
      </c>
      <c r="E25" s="31">
        <v>23158</v>
      </c>
      <c r="F25" s="31">
        <f t="shared" ref="F25:F26" si="3">E25/89</f>
        <v>260.20224719101122</v>
      </c>
      <c r="G25" s="17">
        <v>260</v>
      </c>
      <c r="H25" s="16">
        <f t="shared" ref="H25:H26" si="4">G25*12*89</f>
        <v>277680</v>
      </c>
    </row>
    <row r="26" spans="3:8" ht="18" customHeight="1" x14ac:dyDescent="0.2">
      <c r="C26" s="30" t="s">
        <v>22</v>
      </c>
      <c r="D26" s="31">
        <v>0</v>
      </c>
      <c r="E26" s="31">
        <v>800</v>
      </c>
      <c r="F26" s="31">
        <f t="shared" si="3"/>
        <v>8.9887640449438209</v>
      </c>
      <c r="G26" s="17">
        <v>10</v>
      </c>
      <c r="H26" s="16">
        <f t="shared" si="4"/>
        <v>10680</v>
      </c>
    </row>
    <row r="27" spans="3:8" ht="18" customHeight="1" x14ac:dyDescent="0.2">
      <c r="C27" s="18" t="s">
        <v>15</v>
      </c>
      <c r="D27" s="19"/>
      <c r="E27" s="19"/>
      <c r="F27" s="20"/>
      <c r="G27" s="21"/>
      <c r="H27" s="20">
        <v>0</v>
      </c>
    </row>
    <row r="28" spans="3:8" ht="18" customHeight="1" x14ac:dyDescent="0.2">
      <c r="C28" s="22" t="s">
        <v>23</v>
      </c>
      <c r="D28" s="7"/>
      <c r="E28" s="7"/>
      <c r="F28" s="23"/>
      <c r="G28" s="23"/>
      <c r="H28" s="24">
        <f>H21-SUM(H24:H27)</f>
        <v>2679840</v>
      </c>
    </row>
    <row r="29" spans="3:8" ht="18" customHeight="1" x14ac:dyDescent="0.2"/>
    <row r="30" spans="3:8" ht="18" customHeight="1" x14ac:dyDescent="0.2">
      <c r="C30" s="28" t="s">
        <v>24</v>
      </c>
      <c r="D30" s="11" t="s">
        <v>18</v>
      </c>
      <c r="E30" s="11" t="s">
        <v>6</v>
      </c>
      <c r="F30" s="11" t="s">
        <v>19</v>
      </c>
      <c r="G30" s="12" t="s">
        <v>19</v>
      </c>
      <c r="H30" s="11" t="s">
        <v>25</v>
      </c>
    </row>
    <row r="31" spans="3:8" ht="18" customHeight="1" x14ac:dyDescent="0.2">
      <c r="C31" s="29" t="s">
        <v>26</v>
      </c>
      <c r="D31" s="16">
        <v>75000</v>
      </c>
      <c r="E31" s="16">
        <v>77000</v>
      </c>
      <c r="F31" s="16">
        <f>E31/50</f>
        <v>1540</v>
      </c>
      <c r="G31" s="17">
        <v>1550</v>
      </c>
      <c r="H31" s="16">
        <f>G31*50</f>
        <v>77500</v>
      </c>
    </row>
    <row r="32" spans="3:8" ht="18" customHeight="1" x14ac:dyDescent="0.2">
      <c r="C32" s="32" t="s">
        <v>27</v>
      </c>
      <c r="D32" s="31">
        <v>200000</v>
      </c>
      <c r="E32" s="31">
        <v>185000</v>
      </c>
      <c r="F32" s="31">
        <f>E32/50</f>
        <v>3700</v>
      </c>
      <c r="G32" s="17">
        <v>3500</v>
      </c>
      <c r="H32" s="33">
        <f>G32*50</f>
        <v>175000</v>
      </c>
    </row>
    <row r="33" spans="3:8" ht="18" customHeight="1" x14ac:dyDescent="0.2">
      <c r="C33" s="30" t="s">
        <v>28</v>
      </c>
      <c r="D33" s="31">
        <v>150000</v>
      </c>
      <c r="E33" s="31">
        <v>155000</v>
      </c>
      <c r="F33" s="31">
        <f>E33/50</f>
        <v>3100</v>
      </c>
      <c r="G33" s="17">
        <v>3250</v>
      </c>
      <c r="H33" s="16">
        <f>G33*50</f>
        <v>162500</v>
      </c>
    </row>
    <row r="34" spans="3:8" ht="18" customHeight="1" x14ac:dyDescent="0.2"/>
    <row r="35" spans="3:8" ht="18" customHeight="1" x14ac:dyDescent="0.2"/>
    <row r="36" spans="3:8" ht="18" customHeight="1" x14ac:dyDescent="0.2"/>
    <row r="37" spans="3:8" ht="18" customHeight="1" x14ac:dyDescent="0.2">
      <c r="C37" s="18" t="s">
        <v>15</v>
      </c>
      <c r="D37" s="19"/>
      <c r="E37" s="19"/>
      <c r="F37" s="20"/>
      <c r="G37" s="21"/>
      <c r="H37" s="20"/>
    </row>
    <row r="38" spans="3:8" ht="18" customHeight="1" x14ac:dyDescent="0.2">
      <c r="C38" s="22" t="s">
        <v>29</v>
      </c>
      <c r="D38" s="7">
        <f>SUM(D31:D33)</f>
        <v>425000</v>
      </c>
      <c r="E38" s="7">
        <f>SUM(E31:E33)</f>
        <v>417000</v>
      </c>
      <c r="F38" s="23">
        <f>SUM(F31:F33)</f>
        <v>8340</v>
      </c>
      <c r="G38" s="23">
        <f>SUM(G31:G33)</f>
        <v>8300</v>
      </c>
      <c r="H38" s="24">
        <f>G38*50</f>
        <v>415000</v>
      </c>
    </row>
    <row r="39" spans="3:8" ht="18" customHeight="1" x14ac:dyDescent="0.2">
      <c r="D39" s="31"/>
      <c r="E39" s="31"/>
      <c r="F39" s="31"/>
      <c r="G39" s="31"/>
      <c r="H39" s="31"/>
    </row>
    <row r="40" spans="3:8" ht="18" customHeight="1" x14ac:dyDescent="0.2">
      <c r="C40" s="32" t="s">
        <v>30</v>
      </c>
      <c r="D40" s="31" t="e">
        <f>#REF!-D38</f>
        <v>#REF!</v>
      </c>
      <c r="E40" s="31" t="e">
        <f>#REF!-E38</f>
        <v>#REF!</v>
      </c>
      <c r="F40" s="31" t="e">
        <f>#REF!-F38</f>
        <v>#REF!</v>
      </c>
      <c r="G40" s="31" t="e">
        <f>#REF!-G38</f>
        <v>#REF!</v>
      </c>
      <c r="H40" s="34" t="e">
        <f>#REF!-H38</f>
        <v>#REF!</v>
      </c>
    </row>
    <row r="41" spans="3:8" ht="18" customHeight="1" x14ac:dyDescent="0.2"/>
    <row r="42" spans="3:8" ht="18" customHeight="1" x14ac:dyDescent="0.2"/>
    <row r="43" spans="3:8" x14ac:dyDescent="0.2"/>
    <row r="44" spans="3:8" x14ac:dyDescent="0.2"/>
    <row r="45" spans="3:8" x14ac:dyDescent="0.2"/>
    <row r="46" spans="3:8" x14ac:dyDescent="0.2"/>
    <row r="47" spans="3:8" x14ac:dyDescent="0.2"/>
    <row r="48" spans="3: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spans="2:46" x14ac:dyDescent="0.2"/>
    <row r="386" spans="2:46" x14ac:dyDescent="0.2"/>
    <row r="387" spans="2:46" x14ac:dyDescent="0.2"/>
    <row r="388" spans="2:46" x14ac:dyDescent="0.2"/>
    <row r="389" spans="2:46" x14ac:dyDescent="0.2"/>
    <row r="390" spans="2:46" x14ac:dyDescent="0.2"/>
    <row r="391" spans="2:46" x14ac:dyDescent="0.2"/>
    <row r="392" spans="2:46" x14ac:dyDescent="0.2"/>
    <row r="393" spans="2:46" x14ac:dyDescent="0.2"/>
    <row r="394" spans="2:46" x14ac:dyDescent="0.2"/>
    <row r="395" spans="2:46" x14ac:dyDescent="0.2"/>
    <row r="396" spans="2:46" x14ac:dyDescent="0.2"/>
    <row r="397" spans="2:46" x14ac:dyDescent="0.2"/>
    <row r="398" spans="2:46" x14ac:dyDescent="0.2"/>
    <row r="399" spans="2:46" ht="16" hidden="1" thickTop="1" thickBot="1" x14ac:dyDescent="0.25">
      <c r="B399" s="6"/>
      <c r="C399" s="6"/>
      <c r="D399" s="5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2:46" ht="16" hidden="1" thickTop="1" thickBot="1" x14ac:dyDescent="0.2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spans="1:46" ht="16" hidden="1" thickTop="1" thickBot="1" x14ac:dyDescent="0.25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spans="1:46" ht="16" hidden="1" thickTop="1" thickBot="1" x14ac:dyDescent="0.25">
      <c r="A402" s="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 ht="16" hidden="1" thickTop="1" thickBot="1" x14ac:dyDescent="0.25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spans="1:46" ht="16" hidden="1" thickTop="1" thickBot="1" x14ac:dyDescent="0.25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 ht="16" hidden="1" thickTop="1" thickBot="1" x14ac:dyDescent="0.25">
      <c r="B405" s="5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spans="1:46" ht="16" hidden="1" thickTop="1" thickBot="1" x14ac:dyDescent="0.25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 ht="16" hidden="1" thickTop="1" thickBot="1" x14ac:dyDescent="0.25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spans="1:46" ht="16" hidden="1" thickTop="1" thickBot="1" x14ac:dyDescent="0.2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 ht="16" hidden="1" thickTop="1" thickBot="1" x14ac:dyDescent="0.2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spans="1:46" ht="16" hidden="1" thickTop="1" thickBot="1" x14ac:dyDescent="0.25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 ht="16" hidden="1" thickTop="1" thickBot="1" x14ac:dyDescent="0.25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spans="1:46" ht="16" hidden="1" thickTop="1" thickBot="1" x14ac:dyDescent="0.25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 ht="16" hidden="1" thickTop="1" thickBot="1" x14ac:dyDescent="0.25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spans="1:46" ht="16" hidden="1" thickTop="1" thickBot="1" x14ac:dyDescent="0.25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 ht="16" hidden="1" thickTop="1" thickBot="1" x14ac:dyDescent="0.2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spans="1:46" ht="16" hidden="1" thickTop="1" thickBot="1" x14ac:dyDescent="0.25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2:46" ht="16" hidden="1" thickTop="1" thickBot="1" x14ac:dyDescent="0.25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spans="2:46" ht="16" hidden="1" thickTop="1" thickBot="1" x14ac:dyDescent="0.2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2:46" ht="16" hidden="1" thickTop="1" thickBot="1" x14ac:dyDescent="0.25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spans="2:46" ht="16" hidden="1" thickTop="1" thickBot="1" x14ac:dyDescent="0.2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2:46" ht="16" hidden="1" thickTop="1" thickBot="1" x14ac:dyDescent="0.25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2:46" ht="16" hidden="1" thickTop="1" thickBot="1" x14ac:dyDescent="0.2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2:46" ht="16" hidden="1" thickTop="1" thickBot="1" x14ac:dyDescent="0.25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2:46" ht="16" hidden="1" thickTop="1" thickBot="1" x14ac:dyDescent="0.2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2:46" ht="16" hidden="1" thickTop="1" thickBot="1" x14ac:dyDescent="0.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spans="2:46" ht="16" hidden="1" thickTop="1" thickBot="1" x14ac:dyDescent="0.25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2:46" ht="16" hidden="1" thickTop="1" thickBot="1" x14ac:dyDescent="0.25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2:46" ht="16" hidden="1" thickTop="1" thickBot="1" x14ac:dyDescent="0.25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spans="2:46" ht="16" hidden="1" thickTop="1" thickBot="1" x14ac:dyDescent="0.25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2:46" ht="16" hidden="1" thickTop="1" thickBot="1" x14ac:dyDescent="0.25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2:46" ht="16" hidden="1" thickTop="1" thickBot="1" x14ac:dyDescent="0.25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2:46" ht="16" hidden="1" thickTop="1" thickBot="1" x14ac:dyDescent="0.25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2:46" ht="16" hidden="1" thickTop="1" thickBot="1" x14ac:dyDescent="0.25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2:46" ht="16" hidden="1" thickTop="1" thickBot="1" x14ac:dyDescent="0.25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2:46" ht="16" hidden="1" thickTop="1" thickBot="1" x14ac:dyDescent="0.2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2:46" ht="16" hidden="1" thickTop="1" thickBot="1" x14ac:dyDescent="0.25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2:46" ht="16" hidden="1" thickTop="1" thickBot="1" x14ac:dyDescent="0.25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2:46" ht="16" hidden="1" thickTop="1" thickBot="1" x14ac:dyDescent="0.25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spans="2:46" ht="16" hidden="1" thickTop="1" thickBot="1" x14ac:dyDescent="0.25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2:46" ht="16" hidden="1" thickTop="1" thickBot="1" x14ac:dyDescent="0.25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2:46" ht="16" hidden="1" thickTop="1" thickBot="1" x14ac:dyDescent="0.25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2:46" ht="16" hidden="1" thickTop="1" thickBot="1" x14ac:dyDescent="0.25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2:46" ht="16" hidden="1" thickTop="1" thickBot="1" x14ac:dyDescent="0.25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2:46" ht="16" hidden="1" thickTop="1" thickBot="1" x14ac:dyDescent="0.25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2:46" ht="16" hidden="1" thickTop="1" thickBot="1" x14ac:dyDescent="0.2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2:46" ht="16" hidden="1" thickTop="1" thickBot="1" x14ac:dyDescent="0.25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2:46" ht="16" hidden="1" thickTop="1" thickBot="1" x14ac:dyDescent="0.25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2:46" ht="16" hidden="1" thickTop="1" thickBot="1" x14ac:dyDescent="0.25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2:46" ht="16" hidden="1" thickTop="1" thickBot="1" x14ac:dyDescent="0.25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spans="2:46" ht="16" hidden="1" thickTop="1" thickBot="1" x14ac:dyDescent="0.25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2:46" ht="16" hidden="1" thickTop="1" thickBot="1" x14ac:dyDescent="0.25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spans="2:46" ht="16" hidden="1" thickTop="1" thickBot="1" x14ac:dyDescent="0.25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2:46" ht="16" hidden="1" thickTop="1" thickBot="1" x14ac:dyDescent="0.25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2:46" ht="16" hidden="1" thickTop="1" thickBot="1" x14ac:dyDescent="0.25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2:46" ht="16" hidden="1" thickTop="1" thickBot="1" x14ac:dyDescent="0.2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2:46" ht="16" hidden="1" thickTop="1" thickBot="1" x14ac:dyDescent="0.25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2:46" ht="16" hidden="1" thickTop="1" thickBot="1" x14ac:dyDescent="0.2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2:46" ht="16" hidden="1" thickTop="1" thickBot="1" x14ac:dyDescent="0.25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2:46" ht="16" hidden="1" thickTop="1" thickBot="1" x14ac:dyDescent="0.2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2:46" ht="16" hidden="1" thickTop="1" thickBot="1" x14ac:dyDescent="0.25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2:46" ht="16" hidden="1" thickTop="1" thickBot="1" x14ac:dyDescent="0.2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2:46" ht="16" hidden="1" thickTop="1" thickBot="1" x14ac:dyDescent="0.2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2:46" ht="16" hidden="1" thickTop="1" thickBot="1" x14ac:dyDescent="0.25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2:46" ht="16" hidden="1" thickTop="1" thickBot="1" x14ac:dyDescent="0.2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2:46" ht="16" hidden="1" thickTop="1" thickBot="1" x14ac:dyDescent="0.2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2:46" ht="16" hidden="1" thickTop="1" thickBot="1" x14ac:dyDescent="0.25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2:46" ht="16" hidden="1" thickTop="1" thickBot="1" x14ac:dyDescent="0.25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spans="2:46" ht="16" hidden="1" thickTop="1" thickBot="1" x14ac:dyDescent="0.25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spans="2:46" ht="16" hidden="1" thickTop="1" thickBot="1" x14ac:dyDescent="0.25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2:46" ht="16" hidden="1" thickTop="1" thickBot="1" x14ac:dyDescent="0.25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spans="2:46" ht="16" hidden="1" thickTop="1" thickBot="1" x14ac:dyDescent="0.25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2:46" ht="16" hidden="1" thickTop="1" thickBot="1" x14ac:dyDescent="0.25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spans="2:46" ht="16" hidden="1" thickTop="1" thickBot="1" x14ac:dyDescent="0.25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2:46" ht="16" hidden="1" thickTop="1" thickBot="1" x14ac:dyDescent="0.25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2:46" ht="16" hidden="1" thickTop="1" thickBot="1" x14ac:dyDescent="0.2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spans="2:46" ht="16" hidden="1" thickTop="1" thickBot="1" x14ac:dyDescent="0.25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spans="2:46" ht="16" hidden="1" thickTop="1" thickBot="1" x14ac:dyDescent="0.25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spans="2:46" ht="16" hidden="1" thickTop="1" thickBot="1" x14ac:dyDescent="0.2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2:46" ht="16" hidden="1" thickTop="1" thickBot="1" x14ac:dyDescent="0.25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2:46" ht="16" hidden="1" thickTop="1" thickBot="1" x14ac:dyDescent="0.2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spans="2:46" ht="16" hidden="1" thickTop="1" thickBot="1" x14ac:dyDescent="0.25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spans="2:46" ht="16" hidden="1" thickTop="1" thickBot="1" x14ac:dyDescent="0.2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2:46" ht="16" hidden="1" thickTop="1" thickBot="1" x14ac:dyDescent="0.25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2:46" ht="16" hidden="1" thickTop="1" thickBot="1" x14ac:dyDescent="0.2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2:46" ht="16" hidden="1" thickTop="1" thickBot="1" x14ac:dyDescent="0.2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spans="2:46" ht="16" hidden="1" thickTop="1" thickBot="1" x14ac:dyDescent="0.2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2:46" ht="16" hidden="1" thickTop="1" thickBot="1" x14ac:dyDescent="0.25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2:46" ht="16" hidden="1" thickTop="1" thickBot="1" x14ac:dyDescent="0.2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2:46" ht="16" hidden="1" thickTop="1" thickBot="1" x14ac:dyDescent="0.25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2:46" ht="16" hidden="1" thickTop="1" thickBot="1" x14ac:dyDescent="0.2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2:46" ht="16" hidden="1" thickTop="1" thickBot="1" x14ac:dyDescent="0.25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spans="2:46" ht="16" hidden="1" thickTop="1" thickBot="1" x14ac:dyDescent="0.2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2:46" ht="16" hidden="1" thickTop="1" thickBot="1" x14ac:dyDescent="0.2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spans="2:46" ht="16" hidden="1" thickTop="1" thickBot="1" x14ac:dyDescent="0.25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spans="2:46" ht="16" hidden="1" thickTop="1" thickBot="1" x14ac:dyDescent="0.2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spans="2:46" ht="16" hidden="1" thickTop="1" thickBot="1" x14ac:dyDescent="0.2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2:46" ht="16" hidden="1" thickTop="1" thickBot="1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2:46" ht="16" hidden="1" thickTop="1" thickBot="1" x14ac:dyDescent="0.25">
      <c r="D498" s="5"/>
      <c r="E498" s="5"/>
    </row>
    <row r="499" spans="2:46" ht="16" hidden="1" thickTop="1" thickBot="1" x14ac:dyDescent="0.25">
      <c r="D499" s="5"/>
      <c r="E499" s="5"/>
    </row>
    <row r="500" spans="2:46" ht="16" hidden="1" thickTop="1" thickBot="1" x14ac:dyDescent="0.25">
      <c r="D500" s="5"/>
      <c r="E500" s="5"/>
    </row>
    <row r="501" spans="2:46" ht="16" hidden="1" thickTop="1" thickBot="1" x14ac:dyDescent="0.25">
      <c r="D501" s="5"/>
      <c r="E501" s="5"/>
    </row>
    <row r="502" spans="2:46" ht="16" hidden="1" thickTop="1" thickBot="1" x14ac:dyDescent="0.25">
      <c r="D502" s="5"/>
      <c r="E502" s="5"/>
    </row>
    <row r="503" spans="2:46" ht="16" hidden="1" thickTop="1" thickBot="1" x14ac:dyDescent="0.25">
      <c r="D503" s="5"/>
      <c r="E503" s="5"/>
    </row>
    <row r="505" spans="2:46" x14ac:dyDescent="0.2"/>
  </sheetData>
  <mergeCells count="1"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Gregg Wolin</dc:creator>
  <cp:keywords/>
  <dc:description/>
  <cp:lastModifiedBy>Gregg Wolin</cp:lastModifiedBy>
  <cp:lastPrinted>2022-09-14T19:17:10Z</cp:lastPrinted>
  <dcterms:created xsi:type="dcterms:W3CDTF">2021-08-12T14:58:48Z</dcterms:created>
  <dcterms:modified xsi:type="dcterms:W3CDTF">2026-01-11T20:09:23Z</dcterms:modified>
  <cp:category/>
</cp:coreProperties>
</file>